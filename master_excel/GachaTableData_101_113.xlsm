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300" yWindow="1080" windowWidth="27900" windowHeight="13460" tabRatio="943"/>
  </bookViews>
  <sheets>
    <sheet name="gacha_unit_tables_102" sheetId="50" r:id="rId1"/>
    <sheet name="gacha_unit_tables_103" sheetId="52" r:id="rId2"/>
    <sheet name="gacha_unit_tables_104" sheetId="66" r:id="rId3"/>
    <sheet name="gacha_unit_tables_105" sheetId="69" r:id="rId4"/>
    <sheet name="gacha_unit_tables_106" sheetId="70" r:id="rId5"/>
    <sheet name="gacha_unit_tables_107" sheetId="67" r:id="rId6"/>
    <sheet name="gacha_unit_tables_108" sheetId="68" r:id="rId7"/>
    <sheet name="gacha_unit_tables_109" sheetId="71" r:id="rId8"/>
    <sheet name="gacha_unit_tables_110" sheetId="72" r:id="rId9"/>
    <sheet name="gacha_unit_tables_111" sheetId="73" r:id="rId10"/>
    <sheet name="gacha_unit_tables_112" sheetId="75" r:id="rId11"/>
    <sheet name="gacha_unit_tables_113" sheetId="76" r:id="rId12"/>
    <sheet name="gacha_unit_tables_102_tmp" sheetId="51" r:id="rId13"/>
    <sheet name="gacha_unit_tables_103_tmp" sheetId="53" r:id="rId14"/>
    <sheet name="gacha_unit_tables_104_tmp" sheetId="60" r:id="rId15"/>
    <sheet name="gacha_unit_tables_105_tmp" sheetId="61" r:id="rId16"/>
    <sheet name="gacha_unit_tables_106_tmp" sheetId="62" r:id="rId17"/>
    <sheet name="gacha_unit_tables_107.tmp" sheetId="63" r:id="rId18"/>
    <sheet name="gacha_unit_tables_108.tmp" sheetId="64" r:id="rId19"/>
    <sheet name="gacha_unit_tables_109.tmp" sheetId="65" r:id="rId20"/>
    <sheet name="gacha_unit_tables_110.tmp" sheetId="77" r:id="rId21"/>
    <sheet name="gacha_unit_tables_111.tmp" sheetId="80" r:id="rId22"/>
    <sheet name="gacha_unit_tables_112.tmp" sheetId="81" r:id="rId23"/>
    <sheet name="gacha_unit_tables_113.tmp" sheetId="78" r:id="rId24"/>
  </sheets>
  <externalReferences>
    <externalReference r:id="rId25"/>
    <externalReference r:id="rId26"/>
  </externalReferences>
  <definedNames>
    <definedName name="_xlnm._FilterDatabase" localSheetId="0" hidden="1">gacha_unit_tables_102!$B$1:$M$220</definedName>
    <definedName name="_xlnm._FilterDatabase" localSheetId="1" hidden="1">gacha_unit_tables_103!$B$1:$M$220</definedName>
    <definedName name="_xlnm._FilterDatabase" localSheetId="2" hidden="1">gacha_unit_tables_104!$B$1:$M$161</definedName>
    <definedName name="_xlnm._FilterDatabase" localSheetId="3" hidden="1">gacha_unit_tables_105!$B$1:$M$161</definedName>
    <definedName name="_xlnm._FilterDatabase" localSheetId="4" hidden="1">gacha_unit_tables_106!$B$1:$M$161</definedName>
    <definedName name="_xlnm._FilterDatabase" localSheetId="5" hidden="1">gacha_unit_tables_107!$B$1:$M$237</definedName>
    <definedName name="_xlnm._FilterDatabase" localSheetId="6" hidden="1">gacha_unit_tables_108!$B$1:$M$237</definedName>
    <definedName name="_xlnm._FilterDatabase" localSheetId="7" hidden="1">gacha_unit_tables_109!$B$1:$M$236</definedName>
    <definedName name="_xlnm._FilterDatabase" localSheetId="9" hidden="1">gacha_unit_tables_111!$A$1:$R$169</definedName>
    <definedName name="_xlnm._FilterDatabase" localSheetId="10" hidden="1">gacha_unit_tables_112!$A$1:$R$168</definedName>
    <definedName name="_xlnm._FilterDatabase" localSheetId="11" hidden="1">gacha_unit_tables_113!$A$1:$R$168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9" i="76" l="1"/>
  <c r="C168" i="76"/>
  <c r="C167" i="76"/>
  <c r="C166" i="76"/>
  <c r="C165" i="76"/>
  <c r="C164" i="76"/>
  <c r="C163" i="76"/>
  <c r="C162" i="76"/>
  <c r="C161" i="76"/>
  <c r="C160" i="76"/>
  <c r="C159" i="76"/>
  <c r="C158" i="76"/>
  <c r="C157" i="76"/>
  <c r="C156" i="76"/>
  <c r="C155" i="76"/>
  <c r="C154" i="76"/>
  <c r="C153" i="76"/>
  <c r="C152" i="76"/>
  <c r="C151" i="76"/>
  <c r="C150" i="76"/>
  <c r="C149" i="76"/>
  <c r="C148" i="76"/>
  <c r="C147" i="76"/>
  <c r="C146" i="76"/>
  <c r="C145" i="76"/>
  <c r="C144" i="76"/>
  <c r="C143" i="76"/>
  <c r="C142" i="76"/>
  <c r="C141" i="76"/>
  <c r="C140" i="76"/>
  <c r="C139" i="76"/>
  <c r="C138" i="76"/>
  <c r="C137" i="76"/>
  <c r="C136" i="76"/>
  <c r="C135" i="76"/>
  <c r="C134" i="76"/>
  <c r="C133" i="76"/>
  <c r="C132" i="76"/>
  <c r="C131" i="76"/>
  <c r="C130" i="76"/>
  <c r="C129" i="76"/>
  <c r="C128" i="76"/>
  <c r="C127" i="76"/>
  <c r="C126" i="76"/>
  <c r="C125" i="76"/>
  <c r="C124" i="76"/>
  <c r="C123" i="76"/>
  <c r="C122" i="76"/>
  <c r="C121" i="76"/>
  <c r="C120" i="76"/>
  <c r="C119" i="76"/>
  <c r="C118" i="76"/>
  <c r="C117" i="76"/>
  <c r="C116" i="76"/>
  <c r="C115" i="76"/>
  <c r="C114" i="76"/>
  <c r="C113" i="76"/>
  <c r="C112" i="76"/>
  <c r="C111" i="76"/>
  <c r="C110" i="76"/>
  <c r="C109" i="76"/>
  <c r="C108" i="76"/>
  <c r="C107" i="76"/>
  <c r="C106" i="76"/>
  <c r="C105" i="76"/>
  <c r="C104" i="76"/>
  <c r="C103" i="76"/>
  <c r="C102" i="76"/>
  <c r="C101" i="76"/>
  <c r="C100" i="76"/>
  <c r="C99" i="76"/>
  <c r="C98" i="76"/>
  <c r="C97" i="76"/>
  <c r="C96" i="76"/>
  <c r="C95" i="76"/>
  <c r="C94" i="76"/>
  <c r="C93" i="76"/>
  <c r="C92" i="76"/>
  <c r="C91" i="76"/>
  <c r="C90" i="76"/>
  <c r="C89" i="76"/>
  <c r="C88" i="76"/>
  <c r="C87" i="76"/>
  <c r="C86" i="76"/>
  <c r="C85" i="76"/>
  <c r="C84" i="76"/>
  <c r="C83" i="76"/>
  <c r="C82" i="76"/>
  <c r="C81" i="76"/>
  <c r="C80" i="76"/>
  <c r="C79" i="76"/>
  <c r="C78" i="76"/>
  <c r="C77" i="76"/>
  <c r="C76" i="76"/>
  <c r="C75" i="76"/>
  <c r="C74" i="76"/>
  <c r="C73" i="76"/>
  <c r="C72" i="76"/>
  <c r="C71" i="76"/>
  <c r="C70" i="76"/>
  <c r="C69" i="76"/>
  <c r="C68" i="76"/>
  <c r="C67" i="76"/>
  <c r="C66" i="76"/>
  <c r="C65" i="76"/>
  <c r="C64" i="76"/>
  <c r="C63" i="76"/>
  <c r="C62" i="76"/>
  <c r="C61" i="76"/>
  <c r="C60" i="76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69" i="75"/>
  <c r="C168" i="75"/>
  <c r="C167" i="75"/>
  <c r="C166" i="75"/>
  <c r="C165" i="75"/>
  <c r="C164" i="75"/>
  <c r="C163" i="75"/>
  <c r="C162" i="75"/>
  <c r="C161" i="75"/>
  <c r="C160" i="75"/>
  <c r="C159" i="75"/>
  <c r="C158" i="75"/>
  <c r="C157" i="75"/>
  <c r="C156" i="75"/>
  <c r="C155" i="75"/>
  <c r="C154" i="75"/>
  <c r="C153" i="75"/>
  <c r="C152" i="75"/>
  <c r="C151" i="75"/>
  <c r="C150" i="75"/>
  <c r="C149" i="75"/>
  <c r="C148" i="75"/>
  <c r="C147" i="75"/>
  <c r="C146" i="75"/>
  <c r="C145" i="75"/>
  <c r="C144" i="75"/>
  <c r="C143" i="75"/>
  <c r="C142" i="75"/>
  <c r="C141" i="75"/>
  <c r="C140" i="75"/>
  <c r="C139" i="75"/>
  <c r="C138" i="75"/>
  <c r="C137" i="75"/>
  <c r="C136" i="75"/>
  <c r="C135" i="75"/>
  <c r="C134" i="75"/>
  <c r="C133" i="75"/>
  <c r="C132" i="75"/>
  <c r="C131" i="75"/>
  <c r="C130" i="75"/>
  <c r="C129" i="75"/>
  <c r="C128" i="75"/>
  <c r="C127" i="75"/>
  <c r="C126" i="75"/>
  <c r="C125" i="75"/>
  <c r="C124" i="75"/>
  <c r="C123" i="75"/>
  <c r="C122" i="75"/>
  <c r="C121" i="75"/>
  <c r="C120" i="75"/>
  <c r="C119" i="75"/>
  <c r="C118" i="75"/>
  <c r="C117" i="75"/>
  <c r="C116" i="75"/>
  <c r="C115" i="75"/>
  <c r="C114" i="75"/>
  <c r="C113" i="75"/>
  <c r="C112" i="75"/>
  <c r="C111" i="75"/>
  <c r="C110" i="75"/>
  <c r="C109" i="75"/>
  <c r="C108" i="75"/>
  <c r="C107" i="75"/>
  <c r="C106" i="75"/>
  <c r="C105" i="75"/>
  <c r="C104" i="75"/>
  <c r="C103" i="75"/>
  <c r="C102" i="75"/>
  <c r="C101" i="75"/>
  <c r="C100" i="75"/>
  <c r="C99" i="75"/>
  <c r="C98" i="75"/>
  <c r="C97" i="75"/>
  <c r="C96" i="75"/>
  <c r="C95" i="75"/>
  <c r="C94" i="75"/>
  <c r="C93" i="75"/>
  <c r="C92" i="75"/>
  <c r="C91" i="75"/>
  <c r="C90" i="75"/>
  <c r="C89" i="75"/>
  <c r="C88" i="75"/>
  <c r="C87" i="75"/>
  <c r="C86" i="75"/>
  <c r="C85" i="75"/>
  <c r="C84" i="75"/>
  <c r="C83" i="75"/>
  <c r="C82" i="75"/>
  <c r="C81" i="75"/>
  <c r="C80" i="75"/>
  <c r="C79" i="75"/>
  <c r="C78" i="75"/>
  <c r="C77" i="75"/>
  <c r="C76" i="75"/>
  <c r="C75" i="75"/>
  <c r="C74" i="75"/>
  <c r="C73" i="75"/>
  <c r="C72" i="75"/>
  <c r="C71" i="75"/>
  <c r="C70" i="75"/>
  <c r="C69" i="75"/>
  <c r="C68" i="75"/>
  <c r="C67" i="75"/>
  <c r="C66" i="75"/>
  <c r="C65" i="75"/>
  <c r="C64" i="75"/>
  <c r="C63" i="75"/>
  <c r="C62" i="75"/>
  <c r="C61" i="75"/>
  <c r="C60" i="75"/>
  <c r="C59" i="75"/>
  <c r="C58" i="75"/>
  <c r="C57" i="75"/>
  <c r="C56" i="75"/>
  <c r="C55" i="75"/>
  <c r="C54" i="75"/>
  <c r="C53" i="75"/>
  <c r="C52" i="75"/>
  <c r="C51" i="75"/>
  <c r="C50" i="75"/>
  <c r="C49" i="75"/>
  <c r="C48" i="75"/>
  <c r="C47" i="75"/>
  <c r="C46" i="75"/>
  <c r="C45" i="75"/>
  <c r="C44" i="75"/>
  <c r="C43" i="75"/>
  <c r="C42" i="75"/>
  <c r="C41" i="75"/>
  <c r="C40" i="75"/>
  <c r="C39" i="75"/>
  <c r="C38" i="75"/>
  <c r="C37" i="75"/>
  <c r="C36" i="75"/>
  <c r="C35" i="75"/>
  <c r="C34" i="75"/>
  <c r="C33" i="75"/>
  <c r="C32" i="75"/>
  <c r="C31" i="75"/>
  <c r="C30" i="75"/>
  <c r="C29" i="75"/>
  <c r="C28" i="75"/>
  <c r="C27" i="75"/>
  <c r="C26" i="75"/>
  <c r="C25" i="75"/>
  <c r="C24" i="75"/>
  <c r="C23" i="75"/>
  <c r="C22" i="75"/>
  <c r="C21" i="75"/>
  <c r="C20" i="75"/>
  <c r="C19" i="75"/>
  <c r="C18" i="75"/>
  <c r="C17" i="75"/>
  <c r="C16" i="75"/>
  <c r="C15" i="75"/>
  <c r="C14" i="75"/>
  <c r="C13" i="75"/>
  <c r="C12" i="75"/>
  <c r="C11" i="75"/>
  <c r="C10" i="75"/>
  <c r="C9" i="75"/>
  <c r="C8" i="75"/>
  <c r="C7" i="75"/>
  <c r="C6" i="75"/>
  <c r="C5" i="75"/>
  <c r="C4" i="75"/>
  <c r="C3" i="75"/>
  <c r="C2" i="75"/>
  <c r="C169" i="73"/>
  <c r="C168" i="73"/>
  <c r="C167" i="73"/>
  <c r="C166" i="73"/>
  <c r="C165" i="73"/>
  <c r="C164" i="73"/>
  <c r="C163" i="73"/>
  <c r="C162" i="73"/>
  <c r="C161" i="73"/>
  <c r="C160" i="73"/>
  <c r="C159" i="73"/>
  <c r="C158" i="73"/>
  <c r="C157" i="73"/>
  <c r="C156" i="73"/>
  <c r="C155" i="73"/>
  <c r="C154" i="73"/>
  <c r="C153" i="73"/>
  <c r="C152" i="73"/>
  <c r="C151" i="73"/>
  <c r="C150" i="73"/>
  <c r="C149" i="73"/>
  <c r="C148" i="73"/>
  <c r="C147" i="73"/>
  <c r="C146" i="73"/>
  <c r="C145" i="73"/>
  <c r="C144" i="73"/>
  <c r="C143" i="73"/>
  <c r="C142" i="73"/>
  <c r="C141" i="73"/>
  <c r="C140" i="73"/>
  <c r="C139" i="73"/>
  <c r="C138" i="73"/>
  <c r="C137" i="73"/>
  <c r="C136" i="73"/>
  <c r="C135" i="73"/>
  <c r="C134" i="73"/>
  <c r="C133" i="73"/>
  <c r="C132" i="73"/>
  <c r="C131" i="73"/>
  <c r="C130" i="73"/>
  <c r="C129" i="73"/>
  <c r="C128" i="73"/>
  <c r="C127" i="73"/>
  <c r="C126" i="73"/>
  <c r="C125" i="73"/>
  <c r="C124" i="73"/>
  <c r="C123" i="73"/>
  <c r="C122" i="73"/>
  <c r="C121" i="73"/>
  <c r="C120" i="73"/>
  <c r="C119" i="73"/>
  <c r="C118" i="73"/>
  <c r="C117" i="73"/>
  <c r="C116" i="73"/>
  <c r="C115" i="73"/>
  <c r="C114" i="73"/>
  <c r="C113" i="73"/>
  <c r="C112" i="73"/>
  <c r="C111" i="73"/>
  <c r="C110" i="73"/>
  <c r="C109" i="73"/>
  <c r="C108" i="73"/>
  <c r="C107" i="73"/>
  <c r="C106" i="73"/>
  <c r="C105" i="73"/>
  <c r="C104" i="73"/>
  <c r="C103" i="73"/>
  <c r="C102" i="73"/>
  <c r="C101" i="73"/>
  <c r="C100" i="73"/>
  <c r="C99" i="73"/>
  <c r="C98" i="73"/>
  <c r="C97" i="73"/>
  <c r="C96" i="73"/>
  <c r="C95" i="73"/>
  <c r="C94" i="73"/>
  <c r="C93" i="73"/>
  <c r="C92" i="73"/>
  <c r="C91" i="73"/>
  <c r="C90" i="73"/>
  <c r="C89" i="73"/>
  <c r="C88" i="73"/>
  <c r="C87" i="73"/>
  <c r="C86" i="73"/>
  <c r="C85" i="73"/>
  <c r="C84" i="73"/>
  <c r="C83" i="73"/>
  <c r="C82" i="73"/>
  <c r="C81" i="73"/>
  <c r="C80" i="73"/>
  <c r="C79" i="73"/>
  <c r="C78" i="73"/>
  <c r="C77" i="73"/>
  <c r="C76" i="73"/>
  <c r="C75" i="73"/>
  <c r="C74" i="73"/>
  <c r="C73" i="73"/>
  <c r="C72" i="73"/>
  <c r="C71" i="73"/>
  <c r="C70" i="73"/>
  <c r="C69" i="73"/>
  <c r="C68" i="73"/>
  <c r="C67" i="73"/>
  <c r="C66" i="73"/>
  <c r="C65" i="73"/>
  <c r="C64" i="73"/>
  <c r="C63" i="73"/>
  <c r="C62" i="73"/>
  <c r="C61" i="73"/>
  <c r="C60" i="73"/>
  <c r="C59" i="73"/>
  <c r="C58" i="73"/>
  <c r="C57" i="73"/>
  <c r="C56" i="73"/>
  <c r="C55" i="73"/>
  <c r="C54" i="73"/>
  <c r="C53" i="73"/>
  <c r="C52" i="73"/>
  <c r="C51" i="73"/>
  <c r="C50" i="73"/>
  <c r="C49" i="73"/>
  <c r="C48" i="73"/>
  <c r="C47" i="73"/>
  <c r="C46" i="73"/>
  <c r="C45" i="73"/>
  <c r="C44" i="73"/>
  <c r="C43" i="73"/>
  <c r="C42" i="73"/>
  <c r="C41" i="73"/>
  <c r="C40" i="73"/>
  <c r="C39" i="73"/>
  <c r="C38" i="73"/>
  <c r="C37" i="73"/>
  <c r="C36" i="73"/>
  <c r="C35" i="73"/>
  <c r="C34" i="73"/>
  <c r="C33" i="73"/>
  <c r="C32" i="73"/>
  <c r="C31" i="73"/>
  <c r="C30" i="73"/>
  <c r="C29" i="73"/>
  <c r="C28" i="73"/>
  <c r="C27" i="73"/>
  <c r="C26" i="73"/>
  <c r="C25" i="73"/>
  <c r="C24" i="73"/>
  <c r="C23" i="73"/>
  <c r="C22" i="73"/>
  <c r="C21" i="73"/>
  <c r="C20" i="73"/>
  <c r="C19" i="73"/>
  <c r="C18" i="73"/>
  <c r="C17" i="73"/>
  <c r="C16" i="73"/>
  <c r="C15" i="73"/>
  <c r="C14" i="73"/>
  <c r="C13" i="73"/>
  <c r="C12" i="73"/>
  <c r="C11" i="73"/>
  <c r="C10" i="73"/>
  <c r="C9" i="73"/>
  <c r="C8" i="73"/>
  <c r="C7" i="73"/>
  <c r="C6" i="73"/>
  <c r="C5" i="73"/>
  <c r="C4" i="73"/>
  <c r="C3" i="73"/>
  <c r="C2" i="73"/>
  <c r="C237" i="72"/>
  <c r="C236" i="72"/>
  <c r="C235" i="72"/>
  <c r="C234" i="72"/>
  <c r="C233" i="72"/>
  <c r="C232" i="72"/>
  <c r="C231" i="72"/>
  <c r="C230" i="72"/>
  <c r="C229" i="72"/>
  <c r="C228" i="72"/>
  <c r="C227" i="72"/>
  <c r="C226" i="72"/>
  <c r="C225" i="72"/>
  <c r="C224" i="72"/>
  <c r="C223" i="72"/>
  <c r="C222" i="72"/>
  <c r="C221" i="72"/>
  <c r="C220" i="72"/>
  <c r="C219" i="72"/>
  <c r="C218" i="72"/>
  <c r="C217" i="72"/>
  <c r="C216" i="72"/>
  <c r="C215" i="72"/>
  <c r="C214" i="72"/>
  <c r="C213" i="72"/>
  <c r="C212" i="72"/>
  <c r="C211" i="72"/>
  <c r="C210" i="72"/>
  <c r="C209" i="72"/>
  <c r="C208" i="72"/>
  <c r="C207" i="72"/>
  <c r="C206" i="72"/>
  <c r="C205" i="72"/>
  <c r="C204" i="72"/>
  <c r="C203" i="72"/>
  <c r="C202" i="72"/>
  <c r="C201" i="72"/>
  <c r="C200" i="72"/>
  <c r="C199" i="72"/>
  <c r="C198" i="72"/>
  <c r="C197" i="72"/>
  <c r="C196" i="72"/>
  <c r="C195" i="72"/>
  <c r="C194" i="72"/>
  <c r="C193" i="72"/>
  <c r="C192" i="72"/>
  <c r="C191" i="72"/>
  <c r="C190" i="72"/>
  <c r="C189" i="72"/>
  <c r="C188" i="72"/>
  <c r="C187" i="72"/>
  <c r="C186" i="72"/>
  <c r="C185" i="72"/>
  <c r="C184" i="72"/>
  <c r="C183" i="72"/>
  <c r="C182" i="72"/>
  <c r="C181" i="72"/>
  <c r="C180" i="72"/>
  <c r="C179" i="72"/>
  <c r="C178" i="72"/>
  <c r="C177" i="72"/>
  <c r="C176" i="72"/>
  <c r="C175" i="72"/>
  <c r="C174" i="72"/>
  <c r="C173" i="72"/>
  <c r="C172" i="72"/>
  <c r="C171" i="72"/>
  <c r="C170" i="72"/>
  <c r="C169" i="72"/>
  <c r="C168" i="72"/>
  <c r="C167" i="72"/>
  <c r="C166" i="72"/>
  <c r="C165" i="72"/>
  <c r="C164" i="72"/>
  <c r="C163" i="72"/>
  <c r="C162" i="72"/>
  <c r="C161" i="72"/>
  <c r="C160" i="72"/>
  <c r="C159" i="72"/>
  <c r="C158" i="72"/>
  <c r="C157" i="72"/>
  <c r="C156" i="72"/>
  <c r="C155" i="72"/>
  <c r="C154" i="72"/>
  <c r="C153" i="72"/>
  <c r="C152" i="72"/>
  <c r="C151" i="72"/>
  <c r="C150" i="72"/>
  <c r="C149" i="72"/>
  <c r="C148" i="72"/>
  <c r="C147" i="72"/>
  <c r="C146" i="72"/>
  <c r="C145" i="72"/>
  <c r="C144" i="72"/>
  <c r="C143" i="72"/>
  <c r="C142" i="72"/>
  <c r="C141" i="72"/>
  <c r="C140" i="72"/>
  <c r="C139" i="72"/>
  <c r="C138" i="72"/>
  <c r="C137" i="72"/>
  <c r="C136" i="72"/>
  <c r="C135" i="72"/>
  <c r="C134" i="72"/>
  <c r="C133" i="72"/>
  <c r="C132" i="72"/>
  <c r="C131" i="72"/>
  <c r="C130" i="72"/>
  <c r="C129" i="72"/>
  <c r="C128" i="72"/>
  <c r="C127" i="72"/>
  <c r="C126" i="72"/>
  <c r="C125" i="72"/>
  <c r="C124" i="72"/>
  <c r="C123" i="72"/>
  <c r="C122" i="72"/>
  <c r="C121" i="72"/>
  <c r="C120" i="72"/>
  <c r="C119" i="72"/>
  <c r="C118" i="72"/>
  <c r="C117" i="72"/>
  <c r="C116" i="72"/>
  <c r="C115" i="72"/>
  <c r="C114" i="72"/>
  <c r="C113" i="72"/>
  <c r="C112" i="72"/>
  <c r="C111" i="72"/>
  <c r="C110" i="72"/>
  <c r="C109" i="72"/>
  <c r="C108" i="72"/>
  <c r="C107" i="72"/>
  <c r="C106" i="72"/>
  <c r="C105" i="72"/>
  <c r="C104" i="72"/>
  <c r="C103" i="72"/>
  <c r="C102" i="72"/>
  <c r="C101" i="72"/>
  <c r="C100" i="72"/>
  <c r="C99" i="72"/>
  <c r="C98" i="72"/>
  <c r="C97" i="72"/>
  <c r="C96" i="72"/>
  <c r="C95" i="72"/>
  <c r="C94" i="72"/>
  <c r="C93" i="72"/>
  <c r="C92" i="72"/>
  <c r="C91" i="72"/>
  <c r="C90" i="72"/>
  <c r="C89" i="72"/>
  <c r="C88" i="72"/>
  <c r="C87" i="72"/>
  <c r="C86" i="72"/>
  <c r="C85" i="72"/>
  <c r="C84" i="72"/>
  <c r="C83" i="72"/>
  <c r="C82" i="72"/>
  <c r="C81" i="72"/>
  <c r="C80" i="72"/>
  <c r="C79" i="72"/>
  <c r="C78" i="72"/>
  <c r="C77" i="72"/>
  <c r="C76" i="72"/>
  <c r="C75" i="72"/>
  <c r="C74" i="72"/>
  <c r="C73" i="72"/>
  <c r="C72" i="72"/>
  <c r="C71" i="72"/>
  <c r="C70" i="72"/>
  <c r="C69" i="72"/>
  <c r="C68" i="72"/>
  <c r="C67" i="72"/>
  <c r="C66" i="72"/>
  <c r="C65" i="72"/>
  <c r="C64" i="72"/>
  <c r="C63" i="72"/>
  <c r="C62" i="72"/>
  <c r="C61" i="72"/>
  <c r="C60" i="72"/>
  <c r="C59" i="72"/>
  <c r="C58" i="72"/>
  <c r="C57" i="72"/>
  <c r="C56" i="72"/>
  <c r="C55" i="72"/>
  <c r="C54" i="72"/>
  <c r="C53" i="72"/>
  <c r="C52" i="72"/>
  <c r="C51" i="72"/>
  <c r="C50" i="72"/>
  <c r="C49" i="72"/>
  <c r="C48" i="72"/>
  <c r="C47" i="72"/>
  <c r="C46" i="72"/>
  <c r="C45" i="72"/>
  <c r="C44" i="72"/>
  <c r="C43" i="72"/>
  <c r="C42" i="72"/>
  <c r="C41" i="72"/>
  <c r="C40" i="72"/>
  <c r="C39" i="72"/>
  <c r="C38" i="72"/>
  <c r="C37" i="72"/>
  <c r="C36" i="72"/>
  <c r="C35" i="72"/>
  <c r="C34" i="72"/>
  <c r="C33" i="72"/>
  <c r="C32" i="72"/>
  <c r="C31" i="72"/>
  <c r="C30" i="72"/>
  <c r="C29" i="72"/>
  <c r="C28" i="72"/>
  <c r="C27" i="72"/>
  <c r="C26" i="72"/>
  <c r="C25" i="72"/>
  <c r="C24" i="72"/>
  <c r="C23" i="72"/>
  <c r="C22" i="72"/>
  <c r="C21" i="72"/>
  <c r="C20" i="72"/>
  <c r="C19" i="72"/>
  <c r="C18" i="72"/>
  <c r="C17" i="72"/>
  <c r="C16" i="72"/>
  <c r="C15" i="72"/>
  <c r="C14" i="72"/>
  <c r="C13" i="72"/>
  <c r="C12" i="72"/>
  <c r="C11" i="72"/>
  <c r="C10" i="72"/>
  <c r="C9" i="72"/>
  <c r="C8" i="72"/>
  <c r="C7" i="72"/>
  <c r="C6" i="72"/>
  <c r="C5" i="72"/>
  <c r="C4" i="72"/>
  <c r="C3" i="72"/>
  <c r="C2" i="72"/>
  <c r="C237" i="71"/>
  <c r="C236" i="71"/>
  <c r="C235" i="71"/>
  <c r="C234" i="71"/>
  <c r="C233" i="71"/>
  <c r="C232" i="71"/>
  <c r="C231" i="71"/>
  <c r="C230" i="71"/>
  <c r="C229" i="71"/>
  <c r="C228" i="71"/>
  <c r="C227" i="71"/>
  <c r="C226" i="71"/>
  <c r="C225" i="71"/>
  <c r="C224" i="71"/>
  <c r="C223" i="71"/>
  <c r="C222" i="71"/>
  <c r="C221" i="71"/>
  <c r="C220" i="71"/>
  <c r="C219" i="71"/>
  <c r="C218" i="71"/>
  <c r="C217" i="71"/>
  <c r="C216" i="71"/>
  <c r="C215" i="71"/>
  <c r="C214" i="71"/>
  <c r="C213" i="71"/>
  <c r="C212" i="71"/>
  <c r="C211" i="71"/>
  <c r="C210" i="71"/>
  <c r="C209" i="71"/>
  <c r="C208" i="71"/>
  <c r="C207" i="71"/>
  <c r="C206" i="71"/>
  <c r="C205" i="71"/>
  <c r="C204" i="71"/>
  <c r="C203" i="71"/>
  <c r="C202" i="71"/>
  <c r="C201" i="71"/>
  <c r="C200" i="71"/>
  <c r="C199" i="71"/>
  <c r="C198" i="71"/>
  <c r="C197" i="71"/>
  <c r="C196" i="71"/>
  <c r="C195" i="71"/>
  <c r="C194" i="71"/>
  <c r="C193" i="71"/>
  <c r="C192" i="71"/>
  <c r="C191" i="71"/>
  <c r="C190" i="71"/>
  <c r="C189" i="71"/>
  <c r="C188" i="71"/>
  <c r="C187" i="71"/>
  <c r="C186" i="71"/>
  <c r="C185" i="71"/>
  <c r="C184" i="71"/>
  <c r="C183" i="71"/>
  <c r="C182" i="71"/>
  <c r="C181" i="71"/>
  <c r="C180" i="71"/>
  <c r="C179" i="71"/>
  <c r="C178" i="71"/>
  <c r="C177" i="71"/>
  <c r="C176" i="71"/>
  <c r="C175" i="71"/>
  <c r="C174" i="71"/>
  <c r="C173" i="71"/>
  <c r="C172" i="71"/>
  <c r="C171" i="71"/>
  <c r="C170" i="71"/>
  <c r="C169" i="71"/>
  <c r="C168" i="71"/>
  <c r="C167" i="71"/>
  <c r="C166" i="71"/>
  <c r="C165" i="71"/>
  <c r="C164" i="71"/>
  <c r="C163" i="71"/>
  <c r="C162" i="71"/>
  <c r="C161" i="71"/>
  <c r="C160" i="71"/>
  <c r="C159" i="71"/>
  <c r="C158" i="71"/>
  <c r="C157" i="71"/>
  <c r="C156" i="71"/>
  <c r="C155" i="71"/>
  <c r="C154" i="71"/>
  <c r="C153" i="71"/>
  <c r="C152" i="71"/>
  <c r="C151" i="71"/>
  <c r="C150" i="71"/>
  <c r="C149" i="71"/>
  <c r="C148" i="71"/>
  <c r="C147" i="71"/>
  <c r="C146" i="71"/>
  <c r="C145" i="71"/>
  <c r="C144" i="71"/>
  <c r="C143" i="71"/>
  <c r="C142" i="71"/>
  <c r="C141" i="71"/>
  <c r="C140" i="71"/>
  <c r="C139" i="71"/>
  <c r="C138" i="71"/>
  <c r="C137" i="71"/>
  <c r="C136" i="71"/>
  <c r="C135" i="71"/>
  <c r="C134" i="71"/>
  <c r="C133" i="71"/>
  <c r="C132" i="71"/>
  <c r="C131" i="71"/>
  <c r="C130" i="71"/>
  <c r="C129" i="71"/>
  <c r="C128" i="71"/>
  <c r="C127" i="71"/>
  <c r="C126" i="71"/>
  <c r="C125" i="71"/>
  <c r="C124" i="71"/>
  <c r="C123" i="71"/>
  <c r="C122" i="71"/>
  <c r="C121" i="71"/>
  <c r="C120" i="71"/>
  <c r="C119" i="71"/>
  <c r="C118" i="71"/>
  <c r="C117" i="71"/>
  <c r="C116" i="71"/>
  <c r="C115" i="71"/>
  <c r="C114" i="71"/>
  <c r="C113" i="71"/>
  <c r="C112" i="71"/>
  <c r="C111" i="71"/>
  <c r="C110" i="71"/>
  <c r="C109" i="71"/>
  <c r="C108" i="71"/>
  <c r="C107" i="71"/>
  <c r="C106" i="71"/>
  <c r="C105" i="71"/>
  <c r="C104" i="71"/>
  <c r="C103" i="71"/>
  <c r="C102" i="71"/>
  <c r="C101" i="71"/>
  <c r="C100" i="71"/>
  <c r="C99" i="71"/>
  <c r="C98" i="71"/>
  <c r="C97" i="71"/>
  <c r="C96" i="71"/>
  <c r="C95" i="71"/>
  <c r="C94" i="71"/>
  <c r="C93" i="71"/>
  <c r="C92" i="71"/>
  <c r="C91" i="71"/>
  <c r="C90" i="71"/>
  <c r="C89" i="71"/>
  <c r="C88" i="71"/>
  <c r="C87" i="71"/>
  <c r="C86" i="71"/>
  <c r="C85" i="71"/>
  <c r="C84" i="71"/>
  <c r="C83" i="71"/>
  <c r="C82" i="71"/>
  <c r="C81" i="71"/>
  <c r="C80" i="71"/>
  <c r="C79" i="71"/>
  <c r="C78" i="71"/>
  <c r="C77" i="71"/>
  <c r="C76" i="71"/>
  <c r="C75" i="71"/>
  <c r="C74" i="71"/>
  <c r="C73" i="71"/>
  <c r="C72" i="71"/>
  <c r="C71" i="71"/>
  <c r="C70" i="71"/>
  <c r="C69" i="71"/>
  <c r="C68" i="71"/>
  <c r="C67" i="71"/>
  <c r="C66" i="71"/>
  <c r="C65" i="71"/>
  <c r="C64" i="71"/>
  <c r="C63" i="71"/>
  <c r="C62" i="71"/>
  <c r="C61" i="71"/>
  <c r="C60" i="71"/>
  <c r="C59" i="71"/>
  <c r="C58" i="71"/>
  <c r="C57" i="71"/>
  <c r="C56" i="71"/>
  <c r="C55" i="71"/>
  <c r="C54" i="71"/>
  <c r="C53" i="71"/>
  <c r="C52" i="71"/>
  <c r="C51" i="71"/>
  <c r="C50" i="71"/>
  <c r="C49" i="71"/>
  <c r="C48" i="71"/>
  <c r="C47" i="71"/>
  <c r="C46" i="71"/>
  <c r="C45" i="71"/>
  <c r="C44" i="71"/>
  <c r="C43" i="71"/>
  <c r="C42" i="71"/>
  <c r="C41" i="71"/>
  <c r="C40" i="71"/>
  <c r="C39" i="71"/>
  <c r="C38" i="71"/>
  <c r="C37" i="71"/>
  <c r="C36" i="71"/>
  <c r="C35" i="71"/>
  <c r="C34" i="71"/>
  <c r="C33" i="71"/>
  <c r="C32" i="71"/>
  <c r="C31" i="71"/>
  <c r="C30" i="71"/>
  <c r="C29" i="71"/>
  <c r="C28" i="71"/>
  <c r="C27" i="71"/>
  <c r="C26" i="71"/>
  <c r="C25" i="71"/>
  <c r="C24" i="71"/>
  <c r="C23" i="71"/>
  <c r="C22" i="71"/>
  <c r="C21" i="71"/>
  <c r="C20" i="71"/>
  <c r="C19" i="71"/>
  <c r="C18" i="71"/>
  <c r="C17" i="71"/>
  <c r="C16" i="71"/>
  <c r="C15" i="71"/>
  <c r="C14" i="71"/>
  <c r="C13" i="71"/>
  <c r="C12" i="71"/>
  <c r="C11" i="71"/>
  <c r="C10" i="71"/>
  <c r="C9" i="71"/>
  <c r="C8" i="71"/>
  <c r="C7" i="71"/>
  <c r="C6" i="71"/>
  <c r="C5" i="71"/>
  <c r="C4" i="71"/>
  <c r="C3" i="71"/>
  <c r="C2" i="71"/>
  <c r="C237" i="68"/>
  <c r="C236" i="68"/>
  <c r="C235" i="68"/>
  <c r="C234" i="68"/>
  <c r="C233" i="68"/>
  <c r="C232" i="68"/>
  <c r="C231" i="68"/>
  <c r="C230" i="68"/>
  <c r="C229" i="68"/>
  <c r="C228" i="68"/>
  <c r="C227" i="68"/>
  <c r="C226" i="68"/>
  <c r="C225" i="68"/>
  <c r="C224" i="68"/>
  <c r="C223" i="68"/>
  <c r="C222" i="68"/>
  <c r="C221" i="68"/>
  <c r="C220" i="68"/>
  <c r="C219" i="68"/>
  <c r="C218" i="68"/>
  <c r="C217" i="68"/>
  <c r="C216" i="68"/>
  <c r="C215" i="68"/>
  <c r="C214" i="68"/>
  <c r="C213" i="68"/>
  <c r="C212" i="68"/>
  <c r="C211" i="68"/>
  <c r="C210" i="68"/>
  <c r="C209" i="68"/>
  <c r="C208" i="68"/>
  <c r="C207" i="68"/>
  <c r="C206" i="68"/>
  <c r="C205" i="68"/>
  <c r="C204" i="68"/>
  <c r="C203" i="68"/>
  <c r="C202" i="68"/>
  <c r="C201" i="68"/>
  <c r="C200" i="68"/>
  <c r="C199" i="68"/>
  <c r="C198" i="68"/>
  <c r="C197" i="68"/>
  <c r="C196" i="68"/>
  <c r="C195" i="68"/>
  <c r="C194" i="68"/>
  <c r="C193" i="68"/>
  <c r="C192" i="68"/>
  <c r="C191" i="68"/>
  <c r="C190" i="68"/>
  <c r="C189" i="68"/>
  <c r="C188" i="68"/>
  <c r="C187" i="68"/>
  <c r="C186" i="68"/>
  <c r="C185" i="68"/>
  <c r="C184" i="68"/>
  <c r="C183" i="68"/>
  <c r="C182" i="68"/>
  <c r="C181" i="68"/>
  <c r="C180" i="68"/>
  <c r="C179" i="68"/>
  <c r="C178" i="68"/>
  <c r="C177" i="68"/>
  <c r="C176" i="68"/>
  <c r="C175" i="68"/>
  <c r="C174" i="68"/>
  <c r="C173" i="68"/>
  <c r="C172" i="68"/>
  <c r="C171" i="68"/>
  <c r="C170" i="68"/>
  <c r="C169" i="68"/>
  <c r="C168" i="68"/>
  <c r="C167" i="68"/>
  <c r="C166" i="68"/>
  <c r="C165" i="68"/>
  <c r="C164" i="68"/>
  <c r="C163" i="68"/>
  <c r="C162" i="68"/>
  <c r="C161" i="68"/>
  <c r="C160" i="68"/>
  <c r="C159" i="68"/>
  <c r="C158" i="68"/>
  <c r="C157" i="68"/>
  <c r="C156" i="68"/>
  <c r="C155" i="68"/>
  <c r="C154" i="68"/>
  <c r="C153" i="68"/>
  <c r="C152" i="68"/>
  <c r="C151" i="68"/>
  <c r="C150" i="68"/>
  <c r="C149" i="68"/>
  <c r="C148" i="68"/>
  <c r="C147" i="68"/>
  <c r="C146" i="68"/>
  <c r="C145" i="68"/>
  <c r="C144" i="68"/>
  <c r="C143" i="68"/>
  <c r="C142" i="68"/>
  <c r="C141" i="68"/>
  <c r="C140" i="68"/>
  <c r="C139" i="68"/>
  <c r="C138" i="68"/>
  <c r="C137" i="68"/>
  <c r="C136" i="68"/>
  <c r="C135" i="68"/>
  <c r="C134" i="68"/>
  <c r="C133" i="68"/>
  <c r="C132" i="68"/>
  <c r="C131" i="68"/>
  <c r="C130" i="68"/>
  <c r="C129" i="68"/>
  <c r="C128" i="68"/>
  <c r="C127" i="68"/>
  <c r="C126" i="68"/>
  <c r="C125" i="68"/>
  <c r="C124" i="68"/>
  <c r="C123" i="68"/>
  <c r="C122" i="68"/>
  <c r="C121" i="68"/>
  <c r="C120" i="68"/>
  <c r="C119" i="68"/>
  <c r="C118" i="68"/>
  <c r="C117" i="68"/>
  <c r="C116" i="68"/>
  <c r="C115" i="68"/>
  <c r="C114" i="68"/>
  <c r="C113" i="68"/>
  <c r="C112" i="68"/>
  <c r="C111" i="68"/>
  <c r="C110" i="68"/>
  <c r="C109" i="68"/>
  <c r="C108" i="68"/>
  <c r="C107" i="68"/>
  <c r="C106" i="68"/>
  <c r="C105" i="68"/>
  <c r="C104" i="68"/>
  <c r="C103" i="68"/>
  <c r="C102" i="68"/>
  <c r="C101" i="68"/>
  <c r="C100" i="68"/>
  <c r="C99" i="68"/>
  <c r="C98" i="68"/>
  <c r="C97" i="68"/>
  <c r="C96" i="68"/>
  <c r="C95" i="68"/>
  <c r="C94" i="68"/>
  <c r="C93" i="68"/>
  <c r="C92" i="68"/>
  <c r="C91" i="68"/>
  <c r="C90" i="68"/>
  <c r="C89" i="68"/>
  <c r="C88" i="68"/>
  <c r="C87" i="68"/>
  <c r="C86" i="68"/>
  <c r="C85" i="68"/>
  <c r="C84" i="68"/>
  <c r="C83" i="68"/>
  <c r="C82" i="68"/>
  <c r="C81" i="68"/>
  <c r="C80" i="68"/>
  <c r="C79" i="68"/>
  <c r="C78" i="68"/>
  <c r="C77" i="68"/>
  <c r="C76" i="68"/>
  <c r="C75" i="68"/>
  <c r="C74" i="68"/>
  <c r="C73" i="68"/>
  <c r="C72" i="68"/>
  <c r="C71" i="68"/>
  <c r="C70" i="68"/>
  <c r="C69" i="68"/>
  <c r="C68" i="68"/>
  <c r="C67" i="68"/>
  <c r="C66" i="68"/>
  <c r="C65" i="68"/>
  <c r="C64" i="68"/>
  <c r="C63" i="68"/>
  <c r="C62" i="68"/>
  <c r="C61" i="68"/>
  <c r="C60" i="68"/>
  <c r="C59" i="68"/>
  <c r="C58" i="68"/>
  <c r="C57" i="68"/>
  <c r="C56" i="68"/>
  <c r="C55" i="68"/>
  <c r="C54" i="68"/>
  <c r="C53" i="68"/>
  <c r="C52" i="68"/>
  <c r="C51" i="68"/>
  <c r="C50" i="68"/>
  <c r="C49" i="68"/>
  <c r="C48" i="68"/>
  <c r="C47" i="68"/>
  <c r="C46" i="68"/>
  <c r="C45" i="68"/>
  <c r="C44" i="68"/>
  <c r="C43" i="68"/>
  <c r="C42" i="68"/>
  <c r="C41" i="68"/>
  <c r="C40" i="68"/>
  <c r="C39" i="68"/>
  <c r="C38" i="68"/>
  <c r="C37" i="68"/>
  <c r="C36" i="68"/>
  <c r="C35" i="68"/>
  <c r="C34" i="68"/>
  <c r="C33" i="68"/>
  <c r="C32" i="68"/>
  <c r="C31" i="68"/>
  <c r="C30" i="68"/>
  <c r="C29" i="68"/>
  <c r="C28" i="68"/>
  <c r="C27" i="68"/>
  <c r="C26" i="68"/>
  <c r="C25" i="68"/>
  <c r="C24" i="68"/>
  <c r="C23" i="68"/>
  <c r="C22" i="68"/>
  <c r="C21" i="68"/>
  <c r="C20" i="68"/>
  <c r="C19" i="68"/>
  <c r="C18" i="68"/>
  <c r="C17" i="68"/>
  <c r="C16" i="68"/>
  <c r="C15" i="68"/>
  <c r="C14" i="68"/>
  <c r="C13" i="68"/>
  <c r="C12" i="68"/>
  <c r="C11" i="68"/>
  <c r="C10" i="68"/>
  <c r="C9" i="68"/>
  <c r="C8" i="68"/>
  <c r="C7" i="68"/>
  <c r="C6" i="68"/>
  <c r="C5" i="68"/>
  <c r="C4" i="68"/>
  <c r="C3" i="68"/>
  <c r="C2" i="68"/>
  <c r="C237" i="67"/>
  <c r="C236" i="67"/>
  <c r="C235" i="67"/>
  <c r="C234" i="67"/>
  <c r="C233" i="67"/>
  <c r="C232" i="67"/>
  <c r="C231" i="67"/>
  <c r="C230" i="67"/>
  <c r="C229" i="67"/>
  <c r="C228" i="67"/>
  <c r="C227" i="67"/>
  <c r="C226" i="67"/>
  <c r="C225" i="67"/>
  <c r="C224" i="67"/>
  <c r="C223" i="67"/>
  <c r="C222" i="67"/>
  <c r="C221" i="67"/>
  <c r="C220" i="67"/>
  <c r="C219" i="67"/>
  <c r="C218" i="67"/>
  <c r="C217" i="67"/>
  <c r="C216" i="67"/>
  <c r="C215" i="67"/>
  <c r="C214" i="67"/>
  <c r="C213" i="67"/>
  <c r="C212" i="67"/>
  <c r="C211" i="67"/>
  <c r="C210" i="67"/>
  <c r="C209" i="67"/>
  <c r="C208" i="67"/>
  <c r="C207" i="67"/>
  <c r="C206" i="67"/>
  <c r="C205" i="67"/>
  <c r="C204" i="67"/>
  <c r="C203" i="67"/>
  <c r="C202" i="67"/>
  <c r="C201" i="67"/>
  <c r="C200" i="67"/>
  <c r="C199" i="67"/>
  <c r="C198" i="67"/>
  <c r="C197" i="67"/>
  <c r="C196" i="67"/>
  <c r="C195" i="67"/>
  <c r="C194" i="67"/>
  <c r="C193" i="67"/>
  <c r="C192" i="67"/>
  <c r="C191" i="67"/>
  <c r="C190" i="67"/>
  <c r="C189" i="67"/>
  <c r="C188" i="67"/>
  <c r="C187" i="67"/>
  <c r="C186" i="67"/>
  <c r="C185" i="67"/>
  <c r="C184" i="67"/>
  <c r="C183" i="67"/>
  <c r="C182" i="67"/>
  <c r="C181" i="67"/>
  <c r="C180" i="67"/>
  <c r="C179" i="67"/>
  <c r="C178" i="67"/>
  <c r="C177" i="67"/>
  <c r="C176" i="67"/>
  <c r="C175" i="67"/>
  <c r="C174" i="67"/>
  <c r="C173" i="67"/>
  <c r="C172" i="67"/>
  <c r="C171" i="67"/>
  <c r="C170" i="67"/>
  <c r="C169" i="67"/>
  <c r="C168" i="67"/>
  <c r="C167" i="67"/>
  <c r="C166" i="67"/>
  <c r="C165" i="67"/>
  <c r="C164" i="67"/>
  <c r="C163" i="67"/>
  <c r="C162" i="67"/>
  <c r="C161" i="67"/>
  <c r="C160" i="67"/>
  <c r="C159" i="67"/>
  <c r="C158" i="67"/>
  <c r="C157" i="67"/>
  <c r="C156" i="67"/>
  <c r="C155" i="67"/>
  <c r="C154" i="67"/>
  <c r="C153" i="67"/>
  <c r="C152" i="67"/>
  <c r="C151" i="67"/>
  <c r="C150" i="67"/>
  <c r="C149" i="67"/>
  <c r="C148" i="67"/>
  <c r="C147" i="67"/>
  <c r="C146" i="67"/>
  <c r="C145" i="67"/>
  <c r="C144" i="67"/>
  <c r="C143" i="67"/>
  <c r="C142" i="67"/>
  <c r="C141" i="67"/>
  <c r="C140" i="67"/>
  <c r="C139" i="67"/>
  <c r="C138" i="67"/>
  <c r="C137" i="67"/>
  <c r="C136" i="67"/>
  <c r="C135" i="67"/>
  <c r="C134" i="67"/>
  <c r="C133" i="67"/>
  <c r="C132" i="67"/>
  <c r="C131" i="67"/>
  <c r="C130" i="67"/>
  <c r="C129" i="67"/>
  <c r="C128" i="67"/>
  <c r="C127" i="67"/>
  <c r="C126" i="67"/>
  <c r="C125" i="67"/>
  <c r="C124" i="67"/>
  <c r="C123" i="67"/>
  <c r="C122" i="67"/>
  <c r="C121" i="67"/>
  <c r="C120" i="67"/>
  <c r="C119" i="67"/>
  <c r="C118" i="67"/>
  <c r="C117" i="67"/>
  <c r="C116" i="67"/>
  <c r="C115" i="67"/>
  <c r="C114" i="67"/>
  <c r="C113" i="67"/>
  <c r="C112" i="67"/>
  <c r="C111" i="67"/>
  <c r="C110" i="67"/>
  <c r="C109" i="67"/>
  <c r="C108" i="67"/>
  <c r="C107" i="67"/>
  <c r="C106" i="67"/>
  <c r="C105" i="67"/>
  <c r="C104" i="67"/>
  <c r="C103" i="67"/>
  <c r="C102" i="67"/>
  <c r="C101" i="67"/>
  <c r="C100" i="67"/>
  <c r="C99" i="67"/>
  <c r="C98" i="67"/>
  <c r="C97" i="67"/>
  <c r="C96" i="67"/>
  <c r="C95" i="67"/>
  <c r="C94" i="67"/>
  <c r="C93" i="67"/>
  <c r="C92" i="67"/>
  <c r="C91" i="67"/>
  <c r="C90" i="67"/>
  <c r="C89" i="67"/>
  <c r="C88" i="67"/>
  <c r="C87" i="67"/>
  <c r="C86" i="67"/>
  <c r="C85" i="67"/>
  <c r="C84" i="67"/>
  <c r="C83" i="67"/>
  <c r="C82" i="67"/>
  <c r="C81" i="67"/>
  <c r="C80" i="67"/>
  <c r="C79" i="67"/>
  <c r="C78" i="67"/>
  <c r="C77" i="67"/>
  <c r="C76" i="67"/>
  <c r="C75" i="67"/>
  <c r="C74" i="67"/>
  <c r="C73" i="67"/>
  <c r="C72" i="67"/>
  <c r="C71" i="67"/>
  <c r="C70" i="67"/>
  <c r="C69" i="67"/>
  <c r="C68" i="67"/>
  <c r="C67" i="67"/>
  <c r="C66" i="67"/>
  <c r="C65" i="67"/>
  <c r="C64" i="67"/>
  <c r="C63" i="67"/>
  <c r="C62" i="67"/>
  <c r="C61" i="67"/>
  <c r="C60" i="67"/>
  <c r="C59" i="67"/>
  <c r="C58" i="67"/>
  <c r="C57" i="67"/>
  <c r="C56" i="67"/>
  <c r="C55" i="67"/>
  <c r="C54" i="67"/>
  <c r="C53" i="67"/>
  <c r="C52" i="67"/>
  <c r="C51" i="67"/>
  <c r="C50" i="67"/>
  <c r="C49" i="67"/>
  <c r="C48" i="67"/>
  <c r="C47" i="67"/>
  <c r="C46" i="67"/>
  <c r="C45" i="67"/>
  <c r="C44" i="67"/>
  <c r="C43" i="67"/>
  <c r="C42" i="67"/>
  <c r="C41" i="67"/>
  <c r="C40" i="67"/>
  <c r="C39" i="67"/>
  <c r="C38" i="67"/>
  <c r="C37" i="67"/>
  <c r="C36" i="67"/>
  <c r="C35" i="67"/>
  <c r="C34" i="67"/>
  <c r="C33" i="67"/>
  <c r="C32" i="67"/>
  <c r="C31" i="67"/>
  <c r="C30" i="67"/>
  <c r="C29" i="67"/>
  <c r="C28" i="67"/>
  <c r="C27" i="67"/>
  <c r="C26" i="67"/>
  <c r="C25" i="67"/>
  <c r="C24" i="67"/>
  <c r="C23" i="67"/>
  <c r="C22" i="67"/>
  <c r="C21" i="67"/>
  <c r="C20" i="67"/>
  <c r="C19" i="67"/>
  <c r="C18" i="67"/>
  <c r="C17" i="67"/>
  <c r="C16" i="67"/>
  <c r="C15" i="67"/>
  <c r="C14" i="67"/>
  <c r="C13" i="67"/>
  <c r="C12" i="67"/>
  <c r="C11" i="67"/>
  <c r="C10" i="67"/>
  <c r="C9" i="67"/>
  <c r="C8" i="67"/>
  <c r="C7" i="67"/>
  <c r="C6" i="67"/>
  <c r="C5" i="67"/>
  <c r="C4" i="67"/>
  <c r="C3" i="67"/>
  <c r="C2" i="67"/>
  <c r="C161" i="70"/>
  <c r="C160" i="70"/>
  <c r="C159" i="70"/>
  <c r="C158" i="70"/>
  <c r="C157" i="70"/>
  <c r="C156" i="70"/>
  <c r="C155" i="70"/>
  <c r="C154" i="70"/>
  <c r="C153" i="70"/>
  <c r="C152" i="70"/>
  <c r="C151" i="70"/>
  <c r="C150" i="70"/>
  <c r="C149" i="70"/>
  <c r="C148" i="70"/>
  <c r="C147" i="70"/>
  <c r="C146" i="70"/>
  <c r="C145" i="70"/>
  <c r="C144" i="70"/>
  <c r="C143" i="70"/>
  <c r="C142" i="70"/>
  <c r="C141" i="70"/>
  <c r="C140" i="70"/>
  <c r="C139" i="70"/>
  <c r="C138" i="70"/>
  <c r="C137" i="70"/>
  <c r="C136" i="70"/>
  <c r="C135" i="70"/>
  <c r="C134" i="70"/>
  <c r="C133" i="70"/>
  <c r="C132" i="70"/>
  <c r="C131" i="70"/>
  <c r="C130" i="70"/>
  <c r="C129" i="70"/>
  <c r="C128" i="70"/>
  <c r="C127" i="70"/>
  <c r="C126" i="70"/>
  <c r="C125" i="70"/>
  <c r="C124" i="70"/>
  <c r="C123" i="70"/>
  <c r="C122" i="70"/>
  <c r="C121" i="70"/>
  <c r="C120" i="70"/>
  <c r="C119" i="70"/>
  <c r="C118" i="70"/>
  <c r="C117" i="70"/>
  <c r="C116" i="70"/>
  <c r="C115" i="70"/>
  <c r="C114" i="70"/>
  <c r="C113" i="70"/>
  <c r="C112" i="70"/>
  <c r="C111" i="70"/>
  <c r="C110" i="70"/>
  <c r="C109" i="70"/>
  <c r="C108" i="70"/>
  <c r="C107" i="70"/>
  <c r="C106" i="70"/>
  <c r="C105" i="70"/>
  <c r="C104" i="70"/>
  <c r="C103" i="70"/>
  <c r="C102" i="70"/>
  <c r="C101" i="70"/>
  <c r="C100" i="70"/>
  <c r="C99" i="70"/>
  <c r="C98" i="70"/>
  <c r="C97" i="70"/>
  <c r="C96" i="70"/>
  <c r="C95" i="70"/>
  <c r="C94" i="70"/>
  <c r="C93" i="70"/>
  <c r="C92" i="70"/>
  <c r="C91" i="70"/>
  <c r="C90" i="70"/>
  <c r="C89" i="70"/>
  <c r="C88" i="70"/>
  <c r="C87" i="70"/>
  <c r="C86" i="70"/>
  <c r="C85" i="70"/>
  <c r="C84" i="70"/>
  <c r="C83" i="70"/>
  <c r="C82" i="70"/>
  <c r="C81" i="70"/>
  <c r="C80" i="70"/>
  <c r="C79" i="70"/>
  <c r="C78" i="70"/>
  <c r="C77" i="70"/>
  <c r="C76" i="70"/>
  <c r="C75" i="70"/>
  <c r="C74" i="70"/>
  <c r="C73" i="70"/>
  <c r="C72" i="70"/>
  <c r="C71" i="70"/>
  <c r="C70" i="70"/>
  <c r="C69" i="70"/>
  <c r="C68" i="70"/>
  <c r="C67" i="70"/>
  <c r="C66" i="70"/>
  <c r="C65" i="70"/>
  <c r="C64" i="70"/>
  <c r="C63" i="70"/>
  <c r="C62" i="70"/>
  <c r="C61" i="70"/>
  <c r="C60" i="70"/>
  <c r="C59" i="70"/>
  <c r="C58" i="70"/>
  <c r="C57" i="70"/>
  <c r="C56" i="70"/>
  <c r="C55" i="70"/>
  <c r="C54" i="70"/>
  <c r="C53" i="70"/>
  <c r="C52" i="70"/>
  <c r="C51" i="70"/>
  <c r="C50" i="70"/>
  <c r="C49" i="70"/>
  <c r="C48" i="70"/>
  <c r="C47" i="70"/>
  <c r="C46" i="70"/>
  <c r="C45" i="70"/>
  <c r="C44" i="70"/>
  <c r="C43" i="70"/>
  <c r="C42" i="70"/>
  <c r="C41" i="70"/>
  <c r="C40" i="70"/>
  <c r="C39" i="70"/>
  <c r="C38" i="70"/>
  <c r="C37" i="70"/>
  <c r="C36" i="70"/>
  <c r="C35" i="70"/>
  <c r="C34" i="70"/>
  <c r="C33" i="70"/>
  <c r="C32" i="70"/>
  <c r="C31" i="70"/>
  <c r="C30" i="70"/>
  <c r="C29" i="70"/>
  <c r="C28" i="70"/>
  <c r="C27" i="70"/>
  <c r="C26" i="70"/>
  <c r="C25" i="70"/>
  <c r="C24" i="70"/>
  <c r="C23" i="70"/>
  <c r="C22" i="70"/>
  <c r="C21" i="70"/>
  <c r="C20" i="70"/>
  <c r="C19" i="70"/>
  <c r="C18" i="70"/>
  <c r="C17" i="70"/>
  <c r="C16" i="70"/>
  <c r="C15" i="70"/>
  <c r="C14" i="70"/>
  <c r="C13" i="70"/>
  <c r="C12" i="70"/>
  <c r="C11" i="70"/>
  <c r="C10" i="70"/>
  <c r="C9" i="70"/>
  <c r="C8" i="70"/>
  <c r="C7" i="70"/>
  <c r="C6" i="70"/>
  <c r="C5" i="70"/>
  <c r="C4" i="70"/>
  <c r="C3" i="70"/>
  <c r="C2" i="70"/>
  <c r="C161" i="69"/>
  <c r="C160" i="69"/>
  <c r="C159" i="69"/>
  <c r="C158" i="69"/>
  <c r="C157" i="69"/>
  <c r="C156" i="69"/>
  <c r="C155" i="69"/>
  <c r="C154" i="69"/>
  <c r="C153" i="69"/>
  <c r="C152" i="69"/>
  <c r="C151" i="69"/>
  <c r="C150" i="69"/>
  <c r="C149" i="69"/>
  <c r="C148" i="69"/>
  <c r="C147" i="69"/>
  <c r="C146" i="69"/>
  <c r="C145" i="69"/>
  <c r="C144" i="69"/>
  <c r="C143" i="69"/>
  <c r="C142" i="69"/>
  <c r="C141" i="69"/>
  <c r="C140" i="69"/>
  <c r="C139" i="69"/>
  <c r="C138" i="69"/>
  <c r="C137" i="69"/>
  <c r="C136" i="69"/>
  <c r="C135" i="69"/>
  <c r="C134" i="69"/>
  <c r="C133" i="69"/>
  <c r="C132" i="69"/>
  <c r="C131" i="69"/>
  <c r="C130" i="69"/>
  <c r="C129" i="69"/>
  <c r="C128" i="69"/>
  <c r="C127" i="69"/>
  <c r="C126" i="69"/>
  <c r="C125" i="69"/>
  <c r="C124" i="69"/>
  <c r="C123" i="69"/>
  <c r="C122" i="69"/>
  <c r="C121" i="69"/>
  <c r="C120" i="69"/>
  <c r="C119" i="69"/>
  <c r="C118" i="69"/>
  <c r="C117" i="69"/>
  <c r="C116" i="69"/>
  <c r="C115" i="69"/>
  <c r="C114" i="69"/>
  <c r="C113" i="69"/>
  <c r="C112" i="69"/>
  <c r="C111" i="69"/>
  <c r="C110" i="69"/>
  <c r="C109" i="69"/>
  <c r="C108" i="69"/>
  <c r="C107" i="69"/>
  <c r="C106" i="69"/>
  <c r="C105" i="69"/>
  <c r="C104" i="69"/>
  <c r="C103" i="69"/>
  <c r="C102" i="69"/>
  <c r="C101" i="69"/>
  <c r="C100" i="69"/>
  <c r="C99" i="69"/>
  <c r="C98" i="69"/>
  <c r="C97" i="69"/>
  <c r="C96" i="69"/>
  <c r="C95" i="69"/>
  <c r="C94" i="69"/>
  <c r="C93" i="69"/>
  <c r="C92" i="69"/>
  <c r="C91" i="69"/>
  <c r="C90" i="69"/>
  <c r="C89" i="69"/>
  <c r="C88" i="69"/>
  <c r="C87" i="69"/>
  <c r="C86" i="69"/>
  <c r="C85" i="69"/>
  <c r="C84" i="69"/>
  <c r="C83" i="69"/>
  <c r="C82" i="69"/>
  <c r="C81" i="69"/>
  <c r="C80" i="69"/>
  <c r="C79" i="69"/>
  <c r="C78" i="69"/>
  <c r="C77" i="69"/>
  <c r="C76" i="69"/>
  <c r="C75" i="69"/>
  <c r="C74" i="69"/>
  <c r="C73" i="69"/>
  <c r="C72" i="69"/>
  <c r="C71" i="69"/>
  <c r="C70" i="69"/>
  <c r="C69" i="69"/>
  <c r="C68" i="69"/>
  <c r="C67" i="69"/>
  <c r="C66" i="69"/>
  <c r="C65" i="69"/>
  <c r="C64" i="69"/>
  <c r="C63" i="69"/>
  <c r="C62" i="69"/>
  <c r="C61" i="69"/>
  <c r="C60" i="69"/>
  <c r="C59" i="69"/>
  <c r="C58" i="69"/>
  <c r="C57" i="69"/>
  <c r="C56" i="69"/>
  <c r="C55" i="69"/>
  <c r="C54" i="69"/>
  <c r="C53" i="69"/>
  <c r="C52" i="69"/>
  <c r="C51" i="69"/>
  <c r="C50" i="69"/>
  <c r="C49" i="69"/>
  <c r="C48" i="69"/>
  <c r="C47" i="69"/>
  <c r="C46" i="69"/>
  <c r="C45" i="69"/>
  <c r="C44" i="69"/>
  <c r="C43" i="69"/>
  <c r="C42" i="69"/>
  <c r="C41" i="69"/>
  <c r="C40" i="69"/>
  <c r="C39" i="69"/>
  <c r="C38" i="69"/>
  <c r="C37" i="69"/>
  <c r="C36" i="69"/>
  <c r="C35" i="69"/>
  <c r="C34" i="69"/>
  <c r="C33" i="69"/>
  <c r="C32" i="69"/>
  <c r="C31" i="69"/>
  <c r="C30" i="69"/>
  <c r="C29" i="69"/>
  <c r="C28" i="69"/>
  <c r="C27" i="69"/>
  <c r="C26" i="69"/>
  <c r="C25" i="69"/>
  <c r="C24" i="69"/>
  <c r="C23" i="69"/>
  <c r="C22" i="69"/>
  <c r="C21" i="69"/>
  <c r="C20" i="69"/>
  <c r="C19" i="69"/>
  <c r="C18" i="69"/>
  <c r="C17" i="69"/>
  <c r="C16" i="69"/>
  <c r="C15" i="69"/>
  <c r="C14" i="69"/>
  <c r="C13" i="69"/>
  <c r="C12" i="69"/>
  <c r="C11" i="69"/>
  <c r="C10" i="69"/>
  <c r="C9" i="69"/>
  <c r="C8" i="69"/>
  <c r="C7" i="69"/>
  <c r="C6" i="69"/>
  <c r="C5" i="69"/>
  <c r="C4" i="69"/>
  <c r="C3" i="69"/>
  <c r="C2" i="69"/>
  <c r="C161" i="66"/>
  <c r="C160" i="66"/>
  <c r="C159" i="66"/>
  <c r="C158" i="66"/>
  <c r="C157" i="66"/>
  <c r="C156" i="66"/>
  <c r="C155" i="66"/>
  <c r="C154" i="66"/>
  <c r="C153" i="66"/>
  <c r="C152" i="66"/>
  <c r="C151" i="66"/>
  <c r="C150" i="66"/>
  <c r="C149" i="66"/>
  <c r="C148" i="66"/>
  <c r="C147" i="66"/>
  <c r="C146" i="66"/>
  <c r="C145" i="66"/>
  <c r="C144" i="66"/>
  <c r="C143" i="66"/>
  <c r="C142" i="66"/>
  <c r="C141" i="66"/>
  <c r="C140" i="66"/>
  <c r="C139" i="66"/>
  <c r="C138" i="66"/>
  <c r="C137" i="66"/>
  <c r="C136" i="66"/>
  <c r="C135" i="66"/>
  <c r="C134" i="66"/>
  <c r="C133" i="66"/>
  <c r="C132" i="66"/>
  <c r="C131" i="66"/>
  <c r="C130" i="66"/>
  <c r="C129" i="66"/>
  <c r="C128" i="66"/>
  <c r="C127" i="66"/>
  <c r="C126" i="66"/>
  <c r="C125" i="66"/>
  <c r="C124" i="66"/>
  <c r="C123" i="66"/>
  <c r="C122" i="66"/>
  <c r="C121" i="66"/>
  <c r="C120" i="66"/>
  <c r="C119" i="66"/>
  <c r="C118" i="66"/>
  <c r="C117" i="66"/>
  <c r="C116" i="66"/>
  <c r="C115" i="66"/>
  <c r="C114" i="66"/>
  <c r="C113" i="66"/>
  <c r="C112" i="66"/>
  <c r="C111" i="66"/>
  <c r="C110" i="66"/>
  <c r="C109" i="66"/>
  <c r="C108" i="66"/>
  <c r="C107" i="66"/>
  <c r="C106" i="66"/>
  <c r="C105" i="66"/>
  <c r="C104" i="66"/>
  <c r="C103" i="66"/>
  <c r="C102" i="66"/>
  <c r="C101" i="66"/>
  <c r="C100" i="66"/>
  <c r="C99" i="66"/>
  <c r="C98" i="66"/>
  <c r="C97" i="66"/>
  <c r="C96" i="66"/>
  <c r="C95" i="66"/>
  <c r="C94" i="66"/>
  <c r="C93" i="66"/>
  <c r="C92" i="66"/>
  <c r="C91" i="66"/>
  <c r="C90" i="66"/>
  <c r="C89" i="66"/>
  <c r="C88" i="66"/>
  <c r="C87" i="66"/>
  <c r="C86" i="66"/>
  <c r="C85" i="66"/>
  <c r="C84" i="66"/>
  <c r="C83" i="66"/>
  <c r="C82" i="66"/>
  <c r="C81" i="66"/>
  <c r="C80" i="66"/>
  <c r="C79" i="66"/>
  <c r="C78" i="66"/>
  <c r="C77" i="66"/>
  <c r="C76" i="66"/>
  <c r="C75" i="66"/>
  <c r="C74" i="66"/>
  <c r="C73" i="66"/>
  <c r="C72" i="66"/>
  <c r="C71" i="66"/>
  <c r="C70" i="66"/>
  <c r="C69" i="66"/>
  <c r="C68" i="66"/>
  <c r="C67" i="66"/>
  <c r="C66" i="66"/>
  <c r="C65" i="66"/>
  <c r="C64" i="66"/>
  <c r="C63" i="66"/>
  <c r="C62" i="66"/>
  <c r="C61" i="66"/>
  <c r="C60" i="66"/>
  <c r="C59" i="66"/>
  <c r="C58" i="66"/>
  <c r="C57" i="66"/>
  <c r="C56" i="66"/>
  <c r="C55" i="66"/>
  <c r="C54" i="66"/>
  <c r="C53" i="66"/>
  <c r="C52" i="66"/>
  <c r="C51" i="66"/>
  <c r="C50" i="66"/>
  <c r="C49" i="66"/>
  <c r="C48" i="66"/>
  <c r="C47" i="66"/>
  <c r="C46" i="66"/>
  <c r="C45" i="66"/>
  <c r="C44" i="66"/>
  <c r="C43" i="66"/>
  <c r="C42" i="66"/>
  <c r="C41" i="66"/>
  <c r="C40" i="66"/>
  <c r="C39" i="66"/>
  <c r="C38" i="66"/>
  <c r="C37" i="66"/>
  <c r="C36" i="66"/>
  <c r="C35" i="66"/>
  <c r="C34" i="66"/>
  <c r="C33" i="66"/>
  <c r="C32" i="66"/>
  <c r="C31" i="66"/>
  <c r="C30" i="66"/>
  <c r="C29" i="66"/>
  <c r="C28" i="66"/>
  <c r="C27" i="66"/>
  <c r="C26" i="66"/>
  <c r="C25" i="66"/>
  <c r="C24" i="66"/>
  <c r="C23" i="66"/>
  <c r="C22" i="66"/>
  <c r="C21" i="66"/>
  <c r="C20" i="66"/>
  <c r="C19" i="66"/>
  <c r="C18" i="66"/>
  <c r="C17" i="66"/>
  <c r="C16" i="66"/>
  <c r="C15" i="66"/>
  <c r="C14" i="66"/>
  <c r="C13" i="66"/>
  <c r="C12" i="66"/>
  <c r="C11" i="66"/>
  <c r="C10" i="66"/>
  <c r="C9" i="66"/>
  <c r="C8" i="66"/>
  <c r="C7" i="66"/>
  <c r="C6" i="66"/>
  <c r="C5" i="66"/>
  <c r="C4" i="66"/>
  <c r="C3" i="66"/>
  <c r="C2" i="66"/>
  <c r="C220" i="52"/>
  <c r="C219" i="52"/>
  <c r="C218" i="52"/>
  <c r="C217" i="52"/>
  <c r="C216" i="52"/>
  <c r="C215" i="52"/>
  <c r="C214" i="52"/>
  <c r="C213" i="52"/>
  <c r="C212" i="52"/>
  <c r="C211" i="52"/>
  <c r="C210" i="52"/>
  <c r="C209" i="52"/>
  <c r="C208" i="52"/>
  <c r="C207" i="52"/>
  <c r="C206" i="52"/>
  <c r="C205" i="52"/>
  <c r="C204" i="52"/>
  <c r="C203" i="52"/>
  <c r="C202" i="52"/>
  <c r="C201" i="52"/>
  <c r="C200" i="52"/>
  <c r="C199" i="52"/>
  <c r="C198" i="52"/>
  <c r="C197" i="52"/>
  <c r="C196" i="52"/>
  <c r="C195" i="52"/>
  <c r="C194" i="52"/>
  <c r="C193" i="52"/>
  <c r="C192" i="52"/>
  <c r="C191" i="52"/>
  <c r="C190" i="52"/>
  <c r="C189" i="52"/>
  <c r="C188" i="52"/>
  <c r="C187" i="52"/>
  <c r="C186" i="52"/>
  <c r="C185" i="52"/>
  <c r="C184" i="52"/>
  <c r="C183" i="52"/>
  <c r="C182" i="52"/>
  <c r="C181" i="52"/>
  <c r="C180" i="52"/>
  <c r="C179" i="52"/>
  <c r="C178" i="52"/>
  <c r="C177" i="52"/>
  <c r="C176" i="52"/>
  <c r="C175" i="52"/>
  <c r="C174" i="52"/>
  <c r="C173" i="52"/>
  <c r="C172" i="52"/>
  <c r="C171" i="52"/>
  <c r="C170" i="52"/>
  <c r="C169" i="52"/>
  <c r="C168" i="52"/>
  <c r="C167" i="52"/>
  <c r="C166" i="52"/>
  <c r="C165" i="52"/>
  <c r="C164" i="52"/>
  <c r="C163" i="52"/>
  <c r="C162" i="52"/>
  <c r="C161" i="52"/>
  <c r="C160" i="52"/>
  <c r="C159" i="52"/>
  <c r="C158" i="52"/>
  <c r="C157" i="52"/>
  <c r="C156" i="52"/>
  <c r="C155" i="52"/>
  <c r="C154" i="52"/>
  <c r="C153" i="52"/>
  <c r="C152" i="52"/>
  <c r="C151" i="52"/>
  <c r="C150" i="52"/>
  <c r="C149" i="52"/>
  <c r="C148" i="52"/>
  <c r="C147" i="52"/>
  <c r="C146" i="52"/>
  <c r="C145" i="52"/>
  <c r="C144" i="52"/>
  <c r="C143" i="52"/>
  <c r="C142" i="52"/>
  <c r="C141" i="52"/>
  <c r="C140" i="52"/>
  <c r="C139" i="52"/>
  <c r="C138" i="52"/>
  <c r="C137" i="52"/>
  <c r="C136" i="52"/>
  <c r="C135" i="52"/>
  <c r="C134" i="52"/>
  <c r="C133" i="52"/>
  <c r="C132" i="52"/>
  <c r="C131" i="52"/>
  <c r="C130" i="52"/>
  <c r="C129" i="52"/>
  <c r="C128" i="52"/>
  <c r="C127" i="52"/>
  <c r="C126" i="52"/>
  <c r="C125" i="52"/>
  <c r="C124" i="52"/>
  <c r="C123" i="52"/>
  <c r="C122" i="52"/>
  <c r="C121" i="52"/>
  <c r="C120" i="52"/>
  <c r="C119" i="52"/>
  <c r="C118" i="52"/>
  <c r="C117" i="52"/>
  <c r="C116" i="52"/>
  <c r="C115" i="52"/>
  <c r="C114" i="52"/>
  <c r="C113" i="52"/>
  <c r="C112" i="52"/>
  <c r="C111" i="52"/>
  <c r="C110" i="52"/>
  <c r="C109" i="52"/>
  <c r="C108" i="52"/>
  <c r="C107" i="52"/>
  <c r="C106" i="52"/>
  <c r="C105" i="52"/>
  <c r="C104" i="52"/>
  <c r="C103" i="52"/>
  <c r="C102" i="52"/>
  <c r="C101" i="52"/>
  <c r="C100" i="52"/>
  <c r="C99" i="52"/>
  <c r="C98" i="52"/>
  <c r="C97" i="52"/>
  <c r="C96" i="52"/>
  <c r="C95" i="52"/>
  <c r="C94" i="52"/>
  <c r="C93" i="52"/>
  <c r="C92" i="52"/>
  <c r="C91" i="52"/>
  <c r="C90" i="52"/>
  <c r="C89" i="52"/>
  <c r="C88" i="52"/>
  <c r="C87" i="52"/>
  <c r="C86" i="52"/>
  <c r="C85" i="52"/>
  <c r="C84" i="52"/>
  <c r="C83" i="52"/>
  <c r="C82" i="52"/>
  <c r="C81" i="52"/>
  <c r="C80" i="52"/>
  <c r="C79" i="52"/>
  <c r="C78" i="52"/>
  <c r="C77" i="52"/>
  <c r="C76" i="52"/>
  <c r="C75" i="52"/>
  <c r="C74" i="52"/>
  <c r="C73" i="52"/>
  <c r="C72" i="52"/>
  <c r="C71" i="52"/>
  <c r="C70" i="52"/>
  <c r="C69" i="52"/>
  <c r="C68" i="52"/>
  <c r="C67" i="52"/>
  <c r="C66" i="52"/>
  <c r="C65" i="52"/>
  <c r="C64" i="52"/>
  <c r="C63" i="52"/>
  <c r="C62" i="52"/>
  <c r="C61" i="52"/>
  <c r="C60" i="52"/>
  <c r="C59" i="52"/>
  <c r="C58" i="52"/>
  <c r="C57" i="52"/>
  <c r="C56" i="52"/>
  <c r="C55" i="52"/>
  <c r="C54" i="52"/>
  <c r="C53" i="52"/>
  <c r="C52" i="52"/>
  <c r="C51" i="52"/>
  <c r="C50" i="52"/>
  <c r="C49" i="52"/>
  <c r="C48" i="52"/>
  <c r="C47" i="52"/>
  <c r="C46" i="52"/>
  <c r="C45" i="52"/>
  <c r="C44" i="52"/>
  <c r="C43" i="52"/>
  <c r="C42" i="52"/>
  <c r="C41" i="52"/>
  <c r="C40" i="52"/>
  <c r="C39" i="52"/>
  <c r="C38" i="52"/>
  <c r="C37" i="52"/>
  <c r="C36" i="52"/>
  <c r="C35" i="52"/>
  <c r="C34" i="52"/>
  <c r="C33" i="52"/>
  <c r="C32" i="52"/>
  <c r="C31" i="52"/>
  <c r="C30" i="52"/>
  <c r="C29" i="52"/>
  <c r="C28" i="52"/>
  <c r="C27" i="52"/>
  <c r="C26" i="52"/>
  <c r="C25" i="52"/>
  <c r="C24" i="52"/>
  <c r="C23" i="52"/>
  <c r="C22" i="52"/>
  <c r="C21" i="52"/>
  <c r="C20" i="52"/>
  <c r="C19" i="52"/>
  <c r="C18" i="52"/>
  <c r="C17" i="52"/>
  <c r="C16" i="52"/>
  <c r="C15" i="52"/>
  <c r="C14" i="52"/>
  <c r="C13" i="52"/>
  <c r="C12" i="52"/>
  <c r="C11" i="52"/>
  <c r="C10" i="52"/>
  <c r="C9" i="52"/>
  <c r="C8" i="52"/>
  <c r="C7" i="52"/>
  <c r="C6" i="52"/>
  <c r="C5" i="52"/>
  <c r="C4" i="52"/>
  <c r="C3" i="52"/>
  <c r="C2" i="52"/>
  <c r="C220" i="50"/>
  <c r="C219" i="50"/>
  <c r="C218" i="50"/>
  <c r="C217" i="50"/>
  <c r="C216" i="50"/>
  <c r="C215" i="50"/>
  <c r="C214" i="50"/>
  <c r="C213" i="50"/>
  <c r="C212" i="50"/>
  <c r="C211" i="50"/>
  <c r="C210" i="50"/>
  <c r="C209" i="50"/>
  <c r="C208" i="50"/>
  <c r="C207" i="50"/>
  <c r="C206" i="50"/>
  <c r="C205" i="50"/>
  <c r="C204" i="50"/>
  <c r="C203" i="50"/>
  <c r="C202" i="50"/>
  <c r="C201" i="50"/>
  <c r="C200" i="50"/>
  <c r="C199" i="50"/>
  <c r="C198" i="50"/>
  <c r="C197" i="50"/>
  <c r="C196" i="50"/>
  <c r="C195" i="50"/>
  <c r="C194" i="50"/>
  <c r="C193" i="50"/>
  <c r="C192" i="50"/>
  <c r="C191" i="50"/>
  <c r="C190" i="50"/>
  <c r="C189" i="50"/>
  <c r="C188" i="50"/>
  <c r="C187" i="50"/>
  <c r="C186" i="50"/>
  <c r="C185" i="50"/>
  <c r="C184" i="50"/>
  <c r="C183" i="50"/>
  <c r="C182" i="50"/>
  <c r="C181" i="50"/>
  <c r="C180" i="50"/>
  <c r="C179" i="50"/>
  <c r="C178" i="50"/>
  <c r="C177" i="50"/>
  <c r="C176" i="50"/>
  <c r="C175" i="50"/>
  <c r="C174" i="50"/>
  <c r="C173" i="50"/>
  <c r="C172" i="50"/>
  <c r="C171" i="50"/>
  <c r="C170" i="50"/>
  <c r="C169" i="50"/>
  <c r="C168" i="50"/>
  <c r="C167" i="50"/>
  <c r="C166" i="50"/>
  <c r="C165" i="50"/>
  <c r="C164" i="50"/>
  <c r="C163" i="50"/>
  <c r="C162" i="50"/>
  <c r="C161" i="50"/>
  <c r="C160" i="50"/>
  <c r="C159" i="50"/>
  <c r="C158" i="50"/>
  <c r="C157" i="50"/>
  <c r="C156" i="50"/>
  <c r="C155" i="50"/>
  <c r="C154" i="50"/>
  <c r="C153" i="50"/>
  <c r="C152" i="50"/>
  <c r="C151" i="50"/>
  <c r="C150" i="50"/>
  <c r="C149" i="50"/>
  <c r="C148" i="50"/>
  <c r="C147" i="50"/>
  <c r="C146" i="50"/>
  <c r="C145" i="50"/>
  <c r="C144" i="50"/>
  <c r="C143" i="50"/>
  <c r="C142" i="50"/>
  <c r="C141" i="50"/>
  <c r="C140" i="50"/>
  <c r="C139" i="50"/>
  <c r="C138" i="50"/>
  <c r="C137" i="50"/>
  <c r="C136" i="50"/>
  <c r="C135" i="50"/>
  <c r="C134" i="50"/>
  <c r="C133" i="50"/>
  <c r="C132" i="50"/>
  <c r="C131" i="50"/>
  <c r="C130" i="50"/>
  <c r="C129" i="50"/>
  <c r="C128" i="50"/>
  <c r="C127" i="50"/>
  <c r="C126" i="50"/>
  <c r="C125" i="50"/>
  <c r="C124" i="50"/>
  <c r="C123" i="50"/>
  <c r="C122" i="50"/>
  <c r="C121" i="50"/>
  <c r="C120" i="50"/>
  <c r="C119" i="50"/>
  <c r="C118" i="50"/>
  <c r="C117" i="50"/>
  <c r="C116" i="50"/>
  <c r="C115" i="50"/>
  <c r="C114" i="50"/>
  <c r="C113" i="50"/>
  <c r="C112" i="50"/>
  <c r="C111" i="50"/>
  <c r="C110" i="50"/>
  <c r="C109" i="50"/>
  <c r="C108" i="50"/>
  <c r="C107" i="50"/>
  <c r="C106" i="50"/>
  <c r="C105" i="50"/>
  <c r="C104" i="50"/>
  <c r="C103" i="50"/>
  <c r="C102" i="50"/>
  <c r="C101" i="50"/>
  <c r="C100" i="50"/>
  <c r="C99" i="50"/>
  <c r="C98" i="50"/>
  <c r="C97" i="50"/>
  <c r="C96" i="50"/>
  <c r="C95" i="50"/>
  <c r="C94" i="50"/>
  <c r="C93" i="50"/>
  <c r="C92" i="50"/>
  <c r="C91" i="50"/>
  <c r="C90" i="50"/>
  <c r="C89" i="50"/>
  <c r="C88" i="50"/>
  <c r="C87" i="50"/>
  <c r="C86" i="50"/>
  <c r="C85" i="50"/>
  <c r="C84" i="50"/>
  <c r="C83" i="50"/>
  <c r="C82" i="50"/>
  <c r="C81" i="50"/>
  <c r="C80" i="50"/>
  <c r="C79" i="50"/>
  <c r="C78" i="50"/>
  <c r="C77" i="50"/>
  <c r="C76" i="50"/>
  <c r="C75" i="50"/>
  <c r="C74" i="50"/>
  <c r="C73" i="50"/>
  <c r="C72" i="50"/>
  <c r="C71" i="50"/>
  <c r="C70" i="50"/>
  <c r="C69" i="50"/>
  <c r="C68" i="50"/>
  <c r="C67" i="50"/>
  <c r="C66" i="50"/>
  <c r="C65" i="50"/>
  <c r="C64" i="50"/>
  <c r="C63" i="50"/>
  <c r="C62" i="50"/>
  <c r="C61" i="50"/>
  <c r="C60" i="50"/>
  <c r="C59" i="50"/>
  <c r="C58" i="50"/>
  <c r="C57" i="50"/>
  <c r="C56" i="50"/>
  <c r="C55" i="50"/>
  <c r="C54" i="50"/>
  <c r="C53" i="50"/>
  <c r="C52" i="50"/>
  <c r="C51" i="50"/>
  <c r="C50" i="50"/>
  <c r="C49" i="50"/>
  <c r="C48" i="50"/>
  <c r="C47" i="50"/>
  <c r="C46" i="50"/>
  <c r="C45" i="50"/>
  <c r="C44" i="50"/>
  <c r="C43" i="50"/>
  <c r="C42" i="50"/>
  <c r="C41" i="50"/>
  <c r="C40" i="50"/>
  <c r="C39" i="50"/>
  <c r="C38" i="50"/>
  <c r="C37" i="50"/>
  <c r="C36" i="50"/>
  <c r="C35" i="50"/>
  <c r="C34" i="50"/>
  <c r="C33" i="50"/>
  <c r="C32" i="50"/>
  <c r="C31" i="50"/>
  <c r="C30" i="50"/>
  <c r="C29" i="50"/>
  <c r="C28" i="50"/>
  <c r="C27" i="50"/>
  <c r="C26" i="50"/>
  <c r="C25" i="50"/>
  <c r="C24" i="50"/>
  <c r="C23" i="50"/>
  <c r="C22" i="50"/>
  <c r="C21" i="50"/>
  <c r="C20" i="50"/>
  <c r="C19" i="50"/>
  <c r="C18" i="50"/>
  <c r="C17" i="50"/>
  <c r="C16" i="50"/>
  <c r="C15" i="50"/>
  <c r="C14" i="50"/>
  <c r="C13" i="50"/>
  <c r="C12" i="50"/>
  <c r="C11" i="50"/>
  <c r="C10" i="50"/>
  <c r="C9" i="50"/>
  <c r="C8" i="50"/>
  <c r="C7" i="50"/>
  <c r="C6" i="50"/>
  <c r="C5" i="50"/>
  <c r="C4" i="50"/>
  <c r="C3" i="50"/>
  <c r="C2" i="50"/>
  <c r="C1" i="51"/>
  <c r="C1" i="78"/>
  <c r="A1" i="78"/>
  <c r="A170" i="78"/>
  <c r="B1" i="78"/>
  <c r="K170" i="78"/>
  <c r="J170" i="78"/>
  <c r="I170" i="78"/>
  <c r="H170" i="78"/>
  <c r="G170" i="78"/>
  <c r="F170" i="78"/>
  <c r="E170" i="78"/>
  <c r="D170" i="78"/>
  <c r="C170" i="78"/>
  <c r="B170" i="78"/>
  <c r="A169" i="78"/>
  <c r="K169" i="78"/>
  <c r="J169" i="78"/>
  <c r="I169" i="78"/>
  <c r="H169" i="78"/>
  <c r="G169" i="78"/>
  <c r="F169" i="78"/>
  <c r="E169" i="78"/>
  <c r="D169" i="78"/>
  <c r="C169" i="78"/>
  <c r="B169" i="78"/>
  <c r="A168" i="78"/>
  <c r="K168" i="78"/>
  <c r="J168" i="78"/>
  <c r="I168" i="78"/>
  <c r="H168" i="78"/>
  <c r="G168" i="78"/>
  <c r="F168" i="78"/>
  <c r="E168" i="78"/>
  <c r="D168" i="78"/>
  <c r="C168" i="78"/>
  <c r="B168" i="78"/>
  <c r="A167" i="78"/>
  <c r="K167" i="78"/>
  <c r="J167" i="78"/>
  <c r="I167" i="78"/>
  <c r="H167" i="78"/>
  <c r="G167" i="78"/>
  <c r="F167" i="78"/>
  <c r="E167" i="78"/>
  <c r="D167" i="78"/>
  <c r="C167" i="78"/>
  <c r="B167" i="78"/>
  <c r="A166" i="78"/>
  <c r="K166" i="78"/>
  <c r="J166" i="78"/>
  <c r="I166" i="78"/>
  <c r="H166" i="78"/>
  <c r="G166" i="78"/>
  <c r="F166" i="78"/>
  <c r="E166" i="78"/>
  <c r="D166" i="78"/>
  <c r="C166" i="78"/>
  <c r="B166" i="78"/>
  <c r="A165" i="78"/>
  <c r="K165" i="78"/>
  <c r="J165" i="78"/>
  <c r="I165" i="78"/>
  <c r="H165" i="78"/>
  <c r="G165" i="78"/>
  <c r="F165" i="78"/>
  <c r="E165" i="78"/>
  <c r="D165" i="78"/>
  <c r="C165" i="78"/>
  <c r="B165" i="78"/>
  <c r="A164" i="78"/>
  <c r="K164" i="78"/>
  <c r="J164" i="78"/>
  <c r="I164" i="78"/>
  <c r="H164" i="78"/>
  <c r="G164" i="78"/>
  <c r="F164" i="78"/>
  <c r="E164" i="78"/>
  <c r="D164" i="78"/>
  <c r="C164" i="78"/>
  <c r="B164" i="78"/>
  <c r="A163" i="78"/>
  <c r="K163" i="78"/>
  <c r="J163" i="78"/>
  <c r="I163" i="78"/>
  <c r="H163" i="78"/>
  <c r="G163" i="78"/>
  <c r="F163" i="78"/>
  <c r="E163" i="78"/>
  <c r="D163" i="78"/>
  <c r="C163" i="78"/>
  <c r="B163" i="78"/>
  <c r="A162" i="78"/>
  <c r="K162" i="78"/>
  <c r="J162" i="78"/>
  <c r="I162" i="78"/>
  <c r="H162" i="78"/>
  <c r="G162" i="78"/>
  <c r="F162" i="78"/>
  <c r="E162" i="78"/>
  <c r="D162" i="78"/>
  <c r="C162" i="78"/>
  <c r="B162" i="78"/>
  <c r="A161" i="78"/>
  <c r="K161" i="78"/>
  <c r="J161" i="78"/>
  <c r="I161" i="78"/>
  <c r="H161" i="78"/>
  <c r="G161" i="78"/>
  <c r="F161" i="78"/>
  <c r="E161" i="78"/>
  <c r="D161" i="78"/>
  <c r="C161" i="78"/>
  <c r="B161" i="78"/>
  <c r="A160" i="78"/>
  <c r="K160" i="78"/>
  <c r="J160" i="78"/>
  <c r="I160" i="78"/>
  <c r="H160" i="78"/>
  <c r="G160" i="78"/>
  <c r="F160" i="78"/>
  <c r="E160" i="78"/>
  <c r="D160" i="78"/>
  <c r="C160" i="78"/>
  <c r="B160" i="78"/>
  <c r="A159" i="78"/>
  <c r="K159" i="78"/>
  <c r="J159" i="78"/>
  <c r="I159" i="78"/>
  <c r="H159" i="78"/>
  <c r="G159" i="78"/>
  <c r="F159" i="78"/>
  <c r="E159" i="78"/>
  <c r="D159" i="78"/>
  <c r="C159" i="78"/>
  <c r="B159" i="78"/>
  <c r="A158" i="78"/>
  <c r="K158" i="78"/>
  <c r="J158" i="78"/>
  <c r="I158" i="78"/>
  <c r="H158" i="78"/>
  <c r="G158" i="78"/>
  <c r="F158" i="78"/>
  <c r="E158" i="78"/>
  <c r="D158" i="78"/>
  <c r="C158" i="78"/>
  <c r="B158" i="78"/>
  <c r="A157" i="78"/>
  <c r="K157" i="78"/>
  <c r="J157" i="78"/>
  <c r="I157" i="78"/>
  <c r="H157" i="78"/>
  <c r="G157" i="78"/>
  <c r="F157" i="78"/>
  <c r="E157" i="78"/>
  <c r="D157" i="78"/>
  <c r="C157" i="78"/>
  <c r="B157" i="78"/>
  <c r="A156" i="78"/>
  <c r="K156" i="78"/>
  <c r="J156" i="78"/>
  <c r="I156" i="78"/>
  <c r="H156" i="78"/>
  <c r="G156" i="78"/>
  <c r="F156" i="78"/>
  <c r="E156" i="78"/>
  <c r="D156" i="78"/>
  <c r="C156" i="78"/>
  <c r="B156" i="78"/>
  <c r="A155" i="78"/>
  <c r="K155" i="78"/>
  <c r="J155" i="78"/>
  <c r="I155" i="78"/>
  <c r="H155" i="78"/>
  <c r="G155" i="78"/>
  <c r="F155" i="78"/>
  <c r="E155" i="78"/>
  <c r="D155" i="78"/>
  <c r="C155" i="78"/>
  <c r="B155" i="78"/>
  <c r="A154" i="78"/>
  <c r="K154" i="78"/>
  <c r="J154" i="78"/>
  <c r="I154" i="78"/>
  <c r="H154" i="78"/>
  <c r="G154" i="78"/>
  <c r="F154" i="78"/>
  <c r="E154" i="78"/>
  <c r="D154" i="78"/>
  <c r="C154" i="78"/>
  <c r="B154" i="78"/>
  <c r="A153" i="78"/>
  <c r="K153" i="78"/>
  <c r="J153" i="78"/>
  <c r="I153" i="78"/>
  <c r="H153" i="78"/>
  <c r="G153" i="78"/>
  <c r="F153" i="78"/>
  <c r="E153" i="78"/>
  <c r="D153" i="78"/>
  <c r="C153" i="78"/>
  <c r="B153" i="78"/>
  <c r="A152" i="78"/>
  <c r="K152" i="78"/>
  <c r="J152" i="78"/>
  <c r="I152" i="78"/>
  <c r="H152" i="78"/>
  <c r="G152" i="78"/>
  <c r="F152" i="78"/>
  <c r="E152" i="78"/>
  <c r="D152" i="78"/>
  <c r="C152" i="78"/>
  <c r="B152" i="78"/>
  <c r="A151" i="78"/>
  <c r="K151" i="78"/>
  <c r="J151" i="78"/>
  <c r="I151" i="78"/>
  <c r="H151" i="78"/>
  <c r="G151" i="78"/>
  <c r="F151" i="78"/>
  <c r="E151" i="78"/>
  <c r="D151" i="78"/>
  <c r="C151" i="78"/>
  <c r="B151" i="78"/>
  <c r="A150" i="78"/>
  <c r="K150" i="78"/>
  <c r="J150" i="78"/>
  <c r="I150" i="78"/>
  <c r="H150" i="78"/>
  <c r="G150" i="78"/>
  <c r="F150" i="78"/>
  <c r="E150" i="78"/>
  <c r="D150" i="78"/>
  <c r="C150" i="78"/>
  <c r="B150" i="78"/>
  <c r="A149" i="78"/>
  <c r="K149" i="78"/>
  <c r="J149" i="78"/>
  <c r="I149" i="78"/>
  <c r="H149" i="78"/>
  <c r="G149" i="78"/>
  <c r="F149" i="78"/>
  <c r="E149" i="78"/>
  <c r="D149" i="78"/>
  <c r="C149" i="78"/>
  <c r="B149" i="78"/>
  <c r="A148" i="78"/>
  <c r="K148" i="78"/>
  <c r="J148" i="78"/>
  <c r="I148" i="78"/>
  <c r="H148" i="78"/>
  <c r="G148" i="78"/>
  <c r="F148" i="78"/>
  <c r="E148" i="78"/>
  <c r="D148" i="78"/>
  <c r="C148" i="78"/>
  <c r="B148" i="78"/>
  <c r="A147" i="78"/>
  <c r="K147" i="78"/>
  <c r="J147" i="78"/>
  <c r="I147" i="78"/>
  <c r="H147" i="78"/>
  <c r="G147" i="78"/>
  <c r="F147" i="78"/>
  <c r="E147" i="78"/>
  <c r="D147" i="78"/>
  <c r="C147" i="78"/>
  <c r="B147" i="78"/>
  <c r="A146" i="78"/>
  <c r="K146" i="78"/>
  <c r="J146" i="78"/>
  <c r="I146" i="78"/>
  <c r="H146" i="78"/>
  <c r="G146" i="78"/>
  <c r="F146" i="78"/>
  <c r="E146" i="78"/>
  <c r="D146" i="78"/>
  <c r="C146" i="78"/>
  <c r="B146" i="78"/>
  <c r="A145" i="78"/>
  <c r="K145" i="78"/>
  <c r="J145" i="78"/>
  <c r="I145" i="78"/>
  <c r="H145" i="78"/>
  <c r="G145" i="78"/>
  <c r="F145" i="78"/>
  <c r="E145" i="78"/>
  <c r="D145" i="78"/>
  <c r="C145" i="78"/>
  <c r="B145" i="78"/>
  <c r="A144" i="78"/>
  <c r="K144" i="78"/>
  <c r="J144" i="78"/>
  <c r="I144" i="78"/>
  <c r="H144" i="78"/>
  <c r="G144" i="78"/>
  <c r="F144" i="78"/>
  <c r="E144" i="78"/>
  <c r="D144" i="78"/>
  <c r="C144" i="78"/>
  <c r="B144" i="78"/>
  <c r="A143" i="78"/>
  <c r="K143" i="78"/>
  <c r="J143" i="78"/>
  <c r="I143" i="78"/>
  <c r="H143" i="78"/>
  <c r="G143" i="78"/>
  <c r="F143" i="78"/>
  <c r="E143" i="78"/>
  <c r="D143" i="78"/>
  <c r="C143" i="78"/>
  <c r="B143" i="78"/>
  <c r="A142" i="78"/>
  <c r="K142" i="78"/>
  <c r="J142" i="78"/>
  <c r="I142" i="78"/>
  <c r="H142" i="78"/>
  <c r="G142" i="78"/>
  <c r="F142" i="78"/>
  <c r="E142" i="78"/>
  <c r="D142" i="78"/>
  <c r="C142" i="78"/>
  <c r="B142" i="78"/>
  <c r="A141" i="78"/>
  <c r="K141" i="78"/>
  <c r="J141" i="78"/>
  <c r="I141" i="78"/>
  <c r="H141" i="78"/>
  <c r="G141" i="78"/>
  <c r="F141" i="78"/>
  <c r="E141" i="78"/>
  <c r="D141" i="78"/>
  <c r="C141" i="78"/>
  <c r="B141" i="78"/>
  <c r="A140" i="78"/>
  <c r="K140" i="78"/>
  <c r="J140" i="78"/>
  <c r="I140" i="78"/>
  <c r="H140" i="78"/>
  <c r="G140" i="78"/>
  <c r="F140" i="78"/>
  <c r="E140" i="78"/>
  <c r="D140" i="78"/>
  <c r="C140" i="78"/>
  <c r="B140" i="78"/>
  <c r="A139" i="78"/>
  <c r="K139" i="78"/>
  <c r="J139" i="78"/>
  <c r="I139" i="78"/>
  <c r="H139" i="78"/>
  <c r="G139" i="78"/>
  <c r="F139" i="78"/>
  <c r="E139" i="78"/>
  <c r="D139" i="78"/>
  <c r="C139" i="78"/>
  <c r="B139" i="78"/>
  <c r="A138" i="78"/>
  <c r="K138" i="78"/>
  <c r="J138" i="78"/>
  <c r="I138" i="78"/>
  <c r="H138" i="78"/>
  <c r="G138" i="78"/>
  <c r="F138" i="78"/>
  <c r="E138" i="78"/>
  <c r="D138" i="78"/>
  <c r="C138" i="78"/>
  <c r="B138" i="78"/>
  <c r="A137" i="78"/>
  <c r="K137" i="78"/>
  <c r="J137" i="78"/>
  <c r="I137" i="78"/>
  <c r="H137" i="78"/>
  <c r="G137" i="78"/>
  <c r="F137" i="78"/>
  <c r="E137" i="78"/>
  <c r="D137" i="78"/>
  <c r="C137" i="78"/>
  <c r="B137" i="78"/>
  <c r="A136" i="78"/>
  <c r="K136" i="78"/>
  <c r="J136" i="78"/>
  <c r="I136" i="78"/>
  <c r="H136" i="78"/>
  <c r="G136" i="78"/>
  <c r="F136" i="78"/>
  <c r="E136" i="78"/>
  <c r="D136" i="78"/>
  <c r="C136" i="78"/>
  <c r="B136" i="78"/>
  <c r="A135" i="78"/>
  <c r="K135" i="78"/>
  <c r="J135" i="78"/>
  <c r="I135" i="78"/>
  <c r="H135" i="78"/>
  <c r="G135" i="78"/>
  <c r="F135" i="78"/>
  <c r="E135" i="78"/>
  <c r="D135" i="78"/>
  <c r="C135" i="78"/>
  <c r="B135" i="78"/>
  <c r="A134" i="78"/>
  <c r="K134" i="78"/>
  <c r="J134" i="78"/>
  <c r="I134" i="78"/>
  <c r="H134" i="78"/>
  <c r="G134" i="78"/>
  <c r="F134" i="78"/>
  <c r="E134" i="78"/>
  <c r="D134" i="78"/>
  <c r="C134" i="78"/>
  <c r="B134" i="78"/>
  <c r="A133" i="78"/>
  <c r="K133" i="78"/>
  <c r="J133" i="78"/>
  <c r="I133" i="78"/>
  <c r="H133" i="78"/>
  <c r="G133" i="78"/>
  <c r="F133" i="78"/>
  <c r="E133" i="78"/>
  <c r="D133" i="78"/>
  <c r="C133" i="78"/>
  <c r="B133" i="78"/>
  <c r="A132" i="78"/>
  <c r="K132" i="78"/>
  <c r="J132" i="78"/>
  <c r="I132" i="78"/>
  <c r="H132" i="78"/>
  <c r="G132" i="78"/>
  <c r="F132" i="78"/>
  <c r="E132" i="78"/>
  <c r="D132" i="78"/>
  <c r="C132" i="78"/>
  <c r="B132" i="78"/>
  <c r="A131" i="78"/>
  <c r="K131" i="78"/>
  <c r="J131" i="78"/>
  <c r="I131" i="78"/>
  <c r="H131" i="78"/>
  <c r="G131" i="78"/>
  <c r="F131" i="78"/>
  <c r="E131" i="78"/>
  <c r="D131" i="78"/>
  <c r="C131" i="78"/>
  <c r="B131" i="78"/>
  <c r="A130" i="78"/>
  <c r="K130" i="78"/>
  <c r="J130" i="78"/>
  <c r="I130" i="78"/>
  <c r="H130" i="78"/>
  <c r="G130" i="78"/>
  <c r="F130" i="78"/>
  <c r="E130" i="78"/>
  <c r="D130" i="78"/>
  <c r="C130" i="78"/>
  <c r="B130" i="78"/>
  <c r="A129" i="78"/>
  <c r="K129" i="78"/>
  <c r="J129" i="78"/>
  <c r="I129" i="78"/>
  <c r="H129" i="78"/>
  <c r="G129" i="78"/>
  <c r="F129" i="78"/>
  <c r="E129" i="78"/>
  <c r="D129" i="78"/>
  <c r="C129" i="78"/>
  <c r="B129" i="78"/>
  <c r="A128" i="78"/>
  <c r="K128" i="78"/>
  <c r="J128" i="78"/>
  <c r="I128" i="78"/>
  <c r="H128" i="78"/>
  <c r="G128" i="78"/>
  <c r="F128" i="78"/>
  <c r="E128" i="78"/>
  <c r="D128" i="78"/>
  <c r="C128" i="78"/>
  <c r="B128" i="78"/>
  <c r="A127" i="78"/>
  <c r="K127" i="78"/>
  <c r="J127" i="78"/>
  <c r="I127" i="78"/>
  <c r="H127" i="78"/>
  <c r="G127" i="78"/>
  <c r="F127" i="78"/>
  <c r="E127" i="78"/>
  <c r="D127" i="78"/>
  <c r="C127" i="78"/>
  <c r="B127" i="78"/>
  <c r="A126" i="78"/>
  <c r="K126" i="78"/>
  <c r="J126" i="78"/>
  <c r="I126" i="78"/>
  <c r="H126" i="78"/>
  <c r="G126" i="78"/>
  <c r="F126" i="78"/>
  <c r="E126" i="78"/>
  <c r="D126" i="78"/>
  <c r="C126" i="78"/>
  <c r="B126" i="78"/>
  <c r="A125" i="78"/>
  <c r="K125" i="78"/>
  <c r="J125" i="78"/>
  <c r="I125" i="78"/>
  <c r="H125" i="78"/>
  <c r="G125" i="78"/>
  <c r="F125" i="78"/>
  <c r="E125" i="78"/>
  <c r="D125" i="78"/>
  <c r="C125" i="78"/>
  <c r="B125" i="78"/>
  <c r="A124" i="78"/>
  <c r="K124" i="78"/>
  <c r="J124" i="78"/>
  <c r="I124" i="78"/>
  <c r="H124" i="78"/>
  <c r="G124" i="78"/>
  <c r="F124" i="78"/>
  <c r="E124" i="78"/>
  <c r="D124" i="78"/>
  <c r="C124" i="78"/>
  <c r="B124" i="78"/>
  <c r="A123" i="78"/>
  <c r="K123" i="78"/>
  <c r="J123" i="78"/>
  <c r="I123" i="78"/>
  <c r="H123" i="78"/>
  <c r="G123" i="78"/>
  <c r="F123" i="78"/>
  <c r="E123" i="78"/>
  <c r="D123" i="78"/>
  <c r="C123" i="78"/>
  <c r="B123" i="78"/>
  <c r="A122" i="78"/>
  <c r="K122" i="78"/>
  <c r="J122" i="78"/>
  <c r="I122" i="78"/>
  <c r="H122" i="78"/>
  <c r="G122" i="78"/>
  <c r="F122" i="78"/>
  <c r="E122" i="78"/>
  <c r="D122" i="78"/>
  <c r="C122" i="78"/>
  <c r="B122" i="78"/>
  <c r="A121" i="78"/>
  <c r="K121" i="78"/>
  <c r="J121" i="78"/>
  <c r="I121" i="78"/>
  <c r="H121" i="78"/>
  <c r="G121" i="78"/>
  <c r="F121" i="78"/>
  <c r="E121" i="78"/>
  <c r="D121" i="78"/>
  <c r="C121" i="78"/>
  <c r="B121" i="78"/>
  <c r="A120" i="78"/>
  <c r="K120" i="78"/>
  <c r="J120" i="78"/>
  <c r="I120" i="78"/>
  <c r="H120" i="78"/>
  <c r="G120" i="78"/>
  <c r="F120" i="78"/>
  <c r="E120" i="78"/>
  <c r="D120" i="78"/>
  <c r="C120" i="78"/>
  <c r="B120" i="78"/>
  <c r="A119" i="78"/>
  <c r="K119" i="78"/>
  <c r="J119" i="78"/>
  <c r="I119" i="78"/>
  <c r="H119" i="78"/>
  <c r="G119" i="78"/>
  <c r="F119" i="78"/>
  <c r="E119" i="78"/>
  <c r="D119" i="78"/>
  <c r="C119" i="78"/>
  <c r="B119" i="78"/>
  <c r="A118" i="78"/>
  <c r="K118" i="78"/>
  <c r="J118" i="78"/>
  <c r="I118" i="78"/>
  <c r="H118" i="78"/>
  <c r="G118" i="78"/>
  <c r="F118" i="78"/>
  <c r="E118" i="78"/>
  <c r="D118" i="78"/>
  <c r="C118" i="78"/>
  <c r="B118" i="78"/>
  <c r="A117" i="78"/>
  <c r="K117" i="78"/>
  <c r="J117" i="78"/>
  <c r="I117" i="78"/>
  <c r="H117" i="78"/>
  <c r="G117" i="78"/>
  <c r="F117" i="78"/>
  <c r="E117" i="78"/>
  <c r="D117" i="78"/>
  <c r="C117" i="78"/>
  <c r="B117" i="78"/>
  <c r="A116" i="78"/>
  <c r="K116" i="78"/>
  <c r="J116" i="78"/>
  <c r="I116" i="78"/>
  <c r="H116" i="78"/>
  <c r="G116" i="78"/>
  <c r="F116" i="78"/>
  <c r="E116" i="78"/>
  <c r="D116" i="78"/>
  <c r="C116" i="78"/>
  <c r="B116" i="78"/>
  <c r="A115" i="78"/>
  <c r="K115" i="78"/>
  <c r="J115" i="78"/>
  <c r="I115" i="78"/>
  <c r="H115" i="78"/>
  <c r="G115" i="78"/>
  <c r="F115" i="78"/>
  <c r="E115" i="78"/>
  <c r="D115" i="78"/>
  <c r="C115" i="78"/>
  <c r="B115" i="78"/>
  <c r="A114" i="78"/>
  <c r="K114" i="78"/>
  <c r="J114" i="78"/>
  <c r="I114" i="78"/>
  <c r="H114" i="78"/>
  <c r="G114" i="78"/>
  <c r="F114" i="78"/>
  <c r="E114" i="78"/>
  <c r="D114" i="78"/>
  <c r="C114" i="78"/>
  <c r="B114" i="78"/>
  <c r="A113" i="78"/>
  <c r="K113" i="78"/>
  <c r="J113" i="78"/>
  <c r="I113" i="78"/>
  <c r="H113" i="78"/>
  <c r="G113" i="78"/>
  <c r="F113" i="78"/>
  <c r="E113" i="78"/>
  <c r="D113" i="78"/>
  <c r="C113" i="78"/>
  <c r="B113" i="78"/>
  <c r="A112" i="78"/>
  <c r="K112" i="78"/>
  <c r="J112" i="78"/>
  <c r="I112" i="78"/>
  <c r="H112" i="78"/>
  <c r="G112" i="78"/>
  <c r="F112" i="78"/>
  <c r="E112" i="78"/>
  <c r="D112" i="78"/>
  <c r="C112" i="78"/>
  <c r="B112" i="78"/>
  <c r="A111" i="78"/>
  <c r="K111" i="78"/>
  <c r="J111" i="78"/>
  <c r="I111" i="78"/>
  <c r="H111" i="78"/>
  <c r="G111" i="78"/>
  <c r="F111" i="78"/>
  <c r="E111" i="78"/>
  <c r="D111" i="78"/>
  <c r="C111" i="78"/>
  <c r="B111" i="78"/>
  <c r="A110" i="78"/>
  <c r="K110" i="78"/>
  <c r="J110" i="78"/>
  <c r="I110" i="78"/>
  <c r="H110" i="78"/>
  <c r="G110" i="78"/>
  <c r="F110" i="78"/>
  <c r="E110" i="78"/>
  <c r="D110" i="78"/>
  <c r="C110" i="78"/>
  <c r="B110" i="78"/>
  <c r="A109" i="78"/>
  <c r="K109" i="78"/>
  <c r="J109" i="78"/>
  <c r="I109" i="78"/>
  <c r="H109" i="78"/>
  <c r="G109" i="78"/>
  <c r="F109" i="78"/>
  <c r="E109" i="78"/>
  <c r="D109" i="78"/>
  <c r="C109" i="78"/>
  <c r="B109" i="78"/>
  <c r="A108" i="78"/>
  <c r="K108" i="78"/>
  <c r="J108" i="78"/>
  <c r="I108" i="78"/>
  <c r="H108" i="78"/>
  <c r="G108" i="78"/>
  <c r="F108" i="78"/>
  <c r="E108" i="78"/>
  <c r="D108" i="78"/>
  <c r="C108" i="78"/>
  <c r="B108" i="78"/>
  <c r="A107" i="78"/>
  <c r="K107" i="78"/>
  <c r="J107" i="78"/>
  <c r="I107" i="78"/>
  <c r="H107" i="78"/>
  <c r="G107" i="78"/>
  <c r="F107" i="78"/>
  <c r="E107" i="78"/>
  <c r="D107" i="78"/>
  <c r="C107" i="78"/>
  <c r="B107" i="78"/>
  <c r="A106" i="78"/>
  <c r="K106" i="78"/>
  <c r="J106" i="78"/>
  <c r="I106" i="78"/>
  <c r="H106" i="78"/>
  <c r="G106" i="78"/>
  <c r="F106" i="78"/>
  <c r="E106" i="78"/>
  <c r="D106" i="78"/>
  <c r="C106" i="78"/>
  <c r="B106" i="78"/>
  <c r="A105" i="78"/>
  <c r="K105" i="78"/>
  <c r="J105" i="78"/>
  <c r="I105" i="78"/>
  <c r="H105" i="78"/>
  <c r="G105" i="78"/>
  <c r="F105" i="78"/>
  <c r="E105" i="78"/>
  <c r="D105" i="78"/>
  <c r="C105" i="78"/>
  <c r="B105" i="78"/>
  <c r="A104" i="78"/>
  <c r="K104" i="78"/>
  <c r="J104" i="78"/>
  <c r="I104" i="78"/>
  <c r="H104" i="78"/>
  <c r="G104" i="78"/>
  <c r="F104" i="78"/>
  <c r="E104" i="78"/>
  <c r="D104" i="78"/>
  <c r="C104" i="78"/>
  <c r="B104" i="78"/>
  <c r="A103" i="78"/>
  <c r="K103" i="78"/>
  <c r="J103" i="78"/>
  <c r="I103" i="78"/>
  <c r="H103" i="78"/>
  <c r="G103" i="78"/>
  <c r="F103" i="78"/>
  <c r="E103" i="78"/>
  <c r="D103" i="78"/>
  <c r="C103" i="78"/>
  <c r="B103" i="78"/>
  <c r="A102" i="78"/>
  <c r="K102" i="78"/>
  <c r="J102" i="78"/>
  <c r="I102" i="78"/>
  <c r="H102" i="78"/>
  <c r="G102" i="78"/>
  <c r="F102" i="78"/>
  <c r="E102" i="78"/>
  <c r="D102" i="78"/>
  <c r="C102" i="78"/>
  <c r="B102" i="78"/>
  <c r="A101" i="78"/>
  <c r="K101" i="78"/>
  <c r="J101" i="78"/>
  <c r="I101" i="78"/>
  <c r="H101" i="78"/>
  <c r="G101" i="78"/>
  <c r="F101" i="78"/>
  <c r="E101" i="78"/>
  <c r="D101" i="78"/>
  <c r="C101" i="78"/>
  <c r="B101" i="78"/>
  <c r="A100" i="78"/>
  <c r="K100" i="78"/>
  <c r="J100" i="78"/>
  <c r="I100" i="78"/>
  <c r="H100" i="78"/>
  <c r="G100" i="78"/>
  <c r="F100" i="78"/>
  <c r="E100" i="78"/>
  <c r="D100" i="78"/>
  <c r="C100" i="78"/>
  <c r="B100" i="78"/>
  <c r="A99" i="78"/>
  <c r="K99" i="78"/>
  <c r="J99" i="78"/>
  <c r="I99" i="78"/>
  <c r="H99" i="78"/>
  <c r="G99" i="78"/>
  <c r="F99" i="78"/>
  <c r="E99" i="78"/>
  <c r="D99" i="78"/>
  <c r="C99" i="78"/>
  <c r="B99" i="78"/>
  <c r="A98" i="78"/>
  <c r="K98" i="78"/>
  <c r="J98" i="78"/>
  <c r="I98" i="78"/>
  <c r="H98" i="78"/>
  <c r="G98" i="78"/>
  <c r="F98" i="78"/>
  <c r="E98" i="78"/>
  <c r="D98" i="78"/>
  <c r="C98" i="78"/>
  <c r="B98" i="78"/>
  <c r="A97" i="78"/>
  <c r="K97" i="78"/>
  <c r="J97" i="78"/>
  <c r="I97" i="78"/>
  <c r="H97" i="78"/>
  <c r="G97" i="78"/>
  <c r="F97" i="78"/>
  <c r="E97" i="78"/>
  <c r="D97" i="78"/>
  <c r="C97" i="78"/>
  <c r="B97" i="78"/>
  <c r="A96" i="78"/>
  <c r="K96" i="78"/>
  <c r="J96" i="78"/>
  <c r="I96" i="78"/>
  <c r="H96" i="78"/>
  <c r="G96" i="78"/>
  <c r="F96" i="78"/>
  <c r="E96" i="78"/>
  <c r="D96" i="78"/>
  <c r="C96" i="78"/>
  <c r="B96" i="78"/>
  <c r="A95" i="78"/>
  <c r="K95" i="78"/>
  <c r="J95" i="78"/>
  <c r="I95" i="78"/>
  <c r="H95" i="78"/>
  <c r="G95" i="78"/>
  <c r="F95" i="78"/>
  <c r="E95" i="78"/>
  <c r="D95" i="78"/>
  <c r="C95" i="78"/>
  <c r="B95" i="78"/>
  <c r="A94" i="78"/>
  <c r="K94" i="78"/>
  <c r="J94" i="78"/>
  <c r="I94" i="78"/>
  <c r="H94" i="78"/>
  <c r="G94" i="78"/>
  <c r="F94" i="78"/>
  <c r="E94" i="78"/>
  <c r="D94" i="78"/>
  <c r="C94" i="78"/>
  <c r="B94" i="78"/>
  <c r="A93" i="78"/>
  <c r="K93" i="78"/>
  <c r="J93" i="78"/>
  <c r="I93" i="78"/>
  <c r="H93" i="78"/>
  <c r="G93" i="78"/>
  <c r="F93" i="78"/>
  <c r="E93" i="78"/>
  <c r="D93" i="78"/>
  <c r="C93" i="78"/>
  <c r="B93" i="78"/>
  <c r="A92" i="78"/>
  <c r="K92" i="78"/>
  <c r="J92" i="78"/>
  <c r="I92" i="78"/>
  <c r="H92" i="78"/>
  <c r="G92" i="78"/>
  <c r="F92" i="78"/>
  <c r="E92" i="78"/>
  <c r="D92" i="78"/>
  <c r="C92" i="78"/>
  <c r="B92" i="78"/>
  <c r="A91" i="78"/>
  <c r="K91" i="78"/>
  <c r="J91" i="78"/>
  <c r="I91" i="78"/>
  <c r="H91" i="78"/>
  <c r="G91" i="78"/>
  <c r="F91" i="78"/>
  <c r="E91" i="78"/>
  <c r="D91" i="78"/>
  <c r="C91" i="78"/>
  <c r="B91" i="78"/>
  <c r="A90" i="78"/>
  <c r="K90" i="78"/>
  <c r="J90" i="78"/>
  <c r="I90" i="78"/>
  <c r="H90" i="78"/>
  <c r="G90" i="78"/>
  <c r="F90" i="78"/>
  <c r="E90" i="78"/>
  <c r="D90" i="78"/>
  <c r="C90" i="78"/>
  <c r="B90" i="78"/>
  <c r="A89" i="78"/>
  <c r="K89" i="78"/>
  <c r="J89" i="78"/>
  <c r="I89" i="78"/>
  <c r="H89" i="78"/>
  <c r="G89" i="78"/>
  <c r="F89" i="78"/>
  <c r="E89" i="78"/>
  <c r="D89" i="78"/>
  <c r="C89" i="78"/>
  <c r="B89" i="78"/>
  <c r="A88" i="78"/>
  <c r="K88" i="78"/>
  <c r="J88" i="78"/>
  <c r="I88" i="78"/>
  <c r="H88" i="78"/>
  <c r="G88" i="78"/>
  <c r="F88" i="78"/>
  <c r="E88" i="78"/>
  <c r="D88" i="78"/>
  <c r="C88" i="78"/>
  <c r="B88" i="78"/>
  <c r="A87" i="78"/>
  <c r="K87" i="78"/>
  <c r="J87" i="78"/>
  <c r="I87" i="78"/>
  <c r="H87" i="78"/>
  <c r="G87" i="78"/>
  <c r="F87" i="78"/>
  <c r="E87" i="78"/>
  <c r="D87" i="78"/>
  <c r="C87" i="78"/>
  <c r="B87" i="78"/>
  <c r="A86" i="78"/>
  <c r="K86" i="78"/>
  <c r="J86" i="78"/>
  <c r="I86" i="78"/>
  <c r="H86" i="78"/>
  <c r="G86" i="78"/>
  <c r="F86" i="78"/>
  <c r="E86" i="78"/>
  <c r="D86" i="78"/>
  <c r="C86" i="78"/>
  <c r="B86" i="78"/>
  <c r="A85" i="78"/>
  <c r="K85" i="78"/>
  <c r="J85" i="78"/>
  <c r="I85" i="78"/>
  <c r="H85" i="78"/>
  <c r="G85" i="78"/>
  <c r="F85" i="78"/>
  <c r="E85" i="78"/>
  <c r="D85" i="78"/>
  <c r="C85" i="78"/>
  <c r="B85" i="78"/>
  <c r="A84" i="78"/>
  <c r="K84" i="78"/>
  <c r="J84" i="78"/>
  <c r="I84" i="78"/>
  <c r="H84" i="78"/>
  <c r="G84" i="78"/>
  <c r="F84" i="78"/>
  <c r="E84" i="78"/>
  <c r="D84" i="78"/>
  <c r="C84" i="78"/>
  <c r="B84" i="78"/>
  <c r="A83" i="78"/>
  <c r="K83" i="78"/>
  <c r="J83" i="78"/>
  <c r="I83" i="78"/>
  <c r="H83" i="78"/>
  <c r="G83" i="78"/>
  <c r="F83" i="78"/>
  <c r="E83" i="78"/>
  <c r="D83" i="78"/>
  <c r="C83" i="78"/>
  <c r="B83" i="78"/>
  <c r="A82" i="78"/>
  <c r="K82" i="78"/>
  <c r="J82" i="78"/>
  <c r="I82" i="78"/>
  <c r="H82" i="78"/>
  <c r="G82" i="78"/>
  <c r="F82" i="78"/>
  <c r="E82" i="78"/>
  <c r="D82" i="78"/>
  <c r="C82" i="78"/>
  <c r="B82" i="78"/>
  <c r="A81" i="78"/>
  <c r="K81" i="78"/>
  <c r="J81" i="78"/>
  <c r="I81" i="78"/>
  <c r="H81" i="78"/>
  <c r="G81" i="78"/>
  <c r="F81" i="78"/>
  <c r="E81" i="78"/>
  <c r="D81" i="78"/>
  <c r="C81" i="78"/>
  <c r="B81" i="78"/>
  <c r="A80" i="78"/>
  <c r="K80" i="78"/>
  <c r="J80" i="78"/>
  <c r="I80" i="78"/>
  <c r="H80" i="78"/>
  <c r="G80" i="78"/>
  <c r="F80" i="78"/>
  <c r="E80" i="78"/>
  <c r="D80" i="78"/>
  <c r="C80" i="78"/>
  <c r="B80" i="78"/>
  <c r="A79" i="78"/>
  <c r="K79" i="78"/>
  <c r="J79" i="78"/>
  <c r="I79" i="78"/>
  <c r="H79" i="78"/>
  <c r="G79" i="78"/>
  <c r="F79" i="78"/>
  <c r="E79" i="78"/>
  <c r="D79" i="78"/>
  <c r="C79" i="78"/>
  <c r="B79" i="78"/>
  <c r="A78" i="78"/>
  <c r="K78" i="78"/>
  <c r="J78" i="78"/>
  <c r="I78" i="78"/>
  <c r="H78" i="78"/>
  <c r="G78" i="78"/>
  <c r="F78" i="78"/>
  <c r="E78" i="78"/>
  <c r="D78" i="78"/>
  <c r="C78" i="78"/>
  <c r="B78" i="78"/>
  <c r="A77" i="78"/>
  <c r="K77" i="78"/>
  <c r="J77" i="78"/>
  <c r="I77" i="78"/>
  <c r="H77" i="78"/>
  <c r="G77" i="78"/>
  <c r="F77" i="78"/>
  <c r="E77" i="78"/>
  <c r="D77" i="78"/>
  <c r="C77" i="78"/>
  <c r="B77" i="78"/>
  <c r="A76" i="78"/>
  <c r="K76" i="78"/>
  <c r="J76" i="78"/>
  <c r="I76" i="78"/>
  <c r="H76" i="78"/>
  <c r="G76" i="78"/>
  <c r="F76" i="78"/>
  <c r="E76" i="78"/>
  <c r="D76" i="78"/>
  <c r="C76" i="78"/>
  <c r="B76" i="78"/>
  <c r="A75" i="78"/>
  <c r="K75" i="78"/>
  <c r="J75" i="78"/>
  <c r="I75" i="78"/>
  <c r="H75" i="78"/>
  <c r="G75" i="78"/>
  <c r="F75" i="78"/>
  <c r="E75" i="78"/>
  <c r="D75" i="78"/>
  <c r="C75" i="78"/>
  <c r="B75" i="78"/>
  <c r="A74" i="78"/>
  <c r="K74" i="78"/>
  <c r="J74" i="78"/>
  <c r="I74" i="78"/>
  <c r="H74" i="78"/>
  <c r="G74" i="78"/>
  <c r="F74" i="78"/>
  <c r="E74" i="78"/>
  <c r="D74" i="78"/>
  <c r="C74" i="78"/>
  <c r="B74" i="78"/>
  <c r="A73" i="78"/>
  <c r="K73" i="78"/>
  <c r="J73" i="78"/>
  <c r="I73" i="78"/>
  <c r="H73" i="78"/>
  <c r="G73" i="78"/>
  <c r="F73" i="78"/>
  <c r="E73" i="78"/>
  <c r="D73" i="78"/>
  <c r="C73" i="78"/>
  <c r="B73" i="78"/>
  <c r="A72" i="78"/>
  <c r="K72" i="78"/>
  <c r="J72" i="78"/>
  <c r="I72" i="78"/>
  <c r="H72" i="78"/>
  <c r="G72" i="78"/>
  <c r="F72" i="78"/>
  <c r="E72" i="78"/>
  <c r="D72" i="78"/>
  <c r="C72" i="78"/>
  <c r="B72" i="78"/>
  <c r="A71" i="78"/>
  <c r="K71" i="78"/>
  <c r="J71" i="78"/>
  <c r="I71" i="78"/>
  <c r="H71" i="78"/>
  <c r="G71" i="78"/>
  <c r="F71" i="78"/>
  <c r="E71" i="78"/>
  <c r="D71" i="78"/>
  <c r="C71" i="78"/>
  <c r="B71" i="78"/>
  <c r="A70" i="78"/>
  <c r="K70" i="78"/>
  <c r="J70" i="78"/>
  <c r="I70" i="78"/>
  <c r="H70" i="78"/>
  <c r="G70" i="78"/>
  <c r="F70" i="78"/>
  <c r="E70" i="78"/>
  <c r="D70" i="78"/>
  <c r="C70" i="78"/>
  <c r="B70" i="78"/>
  <c r="A69" i="78"/>
  <c r="K69" i="78"/>
  <c r="J69" i="78"/>
  <c r="I69" i="78"/>
  <c r="H69" i="78"/>
  <c r="G69" i="78"/>
  <c r="F69" i="78"/>
  <c r="E69" i="78"/>
  <c r="D69" i="78"/>
  <c r="C69" i="78"/>
  <c r="B69" i="78"/>
  <c r="A68" i="78"/>
  <c r="K68" i="78"/>
  <c r="J68" i="78"/>
  <c r="I68" i="78"/>
  <c r="H68" i="78"/>
  <c r="G68" i="78"/>
  <c r="F68" i="78"/>
  <c r="E68" i="78"/>
  <c r="D68" i="78"/>
  <c r="C68" i="78"/>
  <c r="B68" i="78"/>
  <c r="A67" i="78"/>
  <c r="K67" i="78"/>
  <c r="J67" i="78"/>
  <c r="I67" i="78"/>
  <c r="H67" i="78"/>
  <c r="G67" i="78"/>
  <c r="F67" i="78"/>
  <c r="E67" i="78"/>
  <c r="D67" i="78"/>
  <c r="C67" i="78"/>
  <c r="B67" i="78"/>
  <c r="A66" i="78"/>
  <c r="K66" i="78"/>
  <c r="J66" i="78"/>
  <c r="I66" i="78"/>
  <c r="H66" i="78"/>
  <c r="G66" i="78"/>
  <c r="F66" i="78"/>
  <c r="E66" i="78"/>
  <c r="D66" i="78"/>
  <c r="C66" i="78"/>
  <c r="B66" i="78"/>
  <c r="A65" i="78"/>
  <c r="K65" i="78"/>
  <c r="J65" i="78"/>
  <c r="I65" i="78"/>
  <c r="H65" i="78"/>
  <c r="G65" i="78"/>
  <c r="F65" i="78"/>
  <c r="E65" i="78"/>
  <c r="D65" i="78"/>
  <c r="C65" i="78"/>
  <c r="B65" i="78"/>
  <c r="A64" i="78"/>
  <c r="K64" i="78"/>
  <c r="J64" i="78"/>
  <c r="I64" i="78"/>
  <c r="H64" i="78"/>
  <c r="G64" i="78"/>
  <c r="F64" i="78"/>
  <c r="E64" i="78"/>
  <c r="D64" i="78"/>
  <c r="C64" i="78"/>
  <c r="B64" i="78"/>
  <c r="A63" i="78"/>
  <c r="K63" i="78"/>
  <c r="J63" i="78"/>
  <c r="I63" i="78"/>
  <c r="H63" i="78"/>
  <c r="G63" i="78"/>
  <c r="F63" i="78"/>
  <c r="E63" i="78"/>
  <c r="D63" i="78"/>
  <c r="C63" i="78"/>
  <c r="B63" i="78"/>
  <c r="A62" i="78"/>
  <c r="K62" i="78"/>
  <c r="J62" i="78"/>
  <c r="I62" i="78"/>
  <c r="H62" i="78"/>
  <c r="G62" i="78"/>
  <c r="F62" i="78"/>
  <c r="E62" i="78"/>
  <c r="D62" i="78"/>
  <c r="C62" i="78"/>
  <c r="B62" i="78"/>
  <c r="A61" i="78"/>
  <c r="K61" i="78"/>
  <c r="J61" i="78"/>
  <c r="I61" i="78"/>
  <c r="H61" i="78"/>
  <c r="G61" i="78"/>
  <c r="F61" i="78"/>
  <c r="E61" i="78"/>
  <c r="D61" i="78"/>
  <c r="C61" i="78"/>
  <c r="B61" i="78"/>
  <c r="A60" i="78"/>
  <c r="K60" i="78"/>
  <c r="J60" i="78"/>
  <c r="I60" i="78"/>
  <c r="H60" i="78"/>
  <c r="G60" i="78"/>
  <c r="F60" i="78"/>
  <c r="E60" i="78"/>
  <c r="D60" i="78"/>
  <c r="C60" i="78"/>
  <c r="B60" i="78"/>
  <c r="A59" i="78"/>
  <c r="K59" i="78"/>
  <c r="J59" i="78"/>
  <c r="I59" i="78"/>
  <c r="H59" i="78"/>
  <c r="G59" i="78"/>
  <c r="F59" i="78"/>
  <c r="E59" i="78"/>
  <c r="D59" i="78"/>
  <c r="C59" i="78"/>
  <c r="B59" i="78"/>
  <c r="A58" i="78"/>
  <c r="K58" i="78"/>
  <c r="J58" i="78"/>
  <c r="I58" i="78"/>
  <c r="H58" i="78"/>
  <c r="G58" i="78"/>
  <c r="F58" i="78"/>
  <c r="E58" i="78"/>
  <c r="D58" i="78"/>
  <c r="C58" i="78"/>
  <c r="B58" i="78"/>
  <c r="A57" i="78"/>
  <c r="K57" i="78"/>
  <c r="J57" i="78"/>
  <c r="I57" i="78"/>
  <c r="H57" i="78"/>
  <c r="G57" i="78"/>
  <c r="F57" i="78"/>
  <c r="E57" i="78"/>
  <c r="D57" i="78"/>
  <c r="C57" i="78"/>
  <c r="B57" i="78"/>
  <c r="A56" i="78"/>
  <c r="K56" i="78"/>
  <c r="J56" i="78"/>
  <c r="I56" i="78"/>
  <c r="H56" i="78"/>
  <c r="G56" i="78"/>
  <c r="F56" i="78"/>
  <c r="E56" i="78"/>
  <c r="D56" i="78"/>
  <c r="C56" i="78"/>
  <c r="B56" i="78"/>
  <c r="A55" i="78"/>
  <c r="K55" i="78"/>
  <c r="J55" i="78"/>
  <c r="I55" i="78"/>
  <c r="H55" i="78"/>
  <c r="G55" i="78"/>
  <c r="F55" i="78"/>
  <c r="E55" i="78"/>
  <c r="D55" i="78"/>
  <c r="C55" i="78"/>
  <c r="B55" i="78"/>
  <c r="A54" i="78"/>
  <c r="K54" i="78"/>
  <c r="J54" i="78"/>
  <c r="I54" i="78"/>
  <c r="H54" i="78"/>
  <c r="G54" i="78"/>
  <c r="F54" i="78"/>
  <c r="E54" i="78"/>
  <c r="D54" i="78"/>
  <c r="C54" i="78"/>
  <c r="B54" i="78"/>
  <c r="A53" i="78"/>
  <c r="K53" i="78"/>
  <c r="J53" i="78"/>
  <c r="I53" i="78"/>
  <c r="H53" i="78"/>
  <c r="G53" i="78"/>
  <c r="F53" i="78"/>
  <c r="E53" i="78"/>
  <c r="D53" i="78"/>
  <c r="C53" i="78"/>
  <c r="B53" i="78"/>
  <c r="A52" i="78"/>
  <c r="K52" i="78"/>
  <c r="J52" i="78"/>
  <c r="I52" i="78"/>
  <c r="H52" i="78"/>
  <c r="G52" i="78"/>
  <c r="F52" i="78"/>
  <c r="E52" i="78"/>
  <c r="D52" i="78"/>
  <c r="C52" i="78"/>
  <c r="B52" i="78"/>
  <c r="A51" i="78"/>
  <c r="K51" i="78"/>
  <c r="J51" i="78"/>
  <c r="I51" i="78"/>
  <c r="H51" i="78"/>
  <c r="G51" i="78"/>
  <c r="F51" i="78"/>
  <c r="E51" i="78"/>
  <c r="D51" i="78"/>
  <c r="C51" i="78"/>
  <c r="B51" i="78"/>
  <c r="A50" i="78"/>
  <c r="K50" i="78"/>
  <c r="J50" i="78"/>
  <c r="I50" i="78"/>
  <c r="H50" i="78"/>
  <c r="G50" i="78"/>
  <c r="F50" i="78"/>
  <c r="E50" i="78"/>
  <c r="D50" i="78"/>
  <c r="C50" i="78"/>
  <c r="B50" i="78"/>
  <c r="A49" i="78"/>
  <c r="K49" i="78"/>
  <c r="J49" i="78"/>
  <c r="I49" i="78"/>
  <c r="H49" i="78"/>
  <c r="G49" i="78"/>
  <c r="F49" i="78"/>
  <c r="E49" i="78"/>
  <c r="D49" i="78"/>
  <c r="C49" i="78"/>
  <c r="B49" i="78"/>
  <c r="A48" i="78"/>
  <c r="K48" i="78"/>
  <c r="J48" i="78"/>
  <c r="I48" i="78"/>
  <c r="H48" i="78"/>
  <c r="G48" i="78"/>
  <c r="F48" i="78"/>
  <c r="E48" i="78"/>
  <c r="D48" i="78"/>
  <c r="C48" i="78"/>
  <c r="B48" i="78"/>
  <c r="A47" i="78"/>
  <c r="K47" i="78"/>
  <c r="J47" i="78"/>
  <c r="I47" i="78"/>
  <c r="H47" i="78"/>
  <c r="G47" i="78"/>
  <c r="F47" i="78"/>
  <c r="E47" i="78"/>
  <c r="D47" i="78"/>
  <c r="C47" i="78"/>
  <c r="B47" i="78"/>
  <c r="A46" i="78"/>
  <c r="K46" i="78"/>
  <c r="J46" i="78"/>
  <c r="I46" i="78"/>
  <c r="H46" i="78"/>
  <c r="G46" i="78"/>
  <c r="F46" i="78"/>
  <c r="E46" i="78"/>
  <c r="D46" i="78"/>
  <c r="C46" i="78"/>
  <c r="B46" i="78"/>
  <c r="A45" i="78"/>
  <c r="K45" i="78"/>
  <c r="J45" i="78"/>
  <c r="I45" i="78"/>
  <c r="H45" i="78"/>
  <c r="G45" i="78"/>
  <c r="F45" i="78"/>
  <c r="E45" i="78"/>
  <c r="D45" i="78"/>
  <c r="C45" i="78"/>
  <c r="B45" i="78"/>
  <c r="A44" i="78"/>
  <c r="K44" i="78"/>
  <c r="J44" i="78"/>
  <c r="I44" i="78"/>
  <c r="H44" i="78"/>
  <c r="G44" i="78"/>
  <c r="F44" i="78"/>
  <c r="E44" i="78"/>
  <c r="D44" i="78"/>
  <c r="C44" i="78"/>
  <c r="B44" i="78"/>
  <c r="A43" i="78"/>
  <c r="K43" i="78"/>
  <c r="J43" i="78"/>
  <c r="I43" i="78"/>
  <c r="H43" i="78"/>
  <c r="G43" i="78"/>
  <c r="F43" i="78"/>
  <c r="E43" i="78"/>
  <c r="D43" i="78"/>
  <c r="C43" i="78"/>
  <c r="B43" i="78"/>
  <c r="A42" i="78"/>
  <c r="K42" i="78"/>
  <c r="J42" i="78"/>
  <c r="I42" i="78"/>
  <c r="H42" i="78"/>
  <c r="G42" i="78"/>
  <c r="F42" i="78"/>
  <c r="E42" i="78"/>
  <c r="D42" i="78"/>
  <c r="C42" i="78"/>
  <c r="B42" i="78"/>
  <c r="A41" i="78"/>
  <c r="K41" i="78"/>
  <c r="J41" i="78"/>
  <c r="I41" i="78"/>
  <c r="H41" i="78"/>
  <c r="G41" i="78"/>
  <c r="F41" i="78"/>
  <c r="E41" i="78"/>
  <c r="D41" i="78"/>
  <c r="C41" i="78"/>
  <c r="B41" i="78"/>
  <c r="A40" i="78"/>
  <c r="K40" i="78"/>
  <c r="J40" i="78"/>
  <c r="I40" i="78"/>
  <c r="H40" i="78"/>
  <c r="G40" i="78"/>
  <c r="F40" i="78"/>
  <c r="E40" i="78"/>
  <c r="D40" i="78"/>
  <c r="C40" i="78"/>
  <c r="B40" i="78"/>
  <c r="A39" i="78"/>
  <c r="K39" i="78"/>
  <c r="J39" i="78"/>
  <c r="I39" i="78"/>
  <c r="H39" i="78"/>
  <c r="G39" i="78"/>
  <c r="F39" i="78"/>
  <c r="E39" i="78"/>
  <c r="D39" i="78"/>
  <c r="C39" i="78"/>
  <c r="B39" i="78"/>
  <c r="A38" i="78"/>
  <c r="K38" i="78"/>
  <c r="J38" i="78"/>
  <c r="I38" i="78"/>
  <c r="H38" i="78"/>
  <c r="G38" i="78"/>
  <c r="F38" i="78"/>
  <c r="E38" i="78"/>
  <c r="D38" i="78"/>
  <c r="C38" i="78"/>
  <c r="B38" i="78"/>
  <c r="A37" i="78"/>
  <c r="K37" i="78"/>
  <c r="J37" i="78"/>
  <c r="I37" i="78"/>
  <c r="H37" i="78"/>
  <c r="G37" i="78"/>
  <c r="F37" i="78"/>
  <c r="E37" i="78"/>
  <c r="D37" i="78"/>
  <c r="C37" i="78"/>
  <c r="B37" i="78"/>
  <c r="A36" i="78"/>
  <c r="K36" i="78"/>
  <c r="J36" i="78"/>
  <c r="I36" i="78"/>
  <c r="H36" i="78"/>
  <c r="G36" i="78"/>
  <c r="F36" i="78"/>
  <c r="E36" i="78"/>
  <c r="D36" i="78"/>
  <c r="C36" i="78"/>
  <c r="B36" i="78"/>
  <c r="A35" i="78"/>
  <c r="K35" i="78"/>
  <c r="J35" i="78"/>
  <c r="I35" i="78"/>
  <c r="H35" i="78"/>
  <c r="G35" i="78"/>
  <c r="F35" i="78"/>
  <c r="E35" i="78"/>
  <c r="D35" i="78"/>
  <c r="C35" i="78"/>
  <c r="B35" i="78"/>
  <c r="A34" i="78"/>
  <c r="K34" i="78"/>
  <c r="J34" i="78"/>
  <c r="I34" i="78"/>
  <c r="H34" i="78"/>
  <c r="G34" i="78"/>
  <c r="F34" i="78"/>
  <c r="E34" i="78"/>
  <c r="D34" i="78"/>
  <c r="C34" i="78"/>
  <c r="B34" i="78"/>
  <c r="A33" i="78"/>
  <c r="K33" i="78"/>
  <c r="J33" i="78"/>
  <c r="I33" i="78"/>
  <c r="H33" i="78"/>
  <c r="G33" i="78"/>
  <c r="F33" i="78"/>
  <c r="E33" i="78"/>
  <c r="D33" i="78"/>
  <c r="C33" i="78"/>
  <c r="B33" i="78"/>
  <c r="A32" i="78"/>
  <c r="K32" i="78"/>
  <c r="J32" i="78"/>
  <c r="I32" i="78"/>
  <c r="H32" i="78"/>
  <c r="G32" i="78"/>
  <c r="F32" i="78"/>
  <c r="E32" i="78"/>
  <c r="D32" i="78"/>
  <c r="C32" i="78"/>
  <c r="B32" i="78"/>
  <c r="A31" i="78"/>
  <c r="K31" i="78"/>
  <c r="J31" i="78"/>
  <c r="I31" i="78"/>
  <c r="H31" i="78"/>
  <c r="G31" i="78"/>
  <c r="F31" i="78"/>
  <c r="E31" i="78"/>
  <c r="D31" i="78"/>
  <c r="C31" i="78"/>
  <c r="B31" i="78"/>
  <c r="A30" i="78"/>
  <c r="K30" i="78"/>
  <c r="J30" i="78"/>
  <c r="I30" i="78"/>
  <c r="H30" i="78"/>
  <c r="G30" i="78"/>
  <c r="F30" i="78"/>
  <c r="E30" i="78"/>
  <c r="D30" i="78"/>
  <c r="C30" i="78"/>
  <c r="B30" i="78"/>
  <c r="A29" i="78"/>
  <c r="K29" i="78"/>
  <c r="J29" i="78"/>
  <c r="I29" i="78"/>
  <c r="H29" i="78"/>
  <c r="G29" i="78"/>
  <c r="F29" i="78"/>
  <c r="E29" i="78"/>
  <c r="D29" i="78"/>
  <c r="C29" i="78"/>
  <c r="B29" i="78"/>
  <c r="A28" i="78"/>
  <c r="K28" i="78"/>
  <c r="J28" i="78"/>
  <c r="I28" i="78"/>
  <c r="H28" i="78"/>
  <c r="G28" i="78"/>
  <c r="F28" i="78"/>
  <c r="E28" i="78"/>
  <c r="D28" i="78"/>
  <c r="C28" i="78"/>
  <c r="B28" i="78"/>
  <c r="A27" i="78"/>
  <c r="K27" i="78"/>
  <c r="J27" i="78"/>
  <c r="I27" i="78"/>
  <c r="H27" i="78"/>
  <c r="G27" i="78"/>
  <c r="F27" i="78"/>
  <c r="E27" i="78"/>
  <c r="D27" i="78"/>
  <c r="C27" i="78"/>
  <c r="B27" i="78"/>
  <c r="A26" i="78"/>
  <c r="K26" i="78"/>
  <c r="J26" i="78"/>
  <c r="I26" i="78"/>
  <c r="H26" i="78"/>
  <c r="G26" i="78"/>
  <c r="F26" i="78"/>
  <c r="E26" i="78"/>
  <c r="D26" i="78"/>
  <c r="C26" i="78"/>
  <c r="B26" i="78"/>
  <c r="A25" i="78"/>
  <c r="K25" i="78"/>
  <c r="J25" i="78"/>
  <c r="I25" i="78"/>
  <c r="H25" i="78"/>
  <c r="G25" i="78"/>
  <c r="F25" i="78"/>
  <c r="E25" i="78"/>
  <c r="D25" i="78"/>
  <c r="C25" i="78"/>
  <c r="B25" i="78"/>
  <c r="A24" i="78"/>
  <c r="K24" i="78"/>
  <c r="J24" i="78"/>
  <c r="I24" i="78"/>
  <c r="H24" i="78"/>
  <c r="G24" i="78"/>
  <c r="F24" i="78"/>
  <c r="E24" i="78"/>
  <c r="D24" i="78"/>
  <c r="C24" i="78"/>
  <c r="B24" i="78"/>
  <c r="A23" i="78"/>
  <c r="K23" i="78"/>
  <c r="J23" i="78"/>
  <c r="I23" i="78"/>
  <c r="H23" i="78"/>
  <c r="G23" i="78"/>
  <c r="F23" i="78"/>
  <c r="E23" i="78"/>
  <c r="D23" i="78"/>
  <c r="C23" i="78"/>
  <c r="B23" i="78"/>
  <c r="A22" i="78"/>
  <c r="K22" i="78"/>
  <c r="J22" i="78"/>
  <c r="I22" i="78"/>
  <c r="H22" i="78"/>
  <c r="G22" i="78"/>
  <c r="F22" i="78"/>
  <c r="E22" i="78"/>
  <c r="D22" i="78"/>
  <c r="C22" i="78"/>
  <c r="B22" i="78"/>
  <c r="A21" i="78"/>
  <c r="K21" i="78"/>
  <c r="J21" i="78"/>
  <c r="I21" i="78"/>
  <c r="H21" i="78"/>
  <c r="G21" i="78"/>
  <c r="F21" i="78"/>
  <c r="E21" i="78"/>
  <c r="D21" i="78"/>
  <c r="C21" i="78"/>
  <c r="B21" i="78"/>
  <c r="A20" i="78"/>
  <c r="K20" i="78"/>
  <c r="J20" i="78"/>
  <c r="I20" i="78"/>
  <c r="H20" i="78"/>
  <c r="G20" i="78"/>
  <c r="F20" i="78"/>
  <c r="E20" i="78"/>
  <c r="D20" i="78"/>
  <c r="C20" i="78"/>
  <c r="B20" i="78"/>
  <c r="A19" i="78"/>
  <c r="K19" i="78"/>
  <c r="J19" i="78"/>
  <c r="I19" i="78"/>
  <c r="H19" i="78"/>
  <c r="G19" i="78"/>
  <c r="F19" i="78"/>
  <c r="E19" i="78"/>
  <c r="D19" i="78"/>
  <c r="C19" i="78"/>
  <c r="B19" i="78"/>
  <c r="A18" i="78"/>
  <c r="K18" i="78"/>
  <c r="J18" i="78"/>
  <c r="I18" i="78"/>
  <c r="H18" i="78"/>
  <c r="G18" i="78"/>
  <c r="F18" i="78"/>
  <c r="E18" i="78"/>
  <c r="D18" i="78"/>
  <c r="C18" i="78"/>
  <c r="B18" i="78"/>
  <c r="A17" i="78"/>
  <c r="K17" i="78"/>
  <c r="J17" i="78"/>
  <c r="I17" i="78"/>
  <c r="H17" i="78"/>
  <c r="G17" i="78"/>
  <c r="F17" i="78"/>
  <c r="E17" i="78"/>
  <c r="D17" i="78"/>
  <c r="C17" i="78"/>
  <c r="B17" i="78"/>
  <c r="A16" i="78"/>
  <c r="K16" i="78"/>
  <c r="J16" i="78"/>
  <c r="I16" i="78"/>
  <c r="H16" i="78"/>
  <c r="G16" i="78"/>
  <c r="F16" i="78"/>
  <c r="E16" i="78"/>
  <c r="D16" i="78"/>
  <c r="C16" i="78"/>
  <c r="B16" i="78"/>
  <c r="A15" i="78"/>
  <c r="K15" i="78"/>
  <c r="J15" i="78"/>
  <c r="I15" i="78"/>
  <c r="H15" i="78"/>
  <c r="G15" i="78"/>
  <c r="F15" i="78"/>
  <c r="E15" i="78"/>
  <c r="D15" i="78"/>
  <c r="C15" i="78"/>
  <c r="B15" i="78"/>
  <c r="A14" i="78"/>
  <c r="K14" i="78"/>
  <c r="J14" i="78"/>
  <c r="I14" i="78"/>
  <c r="H14" i="78"/>
  <c r="G14" i="78"/>
  <c r="F14" i="78"/>
  <c r="E14" i="78"/>
  <c r="D14" i="78"/>
  <c r="C14" i="78"/>
  <c r="B14" i="78"/>
  <c r="A13" i="78"/>
  <c r="K13" i="78"/>
  <c r="J13" i="78"/>
  <c r="I13" i="78"/>
  <c r="H13" i="78"/>
  <c r="G13" i="78"/>
  <c r="F13" i="78"/>
  <c r="E13" i="78"/>
  <c r="D13" i="78"/>
  <c r="C13" i="78"/>
  <c r="B13" i="78"/>
  <c r="A12" i="78"/>
  <c r="K12" i="78"/>
  <c r="J12" i="78"/>
  <c r="I12" i="78"/>
  <c r="H12" i="78"/>
  <c r="G12" i="78"/>
  <c r="F12" i="78"/>
  <c r="E12" i="78"/>
  <c r="D12" i="78"/>
  <c r="C12" i="78"/>
  <c r="B12" i="78"/>
  <c r="A11" i="78"/>
  <c r="K11" i="78"/>
  <c r="J11" i="78"/>
  <c r="I11" i="78"/>
  <c r="H11" i="78"/>
  <c r="G11" i="78"/>
  <c r="F11" i="78"/>
  <c r="E11" i="78"/>
  <c r="D11" i="78"/>
  <c r="C11" i="78"/>
  <c r="B11" i="78"/>
  <c r="A10" i="78"/>
  <c r="K10" i="78"/>
  <c r="J10" i="78"/>
  <c r="I10" i="78"/>
  <c r="H10" i="78"/>
  <c r="G10" i="78"/>
  <c r="F10" i="78"/>
  <c r="E10" i="78"/>
  <c r="D10" i="78"/>
  <c r="C10" i="78"/>
  <c r="B10" i="78"/>
  <c r="A9" i="78"/>
  <c r="K9" i="78"/>
  <c r="J9" i="78"/>
  <c r="I9" i="78"/>
  <c r="H9" i="78"/>
  <c r="G9" i="78"/>
  <c r="F9" i="78"/>
  <c r="E9" i="78"/>
  <c r="D9" i="78"/>
  <c r="C9" i="78"/>
  <c r="B9" i="78"/>
  <c r="A8" i="78"/>
  <c r="K8" i="78"/>
  <c r="J8" i="78"/>
  <c r="I8" i="78"/>
  <c r="H8" i="78"/>
  <c r="G8" i="78"/>
  <c r="F8" i="78"/>
  <c r="E8" i="78"/>
  <c r="D8" i="78"/>
  <c r="C8" i="78"/>
  <c r="B8" i="78"/>
  <c r="A7" i="78"/>
  <c r="K7" i="78"/>
  <c r="J7" i="78"/>
  <c r="I7" i="78"/>
  <c r="H7" i="78"/>
  <c r="G7" i="78"/>
  <c r="F7" i="78"/>
  <c r="E7" i="78"/>
  <c r="D7" i="78"/>
  <c r="C7" i="78"/>
  <c r="B7" i="78"/>
  <c r="A6" i="78"/>
  <c r="K6" i="78"/>
  <c r="J6" i="78"/>
  <c r="I6" i="78"/>
  <c r="H6" i="78"/>
  <c r="G6" i="78"/>
  <c r="F6" i="78"/>
  <c r="E6" i="78"/>
  <c r="D6" i="78"/>
  <c r="C6" i="78"/>
  <c r="B6" i="78"/>
  <c r="A5" i="78"/>
  <c r="K5" i="78"/>
  <c r="J5" i="78"/>
  <c r="I5" i="78"/>
  <c r="H5" i="78"/>
  <c r="G5" i="78"/>
  <c r="F5" i="78"/>
  <c r="E5" i="78"/>
  <c r="D5" i="78"/>
  <c r="C5" i="78"/>
  <c r="B5" i="78"/>
  <c r="A4" i="78"/>
  <c r="K4" i="78"/>
  <c r="J4" i="78"/>
  <c r="I4" i="78"/>
  <c r="H4" i="78"/>
  <c r="G4" i="78"/>
  <c r="F4" i="78"/>
  <c r="E4" i="78"/>
  <c r="D4" i="78"/>
  <c r="C4" i="78"/>
  <c r="B4" i="78"/>
  <c r="C1" i="81"/>
  <c r="A1" i="81"/>
  <c r="A170" i="81"/>
  <c r="B1" i="81"/>
  <c r="K170" i="81"/>
  <c r="J170" i="81"/>
  <c r="I170" i="81"/>
  <c r="H170" i="81"/>
  <c r="G170" i="81"/>
  <c r="F170" i="81"/>
  <c r="E170" i="81"/>
  <c r="D170" i="81"/>
  <c r="C170" i="81"/>
  <c r="B170" i="81"/>
  <c r="A169" i="81"/>
  <c r="K169" i="81"/>
  <c r="J169" i="81"/>
  <c r="I169" i="81"/>
  <c r="H169" i="81"/>
  <c r="G169" i="81"/>
  <c r="F169" i="81"/>
  <c r="E169" i="81"/>
  <c r="D169" i="81"/>
  <c r="C169" i="81"/>
  <c r="B169" i="81"/>
  <c r="A168" i="81"/>
  <c r="K168" i="81"/>
  <c r="J168" i="81"/>
  <c r="I168" i="81"/>
  <c r="H168" i="81"/>
  <c r="G168" i="81"/>
  <c r="F168" i="81"/>
  <c r="E168" i="81"/>
  <c r="D168" i="81"/>
  <c r="C168" i="81"/>
  <c r="B168" i="81"/>
  <c r="A167" i="81"/>
  <c r="K167" i="81"/>
  <c r="J167" i="81"/>
  <c r="I167" i="81"/>
  <c r="H167" i="81"/>
  <c r="G167" i="81"/>
  <c r="F167" i="81"/>
  <c r="E167" i="81"/>
  <c r="D167" i="81"/>
  <c r="C167" i="81"/>
  <c r="B167" i="81"/>
  <c r="A166" i="81"/>
  <c r="K166" i="81"/>
  <c r="J166" i="81"/>
  <c r="I166" i="81"/>
  <c r="H166" i="81"/>
  <c r="G166" i="81"/>
  <c r="F166" i="81"/>
  <c r="E166" i="81"/>
  <c r="D166" i="81"/>
  <c r="C166" i="81"/>
  <c r="B166" i="81"/>
  <c r="A165" i="81"/>
  <c r="K165" i="81"/>
  <c r="J165" i="81"/>
  <c r="I165" i="81"/>
  <c r="H165" i="81"/>
  <c r="G165" i="81"/>
  <c r="F165" i="81"/>
  <c r="E165" i="81"/>
  <c r="D165" i="81"/>
  <c r="C165" i="81"/>
  <c r="B165" i="81"/>
  <c r="A164" i="81"/>
  <c r="K164" i="81"/>
  <c r="J164" i="81"/>
  <c r="I164" i="81"/>
  <c r="H164" i="81"/>
  <c r="G164" i="81"/>
  <c r="F164" i="81"/>
  <c r="E164" i="81"/>
  <c r="D164" i="81"/>
  <c r="C164" i="81"/>
  <c r="B164" i="81"/>
  <c r="A163" i="81"/>
  <c r="K163" i="81"/>
  <c r="J163" i="81"/>
  <c r="I163" i="81"/>
  <c r="H163" i="81"/>
  <c r="G163" i="81"/>
  <c r="F163" i="81"/>
  <c r="E163" i="81"/>
  <c r="D163" i="81"/>
  <c r="C163" i="81"/>
  <c r="B163" i="81"/>
  <c r="A162" i="81"/>
  <c r="K162" i="81"/>
  <c r="J162" i="81"/>
  <c r="I162" i="81"/>
  <c r="H162" i="81"/>
  <c r="G162" i="81"/>
  <c r="F162" i="81"/>
  <c r="E162" i="81"/>
  <c r="D162" i="81"/>
  <c r="C162" i="81"/>
  <c r="B162" i="81"/>
  <c r="A161" i="81"/>
  <c r="K161" i="81"/>
  <c r="J161" i="81"/>
  <c r="I161" i="81"/>
  <c r="H161" i="81"/>
  <c r="G161" i="81"/>
  <c r="F161" i="81"/>
  <c r="E161" i="81"/>
  <c r="D161" i="81"/>
  <c r="C161" i="81"/>
  <c r="B161" i="81"/>
  <c r="A160" i="81"/>
  <c r="K160" i="81"/>
  <c r="J160" i="81"/>
  <c r="I160" i="81"/>
  <c r="H160" i="81"/>
  <c r="G160" i="81"/>
  <c r="F160" i="81"/>
  <c r="E160" i="81"/>
  <c r="D160" i="81"/>
  <c r="C160" i="81"/>
  <c r="B160" i="81"/>
  <c r="A159" i="81"/>
  <c r="K159" i="81"/>
  <c r="J159" i="81"/>
  <c r="I159" i="81"/>
  <c r="H159" i="81"/>
  <c r="G159" i="81"/>
  <c r="F159" i="81"/>
  <c r="E159" i="81"/>
  <c r="D159" i="81"/>
  <c r="C159" i="81"/>
  <c r="B159" i="81"/>
  <c r="A158" i="81"/>
  <c r="K158" i="81"/>
  <c r="J158" i="81"/>
  <c r="I158" i="81"/>
  <c r="H158" i="81"/>
  <c r="G158" i="81"/>
  <c r="F158" i="81"/>
  <c r="E158" i="81"/>
  <c r="D158" i="81"/>
  <c r="C158" i="81"/>
  <c r="B158" i="81"/>
  <c r="A157" i="81"/>
  <c r="K157" i="81"/>
  <c r="J157" i="81"/>
  <c r="I157" i="81"/>
  <c r="H157" i="81"/>
  <c r="G157" i="81"/>
  <c r="F157" i="81"/>
  <c r="E157" i="81"/>
  <c r="D157" i="81"/>
  <c r="C157" i="81"/>
  <c r="B157" i="81"/>
  <c r="A156" i="81"/>
  <c r="K156" i="81"/>
  <c r="J156" i="81"/>
  <c r="I156" i="81"/>
  <c r="H156" i="81"/>
  <c r="G156" i="81"/>
  <c r="F156" i="81"/>
  <c r="E156" i="81"/>
  <c r="D156" i="81"/>
  <c r="C156" i="81"/>
  <c r="B156" i="81"/>
  <c r="A155" i="81"/>
  <c r="K155" i="81"/>
  <c r="J155" i="81"/>
  <c r="I155" i="81"/>
  <c r="H155" i="81"/>
  <c r="G155" i="81"/>
  <c r="F155" i="81"/>
  <c r="E155" i="81"/>
  <c r="D155" i="81"/>
  <c r="C155" i="81"/>
  <c r="B155" i="81"/>
  <c r="A154" i="81"/>
  <c r="K154" i="81"/>
  <c r="J154" i="81"/>
  <c r="I154" i="81"/>
  <c r="H154" i="81"/>
  <c r="G154" i="81"/>
  <c r="F154" i="81"/>
  <c r="E154" i="81"/>
  <c r="D154" i="81"/>
  <c r="C154" i="81"/>
  <c r="B154" i="81"/>
  <c r="A153" i="81"/>
  <c r="K153" i="81"/>
  <c r="J153" i="81"/>
  <c r="I153" i="81"/>
  <c r="H153" i="81"/>
  <c r="G153" i="81"/>
  <c r="F153" i="81"/>
  <c r="E153" i="81"/>
  <c r="D153" i="81"/>
  <c r="C153" i="81"/>
  <c r="B153" i="81"/>
  <c r="A152" i="81"/>
  <c r="K152" i="81"/>
  <c r="J152" i="81"/>
  <c r="I152" i="81"/>
  <c r="H152" i="81"/>
  <c r="G152" i="81"/>
  <c r="F152" i="81"/>
  <c r="E152" i="81"/>
  <c r="D152" i="81"/>
  <c r="C152" i="81"/>
  <c r="B152" i="81"/>
  <c r="A151" i="81"/>
  <c r="K151" i="81"/>
  <c r="J151" i="81"/>
  <c r="I151" i="81"/>
  <c r="H151" i="81"/>
  <c r="G151" i="81"/>
  <c r="F151" i="81"/>
  <c r="E151" i="81"/>
  <c r="D151" i="81"/>
  <c r="C151" i="81"/>
  <c r="B151" i="81"/>
  <c r="A150" i="81"/>
  <c r="K150" i="81"/>
  <c r="J150" i="81"/>
  <c r="I150" i="81"/>
  <c r="H150" i="81"/>
  <c r="G150" i="81"/>
  <c r="F150" i="81"/>
  <c r="E150" i="81"/>
  <c r="D150" i="81"/>
  <c r="C150" i="81"/>
  <c r="B150" i="81"/>
  <c r="A149" i="81"/>
  <c r="K149" i="81"/>
  <c r="J149" i="81"/>
  <c r="I149" i="81"/>
  <c r="H149" i="81"/>
  <c r="G149" i="81"/>
  <c r="F149" i="81"/>
  <c r="E149" i="81"/>
  <c r="D149" i="81"/>
  <c r="C149" i="81"/>
  <c r="B149" i="81"/>
  <c r="A148" i="81"/>
  <c r="K148" i="81"/>
  <c r="J148" i="81"/>
  <c r="I148" i="81"/>
  <c r="H148" i="81"/>
  <c r="G148" i="81"/>
  <c r="F148" i="81"/>
  <c r="E148" i="81"/>
  <c r="D148" i="81"/>
  <c r="C148" i="81"/>
  <c r="B148" i="81"/>
  <c r="A147" i="81"/>
  <c r="K147" i="81"/>
  <c r="J147" i="81"/>
  <c r="I147" i="81"/>
  <c r="H147" i="81"/>
  <c r="G147" i="81"/>
  <c r="F147" i="81"/>
  <c r="E147" i="81"/>
  <c r="D147" i="81"/>
  <c r="C147" i="81"/>
  <c r="B147" i="81"/>
  <c r="A146" i="81"/>
  <c r="K146" i="81"/>
  <c r="J146" i="81"/>
  <c r="I146" i="81"/>
  <c r="H146" i="81"/>
  <c r="G146" i="81"/>
  <c r="F146" i="81"/>
  <c r="E146" i="81"/>
  <c r="D146" i="81"/>
  <c r="C146" i="81"/>
  <c r="B146" i="81"/>
  <c r="A145" i="81"/>
  <c r="K145" i="81"/>
  <c r="J145" i="81"/>
  <c r="I145" i="81"/>
  <c r="H145" i="81"/>
  <c r="G145" i="81"/>
  <c r="F145" i="81"/>
  <c r="E145" i="81"/>
  <c r="D145" i="81"/>
  <c r="C145" i="81"/>
  <c r="B145" i="81"/>
  <c r="A144" i="81"/>
  <c r="K144" i="81"/>
  <c r="J144" i="81"/>
  <c r="I144" i="81"/>
  <c r="H144" i="81"/>
  <c r="G144" i="81"/>
  <c r="F144" i="81"/>
  <c r="E144" i="81"/>
  <c r="D144" i="81"/>
  <c r="C144" i="81"/>
  <c r="B144" i="81"/>
  <c r="A143" i="81"/>
  <c r="K143" i="81"/>
  <c r="J143" i="81"/>
  <c r="I143" i="81"/>
  <c r="H143" i="81"/>
  <c r="G143" i="81"/>
  <c r="F143" i="81"/>
  <c r="E143" i="81"/>
  <c r="D143" i="81"/>
  <c r="C143" i="81"/>
  <c r="B143" i="81"/>
  <c r="A142" i="81"/>
  <c r="K142" i="81"/>
  <c r="J142" i="81"/>
  <c r="I142" i="81"/>
  <c r="H142" i="81"/>
  <c r="G142" i="81"/>
  <c r="F142" i="81"/>
  <c r="E142" i="81"/>
  <c r="D142" i="81"/>
  <c r="C142" i="81"/>
  <c r="B142" i="81"/>
  <c r="A141" i="81"/>
  <c r="K141" i="81"/>
  <c r="J141" i="81"/>
  <c r="I141" i="81"/>
  <c r="H141" i="81"/>
  <c r="G141" i="81"/>
  <c r="F141" i="81"/>
  <c r="E141" i="81"/>
  <c r="D141" i="81"/>
  <c r="C141" i="81"/>
  <c r="B141" i="81"/>
  <c r="A140" i="81"/>
  <c r="K140" i="81"/>
  <c r="J140" i="81"/>
  <c r="I140" i="81"/>
  <c r="H140" i="81"/>
  <c r="G140" i="81"/>
  <c r="F140" i="81"/>
  <c r="E140" i="81"/>
  <c r="D140" i="81"/>
  <c r="C140" i="81"/>
  <c r="B140" i="81"/>
  <c r="A139" i="81"/>
  <c r="K139" i="81"/>
  <c r="J139" i="81"/>
  <c r="I139" i="81"/>
  <c r="H139" i="81"/>
  <c r="G139" i="81"/>
  <c r="F139" i="81"/>
  <c r="E139" i="81"/>
  <c r="D139" i="81"/>
  <c r="C139" i="81"/>
  <c r="B139" i="81"/>
  <c r="A138" i="81"/>
  <c r="K138" i="81"/>
  <c r="J138" i="81"/>
  <c r="I138" i="81"/>
  <c r="H138" i="81"/>
  <c r="G138" i="81"/>
  <c r="F138" i="81"/>
  <c r="E138" i="81"/>
  <c r="D138" i="81"/>
  <c r="C138" i="81"/>
  <c r="B138" i="81"/>
  <c r="A137" i="81"/>
  <c r="K137" i="81"/>
  <c r="J137" i="81"/>
  <c r="I137" i="81"/>
  <c r="H137" i="81"/>
  <c r="G137" i="81"/>
  <c r="F137" i="81"/>
  <c r="E137" i="81"/>
  <c r="D137" i="81"/>
  <c r="C137" i="81"/>
  <c r="B137" i="81"/>
  <c r="A136" i="81"/>
  <c r="K136" i="81"/>
  <c r="J136" i="81"/>
  <c r="I136" i="81"/>
  <c r="H136" i="81"/>
  <c r="G136" i="81"/>
  <c r="F136" i="81"/>
  <c r="E136" i="81"/>
  <c r="D136" i="81"/>
  <c r="C136" i="81"/>
  <c r="B136" i="81"/>
  <c r="A135" i="81"/>
  <c r="K135" i="81"/>
  <c r="J135" i="81"/>
  <c r="I135" i="81"/>
  <c r="H135" i="81"/>
  <c r="G135" i="81"/>
  <c r="F135" i="81"/>
  <c r="E135" i="81"/>
  <c r="D135" i="81"/>
  <c r="C135" i="81"/>
  <c r="B135" i="81"/>
  <c r="A134" i="81"/>
  <c r="K134" i="81"/>
  <c r="J134" i="81"/>
  <c r="I134" i="81"/>
  <c r="H134" i="81"/>
  <c r="G134" i="81"/>
  <c r="F134" i="81"/>
  <c r="E134" i="81"/>
  <c r="D134" i="81"/>
  <c r="C134" i="81"/>
  <c r="B134" i="81"/>
  <c r="A133" i="81"/>
  <c r="K133" i="81"/>
  <c r="J133" i="81"/>
  <c r="I133" i="81"/>
  <c r="H133" i="81"/>
  <c r="G133" i="81"/>
  <c r="F133" i="81"/>
  <c r="E133" i="81"/>
  <c r="D133" i="81"/>
  <c r="C133" i="81"/>
  <c r="B133" i="81"/>
  <c r="A132" i="81"/>
  <c r="K132" i="81"/>
  <c r="J132" i="81"/>
  <c r="I132" i="81"/>
  <c r="H132" i="81"/>
  <c r="G132" i="81"/>
  <c r="F132" i="81"/>
  <c r="E132" i="81"/>
  <c r="D132" i="81"/>
  <c r="C132" i="81"/>
  <c r="B132" i="81"/>
  <c r="A131" i="81"/>
  <c r="K131" i="81"/>
  <c r="J131" i="81"/>
  <c r="I131" i="81"/>
  <c r="H131" i="81"/>
  <c r="G131" i="81"/>
  <c r="F131" i="81"/>
  <c r="E131" i="81"/>
  <c r="D131" i="81"/>
  <c r="C131" i="81"/>
  <c r="B131" i="81"/>
  <c r="A130" i="81"/>
  <c r="K130" i="81"/>
  <c r="J130" i="81"/>
  <c r="I130" i="81"/>
  <c r="H130" i="81"/>
  <c r="G130" i="81"/>
  <c r="F130" i="81"/>
  <c r="E130" i="81"/>
  <c r="D130" i="81"/>
  <c r="C130" i="81"/>
  <c r="B130" i="81"/>
  <c r="A129" i="81"/>
  <c r="K129" i="81"/>
  <c r="J129" i="81"/>
  <c r="I129" i="81"/>
  <c r="H129" i="81"/>
  <c r="G129" i="81"/>
  <c r="F129" i="81"/>
  <c r="E129" i="81"/>
  <c r="D129" i="81"/>
  <c r="C129" i="81"/>
  <c r="B129" i="81"/>
  <c r="A128" i="81"/>
  <c r="K128" i="81"/>
  <c r="J128" i="81"/>
  <c r="I128" i="81"/>
  <c r="H128" i="81"/>
  <c r="G128" i="81"/>
  <c r="F128" i="81"/>
  <c r="E128" i="81"/>
  <c r="D128" i="81"/>
  <c r="C128" i="81"/>
  <c r="B128" i="81"/>
  <c r="A127" i="81"/>
  <c r="K127" i="81"/>
  <c r="J127" i="81"/>
  <c r="I127" i="81"/>
  <c r="H127" i="81"/>
  <c r="G127" i="81"/>
  <c r="F127" i="81"/>
  <c r="E127" i="81"/>
  <c r="D127" i="81"/>
  <c r="C127" i="81"/>
  <c r="B127" i="81"/>
  <c r="A126" i="81"/>
  <c r="K126" i="81"/>
  <c r="J126" i="81"/>
  <c r="I126" i="81"/>
  <c r="H126" i="81"/>
  <c r="G126" i="81"/>
  <c r="F126" i="81"/>
  <c r="E126" i="81"/>
  <c r="D126" i="81"/>
  <c r="C126" i="81"/>
  <c r="B126" i="81"/>
  <c r="A125" i="81"/>
  <c r="K125" i="81"/>
  <c r="J125" i="81"/>
  <c r="I125" i="81"/>
  <c r="H125" i="81"/>
  <c r="G125" i="81"/>
  <c r="F125" i="81"/>
  <c r="E125" i="81"/>
  <c r="D125" i="81"/>
  <c r="C125" i="81"/>
  <c r="B125" i="81"/>
  <c r="A124" i="81"/>
  <c r="K124" i="81"/>
  <c r="J124" i="81"/>
  <c r="I124" i="81"/>
  <c r="H124" i="81"/>
  <c r="G124" i="81"/>
  <c r="F124" i="81"/>
  <c r="E124" i="81"/>
  <c r="D124" i="81"/>
  <c r="C124" i="81"/>
  <c r="B124" i="81"/>
  <c r="A123" i="81"/>
  <c r="K123" i="81"/>
  <c r="J123" i="81"/>
  <c r="I123" i="81"/>
  <c r="H123" i="81"/>
  <c r="G123" i="81"/>
  <c r="F123" i="81"/>
  <c r="E123" i="81"/>
  <c r="D123" i="81"/>
  <c r="C123" i="81"/>
  <c r="B123" i="81"/>
  <c r="A122" i="81"/>
  <c r="K122" i="81"/>
  <c r="J122" i="81"/>
  <c r="I122" i="81"/>
  <c r="H122" i="81"/>
  <c r="G122" i="81"/>
  <c r="F122" i="81"/>
  <c r="E122" i="81"/>
  <c r="D122" i="81"/>
  <c r="C122" i="81"/>
  <c r="B122" i="81"/>
  <c r="A121" i="81"/>
  <c r="K121" i="81"/>
  <c r="J121" i="81"/>
  <c r="I121" i="81"/>
  <c r="H121" i="81"/>
  <c r="G121" i="81"/>
  <c r="F121" i="81"/>
  <c r="E121" i="81"/>
  <c r="D121" i="81"/>
  <c r="C121" i="81"/>
  <c r="B121" i="81"/>
  <c r="A120" i="81"/>
  <c r="K120" i="81"/>
  <c r="J120" i="81"/>
  <c r="I120" i="81"/>
  <c r="H120" i="81"/>
  <c r="G120" i="81"/>
  <c r="F120" i="81"/>
  <c r="E120" i="81"/>
  <c r="D120" i="81"/>
  <c r="C120" i="81"/>
  <c r="B120" i="81"/>
  <c r="A119" i="81"/>
  <c r="K119" i="81"/>
  <c r="J119" i="81"/>
  <c r="I119" i="81"/>
  <c r="H119" i="81"/>
  <c r="G119" i="81"/>
  <c r="F119" i="81"/>
  <c r="E119" i="81"/>
  <c r="D119" i="81"/>
  <c r="C119" i="81"/>
  <c r="B119" i="81"/>
  <c r="A118" i="81"/>
  <c r="K118" i="81"/>
  <c r="J118" i="81"/>
  <c r="I118" i="81"/>
  <c r="H118" i="81"/>
  <c r="G118" i="81"/>
  <c r="F118" i="81"/>
  <c r="E118" i="81"/>
  <c r="D118" i="81"/>
  <c r="C118" i="81"/>
  <c r="B118" i="81"/>
  <c r="A117" i="81"/>
  <c r="K117" i="81"/>
  <c r="J117" i="81"/>
  <c r="I117" i="81"/>
  <c r="H117" i="81"/>
  <c r="G117" i="81"/>
  <c r="F117" i="81"/>
  <c r="E117" i="81"/>
  <c r="D117" i="81"/>
  <c r="C117" i="81"/>
  <c r="B117" i="81"/>
  <c r="A116" i="81"/>
  <c r="K116" i="81"/>
  <c r="J116" i="81"/>
  <c r="I116" i="81"/>
  <c r="H116" i="81"/>
  <c r="G116" i="81"/>
  <c r="F116" i="81"/>
  <c r="E116" i="81"/>
  <c r="D116" i="81"/>
  <c r="C116" i="81"/>
  <c r="B116" i="81"/>
  <c r="A115" i="81"/>
  <c r="K115" i="81"/>
  <c r="J115" i="81"/>
  <c r="I115" i="81"/>
  <c r="H115" i="81"/>
  <c r="G115" i="81"/>
  <c r="F115" i="81"/>
  <c r="E115" i="81"/>
  <c r="D115" i="81"/>
  <c r="C115" i="81"/>
  <c r="B115" i="81"/>
  <c r="A114" i="81"/>
  <c r="K114" i="81"/>
  <c r="J114" i="81"/>
  <c r="I114" i="81"/>
  <c r="H114" i="81"/>
  <c r="G114" i="81"/>
  <c r="F114" i="81"/>
  <c r="E114" i="81"/>
  <c r="D114" i="81"/>
  <c r="C114" i="81"/>
  <c r="B114" i="81"/>
  <c r="A113" i="81"/>
  <c r="K113" i="81"/>
  <c r="J113" i="81"/>
  <c r="I113" i="81"/>
  <c r="H113" i="81"/>
  <c r="G113" i="81"/>
  <c r="F113" i="81"/>
  <c r="E113" i="81"/>
  <c r="D113" i="81"/>
  <c r="C113" i="81"/>
  <c r="B113" i="81"/>
  <c r="A112" i="81"/>
  <c r="K112" i="81"/>
  <c r="J112" i="81"/>
  <c r="I112" i="81"/>
  <c r="H112" i="81"/>
  <c r="G112" i="81"/>
  <c r="F112" i="81"/>
  <c r="E112" i="81"/>
  <c r="D112" i="81"/>
  <c r="C112" i="81"/>
  <c r="B112" i="81"/>
  <c r="A111" i="81"/>
  <c r="K111" i="81"/>
  <c r="J111" i="81"/>
  <c r="I111" i="81"/>
  <c r="H111" i="81"/>
  <c r="G111" i="81"/>
  <c r="F111" i="81"/>
  <c r="E111" i="81"/>
  <c r="D111" i="81"/>
  <c r="C111" i="81"/>
  <c r="B111" i="81"/>
  <c r="A110" i="81"/>
  <c r="K110" i="81"/>
  <c r="J110" i="81"/>
  <c r="I110" i="81"/>
  <c r="H110" i="81"/>
  <c r="G110" i="81"/>
  <c r="F110" i="81"/>
  <c r="E110" i="81"/>
  <c r="D110" i="81"/>
  <c r="C110" i="81"/>
  <c r="B110" i="81"/>
  <c r="A109" i="81"/>
  <c r="K109" i="81"/>
  <c r="J109" i="81"/>
  <c r="I109" i="81"/>
  <c r="H109" i="81"/>
  <c r="G109" i="81"/>
  <c r="F109" i="81"/>
  <c r="E109" i="81"/>
  <c r="D109" i="81"/>
  <c r="C109" i="81"/>
  <c r="B109" i="81"/>
  <c r="A108" i="81"/>
  <c r="K108" i="81"/>
  <c r="J108" i="81"/>
  <c r="I108" i="81"/>
  <c r="H108" i="81"/>
  <c r="G108" i="81"/>
  <c r="F108" i="81"/>
  <c r="E108" i="81"/>
  <c r="D108" i="81"/>
  <c r="C108" i="81"/>
  <c r="B108" i="81"/>
  <c r="A107" i="81"/>
  <c r="K107" i="81"/>
  <c r="J107" i="81"/>
  <c r="I107" i="81"/>
  <c r="H107" i="81"/>
  <c r="G107" i="81"/>
  <c r="F107" i="81"/>
  <c r="E107" i="81"/>
  <c r="D107" i="81"/>
  <c r="C107" i="81"/>
  <c r="B107" i="81"/>
  <c r="A106" i="81"/>
  <c r="K106" i="81"/>
  <c r="J106" i="81"/>
  <c r="I106" i="81"/>
  <c r="H106" i="81"/>
  <c r="G106" i="81"/>
  <c r="F106" i="81"/>
  <c r="E106" i="81"/>
  <c r="D106" i="81"/>
  <c r="C106" i="81"/>
  <c r="B106" i="81"/>
  <c r="A105" i="81"/>
  <c r="K105" i="81"/>
  <c r="J105" i="81"/>
  <c r="I105" i="81"/>
  <c r="H105" i="81"/>
  <c r="G105" i="81"/>
  <c r="F105" i="81"/>
  <c r="E105" i="81"/>
  <c r="D105" i="81"/>
  <c r="C105" i="81"/>
  <c r="B105" i="81"/>
  <c r="A104" i="81"/>
  <c r="K104" i="81"/>
  <c r="J104" i="81"/>
  <c r="I104" i="81"/>
  <c r="H104" i="81"/>
  <c r="G104" i="81"/>
  <c r="F104" i="81"/>
  <c r="E104" i="81"/>
  <c r="D104" i="81"/>
  <c r="C104" i="81"/>
  <c r="B104" i="81"/>
  <c r="A103" i="81"/>
  <c r="K103" i="81"/>
  <c r="J103" i="81"/>
  <c r="I103" i="81"/>
  <c r="H103" i="81"/>
  <c r="G103" i="81"/>
  <c r="F103" i="81"/>
  <c r="E103" i="81"/>
  <c r="D103" i="81"/>
  <c r="C103" i="81"/>
  <c r="B103" i="81"/>
  <c r="A102" i="81"/>
  <c r="K102" i="81"/>
  <c r="J102" i="81"/>
  <c r="I102" i="81"/>
  <c r="H102" i="81"/>
  <c r="G102" i="81"/>
  <c r="F102" i="81"/>
  <c r="E102" i="81"/>
  <c r="D102" i="81"/>
  <c r="C102" i="81"/>
  <c r="B102" i="81"/>
  <c r="A101" i="81"/>
  <c r="K101" i="81"/>
  <c r="J101" i="81"/>
  <c r="I101" i="81"/>
  <c r="H101" i="81"/>
  <c r="G101" i="81"/>
  <c r="F101" i="81"/>
  <c r="E101" i="81"/>
  <c r="D101" i="81"/>
  <c r="C101" i="81"/>
  <c r="B101" i="81"/>
  <c r="A100" i="81"/>
  <c r="K100" i="81"/>
  <c r="J100" i="81"/>
  <c r="I100" i="81"/>
  <c r="H100" i="81"/>
  <c r="G100" i="81"/>
  <c r="F100" i="81"/>
  <c r="E100" i="81"/>
  <c r="D100" i="81"/>
  <c r="C100" i="81"/>
  <c r="B100" i="81"/>
  <c r="A99" i="81"/>
  <c r="K99" i="81"/>
  <c r="J99" i="81"/>
  <c r="I99" i="81"/>
  <c r="H99" i="81"/>
  <c r="G99" i="81"/>
  <c r="F99" i="81"/>
  <c r="E99" i="81"/>
  <c r="D99" i="81"/>
  <c r="C99" i="81"/>
  <c r="B99" i="81"/>
  <c r="A98" i="81"/>
  <c r="K98" i="81"/>
  <c r="J98" i="81"/>
  <c r="I98" i="81"/>
  <c r="H98" i="81"/>
  <c r="G98" i="81"/>
  <c r="F98" i="81"/>
  <c r="E98" i="81"/>
  <c r="D98" i="81"/>
  <c r="C98" i="81"/>
  <c r="B98" i="81"/>
  <c r="A97" i="81"/>
  <c r="K97" i="81"/>
  <c r="J97" i="81"/>
  <c r="I97" i="81"/>
  <c r="H97" i="81"/>
  <c r="G97" i="81"/>
  <c r="F97" i="81"/>
  <c r="E97" i="81"/>
  <c r="D97" i="81"/>
  <c r="C97" i="81"/>
  <c r="B97" i="81"/>
  <c r="A96" i="81"/>
  <c r="K96" i="81"/>
  <c r="J96" i="81"/>
  <c r="I96" i="81"/>
  <c r="H96" i="81"/>
  <c r="G96" i="81"/>
  <c r="F96" i="81"/>
  <c r="E96" i="81"/>
  <c r="D96" i="81"/>
  <c r="C96" i="81"/>
  <c r="B96" i="81"/>
  <c r="A95" i="81"/>
  <c r="K95" i="81"/>
  <c r="J95" i="81"/>
  <c r="I95" i="81"/>
  <c r="H95" i="81"/>
  <c r="G95" i="81"/>
  <c r="F95" i="81"/>
  <c r="E95" i="81"/>
  <c r="D95" i="81"/>
  <c r="C95" i="81"/>
  <c r="B95" i="81"/>
  <c r="A94" i="81"/>
  <c r="K94" i="81"/>
  <c r="J94" i="81"/>
  <c r="I94" i="81"/>
  <c r="H94" i="81"/>
  <c r="G94" i="81"/>
  <c r="F94" i="81"/>
  <c r="E94" i="81"/>
  <c r="D94" i="81"/>
  <c r="C94" i="81"/>
  <c r="B94" i="81"/>
  <c r="A93" i="81"/>
  <c r="K93" i="81"/>
  <c r="J93" i="81"/>
  <c r="I93" i="81"/>
  <c r="H93" i="81"/>
  <c r="G93" i="81"/>
  <c r="F93" i="81"/>
  <c r="E93" i="81"/>
  <c r="D93" i="81"/>
  <c r="C93" i="81"/>
  <c r="B93" i="81"/>
  <c r="A92" i="81"/>
  <c r="K92" i="81"/>
  <c r="J92" i="81"/>
  <c r="I92" i="81"/>
  <c r="H92" i="81"/>
  <c r="G92" i="81"/>
  <c r="F92" i="81"/>
  <c r="E92" i="81"/>
  <c r="D92" i="81"/>
  <c r="C92" i="81"/>
  <c r="B92" i="81"/>
  <c r="A91" i="81"/>
  <c r="K91" i="81"/>
  <c r="J91" i="81"/>
  <c r="I91" i="81"/>
  <c r="H91" i="81"/>
  <c r="G91" i="81"/>
  <c r="F91" i="81"/>
  <c r="E91" i="81"/>
  <c r="D91" i="81"/>
  <c r="C91" i="81"/>
  <c r="B91" i="81"/>
  <c r="A90" i="81"/>
  <c r="K90" i="81"/>
  <c r="J90" i="81"/>
  <c r="I90" i="81"/>
  <c r="H90" i="81"/>
  <c r="G90" i="81"/>
  <c r="F90" i="81"/>
  <c r="E90" i="81"/>
  <c r="D90" i="81"/>
  <c r="C90" i="81"/>
  <c r="B90" i="81"/>
  <c r="A89" i="81"/>
  <c r="K89" i="81"/>
  <c r="J89" i="81"/>
  <c r="I89" i="81"/>
  <c r="H89" i="81"/>
  <c r="G89" i="81"/>
  <c r="F89" i="81"/>
  <c r="E89" i="81"/>
  <c r="D89" i="81"/>
  <c r="C89" i="81"/>
  <c r="B89" i="81"/>
  <c r="A88" i="81"/>
  <c r="K88" i="81"/>
  <c r="J88" i="81"/>
  <c r="I88" i="81"/>
  <c r="H88" i="81"/>
  <c r="G88" i="81"/>
  <c r="F88" i="81"/>
  <c r="E88" i="81"/>
  <c r="D88" i="81"/>
  <c r="C88" i="81"/>
  <c r="B88" i="81"/>
  <c r="A87" i="81"/>
  <c r="K87" i="81"/>
  <c r="J87" i="81"/>
  <c r="I87" i="81"/>
  <c r="H87" i="81"/>
  <c r="G87" i="81"/>
  <c r="F87" i="81"/>
  <c r="E87" i="81"/>
  <c r="D87" i="81"/>
  <c r="C87" i="81"/>
  <c r="B87" i="81"/>
  <c r="A86" i="81"/>
  <c r="K86" i="81"/>
  <c r="J86" i="81"/>
  <c r="I86" i="81"/>
  <c r="H86" i="81"/>
  <c r="G86" i="81"/>
  <c r="F86" i="81"/>
  <c r="E86" i="81"/>
  <c r="D86" i="81"/>
  <c r="C86" i="81"/>
  <c r="B86" i="81"/>
  <c r="A85" i="81"/>
  <c r="K85" i="81"/>
  <c r="J85" i="81"/>
  <c r="I85" i="81"/>
  <c r="H85" i="81"/>
  <c r="G85" i="81"/>
  <c r="F85" i="81"/>
  <c r="E85" i="81"/>
  <c r="D85" i="81"/>
  <c r="C85" i="81"/>
  <c r="B85" i="81"/>
  <c r="A84" i="81"/>
  <c r="K84" i="81"/>
  <c r="J84" i="81"/>
  <c r="I84" i="81"/>
  <c r="H84" i="81"/>
  <c r="G84" i="81"/>
  <c r="F84" i="81"/>
  <c r="E84" i="81"/>
  <c r="D84" i="81"/>
  <c r="C84" i="81"/>
  <c r="B84" i="81"/>
  <c r="A83" i="81"/>
  <c r="K83" i="81"/>
  <c r="J83" i="81"/>
  <c r="I83" i="81"/>
  <c r="H83" i="81"/>
  <c r="G83" i="81"/>
  <c r="F83" i="81"/>
  <c r="E83" i="81"/>
  <c r="D83" i="81"/>
  <c r="C83" i="81"/>
  <c r="B83" i="81"/>
  <c r="A82" i="81"/>
  <c r="K82" i="81"/>
  <c r="J82" i="81"/>
  <c r="I82" i="81"/>
  <c r="H82" i="81"/>
  <c r="G82" i="81"/>
  <c r="F82" i="81"/>
  <c r="E82" i="81"/>
  <c r="D82" i="81"/>
  <c r="C82" i="81"/>
  <c r="B82" i="81"/>
  <c r="A81" i="81"/>
  <c r="K81" i="81"/>
  <c r="J81" i="81"/>
  <c r="I81" i="81"/>
  <c r="H81" i="81"/>
  <c r="G81" i="81"/>
  <c r="F81" i="81"/>
  <c r="E81" i="81"/>
  <c r="D81" i="81"/>
  <c r="C81" i="81"/>
  <c r="B81" i="81"/>
  <c r="A80" i="81"/>
  <c r="K80" i="81"/>
  <c r="J80" i="81"/>
  <c r="I80" i="81"/>
  <c r="H80" i="81"/>
  <c r="G80" i="81"/>
  <c r="F80" i="81"/>
  <c r="E80" i="81"/>
  <c r="D80" i="81"/>
  <c r="C80" i="81"/>
  <c r="B80" i="81"/>
  <c r="A79" i="81"/>
  <c r="K79" i="81"/>
  <c r="J79" i="81"/>
  <c r="I79" i="81"/>
  <c r="H79" i="81"/>
  <c r="G79" i="81"/>
  <c r="F79" i="81"/>
  <c r="E79" i="81"/>
  <c r="D79" i="81"/>
  <c r="C79" i="81"/>
  <c r="B79" i="81"/>
  <c r="A78" i="81"/>
  <c r="K78" i="81"/>
  <c r="J78" i="81"/>
  <c r="I78" i="81"/>
  <c r="H78" i="81"/>
  <c r="G78" i="81"/>
  <c r="F78" i="81"/>
  <c r="E78" i="81"/>
  <c r="D78" i="81"/>
  <c r="C78" i="81"/>
  <c r="B78" i="81"/>
  <c r="A77" i="81"/>
  <c r="K77" i="81"/>
  <c r="J77" i="81"/>
  <c r="I77" i="81"/>
  <c r="H77" i="81"/>
  <c r="G77" i="81"/>
  <c r="F77" i="81"/>
  <c r="E77" i="81"/>
  <c r="D77" i="81"/>
  <c r="C77" i="81"/>
  <c r="B77" i="81"/>
  <c r="A76" i="81"/>
  <c r="K76" i="81"/>
  <c r="J76" i="81"/>
  <c r="I76" i="81"/>
  <c r="H76" i="81"/>
  <c r="G76" i="81"/>
  <c r="F76" i="81"/>
  <c r="E76" i="81"/>
  <c r="D76" i="81"/>
  <c r="C76" i="81"/>
  <c r="B76" i="81"/>
  <c r="A75" i="81"/>
  <c r="K75" i="81"/>
  <c r="J75" i="81"/>
  <c r="I75" i="81"/>
  <c r="H75" i="81"/>
  <c r="G75" i="81"/>
  <c r="F75" i="81"/>
  <c r="E75" i="81"/>
  <c r="D75" i="81"/>
  <c r="C75" i="81"/>
  <c r="B75" i="81"/>
  <c r="A74" i="81"/>
  <c r="K74" i="81"/>
  <c r="J74" i="81"/>
  <c r="I74" i="81"/>
  <c r="H74" i="81"/>
  <c r="G74" i="81"/>
  <c r="F74" i="81"/>
  <c r="E74" i="81"/>
  <c r="D74" i="81"/>
  <c r="C74" i="81"/>
  <c r="B74" i="81"/>
  <c r="A73" i="81"/>
  <c r="K73" i="81"/>
  <c r="J73" i="81"/>
  <c r="I73" i="81"/>
  <c r="H73" i="81"/>
  <c r="G73" i="81"/>
  <c r="F73" i="81"/>
  <c r="E73" i="81"/>
  <c r="D73" i="81"/>
  <c r="C73" i="81"/>
  <c r="B73" i="81"/>
  <c r="A72" i="81"/>
  <c r="K72" i="81"/>
  <c r="J72" i="81"/>
  <c r="I72" i="81"/>
  <c r="H72" i="81"/>
  <c r="G72" i="81"/>
  <c r="F72" i="81"/>
  <c r="E72" i="81"/>
  <c r="D72" i="81"/>
  <c r="C72" i="81"/>
  <c r="B72" i="81"/>
  <c r="A71" i="81"/>
  <c r="K71" i="81"/>
  <c r="J71" i="81"/>
  <c r="I71" i="81"/>
  <c r="H71" i="81"/>
  <c r="G71" i="81"/>
  <c r="F71" i="81"/>
  <c r="E71" i="81"/>
  <c r="D71" i="81"/>
  <c r="C71" i="81"/>
  <c r="B71" i="81"/>
  <c r="A70" i="81"/>
  <c r="K70" i="81"/>
  <c r="J70" i="81"/>
  <c r="I70" i="81"/>
  <c r="H70" i="81"/>
  <c r="G70" i="81"/>
  <c r="F70" i="81"/>
  <c r="E70" i="81"/>
  <c r="D70" i="81"/>
  <c r="C70" i="81"/>
  <c r="B70" i="81"/>
  <c r="A69" i="81"/>
  <c r="K69" i="81"/>
  <c r="J69" i="81"/>
  <c r="I69" i="81"/>
  <c r="H69" i="81"/>
  <c r="G69" i="81"/>
  <c r="F69" i="81"/>
  <c r="E69" i="81"/>
  <c r="D69" i="81"/>
  <c r="C69" i="81"/>
  <c r="B69" i="81"/>
  <c r="A68" i="81"/>
  <c r="K68" i="81"/>
  <c r="J68" i="81"/>
  <c r="I68" i="81"/>
  <c r="H68" i="81"/>
  <c r="G68" i="81"/>
  <c r="F68" i="81"/>
  <c r="E68" i="81"/>
  <c r="D68" i="81"/>
  <c r="C68" i="81"/>
  <c r="B68" i="81"/>
  <c r="A67" i="81"/>
  <c r="K67" i="81"/>
  <c r="J67" i="81"/>
  <c r="I67" i="81"/>
  <c r="H67" i="81"/>
  <c r="G67" i="81"/>
  <c r="F67" i="81"/>
  <c r="E67" i="81"/>
  <c r="D67" i="81"/>
  <c r="C67" i="81"/>
  <c r="B67" i="81"/>
  <c r="A66" i="81"/>
  <c r="K66" i="81"/>
  <c r="J66" i="81"/>
  <c r="I66" i="81"/>
  <c r="H66" i="81"/>
  <c r="G66" i="81"/>
  <c r="F66" i="81"/>
  <c r="E66" i="81"/>
  <c r="D66" i="81"/>
  <c r="C66" i="81"/>
  <c r="B66" i="81"/>
  <c r="A65" i="81"/>
  <c r="K65" i="81"/>
  <c r="J65" i="81"/>
  <c r="I65" i="81"/>
  <c r="H65" i="81"/>
  <c r="G65" i="81"/>
  <c r="F65" i="81"/>
  <c r="E65" i="81"/>
  <c r="D65" i="81"/>
  <c r="C65" i="81"/>
  <c r="B65" i="81"/>
  <c r="A64" i="81"/>
  <c r="K64" i="81"/>
  <c r="J64" i="81"/>
  <c r="I64" i="81"/>
  <c r="H64" i="81"/>
  <c r="G64" i="81"/>
  <c r="F64" i="81"/>
  <c r="E64" i="81"/>
  <c r="D64" i="81"/>
  <c r="C64" i="81"/>
  <c r="B64" i="81"/>
  <c r="A63" i="81"/>
  <c r="K63" i="81"/>
  <c r="J63" i="81"/>
  <c r="I63" i="81"/>
  <c r="H63" i="81"/>
  <c r="G63" i="81"/>
  <c r="F63" i="81"/>
  <c r="E63" i="81"/>
  <c r="D63" i="81"/>
  <c r="C63" i="81"/>
  <c r="B63" i="81"/>
  <c r="A62" i="81"/>
  <c r="K62" i="81"/>
  <c r="J62" i="81"/>
  <c r="I62" i="81"/>
  <c r="H62" i="81"/>
  <c r="G62" i="81"/>
  <c r="F62" i="81"/>
  <c r="E62" i="81"/>
  <c r="D62" i="81"/>
  <c r="C62" i="81"/>
  <c r="B62" i="81"/>
  <c r="A61" i="81"/>
  <c r="K61" i="81"/>
  <c r="J61" i="81"/>
  <c r="I61" i="81"/>
  <c r="H61" i="81"/>
  <c r="G61" i="81"/>
  <c r="F61" i="81"/>
  <c r="E61" i="81"/>
  <c r="D61" i="81"/>
  <c r="C61" i="81"/>
  <c r="B61" i="81"/>
  <c r="A60" i="81"/>
  <c r="K60" i="81"/>
  <c r="J60" i="81"/>
  <c r="I60" i="81"/>
  <c r="H60" i="81"/>
  <c r="G60" i="81"/>
  <c r="F60" i="81"/>
  <c r="E60" i="81"/>
  <c r="D60" i="81"/>
  <c r="C60" i="81"/>
  <c r="B60" i="81"/>
  <c r="A59" i="81"/>
  <c r="K59" i="81"/>
  <c r="J59" i="81"/>
  <c r="I59" i="81"/>
  <c r="H59" i="81"/>
  <c r="G59" i="81"/>
  <c r="F59" i="81"/>
  <c r="E59" i="81"/>
  <c r="D59" i="81"/>
  <c r="C59" i="81"/>
  <c r="B59" i="81"/>
  <c r="A58" i="81"/>
  <c r="K58" i="81"/>
  <c r="J58" i="81"/>
  <c r="I58" i="81"/>
  <c r="H58" i="81"/>
  <c r="G58" i="81"/>
  <c r="F58" i="81"/>
  <c r="E58" i="81"/>
  <c r="D58" i="81"/>
  <c r="C58" i="81"/>
  <c r="B58" i="81"/>
  <c r="A57" i="81"/>
  <c r="K57" i="81"/>
  <c r="J57" i="81"/>
  <c r="I57" i="81"/>
  <c r="H57" i="81"/>
  <c r="G57" i="81"/>
  <c r="F57" i="81"/>
  <c r="E57" i="81"/>
  <c r="D57" i="81"/>
  <c r="C57" i="81"/>
  <c r="B57" i="81"/>
  <c r="A56" i="81"/>
  <c r="K56" i="81"/>
  <c r="J56" i="81"/>
  <c r="I56" i="81"/>
  <c r="H56" i="81"/>
  <c r="G56" i="81"/>
  <c r="F56" i="81"/>
  <c r="E56" i="81"/>
  <c r="D56" i="81"/>
  <c r="C56" i="81"/>
  <c r="B56" i="81"/>
  <c r="A55" i="81"/>
  <c r="K55" i="81"/>
  <c r="J55" i="81"/>
  <c r="I55" i="81"/>
  <c r="H55" i="81"/>
  <c r="G55" i="81"/>
  <c r="F55" i="81"/>
  <c r="E55" i="81"/>
  <c r="D55" i="81"/>
  <c r="C55" i="81"/>
  <c r="B55" i="81"/>
  <c r="A54" i="81"/>
  <c r="K54" i="81"/>
  <c r="J54" i="81"/>
  <c r="I54" i="81"/>
  <c r="H54" i="81"/>
  <c r="G54" i="81"/>
  <c r="F54" i="81"/>
  <c r="E54" i="81"/>
  <c r="D54" i="81"/>
  <c r="C54" i="81"/>
  <c r="B54" i="81"/>
  <c r="A53" i="81"/>
  <c r="K53" i="81"/>
  <c r="J53" i="81"/>
  <c r="I53" i="81"/>
  <c r="H53" i="81"/>
  <c r="G53" i="81"/>
  <c r="F53" i="81"/>
  <c r="E53" i="81"/>
  <c r="D53" i="81"/>
  <c r="C53" i="81"/>
  <c r="B53" i="81"/>
  <c r="A52" i="81"/>
  <c r="K52" i="81"/>
  <c r="J52" i="81"/>
  <c r="I52" i="81"/>
  <c r="H52" i="81"/>
  <c r="G52" i="81"/>
  <c r="F52" i="81"/>
  <c r="E52" i="81"/>
  <c r="D52" i="81"/>
  <c r="C52" i="81"/>
  <c r="B52" i="81"/>
  <c r="A51" i="81"/>
  <c r="K51" i="81"/>
  <c r="J51" i="81"/>
  <c r="I51" i="81"/>
  <c r="H51" i="81"/>
  <c r="G51" i="81"/>
  <c r="F51" i="81"/>
  <c r="E51" i="81"/>
  <c r="D51" i="81"/>
  <c r="C51" i="81"/>
  <c r="B51" i="81"/>
  <c r="A50" i="81"/>
  <c r="K50" i="81"/>
  <c r="J50" i="81"/>
  <c r="I50" i="81"/>
  <c r="H50" i="81"/>
  <c r="G50" i="81"/>
  <c r="F50" i="81"/>
  <c r="E50" i="81"/>
  <c r="D50" i="81"/>
  <c r="C50" i="81"/>
  <c r="B50" i="81"/>
  <c r="A49" i="81"/>
  <c r="K49" i="81"/>
  <c r="J49" i="81"/>
  <c r="I49" i="81"/>
  <c r="H49" i="81"/>
  <c r="G49" i="81"/>
  <c r="F49" i="81"/>
  <c r="E49" i="81"/>
  <c r="D49" i="81"/>
  <c r="C49" i="81"/>
  <c r="B49" i="81"/>
  <c r="A48" i="81"/>
  <c r="K48" i="81"/>
  <c r="J48" i="81"/>
  <c r="I48" i="81"/>
  <c r="H48" i="81"/>
  <c r="G48" i="81"/>
  <c r="F48" i="81"/>
  <c r="E48" i="81"/>
  <c r="D48" i="81"/>
  <c r="C48" i="81"/>
  <c r="B48" i="81"/>
  <c r="A47" i="81"/>
  <c r="K47" i="81"/>
  <c r="J47" i="81"/>
  <c r="I47" i="81"/>
  <c r="H47" i="81"/>
  <c r="G47" i="81"/>
  <c r="F47" i="81"/>
  <c r="E47" i="81"/>
  <c r="D47" i="81"/>
  <c r="C47" i="81"/>
  <c r="B47" i="81"/>
  <c r="A46" i="81"/>
  <c r="K46" i="81"/>
  <c r="J46" i="81"/>
  <c r="I46" i="81"/>
  <c r="H46" i="81"/>
  <c r="G46" i="81"/>
  <c r="F46" i="81"/>
  <c r="E46" i="81"/>
  <c r="D46" i="81"/>
  <c r="C46" i="81"/>
  <c r="B46" i="81"/>
  <c r="A45" i="81"/>
  <c r="K45" i="81"/>
  <c r="J45" i="81"/>
  <c r="I45" i="81"/>
  <c r="H45" i="81"/>
  <c r="G45" i="81"/>
  <c r="F45" i="81"/>
  <c r="E45" i="81"/>
  <c r="D45" i="81"/>
  <c r="C45" i="81"/>
  <c r="B45" i="81"/>
  <c r="A44" i="81"/>
  <c r="K44" i="81"/>
  <c r="J44" i="81"/>
  <c r="I44" i="81"/>
  <c r="H44" i="81"/>
  <c r="G44" i="81"/>
  <c r="F44" i="81"/>
  <c r="E44" i="81"/>
  <c r="D44" i="81"/>
  <c r="C44" i="81"/>
  <c r="B44" i="81"/>
  <c r="A43" i="81"/>
  <c r="K43" i="81"/>
  <c r="J43" i="81"/>
  <c r="I43" i="81"/>
  <c r="H43" i="81"/>
  <c r="G43" i="81"/>
  <c r="F43" i="81"/>
  <c r="E43" i="81"/>
  <c r="D43" i="81"/>
  <c r="C43" i="81"/>
  <c r="B43" i="81"/>
  <c r="A42" i="81"/>
  <c r="K42" i="81"/>
  <c r="J42" i="81"/>
  <c r="I42" i="81"/>
  <c r="H42" i="81"/>
  <c r="G42" i="81"/>
  <c r="F42" i="81"/>
  <c r="E42" i="81"/>
  <c r="D42" i="81"/>
  <c r="C42" i="81"/>
  <c r="B42" i="81"/>
  <c r="A41" i="81"/>
  <c r="K41" i="81"/>
  <c r="J41" i="81"/>
  <c r="I41" i="81"/>
  <c r="H41" i="81"/>
  <c r="G41" i="81"/>
  <c r="F41" i="81"/>
  <c r="E41" i="81"/>
  <c r="D41" i="81"/>
  <c r="C41" i="81"/>
  <c r="B41" i="81"/>
  <c r="A40" i="81"/>
  <c r="K40" i="81"/>
  <c r="J40" i="81"/>
  <c r="I40" i="81"/>
  <c r="H40" i="81"/>
  <c r="G40" i="81"/>
  <c r="F40" i="81"/>
  <c r="E40" i="81"/>
  <c r="D40" i="81"/>
  <c r="C40" i="81"/>
  <c r="B40" i="81"/>
  <c r="A39" i="81"/>
  <c r="K39" i="81"/>
  <c r="J39" i="81"/>
  <c r="I39" i="81"/>
  <c r="H39" i="81"/>
  <c r="G39" i="81"/>
  <c r="F39" i="81"/>
  <c r="E39" i="81"/>
  <c r="D39" i="81"/>
  <c r="C39" i="81"/>
  <c r="B39" i="81"/>
  <c r="A38" i="81"/>
  <c r="K38" i="81"/>
  <c r="J38" i="81"/>
  <c r="I38" i="81"/>
  <c r="H38" i="81"/>
  <c r="G38" i="81"/>
  <c r="F38" i="81"/>
  <c r="E38" i="81"/>
  <c r="D38" i="81"/>
  <c r="C38" i="81"/>
  <c r="B38" i="81"/>
  <c r="A37" i="81"/>
  <c r="K37" i="81"/>
  <c r="J37" i="81"/>
  <c r="I37" i="81"/>
  <c r="H37" i="81"/>
  <c r="G37" i="81"/>
  <c r="F37" i="81"/>
  <c r="E37" i="81"/>
  <c r="D37" i="81"/>
  <c r="C37" i="81"/>
  <c r="B37" i="81"/>
  <c r="A36" i="81"/>
  <c r="K36" i="81"/>
  <c r="J36" i="81"/>
  <c r="I36" i="81"/>
  <c r="H36" i="81"/>
  <c r="G36" i="81"/>
  <c r="F36" i="81"/>
  <c r="E36" i="81"/>
  <c r="D36" i="81"/>
  <c r="C36" i="81"/>
  <c r="B36" i="81"/>
  <c r="A35" i="81"/>
  <c r="K35" i="81"/>
  <c r="J35" i="81"/>
  <c r="I35" i="81"/>
  <c r="H35" i="81"/>
  <c r="G35" i="81"/>
  <c r="F35" i="81"/>
  <c r="E35" i="81"/>
  <c r="D35" i="81"/>
  <c r="C35" i="81"/>
  <c r="B35" i="81"/>
  <c r="A34" i="81"/>
  <c r="K34" i="81"/>
  <c r="J34" i="81"/>
  <c r="I34" i="81"/>
  <c r="H34" i="81"/>
  <c r="G34" i="81"/>
  <c r="F34" i="81"/>
  <c r="E34" i="81"/>
  <c r="D34" i="81"/>
  <c r="C34" i="81"/>
  <c r="B34" i="81"/>
  <c r="A33" i="81"/>
  <c r="K33" i="81"/>
  <c r="J33" i="81"/>
  <c r="I33" i="81"/>
  <c r="H33" i="81"/>
  <c r="G33" i="81"/>
  <c r="F33" i="81"/>
  <c r="E33" i="81"/>
  <c r="D33" i="81"/>
  <c r="C33" i="81"/>
  <c r="B33" i="81"/>
  <c r="A32" i="81"/>
  <c r="K32" i="81"/>
  <c r="J32" i="81"/>
  <c r="I32" i="81"/>
  <c r="H32" i="81"/>
  <c r="G32" i="81"/>
  <c r="F32" i="81"/>
  <c r="E32" i="81"/>
  <c r="D32" i="81"/>
  <c r="C32" i="81"/>
  <c r="B32" i="81"/>
  <c r="A31" i="81"/>
  <c r="K31" i="81"/>
  <c r="J31" i="81"/>
  <c r="I31" i="81"/>
  <c r="H31" i="81"/>
  <c r="G31" i="81"/>
  <c r="F31" i="81"/>
  <c r="E31" i="81"/>
  <c r="D31" i="81"/>
  <c r="C31" i="81"/>
  <c r="B31" i="81"/>
  <c r="A30" i="81"/>
  <c r="K30" i="81"/>
  <c r="J30" i="81"/>
  <c r="I30" i="81"/>
  <c r="H30" i="81"/>
  <c r="G30" i="81"/>
  <c r="F30" i="81"/>
  <c r="E30" i="81"/>
  <c r="D30" i="81"/>
  <c r="C30" i="81"/>
  <c r="B30" i="81"/>
  <c r="A29" i="81"/>
  <c r="K29" i="81"/>
  <c r="J29" i="81"/>
  <c r="I29" i="81"/>
  <c r="H29" i="81"/>
  <c r="G29" i="81"/>
  <c r="F29" i="81"/>
  <c r="E29" i="81"/>
  <c r="D29" i="81"/>
  <c r="C29" i="81"/>
  <c r="B29" i="81"/>
  <c r="A28" i="81"/>
  <c r="K28" i="81"/>
  <c r="J28" i="81"/>
  <c r="I28" i="81"/>
  <c r="H28" i="81"/>
  <c r="G28" i="81"/>
  <c r="F28" i="81"/>
  <c r="E28" i="81"/>
  <c r="D28" i="81"/>
  <c r="C28" i="81"/>
  <c r="B28" i="81"/>
  <c r="A27" i="81"/>
  <c r="K27" i="81"/>
  <c r="J27" i="81"/>
  <c r="I27" i="81"/>
  <c r="H27" i="81"/>
  <c r="G27" i="81"/>
  <c r="F27" i="81"/>
  <c r="E27" i="81"/>
  <c r="D27" i="81"/>
  <c r="C27" i="81"/>
  <c r="B27" i="81"/>
  <c r="A26" i="81"/>
  <c r="K26" i="81"/>
  <c r="J26" i="81"/>
  <c r="I26" i="81"/>
  <c r="H26" i="81"/>
  <c r="G26" i="81"/>
  <c r="F26" i="81"/>
  <c r="E26" i="81"/>
  <c r="D26" i="81"/>
  <c r="C26" i="81"/>
  <c r="B26" i="81"/>
  <c r="A25" i="81"/>
  <c r="K25" i="81"/>
  <c r="J25" i="81"/>
  <c r="I25" i="81"/>
  <c r="H25" i="81"/>
  <c r="G25" i="81"/>
  <c r="F25" i="81"/>
  <c r="E25" i="81"/>
  <c r="D25" i="81"/>
  <c r="C25" i="81"/>
  <c r="B25" i="81"/>
  <c r="A24" i="81"/>
  <c r="K24" i="81"/>
  <c r="J24" i="81"/>
  <c r="I24" i="81"/>
  <c r="H24" i="81"/>
  <c r="G24" i="81"/>
  <c r="F24" i="81"/>
  <c r="E24" i="81"/>
  <c r="D24" i="81"/>
  <c r="C24" i="81"/>
  <c r="B24" i="81"/>
  <c r="A23" i="81"/>
  <c r="K23" i="81"/>
  <c r="J23" i="81"/>
  <c r="I23" i="81"/>
  <c r="H23" i="81"/>
  <c r="G23" i="81"/>
  <c r="F23" i="81"/>
  <c r="E23" i="81"/>
  <c r="D23" i="81"/>
  <c r="C23" i="81"/>
  <c r="B23" i="81"/>
  <c r="A22" i="81"/>
  <c r="K22" i="81"/>
  <c r="J22" i="81"/>
  <c r="I22" i="81"/>
  <c r="H22" i="81"/>
  <c r="G22" i="81"/>
  <c r="F22" i="81"/>
  <c r="E22" i="81"/>
  <c r="D22" i="81"/>
  <c r="C22" i="81"/>
  <c r="B22" i="81"/>
  <c r="A21" i="81"/>
  <c r="K21" i="81"/>
  <c r="J21" i="81"/>
  <c r="I21" i="81"/>
  <c r="H21" i="81"/>
  <c r="G21" i="81"/>
  <c r="F21" i="81"/>
  <c r="E21" i="81"/>
  <c r="D21" i="81"/>
  <c r="C21" i="81"/>
  <c r="B21" i="81"/>
  <c r="A20" i="81"/>
  <c r="K20" i="81"/>
  <c r="J20" i="81"/>
  <c r="I20" i="81"/>
  <c r="H20" i="81"/>
  <c r="G20" i="81"/>
  <c r="F20" i="81"/>
  <c r="E20" i="81"/>
  <c r="D20" i="81"/>
  <c r="C20" i="81"/>
  <c r="B20" i="81"/>
  <c r="A19" i="81"/>
  <c r="K19" i="81"/>
  <c r="J19" i="81"/>
  <c r="I19" i="81"/>
  <c r="H19" i="81"/>
  <c r="G19" i="81"/>
  <c r="F19" i="81"/>
  <c r="E19" i="81"/>
  <c r="D19" i="81"/>
  <c r="C19" i="81"/>
  <c r="B19" i="81"/>
  <c r="A18" i="81"/>
  <c r="K18" i="81"/>
  <c r="J18" i="81"/>
  <c r="I18" i="81"/>
  <c r="H18" i="81"/>
  <c r="G18" i="81"/>
  <c r="F18" i="81"/>
  <c r="E18" i="81"/>
  <c r="D18" i="81"/>
  <c r="C18" i="81"/>
  <c r="B18" i="81"/>
  <c r="A17" i="81"/>
  <c r="K17" i="81"/>
  <c r="J17" i="81"/>
  <c r="I17" i="81"/>
  <c r="H17" i="81"/>
  <c r="G17" i="81"/>
  <c r="F17" i="81"/>
  <c r="E17" i="81"/>
  <c r="D17" i="81"/>
  <c r="C17" i="81"/>
  <c r="B17" i="81"/>
  <c r="A16" i="81"/>
  <c r="K16" i="81"/>
  <c r="J16" i="81"/>
  <c r="I16" i="81"/>
  <c r="H16" i="81"/>
  <c r="G16" i="81"/>
  <c r="F16" i="81"/>
  <c r="E16" i="81"/>
  <c r="D16" i="81"/>
  <c r="C16" i="81"/>
  <c r="B16" i="81"/>
  <c r="A15" i="81"/>
  <c r="K15" i="81"/>
  <c r="J15" i="81"/>
  <c r="I15" i="81"/>
  <c r="H15" i="81"/>
  <c r="G15" i="81"/>
  <c r="F15" i="81"/>
  <c r="E15" i="81"/>
  <c r="D15" i="81"/>
  <c r="C15" i="81"/>
  <c r="B15" i="81"/>
  <c r="A14" i="81"/>
  <c r="K14" i="81"/>
  <c r="J14" i="81"/>
  <c r="I14" i="81"/>
  <c r="H14" i="81"/>
  <c r="G14" i="81"/>
  <c r="F14" i="81"/>
  <c r="E14" i="81"/>
  <c r="D14" i="81"/>
  <c r="C14" i="81"/>
  <c r="B14" i="81"/>
  <c r="A13" i="81"/>
  <c r="K13" i="81"/>
  <c r="J13" i="81"/>
  <c r="I13" i="81"/>
  <c r="H13" i="81"/>
  <c r="G13" i="81"/>
  <c r="F13" i="81"/>
  <c r="E13" i="81"/>
  <c r="D13" i="81"/>
  <c r="C13" i="81"/>
  <c r="B13" i="81"/>
  <c r="A12" i="81"/>
  <c r="K12" i="81"/>
  <c r="J12" i="81"/>
  <c r="I12" i="81"/>
  <c r="H12" i="81"/>
  <c r="G12" i="81"/>
  <c r="F12" i="81"/>
  <c r="E12" i="81"/>
  <c r="D12" i="81"/>
  <c r="C12" i="81"/>
  <c r="B12" i="81"/>
  <c r="A11" i="81"/>
  <c r="K11" i="81"/>
  <c r="J11" i="81"/>
  <c r="I11" i="81"/>
  <c r="H11" i="81"/>
  <c r="G11" i="81"/>
  <c r="F11" i="81"/>
  <c r="E11" i="81"/>
  <c r="D11" i="81"/>
  <c r="C11" i="81"/>
  <c r="B11" i="81"/>
  <c r="A10" i="81"/>
  <c r="K10" i="81"/>
  <c r="J10" i="81"/>
  <c r="I10" i="81"/>
  <c r="H10" i="81"/>
  <c r="G10" i="81"/>
  <c r="F10" i="81"/>
  <c r="E10" i="81"/>
  <c r="D10" i="81"/>
  <c r="C10" i="81"/>
  <c r="B10" i="81"/>
  <c r="A9" i="81"/>
  <c r="K9" i="81"/>
  <c r="J9" i="81"/>
  <c r="I9" i="81"/>
  <c r="H9" i="81"/>
  <c r="G9" i="81"/>
  <c r="F9" i="81"/>
  <c r="E9" i="81"/>
  <c r="D9" i="81"/>
  <c r="C9" i="81"/>
  <c r="B9" i="81"/>
  <c r="A8" i="81"/>
  <c r="K8" i="81"/>
  <c r="J8" i="81"/>
  <c r="I8" i="81"/>
  <c r="H8" i="81"/>
  <c r="G8" i="81"/>
  <c r="F8" i="81"/>
  <c r="E8" i="81"/>
  <c r="D8" i="81"/>
  <c r="C8" i="81"/>
  <c r="B8" i="81"/>
  <c r="A7" i="81"/>
  <c r="K7" i="81"/>
  <c r="J7" i="81"/>
  <c r="I7" i="81"/>
  <c r="H7" i="81"/>
  <c r="G7" i="81"/>
  <c r="F7" i="81"/>
  <c r="E7" i="81"/>
  <c r="D7" i="81"/>
  <c r="C7" i="81"/>
  <c r="B7" i="81"/>
  <c r="A6" i="81"/>
  <c r="K6" i="81"/>
  <c r="J6" i="81"/>
  <c r="I6" i="81"/>
  <c r="H6" i="81"/>
  <c r="G6" i="81"/>
  <c r="F6" i="81"/>
  <c r="E6" i="81"/>
  <c r="D6" i="81"/>
  <c r="C6" i="81"/>
  <c r="B6" i="81"/>
  <c r="A5" i="81"/>
  <c r="K5" i="81"/>
  <c r="J5" i="81"/>
  <c r="I5" i="81"/>
  <c r="H5" i="81"/>
  <c r="G5" i="81"/>
  <c r="F5" i="81"/>
  <c r="E5" i="81"/>
  <c r="D5" i="81"/>
  <c r="C5" i="81"/>
  <c r="B5" i="81"/>
  <c r="A4" i="81"/>
  <c r="K4" i="81"/>
  <c r="J4" i="81"/>
  <c r="I4" i="81"/>
  <c r="H4" i="81"/>
  <c r="G4" i="81"/>
  <c r="F4" i="81"/>
  <c r="E4" i="81"/>
  <c r="D4" i="81"/>
  <c r="C4" i="81"/>
  <c r="B4" i="81"/>
  <c r="C1" i="80"/>
  <c r="A1" i="80"/>
  <c r="A170" i="80"/>
  <c r="B1" i="80"/>
  <c r="K170" i="80"/>
  <c r="J170" i="80"/>
  <c r="I170" i="80"/>
  <c r="H170" i="80"/>
  <c r="G170" i="80"/>
  <c r="F170" i="80"/>
  <c r="E170" i="80"/>
  <c r="D170" i="80"/>
  <c r="C170" i="80"/>
  <c r="B170" i="80"/>
  <c r="A169" i="80"/>
  <c r="K169" i="80"/>
  <c r="J169" i="80"/>
  <c r="I169" i="80"/>
  <c r="H169" i="80"/>
  <c r="G169" i="80"/>
  <c r="F169" i="80"/>
  <c r="E169" i="80"/>
  <c r="D169" i="80"/>
  <c r="C169" i="80"/>
  <c r="B169" i="80"/>
  <c r="A168" i="80"/>
  <c r="K168" i="80"/>
  <c r="J168" i="80"/>
  <c r="I168" i="80"/>
  <c r="H168" i="80"/>
  <c r="G168" i="80"/>
  <c r="F168" i="80"/>
  <c r="E168" i="80"/>
  <c r="D168" i="80"/>
  <c r="C168" i="80"/>
  <c r="B168" i="80"/>
  <c r="A167" i="80"/>
  <c r="K167" i="80"/>
  <c r="J167" i="80"/>
  <c r="I167" i="80"/>
  <c r="H167" i="80"/>
  <c r="G167" i="80"/>
  <c r="F167" i="80"/>
  <c r="E167" i="80"/>
  <c r="D167" i="80"/>
  <c r="C167" i="80"/>
  <c r="B167" i="80"/>
  <c r="A166" i="80"/>
  <c r="K166" i="80"/>
  <c r="J166" i="80"/>
  <c r="I166" i="80"/>
  <c r="H166" i="80"/>
  <c r="G166" i="80"/>
  <c r="F166" i="80"/>
  <c r="E166" i="80"/>
  <c r="D166" i="80"/>
  <c r="C166" i="80"/>
  <c r="B166" i="80"/>
  <c r="A165" i="80"/>
  <c r="K165" i="80"/>
  <c r="J165" i="80"/>
  <c r="I165" i="80"/>
  <c r="H165" i="80"/>
  <c r="G165" i="80"/>
  <c r="F165" i="80"/>
  <c r="E165" i="80"/>
  <c r="D165" i="80"/>
  <c r="C165" i="80"/>
  <c r="B165" i="80"/>
  <c r="A164" i="80"/>
  <c r="K164" i="80"/>
  <c r="J164" i="80"/>
  <c r="I164" i="80"/>
  <c r="H164" i="80"/>
  <c r="G164" i="80"/>
  <c r="F164" i="80"/>
  <c r="E164" i="80"/>
  <c r="D164" i="80"/>
  <c r="C164" i="80"/>
  <c r="B164" i="80"/>
  <c r="A163" i="80"/>
  <c r="K163" i="80"/>
  <c r="J163" i="80"/>
  <c r="I163" i="80"/>
  <c r="H163" i="80"/>
  <c r="G163" i="80"/>
  <c r="F163" i="80"/>
  <c r="E163" i="80"/>
  <c r="D163" i="80"/>
  <c r="C163" i="80"/>
  <c r="B163" i="80"/>
  <c r="A162" i="80"/>
  <c r="K162" i="80"/>
  <c r="J162" i="80"/>
  <c r="I162" i="80"/>
  <c r="H162" i="80"/>
  <c r="G162" i="80"/>
  <c r="F162" i="80"/>
  <c r="E162" i="80"/>
  <c r="D162" i="80"/>
  <c r="C162" i="80"/>
  <c r="B162" i="80"/>
  <c r="A161" i="80"/>
  <c r="K161" i="80"/>
  <c r="J161" i="80"/>
  <c r="I161" i="80"/>
  <c r="H161" i="80"/>
  <c r="G161" i="80"/>
  <c r="F161" i="80"/>
  <c r="E161" i="80"/>
  <c r="D161" i="80"/>
  <c r="C161" i="80"/>
  <c r="B161" i="80"/>
  <c r="A160" i="80"/>
  <c r="K160" i="80"/>
  <c r="J160" i="80"/>
  <c r="I160" i="80"/>
  <c r="H160" i="80"/>
  <c r="G160" i="80"/>
  <c r="F160" i="80"/>
  <c r="E160" i="80"/>
  <c r="D160" i="80"/>
  <c r="C160" i="80"/>
  <c r="B160" i="80"/>
  <c r="A159" i="80"/>
  <c r="K159" i="80"/>
  <c r="J159" i="80"/>
  <c r="I159" i="80"/>
  <c r="H159" i="80"/>
  <c r="G159" i="80"/>
  <c r="F159" i="80"/>
  <c r="E159" i="80"/>
  <c r="D159" i="80"/>
  <c r="C159" i="80"/>
  <c r="B159" i="80"/>
  <c r="A158" i="80"/>
  <c r="K158" i="80"/>
  <c r="J158" i="80"/>
  <c r="I158" i="80"/>
  <c r="H158" i="80"/>
  <c r="G158" i="80"/>
  <c r="F158" i="80"/>
  <c r="E158" i="80"/>
  <c r="D158" i="80"/>
  <c r="C158" i="80"/>
  <c r="B158" i="80"/>
  <c r="A157" i="80"/>
  <c r="K157" i="80"/>
  <c r="J157" i="80"/>
  <c r="I157" i="80"/>
  <c r="H157" i="80"/>
  <c r="G157" i="80"/>
  <c r="F157" i="80"/>
  <c r="E157" i="80"/>
  <c r="D157" i="80"/>
  <c r="C157" i="80"/>
  <c r="B157" i="80"/>
  <c r="A156" i="80"/>
  <c r="K156" i="80"/>
  <c r="J156" i="80"/>
  <c r="I156" i="80"/>
  <c r="H156" i="80"/>
  <c r="G156" i="80"/>
  <c r="F156" i="80"/>
  <c r="E156" i="80"/>
  <c r="D156" i="80"/>
  <c r="C156" i="80"/>
  <c r="B156" i="80"/>
  <c r="A155" i="80"/>
  <c r="K155" i="80"/>
  <c r="J155" i="80"/>
  <c r="I155" i="80"/>
  <c r="H155" i="80"/>
  <c r="G155" i="80"/>
  <c r="F155" i="80"/>
  <c r="E155" i="80"/>
  <c r="D155" i="80"/>
  <c r="C155" i="80"/>
  <c r="B155" i="80"/>
  <c r="A154" i="80"/>
  <c r="K154" i="80"/>
  <c r="J154" i="80"/>
  <c r="I154" i="80"/>
  <c r="H154" i="80"/>
  <c r="G154" i="80"/>
  <c r="F154" i="80"/>
  <c r="E154" i="80"/>
  <c r="D154" i="80"/>
  <c r="C154" i="80"/>
  <c r="B154" i="80"/>
  <c r="A153" i="80"/>
  <c r="K153" i="80"/>
  <c r="J153" i="80"/>
  <c r="I153" i="80"/>
  <c r="H153" i="80"/>
  <c r="G153" i="80"/>
  <c r="F153" i="80"/>
  <c r="E153" i="80"/>
  <c r="D153" i="80"/>
  <c r="C153" i="80"/>
  <c r="B153" i="80"/>
  <c r="A152" i="80"/>
  <c r="K152" i="80"/>
  <c r="J152" i="80"/>
  <c r="I152" i="80"/>
  <c r="H152" i="80"/>
  <c r="G152" i="80"/>
  <c r="F152" i="80"/>
  <c r="E152" i="80"/>
  <c r="D152" i="80"/>
  <c r="C152" i="80"/>
  <c r="B152" i="80"/>
  <c r="A151" i="80"/>
  <c r="K151" i="80"/>
  <c r="J151" i="80"/>
  <c r="I151" i="80"/>
  <c r="H151" i="80"/>
  <c r="G151" i="80"/>
  <c r="F151" i="80"/>
  <c r="E151" i="80"/>
  <c r="D151" i="80"/>
  <c r="C151" i="80"/>
  <c r="B151" i="80"/>
  <c r="A150" i="80"/>
  <c r="K150" i="80"/>
  <c r="J150" i="80"/>
  <c r="I150" i="80"/>
  <c r="H150" i="80"/>
  <c r="G150" i="80"/>
  <c r="F150" i="80"/>
  <c r="E150" i="80"/>
  <c r="D150" i="80"/>
  <c r="C150" i="80"/>
  <c r="B150" i="80"/>
  <c r="A149" i="80"/>
  <c r="K149" i="80"/>
  <c r="J149" i="80"/>
  <c r="I149" i="80"/>
  <c r="H149" i="80"/>
  <c r="G149" i="80"/>
  <c r="F149" i="80"/>
  <c r="E149" i="80"/>
  <c r="D149" i="80"/>
  <c r="C149" i="80"/>
  <c r="B149" i="80"/>
  <c r="A148" i="80"/>
  <c r="K148" i="80"/>
  <c r="J148" i="80"/>
  <c r="I148" i="80"/>
  <c r="H148" i="80"/>
  <c r="G148" i="80"/>
  <c r="F148" i="80"/>
  <c r="E148" i="80"/>
  <c r="D148" i="80"/>
  <c r="C148" i="80"/>
  <c r="B148" i="80"/>
  <c r="A147" i="80"/>
  <c r="K147" i="80"/>
  <c r="J147" i="80"/>
  <c r="I147" i="80"/>
  <c r="H147" i="80"/>
  <c r="G147" i="80"/>
  <c r="F147" i="80"/>
  <c r="E147" i="80"/>
  <c r="D147" i="80"/>
  <c r="C147" i="80"/>
  <c r="B147" i="80"/>
  <c r="A146" i="80"/>
  <c r="K146" i="80"/>
  <c r="J146" i="80"/>
  <c r="I146" i="80"/>
  <c r="H146" i="80"/>
  <c r="G146" i="80"/>
  <c r="F146" i="80"/>
  <c r="E146" i="80"/>
  <c r="D146" i="80"/>
  <c r="C146" i="80"/>
  <c r="B146" i="80"/>
  <c r="A145" i="80"/>
  <c r="K145" i="80"/>
  <c r="J145" i="80"/>
  <c r="I145" i="80"/>
  <c r="H145" i="80"/>
  <c r="G145" i="80"/>
  <c r="F145" i="80"/>
  <c r="E145" i="80"/>
  <c r="D145" i="80"/>
  <c r="C145" i="80"/>
  <c r="B145" i="80"/>
  <c r="A144" i="80"/>
  <c r="K144" i="80"/>
  <c r="J144" i="80"/>
  <c r="I144" i="80"/>
  <c r="H144" i="80"/>
  <c r="G144" i="80"/>
  <c r="F144" i="80"/>
  <c r="E144" i="80"/>
  <c r="D144" i="80"/>
  <c r="C144" i="80"/>
  <c r="B144" i="80"/>
  <c r="A143" i="80"/>
  <c r="K143" i="80"/>
  <c r="J143" i="80"/>
  <c r="I143" i="80"/>
  <c r="H143" i="80"/>
  <c r="G143" i="80"/>
  <c r="F143" i="80"/>
  <c r="E143" i="80"/>
  <c r="D143" i="80"/>
  <c r="C143" i="80"/>
  <c r="B143" i="80"/>
  <c r="A142" i="80"/>
  <c r="K142" i="80"/>
  <c r="J142" i="80"/>
  <c r="I142" i="80"/>
  <c r="H142" i="80"/>
  <c r="G142" i="80"/>
  <c r="F142" i="80"/>
  <c r="E142" i="80"/>
  <c r="D142" i="80"/>
  <c r="C142" i="80"/>
  <c r="B142" i="80"/>
  <c r="A141" i="80"/>
  <c r="K141" i="80"/>
  <c r="J141" i="80"/>
  <c r="I141" i="80"/>
  <c r="H141" i="80"/>
  <c r="G141" i="80"/>
  <c r="F141" i="80"/>
  <c r="E141" i="80"/>
  <c r="D141" i="80"/>
  <c r="C141" i="80"/>
  <c r="B141" i="80"/>
  <c r="A140" i="80"/>
  <c r="K140" i="80"/>
  <c r="J140" i="80"/>
  <c r="I140" i="80"/>
  <c r="H140" i="80"/>
  <c r="G140" i="80"/>
  <c r="F140" i="80"/>
  <c r="E140" i="80"/>
  <c r="D140" i="80"/>
  <c r="C140" i="80"/>
  <c r="B140" i="80"/>
  <c r="A139" i="80"/>
  <c r="K139" i="80"/>
  <c r="J139" i="80"/>
  <c r="I139" i="80"/>
  <c r="H139" i="80"/>
  <c r="G139" i="80"/>
  <c r="F139" i="80"/>
  <c r="E139" i="80"/>
  <c r="D139" i="80"/>
  <c r="C139" i="80"/>
  <c r="B139" i="80"/>
  <c r="A138" i="80"/>
  <c r="K138" i="80"/>
  <c r="J138" i="80"/>
  <c r="I138" i="80"/>
  <c r="H138" i="80"/>
  <c r="G138" i="80"/>
  <c r="F138" i="80"/>
  <c r="E138" i="80"/>
  <c r="D138" i="80"/>
  <c r="C138" i="80"/>
  <c r="B138" i="80"/>
  <c r="A137" i="80"/>
  <c r="K137" i="80"/>
  <c r="J137" i="80"/>
  <c r="I137" i="80"/>
  <c r="H137" i="80"/>
  <c r="G137" i="80"/>
  <c r="F137" i="80"/>
  <c r="E137" i="80"/>
  <c r="D137" i="80"/>
  <c r="C137" i="80"/>
  <c r="B137" i="80"/>
  <c r="A136" i="80"/>
  <c r="K136" i="80"/>
  <c r="J136" i="80"/>
  <c r="I136" i="80"/>
  <c r="H136" i="80"/>
  <c r="G136" i="80"/>
  <c r="F136" i="80"/>
  <c r="E136" i="80"/>
  <c r="D136" i="80"/>
  <c r="C136" i="80"/>
  <c r="B136" i="80"/>
  <c r="A135" i="80"/>
  <c r="K135" i="80"/>
  <c r="J135" i="80"/>
  <c r="I135" i="80"/>
  <c r="H135" i="80"/>
  <c r="G135" i="80"/>
  <c r="F135" i="80"/>
  <c r="E135" i="80"/>
  <c r="D135" i="80"/>
  <c r="C135" i="80"/>
  <c r="B135" i="80"/>
  <c r="A134" i="80"/>
  <c r="K134" i="80"/>
  <c r="J134" i="80"/>
  <c r="I134" i="80"/>
  <c r="H134" i="80"/>
  <c r="G134" i="80"/>
  <c r="F134" i="80"/>
  <c r="E134" i="80"/>
  <c r="D134" i="80"/>
  <c r="C134" i="80"/>
  <c r="B134" i="80"/>
  <c r="A133" i="80"/>
  <c r="K133" i="80"/>
  <c r="J133" i="80"/>
  <c r="I133" i="80"/>
  <c r="H133" i="80"/>
  <c r="G133" i="80"/>
  <c r="F133" i="80"/>
  <c r="E133" i="80"/>
  <c r="D133" i="80"/>
  <c r="C133" i="80"/>
  <c r="B133" i="80"/>
  <c r="A132" i="80"/>
  <c r="K132" i="80"/>
  <c r="J132" i="80"/>
  <c r="I132" i="80"/>
  <c r="H132" i="80"/>
  <c r="G132" i="80"/>
  <c r="F132" i="80"/>
  <c r="E132" i="80"/>
  <c r="D132" i="80"/>
  <c r="C132" i="80"/>
  <c r="B132" i="80"/>
  <c r="A131" i="80"/>
  <c r="K131" i="80"/>
  <c r="J131" i="80"/>
  <c r="I131" i="80"/>
  <c r="H131" i="80"/>
  <c r="G131" i="80"/>
  <c r="F131" i="80"/>
  <c r="E131" i="80"/>
  <c r="D131" i="80"/>
  <c r="C131" i="80"/>
  <c r="B131" i="80"/>
  <c r="A130" i="80"/>
  <c r="K130" i="80"/>
  <c r="J130" i="80"/>
  <c r="I130" i="80"/>
  <c r="H130" i="80"/>
  <c r="G130" i="80"/>
  <c r="F130" i="80"/>
  <c r="E130" i="80"/>
  <c r="D130" i="80"/>
  <c r="C130" i="80"/>
  <c r="B130" i="80"/>
  <c r="A129" i="80"/>
  <c r="K129" i="80"/>
  <c r="J129" i="80"/>
  <c r="I129" i="80"/>
  <c r="H129" i="80"/>
  <c r="G129" i="80"/>
  <c r="F129" i="80"/>
  <c r="E129" i="80"/>
  <c r="D129" i="80"/>
  <c r="C129" i="80"/>
  <c r="B129" i="80"/>
  <c r="A128" i="80"/>
  <c r="K128" i="80"/>
  <c r="J128" i="80"/>
  <c r="I128" i="80"/>
  <c r="H128" i="80"/>
  <c r="G128" i="80"/>
  <c r="F128" i="80"/>
  <c r="E128" i="80"/>
  <c r="D128" i="80"/>
  <c r="C128" i="80"/>
  <c r="B128" i="80"/>
  <c r="A127" i="80"/>
  <c r="K127" i="80"/>
  <c r="J127" i="80"/>
  <c r="I127" i="80"/>
  <c r="H127" i="80"/>
  <c r="G127" i="80"/>
  <c r="F127" i="80"/>
  <c r="E127" i="80"/>
  <c r="D127" i="80"/>
  <c r="C127" i="80"/>
  <c r="B127" i="80"/>
  <c r="A126" i="80"/>
  <c r="K126" i="80"/>
  <c r="J126" i="80"/>
  <c r="I126" i="80"/>
  <c r="H126" i="80"/>
  <c r="G126" i="80"/>
  <c r="F126" i="80"/>
  <c r="E126" i="80"/>
  <c r="D126" i="80"/>
  <c r="C126" i="80"/>
  <c r="B126" i="80"/>
  <c r="A125" i="80"/>
  <c r="K125" i="80"/>
  <c r="J125" i="80"/>
  <c r="I125" i="80"/>
  <c r="H125" i="80"/>
  <c r="G125" i="80"/>
  <c r="F125" i="80"/>
  <c r="E125" i="80"/>
  <c r="D125" i="80"/>
  <c r="C125" i="80"/>
  <c r="B125" i="80"/>
  <c r="A124" i="80"/>
  <c r="K124" i="80"/>
  <c r="J124" i="80"/>
  <c r="I124" i="80"/>
  <c r="H124" i="80"/>
  <c r="G124" i="80"/>
  <c r="F124" i="80"/>
  <c r="E124" i="80"/>
  <c r="D124" i="80"/>
  <c r="C124" i="80"/>
  <c r="B124" i="80"/>
  <c r="A123" i="80"/>
  <c r="K123" i="80"/>
  <c r="J123" i="80"/>
  <c r="I123" i="80"/>
  <c r="H123" i="80"/>
  <c r="G123" i="80"/>
  <c r="F123" i="80"/>
  <c r="E123" i="80"/>
  <c r="D123" i="80"/>
  <c r="C123" i="80"/>
  <c r="B123" i="80"/>
  <c r="A122" i="80"/>
  <c r="K122" i="80"/>
  <c r="J122" i="80"/>
  <c r="I122" i="80"/>
  <c r="H122" i="80"/>
  <c r="G122" i="80"/>
  <c r="F122" i="80"/>
  <c r="E122" i="80"/>
  <c r="D122" i="80"/>
  <c r="C122" i="80"/>
  <c r="B122" i="80"/>
  <c r="A121" i="80"/>
  <c r="K121" i="80"/>
  <c r="J121" i="80"/>
  <c r="I121" i="80"/>
  <c r="H121" i="80"/>
  <c r="G121" i="80"/>
  <c r="F121" i="80"/>
  <c r="E121" i="80"/>
  <c r="D121" i="80"/>
  <c r="C121" i="80"/>
  <c r="B121" i="80"/>
  <c r="A120" i="80"/>
  <c r="K120" i="80"/>
  <c r="J120" i="80"/>
  <c r="I120" i="80"/>
  <c r="H120" i="80"/>
  <c r="G120" i="80"/>
  <c r="F120" i="80"/>
  <c r="E120" i="80"/>
  <c r="D120" i="80"/>
  <c r="C120" i="80"/>
  <c r="B120" i="80"/>
  <c r="A119" i="80"/>
  <c r="K119" i="80"/>
  <c r="J119" i="80"/>
  <c r="I119" i="80"/>
  <c r="H119" i="80"/>
  <c r="G119" i="80"/>
  <c r="F119" i="80"/>
  <c r="E119" i="80"/>
  <c r="D119" i="80"/>
  <c r="C119" i="80"/>
  <c r="B119" i="80"/>
  <c r="A118" i="80"/>
  <c r="K118" i="80"/>
  <c r="J118" i="80"/>
  <c r="I118" i="80"/>
  <c r="H118" i="80"/>
  <c r="G118" i="80"/>
  <c r="F118" i="80"/>
  <c r="E118" i="80"/>
  <c r="D118" i="80"/>
  <c r="C118" i="80"/>
  <c r="B118" i="80"/>
  <c r="A117" i="80"/>
  <c r="K117" i="80"/>
  <c r="J117" i="80"/>
  <c r="I117" i="80"/>
  <c r="H117" i="80"/>
  <c r="G117" i="80"/>
  <c r="F117" i="80"/>
  <c r="E117" i="80"/>
  <c r="D117" i="80"/>
  <c r="C117" i="80"/>
  <c r="B117" i="80"/>
  <c r="A116" i="80"/>
  <c r="K116" i="80"/>
  <c r="J116" i="80"/>
  <c r="I116" i="80"/>
  <c r="H116" i="80"/>
  <c r="G116" i="80"/>
  <c r="F116" i="80"/>
  <c r="E116" i="80"/>
  <c r="D116" i="80"/>
  <c r="C116" i="80"/>
  <c r="B116" i="80"/>
  <c r="A115" i="80"/>
  <c r="K115" i="80"/>
  <c r="J115" i="80"/>
  <c r="I115" i="80"/>
  <c r="H115" i="80"/>
  <c r="G115" i="80"/>
  <c r="F115" i="80"/>
  <c r="E115" i="80"/>
  <c r="D115" i="80"/>
  <c r="C115" i="80"/>
  <c r="B115" i="80"/>
  <c r="A114" i="80"/>
  <c r="K114" i="80"/>
  <c r="J114" i="80"/>
  <c r="I114" i="80"/>
  <c r="H114" i="80"/>
  <c r="G114" i="80"/>
  <c r="F114" i="80"/>
  <c r="E114" i="80"/>
  <c r="D114" i="80"/>
  <c r="C114" i="80"/>
  <c r="B114" i="80"/>
  <c r="A113" i="80"/>
  <c r="K113" i="80"/>
  <c r="J113" i="80"/>
  <c r="I113" i="80"/>
  <c r="H113" i="80"/>
  <c r="G113" i="80"/>
  <c r="F113" i="80"/>
  <c r="E113" i="80"/>
  <c r="D113" i="80"/>
  <c r="C113" i="80"/>
  <c r="B113" i="80"/>
  <c r="A112" i="80"/>
  <c r="K112" i="80"/>
  <c r="J112" i="80"/>
  <c r="I112" i="80"/>
  <c r="H112" i="80"/>
  <c r="G112" i="80"/>
  <c r="F112" i="80"/>
  <c r="E112" i="80"/>
  <c r="D112" i="80"/>
  <c r="C112" i="80"/>
  <c r="B112" i="80"/>
  <c r="A111" i="80"/>
  <c r="K111" i="80"/>
  <c r="J111" i="80"/>
  <c r="I111" i="80"/>
  <c r="H111" i="80"/>
  <c r="G111" i="80"/>
  <c r="F111" i="80"/>
  <c r="E111" i="80"/>
  <c r="D111" i="80"/>
  <c r="C111" i="80"/>
  <c r="B111" i="80"/>
  <c r="A110" i="80"/>
  <c r="K110" i="80"/>
  <c r="J110" i="80"/>
  <c r="I110" i="80"/>
  <c r="H110" i="80"/>
  <c r="G110" i="80"/>
  <c r="F110" i="80"/>
  <c r="E110" i="80"/>
  <c r="D110" i="80"/>
  <c r="C110" i="80"/>
  <c r="B110" i="80"/>
  <c r="A109" i="80"/>
  <c r="K109" i="80"/>
  <c r="J109" i="80"/>
  <c r="I109" i="80"/>
  <c r="H109" i="80"/>
  <c r="G109" i="80"/>
  <c r="F109" i="80"/>
  <c r="E109" i="80"/>
  <c r="D109" i="80"/>
  <c r="C109" i="80"/>
  <c r="B109" i="80"/>
  <c r="A108" i="80"/>
  <c r="K108" i="80"/>
  <c r="J108" i="80"/>
  <c r="I108" i="80"/>
  <c r="H108" i="80"/>
  <c r="G108" i="80"/>
  <c r="F108" i="80"/>
  <c r="E108" i="80"/>
  <c r="D108" i="80"/>
  <c r="C108" i="80"/>
  <c r="B108" i="80"/>
  <c r="A107" i="80"/>
  <c r="K107" i="80"/>
  <c r="J107" i="80"/>
  <c r="I107" i="80"/>
  <c r="H107" i="80"/>
  <c r="G107" i="80"/>
  <c r="F107" i="80"/>
  <c r="E107" i="80"/>
  <c r="D107" i="80"/>
  <c r="C107" i="80"/>
  <c r="B107" i="80"/>
  <c r="A106" i="80"/>
  <c r="K106" i="80"/>
  <c r="J106" i="80"/>
  <c r="I106" i="80"/>
  <c r="H106" i="80"/>
  <c r="G106" i="80"/>
  <c r="F106" i="80"/>
  <c r="E106" i="80"/>
  <c r="D106" i="80"/>
  <c r="C106" i="80"/>
  <c r="B106" i="80"/>
  <c r="A105" i="80"/>
  <c r="K105" i="80"/>
  <c r="J105" i="80"/>
  <c r="I105" i="80"/>
  <c r="H105" i="80"/>
  <c r="G105" i="80"/>
  <c r="F105" i="80"/>
  <c r="E105" i="80"/>
  <c r="D105" i="80"/>
  <c r="C105" i="80"/>
  <c r="B105" i="80"/>
  <c r="A104" i="80"/>
  <c r="K104" i="80"/>
  <c r="J104" i="80"/>
  <c r="I104" i="80"/>
  <c r="H104" i="80"/>
  <c r="G104" i="80"/>
  <c r="F104" i="80"/>
  <c r="E104" i="80"/>
  <c r="D104" i="80"/>
  <c r="C104" i="80"/>
  <c r="B104" i="80"/>
  <c r="A103" i="80"/>
  <c r="K103" i="80"/>
  <c r="J103" i="80"/>
  <c r="I103" i="80"/>
  <c r="H103" i="80"/>
  <c r="G103" i="80"/>
  <c r="F103" i="80"/>
  <c r="E103" i="80"/>
  <c r="D103" i="80"/>
  <c r="C103" i="80"/>
  <c r="B103" i="80"/>
  <c r="A102" i="80"/>
  <c r="K102" i="80"/>
  <c r="J102" i="80"/>
  <c r="I102" i="80"/>
  <c r="H102" i="80"/>
  <c r="G102" i="80"/>
  <c r="F102" i="80"/>
  <c r="E102" i="80"/>
  <c r="D102" i="80"/>
  <c r="C102" i="80"/>
  <c r="B102" i="80"/>
  <c r="A101" i="80"/>
  <c r="K101" i="80"/>
  <c r="J101" i="80"/>
  <c r="I101" i="80"/>
  <c r="H101" i="80"/>
  <c r="G101" i="80"/>
  <c r="F101" i="80"/>
  <c r="E101" i="80"/>
  <c r="D101" i="80"/>
  <c r="C101" i="80"/>
  <c r="B101" i="80"/>
  <c r="A100" i="80"/>
  <c r="K100" i="80"/>
  <c r="J100" i="80"/>
  <c r="I100" i="80"/>
  <c r="H100" i="80"/>
  <c r="G100" i="80"/>
  <c r="F100" i="80"/>
  <c r="E100" i="80"/>
  <c r="D100" i="80"/>
  <c r="C100" i="80"/>
  <c r="B100" i="80"/>
  <c r="A99" i="80"/>
  <c r="K99" i="80"/>
  <c r="J99" i="80"/>
  <c r="I99" i="80"/>
  <c r="H99" i="80"/>
  <c r="G99" i="80"/>
  <c r="F99" i="80"/>
  <c r="E99" i="80"/>
  <c r="D99" i="80"/>
  <c r="C99" i="80"/>
  <c r="B99" i="80"/>
  <c r="A98" i="80"/>
  <c r="K98" i="80"/>
  <c r="J98" i="80"/>
  <c r="I98" i="80"/>
  <c r="H98" i="80"/>
  <c r="G98" i="80"/>
  <c r="F98" i="80"/>
  <c r="E98" i="80"/>
  <c r="D98" i="80"/>
  <c r="C98" i="80"/>
  <c r="B98" i="80"/>
  <c r="A97" i="80"/>
  <c r="K97" i="80"/>
  <c r="J97" i="80"/>
  <c r="I97" i="80"/>
  <c r="H97" i="80"/>
  <c r="G97" i="80"/>
  <c r="F97" i="80"/>
  <c r="E97" i="80"/>
  <c r="D97" i="80"/>
  <c r="C97" i="80"/>
  <c r="B97" i="80"/>
  <c r="A96" i="80"/>
  <c r="K96" i="80"/>
  <c r="J96" i="80"/>
  <c r="I96" i="80"/>
  <c r="H96" i="80"/>
  <c r="G96" i="80"/>
  <c r="F96" i="80"/>
  <c r="E96" i="80"/>
  <c r="D96" i="80"/>
  <c r="C96" i="80"/>
  <c r="B96" i="80"/>
  <c r="A95" i="80"/>
  <c r="K95" i="80"/>
  <c r="J95" i="80"/>
  <c r="I95" i="80"/>
  <c r="H95" i="80"/>
  <c r="G95" i="80"/>
  <c r="F95" i="80"/>
  <c r="E95" i="80"/>
  <c r="D95" i="80"/>
  <c r="C95" i="80"/>
  <c r="B95" i="80"/>
  <c r="A94" i="80"/>
  <c r="K94" i="80"/>
  <c r="J94" i="80"/>
  <c r="I94" i="80"/>
  <c r="H94" i="80"/>
  <c r="G94" i="80"/>
  <c r="F94" i="80"/>
  <c r="E94" i="80"/>
  <c r="D94" i="80"/>
  <c r="C94" i="80"/>
  <c r="B94" i="80"/>
  <c r="A93" i="80"/>
  <c r="K93" i="80"/>
  <c r="J93" i="80"/>
  <c r="I93" i="80"/>
  <c r="H93" i="80"/>
  <c r="G93" i="80"/>
  <c r="F93" i="80"/>
  <c r="E93" i="80"/>
  <c r="D93" i="80"/>
  <c r="C93" i="80"/>
  <c r="B93" i="80"/>
  <c r="A92" i="80"/>
  <c r="K92" i="80"/>
  <c r="J92" i="80"/>
  <c r="I92" i="80"/>
  <c r="H92" i="80"/>
  <c r="G92" i="80"/>
  <c r="F92" i="80"/>
  <c r="E92" i="80"/>
  <c r="D92" i="80"/>
  <c r="C92" i="80"/>
  <c r="B92" i="80"/>
  <c r="A91" i="80"/>
  <c r="K91" i="80"/>
  <c r="J91" i="80"/>
  <c r="I91" i="80"/>
  <c r="H91" i="80"/>
  <c r="G91" i="80"/>
  <c r="F91" i="80"/>
  <c r="E91" i="80"/>
  <c r="D91" i="80"/>
  <c r="C91" i="80"/>
  <c r="B91" i="80"/>
  <c r="A90" i="80"/>
  <c r="K90" i="80"/>
  <c r="J90" i="80"/>
  <c r="I90" i="80"/>
  <c r="H90" i="80"/>
  <c r="G90" i="80"/>
  <c r="F90" i="80"/>
  <c r="E90" i="80"/>
  <c r="D90" i="80"/>
  <c r="C90" i="80"/>
  <c r="B90" i="80"/>
  <c r="A89" i="80"/>
  <c r="K89" i="80"/>
  <c r="J89" i="80"/>
  <c r="I89" i="80"/>
  <c r="H89" i="80"/>
  <c r="G89" i="80"/>
  <c r="F89" i="80"/>
  <c r="E89" i="80"/>
  <c r="D89" i="80"/>
  <c r="C89" i="80"/>
  <c r="B89" i="80"/>
  <c r="A88" i="80"/>
  <c r="K88" i="80"/>
  <c r="J88" i="80"/>
  <c r="I88" i="80"/>
  <c r="H88" i="80"/>
  <c r="G88" i="80"/>
  <c r="F88" i="80"/>
  <c r="E88" i="80"/>
  <c r="D88" i="80"/>
  <c r="C88" i="80"/>
  <c r="B88" i="80"/>
  <c r="A87" i="80"/>
  <c r="K87" i="80"/>
  <c r="J87" i="80"/>
  <c r="I87" i="80"/>
  <c r="H87" i="80"/>
  <c r="G87" i="80"/>
  <c r="F87" i="80"/>
  <c r="E87" i="80"/>
  <c r="D87" i="80"/>
  <c r="C87" i="80"/>
  <c r="B87" i="80"/>
  <c r="A86" i="80"/>
  <c r="K86" i="80"/>
  <c r="J86" i="80"/>
  <c r="I86" i="80"/>
  <c r="H86" i="80"/>
  <c r="G86" i="80"/>
  <c r="F86" i="80"/>
  <c r="E86" i="80"/>
  <c r="D86" i="80"/>
  <c r="C86" i="80"/>
  <c r="B86" i="80"/>
  <c r="A85" i="80"/>
  <c r="K85" i="80"/>
  <c r="J85" i="80"/>
  <c r="I85" i="80"/>
  <c r="H85" i="80"/>
  <c r="G85" i="80"/>
  <c r="F85" i="80"/>
  <c r="E85" i="80"/>
  <c r="D85" i="80"/>
  <c r="C85" i="80"/>
  <c r="B85" i="80"/>
  <c r="A84" i="80"/>
  <c r="K84" i="80"/>
  <c r="J84" i="80"/>
  <c r="I84" i="80"/>
  <c r="H84" i="80"/>
  <c r="G84" i="80"/>
  <c r="F84" i="80"/>
  <c r="E84" i="80"/>
  <c r="D84" i="80"/>
  <c r="C84" i="80"/>
  <c r="B84" i="80"/>
  <c r="A83" i="80"/>
  <c r="K83" i="80"/>
  <c r="J83" i="80"/>
  <c r="I83" i="80"/>
  <c r="H83" i="80"/>
  <c r="G83" i="80"/>
  <c r="F83" i="80"/>
  <c r="E83" i="80"/>
  <c r="D83" i="80"/>
  <c r="C83" i="80"/>
  <c r="B83" i="80"/>
  <c r="A82" i="80"/>
  <c r="K82" i="80"/>
  <c r="J82" i="80"/>
  <c r="I82" i="80"/>
  <c r="H82" i="80"/>
  <c r="G82" i="80"/>
  <c r="F82" i="80"/>
  <c r="E82" i="80"/>
  <c r="D82" i="80"/>
  <c r="C82" i="80"/>
  <c r="B82" i="80"/>
  <c r="A81" i="80"/>
  <c r="K81" i="80"/>
  <c r="J81" i="80"/>
  <c r="I81" i="80"/>
  <c r="H81" i="80"/>
  <c r="G81" i="80"/>
  <c r="F81" i="80"/>
  <c r="E81" i="80"/>
  <c r="D81" i="80"/>
  <c r="C81" i="80"/>
  <c r="B81" i="80"/>
  <c r="A80" i="80"/>
  <c r="K80" i="80"/>
  <c r="J80" i="80"/>
  <c r="I80" i="80"/>
  <c r="H80" i="80"/>
  <c r="G80" i="80"/>
  <c r="F80" i="80"/>
  <c r="E80" i="80"/>
  <c r="D80" i="80"/>
  <c r="C80" i="80"/>
  <c r="B80" i="80"/>
  <c r="A79" i="80"/>
  <c r="K79" i="80"/>
  <c r="J79" i="80"/>
  <c r="I79" i="80"/>
  <c r="H79" i="80"/>
  <c r="G79" i="80"/>
  <c r="F79" i="80"/>
  <c r="E79" i="80"/>
  <c r="D79" i="80"/>
  <c r="C79" i="80"/>
  <c r="B79" i="80"/>
  <c r="A78" i="80"/>
  <c r="K78" i="80"/>
  <c r="J78" i="80"/>
  <c r="I78" i="80"/>
  <c r="H78" i="80"/>
  <c r="G78" i="80"/>
  <c r="F78" i="80"/>
  <c r="E78" i="80"/>
  <c r="D78" i="80"/>
  <c r="C78" i="80"/>
  <c r="B78" i="80"/>
  <c r="A77" i="80"/>
  <c r="K77" i="80"/>
  <c r="J77" i="80"/>
  <c r="I77" i="80"/>
  <c r="H77" i="80"/>
  <c r="G77" i="80"/>
  <c r="F77" i="80"/>
  <c r="E77" i="80"/>
  <c r="D77" i="80"/>
  <c r="C77" i="80"/>
  <c r="B77" i="80"/>
  <c r="A76" i="80"/>
  <c r="K76" i="80"/>
  <c r="J76" i="80"/>
  <c r="I76" i="80"/>
  <c r="H76" i="80"/>
  <c r="G76" i="80"/>
  <c r="F76" i="80"/>
  <c r="E76" i="80"/>
  <c r="D76" i="80"/>
  <c r="C76" i="80"/>
  <c r="B76" i="80"/>
  <c r="A75" i="80"/>
  <c r="K75" i="80"/>
  <c r="J75" i="80"/>
  <c r="I75" i="80"/>
  <c r="H75" i="80"/>
  <c r="G75" i="80"/>
  <c r="F75" i="80"/>
  <c r="E75" i="80"/>
  <c r="D75" i="80"/>
  <c r="C75" i="80"/>
  <c r="B75" i="80"/>
  <c r="A74" i="80"/>
  <c r="K74" i="80"/>
  <c r="J74" i="80"/>
  <c r="I74" i="80"/>
  <c r="H74" i="80"/>
  <c r="G74" i="80"/>
  <c r="F74" i="80"/>
  <c r="E74" i="80"/>
  <c r="D74" i="80"/>
  <c r="C74" i="80"/>
  <c r="B74" i="80"/>
  <c r="A73" i="80"/>
  <c r="K73" i="80"/>
  <c r="J73" i="80"/>
  <c r="I73" i="80"/>
  <c r="H73" i="80"/>
  <c r="G73" i="80"/>
  <c r="F73" i="80"/>
  <c r="E73" i="80"/>
  <c r="D73" i="80"/>
  <c r="C73" i="80"/>
  <c r="B73" i="80"/>
  <c r="A72" i="80"/>
  <c r="K72" i="80"/>
  <c r="J72" i="80"/>
  <c r="I72" i="80"/>
  <c r="H72" i="80"/>
  <c r="G72" i="80"/>
  <c r="F72" i="80"/>
  <c r="E72" i="80"/>
  <c r="D72" i="80"/>
  <c r="C72" i="80"/>
  <c r="B72" i="80"/>
  <c r="A71" i="80"/>
  <c r="K71" i="80"/>
  <c r="J71" i="80"/>
  <c r="I71" i="80"/>
  <c r="H71" i="80"/>
  <c r="G71" i="80"/>
  <c r="F71" i="80"/>
  <c r="E71" i="80"/>
  <c r="D71" i="80"/>
  <c r="C71" i="80"/>
  <c r="B71" i="80"/>
  <c r="A70" i="80"/>
  <c r="K70" i="80"/>
  <c r="J70" i="80"/>
  <c r="I70" i="80"/>
  <c r="H70" i="80"/>
  <c r="G70" i="80"/>
  <c r="F70" i="80"/>
  <c r="E70" i="80"/>
  <c r="D70" i="80"/>
  <c r="C70" i="80"/>
  <c r="B70" i="80"/>
  <c r="A69" i="80"/>
  <c r="K69" i="80"/>
  <c r="J69" i="80"/>
  <c r="I69" i="80"/>
  <c r="H69" i="80"/>
  <c r="G69" i="80"/>
  <c r="F69" i="80"/>
  <c r="E69" i="80"/>
  <c r="D69" i="80"/>
  <c r="C69" i="80"/>
  <c r="B69" i="80"/>
  <c r="A68" i="80"/>
  <c r="K68" i="80"/>
  <c r="J68" i="80"/>
  <c r="I68" i="80"/>
  <c r="H68" i="80"/>
  <c r="G68" i="80"/>
  <c r="F68" i="80"/>
  <c r="E68" i="80"/>
  <c r="D68" i="80"/>
  <c r="C68" i="80"/>
  <c r="B68" i="80"/>
  <c r="A67" i="80"/>
  <c r="K67" i="80"/>
  <c r="J67" i="80"/>
  <c r="I67" i="80"/>
  <c r="H67" i="80"/>
  <c r="G67" i="80"/>
  <c r="F67" i="80"/>
  <c r="E67" i="80"/>
  <c r="D67" i="80"/>
  <c r="C67" i="80"/>
  <c r="B67" i="80"/>
  <c r="A66" i="80"/>
  <c r="K66" i="80"/>
  <c r="J66" i="80"/>
  <c r="I66" i="80"/>
  <c r="H66" i="80"/>
  <c r="G66" i="80"/>
  <c r="F66" i="80"/>
  <c r="E66" i="80"/>
  <c r="D66" i="80"/>
  <c r="C66" i="80"/>
  <c r="B66" i="80"/>
  <c r="A65" i="80"/>
  <c r="K65" i="80"/>
  <c r="J65" i="80"/>
  <c r="I65" i="80"/>
  <c r="H65" i="80"/>
  <c r="G65" i="80"/>
  <c r="F65" i="80"/>
  <c r="E65" i="80"/>
  <c r="D65" i="80"/>
  <c r="C65" i="80"/>
  <c r="B65" i="80"/>
  <c r="A64" i="80"/>
  <c r="K64" i="80"/>
  <c r="J64" i="80"/>
  <c r="I64" i="80"/>
  <c r="H64" i="80"/>
  <c r="G64" i="80"/>
  <c r="F64" i="80"/>
  <c r="E64" i="80"/>
  <c r="D64" i="80"/>
  <c r="C64" i="80"/>
  <c r="B64" i="80"/>
  <c r="A63" i="80"/>
  <c r="K63" i="80"/>
  <c r="J63" i="80"/>
  <c r="I63" i="80"/>
  <c r="H63" i="80"/>
  <c r="G63" i="80"/>
  <c r="F63" i="80"/>
  <c r="E63" i="80"/>
  <c r="D63" i="80"/>
  <c r="C63" i="80"/>
  <c r="B63" i="80"/>
  <c r="A62" i="80"/>
  <c r="K62" i="80"/>
  <c r="J62" i="80"/>
  <c r="I62" i="80"/>
  <c r="H62" i="80"/>
  <c r="G62" i="80"/>
  <c r="F62" i="80"/>
  <c r="E62" i="80"/>
  <c r="D62" i="80"/>
  <c r="C62" i="80"/>
  <c r="B62" i="80"/>
  <c r="A61" i="80"/>
  <c r="K61" i="80"/>
  <c r="J61" i="80"/>
  <c r="I61" i="80"/>
  <c r="H61" i="80"/>
  <c r="G61" i="80"/>
  <c r="F61" i="80"/>
  <c r="E61" i="80"/>
  <c r="D61" i="80"/>
  <c r="C61" i="80"/>
  <c r="B61" i="80"/>
  <c r="A60" i="80"/>
  <c r="K60" i="80"/>
  <c r="J60" i="80"/>
  <c r="I60" i="80"/>
  <c r="H60" i="80"/>
  <c r="G60" i="80"/>
  <c r="F60" i="80"/>
  <c r="E60" i="80"/>
  <c r="D60" i="80"/>
  <c r="C60" i="80"/>
  <c r="B60" i="80"/>
  <c r="A59" i="80"/>
  <c r="K59" i="80"/>
  <c r="J59" i="80"/>
  <c r="I59" i="80"/>
  <c r="H59" i="80"/>
  <c r="G59" i="80"/>
  <c r="F59" i="80"/>
  <c r="E59" i="80"/>
  <c r="D59" i="80"/>
  <c r="C59" i="80"/>
  <c r="B59" i="80"/>
  <c r="A58" i="80"/>
  <c r="K58" i="80"/>
  <c r="J58" i="80"/>
  <c r="I58" i="80"/>
  <c r="H58" i="80"/>
  <c r="G58" i="80"/>
  <c r="F58" i="80"/>
  <c r="E58" i="80"/>
  <c r="D58" i="80"/>
  <c r="C58" i="80"/>
  <c r="B58" i="80"/>
  <c r="A57" i="80"/>
  <c r="K57" i="80"/>
  <c r="J57" i="80"/>
  <c r="I57" i="80"/>
  <c r="H57" i="80"/>
  <c r="G57" i="80"/>
  <c r="F57" i="80"/>
  <c r="E57" i="80"/>
  <c r="D57" i="80"/>
  <c r="C57" i="80"/>
  <c r="B57" i="80"/>
  <c r="A56" i="80"/>
  <c r="K56" i="80"/>
  <c r="J56" i="80"/>
  <c r="I56" i="80"/>
  <c r="H56" i="80"/>
  <c r="G56" i="80"/>
  <c r="F56" i="80"/>
  <c r="E56" i="80"/>
  <c r="D56" i="80"/>
  <c r="C56" i="80"/>
  <c r="B56" i="80"/>
  <c r="A55" i="80"/>
  <c r="K55" i="80"/>
  <c r="J55" i="80"/>
  <c r="I55" i="80"/>
  <c r="H55" i="80"/>
  <c r="G55" i="80"/>
  <c r="F55" i="80"/>
  <c r="E55" i="80"/>
  <c r="D55" i="80"/>
  <c r="C55" i="80"/>
  <c r="B55" i="80"/>
  <c r="A54" i="80"/>
  <c r="K54" i="80"/>
  <c r="J54" i="80"/>
  <c r="I54" i="80"/>
  <c r="H54" i="80"/>
  <c r="G54" i="80"/>
  <c r="F54" i="80"/>
  <c r="E54" i="80"/>
  <c r="D54" i="80"/>
  <c r="C54" i="80"/>
  <c r="B54" i="80"/>
  <c r="A53" i="80"/>
  <c r="K53" i="80"/>
  <c r="J53" i="80"/>
  <c r="I53" i="80"/>
  <c r="H53" i="80"/>
  <c r="G53" i="80"/>
  <c r="F53" i="80"/>
  <c r="E53" i="80"/>
  <c r="D53" i="80"/>
  <c r="C53" i="80"/>
  <c r="B53" i="80"/>
  <c r="A52" i="80"/>
  <c r="K52" i="80"/>
  <c r="J52" i="80"/>
  <c r="I52" i="80"/>
  <c r="H52" i="80"/>
  <c r="G52" i="80"/>
  <c r="F52" i="80"/>
  <c r="E52" i="80"/>
  <c r="D52" i="80"/>
  <c r="C52" i="80"/>
  <c r="B52" i="80"/>
  <c r="A51" i="80"/>
  <c r="K51" i="80"/>
  <c r="J51" i="80"/>
  <c r="I51" i="80"/>
  <c r="H51" i="80"/>
  <c r="G51" i="80"/>
  <c r="F51" i="80"/>
  <c r="E51" i="80"/>
  <c r="D51" i="80"/>
  <c r="C51" i="80"/>
  <c r="B51" i="80"/>
  <c r="A50" i="80"/>
  <c r="K50" i="80"/>
  <c r="J50" i="80"/>
  <c r="I50" i="80"/>
  <c r="H50" i="80"/>
  <c r="G50" i="80"/>
  <c r="F50" i="80"/>
  <c r="E50" i="80"/>
  <c r="D50" i="80"/>
  <c r="C50" i="80"/>
  <c r="B50" i="80"/>
  <c r="A49" i="80"/>
  <c r="K49" i="80"/>
  <c r="J49" i="80"/>
  <c r="I49" i="80"/>
  <c r="H49" i="80"/>
  <c r="G49" i="80"/>
  <c r="F49" i="80"/>
  <c r="E49" i="80"/>
  <c r="D49" i="80"/>
  <c r="C49" i="80"/>
  <c r="B49" i="80"/>
  <c r="A48" i="80"/>
  <c r="K48" i="80"/>
  <c r="J48" i="80"/>
  <c r="I48" i="80"/>
  <c r="H48" i="80"/>
  <c r="G48" i="80"/>
  <c r="F48" i="80"/>
  <c r="E48" i="80"/>
  <c r="D48" i="80"/>
  <c r="C48" i="80"/>
  <c r="B48" i="80"/>
  <c r="A47" i="80"/>
  <c r="K47" i="80"/>
  <c r="J47" i="80"/>
  <c r="I47" i="80"/>
  <c r="H47" i="80"/>
  <c r="G47" i="80"/>
  <c r="F47" i="80"/>
  <c r="E47" i="80"/>
  <c r="D47" i="80"/>
  <c r="C47" i="80"/>
  <c r="B47" i="80"/>
  <c r="A46" i="80"/>
  <c r="K46" i="80"/>
  <c r="J46" i="80"/>
  <c r="I46" i="80"/>
  <c r="H46" i="80"/>
  <c r="G46" i="80"/>
  <c r="F46" i="80"/>
  <c r="E46" i="80"/>
  <c r="D46" i="80"/>
  <c r="C46" i="80"/>
  <c r="B46" i="80"/>
  <c r="A45" i="80"/>
  <c r="K45" i="80"/>
  <c r="J45" i="80"/>
  <c r="I45" i="80"/>
  <c r="H45" i="80"/>
  <c r="G45" i="80"/>
  <c r="F45" i="80"/>
  <c r="E45" i="80"/>
  <c r="D45" i="80"/>
  <c r="C45" i="80"/>
  <c r="B45" i="80"/>
  <c r="A44" i="80"/>
  <c r="K44" i="80"/>
  <c r="J44" i="80"/>
  <c r="I44" i="80"/>
  <c r="H44" i="80"/>
  <c r="G44" i="80"/>
  <c r="F44" i="80"/>
  <c r="E44" i="80"/>
  <c r="D44" i="80"/>
  <c r="C44" i="80"/>
  <c r="B44" i="80"/>
  <c r="A43" i="80"/>
  <c r="K43" i="80"/>
  <c r="J43" i="80"/>
  <c r="I43" i="80"/>
  <c r="H43" i="80"/>
  <c r="G43" i="80"/>
  <c r="F43" i="80"/>
  <c r="E43" i="80"/>
  <c r="D43" i="80"/>
  <c r="C43" i="80"/>
  <c r="B43" i="80"/>
  <c r="A42" i="80"/>
  <c r="K42" i="80"/>
  <c r="J42" i="80"/>
  <c r="I42" i="80"/>
  <c r="H42" i="80"/>
  <c r="G42" i="80"/>
  <c r="F42" i="80"/>
  <c r="E42" i="80"/>
  <c r="D42" i="80"/>
  <c r="C42" i="80"/>
  <c r="B42" i="80"/>
  <c r="A41" i="80"/>
  <c r="K41" i="80"/>
  <c r="J41" i="80"/>
  <c r="I41" i="80"/>
  <c r="H41" i="80"/>
  <c r="G41" i="80"/>
  <c r="F41" i="80"/>
  <c r="E41" i="80"/>
  <c r="D41" i="80"/>
  <c r="C41" i="80"/>
  <c r="B41" i="80"/>
  <c r="A40" i="80"/>
  <c r="K40" i="80"/>
  <c r="J40" i="80"/>
  <c r="I40" i="80"/>
  <c r="H40" i="80"/>
  <c r="G40" i="80"/>
  <c r="F40" i="80"/>
  <c r="E40" i="80"/>
  <c r="D40" i="80"/>
  <c r="C40" i="80"/>
  <c r="B40" i="80"/>
  <c r="A39" i="80"/>
  <c r="K39" i="80"/>
  <c r="J39" i="80"/>
  <c r="I39" i="80"/>
  <c r="H39" i="80"/>
  <c r="G39" i="80"/>
  <c r="F39" i="80"/>
  <c r="E39" i="80"/>
  <c r="D39" i="80"/>
  <c r="C39" i="80"/>
  <c r="B39" i="80"/>
  <c r="A38" i="80"/>
  <c r="K38" i="80"/>
  <c r="J38" i="80"/>
  <c r="I38" i="80"/>
  <c r="H38" i="80"/>
  <c r="G38" i="80"/>
  <c r="F38" i="80"/>
  <c r="E38" i="80"/>
  <c r="D38" i="80"/>
  <c r="C38" i="80"/>
  <c r="B38" i="80"/>
  <c r="A37" i="80"/>
  <c r="K37" i="80"/>
  <c r="J37" i="80"/>
  <c r="I37" i="80"/>
  <c r="H37" i="80"/>
  <c r="G37" i="80"/>
  <c r="F37" i="80"/>
  <c r="E37" i="80"/>
  <c r="D37" i="80"/>
  <c r="C37" i="80"/>
  <c r="B37" i="80"/>
  <c r="A36" i="80"/>
  <c r="K36" i="80"/>
  <c r="J36" i="80"/>
  <c r="I36" i="80"/>
  <c r="H36" i="80"/>
  <c r="G36" i="80"/>
  <c r="F36" i="80"/>
  <c r="E36" i="80"/>
  <c r="D36" i="80"/>
  <c r="C36" i="80"/>
  <c r="B36" i="80"/>
  <c r="A35" i="80"/>
  <c r="K35" i="80"/>
  <c r="J35" i="80"/>
  <c r="I35" i="80"/>
  <c r="H35" i="80"/>
  <c r="G35" i="80"/>
  <c r="F35" i="80"/>
  <c r="E35" i="80"/>
  <c r="D35" i="80"/>
  <c r="C35" i="80"/>
  <c r="B35" i="80"/>
  <c r="A34" i="80"/>
  <c r="K34" i="80"/>
  <c r="J34" i="80"/>
  <c r="I34" i="80"/>
  <c r="H34" i="80"/>
  <c r="G34" i="80"/>
  <c r="F34" i="80"/>
  <c r="E34" i="80"/>
  <c r="D34" i="80"/>
  <c r="C34" i="80"/>
  <c r="B34" i="80"/>
  <c r="A33" i="80"/>
  <c r="K33" i="80"/>
  <c r="J33" i="80"/>
  <c r="I33" i="80"/>
  <c r="H33" i="80"/>
  <c r="G33" i="80"/>
  <c r="F33" i="80"/>
  <c r="E33" i="80"/>
  <c r="D33" i="80"/>
  <c r="C33" i="80"/>
  <c r="B33" i="80"/>
  <c r="A32" i="80"/>
  <c r="K32" i="80"/>
  <c r="J32" i="80"/>
  <c r="I32" i="80"/>
  <c r="H32" i="80"/>
  <c r="G32" i="80"/>
  <c r="F32" i="80"/>
  <c r="E32" i="80"/>
  <c r="D32" i="80"/>
  <c r="C32" i="80"/>
  <c r="B32" i="80"/>
  <c r="A31" i="80"/>
  <c r="K31" i="80"/>
  <c r="J31" i="80"/>
  <c r="I31" i="80"/>
  <c r="H31" i="80"/>
  <c r="G31" i="80"/>
  <c r="F31" i="80"/>
  <c r="E31" i="80"/>
  <c r="D31" i="80"/>
  <c r="C31" i="80"/>
  <c r="B31" i="80"/>
  <c r="A30" i="80"/>
  <c r="K30" i="80"/>
  <c r="J30" i="80"/>
  <c r="I30" i="80"/>
  <c r="H30" i="80"/>
  <c r="G30" i="80"/>
  <c r="F30" i="80"/>
  <c r="E30" i="80"/>
  <c r="D30" i="80"/>
  <c r="C30" i="80"/>
  <c r="B30" i="80"/>
  <c r="A29" i="80"/>
  <c r="K29" i="80"/>
  <c r="J29" i="80"/>
  <c r="I29" i="80"/>
  <c r="H29" i="80"/>
  <c r="G29" i="80"/>
  <c r="F29" i="80"/>
  <c r="E29" i="80"/>
  <c r="D29" i="80"/>
  <c r="C29" i="80"/>
  <c r="B29" i="80"/>
  <c r="A28" i="80"/>
  <c r="K28" i="80"/>
  <c r="J28" i="80"/>
  <c r="I28" i="80"/>
  <c r="H28" i="80"/>
  <c r="G28" i="80"/>
  <c r="F28" i="80"/>
  <c r="E28" i="80"/>
  <c r="D28" i="80"/>
  <c r="C28" i="80"/>
  <c r="B28" i="80"/>
  <c r="A27" i="80"/>
  <c r="K27" i="80"/>
  <c r="J27" i="80"/>
  <c r="I27" i="80"/>
  <c r="H27" i="80"/>
  <c r="G27" i="80"/>
  <c r="F27" i="80"/>
  <c r="E27" i="80"/>
  <c r="D27" i="80"/>
  <c r="C27" i="80"/>
  <c r="B27" i="80"/>
  <c r="A26" i="80"/>
  <c r="K26" i="80"/>
  <c r="J26" i="80"/>
  <c r="I26" i="80"/>
  <c r="H26" i="80"/>
  <c r="G26" i="80"/>
  <c r="F26" i="80"/>
  <c r="E26" i="80"/>
  <c r="D26" i="80"/>
  <c r="C26" i="80"/>
  <c r="B26" i="80"/>
  <c r="A25" i="80"/>
  <c r="K25" i="80"/>
  <c r="J25" i="80"/>
  <c r="I25" i="80"/>
  <c r="H25" i="80"/>
  <c r="G25" i="80"/>
  <c r="F25" i="80"/>
  <c r="E25" i="80"/>
  <c r="D25" i="80"/>
  <c r="C25" i="80"/>
  <c r="B25" i="80"/>
  <c r="A24" i="80"/>
  <c r="K24" i="80"/>
  <c r="J24" i="80"/>
  <c r="I24" i="80"/>
  <c r="H24" i="80"/>
  <c r="G24" i="80"/>
  <c r="F24" i="80"/>
  <c r="E24" i="80"/>
  <c r="D24" i="80"/>
  <c r="C24" i="80"/>
  <c r="B24" i="80"/>
  <c r="A23" i="80"/>
  <c r="K23" i="80"/>
  <c r="J23" i="80"/>
  <c r="I23" i="80"/>
  <c r="H23" i="80"/>
  <c r="G23" i="80"/>
  <c r="F23" i="80"/>
  <c r="E23" i="80"/>
  <c r="D23" i="80"/>
  <c r="C23" i="80"/>
  <c r="B23" i="80"/>
  <c r="A22" i="80"/>
  <c r="K22" i="80"/>
  <c r="J22" i="80"/>
  <c r="I22" i="80"/>
  <c r="H22" i="80"/>
  <c r="G22" i="80"/>
  <c r="F22" i="80"/>
  <c r="E22" i="80"/>
  <c r="D22" i="80"/>
  <c r="C22" i="80"/>
  <c r="B22" i="80"/>
  <c r="A21" i="80"/>
  <c r="K21" i="80"/>
  <c r="J21" i="80"/>
  <c r="I21" i="80"/>
  <c r="H21" i="80"/>
  <c r="G21" i="80"/>
  <c r="F21" i="80"/>
  <c r="E21" i="80"/>
  <c r="D21" i="80"/>
  <c r="C21" i="80"/>
  <c r="B21" i="80"/>
  <c r="A20" i="80"/>
  <c r="K20" i="80"/>
  <c r="J20" i="80"/>
  <c r="I20" i="80"/>
  <c r="H20" i="80"/>
  <c r="G20" i="80"/>
  <c r="F20" i="80"/>
  <c r="E20" i="80"/>
  <c r="D20" i="80"/>
  <c r="C20" i="80"/>
  <c r="B20" i="80"/>
  <c r="A19" i="80"/>
  <c r="K19" i="80"/>
  <c r="J19" i="80"/>
  <c r="I19" i="80"/>
  <c r="H19" i="80"/>
  <c r="G19" i="80"/>
  <c r="F19" i="80"/>
  <c r="E19" i="80"/>
  <c r="D19" i="80"/>
  <c r="C19" i="80"/>
  <c r="B19" i="80"/>
  <c r="A18" i="80"/>
  <c r="K18" i="80"/>
  <c r="J18" i="80"/>
  <c r="I18" i="80"/>
  <c r="H18" i="80"/>
  <c r="G18" i="80"/>
  <c r="F18" i="80"/>
  <c r="E18" i="80"/>
  <c r="D18" i="80"/>
  <c r="C18" i="80"/>
  <c r="B18" i="80"/>
  <c r="A17" i="80"/>
  <c r="K17" i="80"/>
  <c r="J17" i="80"/>
  <c r="I17" i="80"/>
  <c r="H17" i="80"/>
  <c r="G17" i="80"/>
  <c r="F17" i="80"/>
  <c r="E17" i="80"/>
  <c r="D17" i="80"/>
  <c r="C17" i="80"/>
  <c r="B17" i="80"/>
  <c r="A16" i="80"/>
  <c r="K16" i="80"/>
  <c r="J16" i="80"/>
  <c r="I16" i="80"/>
  <c r="H16" i="80"/>
  <c r="G16" i="80"/>
  <c r="F16" i="80"/>
  <c r="E16" i="80"/>
  <c r="D16" i="80"/>
  <c r="C16" i="80"/>
  <c r="B16" i="80"/>
  <c r="A15" i="80"/>
  <c r="K15" i="80"/>
  <c r="J15" i="80"/>
  <c r="I15" i="80"/>
  <c r="H15" i="80"/>
  <c r="G15" i="80"/>
  <c r="F15" i="80"/>
  <c r="E15" i="80"/>
  <c r="D15" i="80"/>
  <c r="C15" i="80"/>
  <c r="B15" i="80"/>
  <c r="A14" i="80"/>
  <c r="K14" i="80"/>
  <c r="J14" i="80"/>
  <c r="I14" i="80"/>
  <c r="H14" i="80"/>
  <c r="G14" i="80"/>
  <c r="F14" i="80"/>
  <c r="E14" i="80"/>
  <c r="D14" i="80"/>
  <c r="C14" i="80"/>
  <c r="B14" i="80"/>
  <c r="A13" i="80"/>
  <c r="K13" i="80"/>
  <c r="J13" i="80"/>
  <c r="I13" i="80"/>
  <c r="H13" i="80"/>
  <c r="G13" i="80"/>
  <c r="F13" i="80"/>
  <c r="E13" i="80"/>
  <c r="D13" i="80"/>
  <c r="C13" i="80"/>
  <c r="B13" i="80"/>
  <c r="A12" i="80"/>
  <c r="K12" i="80"/>
  <c r="J12" i="80"/>
  <c r="I12" i="80"/>
  <c r="H12" i="80"/>
  <c r="G12" i="80"/>
  <c r="F12" i="80"/>
  <c r="E12" i="80"/>
  <c r="D12" i="80"/>
  <c r="C12" i="80"/>
  <c r="B12" i="80"/>
  <c r="A11" i="80"/>
  <c r="K11" i="80"/>
  <c r="J11" i="80"/>
  <c r="I11" i="80"/>
  <c r="H11" i="80"/>
  <c r="G11" i="80"/>
  <c r="F11" i="80"/>
  <c r="E11" i="80"/>
  <c r="D11" i="80"/>
  <c r="C11" i="80"/>
  <c r="B11" i="80"/>
  <c r="A10" i="80"/>
  <c r="K10" i="80"/>
  <c r="J10" i="80"/>
  <c r="I10" i="80"/>
  <c r="H10" i="80"/>
  <c r="G10" i="80"/>
  <c r="F10" i="80"/>
  <c r="E10" i="80"/>
  <c r="D10" i="80"/>
  <c r="C10" i="80"/>
  <c r="B10" i="80"/>
  <c r="A9" i="80"/>
  <c r="K9" i="80"/>
  <c r="J9" i="80"/>
  <c r="I9" i="80"/>
  <c r="H9" i="80"/>
  <c r="G9" i="80"/>
  <c r="F9" i="80"/>
  <c r="E9" i="80"/>
  <c r="D9" i="80"/>
  <c r="C9" i="80"/>
  <c r="B9" i="80"/>
  <c r="A8" i="80"/>
  <c r="K8" i="80"/>
  <c r="J8" i="80"/>
  <c r="I8" i="80"/>
  <c r="H8" i="80"/>
  <c r="G8" i="80"/>
  <c r="F8" i="80"/>
  <c r="E8" i="80"/>
  <c r="D8" i="80"/>
  <c r="C8" i="80"/>
  <c r="B8" i="80"/>
  <c r="A7" i="80"/>
  <c r="K7" i="80"/>
  <c r="J7" i="80"/>
  <c r="I7" i="80"/>
  <c r="H7" i="80"/>
  <c r="G7" i="80"/>
  <c r="F7" i="80"/>
  <c r="E7" i="80"/>
  <c r="D7" i="80"/>
  <c r="C7" i="80"/>
  <c r="B7" i="80"/>
  <c r="A6" i="80"/>
  <c r="K6" i="80"/>
  <c r="J6" i="80"/>
  <c r="I6" i="80"/>
  <c r="H6" i="80"/>
  <c r="G6" i="80"/>
  <c r="F6" i="80"/>
  <c r="E6" i="80"/>
  <c r="D6" i="80"/>
  <c r="C6" i="80"/>
  <c r="B6" i="80"/>
  <c r="A5" i="80"/>
  <c r="K5" i="80"/>
  <c r="J5" i="80"/>
  <c r="I5" i="80"/>
  <c r="H5" i="80"/>
  <c r="G5" i="80"/>
  <c r="F5" i="80"/>
  <c r="E5" i="80"/>
  <c r="D5" i="80"/>
  <c r="C5" i="80"/>
  <c r="B5" i="80"/>
  <c r="A4" i="80"/>
  <c r="K4" i="80"/>
  <c r="J4" i="80"/>
  <c r="I4" i="80"/>
  <c r="H4" i="80"/>
  <c r="G4" i="80"/>
  <c r="F4" i="80"/>
  <c r="E4" i="80"/>
  <c r="D4" i="80"/>
  <c r="C4" i="80"/>
  <c r="B4" i="80"/>
  <c r="K237" i="72"/>
  <c r="J237" i="72"/>
  <c r="I237" i="72"/>
  <c r="H237" i="72"/>
  <c r="G237" i="72"/>
  <c r="F237" i="72"/>
  <c r="A237" i="72"/>
  <c r="K236" i="72"/>
  <c r="J236" i="72"/>
  <c r="I236" i="72"/>
  <c r="H236" i="72"/>
  <c r="G236" i="72"/>
  <c r="F236" i="72"/>
  <c r="A236" i="72"/>
  <c r="K235" i="72"/>
  <c r="J235" i="72"/>
  <c r="I235" i="72"/>
  <c r="H235" i="72"/>
  <c r="G235" i="72"/>
  <c r="F235" i="72"/>
  <c r="A235" i="72"/>
  <c r="K234" i="72"/>
  <c r="J234" i="72"/>
  <c r="I234" i="72"/>
  <c r="H234" i="72"/>
  <c r="G234" i="72"/>
  <c r="F234" i="72"/>
  <c r="A234" i="72"/>
  <c r="K233" i="72"/>
  <c r="J233" i="72"/>
  <c r="I233" i="72"/>
  <c r="H233" i="72"/>
  <c r="G233" i="72"/>
  <c r="F233" i="72"/>
  <c r="A233" i="72"/>
  <c r="K232" i="72"/>
  <c r="J232" i="72"/>
  <c r="I232" i="72"/>
  <c r="H232" i="72"/>
  <c r="G232" i="72"/>
  <c r="F232" i="72"/>
  <c r="A232" i="72"/>
  <c r="K231" i="72"/>
  <c r="J231" i="72"/>
  <c r="I231" i="72"/>
  <c r="H231" i="72"/>
  <c r="G231" i="72"/>
  <c r="F231" i="72"/>
  <c r="A231" i="72"/>
  <c r="K230" i="72"/>
  <c r="J230" i="72"/>
  <c r="I230" i="72"/>
  <c r="H230" i="72"/>
  <c r="G230" i="72"/>
  <c r="F230" i="72"/>
  <c r="A230" i="72"/>
  <c r="K229" i="72"/>
  <c r="J229" i="72"/>
  <c r="I229" i="72"/>
  <c r="H229" i="72"/>
  <c r="G229" i="72"/>
  <c r="F229" i="72"/>
  <c r="A229" i="72"/>
  <c r="K228" i="72"/>
  <c r="J228" i="72"/>
  <c r="I228" i="72"/>
  <c r="H228" i="72"/>
  <c r="G228" i="72"/>
  <c r="F228" i="72"/>
  <c r="A228" i="72"/>
  <c r="K227" i="72"/>
  <c r="J227" i="72"/>
  <c r="I227" i="72"/>
  <c r="H227" i="72"/>
  <c r="G227" i="72"/>
  <c r="F227" i="72"/>
  <c r="A227" i="72"/>
  <c r="K226" i="72"/>
  <c r="J226" i="72"/>
  <c r="I226" i="72"/>
  <c r="H226" i="72"/>
  <c r="G226" i="72"/>
  <c r="F226" i="72"/>
  <c r="A226" i="72"/>
  <c r="K225" i="72"/>
  <c r="J225" i="72"/>
  <c r="I225" i="72"/>
  <c r="H225" i="72"/>
  <c r="G225" i="72"/>
  <c r="F225" i="72"/>
  <c r="A225" i="72"/>
  <c r="K224" i="72"/>
  <c r="J224" i="72"/>
  <c r="I224" i="72"/>
  <c r="H224" i="72"/>
  <c r="G224" i="72"/>
  <c r="F224" i="72"/>
  <c r="A224" i="72"/>
  <c r="K223" i="72"/>
  <c r="J223" i="72"/>
  <c r="I223" i="72"/>
  <c r="H223" i="72"/>
  <c r="G223" i="72"/>
  <c r="F223" i="72"/>
  <c r="A223" i="72"/>
  <c r="K222" i="72"/>
  <c r="J222" i="72"/>
  <c r="I222" i="72"/>
  <c r="H222" i="72"/>
  <c r="G222" i="72"/>
  <c r="F222" i="72"/>
  <c r="A222" i="72"/>
  <c r="K221" i="72"/>
  <c r="J221" i="72"/>
  <c r="I221" i="72"/>
  <c r="H221" i="72"/>
  <c r="G221" i="72"/>
  <c r="F221" i="72"/>
  <c r="A221" i="72"/>
  <c r="K220" i="72"/>
  <c r="J220" i="72"/>
  <c r="I220" i="72"/>
  <c r="H220" i="72"/>
  <c r="G220" i="72"/>
  <c r="F220" i="72"/>
  <c r="A220" i="72"/>
  <c r="K219" i="72"/>
  <c r="J219" i="72"/>
  <c r="I219" i="72"/>
  <c r="H219" i="72"/>
  <c r="G219" i="72"/>
  <c r="F219" i="72"/>
  <c r="A219" i="72"/>
  <c r="K218" i="72"/>
  <c r="J218" i="72"/>
  <c r="I218" i="72"/>
  <c r="H218" i="72"/>
  <c r="G218" i="72"/>
  <c r="F218" i="72"/>
  <c r="A218" i="72"/>
  <c r="K217" i="72"/>
  <c r="J217" i="72"/>
  <c r="I217" i="72"/>
  <c r="H217" i="72"/>
  <c r="G217" i="72"/>
  <c r="F217" i="72"/>
  <c r="A217" i="72"/>
  <c r="K216" i="72"/>
  <c r="J216" i="72"/>
  <c r="I216" i="72"/>
  <c r="H216" i="72"/>
  <c r="G216" i="72"/>
  <c r="F216" i="72"/>
  <c r="A216" i="72"/>
  <c r="K215" i="72"/>
  <c r="J215" i="72"/>
  <c r="I215" i="72"/>
  <c r="H215" i="72"/>
  <c r="G215" i="72"/>
  <c r="F215" i="72"/>
  <c r="A215" i="72"/>
  <c r="K214" i="72"/>
  <c r="J214" i="72"/>
  <c r="I214" i="72"/>
  <c r="H214" i="72"/>
  <c r="G214" i="72"/>
  <c r="F214" i="72"/>
  <c r="A214" i="72"/>
  <c r="K213" i="72"/>
  <c r="J213" i="72"/>
  <c r="I213" i="72"/>
  <c r="H213" i="72"/>
  <c r="G213" i="72"/>
  <c r="F213" i="72"/>
  <c r="A213" i="72"/>
  <c r="K212" i="72"/>
  <c r="J212" i="72"/>
  <c r="I212" i="72"/>
  <c r="H212" i="72"/>
  <c r="G212" i="72"/>
  <c r="F212" i="72"/>
  <c r="A212" i="72"/>
  <c r="K211" i="72"/>
  <c r="J211" i="72"/>
  <c r="I211" i="72"/>
  <c r="H211" i="72"/>
  <c r="G211" i="72"/>
  <c r="F211" i="72"/>
  <c r="A211" i="72"/>
  <c r="K210" i="72"/>
  <c r="J210" i="72"/>
  <c r="I210" i="72"/>
  <c r="H210" i="72"/>
  <c r="G210" i="72"/>
  <c r="F210" i="72"/>
  <c r="A210" i="72"/>
  <c r="K209" i="72"/>
  <c r="J209" i="72"/>
  <c r="I209" i="72"/>
  <c r="H209" i="72"/>
  <c r="G209" i="72"/>
  <c r="F209" i="72"/>
  <c r="A209" i="72"/>
  <c r="K208" i="72"/>
  <c r="J208" i="72"/>
  <c r="I208" i="72"/>
  <c r="H208" i="72"/>
  <c r="G208" i="72"/>
  <c r="F208" i="72"/>
  <c r="A208" i="72"/>
  <c r="K207" i="72"/>
  <c r="J207" i="72"/>
  <c r="I207" i="72"/>
  <c r="H207" i="72"/>
  <c r="G207" i="72"/>
  <c r="F207" i="72"/>
  <c r="A207" i="72"/>
  <c r="K206" i="72"/>
  <c r="J206" i="72"/>
  <c r="I206" i="72"/>
  <c r="H206" i="72"/>
  <c r="G206" i="72"/>
  <c r="F206" i="72"/>
  <c r="A206" i="72"/>
  <c r="K205" i="72"/>
  <c r="J205" i="72"/>
  <c r="I205" i="72"/>
  <c r="H205" i="72"/>
  <c r="G205" i="72"/>
  <c r="F205" i="72"/>
  <c r="A205" i="72"/>
  <c r="K204" i="72"/>
  <c r="J204" i="72"/>
  <c r="I204" i="72"/>
  <c r="H204" i="72"/>
  <c r="G204" i="72"/>
  <c r="F204" i="72"/>
  <c r="A204" i="72"/>
  <c r="K203" i="72"/>
  <c r="J203" i="72"/>
  <c r="I203" i="72"/>
  <c r="H203" i="72"/>
  <c r="G203" i="72"/>
  <c r="F203" i="72"/>
  <c r="A203" i="72"/>
  <c r="K202" i="72"/>
  <c r="J202" i="72"/>
  <c r="I202" i="72"/>
  <c r="H202" i="72"/>
  <c r="G202" i="72"/>
  <c r="F202" i="72"/>
  <c r="A202" i="72"/>
  <c r="K201" i="72"/>
  <c r="J201" i="72"/>
  <c r="I201" i="72"/>
  <c r="H201" i="72"/>
  <c r="G201" i="72"/>
  <c r="F201" i="72"/>
  <c r="A201" i="72"/>
  <c r="K200" i="72"/>
  <c r="J200" i="72"/>
  <c r="I200" i="72"/>
  <c r="H200" i="72"/>
  <c r="G200" i="72"/>
  <c r="F200" i="72"/>
  <c r="A200" i="72"/>
  <c r="K199" i="72"/>
  <c r="J199" i="72"/>
  <c r="I199" i="72"/>
  <c r="H199" i="72"/>
  <c r="G199" i="72"/>
  <c r="F199" i="72"/>
  <c r="A199" i="72"/>
  <c r="K198" i="72"/>
  <c r="J198" i="72"/>
  <c r="I198" i="72"/>
  <c r="H198" i="72"/>
  <c r="G198" i="72"/>
  <c r="F198" i="72"/>
  <c r="A198" i="72"/>
  <c r="K197" i="72"/>
  <c r="J197" i="72"/>
  <c r="I197" i="72"/>
  <c r="H197" i="72"/>
  <c r="G197" i="72"/>
  <c r="F197" i="72"/>
  <c r="A197" i="72"/>
  <c r="K196" i="72"/>
  <c r="J196" i="72"/>
  <c r="I196" i="72"/>
  <c r="H196" i="72"/>
  <c r="G196" i="72"/>
  <c r="F196" i="72"/>
  <c r="A196" i="72"/>
  <c r="K195" i="72"/>
  <c r="J195" i="72"/>
  <c r="I195" i="72"/>
  <c r="H195" i="72"/>
  <c r="G195" i="72"/>
  <c r="F195" i="72"/>
  <c r="A195" i="72"/>
  <c r="K194" i="72"/>
  <c r="J194" i="72"/>
  <c r="I194" i="72"/>
  <c r="H194" i="72"/>
  <c r="G194" i="72"/>
  <c r="F194" i="72"/>
  <c r="A194" i="72"/>
  <c r="K193" i="72"/>
  <c r="J193" i="72"/>
  <c r="I193" i="72"/>
  <c r="H193" i="72"/>
  <c r="G193" i="72"/>
  <c r="F193" i="72"/>
  <c r="A193" i="72"/>
  <c r="K192" i="72"/>
  <c r="J192" i="72"/>
  <c r="I192" i="72"/>
  <c r="H192" i="72"/>
  <c r="G192" i="72"/>
  <c r="F192" i="72"/>
  <c r="A192" i="72"/>
  <c r="K191" i="72"/>
  <c r="J191" i="72"/>
  <c r="I191" i="72"/>
  <c r="H191" i="72"/>
  <c r="G191" i="72"/>
  <c r="F191" i="72"/>
  <c r="A191" i="72"/>
  <c r="K190" i="72"/>
  <c r="J190" i="72"/>
  <c r="I190" i="72"/>
  <c r="H190" i="72"/>
  <c r="G190" i="72"/>
  <c r="F190" i="72"/>
  <c r="A190" i="72"/>
  <c r="K189" i="72"/>
  <c r="J189" i="72"/>
  <c r="I189" i="72"/>
  <c r="H189" i="72"/>
  <c r="G189" i="72"/>
  <c r="F189" i="72"/>
  <c r="A189" i="72"/>
  <c r="K188" i="72"/>
  <c r="J188" i="72"/>
  <c r="I188" i="72"/>
  <c r="H188" i="72"/>
  <c r="G188" i="72"/>
  <c r="F188" i="72"/>
  <c r="A188" i="72"/>
  <c r="K187" i="72"/>
  <c r="J187" i="72"/>
  <c r="I187" i="72"/>
  <c r="H187" i="72"/>
  <c r="G187" i="72"/>
  <c r="F187" i="72"/>
  <c r="A187" i="72"/>
  <c r="K186" i="72"/>
  <c r="J186" i="72"/>
  <c r="I186" i="72"/>
  <c r="H186" i="72"/>
  <c r="G186" i="72"/>
  <c r="F186" i="72"/>
  <c r="A186" i="72"/>
  <c r="K185" i="72"/>
  <c r="J185" i="72"/>
  <c r="I185" i="72"/>
  <c r="H185" i="72"/>
  <c r="G185" i="72"/>
  <c r="F185" i="72"/>
  <c r="A185" i="72"/>
  <c r="K184" i="72"/>
  <c r="J184" i="72"/>
  <c r="I184" i="72"/>
  <c r="H184" i="72"/>
  <c r="G184" i="72"/>
  <c r="F184" i="72"/>
  <c r="A184" i="72"/>
  <c r="K183" i="72"/>
  <c r="J183" i="72"/>
  <c r="I183" i="72"/>
  <c r="H183" i="72"/>
  <c r="G183" i="72"/>
  <c r="F183" i="72"/>
  <c r="A183" i="72"/>
  <c r="K182" i="72"/>
  <c r="J182" i="72"/>
  <c r="I182" i="72"/>
  <c r="H182" i="72"/>
  <c r="G182" i="72"/>
  <c r="F182" i="72"/>
  <c r="A182" i="72"/>
  <c r="K181" i="72"/>
  <c r="J181" i="72"/>
  <c r="I181" i="72"/>
  <c r="H181" i="72"/>
  <c r="G181" i="72"/>
  <c r="F181" i="72"/>
  <c r="A181" i="72"/>
  <c r="K180" i="72"/>
  <c r="J180" i="72"/>
  <c r="I180" i="72"/>
  <c r="H180" i="72"/>
  <c r="G180" i="72"/>
  <c r="F180" i="72"/>
  <c r="A180" i="72"/>
  <c r="K179" i="72"/>
  <c r="J179" i="72"/>
  <c r="I179" i="72"/>
  <c r="H179" i="72"/>
  <c r="G179" i="72"/>
  <c r="F179" i="72"/>
  <c r="A179" i="72"/>
  <c r="K178" i="72"/>
  <c r="J178" i="72"/>
  <c r="I178" i="72"/>
  <c r="H178" i="72"/>
  <c r="G178" i="72"/>
  <c r="F178" i="72"/>
  <c r="A178" i="72"/>
  <c r="K177" i="72"/>
  <c r="J177" i="72"/>
  <c r="I177" i="72"/>
  <c r="H177" i="72"/>
  <c r="G177" i="72"/>
  <c r="F177" i="72"/>
  <c r="A177" i="72"/>
  <c r="K176" i="72"/>
  <c r="J176" i="72"/>
  <c r="I176" i="72"/>
  <c r="H176" i="72"/>
  <c r="G176" i="72"/>
  <c r="F176" i="72"/>
  <c r="A176" i="72"/>
  <c r="K175" i="72"/>
  <c r="J175" i="72"/>
  <c r="I175" i="72"/>
  <c r="H175" i="72"/>
  <c r="G175" i="72"/>
  <c r="F175" i="72"/>
  <c r="A175" i="72"/>
  <c r="K174" i="72"/>
  <c r="J174" i="72"/>
  <c r="I174" i="72"/>
  <c r="H174" i="72"/>
  <c r="G174" i="72"/>
  <c r="F174" i="72"/>
  <c r="A174" i="72"/>
  <c r="K173" i="72"/>
  <c r="J173" i="72"/>
  <c r="I173" i="72"/>
  <c r="H173" i="72"/>
  <c r="G173" i="72"/>
  <c r="F173" i="72"/>
  <c r="A173" i="72"/>
  <c r="K172" i="72"/>
  <c r="J172" i="72"/>
  <c r="I172" i="72"/>
  <c r="H172" i="72"/>
  <c r="G172" i="72"/>
  <c r="F172" i="72"/>
  <c r="A172" i="72"/>
  <c r="K171" i="72"/>
  <c r="J171" i="72"/>
  <c r="I171" i="72"/>
  <c r="H171" i="72"/>
  <c r="G171" i="72"/>
  <c r="F171" i="72"/>
  <c r="A171" i="72"/>
  <c r="K170" i="72"/>
  <c r="J170" i="72"/>
  <c r="I170" i="72"/>
  <c r="H170" i="72"/>
  <c r="G170" i="72"/>
  <c r="F170" i="72"/>
  <c r="A170" i="72"/>
  <c r="K169" i="72"/>
  <c r="J169" i="72"/>
  <c r="I169" i="72"/>
  <c r="H169" i="72"/>
  <c r="G169" i="72"/>
  <c r="F169" i="72"/>
  <c r="A169" i="72"/>
  <c r="K168" i="72"/>
  <c r="J168" i="72"/>
  <c r="I168" i="72"/>
  <c r="H168" i="72"/>
  <c r="G168" i="72"/>
  <c r="F168" i="72"/>
  <c r="A168" i="72"/>
  <c r="K167" i="72"/>
  <c r="J167" i="72"/>
  <c r="I167" i="72"/>
  <c r="H167" i="72"/>
  <c r="G167" i="72"/>
  <c r="F167" i="72"/>
  <c r="A167" i="72"/>
  <c r="K166" i="72"/>
  <c r="J166" i="72"/>
  <c r="I166" i="72"/>
  <c r="H166" i="72"/>
  <c r="G166" i="72"/>
  <c r="F166" i="72"/>
  <c r="A166" i="72"/>
  <c r="K165" i="72"/>
  <c r="J165" i="72"/>
  <c r="I165" i="72"/>
  <c r="H165" i="72"/>
  <c r="G165" i="72"/>
  <c r="F165" i="72"/>
  <c r="A165" i="72"/>
  <c r="K164" i="72"/>
  <c r="J164" i="72"/>
  <c r="I164" i="72"/>
  <c r="H164" i="72"/>
  <c r="G164" i="72"/>
  <c r="F164" i="72"/>
  <c r="A164" i="72"/>
  <c r="K163" i="72"/>
  <c r="J163" i="72"/>
  <c r="I163" i="72"/>
  <c r="H163" i="72"/>
  <c r="G163" i="72"/>
  <c r="F163" i="72"/>
  <c r="A163" i="72"/>
  <c r="K162" i="72"/>
  <c r="J162" i="72"/>
  <c r="I162" i="72"/>
  <c r="H162" i="72"/>
  <c r="G162" i="72"/>
  <c r="F162" i="72"/>
  <c r="A162" i="72"/>
  <c r="K161" i="72"/>
  <c r="J161" i="72"/>
  <c r="I161" i="72"/>
  <c r="H161" i="72"/>
  <c r="G161" i="72"/>
  <c r="F161" i="72"/>
  <c r="A161" i="72"/>
  <c r="K160" i="72"/>
  <c r="J160" i="72"/>
  <c r="I160" i="72"/>
  <c r="H160" i="72"/>
  <c r="G160" i="72"/>
  <c r="F160" i="72"/>
  <c r="A160" i="72"/>
  <c r="K159" i="72"/>
  <c r="J159" i="72"/>
  <c r="I159" i="72"/>
  <c r="H159" i="72"/>
  <c r="G159" i="72"/>
  <c r="F159" i="72"/>
  <c r="A159" i="72"/>
  <c r="K158" i="72"/>
  <c r="J158" i="72"/>
  <c r="I158" i="72"/>
  <c r="H158" i="72"/>
  <c r="G158" i="72"/>
  <c r="F158" i="72"/>
  <c r="A158" i="72"/>
  <c r="K157" i="72"/>
  <c r="J157" i="72"/>
  <c r="I157" i="72"/>
  <c r="H157" i="72"/>
  <c r="G157" i="72"/>
  <c r="F157" i="72"/>
  <c r="A157" i="72"/>
  <c r="K156" i="72"/>
  <c r="J156" i="72"/>
  <c r="I156" i="72"/>
  <c r="H156" i="72"/>
  <c r="G156" i="72"/>
  <c r="F156" i="72"/>
  <c r="A156" i="72"/>
  <c r="K155" i="72"/>
  <c r="J155" i="72"/>
  <c r="I155" i="72"/>
  <c r="H155" i="72"/>
  <c r="G155" i="72"/>
  <c r="F155" i="72"/>
  <c r="A155" i="72"/>
  <c r="K154" i="72"/>
  <c r="J154" i="72"/>
  <c r="I154" i="72"/>
  <c r="H154" i="72"/>
  <c r="G154" i="72"/>
  <c r="F154" i="72"/>
  <c r="A154" i="72"/>
  <c r="K153" i="72"/>
  <c r="J153" i="72"/>
  <c r="I153" i="72"/>
  <c r="H153" i="72"/>
  <c r="G153" i="72"/>
  <c r="F153" i="72"/>
  <c r="A153" i="72"/>
  <c r="K152" i="72"/>
  <c r="J152" i="72"/>
  <c r="I152" i="72"/>
  <c r="H152" i="72"/>
  <c r="G152" i="72"/>
  <c r="F152" i="72"/>
  <c r="A152" i="72"/>
  <c r="K151" i="72"/>
  <c r="J151" i="72"/>
  <c r="I151" i="72"/>
  <c r="H151" i="72"/>
  <c r="G151" i="72"/>
  <c r="F151" i="72"/>
  <c r="A151" i="72"/>
  <c r="K150" i="72"/>
  <c r="J150" i="72"/>
  <c r="I150" i="72"/>
  <c r="H150" i="72"/>
  <c r="G150" i="72"/>
  <c r="F150" i="72"/>
  <c r="A150" i="72"/>
  <c r="K149" i="72"/>
  <c r="J149" i="72"/>
  <c r="I149" i="72"/>
  <c r="H149" i="72"/>
  <c r="G149" i="72"/>
  <c r="F149" i="72"/>
  <c r="A149" i="72"/>
  <c r="K148" i="72"/>
  <c r="J148" i="72"/>
  <c r="I148" i="72"/>
  <c r="H148" i="72"/>
  <c r="G148" i="72"/>
  <c r="F148" i="72"/>
  <c r="A148" i="72"/>
  <c r="K147" i="72"/>
  <c r="J147" i="72"/>
  <c r="I147" i="72"/>
  <c r="H147" i="72"/>
  <c r="G147" i="72"/>
  <c r="F147" i="72"/>
  <c r="A147" i="72"/>
  <c r="K146" i="72"/>
  <c r="J146" i="72"/>
  <c r="I146" i="72"/>
  <c r="H146" i="72"/>
  <c r="G146" i="72"/>
  <c r="F146" i="72"/>
  <c r="A146" i="72"/>
  <c r="K145" i="72"/>
  <c r="J145" i="72"/>
  <c r="I145" i="72"/>
  <c r="H145" i="72"/>
  <c r="G145" i="72"/>
  <c r="F145" i="72"/>
  <c r="A145" i="72"/>
  <c r="K144" i="72"/>
  <c r="J144" i="72"/>
  <c r="I144" i="72"/>
  <c r="H144" i="72"/>
  <c r="G144" i="72"/>
  <c r="F144" i="72"/>
  <c r="A144" i="72"/>
  <c r="K143" i="72"/>
  <c r="J143" i="72"/>
  <c r="I143" i="72"/>
  <c r="H143" i="72"/>
  <c r="G143" i="72"/>
  <c r="F143" i="72"/>
  <c r="A143" i="72"/>
  <c r="K142" i="72"/>
  <c r="J142" i="72"/>
  <c r="I142" i="72"/>
  <c r="H142" i="72"/>
  <c r="G142" i="72"/>
  <c r="F142" i="72"/>
  <c r="A142" i="72"/>
  <c r="K141" i="72"/>
  <c r="J141" i="72"/>
  <c r="I141" i="72"/>
  <c r="H141" i="72"/>
  <c r="G141" i="72"/>
  <c r="F141" i="72"/>
  <c r="A141" i="72"/>
  <c r="K140" i="72"/>
  <c r="J140" i="72"/>
  <c r="I140" i="72"/>
  <c r="H140" i="72"/>
  <c r="G140" i="72"/>
  <c r="F140" i="72"/>
  <c r="A140" i="72"/>
  <c r="K139" i="72"/>
  <c r="J139" i="72"/>
  <c r="I139" i="72"/>
  <c r="H139" i="72"/>
  <c r="G139" i="72"/>
  <c r="F139" i="72"/>
  <c r="A139" i="72"/>
  <c r="K138" i="72"/>
  <c r="J138" i="72"/>
  <c r="I138" i="72"/>
  <c r="H138" i="72"/>
  <c r="G138" i="72"/>
  <c r="F138" i="72"/>
  <c r="A138" i="72"/>
  <c r="K137" i="72"/>
  <c r="J137" i="72"/>
  <c r="I137" i="72"/>
  <c r="H137" i="72"/>
  <c r="G137" i="72"/>
  <c r="F137" i="72"/>
  <c r="A137" i="72"/>
  <c r="K136" i="72"/>
  <c r="J136" i="72"/>
  <c r="I136" i="72"/>
  <c r="H136" i="72"/>
  <c r="G136" i="72"/>
  <c r="F136" i="72"/>
  <c r="A136" i="72"/>
  <c r="K135" i="72"/>
  <c r="J135" i="72"/>
  <c r="I135" i="72"/>
  <c r="H135" i="72"/>
  <c r="G135" i="72"/>
  <c r="F135" i="72"/>
  <c r="A135" i="72"/>
  <c r="K134" i="72"/>
  <c r="J134" i="72"/>
  <c r="I134" i="72"/>
  <c r="H134" i="72"/>
  <c r="G134" i="72"/>
  <c r="F134" i="72"/>
  <c r="A134" i="72"/>
  <c r="K133" i="72"/>
  <c r="J133" i="72"/>
  <c r="I133" i="72"/>
  <c r="H133" i="72"/>
  <c r="G133" i="72"/>
  <c r="F133" i="72"/>
  <c r="A133" i="72"/>
  <c r="K132" i="72"/>
  <c r="J132" i="72"/>
  <c r="I132" i="72"/>
  <c r="H132" i="72"/>
  <c r="G132" i="72"/>
  <c r="F132" i="72"/>
  <c r="A132" i="72"/>
  <c r="K131" i="72"/>
  <c r="J131" i="72"/>
  <c r="I131" i="72"/>
  <c r="H131" i="72"/>
  <c r="G131" i="72"/>
  <c r="F131" i="72"/>
  <c r="A131" i="72"/>
  <c r="K130" i="72"/>
  <c r="J130" i="72"/>
  <c r="I130" i="72"/>
  <c r="H130" i="72"/>
  <c r="G130" i="72"/>
  <c r="F130" i="72"/>
  <c r="A130" i="72"/>
  <c r="K129" i="72"/>
  <c r="J129" i="72"/>
  <c r="I129" i="72"/>
  <c r="H129" i="72"/>
  <c r="G129" i="72"/>
  <c r="F129" i="72"/>
  <c r="A129" i="72"/>
  <c r="K128" i="72"/>
  <c r="J128" i="72"/>
  <c r="I128" i="72"/>
  <c r="H128" i="72"/>
  <c r="G128" i="72"/>
  <c r="F128" i="72"/>
  <c r="A128" i="72"/>
  <c r="K127" i="72"/>
  <c r="J127" i="72"/>
  <c r="I127" i="72"/>
  <c r="H127" i="72"/>
  <c r="G127" i="72"/>
  <c r="F127" i="72"/>
  <c r="A127" i="72"/>
  <c r="K126" i="72"/>
  <c r="J126" i="72"/>
  <c r="I126" i="72"/>
  <c r="H126" i="72"/>
  <c r="G126" i="72"/>
  <c r="F126" i="72"/>
  <c r="A126" i="72"/>
  <c r="K125" i="72"/>
  <c r="J125" i="72"/>
  <c r="I125" i="72"/>
  <c r="H125" i="72"/>
  <c r="G125" i="72"/>
  <c r="F125" i="72"/>
  <c r="A125" i="72"/>
  <c r="K124" i="72"/>
  <c r="J124" i="72"/>
  <c r="I124" i="72"/>
  <c r="H124" i="72"/>
  <c r="G124" i="72"/>
  <c r="F124" i="72"/>
  <c r="A124" i="72"/>
  <c r="K123" i="72"/>
  <c r="J123" i="72"/>
  <c r="I123" i="72"/>
  <c r="H123" i="72"/>
  <c r="G123" i="72"/>
  <c r="F123" i="72"/>
  <c r="A123" i="72"/>
  <c r="K122" i="72"/>
  <c r="J122" i="72"/>
  <c r="I122" i="72"/>
  <c r="H122" i="72"/>
  <c r="G122" i="72"/>
  <c r="F122" i="72"/>
  <c r="A122" i="72"/>
  <c r="K121" i="72"/>
  <c r="J121" i="72"/>
  <c r="I121" i="72"/>
  <c r="H121" i="72"/>
  <c r="G121" i="72"/>
  <c r="F121" i="72"/>
  <c r="A121" i="72"/>
  <c r="K120" i="72"/>
  <c r="J120" i="72"/>
  <c r="I120" i="72"/>
  <c r="H120" i="72"/>
  <c r="G120" i="72"/>
  <c r="F120" i="72"/>
  <c r="A120" i="72"/>
  <c r="K119" i="72"/>
  <c r="J119" i="72"/>
  <c r="I119" i="72"/>
  <c r="H119" i="72"/>
  <c r="G119" i="72"/>
  <c r="F119" i="72"/>
  <c r="A119" i="72"/>
  <c r="K118" i="72"/>
  <c r="J118" i="72"/>
  <c r="I118" i="72"/>
  <c r="H118" i="72"/>
  <c r="G118" i="72"/>
  <c r="F118" i="72"/>
  <c r="A118" i="72"/>
  <c r="K117" i="72"/>
  <c r="J117" i="72"/>
  <c r="I117" i="72"/>
  <c r="H117" i="72"/>
  <c r="G117" i="72"/>
  <c r="F117" i="72"/>
  <c r="A117" i="72"/>
  <c r="K116" i="72"/>
  <c r="J116" i="72"/>
  <c r="I116" i="72"/>
  <c r="H116" i="72"/>
  <c r="G116" i="72"/>
  <c r="F116" i="72"/>
  <c r="A116" i="72"/>
  <c r="K115" i="72"/>
  <c r="J115" i="72"/>
  <c r="I115" i="72"/>
  <c r="H115" i="72"/>
  <c r="G115" i="72"/>
  <c r="F115" i="72"/>
  <c r="A115" i="72"/>
  <c r="K114" i="72"/>
  <c r="J114" i="72"/>
  <c r="I114" i="72"/>
  <c r="H114" i="72"/>
  <c r="G114" i="72"/>
  <c r="F114" i="72"/>
  <c r="A114" i="72"/>
  <c r="K113" i="72"/>
  <c r="J113" i="72"/>
  <c r="I113" i="72"/>
  <c r="H113" i="72"/>
  <c r="G113" i="72"/>
  <c r="F113" i="72"/>
  <c r="A113" i="72"/>
  <c r="K112" i="72"/>
  <c r="J112" i="72"/>
  <c r="I112" i="72"/>
  <c r="H112" i="72"/>
  <c r="G112" i="72"/>
  <c r="F112" i="72"/>
  <c r="A112" i="72"/>
  <c r="K111" i="72"/>
  <c r="J111" i="72"/>
  <c r="I111" i="72"/>
  <c r="H111" i="72"/>
  <c r="G111" i="72"/>
  <c r="F111" i="72"/>
  <c r="A111" i="72"/>
  <c r="K110" i="72"/>
  <c r="J110" i="72"/>
  <c r="I110" i="72"/>
  <c r="H110" i="72"/>
  <c r="G110" i="72"/>
  <c r="F110" i="72"/>
  <c r="A110" i="72"/>
  <c r="K109" i="72"/>
  <c r="J109" i="72"/>
  <c r="I109" i="72"/>
  <c r="H109" i="72"/>
  <c r="G109" i="72"/>
  <c r="F109" i="72"/>
  <c r="A109" i="72"/>
  <c r="K108" i="72"/>
  <c r="J108" i="72"/>
  <c r="I108" i="72"/>
  <c r="H108" i="72"/>
  <c r="G108" i="72"/>
  <c r="F108" i="72"/>
  <c r="A108" i="72"/>
  <c r="K107" i="72"/>
  <c r="J107" i="72"/>
  <c r="I107" i="72"/>
  <c r="H107" i="72"/>
  <c r="G107" i="72"/>
  <c r="F107" i="72"/>
  <c r="A107" i="72"/>
  <c r="K106" i="72"/>
  <c r="J106" i="72"/>
  <c r="I106" i="72"/>
  <c r="H106" i="72"/>
  <c r="G106" i="72"/>
  <c r="F106" i="72"/>
  <c r="A106" i="72"/>
  <c r="K105" i="72"/>
  <c r="J105" i="72"/>
  <c r="I105" i="72"/>
  <c r="H105" i="72"/>
  <c r="G105" i="72"/>
  <c r="F105" i="72"/>
  <c r="A105" i="72"/>
  <c r="K104" i="72"/>
  <c r="J104" i="72"/>
  <c r="I104" i="72"/>
  <c r="H104" i="72"/>
  <c r="G104" i="72"/>
  <c r="F104" i="72"/>
  <c r="A104" i="72"/>
  <c r="K103" i="72"/>
  <c r="J103" i="72"/>
  <c r="I103" i="72"/>
  <c r="H103" i="72"/>
  <c r="G103" i="72"/>
  <c r="F103" i="72"/>
  <c r="A103" i="72"/>
  <c r="K102" i="72"/>
  <c r="J102" i="72"/>
  <c r="I102" i="72"/>
  <c r="H102" i="72"/>
  <c r="G102" i="72"/>
  <c r="F102" i="72"/>
  <c r="A102" i="72"/>
  <c r="K101" i="72"/>
  <c r="J101" i="72"/>
  <c r="I101" i="72"/>
  <c r="H101" i="72"/>
  <c r="G101" i="72"/>
  <c r="F101" i="72"/>
  <c r="A101" i="72"/>
  <c r="K100" i="72"/>
  <c r="J100" i="72"/>
  <c r="I100" i="72"/>
  <c r="H100" i="72"/>
  <c r="G100" i="72"/>
  <c r="F100" i="72"/>
  <c r="A100" i="72"/>
  <c r="K99" i="72"/>
  <c r="J99" i="72"/>
  <c r="I99" i="72"/>
  <c r="H99" i="72"/>
  <c r="G99" i="72"/>
  <c r="F99" i="72"/>
  <c r="A99" i="72"/>
  <c r="K98" i="72"/>
  <c r="J98" i="72"/>
  <c r="I98" i="72"/>
  <c r="H98" i="72"/>
  <c r="G98" i="72"/>
  <c r="F98" i="72"/>
  <c r="A98" i="72"/>
  <c r="K97" i="72"/>
  <c r="J97" i="72"/>
  <c r="I97" i="72"/>
  <c r="H97" i="72"/>
  <c r="G97" i="72"/>
  <c r="F97" i="72"/>
  <c r="A97" i="72"/>
  <c r="K96" i="72"/>
  <c r="J96" i="72"/>
  <c r="I96" i="72"/>
  <c r="H96" i="72"/>
  <c r="G96" i="72"/>
  <c r="F96" i="72"/>
  <c r="A96" i="72"/>
  <c r="K95" i="72"/>
  <c r="J95" i="72"/>
  <c r="I95" i="72"/>
  <c r="H95" i="72"/>
  <c r="G95" i="72"/>
  <c r="F95" i="72"/>
  <c r="A95" i="72"/>
  <c r="K94" i="72"/>
  <c r="J94" i="72"/>
  <c r="I94" i="72"/>
  <c r="H94" i="72"/>
  <c r="G94" i="72"/>
  <c r="F94" i="72"/>
  <c r="A94" i="72"/>
  <c r="K93" i="72"/>
  <c r="J93" i="72"/>
  <c r="I93" i="72"/>
  <c r="H93" i="72"/>
  <c r="G93" i="72"/>
  <c r="F93" i="72"/>
  <c r="A93" i="72"/>
  <c r="K92" i="72"/>
  <c r="J92" i="72"/>
  <c r="I92" i="72"/>
  <c r="H92" i="72"/>
  <c r="G92" i="72"/>
  <c r="F92" i="72"/>
  <c r="A92" i="72"/>
  <c r="K91" i="72"/>
  <c r="J91" i="72"/>
  <c r="I91" i="72"/>
  <c r="H91" i="72"/>
  <c r="G91" i="72"/>
  <c r="F91" i="72"/>
  <c r="A91" i="72"/>
  <c r="K90" i="72"/>
  <c r="J90" i="72"/>
  <c r="I90" i="72"/>
  <c r="H90" i="72"/>
  <c r="G90" i="72"/>
  <c r="F90" i="72"/>
  <c r="A90" i="72"/>
  <c r="K89" i="72"/>
  <c r="J89" i="72"/>
  <c r="I89" i="72"/>
  <c r="H89" i="72"/>
  <c r="G89" i="72"/>
  <c r="F89" i="72"/>
  <c r="A89" i="72"/>
  <c r="K88" i="72"/>
  <c r="J88" i="72"/>
  <c r="I88" i="72"/>
  <c r="H88" i="72"/>
  <c r="G88" i="72"/>
  <c r="F88" i="72"/>
  <c r="A88" i="72"/>
  <c r="K87" i="72"/>
  <c r="J87" i="72"/>
  <c r="I87" i="72"/>
  <c r="H87" i="72"/>
  <c r="G87" i="72"/>
  <c r="F87" i="72"/>
  <c r="A87" i="72"/>
  <c r="K86" i="72"/>
  <c r="J86" i="72"/>
  <c r="I86" i="72"/>
  <c r="H86" i="72"/>
  <c r="G86" i="72"/>
  <c r="F86" i="72"/>
  <c r="A86" i="72"/>
  <c r="K85" i="72"/>
  <c r="J85" i="72"/>
  <c r="I85" i="72"/>
  <c r="H85" i="72"/>
  <c r="G85" i="72"/>
  <c r="F85" i="72"/>
  <c r="A85" i="72"/>
  <c r="K84" i="72"/>
  <c r="J84" i="72"/>
  <c r="I84" i="72"/>
  <c r="H84" i="72"/>
  <c r="G84" i="72"/>
  <c r="F84" i="72"/>
  <c r="A84" i="72"/>
  <c r="K83" i="72"/>
  <c r="J83" i="72"/>
  <c r="I83" i="72"/>
  <c r="H83" i="72"/>
  <c r="G83" i="72"/>
  <c r="F83" i="72"/>
  <c r="A83" i="72"/>
  <c r="K82" i="72"/>
  <c r="J82" i="72"/>
  <c r="I82" i="72"/>
  <c r="H82" i="72"/>
  <c r="G82" i="72"/>
  <c r="F82" i="72"/>
  <c r="A82" i="72"/>
  <c r="K81" i="72"/>
  <c r="J81" i="72"/>
  <c r="I81" i="72"/>
  <c r="H81" i="72"/>
  <c r="G81" i="72"/>
  <c r="F81" i="72"/>
  <c r="A81" i="72"/>
  <c r="K80" i="72"/>
  <c r="J80" i="72"/>
  <c r="I80" i="72"/>
  <c r="H80" i="72"/>
  <c r="G80" i="72"/>
  <c r="F80" i="72"/>
  <c r="A80" i="72"/>
  <c r="K79" i="72"/>
  <c r="J79" i="72"/>
  <c r="I79" i="72"/>
  <c r="H79" i="72"/>
  <c r="G79" i="72"/>
  <c r="F79" i="72"/>
  <c r="A79" i="72"/>
  <c r="K78" i="72"/>
  <c r="J78" i="72"/>
  <c r="I78" i="72"/>
  <c r="H78" i="72"/>
  <c r="G78" i="72"/>
  <c r="F78" i="72"/>
  <c r="A78" i="72"/>
  <c r="K77" i="72"/>
  <c r="J77" i="72"/>
  <c r="I77" i="72"/>
  <c r="H77" i="72"/>
  <c r="G77" i="72"/>
  <c r="F77" i="72"/>
  <c r="A77" i="72"/>
  <c r="K76" i="72"/>
  <c r="J76" i="72"/>
  <c r="I76" i="72"/>
  <c r="H76" i="72"/>
  <c r="G76" i="72"/>
  <c r="F76" i="72"/>
  <c r="A76" i="72"/>
  <c r="K75" i="72"/>
  <c r="J75" i="72"/>
  <c r="I75" i="72"/>
  <c r="H75" i="72"/>
  <c r="G75" i="72"/>
  <c r="F75" i="72"/>
  <c r="A75" i="72"/>
  <c r="K74" i="72"/>
  <c r="J74" i="72"/>
  <c r="I74" i="72"/>
  <c r="H74" i="72"/>
  <c r="G74" i="72"/>
  <c r="F74" i="72"/>
  <c r="A74" i="72"/>
  <c r="K73" i="72"/>
  <c r="J73" i="72"/>
  <c r="I73" i="72"/>
  <c r="H73" i="72"/>
  <c r="G73" i="72"/>
  <c r="F73" i="72"/>
  <c r="A73" i="72"/>
  <c r="K72" i="72"/>
  <c r="J72" i="72"/>
  <c r="I72" i="72"/>
  <c r="H72" i="72"/>
  <c r="G72" i="72"/>
  <c r="F72" i="72"/>
  <c r="A72" i="72"/>
  <c r="K71" i="72"/>
  <c r="J71" i="72"/>
  <c r="I71" i="72"/>
  <c r="H71" i="72"/>
  <c r="G71" i="72"/>
  <c r="F71" i="72"/>
  <c r="A71" i="72"/>
  <c r="K70" i="72"/>
  <c r="J70" i="72"/>
  <c r="I70" i="72"/>
  <c r="H70" i="72"/>
  <c r="G70" i="72"/>
  <c r="F70" i="72"/>
  <c r="A70" i="72"/>
  <c r="K69" i="72"/>
  <c r="J69" i="72"/>
  <c r="I69" i="72"/>
  <c r="H69" i="72"/>
  <c r="G69" i="72"/>
  <c r="F69" i="72"/>
  <c r="A69" i="72"/>
  <c r="K68" i="72"/>
  <c r="J68" i="72"/>
  <c r="I68" i="72"/>
  <c r="H68" i="72"/>
  <c r="G68" i="72"/>
  <c r="F68" i="72"/>
  <c r="A68" i="72"/>
  <c r="K67" i="72"/>
  <c r="J67" i="72"/>
  <c r="I67" i="72"/>
  <c r="H67" i="72"/>
  <c r="G67" i="72"/>
  <c r="F67" i="72"/>
  <c r="A67" i="72"/>
  <c r="K66" i="72"/>
  <c r="J66" i="72"/>
  <c r="I66" i="72"/>
  <c r="H66" i="72"/>
  <c r="G66" i="72"/>
  <c r="F66" i="72"/>
  <c r="A66" i="72"/>
  <c r="K65" i="72"/>
  <c r="J65" i="72"/>
  <c r="I65" i="72"/>
  <c r="H65" i="72"/>
  <c r="G65" i="72"/>
  <c r="F65" i="72"/>
  <c r="A65" i="72"/>
  <c r="K64" i="72"/>
  <c r="J64" i="72"/>
  <c r="I64" i="72"/>
  <c r="H64" i="72"/>
  <c r="G64" i="72"/>
  <c r="F64" i="72"/>
  <c r="A64" i="72"/>
  <c r="K63" i="72"/>
  <c r="J63" i="72"/>
  <c r="I63" i="72"/>
  <c r="H63" i="72"/>
  <c r="G63" i="72"/>
  <c r="F63" i="72"/>
  <c r="A63" i="72"/>
  <c r="K62" i="72"/>
  <c r="J62" i="72"/>
  <c r="I62" i="72"/>
  <c r="H62" i="72"/>
  <c r="G62" i="72"/>
  <c r="F62" i="72"/>
  <c r="A62" i="72"/>
  <c r="K61" i="72"/>
  <c r="J61" i="72"/>
  <c r="I61" i="72"/>
  <c r="H61" i="72"/>
  <c r="G61" i="72"/>
  <c r="F61" i="72"/>
  <c r="A61" i="72"/>
  <c r="K60" i="72"/>
  <c r="J60" i="72"/>
  <c r="I60" i="72"/>
  <c r="H60" i="72"/>
  <c r="G60" i="72"/>
  <c r="F60" i="72"/>
  <c r="A60" i="72"/>
  <c r="K59" i="72"/>
  <c r="J59" i="72"/>
  <c r="I59" i="72"/>
  <c r="H59" i="72"/>
  <c r="G59" i="72"/>
  <c r="F59" i="72"/>
  <c r="A59" i="72"/>
  <c r="K58" i="72"/>
  <c r="J58" i="72"/>
  <c r="I58" i="72"/>
  <c r="H58" i="72"/>
  <c r="G58" i="72"/>
  <c r="F58" i="72"/>
  <c r="A58" i="72"/>
  <c r="K57" i="72"/>
  <c r="J57" i="72"/>
  <c r="I57" i="72"/>
  <c r="H57" i="72"/>
  <c r="G57" i="72"/>
  <c r="F57" i="72"/>
  <c r="A57" i="72"/>
  <c r="K56" i="72"/>
  <c r="J56" i="72"/>
  <c r="I56" i="72"/>
  <c r="H56" i="72"/>
  <c r="G56" i="72"/>
  <c r="F56" i="72"/>
  <c r="A56" i="72"/>
  <c r="K55" i="72"/>
  <c r="J55" i="72"/>
  <c r="I55" i="72"/>
  <c r="H55" i="72"/>
  <c r="G55" i="72"/>
  <c r="F55" i="72"/>
  <c r="A55" i="72"/>
  <c r="K54" i="72"/>
  <c r="J54" i="72"/>
  <c r="I54" i="72"/>
  <c r="H54" i="72"/>
  <c r="G54" i="72"/>
  <c r="F54" i="72"/>
  <c r="A54" i="72"/>
  <c r="K53" i="72"/>
  <c r="J53" i="72"/>
  <c r="I53" i="72"/>
  <c r="H53" i="72"/>
  <c r="G53" i="72"/>
  <c r="F53" i="72"/>
  <c r="A53" i="72"/>
  <c r="K52" i="72"/>
  <c r="J52" i="72"/>
  <c r="I52" i="72"/>
  <c r="H52" i="72"/>
  <c r="G52" i="72"/>
  <c r="F52" i="72"/>
  <c r="A52" i="72"/>
  <c r="K51" i="72"/>
  <c r="J51" i="72"/>
  <c r="I51" i="72"/>
  <c r="H51" i="72"/>
  <c r="G51" i="72"/>
  <c r="F51" i="72"/>
  <c r="A51" i="72"/>
  <c r="K50" i="72"/>
  <c r="J50" i="72"/>
  <c r="I50" i="72"/>
  <c r="H50" i="72"/>
  <c r="G50" i="72"/>
  <c r="F50" i="72"/>
  <c r="A50" i="72"/>
  <c r="K49" i="72"/>
  <c r="J49" i="72"/>
  <c r="I49" i="72"/>
  <c r="H49" i="72"/>
  <c r="G49" i="72"/>
  <c r="F49" i="72"/>
  <c r="A49" i="72"/>
  <c r="K48" i="72"/>
  <c r="J48" i="72"/>
  <c r="I48" i="72"/>
  <c r="H48" i="72"/>
  <c r="G48" i="72"/>
  <c r="F48" i="72"/>
  <c r="A48" i="72"/>
  <c r="K47" i="72"/>
  <c r="J47" i="72"/>
  <c r="I47" i="72"/>
  <c r="H47" i="72"/>
  <c r="G47" i="72"/>
  <c r="F47" i="72"/>
  <c r="A47" i="72"/>
  <c r="K46" i="72"/>
  <c r="J46" i="72"/>
  <c r="I46" i="72"/>
  <c r="H46" i="72"/>
  <c r="G46" i="72"/>
  <c r="F46" i="72"/>
  <c r="A46" i="72"/>
  <c r="K45" i="72"/>
  <c r="J45" i="72"/>
  <c r="I45" i="72"/>
  <c r="H45" i="72"/>
  <c r="G45" i="72"/>
  <c r="F45" i="72"/>
  <c r="A45" i="72"/>
  <c r="K44" i="72"/>
  <c r="J44" i="72"/>
  <c r="I44" i="72"/>
  <c r="H44" i="72"/>
  <c r="G44" i="72"/>
  <c r="F44" i="72"/>
  <c r="A44" i="72"/>
  <c r="K43" i="72"/>
  <c r="J43" i="72"/>
  <c r="I43" i="72"/>
  <c r="H43" i="72"/>
  <c r="G43" i="72"/>
  <c r="F43" i="72"/>
  <c r="A43" i="72"/>
  <c r="K42" i="72"/>
  <c r="J42" i="72"/>
  <c r="I42" i="72"/>
  <c r="H42" i="72"/>
  <c r="G42" i="72"/>
  <c r="F42" i="72"/>
  <c r="A42" i="72"/>
  <c r="K41" i="72"/>
  <c r="J41" i="72"/>
  <c r="I41" i="72"/>
  <c r="H41" i="72"/>
  <c r="G41" i="72"/>
  <c r="F41" i="72"/>
  <c r="A41" i="72"/>
  <c r="K40" i="72"/>
  <c r="J40" i="72"/>
  <c r="I40" i="72"/>
  <c r="H40" i="72"/>
  <c r="G40" i="72"/>
  <c r="F40" i="72"/>
  <c r="A40" i="72"/>
  <c r="K39" i="72"/>
  <c r="J39" i="72"/>
  <c r="I39" i="72"/>
  <c r="H39" i="72"/>
  <c r="G39" i="72"/>
  <c r="F39" i="72"/>
  <c r="A39" i="72"/>
  <c r="K38" i="72"/>
  <c r="J38" i="72"/>
  <c r="I38" i="72"/>
  <c r="H38" i="72"/>
  <c r="G38" i="72"/>
  <c r="F38" i="72"/>
  <c r="A38" i="72"/>
  <c r="K37" i="72"/>
  <c r="J37" i="72"/>
  <c r="I37" i="72"/>
  <c r="H37" i="72"/>
  <c r="G37" i="72"/>
  <c r="F37" i="72"/>
  <c r="A37" i="72"/>
  <c r="K36" i="72"/>
  <c r="J36" i="72"/>
  <c r="I36" i="72"/>
  <c r="H36" i="72"/>
  <c r="G36" i="72"/>
  <c r="F36" i="72"/>
  <c r="A36" i="72"/>
  <c r="K35" i="72"/>
  <c r="J35" i="72"/>
  <c r="I35" i="72"/>
  <c r="H35" i="72"/>
  <c r="G35" i="72"/>
  <c r="F35" i="72"/>
  <c r="A35" i="72"/>
  <c r="K34" i="72"/>
  <c r="J34" i="72"/>
  <c r="I34" i="72"/>
  <c r="H34" i="72"/>
  <c r="G34" i="72"/>
  <c r="F34" i="72"/>
  <c r="A34" i="72"/>
  <c r="K33" i="72"/>
  <c r="J33" i="72"/>
  <c r="I33" i="72"/>
  <c r="H33" i="72"/>
  <c r="G33" i="72"/>
  <c r="F33" i="72"/>
  <c r="A33" i="72"/>
  <c r="K32" i="72"/>
  <c r="J32" i="72"/>
  <c r="I32" i="72"/>
  <c r="H32" i="72"/>
  <c r="G32" i="72"/>
  <c r="F32" i="72"/>
  <c r="A32" i="72"/>
  <c r="K31" i="72"/>
  <c r="J31" i="72"/>
  <c r="I31" i="72"/>
  <c r="H31" i="72"/>
  <c r="G31" i="72"/>
  <c r="F31" i="72"/>
  <c r="A31" i="72"/>
  <c r="K30" i="72"/>
  <c r="J30" i="72"/>
  <c r="I30" i="72"/>
  <c r="H30" i="72"/>
  <c r="G30" i="72"/>
  <c r="F30" i="72"/>
  <c r="A30" i="72"/>
  <c r="K29" i="72"/>
  <c r="J29" i="72"/>
  <c r="I29" i="72"/>
  <c r="H29" i="72"/>
  <c r="G29" i="72"/>
  <c r="F29" i="72"/>
  <c r="A29" i="72"/>
  <c r="K28" i="72"/>
  <c r="J28" i="72"/>
  <c r="I28" i="72"/>
  <c r="H28" i="72"/>
  <c r="G28" i="72"/>
  <c r="F28" i="72"/>
  <c r="A28" i="72"/>
  <c r="K27" i="72"/>
  <c r="J27" i="72"/>
  <c r="I27" i="72"/>
  <c r="H27" i="72"/>
  <c r="G27" i="72"/>
  <c r="F27" i="72"/>
  <c r="A27" i="72"/>
  <c r="K26" i="72"/>
  <c r="J26" i="72"/>
  <c r="I26" i="72"/>
  <c r="H26" i="72"/>
  <c r="G26" i="72"/>
  <c r="F26" i="72"/>
  <c r="A26" i="72"/>
  <c r="K25" i="72"/>
  <c r="J25" i="72"/>
  <c r="I25" i="72"/>
  <c r="H25" i="72"/>
  <c r="G25" i="72"/>
  <c r="F25" i="72"/>
  <c r="A25" i="72"/>
  <c r="K24" i="72"/>
  <c r="J24" i="72"/>
  <c r="I24" i="72"/>
  <c r="H24" i="72"/>
  <c r="G24" i="72"/>
  <c r="F24" i="72"/>
  <c r="A24" i="72"/>
  <c r="K23" i="72"/>
  <c r="J23" i="72"/>
  <c r="I23" i="72"/>
  <c r="H23" i="72"/>
  <c r="G23" i="72"/>
  <c r="F23" i="72"/>
  <c r="A23" i="72"/>
  <c r="K22" i="72"/>
  <c r="J22" i="72"/>
  <c r="I22" i="72"/>
  <c r="H22" i="72"/>
  <c r="G22" i="72"/>
  <c r="F22" i="72"/>
  <c r="A22" i="72"/>
  <c r="K21" i="72"/>
  <c r="J21" i="72"/>
  <c r="I21" i="72"/>
  <c r="H21" i="72"/>
  <c r="G21" i="72"/>
  <c r="F21" i="72"/>
  <c r="A21" i="72"/>
  <c r="K20" i="72"/>
  <c r="J20" i="72"/>
  <c r="I20" i="72"/>
  <c r="H20" i="72"/>
  <c r="G20" i="72"/>
  <c r="F20" i="72"/>
  <c r="A20" i="72"/>
  <c r="K19" i="72"/>
  <c r="J19" i="72"/>
  <c r="I19" i="72"/>
  <c r="H19" i="72"/>
  <c r="G19" i="72"/>
  <c r="F19" i="72"/>
  <c r="A19" i="72"/>
  <c r="K18" i="72"/>
  <c r="J18" i="72"/>
  <c r="I18" i="72"/>
  <c r="H18" i="72"/>
  <c r="G18" i="72"/>
  <c r="F18" i="72"/>
  <c r="A18" i="72"/>
  <c r="K17" i="72"/>
  <c r="J17" i="72"/>
  <c r="I17" i="72"/>
  <c r="H17" i="72"/>
  <c r="G17" i="72"/>
  <c r="F17" i="72"/>
  <c r="A17" i="72"/>
  <c r="K16" i="72"/>
  <c r="J16" i="72"/>
  <c r="I16" i="72"/>
  <c r="H16" i="72"/>
  <c r="G16" i="72"/>
  <c r="F16" i="72"/>
  <c r="A16" i="72"/>
  <c r="K15" i="72"/>
  <c r="J15" i="72"/>
  <c r="I15" i="72"/>
  <c r="H15" i="72"/>
  <c r="G15" i="72"/>
  <c r="F15" i="72"/>
  <c r="A15" i="72"/>
  <c r="K14" i="72"/>
  <c r="J14" i="72"/>
  <c r="I14" i="72"/>
  <c r="H14" i="72"/>
  <c r="G14" i="72"/>
  <c r="F14" i="72"/>
  <c r="A14" i="72"/>
  <c r="K13" i="72"/>
  <c r="J13" i="72"/>
  <c r="I13" i="72"/>
  <c r="H13" i="72"/>
  <c r="G13" i="72"/>
  <c r="F13" i="72"/>
  <c r="A13" i="72"/>
  <c r="K12" i="72"/>
  <c r="J12" i="72"/>
  <c r="I12" i="72"/>
  <c r="H12" i="72"/>
  <c r="G12" i="72"/>
  <c r="F12" i="72"/>
  <c r="A12" i="72"/>
  <c r="K11" i="72"/>
  <c r="J11" i="72"/>
  <c r="I11" i="72"/>
  <c r="H11" i="72"/>
  <c r="G11" i="72"/>
  <c r="F11" i="72"/>
  <c r="A11" i="72"/>
  <c r="K10" i="72"/>
  <c r="J10" i="72"/>
  <c r="I10" i="72"/>
  <c r="H10" i="72"/>
  <c r="G10" i="72"/>
  <c r="F10" i="72"/>
  <c r="A10" i="72"/>
  <c r="K9" i="72"/>
  <c r="J9" i="72"/>
  <c r="I9" i="72"/>
  <c r="H9" i="72"/>
  <c r="G9" i="72"/>
  <c r="F9" i="72"/>
  <c r="A9" i="72"/>
  <c r="K8" i="72"/>
  <c r="J8" i="72"/>
  <c r="I8" i="72"/>
  <c r="H8" i="72"/>
  <c r="G8" i="72"/>
  <c r="F8" i="72"/>
  <c r="A8" i="72"/>
  <c r="K7" i="72"/>
  <c r="J7" i="72"/>
  <c r="I7" i="72"/>
  <c r="H7" i="72"/>
  <c r="G7" i="72"/>
  <c r="F7" i="72"/>
  <c r="A7" i="72"/>
  <c r="K6" i="72"/>
  <c r="J6" i="72"/>
  <c r="I6" i="72"/>
  <c r="H6" i="72"/>
  <c r="G6" i="72"/>
  <c r="F6" i="72"/>
  <c r="A6" i="72"/>
  <c r="K5" i="72"/>
  <c r="J5" i="72"/>
  <c r="I5" i="72"/>
  <c r="H5" i="72"/>
  <c r="G5" i="72"/>
  <c r="F5" i="72"/>
  <c r="A5" i="72"/>
  <c r="K4" i="72"/>
  <c r="J4" i="72"/>
  <c r="I4" i="72"/>
  <c r="H4" i="72"/>
  <c r="G4" i="72"/>
  <c r="F4" i="72"/>
  <c r="A4" i="72"/>
  <c r="K3" i="72"/>
  <c r="J3" i="72"/>
  <c r="I3" i="72"/>
  <c r="H3" i="72"/>
  <c r="G3" i="72"/>
  <c r="F3" i="72"/>
  <c r="A3" i="72"/>
  <c r="K2" i="72"/>
  <c r="J2" i="72"/>
  <c r="I2" i="72"/>
  <c r="H2" i="72"/>
  <c r="G2" i="72"/>
  <c r="F2" i="72"/>
  <c r="A2" i="72"/>
  <c r="K237" i="71"/>
  <c r="J237" i="71"/>
  <c r="I237" i="71"/>
  <c r="H237" i="71"/>
  <c r="G237" i="71"/>
  <c r="F237" i="71"/>
  <c r="A237" i="71"/>
  <c r="K236" i="71"/>
  <c r="J236" i="71"/>
  <c r="I236" i="71"/>
  <c r="H236" i="71"/>
  <c r="G236" i="71"/>
  <c r="F236" i="71"/>
  <c r="A236" i="71"/>
  <c r="K235" i="71"/>
  <c r="J235" i="71"/>
  <c r="I235" i="71"/>
  <c r="H235" i="71"/>
  <c r="G235" i="71"/>
  <c r="F235" i="71"/>
  <c r="A235" i="71"/>
  <c r="K234" i="71"/>
  <c r="J234" i="71"/>
  <c r="I234" i="71"/>
  <c r="H234" i="71"/>
  <c r="G234" i="71"/>
  <c r="F234" i="71"/>
  <c r="A234" i="71"/>
  <c r="K233" i="71"/>
  <c r="J233" i="71"/>
  <c r="I233" i="71"/>
  <c r="H233" i="71"/>
  <c r="G233" i="71"/>
  <c r="F233" i="71"/>
  <c r="A233" i="71"/>
  <c r="K232" i="71"/>
  <c r="J232" i="71"/>
  <c r="I232" i="71"/>
  <c r="H232" i="71"/>
  <c r="G232" i="71"/>
  <c r="F232" i="71"/>
  <c r="A232" i="71"/>
  <c r="K231" i="71"/>
  <c r="J231" i="71"/>
  <c r="I231" i="71"/>
  <c r="H231" i="71"/>
  <c r="G231" i="71"/>
  <c r="F231" i="71"/>
  <c r="A231" i="71"/>
  <c r="K230" i="71"/>
  <c r="J230" i="71"/>
  <c r="I230" i="71"/>
  <c r="H230" i="71"/>
  <c r="G230" i="71"/>
  <c r="F230" i="71"/>
  <c r="A230" i="71"/>
  <c r="K229" i="71"/>
  <c r="J229" i="71"/>
  <c r="I229" i="71"/>
  <c r="H229" i="71"/>
  <c r="G229" i="71"/>
  <c r="F229" i="71"/>
  <c r="A229" i="71"/>
  <c r="K228" i="71"/>
  <c r="J228" i="71"/>
  <c r="I228" i="71"/>
  <c r="H228" i="71"/>
  <c r="G228" i="71"/>
  <c r="F228" i="71"/>
  <c r="A228" i="71"/>
  <c r="K227" i="71"/>
  <c r="J227" i="71"/>
  <c r="I227" i="71"/>
  <c r="H227" i="71"/>
  <c r="G227" i="71"/>
  <c r="F227" i="71"/>
  <c r="A227" i="71"/>
  <c r="K226" i="71"/>
  <c r="J226" i="71"/>
  <c r="I226" i="71"/>
  <c r="H226" i="71"/>
  <c r="G226" i="71"/>
  <c r="F226" i="71"/>
  <c r="A226" i="71"/>
  <c r="K225" i="71"/>
  <c r="J225" i="71"/>
  <c r="I225" i="71"/>
  <c r="H225" i="71"/>
  <c r="G225" i="71"/>
  <c r="F225" i="71"/>
  <c r="A225" i="71"/>
  <c r="K224" i="71"/>
  <c r="J224" i="71"/>
  <c r="I224" i="71"/>
  <c r="H224" i="71"/>
  <c r="G224" i="71"/>
  <c r="F224" i="71"/>
  <c r="A224" i="71"/>
  <c r="K223" i="71"/>
  <c r="J223" i="71"/>
  <c r="I223" i="71"/>
  <c r="H223" i="71"/>
  <c r="G223" i="71"/>
  <c r="F223" i="71"/>
  <c r="A223" i="71"/>
  <c r="K222" i="71"/>
  <c r="J222" i="71"/>
  <c r="I222" i="71"/>
  <c r="H222" i="71"/>
  <c r="G222" i="71"/>
  <c r="F222" i="71"/>
  <c r="A222" i="71"/>
  <c r="K221" i="71"/>
  <c r="J221" i="71"/>
  <c r="I221" i="71"/>
  <c r="H221" i="71"/>
  <c r="G221" i="71"/>
  <c r="F221" i="71"/>
  <c r="A221" i="71"/>
  <c r="K220" i="71"/>
  <c r="J220" i="71"/>
  <c r="I220" i="71"/>
  <c r="H220" i="71"/>
  <c r="G220" i="71"/>
  <c r="F220" i="71"/>
  <c r="A220" i="71"/>
  <c r="K219" i="71"/>
  <c r="J219" i="71"/>
  <c r="I219" i="71"/>
  <c r="H219" i="71"/>
  <c r="G219" i="71"/>
  <c r="F219" i="71"/>
  <c r="A219" i="71"/>
  <c r="K218" i="71"/>
  <c r="J218" i="71"/>
  <c r="I218" i="71"/>
  <c r="H218" i="71"/>
  <c r="G218" i="71"/>
  <c r="F218" i="71"/>
  <c r="A218" i="71"/>
  <c r="K217" i="71"/>
  <c r="J217" i="71"/>
  <c r="I217" i="71"/>
  <c r="H217" i="71"/>
  <c r="G217" i="71"/>
  <c r="F217" i="71"/>
  <c r="A217" i="71"/>
  <c r="K216" i="71"/>
  <c r="J216" i="71"/>
  <c r="I216" i="71"/>
  <c r="H216" i="71"/>
  <c r="G216" i="71"/>
  <c r="F216" i="71"/>
  <c r="A216" i="71"/>
  <c r="K215" i="71"/>
  <c r="J215" i="71"/>
  <c r="I215" i="71"/>
  <c r="H215" i="71"/>
  <c r="G215" i="71"/>
  <c r="F215" i="71"/>
  <c r="A215" i="71"/>
  <c r="K214" i="71"/>
  <c r="J214" i="71"/>
  <c r="I214" i="71"/>
  <c r="H214" i="71"/>
  <c r="G214" i="71"/>
  <c r="F214" i="71"/>
  <c r="A214" i="71"/>
  <c r="K213" i="71"/>
  <c r="J213" i="71"/>
  <c r="I213" i="71"/>
  <c r="H213" i="71"/>
  <c r="G213" i="71"/>
  <c r="F213" i="71"/>
  <c r="A213" i="71"/>
  <c r="K212" i="71"/>
  <c r="J212" i="71"/>
  <c r="I212" i="71"/>
  <c r="H212" i="71"/>
  <c r="G212" i="71"/>
  <c r="F212" i="71"/>
  <c r="A212" i="71"/>
  <c r="K211" i="71"/>
  <c r="J211" i="71"/>
  <c r="I211" i="71"/>
  <c r="H211" i="71"/>
  <c r="G211" i="71"/>
  <c r="F211" i="71"/>
  <c r="A211" i="71"/>
  <c r="K210" i="71"/>
  <c r="J210" i="71"/>
  <c r="I210" i="71"/>
  <c r="H210" i="71"/>
  <c r="G210" i="71"/>
  <c r="F210" i="71"/>
  <c r="A210" i="71"/>
  <c r="K209" i="71"/>
  <c r="J209" i="71"/>
  <c r="I209" i="71"/>
  <c r="H209" i="71"/>
  <c r="G209" i="71"/>
  <c r="F209" i="71"/>
  <c r="A209" i="71"/>
  <c r="K208" i="71"/>
  <c r="J208" i="71"/>
  <c r="I208" i="71"/>
  <c r="H208" i="71"/>
  <c r="G208" i="71"/>
  <c r="F208" i="71"/>
  <c r="A208" i="71"/>
  <c r="K207" i="71"/>
  <c r="J207" i="71"/>
  <c r="I207" i="71"/>
  <c r="H207" i="71"/>
  <c r="G207" i="71"/>
  <c r="F207" i="71"/>
  <c r="A207" i="71"/>
  <c r="K206" i="71"/>
  <c r="J206" i="71"/>
  <c r="I206" i="71"/>
  <c r="H206" i="71"/>
  <c r="G206" i="71"/>
  <c r="F206" i="71"/>
  <c r="A206" i="71"/>
  <c r="K205" i="71"/>
  <c r="J205" i="71"/>
  <c r="I205" i="71"/>
  <c r="H205" i="71"/>
  <c r="G205" i="71"/>
  <c r="F205" i="71"/>
  <c r="A205" i="71"/>
  <c r="K204" i="71"/>
  <c r="J204" i="71"/>
  <c r="I204" i="71"/>
  <c r="H204" i="71"/>
  <c r="G204" i="71"/>
  <c r="F204" i="71"/>
  <c r="A204" i="71"/>
  <c r="K203" i="71"/>
  <c r="J203" i="71"/>
  <c r="I203" i="71"/>
  <c r="H203" i="71"/>
  <c r="G203" i="71"/>
  <c r="F203" i="71"/>
  <c r="A203" i="71"/>
  <c r="K202" i="71"/>
  <c r="J202" i="71"/>
  <c r="I202" i="71"/>
  <c r="H202" i="71"/>
  <c r="G202" i="71"/>
  <c r="F202" i="71"/>
  <c r="A202" i="71"/>
  <c r="K201" i="71"/>
  <c r="J201" i="71"/>
  <c r="I201" i="71"/>
  <c r="H201" i="71"/>
  <c r="G201" i="71"/>
  <c r="F201" i="71"/>
  <c r="A201" i="71"/>
  <c r="K200" i="71"/>
  <c r="J200" i="71"/>
  <c r="I200" i="71"/>
  <c r="H200" i="71"/>
  <c r="G200" i="71"/>
  <c r="F200" i="71"/>
  <c r="A200" i="71"/>
  <c r="K199" i="71"/>
  <c r="J199" i="71"/>
  <c r="I199" i="71"/>
  <c r="H199" i="71"/>
  <c r="G199" i="71"/>
  <c r="F199" i="71"/>
  <c r="A199" i="71"/>
  <c r="K198" i="71"/>
  <c r="J198" i="71"/>
  <c r="I198" i="71"/>
  <c r="H198" i="71"/>
  <c r="G198" i="71"/>
  <c r="F198" i="71"/>
  <c r="A198" i="71"/>
  <c r="K197" i="71"/>
  <c r="J197" i="71"/>
  <c r="I197" i="71"/>
  <c r="H197" i="71"/>
  <c r="G197" i="71"/>
  <c r="F197" i="71"/>
  <c r="A197" i="71"/>
  <c r="K196" i="71"/>
  <c r="J196" i="71"/>
  <c r="I196" i="71"/>
  <c r="H196" i="71"/>
  <c r="G196" i="71"/>
  <c r="F196" i="71"/>
  <c r="A196" i="71"/>
  <c r="K195" i="71"/>
  <c r="J195" i="71"/>
  <c r="I195" i="71"/>
  <c r="H195" i="71"/>
  <c r="G195" i="71"/>
  <c r="F195" i="71"/>
  <c r="A195" i="71"/>
  <c r="K194" i="71"/>
  <c r="J194" i="71"/>
  <c r="I194" i="71"/>
  <c r="H194" i="71"/>
  <c r="G194" i="71"/>
  <c r="F194" i="71"/>
  <c r="A194" i="71"/>
  <c r="K193" i="71"/>
  <c r="J193" i="71"/>
  <c r="I193" i="71"/>
  <c r="H193" i="71"/>
  <c r="G193" i="71"/>
  <c r="F193" i="71"/>
  <c r="A193" i="71"/>
  <c r="K192" i="71"/>
  <c r="J192" i="71"/>
  <c r="I192" i="71"/>
  <c r="H192" i="71"/>
  <c r="G192" i="71"/>
  <c r="F192" i="71"/>
  <c r="A192" i="71"/>
  <c r="K191" i="71"/>
  <c r="J191" i="71"/>
  <c r="I191" i="71"/>
  <c r="H191" i="71"/>
  <c r="G191" i="71"/>
  <c r="F191" i="71"/>
  <c r="A191" i="71"/>
  <c r="K190" i="71"/>
  <c r="J190" i="71"/>
  <c r="I190" i="71"/>
  <c r="H190" i="71"/>
  <c r="G190" i="71"/>
  <c r="F190" i="71"/>
  <c r="A190" i="71"/>
  <c r="K189" i="71"/>
  <c r="J189" i="71"/>
  <c r="I189" i="71"/>
  <c r="H189" i="71"/>
  <c r="G189" i="71"/>
  <c r="F189" i="71"/>
  <c r="A189" i="71"/>
  <c r="K188" i="71"/>
  <c r="J188" i="71"/>
  <c r="I188" i="71"/>
  <c r="H188" i="71"/>
  <c r="G188" i="71"/>
  <c r="F188" i="71"/>
  <c r="A188" i="71"/>
  <c r="K187" i="71"/>
  <c r="J187" i="71"/>
  <c r="I187" i="71"/>
  <c r="H187" i="71"/>
  <c r="G187" i="71"/>
  <c r="F187" i="71"/>
  <c r="A187" i="71"/>
  <c r="K186" i="71"/>
  <c r="J186" i="71"/>
  <c r="I186" i="71"/>
  <c r="H186" i="71"/>
  <c r="G186" i="71"/>
  <c r="F186" i="71"/>
  <c r="A186" i="71"/>
  <c r="K185" i="71"/>
  <c r="J185" i="71"/>
  <c r="I185" i="71"/>
  <c r="H185" i="71"/>
  <c r="G185" i="71"/>
  <c r="F185" i="71"/>
  <c r="A185" i="71"/>
  <c r="K184" i="71"/>
  <c r="J184" i="71"/>
  <c r="I184" i="71"/>
  <c r="H184" i="71"/>
  <c r="G184" i="71"/>
  <c r="F184" i="71"/>
  <c r="A184" i="71"/>
  <c r="K183" i="71"/>
  <c r="J183" i="71"/>
  <c r="I183" i="71"/>
  <c r="H183" i="71"/>
  <c r="G183" i="71"/>
  <c r="F183" i="71"/>
  <c r="A183" i="71"/>
  <c r="K182" i="71"/>
  <c r="J182" i="71"/>
  <c r="I182" i="71"/>
  <c r="H182" i="71"/>
  <c r="G182" i="71"/>
  <c r="F182" i="71"/>
  <c r="A182" i="71"/>
  <c r="K181" i="71"/>
  <c r="J181" i="71"/>
  <c r="I181" i="71"/>
  <c r="H181" i="71"/>
  <c r="G181" i="71"/>
  <c r="F181" i="71"/>
  <c r="A181" i="71"/>
  <c r="K180" i="71"/>
  <c r="J180" i="71"/>
  <c r="I180" i="71"/>
  <c r="H180" i="71"/>
  <c r="G180" i="71"/>
  <c r="F180" i="71"/>
  <c r="A180" i="71"/>
  <c r="K179" i="71"/>
  <c r="J179" i="71"/>
  <c r="I179" i="71"/>
  <c r="H179" i="71"/>
  <c r="G179" i="71"/>
  <c r="F179" i="71"/>
  <c r="A179" i="71"/>
  <c r="K178" i="71"/>
  <c r="J178" i="71"/>
  <c r="I178" i="71"/>
  <c r="H178" i="71"/>
  <c r="G178" i="71"/>
  <c r="F178" i="71"/>
  <c r="A178" i="71"/>
  <c r="K177" i="71"/>
  <c r="J177" i="71"/>
  <c r="I177" i="71"/>
  <c r="H177" i="71"/>
  <c r="G177" i="71"/>
  <c r="F177" i="71"/>
  <c r="A177" i="71"/>
  <c r="K176" i="71"/>
  <c r="J176" i="71"/>
  <c r="I176" i="71"/>
  <c r="H176" i="71"/>
  <c r="G176" i="71"/>
  <c r="F176" i="71"/>
  <c r="A176" i="71"/>
  <c r="K175" i="71"/>
  <c r="J175" i="71"/>
  <c r="I175" i="71"/>
  <c r="H175" i="71"/>
  <c r="G175" i="71"/>
  <c r="F175" i="71"/>
  <c r="A175" i="71"/>
  <c r="K174" i="71"/>
  <c r="J174" i="71"/>
  <c r="I174" i="71"/>
  <c r="H174" i="71"/>
  <c r="G174" i="71"/>
  <c r="F174" i="71"/>
  <c r="A174" i="71"/>
  <c r="K173" i="71"/>
  <c r="J173" i="71"/>
  <c r="I173" i="71"/>
  <c r="H173" i="71"/>
  <c r="G173" i="71"/>
  <c r="F173" i="71"/>
  <c r="A173" i="71"/>
  <c r="K172" i="71"/>
  <c r="J172" i="71"/>
  <c r="I172" i="71"/>
  <c r="H172" i="71"/>
  <c r="G172" i="71"/>
  <c r="F172" i="71"/>
  <c r="A172" i="71"/>
  <c r="K171" i="71"/>
  <c r="J171" i="71"/>
  <c r="I171" i="71"/>
  <c r="H171" i="71"/>
  <c r="G171" i="71"/>
  <c r="F171" i="71"/>
  <c r="A171" i="71"/>
  <c r="K170" i="71"/>
  <c r="J170" i="71"/>
  <c r="I170" i="71"/>
  <c r="H170" i="71"/>
  <c r="G170" i="71"/>
  <c r="F170" i="71"/>
  <c r="A170" i="71"/>
  <c r="K169" i="71"/>
  <c r="J169" i="71"/>
  <c r="I169" i="71"/>
  <c r="H169" i="71"/>
  <c r="G169" i="71"/>
  <c r="F169" i="71"/>
  <c r="A169" i="71"/>
  <c r="K168" i="71"/>
  <c r="J168" i="71"/>
  <c r="I168" i="71"/>
  <c r="H168" i="71"/>
  <c r="G168" i="71"/>
  <c r="F168" i="71"/>
  <c r="A168" i="71"/>
  <c r="K167" i="71"/>
  <c r="J167" i="71"/>
  <c r="I167" i="71"/>
  <c r="H167" i="71"/>
  <c r="G167" i="71"/>
  <c r="F167" i="71"/>
  <c r="A167" i="71"/>
  <c r="K166" i="71"/>
  <c r="J166" i="71"/>
  <c r="I166" i="71"/>
  <c r="H166" i="71"/>
  <c r="G166" i="71"/>
  <c r="F166" i="71"/>
  <c r="A166" i="71"/>
  <c r="K165" i="71"/>
  <c r="J165" i="71"/>
  <c r="I165" i="71"/>
  <c r="H165" i="71"/>
  <c r="G165" i="71"/>
  <c r="F165" i="71"/>
  <c r="A165" i="71"/>
  <c r="K164" i="71"/>
  <c r="J164" i="71"/>
  <c r="I164" i="71"/>
  <c r="H164" i="71"/>
  <c r="G164" i="71"/>
  <c r="F164" i="71"/>
  <c r="A164" i="71"/>
  <c r="K163" i="71"/>
  <c r="J163" i="71"/>
  <c r="I163" i="71"/>
  <c r="H163" i="71"/>
  <c r="G163" i="71"/>
  <c r="F163" i="71"/>
  <c r="A163" i="71"/>
  <c r="K162" i="71"/>
  <c r="J162" i="71"/>
  <c r="I162" i="71"/>
  <c r="H162" i="71"/>
  <c r="G162" i="71"/>
  <c r="F162" i="71"/>
  <c r="A162" i="71"/>
  <c r="K161" i="71"/>
  <c r="J161" i="71"/>
  <c r="I161" i="71"/>
  <c r="H161" i="71"/>
  <c r="G161" i="71"/>
  <c r="F161" i="71"/>
  <c r="A161" i="71"/>
  <c r="K160" i="71"/>
  <c r="J160" i="71"/>
  <c r="I160" i="71"/>
  <c r="H160" i="71"/>
  <c r="G160" i="71"/>
  <c r="F160" i="71"/>
  <c r="A160" i="71"/>
  <c r="K159" i="71"/>
  <c r="J159" i="71"/>
  <c r="I159" i="71"/>
  <c r="H159" i="71"/>
  <c r="G159" i="71"/>
  <c r="F159" i="71"/>
  <c r="A159" i="71"/>
  <c r="K158" i="71"/>
  <c r="J158" i="71"/>
  <c r="I158" i="71"/>
  <c r="H158" i="71"/>
  <c r="G158" i="71"/>
  <c r="F158" i="71"/>
  <c r="A158" i="71"/>
  <c r="K157" i="71"/>
  <c r="J157" i="71"/>
  <c r="I157" i="71"/>
  <c r="H157" i="71"/>
  <c r="G157" i="71"/>
  <c r="F157" i="71"/>
  <c r="A157" i="71"/>
  <c r="K156" i="71"/>
  <c r="J156" i="71"/>
  <c r="I156" i="71"/>
  <c r="H156" i="71"/>
  <c r="G156" i="71"/>
  <c r="F156" i="71"/>
  <c r="A156" i="71"/>
  <c r="K155" i="71"/>
  <c r="J155" i="71"/>
  <c r="I155" i="71"/>
  <c r="H155" i="71"/>
  <c r="G155" i="71"/>
  <c r="F155" i="71"/>
  <c r="A155" i="71"/>
  <c r="K154" i="71"/>
  <c r="J154" i="71"/>
  <c r="I154" i="71"/>
  <c r="H154" i="71"/>
  <c r="G154" i="71"/>
  <c r="F154" i="71"/>
  <c r="A154" i="71"/>
  <c r="K153" i="71"/>
  <c r="J153" i="71"/>
  <c r="I153" i="71"/>
  <c r="H153" i="71"/>
  <c r="G153" i="71"/>
  <c r="F153" i="71"/>
  <c r="A153" i="71"/>
  <c r="K152" i="71"/>
  <c r="J152" i="71"/>
  <c r="I152" i="71"/>
  <c r="H152" i="71"/>
  <c r="G152" i="71"/>
  <c r="F152" i="71"/>
  <c r="A152" i="71"/>
  <c r="K151" i="71"/>
  <c r="J151" i="71"/>
  <c r="I151" i="71"/>
  <c r="H151" i="71"/>
  <c r="G151" i="71"/>
  <c r="F151" i="71"/>
  <c r="A151" i="71"/>
  <c r="K150" i="71"/>
  <c r="J150" i="71"/>
  <c r="I150" i="71"/>
  <c r="H150" i="71"/>
  <c r="G150" i="71"/>
  <c r="F150" i="71"/>
  <c r="A150" i="71"/>
  <c r="K149" i="71"/>
  <c r="J149" i="71"/>
  <c r="I149" i="71"/>
  <c r="H149" i="71"/>
  <c r="G149" i="71"/>
  <c r="F149" i="71"/>
  <c r="A149" i="71"/>
  <c r="K148" i="71"/>
  <c r="J148" i="71"/>
  <c r="I148" i="71"/>
  <c r="H148" i="71"/>
  <c r="G148" i="71"/>
  <c r="F148" i="71"/>
  <c r="A148" i="71"/>
  <c r="K147" i="71"/>
  <c r="J147" i="71"/>
  <c r="I147" i="71"/>
  <c r="H147" i="71"/>
  <c r="G147" i="71"/>
  <c r="F147" i="71"/>
  <c r="A147" i="71"/>
  <c r="K146" i="71"/>
  <c r="J146" i="71"/>
  <c r="I146" i="71"/>
  <c r="H146" i="71"/>
  <c r="G146" i="71"/>
  <c r="F146" i="71"/>
  <c r="A146" i="71"/>
  <c r="K145" i="71"/>
  <c r="J145" i="71"/>
  <c r="I145" i="71"/>
  <c r="H145" i="71"/>
  <c r="G145" i="71"/>
  <c r="F145" i="71"/>
  <c r="A145" i="71"/>
  <c r="K144" i="71"/>
  <c r="J144" i="71"/>
  <c r="I144" i="71"/>
  <c r="H144" i="71"/>
  <c r="G144" i="71"/>
  <c r="F144" i="71"/>
  <c r="A144" i="71"/>
  <c r="K143" i="71"/>
  <c r="J143" i="71"/>
  <c r="I143" i="71"/>
  <c r="H143" i="71"/>
  <c r="G143" i="71"/>
  <c r="F143" i="71"/>
  <c r="A143" i="71"/>
  <c r="K142" i="71"/>
  <c r="J142" i="71"/>
  <c r="I142" i="71"/>
  <c r="H142" i="71"/>
  <c r="G142" i="71"/>
  <c r="F142" i="71"/>
  <c r="A142" i="71"/>
  <c r="K141" i="71"/>
  <c r="J141" i="71"/>
  <c r="I141" i="71"/>
  <c r="H141" i="71"/>
  <c r="G141" i="71"/>
  <c r="F141" i="71"/>
  <c r="A141" i="71"/>
  <c r="K140" i="71"/>
  <c r="J140" i="71"/>
  <c r="I140" i="71"/>
  <c r="H140" i="71"/>
  <c r="G140" i="71"/>
  <c r="F140" i="71"/>
  <c r="A140" i="71"/>
  <c r="K139" i="71"/>
  <c r="J139" i="71"/>
  <c r="I139" i="71"/>
  <c r="H139" i="71"/>
  <c r="G139" i="71"/>
  <c r="F139" i="71"/>
  <c r="A139" i="71"/>
  <c r="K138" i="71"/>
  <c r="J138" i="71"/>
  <c r="I138" i="71"/>
  <c r="H138" i="71"/>
  <c r="G138" i="71"/>
  <c r="F138" i="71"/>
  <c r="A138" i="71"/>
  <c r="K137" i="71"/>
  <c r="J137" i="71"/>
  <c r="I137" i="71"/>
  <c r="H137" i="71"/>
  <c r="G137" i="71"/>
  <c r="F137" i="71"/>
  <c r="A137" i="71"/>
  <c r="K136" i="71"/>
  <c r="J136" i="71"/>
  <c r="I136" i="71"/>
  <c r="H136" i="71"/>
  <c r="G136" i="71"/>
  <c r="F136" i="71"/>
  <c r="A136" i="71"/>
  <c r="K135" i="71"/>
  <c r="J135" i="71"/>
  <c r="I135" i="71"/>
  <c r="H135" i="71"/>
  <c r="G135" i="71"/>
  <c r="F135" i="71"/>
  <c r="A135" i="71"/>
  <c r="K134" i="71"/>
  <c r="J134" i="71"/>
  <c r="I134" i="71"/>
  <c r="H134" i="71"/>
  <c r="G134" i="71"/>
  <c r="F134" i="71"/>
  <c r="A134" i="71"/>
  <c r="K133" i="71"/>
  <c r="J133" i="71"/>
  <c r="I133" i="71"/>
  <c r="H133" i="71"/>
  <c r="G133" i="71"/>
  <c r="F133" i="71"/>
  <c r="A133" i="71"/>
  <c r="K132" i="71"/>
  <c r="J132" i="71"/>
  <c r="I132" i="71"/>
  <c r="H132" i="71"/>
  <c r="G132" i="71"/>
  <c r="F132" i="71"/>
  <c r="A132" i="71"/>
  <c r="K131" i="71"/>
  <c r="J131" i="71"/>
  <c r="I131" i="71"/>
  <c r="H131" i="71"/>
  <c r="G131" i="71"/>
  <c r="F131" i="71"/>
  <c r="A131" i="71"/>
  <c r="K130" i="71"/>
  <c r="J130" i="71"/>
  <c r="I130" i="71"/>
  <c r="H130" i="71"/>
  <c r="G130" i="71"/>
  <c r="F130" i="71"/>
  <c r="A130" i="71"/>
  <c r="K129" i="71"/>
  <c r="J129" i="71"/>
  <c r="I129" i="71"/>
  <c r="H129" i="71"/>
  <c r="G129" i="71"/>
  <c r="F129" i="71"/>
  <c r="A129" i="71"/>
  <c r="K128" i="71"/>
  <c r="J128" i="71"/>
  <c r="I128" i="71"/>
  <c r="H128" i="71"/>
  <c r="G128" i="71"/>
  <c r="F128" i="71"/>
  <c r="A128" i="71"/>
  <c r="K127" i="71"/>
  <c r="J127" i="71"/>
  <c r="I127" i="71"/>
  <c r="H127" i="71"/>
  <c r="G127" i="71"/>
  <c r="F127" i="71"/>
  <c r="A127" i="71"/>
  <c r="K126" i="71"/>
  <c r="J126" i="71"/>
  <c r="I126" i="71"/>
  <c r="H126" i="71"/>
  <c r="G126" i="71"/>
  <c r="F126" i="71"/>
  <c r="A126" i="71"/>
  <c r="K125" i="71"/>
  <c r="J125" i="71"/>
  <c r="I125" i="71"/>
  <c r="H125" i="71"/>
  <c r="G125" i="71"/>
  <c r="F125" i="71"/>
  <c r="A125" i="71"/>
  <c r="K124" i="71"/>
  <c r="J124" i="71"/>
  <c r="I124" i="71"/>
  <c r="H124" i="71"/>
  <c r="G124" i="71"/>
  <c r="F124" i="71"/>
  <c r="A124" i="71"/>
  <c r="K123" i="71"/>
  <c r="J123" i="71"/>
  <c r="I123" i="71"/>
  <c r="H123" i="71"/>
  <c r="G123" i="71"/>
  <c r="F123" i="71"/>
  <c r="A123" i="71"/>
  <c r="K122" i="71"/>
  <c r="J122" i="71"/>
  <c r="I122" i="71"/>
  <c r="H122" i="71"/>
  <c r="G122" i="71"/>
  <c r="F122" i="71"/>
  <c r="A122" i="71"/>
  <c r="K121" i="71"/>
  <c r="J121" i="71"/>
  <c r="I121" i="71"/>
  <c r="H121" i="71"/>
  <c r="G121" i="71"/>
  <c r="F121" i="71"/>
  <c r="A121" i="71"/>
  <c r="K120" i="71"/>
  <c r="J120" i="71"/>
  <c r="I120" i="71"/>
  <c r="H120" i="71"/>
  <c r="G120" i="71"/>
  <c r="F120" i="71"/>
  <c r="A120" i="71"/>
  <c r="K119" i="71"/>
  <c r="J119" i="71"/>
  <c r="I119" i="71"/>
  <c r="H119" i="71"/>
  <c r="G119" i="71"/>
  <c r="F119" i="71"/>
  <c r="A119" i="71"/>
  <c r="K118" i="71"/>
  <c r="J118" i="71"/>
  <c r="I118" i="71"/>
  <c r="H118" i="71"/>
  <c r="G118" i="71"/>
  <c r="F118" i="71"/>
  <c r="A118" i="71"/>
  <c r="K117" i="71"/>
  <c r="J117" i="71"/>
  <c r="I117" i="71"/>
  <c r="H117" i="71"/>
  <c r="G117" i="71"/>
  <c r="F117" i="71"/>
  <c r="A117" i="71"/>
  <c r="K116" i="71"/>
  <c r="J116" i="71"/>
  <c r="I116" i="71"/>
  <c r="H116" i="71"/>
  <c r="G116" i="71"/>
  <c r="F116" i="71"/>
  <c r="A116" i="71"/>
  <c r="K115" i="71"/>
  <c r="J115" i="71"/>
  <c r="I115" i="71"/>
  <c r="H115" i="71"/>
  <c r="G115" i="71"/>
  <c r="F115" i="71"/>
  <c r="A115" i="71"/>
  <c r="K114" i="71"/>
  <c r="J114" i="71"/>
  <c r="I114" i="71"/>
  <c r="H114" i="71"/>
  <c r="G114" i="71"/>
  <c r="F114" i="71"/>
  <c r="A114" i="71"/>
  <c r="K113" i="71"/>
  <c r="J113" i="71"/>
  <c r="I113" i="71"/>
  <c r="H113" i="71"/>
  <c r="G113" i="71"/>
  <c r="F113" i="71"/>
  <c r="A113" i="71"/>
  <c r="K112" i="71"/>
  <c r="J112" i="71"/>
  <c r="I112" i="71"/>
  <c r="H112" i="71"/>
  <c r="G112" i="71"/>
  <c r="F112" i="71"/>
  <c r="A112" i="71"/>
  <c r="K111" i="71"/>
  <c r="J111" i="71"/>
  <c r="I111" i="71"/>
  <c r="H111" i="71"/>
  <c r="G111" i="71"/>
  <c r="F111" i="71"/>
  <c r="A111" i="71"/>
  <c r="K110" i="71"/>
  <c r="J110" i="71"/>
  <c r="I110" i="71"/>
  <c r="H110" i="71"/>
  <c r="G110" i="71"/>
  <c r="F110" i="71"/>
  <c r="A110" i="71"/>
  <c r="K109" i="71"/>
  <c r="J109" i="71"/>
  <c r="I109" i="71"/>
  <c r="H109" i="71"/>
  <c r="G109" i="71"/>
  <c r="F109" i="71"/>
  <c r="A109" i="71"/>
  <c r="K108" i="71"/>
  <c r="J108" i="71"/>
  <c r="I108" i="71"/>
  <c r="H108" i="71"/>
  <c r="G108" i="71"/>
  <c r="F108" i="71"/>
  <c r="A108" i="71"/>
  <c r="K107" i="71"/>
  <c r="J107" i="71"/>
  <c r="I107" i="71"/>
  <c r="H107" i="71"/>
  <c r="G107" i="71"/>
  <c r="F107" i="71"/>
  <c r="A107" i="71"/>
  <c r="K106" i="71"/>
  <c r="J106" i="71"/>
  <c r="I106" i="71"/>
  <c r="H106" i="71"/>
  <c r="G106" i="71"/>
  <c r="F106" i="71"/>
  <c r="A106" i="71"/>
  <c r="K105" i="71"/>
  <c r="J105" i="71"/>
  <c r="I105" i="71"/>
  <c r="H105" i="71"/>
  <c r="G105" i="71"/>
  <c r="F105" i="71"/>
  <c r="A105" i="71"/>
  <c r="K104" i="71"/>
  <c r="J104" i="71"/>
  <c r="I104" i="71"/>
  <c r="H104" i="71"/>
  <c r="G104" i="71"/>
  <c r="F104" i="71"/>
  <c r="A104" i="71"/>
  <c r="K103" i="71"/>
  <c r="J103" i="71"/>
  <c r="I103" i="71"/>
  <c r="H103" i="71"/>
  <c r="G103" i="71"/>
  <c r="F103" i="71"/>
  <c r="A103" i="71"/>
  <c r="K102" i="71"/>
  <c r="J102" i="71"/>
  <c r="I102" i="71"/>
  <c r="H102" i="71"/>
  <c r="G102" i="71"/>
  <c r="F102" i="71"/>
  <c r="A102" i="71"/>
  <c r="K101" i="71"/>
  <c r="J101" i="71"/>
  <c r="I101" i="71"/>
  <c r="H101" i="71"/>
  <c r="G101" i="71"/>
  <c r="F101" i="71"/>
  <c r="A101" i="71"/>
  <c r="K100" i="71"/>
  <c r="J100" i="71"/>
  <c r="I100" i="71"/>
  <c r="H100" i="71"/>
  <c r="G100" i="71"/>
  <c r="F100" i="71"/>
  <c r="A100" i="71"/>
  <c r="K99" i="71"/>
  <c r="J99" i="71"/>
  <c r="I99" i="71"/>
  <c r="H99" i="71"/>
  <c r="G99" i="71"/>
  <c r="F99" i="71"/>
  <c r="A99" i="71"/>
  <c r="K98" i="71"/>
  <c r="J98" i="71"/>
  <c r="I98" i="71"/>
  <c r="H98" i="71"/>
  <c r="G98" i="71"/>
  <c r="F98" i="71"/>
  <c r="A98" i="71"/>
  <c r="K97" i="71"/>
  <c r="J97" i="71"/>
  <c r="I97" i="71"/>
  <c r="H97" i="71"/>
  <c r="G97" i="71"/>
  <c r="F97" i="71"/>
  <c r="A97" i="71"/>
  <c r="K96" i="71"/>
  <c r="J96" i="71"/>
  <c r="I96" i="71"/>
  <c r="H96" i="71"/>
  <c r="G96" i="71"/>
  <c r="F96" i="71"/>
  <c r="A96" i="71"/>
  <c r="K95" i="71"/>
  <c r="J95" i="71"/>
  <c r="I95" i="71"/>
  <c r="H95" i="71"/>
  <c r="G95" i="71"/>
  <c r="F95" i="71"/>
  <c r="A95" i="71"/>
  <c r="K94" i="71"/>
  <c r="J94" i="71"/>
  <c r="I94" i="71"/>
  <c r="H94" i="71"/>
  <c r="G94" i="71"/>
  <c r="F94" i="71"/>
  <c r="A94" i="71"/>
  <c r="K93" i="71"/>
  <c r="J93" i="71"/>
  <c r="I93" i="71"/>
  <c r="H93" i="71"/>
  <c r="G93" i="71"/>
  <c r="F93" i="71"/>
  <c r="A93" i="71"/>
  <c r="K92" i="71"/>
  <c r="J92" i="71"/>
  <c r="I92" i="71"/>
  <c r="H92" i="71"/>
  <c r="G92" i="71"/>
  <c r="F92" i="71"/>
  <c r="A92" i="71"/>
  <c r="K91" i="71"/>
  <c r="J91" i="71"/>
  <c r="I91" i="71"/>
  <c r="H91" i="71"/>
  <c r="G91" i="71"/>
  <c r="F91" i="71"/>
  <c r="A91" i="71"/>
  <c r="K90" i="71"/>
  <c r="J90" i="71"/>
  <c r="I90" i="71"/>
  <c r="H90" i="71"/>
  <c r="G90" i="71"/>
  <c r="F90" i="71"/>
  <c r="A90" i="71"/>
  <c r="K89" i="71"/>
  <c r="J89" i="71"/>
  <c r="I89" i="71"/>
  <c r="H89" i="71"/>
  <c r="G89" i="71"/>
  <c r="F89" i="71"/>
  <c r="A89" i="71"/>
  <c r="K88" i="71"/>
  <c r="J88" i="71"/>
  <c r="I88" i="71"/>
  <c r="H88" i="71"/>
  <c r="G88" i="71"/>
  <c r="F88" i="71"/>
  <c r="A88" i="71"/>
  <c r="K87" i="71"/>
  <c r="J87" i="71"/>
  <c r="I87" i="71"/>
  <c r="H87" i="71"/>
  <c r="G87" i="71"/>
  <c r="F87" i="71"/>
  <c r="A87" i="71"/>
  <c r="K86" i="71"/>
  <c r="J86" i="71"/>
  <c r="I86" i="71"/>
  <c r="H86" i="71"/>
  <c r="G86" i="71"/>
  <c r="F86" i="71"/>
  <c r="A86" i="71"/>
  <c r="K85" i="71"/>
  <c r="J85" i="71"/>
  <c r="I85" i="71"/>
  <c r="H85" i="71"/>
  <c r="G85" i="71"/>
  <c r="F85" i="71"/>
  <c r="A85" i="71"/>
  <c r="K84" i="71"/>
  <c r="J84" i="71"/>
  <c r="I84" i="71"/>
  <c r="H84" i="71"/>
  <c r="G84" i="71"/>
  <c r="F84" i="71"/>
  <c r="A84" i="71"/>
  <c r="K83" i="71"/>
  <c r="J83" i="71"/>
  <c r="I83" i="71"/>
  <c r="H83" i="71"/>
  <c r="G83" i="71"/>
  <c r="F83" i="71"/>
  <c r="A83" i="71"/>
  <c r="K82" i="71"/>
  <c r="J82" i="71"/>
  <c r="I82" i="71"/>
  <c r="H82" i="71"/>
  <c r="G82" i="71"/>
  <c r="F82" i="71"/>
  <c r="A82" i="71"/>
  <c r="K81" i="71"/>
  <c r="J81" i="71"/>
  <c r="I81" i="71"/>
  <c r="H81" i="71"/>
  <c r="G81" i="71"/>
  <c r="F81" i="71"/>
  <c r="A81" i="71"/>
  <c r="K80" i="71"/>
  <c r="J80" i="71"/>
  <c r="I80" i="71"/>
  <c r="H80" i="71"/>
  <c r="G80" i="71"/>
  <c r="F80" i="71"/>
  <c r="A80" i="71"/>
  <c r="K79" i="71"/>
  <c r="J79" i="71"/>
  <c r="I79" i="71"/>
  <c r="H79" i="71"/>
  <c r="G79" i="71"/>
  <c r="F79" i="71"/>
  <c r="A79" i="71"/>
  <c r="K78" i="71"/>
  <c r="J78" i="71"/>
  <c r="I78" i="71"/>
  <c r="H78" i="71"/>
  <c r="G78" i="71"/>
  <c r="F78" i="71"/>
  <c r="A78" i="71"/>
  <c r="K77" i="71"/>
  <c r="J77" i="71"/>
  <c r="I77" i="71"/>
  <c r="H77" i="71"/>
  <c r="G77" i="71"/>
  <c r="F77" i="71"/>
  <c r="A77" i="71"/>
  <c r="K76" i="71"/>
  <c r="J76" i="71"/>
  <c r="I76" i="71"/>
  <c r="H76" i="71"/>
  <c r="G76" i="71"/>
  <c r="F76" i="71"/>
  <c r="A76" i="71"/>
  <c r="K75" i="71"/>
  <c r="J75" i="71"/>
  <c r="I75" i="71"/>
  <c r="H75" i="71"/>
  <c r="G75" i="71"/>
  <c r="F75" i="71"/>
  <c r="A75" i="71"/>
  <c r="K74" i="71"/>
  <c r="J74" i="71"/>
  <c r="I74" i="71"/>
  <c r="H74" i="71"/>
  <c r="G74" i="71"/>
  <c r="F74" i="71"/>
  <c r="A74" i="71"/>
  <c r="K73" i="71"/>
  <c r="J73" i="71"/>
  <c r="I73" i="71"/>
  <c r="H73" i="71"/>
  <c r="G73" i="71"/>
  <c r="F73" i="71"/>
  <c r="A73" i="71"/>
  <c r="K72" i="71"/>
  <c r="J72" i="71"/>
  <c r="I72" i="71"/>
  <c r="H72" i="71"/>
  <c r="G72" i="71"/>
  <c r="F72" i="71"/>
  <c r="A72" i="71"/>
  <c r="K71" i="71"/>
  <c r="J71" i="71"/>
  <c r="I71" i="71"/>
  <c r="H71" i="71"/>
  <c r="G71" i="71"/>
  <c r="F71" i="71"/>
  <c r="A71" i="71"/>
  <c r="K70" i="71"/>
  <c r="J70" i="71"/>
  <c r="I70" i="71"/>
  <c r="H70" i="71"/>
  <c r="G70" i="71"/>
  <c r="F70" i="71"/>
  <c r="A70" i="71"/>
  <c r="K69" i="71"/>
  <c r="J69" i="71"/>
  <c r="I69" i="71"/>
  <c r="H69" i="71"/>
  <c r="G69" i="71"/>
  <c r="F69" i="71"/>
  <c r="A69" i="71"/>
  <c r="K68" i="71"/>
  <c r="J68" i="71"/>
  <c r="I68" i="71"/>
  <c r="H68" i="71"/>
  <c r="G68" i="71"/>
  <c r="F68" i="71"/>
  <c r="A68" i="71"/>
  <c r="K67" i="71"/>
  <c r="J67" i="71"/>
  <c r="I67" i="71"/>
  <c r="H67" i="71"/>
  <c r="G67" i="71"/>
  <c r="F67" i="71"/>
  <c r="A67" i="71"/>
  <c r="K66" i="71"/>
  <c r="J66" i="71"/>
  <c r="I66" i="71"/>
  <c r="H66" i="71"/>
  <c r="G66" i="71"/>
  <c r="F66" i="71"/>
  <c r="A66" i="71"/>
  <c r="K65" i="71"/>
  <c r="J65" i="71"/>
  <c r="I65" i="71"/>
  <c r="H65" i="71"/>
  <c r="G65" i="71"/>
  <c r="F65" i="71"/>
  <c r="A65" i="71"/>
  <c r="K64" i="71"/>
  <c r="J64" i="71"/>
  <c r="I64" i="71"/>
  <c r="H64" i="71"/>
  <c r="G64" i="71"/>
  <c r="F64" i="71"/>
  <c r="A64" i="71"/>
  <c r="K63" i="71"/>
  <c r="J63" i="71"/>
  <c r="I63" i="71"/>
  <c r="H63" i="71"/>
  <c r="G63" i="71"/>
  <c r="F63" i="71"/>
  <c r="A63" i="71"/>
  <c r="K62" i="71"/>
  <c r="J62" i="71"/>
  <c r="I62" i="71"/>
  <c r="H62" i="71"/>
  <c r="G62" i="71"/>
  <c r="F62" i="71"/>
  <c r="A62" i="71"/>
  <c r="K61" i="71"/>
  <c r="J61" i="71"/>
  <c r="I61" i="71"/>
  <c r="H61" i="71"/>
  <c r="G61" i="71"/>
  <c r="F61" i="71"/>
  <c r="A61" i="71"/>
  <c r="K60" i="71"/>
  <c r="J60" i="71"/>
  <c r="I60" i="71"/>
  <c r="H60" i="71"/>
  <c r="G60" i="71"/>
  <c r="F60" i="71"/>
  <c r="A60" i="71"/>
  <c r="K59" i="71"/>
  <c r="J59" i="71"/>
  <c r="I59" i="71"/>
  <c r="H59" i="71"/>
  <c r="G59" i="71"/>
  <c r="F59" i="71"/>
  <c r="A59" i="71"/>
  <c r="K58" i="71"/>
  <c r="J58" i="71"/>
  <c r="I58" i="71"/>
  <c r="H58" i="71"/>
  <c r="G58" i="71"/>
  <c r="F58" i="71"/>
  <c r="A58" i="71"/>
  <c r="K57" i="71"/>
  <c r="J57" i="71"/>
  <c r="I57" i="71"/>
  <c r="H57" i="71"/>
  <c r="G57" i="71"/>
  <c r="F57" i="71"/>
  <c r="A57" i="71"/>
  <c r="K56" i="71"/>
  <c r="J56" i="71"/>
  <c r="I56" i="71"/>
  <c r="H56" i="71"/>
  <c r="G56" i="71"/>
  <c r="F56" i="71"/>
  <c r="A56" i="71"/>
  <c r="K55" i="71"/>
  <c r="J55" i="71"/>
  <c r="I55" i="71"/>
  <c r="H55" i="71"/>
  <c r="G55" i="71"/>
  <c r="F55" i="71"/>
  <c r="A55" i="71"/>
  <c r="K54" i="71"/>
  <c r="J54" i="71"/>
  <c r="I54" i="71"/>
  <c r="H54" i="71"/>
  <c r="G54" i="71"/>
  <c r="F54" i="71"/>
  <c r="A54" i="71"/>
  <c r="K53" i="71"/>
  <c r="J53" i="71"/>
  <c r="I53" i="71"/>
  <c r="H53" i="71"/>
  <c r="G53" i="71"/>
  <c r="F53" i="71"/>
  <c r="A53" i="71"/>
  <c r="K52" i="71"/>
  <c r="J52" i="71"/>
  <c r="I52" i="71"/>
  <c r="H52" i="71"/>
  <c r="G52" i="71"/>
  <c r="F52" i="71"/>
  <c r="A52" i="71"/>
  <c r="K51" i="71"/>
  <c r="J51" i="71"/>
  <c r="I51" i="71"/>
  <c r="H51" i="71"/>
  <c r="G51" i="71"/>
  <c r="F51" i="71"/>
  <c r="A51" i="71"/>
  <c r="K50" i="71"/>
  <c r="J50" i="71"/>
  <c r="I50" i="71"/>
  <c r="H50" i="71"/>
  <c r="G50" i="71"/>
  <c r="F50" i="71"/>
  <c r="A50" i="71"/>
  <c r="K49" i="71"/>
  <c r="J49" i="71"/>
  <c r="I49" i="71"/>
  <c r="H49" i="71"/>
  <c r="G49" i="71"/>
  <c r="F49" i="71"/>
  <c r="A49" i="71"/>
  <c r="K48" i="71"/>
  <c r="J48" i="71"/>
  <c r="I48" i="71"/>
  <c r="H48" i="71"/>
  <c r="G48" i="71"/>
  <c r="F48" i="71"/>
  <c r="A48" i="71"/>
  <c r="K47" i="71"/>
  <c r="J47" i="71"/>
  <c r="I47" i="71"/>
  <c r="H47" i="71"/>
  <c r="G47" i="71"/>
  <c r="F47" i="71"/>
  <c r="A47" i="71"/>
  <c r="K46" i="71"/>
  <c r="J46" i="71"/>
  <c r="I46" i="71"/>
  <c r="H46" i="71"/>
  <c r="G46" i="71"/>
  <c r="F46" i="71"/>
  <c r="A46" i="71"/>
  <c r="K45" i="71"/>
  <c r="J45" i="71"/>
  <c r="I45" i="71"/>
  <c r="H45" i="71"/>
  <c r="G45" i="71"/>
  <c r="F45" i="71"/>
  <c r="A45" i="71"/>
  <c r="K44" i="71"/>
  <c r="J44" i="71"/>
  <c r="I44" i="71"/>
  <c r="H44" i="71"/>
  <c r="G44" i="71"/>
  <c r="F44" i="71"/>
  <c r="A44" i="71"/>
  <c r="K43" i="71"/>
  <c r="J43" i="71"/>
  <c r="I43" i="71"/>
  <c r="H43" i="71"/>
  <c r="G43" i="71"/>
  <c r="F43" i="71"/>
  <c r="A43" i="71"/>
  <c r="K42" i="71"/>
  <c r="J42" i="71"/>
  <c r="I42" i="71"/>
  <c r="H42" i="71"/>
  <c r="G42" i="71"/>
  <c r="F42" i="71"/>
  <c r="A42" i="71"/>
  <c r="K41" i="71"/>
  <c r="J41" i="71"/>
  <c r="I41" i="71"/>
  <c r="H41" i="71"/>
  <c r="G41" i="71"/>
  <c r="F41" i="71"/>
  <c r="A41" i="71"/>
  <c r="K40" i="71"/>
  <c r="J40" i="71"/>
  <c r="I40" i="71"/>
  <c r="H40" i="71"/>
  <c r="G40" i="71"/>
  <c r="F40" i="71"/>
  <c r="A40" i="71"/>
  <c r="K39" i="71"/>
  <c r="J39" i="71"/>
  <c r="I39" i="71"/>
  <c r="H39" i="71"/>
  <c r="G39" i="71"/>
  <c r="F39" i="71"/>
  <c r="A39" i="71"/>
  <c r="K38" i="71"/>
  <c r="J38" i="71"/>
  <c r="I38" i="71"/>
  <c r="H38" i="71"/>
  <c r="G38" i="71"/>
  <c r="F38" i="71"/>
  <c r="A38" i="71"/>
  <c r="K37" i="71"/>
  <c r="J37" i="71"/>
  <c r="I37" i="71"/>
  <c r="H37" i="71"/>
  <c r="G37" i="71"/>
  <c r="F37" i="71"/>
  <c r="A37" i="71"/>
  <c r="K36" i="71"/>
  <c r="J36" i="71"/>
  <c r="I36" i="71"/>
  <c r="H36" i="71"/>
  <c r="G36" i="71"/>
  <c r="F36" i="71"/>
  <c r="A36" i="71"/>
  <c r="K35" i="71"/>
  <c r="J35" i="71"/>
  <c r="I35" i="71"/>
  <c r="H35" i="71"/>
  <c r="G35" i="71"/>
  <c r="F35" i="71"/>
  <c r="A35" i="71"/>
  <c r="K34" i="71"/>
  <c r="J34" i="71"/>
  <c r="I34" i="71"/>
  <c r="H34" i="71"/>
  <c r="G34" i="71"/>
  <c r="F34" i="71"/>
  <c r="A34" i="71"/>
  <c r="K33" i="71"/>
  <c r="J33" i="71"/>
  <c r="I33" i="71"/>
  <c r="H33" i="71"/>
  <c r="G33" i="71"/>
  <c r="F33" i="71"/>
  <c r="A33" i="71"/>
  <c r="K32" i="71"/>
  <c r="J32" i="71"/>
  <c r="I32" i="71"/>
  <c r="H32" i="71"/>
  <c r="G32" i="71"/>
  <c r="F32" i="71"/>
  <c r="A32" i="71"/>
  <c r="K31" i="71"/>
  <c r="J31" i="71"/>
  <c r="I31" i="71"/>
  <c r="H31" i="71"/>
  <c r="G31" i="71"/>
  <c r="F31" i="71"/>
  <c r="A31" i="71"/>
  <c r="K30" i="71"/>
  <c r="J30" i="71"/>
  <c r="I30" i="71"/>
  <c r="H30" i="71"/>
  <c r="G30" i="71"/>
  <c r="F30" i="71"/>
  <c r="A30" i="71"/>
  <c r="K29" i="71"/>
  <c r="J29" i="71"/>
  <c r="I29" i="71"/>
  <c r="H29" i="71"/>
  <c r="G29" i="71"/>
  <c r="F29" i="71"/>
  <c r="A29" i="71"/>
  <c r="K28" i="71"/>
  <c r="J28" i="71"/>
  <c r="I28" i="71"/>
  <c r="H28" i="71"/>
  <c r="G28" i="71"/>
  <c r="F28" i="71"/>
  <c r="A28" i="71"/>
  <c r="K27" i="71"/>
  <c r="J27" i="71"/>
  <c r="I27" i="71"/>
  <c r="H27" i="71"/>
  <c r="G27" i="71"/>
  <c r="F27" i="71"/>
  <c r="A27" i="71"/>
  <c r="K26" i="71"/>
  <c r="J26" i="71"/>
  <c r="I26" i="71"/>
  <c r="H26" i="71"/>
  <c r="G26" i="71"/>
  <c r="F26" i="71"/>
  <c r="A26" i="71"/>
  <c r="K25" i="71"/>
  <c r="J25" i="71"/>
  <c r="I25" i="71"/>
  <c r="H25" i="71"/>
  <c r="G25" i="71"/>
  <c r="F25" i="71"/>
  <c r="A25" i="71"/>
  <c r="K24" i="71"/>
  <c r="J24" i="71"/>
  <c r="I24" i="71"/>
  <c r="H24" i="71"/>
  <c r="G24" i="71"/>
  <c r="F24" i="71"/>
  <c r="A24" i="71"/>
  <c r="K23" i="71"/>
  <c r="J23" i="71"/>
  <c r="I23" i="71"/>
  <c r="H23" i="71"/>
  <c r="G23" i="71"/>
  <c r="F23" i="71"/>
  <c r="A23" i="71"/>
  <c r="K22" i="71"/>
  <c r="J22" i="71"/>
  <c r="I22" i="71"/>
  <c r="H22" i="71"/>
  <c r="G22" i="71"/>
  <c r="F22" i="71"/>
  <c r="A22" i="71"/>
  <c r="K21" i="71"/>
  <c r="J21" i="71"/>
  <c r="I21" i="71"/>
  <c r="H21" i="71"/>
  <c r="G21" i="71"/>
  <c r="F21" i="71"/>
  <c r="A21" i="71"/>
  <c r="K20" i="71"/>
  <c r="J20" i="71"/>
  <c r="I20" i="71"/>
  <c r="H20" i="71"/>
  <c r="G20" i="71"/>
  <c r="F20" i="71"/>
  <c r="A20" i="71"/>
  <c r="K19" i="71"/>
  <c r="J19" i="71"/>
  <c r="I19" i="71"/>
  <c r="H19" i="71"/>
  <c r="G19" i="71"/>
  <c r="F19" i="71"/>
  <c r="A19" i="71"/>
  <c r="K18" i="71"/>
  <c r="J18" i="71"/>
  <c r="I18" i="71"/>
  <c r="H18" i="71"/>
  <c r="G18" i="71"/>
  <c r="F18" i="71"/>
  <c r="A18" i="71"/>
  <c r="K17" i="71"/>
  <c r="J17" i="71"/>
  <c r="I17" i="71"/>
  <c r="H17" i="71"/>
  <c r="G17" i="71"/>
  <c r="F17" i="71"/>
  <c r="A17" i="71"/>
  <c r="K16" i="71"/>
  <c r="J16" i="71"/>
  <c r="I16" i="71"/>
  <c r="H16" i="71"/>
  <c r="G16" i="71"/>
  <c r="F16" i="71"/>
  <c r="A16" i="71"/>
  <c r="K15" i="71"/>
  <c r="J15" i="71"/>
  <c r="I15" i="71"/>
  <c r="H15" i="71"/>
  <c r="G15" i="71"/>
  <c r="F15" i="71"/>
  <c r="A15" i="71"/>
  <c r="K14" i="71"/>
  <c r="J14" i="71"/>
  <c r="I14" i="71"/>
  <c r="H14" i="71"/>
  <c r="G14" i="71"/>
  <c r="F14" i="71"/>
  <c r="A14" i="71"/>
  <c r="K13" i="71"/>
  <c r="J13" i="71"/>
  <c r="I13" i="71"/>
  <c r="H13" i="71"/>
  <c r="G13" i="71"/>
  <c r="F13" i="71"/>
  <c r="A13" i="71"/>
  <c r="K12" i="71"/>
  <c r="J12" i="71"/>
  <c r="I12" i="71"/>
  <c r="H12" i="71"/>
  <c r="G12" i="71"/>
  <c r="F12" i="71"/>
  <c r="A12" i="71"/>
  <c r="K11" i="71"/>
  <c r="J11" i="71"/>
  <c r="I11" i="71"/>
  <c r="H11" i="71"/>
  <c r="G11" i="71"/>
  <c r="F11" i="71"/>
  <c r="A11" i="71"/>
  <c r="K10" i="71"/>
  <c r="J10" i="71"/>
  <c r="I10" i="71"/>
  <c r="H10" i="71"/>
  <c r="G10" i="71"/>
  <c r="F10" i="71"/>
  <c r="A10" i="71"/>
  <c r="K9" i="71"/>
  <c r="J9" i="71"/>
  <c r="I9" i="71"/>
  <c r="H9" i="71"/>
  <c r="G9" i="71"/>
  <c r="F9" i="71"/>
  <c r="A9" i="71"/>
  <c r="K8" i="71"/>
  <c r="J8" i="71"/>
  <c r="I8" i="71"/>
  <c r="H8" i="71"/>
  <c r="G8" i="71"/>
  <c r="F8" i="71"/>
  <c r="A8" i="71"/>
  <c r="K7" i="71"/>
  <c r="J7" i="71"/>
  <c r="I7" i="71"/>
  <c r="H7" i="71"/>
  <c r="G7" i="71"/>
  <c r="F7" i="71"/>
  <c r="A7" i="71"/>
  <c r="K6" i="71"/>
  <c r="J6" i="71"/>
  <c r="I6" i="71"/>
  <c r="H6" i="71"/>
  <c r="G6" i="71"/>
  <c r="F6" i="71"/>
  <c r="A6" i="71"/>
  <c r="K5" i="71"/>
  <c r="J5" i="71"/>
  <c r="I5" i="71"/>
  <c r="H5" i="71"/>
  <c r="G5" i="71"/>
  <c r="F5" i="71"/>
  <c r="A5" i="71"/>
  <c r="K4" i="71"/>
  <c r="J4" i="71"/>
  <c r="I4" i="71"/>
  <c r="H4" i="71"/>
  <c r="G4" i="71"/>
  <c r="F4" i="71"/>
  <c r="A4" i="71"/>
  <c r="K3" i="71"/>
  <c r="J3" i="71"/>
  <c r="I3" i="71"/>
  <c r="H3" i="71"/>
  <c r="G3" i="71"/>
  <c r="F3" i="71"/>
  <c r="A3" i="71"/>
  <c r="K2" i="71"/>
  <c r="J2" i="71"/>
  <c r="I2" i="71"/>
  <c r="H2" i="71"/>
  <c r="G2" i="71"/>
  <c r="F2" i="71"/>
  <c r="A2" i="71"/>
  <c r="K169" i="76"/>
  <c r="J169" i="76"/>
  <c r="I169" i="76"/>
  <c r="H169" i="76"/>
  <c r="G169" i="76"/>
  <c r="F169" i="76"/>
  <c r="A169" i="76"/>
  <c r="K168" i="76"/>
  <c r="J168" i="76"/>
  <c r="I168" i="76"/>
  <c r="H168" i="76"/>
  <c r="G168" i="76"/>
  <c r="F168" i="76"/>
  <c r="A168" i="76"/>
  <c r="K167" i="76"/>
  <c r="J167" i="76"/>
  <c r="I167" i="76"/>
  <c r="H167" i="76"/>
  <c r="G167" i="76"/>
  <c r="F167" i="76"/>
  <c r="A167" i="76"/>
  <c r="K166" i="76"/>
  <c r="J166" i="76"/>
  <c r="I166" i="76"/>
  <c r="H166" i="76"/>
  <c r="G166" i="76"/>
  <c r="F166" i="76"/>
  <c r="A166" i="76"/>
  <c r="K165" i="76"/>
  <c r="J165" i="76"/>
  <c r="I165" i="76"/>
  <c r="H165" i="76"/>
  <c r="G165" i="76"/>
  <c r="F165" i="76"/>
  <c r="A165" i="76"/>
  <c r="K164" i="76"/>
  <c r="J164" i="76"/>
  <c r="I164" i="76"/>
  <c r="H164" i="76"/>
  <c r="G164" i="76"/>
  <c r="F164" i="76"/>
  <c r="A164" i="76"/>
  <c r="K163" i="76"/>
  <c r="J163" i="76"/>
  <c r="I163" i="76"/>
  <c r="H163" i="76"/>
  <c r="G163" i="76"/>
  <c r="F163" i="76"/>
  <c r="A163" i="76"/>
  <c r="K162" i="76"/>
  <c r="J162" i="76"/>
  <c r="I162" i="76"/>
  <c r="H162" i="76"/>
  <c r="G162" i="76"/>
  <c r="F162" i="76"/>
  <c r="A162" i="76"/>
  <c r="K161" i="76"/>
  <c r="J161" i="76"/>
  <c r="I161" i="76"/>
  <c r="H161" i="76"/>
  <c r="G161" i="76"/>
  <c r="F161" i="76"/>
  <c r="A161" i="76"/>
  <c r="K160" i="76"/>
  <c r="J160" i="76"/>
  <c r="I160" i="76"/>
  <c r="H160" i="76"/>
  <c r="G160" i="76"/>
  <c r="F160" i="76"/>
  <c r="A160" i="76"/>
  <c r="K159" i="76"/>
  <c r="J159" i="76"/>
  <c r="I159" i="76"/>
  <c r="H159" i="76"/>
  <c r="G159" i="76"/>
  <c r="F159" i="76"/>
  <c r="A159" i="76"/>
  <c r="K158" i="76"/>
  <c r="J158" i="76"/>
  <c r="I158" i="76"/>
  <c r="H158" i="76"/>
  <c r="G158" i="76"/>
  <c r="F158" i="76"/>
  <c r="A158" i="76"/>
  <c r="K157" i="76"/>
  <c r="J157" i="76"/>
  <c r="I157" i="76"/>
  <c r="H157" i="76"/>
  <c r="G157" i="76"/>
  <c r="F157" i="76"/>
  <c r="A157" i="76"/>
  <c r="K156" i="76"/>
  <c r="J156" i="76"/>
  <c r="I156" i="76"/>
  <c r="H156" i="76"/>
  <c r="G156" i="76"/>
  <c r="F156" i="76"/>
  <c r="A156" i="76"/>
  <c r="K155" i="76"/>
  <c r="J155" i="76"/>
  <c r="I155" i="76"/>
  <c r="H155" i="76"/>
  <c r="G155" i="76"/>
  <c r="F155" i="76"/>
  <c r="A155" i="76"/>
  <c r="K154" i="76"/>
  <c r="J154" i="76"/>
  <c r="I154" i="76"/>
  <c r="H154" i="76"/>
  <c r="G154" i="76"/>
  <c r="F154" i="76"/>
  <c r="A154" i="76"/>
  <c r="K153" i="76"/>
  <c r="J153" i="76"/>
  <c r="I153" i="76"/>
  <c r="H153" i="76"/>
  <c r="G153" i="76"/>
  <c r="F153" i="76"/>
  <c r="A153" i="76"/>
  <c r="K152" i="76"/>
  <c r="J152" i="76"/>
  <c r="I152" i="76"/>
  <c r="H152" i="76"/>
  <c r="G152" i="76"/>
  <c r="F152" i="76"/>
  <c r="A152" i="76"/>
  <c r="K151" i="76"/>
  <c r="J151" i="76"/>
  <c r="I151" i="76"/>
  <c r="H151" i="76"/>
  <c r="G151" i="76"/>
  <c r="F151" i="76"/>
  <c r="A151" i="76"/>
  <c r="K150" i="76"/>
  <c r="J150" i="76"/>
  <c r="I150" i="76"/>
  <c r="H150" i="76"/>
  <c r="G150" i="76"/>
  <c r="F150" i="76"/>
  <c r="A150" i="76"/>
  <c r="K149" i="76"/>
  <c r="J149" i="76"/>
  <c r="I149" i="76"/>
  <c r="H149" i="76"/>
  <c r="G149" i="76"/>
  <c r="F149" i="76"/>
  <c r="A149" i="76"/>
  <c r="K148" i="76"/>
  <c r="J148" i="76"/>
  <c r="I148" i="76"/>
  <c r="H148" i="76"/>
  <c r="G148" i="76"/>
  <c r="F148" i="76"/>
  <c r="A148" i="76"/>
  <c r="K147" i="76"/>
  <c r="J147" i="76"/>
  <c r="I147" i="76"/>
  <c r="H147" i="76"/>
  <c r="G147" i="76"/>
  <c r="F147" i="76"/>
  <c r="A147" i="76"/>
  <c r="K146" i="76"/>
  <c r="J146" i="76"/>
  <c r="I146" i="76"/>
  <c r="H146" i="76"/>
  <c r="G146" i="76"/>
  <c r="F146" i="76"/>
  <c r="A146" i="76"/>
  <c r="K145" i="76"/>
  <c r="J145" i="76"/>
  <c r="I145" i="76"/>
  <c r="H145" i="76"/>
  <c r="G145" i="76"/>
  <c r="F145" i="76"/>
  <c r="A145" i="76"/>
  <c r="K144" i="76"/>
  <c r="J144" i="76"/>
  <c r="I144" i="76"/>
  <c r="H144" i="76"/>
  <c r="G144" i="76"/>
  <c r="F144" i="76"/>
  <c r="A144" i="76"/>
  <c r="K143" i="76"/>
  <c r="J143" i="76"/>
  <c r="I143" i="76"/>
  <c r="H143" i="76"/>
  <c r="G143" i="76"/>
  <c r="F143" i="76"/>
  <c r="A143" i="76"/>
  <c r="K142" i="76"/>
  <c r="J142" i="76"/>
  <c r="I142" i="76"/>
  <c r="H142" i="76"/>
  <c r="G142" i="76"/>
  <c r="F142" i="76"/>
  <c r="A142" i="76"/>
  <c r="K141" i="76"/>
  <c r="J141" i="76"/>
  <c r="I141" i="76"/>
  <c r="H141" i="76"/>
  <c r="G141" i="76"/>
  <c r="F141" i="76"/>
  <c r="A141" i="76"/>
  <c r="K140" i="76"/>
  <c r="J140" i="76"/>
  <c r="I140" i="76"/>
  <c r="H140" i="76"/>
  <c r="G140" i="76"/>
  <c r="F140" i="76"/>
  <c r="A140" i="76"/>
  <c r="K139" i="76"/>
  <c r="J139" i="76"/>
  <c r="I139" i="76"/>
  <c r="H139" i="76"/>
  <c r="G139" i="76"/>
  <c r="F139" i="76"/>
  <c r="A139" i="76"/>
  <c r="K138" i="76"/>
  <c r="J138" i="76"/>
  <c r="I138" i="76"/>
  <c r="H138" i="76"/>
  <c r="G138" i="76"/>
  <c r="F138" i="76"/>
  <c r="A138" i="76"/>
  <c r="K137" i="76"/>
  <c r="J137" i="76"/>
  <c r="I137" i="76"/>
  <c r="H137" i="76"/>
  <c r="G137" i="76"/>
  <c r="F137" i="76"/>
  <c r="A137" i="76"/>
  <c r="K136" i="76"/>
  <c r="J136" i="76"/>
  <c r="I136" i="76"/>
  <c r="H136" i="76"/>
  <c r="G136" i="76"/>
  <c r="F136" i="76"/>
  <c r="A136" i="76"/>
  <c r="K135" i="76"/>
  <c r="J135" i="76"/>
  <c r="I135" i="76"/>
  <c r="H135" i="76"/>
  <c r="G135" i="76"/>
  <c r="F135" i="76"/>
  <c r="A135" i="76"/>
  <c r="K134" i="76"/>
  <c r="J134" i="76"/>
  <c r="I134" i="76"/>
  <c r="H134" i="76"/>
  <c r="G134" i="76"/>
  <c r="F134" i="76"/>
  <c r="A134" i="76"/>
  <c r="K133" i="76"/>
  <c r="J133" i="76"/>
  <c r="I133" i="76"/>
  <c r="H133" i="76"/>
  <c r="G133" i="76"/>
  <c r="F133" i="76"/>
  <c r="A133" i="76"/>
  <c r="K132" i="76"/>
  <c r="J132" i="76"/>
  <c r="I132" i="76"/>
  <c r="H132" i="76"/>
  <c r="G132" i="76"/>
  <c r="F132" i="76"/>
  <c r="A132" i="76"/>
  <c r="K131" i="76"/>
  <c r="J131" i="76"/>
  <c r="I131" i="76"/>
  <c r="H131" i="76"/>
  <c r="G131" i="76"/>
  <c r="F131" i="76"/>
  <c r="A131" i="76"/>
  <c r="K130" i="76"/>
  <c r="J130" i="76"/>
  <c r="I130" i="76"/>
  <c r="H130" i="76"/>
  <c r="G130" i="76"/>
  <c r="F130" i="76"/>
  <c r="A130" i="76"/>
  <c r="K129" i="76"/>
  <c r="J129" i="76"/>
  <c r="I129" i="76"/>
  <c r="H129" i="76"/>
  <c r="G129" i="76"/>
  <c r="F129" i="76"/>
  <c r="A129" i="76"/>
  <c r="K128" i="76"/>
  <c r="J128" i="76"/>
  <c r="I128" i="76"/>
  <c r="H128" i="76"/>
  <c r="G128" i="76"/>
  <c r="F128" i="76"/>
  <c r="A128" i="76"/>
  <c r="K127" i="76"/>
  <c r="J127" i="76"/>
  <c r="I127" i="76"/>
  <c r="H127" i="76"/>
  <c r="G127" i="76"/>
  <c r="F127" i="76"/>
  <c r="A127" i="76"/>
  <c r="K126" i="76"/>
  <c r="J126" i="76"/>
  <c r="I126" i="76"/>
  <c r="H126" i="76"/>
  <c r="G126" i="76"/>
  <c r="F126" i="76"/>
  <c r="A126" i="76"/>
  <c r="K125" i="76"/>
  <c r="J125" i="76"/>
  <c r="I125" i="76"/>
  <c r="H125" i="76"/>
  <c r="G125" i="76"/>
  <c r="F125" i="76"/>
  <c r="A125" i="76"/>
  <c r="K124" i="76"/>
  <c r="J124" i="76"/>
  <c r="I124" i="76"/>
  <c r="H124" i="76"/>
  <c r="G124" i="76"/>
  <c r="F124" i="76"/>
  <c r="A124" i="76"/>
  <c r="K123" i="76"/>
  <c r="J123" i="76"/>
  <c r="I123" i="76"/>
  <c r="H123" i="76"/>
  <c r="G123" i="76"/>
  <c r="F123" i="76"/>
  <c r="A123" i="76"/>
  <c r="K122" i="76"/>
  <c r="J122" i="76"/>
  <c r="I122" i="76"/>
  <c r="H122" i="76"/>
  <c r="G122" i="76"/>
  <c r="F122" i="76"/>
  <c r="A122" i="76"/>
  <c r="K121" i="76"/>
  <c r="J121" i="76"/>
  <c r="I121" i="76"/>
  <c r="H121" i="76"/>
  <c r="G121" i="76"/>
  <c r="F121" i="76"/>
  <c r="A121" i="76"/>
  <c r="K120" i="76"/>
  <c r="J120" i="76"/>
  <c r="I120" i="76"/>
  <c r="H120" i="76"/>
  <c r="G120" i="76"/>
  <c r="F120" i="76"/>
  <c r="A120" i="76"/>
  <c r="K119" i="76"/>
  <c r="J119" i="76"/>
  <c r="I119" i="76"/>
  <c r="H119" i="76"/>
  <c r="G119" i="76"/>
  <c r="F119" i="76"/>
  <c r="A119" i="76"/>
  <c r="K118" i="76"/>
  <c r="J118" i="76"/>
  <c r="I118" i="76"/>
  <c r="H118" i="76"/>
  <c r="G118" i="76"/>
  <c r="F118" i="76"/>
  <c r="A118" i="76"/>
  <c r="K117" i="76"/>
  <c r="J117" i="76"/>
  <c r="I117" i="76"/>
  <c r="H117" i="76"/>
  <c r="G117" i="76"/>
  <c r="F117" i="76"/>
  <c r="A117" i="76"/>
  <c r="K116" i="76"/>
  <c r="J116" i="76"/>
  <c r="I116" i="76"/>
  <c r="H116" i="76"/>
  <c r="G116" i="76"/>
  <c r="F116" i="76"/>
  <c r="A116" i="76"/>
  <c r="K115" i="76"/>
  <c r="J115" i="76"/>
  <c r="I115" i="76"/>
  <c r="H115" i="76"/>
  <c r="G115" i="76"/>
  <c r="F115" i="76"/>
  <c r="A115" i="76"/>
  <c r="K114" i="76"/>
  <c r="J114" i="76"/>
  <c r="I114" i="76"/>
  <c r="H114" i="76"/>
  <c r="G114" i="76"/>
  <c r="F114" i="76"/>
  <c r="A114" i="76"/>
  <c r="K113" i="76"/>
  <c r="J113" i="76"/>
  <c r="I113" i="76"/>
  <c r="H113" i="76"/>
  <c r="G113" i="76"/>
  <c r="F113" i="76"/>
  <c r="A113" i="76"/>
  <c r="K112" i="76"/>
  <c r="J112" i="76"/>
  <c r="I112" i="76"/>
  <c r="H112" i="76"/>
  <c r="G112" i="76"/>
  <c r="F112" i="76"/>
  <c r="A112" i="76"/>
  <c r="K111" i="76"/>
  <c r="J111" i="76"/>
  <c r="I111" i="76"/>
  <c r="H111" i="76"/>
  <c r="G111" i="76"/>
  <c r="F111" i="76"/>
  <c r="A111" i="76"/>
  <c r="K110" i="76"/>
  <c r="J110" i="76"/>
  <c r="I110" i="76"/>
  <c r="H110" i="76"/>
  <c r="G110" i="76"/>
  <c r="F110" i="76"/>
  <c r="A110" i="76"/>
  <c r="K109" i="76"/>
  <c r="J109" i="76"/>
  <c r="I109" i="76"/>
  <c r="H109" i="76"/>
  <c r="G109" i="76"/>
  <c r="F109" i="76"/>
  <c r="A109" i="76"/>
  <c r="K108" i="76"/>
  <c r="J108" i="76"/>
  <c r="I108" i="76"/>
  <c r="H108" i="76"/>
  <c r="G108" i="76"/>
  <c r="F108" i="76"/>
  <c r="A108" i="76"/>
  <c r="K107" i="76"/>
  <c r="J107" i="76"/>
  <c r="I107" i="76"/>
  <c r="H107" i="76"/>
  <c r="G107" i="76"/>
  <c r="F107" i="76"/>
  <c r="A107" i="76"/>
  <c r="K106" i="76"/>
  <c r="J106" i="76"/>
  <c r="I106" i="76"/>
  <c r="H106" i="76"/>
  <c r="G106" i="76"/>
  <c r="F106" i="76"/>
  <c r="A106" i="76"/>
  <c r="K105" i="76"/>
  <c r="J105" i="76"/>
  <c r="I105" i="76"/>
  <c r="H105" i="76"/>
  <c r="G105" i="76"/>
  <c r="F105" i="76"/>
  <c r="A105" i="76"/>
  <c r="K104" i="76"/>
  <c r="J104" i="76"/>
  <c r="I104" i="76"/>
  <c r="H104" i="76"/>
  <c r="G104" i="76"/>
  <c r="F104" i="76"/>
  <c r="A104" i="76"/>
  <c r="K103" i="76"/>
  <c r="J103" i="76"/>
  <c r="I103" i="76"/>
  <c r="H103" i="76"/>
  <c r="G103" i="76"/>
  <c r="F103" i="76"/>
  <c r="A103" i="76"/>
  <c r="K102" i="76"/>
  <c r="J102" i="76"/>
  <c r="I102" i="76"/>
  <c r="H102" i="76"/>
  <c r="G102" i="76"/>
  <c r="F102" i="76"/>
  <c r="A102" i="76"/>
  <c r="K101" i="76"/>
  <c r="J101" i="76"/>
  <c r="I101" i="76"/>
  <c r="H101" i="76"/>
  <c r="G101" i="76"/>
  <c r="F101" i="76"/>
  <c r="A101" i="76"/>
  <c r="K100" i="76"/>
  <c r="J100" i="76"/>
  <c r="I100" i="76"/>
  <c r="H100" i="76"/>
  <c r="G100" i="76"/>
  <c r="F100" i="76"/>
  <c r="A100" i="76"/>
  <c r="K99" i="76"/>
  <c r="J99" i="76"/>
  <c r="I99" i="76"/>
  <c r="H99" i="76"/>
  <c r="G99" i="76"/>
  <c r="F99" i="76"/>
  <c r="A99" i="76"/>
  <c r="K98" i="76"/>
  <c r="J98" i="76"/>
  <c r="I98" i="76"/>
  <c r="H98" i="76"/>
  <c r="G98" i="76"/>
  <c r="F98" i="76"/>
  <c r="A98" i="76"/>
  <c r="K97" i="76"/>
  <c r="J97" i="76"/>
  <c r="I97" i="76"/>
  <c r="H97" i="76"/>
  <c r="G97" i="76"/>
  <c r="F97" i="76"/>
  <c r="A97" i="76"/>
  <c r="K96" i="76"/>
  <c r="J96" i="76"/>
  <c r="I96" i="76"/>
  <c r="H96" i="76"/>
  <c r="G96" i="76"/>
  <c r="F96" i="76"/>
  <c r="A96" i="76"/>
  <c r="K95" i="76"/>
  <c r="J95" i="76"/>
  <c r="I95" i="76"/>
  <c r="H95" i="76"/>
  <c r="G95" i="76"/>
  <c r="F95" i="76"/>
  <c r="A95" i="76"/>
  <c r="K94" i="76"/>
  <c r="J94" i="76"/>
  <c r="I94" i="76"/>
  <c r="H94" i="76"/>
  <c r="G94" i="76"/>
  <c r="F94" i="76"/>
  <c r="A94" i="76"/>
  <c r="K93" i="76"/>
  <c r="J93" i="76"/>
  <c r="I93" i="76"/>
  <c r="H93" i="76"/>
  <c r="G93" i="76"/>
  <c r="F93" i="76"/>
  <c r="A93" i="76"/>
  <c r="K92" i="76"/>
  <c r="J92" i="76"/>
  <c r="I92" i="76"/>
  <c r="H92" i="76"/>
  <c r="G92" i="76"/>
  <c r="F92" i="76"/>
  <c r="A92" i="76"/>
  <c r="K91" i="76"/>
  <c r="J91" i="76"/>
  <c r="I91" i="76"/>
  <c r="H91" i="76"/>
  <c r="G91" i="76"/>
  <c r="F91" i="76"/>
  <c r="A91" i="76"/>
  <c r="K90" i="76"/>
  <c r="J90" i="76"/>
  <c r="I90" i="76"/>
  <c r="H90" i="76"/>
  <c r="G90" i="76"/>
  <c r="F90" i="76"/>
  <c r="A90" i="76"/>
  <c r="K89" i="76"/>
  <c r="J89" i="76"/>
  <c r="I89" i="76"/>
  <c r="H89" i="76"/>
  <c r="G89" i="76"/>
  <c r="F89" i="76"/>
  <c r="A89" i="76"/>
  <c r="K88" i="76"/>
  <c r="J88" i="76"/>
  <c r="I88" i="76"/>
  <c r="H88" i="76"/>
  <c r="G88" i="76"/>
  <c r="F88" i="76"/>
  <c r="A88" i="76"/>
  <c r="K87" i="76"/>
  <c r="J87" i="76"/>
  <c r="I87" i="76"/>
  <c r="H87" i="76"/>
  <c r="G87" i="76"/>
  <c r="F87" i="76"/>
  <c r="A87" i="76"/>
  <c r="K86" i="76"/>
  <c r="J86" i="76"/>
  <c r="I86" i="76"/>
  <c r="H86" i="76"/>
  <c r="G86" i="76"/>
  <c r="F86" i="76"/>
  <c r="A86" i="76"/>
  <c r="K85" i="76"/>
  <c r="J85" i="76"/>
  <c r="I85" i="76"/>
  <c r="H85" i="76"/>
  <c r="G85" i="76"/>
  <c r="F85" i="76"/>
  <c r="A85" i="76"/>
  <c r="K84" i="76"/>
  <c r="J84" i="76"/>
  <c r="I84" i="76"/>
  <c r="H84" i="76"/>
  <c r="G84" i="76"/>
  <c r="F84" i="76"/>
  <c r="A84" i="76"/>
  <c r="K83" i="76"/>
  <c r="J83" i="76"/>
  <c r="I83" i="76"/>
  <c r="H83" i="76"/>
  <c r="G83" i="76"/>
  <c r="F83" i="76"/>
  <c r="A83" i="76"/>
  <c r="K82" i="76"/>
  <c r="J82" i="76"/>
  <c r="I82" i="76"/>
  <c r="H82" i="76"/>
  <c r="G82" i="76"/>
  <c r="F82" i="76"/>
  <c r="A82" i="76"/>
  <c r="K81" i="76"/>
  <c r="J81" i="76"/>
  <c r="I81" i="76"/>
  <c r="H81" i="76"/>
  <c r="G81" i="76"/>
  <c r="F81" i="76"/>
  <c r="A81" i="76"/>
  <c r="K80" i="76"/>
  <c r="J80" i="76"/>
  <c r="I80" i="76"/>
  <c r="H80" i="76"/>
  <c r="G80" i="76"/>
  <c r="F80" i="76"/>
  <c r="A80" i="76"/>
  <c r="K79" i="76"/>
  <c r="J79" i="76"/>
  <c r="I79" i="76"/>
  <c r="H79" i="76"/>
  <c r="G79" i="76"/>
  <c r="F79" i="76"/>
  <c r="A79" i="76"/>
  <c r="K78" i="76"/>
  <c r="J78" i="76"/>
  <c r="I78" i="76"/>
  <c r="H78" i="76"/>
  <c r="G78" i="76"/>
  <c r="F78" i="76"/>
  <c r="A78" i="76"/>
  <c r="K77" i="76"/>
  <c r="J77" i="76"/>
  <c r="I77" i="76"/>
  <c r="H77" i="76"/>
  <c r="G77" i="76"/>
  <c r="F77" i="76"/>
  <c r="A77" i="76"/>
  <c r="K76" i="76"/>
  <c r="J76" i="76"/>
  <c r="I76" i="76"/>
  <c r="H76" i="76"/>
  <c r="G76" i="76"/>
  <c r="F76" i="76"/>
  <c r="A76" i="76"/>
  <c r="K75" i="76"/>
  <c r="J75" i="76"/>
  <c r="I75" i="76"/>
  <c r="H75" i="76"/>
  <c r="G75" i="76"/>
  <c r="F75" i="76"/>
  <c r="A75" i="76"/>
  <c r="K74" i="76"/>
  <c r="J74" i="76"/>
  <c r="I74" i="76"/>
  <c r="H74" i="76"/>
  <c r="G74" i="76"/>
  <c r="F74" i="76"/>
  <c r="A74" i="76"/>
  <c r="K73" i="76"/>
  <c r="J73" i="76"/>
  <c r="I73" i="76"/>
  <c r="H73" i="76"/>
  <c r="G73" i="76"/>
  <c r="F73" i="76"/>
  <c r="A73" i="76"/>
  <c r="K72" i="76"/>
  <c r="J72" i="76"/>
  <c r="I72" i="76"/>
  <c r="H72" i="76"/>
  <c r="G72" i="76"/>
  <c r="F72" i="76"/>
  <c r="A72" i="76"/>
  <c r="K71" i="76"/>
  <c r="J71" i="76"/>
  <c r="I71" i="76"/>
  <c r="H71" i="76"/>
  <c r="G71" i="76"/>
  <c r="F71" i="76"/>
  <c r="A71" i="76"/>
  <c r="K70" i="76"/>
  <c r="J70" i="76"/>
  <c r="I70" i="76"/>
  <c r="H70" i="76"/>
  <c r="G70" i="76"/>
  <c r="F70" i="76"/>
  <c r="A70" i="76"/>
  <c r="K69" i="76"/>
  <c r="J69" i="76"/>
  <c r="I69" i="76"/>
  <c r="H69" i="76"/>
  <c r="G69" i="76"/>
  <c r="F69" i="76"/>
  <c r="A69" i="76"/>
  <c r="K68" i="76"/>
  <c r="J68" i="76"/>
  <c r="I68" i="76"/>
  <c r="H68" i="76"/>
  <c r="G68" i="76"/>
  <c r="F68" i="76"/>
  <c r="A68" i="76"/>
  <c r="K67" i="76"/>
  <c r="J67" i="76"/>
  <c r="I67" i="76"/>
  <c r="H67" i="76"/>
  <c r="G67" i="76"/>
  <c r="F67" i="76"/>
  <c r="A67" i="76"/>
  <c r="K66" i="76"/>
  <c r="J66" i="76"/>
  <c r="I66" i="76"/>
  <c r="H66" i="76"/>
  <c r="G66" i="76"/>
  <c r="F66" i="76"/>
  <c r="A66" i="76"/>
  <c r="K65" i="76"/>
  <c r="J65" i="76"/>
  <c r="I65" i="76"/>
  <c r="H65" i="76"/>
  <c r="G65" i="76"/>
  <c r="F65" i="76"/>
  <c r="A65" i="76"/>
  <c r="K64" i="76"/>
  <c r="J64" i="76"/>
  <c r="I64" i="76"/>
  <c r="H64" i="76"/>
  <c r="G64" i="76"/>
  <c r="F64" i="76"/>
  <c r="A64" i="76"/>
  <c r="K63" i="76"/>
  <c r="J63" i="76"/>
  <c r="I63" i="76"/>
  <c r="H63" i="76"/>
  <c r="G63" i="76"/>
  <c r="F63" i="76"/>
  <c r="A63" i="76"/>
  <c r="K62" i="76"/>
  <c r="J62" i="76"/>
  <c r="I62" i="76"/>
  <c r="H62" i="76"/>
  <c r="G62" i="76"/>
  <c r="F62" i="76"/>
  <c r="A62" i="76"/>
  <c r="K61" i="76"/>
  <c r="J61" i="76"/>
  <c r="I61" i="76"/>
  <c r="H61" i="76"/>
  <c r="G61" i="76"/>
  <c r="F61" i="76"/>
  <c r="A61" i="76"/>
  <c r="K60" i="76"/>
  <c r="J60" i="76"/>
  <c r="I60" i="76"/>
  <c r="H60" i="76"/>
  <c r="G60" i="76"/>
  <c r="F60" i="76"/>
  <c r="A60" i="76"/>
  <c r="K59" i="76"/>
  <c r="J59" i="76"/>
  <c r="I59" i="76"/>
  <c r="H59" i="76"/>
  <c r="G59" i="76"/>
  <c r="F59" i="76"/>
  <c r="A59" i="76"/>
  <c r="K58" i="76"/>
  <c r="J58" i="76"/>
  <c r="I58" i="76"/>
  <c r="H58" i="76"/>
  <c r="G58" i="76"/>
  <c r="F58" i="76"/>
  <c r="A58" i="76"/>
  <c r="K57" i="76"/>
  <c r="J57" i="76"/>
  <c r="I57" i="76"/>
  <c r="H57" i="76"/>
  <c r="G57" i="76"/>
  <c r="F57" i="76"/>
  <c r="A57" i="76"/>
  <c r="K56" i="76"/>
  <c r="J56" i="76"/>
  <c r="I56" i="76"/>
  <c r="H56" i="76"/>
  <c r="G56" i="76"/>
  <c r="F56" i="76"/>
  <c r="A56" i="76"/>
  <c r="K55" i="76"/>
  <c r="J55" i="76"/>
  <c r="I55" i="76"/>
  <c r="H55" i="76"/>
  <c r="G55" i="76"/>
  <c r="F55" i="76"/>
  <c r="A55" i="76"/>
  <c r="K54" i="76"/>
  <c r="J54" i="76"/>
  <c r="I54" i="76"/>
  <c r="H54" i="76"/>
  <c r="G54" i="76"/>
  <c r="F54" i="76"/>
  <c r="A54" i="76"/>
  <c r="K53" i="76"/>
  <c r="J53" i="76"/>
  <c r="I53" i="76"/>
  <c r="H53" i="76"/>
  <c r="G53" i="76"/>
  <c r="F53" i="76"/>
  <c r="A53" i="76"/>
  <c r="K52" i="76"/>
  <c r="J52" i="76"/>
  <c r="I52" i="76"/>
  <c r="H52" i="76"/>
  <c r="G52" i="76"/>
  <c r="F52" i="76"/>
  <c r="A52" i="76"/>
  <c r="K51" i="76"/>
  <c r="J51" i="76"/>
  <c r="I51" i="76"/>
  <c r="H51" i="76"/>
  <c r="G51" i="76"/>
  <c r="F51" i="76"/>
  <c r="A51" i="76"/>
  <c r="K50" i="76"/>
  <c r="J50" i="76"/>
  <c r="I50" i="76"/>
  <c r="H50" i="76"/>
  <c r="G50" i="76"/>
  <c r="F50" i="76"/>
  <c r="A50" i="76"/>
  <c r="K49" i="76"/>
  <c r="J49" i="76"/>
  <c r="I49" i="76"/>
  <c r="H49" i="76"/>
  <c r="G49" i="76"/>
  <c r="F49" i="76"/>
  <c r="A49" i="76"/>
  <c r="K48" i="76"/>
  <c r="J48" i="76"/>
  <c r="I48" i="76"/>
  <c r="H48" i="76"/>
  <c r="G48" i="76"/>
  <c r="F48" i="76"/>
  <c r="A48" i="76"/>
  <c r="K47" i="76"/>
  <c r="J47" i="76"/>
  <c r="I47" i="76"/>
  <c r="H47" i="76"/>
  <c r="G47" i="76"/>
  <c r="F47" i="76"/>
  <c r="A47" i="76"/>
  <c r="K46" i="76"/>
  <c r="J46" i="76"/>
  <c r="I46" i="76"/>
  <c r="H46" i="76"/>
  <c r="G46" i="76"/>
  <c r="F46" i="76"/>
  <c r="A46" i="76"/>
  <c r="K45" i="76"/>
  <c r="J45" i="76"/>
  <c r="I45" i="76"/>
  <c r="H45" i="76"/>
  <c r="G45" i="76"/>
  <c r="F45" i="76"/>
  <c r="A45" i="76"/>
  <c r="K44" i="76"/>
  <c r="J44" i="76"/>
  <c r="I44" i="76"/>
  <c r="H44" i="76"/>
  <c r="G44" i="76"/>
  <c r="F44" i="76"/>
  <c r="A44" i="76"/>
  <c r="K43" i="76"/>
  <c r="J43" i="76"/>
  <c r="I43" i="76"/>
  <c r="H43" i="76"/>
  <c r="G43" i="76"/>
  <c r="F43" i="76"/>
  <c r="A43" i="76"/>
  <c r="K42" i="76"/>
  <c r="J42" i="76"/>
  <c r="I42" i="76"/>
  <c r="H42" i="76"/>
  <c r="G42" i="76"/>
  <c r="F42" i="76"/>
  <c r="A42" i="76"/>
  <c r="K41" i="76"/>
  <c r="J41" i="76"/>
  <c r="I41" i="76"/>
  <c r="H41" i="76"/>
  <c r="G41" i="76"/>
  <c r="F41" i="76"/>
  <c r="A41" i="76"/>
  <c r="K40" i="76"/>
  <c r="J40" i="76"/>
  <c r="I40" i="76"/>
  <c r="H40" i="76"/>
  <c r="G40" i="76"/>
  <c r="F40" i="76"/>
  <c r="A40" i="76"/>
  <c r="K39" i="76"/>
  <c r="J39" i="76"/>
  <c r="I39" i="76"/>
  <c r="H39" i="76"/>
  <c r="G39" i="76"/>
  <c r="F39" i="76"/>
  <c r="A39" i="76"/>
  <c r="K38" i="76"/>
  <c r="J38" i="76"/>
  <c r="I38" i="76"/>
  <c r="H38" i="76"/>
  <c r="G38" i="76"/>
  <c r="F38" i="76"/>
  <c r="A38" i="76"/>
  <c r="K37" i="76"/>
  <c r="J37" i="76"/>
  <c r="I37" i="76"/>
  <c r="H37" i="76"/>
  <c r="G37" i="76"/>
  <c r="F37" i="76"/>
  <c r="A37" i="76"/>
  <c r="K36" i="76"/>
  <c r="J36" i="76"/>
  <c r="I36" i="76"/>
  <c r="H36" i="76"/>
  <c r="G36" i="76"/>
  <c r="F36" i="76"/>
  <c r="A36" i="76"/>
  <c r="K35" i="76"/>
  <c r="J35" i="76"/>
  <c r="I35" i="76"/>
  <c r="H35" i="76"/>
  <c r="G35" i="76"/>
  <c r="F35" i="76"/>
  <c r="A35" i="76"/>
  <c r="K34" i="76"/>
  <c r="J34" i="76"/>
  <c r="I34" i="76"/>
  <c r="H34" i="76"/>
  <c r="G34" i="76"/>
  <c r="F34" i="76"/>
  <c r="A34" i="76"/>
  <c r="K33" i="76"/>
  <c r="J33" i="76"/>
  <c r="I33" i="76"/>
  <c r="H33" i="76"/>
  <c r="G33" i="76"/>
  <c r="F33" i="76"/>
  <c r="A33" i="76"/>
  <c r="K32" i="76"/>
  <c r="J32" i="76"/>
  <c r="I32" i="76"/>
  <c r="H32" i="76"/>
  <c r="G32" i="76"/>
  <c r="F32" i="76"/>
  <c r="A32" i="76"/>
  <c r="K31" i="76"/>
  <c r="J31" i="76"/>
  <c r="I31" i="76"/>
  <c r="H31" i="76"/>
  <c r="G31" i="76"/>
  <c r="F31" i="76"/>
  <c r="A31" i="76"/>
  <c r="K30" i="76"/>
  <c r="J30" i="76"/>
  <c r="I30" i="76"/>
  <c r="H30" i="76"/>
  <c r="G30" i="76"/>
  <c r="F30" i="76"/>
  <c r="A30" i="76"/>
  <c r="K29" i="76"/>
  <c r="J29" i="76"/>
  <c r="I29" i="76"/>
  <c r="H29" i="76"/>
  <c r="G29" i="76"/>
  <c r="F29" i="76"/>
  <c r="A29" i="76"/>
  <c r="K28" i="76"/>
  <c r="J28" i="76"/>
  <c r="I28" i="76"/>
  <c r="H28" i="76"/>
  <c r="G28" i="76"/>
  <c r="F28" i="76"/>
  <c r="A28" i="76"/>
  <c r="K27" i="76"/>
  <c r="J27" i="76"/>
  <c r="I27" i="76"/>
  <c r="H27" i="76"/>
  <c r="G27" i="76"/>
  <c r="F27" i="76"/>
  <c r="A27" i="76"/>
  <c r="K26" i="76"/>
  <c r="J26" i="76"/>
  <c r="I26" i="76"/>
  <c r="H26" i="76"/>
  <c r="G26" i="76"/>
  <c r="F26" i="76"/>
  <c r="A26" i="76"/>
  <c r="K25" i="76"/>
  <c r="J25" i="76"/>
  <c r="I25" i="76"/>
  <c r="H25" i="76"/>
  <c r="G25" i="76"/>
  <c r="F25" i="76"/>
  <c r="A25" i="76"/>
  <c r="K24" i="76"/>
  <c r="J24" i="76"/>
  <c r="I24" i="76"/>
  <c r="H24" i="76"/>
  <c r="G24" i="76"/>
  <c r="F24" i="76"/>
  <c r="A24" i="76"/>
  <c r="K23" i="76"/>
  <c r="J23" i="76"/>
  <c r="I23" i="76"/>
  <c r="H23" i="76"/>
  <c r="G23" i="76"/>
  <c r="F23" i="76"/>
  <c r="A23" i="76"/>
  <c r="K22" i="76"/>
  <c r="J22" i="76"/>
  <c r="I22" i="76"/>
  <c r="H22" i="76"/>
  <c r="G22" i="76"/>
  <c r="F22" i="76"/>
  <c r="A22" i="76"/>
  <c r="K21" i="76"/>
  <c r="J21" i="76"/>
  <c r="I21" i="76"/>
  <c r="H21" i="76"/>
  <c r="G21" i="76"/>
  <c r="F21" i="76"/>
  <c r="A21" i="76"/>
  <c r="K20" i="76"/>
  <c r="J20" i="76"/>
  <c r="I20" i="76"/>
  <c r="H20" i="76"/>
  <c r="G20" i="76"/>
  <c r="F20" i="76"/>
  <c r="A20" i="76"/>
  <c r="K19" i="76"/>
  <c r="J19" i="76"/>
  <c r="I19" i="76"/>
  <c r="H19" i="76"/>
  <c r="G19" i="76"/>
  <c r="F19" i="76"/>
  <c r="A19" i="76"/>
  <c r="K18" i="76"/>
  <c r="J18" i="76"/>
  <c r="I18" i="76"/>
  <c r="H18" i="76"/>
  <c r="G18" i="76"/>
  <c r="F18" i="76"/>
  <c r="A18" i="76"/>
  <c r="K17" i="76"/>
  <c r="J17" i="76"/>
  <c r="I17" i="76"/>
  <c r="H17" i="76"/>
  <c r="G17" i="76"/>
  <c r="F17" i="76"/>
  <c r="A17" i="76"/>
  <c r="K16" i="76"/>
  <c r="J16" i="76"/>
  <c r="I16" i="76"/>
  <c r="H16" i="76"/>
  <c r="G16" i="76"/>
  <c r="F16" i="76"/>
  <c r="A16" i="76"/>
  <c r="K15" i="76"/>
  <c r="J15" i="76"/>
  <c r="I15" i="76"/>
  <c r="H15" i="76"/>
  <c r="G15" i="76"/>
  <c r="F15" i="76"/>
  <c r="A15" i="76"/>
  <c r="K14" i="76"/>
  <c r="J14" i="76"/>
  <c r="I14" i="76"/>
  <c r="H14" i="76"/>
  <c r="G14" i="76"/>
  <c r="F14" i="76"/>
  <c r="A14" i="76"/>
  <c r="K13" i="76"/>
  <c r="J13" i="76"/>
  <c r="I13" i="76"/>
  <c r="H13" i="76"/>
  <c r="G13" i="76"/>
  <c r="F13" i="76"/>
  <c r="A13" i="76"/>
  <c r="K12" i="76"/>
  <c r="J12" i="76"/>
  <c r="I12" i="76"/>
  <c r="H12" i="76"/>
  <c r="G12" i="76"/>
  <c r="F12" i="76"/>
  <c r="A12" i="76"/>
  <c r="K11" i="76"/>
  <c r="J11" i="76"/>
  <c r="I11" i="76"/>
  <c r="H11" i="76"/>
  <c r="G11" i="76"/>
  <c r="F11" i="76"/>
  <c r="A11" i="76"/>
  <c r="K10" i="76"/>
  <c r="J10" i="76"/>
  <c r="I10" i="76"/>
  <c r="H10" i="76"/>
  <c r="G10" i="76"/>
  <c r="F10" i="76"/>
  <c r="A10" i="76"/>
  <c r="K9" i="76"/>
  <c r="J9" i="76"/>
  <c r="I9" i="76"/>
  <c r="H9" i="76"/>
  <c r="G9" i="76"/>
  <c r="F9" i="76"/>
  <c r="A9" i="76"/>
  <c r="K8" i="76"/>
  <c r="J8" i="76"/>
  <c r="I8" i="76"/>
  <c r="H8" i="76"/>
  <c r="G8" i="76"/>
  <c r="F8" i="76"/>
  <c r="A8" i="76"/>
  <c r="K7" i="76"/>
  <c r="J7" i="76"/>
  <c r="I7" i="76"/>
  <c r="H7" i="76"/>
  <c r="G7" i="76"/>
  <c r="F7" i="76"/>
  <c r="A7" i="76"/>
  <c r="K6" i="76"/>
  <c r="J6" i="76"/>
  <c r="I6" i="76"/>
  <c r="H6" i="76"/>
  <c r="G6" i="76"/>
  <c r="F6" i="76"/>
  <c r="A6" i="76"/>
  <c r="K5" i="76"/>
  <c r="J5" i="76"/>
  <c r="I5" i="76"/>
  <c r="H5" i="76"/>
  <c r="G5" i="76"/>
  <c r="F5" i="76"/>
  <c r="A5" i="76"/>
  <c r="K4" i="76"/>
  <c r="J4" i="76"/>
  <c r="I4" i="76"/>
  <c r="H4" i="76"/>
  <c r="G4" i="76"/>
  <c r="F4" i="76"/>
  <c r="A4" i="76"/>
  <c r="K3" i="76"/>
  <c r="J3" i="76"/>
  <c r="I3" i="76"/>
  <c r="H3" i="76"/>
  <c r="G3" i="76"/>
  <c r="F3" i="76"/>
  <c r="A3" i="76"/>
  <c r="K2" i="76"/>
  <c r="J2" i="76"/>
  <c r="I2" i="76"/>
  <c r="H2" i="76"/>
  <c r="G2" i="76"/>
  <c r="F2" i="76"/>
  <c r="A2" i="76"/>
  <c r="K169" i="75"/>
  <c r="J169" i="75"/>
  <c r="I169" i="75"/>
  <c r="H169" i="75"/>
  <c r="G169" i="75"/>
  <c r="F169" i="75"/>
  <c r="A169" i="75"/>
  <c r="K168" i="75"/>
  <c r="J168" i="75"/>
  <c r="I168" i="75"/>
  <c r="H168" i="75"/>
  <c r="G168" i="75"/>
  <c r="F168" i="75"/>
  <c r="A168" i="75"/>
  <c r="K167" i="75"/>
  <c r="J167" i="75"/>
  <c r="I167" i="75"/>
  <c r="H167" i="75"/>
  <c r="G167" i="75"/>
  <c r="F167" i="75"/>
  <c r="A167" i="75"/>
  <c r="K166" i="75"/>
  <c r="J166" i="75"/>
  <c r="I166" i="75"/>
  <c r="H166" i="75"/>
  <c r="G166" i="75"/>
  <c r="F166" i="75"/>
  <c r="A166" i="75"/>
  <c r="K165" i="75"/>
  <c r="J165" i="75"/>
  <c r="I165" i="75"/>
  <c r="H165" i="75"/>
  <c r="G165" i="75"/>
  <c r="F165" i="75"/>
  <c r="A165" i="75"/>
  <c r="K164" i="75"/>
  <c r="J164" i="75"/>
  <c r="I164" i="75"/>
  <c r="H164" i="75"/>
  <c r="G164" i="75"/>
  <c r="F164" i="75"/>
  <c r="A164" i="75"/>
  <c r="K163" i="75"/>
  <c r="J163" i="75"/>
  <c r="I163" i="75"/>
  <c r="H163" i="75"/>
  <c r="G163" i="75"/>
  <c r="F163" i="75"/>
  <c r="A163" i="75"/>
  <c r="K162" i="75"/>
  <c r="J162" i="75"/>
  <c r="I162" i="75"/>
  <c r="H162" i="75"/>
  <c r="G162" i="75"/>
  <c r="F162" i="75"/>
  <c r="A162" i="75"/>
  <c r="K161" i="75"/>
  <c r="J161" i="75"/>
  <c r="I161" i="75"/>
  <c r="H161" i="75"/>
  <c r="G161" i="75"/>
  <c r="F161" i="75"/>
  <c r="A161" i="75"/>
  <c r="K160" i="75"/>
  <c r="J160" i="75"/>
  <c r="I160" i="75"/>
  <c r="H160" i="75"/>
  <c r="G160" i="75"/>
  <c r="F160" i="75"/>
  <c r="A160" i="75"/>
  <c r="K159" i="75"/>
  <c r="J159" i="75"/>
  <c r="I159" i="75"/>
  <c r="H159" i="75"/>
  <c r="G159" i="75"/>
  <c r="F159" i="75"/>
  <c r="A159" i="75"/>
  <c r="K158" i="75"/>
  <c r="J158" i="75"/>
  <c r="I158" i="75"/>
  <c r="H158" i="75"/>
  <c r="G158" i="75"/>
  <c r="F158" i="75"/>
  <c r="A158" i="75"/>
  <c r="K157" i="75"/>
  <c r="J157" i="75"/>
  <c r="I157" i="75"/>
  <c r="H157" i="75"/>
  <c r="G157" i="75"/>
  <c r="F157" i="75"/>
  <c r="A157" i="75"/>
  <c r="K156" i="75"/>
  <c r="J156" i="75"/>
  <c r="I156" i="75"/>
  <c r="H156" i="75"/>
  <c r="G156" i="75"/>
  <c r="F156" i="75"/>
  <c r="A156" i="75"/>
  <c r="K155" i="75"/>
  <c r="J155" i="75"/>
  <c r="I155" i="75"/>
  <c r="H155" i="75"/>
  <c r="G155" i="75"/>
  <c r="F155" i="75"/>
  <c r="A155" i="75"/>
  <c r="K154" i="75"/>
  <c r="J154" i="75"/>
  <c r="I154" i="75"/>
  <c r="H154" i="75"/>
  <c r="G154" i="75"/>
  <c r="F154" i="75"/>
  <c r="A154" i="75"/>
  <c r="K153" i="75"/>
  <c r="J153" i="75"/>
  <c r="I153" i="75"/>
  <c r="H153" i="75"/>
  <c r="G153" i="75"/>
  <c r="F153" i="75"/>
  <c r="A153" i="75"/>
  <c r="K152" i="75"/>
  <c r="J152" i="75"/>
  <c r="I152" i="75"/>
  <c r="H152" i="75"/>
  <c r="G152" i="75"/>
  <c r="F152" i="75"/>
  <c r="A152" i="75"/>
  <c r="K151" i="75"/>
  <c r="J151" i="75"/>
  <c r="I151" i="75"/>
  <c r="H151" i="75"/>
  <c r="G151" i="75"/>
  <c r="F151" i="75"/>
  <c r="A151" i="75"/>
  <c r="K150" i="75"/>
  <c r="J150" i="75"/>
  <c r="I150" i="75"/>
  <c r="H150" i="75"/>
  <c r="G150" i="75"/>
  <c r="F150" i="75"/>
  <c r="A150" i="75"/>
  <c r="K149" i="75"/>
  <c r="J149" i="75"/>
  <c r="I149" i="75"/>
  <c r="H149" i="75"/>
  <c r="G149" i="75"/>
  <c r="F149" i="75"/>
  <c r="A149" i="75"/>
  <c r="K148" i="75"/>
  <c r="J148" i="75"/>
  <c r="I148" i="75"/>
  <c r="H148" i="75"/>
  <c r="G148" i="75"/>
  <c r="F148" i="75"/>
  <c r="A148" i="75"/>
  <c r="K147" i="75"/>
  <c r="J147" i="75"/>
  <c r="I147" i="75"/>
  <c r="H147" i="75"/>
  <c r="G147" i="75"/>
  <c r="F147" i="75"/>
  <c r="A147" i="75"/>
  <c r="K146" i="75"/>
  <c r="J146" i="75"/>
  <c r="I146" i="75"/>
  <c r="H146" i="75"/>
  <c r="G146" i="75"/>
  <c r="F146" i="75"/>
  <c r="A146" i="75"/>
  <c r="K145" i="75"/>
  <c r="J145" i="75"/>
  <c r="I145" i="75"/>
  <c r="H145" i="75"/>
  <c r="G145" i="75"/>
  <c r="F145" i="75"/>
  <c r="A145" i="75"/>
  <c r="K144" i="75"/>
  <c r="J144" i="75"/>
  <c r="I144" i="75"/>
  <c r="H144" i="75"/>
  <c r="G144" i="75"/>
  <c r="F144" i="75"/>
  <c r="A144" i="75"/>
  <c r="K143" i="75"/>
  <c r="J143" i="75"/>
  <c r="I143" i="75"/>
  <c r="H143" i="75"/>
  <c r="G143" i="75"/>
  <c r="F143" i="75"/>
  <c r="A143" i="75"/>
  <c r="K142" i="75"/>
  <c r="J142" i="75"/>
  <c r="I142" i="75"/>
  <c r="H142" i="75"/>
  <c r="G142" i="75"/>
  <c r="F142" i="75"/>
  <c r="A142" i="75"/>
  <c r="K141" i="75"/>
  <c r="J141" i="75"/>
  <c r="I141" i="75"/>
  <c r="H141" i="75"/>
  <c r="G141" i="75"/>
  <c r="F141" i="75"/>
  <c r="A141" i="75"/>
  <c r="K140" i="75"/>
  <c r="J140" i="75"/>
  <c r="I140" i="75"/>
  <c r="H140" i="75"/>
  <c r="G140" i="75"/>
  <c r="F140" i="75"/>
  <c r="A140" i="75"/>
  <c r="K139" i="75"/>
  <c r="J139" i="75"/>
  <c r="I139" i="75"/>
  <c r="H139" i="75"/>
  <c r="G139" i="75"/>
  <c r="F139" i="75"/>
  <c r="A139" i="75"/>
  <c r="K138" i="75"/>
  <c r="J138" i="75"/>
  <c r="I138" i="75"/>
  <c r="H138" i="75"/>
  <c r="G138" i="75"/>
  <c r="F138" i="75"/>
  <c r="A138" i="75"/>
  <c r="K137" i="75"/>
  <c r="J137" i="75"/>
  <c r="I137" i="75"/>
  <c r="H137" i="75"/>
  <c r="G137" i="75"/>
  <c r="F137" i="75"/>
  <c r="A137" i="75"/>
  <c r="K136" i="75"/>
  <c r="J136" i="75"/>
  <c r="I136" i="75"/>
  <c r="H136" i="75"/>
  <c r="G136" i="75"/>
  <c r="F136" i="75"/>
  <c r="A136" i="75"/>
  <c r="K135" i="75"/>
  <c r="J135" i="75"/>
  <c r="I135" i="75"/>
  <c r="H135" i="75"/>
  <c r="G135" i="75"/>
  <c r="F135" i="75"/>
  <c r="A135" i="75"/>
  <c r="K134" i="75"/>
  <c r="J134" i="75"/>
  <c r="I134" i="75"/>
  <c r="H134" i="75"/>
  <c r="G134" i="75"/>
  <c r="F134" i="75"/>
  <c r="A134" i="75"/>
  <c r="K133" i="75"/>
  <c r="J133" i="75"/>
  <c r="I133" i="75"/>
  <c r="H133" i="75"/>
  <c r="G133" i="75"/>
  <c r="F133" i="75"/>
  <c r="A133" i="75"/>
  <c r="K132" i="75"/>
  <c r="J132" i="75"/>
  <c r="I132" i="75"/>
  <c r="H132" i="75"/>
  <c r="G132" i="75"/>
  <c r="F132" i="75"/>
  <c r="A132" i="75"/>
  <c r="K131" i="75"/>
  <c r="J131" i="75"/>
  <c r="I131" i="75"/>
  <c r="H131" i="75"/>
  <c r="G131" i="75"/>
  <c r="F131" i="75"/>
  <c r="A131" i="75"/>
  <c r="K130" i="75"/>
  <c r="J130" i="75"/>
  <c r="I130" i="75"/>
  <c r="H130" i="75"/>
  <c r="G130" i="75"/>
  <c r="F130" i="75"/>
  <c r="A130" i="75"/>
  <c r="K129" i="75"/>
  <c r="J129" i="75"/>
  <c r="I129" i="75"/>
  <c r="H129" i="75"/>
  <c r="G129" i="75"/>
  <c r="F129" i="75"/>
  <c r="A129" i="75"/>
  <c r="K128" i="75"/>
  <c r="J128" i="75"/>
  <c r="I128" i="75"/>
  <c r="H128" i="75"/>
  <c r="G128" i="75"/>
  <c r="F128" i="75"/>
  <c r="A128" i="75"/>
  <c r="K127" i="75"/>
  <c r="J127" i="75"/>
  <c r="I127" i="75"/>
  <c r="H127" i="75"/>
  <c r="G127" i="75"/>
  <c r="F127" i="75"/>
  <c r="A127" i="75"/>
  <c r="K126" i="75"/>
  <c r="J126" i="75"/>
  <c r="I126" i="75"/>
  <c r="H126" i="75"/>
  <c r="G126" i="75"/>
  <c r="F126" i="75"/>
  <c r="A126" i="75"/>
  <c r="K125" i="75"/>
  <c r="J125" i="75"/>
  <c r="I125" i="75"/>
  <c r="H125" i="75"/>
  <c r="G125" i="75"/>
  <c r="F125" i="75"/>
  <c r="A125" i="75"/>
  <c r="K124" i="75"/>
  <c r="J124" i="75"/>
  <c r="I124" i="75"/>
  <c r="H124" i="75"/>
  <c r="G124" i="75"/>
  <c r="F124" i="75"/>
  <c r="A124" i="75"/>
  <c r="K123" i="75"/>
  <c r="J123" i="75"/>
  <c r="I123" i="75"/>
  <c r="H123" i="75"/>
  <c r="G123" i="75"/>
  <c r="F123" i="75"/>
  <c r="A123" i="75"/>
  <c r="K122" i="75"/>
  <c r="J122" i="75"/>
  <c r="I122" i="75"/>
  <c r="H122" i="75"/>
  <c r="G122" i="75"/>
  <c r="F122" i="75"/>
  <c r="A122" i="75"/>
  <c r="K121" i="75"/>
  <c r="J121" i="75"/>
  <c r="I121" i="75"/>
  <c r="H121" i="75"/>
  <c r="G121" i="75"/>
  <c r="F121" i="75"/>
  <c r="A121" i="75"/>
  <c r="K120" i="75"/>
  <c r="J120" i="75"/>
  <c r="I120" i="75"/>
  <c r="H120" i="75"/>
  <c r="G120" i="75"/>
  <c r="F120" i="75"/>
  <c r="A120" i="75"/>
  <c r="K119" i="75"/>
  <c r="J119" i="75"/>
  <c r="I119" i="75"/>
  <c r="H119" i="75"/>
  <c r="G119" i="75"/>
  <c r="F119" i="75"/>
  <c r="A119" i="75"/>
  <c r="K118" i="75"/>
  <c r="J118" i="75"/>
  <c r="I118" i="75"/>
  <c r="H118" i="75"/>
  <c r="G118" i="75"/>
  <c r="F118" i="75"/>
  <c r="A118" i="75"/>
  <c r="K117" i="75"/>
  <c r="J117" i="75"/>
  <c r="I117" i="75"/>
  <c r="H117" i="75"/>
  <c r="G117" i="75"/>
  <c r="F117" i="75"/>
  <c r="A117" i="75"/>
  <c r="K116" i="75"/>
  <c r="J116" i="75"/>
  <c r="I116" i="75"/>
  <c r="H116" i="75"/>
  <c r="G116" i="75"/>
  <c r="F116" i="75"/>
  <c r="A116" i="75"/>
  <c r="K115" i="75"/>
  <c r="J115" i="75"/>
  <c r="I115" i="75"/>
  <c r="H115" i="75"/>
  <c r="G115" i="75"/>
  <c r="F115" i="75"/>
  <c r="A115" i="75"/>
  <c r="K114" i="75"/>
  <c r="J114" i="75"/>
  <c r="I114" i="75"/>
  <c r="H114" i="75"/>
  <c r="G114" i="75"/>
  <c r="F114" i="75"/>
  <c r="A114" i="75"/>
  <c r="K113" i="75"/>
  <c r="J113" i="75"/>
  <c r="I113" i="75"/>
  <c r="H113" i="75"/>
  <c r="G113" i="75"/>
  <c r="F113" i="75"/>
  <c r="A113" i="75"/>
  <c r="K112" i="75"/>
  <c r="J112" i="75"/>
  <c r="I112" i="75"/>
  <c r="H112" i="75"/>
  <c r="G112" i="75"/>
  <c r="F112" i="75"/>
  <c r="A112" i="75"/>
  <c r="K111" i="75"/>
  <c r="J111" i="75"/>
  <c r="I111" i="75"/>
  <c r="H111" i="75"/>
  <c r="G111" i="75"/>
  <c r="F111" i="75"/>
  <c r="A111" i="75"/>
  <c r="K110" i="75"/>
  <c r="J110" i="75"/>
  <c r="I110" i="75"/>
  <c r="H110" i="75"/>
  <c r="G110" i="75"/>
  <c r="F110" i="75"/>
  <c r="A110" i="75"/>
  <c r="K109" i="75"/>
  <c r="J109" i="75"/>
  <c r="I109" i="75"/>
  <c r="H109" i="75"/>
  <c r="G109" i="75"/>
  <c r="F109" i="75"/>
  <c r="A109" i="75"/>
  <c r="K108" i="75"/>
  <c r="J108" i="75"/>
  <c r="I108" i="75"/>
  <c r="H108" i="75"/>
  <c r="G108" i="75"/>
  <c r="F108" i="75"/>
  <c r="A108" i="75"/>
  <c r="K107" i="75"/>
  <c r="J107" i="75"/>
  <c r="I107" i="75"/>
  <c r="H107" i="75"/>
  <c r="G107" i="75"/>
  <c r="F107" i="75"/>
  <c r="A107" i="75"/>
  <c r="K106" i="75"/>
  <c r="J106" i="75"/>
  <c r="I106" i="75"/>
  <c r="H106" i="75"/>
  <c r="G106" i="75"/>
  <c r="F106" i="75"/>
  <c r="A106" i="75"/>
  <c r="K105" i="75"/>
  <c r="J105" i="75"/>
  <c r="I105" i="75"/>
  <c r="H105" i="75"/>
  <c r="G105" i="75"/>
  <c r="F105" i="75"/>
  <c r="A105" i="75"/>
  <c r="K104" i="75"/>
  <c r="J104" i="75"/>
  <c r="I104" i="75"/>
  <c r="H104" i="75"/>
  <c r="G104" i="75"/>
  <c r="F104" i="75"/>
  <c r="A104" i="75"/>
  <c r="K103" i="75"/>
  <c r="J103" i="75"/>
  <c r="I103" i="75"/>
  <c r="H103" i="75"/>
  <c r="G103" i="75"/>
  <c r="F103" i="75"/>
  <c r="A103" i="75"/>
  <c r="K102" i="75"/>
  <c r="J102" i="75"/>
  <c r="I102" i="75"/>
  <c r="H102" i="75"/>
  <c r="G102" i="75"/>
  <c r="F102" i="75"/>
  <c r="A102" i="75"/>
  <c r="K101" i="75"/>
  <c r="J101" i="75"/>
  <c r="I101" i="75"/>
  <c r="H101" i="75"/>
  <c r="G101" i="75"/>
  <c r="F101" i="75"/>
  <c r="A101" i="75"/>
  <c r="K100" i="75"/>
  <c r="J100" i="75"/>
  <c r="I100" i="75"/>
  <c r="H100" i="75"/>
  <c r="G100" i="75"/>
  <c r="F100" i="75"/>
  <c r="A100" i="75"/>
  <c r="K99" i="75"/>
  <c r="J99" i="75"/>
  <c r="I99" i="75"/>
  <c r="H99" i="75"/>
  <c r="G99" i="75"/>
  <c r="F99" i="75"/>
  <c r="A99" i="75"/>
  <c r="K98" i="75"/>
  <c r="J98" i="75"/>
  <c r="I98" i="75"/>
  <c r="H98" i="75"/>
  <c r="G98" i="75"/>
  <c r="F98" i="75"/>
  <c r="A98" i="75"/>
  <c r="K97" i="75"/>
  <c r="J97" i="75"/>
  <c r="I97" i="75"/>
  <c r="H97" i="75"/>
  <c r="G97" i="75"/>
  <c r="F97" i="75"/>
  <c r="A97" i="75"/>
  <c r="K96" i="75"/>
  <c r="J96" i="75"/>
  <c r="I96" i="75"/>
  <c r="H96" i="75"/>
  <c r="G96" i="75"/>
  <c r="F96" i="75"/>
  <c r="A96" i="75"/>
  <c r="K95" i="75"/>
  <c r="J95" i="75"/>
  <c r="I95" i="75"/>
  <c r="H95" i="75"/>
  <c r="G95" i="75"/>
  <c r="F95" i="75"/>
  <c r="A95" i="75"/>
  <c r="K94" i="75"/>
  <c r="J94" i="75"/>
  <c r="I94" i="75"/>
  <c r="H94" i="75"/>
  <c r="G94" i="75"/>
  <c r="F94" i="75"/>
  <c r="A94" i="75"/>
  <c r="K93" i="75"/>
  <c r="J93" i="75"/>
  <c r="I93" i="75"/>
  <c r="H93" i="75"/>
  <c r="G93" i="75"/>
  <c r="F93" i="75"/>
  <c r="A93" i="75"/>
  <c r="K92" i="75"/>
  <c r="J92" i="75"/>
  <c r="I92" i="75"/>
  <c r="H92" i="75"/>
  <c r="G92" i="75"/>
  <c r="F92" i="75"/>
  <c r="A92" i="75"/>
  <c r="K91" i="75"/>
  <c r="J91" i="75"/>
  <c r="I91" i="75"/>
  <c r="H91" i="75"/>
  <c r="G91" i="75"/>
  <c r="F91" i="75"/>
  <c r="A91" i="75"/>
  <c r="K90" i="75"/>
  <c r="J90" i="75"/>
  <c r="I90" i="75"/>
  <c r="H90" i="75"/>
  <c r="G90" i="75"/>
  <c r="F90" i="75"/>
  <c r="A90" i="75"/>
  <c r="K89" i="75"/>
  <c r="J89" i="75"/>
  <c r="I89" i="75"/>
  <c r="H89" i="75"/>
  <c r="G89" i="75"/>
  <c r="F89" i="75"/>
  <c r="A89" i="75"/>
  <c r="K88" i="75"/>
  <c r="J88" i="75"/>
  <c r="I88" i="75"/>
  <c r="H88" i="75"/>
  <c r="G88" i="75"/>
  <c r="F88" i="75"/>
  <c r="A88" i="75"/>
  <c r="K87" i="75"/>
  <c r="J87" i="75"/>
  <c r="I87" i="75"/>
  <c r="H87" i="75"/>
  <c r="G87" i="75"/>
  <c r="F87" i="75"/>
  <c r="A87" i="75"/>
  <c r="K86" i="75"/>
  <c r="J86" i="75"/>
  <c r="I86" i="75"/>
  <c r="H86" i="75"/>
  <c r="G86" i="75"/>
  <c r="F86" i="75"/>
  <c r="A86" i="75"/>
  <c r="K85" i="75"/>
  <c r="J85" i="75"/>
  <c r="I85" i="75"/>
  <c r="H85" i="75"/>
  <c r="G85" i="75"/>
  <c r="F85" i="75"/>
  <c r="A85" i="75"/>
  <c r="K84" i="75"/>
  <c r="J84" i="75"/>
  <c r="I84" i="75"/>
  <c r="H84" i="75"/>
  <c r="G84" i="75"/>
  <c r="F84" i="75"/>
  <c r="A84" i="75"/>
  <c r="K83" i="75"/>
  <c r="J83" i="75"/>
  <c r="I83" i="75"/>
  <c r="H83" i="75"/>
  <c r="G83" i="75"/>
  <c r="F83" i="75"/>
  <c r="A83" i="75"/>
  <c r="K82" i="75"/>
  <c r="J82" i="75"/>
  <c r="I82" i="75"/>
  <c r="H82" i="75"/>
  <c r="G82" i="75"/>
  <c r="F82" i="75"/>
  <c r="A82" i="75"/>
  <c r="K81" i="75"/>
  <c r="J81" i="75"/>
  <c r="I81" i="75"/>
  <c r="H81" i="75"/>
  <c r="G81" i="75"/>
  <c r="F81" i="75"/>
  <c r="A81" i="75"/>
  <c r="K80" i="75"/>
  <c r="J80" i="75"/>
  <c r="I80" i="75"/>
  <c r="H80" i="75"/>
  <c r="G80" i="75"/>
  <c r="F80" i="75"/>
  <c r="A80" i="75"/>
  <c r="K79" i="75"/>
  <c r="J79" i="75"/>
  <c r="I79" i="75"/>
  <c r="H79" i="75"/>
  <c r="G79" i="75"/>
  <c r="F79" i="75"/>
  <c r="A79" i="75"/>
  <c r="K78" i="75"/>
  <c r="J78" i="75"/>
  <c r="I78" i="75"/>
  <c r="H78" i="75"/>
  <c r="G78" i="75"/>
  <c r="F78" i="75"/>
  <c r="A78" i="75"/>
  <c r="K77" i="75"/>
  <c r="J77" i="75"/>
  <c r="I77" i="75"/>
  <c r="H77" i="75"/>
  <c r="G77" i="75"/>
  <c r="F77" i="75"/>
  <c r="A77" i="75"/>
  <c r="K76" i="75"/>
  <c r="J76" i="75"/>
  <c r="I76" i="75"/>
  <c r="H76" i="75"/>
  <c r="G76" i="75"/>
  <c r="F76" i="75"/>
  <c r="A76" i="75"/>
  <c r="K75" i="75"/>
  <c r="J75" i="75"/>
  <c r="I75" i="75"/>
  <c r="H75" i="75"/>
  <c r="G75" i="75"/>
  <c r="F75" i="75"/>
  <c r="A75" i="75"/>
  <c r="K74" i="75"/>
  <c r="J74" i="75"/>
  <c r="I74" i="75"/>
  <c r="H74" i="75"/>
  <c r="G74" i="75"/>
  <c r="F74" i="75"/>
  <c r="A74" i="75"/>
  <c r="K73" i="75"/>
  <c r="J73" i="75"/>
  <c r="I73" i="75"/>
  <c r="H73" i="75"/>
  <c r="G73" i="75"/>
  <c r="F73" i="75"/>
  <c r="A73" i="75"/>
  <c r="K72" i="75"/>
  <c r="J72" i="75"/>
  <c r="I72" i="75"/>
  <c r="H72" i="75"/>
  <c r="G72" i="75"/>
  <c r="F72" i="75"/>
  <c r="A72" i="75"/>
  <c r="K71" i="75"/>
  <c r="J71" i="75"/>
  <c r="I71" i="75"/>
  <c r="H71" i="75"/>
  <c r="G71" i="75"/>
  <c r="F71" i="75"/>
  <c r="A71" i="75"/>
  <c r="K70" i="75"/>
  <c r="J70" i="75"/>
  <c r="I70" i="75"/>
  <c r="H70" i="75"/>
  <c r="G70" i="75"/>
  <c r="F70" i="75"/>
  <c r="A70" i="75"/>
  <c r="K69" i="75"/>
  <c r="J69" i="75"/>
  <c r="I69" i="75"/>
  <c r="H69" i="75"/>
  <c r="G69" i="75"/>
  <c r="F69" i="75"/>
  <c r="A69" i="75"/>
  <c r="K68" i="75"/>
  <c r="J68" i="75"/>
  <c r="I68" i="75"/>
  <c r="H68" i="75"/>
  <c r="G68" i="75"/>
  <c r="F68" i="75"/>
  <c r="A68" i="75"/>
  <c r="K67" i="75"/>
  <c r="J67" i="75"/>
  <c r="I67" i="75"/>
  <c r="H67" i="75"/>
  <c r="G67" i="75"/>
  <c r="F67" i="75"/>
  <c r="A67" i="75"/>
  <c r="K66" i="75"/>
  <c r="J66" i="75"/>
  <c r="I66" i="75"/>
  <c r="H66" i="75"/>
  <c r="G66" i="75"/>
  <c r="F66" i="75"/>
  <c r="A66" i="75"/>
  <c r="K65" i="75"/>
  <c r="J65" i="75"/>
  <c r="I65" i="75"/>
  <c r="H65" i="75"/>
  <c r="G65" i="75"/>
  <c r="F65" i="75"/>
  <c r="A65" i="75"/>
  <c r="K64" i="75"/>
  <c r="J64" i="75"/>
  <c r="I64" i="75"/>
  <c r="H64" i="75"/>
  <c r="G64" i="75"/>
  <c r="F64" i="75"/>
  <c r="A64" i="75"/>
  <c r="K63" i="75"/>
  <c r="J63" i="75"/>
  <c r="I63" i="75"/>
  <c r="H63" i="75"/>
  <c r="G63" i="75"/>
  <c r="F63" i="75"/>
  <c r="A63" i="75"/>
  <c r="K62" i="75"/>
  <c r="J62" i="75"/>
  <c r="I62" i="75"/>
  <c r="H62" i="75"/>
  <c r="G62" i="75"/>
  <c r="F62" i="75"/>
  <c r="A62" i="75"/>
  <c r="K61" i="75"/>
  <c r="J61" i="75"/>
  <c r="I61" i="75"/>
  <c r="H61" i="75"/>
  <c r="G61" i="75"/>
  <c r="F61" i="75"/>
  <c r="A61" i="75"/>
  <c r="K60" i="75"/>
  <c r="J60" i="75"/>
  <c r="I60" i="75"/>
  <c r="H60" i="75"/>
  <c r="G60" i="75"/>
  <c r="F60" i="75"/>
  <c r="A60" i="75"/>
  <c r="K59" i="75"/>
  <c r="J59" i="75"/>
  <c r="I59" i="75"/>
  <c r="H59" i="75"/>
  <c r="G59" i="75"/>
  <c r="F59" i="75"/>
  <c r="A59" i="75"/>
  <c r="K58" i="75"/>
  <c r="J58" i="75"/>
  <c r="I58" i="75"/>
  <c r="H58" i="75"/>
  <c r="G58" i="75"/>
  <c r="F58" i="75"/>
  <c r="A58" i="75"/>
  <c r="K57" i="75"/>
  <c r="J57" i="75"/>
  <c r="I57" i="75"/>
  <c r="H57" i="75"/>
  <c r="G57" i="75"/>
  <c r="F57" i="75"/>
  <c r="A57" i="75"/>
  <c r="K56" i="75"/>
  <c r="J56" i="75"/>
  <c r="I56" i="75"/>
  <c r="H56" i="75"/>
  <c r="G56" i="75"/>
  <c r="F56" i="75"/>
  <c r="A56" i="75"/>
  <c r="K55" i="75"/>
  <c r="J55" i="75"/>
  <c r="I55" i="75"/>
  <c r="H55" i="75"/>
  <c r="G55" i="75"/>
  <c r="F55" i="75"/>
  <c r="A55" i="75"/>
  <c r="K54" i="75"/>
  <c r="J54" i="75"/>
  <c r="I54" i="75"/>
  <c r="H54" i="75"/>
  <c r="G54" i="75"/>
  <c r="F54" i="75"/>
  <c r="A54" i="75"/>
  <c r="K53" i="75"/>
  <c r="J53" i="75"/>
  <c r="I53" i="75"/>
  <c r="H53" i="75"/>
  <c r="G53" i="75"/>
  <c r="F53" i="75"/>
  <c r="A53" i="75"/>
  <c r="K52" i="75"/>
  <c r="J52" i="75"/>
  <c r="I52" i="75"/>
  <c r="H52" i="75"/>
  <c r="G52" i="75"/>
  <c r="F52" i="75"/>
  <c r="A52" i="75"/>
  <c r="K51" i="75"/>
  <c r="J51" i="75"/>
  <c r="I51" i="75"/>
  <c r="H51" i="75"/>
  <c r="G51" i="75"/>
  <c r="F51" i="75"/>
  <c r="A51" i="75"/>
  <c r="K50" i="75"/>
  <c r="J50" i="75"/>
  <c r="I50" i="75"/>
  <c r="H50" i="75"/>
  <c r="G50" i="75"/>
  <c r="F50" i="75"/>
  <c r="A50" i="75"/>
  <c r="K49" i="75"/>
  <c r="J49" i="75"/>
  <c r="I49" i="75"/>
  <c r="H49" i="75"/>
  <c r="G49" i="75"/>
  <c r="F49" i="75"/>
  <c r="A49" i="75"/>
  <c r="K48" i="75"/>
  <c r="J48" i="75"/>
  <c r="I48" i="75"/>
  <c r="H48" i="75"/>
  <c r="G48" i="75"/>
  <c r="F48" i="75"/>
  <c r="A48" i="75"/>
  <c r="K47" i="75"/>
  <c r="J47" i="75"/>
  <c r="I47" i="75"/>
  <c r="H47" i="75"/>
  <c r="G47" i="75"/>
  <c r="F47" i="75"/>
  <c r="A47" i="75"/>
  <c r="K46" i="75"/>
  <c r="J46" i="75"/>
  <c r="I46" i="75"/>
  <c r="H46" i="75"/>
  <c r="G46" i="75"/>
  <c r="F46" i="75"/>
  <c r="A46" i="75"/>
  <c r="K45" i="75"/>
  <c r="J45" i="75"/>
  <c r="I45" i="75"/>
  <c r="H45" i="75"/>
  <c r="G45" i="75"/>
  <c r="F45" i="75"/>
  <c r="A45" i="75"/>
  <c r="K44" i="75"/>
  <c r="J44" i="75"/>
  <c r="I44" i="75"/>
  <c r="H44" i="75"/>
  <c r="G44" i="75"/>
  <c r="F44" i="75"/>
  <c r="A44" i="75"/>
  <c r="K43" i="75"/>
  <c r="J43" i="75"/>
  <c r="I43" i="75"/>
  <c r="H43" i="75"/>
  <c r="G43" i="75"/>
  <c r="F43" i="75"/>
  <c r="A43" i="75"/>
  <c r="K42" i="75"/>
  <c r="J42" i="75"/>
  <c r="I42" i="75"/>
  <c r="H42" i="75"/>
  <c r="G42" i="75"/>
  <c r="F42" i="75"/>
  <c r="A42" i="75"/>
  <c r="K41" i="75"/>
  <c r="J41" i="75"/>
  <c r="I41" i="75"/>
  <c r="H41" i="75"/>
  <c r="G41" i="75"/>
  <c r="F41" i="75"/>
  <c r="A41" i="75"/>
  <c r="K40" i="75"/>
  <c r="J40" i="75"/>
  <c r="I40" i="75"/>
  <c r="H40" i="75"/>
  <c r="G40" i="75"/>
  <c r="F40" i="75"/>
  <c r="A40" i="75"/>
  <c r="K39" i="75"/>
  <c r="J39" i="75"/>
  <c r="I39" i="75"/>
  <c r="H39" i="75"/>
  <c r="G39" i="75"/>
  <c r="F39" i="75"/>
  <c r="A39" i="75"/>
  <c r="K38" i="75"/>
  <c r="J38" i="75"/>
  <c r="I38" i="75"/>
  <c r="H38" i="75"/>
  <c r="G38" i="75"/>
  <c r="F38" i="75"/>
  <c r="A38" i="75"/>
  <c r="K37" i="75"/>
  <c r="J37" i="75"/>
  <c r="I37" i="75"/>
  <c r="H37" i="75"/>
  <c r="G37" i="75"/>
  <c r="F37" i="75"/>
  <c r="A37" i="75"/>
  <c r="K36" i="75"/>
  <c r="J36" i="75"/>
  <c r="I36" i="75"/>
  <c r="H36" i="75"/>
  <c r="G36" i="75"/>
  <c r="F36" i="75"/>
  <c r="A36" i="75"/>
  <c r="K35" i="75"/>
  <c r="J35" i="75"/>
  <c r="I35" i="75"/>
  <c r="H35" i="75"/>
  <c r="G35" i="75"/>
  <c r="F35" i="75"/>
  <c r="A35" i="75"/>
  <c r="K34" i="75"/>
  <c r="J34" i="75"/>
  <c r="I34" i="75"/>
  <c r="H34" i="75"/>
  <c r="G34" i="75"/>
  <c r="F34" i="75"/>
  <c r="A34" i="75"/>
  <c r="K33" i="75"/>
  <c r="J33" i="75"/>
  <c r="I33" i="75"/>
  <c r="H33" i="75"/>
  <c r="G33" i="75"/>
  <c r="F33" i="75"/>
  <c r="A33" i="75"/>
  <c r="K32" i="75"/>
  <c r="J32" i="75"/>
  <c r="I32" i="75"/>
  <c r="H32" i="75"/>
  <c r="G32" i="75"/>
  <c r="F32" i="75"/>
  <c r="A32" i="75"/>
  <c r="K31" i="75"/>
  <c r="J31" i="75"/>
  <c r="I31" i="75"/>
  <c r="H31" i="75"/>
  <c r="G31" i="75"/>
  <c r="F31" i="75"/>
  <c r="A31" i="75"/>
  <c r="K30" i="75"/>
  <c r="J30" i="75"/>
  <c r="I30" i="75"/>
  <c r="H30" i="75"/>
  <c r="G30" i="75"/>
  <c r="F30" i="75"/>
  <c r="A30" i="75"/>
  <c r="K29" i="75"/>
  <c r="J29" i="75"/>
  <c r="I29" i="75"/>
  <c r="H29" i="75"/>
  <c r="G29" i="75"/>
  <c r="F29" i="75"/>
  <c r="A29" i="75"/>
  <c r="K28" i="75"/>
  <c r="J28" i="75"/>
  <c r="I28" i="75"/>
  <c r="H28" i="75"/>
  <c r="G28" i="75"/>
  <c r="F28" i="75"/>
  <c r="A28" i="75"/>
  <c r="K27" i="75"/>
  <c r="J27" i="75"/>
  <c r="I27" i="75"/>
  <c r="H27" i="75"/>
  <c r="G27" i="75"/>
  <c r="F27" i="75"/>
  <c r="A27" i="75"/>
  <c r="K26" i="75"/>
  <c r="J26" i="75"/>
  <c r="I26" i="75"/>
  <c r="H26" i="75"/>
  <c r="G26" i="75"/>
  <c r="F26" i="75"/>
  <c r="A26" i="75"/>
  <c r="K25" i="75"/>
  <c r="J25" i="75"/>
  <c r="I25" i="75"/>
  <c r="H25" i="75"/>
  <c r="G25" i="75"/>
  <c r="F25" i="75"/>
  <c r="A25" i="75"/>
  <c r="K24" i="75"/>
  <c r="J24" i="75"/>
  <c r="I24" i="75"/>
  <c r="H24" i="75"/>
  <c r="G24" i="75"/>
  <c r="F24" i="75"/>
  <c r="A24" i="75"/>
  <c r="K23" i="75"/>
  <c r="J23" i="75"/>
  <c r="I23" i="75"/>
  <c r="H23" i="75"/>
  <c r="G23" i="75"/>
  <c r="F23" i="75"/>
  <c r="A23" i="75"/>
  <c r="K22" i="75"/>
  <c r="J22" i="75"/>
  <c r="I22" i="75"/>
  <c r="H22" i="75"/>
  <c r="G22" i="75"/>
  <c r="F22" i="75"/>
  <c r="A22" i="75"/>
  <c r="K21" i="75"/>
  <c r="J21" i="75"/>
  <c r="I21" i="75"/>
  <c r="H21" i="75"/>
  <c r="G21" i="75"/>
  <c r="F21" i="75"/>
  <c r="A21" i="75"/>
  <c r="K20" i="75"/>
  <c r="J20" i="75"/>
  <c r="I20" i="75"/>
  <c r="H20" i="75"/>
  <c r="G20" i="75"/>
  <c r="F20" i="75"/>
  <c r="A20" i="75"/>
  <c r="K19" i="75"/>
  <c r="J19" i="75"/>
  <c r="I19" i="75"/>
  <c r="H19" i="75"/>
  <c r="G19" i="75"/>
  <c r="F19" i="75"/>
  <c r="A19" i="75"/>
  <c r="K18" i="75"/>
  <c r="J18" i="75"/>
  <c r="I18" i="75"/>
  <c r="H18" i="75"/>
  <c r="G18" i="75"/>
  <c r="F18" i="75"/>
  <c r="A18" i="75"/>
  <c r="K17" i="75"/>
  <c r="J17" i="75"/>
  <c r="I17" i="75"/>
  <c r="H17" i="75"/>
  <c r="G17" i="75"/>
  <c r="F17" i="75"/>
  <c r="A17" i="75"/>
  <c r="K16" i="75"/>
  <c r="J16" i="75"/>
  <c r="I16" i="75"/>
  <c r="H16" i="75"/>
  <c r="G16" i="75"/>
  <c r="F16" i="75"/>
  <c r="A16" i="75"/>
  <c r="K15" i="75"/>
  <c r="J15" i="75"/>
  <c r="I15" i="75"/>
  <c r="H15" i="75"/>
  <c r="G15" i="75"/>
  <c r="F15" i="75"/>
  <c r="A15" i="75"/>
  <c r="K14" i="75"/>
  <c r="J14" i="75"/>
  <c r="I14" i="75"/>
  <c r="H14" i="75"/>
  <c r="G14" i="75"/>
  <c r="F14" i="75"/>
  <c r="A14" i="75"/>
  <c r="K13" i="75"/>
  <c r="J13" i="75"/>
  <c r="I13" i="75"/>
  <c r="H13" i="75"/>
  <c r="G13" i="75"/>
  <c r="F13" i="75"/>
  <c r="A13" i="75"/>
  <c r="K12" i="75"/>
  <c r="J12" i="75"/>
  <c r="I12" i="75"/>
  <c r="H12" i="75"/>
  <c r="G12" i="75"/>
  <c r="F12" i="75"/>
  <c r="A12" i="75"/>
  <c r="K11" i="75"/>
  <c r="J11" i="75"/>
  <c r="I11" i="75"/>
  <c r="H11" i="75"/>
  <c r="G11" i="75"/>
  <c r="F11" i="75"/>
  <c r="A11" i="75"/>
  <c r="K10" i="75"/>
  <c r="J10" i="75"/>
  <c r="I10" i="75"/>
  <c r="H10" i="75"/>
  <c r="G10" i="75"/>
  <c r="F10" i="75"/>
  <c r="A10" i="75"/>
  <c r="K9" i="75"/>
  <c r="J9" i="75"/>
  <c r="I9" i="75"/>
  <c r="H9" i="75"/>
  <c r="G9" i="75"/>
  <c r="F9" i="75"/>
  <c r="A9" i="75"/>
  <c r="K8" i="75"/>
  <c r="J8" i="75"/>
  <c r="I8" i="75"/>
  <c r="H8" i="75"/>
  <c r="G8" i="75"/>
  <c r="F8" i="75"/>
  <c r="A8" i="75"/>
  <c r="K7" i="75"/>
  <c r="J7" i="75"/>
  <c r="I7" i="75"/>
  <c r="H7" i="75"/>
  <c r="G7" i="75"/>
  <c r="F7" i="75"/>
  <c r="A7" i="75"/>
  <c r="K6" i="75"/>
  <c r="J6" i="75"/>
  <c r="I6" i="75"/>
  <c r="H6" i="75"/>
  <c r="G6" i="75"/>
  <c r="F6" i="75"/>
  <c r="A6" i="75"/>
  <c r="K5" i="75"/>
  <c r="J5" i="75"/>
  <c r="I5" i="75"/>
  <c r="H5" i="75"/>
  <c r="G5" i="75"/>
  <c r="F5" i="75"/>
  <c r="A5" i="75"/>
  <c r="K4" i="75"/>
  <c r="J4" i="75"/>
  <c r="I4" i="75"/>
  <c r="H4" i="75"/>
  <c r="G4" i="75"/>
  <c r="F4" i="75"/>
  <c r="A4" i="75"/>
  <c r="K3" i="75"/>
  <c r="J3" i="75"/>
  <c r="I3" i="75"/>
  <c r="H3" i="75"/>
  <c r="G3" i="75"/>
  <c r="F3" i="75"/>
  <c r="A3" i="75"/>
  <c r="K2" i="75"/>
  <c r="J2" i="75"/>
  <c r="I2" i="75"/>
  <c r="H2" i="75"/>
  <c r="G2" i="75"/>
  <c r="F2" i="75"/>
  <c r="A2" i="75"/>
  <c r="K61" i="73"/>
  <c r="J61" i="73"/>
  <c r="I61" i="73"/>
  <c r="H61" i="73"/>
  <c r="G61" i="73"/>
  <c r="F61" i="73"/>
  <c r="A61" i="73"/>
  <c r="C1" i="63"/>
  <c r="A1" i="63"/>
  <c r="A238" i="63"/>
  <c r="B1" i="63"/>
  <c r="K238" i="63"/>
  <c r="J238" i="63"/>
  <c r="I238" i="63"/>
  <c r="H238" i="63"/>
  <c r="G238" i="63"/>
  <c r="F238" i="63"/>
  <c r="E238" i="63"/>
  <c r="D238" i="63"/>
  <c r="C238" i="63"/>
  <c r="B238" i="63"/>
  <c r="A237" i="63"/>
  <c r="K237" i="63"/>
  <c r="J237" i="63"/>
  <c r="I237" i="63"/>
  <c r="H237" i="63"/>
  <c r="G237" i="63"/>
  <c r="F237" i="63"/>
  <c r="E237" i="63"/>
  <c r="D237" i="63"/>
  <c r="C237" i="63"/>
  <c r="B237" i="63"/>
  <c r="A236" i="63"/>
  <c r="K236" i="63"/>
  <c r="J236" i="63"/>
  <c r="I236" i="63"/>
  <c r="H236" i="63"/>
  <c r="G236" i="63"/>
  <c r="F236" i="63"/>
  <c r="E236" i="63"/>
  <c r="D236" i="63"/>
  <c r="C236" i="63"/>
  <c r="B236" i="63"/>
  <c r="A235" i="63"/>
  <c r="K235" i="63"/>
  <c r="J235" i="63"/>
  <c r="I235" i="63"/>
  <c r="H235" i="63"/>
  <c r="G235" i="63"/>
  <c r="F235" i="63"/>
  <c r="E235" i="63"/>
  <c r="D235" i="63"/>
  <c r="C235" i="63"/>
  <c r="B235" i="63"/>
  <c r="A234" i="63"/>
  <c r="K234" i="63"/>
  <c r="J234" i="63"/>
  <c r="I234" i="63"/>
  <c r="H234" i="63"/>
  <c r="G234" i="63"/>
  <c r="F234" i="63"/>
  <c r="E234" i="63"/>
  <c r="D234" i="63"/>
  <c r="C234" i="63"/>
  <c r="B234" i="63"/>
  <c r="A233" i="63"/>
  <c r="K233" i="63"/>
  <c r="J233" i="63"/>
  <c r="I233" i="63"/>
  <c r="H233" i="63"/>
  <c r="G233" i="63"/>
  <c r="F233" i="63"/>
  <c r="E233" i="63"/>
  <c r="D233" i="63"/>
  <c r="C233" i="63"/>
  <c r="B233" i="63"/>
  <c r="A232" i="63"/>
  <c r="K232" i="63"/>
  <c r="J232" i="63"/>
  <c r="I232" i="63"/>
  <c r="H232" i="63"/>
  <c r="G232" i="63"/>
  <c r="F232" i="63"/>
  <c r="E232" i="63"/>
  <c r="D232" i="63"/>
  <c r="C232" i="63"/>
  <c r="B232" i="63"/>
  <c r="A231" i="63"/>
  <c r="K231" i="63"/>
  <c r="J231" i="63"/>
  <c r="I231" i="63"/>
  <c r="H231" i="63"/>
  <c r="G231" i="63"/>
  <c r="F231" i="63"/>
  <c r="E231" i="63"/>
  <c r="D231" i="63"/>
  <c r="C231" i="63"/>
  <c r="B231" i="63"/>
  <c r="A230" i="63"/>
  <c r="K230" i="63"/>
  <c r="J230" i="63"/>
  <c r="I230" i="63"/>
  <c r="H230" i="63"/>
  <c r="G230" i="63"/>
  <c r="F230" i="63"/>
  <c r="E230" i="63"/>
  <c r="D230" i="63"/>
  <c r="C230" i="63"/>
  <c r="B230" i="63"/>
  <c r="A229" i="63"/>
  <c r="K229" i="63"/>
  <c r="J229" i="63"/>
  <c r="I229" i="63"/>
  <c r="H229" i="63"/>
  <c r="G229" i="63"/>
  <c r="F229" i="63"/>
  <c r="E229" i="63"/>
  <c r="D229" i="63"/>
  <c r="C229" i="63"/>
  <c r="B229" i="63"/>
  <c r="A228" i="63"/>
  <c r="K228" i="63"/>
  <c r="J228" i="63"/>
  <c r="I228" i="63"/>
  <c r="H228" i="63"/>
  <c r="G228" i="63"/>
  <c r="F228" i="63"/>
  <c r="E228" i="63"/>
  <c r="D228" i="63"/>
  <c r="C228" i="63"/>
  <c r="B228" i="63"/>
  <c r="A227" i="63"/>
  <c r="K227" i="63"/>
  <c r="J227" i="63"/>
  <c r="I227" i="63"/>
  <c r="H227" i="63"/>
  <c r="G227" i="63"/>
  <c r="F227" i="63"/>
  <c r="E227" i="63"/>
  <c r="D227" i="63"/>
  <c r="C227" i="63"/>
  <c r="B227" i="63"/>
  <c r="A226" i="63"/>
  <c r="K226" i="63"/>
  <c r="J226" i="63"/>
  <c r="I226" i="63"/>
  <c r="H226" i="63"/>
  <c r="G226" i="63"/>
  <c r="F226" i="63"/>
  <c r="E226" i="63"/>
  <c r="D226" i="63"/>
  <c r="C226" i="63"/>
  <c r="B226" i="63"/>
  <c r="A225" i="63"/>
  <c r="K225" i="63"/>
  <c r="J225" i="63"/>
  <c r="I225" i="63"/>
  <c r="H225" i="63"/>
  <c r="G225" i="63"/>
  <c r="F225" i="63"/>
  <c r="E225" i="63"/>
  <c r="D225" i="63"/>
  <c r="C225" i="63"/>
  <c r="B225" i="63"/>
  <c r="A224" i="63"/>
  <c r="K224" i="63"/>
  <c r="J224" i="63"/>
  <c r="I224" i="63"/>
  <c r="H224" i="63"/>
  <c r="G224" i="63"/>
  <c r="F224" i="63"/>
  <c r="E224" i="63"/>
  <c r="D224" i="63"/>
  <c r="C224" i="63"/>
  <c r="B224" i="63"/>
  <c r="A223" i="63"/>
  <c r="K223" i="63"/>
  <c r="J223" i="63"/>
  <c r="I223" i="63"/>
  <c r="H223" i="63"/>
  <c r="G223" i="63"/>
  <c r="F223" i="63"/>
  <c r="E223" i="63"/>
  <c r="D223" i="63"/>
  <c r="C223" i="63"/>
  <c r="B223" i="63"/>
  <c r="A222" i="63"/>
  <c r="K222" i="63"/>
  <c r="J222" i="63"/>
  <c r="I222" i="63"/>
  <c r="H222" i="63"/>
  <c r="G222" i="63"/>
  <c r="F222" i="63"/>
  <c r="E222" i="63"/>
  <c r="D222" i="63"/>
  <c r="C222" i="63"/>
  <c r="B222" i="63"/>
  <c r="A221" i="63"/>
  <c r="K221" i="63"/>
  <c r="J221" i="63"/>
  <c r="I221" i="63"/>
  <c r="H221" i="63"/>
  <c r="G221" i="63"/>
  <c r="F221" i="63"/>
  <c r="E221" i="63"/>
  <c r="D221" i="63"/>
  <c r="C221" i="63"/>
  <c r="B221" i="63"/>
  <c r="A220" i="63"/>
  <c r="K220" i="63"/>
  <c r="J220" i="63"/>
  <c r="I220" i="63"/>
  <c r="H220" i="63"/>
  <c r="G220" i="63"/>
  <c r="F220" i="63"/>
  <c r="E220" i="63"/>
  <c r="D220" i="63"/>
  <c r="C220" i="63"/>
  <c r="B220" i="63"/>
  <c r="A219" i="63"/>
  <c r="K219" i="63"/>
  <c r="J219" i="63"/>
  <c r="I219" i="63"/>
  <c r="H219" i="63"/>
  <c r="G219" i="63"/>
  <c r="F219" i="63"/>
  <c r="E219" i="63"/>
  <c r="D219" i="63"/>
  <c r="C219" i="63"/>
  <c r="B219" i="63"/>
  <c r="A218" i="63"/>
  <c r="K218" i="63"/>
  <c r="J218" i="63"/>
  <c r="I218" i="63"/>
  <c r="H218" i="63"/>
  <c r="G218" i="63"/>
  <c r="F218" i="63"/>
  <c r="E218" i="63"/>
  <c r="D218" i="63"/>
  <c r="C218" i="63"/>
  <c r="B218" i="63"/>
  <c r="A217" i="63"/>
  <c r="K217" i="63"/>
  <c r="J217" i="63"/>
  <c r="I217" i="63"/>
  <c r="H217" i="63"/>
  <c r="G217" i="63"/>
  <c r="F217" i="63"/>
  <c r="E217" i="63"/>
  <c r="D217" i="63"/>
  <c r="C217" i="63"/>
  <c r="B217" i="63"/>
  <c r="A216" i="63"/>
  <c r="K216" i="63"/>
  <c r="J216" i="63"/>
  <c r="I216" i="63"/>
  <c r="H216" i="63"/>
  <c r="G216" i="63"/>
  <c r="F216" i="63"/>
  <c r="E216" i="63"/>
  <c r="D216" i="63"/>
  <c r="C216" i="63"/>
  <c r="B216" i="63"/>
  <c r="A215" i="63"/>
  <c r="K215" i="63"/>
  <c r="J215" i="63"/>
  <c r="I215" i="63"/>
  <c r="H215" i="63"/>
  <c r="G215" i="63"/>
  <c r="F215" i="63"/>
  <c r="E215" i="63"/>
  <c r="D215" i="63"/>
  <c r="C215" i="63"/>
  <c r="B215" i="63"/>
  <c r="A214" i="63"/>
  <c r="K214" i="63"/>
  <c r="J214" i="63"/>
  <c r="I214" i="63"/>
  <c r="H214" i="63"/>
  <c r="G214" i="63"/>
  <c r="F214" i="63"/>
  <c r="E214" i="63"/>
  <c r="D214" i="63"/>
  <c r="C214" i="63"/>
  <c r="B214" i="63"/>
  <c r="A213" i="63"/>
  <c r="K213" i="63"/>
  <c r="J213" i="63"/>
  <c r="I213" i="63"/>
  <c r="H213" i="63"/>
  <c r="G213" i="63"/>
  <c r="F213" i="63"/>
  <c r="E213" i="63"/>
  <c r="D213" i="63"/>
  <c r="C213" i="63"/>
  <c r="B213" i="63"/>
  <c r="A212" i="63"/>
  <c r="K212" i="63"/>
  <c r="J212" i="63"/>
  <c r="I212" i="63"/>
  <c r="H212" i="63"/>
  <c r="G212" i="63"/>
  <c r="F212" i="63"/>
  <c r="E212" i="63"/>
  <c r="D212" i="63"/>
  <c r="C212" i="63"/>
  <c r="B212" i="63"/>
  <c r="A211" i="63"/>
  <c r="K211" i="63"/>
  <c r="J211" i="63"/>
  <c r="I211" i="63"/>
  <c r="H211" i="63"/>
  <c r="G211" i="63"/>
  <c r="F211" i="63"/>
  <c r="E211" i="63"/>
  <c r="D211" i="63"/>
  <c r="C211" i="63"/>
  <c r="B211" i="63"/>
  <c r="A210" i="63"/>
  <c r="K210" i="63"/>
  <c r="J210" i="63"/>
  <c r="I210" i="63"/>
  <c r="H210" i="63"/>
  <c r="G210" i="63"/>
  <c r="F210" i="63"/>
  <c r="E210" i="63"/>
  <c r="D210" i="63"/>
  <c r="C210" i="63"/>
  <c r="B210" i="63"/>
  <c r="A209" i="63"/>
  <c r="K209" i="63"/>
  <c r="J209" i="63"/>
  <c r="I209" i="63"/>
  <c r="H209" i="63"/>
  <c r="G209" i="63"/>
  <c r="F209" i="63"/>
  <c r="E209" i="63"/>
  <c r="D209" i="63"/>
  <c r="C209" i="63"/>
  <c r="B209" i="63"/>
  <c r="A208" i="63"/>
  <c r="K208" i="63"/>
  <c r="J208" i="63"/>
  <c r="I208" i="63"/>
  <c r="H208" i="63"/>
  <c r="G208" i="63"/>
  <c r="F208" i="63"/>
  <c r="E208" i="63"/>
  <c r="D208" i="63"/>
  <c r="C208" i="63"/>
  <c r="B208" i="63"/>
  <c r="A207" i="63"/>
  <c r="K207" i="63"/>
  <c r="J207" i="63"/>
  <c r="I207" i="63"/>
  <c r="H207" i="63"/>
  <c r="G207" i="63"/>
  <c r="F207" i="63"/>
  <c r="E207" i="63"/>
  <c r="D207" i="63"/>
  <c r="C207" i="63"/>
  <c r="B207" i="63"/>
  <c r="A206" i="63"/>
  <c r="K206" i="63"/>
  <c r="J206" i="63"/>
  <c r="I206" i="63"/>
  <c r="H206" i="63"/>
  <c r="G206" i="63"/>
  <c r="F206" i="63"/>
  <c r="E206" i="63"/>
  <c r="D206" i="63"/>
  <c r="C206" i="63"/>
  <c r="B206" i="63"/>
  <c r="A205" i="63"/>
  <c r="K205" i="63"/>
  <c r="J205" i="63"/>
  <c r="I205" i="63"/>
  <c r="H205" i="63"/>
  <c r="G205" i="63"/>
  <c r="F205" i="63"/>
  <c r="E205" i="63"/>
  <c r="D205" i="63"/>
  <c r="C205" i="63"/>
  <c r="B205" i="63"/>
  <c r="A204" i="63"/>
  <c r="K204" i="63"/>
  <c r="J204" i="63"/>
  <c r="I204" i="63"/>
  <c r="H204" i="63"/>
  <c r="G204" i="63"/>
  <c r="F204" i="63"/>
  <c r="E204" i="63"/>
  <c r="D204" i="63"/>
  <c r="C204" i="63"/>
  <c r="B204" i="63"/>
  <c r="A203" i="63"/>
  <c r="K203" i="63"/>
  <c r="J203" i="63"/>
  <c r="I203" i="63"/>
  <c r="H203" i="63"/>
  <c r="G203" i="63"/>
  <c r="F203" i="63"/>
  <c r="E203" i="63"/>
  <c r="D203" i="63"/>
  <c r="C203" i="63"/>
  <c r="B203" i="63"/>
  <c r="A202" i="63"/>
  <c r="K202" i="63"/>
  <c r="J202" i="63"/>
  <c r="I202" i="63"/>
  <c r="H202" i="63"/>
  <c r="G202" i="63"/>
  <c r="F202" i="63"/>
  <c r="E202" i="63"/>
  <c r="D202" i="63"/>
  <c r="C202" i="63"/>
  <c r="B202" i="63"/>
  <c r="A201" i="63"/>
  <c r="K201" i="63"/>
  <c r="J201" i="63"/>
  <c r="I201" i="63"/>
  <c r="H201" i="63"/>
  <c r="G201" i="63"/>
  <c r="F201" i="63"/>
  <c r="E201" i="63"/>
  <c r="D201" i="63"/>
  <c r="C201" i="63"/>
  <c r="B201" i="63"/>
  <c r="A200" i="63"/>
  <c r="K200" i="63"/>
  <c r="J200" i="63"/>
  <c r="I200" i="63"/>
  <c r="H200" i="63"/>
  <c r="G200" i="63"/>
  <c r="F200" i="63"/>
  <c r="E200" i="63"/>
  <c r="D200" i="63"/>
  <c r="C200" i="63"/>
  <c r="B200" i="63"/>
  <c r="A199" i="63"/>
  <c r="K199" i="63"/>
  <c r="J199" i="63"/>
  <c r="I199" i="63"/>
  <c r="H199" i="63"/>
  <c r="G199" i="63"/>
  <c r="F199" i="63"/>
  <c r="E199" i="63"/>
  <c r="D199" i="63"/>
  <c r="C199" i="63"/>
  <c r="B199" i="63"/>
  <c r="A198" i="63"/>
  <c r="K198" i="63"/>
  <c r="J198" i="63"/>
  <c r="I198" i="63"/>
  <c r="H198" i="63"/>
  <c r="G198" i="63"/>
  <c r="F198" i="63"/>
  <c r="E198" i="63"/>
  <c r="D198" i="63"/>
  <c r="C198" i="63"/>
  <c r="B198" i="63"/>
  <c r="A197" i="63"/>
  <c r="K197" i="63"/>
  <c r="J197" i="63"/>
  <c r="I197" i="63"/>
  <c r="H197" i="63"/>
  <c r="G197" i="63"/>
  <c r="F197" i="63"/>
  <c r="E197" i="63"/>
  <c r="D197" i="63"/>
  <c r="C197" i="63"/>
  <c r="B197" i="63"/>
  <c r="A196" i="63"/>
  <c r="K196" i="63"/>
  <c r="J196" i="63"/>
  <c r="I196" i="63"/>
  <c r="H196" i="63"/>
  <c r="G196" i="63"/>
  <c r="F196" i="63"/>
  <c r="E196" i="63"/>
  <c r="D196" i="63"/>
  <c r="C196" i="63"/>
  <c r="B196" i="63"/>
  <c r="A195" i="63"/>
  <c r="K195" i="63"/>
  <c r="J195" i="63"/>
  <c r="I195" i="63"/>
  <c r="H195" i="63"/>
  <c r="G195" i="63"/>
  <c r="F195" i="63"/>
  <c r="E195" i="63"/>
  <c r="D195" i="63"/>
  <c r="C195" i="63"/>
  <c r="B195" i="63"/>
  <c r="A194" i="63"/>
  <c r="K194" i="63"/>
  <c r="J194" i="63"/>
  <c r="I194" i="63"/>
  <c r="H194" i="63"/>
  <c r="G194" i="63"/>
  <c r="F194" i="63"/>
  <c r="E194" i="63"/>
  <c r="D194" i="63"/>
  <c r="C194" i="63"/>
  <c r="B194" i="63"/>
  <c r="A193" i="63"/>
  <c r="K193" i="63"/>
  <c r="J193" i="63"/>
  <c r="I193" i="63"/>
  <c r="H193" i="63"/>
  <c r="G193" i="63"/>
  <c r="F193" i="63"/>
  <c r="E193" i="63"/>
  <c r="D193" i="63"/>
  <c r="C193" i="63"/>
  <c r="B193" i="63"/>
  <c r="A192" i="63"/>
  <c r="K192" i="63"/>
  <c r="J192" i="63"/>
  <c r="I192" i="63"/>
  <c r="H192" i="63"/>
  <c r="G192" i="63"/>
  <c r="F192" i="63"/>
  <c r="E192" i="63"/>
  <c r="D192" i="63"/>
  <c r="C192" i="63"/>
  <c r="B192" i="63"/>
  <c r="A191" i="63"/>
  <c r="K191" i="63"/>
  <c r="J191" i="63"/>
  <c r="I191" i="63"/>
  <c r="H191" i="63"/>
  <c r="G191" i="63"/>
  <c r="F191" i="63"/>
  <c r="E191" i="63"/>
  <c r="D191" i="63"/>
  <c r="C191" i="63"/>
  <c r="B191" i="63"/>
  <c r="A190" i="63"/>
  <c r="K190" i="63"/>
  <c r="J190" i="63"/>
  <c r="I190" i="63"/>
  <c r="H190" i="63"/>
  <c r="G190" i="63"/>
  <c r="F190" i="63"/>
  <c r="E190" i="63"/>
  <c r="D190" i="63"/>
  <c r="C190" i="63"/>
  <c r="B190" i="63"/>
  <c r="A189" i="63"/>
  <c r="K189" i="63"/>
  <c r="J189" i="63"/>
  <c r="I189" i="63"/>
  <c r="H189" i="63"/>
  <c r="G189" i="63"/>
  <c r="F189" i="63"/>
  <c r="E189" i="63"/>
  <c r="D189" i="63"/>
  <c r="C189" i="63"/>
  <c r="B189" i="63"/>
  <c r="A188" i="63"/>
  <c r="K188" i="63"/>
  <c r="J188" i="63"/>
  <c r="I188" i="63"/>
  <c r="H188" i="63"/>
  <c r="G188" i="63"/>
  <c r="F188" i="63"/>
  <c r="E188" i="63"/>
  <c r="D188" i="63"/>
  <c r="C188" i="63"/>
  <c r="B188" i="63"/>
  <c r="A187" i="63"/>
  <c r="K187" i="63"/>
  <c r="J187" i="63"/>
  <c r="I187" i="63"/>
  <c r="H187" i="63"/>
  <c r="G187" i="63"/>
  <c r="F187" i="63"/>
  <c r="E187" i="63"/>
  <c r="D187" i="63"/>
  <c r="C187" i="63"/>
  <c r="B187" i="63"/>
  <c r="A186" i="63"/>
  <c r="K186" i="63"/>
  <c r="J186" i="63"/>
  <c r="I186" i="63"/>
  <c r="H186" i="63"/>
  <c r="G186" i="63"/>
  <c r="F186" i="63"/>
  <c r="E186" i="63"/>
  <c r="D186" i="63"/>
  <c r="C186" i="63"/>
  <c r="B186" i="63"/>
  <c r="A185" i="63"/>
  <c r="K185" i="63"/>
  <c r="J185" i="63"/>
  <c r="I185" i="63"/>
  <c r="H185" i="63"/>
  <c r="G185" i="63"/>
  <c r="F185" i="63"/>
  <c r="E185" i="63"/>
  <c r="D185" i="63"/>
  <c r="C185" i="63"/>
  <c r="B185" i="63"/>
  <c r="A184" i="63"/>
  <c r="K184" i="63"/>
  <c r="J184" i="63"/>
  <c r="I184" i="63"/>
  <c r="H184" i="63"/>
  <c r="G184" i="63"/>
  <c r="F184" i="63"/>
  <c r="E184" i="63"/>
  <c r="D184" i="63"/>
  <c r="C184" i="63"/>
  <c r="B184" i="63"/>
  <c r="A183" i="63"/>
  <c r="K183" i="63"/>
  <c r="J183" i="63"/>
  <c r="I183" i="63"/>
  <c r="H183" i="63"/>
  <c r="G183" i="63"/>
  <c r="F183" i="63"/>
  <c r="E183" i="63"/>
  <c r="D183" i="63"/>
  <c r="C183" i="63"/>
  <c r="B183" i="63"/>
  <c r="A182" i="63"/>
  <c r="K182" i="63"/>
  <c r="J182" i="63"/>
  <c r="I182" i="63"/>
  <c r="H182" i="63"/>
  <c r="G182" i="63"/>
  <c r="F182" i="63"/>
  <c r="E182" i="63"/>
  <c r="D182" i="63"/>
  <c r="C182" i="63"/>
  <c r="B182" i="63"/>
  <c r="A181" i="63"/>
  <c r="K181" i="63"/>
  <c r="J181" i="63"/>
  <c r="I181" i="63"/>
  <c r="H181" i="63"/>
  <c r="G181" i="63"/>
  <c r="F181" i="63"/>
  <c r="E181" i="63"/>
  <c r="D181" i="63"/>
  <c r="C181" i="63"/>
  <c r="B181" i="63"/>
  <c r="A180" i="63"/>
  <c r="K180" i="63"/>
  <c r="J180" i="63"/>
  <c r="I180" i="63"/>
  <c r="H180" i="63"/>
  <c r="G180" i="63"/>
  <c r="F180" i="63"/>
  <c r="E180" i="63"/>
  <c r="D180" i="63"/>
  <c r="C180" i="63"/>
  <c r="B180" i="63"/>
  <c r="A179" i="63"/>
  <c r="K179" i="63"/>
  <c r="J179" i="63"/>
  <c r="I179" i="63"/>
  <c r="H179" i="63"/>
  <c r="G179" i="63"/>
  <c r="F179" i="63"/>
  <c r="E179" i="63"/>
  <c r="D179" i="63"/>
  <c r="C179" i="63"/>
  <c r="B179" i="63"/>
  <c r="A178" i="63"/>
  <c r="K178" i="63"/>
  <c r="J178" i="63"/>
  <c r="I178" i="63"/>
  <c r="H178" i="63"/>
  <c r="G178" i="63"/>
  <c r="F178" i="63"/>
  <c r="E178" i="63"/>
  <c r="D178" i="63"/>
  <c r="C178" i="63"/>
  <c r="B178" i="63"/>
  <c r="A177" i="63"/>
  <c r="K177" i="63"/>
  <c r="J177" i="63"/>
  <c r="I177" i="63"/>
  <c r="H177" i="63"/>
  <c r="G177" i="63"/>
  <c r="F177" i="63"/>
  <c r="E177" i="63"/>
  <c r="D177" i="63"/>
  <c r="C177" i="63"/>
  <c r="B177" i="63"/>
  <c r="A176" i="63"/>
  <c r="K176" i="63"/>
  <c r="J176" i="63"/>
  <c r="I176" i="63"/>
  <c r="H176" i="63"/>
  <c r="G176" i="63"/>
  <c r="F176" i="63"/>
  <c r="E176" i="63"/>
  <c r="D176" i="63"/>
  <c r="C176" i="63"/>
  <c r="B176" i="63"/>
  <c r="A175" i="63"/>
  <c r="K175" i="63"/>
  <c r="J175" i="63"/>
  <c r="I175" i="63"/>
  <c r="H175" i="63"/>
  <c r="G175" i="63"/>
  <c r="F175" i="63"/>
  <c r="E175" i="63"/>
  <c r="D175" i="63"/>
  <c r="C175" i="63"/>
  <c r="B175" i="63"/>
  <c r="A174" i="63"/>
  <c r="K174" i="63"/>
  <c r="J174" i="63"/>
  <c r="I174" i="63"/>
  <c r="H174" i="63"/>
  <c r="G174" i="63"/>
  <c r="F174" i="63"/>
  <c r="E174" i="63"/>
  <c r="D174" i="63"/>
  <c r="C174" i="63"/>
  <c r="B174" i="63"/>
  <c r="A173" i="63"/>
  <c r="K173" i="63"/>
  <c r="J173" i="63"/>
  <c r="I173" i="63"/>
  <c r="H173" i="63"/>
  <c r="G173" i="63"/>
  <c r="F173" i="63"/>
  <c r="E173" i="63"/>
  <c r="D173" i="63"/>
  <c r="C173" i="63"/>
  <c r="B173" i="63"/>
  <c r="A172" i="63"/>
  <c r="K172" i="63"/>
  <c r="J172" i="63"/>
  <c r="I172" i="63"/>
  <c r="H172" i="63"/>
  <c r="G172" i="63"/>
  <c r="F172" i="63"/>
  <c r="E172" i="63"/>
  <c r="D172" i="63"/>
  <c r="C172" i="63"/>
  <c r="B172" i="63"/>
  <c r="A171" i="63"/>
  <c r="K171" i="63"/>
  <c r="J171" i="63"/>
  <c r="I171" i="63"/>
  <c r="H171" i="63"/>
  <c r="G171" i="63"/>
  <c r="F171" i="63"/>
  <c r="E171" i="63"/>
  <c r="D171" i="63"/>
  <c r="C171" i="63"/>
  <c r="B171" i="63"/>
  <c r="A170" i="63"/>
  <c r="K170" i="63"/>
  <c r="J170" i="63"/>
  <c r="I170" i="63"/>
  <c r="H170" i="63"/>
  <c r="G170" i="63"/>
  <c r="F170" i="63"/>
  <c r="E170" i="63"/>
  <c r="D170" i="63"/>
  <c r="C170" i="63"/>
  <c r="B170" i="63"/>
  <c r="A169" i="63"/>
  <c r="K169" i="63"/>
  <c r="J169" i="63"/>
  <c r="I169" i="63"/>
  <c r="H169" i="63"/>
  <c r="G169" i="63"/>
  <c r="F169" i="63"/>
  <c r="E169" i="63"/>
  <c r="D169" i="63"/>
  <c r="C169" i="63"/>
  <c r="B169" i="63"/>
  <c r="A168" i="63"/>
  <c r="K168" i="63"/>
  <c r="J168" i="63"/>
  <c r="I168" i="63"/>
  <c r="H168" i="63"/>
  <c r="G168" i="63"/>
  <c r="F168" i="63"/>
  <c r="E168" i="63"/>
  <c r="D168" i="63"/>
  <c r="C168" i="63"/>
  <c r="B168" i="63"/>
  <c r="A167" i="63"/>
  <c r="K167" i="63"/>
  <c r="J167" i="63"/>
  <c r="I167" i="63"/>
  <c r="H167" i="63"/>
  <c r="G167" i="63"/>
  <c r="F167" i="63"/>
  <c r="E167" i="63"/>
  <c r="D167" i="63"/>
  <c r="C167" i="63"/>
  <c r="B167" i="63"/>
  <c r="A166" i="63"/>
  <c r="K166" i="63"/>
  <c r="J166" i="63"/>
  <c r="I166" i="63"/>
  <c r="H166" i="63"/>
  <c r="G166" i="63"/>
  <c r="F166" i="63"/>
  <c r="E166" i="63"/>
  <c r="D166" i="63"/>
  <c r="C166" i="63"/>
  <c r="B166" i="63"/>
  <c r="A165" i="63"/>
  <c r="K165" i="63"/>
  <c r="J165" i="63"/>
  <c r="I165" i="63"/>
  <c r="H165" i="63"/>
  <c r="G165" i="63"/>
  <c r="F165" i="63"/>
  <c r="E165" i="63"/>
  <c r="D165" i="63"/>
  <c r="C165" i="63"/>
  <c r="B165" i="63"/>
  <c r="A164" i="63"/>
  <c r="K164" i="63"/>
  <c r="J164" i="63"/>
  <c r="I164" i="63"/>
  <c r="H164" i="63"/>
  <c r="G164" i="63"/>
  <c r="F164" i="63"/>
  <c r="E164" i="63"/>
  <c r="D164" i="63"/>
  <c r="C164" i="63"/>
  <c r="B164" i="63"/>
  <c r="A163" i="63"/>
  <c r="K163" i="63"/>
  <c r="J163" i="63"/>
  <c r="I163" i="63"/>
  <c r="H163" i="63"/>
  <c r="G163" i="63"/>
  <c r="F163" i="63"/>
  <c r="E163" i="63"/>
  <c r="D163" i="63"/>
  <c r="C163" i="63"/>
  <c r="B163" i="63"/>
  <c r="A162" i="63"/>
  <c r="K162" i="63"/>
  <c r="J162" i="63"/>
  <c r="I162" i="63"/>
  <c r="H162" i="63"/>
  <c r="G162" i="63"/>
  <c r="F162" i="63"/>
  <c r="E162" i="63"/>
  <c r="D162" i="63"/>
  <c r="C162" i="63"/>
  <c r="B162" i="63"/>
  <c r="A161" i="63"/>
  <c r="K161" i="63"/>
  <c r="J161" i="63"/>
  <c r="I161" i="63"/>
  <c r="H161" i="63"/>
  <c r="G161" i="63"/>
  <c r="F161" i="63"/>
  <c r="E161" i="63"/>
  <c r="D161" i="63"/>
  <c r="C161" i="63"/>
  <c r="B161" i="63"/>
  <c r="A160" i="63"/>
  <c r="K160" i="63"/>
  <c r="J160" i="63"/>
  <c r="I160" i="63"/>
  <c r="H160" i="63"/>
  <c r="G160" i="63"/>
  <c r="F160" i="63"/>
  <c r="E160" i="63"/>
  <c r="D160" i="63"/>
  <c r="C160" i="63"/>
  <c r="B160" i="63"/>
  <c r="A159" i="63"/>
  <c r="K159" i="63"/>
  <c r="J159" i="63"/>
  <c r="I159" i="63"/>
  <c r="H159" i="63"/>
  <c r="G159" i="63"/>
  <c r="F159" i="63"/>
  <c r="E159" i="63"/>
  <c r="D159" i="63"/>
  <c r="C159" i="63"/>
  <c r="B159" i="63"/>
  <c r="A158" i="63"/>
  <c r="K158" i="63"/>
  <c r="J158" i="63"/>
  <c r="I158" i="63"/>
  <c r="H158" i="63"/>
  <c r="G158" i="63"/>
  <c r="F158" i="63"/>
  <c r="E158" i="63"/>
  <c r="D158" i="63"/>
  <c r="C158" i="63"/>
  <c r="B158" i="63"/>
  <c r="A157" i="63"/>
  <c r="K157" i="63"/>
  <c r="J157" i="63"/>
  <c r="I157" i="63"/>
  <c r="H157" i="63"/>
  <c r="G157" i="63"/>
  <c r="F157" i="63"/>
  <c r="E157" i="63"/>
  <c r="D157" i="63"/>
  <c r="C157" i="63"/>
  <c r="B157" i="63"/>
  <c r="A156" i="63"/>
  <c r="K156" i="63"/>
  <c r="J156" i="63"/>
  <c r="I156" i="63"/>
  <c r="H156" i="63"/>
  <c r="G156" i="63"/>
  <c r="F156" i="63"/>
  <c r="E156" i="63"/>
  <c r="D156" i="63"/>
  <c r="C156" i="63"/>
  <c r="B156" i="63"/>
  <c r="A155" i="63"/>
  <c r="K155" i="63"/>
  <c r="J155" i="63"/>
  <c r="I155" i="63"/>
  <c r="H155" i="63"/>
  <c r="G155" i="63"/>
  <c r="F155" i="63"/>
  <c r="E155" i="63"/>
  <c r="D155" i="63"/>
  <c r="C155" i="63"/>
  <c r="B155" i="63"/>
  <c r="A154" i="63"/>
  <c r="K154" i="63"/>
  <c r="J154" i="63"/>
  <c r="I154" i="63"/>
  <c r="H154" i="63"/>
  <c r="G154" i="63"/>
  <c r="F154" i="63"/>
  <c r="E154" i="63"/>
  <c r="D154" i="63"/>
  <c r="C154" i="63"/>
  <c r="B154" i="63"/>
  <c r="A153" i="63"/>
  <c r="K153" i="63"/>
  <c r="J153" i="63"/>
  <c r="I153" i="63"/>
  <c r="H153" i="63"/>
  <c r="G153" i="63"/>
  <c r="F153" i="63"/>
  <c r="E153" i="63"/>
  <c r="D153" i="63"/>
  <c r="C153" i="63"/>
  <c r="B153" i="63"/>
  <c r="A152" i="63"/>
  <c r="K152" i="63"/>
  <c r="J152" i="63"/>
  <c r="I152" i="63"/>
  <c r="H152" i="63"/>
  <c r="G152" i="63"/>
  <c r="F152" i="63"/>
  <c r="E152" i="63"/>
  <c r="D152" i="63"/>
  <c r="C152" i="63"/>
  <c r="B152" i="63"/>
  <c r="A151" i="63"/>
  <c r="K151" i="63"/>
  <c r="J151" i="63"/>
  <c r="I151" i="63"/>
  <c r="H151" i="63"/>
  <c r="G151" i="63"/>
  <c r="F151" i="63"/>
  <c r="E151" i="63"/>
  <c r="D151" i="63"/>
  <c r="C151" i="63"/>
  <c r="B151" i="63"/>
  <c r="A150" i="63"/>
  <c r="K150" i="63"/>
  <c r="J150" i="63"/>
  <c r="I150" i="63"/>
  <c r="H150" i="63"/>
  <c r="G150" i="63"/>
  <c r="F150" i="63"/>
  <c r="E150" i="63"/>
  <c r="D150" i="63"/>
  <c r="C150" i="63"/>
  <c r="B150" i="63"/>
  <c r="A149" i="63"/>
  <c r="K149" i="63"/>
  <c r="J149" i="63"/>
  <c r="I149" i="63"/>
  <c r="H149" i="63"/>
  <c r="G149" i="63"/>
  <c r="F149" i="63"/>
  <c r="E149" i="63"/>
  <c r="D149" i="63"/>
  <c r="C149" i="63"/>
  <c r="B149" i="63"/>
  <c r="A148" i="63"/>
  <c r="K148" i="63"/>
  <c r="J148" i="63"/>
  <c r="I148" i="63"/>
  <c r="H148" i="63"/>
  <c r="G148" i="63"/>
  <c r="F148" i="63"/>
  <c r="E148" i="63"/>
  <c r="D148" i="63"/>
  <c r="C148" i="63"/>
  <c r="B148" i="63"/>
  <c r="A147" i="63"/>
  <c r="K147" i="63"/>
  <c r="J147" i="63"/>
  <c r="I147" i="63"/>
  <c r="H147" i="63"/>
  <c r="G147" i="63"/>
  <c r="F147" i="63"/>
  <c r="E147" i="63"/>
  <c r="D147" i="63"/>
  <c r="C147" i="63"/>
  <c r="B147" i="63"/>
  <c r="A146" i="63"/>
  <c r="K146" i="63"/>
  <c r="J146" i="63"/>
  <c r="I146" i="63"/>
  <c r="H146" i="63"/>
  <c r="G146" i="63"/>
  <c r="F146" i="63"/>
  <c r="E146" i="63"/>
  <c r="D146" i="63"/>
  <c r="C146" i="63"/>
  <c r="B146" i="63"/>
  <c r="A145" i="63"/>
  <c r="K145" i="63"/>
  <c r="J145" i="63"/>
  <c r="I145" i="63"/>
  <c r="H145" i="63"/>
  <c r="G145" i="63"/>
  <c r="F145" i="63"/>
  <c r="E145" i="63"/>
  <c r="D145" i="63"/>
  <c r="C145" i="63"/>
  <c r="B145" i="63"/>
  <c r="A144" i="63"/>
  <c r="K144" i="63"/>
  <c r="J144" i="63"/>
  <c r="I144" i="63"/>
  <c r="H144" i="63"/>
  <c r="G144" i="63"/>
  <c r="F144" i="63"/>
  <c r="E144" i="63"/>
  <c r="D144" i="63"/>
  <c r="C144" i="63"/>
  <c r="B144" i="63"/>
  <c r="A143" i="63"/>
  <c r="K143" i="63"/>
  <c r="J143" i="63"/>
  <c r="I143" i="63"/>
  <c r="H143" i="63"/>
  <c r="G143" i="63"/>
  <c r="F143" i="63"/>
  <c r="E143" i="63"/>
  <c r="D143" i="63"/>
  <c r="C143" i="63"/>
  <c r="B143" i="63"/>
  <c r="A142" i="63"/>
  <c r="K142" i="63"/>
  <c r="J142" i="63"/>
  <c r="I142" i="63"/>
  <c r="H142" i="63"/>
  <c r="G142" i="63"/>
  <c r="F142" i="63"/>
  <c r="E142" i="63"/>
  <c r="D142" i="63"/>
  <c r="C142" i="63"/>
  <c r="B142" i="63"/>
  <c r="A141" i="63"/>
  <c r="K141" i="63"/>
  <c r="J141" i="63"/>
  <c r="I141" i="63"/>
  <c r="H141" i="63"/>
  <c r="G141" i="63"/>
  <c r="F141" i="63"/>
  <c r="E141" i="63"/>
  <c r="D141" i="63"/>
  <c r="C141" i="63"/>
  <c r="B141" i="63"/>
  <c r="A140" i="63"/>
  <c r="K140" i="63"/>
  <c r="J140" i="63"/>
  <c r="I140" i="63"/>
  <c r="H140" i="63"/>
  <c r="G140" i="63"/>
  <c r="F140" i="63"/>
  <c r="E140" i="63"/>
  <c r="D140" i="63"/>
  <c r="C140" i="63"/>
  <c r="B140" i="63"/>
  <c r="A139" i="63"/>
  <c r="K139" i="63"/>
  <c r="J139" i="63"/>
  <c r="I139" i="63"/>
  <c r="H139" i="63"/>
  <c r="G139" i="63"/>
  <c r="F139" i="63"/>
  <c r="E139" i="63"/>
  <c r="D139" i="63"/>
  <c r="C139" i="63"/>
  <c r="B139" i="63"/>
  <c r="A138" i="63"/>
  <c r="K138" i="63"/>
  <c r="J138" i="63"/>
  <c r="I138" i="63"/>
  <c r="H138" i="63"/>
  <c r="G138" i="63"/>
  <c r="F138" i="63"/>
  <c r="E138" i="63"/>
  <c r="D138" i="63"/>
  <c r="C138" i="63"/>
  <c r="B138" i="63"/>
  <c r="A137" i="63"/>
  <c r="K137" i="63"/>
  <c r="J137" i="63"/>
  <c r="I137" i="63"/>
  <c r="H137" i="63"/>
  <c r="G137" i="63"/>
  <c r="F137" i="63"/>
  <c r="E137" i="63"/>
  <c r="D137" i="63"/>
  <c r="C137" i="63"/>
  <c r="B137" i="63"/>
  <c r="A136" i="63"/>
  <c r="K136" i="63"/>
  <c r="J136" i="63"/>
  <c r="I136" i="63"/>
  <c r="H136" i="63"/>
  <c r="G136" i="63"/>
  <c r="F136" i="63"/>
  <c r="E136" i="63"/>
  <c r="D136" i="63"/>
  <c r="C136" i="63"/>
  <c r="B136" i="63"/>
  <c r="A135" i="63"/>
  <c r="K135" i="63"/>
  <c r="J135" i="63"/>
  <c r="I135" i="63"/>
  <c r="H135" i="63"/>
  <c r="G135" i="63"/>
  <c r="F135" i="63"/>
  <c r="E135" i="63"/>
  <c r="D135" i="63"/>
  <c r="C135" i="63"/>
  <c r="B135" i="63"/>
  <c r="A134" i="63"/>
  <c r="K134" i="63"/>
  <c r="J134" i="63"/>
  <c r="I134" i="63"/>
  <c r="H134" i="63"/>
  <c r="G134" i="63"/>
  <c r="F134" i="63"/>
  <c r="E134" i="63"/>
  <c r="D134" i="63"/>
  <c r="C134" i="63"/>
  <c r="B134" i="63"/>
  <c r="A133" i="63"/>
  <c r="K133" i="63"/>
  <c r="J133" i="63"/>
  <c r="I133" i="63"/>
  <c r="H133" i="63"/>
  <c r="G133" i="63"/>
  <c r="F133" i="63"/>
  <c r="E133" i="63"/>
  <c r="D133" i="63"/>
  <c r="C133" i="63"/>
  <c r="B133" i="63"/>
  <c r="A132" i="63"/>
  <c r="K132" i="63"/>
  <c r="J132" i="63"/>
  <c r="I132" i="63"/>
  <c r="H132" i="63"/>
  <c r="G132" i="63"/>
  <c r="F132" i="63"/>
  <c r="E132" i="63"/>
  <c r="D132" i="63"/>
  <c r="C132" i="63"/>
  <c r="B132" i="63"/>
  <c r="A131" i="63"/>
  <c r="K131" i="63"/>
  <c r="J131" i="63"/>
  <c r="I131" i="63"/>
  <c r="H131" i="63"/>
  <c r="G131" i="63"/>
  <c r="F131" i="63"/>
  <c r="E131" i="63"/>
  <c r="D131" i="63"/>
  <c r="C131" i="63"/>
  <c r="B131" i="63"/>
  <c r="A130" i="63"/>
  <c r="K130" i="63"/>
  <c r="J130" i="63"/>
  <c r="I130" i="63"/>
  <c r="H130" i="63"/>
  <c r="G130" i="63"/>
  <c r="F130" i="63"/>
  <c r="E130" i="63"/>
  <c r="D130" i="63"/>
  <c r="C130" i="63"/>
  <c r="B130" i="63"/>
  <c r="A129" i="63"/>
  <c r="K129" i="63"/>
  <c r="J129" i="63"/>
  <c r="I129" i="63"/>
  <c r="H129" i="63"/>
  <c r="G129" i="63"/>
  <c r="F129" i="63"/>
  <c r="E129" i="63"/>
  <c r="D129" i="63"/>
  <c r="C129" i="63"/>
  <c r="B129" i="63"/>
  <c r="A128" i="63"/>
  <c r="K128" i="63"/>
  <c r="J128" i="63"/>
  <c r="I128" i="63"/>
  <c r="H128" i="63"/>
  <c r="G128" i="63"/>
  <c r="F128" i="63"/>
  <c r="E128" i="63"/>
  <c r="D128" i="63"/>
  <c r="C128" i="63"/>
  <c r="B128" i="63"/>
  <c r="A127" i="63"/>
  <c r="K127" i="63"/>
  <c r="J127" i="63"/>
  <c r="I127" i="63"/>
  <c r="H127" i="63"/>
  <c r="G127" i="63"/>
  <c r="F127" i="63"/>
  <c r="E127" i="63"/>
  <c r="D127" i="63"/>
  <c r="C127" i="63"/>
  <c r="B127" i="63"/>
  <c r="A126" i="63"/>
  <c r="K126" i="63"/>
  <c r="J126" i="63"/>
  <c r="I126" i="63"/>
  <c r="H126" i="63"/>
  <c r="G126" i="63"/>
  <c r="F126" i="63"/>
  <c r="E126" i="63"/>
  <c r="D126" i="63"/>
  <c r="C126" i="63"/>
  <c r="B126" i="63"/>
  <c r="A125" i="63"/>
  <c r="K125" i="63"/>
  <c r="J125" i="63"/>
  <c r="I125" i="63"/>
  <c r="H125" i="63"/>
  <c r="G125" i="63"/>
  <c r="F125" i="63"/>
  <c r="E125" i="63"/>
  <c r="D125" i="63"/>
  <c r="C125" i="63"/>
  <c r="B125" i="63"/>
  <c r="A124" i="63"/>
  <c r="K124" i="63"/>
  <c r="J124" i="63"/>
  <c r="I124" i="63"/>
  <c r="H124" i="63"/>
  <c r="G124" i="63"/>
  <c r="F124" i="63"/>
  <c r="E124" i="63"/>
  <c r="D124" i="63"/>
  <c r="C124" i="63"/>
  <c r="B124" i="63"/>
  <c r="A123" i="63"/>
  <c r="K123" i="63"/>
  <c r="J123" i="63"/>
  <c r="I123" i="63"/>
  <c r="H123" i="63"/>
  <c r="G123" i="63"/>
  <c r="F123" i="63"/>
  <c r="E123" i="63"/>
  <c r="D123" i="63"/>
  <c r="C123" i="63"/>
  <c r="B123" i="63"/>
  <c r="A122" i="63"/>
  <c r="K122" i="63"/>
  <c r="J122" i="63"/>
  <c r="I122" i="63"/>
  <c r="H122" i="63"/>
  <c r="G122" i="63"/>
  <c r="F122" i="63"/>
  <c r="E122" i="63"/>
  <c r="D122" i="63"/>
  <c r="C122" i="63"/>
  <c r="B122" i="63"/>
  <c r="A121" i="63"/>
  <c r="K121" i="63"/>
  <c r="J121" i="63"/>
  <c r="I121" i="63"/>
  <c r="H121" i="63"/>
  <c r="G121" i="63"/>
  <c r="F121" i="63"/>
  <c r="E121" i="63"/>
  <c r="D121" i="63"/>
  <c r="C121" i="63"/>
  <c r="B121" i="63"/>
  <c r="A120" i="63"/>
  <c r="K120" i="63"/>
  <c r="J120" i="63"/>
  <c r="I120" i="63"/>
  <c r="H120" i="63"/>
  <c r="G120" i="63"/>
  <c r="F120" i="63"/>
  <c r="E120" i="63"/>
  <c r="D120" i="63"/>
  <c r="C120" i="63"/>
  <c r="B120" i="63"/>
  <c r="A119" i="63"/>
  <c r="K119" i="63"/>
  <c r="J119" i="63"/>
  <c r="I119" i="63"/>
  <c r="H119" i="63"/>
  <c r="G119" i="63"/>
  <c r="F119" i="63"/>
  <c r="E119" i="63"/>
  <c r="D119" i="63"/>
  <c r="C119" i="63"/>
  <c r="B119" i="63"/>
  <c r="A118" i="63"/>
  <c r="K118" i="63"/>
  <c r="J118" i="63"/>
  <c r="I118" i="63"/>
  <c r="H118" i="63"/>
  <c r="G118" i="63"/>
  <c r="F118" i="63"/>
  <c r="E118" i="63"/>
  <c r="D118" i="63"/>
  <c r="C118" i="63"/>
  <c r="B118" i="63"/>
  <c r="A117" i="63"/>
  <c r="K117" i="63"/>
  <c r="J117" i="63"/>
  <c r="I117" i="63"/>
  <c r="H117" i="63"/>
  <c r="G117" i="63"/>
  <c r="F117" i="63"/>
  <c r="E117" i="63"/>
  <c r="D117" i="63"/>
  <c r="C117" i="63"/>
  <c r="B117" i="63"/>
  <c r="A116" i="63"/>
  <c r="K116" i="63"/>
  <c r="J116" i="63"/>
  <c r="I116" i="63"/>
  <c r="H116" i="63"/>
  <c r="G116" i="63"/>
  <c r="F116" i="63"/>
  <c r="E116" i="63"/>
  <c r="D116" i="63"/>
  <c r="C116" i="63"/>
  <c r="B116" i="63"/>
  <c r="A115" i="63"/>
  <c r="K115" i="63"/>
  <c r="J115" i="63"/>
  <c r="I115" i="63"/>
  <c r="H115" i="63"/>
  <c r="G115" i="63"/>
  <c r="F115" i="63"/>
  <c r="E115" i="63"/>
  <c r="D115" i="63"/>
  <c r="C115" i="63"/>
  <c r="B115" i="63"/>
  <c r="A114" i="63"/>
  <c r="K114" i="63"/>
  <c r="J114" i="63"/>
  <c r="I114" i="63"/>
  <c r="H114" i="63"/>
  <c r="G114" i="63"/>
  <c r="F114" i="63"/>
  <c r="E114" i="63"/>
  <c r="D114" i="63"/>
  <c r="C114" i="63"/>
  <c r="B114" i="63"/>
  <c r="A113" i="63"/>
  <c r="K113" i="63"/>
  <c r="J113" i="63"/>
  <c r="I113" i="63"/>
  <c r="H113" i="63"/>
  <c r="G113" i="63"/>
  <c r="F113" i="63"/>
  <c r="E113" i="63"/>
  <c r="D113" i="63"/>
  <c r="C113" i="63"/>
  <c r="B113" i="63"/>
  <c r="A112" i="63"/>
  <c r="K112" i="63"/>
  <c r="J112" i="63"/>
  <c r="I112" i="63"/>
  <c r="H112" i="63"/>
  <c r="G112" i="63"/>
  <c r="F112" i="63"/>
  <c r="E112" i="63"/>
  <c r="D112" i="63"/>
  <c r="C112" i="63"/>
  <c r="B112" i="63"/>
  <c r="A111" i="63"/>
  <c r="K111" i="63"/>
  <c r="J111" i="63"/>
  <c r="I111" i="63"/>
  <c r="H111" i="63"/>
  <c r="G111" i="63"/>
  <c r="F111" i="63"/>
  <c r="E111" i="63"/>
  <c r="D111" i="63"/>
  <c r="C111" i="63"/>
  <c r="B111" i="63"/>
  <c r="A110" i="63"/>
  <c r="K110" i="63"/>
  <c r="J110" i="63"/>
  <c r="I110" i="63"/>
  <c r="H110" i="63"/>
  <c r="G110" i="63"/>
  <c r="F110" i="63"/>
  <c r="E110" i="63"/>
  <c r="D110" i="63"/>
  <c r="C110" i="63"/>
  <c r="B110" i="63"/>
  <c r="A109" i="63"/>
  <c r="K109" i="63"/>
  <c r="J109" i="63"/>
  <c r="I109" i="63"/>
  <c r="H109" i="63"/>
  <c r="G109" i="63"/>
  <c r="F109" i="63"/>
  <c r="E109" i="63"/>
  <c r="D109" i="63"/>
  <c r="C109" i="63"/>
  <c r="B109" i="63"/>
  <c r="A108" i="63"/>
  <c r="K108" i="63"/>
  <c r="J108" i="63"/>
  <c r="I108" i="63"/>
  <c r="H108" i="63"/>
  <c r="G108" i="63"/>
  <c r="F108" i="63"/>
  <c r="E108" i="63"/>
  <c r="D108" i="63"/>
  <c r="C108" i="63"/>
  <c r="B108" i="63"/>
  <c r="A107" i="63"/>
  <c r="K107" i="63"/>
  <c r="J107" i="63"/>
  <c r="I107" i="63"/>
  <c r="H107" i="63"/>
  <c r="G107" i="63"/>
  <c r="F107" i="63"/>
  <c r="E107" i="63"/>
  <c r="D107" i="63"/>
  <c r="C107" i="63"/>
  <c r="B107" i="63"/>
  <c r="A106" i="63"/>
  <c r="K106" i="63"/>
  <c r="J106" i="63"/>
  <c r="I106" i="63"/>
  <c r="H106" i="63"/>
  <c r="G106" i="63"/>
  <c r="F106" i="63"/>
  <c r="E106" i="63"/>
  <c r="D106" i="63"/>
  <c r="C106" i="63"/>
  <c r="B106" i="63"/>
  <c r="A105" i="63"/>
  <c r="K105" i="63"/>
  <c r="J105" i="63"/>
  <c r="I105" i="63"/>
  <c r="H105" i="63"/>
  <c r="G105" i="63"/>
  <c r="F105" i="63"/>
  <c r="E105" i="63"/>
  <c r="D105" i="63"/>
  <c r="C105" i="63"/>
  <c r="B105" i="63"/>
  <c r="A104" i="63"/>
  <c r="K104" i="63"/>
  <c r="J104" i="63"/>
  <c r="I104" i="63"/>
  <c r="H104" i="63"/>
  <c r="G104" i="63"/>
  <c r="F104" i="63"/>
  <c r="E104" i="63"/>
  <c r="D104" i="63"/>
  <c r="C104" i="63"/>
  <c r="B104" i="63"/>
  <c r="A103" i="63"/>
  <c r="K103" i="63"/>
  <c r="J103" i="63"/>
  <c r="I103" i="63"/>
  <c r="H103" i="63"/>
  <c r="G103" i="63"/>
  <c r="F103" i="63"/>
  <c r="E103" i="63"/>
  <c r="D103" i="63"/>
  <c r="C103" i="63"/>
  <c r="B103" i="63"/>
  <c r="A102" i="63"/>
  <c r="K102" i="63"/>
  <c r="J102" i="63"/>
  <c r="I102" i="63"/>
  <c r="H102" i="63"/>
  <c r="G102" i="63"/>
  <c r="F102" i="63"/>
  <c r="E102" i="63"/>
  <c r="D102" i="63"/>
  <c r="C102" i="63"/>
  <c r="B102" i="63"/>
  <c r="A101" i="63"/>
  <c r="K101" i="63"/>
  <c r="J101" i="63"/>
  <c r="I101" i="63"/>
  <c r="H101" i="63"/>
  <c r="G101" i="63"/>
  <c r="F101" i="63"/>
  <c r="E101" i="63"/>
  <c r="D101" i="63"/>
  <c r="C101" i="63"/>
  <c r="B101" i="63"/>
  <c r="A100" i="63"/>
  <c r="K100" i="63"/>
  <c r="J100" i="63"/>
  <c r="I100" i="63"/>
  <c r="H100" i="63"/>
  <c r="G100" i="63"/>
  <c r="F100" i="63"/>
  <c r="E100" i="63"/>
  <c r="D100" i="63"/>
  <c r="C100" i="63"/>
  <c r="B100" i="63"/>
  <c r="A99" i="63"/>
  <c r="K99" i="63"/>
  <c r="J99" i="63"/>
  <c r="I99" i="63"/>
  <c r="H99" i="63"/>
  <c r="G99" i="63"/>
  <c r="F99" i="63"/>
  <c r="E99" i="63"/>
  <c r="D99" i="63"/>
  <c r="C99" i="63"/>
  <c r="B99" i="63"/>
  <c r="A98" i="63"/>
  <c r="K98" i="63"/>
  <c r="J98" i="63"/>
  <c r="I98" i="63"/>
  <c r="H98" i="63"/>
  <c r="G98" i="63"/>
  <c r="F98" i="63"/>
  <c r="E98" i="63"/>
  <c r="D98" i="63"/>
  <c r="C98" i="63"/>
  <c r="B98" i="63"/>
  <c r="A97" i="63"/>
  <c r="K97" i="63"/>
  <c r="J97" i="63"/>
  <c r="I97" i="63"/>
  <c r="H97" i="63"/>
  <c r="G97" i="63"/>
  <c r="F97" i="63"/>
  <c r="E97" i="63"/>
  <c r="D97" i="63"/>
  <c r="C97" i="63"/>
  <c r="B97" i="63"/>
  <c r="A96" i="63"/>
  <c r="K96" i="63"/>
  <c r="J96" i="63"/>
  <c r="I96" i="63"/>
  <c r="H96" i="63"/>
  <c r="G96" i="63"/>
  <c r="F96" i="63"/>
  <c r="E96" i="63"/>
  <c r="D96" i="63"/>
  <c r="C96" i="63"/>
  <c r="B96" i="63"/>
  <c r="A95" i="63"/>
  <c r="K95" i="63"/>
  <c r="J95" i="63"/>
  <c r="I95" i="63"/>
  <c r="H95" i="63"/>
  <c r="G95" i="63"/>
  <c r="F95" i="63"/>
  <c r="E95" i="63"/>
  <c r="D95" i="63"/>
  <c r="C95" i="63"/>
  <c r="B95" i="63"/>
  <c r="A94" i="63"/>
  <c r="K94" i="63"/>
  <c r="J94" i="63"/>
  <c r="I94" i="63"/>
  <c r="H94" i="63"/>
  <c r="G94" i="63"/>
  <c r="F94" i="63"/>
  <c r="E94" i="63"/>
  <c r="D94" i="63"/>
  <c r="C94" i="63"/>
  <c r="B94" i="63"/>
  <c r="A93" i="63"/>
  <c r="K93" i="63"/>
  <c r="J93" i="63"/>
  <c r="I93" i="63"/>
  <c r="H93" i="63"/>
  <c r="G93" i="63"/>
  <c r="F93" i="63"/>
  <c r="E93" i="63"/>
  <c r="D93" i="63"/>
  <c r="C93" i="63"/>
  <c r="B93" i="63"/>
  <c r="A92" i="63"/>
  <c r="K92" i="63"/>
  <c r="J92" i="63"/>
  <c r="I92" i="63"/>
  <c r="H92" i="63"/>
  <c r="G92" i="63"/>
  <c r="F92" i="63"/>
  <c r="E92" i="63"/>
  <c r="D92" i="63"/>
  <c r="C92" i="63"/>
  <c r="B92" i="63"/>
  <c r="A91" i="63"/>
  <c r="K91" i="63"/>
  <c r="J91" i="63"/>
  <c r="I91" i="63"/>
  <c r="H91" i="63"/>
  <c r="G91" i="63"/>
  <c r="F91" i="63"/>
  <c r="E91" i="63"/>
  <c r="D91" i="63"/>
  <c r="C91" i="63"/>
  <c r="B91" i="63"/>
  <c r="A90" i="63"/>
  <c r="K90" i="63"/>
  <c r="J90" i="63"/>
  <c r="I90" i="63"/>
  <c r="H90" i="63"/>
  <c r="G90" i="63"/>
  <c r="F90" i="63"/>
  <c r="E90" i="63"/>
  <c r="D90" i="63"/>
  <c r="C90" i="63"/>
  <c r="B90" i="63"/>
  <c r="A89" i="63"/>
  <c r="K89" i="63"/>
  <c r="J89" i="63"/>
  <c r="I89" i="63"/>
  <c r="H89" i="63"/>
  <c r="G89" i="63"/>
  <c r="F89" i="63"/>
  <c r="E89" i="63"/>
  <c r="D89" i="63"/>
  <c r="C89" i="63"/>
  <c r="B89" i="63"/>
  <c r="A88" i="63"/>
  <c r="K88" i="63"/>
  <c r="J88" i="63"/>
  <c r="I88" i="63"/>
  <c r="H88" i="63"/>
  <c r="G88" i="63"/>
  <c r="F88" i="63"/>
  <c r="E88" i="63"/>
  <c r="D88" i="63"/>
  <c r="C88" i="63"/>
  <c r="B88" i="63"/>
  <c r="A87" i="63"/>
  <c r="K87" i="63"/>
  <c r="J87" i="63"/>
  <c r="I87" i="63"/>
  <c r="H87" i="63"/>
  <c r="G87" i="63"/>
  <c r="F87" i="63"/>
  <c r="E87" i="63"/>
  <c r="D87" i="63"/>
  <c r="C87" i="63"/>
  <c r="B87" i="63"/>
  <c r="A86" i="63"/>
  <c r="K86" i="63"/>
  <c r="J86" i="63"/>
  <c r="I86" i="63"/>
  <c r="H86" i="63"/>
  <c r="G86" i="63"/>
  <c r="F86" i="63"/>
  <c r="E86" i="63"/>
  <c r="D86" i="63"/>
  <c r="C86" i="63"/>
  <c r="B86" i="63"/>
  <c r="A85" i="63"/>
  <c r="K85" i="63"/>
  <c r="J85" i="63"/>
  <c r="I85" i="63"/>
  <c r="H85" i="63"/>
  <c r="G85" i="63"/>
  <c r="F85" i="63"/>
  <c r="E85" i="63"/>
  <c r="D85" i="63"/>
  <c r="C85" i="63"/>
  <c r="B85" i="63"/>
  <c r="A84" i="63"/>
  <c r="K84" i="63"/>
  <c r="J84" i="63"/>
  <c r="I84" i="63"/>
  <c r="H84" i="63"/>
  <c r="G84" i="63"/>
  <c r="F84" i="63"/>
  <c r="E84" i="63"/>
  <c r="D84" i="63"/>
  <c r="C84" i="63"/>
  <c r="B84" i="63"/>
  <c r="A83" i="63"/>
  <c r="K83" i="63"/>
  <c r="J83" i="63"/>
  <c r="I83" i="63"/>
  <c r="H83" i="63"/>
  <c r="G83" i="63"/>
  <c r="F83" i="63"/>
  <c r="E83" i="63"/>
  <c r="D83" i="63"/>
  <c r="C83" i="63"/>
  <c r="B83" i="63"/>
  <c r="A82" i="63"/>
  <c r="K82" i="63"/>
  <c r="J82" i="63"/>
  <c r="I82" i="63"/>
  <c r="H82" i="63"/>
  <c r="G82" i="63"/>
  <c r="F82" i="63"/>
  <c r="E82" i="63"/>
  <c r="D82" i="63"/>
  <c r="C82" i="63"/>
  <c r="B82" i="63"/>
  <c r="A81" i="63"/>
  <c r="K81" i="63"/>
  <c r="J81" i="63"/>
  <c r="I81" i="63"/>
  <c r="H81" i="63"/>
  <c r="G81" i="63"/>
  <c r="F81" i="63"/>
  <c r="E81" i="63"/>
  <c r="D81" i="63"/>
  <c r="C81" i="63"/>
  <c r="B81" i="63"/>
  <c r="A80" i="63"/>
  <c r="K80" i="63"/>
  <c r="J80" i="63"/>
  <c r="I80" i="63"/>
  <c r="H80" i="63"/>
  <c r="G80" i="63"/>
  <c r="F80" i="63"/>
  <c r="E80" i="63"/>
  <c r="D80" i="63"/>
  <c r="C80" i="63"/>
  <c r="B80" i="63"/>
  <c r="A79" i="63"/>
  <c r="K79" i="63"/>
  <c r="J79" i="63"/>
  <c r="I79" i="63"/>
  <c r="H79" i="63"/>
  <c r="G79" i="63"/>
  <c r="F79" i="63"/>
  <c r="E79" i="63"/>
  <c r="D79" i="63"/>
  <c r="C79" i="63"/>
  <c r="B79" i="63"/>
  <c r="A78" i="63"/>
  <c r="K78" i="63"/>
  <c r="J78" i="63"/>
  <c r="I78" i="63"/>
  <c r="H78" i="63"/>
  <c r="G78" i="63"/>
  <c r="F78" i="63"/>
  <c r="E78" i="63"/>
  <c r="D78" i="63"/>
  <c r="C78" i="63"/>
  <c r="B78" i="63"/>
  <c r="A77" i="63"/>
  <c r="K77" i="63"/>
  <c r="J77" i="63"/>
  <c r="I77" i="63"/>
  <c r="H77" i="63"/>
  <c r="G77" i="63"/>
  <c r="F77" i="63"/>
  <c r="E77" i="63"/>
  <c r="D77" i="63"/>
  <c r="C77" i="63"/>
  <c r="B77" i="63"/>
  <c r="A76" i="63"/>
  <c r="K76" i="63"/>
  <c r="J76" i="63"/>
  <c r="I76" i="63"/>
  <c r="H76" i="63"/>
  <c r="G76" i="63"/>
  <c r="F76" i="63"/>
  <c r="E76" i="63"/>
  <c r="D76" i="63"/>
  <c r="C76" i="63"/>
  <c r="B76" i="63"/>
  <c r="A75" i="63"/>
  <c r="K75" i="63"/>
  <c r="J75" i="63"/>
  <c r="I75" i="63"/>
  <c r="H75" i="63"/>
  <c r="G75" i="63"/>
  <c r="F75" i="63"/>
  <c r="E75" i="63"/>
  <c r="D75" i="63"/>
  <c r="C75" i="63"/>
  <c r="B75" i="63"/>
  <c r="A74" i="63"/>
  <c r="K74" i="63"/>
  <c r="J74" i="63"/>
  <c r="I74" i="63"/>
  <c r="H74" i="63"/>
  <c r="G74" i="63"/>
  <c r="F74" i="63"/>
  <c r="E74" i="63"/>
  <c r="D74" i="63"/>
  <c r="C74" i="63"/>
  <c r="B74" i="63"/>
  <c r="A73" i="63"/>
  <c r="K73" i="63"/>
  <c r="J73" i="63"/>
  <c r="I73" i="63"/>
  <c r="H73" i="63"/>
  <c r="G73" i="63"/>
  <c r="F73" i="63"/>
  <c r="E73" i="63"/>
  <c r="D73" i="63"/>
  <c r="C73" i="63"/>
  <c r="B73" i="63"/>
  <c r="A72" i="63"/>
  <c r="K72" i="63"/>
  <c r="J72" i="63"/>
  <c r="I72" i="63"/>
  <c r="H72" i="63"/>
  <c r="G72" i="63"/>
  <c r="F72" i="63"/>
  <c r="E72" i="63"/>
  <c r="D72" i="63"/>
  <c r="C72" i="63"/>
  <c r="B72" i="63"/>
  <c r="A71" i="63"/>
  <c r="K71" i="63"/>
  <c r="J71" i="63"/>
  <c r="I71" i="63"/>
  <c r="H71" i="63"/>
  <c r="G71" i="63"/>
  <c r="F71" i="63"/>
  <c r="E71" i="63"/>
  <c r="D71" i="63"/>
  <c r="C71" i="63"/>
  <c r="B71" i="63"/>
  <c r="A70" i="63"/>
  <c r="K70" i="63"/>
  <c r="J70" i="63"/>
  <c r="I70" i="63"/>
  <c r="H70" i="63"/>
  <c r="G70" i="63"/>
  <c r="F70" i="63"/>
  <c r="E70" i="63"/>
  <c r="D70" i="63"/>
  <c r="C70" i="63"/>
  <c r="B70" i="63"/>
  <c r="A69" i="63"/>
  <c r="K69" i="63"/>
  <c r="J69" i="63"/>
  <c r="I69" i="63"/>
  <c r="H69" i="63"/>
  <c r="G69" i="63"/>
  <c r="F69" i="63"/>
  <c r="E69" i="63"/>
  <c r="D69" i="63"/>
  <c r="C69" i="63"/>
  <c r="B69" i="63"/>
  <c r="A68" i="63"/>
  <c r="K68" i="63"/>
  <c r="J68" i="63"/>
  <c r="I68" i="63"/>
  <c r="H68" i="63"/>
  <c r="G68" i="63"/>
  <c r="F68" i="63"/>
  <c r="E68" i="63"/>
  <c r="D68" i="63"/>
  <c r="C68" i="63"/>
  <c r="B68" i="63"/>
  <c r="A67" i="63"/>
  <c r="K67" i="63"/>
  <c r="J67" i="63"/>
  <c r="I67" i="63"/>
  <c r="H67" i="63"/>
  <c r="G67" i="63"/>
  <c r="F67" i="63"/>
  <c r="E67" i="63"/>
  <c r="D67" i="63"/>
  <c r="C67" i="63"/>
  <c r="B67" i="63"/>
  <c r="A66" i="63"/>
  <c r="K66" i="63"/>
  <c r="J66" i="63"/>
  <c r="I66" i="63"/>
  <c r="H66" i="63"/>
  <c r="G66" i="63"/>
  <c r="F66" i="63"/>
  <c r="E66" i="63"/>
  <c r="D66" i="63"/>
  <c r="C66" i="63"/>
  <c r="B66" i="63"/>
  <c r="A65" i="63"/>
  <c r="K65" i="63"/>
  <c r="J65" i="63"/>
  <c r="I65" i="63"/>
  <c r="H65" i="63"/>
  <c r="G65" i="63"/>
  <c r="F65" i="63"/>
  <c r="E65" i="63"/>
  <c r="D65" i="63"/>
  <c r="C65" i="63"/>
  <c r="B65" i="63"/>
  <c r="A64" i="63"/>
  <c r="K64" i="63"/>
  <c r="J64" i="63"/>
  <c r="I64" i="63"/>
  <c r="H64" i="63"/>
  <c r="G64" i="63"/>
  <c r="F64" i="63"/>
  <c r="E64" i="63"/>
  <c r="D64" i="63"/>
  <c r="C64" i="63"/>
  <c r="B64" i="63"/>
  <c r="A63" i="63"/>
  <c r="K63" i="63"/>
  <c r="J63" i="63"/>
  <c r="I63" i="63"/>
  <c r="H63" i="63"/>
  <c r="G63" i="63"/>
  <c r="F63" i="63"/>
  <c r="E63" i="63"/>
  <c r="D63" i="63"/>
  <c r="C63" i="63"/>
  <c r="B63" i="63"/>
  <c r="A62" i="63"/>
  <c r="K62" i="63"/>
  <c r="J62" i="63"/>
  <c r="I62" i="63"/>
  <c r="H62" i="63"/>
  <c r="G62" i="63"/>
  <c r="F62" i="63"/>
  <c r="E62" i="63"/>
  <c r="D62" i="63"/>
  <c r="C62" i="63"/>
  <c r="B62" i="63"/>
  <c r="A61" i="63"/>
  <c r="K61" i="63"/>
  <c r="J61" i="63"/>
  <c r="I61" i="63"/>
  <c r="H61" i="63"/>
  <c r="G61" i="63"/>
  <c r="F61" i="63"/>
  <c r="E61" i="63"/>
  <c r="D61" i="63"/>
  <c r="C61" i="63"/>
  <c r="B61" i="63"/>
  <c r="A60" i="63"/>
  <c r="K60" i="63"/>
  <c r="J60" i="63"/>
  <c r="I60" i="63"/>
  <c r="H60" i="63"/>
  <c r="G60" i="63"/>
  <c r="F60" i="63"/>
  <c r="E60" i="63"/>
  <c r="D60" i="63"/>
  <c r="C60" i="63"/>
  <c r="B60" i="63"/>
  <c r="A59" i="63"/>
  <c r="K59" i="63"/>
  <c r="J59" i="63"/>
  <c r="I59" i="63"/>
  <c r="H59" i="63"/>
  <c r="G59" i="63"/>
  <c r="F59" i="63"/>
  <c r="E59" i="63"/>
  <c r="D59" i="63"/>
  <c r="C59" i="63"/>
  <c r="B59" i="63"/>
  <c r="A58" i="63"/>
  <c r="K58" i="63"/>
  <c r="J58" i="63"/>
  <c r="I58" i="63"/>
  <c r="H58" i="63"/>
  <c r="G58" i="63"/>
  <c r="F58" i="63"/>
  <c r="E58" i="63"/>
  <c r="D58" i="63"/>
  <c r="C58" i="63"/>
  <c r="B58" i="63"/>
  <c r="A57" i="63"/>
  <c r="K57" i="63"/>
  <c r="J57" i="63"/>
  <c r="I57" i="63"/>
  <c r="H57" i="63"/>
  <c r="G57" i="63"/>
  <c r="F57" i="63"/>
  <c r="E57" i="63"/>
  <c r="D57" i="63"/>
  <c r="C57" i="63"/>
  <c r="B57" i="63"/>
  <c r="A56" i="63"/>
  <c r="K56" i="63"/>
  <c r="J56" i="63"/>
  <c r="I56" i="63"/>
  <c r="H56" i="63"/>
  <c r="G56" i="63"/>
  <c r="F56" i="63"/>
  <c r="E56" i="63"/>
  <c r="D56" i="63"/>
  <c r="C56" i="63"/>
  <c r="B56" i="63"/>
  <c r="A55" i="63"/>
  <c r="K55" i="63"/>
  <c r="J55" i="63"/>
  <c r="I55" i="63"/>
  <c r="H55" i="63"/>
  <c r="G55" i="63"/>
  <c r="F55" i="63"/>
  <c r="E55" i="63"/>
  <c r="D55" i="63"/>
  <c r="C55" i="63"/>
  <c r="B55" i="63"/>
  <c r="A54" i="63"/>
  <c r="K54" i="63"/>
  <c r="J54" i="63"/>
  <c r="I54" i="63"/>
  <c r="H54" i="63"/>
  <c r="G54" i="63"/>
  <c r="F54" i="63"/>
  <c r="E54" i="63"/>
  <c r="D54" i="63"/>
  <c r="C54" i="63"/>
  <c r="B54" i="63"/>
  <c r="A53" i="63"/>
  <c r="K53" i="63"/>
  <c r="J53" i="63"/>
  <c r="I53" i="63"/>
  <c r="H53" i="63"/>
  <c r="G53" i="63"/>
  <c r="F53" i="63"/>
  <c r="E53" i="63"/>
  <c r="D53" i="63"/>
  <c r="C53" i="63"/>
  <c r="B53" i="63"/>
  <c r="A52" i="63"/>
  <c r="K52" i="63"/>
  <c r="J52" i="63"/>
  <c r="I52" i="63"/>
  <c r="H52" i="63"/>
  <c r="G52" i="63"/>
  <c r="F52" i="63"/>
  <c r="E52" i="63"/>
  <c r="D52" i="63"/>
  <c r="C52" i="63"/>
  <c r="B52" i="63"/>
  <c r="A51" i="63"/>
  <c r="K51" i="63"/>
  <c r="J51" i="63"/>
  <c r="I51" i="63"/>
  <c r="H51" i="63"/>
  <c r="G51" i="63"/>
  <c r="F51" i="63"/>
  <c r="E51" i="63"/>
  <c r="D51" i="63"/>
  <c r="C51" i="63"/>
  <c r="B51" i="63"/>
  <c r="A50" i="63"/>
  <c r="K50" i="63"/>
  <c r="J50" i="63"/>
  <c r="I50" i="63"/>
  <c r="H50" i="63"/>
  <c r="G50" i="63"/>
  <c r="F50" i="63"/>
  <c r="E50" i="63"/>
  <c r="D50" i="63"/>
  <c r="C50" i="63"/>
  <c r="B50" i="63"/>
  <c r="A49" i="63"/>
  <c r="K49" i="63"/>
  <c r="J49" i="63"/>
  <c r="I49" i="63"/>
  <c r="H49" i="63"/>
  <c r="G49" i="63"/>
  <c r="F49" i="63"/>
  <c r="E49" i="63"/>
  <c r="D49" i="63"/>
  <c r="C49" i="63"/>
  <c r="B49" i="63"/>
  <c r="A48" i="63"/>
  <c r="K48" i="63"/>
  <c r="J48" i="63"/>
  <c r="I48" i="63"/>
  <c r="H48" i="63"/>
  <c r="G48" i="63"/>
  <c r="F48" i="63"/>
  <c r="E48" i="63"/>
  <c r="D48" i="63"/>
  <c r="C48" i="63"/>
  <c r="B48" i="63"/>
  <c r="A47" i="63"/>
  <c r="K47" i="63"/>
  <c r="J47" i="63"/>
  <c r="I47" i="63"/>
  <c r="H47" i="63"/>
  <c r="G47" i="63"/>
  <c r="F47" i="63"/>
  <c r="E47" i="63"/>
  <c r="D47" i="63"/>
  <c r="C47" i="63"/>
  <c r="B47" i="63"/>
  <c r="A46" i="63"/>
  <c r="K46" i="63"/>
  <c r="J46" i="63"/>
  <c r="I46" i="63"/>
  <c r="H46" i="63"/>
  <c r="G46" i="63"/>
  <c r="F46" i="63"/>
  <c r="E46" i="63"/>
  <c r="D46" i="63"/>
  <c r="C46" i="63"/>
  <c r="B46" i="63"/>
  <c r="A45" i="63"/>
  <c r="K45" i="63"/>
  <c r="J45" i="63"/>
  <c r="I45" i="63"/>
  <c r="H45" i="63"/>
  <c r="G45" i="63"/>
  <c r="F45" i="63"/>
  <c r="E45" i="63"/>
  <c r="D45" i="63"/>
  <c r="C45" i="63"/>
  <c r="B45" i="63"/>
  <c r="A44" i="63"/>
  <c r="K44" i="63"/>
  <c r="J44" i="63"/>
  <c r="I44" i="63"/>
  <c r="H44" i="63"/>
  <c r="G44" i="63"/>
  <c r="F44" i="63"/>
  <c r="E44" i="63"/>
  <c r="D44" i="63"/>
  <c r="C44" i="63"/>
  <c r="B44" i="63"/>
  <c r="A43" i="63"/>
  <c r="K43" i="63"/>
  <c r="J43" i="63"/>
  <c r="I43" i="63"/>
  <c r="H43" i="63"/>
  <c r="G43" i="63"/>
  <c r="F43" i="63"/>
  <c r="E43" i="63"/>
  <c r="D43" i="63"/>
  <c r="C43" i="63"/>
  <c r="B43" i="63"/>
  <c r="A42" i="63"/>
  <c r="K42" i="63"/>
  <c r="J42" i="63"/>
  <c r="I42" i="63"/>
  <c r="H42" i="63"/>
  <c r="G42" i="63"/>
  <c r="F42" i="63"/>
  <c r="E42" i="63"/>
  <c r="D42" i="63"/>
  <c r="C42" i="63"/>
  <c r="B42" i="63"/>
  <c r="A41" i="63"/>
  <c r="K41" i="63"/>
  <c r="J41" i="63"/>
  <c r="I41" i="63"/>
  <c r="H41" i="63"/>
  <c r="G41" i="63"/>
  <c r="F41" i="63"/>
  <c r="E41" i="63"/>
  <c r="D41" i="63"/>
  <c r="C41" i="63"/>
  <c r="B41" i="63"/>
  <c r="A40" i="63"/>
  <c r="K40" i="63"/>
  <c r="J40" i="63"/>
  <c r="I40" i="63"/>
  <c r="H40" i="63"/>
  <c r="G40" i="63"/>
  <c r="F40" i="63"/>
  <c r="E40" i="63"/>
  <c r="D40" i="63"/>
  <c r="C40" i="63"/>
  <c r="B40" i="63"/>
  <c r="A39" i="63"/>
  <c r="K39" i="63"/>
  <c r="J39" i="63"/>
  <c r="I39" i="63"/>
  <c r="H39" i="63"/>
  <c r="G39" i="63"/>
  <c r="F39" i="63"/>
  <c r="E39" i="63"/>
  <c r="D39" i="63"/>
  <c r="C39" i="63"/>
  <c r="B39" i="63"/>
  <c r="A38" i="63"/>
  <c r="K38" i="63"/>
  <c r="J38" i="63"/>
  <c r="I38" i="63"/>
  <c r="H38" i="63"/>
  <c r="G38" i="63"/>
  <c r="F38" i="63"/>
  <c r="E38" i="63"/>
  <c r="D38" i="63"/>
  <c r="C38" i="63"/>
  <c r="B38" i="63"/>
  <c r="A37" i="63"/>
  <c r="K37" i="63"/>
  <c r="J37" i="63"/>
  <c r="I37" i="63"/>
  <c r="H37" i="63"/>
  <c r="G37" i="63"/>
  <c r="F37" i="63"/>
  <c r="E37" i="63"/>
  <c r="D37" i="63"/>
  <c r="C37" i="63"/>
  <c r="B37" i="63"/>
  <c r="A36" i="63"/>
  <c r="K36" i="63"/>
  <c r="J36" i="63"/>
  <c r="I36" i="63"/>
  <c r="H36" i="63"/>
  <c r="G36" i="63"/>
  <c r="F36" i="63"/>
  <c r="E36" i="63"/>
  <c r="D36" i="63"/>
  <c r="C36" i="63"/>
  <c r="B36" i="63"/>
  <c r="A35" i="63"/>
  <c r="K35" i="63"/>
  <c r="J35" i="63"/>
  <c r="I35" i="63"/>
  <c r="H35" i="63"/>
  <c r="G35" i="63"/>
  <c r="F35" i="63"/>
  <c r="E35" i="63"/>
  <c r="D35" i="63"/>
  <c r="C35" i="63"/>
  <c r="B35" i="63"/>
  <c r="A34" i="63"/>
  <c r="K34" i="63"/>
  <c r="J34" i="63"/>
  <c r="I34" i="63"/>
  <c r="H34" i="63"/>
  <c r="G34" i="63"/>
  <c r="F34" i="63"/>
  <c r="E34" i="63"/>
  <c r="D34" i="63"/>
  <c r="C34" i="63"/>
  <c r="B34" i="63"/>
  <c r="A33" i="63"/>
  <c r="K33" i="63"/>
  <c r="J33" i="63"/>
  <c r="I33" i="63"/>
  <c r="H33" i="63"/>
  <c r="G33" i="63"/>
  <c r="F33" i="63"/>
  <c r="E33" i="63"/>
  <c r="D33" i="63"/>
  <c r="C33" i="63"/>
  <c r="B33" i="63"/>
  <c r="A32" i="63"/>
  <c r="K32" i="63"/>
  <c r="J32" i="63"/>
  <c r="I32" i="63"/>
  <c r="H32" i="63"/>
  <c r="G32" i="63"/>
  <c r="F32" i="63"/>
  <c r="E32" i="63"/>
  <c r="D32" i="63"/>
  <c r="C32" i="63"/>
  <c r="B32" i="63"/>
  <c r="A31" i="63"/>
  <c r="K31" i="63"/>
  <c r="J31" i="63"/>
  <c r="I31" i="63"/>
  <c r="H31" i="63"/>
  <c r="G31" i="63"/>
  <c r="F31" i="63"/>
  <c r="E31" i="63"/>
  <c r="D31" i="63"/>
  <c r="C31" i="63"/>
  <c r="B31" i="63"/>
  <c r="A30" i="63"/>
  <c r="K30" i="63"/>
  <c r="J30" i="63"/>
  <c r="I30" i="63"/>
  <c r="H30" i="63"/>
  <c r="G30" i="63"/>
  <c r="F30" i="63"/>
  <c r="E30" i="63"/>
  <c r="D30" i="63"/>
  <c r="C30" i="63"/>
  <c r="B30" i="63"/>
  <c r="A29" i="63"/>
  <c r="K29" i="63"/>
  <c r="J29" i="63"/>
  <c r="I29" i="63"/>
  <c r="H29" i="63"/>
  <c r="G29" i="63"/>
  <c r="F29" i="63"/>
  <c r="E29" i="63"/>
  <c r="D29" i="63"/>
  <c r="C29" i="63"/>
  <c r="B29" i="63"/>
  <c r="A28" i="63"/>
  <c r="K28" i="63"/>
  <c r="J28" i="63"/>
  <c r="I28" i="63"/>
  <c r="H28" i="63"/>
  <c r="G28" i="63"/>
  <c r="F28" i="63"/>
  <c r="E28" i="63"/>
  <c r="D28" i="63"/>
  <c r="C28" i="63"/>
  <c r="B28" i="63"/>
  <c r="A27" i="63"/>
  <c r="K27" i="63"/>
  <c r="J27" i="63"/>
  <c r="I27" i="63"/>
  <c r="H27" i="63"/>
  <c r="G27" i="63"/>
  <c r="F27" i="63"/>
  <c r="E27" i="63"/>
  <c r="D27" i="63"/>
  <c r="C27" i="63"/>
  <c r="B27" i="63"/>
  <c r="A26" i="63"/>
  <c r="K26" i="63"/>
  <c r="J26" i="63"/>
  <c r="I26" i="63"/>
  <c r="H26" i="63"/>
  <c r="G26" i="63"/>
  <c r="F26" i="63"/>
  <c r="E26" i="63"/>
  <c r="D26" i="63"/>
  <c r="C26" i="63"/>
  <c r="B26" i="63"/>
  <c r="A25" i="63"/>
  <c r="K25" i="63"/>
  <c r="J25" i="63"/>
  <c r="I25" i="63"/>
  <c r="H25" i="63"/>
  <c r="G25" i="63"/>
  <c r="F25" i="63"/>
  <c r="E25" i="63"/>
  <c r="D25" i="63"/>
  <c r="C25" i="63"/>
  <c r="B25" i="63"/>
  <c r="A24" i="63"/>
  <c r="K24" i="63"/>
  <c r="J24" i="63"/>
  <c r="I24" i="63"/>
  <c r="H24" i="63"/>
  <c r="G24" i="63"/>
  <c r="F24" i="63"/>
  <c r="E24" i="63"/>
  <c r="D24" i="63"/>
  <c r="C24" i="63"/>
  <c r="B24" i="63"/>
  <c r="A23" i="63"/>
  <c r="K23" i="63"/>
  <c r="J23" i="63"/>
  <c r="I23" i="63"/>
  <c r="H23" i="63"/>
  <c r="G23" i="63"/>
  <c r="F23" i="63"/>
  <c r="E23" i="63"/>
  <c r="D23" i="63"/>
  <c r="C23" i="63"/>
  <c r="B23" i="63"/>
  <c r="A22" i="63"/>
  <c r="K22" i="63"/>
  <c r="J22" i="63"/>
  <c r="I22" i="63"/>
  <c r="H22" i="63"/>
  <c r="G22" i="63"/>
  <c r="F22" i="63"/>
  <c r="E22" i="63"/>
  <c r="D22" i="63"/>
  <c r="C22" i="63"/>
  <c r="B22" i="63"/>
  <c r="A21" i="63"/>
  <c r="K21" i="63"/>
  <c r="J21" i="63"/>
  <c r="I21" i="63"/>
  <c r="H21" i="63"/>
  <c r="G21" i="63"/>
  <c r="F21" i="63"/>
  <c r="E21" i="63"/>
  <c r="D21" i="63"/>
  <c r="C21" i="63"/>
  <c r="B21" i="63"/>
  <c r="A20" i="63"/>
  <c r="K20" i="63"/>
  <c r="J20" i="63"/>
  <c r="I20" i="63"/>
  <c r="H20" i="63"/>
  <c r="G20" i="63"/>
  <c r="F20" i="63"/>
  <c r="E20" i="63"/>
  <c r="D20" i="63"/>
  <c r="C20" i="63"/>
  <c r="B20" i="63"/>
  <c r="A19" i="63"/>
  <c r="K19" i="63"/>
  <c r="J19" i="63"/>
  <c r="I19" i="63"/>
  <c r="H19" i="63"/>
  <c r="G19" i="63"/>
  <c r="F19" i="63"/>
  <c r="E19" i="63"/>
  <c r="D19" i="63"/>
  <c r="C19" i="63"/>
  <c r="B19" i="63"/>
  <c r="A18" i="63"/>
  <c r="K18" i="63"/>
  <c r="J18" i="63"/>
  <c r="I18" i="63"/>
  <c r="H18" i="63"/>
  <c r="G18" i="63"/>
  <c r="F18" i="63"/>
  <c r="E18" i="63"/>
  <c r="D18" i="63"/>
  <c r="C18" i="63"/>
  <c r="B18" i="63"/>
  <c r="A17" i="63"/>
  <c r="K17" i="63"/>
  <c r="J17" i="63"/>
  <c r="I17" i="63"/>
  <c r="H17" i="63"/>
  <c r="G17" i="63"/>
  <c r="F17" i="63"/>
  <c r="E17" i="63"/>
  <c r="D17" i="63"/>
  <c r="C17" i="63"/>
  <c r="B17" i="63"/>
  <c r="A16" i="63"/>
  <c r="K16" i="63"/>
  <c r="J16" i="63"/>
  <c r="I16" i="63"/>
  <c r="H16" i="63"/>
  <c r="G16" i="63"/>
  <c r="F16" i="63"/>
  <c r="E16" i="63"/>
  <c r="D16" i="63"/>
  <c r="C16" i="63"/>
  <c r="B16" i="63"/>
  <c r="A15" i="63"/>
  <c r="K15" i="63"/>
  <c r="J15" i="63"/>
  <c r="I15" i="63"/>
  <c r="H15" i="63"/>
  <c r="G15" i="63"/>
  <c r="F15" i="63"/>
  <c r="E15" i="63"/>
  <c r="D15" i="63"/>
  <c r="C15" i="63"/>
  <c r="B15" i="63"/>
  <c r="A14" i="63"/>
  <c r="K14" i="63"/>
  <c r="J14" i="63"/>
  <c r="I14" i="63"/>
  <c r="H14" i="63"/>
  <c r="G14" i="63"/>
  <c r="F14" i="63"/>
  <c r="E14" i="63"/>
  <c r="D14" i="63"/>
  <c r="C14" i="63"/>
  <c r="B14" i="63"/>
  <c r="A13" i="63"/>
  <c r="K13" i="63"/>
  <c r="J13" i="63"/>
  <c r="I13" i="63"/>
  <c r="H13" i="63"/>
  <c r="G13" i="63"/>
  <c r="F13" i="63"/>
  <c r="E13" i="63"/>
  <c r="D13" i="63"/>
  <c r="C13" i="63"/>
  <c r="B13" i="63"/>
  <c r="A12" i="63"/>
  <c r="K12" i="63"/>
  <c r="J12" i="63"/>
  <c r="I12" i="63"/>
  <c r="H12" i="63"/>
  <c r="G12" i="63"/>
  <c r="F12" i="63"/>
  <c r="E12" i="63"/>
  <c r="D12" i="63"/>
  <c r="C12" i="63"/>
  <c r="B12" i="63"/>
  <c r="A11" i="63"/>
  <c r="K11" i="63"/>
  <c r="J11" i="63"/>
  <c r="I11" i="63"/>
  <c r="H11" i="63"/>
  <c r="G11" i="63"/>
  <c r="F11" i="63"/>
  <c r="E11" i="63"/>
  <c r="D11" i="63"/>
  <c r="C11" i="63"/>
  <c r="B11" i="63"/>
  <c r="A10" i="63"/>
  <c r="K10" i="63"/>
  <c r="J10" i="63"/>
  <c r="I10" i="63"/>
  <c r="H10" i="63"/>
  <c r="G10" i="63"/>
  <c r="F10" i="63"/>
  <c r="E10" i="63"/>
  <c r="D10" i="63"/>
  <c r="C10" i="63"/>
  <c r="B10" i="63"/>
  <c r="A9" i="63"/>
  <c r="K9" i="63"/>
  <c r="J9" i="63"/>
  <c r="I9" i="63"/>
  <c r="H9" i="63"/>
  <c r="G9" i="63"/>
  <c r="F9" i="63"/>
  <c r="E9" i="63"/>
  <c r="D9" i="63"/>
  <c r="C9" i="63"/>
  <c r="B9" i="63"/>
  <c r="A8" i="63"/>
  <c r="K8" i="63"/>
  <c r="J8" i="63"/>
  <c r="I8" i="63"/>
  <c r="H8" i="63"/>
  <c r="G8" i="63"/>
  <c r="F8" i="63"/>
  <c r="E8" i="63"/>
  <c r="D8" i="63"/>
  <c r="C8" i="63"/>
  <c r="B8" i="63"/>
  <c r="A7" i="63"/>
  <c r="K7" i="63"/>
  <c r="J7" i="63"/>
  <c r="I7" i="63"/>
  <c r="H7" i="63"/>
  <c r="G7" i="63"/>
  <c r="F7" i="63"/>
  <c r="E7" i="63"/>
  <c r="D7" i="63"/>
  <c r="C7" i="63"/>
  <c r="B7" i="63"/>
  <c r="A6" i="63"/>
  <c r="K6" i="63"/>
  <c r="J6" i="63"/>
  <c r="I6" i="63"/>
  <c r="H6" i="63"/>
  <c r="G6" i="63"/>
  <c r="F6" i="63"/>
  <c r="E6" i="63"/>
  <c r="D6" i="63"/>
  <c r="C6" i="63"/>
  <c r="B6" i="63"/>
  <c r="A5" i="63"/>
  <c r="K5" i="63"/>
  <c r="J5" i="63"/>
  <c r="I5" i="63"/>
  <c r="H5" i="63"/>
  <c r="G5" i="63"/>
  <c r="F5" i="63"/>
  <c r="E5" i="63"/>
  <c r="D5" i="63"/>
  <c r="C5" i="63"/>
  <c r="B5" i="63"/>
  <c r="A4" i="63"/>
  <c r="K4" i="63"/>
  <c r="J4" i="63"/>
  <c r="I4" i="63"/>
  <c r="H4" i="63"/>
  <c r="G4" i="63"/>
  <c r="F4" i="63"/>
  <c r="E4" i="63"/>
  <c r="D4" i="63"/>
  <c r="C4" i="63"/>
  <c r="B4" i="63"/>
  <c r="K94" i="67"/>
  <c r="J94" i="67"/>
  <c r="I94" i="67"/>
  <c r="H94" i="67"/>
  <c r="G94" i="67"/>
  <c r="F94" i="67"/>
  <c r="A94" i="67"/>
  <c r="C1" i="77"/>
  <c r="A1" i="77"/>
  <c r="A238" i="77"/>
  <c r="B1" i="77"/>
  <c r="K238" i="77"/>
  <c r="J238" i="77"/>
  <c r="I238" i="77"/>
  <c r="H238" i="77"/>
  <c r="G238" i="77"/>
  <c r="F238" i="77"/>
  <c r="E238" i="77"/>
  <c r="D238" i="77"/>
  <c r="C238" i="77"/>
  <c r="B238" i="77"/>
  <c r="A237" i="77"/>
  <c r="K237" i="77"/>
  <c r="J237" i="77"/>
  <c r="I237" i="77"/>
  <c r="H237" i="77"/>
  <c r="G237" i="77"/>
  <c r="F237" i="77"/>
  <c r="E237" i="77"/>
  <c r="D237" i="77"/>
  <c r="C237" i="77"/>
  <c r="B237" i="77"/>
  <c r="A236" i="77"/>
  <c r="K236" i="77"/>
  <c r="J236" i="77"/>
  <c r="I236" i="77"/>
  <c r="H236" i="77"/>
  <c r="G236" i="77"/>
  <c r="F236" i="77"/>
  <c r="E236" i="77"/>
  <c r="D236" i="77"/>
  <c r="C236" i="77"/>
  <c r="B236" i="77"/>
  <c r="A235" i="77"/>
  <c r="K235" i="77"/>
  <c r="J235" i="77"/>
  <c r="I235" i="77"/>
  <c r="H235" i="77"/>
  <c r="G235" i="77"/>
  <c r="F235" i="77"/>
  <c r="E235" i="77"/>
  <c r="D235" i="77"/>
  <c r="C235" i="77"/>
  <c r="B235" i="77"/>
  <c r="A234" i="77"/>
  <c r="K234" i="77"/>
  <c r="J234" i="77"/>
  <c r="I234" i="77"/>
  <c r="H234" i="77"/>
  <c r="G234" i="77"/>
  <c r="F234" i="77"/>
  <c r="E234" i="77"/>
  <c r="D234" i="77"/>
  <c r="C234" i="77"/>
  <c r="B234" i="77"/>
  <c r="A233" i="77"/>
  <c r="K233" i="77"/>
  <c r="J233" i="77"/>
  <c r="I233" i="77"/>
  <c r="H233" i="77"/>
  <c r="G233" i="77"/>
  <c r="F233" i="77"/>
  <c r="E233" i="77"/>
  <c r="D233" i="77"/>
  <c r="C233" i="77"/>
  <c r="B233" i="77"/>
  <c r="A232" i="77"/>
  <c r="K232" i="77"/>
  <c r="J232" i="77"/>
  <c r="I232" i="77"/>
  <c r="H232" i="77"/>
  <c r="G232" i="77"/>
  <c r="F232" i="77"/>
  <c r="E232" i="77"/>
  <c r="D232" i="77"/>
  <c r="C232" i="77"/>
  <c r="B232" i="77"/>
  <c r="A231" i="77"/>
  <c r="K231" i="77"/>
  <c r="J231" i="77"/>
  <c r="I231" i="77"/>
  <c r="H231" i="77"/>
  <c r="G231" i="77"/>
  <c r="F231" i="77"/>
  <c r="E231" i="77"/>
  <c r="D231" i="77"/>
  <c r="C231" i="77"/>
  <c r="B231" i="77"/>
  <c r="A230" i="77"/>
  <c r="K230" i="77"/>
  <c r="J230" i="77"/>
  <c r="I230" i="77"/>
  <c r="H230" i="77"/>
  <c r="G230" i="77"/>
  <c r="F230" i="77"/>
  <c r="E230" i="77"/>
  <c r="D230" i="77"/>
  <c r="C230" i="77"/>
  <c r="B230" i="77"/>
  <c r="A229" i="77"/>
  <c r="K229" i="77"/>
  <c r="J229" i="77"/>
  <c r="I229" i="77"/>
  <c r="H229" i="77"/>
  <c r="G229" i="77"/>
  <c r="F229" i="77"/>
  <c r="E229" i="77"/>
  <c r="D229" i="77"/>
  <c r="C229" i="77"/>
  <c r="B229" i="77"/>
  <c r="A228" i="77"/>
  <c r="K228" i="77"/>
  <c r="J228" i="77"/>
  <c r="I228" i="77"/>
  <c r="H228" i="77"/>
  <c r="G228" i="77"/>
  <c r="F228" i="77"/>
  <c r="E228" i="77"/>
  <c r="D228" i="77"/>
  <c r="C228" i="77"/>
  <c r="B228" i="77"/>
  <c r="A227" i="77"/>
  <c r="K227" i="77"/>
  <c r="J227" i="77"/>
  <c r="I227" i="77"/>
  <c r="H227" i="77"/>
  <c r="G227" i="77"/>
  <c r="F227" i="77"/>
  <c r="E227" i="77"/>
  <c r="D227" i="77"/>
  <c r="C227" i="77"/>
  <c r="B227" i="77"/>
  <c r="A226" i="77"/>
  <c r="K226" i="77"/>
  <c r="J226" i="77"/>
  <c r="I226" i="77"/>
  <c r="H226" i="77"/>
  <c r="G226" i="77"/>
  <c r="F226" i="77"/>
  <c r="E226" i="77"/>
  <c r="D226" i="77"/>
  <c r="C226" i="77"/>
  <c r="B226" i="77"/>
  <c r="A225" i="77"/>
  <c r="K225" i="77"/>
  <c r="J225" i="77"/>
  <c r="I225" i="77"/>
  <c r="H225" i="77"/>
  <c r="G225" i="77"/>
  <c r="F225" i="77"/>
  <c r="E225" i="77"/>
  <c r="D225" i="77"/>
  <c r="C225" i="77"/>
  <c r="B225" i="77"/>
  <c r="A224" i="77"/>
  <c r="K224" i="77"/>
  <c r="J224" i="77"/>
  <c r="I224" i="77"/>
  <c r="H224" i="77"/>
  <c r="G224" i="77"/>
  <c r="F224" i="77"/>
  <c r="E224" i="77"/>
  <c r="D224" i="77"/>
  <c r="C224" i="77"/>
  <c r="B224" i="77"/>
  <c r="A223" i="77"/>
  <c r="K223" i="77"/>
  <c r="J223" i="77"/>
  <c r="I223" i="77"/>
  <c r="H223" i="77"/>
  <c r="G223" i="77"/>
  <c r="F223" i="77"/>
  <c r="E223" i="77"/>
  <c r="D223" i="77"/>
  <c r="C223" i="77"/>
  <c r="B223" i="77"/>
  <c r="A222" i="77"/>
  <c r="K222" i="77"/>
  <c r="J222" i="77"/>
  <c r="I222" i="77"/>
  <c r="H222" i="77"/>
  <c r="G222" i="77"/>
  <c r="F222" i="77"/>
  <c r="E222" i="77"/>
  <c r="D222" i="77"/>
  <c r="C222" i="77"/>
  <c r="B222" i="77"/>
  <c r="A221" i="77"/>
  <c r="K221" i="77"/>
  <c r="J221" i="77"/>
  <c r="I221" i="77"/>
  <c r="H221" i="77"/>
  <c r="G221" i="77"/>
  <c r="F221" i="77"/>
  <c r="E221" i="77"/>
  <c r="D221" i="77"/>
  <c r="C221" i="77"/>
  <c r="B221" i="77"/>
  <c r="A220" i="77"/>
  <c r="K220" i="77"/>
  <c r="J220" i="77"/>
  <c r="I220" i="77"/>
  <c r="H220" i="77"/>
  <c r="G220" i="77"/>
  <c r="F220" i="77"/>
  <c r="E220" i="77"/>
  <c r="D220" i="77"/>
  <c r="C220" i="77"/>
  <c r="B220" i="77"/>
  <c r="A219" i="77"/>
  <c r="K219" i="77"/>
  <c r="J219" i="77"/>
  <c r="I219" i="77"/>
  <c r="H219" i="77"/>
  <c r="G219" i="77"/>
  <c r="F219" i="77"/>
  <c r="E219" i="77"/>
  <c r="D219" i="77"/>
  <c r="C219" i="77"/>
  <c r="B219" i="77"/>
  <c r="A218" i="77"/>
  <c r="K218" i="77"/>
  <c r="J218" i="77"/>
  <c r="I218" i="77"/>
  <c r="H218" i="77"/>
  <c r="G218" i="77"/>
  <c r="F218" i="77"/>
  <c r="E218" i="77"/>
  <c r="D218" i="77"/>
  <c r="C218" i="77"/>
  <c r="B218" i="77"/>
  <c r="A217" i="77"/>
  <c r="K217" i="77"/>
  <c r="J217" i="77"/>
  <c r="I217" i="77"/>
  <c r="H217" i="77"/>
  <c r="G217" i="77"/>
  <c r="F217" i="77"/>
  <c r="E217" i="77"/>
  <c r="D217" i="77"/>
  <c r="C217" i="77"/>
  <c r="B217" i="77"/>
  <c r="A216" i="77"/>
  <c r="K216" i="77"/>
  <c r="J216" i="77"/>
  <c r="I216" i="77"/>
  <c r="H216" i="77"/>
  <c r="G216" i="77"/>
  <c r="F216" i="77"/>
  <c r="E216" i="77"/>
  <c r="D216" i="77"/>
  <c r="C216" i="77"/>
  <c r="B216" i="77"/>
  <c r="A215" i="77"/>
  <c r="K215" i="77"/>
  <c r="J215" i="77"/>
  <c r="I215" i="77"/>
  <c r="H215" i="77"/>
  <c r="G215" i="77"/>
  <c r="F215" i="77"/>
  <c r="E215" i="77"/>
  <c r="D215" i="77"/>
  <c r="C215" i="77"/>
  <c r="B215" i="77"/>
  <c r="A214" i="77"/>
  <c r="K214" i="77"/>
  <c r="J214" i="77"/>
  <c r="I214" i="77"/>
  <c r="H214" i="77"/>
  <c r="G214" i="77"/>
  <c r="F214" i="77"/>
  <c r="E214" i="77"/>
  <c r="D214" i="77"/>
  <c r="C214" i="77"/>
  <c r="B214" i="77"/>
  <c r="A213" i="77"/>
  <c r="K213" i="77"/>
  <c r="J213" i="77"/>
  <c r="I213" i="77"/>
  <c r="H213" i="77"/>
  <c r="G213" i="77"/>
  <c r="F213" i="77"/>
  <c r="E213" i="77"/>
  <c r="D213" i="77"/>
  <c r="C213" i="77"/>
  <c r="B213" i="77"/>
  <c r="A212" i="77"/>
  <c r="K212" i="77"/>
  <c r="J212" i="77"/>
  <c r="I212" i="77"/>
  <c r="H212" i="77"/>
  <c r="G212" i="77"/>
  <c r="F212" i="77"/>
  <c r="E212" i="77"/>
  <c r="D212" i="77"/>
  <c r="C212" i="77"/>
  <c r="B212" i="77"/>
  <c r="A211" i="77"/>
  <c r="K211" i="77"/>
  <c r="J211" i="77"/>
  <c r="I211" i="77"/>
  <c r="H211" i="77"/>
  <c r="G211" i="77"/>
  <c r="F211" i="77"/>
  <c r="E211" i="77"/>
  <c r="D211" i="77"/>
  <c r="C211" i="77"/>
  <c r="B211" i="77"/>
  <c r="A210" i="77"/>
  <c r="K210" i="77"/>
  <c r="J210" i="77"/>
  <c r="I210" i="77"/>
  <c r="H210" i="77"/>
  <c r="G210" i="77"/>
  <c r="F210" i="77"/>
  <c r="E210" i="77"/>
  <c r="D210" i="77"/>
  <c r="C210" i="77"/>
  <c r="B210" i="77"/>
  <c r="A209" i="77"/>
  <c r="K209" i="77"/>
  <c r="J209" i="77"/>
  <c r="I209" i="77"/>
  <c r="H209" i="77"/>
  <c r="G209" i="77"/>
  <c r="F209" i="77"/>
  <c r="E209" i="77"/>
  <c r="D209" i="77"/>
  <c r="C209" i="77"/>
  <c r="B209" i="77"/>
  <c r="A208" i="77"/>
  <c r="K208" i="77"/>
  <c r="J208" i="77"/>
  <c r="I208" i="77"/>
  <c r="H208" i="77"/>
  <c r="G208" i="77"/>
  <c r="F208" i="77"/>
  <c r="E208" i="77"/>
  <c r="D208" i="77"/>
  <c r="C208" i="77"/>
  <c r="B208" i="77"/>
  <c r="A207" i="77"/>
  <c r="K207" i="77"/>
  <c r="J207" i="77"/>
  <c r="I207" i="77"/>
  <c r="H207" i="77"/>
  <c r="G207" i="77"/>
  <c r="F207" i="77"/>
  <c r="E207" i="77"/>
  <c r="D207" i="77"/>
  <c r="C207" i="77"/>
  <c r="B207" i="77"/>
  <c r="A206" i="77"/>
  <c r="K206" i="77"/>
  <c r="J206" i="77"/>
  <c r="I206" i="77"/>
  <c r="H206" i="77"/>
  <c r="G206" i="77"/>
  <c r="F206" i="77"/>
  <c r="E206" i="77"/>
  <c r="D206" i="77"/>
  <c r="C206" i="77"/>
  <c r="B206" i="77"/>
  <c r="A205" i="77"/>
  <c r="K205" i="77"/>
  <c r="J205" i="77"/>
  <c r="I205" i="77"/>
  <c r="H205" i="77"/>
  <c r="G205" i="77"/>
  <c r="F205" i="77"/>
  <c r="E205" i="77"/>
  <c r="D205" i="77"/>
  <c r="C205" i="77"/>
  <c r="B205" i="77"/>
  <c r="A204" i="77"/>
  <c r="K204" i="77"/>
  <c r="J204" i="77"/>
  <c r="I204" i="77"/>
  <c r="H204" i="77"/>
  <c r="G204" i="77"/>
  <c r="F204" i="77"/>
  <c r="E204" i="77"/>
  <c r="D204" i="77"/>
  <c r="C204" i="77"/>
  <c r="B204" i="77"/>
  <c r="A203" i="77"/>
  <c r="K203" i="77"/>
  <c r="J203" i="77"/>
  <c r="I203" i="77"/>
  <c r="H203" i="77"/>
  <c r="G203" i="77"/>
  <c r="F203" i="77"/>
  <c r="E203" i="77"/>
  <c r="D203" i="77"/>
  <c r="C203" i="77"/>
  <c r="B203" i="77"/>
  <c r="A202" i="77"/>
  <c r="K202" i="77"/>
  <c r="J202" i="77"/>
  <c r="I202" i="77"/>
  <c r="H202" i="77"/>
  <c r="G202" i="77"/>
  <c r="F202" i="77"/>
  <c r="E202" i="77"/>
  <c r="D202" i="77"/>
  <c r="C202" i="77"/>
  <c r="B202" i="77"/>
  <c r="A201" i="77"/>
  <c r="K201" i="77"/>
  <c r="J201" i="77"/>
  <c r="I201" i="77"/>
  <c r="H201" i="77"/>
  <c r="G201" i="77"/>
  <c r="F201" i="77"/>
  <c r="E201" i="77"/>
  <c r="D201" i="77"/>
  <c r="C201" i="77"/>
  <c r="B201" i="77"/>
  <c r="A200" i="77"/>
  <c r="K200" i="77"/>
  <c r="J200" i="77"/>
  <c r="I200" i="77"/>
  <c r="H200" i="77"/>
  <c r="G200" i="77"/>
  <c r="F200" i="77"/>
  <c r="E200" i="77"/>
  <c r="D200" i="77"/>
  <c r="C200" i="77"/>
  <c r="B200" i="77"/>
  <c r="A199" i="77"/>
  <c r="K199" i="77"/>
  <c r="J199" i="77"/>
  <c r="I199" i="77"/>
  <c r="H199" i="77"/>
  <c r="G199" i="77"/>
  <c r="F199" i="77"/>
  <c r="E199" i="77"/>
  <c r="D199" i="77"/>
  <c r="C199" i="77"/>
  <c r="B199" i="77"/>
  <c r="A198" i="77"/>
  <c r="K198" i="77"/>
  <c r="J198" i="77"/>
  <c r="I198" i="77"/>
  <c r="H198" i="77"/>
  <c r="G198" i="77"/>
  <c r="F198" i="77"/>
  <c r="E198" i="77"/>
  <c r="D198" i="77"/>
  <c r="C198" i="77"/>
  <c r="B198" i="77"/>
  <c r="A197" i="77"/>
  <c r="K197" i="77"/>
  <c r="J197" i="77"/>
  <c r="I197" i="77"/>
  <c r="H197" i="77"/>
  <c r="G197" i="77"/>
  <c r="F197" i="77"/>
  <c r="E197" i="77"/>
  <c r="D197" i="77"/>
  <c r="C197" i="77"/>
  <c r="B197" i="77"/>
  <c r="A196" i="77"/>
  <c r="K196" i="77"/>
  <c r="J196" i="77"/>
  <c r="I196" i="77"/>
  <c r="H196" i="77"/>
  <c r="G196" i="77"/>
  <c r="F196" i="77"/>
  <c r="E196" i="77"/>
  <c r="D196" i="77"/>
  <c r="C196" i="77"/>
  <c r="B196" i="77"/>
  <c r="A195" i="77"/>
  <c r="K195" i="77"/>
  <c r="J195" i="77"/>
  <c r="I195" i="77"/>
  <c r="H195" i="77"/>
  <c r="G195" i="77"/>
  <c r="F195" i="77"/>
  <c r="E195" i="77"/>
  <c r="D195" i="77"/>
  <c r="C195" i="77"/>
  <c r="B195" i="77"/>
  <c r="A194" i="77"/>
  <c r="K194" i="77"/>
  <c r="J194" i="77"/>
  <c r="I194" i="77"/>
  <c r="H194" i="77"/>
  <c r="G194" i="77"/>
  <c r="F194" i="77"/>
  <c r="E194" i="77"/>
  <c r="D194" i="77"/>
  <c r="C194" i="77"/>
  <c r="B194" i="77"/>
  <c r="A193" i="77"/>
  <c r="K193" i="77"/>
  <c r="J193" i="77"/>
  <c r="I193" i="77"/>
  <c r="H193" i="77"/>
  <c r="G193" i="77"/>
  <c r="F193" i="77"/>
  <c r="E193" i="77"/>
  <c r="D193" i="77"/>
  <c r="C193" i="77"/>
  <c r="B193" i="77"/>
  <c r="A192" i="77"/>
  <c r="K192" i="77"/>
  <c r="J192" i="77"/>
  <c r="I192" i="77"/>
  <c r="H192" i="77"/>
  <c r="G192" i="77"/>
  <c r="F192" i="77"/>
  <c r="E192" i="77"/>
  <c r="D192" i="77"/>
  <c r="C192" i="77"/>
  <c r="B192" i="77"/>
  <c r="A191" i="77"/>
  <c r="K191" i="77"/>
  <c r="J191" i="77"/>
  <c r="I191" i="77"/>
  <c r="H191" i="77"/>
  <c r="G191" i="77"/>
  <c r="F191" i="77"/>
  <c r="E191" i="77"/>
  <c r="D191" i="77"/>
  <c r="C191" i="77"/>
  <c r="B191" i="77"/>
  <c r="A190" i="77"/>
  <c r="K190" i="77"/>
  <c r="J190" i="77"/>
  <c r="I190" i="77"/>
  <c r="H190" i="77"/>
  <c r="G190" i="77"/>
  <c r="F190" i="77"/>
  <c r="E190" i="77"/>
  <c r="D190" i="77"/>
  <c r="C190" i="77"/>
  <c r="B190" i="77"/>
  <c r="A189" i="77"/>
  <c r="K189" i="77"/>
  <c r="J189" i="77"/>
  <c r="I189" i="77"/>
  <c r="H189" i="77"/>
  <c r="G189" i="77"/>
  <c r="F189" i="77"/>
  <c r="E189" i="77"/>
  <c r="D189" i="77"/>
  <c r="C189" i="77"/>
  <c r="B189" i="77"/>
  <c r="A188" i="77"/>
  <c r="K188" i="77"/>
  <c r="J188" i="77"/>
  <c r="I188" i="77"/>
  <c r="H188" i="77"/>
  <c r="G188" i="77"/>
  <c r="F188" i="77"/>
  <c r="E188" i="77"/>
  <c r="D188" i="77"/>
  <c r="C188" i="77"/>
  <c r="B188" i="77"/>
  <c r="A187" i="77"/>
  <c r="K187" i="77"/>
  <c r="J187" i="77"/>
  <c r="I187" i="77"/>
  <c r="H187" i="77"/>
  <c r="G187" i="77"/>
  <c r="F187" i="77"/>
  <c r="E187" i="77"/>
  <c r="D187" i="77"/>
  <c r="C187" i="77"/>
  <c r="B187" i="77"/>
  <c r="A186" i="77"/>
  <c r="K186" i="77"/>
  <c r="J186" i="77"/>
  <c r="I186" i="77"/>
  <c r="H186" i="77"/>
  <c r="G186" i="77"/>
  <c r="F186" i="77"/>
  <c r="E186" i="77"/>
  <c r="D186" i="77"/>
  <c r="C186" i="77"/>
  <c r="B186" i="77"/>
  <c r="A185" i="77"/>
  <c r="K185" i="77"/>
  <c r="J185" i="77"/>
  <c r="I185" i="77"/>
  <c r="H185" i="77"/>
  <c r="G185" i="77"/>
  <c r="F185" i="77"/>
  <c r="E185" i="77"/>
  <c r="D185" i="77"/>
  <c r="C185" i="77"/>
  <c r="B185" i="77"/>
  <c r="A184" i="77"/>
  <c r="K184" i="77"/>
  <c r="J184" i="77"/>
  <c r="I184" i="77"/>
  <c r="H184" i="77"/>
  <c r="G184" i="77"/>
  <c r="F184" i="77"/>
  <c r="E184" i="77"/>
  <c r="D184" i="77"/>
  <c r="C184" i="77"/>
  <c r="B184" i="77"/>
  <c r="A183" i="77"/>
  <c r="K183" i="77"/>
  <c r="J183" i="77"/>
  <c r="I183" i="77"/>
  <c r="H183" i="77"/>
  <c r="G183" i="77"/>
  <c r="F183" i="77"/>
  <c r="E183" i="77"/>
  <c r="D183" i="77"/>
  <c r="C183" i="77"/>
  <c r="B183" i="77"/>
  <c r="A182" i="77"/>
  <c r="K182" i="77"/>
  <c r="J182" i="77"/>
  <c r="I182" i="77"/>
  <c r="H182" i="77"/>
  <c r="G182" i="77"/>
  <c r="F182" i="77"/>
  <c r="E182" i="77"/>
  <c r="D182" i="77"/>
  <c r="C182" i="77"/>
  <c r="B182" i="77"/>
  <c r="A181" i="77"/>
  <c r="K181" i="77"/>
  <c r="J181" i="77"/>
  <c r="I181" i="77"/>
  <c r="H181" i="77"/>
  <c r="G181" i="77"/>
  <c r="F181" i="77"/>
  <c r="E181" i="77"/>
  <c r="D181" i="77"/>
  <c r="C181" i="77"/>
  <c r="B181" i="77"/>
  <c r="A180" i="77"/>
  <c r="K180" i="77"/>
  <c r="J180" i="77"/>
  <c r="I180" i="77"/>
  <c r="H180" i="77"/>
  <c r="G180" i="77"/>
  <c r="F180" i="77"/>
  <c r="E180" i="77"/>
  <c r="D180" i="77"/>
  <c r="C180" i="77"/>
  <c r="B180" i="77"/>
  <c r="A179" i="77"/>
  <c r="K179" i="77"/>
  <c r="J179" i="77"/>
  <c r="I179" i="77"/>
  <c r="H179" i="77"/>
  <c r="G179" i="77"/>
  <c r="F179" i="77"/>
  <c r="E179" i="77"/>
  <c r="D179" i="77"/>
  <c r="C179" i="77"/>
  <c r="B179" i="77"/>
  <c r="A178" i="77"/>
  <c r="K178" i="77"/>
  <c r="J178" i="77"/>
  <c r="I178" i="77"/>
  <c r="H178" i="77"/>
  <c r="G178" i="77"/>
  <c r="F178" i="77"/>
  <c r="E178" i="77"/>
  <c r="D178" i="77"/>
  <c r="C178" i="77"/>
  <c r="B178" i="77"/>
  <c r="A177" i="77"/>
  <c r="K177" i="77"/>
  <c r="J177" i="77"/>
  <c r="I177" i="77"/>
  <c r="H177" i="77"/>
  <c r="G177" i="77"/>
  <c r="F177" i="77"/>
  <c r="E177" i="77"/>
  <c r="D177" i="77"/>
  <c r="C177" i="77"/>
  <c r="B177" i="77"/>
  <c r="A176" i="77"/>
  <c r="K176" i="77"/>
  <c r="J176" i="77"/>
  <c r="I176" i="77"/>
  <c r="H176" i="77"/>
  <c r="G176" i="77"/>
  <c r="F176" i="77"/>
  <c r="E176" i="77"/>
  <c r="D176" i="77"/>
  <c r="C176" i="77"/>
  <c r="B176" i="77"/>
  <c r="A175" i="77"/>
  <c r="K175" i="77"/>
  <c r="J175" i="77"/>
  <c r="I175" i="77"/>
  <c r="H175" i="77"/>
  <c r="G175" i="77"/>
  <c r="F175" i="77"/>
  <c r="E175" i="77"/>
  <c r="D175" i="77"/>
  <c r="C175" i="77"/>
  <c r="B175" i="77"/>
  <c r="A174" i="77"/>
  <c r="K174" i="77"/>
  <c r="J174" i="77"/>
  <c r="I174" i="77"/>
  <c r="H174" i="77"/>
  <c r="G174" i="77"/>
  <c r="F174" i="77"/>
  <c r="E174" i="77"/>
  <c r="D174" i="77"/>
  <c r="C174" i="77"/>
  <c r="B174" i="77"/>
  <c r="A173" i="77"/>
  <c r="K173" i="77"/>
  <c r="J173" i="77"/>
  <c r="I173" i="77"/>
  <c r="H173" i="77"/>
  <c r="G173" i="77"/>
  <c r="F173" i="77"/>
  <c r="E173" i="77"/>
  <c r="D173" i="77"/>
  <c r="C173" i="77"/>
  <c r="B173" i="77"/>
  <c r="A172" i="77"/>
  <c r="K172" i="77"/>
  <c r="J172" i="77"/>
  <c r="I172" i="77"/>
  <c r="H172" i="77"/>
  <c r="G172" i="77"/>
  <c r="F172" i="77"/>
  <c r="E172" i="77"/>
  <c r="D172" i="77"/>
  <c r="C172" i="77"/>
  <c r="B172" i="77"/>
  <c r="A171" i="77"/>
  <c r="K171" i="77"/>
  <c r="J171" i="77"/>
  <c r="I171" i="77"/>
  <c r="H171" i="77"/>
  <c r="G171" i="77"/>
  <c r="F171" i="77"/>
  <c r="E171" i="77"/>
  <c r="D171" i="77"/>
  <c r="C171" i="77"/>
  <c r="B171" i="77"/>
  <c r="A170" i="77"/>
  <c r="K170" i="77"/>
  <c r="J170" i="77"/>
  <c r="I170" i="77"/>
  <c r="H170" i="77"/>
  <c r="G170" i="77"/>
  <c r="F170" i="77"/>
  <c r="E170" i="77"/>
  <c r="D170" i="77"/>
  <c r="C170" i="77"/>
  <c r="B170" i="77"/>
  <c r="A169" i="77"/>
  <c r="K169" i="77"/>
  <c r="J169" i="77"/>
  <c r="I169" i="77"/>
  <c r="H169" i="77"/>
  <c r="G169" i="77"/>
  <c r="F169" i="77"/>
  <c r="E169" i="77"/>
  <c r="D169" i="77"/>
  <c r="C169" i="77"/>
  <c r="B169" i="77"/>
  <c r="A168" i="77"/>
  <c r="K168" i="77"/>
  <c r="J168" i="77"/>
  <c r="I168" i="77"/>
  <c r="H168" i="77"/>
  <c r="G168" i="77"/>
  <c r="F168" i="77"/>
  <c r="E168" i="77"/>
  <c r="D168" i="77"/>
  <c r="C168" i="77"/>
  <c r="B168" i="77"/>
  <c r="A167" i="77"/>
  <c r="K167" i="77"/>
  <c r="J167" i="77"/>
  <c r="I167" i="77"/>
  <c r="H167" i="77"/>
  <c r="G167" i="77"/>
  <c r="F167" i="77"/>
  <c r="E167" i="77"/>
  <c r="D167" i="77"/>
  <c r="C167" i="77"/>
  <c r="B167" i="77"/>
  <c r="A166" i="77"/>
  <c r="K166" i="77"/>
  <c r="J166" i="77"/>
  <c r="I166" i="77"/>
  <c r="H166" i="77"/>
  <c r="G166" i="77"/>
  <c r="F166" i="77"/>
  <c r="E166" i="77"/>
  <c r="D166" i="77"/>
  <c r="C166" i="77"/>
  <c r="B166" i="77"/>
  <c r="A165" i="77"/>
  <c r="K165" i="77"/>
  <c r="J165" i="77"/>
  <c r="I165" i="77"/>
  <c r="H165" i="77"/>
  <c r="G165" i="77"/>
  <c r="F165" i="77"/>
  <c r="E165" i="77"/>
  <c r="D165" i="77"/>
  <c r="C165" i="77"/>
  <c r="B165" i="77"/>
  <c r="A164" i="77"/>
  <c r="K164" i="77"/>
  <c r="J164" i="77"/>
  <c r="I164" i="77"/>
  <c r="H164" i="77"/>
  <c r="G164" i="77"/>
  <c r="F164" i="77"/>
  <c r="E164" i="77"/>
  <c r="D164" i="77"/>
  <c r="C164" i="77"/>
  <c r="B164" i="77"/>
  <c r="A163" i="77"/>
  <c r="K163" i="77"/>
  <c r="J163" i="77"/>
  <c r="I163" i="77"/>
  <c r="H163" i="77"/>
  <c r="G163" i="77"/>
  <c r="F163" i="77"/>
  <c r="E163" i="77"/>
  <c r="D163" i="77"/>
  <c r="C163" i="77"/>
  <c r="B163" i="77"/>
  <c r="A162" i="77"/>
  <c r="K162" i="77"/>
  <c r="J162" i="77"/>
  <c r="I162" i="77"/>
  <c r="H162" i="77"/>
  <c r="G162" i="77"/>
  <c r="F162" i="77"/>
  <c r="E162" i="77"/>
  <c r="D162" i="77"/>
  <c r="C162" i="77"/>
  <c r="B162" i="77"/>
  <c r="A161" i="77"/>
  <c r="K161" i="77"/>
  <c r="J161" i="77"/>
  <c r="I161" i="77"/>
  <c r="H161" i="77"/>
  <c r="G161" i="77"/>
  <c r="F161" i="77"/>
  <c r="E161" i="77"/>
  <c r="D161" i="77"/>
  <c r="C161" i="77"/>
  <c r="B161" i="77"/>
  <c r="A160" i="77"/>
  <c r="K160" i="77"/>
  <c r="J160" i="77"/>
  <c r="I160" i="77"/>
  <c r="H160" i="77"/>
  <c r="G160" i="77"/>
  <c r="F160" i="77"/>
  <c r="E160" i="77"/>
  <c r="D160" i="77"/>
  <c r="C160" i="77"/>
  <c r="B160" i="77"/>
  <c r="A159" i="77"/>
  <c r="K159" i="77"/>
  <c r="J159" i="77"/>
  <c r="I159" i="77"/>
  <c r="H159" i="77"/>
  <c r="G159" i="77"/>
  <c r="F159" i="77"/>
  <c r="E159" i="77"/>
  <c r="D159" i="77"/>
  <c r="C159" i="77"/>
  <c r="B159" i="77"/>
  <c r="A158" i="77"/>
  <c r="K158" i="77"/>
  <c r="J158" i="77"/>
  <c r="I158" i="77"/>
  <c r="H158" i="77"/>
  <c r="G158" i="77"/>
  <c r="F158" i="77"/>
  <c r="E158" i="77"/>
  <c r="D158" i="77"/>
  <c r="C158" i="77"/>
  <c r="B158" i="77"/>
  <c r="A157" i="77"/>
  <c r="K157" i="77"/>
  <c r="J157" i="77"/>
  <c r="I157" i="77"/>
  <c r="H157" i="77"/>
  <c r="G157" i="77"/>
  <c r="F157" i="77"/>
  <c r="E157" i="77"/>
  <c r="D157" i="77"/>
  <c r="C157" i="77"/>
  <c r="B157" i="77"/>
  <c r="A156" i="77"/>
  <c r="K156" i="77"/>
  <c r="J156" i="77"/>
  <c r="I156" i="77"/>
  <c r="H156" i="77"/>
  <c r="G156" i="77"/>
  <c r="F156" i="77"/>
  <c r="E156" i="77"/>
  <c r="D156" i="77"/>
  <c r="C156" i="77"/>
  <c r="B156" i="77"/>
  <c r="A155" i="77"/>
  <c r="K155" i="77"/>
  <c r="J155" i="77"/>
  <c r="I155" i="77"/>
  <c r="H155" i="77"/>
  <c r="G155" i="77"/>
  <c r="F155" i="77"/>
  <c r="E155" i="77"/>
  <c r="D155" i="77"/>
  <c r="C155" i="77"/>
  <c r="B155" i="77"/>
  <c r="A154" i="77"/>
  <c r="K154" i="77"/>
  <c r="J154" i="77"/>
  <c r="I154" i="77"/>
  <c r="H154" i="77"/>
  <c r="G154" i="77"/>
  <c r="F154" i="77"/>
  <c r="E154" i="77"/>
  <c r="D154" i="77"/>
  <c r="C154" i="77"/>
  <c r="B154" i="77"/>
  <c r="A153" i="77"/>
  <c r="K153" i="77"/>
  <c r="J153" i="77"/>
  <c r="I153" i="77"/>
  <c r="H153" i="77"/>
  <c r="G153" i="77"/>
  <c r="F153" i="77"/>
  <c r="E153" i="77"/>
  <c r="D153" i="77"/>
  <c r="C153" i="77"/>
  <c r="B153" i="77"/>
  <c r="A152" i="77"/>
  <c r="K152" i="77"/>
  <c r="J152" i="77"/>
  <c r="I152" i="77"/>
  <c r="H152" i="77"/>
  <c r="G152" i="77"/>
  <c r="F152" i="77"/>
  <c r="E152" i="77"/>
  <c r="D152" i="77"/>
  <c r="C152" i="77"/>
  <c r="B152" i="77"/>
  <c r="A151" i="77"/>
  <c r="K151" i="77"/>
  <c r="J151" i="77"/>
  <c r="I151" i="77"/>
  <c r="H151" i="77"/>
  <c r="G151" i="77"/>
  <c r="F151" i="77"/>
  <c r="E151" i="77"/>
  <c r="D151" i="77"/>
  <c r="C151" i="77"/>
  <c r="B151" i="77"/>
  <c r="A150" i="77"/>
  <c r="K150" i="77"/>
  <c r="J150" i="77"/>
  <c r="I150" i="77"/>
  <c r="H150" i="77"/>
  <c r="G150" i="77"/>
  <c r="F150" i="77"/>
  <c r="E150" i="77"/>
  <c r="D150" i="77"/>
  <c r="C150" i="77"/>
  <c r="B150" i="77"/>
  <c r="A149" i="77"/>
  <c r="K149" i="77"/>
  <c r="J149" i="77"/>
  <c r="I149" i="77"/>
  <c r="H149" i="77"/>
  <c r="G149" i="77"/>
  <c r="F149" i="77"/>
  <c r="E149" i="77"/>
  <c r="D149" i="77"/>
  <c r="C149" i="77"/>
  <c r="B149" i="77"/>
  <c r="A148" i="77"/>
  <c r="K148" i="77"/>
  <c r="J148" i="77"/>
  <c r="I148" i="77"/>
  <c r="H148" i="77"/>
  <c r="G148" i="77"/>
  <c r="F148" i="77"/>
  <c r="E148" i="77"/>
  <c r="D148" i="77"/>
  <c r="C148" i="77"/>
  <c r="B148" i="77"/>
  <c r="A147" i="77"/>
  <c r="K147" i="77"/>
  <c r="J147" i="77"/>
  <c r="I147" i="77"/>
  <c r="H147" i="77"/>
  <c r="G147" i="77"/>
  <c r="F147" i="77"/>
  <c r="E147" i="77"/>
  <c r="D147" i="77"/>
  <c r="C147" i="77"/>
  <c r="B147" i="77"/>
  <c r="A146" i="77"/>
  <c r="K146" i="77"/>
  <c r="J146" i="77"/>
  <c r="I146" i="77"/>
  <c r="H146" i="77"/>
  <c r="G146" i="77"/>
  <c r="F146" i="77"/>
  <c r="E146" i="77"/>
  <c r="D146" i="77"/>
  <c r="C146" i="77"/>
  <c r="B146" i="77"/>
  <c r="A145" i="77"/>
  <c r="K145" i="77"/>
  <c r="J145" i="77"/>
  <c r="I145" i="77"/>
  <c r="H145" i="77"/>
  <c r="G145" i="77"/>
  <c r="F145" i="77"/>
  <c r="E145" i="77"/>
  <c r="D145" i="77"/>
  <c r="C145" i="77"/>
  <c r="B145" i="77"/>
  <c r="A144" i="77"/>
  <c r="K144" i="77"/>
  <c r="J144" i="77"/>
  <c r="I144" i="77"/>
  <c r="H144" i="77"/>
  <c r="G144" i="77"/>
  <c r="F144" i="77"/>
  <c r="E144" i="77"/>
  <c r="D144" i="77"/>
  <c r="C144" i="77"/>
  <c r="B144" i="77"/>
  <c r="A143" i="77"/>
  <c r="K143" i="77"/>
  <c r="J143" i="77"/>
  <c r="I143" i="77"/>
  <c r="H143" i="77"/>
  <c r="G143" i="77"/>
  <c r="F143" i="77"/>
  <c r="E143" i="77"/>
  <c r="D143" i="77"/>
  <c r="C143" i="77"/>
  <c r="B143" i="77"/>
  <c r="A142" i="77"/>
  <c r="K142" i="77"/>
  <c r="J142" i="77"/>
  <c r="I142" i="77"/>
  <c r="H142" i="77"/>
  <c r="G142" i="77"/>
  <c r="F142" i="77"/>
  <c r="E142" i="77"/>
  <c r="D142" i="77"/>
  <c r="C142" i="77"/>
  <c r="B142" i="77"/>
  <c r="A141" i="77"/>
  <c r="K141" i="77"/>
  <c r="J141" i="77"/>
  <c r="I141" i="77"/>
  <c r="H141" i="77"/>
  <c r="G141" i="77"/>
  <c r="F141" i="77"/>
  <c r="E141" i="77"/>
  <c r="D141" i="77"/>
  <c r="C141" i="77"/>
  <c r="B141" i="77"/>
  <c r="A140" i="77"/>
  <c r="K140" i="77"/>
  <c r="J140" i="77"/>
  <c r="I140" i="77"/>
  <c r="H140" i="77"/>
  <c r="G140" i="77"/>
  <c r="F140" i="77"/>
  <c r="E140" i="77"/>
  <c r="D140" i="77"/>
  <c r="C140" i="77"/>
  <c r="B140" i="77"/>
  <c r="A139" i="77"/>
  <c r="K139" i="77"/>
  <c r="J139" i="77"/>
  <c r="I139" i="77"/>
  <c r="H139" i="77"/>
  <c r="G139" i="77"/>
  <c r="F139" i="77"/>
  <c r="E139" i="77"/>
  <c r="D139" i="77"/>
  <c r="C139" i="77"/>
  <c r="B139" i="77"/>
  <c r="A138" i="77"/>
  <c r="K138" i="77"/>
  <c r="J138" i="77"/>
  <c r="I138" i="77"/>
  <c r="H138" i="77"/>
  <c r="G138" i="77"/>
  <c r="F138" i="77"/>
  <c r="E138" i="77"/>
  <c r="D138" i="77"/>
  <c r="C138" i="77"/>
  <c r="B138" i="77"/>
  <c r="A137" i="77"/>
  <c r="K137" i="77"/>
  <c r="J137" i="77"/>
  <c r="I137" i="77"/>
  <c r="H137" i="77"/>
  <c r="G137" i="77"/>
  <c r="F137" i="77"/>
  <c r="E137" i="77"/>
  <c r="D137" i="77"/>
  <c r="C137" i="77"/>
  <c r="B137" i="77"/>
  <c r="A136" i="77"/>
  <c r="K136" i="77"/>
  <c r="J136" i="77"/>
  <c r="I136" i="77"/>
  <c r="H136" i="77"/>
  <c r="G136" i="77"/>
  <c r="F136" i="77"/>
  <c r="E136" i="77"/>
  <c r="D136" i="77"/>
  <c r="C136" i="77"/>
  <c r="B136" i="77"/>
  <c r="A135" i="77"/>
  <c r="K135" i="77"/>
  <c r="J135" i="77"/>
  <c r="I135" i="77"/>
  <c r="H135" i="77"/>
  <c r="G135" i="77"/>
  <c r="F135" i="77"/>
  <c r="E135" i="77"/>
  <c r="D135" i="77"/>
  <c r="C135" i="77"/>
  <c r="B135" i="77"/>
  <c r="A134" i="77"/>
  <c r="K134" i="77"/>
  <c r="J134" i="77"/>
  <c r="I134" i="77"/>
  <c r="H134" i="77"/>
  <c r="G134" i="77"/>
  <c r="F134" i="77"/>
  <c r="E134" i="77"/>
  <c r="D134" i="77"/>
  <c r="C134" i="77"/>
  <c r="B134" i="77"/>
  <c r="A133" i="77"/>
  <c r="K133" i="77"/>
  <c r="J133" i="77"/>
  <c r="I133" i="77"/>
  <c r="H133" i="77"/>
  <c r="G133" i="77"/>
  <c r="F133" i="77"/>
  <c r="E133" i="77"/>
  <c r="D133" i="77"/>
  <c r="C133" i="77"/>
  <c r="B133" i="77"/>
  <c r="A132" i="77"/>
  <c r="K132" i="77"/>
  <c r="J132" i="77"/>
  <c r="I132" i="77"/>
  <c r="H132" i="77"/>
  <c r="G132" i="77"/>
  <c r="F132" i="77"/>
  <c r="E132" i="77"/>
  <c r="D132" i="77"/>
  <c r="C132" i="77"/>
  <c r="B132" i="77"/>
  <c r="A131" i="77"/>
  <c r="K131" i="77"/>
  <c r="J131" i="77"/>
  <c r="I131" i="77"/>
  <c r="H131" i="77"/>
  <c r="G131" i="77"/>
  <c r="F131" i="77"/>
  <c r="E131" i="77"/>
  <c r="D131" i="77"/>
  <c r="C131" i="77"/>
  <c r="B131" i="77"/>
  <c r="A130" i="77"/>
  <c r="K130" i="77"/>
  <c r="J130" i="77"/>
  <c r="I130" i="77"/>
  <c r="H130" i="77"/>
  <c r="G130" i="77"/>
  <c r="F130" i="77"/>
  <c r="E130" i="77"/>
  <c r="D130" i="77"/>
  <c r="C130" i="77"/>
  <c r="B130" i="77"/>
  <c r="A129" i="77"/>
  <c r="K129" i="77"/>
  <c r="J129" i="77"/>
  <c r="I129" i="77"/>
  <c r="H129" i="77"/>
  <c r="G129" i="77"/>
  <c r="F129" i="77"/>
  <c r="E129" i="77"/>
  <c r="D129" i="77"/>
  <c r="C129" i="77"/>
  <c r="B129" i="77"/>
  <c r="A128" i="77"/>
  <c r="K128" i="77"/>
  <c r="J128" i="77"/>
  <c r="I128" i="77"/>
  <c r="H128" i="77"/>
  <c r="G128" i="77"/>
  <c r="F128" i="77"/>
  <c r="E128" i="77"/>
  <c r="D128" i="77"/>
  <c r="C128" i="77"/>
  <c r="B128" i="77"/>
  <c r="A127" i="77"/>
  <c r="K127" i="77"/>
  <c r="J127" i="77"/>
  <c r="I127" i="77"/>
  <c r="H127" i="77"/>
  <c r="G127" i="77"/>
  <c r="F127" i="77"/>
  <c r="E127" i="77"/>
  <c r="D127" i="77"/>
  <c r="C127" i="77"/>
  <c r="B127" i="77"/>
  <c r="A126" i="77"/>
  <c r="K126" i="77"/>
  <c r="J126" i="77"/>
  <c r="I126" i="77"/>
  <c r="H126" i="77"/>
  <c r="G126" i="77"/>
  <c r="F126" i="77"/>
  <c r="E126" i="77"/>
  <c r="D126" i="77"/>
  <c r="C126" i="77"/>
  <c r="B126" i="77"/>
  <c r="A125" i="77"/>
  <c r="K125" i="77"/>
  <c r="J125" i="77"/>
  <c r="I125" i="77"/>
  <c r="H125" i="77"/>
  <c r="G125" i="77"/>
  <c r="F125" i="77"/>
  <c r="E125" i="77"/>
  <c r="D125" i="77"/>
  <c r="C125" i="77"/>
  <c r="B125" i="77"/>
  <c r="A124" i="77"/>
  <c r="K124" i="77"/>
  <c r="J124" i="77"/>
  <c r="I124" i="77"/>
  <c r="H124" i="77"/>
  <c r="G124" i="77"/>
  <c r="F124" i="77"/>
  <c r="E124" i="77"/>
  <c r="D124" i="77"/>
  <c r="C124" i="77"/>
  <c r="B124" i="77"/>
  <c r="A123" i="77"/>
  <c r="K123" i="77"/>
  <c r="J123" i="77"/>
  <c r="I123" i="77"/>
  <c r="H123" i="77"/>
  <c r="G123" i="77"/>
  <c r="F123" i="77"/>
  <c r="E123" i="77"/>
  <c r="D123" i="77"/>
  <c r="C123" i="77"/>
  <c r="B123" i="77"/>
  <c r="A122" i="77"/>
  <c r="K122" i="77"/>
  <c r="J122" i="77"/>
  <c r="I122" i="77"/>
  <c r="H122" i="77"/>
  <c r="G122" i="77"/>
  <c r="F122" i="77"/>
  <c r="E122" i="77"/>
  <c r="D122" i="77"/>
  <c r="C122" i="77"/>
  <c r="B122" i="77"/>
  <c r="A121" i="77"/>
  <c r="K121" i="77"/>
  <c r="J121" i="77"/>
  <c r="I121" i="77"/>
  <c r="H121" i="77"/>
  <c r="G121" i="77"/>
  <c r="F121" i="77"/>
  <c r="E121" i="77"/>
  <c r="D121" i="77"/>
  <c r="C121" i="77"/>
  <c r="B121" i="77"/>
  <c r="A120" i="77"/>
  <c r="K120" i="77"/>
  <c r="J120" i="77"/>
  <c r="I120" i="77"/>
  <c r="H120" i="77"/>
  <c r="G120" i="77"/>
  <c r="F120" i="77"/>
  <c r="E120" i="77"/>
  <c r="D120" i="77"/>
  <c r="C120" i="77"/>
  <c r="B120" i="77"/>
  <c r="A119" i="77"/>
  <c r="K119" i="77"/>
  <c r="J119" i="77"/>
  <c r="I119" i="77"/>
  <c r="H119" i="77"/>
  <c r="G119" i="77"/>
  <c r="F119" i="77"/>
  <c r="E119" i="77"/>
  <c r="D119" i="77"/>
  <c r="C119" i="77"/>
  <c r="B119" i="77"/>
  <c r="A118" i="77"/>
  <c r="K118" i="77"/>
  <c r="J118" i="77"/>
  <c r="I118" i="77"/>
  <c r="H118" i="77"/>
  <c r="G118" i="77"/>
  <c r="F118" i="77"/>
  <c r="E118" i="77"/>
  <c r="D118" i="77"/>
  <c r="C118" i="77"/>
  <c r="B118" i="77"/>
  <c r="A117" i="77"/>
  <c r="K117" i="77"/>
  <c r="J117" i="77"/>
  <c r="I117" i="77"/>
  <c r="H117" i="77"/>
  <c r="G117" i="77"/>
  <c r="F117" i="77"/>
  <c r="E117" i="77"/>
  <c r="D117" i="77"/>
  <c r="C117" i="77"/>
  <c r="B117" i="77"/>
  <c r="A116" i="77"/>
  <c r="K116" i="77"/>
  <c r="J116" i="77"/>
  <c r="I116" i="77"/>
  <c r="H116" i="77"/>
  <c r="G116" i="77"/>
  <c r="F116" i="77"/>
  <c r="E116" i="77"/>
  <c r="D116" i="77"/>
  <c r="C116" i="77"/>
  <c r="B116" i="77"/>
  <c r="A115" i="77"/>
  <c r="K115" i="77"/>
  <c r="J115" i="77"/>
  <c r="I115" i="77"/>
  <c r="H115" i="77"/>
  <c r="G115" i="77"/>
  <c r="F115" i="77"/>
  <c r="E115" i="77"/>
  <c r="D115" i="77"/>
  <c r="C115" i="77"/>
  <c r="B115" i="77"/>
  <c r="A114" i="77"/>
  <c r="K114" i="77"/>
  <c r="J114" i="77"/>
  <c r="I114" i="77"/>
  <c r="H114" i="77"/>
  <c r="G114" i="77"/>
  <c r="F114" i="77"/>
  <c r="E114" i="77"/>
  <c r="D114" i="77"/>
  <c r="C114" i="77"/>
  <c r="B114" i="77"/>
  <c r="A113" i="77"/>
  <c r="K113" i="77"/>
  <c r="J113" i="77"/>
  <c r="I113" i="77"/>
  <c r="H113" i="77"/>
  <c r="G113" i="77"/>
  <c r="F113" i="77"/>
  <c r="E113" i="77"/>
  <c r="D113" i="77"/>
  <c r="C113" i="77"/>
  <c r="B113" i="77"/>
  <c r="A112" i="77"/>
  <c r="K112" i="77"/>
  <c r="J112" i="77"/>
  <c r="I112" i="77"/>
  <c r="H112" i="77"/>
  <c r="G112" i="77"/>
  <c r="F112" i="77"/>
  <c r="E112" i="77"/>
  <c r="D112" i="77"/>
  <c r="C112" i="77"/>
  <c r="B112" i="77"/>
  <c r="A111" i="77"/>
  <c r="K111" i="77"/>
  <c r="J111" i="77"/>
  <c r="I111" i="77"/>
  <c r="H111" i="77"/>
  <c r="G111" i="77"/>
  <c r="F111" i="77"/>
  <c r="E111" i="77"/>
  <c r="D111" i="77"/>
  <c r="C111" i="77"/>
  <c r="B111" i="77"/>
  <c r="A110" i="77"/>
  <c r="K110" i="77"/>
  <c r="J110" i="77"/>
  <c r="I110" i="77"/>
  <c r="H110" i="77"/>
  <c r="G110" i="77"/>
  <c r="F110" i="77"/>
  <c r="E110" i="77"/>
  <c r="D110" i="77"/>
  <c r="C110" i="77"/>
  <c r="B110" i="77"/>
  <c r="A109" i="77"/>
  <c r="K109" i="77"/>
  <c r="J109" i="77"/>
  <c r="I109" i="77"/>
  <c r="H109" i="77"/>
  <c r="G109" i="77"/>
  <c r="F109" i="77"/>
  <c r="E109" i="77"/>
  <c r="D109" i="77"/>
  <c r="C109" i="77"/>
  <c r="B109" i="77"/>
  <c r="A108" i="77"/>
  <c r="K108" i="77"/>
  <c r="J108" i="77"/>
  <c r="I108" i="77"/>
  <c r="H108" i="77"/>
  <c r="G108" i="77"/>
  <c r="F108" i="77"/>
  <c r="E108" i="77"/>
  <c r="D108" i="77"/>
  <c r="C108" i="77"/>
  <c r="B108" i="77"/>
  <c r="A107" i="77"/>
  <c r="K107" i="77"/>
  <c r="J107" i="77"/>
  <c r="I107" i="77"/>
  <c r="H107" i="77"/>
  <c r="G107" i="77"/>
  <c r="F107" i="77"/>
  <c r="E107" i="77"/>
  <c r="D107" i="77"/>
  <c r="C107" i="77"/>
  <c r="B107" i="77"/>
  <c r="A106" i="77"/>
  <c r="K106" i="77"/>
  <c r="J106" i="77"/>
  <c r="I106" i="77"/>
  <c r="H106" i="77"/>
  <c r="G106" i="77"/>
  <c r="F106" i="77"/>
  <c r="E106" i="77"/>
  <c r="D106" i="77"/>
  <c r="C106" i="77"/>
  <c r="B106" i="77"/>
  <c r="A105" i="77"/>
  <c r="K105" i="77"/>
  <c r="J105" i="77"/>
  <c r="I105" i="77"/>
  <c r="H105" i="77"/>
  <c r="G105" i="77"/>
  <c r="F105" i="77"/>
  <c r="E105" i="77"/>
  <c r="D105" i="77"/>
  <c r="C105" i="77"/>
  <c r="B105" i="77"/>
  <c r="A104" i="77"/>
  <c r="K104" i="77"/>
  <c r="J104" i="77"/>
  <c r="I104" i="77"/>
  <c r="H104" i="77"/>
  <c r="G104" i="77"/>
  <c r="F104" i="77"/>
  <c r="E104" i="77"/>
  <c r="D104" i="77"/>
  <c r="C104" i="77"/>
  <c r="B104" i="77"/>
  <c r="A103" i="77"/>
  <c r="K103" i="77"/>
  <c r="J103" i="77"/>
  <c r="I103" i="77"/>
  <c r="H103" i="77"/>
  <c r="G103" i="77"/>
  <c r="F103" i="77"/>
  <c r="E103" i="77"/>
  <c r="D103" i="77"/>
  <c r="C103" i="77"/>
  <c r="B103" i="77"/>
  <c r="A102" i="77"/>
  <c r="K102" i="77"/>
  <c r="J102" i="77"/>
  <c r="I102" i="77"/>
  <c r="H102" i="77"/>
  <c r="G102" i="77"/>
  <c r="F102" i="77"/>
  <c r="E102" i="77"/>
  <c r="D102" i="77"/>
  <c r="C102" i="77"/>
  <c r="B102" i="77"/>
  <c r="A101" i="77"/>
  <c r="K101" i="77"/>
  <c r="J101" i="77"/>
  <c r="I101" i="77"/>
  <c r="H101" i="77"/>
  <c r="G101" i="77"/>
  <c r="F101" i="77"/>
  <c r="E101" i="77"/>
  <c r="D101" i="77"/>
  <c r="C101" i="77"/>
  <c r="B101" i="77"/>
  <c r="A100" i="77"/>
  <c r="K100" i="77"/>
  <c r="J100" i="77"/>
  <c r="I100" i="77"/>
  <c r="H100" i="77"/>
  <c r="G100" i="77"/>
  <c r="F100" i="77"/>
  <c r="E100" i="77"/>
  <c r="D100" i="77"/>
  <c r="C100" i="77"/>
  <c r="B100" i="77"/>
  <c r="A99" i="77"/>
  <c r="K99" i="77"/>
  <c r="J99" i="77"/>
  <c r="I99" i="77"/>
  <c r="H99" i="77"/>
  <c r="G99" i="77"/>
  <c r="F99" i="77"/>
  <c r="E99" i="77"/>
  <c r="D99" i="77"/>
  <c r="C99" i="77"/>
  <c r="B99" i="77"/>
  <c r="A98" i="77"/>
  <c r="K98" i="77"/>
  <c r="J98" i="77"/>
  <c r="I98" i="77"/>
  <c r="H98" i="77"/>
  <c r="G98" i="77"/>
  <c r="F98" i="77"/>
  <c r="E98" i="77"/>
  <c r="D98" i="77"/>
  <c r="C98" i="77"/>
  <c r="B98" i="77"/>
  <c r="A97" i="77"/>
  <c r="K97" i="77"/>
  <c r="J97" i="77"/>
  <c r="I97" i="77"/>
  <c r="H97" i="77"/>
  <c r="G97" i="77"/>
  <c r="F97" i="77"/>
  <c r="E97" i="77"/>
  <c r="D97" i="77"/>
  <c r="C97" i="77"/>
  <c r="B97" i="77"/>
  <c r="A96" i="77"/>
  <c r="K96" i="77"/>
  <c r="J96" i="77"/>
  <c r="I96" i="77"/>
  <c r="H96" i="77"/>
  <c r="G96" i="77"/>
  <c r="F96" i="77"/>
  <c r="E96" i="77"/>
  <c r="D96" i="77"/>
  <c r="C96" i="77"/>
  <c r="B96" i="77"/>
  <c r="A95" i="77"/>
  <c r="K95" i="77"/>
  <c r="J95" i="77"/>
  <c r="I95" i="77"/>
  <c r="H95" i="77"/>
  <c r="G95" i="77"/>
  <c r="F95" i="77"/>
  <c r="E95" i="77"/>
  <c r="D95" i="77"/>
  <c r="C95" i="77"/>
  <c r="B95" i="77"/>
  <c r="A94" i="77"/>
  <c r="K94" i="77"/>
  <c r="J94" i="77"/>
  <c r="I94" i="77"/>
  <c r="H94" i="77"/>
  <c r="G94" i="77"/>
  <c r="F94" i="77"/>
  <c r="E94" i="77"/>
  <c r="D94" i="77"/>
  <c r="C94" i="77"/>
  <c r="B94" i="77"/>
  <c r="A93" i="77"/>
  <c r="K93" i="77"/>
  <c r="J93" i="77"/>
  <c r="I93" i="77"/>
  <c r="H93" i="77"/>
  <c r="G93" i="77"/>
  <c r="F93" i="77"/>
  <c r="E93" i="77"/>
  <c r="D93" i="77"/>
  <c r="C93" i="77"/>
  <c r="B93" i="77"/>
  <c r="A92" i="77"/>
  <c r="K92" i="77"/>
  <c r="J92" i="77"/>
  <c r="I92" i="77"/>
  <c r="H92" i="77"/>
  <c r="G92" i="77"/>
  <c r="F92" i="77"/>
  <c r="E92" i="77"/>
  <c r="D92" i="77"/>
  <c r="C92" i="77"/>
  <c r="B92" i="77"/>
  <c r="A91" i="77"/>
  <c r="K91" i="77"/>
  <c r="J91" i="77"/>
  <c r="I91" i="77"/>
  <c r="H91" i="77"/>
  <c r="G91" i="77"/>
  <c r="F91" i="77"/>
  <c r="E91" i="77"/>
  <c r="D91" i="77"/>
  <c r="C91" i="77"/>
  <c r="B91" i="77"/>
  <c r="A90" i="77"/>
  <c r="K90" i="77"/>
  <c r="J90" i="77"/>
  <c r="I90" i="77"/>
  <c r="H90" i="77"/>
  <c r="G90" i="77"/>
  <c r="F90" i="77"/>
  <c r="E90" i="77"/>
  <c r="D90" i="77"/>
  <c r="C90" i="77"/>
  <c r="B90" i="77"/>
  <c r="A89" i="77"/>
  <c r="K89" i="77"/>
  <c r="J89" i="77"/>
  <c r="I89" i="77"/>
  <c r="H89" i="77"/>
  <c r="G89" i="77"/>
  <c r="F89" i="77"/>
  <c r="E89" i="77"/>
  <c r="D89" i="77"/>
  <c r="C89" i="77"/>
  <c r="B89" i="77"/>
  <c r="A88" i="77"/>
  <c r="K88" i="77"/>
  <c r="J88" i="77"/>
  <c r="I88" i="77"/>
  <c r="H88" i="77"/>
  <c r="G88" i="77"/>
  <c r="F88" i="77"/>
  <c r="E88" i="77"/>
  <c r="D88" i="77"/>
  <c r="C88" i="77"/>
  <c r="B88" i="77"/>
  <c r="A87" i="77"/>
  <c r="K87" i="77"/>
  <c r="J87" i="77"/>
  <c r="I87" i="77"/>
  <c r="H87" i="77"/>
  <c r="G87" i="77"/>
  <c r="F87" i="77"/>
  <c r="E87" i="77"/>
  <c r="D87" i="77"/>
  <c r="C87" i="77"/>
  <c r="B87" i="77"/>
  <c r="A86" i="77"/>
  <c r="K86" i="77"/>
  <c r="J86" i="77"/>
  <c r="I86" i="77"/>
  <c r="H86" i="77"/>
  <c r="G86" i="77"/>
  <c r="F86" i="77"/>
  <c r="E86" i="77"/>
  <c r="D86" i="77"/>
  <c r="C86" i="77"/>
  <c r="B86" i="77"/>
  <c r="A85" i="77"/>
  <c r="K85" i="77"/>
  <c r="J85" i="77"/>
  <c r="I85" i="77"/>
  <c r="H85" i="77"/>
  <c r="G85" i="77"/>
  <c r="F85" i="77"/>
  <c r="E85" i="77"/>
  <c r="D85" i="77"/>
  <c r="C85" i="77"/>
  <c r="B85" i="77"/>
  <c r="A84" i="77"/>
  <c r="K84" i="77"/>
  <c r="J84" i="77"/>
  <c r="I84" i="77"/>
  <c r="H84" i="77"/>
  <c r="G84" i="77"/>
  <c r="F84" i="77"/>
  <c r="E84" i="77"/>
  <c r="D84" i="77"/>
  <c r="C84" i="77"/>
  <c r="B84" i="77"/>
  <c r="A83" i="77"/>
  <c r="K83" i="77"/>
  <c r="J83" i="77"/>
  <c r="I83" i="77"/>
  <c r="H83" i="77"/>
  <c r="G83" i="77"/>
  <c r="F83" i="77"/>
  <c r="E83" i="77"/>
  <c r="D83" i="77"/>
  <c r="C83" i="77"/>
  <c r="B83" i="77"/>
  <c r="A82" i="77"/>
  <c r="K82" i="77"/>
  <c r="J82" i="77"/>
  <c r="I82" i="77"/>
  <c r="H82" i="77"/>
  <c r="G82" i="77"/>
  <c r="F82" i="77"/>
  <c r="E82" i="77"/>
  <c r="D82" i="77"/>
  <c r="C82" i="77"/>
  <c r="B82" i="77"/>
  <c r="A81" i="77"/>
  <c r="K81" i="77"/>
  <c r="J81" i="77"/>
  <c r="I81" i="77"/>
  <c r="H81" i="77"/>
  <c r="G81" i="77"/>
  <c r="F81" i="77"/>
  <c r="E81" i="77"/>
  <c r="D81" i="77"/>
  <c r="C81" i="77"/>
  <c r="B81" i="77"/>
  <c r="A80" i="77"/>
  <c r="K80" i="77"/>
  <c r="J80" i="77"/>
  <c r="I80" i="77"/>
  <c r="H80" i="77"/>
  <c r="G80" i="77"/>
  <c r="F80" i="77"/>
  <c r="E80" i="77"/>
  <c r="D80" i="77"/>
  <c r="C80" i="77"/>
  <c r="B80" i="77"/>
  <c r="A79" i="77"/>
  <c r="K79" i="77"/>
  <c r="J79" i="77"/>
  <c r="I79" i="77"/>
  <c r="H79" i="77"/>
  <c r="G79" i="77"/>
  <c r="F79" i="77"/>
  <c r="E79" i="77"/>
  <c r="D79" i="77"/>
  <c r="C79" i="77"/>
  <c r="B79" i="77"/>
  <c r="A78" i="77"/>
  <c r="K78" i="77"/>
  <c r="J78" i="77"/>
  <c r="I78" i="77"/>
  <c r="H78" i="77"/>
  <c r="G78" i="77"/>
  <c r="F78" i="77"/>
  <c r="E78" i="77"/>
  <c r="D78" i="77"/>
  <c r="C78" i="77"/>
  <c r="B78" i="77"/>
  <c r="A77" i="77"/>
  <c r="K77" i="77"/>
  <c r="J77" i="77"/>
  <c r="I77" i="77"/>
  <c r="H77" i="77"/>
  <c r="G77" i="77"/>
  <c r="F77" i="77"/>
  <c r="E77" i="77"/>
  <c r="D77" i="77"/>
  <c r="C77" i="77"/>
  <c r="B77" i="77"/>
  <c r="A76" i="77"/>
  <c r="K76" i="77"/>
  <c r="J76" i="77"/>
  <c r="I76" i="77"/>
  <c r="H76" i="77"/>
  <c r="G76" i="77"/>
  <c r="F76" i="77"/>
  <c r="E76" i="77"/>
  <c r="D76" i="77"/>
  <c r="C76" i="77"/>
  <c r="B76" i="77"/>
  <c r="A75" i="77"/>
  <c r="K75" i="77"/>
  <c r="J75" i="77"/>
  <c r="I75" i="77"/>
  <c r="H75" i="77"/>
  <c r="G75" i="77"/>
  <c r="F75" i="77"/>
  <c r="E75" i="77"/>
  <c r="D75" i="77"/>
  <c r="C75" i="77"/>
  <c r="B75" i="77"/>
  <c r="A74" i="77"/>
  <c r="K74" i="77"/>
  <c r="J74" i="77"/>
  <c r="I74" i="77"/>
  <c r="H74" i="77"/>
  <c r="G74" i="77"/>
  <c r="F74" i="77"/>
  <c r="E74" i="77"/>
  <c r="D74" i="77"/>
  <c r="C74" i="77"/>
  <c r="B74" i="77"/>
  <c r="A73" i="77"/>
  <c r="K73" i="77"/>
  <c r="J73" i="77"/>
  <c r="I73" i="77"/>
  <c r="H73" i="77"/>
  <c r="G73" i="77"/>
  <c r="F73" i="77"/>
  <c r="E73" i="77"/>
  <c r="D73" i="77"/>
  <c r="C73" i="77"/>
  <c r="B73" i="77"/>
  <c r="A72" i="77"/>
  <c r="K72" i="77"/>
  <c r="J72" i="77"/>
  <c r="I72" i="77"/>
  <c r="H72" i="77"/>
  <c r="G72" i="77"/>
  <c r="F72" i="77"/>
  <c r="E72" i="77"/>
  <c r="D72" i="77"/>
  <c r="C72" i="77"/>
  <c r="B72" i="77"/>
  <c r="A71" i="77"/>
  <c r="K71" i="77"/>
  <c r="J71" i="77"/>
  <c r="I71" i="77"/>
  <c r="H71" i="77"/>
  <c r="G71" i="77"/>
  <c r="F71" i="77"/>
  <c r="E71" i="77"/>
  <c r="D71" i="77"/>
  <c r="C71" i="77"/>
  <c r="B71" i="77"/>
  <c r="A70" i="77"/>
  <c r="K70" i="77"/>
  <c r="J70" i="77"/>
  <c r="I70" i="77"/>
  <c r="H70" i="77"/>
  <c r="G70" i="77"/>
  <c r="F70" i="77"/>
  <c r="E70" i="77"/>
  <c r="D70" i="77"/>
  <c r="C70" i="77"/>
  <c r="B70" i="77"/>
  <c r="A69" i="77"/>
  <c r="K69" i="77"/>
  <c r="J69" i="77"/>
  <c r="I69" i="77"/>
  <c r="H69" i="77"/>
  <c r="G69" i="77"/>
  <c r="F69" i="77"/>
  <c r="E69" i="77"/>
  <c r="D69" i="77"/>
  <c r="C69" i="77"/>
  <c r="B69" i="77"/>
  <c r="A68" i="77"/>
  <c r="K68" i="77"/>
  <c r="J68" i="77"/>
  <c r="I68" i="77"/>
  <c r="H68" i="77"/>
  <c r="G68" i="77"/>
  <c r="F68" i="77"/>
  <c r="E68" i="77"/>
  <c r="D68" i="77"/>
  <c r="C68" i="77"/>
  <c r="B68" i="77"/>
  <c r="A67" i="77"/>
  <c r="K67" i="77"/>
  <c r="J67" i="77"/>
  <c r="I67" i="77"/>
  <c r="H67" i="77"/>
  <c r="G67" i="77"/>
  <c r="F67" i="77"/>
  <c r="E67" i="77"/>
  <c r="D67" i="77"/>
  <c r="C67" i="77"/>
  <c r="B67" i="77"/>
  <c r="A66" i="77"/>
  <c r="K66" i="77"/>
  <c r="J66" i="77"/>
  <c r="I66" i="77"/>
  <c r="H66" i="77"/>
  <c r="G66" i="77"/>
  <c r="F66" i="77"/>
  <c r="E66" i="77"/>
  <c r="D66" i="77"/>
  <c r="C66" i="77"/>
  <c r="B66" i="77"/>
  <c r="A65" i="77"/>
  <c r="K65" i="77"/>
  <c r="J65" i="77"/>
  <c r="I65" i="77"/>
  <c r="H65" i="77"/>
  <c r="G65" i="77"/>
  <c r="F65" i="77"/>
  <c r="E65" i="77"/>
  <c r="D65" i="77"/>
  <c r="C65" i="77"/>
  <c r="B65" i="77"/>
  <c r="A64" i="77"/>
  <c r="K64" i="77"/>
  <c r="J64" i="77"/>
  <c r="I64" i="77"/>
  <c r="H64" i="77"/>
  <c r="G64" i="77"/>
  <c r="F64" i="77"/>
  <c r="E64" i="77"/>
  <c r="D64" i="77"/>
  <c r="C64" i="77"/>
  <c r="B64" i="77"/>
  <c r="A63" i="77"/>
  <c r="K63" i="77"/>
  <c r="J63" i="77"/>
  <c r="I63" i="77"/>
  <c r="H63" i="77"/>
  <c r="G63" i="77"/>
  <c r="F63" i="77"/>
  <c r="E63" i="77"/>
  <c r="D63" i="77"/>
  <c r="C63" i="77"/>
  <c r="B63" i="77"/>
  <c r="A62" i="77"/>
  <c r="K62" i="77"/>
  <c r="J62" i="77"/>
  <c r="I62" i="77"/>
  <c r="H62" i="77"/>
  <c r="G62" i="77"/>
  <c r="F62" i="77"/>
  <c r="E62" i="77"/>
  <c r="D62" i="77"/>
  <c r="C62" i="77"/>
  <c r="B62" i="77"/>
  <c r="A61" i="77"/>
  <c r="K61" i="77"/>
  <c r="J61" i="77"/>
  <c r="I61" i="77"/>
  <c r="H61" i="77"/>
  <c r="G61" i="77"/>
  <c r="F61" i="77"/>
  <c r="E61" i="77"/>
  <c r="D61" i="77"/>
  <c r="C61" i="77"/>
  <c r="B61" i="77"/>
  <c r="A60" i="77"/>
  <c r="K60" i="77"/>
  <c r="J60" i="77"/>
  <c r="I60" i="77"/>
  <c r="H60" i="77"/>
  <c r="G60" i="77"/>
  <c r="F60" i="77"/>
  <c r="E60" i="77"/>
  <c r="D60" i="77"/>
  <c r="C60" i="77"/>
  <c r="B60" i="77"/>
  <c r="A59" i="77"/>
  <c r="K59" i="77"/>
  <c r="J59" i="77"/>
  <c r="I59" i="77"/>
  <c r="H59" i="77"/>
  <c r="G59" i="77"/>
  <c r="F59" i="77"/>
  <c r="E59" i="77"/>
  <c r="D59" i="77"/>
  <c r="C59" i="77"/>
  <c r="B59" i="77"/>
  <c r="A58" i="77"/>
  <c r="K58" i="77"/>
  <c r="J58" i="77"/>
  <c r="I58" i="77"/>
  <c r="H58" i="77"/>
  <c r="G58" i="77"/>
  <c r="F58" i="77"/>
  <c r="E58" i="77"/>
  <c r="D58" i="77"/>
  <c r="C58" i="77"/>
  <c r="B58" i="77"/>
  <c r="A57" i="77"/>
  <c r="K57" i="77"/>
  <c r="J57" i="77"/>
  <c r="I57" i="77"/>
  <c r="H57" i="77"/>
  <c r="G57" i="77"/>
  <c r="F57" i="77"/>
  <c r="E57" i="77"/>
  <c r="D57" i="77"/>
  <c r="C57" i="77"/>
  <c r="B57" i="77"/>
  <c r="A56" i="77"/>
  <c r="K56" i="77"/>
  <c r="J56" i="77"/>
  <c r="I56" i="77"/>
  <c r="H56" i="77"/>
  <c r="G56" i="77"/>
  <c r="F56" i="77"/>
  <c r="E56" i="77"/>
  <c r="D56" i="77"/>
  <c r="C56" i="77"/>
  <c r="B56" i="77"/>
  <c r="A55" i="77"/>
  <c r="K55" i="77"/>
  <c r="J55" i="77"/>
  <c r="I55" i="77"/>
  <c r="H55" i="77"/>
  <c r="G55" i="77"/>
  <c r="F55" i="77"/>
  <c r="E55" i="77"/>
  <c r="D55" i="77"/>
  <c r="C55" i="77"/>
  <c r="B55" i="77"/>
  <c r="A54" i="77"/>
  <c r="K54" i="77"/>
  <c r="J54" i="77"/>
  <c r="I54" i="77"/>
  <c r="H54" i="77"/>
  <c r="G54" i="77"/>
  <c r="F54" i="77"/>
  <c r="E54" i="77"/>
  <c r="D54" i="77"/>
  <c r="C54" i="77"/>
  <c r="B54" i="77"/>
  <c r="A53" i="77"/>
  <c r="K53" i="77"/>
  <c r="J53" i="77"/>
  <c r="I53" i="77"/>
  <c r="H53" i="77"/>
  <c r="G53" i="77"/>
  <c r="F53" i="77"/>
  <c r="E53" i="77"/>
  <c r="D53" i="77"/>
  <c r="C53" i="77"/>
  <c r="B53" i="77"/>
  <c r="A52" i="77"/>
  <c r="K52" i="77"/>
  <c r="J52" i="77"/>
  <c r="I52" i="77"/>
  <c r="H52" i="77"/>
  <c r="G52" i="77"/>
  <c r="F52" i="77"/>
  <c r="E52" i="77"/>
  <c r="D52" i="77"/>
  <c r="C52" i="77"/>
  <c r="B52" i="77"/>
  <c r="A51" i="77"/>
  <c r="K51" i="77"/>
  <c r="J51" i="77"/>
  <c r="I51" i="77"/>
  <c r="H51" i="77"/>
  <c r="G51" i="77"/>
  <c r="F51" i="77"/>
  <c r="E51" i="77"/>
  <c r="D51" i="77"/>
  <c r="C51" i="77"/>
  <c r="B51" i="77"/>
  <c r="A50" i="77"/>
  <c r="K50" i="77"/>
  <c r="J50" i="77"/>
  <c r="I50" i="77"/>
  <c r="H50" i="77"/>
  <c r="G50" i="77"/>
  <c r="F50" i="77"/>
  <c r="E50" i="77"/>
  <c r="D50" i="77"/>
  <c r="C50" i="77"/>
  <c r="B50" i="77"/>
  <c r="A49" i="77"/>
  <c r="K49" i="77"/>
  <c r="J49" i="77"/>
  <c r="I49" i="77"/>
  <c r="H49" i="77"/>
  <c r="G49" i="77"/>
  <c r="F49" i="77"/>
  <c r="E49" i="77"/>
  <c r="D49" i="77"/>
  <c r="C49" i="77"/>
  <c r="B49" i="77"/>
  <c r="A48" i="77"/>
  <c r="K48" i="77"/>
  <c r="J48" i="77"/>
  <c r="I48" i="77"/>
  <c r="H48" i="77"/>
  <c r="G48" i="77"/>
  <c r="F48" i="77"/>
  <c r="E48" i="77"/>
  <c r="D48" i="77"/>
  <c r="C48" i="77"/>
  <c r="B48" i="77"/>
  <c r="A47" i="77"/>
  <c r="K47" i="77"/>
  <c r="J47" i="77"/>
  <c r="I47" i="77"/>
  <c r="H47" i="77"/>
  <c r="G47" i="77"/>
  <c r="F47" i="77"/>
  <c r="E47" i="77"/>
  <c r="D47" i="77"/>
  <c r="C47" i="77"/>
  <c r="B47" i="77"/>
  <c r="A46" i="77"/>
  <c r="K46" i="77"/>
  <c r="J46" i="77"/>
  <c r="I46" i="77"/>
  <c r="H46" i="77"/>
  <c r="G46" i="77"/>
  <c r="F46" i="77"/>
  <c r="E46" i="77"/>
  <c r="D46" i="77"/>
  <c r="C46" i="77"/>
  <c r="B46" i="77"/>
  <c r="A45" i="77"/>
  <c r="K45" i="77"/>
  <c r="J45" i="77"/>
  <c r="I45" i="77"/>
  <c r="H45" i="77"/>
  <c r="G45" i="77"/>
  <c r="F45" i="77"/>
  <c r="E45" i="77"/>
  <c r="D45" i="77"/>
  <c r="C45" i="77"/>
  <c r="B45" i="77"/>
  <c r="A44" i="77"/>
  <c r="K44" i="77"/>
  <c r="J44" i="77"/>
  <c r="I44" i="77"/>
  <c r="H44" i="77"/>
  <c r="G44" i="77"/>
  <c r="F44" i="77"/>
  <c r="E44" i="77"/>
  <c r="D44" i="77"/>
  <c r="C44" i="77"/>
  <c r="B44" i="77"/>
  <c r="A43" i="77"/>
  <c r="K43" i="77"/>
  <c r="J43" i="77"/>
  <c r="I43" i="77"/>
  <c r="H43" i="77"/>
  <c r="G43" i="77"/>
  <c r="F43" i="77"/>
  <c r="E43" i="77"/>
  <c r="D43" i="77"/>
  <c r="C43" i="77"/>
  <c r="B43" i="77"/>
  <c r="A42" i="77"/>
  <c r="K42" i="77"/>
  <c r="J42" i="77"/>
  <c r="I42" i="77"/>
  <c r="H42" i="77"/>
  <c r="G42" i="77"/>
  <c r="F42" i="77"/>
  <c r="E42" i="77"/>
  <c r="D42" i="77"/>
  <c r="C42" i="77"/>
  <c r="B42" i="77"/>
  <c r="A41" i="77"/>
  <c r="K41" i="77"/>
  <c r="J41" i="77"/>
  <c r="I41" i="77"/>
  <c r="H41" i="77"/>
  <c r="G41" i="77"/>
  <c r="F41" i="77"/>
  <c r="E41" i="77"/>
  <c r="D41" i="77"/>
  <c r="C41" i="77"/>
  <c r="B41" i="77"/>
  <c r="A40" i="77"/>
  <c r="K40" i="77"/>
  <c r="J40" i="77"/>
  <c r="I40" i="77"/>
  <c r="H40" i="77"/>
  <c r="G40" i="77"/>
  <c r="F40" i="77"/>
  <c r="E40" i="77"/>
  <c r="D40" i="77"/>
  <c r="C40" i="77"/>
  <c r="B40" i="77"/>
  <c r="A39" i="77"/>
  <c r="K39" i="77"/>
  <c r="J39" i="77"/>
  <c r="I39" i="77"/>
  <c r="H39" i="77"/>
  <c r="G39" i="77"/>
  <c r="F39" i="77"/>
  <c r="E39" i="77"/>
  <c r="D39" i="77"/>
  <c r="C39" i="77"/>
  <c r="B39" i="77"/>
  <c r="A38" i="77"/>
  <c r="K38" i="77"/>
  <c r="J38" i="77"/>
  <c r="I38" i="77"/>
  <c r="H38" i="77"/>
  <c r="G38" i="77"/>
  <c r="F38" i="77"/>
  <c r="E38" i="77"/>
  <c r="D38" i="77"/>
  <c r="C38" i="77"/>
  <c r="B38" i="77"/>
  <c r="A37" i="77"/>
  <c r="K37" i="77"/>
  <c r="J37" i="77"/>
  <c r="I37" i="77"/>
  <c r="H37" i="77"/>
  <c r="G37" i="77"/>
  <c r="F37" i="77"/>
  <c r="E37" i="77"/>
  <c r="D37" i="77"/>
  <c r="C37" i="77"/>
  <c r="B37" i="77"/>
  <c r="A36" i="77"/>
  <c r="K36" i="77"/>
  <c r="J36" i="77"/>
  <c r="I36" i="77"/>
  <c r="H36" i="77"/>
  <c r="G36" i="77"/>
  <c r="F36" i="77"/>
  <c r="E36" i="77"/>
  <c r="D36" i="77"/>
  <c r="C36" i="77"/>
  <c r="B36" i="77"/>
  <c r="A35" i="77"/>
  <c r="K35" i="77"/>
  <c r="J35" i="77"/>
  <c r="I35" i="77"/>
  <c r="H35" i="77"/>
  <c r="G35" i="77"/>
  <c r="F35" i="77"/>
  <c r="E35" i="77"/>
  <c r="D35" i="77"/>
  <c r="C35" i="77"/>
  <c r="B35" i="77"/>
  <c r="A34" i="77"/>
  <c r="K34" i="77"/>
  <c r="J34" i="77"/>
  <c r="I34" i="77"/>
  <c r="H34" i="77"/>
  <c r="G34" i="77"/>
  <c r="F34" i="77"/>
  <c r="E34" i="77"/>
  <c r="D34" i="77"/>
  <c r="C34" i="77"/>
  <c r="B34" i="77"/>
  <c r="A33" i="77"/>
  <c r="K33" i="77"/>
  <c r="J33" i="77"/>
  <c r="I33" i="77"/>
  <c r="H33" i="77"/>
  <c r="G33" i="77"/>
  <c r="F33" i="77"/>
  <c r="E33" i="77"/>
  <c r="D33" i="77"/>
  <c r="C33" i="77"/>
  <c r="B33" i="77"/>
  <c r="A32" i="77"/>
  <c r="K32" i="77"/>
  <c r="J32" i="77"/>
  <c r="I32" i="77"/>
  <c r="H32" i="77"/>
  <c r="G32" i="77"/>
  <c r="F32" i="77"/>
  <c r="E32" i="77"/>
  <c r="D32" i="77"/>
  <c r="C32" i="77"/>
  <c r="B32" i="77"/>
  <c r="A31" i="77"/>
  <c r="K31" i="77"/>
  <c r="J31" i="77"/>
  <c r="I31" i="77"/>
  <c r="H31" i="77"/>
  <c r="G31" i="77"/>
  <c r="F31" i="77"/>
  <c r="E31" i="77"/>
  <c r="D31" i="77"/>
  <c r="C31" i="77"/>
  <c r="B31" i="77"/>
  <c r="A30" i="77"/>
  <c r="K30" i="77"/>
  <c r="J30" i="77"/>
  <c r="I30" i="77"/>
  <c r="H30" i="77"/>
  <c r="G30" i="77"/>
  <c r="F30" i="77"/>
  <c r="E30" i="77"/>
  <c r="D30" i="77"/>
  <c r="C30" i="77"/>
  <c r="B30" i="77"/>
  <c r="A29" i="77"/>
  <c r="K29" i="77"/>
  <c r="J29" i="77"/>
  <c r="I29" i="77"/>
  <c r="H29" i="77"/>
  <c r="G29" i="77"/>
  <c r="F29" i="77"/>
  <c r="E29" i="77"/>
  <c r="D29" i="77"/>
  <c r="C29" i="77"/>
  <c r="B29" i="77"/>
  <c r="A28" i="77"/>
  <c r="K28" i="77"/>
  <c r="J28" i="77"/>
  <c r="I28" i="77"/>
  <c r="H28" i="77"/>
  <c r="G28" i="77"/>
  <c r="F28" i="77"/>
  <c r="E28" i="77"/>
  <c r="D28" i="77"/>
  <c r="C28" i="77"/>
  <c r="B28" i="77"/>
  <c r="A27" i="77"/>
  <c r="K27" i="77"/>
  <c r="J27" i="77"/>
  <c r="I27" i="77"/>
  <c r="H27" i="77"/>
  <c r="G27" i="77"/>
  <c r="F27" i="77"/>
  <c r="E27" i="77"/>
  <c r="D27" i="77"/>
  <c r="C27" i="77"/>
  <c r="B27" i="77"/>
  <c r="A26" i="77"/>
  <c r="K26" i="77"/>
  <c r="J26" i="77"/>
  <c r="I26" i="77"/>
  <c r="H26" i="77"/>
  <c r="G26" i="77"/>
  <c r="F26" i="77"/>
  <c r="E26" i="77"/>
  <c r="D26" i="77"/>
  <c r="C26" i="77"/>
  <c r="B26" i="77"/>
  <c r="A25" i="77"/>
  <c r="K25" i="77"/>
  <c r="J25" i="77"/>
  <c r="I25" i="77"/>
  <c r="H25" i="77"/>
  <c r="G25" i="77"/>
  <c r="F25" i="77"/>
  <c r="E25" i="77"/>
  <c r="D25" i="77"/>
  <c r="C25" i="77"/>
  <c r="B25" i="77"/>
  <c r="A24" i="77"/>
  <c r="K24" i="77"/>
  <c r="J24" i="77"/>
  <c r="I24" i="77"/>
  <c r="H24" i="77"/>
  <c r="G24" i="77"/>
  <c r="F24" i="77"/>
  <c r="E24" i="77"/>
  <c r="D24" i="77"/>
  <c r="C24" i="77"/>
  <c r="B24" i="77"/>
  <c r="A23" i="77"/>
  <c r="K23" i="77"/>
  <c r="J23" i="77"/>
  <c r="I23" i="77"/>
  <c r="H23" i="77"/>
  <c r="G23" i="77"/>
  <c r="F23" i="77"/>
  <c r="E23" i="77"/>
  <c r="D23" i="77"/>
  <c r="C23" i="77"/>
  <c r="B23" i="77"/>
  <c r="A22" i="77"/>
  <c r="K22" i="77"/>
  <c r="J22" i="77"/>
  <c r="I22" i="77"/>
  <c r="H22" i="77"/>
  <c r="G22" i="77"/>
  <c r="F22" i="77"/>
  <c r="E22" i="77"/>
  <c r="D22" i="77"/>
  <c r="C22" i="77"/>
  <c r="B22" i="77"/>
  <c r="A21" i="77"/>
  <c r="K21" i="77"/>
  <c r="J21" i="77"/>
  <c r="I21" i="77"/>
  <c r="H21" i="77"/>
  <c r="G21" i="77"/>
  <c r="F21" i="77"/>
  <c r="E21" i="77"/>
  <c r="D21" i="77"/>
  <c r="C21" i="77"/>
  <c r="B21" i="77"/>
  <c r="A20" i="77"/>
  <c r="K20" i="77"/>
  <c r="J20" i="77"/>
  <c r="I20" i="77"/>
  <c r="H20" i="77"/>
  <c r="G20" i="77"/>
  <c r="F20" i="77"/>
  <c r="E20" i="77"/>
  <c r="D20" i="77"/>
  <c r="C20" i="77"/>
  <c r="B20" i="77"/>
  <c r="A19" i="77"/>
  <c r="K19" i="77"/>
  <c r="J19" i="77"/>
  <c r="I19" i="77"/>
  <c r="H19" i="77"/>
  <c r="G19" i="77"/>
  <c r="F19" i="77"/>
  <c r="E19" i="77"/>
  <c r="D19" i="77"/>
  <c r="C19" i="77"/>
  <c r="B19" i="77"/>
  <c r="A18" i="77"/>
  <c r="K18" i="77"/>
  <c r="J18" i="77"/>
  <c r="I18" i="77"/>
  <c r="H18" i="77"/>
  <c r="G18" i="77"/>
  <c r="F18" i="77"/>
  <c r="E18" i="77"/>
  <c r="D18" i="77"/>
  <c r="C18" i="77"/>
  <c r="B18" i="77"/>
  <c r="A17" i="77"/>
  <c r="K17" i="77"/>
  <c r="J17" i="77"/>
  <c r="I17" i="77"/>
  <c r="H17" i="77"/>
  <c r="G17" i="77"/>
  <c r="F17" i="77"/>
  <c r="E17" i="77"/>
  <c r="D17" i="77"/>
  <c r="C17" i="77"/>
  <c r="B17" i="77"/>
  <c r="A16" i="77"/>
  <c r="K16" i="77"/>
  <c r="J16" i="77"/>
  <c r="I16" i="77"/>
  <c r="H16" i="77"/>
  <c r="G16" i="77"/>
  <c r="F16" i="77"/>
  <c r="E16" i="77"/>
  <c r="D16" i="77"/>
  <c r="C16" i="77"/>
  <c r="B16" i="77"/>
  <c r="A15" i="77"/>
  <c r="K15" i="77"/>
  <c r="J15" i="77"/>
  <c r="I15" i="77"/>
  <c r="H15" i="77"/>
  <c r="G15" i="77"/>
  <c r="F15" i="77"/>
  <c r="E15" i="77"/>
  <c r="D15" i="77"/>
  <c r="C15" i="77"/>
  <c r="B15" i="77"/>
  <c r="A14" i="77"/>
  <c r="K14" i="77"/>
  <c r="J14" i="77"/>
  <c r="I14" i="77"/>
  <c r="H14" i="77"/>
  <c r="G14" i="77"/>
  <c r="F14" i="77"/>
  <c r="E14" i="77"/>
  <c r="D14" i="77"/>
  <c r="C14" i="77"/>
  <c r="B14" i="77"/>
  <c r="A13" i="77"/>
  <c r="K13" i="77"/>
  <c r="J13" i="77"/>
  <c r="I13" i="77"/>
  <c r="H13" i="77"/>
  <c r="G13" i="77"/>
  <c r="F13" i="77"/>
  <c r="E13" i="77"/>
  <c r="D13" i="77"/>
  <c r="C13" i="77"/>
  <c r="B13" i="77"/>
  <c r="A12" i="77"/>
  <c r="K12" i="77"/>
  <c r="J12" i="77"/>
  <c r="I12" i="77"/>
  <c r="H12" i="77"/>
  <c r="G12" i="77"/>
  <c r="F12" i="77"/>
  <c r="E12" i="77"/>
  <c r="D12" i="77"/>
  <c r="C12" i="77"/>
  <c r="B12" i="77"/>
  <c r="A11" i="77"/>
  <c r="K11" i="77"/>
  <c r="J11" i="77"/>
  <c r="I11" i="77"/>
  <c r="H11" i="77"/>
  <c r="G11" i="77"/>
  <c r="F11" i="77"/>
  <c r="E11" i="77"/>
  <c r="D11" i="77"/>
  <c r="C11" i="77"/>
  <c r="B11" i="77"/>
  <c r="A10" i="77"/>
  <c r="K10" i="77"/>
  <c r="J10" i="77"/>
  <c r="I10" i="77"/>
  <c r="H10" i="77"/>
  <c r="G10" i="77"/>
  <c r="F10" i="77"/>
  <c r="E10" i="77"/>
  <c r="D10" i="77"/>
  <c r="C10" i="77"/>
  <c r="B10" i="77"/>
  <c r="A9" i="77"/>
  <c r="K9" i="77"/>
  <c r="J9" i="77"/>
  <c r="I9" i="77"/>
  <c r="H9" i="77"/>
  <c r="G9" i="77"/>
  <c r="F9" i="77"/>
  <c r="E9" i="77"/>
  <c r="D9" i="77"/>
  <c r="C9" i="77"/>
  <c r="B9" i="77"/>
  <c r="A8" i="77"/>
  <c r="K8" i="77"/>
  <c r="J8" i="77"/>
  <c r="I8" i="77"/>
  <c r="H8" i="77"/>
  <c r="G8" i="77"/>
  <c r="F8" i="77"/>
  <c r="E8" i="77"/>
  <c r="D8" i="77"/>
  <c r="C8" i="77"/>
  <c r="B8" i="77"/>
  <c r="A7" i="77"/>
  <c r="K7" i="77"/>
  <c r="J7" i="77"/>
  <c r="I7" i="77"/>
  <c r="H7" i="77"/>
  <c r="G7" i="77"/>
  <c r="F7" i="77"/>
  <c r="E7" i="77"/>
  <c r="D7" i="77"/>
  <c r="C7" i="77"/>
  <c r="B7" i="77"/>
  <c r="A6" i="77"/>
  <c r="K6" i="77"/>
  <c r="J6" i="77"/>
  <c r="I6" i="77"/>
  <c r="H6" i="77"/>
  <c r="G6" i="77"/>
  <c r="F6" i="77"/>
  <c r="E6" i="77"/>
  <c r="D6" i="77"/>
  <c r="C6" i="77"/>
  <c r="B6" i="77"/>
  <c r="A5" i="77"/>
  <c r="K5" i="77"/>
  <c r="J5" i="77"/>
  <c r="I5" i="77"/>
  <c r="H5" i="77"/>
  <c r="G5" i="77"/>
  <c r="F5" i="77"/>
  <c r="E5" i="77"/>
  <c r="D5" i="77"/>
  <c r="C5" i="77"/>
  <c r="B5" i="77"/>
  <c r="A4" i="77"/>
  <c r="K4" i="77"/>
  <c r="J4" i="77"/>
  <c r="I4" i="77"/>
  <c r="H4" i="77"/>
  <c r="G4" i="77"/>
  <c r="F4" i="77"/>
  <c r="E4" i="77"/>
  <c r="D4" i="77"/>
  <c r="C4" i="77"/>
  <c r="B4" i="77"/>
  <c r="C1" i="65"/>
  <c r="A1" i="65"/>
  <c r="A238" i="65"/>
  <c r="B1" i="65"/>
  <c r="K238" i="65"/>
  <c r="J238" i="65"/>
  <c r="I238" i="65"/>
  <c r="H238" i="65"/>
  <c r="G238" i="65"/>
  <c r="F238" i="65"/>
  <c r="E238" i="65"/>
  <c r="D238" i="65"/>
  <c r="C238" i="65"/>
  <c r="B238" i="65"/>
  <c r="A237" i="65"/>
  <c r="K237" i="65"/>
  <c r="J237" i="65"/>
  <c r="I237" i="65"/>
  <c r="H237" i="65"/>
  <c r="G237" i="65"/>
  <c r="F237" i="65"/>
  <c r="E237" i="65"/>
  <c r="D237" i="65"/>
  <c r="C237" i="65"/>
  <c r="B237" i="65"/>
  <c r="A236" i="65"/>
  <c r="K236" i="65"/>
  <c r="J236" i="65"/>
  <c r="I236" i="65"/>
  <c r="H236" i="65"/>
  <c r="G236" i="65"/>
  <c r="F236" i="65"/>
  <c r="E236" i="65"/>
  <c r="D236" i="65"/>
  <c r="C236" i="65"/>
  <c r="B236" i="65"/>
  <c r="A235" i="65"/>
  <c r="K235" i="65"/>
  <c r="J235" i="65"/>
  <c r="I235" i="65"/>
  <c r="H235" i="65"/>
  <c r="G235" i="65"/>
  <c r="F235" i="65"/>
  <c r="E235" i="65"/>
  <c r="D235" i="65"/>
  <c r="C235" i="65"/>
  <c r="B235" i="65"/>
  <c r="A234" i="65"/>
  <c r="K234" i="65"/>
  <c r="J234" i="65"/>
  <c r="I234" i="65"/>
  <c r="H234" i="65"/>
  <c r="G234" i="65"/>
  <c r="F234" i="65"/>
  <c r="E234" i="65"/>
  <c r="D234" i="65"/>
  <c r="C234" i="65"/>
  <c r="B234" i="65"/>
  <c r="A233" i="65"/>
  <c r="K233" i="65"/>
  <c r="J233" i="65"/>
  <c r="I233" i="65"/>
  <c r="H233" i="65"/>
  <c r="G233" i="65"/>
  <c r="F233" i="65"/>
  <c r="E233" i="65"/>
  <c r="D233" i="65"/>
  <c r="C233" i="65"/>
  <c r="B233" i="65"/>
  <c r="A232" i="65"/>
  <c r="K232" i="65"/>
  <c r="J232" i="65"/>
  <c r="I232" i="65"/>
  <c r="H232" i="65"/>
  <c r="G232" i="65"/>
  <c r="F232" i="65"/>
  <c r="E232" i="65"/>
  <c r="D232" i="65"/>
  <c r="C232" i="65"/>
  <c r="B232" i="65"/>
  <c r="A231" i="65"/>
  <c r="K231" i="65"/>
  <c r="J231" i="65"/>
  <c r="I231" i="65"/>
  <c r="H231" i="65"/>
  <c r="G231" i="65"/>
  <c r="F231" i="65"/>
  <c r="E231" i="65"/>
  <c r="D231" i="65"/>
  <c r="C231" i="65"/>
  <c r="B231" i="65"/>
  <c r="A230" i="65"/>
  <c r="K230" i="65"/>
  <c r="J230" i="65"/>
  <c r="I230" i="65"/>
  <c r="H230" i="65"/>
  <c r="G230" i="65"/>
  <c r="F230" i="65"/>
  <c r="E230" i="65"/>
  <c r="D230" i="65"/>
  <c r="C230" i="65"/>
  <c r="B230" i="65"/>
  <c r="A229" i="65"/>
  <c r="K229" i="65"/>
  <c r="J229" i="65"/>
  <c r="I229" i="65"/>
  <c r="H229" i="65"/>
  <c r="G229" i="65"/>
  <c r="F229" i="65"/>
  <c r="E229" i="65"/>
  <c r="D229" i="65"/>
  <c r="C229" i="65"/>
  <c r="B229" i="65"/>
  <c r="A228" i="65"/>
  <c r="K228" i="65"/>
  <c r="J228" i="65"/>
  <c r="I228" i="65"/>
  <c r="H228" i="65"/>
  <c r="G228" i="65"/>
  <c r="F228" i="65"/>
  <c r="E228" i="65"/>
  <c r="D228" i="65"/>
  <c r="C228" i="65"/>
  <c r="B228" i="65"/>
  <c r="A227" i="65"/>
  <c r="K227" i="65"/>
  <c r="J227" i="65"/>
  <c r="I227" i="65"/>
  <c r="H227" i="65"/>
  <c r="G227" i="65"/>
  <c r="F227" i="65"/>
  <c r="E227" i="65"/>
  <c r="D227" i="65"/>
  <c r="C227" i="65"/>
  <c r="B227" i="65"/>
  <c r="A226" i="65"/>
  <c r="K226" i="65"/>
  <c r="J226" i="65"/>
  <c r="I226" i="65"/>
  <c r="H226" i="65"/>
  <c r="G226" i="65"/>
  <c r="F226" i="65"/>
  <c r="E226" i="65"/>
  <c r="D226" i="65"/>
  <c r="C226" i="65"/>
  <c r="B226" i="65"/>
  <c r="A225" i="65"/>
  <c r="K225" i="65"/>
  <c r="J225" i="65"/>
  <c r="I225" i="65"/>
  <c r="H225" i="65"/>
  <c r="G225" i="65"/>
  <c r="F225" i="65"/>
  <c r="E225" i="65"/>
  <c r="D225" i="65"/>
  <c r="C225" i="65"/>
  <c r="B225" i="65"/>
  <c r="A224" i="65"/>
  <c r="K224" i="65"/>
  <c r="J224" i="65"/>
  <c r="I224" i="65"/>
  <c r="H224" i="65"/>
  <c r="G224" i="65"/>
  <c r="F224" i="65"/>
  <c r="E224" i="65"/>
  <c r="D224" i="65"/>
  <c r="C224" i="65"/>
  <c r="B224" i="65"/>
  <c r="A223" i="65"/>
  <c r="K223" i="65"/>
  <c r="J223" i="65"/>
  <c r="I223" i="65"/>
  <c r="H223" i="65"/>
  <c r="G223" i="65"/>
  <c r="F223" i="65"/>
  <c r="E223" i="65"/>
  <c r="D223" i="65"/>
  <c r="C223" i="65"/>
  <c r="B223" i="65"/>
  <c r="A222" i="65"/>
  <c r="K222" i="65"/>
  <c r="J222" i="65"/>
  <c r="I222" i="65"/>
  <c r="H222" i="65"/>
  <c r="G222" i="65"/>
  <c r="F222" i="65"/>
  <c r="E222" i="65"/>
  <c r="D222" i="65"/>
  <c r="C222" i="65"/>
  <c r="B222" i="65"/>
  <c r="A221" i="65"/>
  <c r="K221" i="65"/>
  <c r="J221" i="65"/>
  <c r="I221" i="65"/>
  <c r="H221" i="65"/>
  <c r="G221" i="65"/>
  <c r="F221" i="65"/>
  <c r="E221" i="65"/>
  <c r="D221" i="65"/>
  <c r="C221" i="65"/>
  <c r="B221" i="65"/>
  <c r="A220" i="65"/>
  <c r="K220" i="65"/>
  <c r="J220" i="65"/>
  <c r="I220" i="65"/>
  <c r="H220" i="65"/>
  <c r="G220" i="65"/>
  <c r="F220" i="65"/>
  <c r="E220" i="65"/>
  <c r="D220" i="65"/>
  <c r="C220" i="65"/>
  <c r="B220" i="65"/>
  <c r="A219" i="65"/>
  <c r="K219" i="65"/>
  <c r="J219" i="65"/>
  <c r="I219" i="65"/>
  <c r="H219" i="65"/>
  <c r="G219" i="65"/>
  <c r="F219" i="65"/>
  <c r="E219" i="65"/>
  <c r="D219" i="65"/>
  <c r="C219" i="65"/>
  <c r="B219" i="65"/>
  <c r="A218" i="65"/>
  <c r="K218" i="65"/>
  <c r="J218" i="65"/>
  <c r="I218" i="65"/>
  <c r="H218" i="65"/>
  <c r="G218" i="65"/>
  <c r="F218" i="65"/>
  <c r="E218" i="65"/>
  <c r="D218" i="65"/>
  <c r="C218" i="65"/>
  <c r="B218" i="65"/>
  <c r="A217" i="65"/>
  <c r="K217" i="65"/>
  <c r="J217" i="65"/>
  <c r="I217" i="65"/>
  <c r="H217" i="65"/>
  <c r="G217" i="65"/>
  <c r="F217" i="65"/>
  <c r="E217" i="65"/>
  <c r="D217" i="65"/>
  <c r="C217" i="65"/>
  <c r="B217" i="65"/>
  <c r="A216" i="65"/>
  <c r="K216" i="65"/>
  <c r="J216" i="65"/>
  <c r="I216" i="65"/>
  <c r="H216" i="65"/>
  <c r="G216" i="65"/>
  <c r="F216" i="65"/>
  <c r="E216" i="65"/>
  <c r="D216" i="65"/>
  <c r="C216" i="65"/>
  <c r="B216" i="65"/>
  <c r="A215" i="65"/>
  <c r="K215" i="65"/>
  <c r="J215" i="65"/>
  <c r="I215" i="65"/>
  <c r="H215" i="65"/>
  <c r="G215" i="65"/>
  <c r="F215" i="65"/>
  <c r="E215" i="65"/>
  <c r="D215" i="65"/>
  <c r="C215" i="65"/>
  <c r="B215" i="65"/>
  <c r="A214" i="65"/>
  <c r="K214" i="65"/>
  <c r="J214" i="65"/>
  <c r="I214" i="65"/>
  <c r="H214" i="65"/>
  <c r="G214" i="65"/>
  <c r="F214" i="65"/>
  <c r="E214" i="65"/>
  <c r="D214" i="65"/>
  <c r="C214" i="65"/>
  <c r="B214" i="65"/>
  <c r="A213" i="65"/>
  <c r="K213" i="65"/>
  <c r="J213" i="65"/>
  <c r="I213" i="65"/>
  <c r="H213" i="65"/>
  <c r="G213" i="65"/>
  <c r="F213" i="65"/>
  <c r="E213" i="65"/>
  <c r="D213" i="65"/>
  <c r="C213" i="65"/>
  <c r="B213" i="65"/>
  <c r="A212" i="65"/>
  <c r="K212" i="65"/>
  <c r="J212" i="65"/>
  <c r="I212" i="65"/>
  <c r="H212" i="65"/>
  <c r="G212" i="65"/>
  <c r="F212" i="65"/>
  <c r="E212" i="65"/>
  <c r="D212" i="65"/>
  <c r="C212" i="65"/>
  <c r="B212" i="65"/>
  <c r="A211" i="65"/>
  <c r="K211" i="65"/>
  <c r="J211" i="65"/>
  <c r="I211" i="65"/>
  <c r="H211" i="65"/>
  <c r="G211" i="65"/>
  <c r="F211" i="65"/>
  <c r="E211" i="65"/>
  <c r="D211" i="65"/>
  <c r="C211" i="65"/>
  <c r="B211" i="65"/>
  <c r="A210" i="65"/>
  <c r="K210" i="65"/>
  <c r="J210" i="65"/>
  <c r="I210" i="65"/>
  <c r="H210" i="65"/>
  <c r="G210" i="65"/>
  <c r="F210" i="65"/>
  <c r="E210" i="65"/>
  <c r="D210" i="65"/>
  <c r="C210" i="65"/>
  <c r="B210" i="65"/>
  <c r="A209" i="65"/>
  <c r="K209" i="65"/>
  <c r="J209" i="65"/>
  <c r="I209" i="65"/>
  <c r="H209" i="65"/>
  <c r="G209" i="65"/>
  <c r="F209" i="65"/>
  <c r="E209" i="65"/>
  <c r="D209" i="65"/>
  <c r="C209" i="65"/>
  <c r="B209" i="65"/>
  <c r="A208" i="65"/>
  <c r="K208" i="65"/>
  <c r="J208" i="65"/>
  <c r="I208" i="65"/>
  <c r="H208" i="65"/>
  <c r="G208" i="65"/>
  <c r="F208" i="65"/>
  <c r="E208" i="65"/>
  <c r="D208" i="65"/>
  <c r="C208" i="65"/>
  <c r="B208" i="65"/>
  <c r="A207" i="65"/>
  <c r="K207" i="65"/>
  <c r="J207" i="65"/>
  <c r="I207" i="65"/>
  <c r="H207" i="65"/>
  <c r="G207" i="65"/>
  <c r="F207" i="65"/>
  <c r="E207" i="65"/>
  <c r="D207" i="65"/>
  <c r="C207" i="65"/>
  <c r="B207" i="65"/>
  <c r="A206" i="65"/>
  <c r="K206" i="65"/>
  <c r="J206" i="65"/>
  <c r="I206" i="65"/>
  <c r="H206" i="65"/>
  <c r="G206" i="65"/>
  <c r="F206" i="65"/>
  <c r="E206" i="65"/>
  <c r="D206" i="65"/>
  <c r="C206" i="65"/>
  <c r="B206" i="65"/>
  <c r="A205" i="65"/>
  <c r="K205" i="65"/>
  <c r="J205" i="65"/>
  <c r="I205" i="65"/>
  <c r="H205" i="65"/>
  <c r="G205" i="65"/>
  <c r="F205" i="65"/>
  <c r="E205" i="65"/>
  <c r="D205" i="65"/>
  <c r="C205" i="65"/>
  <c r="B205" i="65"/>
  <c r="A204" i="65"/>
  <c r="K204" i="65"/>
  <c r="J204" i="65"/>
  <c r="I204" i="65"/>
  <c r="H204" i="65"/>
  <c r="G204" i="65"/>
  <c r="F204" i="65"/>
  <c r="E204" i="65"/>
  <c r="D204" i="65"/>
  <c r="C204" i="65"/>
  <c r="B204" i="65"/>
  <c r="A203" i="65"/>
  <c r="K203" i="65"/>
  <c r="J203" i="65"/>
  <c r="I203" i="65"/>
  <c r="H203" i="65"/>
  <c r="G203" i="65"/>
  <c r="F203" i="65"/>
  <c r="E203" i="65"/>
  <c r="D203" i="65"/>
  <c r="C203" i="65"/>
  <c r="B203" i="65"/>
  <c r="A202" i="65"/>
  <c r="K202" i="65"/>
  <c r="J202" i="65"/>
  <c r="I202" i="65"/>
  <c r="H202" i="65"/>
  <c r="G202" i="65"/>
  <c r="F202" i="65"/>
  <c r="E202" i="65"/>
  <c r="D202" i="65"/>
  <c r="C202" i="65"/>
  <c r="B202" i="65"/>
  <c r="A201" i="65"/>
  <c r="K201" i="65"/>
  <c r="J201" i="65"/>
  <c r="I201" i="65"/>
  <c r="H201" i="65"/>
  <c r="G201" i="65"/>
  <c r="F201" i="65"/>
  <c r="E201" i="65"/>
  <c r="D201" i="65"/>
  <c r="C201" i="65"/>
  <c r="B201" i="65"/>
  <c r="A200" i="65"/>
  <c r="K200" i="65"/>
  <c r="J200" i="65"/>
  <c r="I200" i="65"/>
  <c r="H200" i="65"/>
  <c r="G200" i="65"/>
  <c r="F200" i="65"/>
  <c r="E200" i="65"/>
  <c r="D200" i="65"/>
  <c r="C200" i="65"/>
  <c r="B200" i="65"/>
  <c r="A199" i="65"/>
  <c r="K199" i="65"/>
  <c r="J199" i="65"/>
  <c r="I199" i="65"/>
  <c r="H199" i="65"/>
  <c r="G199" i="65"/>
  <c r="F199" i="65"/>
  <c r="E199" i="65"/>
  <c r="D199" i="65"/>
  <c r="C199" i="65"/>
  <c r="B199" i="65"/>
  <c r="A198" i="65"/>
  <c r="K198" i="65"/>
  <c r="J198" i="65"/>
  <c r="I198" i="65"/>
  <c r="H198" i="65"/>
  <c r="G198" i="65"/>
  <c r="F198" i="65"/>
  <c r="E198" i="65"/>
  <c r="D198" i="65"/>
  <c r="C198" i="65"/>
  <c r="B198" i="65"/>
  <c r="A197" i="65"/>
  <c r="K197" i="65"/>
  <c r="J197" i="65"/>
  <c r="I197" i="65"/>
  <c r="H197" i="65"/>
  <c r="G197" i="65"/>
  <c r="F197" i="65"/>
  <c r="E197" i="65"/>
  <c r="D197" i="65"/>
  <c r="C197" i="65"/>
  <c r="B197" i="65"/>
  <c r="A196" i="65"/>
  <c r="K196" i="65"/>
  <c r="J196" i="65"/>
  <c r="I196" i="65"/>
  <c r="H196" i="65"/>
  <c r="G196" i="65"/>
  <c r="F196" i="65"/>
  <c r="E196" i="65"/>
  <c r="D196" i="65"/>
  <c r="C196" i="65"/>
  <c r="B196" i="65"/>
  <c r="A195" i="65"/>
  <c r="K195" i="65"/>
  <c r="J195" i="65"/>
  <c r="I195" i="65"/>
  <c r="H195" i="65"/>
  <c r="G195" i="65"/>
  <c r="F195" i="65"/>
  <c r="E195" i="65"/>
  <c r="D195" i="65"/>
  <c r="C195" i="65"/>
  <c r="B195" i="65"/>
  <c r="A194" i="65"/>
  <c r="K194" i="65"/>
  <c r="J194" i="65"/>
  <c r="I194" i="65"/>
  <c r="H194" i="65"/>
  <c r="G194" i="65"/>
  <c r="F194" i="65"/>
  <c r="E194" i="65"/>
  <c r="D194" i="65"/>
  <c r="C194" i="65"/>
  <c r="B194" i="65"/>
  <c r="A193" i="65"/>
  <c r="K193" i="65"/>
  <c r="J193" i="65"/>
  <c r="I193" i="65"/>
  <c r="H193" i="65"/>
  <c r="G193" i="65"/>
  <c r="F193" i="65"/>
  <c r="E193" i="65"/>
  <c r="D193" i="65"/>
  <c r="C193" i="65"/>
  <c r="B193" i="65"/>
  <c r="A192" i="65"/>
  <c r="K192" i="65"/>
  <c r="J192" i="65"/>
  <c r="I192" i="65"/>
  <c r="H192" i="65"/>
  <c r="G192" i="65"/>
  <c r="F192" i="65"/>
  <c r="E192" i="65"/>
  <c r="D192" i="65"/>
  <c r="C192" i="65"/>
  <c r="B192" i="65"/>
  <c r="A191" i="65"/>
  <c r="K191" i="65"/>
  <c r="J191" i="65"/>
  <c r="I191" i="65"/>
  <c r="H191" i="65"/>
  <c r="G191" i="65"/>
  <c r="F191" i="65"/>
  <c r="E191" i="65"/>
  <c r="D191" i="65"/>
  <c r="C191" i="65"/>
  <c r="B191" i="65"/>
  <c r="A190" i="65"/>
  <c r="K190" i="65"/>
  <c r="J190" i="65"/>
  <c r="I190" i="65"/>
  <c r="H190" i="65"/>
  <c r="G190" i="65"/>
  <c r="F190" i="65"/>
  <c r="E190" i="65"/>
  <c r="D190" i="65"/>
  <c r="C190" i="65"/>
  <c r="B190" i="65"/>
  <c r="A189" i="65"/>
  <c r="K189" i="65"/>
  <c r="J189" i="65"/>
  <c r="I189" i="65"/>
  <c r="H189" i="65"/>
  <c r="G189" i="65"/>
  <c r="F189" i="65"/>
  <c r="E189" i="65"/>
  <c r="D189" i="65"/>
  <c r="C189" i="65"/>
  <c r="B189" i="65"/>
  <c r="A188" i="65"/>
  <c r="K188" i="65"/>
  <c r="J188" i="65"/>
  <c r="I188" i="65"/>
  <c r="H188" i="65"/>
  <c r="G188" i="65"/>
  <c r="F188" i="65"/>
  <c r="E188" i="65"/>
  <c r="D188" i="65"/>
  <c r="C188" i="65"/>
  <c r="B188" i="65"/>
  <c r="A187" i="65"/>
  <c r="K187" i="65"/>
  <c r="J187" i="65"/>
  <c r="I187" i="65"/>
  <c r="H187" i="65"/>
  <c r="G187" i="65"/>
  <c r="F187" i="65"/>
  <c r="E187" i="65"/>
  <c r="D187" i="65"/>
  <c r="C187" i="65"/>
  <c r="B187" i="65"/>
  <c r="A186" i="65"/>
  <c r="K186" i="65"/>
  <c r="J186" i="65"/>
  <c r="I186" i="65"/>
  <c r="H186" i="65"/>
  <c r="G186" i="65"/>
  <c r="F186" i="65"/>
  <c r="E186" i="65"/>
  <c r="D186" i="65"/>
  <c r="C186" i="65"/>
  <c r="B186" i="65"/>
  <c r="A185" i="65"/>
  <c r="K185" i="65"/>
  <c r="J185" i="65"/>
  <c r="I185" i="65"/>
  <c r="H185" i="65"/>
  <c r="G185" i="65"/>
  <c r="F185" i="65"/>
  <c r="E185" i="65"/>
  <c r="D185" i="65"/>
  <c r="C185" i="65"/>
  <c r="B185" i="65"/>
  <c r="A184" i="65"/>
  <c r="K184" i="65"/>
  <c r="J184" i="65"/>
  <c r="I184" i="65"/>
  <c r="H184" i="65"/>
  <c r="G184" i="65"/>
  <c r="F184" i="65"/>
  <c r="E184" i="65"/>
  <c r="D184" i="65"/>
  <c r="C184" i="65"/>
  <c r="B184" i="65"/>
  <c r="A183" i="65"/>
  <c r="K183" i="65"/>
  <c r="J183" i="65"/>
  <c r="I183" i="65"/>
  <c r="H183" i="65"/>
  <c r="G183" i="65"/>
  <c r="F183" i="65"/>
  <c r="E183" i="65"/>
  <c r="D183" i="65"/>
  <c r="C183" i="65"/>
  <c r="B183" i="65"/>
  <c r="A182" i="65"/>
  <c r="K182" i="65"/>
  <c r="J182" i="65"/>
  <c r="I182" i="65"/>
  <c r="H182" i="65"/>
  <c r="G182" i="65"/>
  <c r="F182" i="65"/>
  <c r="E182" i="65"/>
  <c r="D182" i="65"/>
  <c r="C182" i="65"/>
  <c r="B182" i="65"/>
  <c r="A181" i="65"/>
  <c r="K181" i="65"/>
  <c r="J181" i="65"/>
  <c r="I181" i="65"/>
  <c r="H181" i="65"/>
  <c r="G181" i="65"/>
  <c r="F181" i="65"/>
  <c r="E181" i="65"/>
  <c r="D181" i="65"/>
  <c r="C181" i="65"/>
  <c r="B181" i="65"/>
  <c r="A180" i="65"/>
  <c r="K180" i="65"/>
  <c r="J180" i="65"/>
  <c r="I180" i="65"/>
  <c r="H180" i="65"/>
  <c r="G180" i="65"/>
  <c r="F180" i="65"/>
  <c r="E180" i="65"/>
  <c r="D180" i="65"/>
  <c r="C180" i="65"/>
  <c r="B180" i="65"/>
  <c r="A179" i="65"/>
  <c r="K179" i="65"/>
  <c r="J179" i="65"/>
  <c r="I179" i="65"/>
  <c r="H179" i="65"/>
  <c r="G179" i="65"/>
  <c r="F179" i="65"/>
  <c r="E179" i="65"/>
  <c r="D179" i="65"/>
  <c r="C179" i="65"/>
  <c r="B179" i="65"/>
  <c r="A178" i="65"/>
  <c r="K178" i="65"/>
  <c r="J178" i="65"/>
  <c r="I178" i="65"/>
  <c r="H178" i="65"/>
  <c r="G178" i="65"/>
  <c r="F178" i="65"/>
  <c r="E178" i="65"/>
  <c r="D178" i="65"/>
  <c r="C178" i="65"/>
  <c r="B178" i="65"/>
  <c r="A177" i="65"/>
  <c r="K177" i="65"/>
  <c r="J177" i="65"/>
  <c r="I177" i="65"/>
  <c r="H177" i="65"/>
  <c r="G177" i="65"/>
  <c r="F177" i="65"/>
  <c r="E177" i="65"/>
  <c r="D177" i="65"/>
  <c r="C177" i="65"/>
  <c r="B177" i="65"/>
  <c r="A176" i="65"/>
  <c r="K176" i="65"/>
  <c r="J176" i="65"/>
  <c r="I176" i="65"/>
  <c r="H176" i="65"/>
  <c r="G176" i="65"/>
  <c r="F176" i="65"/>
  <c r="E176" i="65"/>
  <c r="D176" i="65"/>
  <c r="C176" i="65"/>
  <c r="B176" i="65"/>
  <c r="A175" i="65"/>
  <c r="K175" i="65"/>
  <c r="J175" i="65"/>
  <c r="I175" i="65"/>
  <c r="H175" i="65"/>
  <c r="G175" i="65"/>
  <c r="F175" i="65"/>
  <c r="E175" i="65"/>
  <c r="D175" i="65"/>
  <c r="C175" i="65"/>
  <c r="B175" i="65"/>
  <c r="A174" i="65"/>
  <c r="K174" i="65"/>
  <c r="J174" i="65"/>
  <c r="I174" i="65"/>
  <c r="H174" i="65"/>
  <c r="G174" i="65"/>
  <c r="F174" i="65"/>
  <c r="E174" i="65"/>
  <c r="D174" i="65"/>
  <c r="C174" i="65"/>
  <c r="B174" i="65"/>
  <c r="A173" i="65"/>
  <c r="K173" i="65"/>
  <c r="J173" i="65"/>
  <c r="I173" i="65"/>
  <c r="H173" i="65"/>
  <c r="G173" i="65"/>
  <c r="F173" i="65"/>
  <c r="E173" i="65"/>
  <c r="D173" i="65"/>
  <c r="C173" i="65"/>
  <c r="B173" i="65"/>
  <c r="A172" i="65"/>
  <c r="K172" i="65"/>
  <c r="J172" i="65"/>
  <c r="I172" i="65"/>
  <c r="H172" i="65"/>
  <c r="G172" i="65"/>
  <c r="F172" i="65"/>
  <c r="E172" i="65"/>
  <c r="D172" i="65"/>
  <c r="C172" i="65"/>
  <c r="B172" i="65"/>
  <c r="A171" i="65"/>
  <c r="K171" i="65"/>
  <c r="J171" i="65"/>
  <c r="I171" i="65"/>
  <c r="H171" i="65"/>
  <c r="G171" i="65"/>
  <c r="F171" i="65"/>
  <c r="E171" i="65"/>
  <c r="D171" i="65"/>
  <c r="C171" i="65"/>
  <c r="B171" i="65"/>
  <c r="A170" i="65"/>
  <c r="K170" i="65"/>
  <c r="J170" i="65"/>
  <c r="I170" i="65"/>
  <c r="H170" i="65"/>
  <c r="G170" i="65"/>
  <c r="F170" i="65"/>
  <c r="E170" i="65"/>
  <c r="D170" i="65"/>
  <c r="C170" i="65"/>
  <c r="B170" i="65"/>
  <c r="A169" i="65"/>
  <c r="K169" i="65"/>
  <c r="J169" i="65"/>
  <c r="I169" i="65"/>
  <c r="H169" i="65"/>
  <c r="G169" i="65"/>
  <c r="F169" i="65"/>
  <c r="E169" i="65"/>
  <c r="D169" i="65"/>
  <c r="C169" i="65"/>
  <c r="B169" i="65"/>
  <c r="A168" i="65"/>
  <c r="K168" i="65"/>
  <c r="J168" i="65"/>
  <c r="I168" i="65"/>
  <c r="H168" i="65"/>
  <c r="G168" i="65"/>
  <c r="F168" i="65"/>
  <c r="E168" i="65"/>
  <c r="D168" i="65"/>
  <c r="C168" i="65"/>
  <c r="B168" i="65"/>
  <c r="A167" i="65"/>
  <c r="K167" i="65"/>
  <c r="J167" i="65"/>
  <c r="I167" i="65"/>
  <c r="H167" i="65"/>
  <c r="G167" i="65"/>
  <c r="F167" i="65"/>
  <c r="E167" i="65"/>
  <c r="D167" i="65"/>
  <c r="C167" i="65"/>
  <c r="B167" i="65"/>
  <c r="A166" i="65"/>
  <c r="K166" i="65"/>
  <c r="J166" i="65"/>
  <c r="I166" i="65"/>
  <c r="H166" i="65"/>
  <c r="G166" i="65"/>
  <c r="F166" i="65"/>
  <c r="E166" i="65"/>
  <c r="D166" i="65"/>
  <c r="C166" i="65"/>
  <c r="B166" i="65"/>
  <c r="A165" i="65"/>
  <c r="K165" i="65"/>
  <c r="J165" i="65"/>
  <c r="I165" i="65"/>
  <c r="H165" i="65"/>
  <c r="G165" i="65"/>
  <c r="F165" i="65"/>
  <c r="E165" i="65"/>
  <c r="D165" i="65"/>
  <c r="C165" i="65"/>
  <c r="B165" i="65"/>
  <c r="A164" i="65"/>
  <c r="K164" i="65"/>
  <c r="J164" i="65"/>
  <c r="I164" i="65"/>
  <c r="H164" i="65"/>
  <c r="G164" i="65"/>
  <c r="F164" i="65"/>
  <c r="E164" i="65"/>
  <c r="D164" i="65"/>
  <c r="C164" i="65"/>
  <c r="B164" i="65"/>
  <c r="A163" i="65"/>
  <c r="K163" i="65"/>
  <c r="J163" i="65"/>
  <c r="I163" i="65"/>
  <c r="H163" i="65"/>
  <c r="G163" i="65"/>
  <c r="F163" i="65"/>
  <c r="E163" i="65"/>
  <c r="D163" i="65"/>
  <c r="C163" i="65"/>
  <c r="B163" i="65"/>
  <c r="A162" i="65"/>
  <c r="K162" i="65"/>
  <c r="J162" i="65"/>
  <c r="I162" i="65"/>
  <c r="H162" i="65"/>
  <c r="G162" i="65"/>
  <c r="F162" i="65"/>
  <c r="E162" i="65"/>
  <c r="D162" i="65"/>
  <c r="C162" i="65"/>
  <c r="B162" i="65"/>
  <c r="A161" i="65"/>
  <c r="K161" i="65"/>
  <c r="J161" i="65"/>
  <c r="I161" i="65"/>
  <c r="H161" i="65"/>
  <c r="G161" i="65"/>
  <c r="F161" i="65"/>
  <c r="E161" i="65"/>
  <c r="D161" i="65"/>
  <c r="C161" i="65"/>
  <c r="B161" i="65"/>
  <c r="A160" i="65"/>
  <c r="K160" i="65"/>
  <c r="J160" i="65"/>
  <c r="I160" i="65"/>
  <c r="H160" i="65"/>
  <c r="G160" i="65"/>
  <c r="F160" i="65"/>
  <c r="E160" i="65"/>
  <c r="D160" i="65"/>
  <c r="C160" i="65"/>
  <c r="B160" i="65"/>
  <c r="A159" i="65"/>
  <c r="K159" i="65"/>
  <c r="J159" i="65"/>
  <c r="I159" i="65"/>
  <c r="H159" i="65"/>
  <c r="G159" i="65"/>
  <c r="F159" i="65"/>
  <c r="E159" i="65"/>
  <c r="D159" i="65"/>
  <c r="C159" i="65"/>
  <c r="B159" i="65"/>
  <c r="A158" i="65"/>
  <c r="K158" i="65"/>
  <c r="J158" i="65"/>
  <c r="I158" i="65"/>
  <c r="H158" i="65"/>
  <c r="G158" i="65"/>
  <c r="F158" i="65"/>
  <c r="E158" i="65"/>
  <c r="D158" i="65"/>
  <c r="C158" i="65"/>
  <c r="B158" i="65"/>
  <c r="A157" i="65"/>
  <c r="K157" i="65"/>
  <c r="J157" i="65"/>
  <c r="I157" i="65"/>
  <c r="H157" i="65"/>
  <c r="G157" i="65"/>
  <c r="F157" i="65"/>
  <c r="E157" i="65"/>
  <c r="D157" i="65"/>
  <c r="C157" i="65"/>
  <c r="B157" i="65"/>
  <c r="A156" i="65"/>
  <c r="K156" i="65"/>
  <c r="J156" i="65"/>
  <c r="I156" i="65"/>
  <c r="H156" i="65"/>
  <c r="G156" i="65"/>
  <c r="F156" i="65"/>
  <c r="E156" i="65"/>
  <c r="D156" i="65"/>
  <c r="C156" i="65"/>
  <c r="B156" i="65"/>
  <c r="A155" i="65"/>
  <c r="K155" i="65"/>
  <c r="J155" i="65"/>
  <c r="I155" i="65"/>
  <c r="H155" i="65"/>
  <c r="G155" i="65"/>
  <c r="F155" i="65"/>
  <c r="E155" i="65"/>
  <c r="D155" i="65"/>
  <c r="C155" i="65"/>
  <c r="B155" i="65"/>
  <c r="A154" i="65"/>
  <c r="K154" i="65"/>
  <c r="J154" i="65"/>
  <c r="I154" i="65"/>
  <c r="H154" i="65"/>
  <c r="G154" i="65"/>
  <c r="F154" i="65"/>
  <c r="E154" i="65"/>
  <c r="D154" i="65"/>
  <c r="C154" i="65"/>
  <c r="B154" i="65"/>
  <c r="A153" i="65"/>
  <c r="K153" i="65"/>
  <c r="J153" i="65"/>
  <c r="I153" i="65"/>
  <c r="H153" i="65"/>
  <c r="G153" i="65"/>
  <c r="F153" i="65"/>
  <c r="E153" i="65"/>
  <c r="D153" i="65"/>
  <c r="C153" i="65"/>
  <c r="B153" i="65"/>
  <c r="A152" i="65"/>
  <c r="K152" i="65"/>
  <c r="J152" i="65"/>
  <c r="I152" i="65"/>
  <c r="H152" i="65"/>
  <c r="G152" i="65"/>
  <c r="F152" i="65"/>
  <c r="E152" i="65"/>
  <c r="D152" i="65"/>
  <c r="C152" i="65"/>
  <c r="B152" i="65"/>
  <c r="A151" i="65"/>
  <c r="K151" i="65"/>
  <c r="J151" i="65"/>
  <c r="I151" i="65"/>
  <c r="H151" i="65"/>
  <c r="G151" i="65"/>
  <c r="F151" i="65"/>
  <c r="E151" i="65"/>
  <c r="D151" i="65"/>
  <c r="C151" i="65"/>
  <c r="B151" i="65"/>
  <c r="A150" i="65"/>
  <c r="K150" i="65"/>
  <c r="J150" i="65"/>
  <c r="I150" i="65"/>
  <c r="H150" i="65"/>
  <c r="G150" i="65"/>
  <c r="F150" i="65"/>
  <c r="E150" i="65"/>
  <c r="D150" i="65"/>
  <c r="C150" i="65"/>
  <c r="B150" i="65"/>
  <c r="A149" i="65"/>
  <c r="K149" i="65"/>
  <c r="J149" i="65"/>
  <c r="I149" i="65"/>
  <c r="H149" i="65"/>
  <c r="G149" i="65"/>
  <c r="F149" i="65"/>
  <c r="E149" i="65"/>
  <c r="D149" i="65"/>
  <c r="C149" i="65"/>
  <c r="B149" i="65"/>
  <c r="A148" i="65"/>
  <c r="K148" i="65"/>
  <c r="J148" i="65"/>
  <c r="I148" i="65"/>
  <c r="H148" i="65"/>
  <c r="G148" i="65"/>
  <c r="F148" i="65"/>
  <c r="E148" i="65"/>
  <c r="D148" i="65"/>
  <c r="C148" i="65"/>
  <c r="B148" i="65"/>
  <c r="A147" i="65"/>
  <c r="K147" i="65"/>
  <c r="J147" i="65"/>
  <c r="I147" i="65"/>
  <c r="H147" i="65"/>
  <c r="G147" i="65"/>
  <c r="F147" i="65"/>
  <c r="E147" i="65"/>
  <c r="D147" i="65"/>
  <c r="C147" i="65"/>
  <c r="B147" i="65"/>
  <c r="A146" i="65"/>
  <c r="K146" i="65"/>
  <c r="J146" i="65"/>
  <c r="I146" i="65"/>
  <c r="H146" i="65"/>
  <c r="G146" i="65"/>
  <c r="F146" i="65"/>
  <c r="E146" i="65"/>
  <c r="D146" i="65"/>
  <c r="C146" i="65"/>
  <c r="B146" i="65"/>
  <c r="A145" i="65"/>
  <c r="K145" i="65"/>
  <c r="J145" i="65"/>
  <c r="I145" i="65"/>
  <c r="H145" i="65"/>
  <c r="G145" i="65"/>
  <c r="F145" i="65"/>
  <c r="E145" i="65"/>
  <c r="D145" i="65"/>
  <c r="C145" i="65"/>
  <c r="B145" i="65"/>
  <c r="A144" i="65"/>
  <c r="K144" i="65"/>
  <c r="J144" i="65"/>
  <c r="I144" i="65"/>
  <c r="H144" i="65"/>
  <c r="G144" i="65"/>
  <c r="F144" i="65"/>
  <c r="E144" i="65"/>
  <c r="D144" i="65"/>
  <c r="C144" i="65"/>
  <c r="B144" i="65"/>
  <c r="A143" i="65"/>
  <c r="K143" i="65"/>
  <c r="J143" i="65"/>
  <c r="I143" i="65"/>
  <c r="H143" i="65"/>
  <c r="G143" i="65"/>
  <c r="F143" i="65"/>
  <c r="E143" i="65"/>
  <c r="D143" i="65"/>
  <c r="C143" i="65"/>
  <c r="B143" i="65"/>
  <c r="A142" i="65"/>
  <c r="K142" i="65"/>
  <c r="J142" i="65"/>
  <c r="I142" i="65"/>
  <c r="H142" i="65"/>
  <c r="G142" i="65"/>
  <c r="F142" i="65"/>
  <c r="E142" i="65"/>
  <c r="D142" i="65"/>
  <c r="C142" i="65"/>
  <c r="B142" i="65"/>
  <c r="A141" i="65"/>
  <c r="K141" i="65"/>
  <c r="J141" i="65"/>
  <c r="I141" i="65"/>
  <c r="H141" i="65"/>
  <c r="G141" i="65"/>
  <c r="F141" i="65"/>
  <c r="E141" i="65"/>
  <c r="D141" i="65"/>
  <c r="C141" i="65"/>
  <c r="B141" i="65"/>
  <c r="A140" i="65"/>
  <c r="K140" i="65"/>
  <c r="J140" i="65"/>
  <c r="I140" i="65"/>
  <c r="H140" i="65"/>
  <c r="G140" i="65"/>
  <c r="F140" i="65"/>
  <c r="E140" i="65"/>
  <c r="D140" i="65"/>
  <c r="C140" i="65"/>
  <c r="B140" i="65"/>
  <c r="A139" i="65"/>
  <c r="K139" i="65"/>
  <c r="J139" i="65"/>
  <c r="I139" i="65"/>
  <c r="H139" i="65"/>
  <c r="G139" i="65"/>
  <c r="F139" i="65"/>
  <c r="E139" i="65"/>
  <c r="D139" i="65"/>
  <c r="C139" i="65"/>
  <c r="B139" i="65"/>
  <c r="A138" i="65"/>
  <c r="K138" i="65"/>
  <c r="J138" i="65"/>
  <c r="I138" i="65"/>
  <c r="H138" i="65"/>
  <c r="G138" i="65"/>
  <c r="F138" i="65"/>
  <c r="E138" i="65"/>
  <c r="D138" i="65"/>
  <c r="C138" i="65"/>
  <c r="B138" i="65"/>
  <c r="A137" i="65"/>
  <c r="K137" i="65"/>
  <c r="J137" i="65"/>
  <c r="I137" i="65"/>
  <c r="H137" i="65"/>
  <c r="G137" i="65"/>
  <c r="F137" i="65"/>
  <c r="E137" i="65"/>
  <c r="D137" i="65"/>
  <c r="C137" i="65"/>
  <c r="B137" i="65"/>
  <c r="A136" i="65"/>
  <c r="K136" i="65"/>
  <c r="J136" i="65"/>
  <c r="I136" i="65"/>
  <c r="H136" i="65"/>
  <c r="G136" i="65"/>
  <c r="F136" i="65"/>
  <c r="E136" i="65"/>
  <c r="D136" i="65"/>
  <c r="C136" i="65"/>
  <c r="B136" i="65"/>
  <c r="A135" i="65"/>
  <c r="K135" i="65"/>
  <c r="J135" i="65"/>
  <c r="I135" i="65"/>
  <c r="H135" i="65"/>
  <c r="G135" i="65"/>
  <c r="F135" i="65"/>
  <c r="E135" i="65"/>
  <c r="D135" i="65"/>
  <c r="C135" i="65"/>
  <c r="B135" i="65"/>
  <c r="A134" i="65"/>
  <c r="K134" i="65"/>
  <c r="J134" i="65"/>
  <c r="I134" i="65"/>
  <c r="H134" i="65"/>
  <c r="G134" i="65"/>
  <c r="F134" i="65"/>
  <c r="E134" i="65"/>
  <c r="D134" i="65"/>
  <c r="C134" i="65"/>
  <c r="B134" i="65"/>
  <c r="A133" i="65"/>
  <c r="K133" i="65"/>
  <c r="J133" i="65"/>
  <c r="I133" i="65"/>
  <c r="H133" i="65"/>
  <c r="G133" i="65"/>
  <c r="F133" i="65"/>
  <c r="E133" i="65"/>
  <c r="D133" i="65"/>
  <c r="C133" i="65"/>
  <c r="B133" i="65"/>
  <c r="A132" i="65"/>
  <c r="K132" i="65"/>
  <c r="J132" i="65"/>
  <c r="I132" i="65"/>
  <c r="H132" i="65"/>
  <c r="G132" i="65"/>
  <c r="F132" i="65"/>
  <c r="E132" i="65"/>
  <c r="D132" i="65"/>
  <c r="C132" i="65"/>
  <c r="B132" i="65"/>
  <c r="A131" i="65"/>
  <c r="K131" i="65"/>
  <c r="J131" i="65"/>
  <c r="I131" i="65"/>
  <c r="H131" i="65"/>
  <c r="G131" i="65"/>
  <c r="F131" i="65"/>
  <c r="E131" i="65"/>
  <c r="D131" i="65"/>
  <c r="C131" i="65"/>
  <c r="B131" i="65"/>
  <c r="A130" i="65"/>
  <c r="K130" i="65"/>
  <c r="J130" i="65"/>
  <c r="I130" i="65"/>
  <c r="H130" i="65"/>
  <c r="G130" i="65"/>
  <c r="F130" i="65"/>
  <c r="E130" i="65"/>
  <c r="D130" i="65"/>
  <c r="C130" i="65"/>
  <c r="B130" i="65"/>
  <c r="A129" i="65"/>
  <c r="K129" i="65"/>
  <c r="J129" i="65"/>
  <c r="I129" i="65"/>
  <c r="H129" i="65"/>
  <c r="G129" i="65"/>
  <c r="F129" i="65"/>
  <c r="E129" i="65"/>
  <c r="D129" i="65"/>
  <c r="C129" i="65"/>
  <c r="B129" i="65"/>
  <c r="A128" i="65"/>
  <c r="K128" i="65"/>
  <c r="J128" i="65"/>
  <c r="I128" i="65"/>
  <c r="H128" i="65"/>
  <c r="G128" i="65"/>
  <c r="F128" i="65"/>
  <c r="E128" i="65"/>
  <c r="D128" i="65"/>
  <c r="C128" i="65"/>
  <c r="B128" i="65"/>
  <c r="A127" i="65"/>
  <c r="K127" i="65"/>
  <c r="J127" i="65"/>
  <c r="I127" i="65"/>
  <c r="H127" i="65"/>
  <c r="G127" i="65"/>
  <c r="F127" i="65"/>
  <c r="E127" i="65"/>
  <c r="D127" i="65"/>
  <c r="C127" i="65"/>
  <c r="B127" i="65"/>
  <c r="A126" i="65"/>
  <c r="K126" i="65"/>
  <c r="J126" i="65"/>
  <c r="I126" i="65"/>
  <c r="H126" i="65"/>
  <c r="G126" i="65"/>
  <c r="F126" i="65"/>
  <c r="E126" i="65"/>
  <c r="D126" i="65"/>
  <c r="C126" i="65"/>
  <c r="B126" i="65"/>
  <c r="A125" i="65"/>
  <c r="K125" i="65"/>
  <c r="J125" i="65"/>
  <c r="I125" i="65"/>
  <c r="H125" i="65"/>
  <c r="G125" i="65"/>
  <c r="F125" i="65"/>
  <c r="E125" i="65"/>
  <c r="D125" i="65"/>
  <c r="C125" i="65"/>
  <c r="B125" i="65"/>
  <c r="A124" i="65"/>
  <c r="K124" i="65"/>
  <c r="J124" i="65"/>
  <c r="I124" i="65"/>
  <c r="H124" i="65"/>
  <c r="G124" i="65"/>
  <c r="F124" i="65"/>
  <c r="E124" i="65"/>
  <c r="D124" i="65"/>
  <c r="C124" i="65"/>
  <c r="B124" i="65"/>
  <c r="A123" i="65"/>
  <c r="K123" i="65"/>
  <c r="J123" i="65"/>
  <c r="I123" i="65"/>
  <c r="H123" i="65"/>
  <c r="G123" i="65"/>
  <c r="F123" i="65"/>
  <c r="E123" i="65"/>
  <c r="D123" i="65"/>
  <c r="C123" i="65"/>
  <c r="B123" i="65"/>
  <c r="A122" i="65"/>
  <c r="K122" i="65"/>
  <c r="J122" i="65"/>
  <c r="I122" i="65"/>
  <c r="H122" i="65"/>
  <c r="G122" i="65"/>
  <c r="F122" i="65"/>
  <c r="E122" i="65"/>
  <c r="D122" i="65"/>
  <c r="C122" i="65"/>
  <c r="B122" i="65"/>
  <c r="A121" i="65"/>
  <c r="K121" i="65"/>
  <c r="J121" i="65"/>
  <c r="I121" i="65"/>
  <c r="H121" i="65"/>
  <c r="G121" i="65"/>
  <c r="F121" i="65"/>
  <c r="E121" i="65"/>
  <c r="D121" i="65"/>
  <c r="C121" i="65"/>
  <c r="B121" i="65"/>
  <c r="A120" i="65"/>
  <c r="K120" i="65"/>
  <c r="J120" i="65"/>
  <c r="I120" i="65"/>
  <c r="H120" i="65"/>
  <c r="G120" i="65"/>
  <c r="F120" i="65"/>
  <c r="E120" i="65"/>
  <c r="D120" i="65"/>
  <c r="C120" i="65"/>
  <c r="B120" i="65"/>
  <c r="A119" i="65"/>
  <c r="K119" i="65"/>
  <c r="J119" i="65"/>
  <c r="I119" i="65"/>
  <c r="H119" i="65"/>
  <c r="G119" i="65"/>
  <c r="F119" i="65"/>
  <c r="E119" i="65"/>
  <c r="D119" i="65"/>
  <c r="C119" i="65"/>
  <c r="B119" i="65"/>
  <c r="A118" i="65"/>
  <c r="K118" i="65"/>
  <c r="J118" i="65"/>
  <c r="I118" i="65"/>
  <c r="H118" i="65"/>
  <c r="G118" i="65"/>
  <c r="F118" i="65"/>
  <c r="E118" i="65"/>
  <c r="D118" i="65"/>
  <c r="C118" i="65"/>
  <c r="B118" i="65"/>
  <c r="A117" i="65"/>
  <c r="K117" i="65"/>
  <c r="J117" i="65"/>
  <c r="I117" i="65"/>
  <c r="H117" i="65"/>
  <c r="G117" i="65"/>
  <c r="F117" i="65"/>
  <c r="E117" i="65"/>
  <c r="D117" i="65"/>
  <c r="C117" i="65"/>
  <c r="B117" i="65"/>
  <c r="A116" i="65"/>
  <c r="K116" i="65"/>
  <c r="J116" i="65"/>
  <c r="I116" i="65"/>
  <c r="H116" i="65"/>
  <c r="G116" i="65"/>
  <c r="F116" i="65"/>
  <c r="E116" i="65"/>
  <c r="D116" i="65"/>
  <c r="C116" i="65"/>
  <c r="B116" i="65"/>
  <c r="A115" i="65"/>
  <c r="K115" i="65"/>
  <c r="J115" i="65"/>
  <c r="I115" i="65"/>
  <c r="H115" i="65"/>
  <c r="G115" i="65"/>
  <c r="F115" i="65"/>
  <c r="E115" i="65"/>
  <c r="D115" i="65"/>
  <c r="C115" i="65"/>
  <c r="B115" i="65"/>
  <c r="A114" i="65"/>
  <c r="K114" i="65"/>
  <c r="J114" i="65"/>
  <c r="I114" i="65"/>
  <c r="H114" i="65"/>
  <c r="G114" i="65"/>
  <c r="F114" i="65"/>
  <c r="E114" i="65"/>
  <c r="D114" i="65"/>
  <c r="C114" i="65"/>
  <c r="B114" i="65"/>
  <c r="A113" i="65"/>
  <c r="K113" i="65"/>
  <c r="J113" i="65"/>
  <c r="I113" i="65"/>
  <c r="H113" i="65"/>
  <c r="G113" i="65"/>
  <c r="F113" i="65"/>
  <c r="E113" i="65"/>
  <c r="D113" i="65"/>
  <c r="C113" i="65"/>
  <c r="B113" i="65"/>
  <c r="A112" i="65"/>
  <c r="K112" i="65"/>
  <c r="J112" i="65"/>
  <c r="I112" i="65"/>
  <c r="H112" i="65"/>
  <c r="G112" i="65"/>
  <c r="F112" i="65"/>
  <c r="E112" i="65"/>
  <c r="D112" i="65"/>
  <c r="C112" i="65"/>
  <c r="B112" i="65"/>
  <c r="A111" i="65"/>
  <c r="K111" i="65"/>
  <c r="J111" i="65"/>
  <c r="I111" i="65"/>
  <c r="H111" i="65"/>
  <c r="G111" i="65"/>
  <c r="F111" i="65"/>
  <c r="E111" i="65"/>
  <c r="D111" i="65"/>
  <c r="C111" i="65"/>
  <c r="B111" i="65"/>
  <c r="A110" i="65"/>
  <c r="K110" i="65"/>
  <c r="J110" i="65"/>
  <c r="I110" i="65"/>
  <c r="H110" i="65"/>
  <c r="G110" i="65"/>
  <c r="F110" i="65"/>
  <c r="E110" i="65"/>
  <c r="D110" i="65"/>
  <c r="C110" i="65"/>
  <c r="B110" i="65"/>
  <c r="A109" i="65"/>
  <c r="K109" i="65"/>
  <c r="J109" i="65"/>
  <c r="I109" i="65"/>
  <c r="H109" i="65"/>
  <c r="G109" i="65"/>
  <c r="F109" i="65"/>
  <c r="E109" i="65"/>
  <c r="D109" i="65"/>
  <c r="C109" i="65"/>
  <c r="B109" i="65"/>
  <c r="A108" i="65"/>
  <c r="K108" i="65"/>
  <c r="J108" i="65"/>
  <c r="I108" i="65"/>
  <c r="H108" i="65"/>
  <c r="G108" i="65"/>
  <c r="F108" i="65"/>
  <c r="E108" i="65"/>
  <c r="D108" i="65"/>
  <c r="C108" i="65"/>
  <c r="B108" i="65"/>
  <c r="A107" i="65"/>
  <c r="K107" i="65"/>
  <c r="J107" i="65"/>
  <c r="I107" i="65"/>
  <c r="H107" i="65"/>
  <c r="G107" i="65"/>
  <c r="F107" i="65"/>
  <c r="E107" i="65"/>
  <c r="D107" i="65"/>
  <c r="C107" i="65"/>
  <c r="B107" i="65"/>
  <c r="A106" i="65"/>
  <c r="K106" i="65"/>
  <c r="J106" i="65"/>
  <c r="I106" i="65"/>
  <c r="H106" i="65"/>
  <c r="G106" i="65"/>
  <c r="F106" i="65"/>
  <c r="E106" i="65"/>
  <c r="D106" i="65"/>
  <c r="C106" i="65"/>
  <c r="B106" i="65"/>
  <c r="A105" i="65"/>
  <c r="K105" i="65"/>
  <c r="J105" i="65"/>
  <c r="I105" i="65"/>
  <c r="H105" i="65"/>
  <c r="G105" i="65"/>
  <c r="F105" i="65"/>
  <c r="E105" i="65"/>
  <c r="D105" i="65"/>
  <c r="C105" i="65"/>
  <c r="B105" i="65"/>
  <c r="A104" i="65"/>
  <c r="K104" i="65"/>
  <c r="J104" i="65"/>
  <c r="I104" i="65"/>
  <c r="H104" i="65"/>
  <c r="G104" i="65"/>
  <c r="F104" i="65"/>
  <c r="E104" i="65"/>
  <c r="D104" i="65"/>
  <c r="C104" i="65"/>
  <c r="B104" i="65"/>
  <c r="A103" i="65"/>
  <c r="K103" i="65"/>
  <c r="J103" i="65"/>
  <c r="I103" i="65"/>
  <c r="H103" i="65"/>
  <c r="G103" i="65"/>
  <c r="F103" i="65"/>
  <c r="E103" i="65"/>
  <c r="D103" i="65"/>
  <c r="C103" i="65"/>
  <c r="B103" i="65"/>
  <c r="A102" i="65"/>
  <c r="K102" i="65"/>
  <c r="J102" i="65"/>
  <c r="I102" i="65"/>
  <c r="H102" i="65"/>
  <c r="G102" i="65"/>
  <c r="F102" i="65"/>
  <c r="E102" i="65"/>
  <c r="D102" i="65"/>
  <c r="C102" i="65"/>
  <c r="B102" i="65"/>
  <c r="A101" i="65"/>
  <c r="K101" i="65"/>
  <c r="J101" i="65"/>
  <c r="I101" i="65"/>
  <c r="H101" i="65"/>
  <c r="G101" i="65"/>
  <c r="F101" i="65"/>
  <c r="E101" i="65"/>
  <c r="D101" i="65"/>
  <c r="C101" i="65"/>
  <c r="B101" i="65"/>
  <c r="A100" i="65"/>
  <c r="K100" i="65"/>
  <c r="J100" i="65"/>
  <c r="I100" i="65"/>
  <c r="H100" i="65"/>
  <c r="G100" i="65"/>
  <c r="F100" i="65"/>
  <c r="E100" i="65"/>
  <c r="D100" i="65"/>
  <c r="C100" i="65"/>
  <c r="B100" i="65"/>
  <c r="A99" i="65"/>
  <c r="K99" i="65"/>
  <c r="J99" i="65"/>
  <c r="I99" i="65"/>
  <c r="H99" i="65"/>
  <c r="G99" i="65"/>
  <c r="F99" i="65"/>
  <c r="E99" i="65"/>
  <c r="D99" i="65"/>
  <c r="C99" i="65"/>
  <c r="B99" i="65"/>
  <c r="A98" i="65"/>
  <c r="K98" i="65"/>
  <c r="J98" i="65"/>
  <c r="I98" i="65"/>
  <c r="H98" i="65"/>
  <c r="G98" i="65"/>
  <c r="F98" i="65"/>
  <c r="E98" i="65"/>
  <c r="D98" i="65"/>
  <c r="C98" i="65"/>
  <c r="B98" i="65"/>
  <c r="A97" i="65"/>
  <c r="K97" i="65"/>
  <c r="J97" i="65"/>
  <c r="I97" i="65"/>
  <c r="H97" i="65"/>
  <c r="G97" i="65"/>
  <c r="F97" i="65"/>
  <c r="E97" i="65"/>
  <c r="D97" i="65"/>
  <c r="C97" i="65"/>
  <c r="B97" i="65"/>
  <c r="A96" i="65"/>
  <c r="K96" i="65"/>
  <c r="J96" i="65"/>
  <c r="I96" i="65"/>
  <c r="H96" i="65"/>
  <c r="G96" i="65"/>
  <c r="F96" i="65"/>
  <c r="E96" i="65"/>
  <c r="D96" i="65"/>
  <c r="C96" i="65"/>
  <c r="B96" i="65"/>
  <c r="A95" i="65"/>
  <c r="K95" i="65"/>
  <c r="J95" i="65"/>
  <c r="I95" i="65"/>
  <c r="H95" i="65"/>
  <c r="G95" i="65"/>
  <c r="F95" i="65"/>
  <c r="E95" i="65"/>
  <c r="D95" i="65"/>
  <c r="C95" i="65"/>
  <c r="B95" i="65"/>
  <c r="A94" i="65"/>
  <c r="K94" i="65"/>
  <c r="J94" i="65"/>
  <c r="I94" i="65"/>
  <c r="H94" i="65"/>
  <c r="G94" i="65"/>
  <c r="F94" i="65"/>
  <c r="E94" i="65"/>
  <c r="D94" i="65"/>
  <c r="C94" i="65"/>
  <c r="B94" i="65"/>
  <c r="A93" i="65"/>
  <c r="K93" i="65"/>
  <c r="J93" i="65"/>
  <c r="I93" i="65"/>
  <c r="H93" i="65"/>
  <c r="G93" i="65"/>
  <c r="F93" i="65"/>
  <c r="E93" i="65"/>
  <c r="D93" i="65"/>
  <c r="C93" i="65"/>
  <c r="B93" i="65"/>
  <c r="A92" i="65"/>
  <c r="K92" i="65"/>
  <c r="J92" i="65"/>
  <c r="I92" i="65"/>
  <c r="H92" i="65"/>
  <c r="G92" i="65"/>
  <c r="F92" i="65"/>
  <c r="E92" i="65"/>
  <c r="D92" i="65"/>
  <c r="C92" i="65"/>
  <c r="B92" i="65"/>
  <c r="A91" i="65"/>
  <c r="K91" i="65"/>
  <c r="J91" i="65"/>
  <c r="I91" i="65"/>
  <c r="H91" i="65"/>
  <c r="G91" i="65"/>
  <c r="F91" i="65"/>
  <c r="E91" i="65"/>
  <c r="D91" i="65"/>
  <c r="C91" i="65"/>
  <c r="B91" i="65"/>
  <c r="A90" i="65"/>
  <c r="K90" i="65"/>
  <c r="J90" i="65"/>
  <c r="I90" i="65"/>
  <c r="H90" i="65"/>
  <c r="G90" i="65"/>
  <c r="F90" i="65"/>
  <c r="E90" i="65"/>
  <c r="D90" i="65"/>
  <c r="C90" i="65"/>
  <c r="B90" i="65"/>
  <c r="A89" i="65"/>
  <c r="K89" i="65"/>
  <c r="J89" i="65"/>
  <c r="I89" i="65"/>
  <c r="H89" i="65"/>
  <c r="G89" i="65"/>
  <c r="F89" i="65"/>
  <c r="E89" i="65"/>
  <c r="D89" i="65"/>
  <c r="C89" i="65"/>
  <c r="B89" i="65"/>
  <c r="A88" i="65"/>
  <c r="K88" i="65"/>
  <c r="J88" i="65"/>
  <c r="I88" i="65"/>
  <c r="H88" i="65"/>
  <c r="G88" i="65"/>
  <c r="F88" i="65"/>
  <c r="E88" i="65"/>
  <c r="D88" i="65"/>
  <c r="C88" i="65"/>
  <c r="B88" i="65"/>
  <c r="A87" i="65"/>
  <c r="K87" i="65"/>
  <c r="J87" i="65"/>
  <c r="I87" i="65"/>
  <c r="H87" i="65"/>
  <c r="G87" i="65"/>
  <c r="F87" i="65"/>
  <c r="E87" i="65"/>
  <c r="D87" i="65"/>
  <c r="C87" i="65"/>
  <c r="B87" i="65"/>
  <c r="A86" i="65"/>
  <c r="K86" i="65"/>
  <c r="J86" i="65"/>
  <c r="I86" i="65"/>
  <c r="H86" i="65"/>
  <c r="G86" i="65"/>
  <c r="F86" i="65"/>
  <c r="E86" i="65"/>
  <c r="D86" i="65"/>
  <c r="C86" i="65"/>
  <c r="B86" i="65"/>
  <c r="A85" i="65"/>
  <c r="K85" i="65"/>
  <c r="J85" i="65"/>
  <c r="I85" i="65"/>
  <c r="H85" i="65"/>
  <c r="G85" i="65"/>
  <c r="F85" i="65"/>
  <c r="E85" i="65"/>
  <c r="D85" i="65"/>
  <c r="C85" i="65"/>
  <c r="B85" i="65"/>
  <c r="A84" i="65"/>
  <c r="K84" i="65"/>
  <c r="J84" i="65"/>
  <c r="I84" i="65"/>
  <c r="H84" i="65"/>
  <c r="G84" i="65"/>
  <c r="F84" i="65"/>
  <c r="E84" i="65"/>
  <c r="D84" i="65"/>
  <c r="C84" i="65"/>
  <c r="B84" i="65"/>
  <c r="A83" i="65"/>
  <c r="K83" i="65"/>
  <c r="J83" i="65"/>
  <c r="I83" i="65"/>
  <c r="H83" i="65"/>
  <c r="G83" i="65"/>
  <c r="F83" i="65"/>
  <c r="E83" i="65"/>
  <c r="D83" i="65"/>
  <c r="C83" i="65"/>
  <c r="B83" i="65"/>
  <c r="A82" i="65"/>
  <c r="K82" i="65"/>
  <c r="J82" i="65"/>
  <c r="I82" i="65"/>
  <c r="H82" i="65"/>
  <c r="G82" i="65"/>
  <c r="F82" i="65"/>
  <c r="E82" i="65"/>
  <c r="D82" i="65"/>
  <c r="C82" i="65"/>
  <c r="B82" i="65"/>
  <c r="A81" i="65"/>
  <c r="K81" i="65"/>
  <c r="J81" i="65"/>
  <c r="I81" i="65"/>
  <c r="H81" i="65"/>
  <c r="G81" i="65"/>
  <c r="F81" i="65"/>
  <c r="E81" i="65"/>
  <c r="D81" i="65"/>
  <c r="C81" i="65"/>
  <c r="B81" i="65"/>
  <c r="A80" i="65"/>
  <c r="K80" i="65"/>
  <c r="J80" i="65"/>
  <c r="I80" i="65"/>
  <c r="H80" i="65"/>
  <c r="G80" i="65"/>
  <c r="F80" i="65"/>
  <c r="E80" i="65"/>
  <c r="D80" i="65"/>
  <c r="C80" i="65"/>
  <c r="B80" i="65"/>
  <c r="A79" i="65"/>
  <c r="K79" i="65"/>
  <c r="J79" i="65"/>
  <c r="I79" i="65"/>
  <c r="H79" i="65"/>
  <c r="G79" i="65"/>
  <c r="F79" i="65"/>
  <c r="E79" i="65"/>
  <c r="D79" i="65"/>
  <c r="C79" i="65"/>
  <c r="B79" i="65"/>
  <c r="A78" i="65"/>
  <c r="K78" i="65"/>
  <c r="J78" i="65"/>
  <c r="I78" i="65"/>
  <c r="H78" i="65"/>
  <c r="G78" i="65"/>
  <c r="F78" i="65"/>
  <c r="E78" i="65"/>
  <c r="D78" i="65"/>
  <c r="C78" i="65"/>
  <c r="B78" i="65"/>
  <c r="A77" i="65"/>
  <c r="K77" i="65"/>
  <c r="J77" i="65"/>
  <c r="I77" i="65"/>
  <c r="H77" i="65"/>
  <c r="G77" i="65"/>
  <c r="F77" i="65"/>
  <c r="E77" i="65"/>
  <c r="D77" i="65"/>
  <c r="C77" i="65"/>
  <c r="B77" i="65"/>
  <c r="A76" i="65"/>
  <c r="K76" i="65"/>
  <c r="J76" i="65"/>
  <c r="I76" i="65"/>
  <c r="H76" i="65"/>
  <c r="G76" i="65"/>
  <c r="F76" i="65"/>
  <c r="E76" i="65"/>
  <c r="D76" i="65"/>
  <c r="C76" i="65"/>
  <c r="B76" i="65"/>
  <c r="A75" i="65"/>
  <c r="K75" i="65"/>
  <c r="J75" i="65"/>
  <c r="I75" i="65"/>
  <c r="H75" i="65"/>
  <c r="G75" i="65"/>
  <c r="F75" i="65"/>
  <c r="E75" i="65"/>
  <c r="D75" i="65"/>
  <c r="C75" i="65"/>
  <c r="B75" i="65"/>
  <c r="A74" i="65"/>
  <c r="K74" i="65"/>
  <c r="J74" i="65"/>
  <c r="I74" i="65"/>
  <c r="H74" i="65"/>
  <c r="G74" i="65"/>
  <c r="F74" i="65"/>
  <c r="E74" i="65"/>
  <c r="D74" i="65"/>
  <c r="C74" i="65"/>
  <c r="B74" i="65"/>
  <c r="A73" i="65"/>
  <c r="K73" i="65"/>
  <c r="J73" i="65"/>
  <c r="I73" i="65"/>
  <c r="H73" i="65"/>
  <c r="G73" i="65"/>
  <c r="F73" i="65"/>
  <c r="E73" i="65"/>
  <c r="D73" i="65"/>
  <c r="C73" i="65"/>
  <c r="B73" i="65"/>
  <c r="A72" i="65"/>
  <c r="K72" i="65"/>
  <c r="J72" i="65"/>
  <c r="I72" i="65"/>
  <c r="H72" i="65"/>
  <c r="G72" i="65"/>
  <c r="F72" i="65"/>
  <c r="E72" i="65"/>
  <c r="D72" i="65"/>
  <c r="C72" i="65"/>
  <c r="B72" i="65"/>
  <c r="A71" i="65"/>
  <c r="K71" i="65"/>
  <c r="J71" i="65"/>
  <c r="I71" i="65"/>
  <c r="H71" i="65"/>
  <c r="G71" i="65"/>
  <c r="F71" i="65"/>
  <c r="E71" i="65"/>
  <c r="D71" i="65"/>
  <c r="C71" i="65"/>
  <c r="B71" i="65"/>
  <c r="A70" i="65"/>
  <c r="K70" i="65"/>
  <c r="J70" i="65"/>
  <c r="I70" i="65"/>
  <c r="H70" i="65"/>
  <c r="G70" i="65"/>
  <c r="F70" i="65"/>
  <c r="E70" i="65"/>
  <c r="D70" i="65"/>
  <c r="C70" i="65"/>
  <c r="B70" i="65"/>
  <c r="A69" i="65"/>
  <c r="K69" i="65"/>
  <c r="J69" i="65"/>
  <c r="I69" i="65"/>
  <c r="H69" i="65"/>
  <c r="G69" i="65"/>
  <c r="F69" i="65"/>
  <c r="E69" i="65"/>
  <c r="D69" i="65"/>
  <c r="C69" i="65"/>
  <c r="B69" i="65"/>
  <c r="A68" i="65"/>
  <c r="K68" i="65"/>
  <c r="J68" i="65"/>
  <c r="I68" i="65"/>
  <c r="H68" i="65"/>
  <c r="G68" i="65"/>
  <c r="F68" i="65"/>
  <c r="E68" i="65"/>
  <c r="D68" i="65"/>
  <c r="C68" i="65"/>
  <c r="B68" i="65"/>
  <c r="A67" i="65"/>
  <c r="K67" i="65"/>
  <c r="J67" i="65"/>
  <c r="I67" i="65"/>
  <c r="H67" i="65"/>
  <c r="G67" i="65"/>
  <c r="F67" i="65"/>
  <c r="E67" i="65"/>
  <c r="D67" i="65"/>
  <c r="C67" i="65"/>
  <c r="B67" i="65"/>
  <c r="A66" i="65"/>
  <c r="K66" i="65"/>
  <c r="J66" i="65"/>
  <c r="I66" i="65"/>
  <c r="H66" i="65"/>
  <c r="G66" i="65"/>
  <c r="F66" i="65"/>
  <c r="E66" i="65"/>
  <c r="D66" i="65"/>
  <c r="C66" i="65"/>
  <c r="B66" i="65"/>
  <c r="A65" i="65"/>
  <c r="K65" i="65"/>
  <c r="J65" i="65"/>
  <c r="I65" i="65"/>
  <c r="H65" i="65"/>
  <c r="G65" i="65"/>
  <c r="F65" i="65"/>
  <c r="E65" i="65"/>
  <c r="D65" i="65"/>
  <c r="C65" i="65"/>
  <c r="B65" i="65"/>
  <c r="A64" i="65"/>
  <c r="K64" i="65"/>
  <c r="J64" i="65"/>
  <c r="I64" i="65"/>
  <c r="H64" i="65"/>
  <c r="G64" i="65"/>
  <c r="F64" i="65"/>
  <c r="E64" i="65"/>
  <c r="D64" i="65"/>
  <c r="C64" i="65"/>
  <c r="B64" i="65"/>
  <c r="A63" i="65"/>
  <c r="K63" i="65"/>
  <c r="J63" i="65"/>
  <c r="I63" i="65"/>
  <c r="H63" i="65"/>
  <c r="G63" i="65"/>
  <c r="F63" i="65"/>
  <c r="E63" i="65"/>
  <c r="D63" i="65"/>
  <c r="C63" i="65"/>
  <c r="B63" i="65"/>
  <c r="A62" i="65"/>
  <c r="K62" i="65"/>
  <c r="J62" i="65"/>
  <c r="I62" i="65"/>
  <c r="H62" i="65"/>
  <c r="G62" i="65"/>
  <c r="F62" i="65"/>
  <c r="E62" i="65"/>
  <c r="D62" i="65"/>
  <c r="C62" i="65"/>
  <c r="B62" i="65"/>
  <c r="A61" i="65"/>
  <c r="K61" i="65"/>
  <c r="J61" i="65"/>
  <c r="I61" i="65"/>
  <c r="H61" i="65"/>
  <c r="G61" i="65"/>
  <c r="F61" i="65"/>
  <c r="E61" i="65"/>
  <c r="D61" i="65"/>
  <c r="C61" i="65"/>
  <c r="B61" i="65"/>
  <c r="A60" i="65"/>
  <c r="K60" i="65"/>
  <c r="J60" i="65"/>
  <c r="I60" i="65"/>
  <c r="H60" i="65"/>
  <c r="G60" i="65"/>
  <c r="F60" i="65"/>
  <c r="E60" i="65"/>
  <c r="D60" i="65"/>
  <c r="C60" i="65"/>
  <c r="B60" i="65"/>
  <c r="A59" i="65"/>
  <c r="K59" i="65"/>
  <c r="J59" i="65"/>
  <c r="I59" i="65"/>
  <c r="H59" i="65"/>
  <c r="G59" i="65"/>
  <c r="F59" i="65"/>
  <c r="E59" i="65"/>
  <c r="D59" i="65"/>
  <c r="C59" i="65"/>
  <c r="B59" i="65"/>
  <c r="A58" i="65"/>
  <c r="K58" i="65"/>
  <c r="J58" i="65"/>
  <c r="I58" i="65"/>
  <c r="H58" i="65"/>
  <c r="G58" i="65"/>
  <c r="F58" i="65"/>
  <c r="E58" i="65"/>
  <c r="D58" i="65"/>
  <c r="C58" i="65"/>
  <c r="B58" i="65"/>
  <c r="A57" i="65"/>
  <c r="K57" i="65"/>
  <c r="J57" i="65"/>
  <c r="I57" i="65"/>
  <c r="H57" i="65"/>
  <c r="G57" i="65"/>
  <c r="F57" i="65"/>
  <c r="E57" i="65"/>
  <c r="D57" i="65"/>
  <c r="C57" i="65"/>
  <c r="B57" i="65"/>
  <c r="A56" i="65"/>
  <c r="K56" i="65"/>
  <c r="J56" i="65"/>
  <c r="I56" i="65"/>
  <c r="H56" i="65"/>
  <c r="G56" i="65"/>
  <c r="F56" i="65"/>
  <c r="E56" i="65"/>
  <c r="D56" i="65"/>
  <c r="C56" i="65"/>
  <c r="B56" i="65"/>
  <c r="A55" i="65"/>
  <c r="K55" i="65"/>
  <c r="J55" i="65"/>
  <c r="I55" i="65"/>
  <c r="H55" i="65"/>
  <c r="G55" i="65"/>
  <c r="F55" i="65"/>
  <c r="E55" i="65"/>
  <c r="D55" i="65"/>
  <c r="C55" i="65"/>
  <c r="B55" i="65"/>
  <c r="A54" i="65"/>
  <c r="K54" i="65"/>
  <c r="J54" i="65"/>
  <c r="I54" i="65"/>
  <c r="H54" i="65"/>
  <c r="G54" i="65"/>
  <c r="F54" i="65"/>
  <c r="E54" i="65"/>
  <c r="D54" i="65"/>
  <c r="C54" i="65"/>
  <c r="B54" i="65"/>
  <c r="A53" i="65"/>
  <c r="K53" i="65"/>
  <c r="J53" i="65"/>
  <c r="I53" i="65"/>
  <c r="H53" i="65"/>
  <c r="G53" i="65"/>
  <c r="F53" i="65"/>
  <c r="E53" i="65"/>
  <c r="D53" i="65"/>
  <c r="C53" i="65"/>
  <c r="B53" i="65"/>
  <c r="A52" i="65"/>
  <c r="K52" i="65"/>
  <c r="J52" i="65"/>
  <c r="I52" i="65"/>
  <c r="H52" i="65"/>
  <c r="G52" i="65"/>
  <c r="F52" i="65"/>
  <c r="E52" i="65"/>
  <c r="D52" i="65"/>
  <c r="C52" i="65"/>
  <c r="B52" i="65"/>
  <c r="A51" i="65"/>
  <c r="K51" i="65"/>
  <c r="J51" i="65"/>
  <c r="I51" i="65"/>
  <c r="H51" i="65"/>
  <c r="G51" i="65"/>
  <c r="F51" i="65"/>
  <c r="E51" i="65"/>
  <c r="D51" i="65"/>
  <c r="C51" i="65"/>
  <c r="B51" i="65"/>
  <c r="A50" i="65"/>
  <c r="K50" i="65"/>
  <c r="J50" i="65"/>
  <c r="I50" i="65"/>
  <c r="H50" i="65"/>
  <c r="G50" i="65"/>
  <c r="F50" i="65"/>
  <c r="E50" i="65"/>
  <c r="D50" i="65"/>
  <c r="C50" i="65"/>
  <c r="B50" i="65"/>
  <c r="A49" i="65"/>
  <c r="K49" i="65"/>
  <c r="J49" i="65"/>
  <c r="I49" i="65"/>
  <c r="H49" i="65"/>
  <c r="G49" i="65"/>
  <c r="F49" i="65"/>
  <c r="E49" i="65"/>
  <c r="D49" i="65"/>
  <c r="C49" i="65"/>
  <c r="B49" i="65"/>
  <c r="A48" i="65"/>
  <c r="K48" i="65"/>
  <c r="J48" i="65"/>
  <c r="I48" i="65"/>
  <c r="H48" i="65"/>
  <c r="G48" i="65"/>
  <c r="F48" i="65"/>
  <c r="E48" i="65"/>
  <c r="D48" i="65"/>
  <c r="C48" i="65"/>
  <c r="B48" i="65"/>
  <c r="A47" i="65"/>
  <c r="K47" i="65"/>
  <c r="J47" i="65"/>
  <c r="I47" i="65"/>
  <c r="H47" i="65"/>
  <c r="G47" i="65"/>
  <c r="F47" i="65"/>
  <c r="E47" i="65"/>
  <c r="D47" i="65"/>
  <c r="C47" i="65"/>
  <c r="B47" i="65"/>
  <c r="A46" i="65"/>
  <c r="K46" i="65"/>
  <c r="J46" i="65"/>
  <c r="I46" i="65"/>
  <c r="H46" i="65"/>
  <c r="G46" i="65"/>
  <c r="F46" i="65"/>
  <c r="E46" i="65"/>
  <c r="D46" i="65"/>
  <c r="C46" i="65"/>
  <c r="B46" i="65"/>
  <c r="A45" i="65"/>
  <c r="K45" i="65"/>
  <c r="J45" i="65"/>
  <c r="I45" i="65"/>
  <c r="H45" i="65"/>
  <c r="G45" i="65"/>
  <c r="F45" i="65"/>
  <c r="E45" i="65"/>
  <c r="D45" i="65"/>
  <c r="C45" i="65"/>
  <c r="B45" i="65"/>
  <c r="A44" i="65"/>
  <c r="K44" i="65"/>
  <c r="J44" i="65"/>
  <c r="I44" i="65"/>
  <c r="H44" i="65"/>
  <c r="G44" i="65"/>
  <c r="F44" i="65"/>
  <c r="E44" i="65"/>
  <c r="D44" i="65"/>
  <c r="C44" i="65"/>
  <c r="B44" i="65"/>
  <c r="A43" i="65"/>
  <c r="K43" i="65"/>
  <c r="J43" i="65"/>
  <c r="I43" i="65"/>
  <c r="H43" i="65"/>
  <c r="G43" i="65"/>
  <c r="F43" i="65"/>
  <c r="E43" i="65"/>
  <c r="D43" i="65"/>
  <c r="C43" i="65"/>
  <c r="B43" i="65"/>
  <c r="A42" i="65"/>
  <c r="K42" i="65"/>
  <c r="J42" i="65"/>
  <c r="I42" i="65"/>
  <c r="H42" i="65"/>
  <c r="G42" i="65"/>
  <c r="F42" i="65"/>
  <c r="E42" i="65"/>
  <c r="D42" i="65"/>
  <c r="C42" i="65"/>
  <c r="B42" i="65"/>
  <c r="A41" i="65"/>
  <c r="K41" i="65"/>
  <c r="J41" i="65"/>
  <c r="I41" i="65"/>
  <c r="H41" i="65"/>
  <c r="G41" i="65"/>
  <c r="F41" i="65"/>
  <c r="E41" i="65"/>
  <c r="D41" i="65"/>
  <c r="C41" i="65"/>
  <c r="B41" i="65"/>
  <c r="A40" i="65"/>
  <c r="K40" i="65"/>
  <c r="J40" i="65"/>
  <c r="I40" i="65"/>
  <c r="H40" i="65"/>
  <c r="G40" i="65"/>
  <c r="F40" i="65"/>
  <c r="E40" i="65"/>
  <c r="D40" i="65"/>
  <c r="C40" i="65"/>
  <c r="B40" i="65"/>
  <c r="A39" i="65"/>
  <c r="K39" i="65"/>
  <c r="J39" i="65"/>
  <c r="I39" i="65"/>
  <c r="H39" i="65"/>
  <c r="G39" i="65"/>
  <c r="F39" i="65"/>
  <c r="E39" i="65"/>
  <c r="D39" i="65"/>
  <c r="C39" i="65"/>
  <c r="B39" i="65"/>
  <c r="A38" i="65"/>
  <c r="K38" i="65"/>
  <c r="J38" i="65"/>
  <c r="I38" i="65"/>
  <c r="H38" i="65"/>
  <c r="G38" i="65"/>
  <c r="F38" i="65"/>
  <c r="E38" i="65"/>
  <c r="D38" i="65"/>
  <c r="C38" i="65"/>
  <c r="B38" i="65"/>
  <c r="A37" i="65"/>
  <c r="K37" i="65"/>
  <c r="J37" i="65"/>
  <c r="I37" i="65"/>
  <c r="H37" i="65"/>
  <c r="G37" i="65"/>
  <c r="F37" i="65"/>
  <c r="E37" i="65"/>
  <c r="D37" i="65"/>
  <c r="C37" i="65"/>
  <c r="B37" i="65"/>
  <c r="A36" i="65"/>
  <c r="K36" i="65"/>
  <c r="J36" i="65"/>
  <c r="I36" i="65"/>
  <c r="H36" i="65"/>
  <c r="G36" i="65"/>
  <c r="F36" i="65"/>
  <c r="E36" i="65"/>
  <c r="D36" i="65"/>
  <c r="C36" i="65"/>
  <c r="B36" i="65"/>
  <c r="A35" i="65"/>
  <c r="K35" i="65"/>
  <c r="J35" i="65"/>
  <c r="I35" i="65"/>
  <c r="H35" i="65"/>
  <c r="G35" i="65"/>
  <c r="F35" i="65"/>
  <c r="E35" i="65"/>
  <c r="D35" i="65"/>
  <c r="C35" i="65"/>
  <c r="B35" i="65"/>
  <c r="A34" i="65"/>
  <c r="K34" i="65"/>
  <c r="J34" i="65"/>
  <c r="I34" i="65"/>
  <c r="H34" i="65"/>
  <c r="G34" i="65"/>
  <c r="F34" i="65"/>
  <c r="E34" i="65"/>
  <c r="D34" i="65"/>
  <c r="C34" i="65"/>
  <c r="B34" i="65"/>
  <c r="A33" i="65"/>
  <c r="K33" i="65"/>
  <c r="J33" i="65"/>
  <c r="I33" i="65"/>
  <c r="H33" i="65"/>
  <c r="G33" i="65"/>
  <c r="F33" i="65"/>
  <c r="E33" i="65"/>
  <c r="D33" i="65"/>
  <c r="C33" i="65"/>
  <c r="B33" i="65"/>
  <c r="A32" i="65"/>
  <c r="K32" i="65"/>
  <c r="J32" i="65"/>
  <c r="I32" i="65"/>
  <c r="H32" i="65"/>
  <c r="G32" i="65"/>
  <c r="F32" i="65"/>
  <c r="E32" i="65"/>
  <c r="D32" i="65"/>
  <c r="C32" i="65"/>
  <c r="B32" i="65"/>
  <c r="A31" i="65"/>
  <c r="K31" i="65"/>
  <c r="J31" i="65"/>
  <c r="I31" i="65"/>
  <c r="H31" i="65"/>
  <c r="G31" i="65"/>
  <c r="F31" i="65"/>
  <c r="E31" i="65"/>
  <c r="D31" i="65"/>
  <c r="C31" i="65"/>
  <c r="B31" i="65"/>
  <c r="A30" i="65"/>
  <c r="K30" i="65"/>
  <c r="J30" i="65"/>
  <c r="I30" i="65"/>
  <c r="H30" i="65"/>
  <c r="G30" i="65"/>
  <c r="F30" i="65"/>
  <c r="E30" i="65"/>
  <c r="D30" i="65"/>
  <c r="C30" i="65"/>
  <c r="B30" i="65"/>
  <c r="A29" i="65"/>
  <c r="K29" i="65"/>
  <c r="J29" i="65"/>
  <c r="I29" i="65"/>
  <c r="H29" i="65"/>
  <c r="G29" i="65"/>
  <c r="F29" i="65"/>
  <c r="E29" i="65"/>
  <c r="D29" i="65"/>
  <c r="C29" i="65"/>
  <c r="B29" i="65"/>
  <c r="A28" i="65"/>
  <c r="K28" i="65"/>
  <c r="J28" i="65"/>
  <c r="I28" i="65"/>
  <c r="H28" i="65"/>
  <c r="G28" i="65"/>
  <c r="F28" i="65"/>
  <c r="E28" i="65"/>
  <c r="D28" i="65"/>
  <c r="C28" i="65"/>
  <c r="B28" i="65"/>
  <c r="A27" i="65"/>
  <c r="K27" i="65"/>
  <c r="J27" i="65"/>
  <c r="I27" i="65"/>
  <c r="H27" i="65"/>
  <c r="G27" i="65"/>
  <c r="F27" i="65"/>
  <c r="E27" i="65"/>
  <c r="D27" i="65"/>
  <c r="C27" i="65"/>
  <c r="B27" i="65"/>
  <c r="A26" i="65"/>
  <c r="K26" i="65"/>
  <c r="J26" i="65"/>
  <c r="I26" i="65"/>
  <c r="H26" i="65"/>
  <c r="G26" i="65"/>
  <c r="F26" i="65"/>
  <c r="E26" i="65"/>
  <c r="D26" i="65"/>
  <c r="C26" i="65"/>
  <c r="B26" i="65"/>
  <c r="A25" i="65"/>
  <c r="K25" i="65"/>
  <c r="J25" i="65"/>
  <c r="I25" i="65"/>
  <c r="H25" i="65"/>
  <c r="G25" i="65"/>
  <c r="F25" i="65"/>
  <c r="E25" i="65"/>
  <c r="D25" i="65"/>
  <c r="C25" i="65"/>
  <c r="B25" i="65"/>
  <c r="A24" i="65"/>
  <c r="K24" i="65"/>
  <c r="J24" i="65"/>
  <c r="I24" i="65"/>
  <c r="H24" i="65"/>
  <c r="G24" i="65"/>
  <c r="F24" i="65"/>
  <c r="E24" i="65"/>
  <c r="D24" i="65"/>
  <c r="C24" i="65"/>
  <c r="B24" i="65"/>
  <c r="A23" i="65"/>
  <c r="K23" i="65"/>
  <c r="J23" i="65"/>
  <c r="I23" i="65"/>
  <c r="H23" i="65"/>
  <c r="G23" i="65"/>
  <c r="F23" i="65"/>
  <c r="E23" i="65"/>
  <c r="D23" i="65"/>
  <c r="C23" i="65"/>
  <c r="B23" i="65"/>
  <c r="A22" i="65"/>
  <c r="K22" i="65"/>
  <c r="J22" i="65"/>
  <c r="I22" i="65"/>
  <c r="H22" i="65"/>
  <c r="G22" i="65"/>
  <c r="F22" i="65"/>
  <c r="E22" i="65"/>
  <c r="D22" i="65"/>
  <c r="C22" i="65"/>
  <c r="B22" i="65"/>
  <c r="A21" i="65"/>
  <c r="K21" i="65"/>
  <c r="J21" i="65"/>
  <c r="I21" i="65"/>
  <c r="H21" i="65"/>
  <c r="G21" i="65"/>
  <c r="F21" i="65"/>
  <c r="E21" i="65"/>
  <c r="D21" i="65"/>
  <c r="C21" i="65"/>
  <c r="B21" i="65"/>
  <c r="A20" i="65"/>
  <c r="K20" i="65"/>
  <c r="J20" i="65"/>
  <c r="I20" i="65"/>
  <c r="H20" i="65"/>
  <c r="G20" i="65"/>
  <c r="F20" i="65"/>
  <c r="E20" i="65"/>
  <c r="D20" i="65"/>
  <c r="C20" i="65"/>
  <c r="B20" i="65"/>
  <c r="A19" i="65"/>
  <c r="K19" i="65"/>
  <c r="J19" i="65"/>
  <c r="I19" i="65"/>
  <c r="H19" i="65"/>
  <c r="G19" i="65"/>
  <c r="F19" i="65"/>
  <c r="E19" i="65"/>
  <c r="D19" i="65"/>
  <c r="C19" i="65"/>
  <c r="B19" i="65"/>
  <c r="A18" i="65"/>
  <c r="K18" i="65"/>
  <c r="J18" i="65"/>
  <c r="I18" i="65"/>
  <c r="H18" i="65"/>
  <c r="G18" i="65"/>
  <c r="F18" i="65"/>
  <c r="E18" i="65"/>
  <c r="D18" i="65"/>
  <c r="C18" i="65"/>
  <c r="B18" i="65"/>
  <c r="A17" i="65"/>
  <c r="K17" i="65"/>
  <c r="J17" i="65"/>
  <c r="I17" i="65"/>
  <c r="H17" i="65"/>
  <c r="G17" i="65"/>
  <c r="F17" i="65"/>
  <c r="E17" i="65"/>
  <c r="D17" i="65"/>
  <c r="C17" i="65"/>
  <c r="B17" i="65"/>
  <c r="A16" i="65"/>
  <c r="K16" i="65"/>
  <c r="J16" i="65"/>
  <c r="I16" i="65"/>
  <c r="H16" i="65"/>
  <c r="G16" i="65"/>
  <c r="F16" i="65"/>
  <c r="E16" i="65"/>
  <c r="D16" i="65"/>
  <c r="C16" i="65"/>
  <c r="B16" i="65"/>
  <c r="A15" i="65"/>
  <c r="K15" i="65"/>
  <c r="J15" i="65"/>
  <c r="I15" i="65"/>
  <c r="H15" i="65"/>
  <c r="G15" i="65"/>
  <c r="F15" i="65"/>
  <c r="E15" i="65"/>
  <c r="D15" i="65"/>
  <c r="C15" i="65"/>
  <c r="B15" i="65"/>
  <c r="A14" i="65"/>
  <c r="K14" i="65"/>
  <c r="J14" i="65"/>
  <c r="I14" i="65"/>
  <c r="H14" i="65"/>
  <c r="G14" i="65"/>
  <c r="F14" i="65"/>
  <c r="E14" i="65"/>
  <c r="D14" i="65"/>
  <c r="C14" i="65"/>
  <c r="B14" i="65"/>
  <c r="A13" i="65"/>
  <c r="K13" i="65"/>
  <c r="J13" i="65"/>
  <c r="I13" i="65"/>
  <c r="H13" i="65"/>
  <c r="G13" i="65"/>
  <c r="F13" i="65"/>
  <c r="E13" i="65"/>
  <c r="D13" i="65"/>
  <c r="C13" i="65"/>
  <c r="B13" i="65"/>
  <c r="A12" i="65"/>
  <c r="K12" i="65"/>
  <c r="J12" i="65"/>
  <c r="I12" i="65"/>
  <c r="H12" i="65"/>
  <c r="G12" i="65"/>
  <c r="F12" i="65"/>
  <c r="E12" i="65"/>
  <c r="D12" i="65"/>
  <c r="C12" i="65"/>
  <c r="B12" i="65"/>
  <c r="A11" i="65"/>
  <c r="K11" i="65"/>
  <c r="J11" i="65"/>
  <c r="I11" i="65"/>
  <c r="H11" i="65"/>
  <c r="G11" i="65"/>
  <c r="F11" i="65"/>
  <c r="E11" i="65"/>
  <c r="D11" i="65"/>
  <c r="C11" i="65"/>
  <c r="B11" i="65"/>
  <c r="A10" i="65"/>
  <c r="K10" i="65"/>
  <c r="J10" i="65"/>
  <c r="I10" i="65"/>
  <c r="H10" i="65"/>
  <c r="G10" i="65"/>
  <c r="F10" i="65"/>
  <c r="E10" i="65"/>
  <c r="D10" i="65"/>
  <c r="C10" i="65"/>
  <c r="B10" i="65"/>
  <c r="A9" i="65"/>
  <c r="K9" i="65"/>
  <c r="J9" i="65"/>
  <c r="I9" i="65"/>
  <c r="H9" i="65"/>
  <c r="G9" i="65"/>
  <c r="F9" i="65"/>
  <c r="E9" i="65"/>
  <c r="D9" i="65"/>
  <c r="C9" i="65"/>
  <c r="B9" i="65"/>
  <c r="A8" i="65"/>
  <c r="K8" i="65"/>
  <c r="J8" i="65"/>
  <c r="I8" i="65"/>
  <c r="H8" i="65"/>
  <c r="G8" i="65"/>
  <c r="F8" i="65"/>
  <c r="E8" i="65"/>
  <c r="D8" i="65"/>
  <c r="C8" i="65"/>
  <c r="B8" i="65"/>
  <c r="A7" i="65"/>
  <c r="K7" i="65"/>
  <c r="J7" i="65"/>
  <c r="I7" i="65"/>
  <c r="H7" i="65"/>
  <c r="G7" i="65"/>
  <c r="F7" i="65"/>
  <c r="E7" i="65"/>
  <c r="D7" i="65"/>
  <c r="C7" i="65"/>
  <c r="B7" i="65"/>
  <c r="A6" i="65"/>
  <c r="K6" i="65"/>
  <c r="J6" i="65"/>
  <c r="I6" i="65"/>
  <c r="H6" i="65"/>
  <c r="G6" i="65"/>
  <c r="F6" i="65"/>
  <c r="E6" i="65"/>
  <c r="D6" i="65"/>
  <c r="C6" i="65"/>
  <c r="B6" i="65"/>
  <c r="A5" i="65"/>
  <c r="K5" i="65"/>
  <c r="J5" i="65"/>
  <c r="I5" i="65"/>
  <c r="H5" i="65"/>
  <c r="G5" i="65"/>
  <c r="F5" i="65"/>
  <c r="E5" i="65"/>
  <c r="D5" i="65"/>
  <c r="C5" i="65"/>
  <c r="B5" i="65"/>
  <c r="A4" i="65"/>
  <c r="K4" i="65"/>
  <c r="J4" i="65"/>
  <c r="I4" i="65"/>
  <c r="H4" i="65"/>
  <c r="G4" i="65"/>
  <c r="F4" i="65"/>
  <c r="E4" i="65"/>
  <c r="D4" i="65"/>
  <c r="C4" i="65"/>
  <c r="B4" i="65"/>
  <c r="C1" i="64"/>
  <c r="A1" i="64"/>
  <c r="A238" i="64"/>
  <c r="B1" i="64"/>
  <c r="K238" i="64"/>
  <c r="J238" i="64"/>
  <c r="I238" i="64"/>
  <c r="H238" i="64"/>
  <c r="G238" i="64"/>
  <c r="F238" i="64"/>
  <c r="E238" i="64"/>
  <c r="D238" i="64"/>
  <c r="C238" i="64"/>
  <c r="B238" i="64"/>
  <c r="A237" i="64"/>
  <c r="K237" i="64"/>
  <c r="J237" i="64"/>
  <c r="I237" i="64"/>
  <c r="H237" i="64"/>
  <c r="G237" i="64"/>
  <c r="F237" i="64"/>
  <c r="E237" i="64"/>
  <c r="D237" i="64"/>
  <c r="C237" i="64"/>
  <c r="B237" i="64"/>
  <c r="A236" i="64"/>
  <c r="K236" i="64"/>
  <c r="J236" i="64"/>
  <c r="I236" i="64"/>
  <c r="H236" i="64"/>
  <c r="G236" i="64"/>
  <c r="F236" i="64"/>
  <c r="E236" i="64"/>
  <c r="D236" i="64"/>
  <c r="C236" i="64"/>
  <c r="B236" i="64"/>
  <c r="A235" i="64"/>
  <c r="K235" i="64"/>
  <c r="J235" i="64"/>
  <c r="I235" i="64"/>
  <c r="H235" i="64"/>
  <c r="G235" i="64"/>
  <c r="F235" i="64"/>
  <c r="E235" i="64"/>
  <c r="D235" i="64"/>
  <c r="C235" i="64"/>
  <c r="B235" i="64"/>
  <c r="A234" i="64"/>
  <c r="K234" i="64"/>
  <c r="J234" i="64"/>
  <c r="I234" i="64"/>
  <c r="H234" i="64"/>
  <c r="G234" i="64"/>
  <c r="F234" i="64"/>
  <c r="E234" i="64"/>
  <c r="D234" i="64"/>
  <c r="C234" i="64"/>
  <c r="B234" i="64"/>
  <c r="A233" i="64"/>
  <c r="K233" i="64"/>
  <c r="J233" i="64"/>
  <c r="I233" i="64"/>
  <c r="H233" i="64"/>
  <c r="G233" i="64"/>
  <c r="F233" i="64"/>
  <c r="E233" i="64"/>
  <c r="D233" i="64"/>
  <c r="C233" i="64"/>
  <c r="B233" i="64"/>
  <c r="A232" i="64"/>
  <c r="K232" i="64"/>
  <c r="J232" i="64"/>
  <c r="I232" i="64"/>
  <c r="H232" i="64"/>
  <c r="G232" i="64"/>
  <c r="F232" i="64"/>
  <c r="E232" i="64"/>
  <c r="D232" i="64"/>
  <c r="C232" i="64"/>
  <c r="B232" i="64"/>
  <c r="A231" i="64"/>
  <c r="K231" i="64"/>
  <c r="J231" i="64"/>
  <c r="I231" i="64"/>
  <c r="H231" i="64"/>
  <c r="G231" i="64"/>
  <c r="F231" i="64"/>
  <c r="E231" i="64"/>
  <c r="D231" i="64"/>
  <c r="C231" i="64"/>
  <c r="B231" i="64"/>
  <c r="A230" i="64"/>
  <c r="K230" i="64"/>
  <c r="J230" i="64"/>
  <c r="I230" i="64"/>
  <c r="H230" i="64"/>
  <c r="G230" i="64"/>
  <c r="F230" i="64"/>
  <c r="E230" i="64"/>
  <c r="D230" i="64"/>
  <c r="C230" i="64"/>
  <c r="B230" i="64"/>
  <c r="A229" i="64"/>
  <c r="K229" i="64"/>
  <c r="J229" i="64"/>
  <c r="I229" i="64"/>
  <c r="H229" i="64"/>
  <c r="G229" i="64"/>
  <c r="F229" i="64"/>
  <c r="E229" i="64"/>
  <c r="D229" i="64"/>
  <c r="C229" i="64"/>
  <c r="B229" i="64"/>
  <c r="A228" i="64"/>
  <c r="K228" i="64"/>
  <c r="J228" i="64"/>
  <c r="I228" i="64"/>
  <c r="H228" i="64"/>
  <c r="G228" i="64"/>
  <c r="F228" i="64"/>
  <c r="E228" i="64"/>
  <c r="D228" i="64"/>
  <c r="C228" i="64"/>
  <c r="B228" i="64"/>
  <c r="A227" i="64"/>
  <c r="K227" i="64"/>
  <c r="J227" i="64"/>
  <c r="I227" i="64"/>
  <c r="H227" i="64"/>
  <c r="G227" i="64"/>
  <c r="F227" i="64"/>
  <c r="E227" i="64"/>
  <c r="D227" i="64"/>
  <c r="C227" i="64"/>
  <c r="B227" i="64"/>
  <c r="A226" i="64"/>
  <c r="K226" i="64"/>
  <c r="J226" i="64"/>
  <c r="I226" i="64"/>
  <c r="H226" i="64"/>
  <c r="G226" i="64"/>
  <c r="F226" i="64"/>
  <c r="E226" i="64"/>
  <c r="D226" i="64"/>
  <c r="C226" i="64"/>
  <c r="B226" i="64"/>
  <c r="A225" i="64"/>
  <c r="K225" i="64"/>
  <c r="J225" i="64"/>
  <c r="I225" i="64"/>
  <c r="H225" i="64"/>
  <c r="G225" i="64"/>
  <c r="F225" i="64"/>
  <c r="E225" i="64"/>
  <c r="D225" i="64"/>
  <c r="C225" i="64"/>
  <c r="B225" i="64"/>
  <c r="A224" i="64"/>
  <c r="K224" i="64"/>
  <c r="J224" i="64"/>
  <c r="I224" i="64"/>
  <c r="H224" i="64"/>
  <c r="G224" i="64"/>
  <c r="F224" i="64"/>
  <c r="E224" i="64"/>
  <c r="D224" i="64"/>
  <c r="C224" i="64"/>
  <c r="B224" i="64"/>
  <c r="A223" i="64"/>
  <c r="K223" i="64"/>
  <c r="J223" i="64"/>
  <c r="I223" i="64"/>
  <c r="H223" i="64"/>
  <c r="G223" i="64"/>
  <c r="F223" i="64"/>
  <c r="E223" i="64"/>
  <c r="D223" i="64"/>
  <c r="C223" i="64"/>
  <c r="B223" i="64"/>
  <c r="A222" i="64"/>
  <c r="K222" i="64"/>
  <c r="J222" i="64"/>
  <c r="I222" i="64"/>
  <c r="H222" i="64"/>
  <c r="G222" i="64"/>
  <c r="F222" i="64"/>
  <c r="E222" i="64"/>
  <c r="D222" i="64"/>
  <c r="C222" i="64"/>
  <c r="B222" i="64"/>
  <c r="A221" i="64"/>
  <c r="K221" i="64"/>
  <c r="J221" i="64"/>
  <c r="I221" i="64"/>
  <c r="H221" i="64"/>
  <c r="G221" i="64"/>
  <c r="F221" i="64"/>
  <c r="E221" i="64"/>
  <c r="D221" i="64"/>
  <c r="C221" i="64"/>
  <c r="B221" i="64"/>
  <c r="A220" i="64"/>
  <c r="K220" i="64"/>
  <c r="J220" i="64"/>
  <c r="I220" i="64"/>
  <c r="H220" i="64"/>
  <c r="G220" i="64"/>
  <c r="F220" i="64"/>
  <c r="E220" i="64"/>
  <c r="D220" i="64"/>
  <c r="C220" i="64"/>
  <c r="B220" i="64"/>
  <c r="A219" i="64"/>
  <c r="K219" i="64"/>
  <c r="J219" i="64"/>
  <c r="I219" i="64"/>
  <c r="H219" i="64"/>
  <c r="G219" i="64"/>
  <c r="F219" i="64"/>
  <c r="E219" i="64"/>
  <c r="D219" i="64"/>
  <c r="C219" i="64"/>
  <c r="B219" i="64"/>
  <c r="A218" i="64"/>
  <c r="K218" i="64"/>
  <c r="J218" i="64"/>
  <c r="I218" i="64"/>
  <c r="H218" i="64"/>
  <c r="G218" i="64"/>
  <c r="F218" i="64"/>
  <c r="E218" i="64"/>
  <c r="D218" i="64"/>
  <c r="C218" i="64"/>
  <c r="B218" i="64"/>
  <c r="A217" i="64"/>
  <c r="K217" i="64"/>
  <c r="J217" i="64"/>
  <c r="I217" i="64"/>
  <c r="H217" i="64"/>
  <c r="G217" i="64"/>
  <c r="F217" i="64"/>
  <c r="E217" i="64"/>
  <c r="D217" i="64"/>
  <c r="C217" i="64"/>
  <c r="B217" i="64"/>
  <c r="A216" i="64"/>
  <c r="K216" i="64"/>
  <c r="J216" i="64"/>
  <c r="I216" i="64"/>
  <c r="H216" i="64"/>
  <c r="G216" i="64"/>
  <c r="F216" i="64"/>
  <c r="E216" i="64"/>
  <c r="D216" i="64"/>
  <c r="C216" i="64"/>
  <c r="B216" i="64"/>
  <c r="A215" i="64"/>
  <c r="K215" i="64"/>
  <c r="J215" i="64"/>
  <c r="I215" i="64"/>
  <c r="H215" i="64"/>
  <c r="G215" i="64"/>
  <c r="F215" i="64"/>
  <c r="E215" i="64"/>
  <c r="D215" i="64"/>
  <c r="C215" i="64"/>
  <c r="B215" i="64"/>
  <c r="A214" i="64"/>
  <c r="K214" i="64"/>
  <c r="J214" i="64"/>
  <c r="I214" i="64"/>
  <c r="H214" i="64"/>
  <c r="G214" i="64"/>
  <c r="F214" i="64"/>
  <c r="E214" i="64"/>
  <c r="D214" i="64"/>
  <c r="C214" i="64"/>
  <c r="B214" i="64"/>
  <c r="A213" i="64"/>
  <c r="K213" i="64"/>
  <c r="J213" i="64"/>
  <c r="I213" i="64"/>
  <c r="H213" i="64"/>
  <c r="G213" i="64"/>
  <c r="F213" i="64"/>
  <c r="E213" i="64"/>
  <c r="D213" i="64"/>
  <c r="C213" i="64"/>
  <c r="B213" i="64"/>
  <c r="A212" i="64"/>
  <c r="K212" i="64"/>
  <c r="J212" i="64"/>
  <c r="I212" i="64"/>
  <c r="H212" i="64"/>
  <c r="G212" i="64"/>
  <c r="F212" i="64"/>
  <c r="E212" i="64"/>
  <c r="D212" i="64"/>
  <c r="C212" i="64"/>
  <c r="B212" i="64"/>
  <c r="A211" i="64"/>
  <c r="K211" i="64"/>
  <c r="J211" i="64"/>
  <c r="I211" i="64"/>
  <c r="H211" i="64"/>
  <c r="G211" i="64"/>
  <c r="F211" i="64"/>
  <c r="E211" i="64"/>
  <c r="D211" i="64"/>
  <c r="C211" i="64"/>
  <c r="B211" i="64"/>
  <c r="A210" i="64"/>
  <c r="K210" i="64"/>
  <c r="J210" i="64"/>
  <c r="I210" i="64"/>
  <c r="H210" i="64"/>
  <c r="G210" i="64"/>
  <c r="F210" i="64"/>
  <c r="E210" i="64"/>
  <c r="D210" i="64"/>
  <c r="C210" i="64"/>
  <c r="B210" i="64"/>
  <c r="A209" i="64"/>
  <c r="K209" i="64"/>
  <c r="J209" i="64"/>
  <c r="I209" i="64"/>
  <c r="H209" i="64"/>
  <c r="G209" i="64"/>
  <c r="F209" i="64"/>
  <c r="E209" i="64"/>
  <c r="D209" i="64"/>
  <c r="C209" i="64"/>
  <c r="B209" i="64"/>
  <c r="A208" i="64"/>
  <c r="K208" i="64"/>
  <c r="J208" i="64"/>
  <c r="I208" i="64"/>
  <c r="H208" i="64"/>
  <c r="G208" i="64"/>
  <c r="F208" i="64"/>
  <c r="E208" i="64"/>
  <c r="D208" i="64"/>
  <c r="C208" i="64"/>
  <c r="B208" i="64"/>
  <c r="A207" i="64"/>
  <c r="K207" i="64"/>
  <c r="J207" i="64"/>
  <c r="I207" i="64"/>
  <c r="H207" i="64"/>
  <c r="G207" i="64"/>
  <c r="F207" i="64"/>
  <c r="E207" i="64"/>
  <c r="D207" i="64"/>
  <c r="C207" i="64"/>
  <c r="B207" i="64"/>
  <c r="A206" i="64"/>
  <c r="K206" i="64"/>
  <c r="J206" i="64"/>
  <c r="I206" i="64"/>
  <c r="H206" i="64"/>
  <c r="G206" i="64"/>
  <c r="F206" i="64"/>
  <c r="E206" i="64"/>
  <c r="D206" i="64"/>
  <c r="C206" i="64"/>
  <c r="B206" i="64"/>
  <c r="A205" i="64"/>
  <c r="K205" i="64"/>
  <c r="J205" i="64"/>
  <c r="I205" i="64"/>
  <c r="H205" i="64"/>
  <c r="G205" i="64"/>
  <c r="F205" i="64"/>
  <c r="E205" i="64"/>
  <c r="D205" i="64"/>
  <c r="C205" i="64"/>
  <c r="B205" i="64"/>
  <c r="A204" i="64"/>
  <c r="K204" i="64"/>
  <c r="J204" i="64"/>
  <c r="I204" i="64"/>
  <c r="H204" i="64"/>
  <c r="G204" i="64"/>
  <c r="F204" i="64"/>
  <c r="E204" i="64"/>
  <c r="D204" i="64"/>
  <c r="C204" i="64"/>
  <c r="B204" i="64"/>
  <c r="A203" i="64"/>
  <c r="K203" i="64"/>
  <c r="J203" i="64"/>
  <c r="I203" i="64"/>
  <c r="H203" i="64"/>
  <c r="G203" i="64"/>
  <c r="F203" i="64"/>
  <c r="E203" i="64"/>
  <c r="D203" i="64"/>
  <c r="C203" i="64"/>
  <c r="B203" i="64"/>
  <c r="A202" i="64"/>
  <c r="K202" i="64"/>
  <c r="J202" i="64"/>
  <c r="I202" i="64"/>
  <c r="H202" i="64"/>
  <c r="G202" i="64"/>
  <c r="F202" i="64"/>
  <c r="E202" i="64"/>
  <c r="D202" i="64"/>
  <c r="C202" i="64"/>
  <c r="B202" i="64"/>
  <c r="A201" i="64"/>
  <c r="K201" i="64"/>
  <c r="J201" i="64"/>
  <c r="I201" i="64"/>
  <c r="H201" i="64"/>
  <c r="G201" i="64"/>
  <c r="F201" i="64"/>
  <c r="E201" i="64"/>
  <c r="D201" i="64"/>
  <c r="C201" i="64"/>
  <c r="B201" i="64"/>
  <c r="A200" i="64"/>
  <c r="K200" i="64"/>
  <c r="J200" i="64"/>
  <c r="I200" i="64"/>
  <c r="H200" i="64"/>
  <c r="G200" i="64"/>
  <c r="F200" i="64"/>
  <c r="E200" i="64"/>
  <c r="D200" i="64"/>
  <c r="C200" i="64"/>
  <c r="B200" i="64"/>
  <c r="A199" i="64"/>
  <c r="K199" i="64"/>
  <c r="J199" i="64"/>
  <c r="I199" i="64"/>
  <c r="H199" i="64"/>
  <c r="G199" i="64"/>
  <c r="F199" i="64"/>
  <c r="E199" i="64"/>
  <c r="D199" i="64"/>
  <c r="C199" i="64"/>
  <c r="B199" i="64"/>
  <c r="A198" i="64"/>
  <c r="K198" i="64"/>
  <c r="J198" i="64"/>
  <c r="I198" i="64"/>
  <c r="H198" i="64"/>
  <c r="G198" i="64"/>
  <c r="F198" i="64"/>
  <c r="E198" i="64"/>
  <c r="D198" i="64"/>
  <c r="C198" i="64"/>
  <c r="B198" i="64"/>
  <c r="A197" i="64"/>
  <c r="K197" i="64"/>
  <c r="J197" i="64"/>
  <c r="I197" i="64"/>
  <c r="H197" i="64"/>
  <c r="G197" i="64"/>
  <c r="F197" i="64"/>
  <c r="E197" i="64"/>
  <c r="D197" i="64"/>
  <c r="C197" i="64"/>
  <c r="B197" i="64"/>
  <c r="A196" i="64"/>
  <c r="K196" i="64"/>
  <c r="J196" i="64"/>
  <c r="I196" i="64"/>
  <c r="H196" i="64"/>
  <c r="G196" i="64"/>
  <c r="F196" i="64"/>
  <c r="E196" i="64"/>
  <c r="D196" i="64"/>
  <c r="C196" i="64"/>
  <c r="B196" i="64"/>
  <c r="A195" i="64"/>
  <c r="K195" i="64"/>
  <c r="J195" i="64"/>
  <c r="I195" i="64"/>
  <c r="H195" i="64"/>
  <c r="G195" i="64"/>
  <c r="F195" i="64"/>
  <c r="E195" i="64"/>
  <c r="D195" i="64"/>
  <c r="C195" i="64"/>
  <c r="B195" i="64"/>
  <c r="A194" i="64"/>
  <c r="K194" i="64"/>
  <c r="J194" i="64"/>
  <c r="I194" i="64"/>
  <c r="H194" i="64"/>
  <c r="G194" i="64"/>
  <c r="F194" i="64"/>
  <c r="E194" i="64"/>
  <c r="D194" i="64"/>
  <c r="C194" i="64"/>
  <c r="B194" i="64"/>
  <c r="A193" i="64"/>
  <c r="K193" i="64"/>
  <c r="J193" i="64"/>
  <c r="I193" i="64"/>
  <c r="H193" i="64"/>
  <c r="G193" i="64"/>
  <c r="F193" i="64"/>
  <c r="E193" i="64"/>
  <c r="D193" i="64"/>
  <c r="C193" i="64"/>
  <c r="B193" i="64"/>
  <c r="A192" i="64"/>
  <c r="K192" i="64"/>
  <c r="J192" i="64"/>
  <c r="I192" i="64"/>
  <c r="H192" i="64"/>
  <c r="G192" i="64"/>
  <c r="F192" i="64"/>
  <c r="E192" i="64"/>
  <c r="D192" i="64"/>
  <c r="C192" i="64"/>
  <c r="B192" i="64"/>
  <c r="A191" i="64"/>
  <c r="K191" i="64"/>
  <c r="J191" i="64"/>
  <c r="I191" i="64"/>
  <c r="H191" i="64"/>
  <c r="G191" i="64"/>
  <c r="F191" i="64"/>
  <c r="E191" i="64"/>
  <c r="D191" i="64"/>
  <c r="C191" i="64"/>
  <c r="B191" i="64"/>
  <c r="A190" i="64"/>
  <c r="K190" i="64"/>
  <c r="J190" i="64"/>
  <c r="I190" i="64"/>
  <c r="H190" i="64"/>
  <c r="G190" i="64"/>
  <c r="F190" i="64"/>
  <c r="E190" i="64"/>
  <c r="D190" i="64"/>
  <c r="C190" i="64"/>
  <c r="B190" i="64"/>
  <c r="A189" i="64"/>
  <c r="K189" i="64"/>
  <c r="J189" i="64"/>
  <c r="I189" i="64"/>
  <c r="H189" i="64"/>
  <c r="G189" i="64"/>
  <c r="F189" i="64"/>
  <c r="E189" i="64"/>
  <c r="D189" i="64"/>
  <c r="C189" i="64"/>
  <c r="B189" i="64"/>
  <c r="A188" i="64"/>
  <c r="K188" i="64"/>
  <c r="J188" i="64"/>
  <c r="I188" i="64"/>
  <c r="H188" i="64"/>
  <c r="G188" i="64"/>
  <c r="F188" i="64"/>
  <c r="E188" i="64"/>
  <c r="D188" i="64"/>
  <c r="C188" i="64"/>
  <c r="B188" i="64"/>
  <c r="A187" i="64"/>
  <c r="K187" i="64"/>
  <c r="J187" i="64"/>
  <c r="I187" i="64"/>
  <c r="H187" i="64"/>
  <c r="G187" i="64"/>
  <c r="F187" i="64"/>
  <c r="E187" i="64"/>
  <c r="D187" i="64"/>
  <c r="C187" i="64"/>
  <c r="B187" i="64"/>
  <c r="A186" i="64"/>
  <c r="K186" i="64"/>
  <c r="J186" i="64"/>
  <c r="I186" i="64"/>
  <c r="H186" i="64"/>
  <c r="G186" i="64"/>
  <c r="F186" i="64"/>
  <c r="E186" i="64"/>
  <c r="D186" i="64"/>
  <c r="C186" i="64"/>
  <c r="B186" i="64"/>
  <c r="A185" i="64"/>
  <c r="K185" i="64"/>
  <c r="J185" i="64"/>
  <c r="I185" i="64"/>
  <c r="H185" i="64"/>
  <c r="G185" i="64"/>
  <c r="F185" i="64"/>
  <c r="E185" i="64"/>
  <c r="D185" i="64"/>
  <c r="C185" i="64"/>
  <c r="B185" i="64"/>
  <c r="A184" i="64"/>
  <c r="K184" i="64"/>
  <c r="J184" i="64"/>
  <c r="I184" i="64"/>
  <c r="H184" i="64"/>
  <c r="G184" i="64"/>
  <c r="F184" i="64"/>
  <c r="E184" i="64"/>
  <c r="D184" i="64"/>
  <c r="C184" i="64"/>
  <c r="B184" i="64"/>
  <c r="A183" i="64"/>
  <c r="K183" i="64"/>
  <c r="J183" i="64"/>
  <c r="I183" i="64"/>
  <c r="H183" i="64"/>
  <c r="G183" i="64"/>
  <c r="F183" i="64"/>
  <c r="E183" i="64"/>
  <c r="D183" i="64"/>
  <c r="C183" i="64"/>
  <c r="B183" i="64"/>
  <c r="A182" i="64"/>
  <c r="K182" i="64"/>
  <c r="J182" i="64"/>
  <c r="I182" i="64"/>
  <c r="H182" i="64"/>
  <c r="G182" i="64"/>
  <c r="F182" i="64"/>
  <c r="E182" i="64"/>
  <c r="D182" i="64"/>
  <c r="C182" i="64"/>
  <c r="B182" i="64"/>
  <c r="A181" i="64"/>
  <c r="K181" i="64"/>
  <c r="J181" i="64"/>
  <c r="I181" i="64"/>
  <c r="H181" i="64"/>
  <c r="G181" i="64"/>
  <c r="F181" i="64"/>
  <c r="E181" i="64"/>
  <c r="D181" i="64"/>
  <c r="C181" i="64"/>
  <c r="B181" i="64"/>
  <c r="A180" i="64"/>
  <c r="K180" i="64"/>
  <c r="J180" i="64"/>
  <c r="I180" i="64"/>
  <c r="H180" i="64"/>
  <c r="G180" i="64"/>
  <c r="F180" i="64"/>
  <c r="E180" i="64"/>
  <c r="D180" i="64"/>
  <c r="C180" i="64"/>
  <c r="B180" i="64"/>
  <c r="A179" i="64"/>
  <c r="K179" i="64"/>
  <c r="J179" i="64"/>
  <c r="I179" i="64"/>
  <c r="H179" i="64"/>
  <c r="G179" i="64"/>
  <c r="F179" i="64"/>
  <c r="E179" i="64"/>
  <c r="D179" i="64"/>
  <c r="C179" i="64"/>
  <c r="B179" i="64"/>
  <c r="A178" i="64"/>
  <c r="K178" i="64"/>
  <c r="J178" i="64"/>
  <c r="I178" i="64"/>
  <c r="H178" i="64"/>
  <c r="G178" i="64"/>
  <c r="F178" i="64"/>
  <c r="E178" i="64"/>
  <c r="D178" i="64"/>
  <c r="C178" i="64"/>
  <c r="B178" i="64"/>
  <c r="A177" i="64"/>
  <c r="K177" i="64"/>
  <c r="J177" i="64"/>
  <c r="I177" i="64"/>
  <c r="H177" i="64"/>
  <c r="G177" i="64"/>
  <c r="F177" i="64"/>
  <c r="E177" i="64"/>
  <c r="D177" i="64"/>
  <c r="C177" i="64"/>
  <c r="B177" i="64"/>
  <c r="A176" i="64"/>
  <c r="K176" i="64"/>
  <c r="J176" i="64"/>
  <c r="I176" i="64"/>
  <c r="H176" i="64"/>
  <c r="G176" i="64"/>
  <c r="F176" i="64"/>
  <c r="E176" i="64"/>
  <c r="D176" i="64"/>
  <c r="C176" i="64"/>
  <c r="B176" i="64"/>
  <c r="A175" i="64"/>
  <c r="K175" i="64"/>
  <c r="J175" i="64"/>
  <c r="I175" i="64"/>
  <c r="H175" i="64"/>
  <c r="G175" i="64"/>
  <c r="F175" i="64"/>
  <c r="E175" i="64"/>
  <c r="D175" i="64"/>
  <c r="C175" i="64"/>
  <c r="B175" i="64"/>
  <c r="A174" i="64"/>
  <c r="K174" i="64"/>
  <c r="J174" i="64"/>
  <c r="I174" i="64"/>
  <c r="H174" i="64"/>
  <c r="G174" i="64"/>
  <c r="F174" i="64"/>
  <c r="E174" i="64"/>
  <c r="D174" i="64"/>
  <c r="C174" i="64"/>
  <c r="B174" i="64"/>
  <c r="A173" i="64"/>
  <c r="K173" i="64"/>
  <c r="J173" i="64"/>
  <c r="I173" i="64"/>
  <c r="H173" i="64"/>
  <c r="G173" i="64"/>
  <c r="F173" i="64"/>
  <c r="E173" i="64"/>
  <c r="D173" i="64"/>
  <c r="C173" i="64"/>
  <c r="B173" i="64"/>
  <c r="A172" i="64"/>
  <c r="K172" i="64"/>
  <c r="J172" i="64"/>
  <c r="I172" i="64"/>
  <c r="H172" i="64"/>
  <c r="G172" i="64"/>
  <c r="F172" i="64"/>
  <c r="E172" i="64"/>
  <c r="D172" i="64"/>
  <c r="C172" i="64"/>
  <c r="B172" i="64"/>
  <c r="A171" i="64"/>
  <c r="K171" i="64"/>
  <c r="J171" i="64"/>
  <c r="I171" i="64"/>
  <c r="H171" i="64"/>
  <c r="G171" i="64"/>
  <c r="F171" i="64"/>
  <c r="E171" i="64"/>
  <c r="D171" i="64"/>
  <c r="C171" i="64"/>
  <c r="B171" i="64"/>
  <c r="A170" i="64"/>
  <c r="K170" i="64"/>
  <c r="J170" i="64"/>
  <c r="I170" i="64"/>
  <c r="H170" i="64"/>
  <c r="G170" i="64"/>
  <c r="F170" i="64"/>
  <c r="E170" i="64"/>
  <c r="D170" i="64"/>
  <c r="C170" i="64"/>
  <c r="B170" i="64"/>
  <c r="A169" i="64"/>
  <c r="K169" i="64"/>
  <c r="J169" i="64"/>
  <c r="I169" i="64"/>
  <c r="H169" i="64"/>
  <c r="G169" i="64"/>
  <c r="F169" i="64"/>
  <c r="E169" i="64"/>
  <c r="D169" i="64"/>
  <c r="C169" i="64"/>
  <c r="B169" i="64"/>
  <c r="A168" i="64"/>
  <c r="K168" i="64"/>
  <c r="J168" i="64"/>
  <c r="I168" i="64"/>
  <c r="H168" i="64"/>
  <c r="G168" i="64"/>
  <c r="F168" i="64"/>
  <c r="E168" i="64"/>
  <c r="D168" i="64"/>
  <c r="C168" i="64"/>
  <c r="B168" i="64"/>
  <c r="A167" i="64"/>
  <c r="K167" i="64"/>
  <c r="J167" i="64"/>
  <c r="I167" i="64"/>
  <c r="H167" i="64"/>
  <c r="G167" i="64"/>
  <c r="F167" i="64"/>
  <c r="E167" i="64"/>
  <c r="D167" i="64"/>
  <c r="C167" i="64"/>
  <c r="B167" i="64"/>
  <c r="A166" i="64"/>
  <c r="K166" i="64"/>
  <c r="J166" i="64"/>
  <c r="I166" i="64"/>
  <c r="H166" i="64"/>
  <c r="G166" i="64"/>
  <c r="F166" i="64"/>
  <c r="E166" i="64"/>
  <c r="D166" i="64"/>
  <c r="C166" i="64"/>
  <c r="B166" i="64"/>
  <c r="A165" i="64"/>
  <c r="K165" i="64"/>
  <c r="J165" i="64"/>
  <c r="I165" i="64"/>
  <c r="H165" i="64"/>
  <c r="G165" i="64"/>
  <c r="F165" i="64"/>
  <c r="E165" i="64"/>
  <c r="D165" i="64"/>
  <c r="C165" i="64"/>
  <c r="B165" i="64"/>
  <c r="A164" i="64"/>
  <c r="K164" i="64"/>
  <c r="J164" i="64"/>
  <c r="I164" i="64"/>
  <c r="H164" i="64"/>
  <c r="G164" i="64"/>
  <c r="F164" i="64"/>
  <c r="E164" i="64"/>
  <c r="D164" i="64"/>
  <c r="C164" i="64"/>
  <c r="B164" i="64"/>
  <c r="A163" i="64"/>
  <c r="K163" i="64"/>
  <c r="J163" i="64"/>
  <c r="I163" i="64"/>
  <c r="H163" i="64"/>
  <c r="G163" i="64"/>
  <c r="F163" i="64"/>
  <c r="E163" i="64"/>
  <c r="D163" i="64"/>
  <c r="C163" i="64"/>
  <c r="B163" i="64"/>
  <c r="A162" i="64"/>
  <c r="K162" i="64"/>
  <c r="J162" i="64"/>
  <c r="I162" i="64"/>
  <c r="H162" i="64"/>
  <c r="G162" i="64"/>
  <c r="F162" i="64"/>
  <c r="E162" i="64"/>
  <c r="D162" i="64"/>
  <c r="C162" i="64"/>
  <c r="B162" i="64"/>
  <c r="A161" i="64"/>
  <c r="K161" i="64"/>
  <c r="J161" i="64"/>
  <c r="I161" i="64"/>
  <c r="H161" i="64"/>
  <c r="G161" i="64"/>
  <c r="F161" i="64"/>
  <c r="E161" i="64"/>
  <c r="D161" i="64"/>
  <c r="C161" i="64"/>
  <c r="B161" i="64"/>
  <c r="A160" i="64"/>
  <c r="K160" i="64"/>
  <c r="J160" i="64"/>
  <c r="I160" i="64"/>
  <c r="H160" i="64"/>
  <c r="G160" i="64"/>
  <c r="F160" i="64"/>
  <c r="E160" i="64"/>
  <c r="D160" i="64"/>
  <c r="C160" i="64"/>
  <c r="B160" i="64"/>
  <c r="A159" i="64"/>
  <c r="K159" i="64"/>
  <c r="J159" i="64"/>
  <c r="I159" i="64"/>
  <c r="H159" i="64"/>
  <c r="G159" i="64"/>
  <c r="F159" i="64"/>
  <c r="E159" i="64"/>
  <c r="D159" i="64"/>
  <c r="C159" i="64"/>
  <c r="B159" i="64"/>
  <c r="A158" i="64"/>
  <c r="K158" i="64"/>
  <c r="J158" i="64"/>
  <c r="I158" i="64"/>
  <c r="H158" i="64"/>
  <c r="G158" i="64"/>
  <c r="F158" i="64"/>
  <c r="E158" i="64"/>
  <c r="D158" i="64"/>
  <c r="C158" i="64"/>
  <c r="B158" i="64"/>
  <c r="A157" i="64"/>
  <c r="K157" i="64"/>
  <c r="J157" i="64"/>
  <c r="I157" i="64"/>
  <c r="H157" i="64"/>
  <c r="G157" i="64"/>
  <c r="F157" i="64"/>
  <c r="E157" i="64"/>
  <c r="D157" i="64"/>
  <c r="C157" i="64"/>
  <c r="B157" i="64"/>
  <c r="A156" i="64"/>
  <c r="K156" i="64"/>
  <c r="J156" i="64"/>
  <c r="I156" i="64"/>
  <c r="H156" i="64"/>
  <c r="G156" i="64"/>
  <c r="F156" i="64"/>
  <c r="E156" i="64"/>
  <c r="D156" i="64"/>
  <c r="C156" i="64"/>
  <c r="B156" i="64"/>
  <c r="A155" i="64"/>
  <c r="K155" i="64"/>
  <c r="J155" i="64"/>
  <c r="I155" i="64"/>
  <c r="H155" i="64"/>
  <c r="G155" i="64"/>
  <c r="F155" i="64"/>
  <c r="E155" i="64"/>
  <c r="D155" i="64"/>
  <c r="C155" i="64"/>
  <c r="B155" i="64"/>
  <c r="A154" i="64"/>
  <c r="K154" i="64"/>
  <c r="J154" i="64"/>
  <c r="I154" i="64"/>
  <c r="H154" i="64"/>
  <c r="G154" i="64"/>
  <c r="F154" i="64"/>
  <c r="E154" i="64"/>
  <c r="D154" i="64"/>
  <c r="C154" i="64"/>
  <c r="B154" i="64"/>
  <c r="A153" i="64"/>
  <c r="K153" i="64"/>
  <c r="J153" i="64"/>
  <c r="I153" i="64"/>
  <c r="H153" i="64"/>
  <c r="G153" i="64"/>
  <c r="F153" i="64"/>
  <c r="E153" i="64"/>
  <c r="D153" i="64"/>
  <c r="C153" i="64"/>
  <c r="B153" i="64"/>
  <c r="A152" i="64"/>
  <c r="K152" i="64"/>
  <c r="J152" i="64"/>
  <c r="I152" i="64"/>
  <c r="H152" i="64"/>
  <c r="G152" i="64"/>
  <c r="F152" i="64"/>
  <c r="E152" i="64"/>
  <c r="D152" i="64"/>
  <c r="C152" i="64"/>
  <c r="B152" i="64"/>
  <c r="A151" i="64"/>
  <c r="K151" i="64"/>
  <c r="J151" i="64"/>
  <c r="I151" i="64"/>
  <c r="H151" i="64"/>
  <c r="G151" i="64"/>
  <c r="F151" i="64"/>
  <c r="E151" i="64"/>
  <c r="D151" i="64"/>
  <c r="C151" i="64"/>
  <c r="B151" i="64"/>
  <c r="A150" i="64"/>
  <c r="K150" i="64"/>
  <c r="J150" i="64"/>
  <c r="I150" i="64"/>
  <c r="H150" i="64"/>
  <c r="G150" i="64"/>
  <c r="F150" i="64"/>
  <c r="E150" i="64"/>
  <c r="D150" i="64"/>
  <c r="C150" i="64"/>
  <c r="B150" i="64"/>
  <c r="A149" i="64"/>
  <c r="K149" i="64"/>
  <c r="J149" i="64"/>
  <c r="I149" i="64"/>
  <c r="H149" i="64"/>
  <c r="G149" i="64"/>
  <c r="F149" i="64"/>
  <c r="E149" i="64"/>
  <c r="D149" i="64"/>
  <c r="C149" i="64"/>
  <c r="B149" i="64"/>
  <c r="A148" i="64"/>
  <c r="K148" i="64"/>
  <c r="J148" i="64"/>
  <c r="I148" i="64"/>
  <c r="H148" i="64"/>
  <c r="G148" i="64"/>
  <c r="F148" i="64"/>
  <c r="E148" i="64"/>
  <c r="D148" i="64"/>
  <c r="C148" i="64"/>
  <c r="B148" i="64"/>
  <c r="A147" i="64"/>
  <c r="K147" i="64"/>
  <c r="J147" i="64"/>
  <c r="I147" i="64"/>
  <c r="H147" i="64"/>
  <c r="G147" i="64"/>
  <c r="F147" i="64"/>
  <c r="E147" i="64"/>
  <c r="D147" i="64"/>
  <c r="C147" i="64"/>
  <c r="B147" i="64"/>
  <c r="A146" i="64"/>
  <c r="K146" i="64"/>
  <c r="J146" i="64"/>
  <c r="I146" i="64"/>
  <c r="H146" i="64"/>
  <c r="G146" i="64"/>
  <c r="F146" i="64"/>
  <c r="E146" i="64"/>
  <c r="D146" i="64"/>
  <c r="C146" i="64"/>
  <c r="B146" i="64"/>
  <c r="A145" i="64"/>
  <c r="K145" i="64"/>
  <c r="J145" i="64"/>
  <c r="I145" i="64"/>
  <c r="H145" i="64"/>
  <c r="G145" i="64"/>
  <c r="F145" i="64"/>
  <c r="E145" i="64"/>
  <c r="D145" i="64"/>
  <c r="C145" i="64"/>
  <c r="B145" i="64"/>
  <c r="A144" i="64"/>
  <c r="K144" i="64"/>
  <c r="J144" i="64"/>
  <c r="I144" i="64"/>
  <c r="H144" i="64"/>
  <c r="G144" i="64"/>
  <c r="F144" i="64"/>
  <c r="E144" i="64"/>
  <c r="D144" i="64"/>
  <c r="C144" i="64"/>
  <c r="B144" i="64"/>
  <c r="A143" i="64"/>
  <c r="K143" i="64"/>
  <c r="J143" i="64"/>
  <c r="I143" i="64"/>
  <c r="H143" i="64"/>
  <c r="G143" i="64"/>
  <c r="F143" i="64"/>
  <c r="E143" i="64"/>
  <c r="D143" i="64"/>
  <c r="C143" i="64"/>
  <c r="B143" i="64"/>
  <c r="A142" i="64"/>
  <c r="K142" i="64"/>
  <c r="J142" i="64"/>
  <c r="I142" i="64"/>
  <c r="H142" i="64"/>
  <c r="G142" i="64"/>
  <c r="F142" i="64"/>
  <c r="E142" i="64"/>
  <c r="D142" i="64"/>
  <c r="C142" i="64"/>
  <c r="B142" i="64"/>
  <c r="A141" i="64"/>
  <c r="K141" i="64"/>
  <c r="J141" i="64"/>
  <c r="I141" i="64"/>
  <c r="H141" i="64"/>
  <c r="G141" i="64"/>
  <c r="F141" i="64"/>
  <c r="E141" i="64"/>
  <c r="D141" i="64"/>
  <c r="C141" i="64"/>
  <c r="B141" i="64"/>
  <c r="A140" i="64"/>
  <c r="K140" i="64"/>
  <c r="J140" i="64"/>
  <c r="I140" i="64"/>
  <c r="H140" i="64"/>
  <c r="G140" i="64"/>
  <c r="F140" i="64"/>
  <c r="E140" i="64"/>
  <c r="D140" i="64"/>
  <c r="C140" i="64"/>
  <c r="B140" i="64"/>
  <c r="A139" i="64"/>
  <c r="K139" i="64"/>
  <c r="J139" i="64"/>
  <c r="I139" i="64"/>
  <c r="H139" i="64"/>
  <c r="G139" i="64"/>
  <c r="F139" i="64"/>
  <c r="E139" i="64"/>
  <c r="D139" i="64"/>
  <c r="C139" i="64"/>
  <c r="B139" i="64"/>
  <c r="A138" i="64"/>
  <c r="K138" i="64"/>
  <c r="J138" i="64"/>
  <c r="I138" i="64"/>
  <c r="H138" i="64"/>
  <c r="G138" i="64"/>
  <c r="F138" i="64"/>
  <c r="E138" i="64"/>
  <c r="D138" i="64"/>
  <c r="C138" i="64"/>
  <c r="B138" i="64"/>
  <c r="A137" i="64"/>
  <c r="K137" i="64"/>
  <c r="J137" i="64"/>
  <c r="I137" i="64"/>
  <c r="H137" i="64"/>
  <c r="G137" i="64"/>
  <c r="F137" i="64"/>
  <c r="E137" i="64"/>
  <c r="D137" i="64"/>
  <c r="C137" i="64"/>
  <c r="B137" i="64"/>
  <c r="A136" i="64"/>
  <c r="K136" i="64"/>
  <c r="J136" i="64"/>
  <c r="I136" i="64"/>
  <c r="H136" i="64"/>
  <c r="G136" i="64"/>
  <c r="F136" i="64"/>
  <c r="E136" i="64"/>
  <c r="D136" i="64"/>
  <c r="C136" i="64"/>
  <c r="B136" i="64"/>
  <c r="A135" i="64"/>
  <c r="K135" i="64"/>
  <c r="J135" i="64"/>
  <c r="I135" i="64"/>
  <c r="H135" i="64"/>
  <c r="G135" i="64"/>
  <c r="F135" i="64"/>
  <c r="E135" i="64"/>
  <c r="D135" i="64"/>
  <c r="C135" i="64"/>
  <c r="B135" i="64"/>
  <c r="A134" i="64"/>
  <c r="K134" i="64"/>
  <c r="J134" i="64"/>
  <c r="I134" i="64"/>
  <c r="H134" i="64"/>
  <c r="G134" i="64"/>
  <c r="F134" i="64"/>
  <c r="E134" i="64"/>
  <c r="D134" i="64"/>
  <c r="C134" i="64"/>
  <c r="B134" i="64"/>
  <c r="A133" i="64"/>
  <c r="K133" i="64"/>
  <c r="J133" i="64"/>
  <c r="I133" i="64"/>
  <c r="H133" i="64"/>
  <c r="G133" i="64"/>
  <c r="F133" i="64"/>
  <c r="E133" i="64"/>
  <c r="D133" i="64"/>
  <c r="C133" i="64"/>
  <c r="B133" i="64"/>
  <c r="A132" i="64"/>
  <c r="K132" i="64"/>
  <c r="J132" i="64"/>
  <c r="I132" i="64"/>
  <c r="H132" i="64"/>
  <c r="G132" i="64"/>
  <c r="F132" i="64"/>
  <c r="E132" i="64"/>
  <c r="D132" i="64"/>
  <c r="C132" i="64"/>
  <c r="B132" i="64"/>
  <c r="A131" i="64"/>
  <c r="K131" i="64"/>
  <c r="J131" i="64"/>
  <c r="I131" i="64"/>
  <c r="H131" i="64"/>
  <c r="G131" i="64"/>
  <c r="F131" i="64"/>
  <c r="E131" i="64"/>
  <c r="D131" i="64"/>
  <c r="C131" i="64"/>
  <c r="B131" i="64"/>
  <c r="A130" i="64"/>
  <c r="K130" i="64"/>
  <c r="J130" i="64"/>
  <c r="I130" i="64"/>
  <c r="H130" i="64"/>
  <c r="G130" i="64"/>
  <c r="F130" i="64"/>
  <c r="E130" i="64"/>
  <c r="D130" i="64"/>
  <c r="C130" i="64"/>
  <c r="B130" i="64"/>
  <c r="A129" i="64"/>
  <c r="K129" i="64"/>
  <c r="J129" i="64"/>
  <c r="I129" i="64"/>
  <c r="H129" i="64"/>
  <c r="G129" i="64"/>
  <c r="F129" i="64"/>
  <c r="E129" i="64"/>
  <c r="D129" i="64"/>
  <c r="C129" i="64"/>
  <c r="B129" i="64"/>
  <c r="A128" i="64"/>
  <c r="K128" i="64"/>
  <c r="J128" i="64"/>
  <c r="I128" i="64"/>
  <c r="H128" i="64"/>
  <c r="G128" i="64"/>
  <c r="F128" i="64"/>
  <c r="E128" i="64"/>
  <c r="D128" i="64"/>
  <c r="C128" i="64"/>
  <c r="B128" i="64"/>
  <c r="A127" i="64"/>
  <c r="K127" i="64"/>
  <c r="J127" i="64"/>
  <c r="I127" i="64"/>
  <c r="H127" i="64"/>
  <c r="G127" i="64"/>
  <c r="F127" i="64"/>
  <c r="E127" i="64"/>
  <c r="D127" i="64"/>
  <c r="C127" i="64"/>
  <c r="B127" i="64"/>
  <c r="A126" i="64"/>
  <c r="K126" i="64"/>
  <c r="J126" i="64"/>
  <c r="I126" i="64"/>
  <c r="H126" i="64"/>
  <c r="G126" i="64"/>
  <c r="F126" i="64"/>
  <c r="E126" i="64"/>
  <c r="D126" i="64"/>
  <c r="C126" i="64"/>
  <c r="B126" i="64"/>
  <c r="A125" i="64"/>
  <c r="K125" i="64"/>
  <c r="J125" i="64"/>
  <c r="I125" i="64"/>
  <c r="H125" i="64"/>
  <c r="G125" i="64"/>
  <c r="F125" i="64"/>
  <c r="E125" i="64"/>
  <c r="D125" i="64"/>
  <c r="C125" i="64"/>
  <c r="B125" i="64"/>
  <c r="A124" i="64"/>
  <c r="K124" i="64"/>
  <c r="J124" i="64"/>
  <c r="I124" i="64"/>
  <c r="H124" i="64"/>
  <c r="G124" i="64"/>
  <c r="F124" i="64"/>
  <c r="E124" i="64"/>
  <c r="D124" i="64"/>
  <c r="C124" i="64"/>
  <c r="B124" i="64"/>
  <c r="A123" i="64"/>
  <c r="K123" i="64"/>
  <c r="J123" i="64"/>
  <c r="I123" i="64"/>
  <c r="H123" i="64"/>
  <c r="G123" i="64"/>
  <c r="F123" i="64"/>
  <c r="E123" i="64"/>
  <c r="D123" i="64"/>
  <c r="C123" i="64"/>
  <c r="B123" i="64"/>
  <c r="A122" i="64"/>
  <c r="K122" i="64"/>
  <c r="J122" i="64"/>
  <c r="I122" i="64"/>
  <c r="H122" i="64"/>
  <c r="G122" i="64"/>
  <c r="F122" i="64"/>
  <c r="E122" i="64"/>
  <c r="D122" i="64"/>
  <c r="C122" i="64"/>
  <c r="B122" i="64"/>
  <c r="A121" i="64"/>
  <c r="K121" i="64"/>
  <c r="J121" i="64"/>
  <c r="I121" i="64"/>
  <c r="H121" i="64"/>
  <c r="G121" i="64"/>
  <c r="F121" i="64"/>
  <c r="E121" i="64"/>
  <c r="D121" i="64"/>
  <c r="C121" i="64"/>
  <c r="B121" i="64"/>
  <c r="A120" i="64"/>
  <c r="K120" i="64"/>
  <c r="J120" i="64"/>
  <c r="I120" i="64"/>
  <c r="H120" i="64"/>
  <c r="G120" i="64"/>
  <c r="F120" i="64"/>
  <c r="E120" i="64"/>
  <c r="D120" i="64"/>
  <c r="C120" i="64"/>
  <c r="B120" i="64"/>
  <c r="A119" i="64"/>
  <c r="K119" i="64"/>
  <c r="J119" i="64"/>
  <c r="I119" i="64"/>
  <c r="H119" i="64"/>
  <c r="G119" i="64"/>
  <c r="F119" i="64"/>
  <c r="E119" i="64"/>
  <c r="D119" i="64"/>
  <c r="C119" i="64"/>
  <c r="B119" i="64"/>
  <c r="A118" i="64"/>
  <c r="K118" i="64"/>
  <c r="J118" i="64"/>
  <c r="I118" i="64"/>
  <c r="H118" i="64"/>
  <c r="G118" i="64"/>
  <c r="F118" i="64"/>
  <c r="E118" i="64"/>
  <c r="D118" i="64"/>
  <c r="C118" i="64"/>
  <c r="B118" i="64"/>
  <c r="A117" i="64"/>
  <c r="K117" i="64"/>
  <c r="J117" i="64"/>
  <c r="I117" i="64"/>
  <c r="H117" i="64"/>
  <c r="G117" i="64"/>
  <c r="F117" i="64"/>
  <c r="E117" i="64"/>
  <c r="D117" i="64"/>
  <c r="C117" i="64"/>
  <c r="B117" i="64"/>
  <c r="A116" i="64"/>
  <c r="K116" i="64"/>
  <c r="J116" i="64"/>
  <c r="I116" i="64"/>
  <c r="H116" i="64"/>
  <c r="G116" i="64"/>
  <c r="F116" i="64"/>
  <c r="E116" i="64"/>
  <c r="D116" i="64"/>
  <c r="C116" i="64"/>
  <c r="B116" i="64"/>
  <c r="A115" i="64"/>
  <c r="K115" i="64"/>
  <c r="J115" i="64"/>
  <c r="I115" i="64"/>
  <c r="H115" i="64"/>
  <c r="G115" i="64"/>
  <c r="F115" i="64"/>
  <c r="E115" i="64"/>
  <c r="D115" i="64"/>
  <c r="C115" i="64"/>
  <c r="B115" i="64"/>
  <c r="A114" i="64"/>
  <c r="K114" i="64"/>
  <c r="J114" i="64"/>
  <c r="I114" i="64"/>
  <c r="H114" i="64"/>
  <c r="G114" i="64"/>
  <c r="F114" i="64"/>
  <c r="E114" i="64"/>
  <c r="D114" i="64"/>
  <c r="C114" i="64"/>
  <c r="B114" i="64"/>
  <c r="A113" i="64"/>
  <c r="K113" i="64"/>
  <c r="J113" i="64"/>
  <c r="I113" i="64"/>
  <c r="H113" i="64"/>
  <c r="G113" i="64"/>
  <c r="F113" i="64"/>
  <c r="E113" i="64"/>
  <c r="D113" i="64"/>
  <c r="C113" i="64"/>
  <c r="B113" i="64"/>
  <c r="A112" i="64"/>
  <c r="K112" i="64"/>
  <c r="J112" i="64"/>
  <c r="I112" i="64"/>
  <c r="H112" i="64"/>
  <c r="G112" i="64"/>
  <c r="F112" i="64"/>
  <c r="E112" i="64"/>
  <c r="D112" i="64"/>
  <c r="C112" i="64"/>
  <c r="B112" i="64"/>
  <c r="A111" i="64"/>
  <c r="K111" i="64"/>
  <c r="J111" i="64"/>
  <c r="I111" i="64"/>
  <c r="H111" i="64"/>
  <c r="G111" i="64"/>
  <c r="F111" i="64"/>
  <c r="E111" i="64"/>
  <c r="D111" i="64"/>
  <c r="C111" i="64"/>
  <c r="B111" i="64"/>
  <c r="A110" i="64"/>
  <c r="K110" i="64"/>
  <c r="J110" i="64"/>
  <c r="I110" i="64"/>
  <c r="H110" i="64"/>
  <c r="G110" i="64"/>
  <c r="F110" i="64"/>
  <c r="E110" i="64"/>
  <c r="D110" i="64"/>
  <c r="C110" i="64"/>
  <c r="B110" i="64"/>
  <c r="A109" i="64"/>
  <c r="K109" i="64"/>
  <c r="J109" i="64"/>
  <c r="I109" i="64"/>
  <c r="H109" i="64"/>
  <c r="G109" i="64"/>
  <c r="F109" i="64"/>
  <c r="E109" i="64"/>
  <c r="D109" i="64"/>
  <c r="C109" i="64"/>
  <c r="B109" i="64"/>
  <c r="A108" i="64"/>
  <c r="K108" i="64"/>
  <c r="J108" i="64"/>
  <c r="I108" i="64"/>
  <c r="H108" i="64"/>
  <c r="G108" i="64"/>
  <c r="F108" i="64"/>
  <c r="E108" i="64"/>
  <c r="D108" i="64"/>
  <c r="C108" i="64"/>
  <c r="B108" i="64"/>
  <c r="A107" i="64"/>
  <c r="K107" i="64"/>
  <c r="J107" i="64"/>
  <c r="I107" i="64"/>
  <c r="H107" i="64"/>
  <c r="G107" i="64"/>
  <c r="F107" i="64"/>
  <c r="E107" i="64"/>
  <c r="D107" i="64"/>
  <c r="C107" i="64"/>
  <c r="B107" i="64"/>
  <c r="A106" i="64"/>
  <c r="K106" i="64"/>
  <c r="J106" i="64"/>
  <c r="I106" i="64"/>
  <c r="H106" i="64"/>
  <c r="G106" i="64"/>
  <c r="F106" i="64"/>
  <c r="E106" i="64"/>
  <c r="D106" i="64"/>
  <c r="C106" i="64"/>
  <c r="B106" i="64"/>
  <c r="A105" i="64"/>
  <c r="K105" i="64"/>
  <c r="J105" i="64"/>
  <c r="I105" i="64"/>
  <c r="H105" i="64"/>
  <c r="G105" i="64"/>
  <c r="F105" i="64"/>
  <c r="E105" i="64"/>
  <c r="D105" i="64"/>
  <c r="C105" i="64"/>
  <c r="B105" i="64"/>
  <c r="A104" i="64"/>
  <c r="K104" i="64"/>
  <c r="J104" i="64"/>
  <c r="I104" i="64"/>
  <c r="H104" i="64"/>
  <c r="G104" i="64"/>
  <c r="F104" i="64"/>
  <c r="E104" i="64"/>
  <c r="D104" i="64"/>
  <c r="C104" i="64"/>
  <c r="B104" i="64"/>
  <c r="A103" i="64"/>
  <c r="K103" i="64"/>
  <c r="J103" i="64"/>
  <c r="I103" i="64"/>
  <c r="H103" i="64"/>
  <c r="G103" i="64"/>
  <c r="F103" i="64"/>
  <c r="E103" i="64"/>
  <c r="D103" i="64"/>
  <c r="C103" i="64"/>
  <c r="B103" i="64"/>
  <c r="A102" i="64"/>
  <c r="K102" i="64"/>
  <c r="J102" i="64"/>
  <c r="I102" i="64"/>
  <c r="H102" i="64"/>
  <c r="G102" i="64"/>
  <c r="F102" i="64"/>
  <c r="E102" i="64"/>
  <c r="D102" i="64"/>
  <c r="C102" i="64"/>
  <c r="B102" i="64"/>
  <c r="A101" i="64"/>
  <c r="K101" i="64"/>
  <c r="J101" i="64"/>
  <c r="I101" i="64"/>
  <c r="H101" i="64"/>
  <c r="G101" i="64"/>
  <c r="F101" i="64"/>
  <c r="E101" i="64"/>
  <c r="D101" i="64"/>
  <c r="C101" i="64"/>
  <c r="B101" i="64"/>
  <c r="A100" i="64"/>
  <c r="K100" i="64"/>
  <c r="J100" i="64"/>
  <c r="I100" i="64"/>
  <c r="H100" i="64"/>
  <c r="G100" i="64"/>
  <c r="F100" i="64"/>
  <c r="E100" i="64"/>
  <c r="D100" i="64"/>
  <c r="C100" i="64"/>
  <c r="B100" i="64"/>
  <c r="A99" i="64"/>
  <c r="K99" i="64"/>
  <c r="J99" i="64"/>
  <c r="I99" i="64"/>
  <c r="H99" i="64"/>
  <c r="G99" i="64"/>
  <c r="F99" i="64"/>
  <c r="E99" i="64"/>
  <c r="D99" i="64"/>
  <c r="C99" i="64"/>
  <c r="B99" i="64"/>
  <c r="A98" i="64"/>
  <c r="K98" i="64"/>
  <c r="J98" i="64"/>
  <c r="I98" i="64"/>
  <c r="H98" i="64"/>
  <c r="G98" i="64"/>
  <c r="F98" i="64"/>
  <c r="E98" i="64"/>
  <c r="D98" i="64"/>
  <c r="C98" i="64"/>
  <c r="B98" i="64"/>
  <c r="A97" i="64"/>
  <c r="K97" i="64"/>
  <c r="J97" i="64"/>
  <c r="I97" i="64"/>
  <c r="H97" i="64"/>
  <c r="G97" i="64"/>
  <c r="F97" i="64"/>
  <c r="E97" i="64"/>
  <c r="D97" i="64"/>
  <c r="C97" i="64"/>
  <c r="B97" i="64"/>
  <c r="A96" i="64"/>
  <c r="K96" i="64"/>
  <c r="J96" i="64"/>
  <c r="I96" i="64"/>
  <c r="H96" i="64"/>
  <c r="G96" i="64"/>
  <c r="F96" i="64"/>
  <c r="E96" i="64"/>
  <c r="D96" i="64"/>
  <c r="C96" i="64"/>
  <c r="B96" i="64"/>
  <c r="A95" i="64"/>
  <c r="K95" i="64"/>
  <c r="J95" i="64"/>
  <c r="I95" i="64"/>
  <c r="H95" i="64"/>
  <c r="G95" i="64"/>
  <c r="F95" i="64"/>
  <c r="E95" i="64"/>
  <c r="D95" i="64"/>
  <c r="C95" i="64"/>
  <c r="B95" i="64"/>
  <c r="A94" i="64"/>
  <c r="K94" i="64"/>
  <c r="J94" i="64"/>
  <c r="I94" i="64"/>
  <c r="H94" i="64"/>
  <c r="G94" i="64"/>
  <c r="F94" i="64"/>
  <c r="E94" i="64"/>
  <c r="D94" i="64"/>
  <c r="C94" i="64"/>
  <c r="B94" i="64"/>
  <c r="A93" i="64"/>
  <c r="K93" i="64"/>
  <c r="J93" i="64"/>
  <c r="I93" i="64"/>
  <c r="H93" i="64"/>
  <c r="G93" i="64"/>
  <c r="F93" i="64"/>
  <c r="E93" i="64"/>
  <c r="D93" i="64"/>
  <c r="C93" i="64"/>
  <c r="B93" i="64"/>
  <c r="A92" i="64"/>
  <c r="K92" i="64"/>
  <c r="J92" i="64"/>
  <c r="I92" i="64"/>
  <c r="H92" i="64"/>
  <c r="G92" i="64"/>
  <c r="F92" i="64"/>
  <c r="E92" i="64"/>
  <c r="D92" i="64"/>
  <c r="C92" i="64"/>
  <c r="B92" i="64"/>
  <c r="A91" i="64"/>
  <c r="K91" i="64"/>
  <c r="J91" i="64"/>
  <c r="I91" i="64"/>
  <c r="H91" i="64"/>
  <c r="G91" i="64"/>
  <c r="F91" i="64"/>
  <c r="E91" i="64"/>
  <c r="D91" i="64"/>
  <c r="C91" i="64"/>
  <c r="B91" i="64"/>
  <c r="A90" i="64"/>
  <c r="K90" i="64"/>
  <c r="J90" i="64"/>
  <c r="I90" i="64"/>
  <c r="H90" i="64"/>
  <c r="G90" i="64"/>
  <c r="F90" i="64"/>
  <c r="E90" i="64"/>
  <c r="D90" i="64"/>
  <c r="C90" i="64"/>
  <c r="B90" i="64"/>
  <c r="A89" i="64"/>
  <c r="K89" i="64"/>
  <c r="J89" i="64"/>
  <c r="I89" i="64"/>
  <c r="H89" i="64"/>
  <c r="G89" i="64"/>
  <c r="F89" i="64"/>
  <c r="E89" i="64"/>
  <c r="D89" i="64"/>
  <c r="C89" i="64"/>
  <c r="B89" i="64"/>
  <c r="A88" i="64"/>
  <c r="K88" i="64"/>
  <c r="J88" i="64"/>
  <c r="I88" i="64"/>
  <c r="H88" i="64"/>
  <c r="G88" i="64"/>
  <c r="F88" i="64"/>
  <c r="E88" i="64"/>
  <c r="D88" i="64"/>
  <c r="C88" i="64"/>
  <c r="B88" i="64"/>
  <c r="A87" i="64"/>
  <c r="K87" i="64"/>
  <c r="J87" i="64"/>
  <c r="I87" i="64"/>
  <c r="H87" i="64"/>
  <c r="G87" i="64"/>
  <c r="F87" i="64"/>
  <c r="E87" i="64"/>
  <c r="D87" i="64"/>
  <c r="C87" i="64"/>
  <c r="B87" i="64"/>
  <c r="A86" i="64"/>
  <c r="K86" i="64"/>
  <c r="J86" i="64"/>
  <c r="I86" i="64"/>
  <c r="H86" i="64"/>
  <c r="G86" i="64"/>
  <c r="F86" i="64"/>
  <c r="E86" i="64"/>
  <c r="D86" i="64"/>
  <c r="C86" i="64"/>
  <c r="B86" i="64"/>
  <c r="A85" i="64"/>
  <c r="K85" i="64"/>
  <c r="J85" i="64"/>
  <c r="I85" i="64"/>
  <c r="H85" i="64"/>
  <c r="G85" i="64"/>
  <c r="F85" i="64"/>
  <c r="E85" i="64"/>
  <c r="D85" i="64"/>
  <c r="C85" i="64"/>
  <c r="B85" i="64"/>
  <c r="A84" i="64"/>
  <c r="K84" i="64"/>
  <c r="J84" i="64"/>
  <c r="I84" i="64"/>
  <c r="H84" i="64"/>
  <c r="G84" i="64"/>
  <c r="F84" i="64"/>
  <c r="E84" i="64"/>
  <c r="D84" i="64"/>
  <c r="C84" i="64"/>
  <c r="B84" i="64"/>
  <c r="A83" i="64"/>
  <c r="K83" i="64"/>
  <c r="J83" i="64"/>
  <c r="I83" i="64"/>
  <c r="H83" i="64"/>
  <c r="G83" i="64"/>
  <c r="F83" i="64"/>
  <c r="E83" i="64"/>
  <c r="D83" i="64"/>
  <c r="C83" i="64"/>
  <c r="B83" i="64"/>
  <c r="A82" i="64"/>
  <c r="K82" i="64"/>
  <c r="J82" i="64"/>
  <c r="I82" i="64"/>
  <c r="H82" i="64"/>
  <c r="G82" i="64"/>
  <c r="F82" i="64"/>
  <c r="E82" i="64"/>
  <c r="D82" i="64"/>
  <c r="C82" i="64"/>
  <c r="B82" i="64"/>
  <c r="A81" i="64"/>
  <c r="K81" i="64"/>
  <c r="J81" i="64"/>
  <c r="I81" i="64"/>
  <c r="H81" i="64"/>
  <c r="G81" i="64"/>
  <c r="F81" i="64"/>
  <c r="E81" i="64"/>
  <c r="D81" i="64"/>
  <c r="C81" i="64"/>
  <c r="B81" i="64"/>
  <c r="A80" i="64"/>
  <c r="K80" i="64"/>
  <c r="J80" i="64"/>
  <c r="I80" i="64"/>
  <c r="H80" i="64"/>
  <c r="G80" i="64"/>
  <c r="F80" i="64"/>
  <c r="E80" i="64"/>
  <c r="D80" i="64"/>
  <c r="C80" i="64"/>
  <c r="B80" i="64"/>
  <c r="A79" i="64"/>
  <c r="K79" i="64"/>
  <c r="J79" i="64"/>
  <c r="I79" i="64"/>
  <c r="H79" i="64"/>
  <c r="G79" i="64"/>
  <c r="F79" i="64"/>
  <c r="E79" i="64"/>
  <c r="D79" i="64"/>
  <c r="C79" i="64"/>
  <c r="B79" i="64"/>
  <c r="A78" i="64"/>
  <c r="K78" i="64"/>
  <c r="J78" i="64"/>
  <c r="I78" i="64"/>
  <c r="H78" i="64"/>
  <c r="G78" i="64"/>
  <c r="F78" i="64"/>
  <c r="E78" i="64"/>
  <c r="D78" i="64"/>
  <c r="C78" i="64"/>
  <c r="B78" i="64"/>
  <c r="A77" i="64"/>
  <c r="K77" i="64"/>
  <c r="J77" i="64"/>
  <c r="I77" i="64"/>
  <c r="H77" i="64"/>
  <c r="G77" i="64"/>
  <c r="F77" i="64"/>
  <c r="E77" i="64"/>
  <c r="D77" i="64"/>
  <c r="C77" i="64"/>
  <c r="B77" i="64"/>
  <c r="A76" i="64"/>
  <c r="K76" i="64"/>
  <c r="J76" i="64"/>
  <c r="I76" i="64"/>
  <c r="H76" i="64"/>
  <c r="G76" i="64"/>
  <c r="F76" i="64"/>
  <c r="E76" i="64"/>
  <c r="D76" i="64"/>
  <c r="C76" i="64"/>
  <c r="B76" i="64"/>
  <c r="A75" i="64"/>
  <c r="K75" i="64"/>
  <c r="J75" i="64"/>
  <c r="I75" i="64"/>
  <c r="H75" i="64"/>
  <c r="G75" i="64"/>
  <c r="F75" i="64"/>
  <c r="E75" i="64"/>
  <c r="D75" i="64"/>
  <c r="C75" i="64"/>
  <c r="B75" i="64"/>
  <c r="A74" i="64"/>
  <c r="K74" i="64"/>
  <c r="J74" i="64"/>
  <c r="I74" i="64"/>
  <c r="H74" i="64"/>
  <c r="G74" i="64"/>
  <c r="F74" i="64"/>
  <c r="E74" i="64"/>
  <c r="D74" i="64"/>
  <c r="C74" i="64"/>
  <c r="B74" i="64"/>
  <c r="A73" i="64"/>
  <c r="K73" i="64"/>
  <c r="J73" i="64"/>
  <c r="I73" i="64"/>
  <c r="H73" i="64"/>
  <c r="G73" i="64"/>
  <c r="F73" i="64"/>
  <c r="E73" i="64"/>
  <c r="D73" i="64"/>
  <c r="C73" i="64"/>
  <c r="B73" i="64"/>
  <c r="A72" i="64"/>
  <c r="K72" i="64"/>
  <c r="J72" i="64"/>
  <c r="I72" i="64"/>
  <c r="H72" i="64"/>
  <c r="G72" i="64"/>
  <c r="F72" i="64"/>
  <c r="E72" i="64"/>
  <c r="D72" i="64"/>
  <c r="C72" i="64"/>
  <c r="B72" i="64"/>
  <c r="A71" i="64"/>
  <c r="K71" i="64"/>
  <c r="J71" i="64"/>
  <c r="I71" i="64"/>
  <c r="H71" i="64"/>
  <c r="G71" i="64"/>
  <c r="F71" i="64"/>
  <c r="E71" i="64"/>
  <c r="D71" i="64"/>
  <c r="C71" i="64"/>
  <c r="B71" i="64"/>
  <c r="A70" i="64"/>
  <c r="K70" i="64"/>
  <c r="J70" i="64"/>
  <c r="I70" i="64"/>
  <c r="H70" i="64"/>
  <c r="G70" i="64"/>
  <c r="F70" i="64"/>
  <c r="E70" i="64"/>
  <c r="D70" i="64"/>
  <c r="C70" i="64"/>
  <c r="B70" i="64"/>
  <c r="A69" i="64"/>
  <c r="K69" i="64"/>
  <c r="J69" i="64"/>
  <c r="I69" i="64"/>
  <c r="H69" i="64"/>
  <c r="G69" i="64"/>
  <c r="F69" i="64"/>
  <c r="E69" i="64"/>
  <c r="D69" i="64"/>
  <c r="C69" i="64"/>
  <c r="B69" i="64"/>
  <c r="A68" i="64"/>
  <c r="K68" i="64"/>
  <c r="J68" i="64"/>
  <c r="I68" i="64"/>
  <c r="H68" i="64"/>
  <c r="G68" i="64"/>
  <c r="F68" i="64"/>
  <c r="E68" i="64"/>
  <c r="D68" i="64"/>
  <c r="C68" i="64"/>
  <c r="B68" i="64"/>
  <c r="A67" i="64"/>
  <c r="K67" i="64"/>
  <c r="J67" i="64"/>
  <c r="I67" i="64"/>
  <c r="H67" i="64"/>
  <c r="G67" i="64"/>
  <c r="F67" i="64"/>
  <c r="E67" i="64"/>
  <c r="D67" i="64"/>
  <c r="C67" i="64"/>
  <c r="B67" i="64"/>
  <c r="A66" i="64"/>
  <c r="K66" i="64"/>
  <c r="J66" i="64"/>
  <c r="I66" i="64"/>
  <c r="H66" i="64"/>
  <c r="G66" i="64"/>
  <c r="F66" i="64"/>
  <c r="E66" i="64"/>
  <c r="D66" i="64"/>
  <c r="C66" i="64"/>
  <c r="B66" i="64"/>
  <c r="A65" i="64"/>
  <c r="K65" i="64"/>
  <c r="J65" i="64"/>
  <c r="I65" i="64"/>
  <c r="H65" i="64"/>
  <c r="G65" i="64"/>
  <c r="F65" i="64"/>
  <c r="E65" i="64"/>
  <c r="D65" i="64"/>
  <c r="C65" i="64"/>
  <c r="B65" i="64"/>
  <c r="A64" i="64"/>
  <c r="K64" i="64"/>
  <c r="J64" i="64"/>
  <c r="I64" i="64"/>
  <c r="H64" i="64"/>
  <c r="G64" i="64"/>
  <c r="F64" i="64"/>
  <c r="E64" i="64"/>
  <c r="D64" i="64"/>
  <c r="C64" i="64"/>
  <c r="B64" i="64"/>
  <c r="A63" i="64"/>
  <c r="K63" i="64"/>
  <c r="J63" i="64"/>
  <c r="I63" i="64"/>
  <c r="H63" i="64"/>
  <c r="G63" i="64"/>
  <c r="F63" i="64"/>
  <c r="E63" i="64"/>
  <c r="D63" i="64"/>
  <c r="C63" i="64"/>
  <c r="B63" i="64"/>
  <c r="A62" i="64"/>
  <c r="K62" i="64"/>
  <c r="J62" i="64"/>
  <c r="I62" i="64"/>
  <c r="H62" i="64"/>
  <c r="G62" i="64"/>
  <c r="F62" i="64"/>
  <c r="E62" i="64"/>
  <c r="D62" i="64"/>
  <c r="C62" i="64"/>
  <c r="B62" i="64"/>
  <c r="A61" i="64"/>
  <c r="K61" i="64"/>
  <c r="J61" i="64"/>
  <c r="I61" i="64"/>
  <c r="H61" i="64"/>
  <c r="G61" i="64"/>
  <c r="F61" i="64"/>
  <c r="E61" i="64"/>
  <c r="D61" i="64"/>
  <c r="C61" i="64"/>
  <c r="B61" i="64"/>
  <c r="A60" i="64"/>
  <c r="K60" i="64"/>
  <c r="J60" i="64"/>
  <c r="I60" i="64"/>
  <c r="H60" i="64"/>
  <c r="G60" i="64"/>
  <c r="F60" i="64"/>
  <c r="E60" i="64"/>
  <c r="D60" i="64"/>
  <c r="C60" i="64"/>
  <c r="B60" i="64"/>
  <c r="A59" i="64"/>
  <c r="K59" i="64"/>
  <c r="J59" i="64"/>
  <c r="I59" i="64"/>
  <c r="H59" i="64"/>
  <c r="G59" i="64"/>
  <c r="F59" i="64"/>
  <c r="E59" i="64"/>
  <c r="D59" i="64"/>
  <c r="C59" i="64"/>
  <c r="B59" i="64"/>
  <c r="A58" i="64"/>
  <c r="K58" i="64"/>
  <c r="J58" i="64"/>
  <c r="I58" i="64"/>
  <c r="H58" i="64"/>
  <c r="G58" i="64"/>
  <c r="F58" i="64"/>
  <c r="E58" i="64"/>
  <c r="D58" i="64"/>
  <c r="C58" i="64"/>
  <c r="B58" i="64"/>
  <c r="A57" i="64"/>
  <c r="K57" i="64"/>
  <c r="J57" i="64"/>
  <c r="I57" i="64"/>
  <c r="H57" i="64"/>
  <c r="G57" i="64"/>
  <c r="F57" i="64"/>
  <c r="E57" i="64"/>
  <c r="D57" i="64"/>
  <c r="C57" i="64"/>
  <c r="B57" i="64"/>
  <c r="A56" i="64"/>
  <c r="K56" i="64"/>
  <c r="J56" i="64"/>
  <c r="I56" i="64"/>
  <c r="H56" i="64"/>
  <c r="G56" i="64"/>
  <c r="F56" i="64"/>
  <c r="E56" i="64"/>
  <c r="D56" i="64"/>
  <c r="C56" i="64"/>
  <c r="B56" i="64"/>
  <c r="A55" i="64"/>
  <c r="K55" i="64"/>
  <c r="J55" i="64"/>
  <c r="I55" i="64"/>
  <c r="H55" i="64"/>
  <c r="G55" i="64"/>
  <c r="F55" i="64"/>
  <c r="E55" i="64"/>
  <c r="D55" i="64"/>
  <c r="C55" i="64"/>
  <c r="B55" i="64"/>
  <c r="A54" i="64"/>
  <c r="K54" i="64"/>
  <c r="J54" i="64"/>
  <c r="I54" i="64"/>
  <c r="H54" i="64"/>
  <c r="G54" i="64"/>
  <c r="F54" i="64"/>
  <c r="E54" i="64"/>
  <c r="D54" i="64"/>
  <c r="C54" i="64"/>
  <c r="B54" i="64"/>
  <c r="A53" i="64"/>
  <c r="K53" i="64"/>
  <c r="J53" i="64"/>
  <c r="I53" i="64"/>
  <c r="H53" i="64"/>
  <c r="G53" i="64"/>
  <c r="F53" i="64"/>
  <c r="E53" i="64"/>
  <c r="D53" i="64"/>
  <c r="C53" i="64"/>
  <c r="B53" i="64"/>
  <c r="A52" i="64"/>
  <c r="K52" i="64"/>
  <c r="J52" i="64"/>
  <c r="I52" i="64"/>
  <c r="H52" i="64"/>
  <c r="G52" i="64"/>
  <c r="F52" i="64"/>
  <c r="E52" i="64"/>
  <c r="D52" i="64"/>
  <c r="C52" i="64"/>
  <c r="B52" i="64"/>
  <c r="A51" i="64"/>
  <c r="K51" i="64"/>
  <c r="J51" i="64"/>
  <c r="I51" i="64"/>
  <c r="H51" i="64"/>
  <c r="G51" i="64"/>
  <c r="F51" i="64"/>
  <c r="E51" i="64"/>
  <c r="D51" i="64"/>
  <c r="C51" i="64"/>
  <c r="B51" i="64"/>
  <c r="A50" i="64"/>
  <c r="K50" i="64"/>
  <c r="J50" i="64"/>
  <c r="I50" i="64"/>
  <c r="H50" i="64"/>
  <c r="G50" i="64"/>
  <c r="F50" i="64"/>
  <c r="E50" i="64"/>
  <c r="D50" i="64"/>
  <c r="C50" i="64"/>
  <c r="B50" i="64"/>
  <c r="A49" i="64"/>
  <c r="K49" i="64"/>
  <c r="J49" i="64"/>
  <c r="I49" i="64"/>
  <c r="H49" i="64"/>
  <c r="G49" i="64"/>
  <c r="F49" i="64"/>
  <c r="E49" i="64"/>
  <c r="D49" i="64"/>
  <c r="C49" i="64"/>
  <c r="B49" i="64"/>
  <c r="A48" i="64"/>
  <c r="K48" i="64"/>
  <c r="J48" i="64"/>
  <c r="I48" i="64"/>
  <c r="H48" i="64"/>
  <c r="G48" i="64"/>
  <c r="F48" i="64"/>
  <c r="E48" i="64"/>
  <c r="D48" i="64"/>
  <c r="C48" i="64"/>
  <c r="B48" i="64"/>
  <c r="A47" i="64"/>
  <c r="K47" i="64"/>
  <c r="J47" i="64"/>
  <c r="I47" i="64"/>
  <c r="H47" i="64"/>
  <c r="G47" i="64"/>
  <c r="F47" i="64"/>
  <c r="E47" i="64"/>
  <c r="D47" i="64"/>
  <c r="C47" i="64"/>
  <c r="B47" i="64"/>
  <c r="A46" i="64"/>
  <c r="K46" i="64"/>
  <c r="J46" i="64"/>
  <c r="I46" i="64"/>
  <c r="H46" i="64"/>
  <c r="G46" i="64"/>
  <c r="F46" i="64"/>
  <c r="E46" i="64"/>
  <c r="D46" i="64"/>
  <c r="C46" i="64"/>
  <c r="B46" i="64"/>
  <c r="A45" i="64"/>
  <c r="K45" i="64"/>
  <c r="J45" i="64"/>
  <c r="I45" i="64"/>
  <c r="H45" i="64"/>
  <c r="G45" i="64"/>
  <c r="F45" i="64"/>
  <c r="E45" i="64"/>
  <c r="D45" i="64"/>
  <c r="C45" i="64"/>
  <c r="B45" i="64"/>
  <c r="A44" i="64"/>
  <c r="K44" i="64"/>
  <c r="J44" i="64"/>
  <c r="I44" i="64"/>
  <c r="H44" i="64"/>
  <c r="G44" i="64"/>
  <c r="F44" i="64"/>
  <c r="E44" i="64"/>
  <c r="D44" i="64"/>
  <c r="C44" i="64"/>
  <c r="B44" i="64"/>
  <c r="A43" i="64"/>
  <c r="K43" i="64"/>
  <c r="J43" i="64"/>
  <c r="I43" i="64"/>
  <c r="H43" i="64"/>
  <c r="G43" i="64"/>
  <c r="F43" i="64"/>
  <c r="E43" i="64"/>
  <c r="D43" i="64"/>
  <c r="C43" i="64"/>
  <c r="B43" i="64"/>
  <c r="A42" i="64"/>
  <c r="K42" i="64"/>
  <c r="J42" i="64"/>
  <c r="I42" i="64"/>
  <c r="H42" i="64"/>
  <c r="G42" i="64"/>
  <c r="F42" i="64"/>
  <c r="E42" i="64"/>
  <c r="D42" i="64"/>
  <c r="C42" i="64"/>
  <c r="B42" i="64"/>
  <c r="A41" i="64"/>
  <c r="K41" i="64"/>
  <c r="J41" i="64"/>
  <c r="I41" i="64"/>
  <c r="H41" i="64"/>
  <c r="G41" i="64"/>
  <c r="F41" i="64"/>
  <c r="E41" i="64"/>
  <c r="D41" i="64"/>
  <c r="C41" i="64"/>
  <c r="B41" i="64"/>
  <c r="A40" i="64"/>
  <c r="K40" i="64"/>
  <c r="J40" i="64"/>
  <c r="I40" i="64"/>
  <c r="H40" i="64"/>
  <c r="G40" i="64"/>
  <c r="F40" i="64"/>
  <c r="E40" i="64"/>
  <c r="D40" i="64"/>
  <c r="C40" i="64"/>
  <c r="B40" i="64"/>
  <c r="A39" i="64"/>
  <c r="K39" i="64"/>
  <c r="J39" i="64"/>
  <c r="I39" i="64"/>
  <c r="H39" i="64"/>
  <c r="G39" i="64"/>
  <c r="F39" i="64"/>
  <c r="E39" i="64"/>
  <c r="D39" i="64"/>
  <c r="C39" i="64"/>
  <c r="B39" i="64"/>
  <c r="A38" i="64"/>
  <c r="K38" i="64"/>
  <c r="J38" i="64"/>
  <c r="I38" i="64"/>
  <c r="H38" i="64"/>
  <c r="G38" i="64"/>
  <c r="F38" i="64"/>
  <c r="E38" i="64"/>
  <c r="D38" i="64"/>
  <c r="C38" i="64"/>
  <c r="B38" i="64"/>
  <c r="A37" i="64"/>
  <c r="K37" i="64"/>
  <c r="J37" i="64"/>
  <c r="I37" i="64"/>
  <c r="H37" i="64"/>
  <c r="G37" i="64"/>
  <c r="F37" i="64"/>
  <c r="E37" i="64"/>
  <c r="D37" i="64"/>
  <c r="C37" i="64"/>
  <c r="B37" i="64"/>
  <c r="A36" i="64"/>
  <c r="K36" i="64"/>
  <c r="J36" i="64"/>
  <c r="I36" i="64"/>
  <c r="H36" i="64"/>
  <c r="G36" i="64"/>
  <c r="F36" i="64"/>
  <c r="E36" i="64"/>
  <c r="D36" i="64"/>
  <c r="C36" i="64"/>
  <c r="B36" i="64"/>
  <c r="A35" i="64"/>
  <c r="K35" i="64"/>
  <c r="J35" i="64"/>
  <c r="I35" i="64"/>
  <c r="H35" i="64"/>
  <c r="G35" i="64"/>
  <c r="F35" i="64"/>
  <c r="E35" i="64"/>
  <c r="D35" i="64"/>
  <c r="C35" i="64"/>
  <c r="B35" i="64"/>
  <c r="A34" i="64"/>
  <c r="K34" i="64"/>
  <c r="J34" i="64"/>
  <c r="I34" i="64"/>
  <c r="H34" i="64"/>
  <c r="G34" i="64"/>
  <c r="F34" i="64"/>
  <c r="E34" i="64"/>
  <c r="D34" i="64"/>
  <c r="C34" i="64"/>
  <c r="B34" i="64"/>
  <c r="A33" i="64"/>
  <c r="K33" i="64"/>
  <c r="J33" i="64"/>
  <c r="I33" i="64"/>
  <c r="H33" i="64"/>
  <c r="G33" i="64"/>
  <c r="F33" i="64"/>
  <c r="E33" i="64"/>
  <c r="D33" i="64"/>
  <c r="C33" i="64"/>
  <c r="B33" i="64"/>
  <c r="A32" i="64"/>
  <c r="K32" i="64"/>
  <c r="J32" i="64"/>
  <c r="I32" i="64"/>
  <c r="H32" i="64"/>
  <c r="G32" i="64"/>
  <c r="F32" i="64"/>
  <c r="E32" i="64"/>
  <c r="D32" i="64"/>
  <c r="C32" i="64"/>
  <c r="B32" i="64"/>
  <c r="A31" i="64"/>
  <c r="K31" i="64"/>
  <c r="J31" i="64"/>
  <c r="I31" i="64"/>
  <c r="H31" i="64"/>
  <c r="G31" i="64"/>
  <c r="F31" i="64"/>
  <c r="E31" i="64"/>
  <c r="D31" i="64"/>
  <c r="C31" i="64"/>
  <c r="B31" i="64"/>
  <c r="A30" i="64"/>
  <c r="K30" i="64"/>
  <c r="J30" i="64"/>
  <c r="I30" i="64"/>
  <c r="H30" i="64"/>
  <c r="G30" i="64"/>
  <c r="F30" i="64"/>
  <c r="E30" i="64"/>
  <c r="D30" i="64"/>
  <c r="C30" i="64"/>
  <c r="B30" i="64"/>
  <c r="A29" i="64"/>
  <c r="K29" i="64"/>
  <c r="J29" i="64"/>
  <c r="I29" i="64"/>
  <c r="H29" i="64"/>
  <c r="G29" i="64"/>
  <c r="F29" i="64"/>
  <c r="E29" i="64"/>
  <c r="D29" i="64"/>
  <c r="C29" i="64"/>
  <c r="B29" i="64"/>
  <c r="A28" i="64"/>
  <c r="K28" i="64"/>
  <c r="J28" i="64"/>
  <c r="I28" i="64"/>
  <c r="H28" i="64"/>
  <c r="G28" i="64"/>
  <c r="F28" i="64"/>
  <c r="E28" i="64"/>
  <c r="D28" i="64"/>
  <c r="C28" i="64"/>
  <c r="B28" i="64"/>
  <c r="A27" i="64"/>
  <c r="K27" i="64"/>
  <c r="J27" i="64"/>
  <c r="I27" i="64"/>
  <c r="H27" i="64"/>
  <c r="G27" i="64"/>
  <c r="F27" i="64"/>
  <c r="E27" i="64"/>
  <c r="D27" i="64"/>
  <c r="C27" i="64"/>
  <c r="B27" i="64"/>
  <c r="A26" i="64"/>
  <c r="K26" i="64"/>
  <c r="J26" i="64"/>
  <c r="I26" i="64"/>
  <c r="H26" i="64"/>
  <c r="G26" i="64"/>
  <c r="F26" i="64"/>
  <c r="E26" i="64"/>
  <c r="D26" i="64"/>
  <c r="C26" i="64"/>
  <c r="B26" i="64"/>
  <c r="A25" i="64"/>
  <c r="K25" i="64"/>
  <c r="J25" i="64"/>
  <c r="I25" i="64"/>
  <c r="H25" i="64"/>
  <c r="G25" i="64"/>
  <c r="F25" i="64"/>
  <c r="E25" i="64"/>
  <c r="D25" i="64"/>
  <c r="C25" i="64"/>
  <c r="B25" i="64"/>
  <c r="A24" i="64"/>
  <c r="K24" i="64"/>
  <c r="J24" i="64"/>
  <c r="I24" i="64"/>
  <c r="H24" i="64"/>
  <c r="G24" i="64"/>
  <c r="F24" i="64"/>
  <c r="E24" i="64"/>
  <c r="D24" i="64"/>
  <c r="C24" i="64"/>
  <c r="B24" i="64"/>
  <c r="A23" i="64"/>
  <c r="K23" i="64"/>
  <c r="J23" i="64"/>
  <c r="I23" i="64"/>
  <c r="H23" i="64"/>
  <c r="G23" i="64"/>
  <c r="F23" i="64"/>
  <c r="E23" i="64"/>
  <c r="D23" i="64"/>
  <c r="C23" i="64"/>
  <c r="B23" i="64"/>
  <c r="A22" i="64"/>
  <c r="K22" i="64"/>
  <c r="J22" i="64"/>
  <c r="I22" i="64"/>
  <c r="H22" i="64"/>
  <c r="G22" i="64"/>
  <c r="F22" i="64"/>
  <c r="E22" i="64"/>
  <c r="D22" i="64"/>
  <c r="C22" i="64"/>
  <c r="B22" i="64"/>
  <c r="A21" i="64"/>
  <c r="K21" i="64"/>
  <c r="J21" i="64"/>
  <c r="I21" i="64"/>
  <c r="H21" i="64"/>
  <c r="G21" i="64"/>
  <c r="F21" i="64"/>
  <c r="E21" i="64"/>
  <c r="D21" i="64"/>
  <c r="C21" i="64"/>
  <c r="B21" i="64"/>
  <c r="A20" i="64"/>
  <c r="K20" i="64"/>
  <c r="J20" i="64"/>
  <c r="I20" i="64"/>
  <c r="H20" i="64"/>
  <c r="G20" i="64"/>
  <c r="F20" i="64"/>
  <c r="E20" i="64"/>
  <c r="D20" i="64"/>
  <c r="C20" i="64"/>
  <c r="B20" i="64"/>
  <c r="A19" i="64"/>
  <c r="K19" i="64"/>
  <c r="J19" i="64"/>
  <c r="I19" i="64"/>
  <c r="H19" i="64"/>
  <c r="G19" i="64"/>
  <c r="F19" i="64"/>
  <c r="E19" i="64"/>
  <c r="D19" i="64"/>
  <c r="C19" i="64"/>
  <c r="B19" i="64"/>
  <c r="A18" i="64"/>
  <c r="K18" i="64"/>
  <c r="J18" i="64"/>
  <c r="I18" i="64"/>
  <c r="H18" i="64"/>
  <c r="G18" i="64"/>
  <c r="F18" i="64"/>
  <c r="E18" i="64"/>
  <c r="D18" i="64"/>
  <c r="C18" i="64"/>
  <c r="B18" i="64"/>
  <c r="A17" i="64"/>
  <c r="K17" i="64"/>
  <c r="J17" i="64"/>
  <c r="I17" i="64"/>
  <c r="H17" i="64"/>
  <c r="G17" i="64"/>
  <c r="F17" i="64"/>
  <c r="E17" i="64"/>
  <c r="D17" i="64"/>
  <c r="C17" i="64"/>
  <c r="B17" i="64"/>
  <c r="A16" i="64"/>
  <c r="K16" i="64"/>
  <c r="J16" i="64"/>
  <c r="I16" i="64"/>
  <c r="H16" i="64"/>
  <c r="G16" i="64"/>
  <c r="F16" i="64"/>
  <c r="E16" i="64"/>
  <c r="D16" i="64"/>
  <c r="C16" i="64"/>
  <c r="B16" i="64"/>
  <c r="A15" i="64"/>
  <c r="K15" i="64"/>
  <c r="J15" i="64"/>
  <c r="I15" i="64"/>
  <c r="H15" i="64"/>
  <c r="G15" i="64"/>
  <c r="F15" i="64"/>
  <c r="E15" i="64"/>
  <c r="D15" i="64"/>
  <c r="C15" i="64"/>
  <c r="B15" i="64"/>
  <c r="A14" i="64"/>
  <c r="K14" i="64"/>
  <c r="J14" i="64"/>
  <c r="I14" i="64"/>
  <c r="H14" i="64"/>
  <c r="G14" i="64"/>
  <c r="F14" i="64"/>
  <c r="E14" i="64"/>
  <c r="D14" i="64"/>
  <c r="C14" i="64"/>
  <c r="B14" i="64"/>
  <c r="A13" i="64"/>
  <c r="K13" i="64"/>
  <c r="J13" i="64"/>
  <c r="I13" i="64"/>
  <c r="H13" i="64"/>
  <c r="G13" i="64"/>
  <c r="F13" i="64"/>
  <c r="E13" i="64"/>
  <c r="D13" i="64"/>
  <c r="C13" i="64"/>
  <c r="B13" i="64"/>
  <c r="A12" i="64"/>
  <c r="K12" i="64"/>
  <c r="J12" i="64"/>
  <c r="I12" i="64"/>
  <c r="H12" i="64"/>
  <c r="G12" i="64"/>
  <c r="F12" i="64"/>
  <c r="E12" i="64"/>
  <c r="D12" i="64"/>
  <c r="C12" i="64"/>
  <c r="B12" i="64"/>
  <c r="A11" i="64"/>
  <c r="K11" i="64"/>
  <c r="J11" i="64"/>
  <c r="I11" i="64"/>
  <c r="H11" i="64"/>
  <c r="G11" i="64"/>
  <c r="F11" i="64"/>
  <c r="E11" i="64"/>
  <c r="D11" i="64"/>
  <c r="C11" i="64"/>
  <c r="B11" i="64"/>
  <c r="A10" i="64"/>
  <c r="K10" i="64"/>
  <c r="J10" i="64"/>
  <c r="I10" i="64"/>
  <c r="H10" i="64"/>
  <c r="G10" i="64"/>
  <c r="F10" i="64"/>
  <c r="E10" i="64"/>
  <c r="D10" i="64"/>
  <c r="C10" i="64"/>
  <c r="B10" i="64"/>
  <c r="A9" i="64"/>
  <c r="K9" i="64"/>
  <c r="J9" i="64"/>
  <c r="I9" i="64"/>
  <c r="H9" i="64"/>
  <c r="G9" i="64"/>
  <c r="F9" i="64"/>
  <c r="E9" i="64"/>
  <c r="D9" i="64"/>
  <c r="C9" i="64"/>
  <c r="B9" i="64"/>
  <c r="A8" i="64"/>
  <c r="K8" i="64"/>
  <c r="J8" i="64"/>
  <c r="I8" i="64"/>
  <c r="H8" i="64"/>
  <c r="G8" i="64"/>
  <c r="F8" i="64"/>
  <c r="E8" i="64"/>
  <c r="D8" i="64"/>
  <c r="C8" i="64"/>
  <c r="B8" i="64"/>
  <c r="A7" i="64"/>
  <c r="K7" i="64"/>
  <c r="J7" i="64"/>
  <c r="I7" i="64"/>
  <c r="H7" i="64"/>
  <c r="G7" i="64"/>
  <c r="F7" i="64"/>
  <c r="E7" i="64"/>
  <c r="D7" i="64"/>
  <c r="C7" i="64"/>
  <c r="B7" i="64"/>
  <c r="A6" i="64"/>
  <c r="K6" i="64"/>
  <c r="J6" i="64"/>
  <c r="I6" i="64"/>
  <c r="H6" i="64"/>
  <c r="G6" i="64"/>
  <c r="F6" i="64"/>
  <c r="E6" i="64"/>
  <c r="D6" i="64"/>
  <c r="C6" i="64"/>
  <c r="B6" i="64"/>
  <c r="A5" i="64"/>
  <c r="K5" i="64"/>
  <c r="J5" i="64"/>
  <c r="I5" i="64"/>
  <c r="H5" i="64"/>
  <c r="G5" i="64"/>
  <c r="F5" i="64"/>
  <c r="E5" i="64"/>
  <c r="D5" i="64"/>
  <c r="C5" i="64"/>
  <c r="B5" i="64"/>
  <c r="A4" i="64"/>
  <c r="K4" i="64"/>
  <c r="J4" i="64"/>
  <c r="I4" i="64"/>
  <c r="H4" i="64"/>
  <c r="G4" i="64"/>
  <c r="F4" i="64"/>
  <c r="E4" i="64"/>
  <c r="D4" i="64"/>
  <c r="C4" i="64"/>
  <c r="B4" i="64"/>
  <c r="A3" i="81"/>
  <c r="K3" i="81"/>
  <c r="J3" i="81"/>
  <c r="I3" i="81"/>
  <c r="H3" i="81"/>
  <c r="G3" i="81"/>
  <c r="F3" i="81"/>
  <c r="E3" i="81"/>
  <c r="D3" i="81"/>
  <c r="C3" i="81"/>
  <c r="B3" i="81"/>
  <c r="A3" i="80"/>
  <c r="K3" i="80"/>
  <c r="J3" i="80"/>
  <c r="I3" i="80"/>
  <c r="H3" i="80"/>
  <c r="G3" i="80"/>
  <c r="F3" i="80"/>
  <c r="E3" i="80"/>
  <c r="D3" i="80"/>
  <c r="C3" i="80"/>
  <c r="B3" i="80"/>
  <c r="A3" i="78"/>
  <c r="K3" i="78"/>
  <c r="J3" i="78"/>
  <c r="I3" i="78"/>
  <c r="H3" i="78"/>
  <c r="G3" i="78"/>
  <c r="F3" i="78"/>
  <c r="E3" i="78"/>
  <c r="D3" i="78"/>
  <c r="C3" i="78"/>
  <c r="B3" i="78"/>
  <c r="A3" i="77"/>
  <c r="K3" i="77"/>
  <c r="J3" i="77"/>
  <c r="I3" i="77"/>
  <c r="H3" i="77"/>
  <c r="G3" i="77"/>
  <c r="F3" i="77"/>
  <c r="E3" i="77"/>
  <c r="D3" i="77"/>
  <c r="C3" i="77"/>
  <c r="B3" i="77"/>
  <c r="A43" i="73"/>
  <c r="F43" i="73"/>
  <c r="G43" i="73"/>
  <c r="H43" i="73"/>
  <c r="I43" i="73"/>
  <c r="J43" i="73"/>
  <c r="K43" i="73"/>
  <c r="K169" i="73"/>
  <c r="J169" i="73"/>
  <c r="I169" i="73"/>
  <c r="H169" i="73"/>
  <c r="G169" i="73"/>
  <c r="F169" i="73"/>
  <c r="A169" i="73"/>
  <c r="K168" i="73"/>
  <c r="J168" i="73"/>
  <c r="I168" i="73"/>
  <c r="H168" i="73"/>
  <c r="G168" i="73"/>
  <c r="F168" i="73"/>
  <c r="A168" i="73"/>
  <c r="K167" i="73"/>
  <c r="J167" i="73"/>
  <c r="I167" i="73"/>
  <c r="H167" i="73"/>
  <c r="G167" i="73"/>
  <c r="F167" i="73"/>
  <c r="A167" i="73"/>
  <c r="K166" i="73"/>
  <c r="J166" i="73"/>
  <c r="I166" i="73"/>
  <c r="H166" i="73"/>
  <c r="G166" i="73"/>
  <c r="F166" i="73"/>
  <c r="A166" i="73"/>
  <c r="K165" i="73"/>
  <c r="J165" i="73"/>
  <c r="I165" i="73"/>
  <c r="H165" i="73"/>
  <c r="G165" i="73"/>
  <c r="F165" i="73"/>
  <c r="A165" i="73"/>
  <c r="K164" i="73"/>
  <c r="J164" i="73"/>
  <c r="I164" i="73"/>
  <c r="H164" i="73"/>
  <c r="G164" i="73"/>
  <c r="F164" i="73"/>
  <c r="A164" i="73"/>
  <c r="K163" i="73"/>
  <c r="J163" i="73"/>
  <c r="I163" i="73"/>
  <c r="H163" i="73"/>
  <c r="G163" i="73"/>
  <c r="F163" i="73"/>
  <c r="A163" i="73"/>
  <c r="K162" i="73"/>
  <c r="J162" i="73"/>
  <c r="I162" i="73"/>
  <c r="H162" i="73"/>
  <c r="G162" i="73"/>
  <c r="F162" i="73"/>
  <c r="A162" i="73"/>
  <c r="K161" i="73"/>
  <c r="J161" i="73"/>
  <c r="I161" i="73"/>
  <c r="H161" i="73"/>
  <c r="G161" i="73"/>
  <c r="F161" i="73"/>
  <c r="A161" i="73"/>
  <c r="K160" i="73"/>
  <c r="J160" i="73"/>
  <c r="I160" i="73"/>
  <c r="H160" i="73"/>
  <c r="G160" i="73"/>
  <c r="F160" i="73"/>
  <c r="A160" i="73"/>
  <c r="K159" i="73"/>
  <c r="J159" i="73"/>
  <c r="I159" i="73"/>
  <c r="H159" i="73"/>
  <c r="G159" i="73"/>
  <c r="F159" i="73"/>
  <c r="A159" i="73"/>
  <c r="K158" i="73"/>
  <c r="J158" i="73"/>
  <c r="I158" i="73"/>
  <c r="H158" i="73"/>
  <c r="G158" i="73"/>
  <c r="F158" i="73"/>
  <c r="A158" i="73"/>
  <c r="K157" i="73"/>
  <c r="J157" i="73"/>
  <c r="I157" i="73"/>
  <c r="H157" i="73"/>
  <c r="G157" i="73"/>
  <c r="F157" i="73"/>
  <c r="A157" i="73"/>
  <c r="K156" i="73"/>
  <c r="J156" i="73"/>
  <c r="I156" i="73"/>
  <c r="H156" i="73"/>
  <c r="G156" i="73"/>
  <c r="F156" i="73"/>
  <c r="A156" i="73"/>
  <c r="K155" i="73"/>
  <c r="J155" i="73"/>
  <c r="I155" i="73"/>
  <c r="H155" i="73"/>
  <c r="G155" i="73"/>
  <c r="F155" i="73"/>
  <c r="A155" i="73"/>
  <c r="K154" i="73"/>
  <c r="J154" i="73"/>
  <c r="I154" i="73"/>
  <c r="H154" i="73"/>
  <c r="G154" i="73"/>
  <c r="F154" i="73"/>
  <c r="A154" i="73"/>
  <c r="K153" i="73"/>
  <c r="J153" i="73"/>
  <c r="I153" i="73"/>
  <c r="H153" i="73"/>
  <c r="G153" i="73"/>
  <c r="F153" i="73"/>
  <c r="A153" i="73"/>
  <c r="K152" i="73"/>
  <c r="J152" i="73"/>
  <c r="I152" i="73"/>
  <c r="H152" i="73"/>
  <c r="G152" i="73"/>
  <c r="F152" i="73"/>
  <c r="A152" i="73"/>
  <c r="K151" i="73"/>
  <c r="J151" i="73"/>
  <c r="I151" i="73"/>
  <c r="H151" i="73"/>
  <c r="G151" i="73"/>
  <c r="F151" i="73"/>
  <c r="A151" i="73"/>
  <c r="K150" i="73"/>
  <c r="J150" i="73"/>
  <c r="I150" i="73"/>
  <c r="H150" i="73"/>
  <c r="G150" i="73"/>
  <c r="F150" i="73"/>
  <c r="A150" i="73"/>
  <c r="K149" i="73"/>
  <c r="J149" i="73"/>
  <c r="I149" i="73"/>
  <c r="H149" i="73"/>
  <c r="G149" i="73"/>
  <c r="F149" i="73"/>
  <c r="A149" i="73"/>
  <c r="K148" i="73"/>
  <c r="J148" i="73"/>
  <c r="I148" i="73"/>
  <c r="H148" i="73"/>
  <c r="G148" i="73"/>
  <c r="F148" i="73"/>
  <c r="A148" i="73"/>
  <c r="K147" i="73"/>
  <c r="J147" i="73"/>
  <c r="I147" i="73"/>
  <c r="H147" i="73"/>
  <c r="G147" i="73"/>
  <c r="F147" i="73"/>
  <c r="A147" i="73"/>
  <c r="K146" i="73"/>
  <c r="J146" i="73"/>
  <c r="I146" i="73"/>
  <c r="H146" i="73"/>
  <c r="G146" i="73"/>
  <c r="F146" i="73"/>
  <c r="A146" i="73"/>
  <c r="K145" i="73"/>
  <c r="J145" i="73"/>
  <c r="I145" i="73"/>
  <c r="H145" i="73"/>
  <c r="G145" i="73"/>
  <c r="F145" i="73"/>
  <c r="A145" i="73"/>
  <c r="K144" i="73"/>
  <c r="J144" i="73"/>
  <c r="I144" i="73"/>
  <c r="H144" i="73"/>
  <c r="G144" i="73"/>
  <c r="F144" i="73"/>
  <c r="A144" i="73"/>
  <c r="K143" i="73"/>
  <c r="J143" i="73"/>
  <c r="I143" i="73"/>
  <c r="H143" i="73"/>
  <c r="G143" i="73"/>
  <c r="F143" i="73"/>
  <c r="A143" i="73"/>
  <c r="K142" i="73"/>
  <c r="J142" i="73"/>
  <c r="I142" i="73"/>
  <c r="H142" i="73"/>
  <c r="G142" i="73"/>
  <c r="F142" i="73"/>
  <c r="A142" i="73"/>
  <c r="K141" i="73"/>
  <c r="J141" i="73"/>
  <c r="I141" i="73"/>
  <c r="H141" i="73"/>
  <c r="G141" i="73"/>
  <c r="F141" i="73"/>
  <c r="A141" i="73"/>
  <c r="K140" i="73"/>
  <c r="J140" i="73"/>
  <c r="I140" i="73"/>
  <c r="H140" i="73"/>
  <c r="G140" i="73"/>
  <c r="F140" i="73"/>
  <c r="A140" i="73"/>
  <c r="K139" i="73"/>
  <c r="J139" i="73"/>
  <c r="I139" i="73"/>
  <c r="H139" i="73"/>
  <c r="G139" i="73"/>
  <c r="F139" i="73"/>
  <c r="A139" i="73"/>
  <c r="K138" i="73"/>
  <c r="J138" i="73"/>
  <c r="I138" i="73"/>
  <c r="H138" i="73"/>
  <c r="G138" i="73"/>
  <c r="F138" i="73"/>
  <c r="A138" i="73"/>
  <c r="K137" i="73"/>
  <c r="J137" i="73"/>
  <c r="I137" i="73"/>
  <c r="H137" i="73"/>
  <c r="G137" i="73"/>
  <c r="F137" i="73"/>
  <c r="A137" i="73"/>
  <c r="K136" i="73"/>
  <c r="J136" i="73"/>
  <c r="I136" i="73"/>
  <c r="H136" i="73"/>
  <c r="G136" i="73"/>
  <c r="F136" i="73"/>
  <c r="A136" i="73"/>
  <c r="K135" i="73"/>
  <c r="J135" i="73"/>
  <c r="I135" i="73"/>
  <c r="H135" i="73"/>
  <c r="G135" i="73"/>
  <c r="F135" i="73"/>
  <c r="A135" i="73"/>
  <c r="K134" i="73"/>
  <c r="J134" i="73"/>
  <c r="I134" i="73"/>
  <c r="H134" i="73"/>
  <c r="G134" i="73"/>
  <c r="F134" i="73"/>
  <c r="A134" i="73"/>
  <c r="K133" i="73"/>
  <c r="J133" i="73"/>
  <c r="I133" i="73"/>
  <c r="H133" i="73"/>
  <c r="G133" i="73"/>
  <c r="F133" i="73"/>
  <c r="A133" i="73"/>
  <c r="K132" i="73"/>
  <c r="J132" i="73"/>
  <c r="I132" i="73"/>
  <c r="H132" i="73"/>
  <c r="G132" i="73"/>
  <c r="F132" i="73"/>
  <c r="A132" i="73"/>
  <c r="K131" i="73"/>
  <c r="J131" i="73"/>
  <c r="I131" i="73"/>
  <c r="H131" i="73"/>
  <c r="G131" i="73"/>
  <c r="F131" i="73"/>
  <c r="A131" i="73"/>
  <c r="K130" i="73"/>
  <c r="J130" i="73"/>
  <c r="I130" i="73"/>
  <c r="H130" i="73"/>
  <c r="G130" i="73"/>
  <c r="F130" i="73"/>
  <c r="A130" i="73"/>
  <c r="K129" i="73"/>
  <c r="J129" i="73"/>
  <c r="I129" i="73"/>
  <c r="H129" i="73"/>
  <c r="G129" i="73"/>
  <c r="F129" i="73"/>
  <c r="A129" i="73"/>
  <c r="K128" i="73"/>
  <c r="J128" i="73"/>
  <c r="I128" i="73"/>
  <c r="H128" i="73"/>
  <c r="G128" i="73"/>
  <c r="F128" i="73"/>
  <c r="A128" i="73"/>
  <c r="K127" i="73"/>
  <c r="J127" i="73"/>
  <c r="I127" i="73"/>
  <c r="H127" i="73"/>
  <c r="G127" i="73"/>
  <c r="F127" i="73"/>
  <c r="A127" i="73"/>
  <c r="K126" i="73"/>
  <c r="J126" i="73"/>
  <c r="I126" i="73"/>
  <c r="H126" i="73"/>
  <c r="G126" i="73"/>
  <c r="F126" i="73"/>
  <c r="A126" i="73"/>
  <c r="K125" i="73"/>
  <c r="J125" i="73"/>
  <c r="I125" i="73"/>
  <c r="H125" i="73"/>
  <c r="G125" i="73"/>
  <c r="F125" i="73"/>
  <c r="A125" i="73"/>
  <c r="K124" i="73"/>
  <c r="J124" i="73"/>
  <c r="I124" i="73"/>
  <c r="H124" i="73"/>
  <c r="G124" i="73"/>
  <c r="F124" i="73"/>
  <c r="A124" i="73"/>
  <c r="K123" i="73"/>
  <c r="J123" i="73"/>
  <c r="I123" i="73"/>
  <c r="H123" i="73"/>
  <c r="G123" i="73"/>
  <c r="F123" i="73"/>
  <c r="A123" i="73"/>
  <c r="K122" i="73"/>
  <c r="J122" i="73"/>
  <c r="I122" i="73"/>
  <c r="H122" i="73"/>
  <c r="G122" i="73"/>
  <c r="F122" i="73"/>
  <c r="A122" i="73"/>
  <c r="K121" i="73"/>
  <c r="J121" i="73"/>
  <c r="I121" i="73"/>
  <c r="H121" i="73"/>
  <c r="G121" i="73"/>
  <c r="F121" i="73"/>
  <c r="A121" i="73"/>
  <c r="K120" i="73"/>
  <c r="J120" i="73"/>
  <c r="I120" i="73"/>
  <c r="H120" i="73"/>
  <c r="G120" i="73"/>
  <c r="F120" i="73"/>
  <c r="A120" i="73"/>
  <c r="K119" i="73"/>
  <c r="J119" i="73"/>
  <c r="I119" i="73"/>
  <c r="H119" i="73"/>
  <c r="G119" i="73"/>
  <c r="F119" i="73"/>
  <c r="A119" i="73"/>
  <c r="K118" i="73"/>
  <c r="J118" i="73"/>
  <c r="I118" i="73"/>
  <c r="H118" i="73"/>
  <c r="G118" i="73"/>
  <c r="F118" i="73"/>
  <c r="A118" i="73"/>
  <c r="K117" i="73"/>
  <c r="J117" i="73"/>
  <c r="I117" i="73"/>
  <c r="H117" i="73"/>
  <c r="G117" i="73"/>
  <c r="F117" i="73"/>
  <c r="A117" i="73"/>
  <c r="K116" i="73"/>
  <c r="J116" i="73"/>
  <c r="I116" i="73"/>
  <c r="H116" i="73"/>
  <c r="G116" i="73"/>
  <c r="F116" i="73"/>
  <c r="A116" i="73"/>
  <c r="K115" i="73"/>
  <c r="J115" i="73"/>
  <c r="I115" i="73"/>
  <c r="H115" i="73"/>
  <c r="G115" i="73"/>
  <c r="F115" i="73"/>
  <c r="A115" i="73"/>
  <c r="K114" i="73"/>
  <c r="J114" i="73"/>
  <c r="I114" i="73"/>
  <c r="H114" i="73"/>
  <c r="G114" i="73"/>
  <c r="F114" i="73"/>
  <c r="A114" i="73"/>
  <c r="K113" i="73"/>
  <c r="J113" i="73"/>
  <c r="I113" i="73"/>
  <c r="H113" i="73"/>
  <c r="G113" i="73"/>
  <c r="F113" i="73"/>
  <c r="A113" i="73"/>
  <c r="K112" i="73"/>
  <c r="J112" i="73"/>
  <c r="I112" i="73"/>
  <c r="H112" i="73"/>
  <c r="G112" i="73"/>
  <c r="F112" i="73"/>
  <c r="A112" i="73"/>
  <c r="K111" i="73"/>
  <c r="J111" i="73"/>
  <c r="I111" i="73"/>
  <c r="H111" i="73"/>
  <c r="G111" i="73"/>
  <c r="F111" i="73"/>
  <c r="A111" i="73"/>
  <c r="K110" i="73"/>
  <c r="J110" i="73"/>
  <c r="I110" i="73"/>
  <c r="H110" i="73"/>
  <c r="G110" i="73"/>
  <c r="F110" i="73"/>
  <c r="A110" i="73"/>
  <c r="K109" i="73"/>
  <c r="J109" i="73"/>
  <c r="I109" i="73"/>
  <c r="H109" i="73"/>
  <c r="G109" i="73"/>
  <c r="F109" i="73"/>
  <c r="A109" i="73"/>
  <c r="K108" i="73"/>
  <c r="J108" i="73"/>
  <c r="I108" i="73"/>
  <c r="H108" i="73"/>
  <c r="G108" i="73"/>
  <c r="F108" i="73"/>
  <c r="A108" i="73"/>
  <c r="K107" i="73"/>
  <c r="J107" i="73"/>
  <c r="I107" i="73"/>
  <c r="H107" i="73"/>
  <c r="G107" i="73"/>
  <c r="F107" i="73"/>
  <c r="A107" i="73"/>
  <c r="K106" i="73"/>
  <c r="J106" i="73"/>
  <c r="I106" i="73"/>
  <c r="H106" i="73"/>
  <c r="G106" i="73"/>
  <c r="F106" i="73"/>
  <c r="A106" i="73"/>
  <c r="K105" i="73"/>
  <c r="J105" i="73"/>
  <c r="I105" i="73"/>
  <c r="H105" i="73"/>
  <c r="G105" i="73"/>
  <c r="F105" i="73"/>
  <c r="A105" i="73"/>
  <c r="K104" i="73"/>
  <c r="J104" i="73"/>
  <c r="I104" i="73"/>
  <c r="H104" i="73"/>
  <c r="G104" i="73"/>
  <c r="F104" i="73"/>
  <c r="A104" i="73"/>
  <c r="K103" i="73"/>
  <c r="J103" i="73"/>
  <c r="I103" i="73"/>
  <c r="H103" i="73"/>
  <c r="G103" i="73"/>
  <c r="F103" i="73"/>
  <c r="A103" i="73"/>
  <c r="K102" i="73"/>
  <c r="J102" i="73"/>
  <c r="I102" i="73"/>
  <c r="H102" i="73"/>
  <c r="G102" i="73"/>
  <c r="F102" i="73"/>
  <c r="A102" i="73"/>
  <c r="K101" i="73"/>
  <c r="J101" i="73"/>
  <c r="I101" i="73"/>
  <c r="H101" i="73"/>
  <c r="G101" i="73"/>
  <c r="F101" i="73"/>
  <c r="A101" i="73"/>
  <c r="K100" i="73"/>
  <c r="J100" i="73"/>
  <c r="I100" i="73"/>
  <c r="H100" i="73"/>
  <c r="G100" i="73"/>
  <c r="F100" i="73"/>
  <c r="A100" i="73"/>
  <c r="K99" i="73"/>
  <c r="J99" i="73"/>
  <c r="I99" i="73"/>
  <c r="H99" i="73"/>
  <c r="G99" i="73"/>
  <c r="F99" i="73"/>
  <c r="A99" i="73"/>
  <c r="K98" i="73"/>
  <c r="J98" i="73"/>
  <c r="I98" i="73"/>
  <c r="H98" i="73"/>
  <c r="G98" i="73"/>
  <c r="F98" i="73"/>
  <c r="A98" i="73"/>
  <c r="K97" i="73"/>
  <c r="J97" i="73"/>
  <c r="I97" i="73"/>
  <c r="H97" i="73"/>
  <c r="G97" i="73"/>
  <c r="F97" i="73"/>
  <c r="A97" i="73"/>
  <c r="K96" i="73"/>
  <c r="J96" i="73"/>
  <c r="I96" i="73"/>
  <c r="H96" i="73"/>
  <c r="G96" i="73"/>
  <c r="F96" i="73"/>
  <c r="A96" i="73"/>
  <c r="K95" i="73"/>
  <c r="J95" i="73"/>
  <c r="I95" i="73"/>
  <c r="H95" i="73"/>
  <c r="G95" i="73"/>
  <c r="F95" i="73"/>
  <c r="A95" i="73"/>
  <c r="K94" i="73"/>
  <c r="J94" i="73"/>
  <c r="I94" i="73"/>
  <c r="H94" i="73"/>
  <c r="G94" i="73"/>
  <c r="F94" i="73"/>
  <c r="A94" i="73"/>
  <c r="K93" i="73"/>
  <c r="J93" i="73"/>
  <c r="I93" i="73"/>
  <c r="H93" i="73"/>
  <c r="G93" i="73"/>
  <c r="F93" i="73"/>
  <c r="A93" i="73"/>
  <c r="K92" i="73"/>
  <c r="J92" i="73"/>
  <c r="I92" i="73"/>
  <c r="H92" i="73"/>
  <c r="G92" i="73"/>
  <c r="F92" i="73"/>
  <c r="A92" i="73"/>
  <c r="K91" i="73"/>
  <c r="J91" i="73"/>
  <c r="I91" i="73"/>
  <c r="H91" i="73"/>
  <c r="G91" i="73"/>
  <c r="F91" i="73"/>
  <c r="A91" i="73"/>
  <c r="K90" i="73"/>
  <c r="J90" i="73"/>
  <c r="I90" i="73"/>
  <c r="H90" i="73"/>
  <c r="G90" i="73"/>
  <c r="F90" i="73"/>
  <c r="A90" i="73"/>
  <c r="K89" i="73"/>
  <c r="J89" i="73"/>
  <c r="I89" i="73"/>
  <c r="H89" i="73"/>
  <c r="G89" i="73"/>
  <c r="F89" i="73"/>
  <c r="A89" i="73"/>
  <c r="K88" i="73"/>
  <c r="J88" i="73"/>
  <c r="I88" i="73"/>
  <c r="H88" i="73"/>
  <c r="G88" i="73"/>
  <c r="F88" i="73"/>
  <c r="A88" i="73"/>
  <c r="K87" i="73"/>
  <c r="J87" i="73"/>
  <c r="I87" i="73"/>
  <c r="H87" i="73"/>
  <c r="G87" i="73"/>
  <c r="F87" i="73"/>
  <c r="A87" i="73"/>
  <c r="K86" i="73"/>
  <c r="J86" i="73"/>
  <c r="I86" i="73"/>
  <c r="H86" i="73"/>
  <c r="G86" i="73"/>
  <c r="F86" i="73"/>
  <c r="A86" i="73"/>
  <c r="K85" i="73"/>
  <c r="J85" i="73"/>
  <c r="I85" i="73"/>
  <c r="H85" i="73"/>
  <c r="G85" i="73"/>
  <c r="F85" i="73"/>
  <c r="A85" i="73"/>
  <c r="K84" i="73"/>
  <c r="J84" i="73"/>
  <c r="I84" i="73"/>
  <c r="H84" i="73"/>
  <c r="G84" i="73"/>
  <c r="F84" i="73"/>
  <c r="A84" i="73"/>
  <c r="K83" i="73"/>
  <c r="J83" i="73"/>
  <c r="I83" i="73"/>
  <c r="H83" i="73"/>
  <c r="G83" i="73"/>
  <c r="F83" i="73"/>
  <c r="A83" i="73"/>
  <c r="K82" i="73"/>
  <c r="J82" i="73"/>
  <c r="I82" i="73"/>
  <c r="H82" i="73"/>
  <c r="G82" i="73"/>
  <c r="F82" i="73"/>
  <c r="A82" i="73"/>
  <c r="K81" i="73"/>
  <c r="J81" i="73"/>
  <c r="I81" i="73"/>
  <c r="H81" i="73"/>
  <c r="G81" i="73"/>
  <c r="F81" i="73"/>
  <c r="A81" i="73"/>
  <c r="K80" i="73"/>
  <c r="J80" i="73"/>
  <c r="I80" i="73"/>
  <c r="H80" i="73"/>
  <c r="G80" i="73"/>
  <c r="F80" i="73"/>
  <c r="A80" i="73"/>
  <c r="K79" i="73"/>
  <c r="J79" i="73"/>
  <c r="I79" i="73"/>
  <c r="H79" i="73"/>
  <c r="G79" i="73"/>
  <c r="F79" i="73"/>
  <c r="A79" i="73"/>
  <c r="K78" i="73"/>
  <c r="J78" i="73"/>
  <c r="I78" i="73"/>
  <c r="H78" i="73"/>
  <c r="G78" i="73"/>
  <c r="F78" i="73"/>
  <c r="A78" i="73"/>
  <c r="K77" i="73"/>
  <c r="J77" i="73"/>
  <c r="I77" i="73"/>
  <c r="H77" i="73"/>
  <c r="G77" i="73"/>
  <c r="F77" i="73"/>
  <c r="A77" i="73"/>
  <c r="K76" i="73"/>
  <c r="J76" i="73"/>
  <c r="I76" i="73"/>
  <c r="H76" i="73"/>
  <c r="G76" i="73"/>
  <c r="F76" i="73"/>
  <c r="A76" i="73"/>
  <c r="K75" i="73"/>
  <c r="J75" i="73"/>
  <c r="I75" i="73"/>
  <c r="H75" i="73"/>
  <c r="G75" i="73"/>
  <c r="F75" i="73"/>
  <c r="A75" i="73"/>
  <c r="K74" i="73"/>
  <c r="J74" i="73"/>
  <c r="I74" i="73"/>
  <c r="H74" i="73"/>
  <c r="G74" i="73"/>
  <c r="F74" i="73"/>
  <c r="A74" i="73"/>
  <c r="K73" i="73"/>
  <c r="J73" i="73"/>
  <c r="I73" i="73"/>
  <c r="H73" i="73"/>
  <c r="G73" i="73"/>
  <c r="F73" i="73"/>
  <c r="A73" i="73"/>
  <c r="K72" i="73"/>
  <c r="J72" i="73"/>
  <c r="I72" i="73"/>
  <c r="H72" i="73"/>
  <c r="G72" i="73"/>
  <c r="F72" i="73"/>
  <c r="A72" i="73"/>
  <c r="K71" i="73"/>
  <c r="J71" i="73"/>
  <c r="I71" i="73"/>
  <c r="H71" i="73"/>
  <c r="G71" i="73"/>
  <c r="F71" i="73"/>
  <c r="A71" i="73"/>
  <c r="K70" i="73"/>
  <c r="J70" i="73"/>
  <c r="I70" i="73"/>
  <c r="H70" i="73"/>
  <c r="G70" i="73"/>
  <c r="F70" i="73"/>
  <c r="A70" i="73"/>
  <c r="K69" i="73"/>
  <c r="J69" i="73"/>
  <c r="I69" i="73"/>
  <c r="H69" i="73"/>
  <c r="G69" i="73"/>
  <c r="F69" i="73"/>
  <c r="A69" i="73"/>
  <c r="K68" i="73"/>
  <c r="J68" i="73"/>
  <c r="I68" i="73"/>
  <c r="H68" i="73"/>
  <c r="G68" i="73"/>
  <c r="F68" i="73"/>
  <c r="A68" i="73"/>
  <c r="K67" i="73"/>
  <c r="J67" i="73"/>
  <c r="I67" i="73"/>
  <c r="H67" i="73"/>
  <c r="G67" i="73"/>
  <c r="F67" i="73"/>
  <c r="A67" i="73"/>
  <c r="K66" i="73"/>
  <c r="J66" i="73"/>
  <c r="I66" i="73"/>
  <c r="H66" i="73"/>
  <c r="G66" i="73"/>
  <c r="F66" i="73"/>
  <c r="A66" i="73"/>
  <c r="K65" i="73"/>
  <c r="J65" i="73"/>
  <c r="I65" i="73"/>
  <c r="H65" i="73"/>
  <c r="G65" i="73"/>
  <c r="F65" i="73"/>
  <c r="A65" i="73"/>
  <c r="K64" i="73"/>
  <c r="J64" i="73"/>
  <c r="I64" i="73"/>
  <c r="H64" i="73"/>
  <c r="G64" i="73"/>
  <c r="F64" i="73"/>
  <c r="A64" i="73"/>
  <c r="K63" i="73"/>
  <c r="J63" i="73"/>
  <c r="I63" i="73"/>
  <c r="H63" i="73"/>
  <c r="G63" i="73"/>
  <c r="F63" i="73"/>
  <c r="A63" i="73"/>
  <c r="K62" i="73"/>
  <c r="J62" i="73"/>
  <c r="I62" i="73"/>
  <c r="H62" i="73"/>
  <c r="G62" i="73"/>
  <c r="F62" i="73"/>
  <c r="A62" i="73"/>
  <c r="K60" i="73"/>
  <c r="J60" i="73"/>
  <c r="I60" i="73"/>
  <c r="H60" i="73"/>
  <c r="G60" i="73"/>
  <c r="F60" i="73"/>
  <c r="A60" i="73"/>
  <c r="K59" i="73"/>
  <c r="J59" i="73"/>
  <c r="I59" i="73"/>
  <c r="H59" i="73"/>
  <c r="G59" i="73"/>
  <c r="F59" i="73"/>
  <c r="A59" i="73"/>
  <c r="K58" i="73"/>
  <c r="J58" i="73"/>
  <c r="I58" i="73"/>
  <c r="H58" i="73"/>
  <c r="G58" i="73"/>
  <c r="F58" i="73"/>
  <c r="A58" i="73"/>
  <c r="K57" i="73"/>
  <c r="J57" i="73"/>
  <c r="I57" i="73"/>
  <c r="H57" i="73"/>
  <c r="G57" i="73"/>
  <c r="F57" i="73"/>
  <c r="A57" i="73"/>
  <c r="K56" i="73"/>
  <c r="J56" i="73"/>
  <c r="I56" i="73"/>
  <c r="H56" i="73"/>
  <c r="G56" i="73"/>
  <c r="F56" i="73"/>
  <c r="A56" i="73"/>
  <c r="K55" i="73"/>
  <c r="J55" i="73"/>
  <c r="I55" i="73"/>
  <c r="H55" i="73"/>
  <c r="G55" i="73"/>
  <c r="F55" i="73"/>
  <c r="A55" i="73"/>
  <c r="K54" i="73"/>
  <c r="J54" i="73"/>
  <c r="I54" i="73"/>
  <c r="H54" i="73"/>
  <c r="G54" i="73"/>
  <c r="F54" i="73"/>
  <c r="A54" i="73"/>
  <c r="K53" i="73"/>
  <c r="J53" i="73"/>
  <c r="I53" i="73"/>
  <c r="H53" i="73"/>
  <c r="G53" i="73"/>
  <c r="F53" i="73"/>
  <c r="A53" i="73"/>
  <c r="K52" i="73"/>
  <c r="J52" i="73"/>
  <c r="I52" i="73"/>
  <c r="H52" i="73"/>
  <c r="G52" i="73"/>
  <c r="F52" i="73"/>
  <c r="A52" i="73"/>
  <c r="K51" i="73"/>
  <c r="J51" i="73"/>
  <c r="I51" i="73"/>
  <c r="H51" i="73"/>
  <c r="G51" i="73"/>
  <c r="F51" i="73"/>
  <c r="A51" i="73"/>
  <c r="K50" i="73"/>
  <c r="J50" i="73"/>
  <c r="I50" i="73"/>
  <c r="H50" i="73"/>
  <c r="G50" i="73"/>
  <c r="F50" i="73"/>
  <c r="A50" i="73"/>
  <c r="K49" i="73"/>
  <c r="J49" i="73"/>
  <c r="I49" i="73"/>
  <c r="H49" i="73"/>
  <c r="G49" i="73"/>
  <c r="F49" i="73"/>
  <c r="A49" i="73"/>
  <c r="K48" i="73"/>
  <c r="J48" i="73"/>
  <c r="I48" i="73"/>
  <c r="H48" i="73"/>
  <c r="G48" i="73"/>
  <c r="F48" i="73"/>
  <c r="A48" i="73"/>
  <c r="K47" i="73"/>
  <c r="J47" i="73"/>
  <c r="I47" i="73"/>
  <c r="H47" i="73"/>
  <c r="G47" i="73"/>
  <c r="F47" i="73"/>
  <c r="A47" i="73"/>
  <c r="K46" i="73"/>
  <c r="J46" i="73"/>
  <c r="I46" i="73"/>
  <c r="H46" i="73"/>
  <c r="G46" i="73"/>
  <c r="F46" i="73"/>
  <c r="A46" i="73"/>
  <c r="K45" i="73"/>
  <c r="J45" i="73"/>
  <c r="I45" i="73"/>
  <c r="H45" i="73"/>
  <c r="G45" i="73"/>
  <c r="F45" i="73"/>
  <c r="A45" i="73"/>
  <c r="K44" i="73"/>
  <c r="J44" i="73"/>
  <c r="I44" i="73"/>
  <c r="H44" i="73"/>
  <c r="G44" i="73"/>
  <c r="F44" i="73"/>
  <c r="A44" i="73"/>
  <c r="K42" i="73"/>
  <c r="J42" i="73"/>
  <c r="I42" i="73"/>
  <c r="H42" i="73"/>
  <c r="G42" i="73"/>
  <c r="F42" i="73"/>
  <c r="A42" i="73"/>
  <c r="K41" i="73"/>
  <c r="J41" i="73"/>
  <c r="I41" i="73"/>
  <c r="H41" i="73"/>
  <c r="G41" i="73"/>
  <c r="F41" i="73"/>
  <c r="A41" i="73"/>
  <c r="K40" i="73"/>
  <c r="J40" i="73"/>
  <c r="I40" i="73"/>
  <c r="H40" i="73"/>
  <c r="G40" i="73"/>
  <c r="F40" i="73"/>
  <c r="A40" i="73"/>
  <c r="K39" i="73"/>
  <c r="J39" i="73"/>
  <c r="I39" i="73"/>
  <c r="H39" i="73"/>
  <c r="G39" i="73"/>
  <c r="F39" i="73"/>
  <c r="A39" i="73"/>
  <c r="K38" i="73"/>
  <c r="J38" i="73"/>
  <c r="I38" i="73"/>
  <c r="H38" i="73"/>
  <c r="G38" i="73"/>
  <c r="F38" i="73"/>
  <c r="A38" i="73"/>
  <c r="K37" i="73"/>
  <c r="J37" i="73"/>
  <c r="I37" i="73"/>
  <c r="H37" i="73"/>
  <c r="G37" i="73"/>
  <c r="F37" i="73"/>
  <c r="A37" i="73"/>
  <c r="K36" i="73"/>
  <c r="J36" i="73"/>
  <c r="I36" i="73"/>
  <c r="H36" i="73"/>
  <c r="G36" i="73"/>
  <c r="F36" i="73"/>
  <c r="A36" i="73"/>
  <c r="K35" i="73"/>
  <c r="J35" i="73"/>
  <c r="I35" i="73"/>
  <c r="H35" i="73"/>
  <c r="G35" i="73"/>
  <c r="F35" i="73"/>
  <c r="A35" i="73"/>
  <c r="K34" i="73"/>
  <c r="J34" i="73"/>
  <c r="I34" i="73"/>
  <c r="H34" i="73"/>
  <c r="G34" i="73"/>
  <c r="F34" i="73"/>
  <c r="A34" i="73"/>
  <c r="K33" i="73"/>
  <c r="J33" i="73"/>
  <c r="I33" i="73"/>
  <c r="H33" i="73"/>
  <c r="G33" i="73"/>
  <c r="F33" i="73"/>
  <c r="A33" i="73"/>
  <c r="K32" i="73"/>
  <c r="J32" i="73"/>
  <c r="I32" i="73"/>
  <c r="H32" i="73"/>
  <c r="G32" i="73"/>
  <c r="F32" i="73"/>
  <c r="A32" i="73"/>
  <c r="K31" i="73"/>
  <c r="J31" i="73"/>
  <c r="I31" i="73"/>
  <c r="H31" i="73"/>
  <c r="G31" i="73"/>
  <c r="F31" i="73"/>
  <c r="A31" i="73"/>
  <c r="K30" i="73"/>
  <c r="J30" i="73"/>
  <c r="I30" i="73"/>
  <c r="H30" i="73"/>
  <c r="G30" i="73"/>
  <c r="F30" i="73"/>
  <c r="A30" i="73"/>
  <c r="K29" i="73"/>
  <c r="J29" i="73"/>
  <c r="I29" i="73"/>
  <c r="H29" i="73"/>
  <c r="G29" i="73"/>
  <c r="F29" i="73"/>
  <c r="A29" i="73"/>
  <c r="K28" i="73"/>
  <c r="J28" i="73"/>
  <c r="I28" i="73"/>
  <c r="H28" i="73"/>
  <c r="G28" i="73"/>
  <c r="F28" i="73"/>
  <c r="A28" i="73"/>
  <c r="K27" i="73"/>
  <c r="J27" i="73"/>
  <c r="I27" i="73"/>
  <c r="H27" i="73"/>
  <c r="G27" i="73"/>
  <c r="F27" i="73"/>
  <c r="A27" i="73"/>
  <c r="K26" i="73"/>
  <c r="J26" i="73"/>
  <c r="I26" i="73"/>
  <c r="H26" i="73"/>
  <c r="G26" i="73"/>
  <c r="F26" i="73"/>
  <c r="A26" i="73"/>
  <c r="K25" i="73"/>
  <c r="J25" i="73"/>
  <c r="I25" i="73"/>
  <c r="H25" i="73"/>
  <c r="G25" i="73"/>
  <c r="F25" i="73"/>
  <c r="A25" i="73"/>
  <c r="K24" i="73"/>
  <c r="J24" i="73"/>
  <c r="I24" i="73"/>
  <c r="H24" i="73"/>
  <c r="G24" i="73"/>
  <c r="F24" i="73"/>
  <c r="A24" i="73"/>
  <c r="K23" i="73"/>
  <c r="J23" i="73"/>
  <c r="I23" i="73"/>
  <c r="H23" i="73"/>
  <c r="G23" i="73"/>
  <c r="F23" i="73"/>
  <c r="A23" i="73"/>
  <c r="K22" i="73"/>
  <c r="J22" i="73"/>
  <c r="I22" i="73"/>
  <c r="H22" i="73"/>
  <c r="G22" i="73"/>
  <c r="F22" i="73"/>
  <c r="A22" i="73"/>
  <c r="K21" i="73"/>
  <c r="J21" i="73"/>
  <c r="I21" i="73"/>
  <c r="H21" i="73"/>
  <c r="G21" i="73"/>
  <c r="F21" i="73"/>
  <c r="A21" i="73"/>
  <c r="K20" i="73"/>
  <c r="J20" i="73"/>
  <c r="I20" i="73"/>
  <c r="H20" i="73"/>
  <c r="G20" i="73"/>
  <c r="F20" i="73"/>
  <c r="A20" i="73"/>
  <c r="K19" i="73"/>
  <c r="J19" i="73"/>
  <c r="I19" i="73"/>
  <c r="H19" i="73"/>
  <c r="G19" i="73"/>
  <c r="F19" i="73"/>
  <c r="A19" i="73"/>
  <c r="K18" i="73"/>
  <c r="J18" i="73"/>
  <c r="I18" i="73"/>
  <c r="H18" i="73"/>
  <c r="G18" i="73"/>
  <c r="F18" i="73"/>
  <c r="A18" i="73"/>
  <c r="K17" i="73"/>
  <c r="J17" i="73"/>
  <c r="I17" i="73"/>
  <c r="H17" i="73"/>
  <c r="G17" i="73"/>
  <c r="F17" i="73"/>
  <c r="A17" i="73"/>
  <c r="K16" i="73"/>
  <c r="J16" i="73"/>
  <c r="I16" i="73"/>
  <c r="H16" i="73"/>
  <c r="G16" i="73"/>
  <c r="F16" i="73"/>
  <c r="A16" i="73"/>
  <c r="K15" i="73"/>
  <c r="J15" i="73"/>
  <c r="I15" i="73"/>
  <c r="H15" i="73"/>
  <c r="G15" i="73"/>
  <c r="F15" i="73"/>
  <c r="A15" i="73"/>
  <c r="K14" i="73"/>
  <c r="J14" i="73"/>
  <c r="I14" i="73"/>
  <c r="H14" i="73"/>
  <c r="G14" i="73"/>
  <c r="F14" i="73"/>
  <c r="A14" i="73"/>
  <c r="K13" i="73"/>
  <c r="J13" i="73"/>
  <c r="I13" i="73"/>
  <c r="H13" i="73"/>
  <c r="G13" i="73"/>
  <c r="F13" i="73"/>
  <c r="A13" i="73"/>
  <c r="K12" i="73"/>
  <c r="J12" i="73"/>
  <c r="I12" i="73"/>
  <c r="H12" i="73"/>
  <c r="G12" i="73"/>
  <c r="F12" i="73"/>
  <c r="A12" i="73"/>
  <c r="K11" i="73"/>
  <c r="J11" i="73"/>
  <c r="I11" i="73"/>
  <c r="H11" i="73"/>
  <c r="G11" i="73"/>
  <c r="F11" i="73"/>
  <c r="A11" i="73"/>
  <c r="K10" i="73"/>
  <c r="J10" i="73"/>
  <c r="I10" i="73"/>
  <c r="H10" i="73"/>
  <c r="G10" i="73"/>
  <c r="F10" i="73"/>
  <c r="A10" i="73"/>
  <c r="K9" i="73"/>
  <c r="J9" i="73"/>
  <c r="I9" i="73"/>
  <c r="H9" i="73"/>
  <c r="G9" i="73"/>
  <c r="F9" i="73"/>
  <c r="A9" i="73"/>
  <c r="K8" i="73"/>
  <c r="J8" i="73"/>
  <c r="I8" i="73"/>
  <c r="H8" i="73"/>
  <c r="G8" i="73"/>
  <c r="F8" i="73"/>
  <c r="A8" i="73"/>
  <c r="K7" i="73"/>
  <c r="J7" i="73"/>
  <c r="I7" i="73"/>
  <c r="H7" i="73"/>
  <c r="G7" i="73"/>
  <c r="F7" i="73"/>
  <c r="A7" i="73"/>
  <c r="K6" i="73"/>
  <c r="J6" i="73"/>
  <c r="I6" i="73"/>
  <c r="H6" i="73"/>
  <c r="G6" i="73"/>
  <c r="F6" i="73"/>
  <c r="A6" i="73"/>
  <c r="K5" i="73"/>
  <c r="J5" i="73"/>
  <c r="I5" i="73"/>
  <c r="H5" i="73"/>
  <c r="G5" i="73"/>
  <c r="F5" i="73"/>
  <c r="A5" i="73"/>
  <c r="K4" i="73"/>
  <c r="J4" i="73"/>
  <c r="I4" i="73"/>
  <c r="H4" i="73"/>
  <c r="G4" i="73"/>
  <c r="F4" i="73"/>
  <c r="A4" i="73"/>
  <c r="K3" i="73"/>
  <c r="J3" i="73"/>
  <c r="I3" i="73"/>
  <c r="H3" i="73"/>
  <c r="G3" i="73"/>
  <c r="F3" i="73"/>
  <c r="A3" i="73"/>
  <c r="K2" i="73"/>
  <c r="J2" i="73"/>
  <c r="I2" i="73"/>
  <c r="H2" i="73"/>
  <c r="G2" i="73"/>
  <c r="F2" i="73"/>
  <c r="A2" i="73"/>
  <c r="K94" i="68"/>
  <c r="J94" i="68"/>
  <c r="I94" i="68"/>
  <c r="H94" i="68"/>
  <c r="G94" i="68"/>
  <c r="F94" i="68"/>
  <c r="A94" i="68"/>
  <c r="C1" i="62"/>
  <c r="A1" i="62"/>
  <c r="A162" i="62"/>
  <c r="B1" i="62"/>
  <c r="K162" i="62"/>
  <c r="J162" i="62"/>
  <c r="I162" i="62"/>
  <c r="H162" i="62"/>
  <c r="G162" i="62"/>
  <c r="F162" i="62"/>
  <c r="E162" i="62"/>
  <c r="D162" i="62"/>
  <c r="C162" i="62"/>
  <c r="B162" i="62"/>
  <c r="A161" i="62"/>
  <c r="K161" i="62"/>
  <c r="J161" i="62"/>
  <c r="I161" i="62"/>
  <c r="H161" i="62"/>
  <c r="G161" i="62"/>
  <c r="F161" i="62"/>
  <c r="E161" i="62"/>
  <c r="D161" i="62"/>
  <c r="C161" i="62"/>
  <c r="B161" i="62"/>
  <c r="A160" i="62"/>
  <c r="K160" i="62"/>
  <c r="J160" i="62"/>
  <c r="I160" i="62"/>
  <c r="H160" i="62"/>
  <c r="G160" i="62"/>
  <c r="F160" i="62"/>
  <c r="E160" i="62"/>
  <c r="D160" i="62"/>
  <c r="C160" i="62"/>
  <c r="B160" i="62"/>
  <c r="A159" i="62"/>
  <c r="K159" i="62"/>
  <c r="J159" i="62"/>
  <c r="I159" i="62"/>
  <c r="H159" i="62"/>
  <c r="G159" i="62"/>
  <c r="F159" i="62"/>
  <c r="E159" i="62"/>
  <c r="D159" i="62"/>
  <c r="C159" i="62"/>
  <c r="B159" i="62"/>
  <c r="A158" i="62"/>
  <c r="K158" i="62"/>
  <c r="J158" i="62"/>
  <c r="I158" i="62"/>
  <c r="H158" i="62"/>
  <c r="G158" i="62"/>
  <c r="F158" i="62"/>
  <c r="E158" i="62"/>
  <c r="D158" i="62"/>
  <c r="C158" i="62"/>
  <c r="B158" i="62"/>
  <c r="A157" i="62"/>
  <c r="K157" i="62"/>
  <c r="J157" i="62"/>
  <c r="I157" i="62"/>
  <c r="H157" i="62"/>
  <c r="G157" i="62"/>
  <c r="F157" i="62"/>
  <c r="E157" i="62"/>
  <c r="D157" i="62"/>
  <c r="C157" i="62"/>
  <c r="B157" i="62"/>
  <c r="A156" i="62"/>
  <c r="K156" i="62"/>
  <c r="J156" i="62"/>
  <c r="I156" i="62"/>
  <c r="H156" i="62"/>
  <c r="G156" i="62"/>
  <c r="F156" i="62"/>
  <c r="E156" i="62"/>
  <c r="D156" i="62"/>
  <c r="C156" i="62"/>
  <c r="B156" i="62"/>
  <c r="A155" i="62"/>
  <c r="K155" i="62"/>
  <c r="J155" i="62"/>
  <c r="I155" i="62"/>
  <c r="H155" i="62"/>
  <c r="G155" i="62"/>
  <c r="F155" i="62"/>
  <c r="E155" i="62"/>
  <c r="D155" i="62"/>
  <c r="C155" i="62"/>
  <c r="B155" i="62"/>
  <c r="A154" i="62"/>
  <c r="K154" i="62"/>
  <c r="J154" i="62"/>
  <c r="I154" i="62"/>
  <c r="H154" i="62"/>
  <c r="G154" i="62"/>
  <c r="F154" i="62"/>
  <c r="E154" i="62"/>
  <c r="D154" i="62"/>
  <c r="C154" i="62"/>
  <c r="B154" i="62"/>
  <c r="A153" i="62"/>
  <c r="K153" i="62"/>
  <c r="J153" i="62"/>
  <c r="I153" i="62"/>
  <c r="H153" i="62"/>
  <c r="G153" i="62"/>
  <c r="F153" i="62"/>
  <c r="E153" i="62"/>
  <c r="D153" i="62"/>
  <c r="C153" i="62"/>
  <c r="B153" i="62"/>
  <c r="A152" i="62"/>
  <c r="K152" i="62"/>
  <c r="J152" i="62"/>
  <c r="I152" i="62"/>
  <c r="H152" i="62"/>
  <c r="G152" i="62"/>
  <c r="F152" i="62"/>
  <c r="E152" i="62"/>
  <c r="D152" i="62"/>
  <c r="C152" i="62"/>
  <c r="B152" i="62"/>
  <c r="A151" i="62"/>
  <c r="K151" i="62"/>
  <c r="J151" i="62"/>
  <c r="I151" i="62"/>
  <c r="H151" i="62"/>
  <c r="G151" i="62"/>
  <c r="F151" i="62"/>
  <c r="E151" i="62"/>
  <c r="D151" i="62"/>
  <c r="C151" i="62"/>
  <c r="B151" i="62"/>
  <c r="A150" i="62"/>
  <c r="K150" i="62"/>
  <c r="J150" i="62"/>
  <c r="I150" i="62"/>
  <c r="H150" i="62"/>
  <c r="G150" i="62"/>
  <c r="F150" i="62"/>
  <c r="E150" i="62"/>
  <c r="D150" i="62"/>
  <c r="C150" i="62"/>
  <c r="B150" i="62"/>
  <c r="A149" i="62"/>
  <c r="K149" i="62"/>
  <c r="J149" i="62"/>
  <c r="I149" i="62"/>
  <c r="H149" i="62"/>
  <c r="G149" i="62"/>
  <c r="F149" i="62"/>
  <c r="E149" i="62"/>
  <c r="D149" i="62"/>
  <c r="C149" i="62"/>
  <c r="B149" i="62"/>
  <c r="A148" i="62"/>
  <c r="K148" i="62"/>
  <c r="J148" i="62"/>
  <c r="I148" i="62"/>
  <c r="H148" i="62"/>
  <c r="G148" i="62"/>
  <c r="F148" i="62"/>
  <c r="E148" i="62"/>
  <c r="D148" i="62"/>
  <c r="C148" i="62"/>
  <c r="B148" i="62"/>
  <c r="A147" i="62"/>
  <c r="K147" i="62"/>
  <c r="J147" i="62"/>
  <c r="I147" i="62"/>
  <c r="H147" i="62"/>
  <c r="G147" i="62"/>
  <c r="F147" i="62"/>
  <c r="E147" i="62"/>
  <c r="D147" i="62"/>
  <c r="C147" i="62"/>
  <c r="B147" i="62"/>
  <c r="A146" i="62"/>
  <c r="K146" i="62"/>
  <c r="J146" i="62"/>
  <c r="I146" i="62"/>
  <c r="H146" i="62"/>
  <c r="G146" i="62"/>
  <c r="F146" i="62"/>
  <c r="E146" i="62"/>
  <c r="D146" i="62"/>
  <c r="C146" i="62"/>
  <c r="B146" i="62"/>
  <c r="A145" i="62"/>
  <c r="K145" i="62"/>
  <c r="J145" i="62"/>
  <c r="I145" i="62"/>
  <c r="H145" i="62"/>
  <c r="G145" i="62"/>
  <c r="F145" i="62"/>
  <c r="E145" i="62"/>
  <c r="D145" i="62"/>
  <c r="C145" i="62"/>
  <c r="B145" i="62"/>
  <c r="A144" i="62"/>
  <c r="K144" i="62"/>
  <c r="J144" i="62"/>
  <c r="I144" i="62"/>
  <c r="H144" i="62"/>
  <c r="G144" i="62"/>
  <c r="F144" i="62"/>
  <c r="E144" i="62"/>
  <c r="D144" i="62"/>
  <c r="C144" i="62"/>
  <c r="B144" i="62"/>
  <c r="A143" i="62"/>
  <c r="K143" i="62"/>
  <c r="J143" i="62"/>
  <c r="I143" i="62"/>
  <c r="H143" i="62"/>
  <c r="G143" i="62"/>
  <c r="F143" i="62"/>
  <c r="E143" i="62"/>
  <c r="D143" i="62"/>
  <c r="C143" i="62"/>
  <c r="B143" i="62"/>
  <c r="A142" i="62"/>
  <c r="K142" i="62"/>
  <c r="J142" i="62"/>
  <c r="I142" i="62"/>
  <c r="H142" i="62"/>
  <c r="G142" i="62"/>
  <c r="F142" i="62"/>
  <c r="E142" i="62"/>
  <c r="D142" i="62"/>
  <c r="C142" i="62"/>
  <c r="B142" i="62"/>
  <c r="A141" i="62"/>
  <c r="K141" i="62"/>
  <c r="J141" i="62"/>
  <c r="I141" i="62"/>
  <c r="H141" i="62"/>
  <c r="G141" i="62"/>
  <c r="F141" i="62"/>
  <c r="E141" i="62"/>
  <c r="D141" i="62"/>
  <c r="C141" i="62"/>
  <c r="B141" i="62"/>
  <c r="A140" i="62"/>
  <c r="K140" i="62"/>
  <c r="J140" i="62"/>
  <c r="I140" i="62"/>
  <c r="H140" i="62"/>
  <c r="G140" i="62"/>
  <c r="F140" i="62"/>
  <c r="E140" i="62"/>
  <c r="D140" i="62"/>
  <c r="C140" i="62"/>
  <c r="B140" i="62"/>
  <c r="A139" i="62"/>
  <c r="K139" i="62"/>
  <c r="J139" i="62"/>
  <c r="I139" i="62"/>
  <c r="H139" i="62"/>
  <c r="G139" i="62"/>
  <c r="F139" i="62"/>
  <c r="E139" i="62"/>
  <c r="D139" i="62"/>
  <c r="C139" i="62"/>
  <c r="B139" i="62"/>
  <c r="A138" i="62"/>
  <c r="K138" i="62"/>
  <c r="J138" i="62"/>
  <c r="I138" i="62"/>
  <c r="H138" i="62"/>
  <c r="G138" i="62"/>
  <c r="F138" i="62"/>
  <c r="E138" i="62"/>
  <c r="D138" i="62"/>
  <c r="C138" i="62"/>
  <c r="B138" i="62"/>
  <c r="A137" i="62"/>
  <c r="K137" i="62"/>
  <c r="J137" i="62"/>
  <c r="I137" i="62"/>
  <c r="H137" i="62"/>
  <c r="G137" i="62"/>
  <c r="F137" i="62"/>
  <c r="E137" i="62"/>
  <c r="D137" i="62"/>
  <c r="C137" i="62"/>
  <c r="B137" i="62"/>
  <c r="A136" i="62"/>
  <c r="K136" i="62"/>
  <c r="J136" i="62"/>
  <c r="I136" i="62"/>
  <c r="H136" i="62"/>
  <c r="G136" i="62"/>
  <c r="F136" i="62"/>
  <c r="E136" i="62"/>
  <c r="D136" i="62"/>
  <c r="C136" i="62"/>
  <c r="B136" i="62"/>
  <c r="A135" i="62"/>
  <c r="K135" i="62"/>
  <c r="J135" i="62"/>
  <c r="I135" i="62"/>
  <c r="H135" i="62"/>
  <c r="G135" i="62"/>
  <c r="F135" i="62"/>
  <c r="E135" i="62"/>
  <c r="D135" i="62"/>
  <c r="C135" i="62"/>
  <c r="B135" i="62"/>
  <c r="A134" i="62"/>
  <c r="K134" i="62"/>
  <c r="J134" i="62"/>
  <c r="I134" i="62"/>
  <c r="H134" i="62"/>
  <c r="G134" i="62"/>
  <c r="F134" i="62"/>
  <c r="E134" i="62"/>
  <c r="D134" i="62"/>
  <c r="C134" i="62"/>
  <c r="B134" i="62"/>
  <c r="A133" i="62"/>
  <c r="K133" i="62"/>
  <c r="J133" i="62"/>
  <c r="I133" i="62"/>
  <c r="H133" i="62"/>
  <c r="G133" i="62"/>
  <c r="F133" i="62"/>
  <c r="E133" i="62"/>
  <c r="D133" i="62"/>
  <c r="C133" i="62"/>
  <c r="B133" i="62"/>
  <c r="A132" i="62"/>
  <c r="K132" i="62"/>
  <c r="J132" i="62"/>
  <c r="I132" i="62"/>
  <c r="H132" i="62"/>
  <c r="G132" i="62"/>
  <c r="F132" i="62"/>
  <c r="E132" i="62"/>
  <c r="D132" i="62"/>
  <c r="C132" i="62"/>
  <c r="B132" i="62"/>
  <c r="A131" i="62"/>
  <c r="K131" i="62"/>
  <c r="J131" i="62"/>
  <c r="I131" i="62"/>
  <c r="H131" i="62"/>
  <c r="G131" i="62"/>
  <c r="F131" i="62"/>
  <c r="E131" i="62"/>
  <c r="D131" i="62"/>
  <c r="C131" i="62"/>
  <c r="B131" i="62"/>
  <c r="A130" i="62"/>
  <c r="K130" i="62"/>
  <c r="J130" i="62"/>
  <c r="I130" i="62"/>
  <c r="H130" i="62"/>
  <c r="G130" i="62"/>
  <c r="F130" i="62"/>
  <c r="E130" i="62"/>
  <c r="D130" i="62"/>
  <c r="C130" i="62"/>
  <c r="B130" i="62"/>
  <c r="A129" i="62"/>
  <c r="K129" i="62"/>
  <c r="J129" i="62"/>
  <c r="I129" i="62"/>
  <c r="H129" i="62"/>
  <c r="G129" i="62"/>
  <c r="F129" i="62"/>
  <c r="E129" i="62"/>
  <c r="D129" i="62"/>
  <c r="C129" i="62"/>
  <c r="B129" i="62"/>
  <c r="A128" i="62"/>
  <c r="K128" i="62"/>
  <c r="J128" i="62"/>
  <c r="I128" i="62"/>
  <c r="H128" i="62"/>
  <c r="G128" i="62"/>
  <c r="F128" i="62"/>
  <c r="E128" i="62"/>
  <c r="D128" i="62"/>
  <c r="C128" i="62"/>
  <c r="B128" i="62"/>
  <c r="A127" i="62"/>
  <c r="K127" i="62"/>
  <c r="J127" i="62"/>
  <c r="I127" i="62"/>
  <c r="H127" i="62"/>
  <c r="G127" i="62"/>
  <c r="F127" i="62"/>
  <c r="E127" i="62"/>
  <c r="D127" i="62"/>
  <c r="C127" i="62"/>
  <c r="B127" i="62"/>
  <c r="A126" i="62"/>
  <c r="K126" i="62"/>
  <c r="J126" i="62"/>
  <c r="I126" i="62"/>
  <c r="H126" i="62"/>
  <c r="G126" i="62"/>
  <c r="F126" i="62"/>
  <c r="E126" i="62"/>
  <c r="D126" i="62"/>
  <c r="C126" i="62"/>
  <c r="B126" i="62"/>
  <c r="A125" i="62"/>
  <c r="K125" i="62"/>
  <c r="J125" i="62"/>
  <c r="I125" i="62"/>
  <c r="H125" i="62"/>
  <c r="G125" i="62"/>
  <c r="F125" i="62"/>
  <c r="E125" i="62"/>
  <c r="D125" i="62"/>
  <c r="C125" i="62"/>
  <c r="B125" i="62"/>
  <c r="A124" i="62"/>
  <c r="K124" i="62"/>
  <c r="J124" i="62"/>
  <c r="I124" i="62"/>
  <c r="H124" i="62"/>
  <c r="G124" i="62"/>
  <c r="F124" i="62"/>
  <c r="E124" i="62"/>
  <c r="D124" i="62"/>
  <c r="C124" i="62"/>
  <c r="B124" i="62"/>
  <c r="A123" i="62"/>
  <c r="K123" i="62"/>
  <c r="J123" i="62"/>
  <c r="I123" i="62"/>
  <c r="H123" i="62"/>
  <c r="G123" i="62"/>
  <c r="F123" i="62"/>
  <c r="E123" i="62"/>
  <c r="D123" i="62"/>
  <c r="C123" i="62"/>
  <c r="B123" i="62"/>
  <c r="A122" i="62"/>
  <c r="K122" i="62"/>
  <c r="J122" i="62"/>
  <c r="I122" i="62"/>
  <c r="H122" i="62"/>
  <c r="G122" i="62"/>
  <c r="F122" i="62"/>
  <c r="E122" i="62"/>
  <c r="D122" i="62"/>
  <c r="C122" i="62"/>
  <c r="B122" i="62"/>
  <c r="A121" i="62"/>
  <c r="K121" i="62"/>
  <c r="J121" i="62"/>
  <c r="I121" i="62"/>
  <c r="H121" i="62"/>
  <c r="G121" i="62"/>
  <c r="F121" i="62"/>
  <c r="E121" i="62"/>
  <c r="D121" i="62"/>
  <c r="C121" i="62"/>
  <c r="B121" i="62"/>
  <c r="A120" i="62"/>
  <c r="K120" i="62"/>
  <c r="J120" i="62"/>
  <c r="I120" i="62"/>
  <c r="H120" i="62"/>
  <c r="G120" i="62"/>
  <c r="F120" i="62"/>
  <c r="E120" i="62"/>
  <c r="D120" i="62"/>
  <c r="C120" i="62"/>
  <c r="B120" i="62"/>
  <c r="A119" i="62"/>
  <c r="K119" i="62"/>
  <c r="J119" i="62"/>
  <c r="I119" i="62"/>
  <c r="H119" i="62"/>
  <c r="G119" i="62"/>
  <c r="F119" i="62"/>
  <c r="E119" i="62"/>
  <c r="D119" i="62"/>
  <c r="C119" i="62"/>
  <c r="B119" i="62"/>
  <c r="A118" i="62"/>
  <c r="K118" i="62"/>
  <c r="J118" i="62"/>
  <c r="I118" i="62"/>
  <c r="H118" i="62"/>
  <c r="G118" i="62"/>
  <c r="F118" i="62"/>
  <c r="E118" i="62"/>
  <c r="D118" i="62"/>
  <c r="C118" i="62"/>
  <c r="B118" i="62"/>
  <c r="A117" i="62"/>
  <c r="K117" i="62"/>
  <c r="J117" i="62"/>
  <c r="I117" i="62"/>
  <c r="H117" i="62"/>
  <c r="G117" i="62"/>
  <c r="F117" i="62"/>
  <c r="E117" i="62"/>
  <c r="D117" i="62"/>
  <c r="C117" i="62"/>
  <c r="B117" i="62"/>
  <c r="A116" i="62"/>
  <c r="K116" i="62"/>
  <c r="J116" i="62"/>
  <c r="I116" i="62"/>
  <c r="H116" i="62"/>
  <c r="G116" i="62"/>
  <c r="F116" i="62"/>
  <c r="E116" i="62"/>
  <c r="D116" i="62"/>
  <c r="C116" i="62"/>
  <c r="B116" i="62"/>
  <c r="A115" i="62"/>
  <c r="K115" i="62"/>
  <c r="J115" i="62"/>
  <c r="I115" i="62"/>
  <c r="H115" i="62"/>
  <c r="G115" i="62"/>
  <c r="F115" i="62"/>
  <c r="E115" i="62"/>
  <c r="D115" i="62"/>
  <c r="C115" i="62"/>
  <c r="B115" i="62"/>
  <c r="A114" i="62"/>
  <c r="K114" i="62"/>
  <c r="J114" i="62"/>
  <c r="I114" i="62"/>
  <c r="H114" i="62"/>
  <c r="G114" i="62"/>
  <c r="F114" i="62"/>
  <c r="E114" i="62"/>
  <c r="D114" i="62"/>
  <c r="C114" i="62"/>
  <c r="B114" i="62"/>
  <c r="A113" i="62"/>
  <c r="K113" i="62"/>
  <c r="J113" i="62"/>
  <c r="I113" i="62"/>
  <c r="H113" i="62"/>
  <c r="G113" i="62"/>
  <c r="F113" i="62"/>
  <c r="E113" i="62"/>
  <c r="D113" i="62"/>
  <c r="C113" i="62"/>
  <c r="B113" i="62"/>
  <c r="A112" i="62"/>
  <c r="K112" i="62"/>
  <c r="J112" i="62"/>
  <c r="I112" i="62"/>
  <c r="H112" i="62"/>
  <c r="G112" i="62"/>
  <c r="F112" i="62"/>
  <c r="E112" i="62"/>
  <c r="D112" i="62"/>
  <c r="C112" i="62"/>
  <c r="B112" i="62"/>
  <c r="A111" i="62"/>
  <c r="K111" i="62"/>
  <c r="J111" i="62"/>
  <c r="I111" i="62"/>
  <c r="H111" i="62"/>
  <c r="G111" i="62"/>
  <c r="F111" i="62"/>
  <c r="E111" i="62"/>
  <c r="D111" i="62"/>
  <c r="C111" i="62"/>
  <c r="B111" i="62"/>
  <c r="A110" i="62"/>
  <c r="K110" i="62"/>
  <c r="J110" i="62"/>
  <c r="I110" i="62"/>
  <c r="H110" i="62"/>
  <c r="G110" i="62"/>
  <c r="F110" i="62"/>
  <c r="E110" i="62"/>
  <c r="D110" i="62"/>
  <c r="C110" i="62"/>
  <c r="B110" i="62"/>
  <c r="A109" i="62"/>
  <c r="K109" i="62"/>
  <c r="J109" i="62"/>
  <c r="I109" i="62"/>
  <c r="H109" i="62"/>
  <c r="G109" i="62"/>
  <c r="F109" i="62"/>
  <c r="E109" i="62"/>
  <c r="D109" i="62"/>
  <c r="C109" i="62"/>
  <c r="B109" i="62"/>
  <c r="A108" i="62"/>
  <c r="K108" i="62"/>
  <c r="J108" i="62"/>
  <c r="I108" i="62"/>
  <c r="H108" i="62"/>
  <c r="G108" i="62"/>
  <c r="F108" i="62"/>
  <c r="E108" i="62"/>
  <c r="D108" i="62"/>
  <c r="C108" i="62"/>
  <c r="B108" i="62"/>
  <c r="A107" i="62"/>
  <c r="K107" i="62"/>
  <c r="J107" i="62"/>
  <c r="I107" i="62"/>
  <c r="H107" i="62"/>
  <c r="G107" i="62"/>
  <c r="F107" i="62"/>
  <c r="E107" i="62"/>
  <c r="D107" i="62"/>
  <c r="C107" i="62"/>
  <c r="B107" i="62"/>
  <c r="A106" i="62"/>
  <c r="K106" i="62"/>
  <c r="J106" i="62"/>
  <c r="I106" i="62"/>
  <c r="H106" i="62"/>
  <c r="G106" i="62"/>
  <c r="F106" i="62"/>
  <c r="E106" i="62"/>
  <c r="D106" i="62"/>
  <c r="C106" i="62"/>
  <c r="B106" i="62"/>
  <c r="A105" i="62"/>
  <c r="K105" i="62"/>
  <c r="J105" i="62"/>
  <c r="I105" i="62"/>
  <c r="H105" i="62"/>
  <c r="G105" i="62"/>
  <c r="F105" i="62"/>
  <c r="E105" i="62"/>
  <c r="D105" i="62"/>
  <c r="C105" i="62"/>
  <c r="B105" i="62"/>
  <c r="A104" i="62"/>
  <c r="K104" i="62"/>
  <c r="J104" i="62"/>
  <c r="I104" i="62"/>
  <c r="H104" i="62"/>
  <c r="G104" i="62"/>
  <c r="F104" i="62"/>
  <c r="E104" i="62"/>
  <c r="D104" i="62"/>
  <c r="C104" i="62"/>
  <c r="B104" i="62"/>
  <c r="A103" i="62"/>
  <c r="K103" i="62"/>
  <c r="J103" i="62"/>
  <c r="I103" i="62"/>
  <c r="H103" i="62"/>
  <c r="G103" i="62"/>
  <c r="F103" i="62"/>
  <c r="E103" i="62"/>
  <c r="D103" i="62"/>
  <c r="C103" i="62"/>
  <c r="B103" i="62"/>
  <c r="A102" i="62"/>
  <c r="K102" i="62"/>
  <c r="J102" i="62"/>
  <c r="I102" i="62"/>
  <c r="H102" i="62"/>
  <c r="G102" i="62"/>
  <c r="F102" i="62"/>
  <c r="E102" i="62"/>
  <c r="D102" i="62"/>
  <c r="C102" i="62"/>
  <c r="B102" i="62"/>
  <c r="A101" i="62"/>
  <c r="K101" i="62"/>
  <c r="J101" i="62"/>
  <c r="I101" i="62"/>
  <c r="H101" i="62"/>
  <c r="G101" i="62"/>
  <c r="F101" i="62"/>
  <c r="E101" i="62"/>
  <c r="D101" i="62"/>
  <c r="C101" i="62"/>
  <c r="B101" i="62"/>
  <c r="A100" i="62"/>
  <c r="K100" i="62"/>
  <c r="J100" i="62"/>
  <c r="I100" i="62"/>
  <c r="H100" i="62"/>
  <c r="G100" i="62"/>
  <c r="F100" i="62"/>
  <c r="E100" i="62"/>
  <c r="D100" i="62"/>
  <c r="C100" i="62"/>
  <c r="B100" i="62"/>
  <c r="A99" i="62"/>
  <c r="K99" i="62"/>
  <c r="J99" i="62"/>
  <c r="I99" i="62"/>
  <c r="H99" i="62"/>
  <c r="G99" i="62"/>
  <c r="F99" i="62"/>
  <c r="E99" i="62"/>
  <c r="D99" i="62"/>
  <c r="C99" i="62"/>
  <c r="B99" i="62"/>
  <c r="A98" i="62"/>
  <c r="K98" i="62"/>
  <c r="J98" i="62"/>
  <c r="I98" i="62"/>
  <c r="H98" i="62"/>
  <c r="G98" i="62"/>
  <c r="F98" i="62"/>
  <c r="E98" i="62"/>
  <c r="D98" i="62"/>
  <c r="C98" i="62"/>
  <c r="B98" i="62"/>
  <c r="A97" i="62"/>
  <c r="K97" i="62"/>
  <c r="J97" i="62"/>
  <c r="I97" i="62"/>
  <c r="H97" i="62"/>
  <c r="G97" i="62"/>
  <c r="F97" i="62"/>
  <c r="E97" i="62"/>
  <c r="D97" i="62"/>
  <c r="C97" i="62"/>
  <c r="B97" i="62"/>
  <c r="A96" i="62"/>
  <c r="K96" i="62"/>
  <c r="J96" i="62"/>
  <c r="I96" i="62"/>
  <c r="H96" i="62"/>
  <c r="G96" i="62"/>
  <c r="F96" i="62"/>
  <c r="E96" i="62"/>
  <c r="D96" i="62"/>
  <c r="C96" i="62"/>
  <c r="B96" i="62"/>
  <c r="A95" i="62"/>
  <c r="K95" i="62"/>
  <c r="J95" i="62"/>
  <c r="I95" i="62"/>
  <c r="H95" i="62"/>
  <c r="G95" i="62"/>
  <c r="F95" i="62"/>
  <c r="E95" i="62"/>
  <c r="D95" i="62"/>
  <c r="C95" i="62"/>
  <c r="B95" i="62"/>
  <c r="A94" i="62"/>
  <c r="K94" i="62"/>
  <c r="J94" i="62"/>
  <c r="I94" i="62"/>
  <c r="H94" i="62"/>
  <c r="G94" i="62"/>
  <c r="F94" i="62"/>
  <c r="E94" i="62"/>
  <c r="D94" i="62"/>
  <c r="C94" i="62"/>
  <c r="B94" i="62"/>
  <c r="A93" i="62"/>
  <c r="K93" i="62"/>
  <c r="J93" i="62"/>
  <c r="I93" i="62"/>
  <c r="H93" i="62"/>
  <c r="G93" i="62"/>
  <c r="F93" i="62"/>
  <c r="E93" i="62"/>
  <c r="D93" i="62"/>
  <c r="C93" i="62"/>
  <c r="B93" i="62"/>
  <c r="A92" i="62"/>
  <c r="K92" i="62"/>
  <c r="J92" i="62"/>
  <c r="I92" i="62"/>
  <c r="H92" i="62"/>
  <c r="G92" i="62"/>
  <c r="F92" i="62"/>
  <c r="E92" i="62"/>
  <c r="D92" i="62"/>
  <c r="C92" i="62"/>
  <c r="B92" i="62"/>
  <c r="A91" i="62"/>
  <c r="K91" i="62"/>
  <c r="J91" i="62"/>
  <c r="I91" i="62"/>
  <c r="H91" i="62"/>
  <c r="G91" i="62"/>
  <c r="F91" i="62"/>
  <c r="E91" i="62"/>
  <c r="D91" i="62"/>
  <c r="C91" i="62"/>
  <c r="B91" i="62"/>
  <c r="A90" i="62"/>
  <c r="K90" i="62"/>
  <c r="J90" i="62"/>
  <c r="I90" i="62"/>
  <c r="H90" i="62"/>
  <c r="G90" i="62"/>
  <c r="F90" i="62"/>
  <c r="E90" i="62"/>
  <c r="D90" i="62"/>
  <c r="C90" i="62"/>
  <c r="B90" i="62"/>
  <c r="A89" i="62"/>
  <c r="K89" i="62"/>
  <c r="J89" i="62"/>
  <c r="I89" i="62"/>
  <c r="H89" i="62"/>
  <c r="G89" i="62"/>
  <c r="F89" i="62"/>
  <c r="E89" i="62"/>
  <c r="D89" i="62"/>
  <c r="C89" i="62"/>
  <c r="B89" i="62"/>
  <c r="A88" i="62"/>
  <c r="K88" i="62"/>
  <c r="J88" i="62"/>
  <c r="I88" i="62"/>
  <c r="H88" i="62"/>
  <c r="G88" i="62"/>
  <c r="F88" i="62"/>
  <c r="E88" i="62"/>
  <c r="D88" i="62"/>
  <c r="C88" i="62"/>
  <c r="B88" i="62"/>
  <c r="A87" i="62"/>
  <c r="K87" i="62"/>
  <c r="J87" i="62"/>
  <c r="I87" i="62"/>
  <c r="H87" i="62"/>
  <c r="G87" i="62"/>
  <c r="F87" i="62"/>
  <c r="E87" i="62"/>
  <c r="D87" i="62"/>
  <c r="C87" i="62"/>
  <c r="B87" i="62"/>
  <c r="A86" i="62"/>
  <c r="K86" i="62"/>
  <c r="J86" i="62"/>
  <c r="I86" i="62"/>
  <c r="H86" i="62"/>
  <c r="G86" i="62"/>
  <c r="F86" i="62"/>
  <c r="E86" i="62"/>
  <c r="D86" i="62"/>
  <c r="C86" i="62"/>
  <c r="B86" i="62"/>
  <c r="A85" i="62"/>
  <c r="K85" i="62"/>
  <c r="J85" i="62"/>
  <c r="I85" i="62"/>
  <c r="H85" i="62"/>
  <c r="G85" i="62"/>
  <c r="F85" i="62"/>
  <c r="E85" i="62"/>
  <c r="D85" i="62"/>
  <c r="C85" i="62"/>
  <c r="B85" i="62"/>
  <c r="A84" i="62"/>
  <c r="K84" i="62"/>
  <c r="J84" i="62"/>
  <c r="I84" i="62"/>
  <c r="H84" i="62"/>
  <c r="G84" i="62"/>
  <c r="F84" i="62"/>
  <c r="E84" i="62"/>
  <c r="D84" i="62"/>
  <c r="C84" i="62"/>
  <c r="B84" i="62"/>
  <c r="A83" i="62"/>
  <c r="K83" i="62"/>
  <c r="J83" i="62"/>
  <c r="I83" i="62"/>
  <c r="H83" i="62"/>
  <c r="G83" i="62"/>
  <c r="F83" i="62"/>
  <c r="E83" i="62"/>
  <c r="D83" i="62"/>
  <c r="C83" i="62"/>
  <c r="B83" i="62"/>
  <c r="A82" i="62"/>
  <c r="K82" i="62"/>
  <c r="J82" i="62"/>
  <c r="I82" i="62"/>
  <c r="H82" i="62"/>
  <c r="G82" i="62"/>
  <c r="F82" i="62"/>
  <c r="E82" i="62"/>
  <c r="D82" i="62"/>
  <c r="C82" i="62"/>
  <c r="B82" i="62"/>
  <c r="A81" i="62"/>
  <c r="K81" i="62"/>
  <c r="J81" i="62"/>
  <c r="I81" i="62"/>
  <c r="H81" i="62"/>
  <c r="G81" i="62"/>
  <c r="F81" i="62"/>
  <c r="E81" i="62"/>
  <c r="D81" i="62"/>
  <c r="C81" i="62"/>
  <c r="B81" i="62"/>
  <c r="A80" i="62"/>
  <c r="K80" i="62"/>
  <c r="J80" i="62"/>
  <c r="I80" i="62"/>
  <c r="H80" i="62"/>
  <c r="G80" i="62"/>
  <c r="F80" i="62"/>
  <c r="E80" i="62"/>
  <c r="D80" i="62"/>
  <c r="C80" i="62"/>
  <c r="B80" i="62"/>
  <c r="A79" i="62"/>
  <c r="K79" i="62"/>
  <c r="J79" i="62"/>
  <c r="I79" i="62"/>
  <c r="H79" i="62"/>
  <c r="G79" i="62"/>
  <c r="F79" i="62"/>
  <c r="E79" i="62"/>
  <c r="D79" i="62"/>
  <c r="C79" i="62"/>
  <c r="B79" i="62"/>
  <c r="A78" i="62"/>
  <c r="K78" i="62"/>
  <c r="J78" i="62"/>
  <c r="I78" i="62"/>
  <c r="H78" i="62"/>
  <c r="G78" i="62"/>
  <c r="F78" i="62"/>
  <c r="E78" i="62"/>
  <c r="D78" i="62"/>
  <c r="C78" i="62"/>
  <c r="B78" i="62"/>
  <c r="A77" i="62"/>
  <c r="K77" i="62"/>
  <c r="J77" i="62"/>
  <c r="I77" i="62"/>
  <c r="H77" i="62"/>
  <c r="G77" i="62"/>
  <c r="F77" i="62"/>
  <c r="E77" i="62"/>
  <c r="D77" i="62"/>
  <c r="C77" i="62"/>
  <c r="B77" i="62"/>
  <c r="A76" i="62"/>
  <c r="K76" i="62"/>
  <c r="J76" i="62"/>
  <c r="I76" i="62"/>
  <c r="H76" i="62"/>
  <c r="G76" i="62"/>
  <c r="F76" i="62"/>
  <c r="E76" i="62"/>
  <c r="D76" i="62"/>
  <c r="C76" i="62"/>
  <c r="B76" i="62"/>
  <c r="A75" i="62"/>
  <c r="K75" i="62"/>
  <c r="J75" i="62"/>
  <c r="I75" i="62"/>
  <c r="H75" i="62"/>
  <c r="G75" i="62"/>
  <c r="F75" i="62"/>
  <c r="E75" i="62"/>
  <c r="D75" i="62"/>
  <c r="C75" i="62"/>
  <c r="B75" i="62"/>
  <c r="A74" i="62"/>
  <c r="K74" i="62"/>
  <c r="J74" i="62"/>
  <c r="I74" i="62"/>
  <c r="H74" i="62"/>
  <c r="G74" i="62"/>
  <c r="F74" i="62"/>
  <c r="E74" i="62"/>
  <c r="D74" i="62"/>
  <c r="C74" i="62"/>
  <c r="B74" i="62"/>
  <c r="A73" i="62"/>
  <c r="K73" i="62"/>
  <c r="J73" i="62"/>
  <c r="I73" i="62"/>
  <c r="H73" i="62"/>
  <c r="G73" i="62"/>
  <c r="F73" i="62"/>
  <c r="E73" i="62"/>
  <c r="D73" i="62"/>
  <c r="C73" i="62"/>
  <c r="B73" i="62"/>
  <c r="A72" i="62"/>
  <c r="K72" i="62"/>
  <c r="J72" i="62"/>
  <c r="I72" i="62"/>
  <c r="H72" i="62"/>
  <c r="G72" i="62"/>
  <c r="F72" i="62"/>
  <c r="E72" i="62"/>
  <c r="D72" i="62"/>
  <c r="C72" i="62"/>
  <c r="B72" i="62"/>
  <c r="A71" i="62"/>
  <c r="K71" i="62"/>
  <c r="J71" i="62"/>
  <c r="I71" i="62"/>
  <c r="H71" i="62"/>
  <c r="G71" i="62"/>
  <c r="F71" i="62"/>
  <c r="E71" i="62"/>
  <c r="D71" i="62"/>
  <c r="C71" i="62"/>
  <c r="B71" i="62"/>
  <c r="A70" i="62"/>
  <c r="K70" i="62"/>
  <c r="J70" i="62"/>
  <c r="I70" i="62"/>
  <c r="H70" i="62"/>
  <c r="G70" i="62"/>
  <c r="F70" i="62"/>
  <c r="E70" i="62"/>
  <c r="D70" i="62"/>
  <c r="C70" i="62"/>
  <c r="B70" i="62"/>
  <c r="A69" i="62"/>
  <c r="K69" i="62"/>
  <c r="J69" i="62"/>
  <c r="I69" i="62"/>
  <c r="H69" i="62"/>
  <c r="G69" i="62"/>
  <c r="F69" i="62"/>
  <c r="E69" i="62"/>
  <c r="D69" i="62"/>
  <c r="C69" i="62"/>
  <c r="B69" i="62"/>
  <c r="A68" i="62"/>
  <c r="K68" i="62"/>
  <c r="J68" i="62"/>
  <c r="I68" i="62"/>
  <c r="H68" i="62"/>
  <c r="G68" i="62"/>
  <c r="F68" i="62"/>
  <c r="E68" i="62"/>
  <c r="D68" i="62"/>
  <c r="C68" i="62"/>
  <c r="B68" i="62"/>
  <c r="A67" i="62"/>
  <c r="K67" i="62"/>
  <c r="J67" i="62"/>
  <c r="I67" i="62"/>
  <c r="H67" i="62"/>
  <c r="G67" i="62"/>
  <c r="F67" i="62"/>
  <c r="E67" i="62"/>
  <c r="D67" i="62"/>
  <c r="C67" i="62"/>
  <c r="B67" i="62"/>
  <c r="A66" i="62"/>
  <c r="K66" i="62"/>
  <c r="J66" i="62"/>
  <c r="I66" i="62"/>
  <c r="H66" i="62"/>
  <c r="G66" i="62"/>
  <c r="F66" i="62"/>
  <c r="E66" i="62"/>
  <c r="D66" i="62"/>
  <c r="C66" i="62"/>
  <c r="B66" i="62"/>
  <c r="A65" i="62"/>
  <c r="K65" i="62"/>
  <c r="J65" i="62"/>
  <c r="I65" i="62"/>
  <c r="H65" i="62"/>
  <c r="G65" i="62"/>
  <c r="F65" i="62"/>
  <c r="E65" i="62"/>
  <c r="D65" i="62"/>
  <c r="C65" i="62"/>
  <c r="B65" i="62"/>
  <c r="A64" i="62"/>
  <c r="K64" i="62"/>
  <c r="J64" i="62"/>
  <c r="I64" i="62"/>
  <c r="H64" i="62"/>
  <c r="G64" i="62"/>
  <c r="F64" i="62"/>
  <c r="E64" i="62"/>
  <c r="D64" i="62"/>
  <c r="C64" i="62"/>
  <c r="B64" i="62"/>
  <c r="A63" i="62"/>
  <c r="K63" i="62"/>
  <c r="J63" i="62"/>
  <c r="I63" i="62"/>
  <c r="H63" i="62"/>
  <c r="G63" i="62"/>
  <c r="F63" i="62"/>
  <c r="E63" i="62"/>
  <c r="D63" i="62"/>
  <c r="C63" i="62"/>
  <c r="B63" i="62"/>
  <c r="A62" i="62"/>
  <c r="K62" i="62"/>
  <c r="J62" i="62"/>
  <c r="I62" i="62"/>
  <c r="H62" i="62"/>
  <c r="G62" i="62"/>
  <c r="F62" i="62"/>
  <c r="E62" i="62"/>
  <c r="D62" i="62"/>
  <c r="C62" i="62"/>
  <c r="B62" i="62"/>
  <c r="A61" i="62"/>
  <c r="K61" i="62"/>
  <c r="J61" i="62"/>
  <c r="I61" i="62"/>
  <c r="H61" i="62"/>
  <c r="G61" i="62"/>
  <c r="F61" i="62"/>
  <c r="E61" i="62"/>
  <c r="D61" i="62"/>
  <c r="C61" i="62"/>
  <c r="B61" i="62"/>
  <c r="A60" i="62"/>
  <c r="K60" i="62"/>
  <c r="J60" i="62"/>
  <c r="I60" i="62"/>
  <c r="H60" i="62"/>
  <c r="G60" i="62"/>
  <c r="F60" i="62"/>
  <c r="E60" i="62"/>
  <c r="D60" i="62"/>
  <c r="C60" i="62"/>
  <c r="B60" i="62"/>
  <c r="A59" i="62"/>
  <c r="K59" i="62"/>
  <c r="J59" i="62"/>
  <c r="I59" i="62"/>
  <c r="H59" i="62"/>
  <c r="G59" i="62"/>
  <c r="F59" i="62"/>
  <c r="E59" i="62"/>
  <c r="D59" i="62"/>
  <c r="C59" i="62"/>
  <c r="B59" i="62"/>
  <c r="A58" i="62"/>
  <c r="K58" i="62"/>
  <c r="J58" i="62"/>
  <c r="I58" i="62"/>
  <c r="H58" i="62"/>
  <c r="G58" i="62"/>
  <c r="F58" i="62"/>
  <c r="E58" i="62"/>
  <c r="D58" i="62"/>
  <c r="C58" i="62"/>
  <c r="B58" i="62"/>
  <c r="A57" i="62"/>
  <c r="K57" i="62"/>
  <c r="J57" i="62"/>
  <c r="I57" i="62"/>
  <c r="H57" i="62"/>
  <c r="G57" i="62"/>
  <c r="F57" i="62"/>
  <c r="E57" i="62"/>
  <c r="D57" i="62"/>
  <c r="C57" i="62"/>
  <c r="B57" i="62"/>
  <c r="A56" i="62"/>
  <c r="K56" i="62"/>
  <c r="J56" i="62"/>
  <c r="I56" i="62"/>
  <c r="H56" i="62"/>
  <c r="G56" i="62"/>
  <c r="F56" i="62"/>
  <c r="E56" i="62"/>
  <c r="D56" i="62"/>
  <c r="C56" i="62"/>
  <c r="B56" i="62"/>
  <c r="A55" i="62"/>
  <c r="K55" i="62"/>
  <c r="J55" i="62"/>
  <c r="I55" i="62"/>
  <c r="H55" i="62"/>
  <c r="G55" i="62"/>
  <c r="F55" i="62"/>
  <c r="E55" i="62"/>
  <c r="D55" i="62"/>
  <c r="C55" i="62"/>
  <c r="B55" i="62"/>
  <c r="A54" i="62"/>
  <c r="K54" i="62"/>
  <c r="J54" i="62"/>
  <c r="I54" i="62"/>
  <c r="H54" i="62"/>
  <c r="G54" i="62"/>
  <c r="F54" i="62"/>
  <c r="E54" i="62"/>
  <c r="D54" i="62"/>
  <c r="C54" i="62"/>
  <c r="B54" i="62"/>
  <c r="A53" i="62"/>
  <c r="K53" i="62"/>
  <c r="J53" i="62"/>
  <c r="I53" i="62"/>
  <c r="H53" i="62"/>
  <c r="G53" i="62"/>
  <c r="F53" i="62"/>
  <c r="E53" i="62"/>
  <c r="D53" i="62"/>
  <c r="C53" i="62"/>
  <c r="B53" i="62"/>
  <c r="A52" i="62"/>
  <c r="K52" i="62"/>
  <c r="J52" i="62"/>
  <c r="I52" i="62"/>
  <c r="H52" i="62"/>
  <c r="G52" i="62"/>
  <c r="F52" i="62"/>
  <c r="E52" i="62"/>
  <c r="D52" i="62"/>
  <c r="C52" i="62"/>
  <c r="B52" i="62"/>
  <c r="A51" i="62"/>
  <c r="K51" i="62"/>
  <c r="J51" i="62"/>
  <c r="I51" i="62"/>
  <c r="H51" i="62"/>
  <c r="G51" i="62"/>
  <c r="F51" i="62"/>
  <c r="E51" i="62"/>
  <c r="D51" i="62"/>
  <c r="C51" i="62"/>
  <c r="B51" i="62"/>
  <c r="A50" i="62"/>
  <c r="K50" i="62"/>
  <c r="J50" i="62"/>
  <c r="I50" i="62"/>
  <c r="H50" i="62"/>
  <c r="G50" i="62"/>
  <c r="F50" i="62"/>
  <c r="E50" i="62"/>
  <c r="D50" i="62"/>
  <c r="C50" i="62"/>
  <c r="B50" i="62"/>
  <c r="A49" i="62"/>
  <c r="K49" i="62"/>
  <c r="J49" i="62"/>
  <c r="I49" i="62"/>
  <c r="H49" i="62"/>
  <c r="G49" i="62"/>
  <c r="F49" i="62"/>
  <c r="E49" i="62"/>
  <c r="D49" i="62"/>
  <c r="C49" i="62"/>
  <c r="B49" i="62"/>
  <c r="A48" i="62"/>
  <c r="K48" i="62"/>
  <c r="J48" i="62"/>
  <c r="I48" i="62"/>
  <c r="H48" i="62"/>
  <c r="G48" i="62"/>
  <c r="F48" i="62"/>
  <c r="E48" i="62"/>
  <c r="D48" i="62"/>
  <c r="C48" i="62"/>
  <c r="B48" i="62"/>
  <c r="A47" i="62"/>
  <c r="K47" i="62"/>
  <c r="J47" i="62"/>
  <c r="I47" i="62"/>
  <c r="H47" i="62"/>
  <c r="G47" i="62"/>
  <c r="F47" i="62"/>
  <c r="E47" i="62"/>
  <c r="D47" i="62"/>
  <c r="C47" i="62"/>
  <c r="B47" i="62"/>
  <c r="A46" i="62"/>
  <c r="K46" i="62"/>
  <c r="J46" i="62"/>
  <c r="I46" i="62"/>
  <c r="H46" i="62"/>
  <c r="G46" i="62"/>
  <c r="F46" i="62"/>
  <c r="E46" i="62"/>
  <c r="D46" i="62"/>
  <c r="C46" i="62"/>
  <c r="B46" i="62"/>
  <c r="A45" i="62"/>
  <c r="K45" i="62"/>
  <c r="J45" i="62"/>
  <c r="I45" i="62"/>
  <c r="H45" i="62"/>
  <c r="G45" i="62"/>
  <c r="F45" i="62"/>
  <c r="E45" i="62"/>
  <c r="D45" i="62"/>
  <c r="C45" i="62"/>
  <c r="B45" i="62"/>
  <c r="A44" i="62"/>
  <c r="K44" i="62"/>
  <c r="J44" i="62"/>
  <c r="I44" i="62"/>
  <c r="H44" i="62"/>
  <c r="G44" i="62"/>
  <c r="F44" i="62"/>
  <c r="E44" i="62"/>
  <c r="D44" i="62"/>
  <c r="C44" i="62"/>
  <c r="B44" i="62"/>
  <c r="A43" i="62"/>
  <c r="K43" i="62"/>
  <c r="J43" i="62"/>
  <c r="I43" i="62"/>
  <c r="H43" i="62"/>
  <c r="G43" i="62"/>
  <c r="F43" i="62"/>
  <c r="E43" i="62"/>
  <c r="D43" i="62"/>
  <c r="C43" i="62"/>
  <c r="B43" i="62"/>
  <c r="A42" i="62"/>
  <c r="K42" i="62"/>
  <c r="J42" i="62"/>
  <c r="I42" i="62"/>
  <c r="H42" i="62"/>
  <c r="G42" i="62"/>
  <c r="F42" i="62"/>
  <c r="E42" i="62"/>
  <c r="D42" i="62"/>
  <c r="C42" i="62"/>
  <c r="B42" i="62"/>
  <c r="A41" i="62"/>
  <c r="K41" i="62"/>
  <c r="J41" i="62"/>
  <c r="I41" i="62"/>
  <c r="H41" i="62"/>
  <c r="G41" i="62"/>
  <c r="F41" i="62"/>
  <c r="E41" i="62"/>
  <c r="D41" i="62"/>
  <c r="C41" i="62"/>
  <c r="B41" i="62"/>
  <c r="A40" i="62"/>
  <c r="K40" i="62"/>
  <c r="J40" i="62"/>
  <c r="I40" i="62"/>
  <c r="H40" i="62"/>
  <c r="G40" i="62"/>
  <c r="F40" i="62"/>
  <c r="E40" i="62"/>
  <c r="D40" i="62"/>
  <c r="C40" i="62"/>
  <c r="B40" i="62"/>
  <c r="A39" i="62"/>
  <c r="K39" i="62"/>
  <c r="J39" i="62"/>
  <c r="I39" i="62"/>
  <c r="H39" i="62"/>
  <c r="G39" i="62"/>
  <c r="F39" i="62"/>
  <c r="E39" i="62"/>
  <c r="D39" i="62"/>
  <c r="C39" i="62"/>
  <c r="B39" i="62"/>
  <c r="A38" i="62"/>
  <c r="K38" i="62"/>
  <c r="J38" i="62"/>
  <c r="I38" i="62"/>
  <c r="H38" i="62"/>
  <c r="G38" i="62"/>
  <c r="F38" i="62"/>
  <c r="E38" i="62"/>
  <c r="D38" i="62"/>
  <c r="C38" i="62"/>
  <c r="B38" i="62"/>
  <c r="A37" i="62"/>
  <c r="K37" i="62"/>
  <c r="J37" i="62"/>
  <c r="I37" i="62"/>
  <c r="H37" i="62"/>
  <c r="G37" i="62"/>
  <c r="F37" i="62"/>
  <c r="E37" i="62"/>
  <c r="D37" i="62"/>
  <c r="C37" i="62"/>
  <c r="B37" i="62"/>
  <c r="A36" i="62"/>
  <c r="K36" i="62"/>
  <c r="J36" i="62"/>
  <c r="I36" i="62"/>
  <c r="H36" i="62"/>
  <c r="G36" i="62"/>
  <c r="F36" i="62"/>
  <c r="E36" i="62"/>
  <c r="D36" i="62"/>
  <c r="C36" i="62"/>
  <c r="B36" i="62"/>
  <c r="A35" i="62"/>
  <c r="K35" i="62"/>
  <c r="J35" i="62"/>
  <c r="I35" i="62"/>
  <c r="H35" i="62"/>
  <c r="G35" i="62"/>
  <c r="F35" i="62"/>
  <c r="E35" i="62"/>
  <c r="D35" i="62"/>
  <c r="C35" i="62"/>
  <c r="B35" i="62"/>
  <c r="A34" i="62"/>
  <c r="K34" i="62"/>
  <c r="J34" i="62"/>
  <c r="I34" i="62"/>
  <c r="H34" i="62"/>
  <c r="G34" i="62"/>
  <c r="F34" i="62"/>
  <c r="E34" i="62"/>
  <c r="D34" i="62"/>
  <c r="C34" i="62"/>
  <c r="B34" i="62"/>
  <c r="A33" i="62"/>
  <c r="K33" i="62"/>
  <c r="J33" i="62"/>
  <c r="I33" i="62"/>
  <c r="H33" i="62"/>
  <c r="G33" i="62"/>
  <c r="F33" i="62"/>
  <c r="E33" i="62"/>
  <c r="D33" i="62"/>
  <c r="C33" i="62"/>
  <c r="B33" i="62"/>
  <c r="A32" i="62"/>
  <c r="K32" i="62"/>
  <c r="J32" i="62"/>
  <c r="I32" i="62"/>
  <c r="H32" i="62"/>
  <c r="G32" i="62"/>
  <c r="F32" i="62"/>
  <c r="E32" i="62"/>
  <c r="D32" i="62"/>
  <c r="C32" i="62"/>
  <c r="B32" i="62"/>
  <c r="A31" i="62"/>
  <c r="K31" i="62"/>
  <c r="J31" i="62"/>
  <c r="I31" i="62"/>
  <c r="H31" i="62"/>
  <c r="G31" i="62"/>
  <c r="F31" i="62"/>
  <c r="E31" i="62"/>
  <c r="D31" i="62"/>
  <c r="C31" i="62"/>
  <c r="B31" i="62"/>
  <c r="A30" i="62"/>
  <c r="K30" i="62"/>
  <c r="J30" i="62"/>
  <c r="I30" i="62"/>
  <c r="H30" i="62"/>
  <c r="G30" i="62"/>
  <c r="F30" i="62"/>
  <c r="E30" i="62"/>
  <c r="D30" i="62"/>
  <c r="C30" i="62"/>
  <c r="B30" i="62"/>
  <c r="A29" i="62"/>
  <c r="K29" i="62"/>
  <c r="J29" i="62"/>
  <c r="I29" i="62"/>
  <c r="H29" i="62"/>
  <c r="G29" i="62"/>
  <c r="F29" i="62"/>
  <c r="E29" i="62"/>
  <c r="D29" i="62"/>
  <c r="C29" i="62"/>
  <c r="B29" i="62"/>
  <c r="A28" i="62"/>
  <c r="K28" i="62"/>
  <c r="J28" i="62"/>
  <c r="I28" i="62"/>
  <c r="H28" i="62"/>
  <c r="G28" i="62"/>
  <c r="F28" i="62"/>
  <c r="E28" i="62"/>
  <c r="D28" i="62"/>
  <c r="C28" i="62"/>
  <c r="B28" i="62"/>
  <c r="A27" i="62"/>
  <c r="K27" i="62"/>
  <c r="J27" i="62"/>
  <c r="I27" i="62"/>
  <c r="H27" i="62"/>
  <c r="G27" i="62"/>
  <c r="F27" i="62"/>
  <c r="E27" i="62"/>
  <c r="D27" i="62"/>
  <c r="C27" i="62"/>
  <c r="B27" i="62"/>
  <c r="A26" i="62"/>
  <c r="K26" i="62"/>
  <c r="J26" i="62"/>
  <c r="I26" i="62"/>
  <c r="H26" i="62"/>
  <c r="G26" i="62"/>
  <c r="F26" i="62"/>
  <c r="E26" i="62"/>
  <c r="D26" i="62"/>
  <c r="C26" i="62"/>
  <c r="B26" i="62"/>
  <c r="A25" i="62"/>
  <c r="K25" i="62"/>
  <c r="J25" i="62"/>
  <c r="I25" i="62"/>
  <c r="H25" i="62"/>
  <c r="G25" i="62"/>
  <c r="F25" i="62"/>
  <c r="E25" i="62"/>
  <c r="D25" i="62"/>
  <c r="C25" i="62"/>
  <c r="B25" i="62"/>
  <c r="A24" i="62"/>
  <c r="K24" i="62"/>
  <c r="J24" i="62"/>
  <c r="I24" i="62"/>
  <c r="H24" i="62"/>
  <c r="G24" i="62"/>
  <c r="F24" i="62"/>
  <c r="E24" i="62"/>
  <c r="D24" i="62"/>
  <c r="C24" i="62"/>
  <c r="B24" i="62"/>
  <c r="A23" i="62"/>
  <c r="K23" i="62"/>
  <c r="J23" i="62"/>
  <c r="I23" i="62"/>
  <c r="H23" i="62"/>
  <c r="G23" i="62"/>
  <c r="F23" i="62"/>
  <c r="E23" i="62"/>
  <c r="D23" i="62"/>
  <c r="C23" i="62"/>
  <c r="B23" i="62"/>
  <c r="A22" i="62"/>
  <c r="K22" i="62"/>
  <c r="J22" i="62"/>
  <c r="I22" i="62"/>
  <c r="H22" i="62"/>
  <c r="G22" i="62"/>
  <c r="F22" i="62"/>
  <c r="E22" i="62"/>
  <c r="D22" i="62"/>
  <c r="C22" i="62"/>
  <c r="B22" i="62"/>
  <c r="A21" i="62"/>
  <c r="K21" i="62"/>
  <c r="J21" i="62"/>
  <c r="I21" i="62"/>
  <c r="H21" i="62"/>
  <c r="G21" i="62"/>
  <c r="F21" i="62"/>
  <c r="E21" i="62"/>
  <c r="D21" i="62"/>
  <c r="C21" i="62"/>
  <c r="B21" i="62"/>
  <c r="A20" i="62"/>
  <c r="K20" i="62"/>
  <c r="J20" i="62"/>
  <c r="I20" i="62"/>
  <c r="H20" i="62"/>
  <c r="G20" i="62"/>
  <c r="F20" i="62"/>
  <c r="E20" i="62"/>
  <c r="D20" i="62"/>
  <c r="C20" i="62"/>
  <c r="B20" i="62"/>
  <c r="A19" i="62"/>
  <c r="K19" i="62"/>
  <c r="J19" i="62"/>
  <c r="I19" i="62"/>
  <c r="H19" i="62"/>
  <c r="G19" i="62"/>
  <c r="F19" i="62"/>
  <c r="E19" i="62"/>
  <c r="D19" i="62"/>
  <c r="C19" i="62"/>
  <c r="B19" i="62"/>
  <c r="A18" i="62"/>
  <c r="K18" i="62"/>
  <c r="J18" i="62"/>
  <c r="I18" i="62"/>
  <c r="H18" i="62"/>
  <c r="G18" i="62"/>
  <c r="F18" i="62"/>
  <c r="E18" i="62"/>
  <c r="D18" i="62"/>
  <c r="C18" i="62"/>
  <c r="B18" i="62"/>
  <c r="A17" i="62"/>
  <c r="K17" i="62"/>
  <c r="J17" i="62"/>
  <c r="I17" i="62"/>
  <c r="H17" i="62"/>
  <c r="G17" i="62"/>
  <c r="F17" i="62"/>
  <c r="E17" i="62"/>
  <c r="D17" i="62"/>
  <c r="C17" i="62"/>
  <c r="B17" i="62"/>
  <c r="A16" i="62"/>
  <c r="K16" i="62"/>
  <c r="J16" i="62"/>
  <c r="I16" i="62"/>
  <c r="H16" i="62"/>
  <c r="G16" i="62"/>
  <c r="F16" i="62"/>
  <c r="E16" i="62"/>
  <c r="D16" i="62"/>
  <c r="C16" i="62"/>
  <c r="B16" i="62"/>
  <c r="A15" i="62"/>
  <c r="K15" i="62"/>
  <c r="J15" i="62"/>
  <c r="I15" i="62"/>
  <c r="H15" i="62"/>
  <c r="G15" i="62"/>
  <c r="F15" i="62"/>
  <c r="E15" i="62"/>
  <c r="D15" i="62"/>
  <c r="C15" i="62"/>
  <c r="B15" i="62"/>
  <c r="A14" i="62"/>
  <c r="K14" i="62"/>
  <c r="J14" i="62"/>
  <c r="I14" i="62"/>
  <c r="H14" i="62"/>
  <c r="G14" i="62"/>
  <c r="F14" i="62"/>
  <c r="E14" i="62"/>
  <c r="D14" i="62"/>
  <c r="C14" i="62"/>
  <c r="B14" i="62"/>
  <c r="A13" i="62"/>
  <c r="K13" i="62"/>
  <c r="J13" i="62"/>
  <c r="I13" i="62"/>
  <c r="H13" i="62"/>
  <c r="G13" i="62"/>
  <c r="F13" i="62"/>
  <c r="E13" i="62"/>
  <c r="D13" i="62"/>
  <c r="C13" i="62"/>
  <c r="B13" i="62"/>
  <c r="A12" i="62"/>
  <c r="K12" i="62"/>
  <c r="J12" i="62"/>
  <c r="I12" i="62"/>
  <c r="H12" i="62"/>
  <c r="G12" i="62"/>
  <c r="F12" i="62"/>
  <c r="E12" i="62"/>
  <c r="D12" i="62"/>
  <c r="C12" i="62"/>
  <c r="B12" i="62"/>
  <c r="A11" i="62"/>
  <c r="K11" i="62"/>
  <c r="J11" i="62"/>
  <c r="I11" i="62"/>
  <c r="H11" i="62"/>
  <c r="G11" i="62"/>
  <c r="F11" i="62"/>
  <c r="E11" i="62"/>
  <c r="D11" i="62"/>
  <c r="C11" i="62"/>
  <c r="B11" i="62"/>
  <c r="A10" i="62"/>
  <c r="K10" i="62"/>
  <c r="J10" i="62"/>
  <c r="I10" i="62"/>
  <c r="H10" i="62"/>
  <c r="G10" i="62"/>
  <c r="F10" i="62"/>
  <c r="E10" i="62"/>
  <c r="D10" i="62"/>
  <c r="C10" i="62"/>
  <c r="B10" i="62"/>
  <c r="A9" i="62"/>
  <c r="K9" i="62"/>
  <c r="J9" i="62"/>
  <c r="I9" i="62"/>
  <c r="H9" i="62"/>
  <c r="G9" i="62"/>
  <c r="F9" i="62"/>
  <c r="E9" i="62"/>
  <c r="D9" i="62"/>
  <c r="C9" i="62"/>
  <c r="B9" i="62"/>
  <c r="A8" i="62"/>
  <c r="K8" i="62"/>
  <c r="J8" i="62"/>
  <c r="I8" i="62"/>
  <c r="H8" i="62"/>
  <c r="G8" i="62"/>
  <c r="F8" i="62"/>
  <c r="E8" i="62"/>
  <c r="D8" i="62"/>
  <c r="C8" i="62"/>
  <c r="B8" i="62"/>
  <c r="A7" i="62"/>
  <c r="K7" i="62"/>
  <c r="J7" i="62"/>
  <c r="I7" i="62"/>
  <c r="H7" i="62"/>
  <c r="G7" i="62"/>
  <c r="F7" i="62"/>
  <c r="E7" i="62"/>
  <c r="D7" i="62"/>
  <c r="C7" i="62"/>
  <c r="B7" i="62"/>
  <c r="A6" i="62"/>
  <c r="K6" i="62"/>
  <c r="J6" i="62"/>
  <c r="I6" i="62"/>
  <c r="H6" i="62"/>
  <c r="G6" i="62"/>
  <c r="F6" i="62"/>
  <c r="E6" i="62"/>
  <c r="D6" i="62"/>
  <c r="C6" i="62"/>
  <c r="B6" i="62"/>
  <c r="A5" i="62"/>
  <c r="K5" i="62"/>
  <c r="J5" i="62"/>
  <c r="I5" i="62"/>
  <c r="H5" i="62"/>
  <c r="G5" i="62"/>
  <c r="F5" i="62"/>
  <c r="E5" i="62"/>
  <c r="D5" i="62"/>
  <c r="C5" i="62"/>
  <c r="B5" i="62"/>
  <c r="A4" i="62"/>
  <c r="K4" i="62"/>
  <c r="J4" i="62"/>
  <c r="I4" i="62"/>
  <c r="H4" i="62"/>
  <c r="G4" i="62"/>
  <c r="F4" i="62"/>
  <c r="E4" i="62"/>
  <c r="D4" i="62"/>
  <c r="C4" i="62"/>
  <c r="B4" i="62"/>
  <c r="C1" i="61"/>
  <c r="A1" i="61"/>
  <c r="A162" i="61"/>
  <c r="B1" i="61"/>
  <c r="K162" i="61"/>
  <c r="J162" i="61"/>
  <c r="I162" i="61"/>
  <c r="H162" i="61"/>
  <c r="G162" i="61"/>
  <c r="F162" i="61"/>
  <c r="E162" i="61"/>
  <c r="D162" i="61"/>
  <c r="C162" i="61"/>
  <c r="B162" i="61"/>
  <c r="A161" i="61"/>
  <c r="K161" i="61"/>
  <c r="J161" i="61"/>
  <c r="I161" i="61"/>
  <c r="H161" i="61"/>
  <c r="G161" i="61"/>
  <c r="F161" i="61"/>
  <c r="E161" i="61"/>
  <c r="D161" i="61"/>
  <c r="C161" i="61"/>
  <c r="B161" i="61"/>
  <c r="A160" i="61"/>
  <c r="K160" i="61"/>
  <c r="J160" i="61"/>
  <c r="I160" i="61"/>
  <c r="H160" i="61"/>
  <c r="G160" i="61"/>
  <c r="F160" i="61"/>
  <c r="E160" i="61"/>
  <c r="D160" i="61"/>
  <c r="C160" i="61"/>
  <c r="B160" i="61"/>
  <c r="A159" i="61"/>
  <c r="K159" i="61"/>
  <c r="J159" i="61"/>
  <c r="I159" i="61"/>
  <c r="H159" i="61"/>
  <c r="G159" i="61"/>
  <c r="F159" i="61"/>
  <c r="E159" i="61"/>
  <c r="D159" i="61"/>
  <c r="C159" i="61"/>
  <c r="B159" i="61"/>
  <c r="A158" i="61"/>
  <c r="K158" i="61"/>
  <c r="J158" i="61"/>
  <c r="I158" i="61"/>
  <c r="H158" i="61"/>
  <c r="G158" i="61"/>
  <c r="F158" i="61"/>
  <c r="E158" i="61"/>
  <c r="D158" i="61"/>
  <c r="C158" i="61"/>
  <c r="B158" i="61"/>
  <c r="A157" i="61"/>
  <c r="K157" i="61"/>
  <c r="J157" i="61"/>
  <c r="I157" i="61"/>
  <c r="H157" i="61"/>
  <c r="G157" i="61"/>
  <c r="F157" i="61"/>
  <c r="E157" i="61"/>
  <c r="D157" i="61"/>
  <c r="C157" i="61"/>
  <c r="B157" i="61"/>
  <c r="A156" i="61"/>
  <c r="K156" i="61"/>
  <c r="J156" i="61"/>
  <c r="I156" i="61"/>
  <c r="H156" i="61"/>
  <c r="G156" i="61"/>
  <c r="F156" i="61"/>
  <c r="E156" i="61"/>
  <c r="D156" i="61"/>
  <c r="C156" i="61"/>
  <c r="B156" i="61"/>
  <c r="A155" i="61"/>
  <c r="K155" i="61"/>
  <c r="J155" i="61"/>
  <c r="I155" i="61"/>
  <c r="H155" i="61"/>
  <c r="G155" i="61"/>
  <c r="F155" i="61"/>
  <c r="E155" i="61"/>
  <c r="D155" i="61"/>
  <c r="C155" i="61"/>
  <c r="B155" i="61"/>
  <c r="A154" i="61"/>
  <c r="K154" i="61"/>
  <c r="J154" i="61"/>
  <c r="I154" i="61"/>
  <c r="H154" i="61"/>
  <c r="G154" i="61"/>
  <c r="F154" i="61"/>
  <c r="E154" i="61"/>
  <c r="D154" i="61"/>
  <c r="C154" i="61"/>
  <c r="B154" i="61"/>
  <c r="A153" i="61"/>
  <c r="K153" i="61"/>
  <c r="J153" i="61"/>
  <c r="I153" i="61"/>
  <c r="H153" i="61"/>
  <c r="G153" i="61"/>
  <c r="F153" i="61"/>
  <c r="E153" i="61"/>
  <c r="D153" i="61"/>
  <c r="C153" i="61"/>
  <c r="B153" i="61"/>
  <c r="A152" i="61"/>
  <c r="K152" i="61"/>
  <c r="J152" i="61"/>
  <c r="I152" i="61"/>
  <c r="H152" i="61"/>
  <c r="G152" i="61"/>
  <c r="F152" i="61"/>
  <c r="E152" i="61"/>
  <c r="D152" i="61"/>
  <c r="C152" i="61"/>
  <c r="B152" i="61"/>
  <c r="A151" i="61"/>
  <c r="K151" i="61"/>
  <c r="J151" i="61"/>
  <c r="I151" i="61"/>
  <c r="H151" i="61"/>
  <c r="G151" i="61"/>
  <c r="F151" i="61"/>
  <c r="E151" i="61"/>
  <c r="D151" i="61"/>
  <c r="C151" i="61"/>
  <c r="B151" i="61"/>
  <c r="A150" i="61"/>
  <c r="K150" i="61"/>
  <c r="J150" i="61"/>
  <c r="I150" i="61"/>
  <c r="H150" i="61"/>
  <c r="G150" i="61"/>
  <c r="F150" i="61"/>
  <c r="E150" i="61"/>
  <c r="D150" i="61"/>
  <c r="C150" i="61"/>
  <c r="B150" i="61"/>
  <c r="A149" i="61"/>
  <c r="K149" i="61"/>
  <c r="J149" i="61"/>
  <c r="I149" i="61"/>
  <c r="H149" i="61"/>
  <c r="G149" i="61"/>
  <c r="F149" i="61"/>
  <c r="E149" i="61"/>
  <c r="D149" i="61"/>
  <c r="C149" i="61"/>
  <c r="B149" i="61"/>
  <c r="A148" i="61"/>
  <c r="K148" i="61"/>
  <c r="J148" i="61"/>
  <c r="I148" i="61"/>
  <c r="H148" i="61"/>
  <c r="G148" i="61"/>
  <c r="F148" i="61"/>
  <c r="E148" i="61"/>
  <c r="D148" i="61"/>
  <c r="C148" i="61"/>
  <c r="B148" i="61"/>
  <c r="A147" i="61"/>
  <c r="K147" i="61"/>
  <c r="J147" i="61"/>
  <c r="I147" i="61"/>
  <c r="H147" i="61"/>
  <c r="G147" i="61"/>
  <c r="F147" i="61"/>
  <c r="E147" i="61"/>
  <c r="D147" i="61"/>
  <c r="C147" i="61"/>
  <c r="B147" i="61"/>
  <c r="A146" i="61"/>
  <c r="K146" i="61"/>
  <c r="J146" i="61"/>
  <c r="I146" i="61"/>
  <c r="H146" i="61"/>
  <c r="G146" i="61"/>
  <c r="F146" i="61"/>
  <c r="E146" i="61"/>
  <c r="D146" i="61"/>
  <c r="C146" i="61"/>
  <c r="B146" i="61"/>
  <c r="A145" i="61"/>
  <c r="K145" i="61"/>
  <c r="J145" i="61"/>
  <c r="I145" i="61"/>
  <c r="H145" i="61"/>
  <c r="G145" i="61"/>
  <c r="F145" i="61"/>
  <c r="E145" i="61"/>
  <c r="D145" i="61"/>
  <c r="C145" i="61"/>
  <c r="B145" i="61"/>
  <c r="A144" i="61"/>
  <c r="K144" i="61"/>
  <c r="J144" i="61"/>
  <c r="I144" i="61"/>
  <c r="H144" i="61"/>
  <c r="G144" i="61"/>
  <c r="F144" i="61"/>
  <c r="E144" i="61"/>
  <c r="D144" i="61"/>
  <c r="C144" i="61"/>
  <c r="B144" i="61"/>
  <c r="A143" i="61"/>
  <c r="K143" i="61"/>
  <c r="J143" i="61"/>
  <c r="I143" i="61"/>
  <c r="H143" i="61"/>
  <c r="G143" i="61"/>
  <c r="F143" i="61"/>
  <c r="E143" i="61"/>
  <c r="D143" i="61"/>
  <c r="C143" i="61"/>
  <c r="B143" i="61"/>
  <c r="A142" i="61"/>
  <c r="K142" i="61"/>
  <c r="J142" i="61"/>
  <c r="I142" i="61"/>
  <c r="H142" i="61"/>
  <c r="G142" i="61"/>
  <c r="F142" i="61"/>
  <c r="E142" i="61"/>
  <c r="D142" i="61"/>
  <c r="C142" i="61"/>
  <c r="B142" i="61"/>
  <c r="A141" i="61"/>
  <c r="K141" i="61"/>
  <c r="J141" i="61"/>
  <c r="I141" i="61"/>
  <c r="H141" i="61"/>
  <c r="G141" i="61"/>
  <c r="F141" i="61"/>
  <c r="E141" i="61"/>
  <c r="D141" i="61"/>
  <c r="C141" i="61"/>
  <c r="B141" i="61"/>
  <c r="A140" i="61"/>
  <c r="K140" i="61"/>
  <c r="J140" i="61"/>
  <c r="I140" i="61"/>
  <c r="H140" i="61"/>
  <c r="G140" i="61"/>
  <c r="F140" i="61"/>
  <c r="E140" i="61"/>
  <c r="D140" i="61"/>
  <c r="C140" i="61"/>
  <c r="B140" i="61"/>
  <c r="A139" i="61"/>
  <c r="K139" i="61"/>
  <c r="J139" i="61"/>
  <c r="I139" i="61"/>
  <c r="H139" i="61"/>
  <c r="G139" i="61"/>
  <c r="F139" i="61"/>
  <c r="E139" i="61"/>
  <c r="D139" i="61"/>
  <c r="C139" i="61"/>
  <c r="B139" i="61"/>
  <c r="A138" i="61"/>
  <c r="K138" i="61"/>
  <c r="J138" i="61"/>
  <c r="I138" i="61"/>
  <c r="H138" i="61"/>
  <c r="G138" i="61"/>
  <c r="F138" i="61"/>
  <c r="E138" i="61"/>
  <c r="D138" i="61"/>
  <c r="C138" i="61"/>
  <c r="B138" i="61"/>
  <c r="A137" i="61"/>
  <c r="K137" i="61"/>
  <c r="J137" i="61"/>
  <c r="I137" i="61"/>
  <c r="H137" i="61"/>
  <c r="G137" i="61"/>
  <c r="F137" i="61"/>
  <c r="E137" i="61"/>
  <c r="D137" i="61"/>
  <c r="C137" i="61"/>
  <c r="B137" i="61"/>
  <c r="A136" i="61"/>
  <c r="K136" i="61"/>
  <c r="J136" i="61"/>
  <c r="I136" i="61"/>
  <c r="H136" i="61"/>
  <c r="G136" i="61"/>
  <c r="F136" i="61"/>
  <c r="E136" i="61"/>
  <c r="D136" i="61"/>
  <c r="C136" i="61"/>
  <c r="B136" i="61"/>
  <c r="A135" i="61"/>
  <c r="K135" i="61"/>
  <c r="J135" i="61"/>
  <c r="I135" i="61"/>
  <c r="H135" i="61"/>
  <c r="G135" i="61"/>
  <c r="F135" i="61"/>
  <c r="E135" i="61"/>
  <c r="D135" i="61"/>
  <c r="C135" i="61"/>
  <c r="B135" i="61"/>
  <c r="A134" i="61"/>
  <c r="K134" i="61"/>
  <c r="J134" i="61"/>
  <c r="I134" i="61"/>
  <c r="H134" i="61"/>
  <c r="G134" i="61"/>
  <c r="F134" i="61"/>
  <c r="E134" i="61"/>
  <c r="D134" i="61"/>
  <c r="C134" i="61"/>
  <c r="B134" i="61"/>
  <c r="A133" i="61"/>
  <c r="K133" i="61"/>
  <c r="J133" i="61"/>
  <c r="I133" i="61"/>
  <c r="H133" i="61"/>
  <c r="G133" i="61"/>
  <c r="F133" i="61"/>
  <c r="E133" i="61"/>
  <c r="D133" i="61"/>
  <c r="C133" i="61"/>
  <c r="B133" i="61"/>
  <c r="A132" i="61"/>
  <c r="K132" i="61"/>
  <c r="J132" i="61"/>
  <c r="I132" i="61"/>
  <c r="H132" i="61"/>
  <c r="G132" i="61"/>
  <c r="F132" i="61"/>
  <c r="E132" i="61"/>
  <c r="D132" i="61"/>
  <c r="C132" i="61"/>
  <c r="B132" i="61"/>
  <c r="A131" i="61"/>
  <c r="K131" i="61"/>
  <c r="J131" i="61"/>
  <c r="I131" i="61"/>
  <c r="H131" i="61"/>
  <c r="G131" i="61"/>
  <c r="F131" i="61"/>
  <c r="E131" i="61"/>
  <c r="D131" i="61"/>
  <c r="C131" i="61"/>
  <c r="B131" i="61"/>
  <c r="A130" i="61"/>
  <c r="K130" i="61"/>
  <c r="J130" i="61"/>
  <c r="I130" i="61"/>
  <c r="H130" i="61"/>
  <c r="G130" i="61"/>
  <c r="F130" i="61"/>
  <c r="E130" i="61"/>
  <c r="D130" i="61"/>
  <c r="C130" i="61"/>
  <c r="B130" i="61"/>
  <c r="A129" i="61"/>
  <c r="K129" i="61"/>
  <c r="J129" i="61"/>
  <c r="I129" i="61"/>
  <c r="H129" i="61"/>
  <c r="G129" i="61"/>
  <c r="F129" i="61"/>
  <c r="E129" i="61"/>
  <c r="D129" i="61"/>
  <c r="C129" i="61"/>
  <c r="B129" i="61"/>
  <c r="A128" i="61"/>
  <c r="K128" i="61"/>
  <c r="J128" i="61"/>
  <c r="I128" i="61"/>
  <c r="H128" i="61"/>
  <c r="G128" i="61"/>
  <c r="F128" i="61"/>
  <c r="E128" i="61"/>
  <c r="D128" i="61"/>
  <c r="C128" i="61"/>
  <c r="B128" i="61"/>
  <c r="A127" i="61"/>
  <c r="K127" i="61"/>
  <c r="J127" i="61"/>
  <c r="I127" i="61"/>
  <c r="H127" i="61"/>
  <c r="G127" i="61"/>
  <c r="F127" i="61"/>
  <c r="E127" i="61"/>
  <c r="D127" i="61"/>
  <c r="C127" i="61"/>
  <c r="B127" i="61"/>
  <c r="A126" i="61"/>
  <c r="K126" i="61"/>
  <c r="J126" i="61"/>
  <c r="I126" i="61"/>
  <c r="H126" i="61"/>
  <c r="G126" i="61"/>
  <c r="F126" i="61"/>
  <c r="E126" i="61"/>
  <c r="D126" i="61"/>
  <c r="C126" i="61"/>
  <c r="B126" i="61"/>
  <c r="A125" i="61"/>
  <c r="K125" i="61"/>
  <c r="J125" i="61"/>
  <c r="I125" i="61"/>
  <c r="H125" i="61"/>
  <c r="G125" i="61"/>
  <c r="F125" i="61"/>
  <c r="E125" i="61"/>
  <c r="D125" i="61"/>
  <c r="C125" i="61"/>
  <c r="B125" i="61"/>
  <c r="A124" i="61"/>
  <c r="K124" i="61"/>
  <c r="J124" i="61"/>
  <c r="I124" i="61"/>
  <c r="H124" i="61"/>
  <c r="G124" i="61"/>
  <c r="F124" i="61"/>
  <c r="E124" i="61"/>
  <c r="D124" i="61"/>
  <c r="C124" i="61"/>
  <c r="B124" i="61"/>
  <c r="A123" i="61"/>
  <c r="K123" i="61"/>
  <c r="J123" i="61"/>
  <c r="I123" i="61"/>
  <c r="H123" i="61"/>
  <c r="G123" i="61"/>
  <c r="F123" i="61"/>
  <c r="E123" i="61"/>
  <c r="D123" i="61"/>
  <c r="C123" i="61"/>
  <c r="B123" i="61"/>
  <c r="A122" i="61"/>
  <c r="K122" i="61"/>
  <c r="J122" i="61"/>
  <c r="I122" i="61"/>
  <c r="H122" i="61"/>
  <c r="G122" i="61"/>
  <c r="F122" i="61"/>
  <c r="E122" i="61"/>
  <c r="D122" i="61"/>
  <c r="C122" i="61"/>
  <c r="B122" i="61"/>
  <c r="A121" i="61"/>
  <c r="K121" i="61"/>
  <c r="J121" i="61"/>
  <c r="I121" i="61"/>
  <c r="H121" i="61"/>
  <c r="G121" i="61"/>
  <c r="F121" i="61"/>
  <c r="E121" i="61"/>
  <c r="D121" i="61"/>
  <c r="C121" i="61"/>
  <c r="B121" i="61"/>
  <c r="A120" i="61"/>
  <c r="K120" i="61"/>
  <c r="J120" i="61"/>
  <c r="I120" i="61"/>
  <c r="H120" i="61"/>
  <c r="G120" i="61"/>
  <c r="F120" i="61"/>
  <c r="E120" i="61"/>
  <c r="D120" i="61"/>
  <c r="C120" i="61"/>
  <c r="B120" i="61"/>
  <c r="A119" i="61"/>
  <c r="K119" i="61"/>
  <c r="J119" i="61"/>
  <c r="I119" i="61"/>
  <c r="H119" i="61"/>
  <c r="G119" i="61"/>
  <c r="F119" i="61"/>
  <c r="E119" i="61"/>
  <c r="D119" i="61"/>
  <c r="C119" i="61"/>
  <c r="B119" i="61"/>
  <c r="A118" i="61"/>
  <c r="K118" i="61"/>
  <c r="J118" i="61"/>
  <c r="I118" i="61"/>
  <c r="H118" i="61"/>
  <c r="G118" i="61"/>
  <c r="F118" i="61"/>
  <c r="E118" i="61"/>
  <c r="D118" i="61"/>
  <c r="C118" i="61"/>
  <c r="B118" i="61"/>
  <c r="A117" i="61"/>
  <c r="K117" i="61"/>
  <c r="J117" i="61"/>
  <c r="I117" i="61"/>
  <c r="H117" i="61"/>
  <c r="G117" i="61"/>
  <c r="F117" i="61"/>
  <c r="E117" i="61"/>
  <c r="D117" i="61"/>
  <c r="C117" i="61"/>
  <c r="B117" i="61"/>
  <c r="A116" i="61"/>
  <c r="K116" i="61"/>
  <c r="J116" i="61"/>
  <c r="I116" i="61"/>
  <c r="H116" i="61"/>
  <c r="G116" i="61"/>
  <c r="F116" i="61"/>
  <c r="E116" i="61"/>
  <c r="D116" i="61"/>
  <c r="C116" i="61"/>
  <c r="B116" i="61"/>
  <c r="A115" i="61"/>
  <c r="K115" i="61"/>
  <c r="J115" i="61"/>
  <c r="I115" i="61"/>
  <c r="H115" i="61"/>
  <c r="G115" i="61"/>
  <c r="F115" i="61"/>
  <c r="E115" i="61"/>
  <c r="D115" i="61"/>
  <c r="C115" i="61"/>
  <c r="B115" i="61"/>
  <c r="A114" i="61"/>
  <c r="K114" i="61"/>
  <c r="J114" i="61"/>
  <c r="I114" i="61"/>
  <c r="H114" i="61"/>
  <c r="G114" i="61"/>
  <c r="F114" i="61"/>
  <c r="E114" i="61"/>
  <c r="D114" i="61"/>
  <c r="C114" i="61"/>
  <c r="B114" i="61"/>
  <c r="A113" i="61"/>
  <c r="K113" i="61"/>
  <c r="J113" i="61"/>
  <c r="I113" i="61"/>
  <c r="H113" i="61"/>
  <c r="G113" i="61"/>
  <c r="F113" i="61"/>
  <c r="E113" i="61"/>
  <c r="D113" i="61"/>
  <c r="C113" i="61"/>
  <c r="B113" i="61"/>
  <c r="A112" i="61"/>
  <c r="K112" i="61"/>
  <c r="J112" i="61"/>
  <c r="I112" i="61"/>
  <c r="H112" i="61"/>
  <c r="G112" i="61"/>
  <c r="F112" i="61"/>
  <c r="E112" i="61"/>
  <c r="D112" i="61"/>
  <c r="C112" i="61"/>
  <c r="B112" i="61"/>
  <c r="A111" i="61"/>
  <c r="K111" i="61"/>
  <c r="J111" i="61"/>
  <c r="I111" i="61"/>
  <c r="H111" i="61"/>
  <c r="G111" i="61"/>
  <c r="F111" i="61"/>
  <c r="E111" i="61"/>
  <c r="D111" i="61"/>
  <c r="C111" i="61"/>
  <c r="B111" i="61"/>
  <c r="A110" i="61"/>
  <c r="K110" i="61"/>
  <c r="J110" i="61"/>
  <c r="I110" i="61"/>
  <c r="H110" i="61"/>
  <c r="G110" i="61"/>
  <c r="F110" i="61"/>
  <c r="E110" i="61"/>
  <c r="D110" i="61"/>
  <c r="C110" i="61"/>
  <c r="B110" i="61"/>
  <c r="A109" i="61"/>
  <c r="K109" i="61"/>
  <c r="J109" i="61"/>
  <c r="I109" i="61"/>
  <c r="H109" i="61"/>
  <c r="G109" i="61"/>
  <c r="F109" i="61"/>
  <c r="E109" i="61"/>
  <c r="D109" i="61"/>
  <c r="C109" i="61"/>
  <c r="B109" i="61"/>
  <c r="A108" i="61"/>
  <c r="K108" i="61"/>
  <c r="J108" i="61"/>
  <c r="I108" i="61"/>
  <c r="H108" i="61"/>
  <c r="G108" i="61"/>
  <c r="F108" i="61"/>
  <c r="E108" i="61"/>
  <c r="D108" i="61"/>
  <c r="C108" i="61"/>
  <c r="B108" i="61"/>
  <c r="A107" i="61"/>
  <c r="K107" i="61"/>
  <c r="J107" i="61"/>
  <c r="I107" i="61"/>
  <c r="H107" i="61"/>
  <c r="G107" i="61"/>
  <c r="F107" i="61"/>
  <c r="E107" i="61"/>
  <c r="D107" i="61"/>
  <c r="C107" i="61"/>
  <c r="B107" i="61"/>
  <c r="A106" i="61"/>
  <c r="K106" i="61"/>
  <c r="J106" i="61"/>
  <c r="I106" i="61"/>
  <c r="H106" i="61"/>
  <c r="G106" i="61"/>
  <c r="F106" i="61"/>
  <c r="E106" i="61"/>
  <c r="D106" i="61"/>
  <c r="C106" i="61"/>
  <c r="B106" i="61"/>
  <c r="A105" i="61"/>
  <c r="K105" i="61"/>
  <c r="J105" i="61"/>
  <c r="I105" i="61"/>
  <c r="H105" i="61"/>
  <c r="G105" i="61"/>
  <c r="F105" i="61"/>
  <c r="E105" i="61"/>
  <c r="D105" i="61"/>
  <c r="C105" i="61"/>
  <c r="B105" i="61"/>
  <c r="A104" i="61"/>
  <c r="K104" i="61"/>
  <c r="J104" i="61"/>
  <c r="I104" i="61"/>
  <c r="H104" i="61"/>
  <c r="G104" i="61"/>
  <c r="F104" i="61"/>
  <c r="E104" i="61"/>
  <c r="D104" i="61"/>
  <c r="C104" i="61"/>
  <c r="B104" i="61"/>
  <c r="A103" i="61"/>
  <c r="K103" i="61"/>
  <c r="J103" i="61"/>
  <c r="I103" i="61"/>
  <c r="H103" i="61"/>
  <c r="G103" i="61"/>
  <c r="F103" i="61"/>
  <c r="E103" i="61"/>
  <c r="D103" i="61"/>
  <c r="C103" i="61"/>
  <c r="B103" i="61"/>
  <c r="A102" i="61"/>
  <c r="K102" i="61"/>
  <c r="J102" i="61"/>
  <c r="I102" i="61"/>
  <c r="H102" i="61"/>
  <c r="G102" i="61"/>
  <c r="F102" i="61"/>
  <c r="E102" i="61"/>
  <c r="D102" i="61"/>
  <c r="C102" i="61"/>
  <c r="B102" i="61"/>
  <c r="A101" i="61"/>
  <c r="K101" i="61"/>
  <c r="J101" i="61"/>
  <c r="I101" i="61"/>
  <c r="H101" i="61"/>
  <c r="G101" i="61"/>
  <c r="F101" i="61"/>
  <c r="E101" i="61"/>
  <c r="D101" i="61"/>
  <c r="C101" i="61"/>
  <c r="B101" i="61"/>
  <c r="A100" i="61"/>
  <c r="K100" i="61"/>
  <c r="J100" i="61"/>
  <c r="I100" i="61"/>
  <c r="H100" i="61"/>
  <c r="G100" i="61"/>
  <c r="F100" i="61"/>
  <c r="E100" i="61"/>
  <c r="D100" i="61"/>
  <c r="C100" i="61"/>
  <c r="B100" i="61"/>
  <c r="A99" i="61"/>
  <c r="K99" i="61"/>
  <c r="J99" i="61"/>
  <c r="I99" i="61"/>
  <c r="H99" i="61"/>
  <c r="G99" i="61"/>
  <c r="F99" i="61"/>
  <c r="E99" i="61"/>
  <c r="D99" i="61"/>
  <c r="C99" i="61"/>
  <c r="B99" i="61"/>
  <c r="A98" i="61"/>
  <c r="K98" i="61"/>
  <c r="J98" i="61"/>
  <c r="I98" i="61"/>
  <c r="H98" i="61"/>
  <c r="G98" i="61"/>
  <c r="F98" i="61"/>
  <c r="E98" i="61"/>
  <c r="D98" i="61"/>
  <c r="C98" i="61"/>
  <c r="B98" i="61"/>
  <c r="A97" i="61"/>
  <c r="K97" i="61"/>
  <c r="J97" i="61"/>
  <c r="I97" i="61"/>
  <c r="H97" i="61"/>
  <c r="G97" i="61"/>
  <c r="F97" i="61"/>
  <c r="E97" i="61"/>
  <c r="D97" i="61"/>
  <c r="C97" i="61"/>
  <c r="B97" i="61"/>
  <c r="A96" i="61"/>
  <c r="K96" i="61"/>
  <c r="J96" i="61"/>
  <c r="I96" i="61"/>
  <c r="H96" i="61"/>
  <c r="G96" i="61"/>
  <c r="F96" i="61"/>
  <c r="E96" i="61"/>
  <c r="D96" i="61"/>
  <c r="C96" i="61"/>
  <c r="B96" i="61"/>
  <c r="A95" i="61"/>
  <c r="K95" i="61"/>
  <c r="J95" i="61"/>
  <c r="I95" i="61"/>
  <c r="H95" i="61"/>
  <c r="G95" i="61"/>
  <c r="F95" i="61"/>
  <c r="E95" i="61"/>
  <c r="D95" i="61"/>
  <c r="C95" i="61"/>
  <c r="B95" i="61"/>
  <c r="A94" i="61"/>
  <c r="K94" i="61"/>
  <c r="J94" i="61"/>
  <c r="I94" i="61"/>
  <c r="H94" i="61"/>
  <c r="G94" i="61"/>
  <c r="F94" i="61"/>
  <c r="E94" i="61"/>
  <c r="D94" i="61"/>
  <c r="C94" i="61"/>
  <c r="B94" i="61"/>
  <c r="A93" i="61"/>
  <c r="K93" i="61"/>
  <c r="J93" i="61"/>
  <c r="I93" i="61"/>
  <c r="H93" i="61"/>
  <c r="G93" i="61"/>
  <c r="F93" i="61"/>
  <c r="E93" i="61"/>
  <c r="D93" i="61"/>
  <c r="C93" i="61"/>
  <c r="B93" i="61"/>
  <c r="A92" i="61"/>
  <c r="K92" i="61"/>
  <c r="J92" i="61"/>
  <c r="I92" i="61"/>
  <c r="H92" i="61"/>
  <c r="G92" i="61"/>
  <c r="F92" i="61"/>
  <c r="E92" i="61"/>
  <c r="D92" i="61"/>
  <c r="C92" i="61"/>
  <c r="B92" i="61"/>
  <c r="A91" i="61"/>
  <c r="K91" i="61"/>
  <c r="J91" i="61"/>
  <c r="I91" i="61"/>
  <c r="H91" i="61"/>
  <c r="G91" i="61"/>
  <c r="F91" i="61"/>
  <c r="E91" i="61"/>
  <c r="D91" i="61"/>
  <c r="C91" i="61"/>
  <c r="B91" i="61"/>
  <c r="A90" i="61"/>
  <c r="K90" i="61"/>
  <c r="J90" i="61"/>
  <c r="I90" i="61"/>
  <c r="H90" i="61"/>
  <c r="G90" i="61"/>
  <c r="F90" i="61"/>
  <c r="E90" i="61"/>
  <c r="D90" i="61"/>
  <c r="C90" i="61"/>
  <c r="B90" i="61"/>
  <c r="A89" i="61"/>
  <c r="K89" i="61"/>
  <c r="J89" i="61"/>
  <c r="I89" i="61"/>
  <c r="H89" i="61"/>
  <c r="G89" i="61"/>
  <c r="F89" i="61"/>
  <c r="E89" i="61"/>
  <c r="D89" i="61"/>
  <c r="C89" i="61"/>
  <c r="B89" i="61"/>
  <c r="A88" i="61"/>
  <c r="K88" i="61"/>
  <c r="J88" i="61"/>
  <c r="I88" i="61"/>
  <c r="H88" i="61"/>
  <c r="G88" i="61"/>
  <c r="F88" i="61"/>
  <c r="E88" i="61"/>
  <c r="D88" i="61"/>
  <c r="C88" i="61"/>
  <c r="B88" i="61"/>
  <c r="A87" i="61"/>
  <c r="K87" i="61"/>
  <c r="J87" i="61"/>
  <c r="I87" i="61"/>
  <c r="H87" i="61"/>
  <c r="G87" i="61"/>
  <c r="F87" i="61"/>
  <c r="E87" i="61"/>
  <c r="D87" i="61"/>
  <c r="C87" i="61"/>
  <c r="B87" i="61"/>
  <c r="A86" i="61"/>
  <c r="K86" i="61"/>
  <c r="J86" i="61"/>
  <c r="I86" i="61"/>
  <c r="H86" i="61"/>
  <c r="G86" i="61"/>
  <c r="F86" i="61"/>
  <c r="E86" i="61"/>
  <c r="D86" i="61"/>
  <c r="C86" i="61"/>
  <c r="B86" i="61"/>
  <c r="A85" i="61"/>
  <c r="K85" i="61"/>
  <c r="J85" i="61"/>
  <c r="I85" i="61"/>
  <c r="H85" i="61"/>
  <c r="G85" i="61"/>
  <c r="F85" i="61"/>
  <c r="E85" i="61"/>
  <c r="D85" i="61"/>
  <c r="C85" i="61"/>
  <c r="B85" i="61"/>
  <c r="A84" i="61"/>
  <c r="K84" i="61"/>
  <c r="J84" i="61"/>
  <c r="I84" i="61"/>
  <c r="H84" i="61"/>
  <c r="G84" i="61"/>
  <c r="F84" i="61"/>
  <c r="E84" i="61"/>
  <c r="D84" i="61"/>
  <c r="C84" i="61"/>
  <c r="B84" i="61"/>
  <c r="A83" i="61"/>
  <c r="K83" i="61"/>
  <c r="J83" i="61"/>
  <c r="I83" i="61"/>
  <c r="H83" i="61"/>
  <c r="G83" i="61"/>
  <c r="F83" i="61"/>
  <c r="E83" i="61"/>
  <c r="D83" i="61"/>
  <c r="C83" i="61"/>
  <c r="B83" i="61"/>
  <c r="A82" i="61"/>
  <c r="K82" i="61"/>
  <c r="J82" i="61"/>
  <c r="I82" i="61"/>
  <c r="H82" i="61"/>
  <c r="G82" i="61"/>
  <c r="F82" i="61"/>
  <c r="E82" i="61"/>
  <c r="D82" i="61"/>
  <c r="C82" i="61"/>
  <c r="B82" i="61"/>
  <c r="A81" i="61"/>
  <c r="K81" i="61"/>
  <c r="J81" i="61"/>
  <c r="I81" i="61"/>
  <c r="H81" i="61"/>
  <c r="G81" i="61"/>
  <c r="F81" i="61"/>
  <c r="E81" i="61"/>
  <c r="D81" i="61"/>
  <c r="C81" i="61"/>
  <c r="B81" i="61"/>
  <c r="A80" i="61"/>
  <c r="K80" i="61"/>
  <c r="J80" i="61"/>
  <c r="I80" i="61"/>
  <c r="H80" i="61"/>
  <c r="G80" i="61"/>
  <c r="F80" i="61"/>
  <c r="E80" i="61"/>
  <c r="D80" i="61"/>
  <c r="C80" i="61"/>
  <c r="B80" i="61"/>
  <c r="A79" i="61"/>
  <c r="K79" i="61"/>
  <c r="J79" i="61"/>
  <c r="I79" i="61"/>
  <c r="H79" i="61"/>
  <c r="G79" i="61"/>
  <c r="F79" i="61"/>
  <c r="E79" i="61"/>
  <c r="D79" i="61"/>
  <c r="C79" i="61"/>
  <c r="B79" i="61"/>
  <c r="A78" i="61"/>
  <c r="K78" i="61"/>
  <c r="J78" i="61"/>
  <c r="I78" i="61"/>
  <c r="H78" i="61"/>
  <c r="G78" i="61"/>
  <c r="F78" i="61"/>
  <c r="E78" i="61"/>
  <c r="D78" i="61"/>
  <c r="C78" i="61"/>
  <c r="B78" i="61"/>
  <c r="A77" i="61"/>
  <c r="K77" i="61"/>
  <c r="J77" i="61"/>
  <c r="I77" i="61"/>
  <c r="H77" i="61"/>
  <c r="G77" i="61"/>
  <c r="F77" i="61"/>
  <c r="E77" i="61"/>
  <c r="D77" i="61"/>
  <c r="C77" i="61"/>
  <c r="B77" i="61"/>
  <c r="A76" i="61"/>
  <c r="K76" i="61"/>
  <c r="J76" i="61"/>
  <c r="I76" i="61"/>
  <c r="H76" i="61"/>
  <c r="G76" i="61"/>
  <c r="F76" i="61"/>
  <c r="E76" i="61"/>
  <c r="D76" i="61"/>
  <c r="C76" i="61"/>
  <c r="B76" i="61"/>
  <c r="A75" i="61"/>
  <c r="K75" i="61"/>
  <c r="J75" i="61"/>
  <c r="I75" i="61"/>
  <c r="H75" i="61"/>
  <c r="G75" i="61"/>
  <c r="F75" i="61"/>
  <c r="E75" i="61"/>
  <c r="D75" i="61"/>
  <c r="C75" i="61"/>
  <c r="B75" i="61"/>
  <c r="A74" i="61"/>
  <c r="K74" i="61"/>
  <c r="J74" i="61"/>
  <c r="I74" i="61"/>
  <c r="H74" i="61"/>
  <c r="G74" i="61"/>
  <c r="F74" i="61"/>
  <c r="E74" i="61"/>
  <c r="D74" i="61"/>
  <c r="C74" i="61"/>
  <c r="B74" i="61"/>
  <c r="A73" i="61"/>
  <c r="K73" i="61"/>
  <c r="J73" i="61"/>
  <c r="I73" i="61"/>
  <c r="H73" i="61"/>
  <c r="G73" i="61"/>
  <c r="F73" i="61"/>
  <c r="E73" i="61"/>
  <c r="D73" i="61"/>
  <c r="C73" i="61"/>
  <c r="B73" i="61"/>
  <c r="A72" i="61"/>
  <c r="K72" i="61"/>
  <c r="J72" i="61"/>
  <c r="I72" i="61"/>
  <c r="H72" i="61"/>
  <c r="G72" i="61"/>
  <c r="F72" i="61"/>
  <c r="E72" i="61"/>
  <c r="D72" i="61"/>
  <c r="C72" i="61"/>
  <c r="B72" i="61"/>
  <c r="A71" i="61"/>
  <c r="K71" i="61"/>
  <c r="J71" i="61"/>
  <c r="I71" i="61"/>
  <c r="H71" i="61"/>
  <c r="G71" i="61"/>
  <c r="F71" i="61"/>
  <c r="E71" i="61"/>
  <c r="D71" i="61"/>
  <c r="C71" i="61"/>
  <c r="B71" i="61"/>
  <c r="A70" i="61"/>
  <c r="K70" i="61"/>
  <c r="J70" i="61"/>
  <c r="I70" i="61"/>
  <c r="H70" i="61"/>
  <c r="G70" i="61"/>
  <c r="F70" i="61"/>
  <c r="E70" i="61"/>
  <c r="D70" i="61"/>
  <c r="C70" i="61"/>
  <c r="B70" i="61"/>
  <c r="A69" i="61"/>
  <c r="K69" i="61"/>
  <c r="J69" i="61"/>
  <c r="I69" i="61"/>
  <c r="H69" i="61"/>
  <c r="G69" i="61"/>
  <c r="F69" i="61"/>
  <c r="E69" i="61"/>
  <c r="D69" i="61"/>
  <c r="C69" i="61"/>
  <c r="B69" i="61"/>
  <c r="A68" i="61"/>
  <c r="K68" i="61"/>
  <c r="J68" i="61"/>
  <c r="I68" i="61"/>
  <c r="H68" i="61"/>
  <c r="G68" i="61"/>
  <c r="F68" i="61"/>
  <c r="E68" i="61"/>
  <c r="D68" i="61"/>
  <c r="C68" i="61"/>
  <c r="B68" i="61"/>
  <c r="A67" i="61"/>
  <c r="K67" i="61"/>
  <c r="J67" i="61"/>
  <c r="I67" i="61"/>
  <c r="H67" i="61"/>
  <c r="G67" i="61"/>
  <c r="F67" i="61"/>
  <c r="E67" i="61"/>
  <c r="D67" i="61"/>
  <c r="C67" i="61"/>
  <c r="B67" i="61"/>
  <c r="A66" i="61"/>
  <c r="K66" i="61"/>
  <c r="J66" i="61"/>
  <c r="I66" i="61"/>
  <c r="H66" i="61"/>
  <c r="G66" i="61"/>
  <c r="F66" i="61"/>
  <c r="E66" i="61"/>
  <c r="D66" i="61"/>
  <c r="C66" i="61"/>
  <c r="B66" i="61"/>
  <c r="A65" i="61"/>
  <c r="K65" i="61"/>
  <c r="J65" i="61"/>
  <c r="I65" i="61"/>
  <c r="H65" i="61"/>
  <c r="G65" i="61"/>
  <c r="F65" i="61"/>
  <c r="E65" i="61"/>
  <c r="D65" i="61"/>
  <c r="C65" i="61"/>
  <c r="B65" i="61"/>
  <c r="A64" i="61"/>
  <c r="K64" i="61"/>
  <c r="J64" i="61"/>
  <c r="I64" i="61"/>
  <c r="H64" i="61"/>
  <c r="G64" i="61"/>
  <c r="F64" i="61"/>
  <c r="E64" i="61"/>
  <c r="D64" i="61"/>
  <c r="C64" i="61"/>
  <c r="B64" i="61"/>
  <c r="A63" i="61"/>
  <c r="K63" i="61"/>
  <c r="J63" i="61"/>
  <c r="I63" i="61"/>
  <c r="H63" i="61"/>
  <c r="G63" i="61"/>
  <c r="F63" i="61"/>
  <c r="E63" i="61"/>
  <c r="D63" i="61"/>
  <c r="C63" i="61"/>
  <c r="B63" i="61"/>
  <c r="A62" i="61"/>
  <c r="K62" i="61"/>
  <c r="J62" i="61"/>
  <c r="I62" i="61"/>
  <c r="H62" i="61"/>
  <c r="G62" i="61"/>
  <c r="F62" i="61"/>
  <c r="E62" i="61"/>
  <c r="D62" i="61"/>
  <c r="C62" i="61"/>
  <c r="B62" i="61"/>
  <c r="A61" i="61"/>
  <c r="K61" i="61"/>
  <c r="J61" i="61"/>
  <c r="I61" i="61"/>
  <c r="H61" i="61"/>
  <c r="G61" i="61"/>
  <c r="F61" i="61"/>
  <c r="E61" i="61"/>
  <c r="D61" i="61"/>
  <c r="C61" i="61"/>
  <c r="B61" i="61"/>
  <c r="A60" i="61"/>
  <c r="K60" i="61"/>
  <c r="J60" i="61"/>
  <c r="I60" i="61"/>
  <c r="H60" i="61"/>
  <c r="G60" i="61"/>
  <c r="F60" i="61"/>
  <c r="E60" i="61"/>
  <c r="D60" i="61"/>
  <c r="C60" i="61"/>
  <c r="B60" i="61"/>
  <c r="A59" i="61"/>
  <c r="K59" i="61"/>
  <c r="J59" i="61"/>
  <c r="I59" i="61"/>
  <c r="H59" i="61"/>
  <c r="G59" i="61"/>
  <c r="F59" i="61"/>
  <c r="E59" i="61"/>
  <c r="D59" i="61"/>
  <c r="C59" i="61"/>
  <c r="B59" i="61"/>
  <c r="A58" i="61"/>
  <c r="K58" i="61"/>
  <c r="J58" i="61"/>
  <c r="I58" i="61"/>
  <c r="H58" i="61"/>
  <c r="G58" i="61"/>
  <c r="F58" i="61"/>
  <c r="E58" i="61"/>
  <c r="D58" i="61"/>
  <c r="C58" i="61"/>
  <c r="B58" i="61"/>
  <c r="A57" i="61"/>
  <c r="K57" i="61"/>
  <c r="J57" i="61"/>
  <c r="I57" i="61"/>
  <c r="H57" i="61"/>
  <c r="G57" i="61"/>
  <c r="F57" i="61"/>
  <c r="E57" i="61"/>
  <c r="D57" i="61"/>
  <c r="C57" i="61"/>
  <c r="B57" i="61"/>
  <c r="A56" i="61"/>
  <c r="K56" i="61"/>
  <c r="J56" i="61"/>
  <c r="I56" i="61"/>
  <c r="H56" i="61"/>
  <c r="G56" i="61"/>
  <c r="F56" i="61"/>
  <c r="E56" i="61"/>
  <c r="D56" i="61"/>
  <c r="C56" i="61"/>
  <c r="B56" i="61"/>
  <c r="A55" i="61"/>
  <c r="K55" i="61"/>
  <c r="J55" i="61"/>
  <c r="I55" i="61"/>
  <c r="H55" i="61"/>
  <c r="G55" i="61"/>
  <c r="F55" i="61"/>
  <c r="E55" i="61"/>
  <c r="D55" i="61"/>
  <c r="C55" i="61"/>
  <c r="B55" i="61"/>
  <c r="A54" i="61"/>
  <c r="K54" i="61"/>
  <c r="J54" i="61"/>
  <c r="I54" i="61"/>
  <c r="H54" i="61"/>
  <c r="G54" i="61"/>
  <c r="F54" i="61"/>
  <c r="E54" i="61"/>
  <c r="D54" i="61"/>
  <c r="C54" i="61"/>
  <c r="B54" i="61"/>
  <c r="A53" i="61"/>
  <c r="K53" i="61"/>
  <c r="J53" i="61"/>
  <c r="I53" i="61"/>
  <c r="H53" i="61"/>
  <c r="G53" i="61"/>
  <c r="F53" i="61"/>
  <c r="E53" i="61"/>
  <c r="D53" i="61"/>
  <c r="C53" i="61"/>
  <c r="B53" i="61"/>
  <c r="A52" i="61"/>
  <c r="K52" i="61"/>
  <c r="J52" i="61"/>
  <c r="I52" i="61"/>
  <c r="H52" i="61"/>
  <c r="G52" i="61"/>
  <c r="F52" i="61"/>
  <c r="E52" i="61"/>
  <c r="D52" i="61"/>
  <c r="C52" i="61"/>
  <c r="B52" i="61"/>
  <c r="A51" i="61"/>
  <c r="K51" i="61"/>
  <c r="J51" i="61"/>
  <c r="I51" i="61"/>
  <c r="H51" i="61"/>
  <c r="G51" i="61"/>
  <c r="F51" i="61"/>
  <c r="E51" i="61"/>
  <c r="D51" i="61"/>
  <c r="C51" i="61"/>
  <c r="B51" i="61"/>
  <c r="A50" i="61"/>
  <c r="K50" i="61"/>
  <c r="J50" i="61"/>
  <c r="I50" i="61"/>
  <c r="H50" i="61"/>
  <c r="G50" i="61"/>
  <c r="F50" i="61"/>
  <c r="E50" i="61"/>
  <c r="D50" i="61"/>
  <c r="C50" i="61"/>
  <c r="B50" i="61"/>
  <c r="A49" i="61"/>
  <c r="K49" i="61"/>
  <c r="J49" i="61"/>
  <c r="I49" i="61"/>
  <c r="H49" i="61"/>
  <c r="G49" i="61"/>
  <c r="F49" i="61"/>
  <c r="E49" i="61"/>
  <c r="D49" i="61"/>
  <c r="C49" i="61"/>
  <c r="B49" i="61"/>
  <c r="A48" i="61"/>
  <c r="K48" i="61"/>
  <c r="J48" i="61"/>
  <c r="I48" i="61"/>
  <c r="H48" i="61"/>
  <c r="G48" i="61"/>
  <c r="F48" i="61"/>
  <c r="E48" i="61"/>
  <c r="D48" i="61"/>
  <c r="C48" i="61"/>
  <c r="B48" i="61"/>
  <c r="A47" i="61"/>
  <c r="K47" i="61"/>
  <c r="J47" i="61"/>
  <c r="I47" i="61"/>
  <c r="H47" i="61"/>
  <c r="G47" i="61"/>
  <c r="F47" i="61"/>
  <c r="E47" i="61"/>
  <c r="D47" i="61"/>
  <c r="C47" i="61"/>
  <c r="B47" i="61"/>
  <c r="A46" i="61"/>
  <c r="K46" i="61"/>
  <c r="J46" i="61"/>
  <c r="I46" i="61"/>
  <c r="H46" i="61"/>
  <c r="G46" i="61"/>
  <c r="F46" i="61"/>
  <c r="E46" i="61"/>
  <c r="D46" i="61"/>
  <c r="C46" i="61"/>
  <c r="B46" i="61"/>
  <c r="A45" i="61"/>
  <c r="K45" i="61"/>
  <c r="J45" i="61"/>
  <c r="I45" i="61"/>
  <c r="H45" i="61"/>
  <c r="G45" i="61"/>
  <c r="F45" i="61"/>
  <c r="E45" i="61"/>
  <c r="D45" i="61"/>
  <c r="C45" i="61"/>
  <c r="B45" i="61"/>
  <c r="A44" i="61"/>
  <c r="K44" i="61"/>
  <c r="J44" i="61"/>
  <c r="I44" i="61"/>
  <c r="H44" i="61"/>
  <c r="G44" i="61"/>
  <c r="F44" i="61"/>
  <c r="E44" i="61"/>
  <c r="D44" i="61"/>
  <c r="C44" i="61"/>
  <c r="B44" i="61"/>
  <c r="A43" i="61"/>
  <c r="K43" i="61"/>
  <c r="J43" i="61"/>
  <c r="I43" i="61"/>
  <c r="H43" i="61"/>
  <c r="G43" i="61"/>
  <c r="F43" i="61"/>
  <c r="E43" i="61"/>
  <c r="D43" i="61"/>
  <c r="C43" i="61"/>
  <c r="B43" i="61"/>
  <c r="A42" i="61"/>
  <c r="K42" i="61"/>
  <c r="J42" i="61"/>
  <c r="I42" i="61"/>
  <c r="H42" i="61"/>
  <c r="G42" i="61"/>
  <c r="F42" i="61"/>
  <c r="E42" i="61"/>
  <c r="D42" i="61"/>
  <c r="C42" i="61"/>
  <c r="B42" i="61"/>
  <c r="A41" i="61"/>
  <c r="K41" i="61"/>
  <c r="J41" i="61"/>
  <c r="I41" i="61"/>
  <c r="H41" i="61"/>
  <c r="G41" i="61"/>
  <c r="F41" i="61"/>
  <c r="E41" i="61"/>
  <c r="D41" i="61"/>
  <c r="C41" i="61"/>
  <c r="B41" i="61"/>
  <c r="A40" i="61"/>
  <c r="K40" i="61"/>
  <c r="J40" i="61"/>
  <c r="I40" i="61"/>
  <c r="H40" i="61"/>
  <c r="G40" i="61"/>
  <c r="F40" i="61"/>
  <c r="E40" i="61"/>
  <c r="D40" i="61"/>
  <c r="C40" i="61"/>
  <c r="B40" i="61"/>
  <c r="A39" i="61"/>
  <c r="K39" i="61"/>
  <c r="J39" i="61"/>
  <c r="I39" i="61"/>
  <c r="H39" i="61"/>
  <c r="G39" i="61"/>
  <c r="F39" i="61"/>
  <c r="E39" i="61"/>
  <c r="D39" i="61"/>
  <c r="C39" i="61"/>
  <c r="B39" i="61"/>
  <c r="A38" i="61"/>
  <c r="K38" i="61"/>
  <c r="J38" i="61"/>
  <c r="I38" i="61"/>
  <c r="H38" i="61"/>
  <c r="G38" i="61"/>
  <c r="F38" i="61"/>
  <c r="E38" i="61"/>
  <c r="D38" i="61"/>
  <c r="C38" i="61"/>
  <c r="B38" i="61"/>
  <c r="A37" i="61"/>
  <c r="K37" i="61"/>
  <c r="J37" i="61"/>
  <c r="I37" i="61"/>
  <c r="H37" i="61"/>
  <c r="G37" i="61"/>
  <c r="F37" i="61"/>
  <c r="E37" i="61"/>
  <c r="D37" i="61"/>
  <c r="C37" i="61"/>
  <c r="B37" i="61"/>
  <c r="A36" i="61"/>
  <c r="K36" i="61"/>
  <c r="J36" i="61"/>
  <c r="I36" i="61"/>
  <c r="H36" i="61"/>
  <c r="G36" i="61"/>
  <c r="F36" i="61"/>
  <c r="E36" i="61"/>
  <c r="D36" i="61"/>
  <c r="C36" i="61"/>
  <c r="B36" i="61"/>
  <c r="A35" i="61"/>
  <c r="K35" i="61"/>
  <c r="J35" i="61"/>
  <c r="I35" i="61"/>
  <c r="H35" i="61"/>
  <c r="G35" i="61"/>
  <c r="F35" i="61"/>
  <c r="E35" i="61"/>
  <c r="D35" i="61"/>
  <c r="C35" i="61"/>
  <c r="B35" i="61"/>
  <c r="A34" i="61"/>
  <c r="K34" i="61"/>
  <c r="J34" i="61"/>
  <c r="I34" i="61"/>
  <c r="H34" i="61"/>
  <c r="G34" i="61"/>
  <c r="F34" i="61"/>
  <c r="E34" i="61"/>
  <c r="D34" i="61"/>
  <c r="C34" i="61"/>
  <c r="B34" i="61"/>
  <c r="A33" i="61"/>
  <c r="K33" i="61"/>
  <c r="J33" i="61"/>
  <c r="I33" i="61"/>
  <c r="H33" i="61"/>
  <c r="G33" i="61"/>
  <c r="F33" i="61"/>
  <c r="E33" i="61"/>
  <c r="D33" i="61"/>
  <c r="C33" i="61"/>
  <c r="B33" i="61"/>
  <c r="A32" i="61"/>
  <c r="K32" i="61"/>
  <c r="J32" i="61"/>
  <c r="I32" i="61"/>
  <c r="H32" i="61"/>
  <c r="G32" i="61"/>
  <c r="F32" i="61"/>
  <c r="E32" i="61"/>
  <c r="D32" i="61"/>
  <c r="C32" i="61"/>
  <c r="B32" i="61"/>
  <c r="A31" i="61"/>
  <c r="K31" i="61"/>
  <c r="J31" i="61"/>
  <c r="I31" i="61"/>
  <c r="H31" i="61"/>
  <c r="G31" i="61"/>
  <c r="F31" i="61"/>
  <c r="E31" i="61"/>
  <c r="D31" i="61"/>
  <c r="C31" i="61"/>
  <c r="B31" i="61"/>
  <c r="A30" i="61"/>
  <c r="K30" i="61"/>
  <c r="J30" i="61"/>
  <c r="I30" i="61"/>
  <c r="H30" i="61"/>
  <c r="G30" i="61"/>
  <c r="F30" i="61"/>
  <c r="E30" i="61"/>
  <c r="D30" i="61"/>
  <c r="C30" i="61"/>
  <c r="B30" i="61"/>
  <c r="A29" i="61"/>
  <c r="K29" i="61"/>
  <c r="J29" i="61"/>
  <c r="I29" i="61"/>
  <c r="H29" i="61"/>
  <c r="G29" i="61"/>
  <c r="F29" i="61"/>
  <c r="E29" i="61"/>
  <c r="D29" i="61"/>
  <c r="C29" i="61"/>
  <c r="B29" i="61"/>
  <c r="A28" i="61"/>
  <c r="K28" i="61"/>
  <c r="J28" i="61"/>
  <c r="I28" i="61"/>
  <c r="H28" i="61"/>
  <c r="G28" i="61"/>
  <c r="F28" i="61"/>
  <c r="E28" i="61"/>
  <c r="D28" i="61"/>
  <c r="C28" i="61"/>
  <c r="B28" i="61"/>
  <c r="A27" i="61"/>
  <c r="K27" i="61"/>
  <c r="J27" i="61"/>
  <c r="I27" i="61"/>
  <c r="H27" i="61"/>
  <c r="G27" i="61"/>
  <c r="F27" i="61"/>
  <c r="E27" i="61"/>
  <c r="D27" i="61"/>
  <c r="C27" i="61"/>
  <c r="B27" i="61"/>
  <c r="A26" i="61"/>
  <c r="K26" i="61"/>
  <c r="J26" i="61"/>
  <c r="I26" i="61"/>
  <c r="H26" i="61"/>
  <c r="G26" i="61"/>
  <c r="F26" i="61"/>
  <c r="E26" i="61"/>
  <c r="D26" i="61"/>
  <c r="C26" i="61"/>
  <c r="B26" i="61"/>
  <c r="A25" i="61"/>
  <c r="K25" i="61"/>
  <c r="J25" i="61"/>
  <c r="I25" i="61"/>
  <c r="H25" i="61"/>
  <c r="G25" i="61"/>
  <c r="F25" i="61"/>
  <c r="E25" i="61"/>
  <c r="D25" i="61"/>
  <c r="C25" i="61"/>
  <c r="B25" i="61"/>
  <c r="A24" i="61"/>
  <c r="K24" i="61"/>
  <c r="J24" i="61"/>
  <c r="I24" i="61"/>
  <c r="H24" i="61"/>
  <c r="G24" i="61"/>
  <c r="F24" i="61"/>
  <c r="E24" i="61"/>
  <c r="D24" i="61"/>
  <c r="C24" i="61"/>
  <c r="B24" i="61"/>
  <c r="A23" i="61"/>
  <c r="K23" i="61"/>
  <c r="J23" i="61"/>
  <c r="I23" i="61"/>
  <c r="H23" i="61"/>
  <c r="G23" i="61"/>
  <c r="F23" i="61"/>
  <c r="E23" i="61"/>
  <c r="D23" i="61"/>
  <c r="C23" i="61"/>
  <c r="B23" i="61"/>
  <c r="A22" i="61"/>
  <c r="K22" i="61"/>
  <c r="J22" i="61"/>
  <c r="I22" i="61"/>
  <c r="H22" i="61"/>
  <c r="G22" i="61"/>
  <c r="F22" i="61"/>
  <c r="E22" i="61"/>
  <c r="D22" i="61"/>
  <c r="C22" i="61"/>
  <c r="B22" i="61"/>
  <c r="A21" i="61"/>
  <c r="K21" i="61"/>
  <c r="J21" i="61"/>
  <c r="I21" i="61"/>
  <c r="H21" i="61"/>
  <c r="G21" i="61"/>
  <c r="F21" i="61"/>
  <c r="E21" i="61"/>
  <c r="D21" i="61"/>
  <c r="C21" i="61"/>
  <c r="B21" i="61"/>
  <c r="A20" i="61"/>
  <c r="K20" i="61"/>
  <c r="J20" i="61"/>
  <c r="I20" i="61"/>
  <c r="H20" i="61"/>
  <c r="G20" i="61"/>
  <c r="F20" i="61"/>
  <c r="E20" i="61"/>
  <c r="D20" i="61"/>
  <c r="C20" i="61"/>
  <c r="B20" i="61"/>
  <c r="A19" i="61"/>
  <c r="K19" i="61"/>
  <c r="J19" i="61"/>
  <c r="I19" i="61"/>
  <c r="H19" i="61"/>
  <c r="G19" i="61"/>
  <c r="F19" i="61"/>
  <c r="E19" i="61"/>
  <c r="D19" i="61"/>
  <c r="C19" i="61"/>
  <c r="B19" i="61"/>
  <c r="A18" i="61"/>
  <c r="K18" i="61"/>
  <c r="J18" i="61"/>
  <c r="I18" i="61"/>
  <c r="H18" i="61"/>
  <c r="G18" i="61"/>
  <c r="F18" i="61"/>
  <c r="E18" i="61"/>
  <c r="D18" i="61"/>
  <c r="C18" i="61"/>
  <c r="B18" i="61"/>
  <c r="A17" i="61"/>
  <c r="K17" i="61"/>
  <c r="J17" i="61"/>
  <c r="I17" i="61"/>
  <c r="H17" i="61"/>
  <c r="G17" i="61"/>
  <c r="F17" i="61"/>
  <c r="E17" i="61"/>
  <c r="D17" i="61"/>
  <c r="C17" i="61"/>
  <c r="B17" i="61"/>
  <c r="A16" i="61"/>
  <c r="K16" i="61"/>
  <c r="J16" i="61"/>
  <c r="I16" i="61"/>
  <c r="H16" i="61"/>
  <c r="G16" i="61"/>
  <c r="F16" i="61"/>
  <c r="E16" i="61"/>
  <c r="D16" i="61"/>
  <c r="C16" i="61"/>
  <c r="B16" i="61"/>
  <c r="A15" i="61"/>
  <c r="K15" i="61"/>
  <c r="J15" i="61"/>
  <c r="I15" i="61"/>
  <c r="H15" i="61"/>
  <c r="G15" i="61"/>
  <c r="F15" i="61"/>
  <c r="E15" i="61"/>
  <c r="D15" i="61"/>
  <c r="C15" i="61"/>
  <c r="B15" i="61"/>
  <c r="A14" i="61"/>
  <c r="K14" i="61"/>
  <c r="J14" i="61"/>
  <c r="I14" i="61"/>
  <c r="H14" i="61"/>
  <c r="G14" i="61"/>
  <c r="F14" i="61"/>
  <c r="E14" i="61"/>
  <c r="D14" i="61"/>
  <c r="C14" i="61"/>
  <c r="B14" i="61"/>
  <c r="A13" i="61"/>
  <c r="K13" i="61"/>
  <c r="J13" i="61"/>
  <c r="I13" i="61"/>
  <c r="H13" i="61"/>
  <c r="G13" i="61"/>
  <c r="F13" i="61"/>
  <c r="E13" i="61"/>
  <c r="D13" i="61"/>
  <c r="C13" i="61"/>
  <c r="B13" i="61"/>
  <c r="A12" i="61"/>
  <c r="K12" i="61"/>
  <c r="J12" i="61"/>
  <c r="I12" i="61"/>
  <c r="H12" i="61"/>
  <c r="G12" i="61"/>
  <c r="F12" i="61"/>
  <c r="E12" i="61"/>
  <c r="D12" i="61"/>
  <c r="C12" i="61"/>
  <c r="B12" i="61"/>
  <c r="A11" i="61"/>
  <c r="K11" i="61"/>
  <c r="J11" i="61"/>
  <c r="I11" i="61"/>
  <c r="H11" i="61"/>
  <c r="G11" i="61"/>
  <c r="F11" i="61"/>
  <c r="E11" i="61"/>
  <c r="D11" i="61"/>
  <c r="C11" i="61"/>
  <c r="B11" i="61"/>
  <c r="A10" i="61"/>
  <c r="K10" i="61"/>
  <c r="J10" i="61"/>
  <c r="I10" i="61"/>
  <c r="H10" i="61"/>
  <c r="G10" i="61"/>
  <c r="F10" i="61"/>
  <c r="E10" i="61"/>
  <c r="D10" i="61"/>
  <c r="C10" i="61"/>
  <c r="B10" i="61"/>
  <c r="A9" i="61"/>
  <c r="K9" i="61"/>
  <c r="J9" i="61"/>
  <c r="I9" i="61"/>
  <c r="H9" i="61"/>
  <c r="G9" i="61"/>
  <c r="F9" i="61"/>
  <c r="E9" i="61"/>
  <c r="D9" i="61"/>
  <c r="C9" i="61"/>
  <c r="B9" i="61"/>
  <c r="A8" i="61"/>
  <c r="K8" i="61"/>
  <c r="J8" i="61"/>
  <c r="I8" i="61"/>
  <c r="H8" i="61"/>
  <c r="G8" i="61"/>
  <c r="F8" i="61"/>
  <c r="E8" i="61"/>
  <c r="D8" i="61"/>
  <c r="C8" i="61"/>
  <c r="B8" i="61"/>
  <c r="A7" i="61"/>
  <c r="K7" i="61"/>
  <c r="J7" i="61"/>
  <c r="I7" i="61"/>
  <c r="H7" i="61"/>
  <c r="G7" i="61"/>
  <c r="F7" i="61"/>
  <c r="E7" i="61"/>
  <c r="D7" i="61"/>
  <c r="C7" i="61"/>
  <c r="B7" i="61"/>
  <c r="A6" i="61"/>
  <c r="K6" i="61"/>
  <c r="J6" i="61"/>
  <c r="I6" i="61"/>
  <c r="H6" i="61"/>
  <c r="G6" i="61"/>
  <c r="F6" i="61"/>
  <c r="E6" i="61"/>
  <c r="D6" i="61"/>
  <c r="C6" i="61"/>
  <c r="B6" i="61"/>
  <c r="A5" i="61"/>
  <c r="K5" i="61"/>
  <c r="J5" i="61"/>
  <c r="I5" i="61"/>
  <c r="H5" i="61"/>
  <c r="G5" i="61"/>
  <c r="F5" i="61"/>
  <c r="E5" i="61"/>
  <c r="D5" i="61"/>
  <c r="C5" i="61"/>
  <c r="B5" i="61"/>
  <c r="A4" i="61"/>
  <c r="K4" i="61"/>
  <c r="J4" i="61"/>
  <c r="I4" i="61"/>
  <c r="H4" i="61"/>
  <c r="G4" i="61"/>
  <c r="F4" i="61"/>
  <c r="E4" i="61"/>
  <c r="D4" i="61"/>
  <c r="C4" i="61"/>
  <c r="B4" i="61"/>
  <c r="C1" i="60"/>
  <c r="A1" i="60"/>
  <c r="A162" i="60"/>
  <c r="B1" i="60"/>
  <c r="K162" i="60"/>
  <c r="J162" i="60"/>
  <c r="I162" i="60"/>
  <c r="H162" i="60"/>
  <c r="G162" i="60"/>
  <c r="F162" i="60"/>
  <c r="E162" i="60"/>
  <c r="D162" i="60"/>
  <c r="C162" i="60"/>
  <c r="B162" i="60"/>
  <c r="A161" i="60"/>
  <c r="K161" i="60"/>
  <c r="J161" i="60"/>
  <c r="I161" i="60"/>
  <c r="H161" i="60"/>
  <c r="G161" i="60"/>
  <c r="F161" i="60"/>
  <c r="E161" i="60"/>
  <c r="D161" i="60"/>
  <c r="C161" i="60"/>
  <c r="B161" i="60"/>
  <c r="A160" i="60"/>
  <c r="K160" i="60"/>
  <c r="J160" i="60"/>
  <c r="I160" i="60"/>
  <c r="H160" i="60"/>
  <c r="G160" i="60"/>
  <c r="F160" i="60"/>
  <c r="E160" i="60"/>
  <c r="D160" i="60"/>
  <c r="C160" i="60"/>
  <c r="B160" i="60"/>
  <c r="A159" i="60"/>
  <c r="K159" i="60"/>
  <c r="J159" i="60"/>
  <c r="I159" i="60"/>
  <c r="H159" i="60"/>
  <c r="G159" i="60"/>
  <c r="F159" i="60"/>
  <c r="E159" i="60"/>
  <c r="D159" i="60"/>
  <c r="C159" i="60"/>
  <c r="B159" i="60"/>
  <c r="A158" i="60"/>
  <c r="K158" i="60"/>
  <c r="J158" i="60"/>
  <c r="I158" i="60"/>
  <c r="H158" i="60"/>
  <c r="G158" i="60"/>
  <c r="F158" i="60"/>
  <c r="E158" i="60"/>
  <c r="D158" i="60"/>
  <c r="C158" i="60"/>
  <c r="B158" i="60"/>
  <c r="A157" i="60"/>
  <c r="K157" i="60"/>
  <c r="J157" i="60"/>
  <c r="I157" i="60"/>
  <c r="H157" i="60"/>
  <c r="G157" i="60"/>
  <c r="F157" i="60"/>
  <c r="E157" i="60"/>
  <c r="D157" i="60"/>
  <c r="C157" i="60"/>
  <c r="B157" i="60"/>
  <c r="A156" i="60"/>
  <c r="K156" i="60"/>
  <c r="J156" i="60"/>
  <c r="I156" i="60"/>
  <c r="H156" i="60"/>
  <c r="G156" i="60"/>
  <c r="F156" i="60"/>
  <c r="E156" i="60"/>
  <c r="D156" i="60"/>
  <c r="C156" i="60"/>
  <c r="B156" i="60"/>
  <c r="A155" i="60"/>
  <c r="K155" i="60"/>
  <c r="J155" i="60"/>
  <c r="I155" i="60"/>
  <c r="H155" i="60"/>
  <c r="G155" i="60"/>
  <c r="F155" i="60"/>
  <c r="E155" i="60"/>
  <c r="D155" i="60"/>
  <c r="C155" i="60"/>
  <c r="B155" i="60"/>
  <c r="A154" i="60"/>
  <c r="K154" i="60"/>
  <c r="J154" i="60"/>
  <c r="I154" i="60"/>
  <c r="H154" i="60"/>
  <c r="G154" i="60"/>
  <c r="F154" i="60"/>
  <c r="E154" i="60"/>
  <c r="D154" i="60"/>
  <c r="C154" i="60"/>
  <c r="B154" i="60"/>
  <c r="A153" i="60"/>
  <c r="K153" i="60"/>
  <c r="J153" i="60"/>
  <c r="I153" i="60"/>
  <c r="H153" i="60"/>
  <c r="G153" i="60"/>
  <c r="F153" i="60"/>
  <c r="E153" i="60"/>
  <c r="D153" i="60"/>
  <c r="C153" i="60"/>
  <c r="B153" i="60"/>
  <c r="A152" i="60"/>
  <c r="K152" i="60"/>
  <c r="J152" i="60"/>
  <c r="I152" i="60"/>
  <c r="H152" i="60"/>
  <c r="G152" i="60"/>
  <c r="F152" i="60"/>
  <c r="E152" i="60"/>
  <c r="D152" i="60"/>
  <c r="C152" i="60"/>
  <c r="B152" i="60"/>
  <c r="A151" i="60"/>
  <c r="K151" i="60"/>
  <c r="J151" i="60"/>
  <c r="I151" i="60"/>
  <c r="H151" i="60"/>
  <c r="G151" i="60"/>
  <c r="F151" i="60"/>
  <c r="E151" i="60"/>
  <c r="D151" i="60"/>
  <c r="C151" i="60"/>
  <c r="B151" i="60"/>
  <c r="A150" i="60"/>
  <c r="K150" i="60"/>
  <c r="J150" i="60"/>
  <c r="I150" i="60"/>
  <c r="H150" i="60"/>
  <c r="G150" i="60"/>
  <c r="F150" i="60"/>
  <c r="E150" i="60"/>
  <c r="D150" i="60"/>
  <c r="C150" i="60"/>
  <c r="B150" i="60"/>
  <c r="A149" i="60"/>
  <c r="K149" i="60"/>
  <c r="J149" i="60"/>
  <c r="I149" i="60"/>
  <c r="H149" i="60"/>
  <c r="G149" i="60"/>
  <c r="F149" i="60"/>
  <c r="E149" i="60"/>
  <c r="D149" i="60"/>
  <c r="C149" i="60"/>
  <c r="B149" i="60"/>
  <c r="A148" i="60"/>
  <c r="K148" i="60"/>
  <c r="J148" i="60"/>
  <c r="I148" i="60"/>
  <c r="H148" i="60"/>
  <c r="G148" i="60"/>
  <c r="F148" i="60"/>
  <c r="E148" i="60"/>
  <c r="D148" i="60"/>
  <c r="C148" i="60"/>
  <c r="B148" i="60"/>
  <c r="A147" i="60"/>
  <c r="K147" i="60"/>
  <c r="J147" i="60"/>
  <c r="I147" i="60"/>
  <c r="H147" i="60"/>
  <c r="G147" i="60"/>
  <c r="F147" i="60"/>
  <c r="E147" i="60"/>
  <c r="D147" i="60"/>
  <c r="C147" i="60"/>
  <c r="B147" i="60"/>
  <c r="A146" i="60"/>
  <c r="K146" i="60"/>
  <c r="J146" i="60"/>
  <c r="I146" i="60"/>
  <c r="H146" i="60"/>
  <c r="G146" i="60"/>
  <c r="F146" i="60"/>
  <c r="E146" i="60"/>
  <c r="D146" i="60"/>
  <c r="C146" i="60"/>
  <c r="B146" i="60"/>
  <c r="A145" i="60"/>
  <c r="K145" i="60"/>
  <c r="J145" i="60"/>
  <c r="I145" i="60"/>
  <c r="H145" i="60"/>
  <c r="G145" i="60"/>
  <c r="F145" i="60"/>
  <c r="E145" i="60"/>
  <c r="D145" i="60"/>
  <c r="C145" i="60"/>
  <c r="B145" i="60"/>
  <c r="A144" i="60"/>
  <c r="K144" i="60"/>
  <c r="J144" i="60"/>
  <c r="I144" i="60"/>
  <c r="H144" i="60"/>
  <c r="G144" i="60"/>
  <c r="F144" i="60"/>
  <c r="E144" i="60"/>
  <c r="D144" i="60"/>
  <c r="C144" i="60"/>
  <c r="B144" i="60"/>
  <c r="A143" i="60"/>
  <c r="K143" i="60"/>
  <c r="J143" i="60"/>
  <c r="I143" i="60"/>
  <c r="H143" i="60"/>
  <c r="G143" i="60"/>
  <c r="F143" i="60"/>
  <c r="E143" i="60"/>
  <c r="D143" i="60"/>
  <c r="C143" i="60"/>
  <c r="B143" i="60"/>
  <c r="A142" i="60"/>
  <c r="K142" i="60"/>
  <c r="J142" i="60"/>
  <c r="I142" i="60"/>
  <c r="H142" i="60"/>
  <c r="G142" i="60"/>
  <c r="F142" i="60"/>
  <c r="E142" i="60"/>
  <c r="D142" i="60"/>
  <c r="C142" i="60"/>
  <c r="B142" i="60"/>
  <c r="A141" i="60"/>
  <c r="K141" i="60"/>
  <c r="J141" i="60"/>
  <c r="I141" i="60"/>
  <c r="H141" i="60"/>
  <c r="G141" i="60"/>
  <c r="F141" i="60"/>
  <c r="E141" i="60"/>
  <c r="D141" i="60"/>
  <c r="C141" i="60"/>
  <c r="B141" i="60"/>
  <c r="A140" i="60"/>
  <c r="K140" i="60"/>
  <c r="J140" i="60"/>
  <c r="I140" i="60"/>
  <c r="H140" i="60"/>
  <c r="G140" i="60"/>
  <c r="F140" i="60"/>
  <c r="E140" i="60"/>
  <c r="D140" i="60"/>
  <c r="C140" i="60"/>
  <c r="B140" i="60"/>
  <c r="A139" i="60"/>
  <c r="K139" i="60"/>
  <c r="J139" i="60"/>
  <c r="I139" i="60"/>
  <c r="H139" i="60"/>
  <c r="G139" i="60"/>
  <c r="F139" i="60"/>
  <c r="E139" i="60"/>
  <c r="D139" i="60"/>
  <c r="C139" i="60"/>
  <c r="B139" i="60"/>
  <c r="A138" i="60"/>
  <c r="K138" i="60"/>
  <c r="J138" i="60"/>
  <c r="I138" i="60"/>
  <c r="H138" i="60"/>
  <c r="G138" i="60"/>
  <c r="F138" i="60"/>
  <c r="E138" i="60"/>
  <c r="D138" i="60"/>
  <c r="C138" i="60"/>
  <c r="B138" i="60"/>
  <c r="A137" i="60"/>
  <c r="K137" i="60"/>
  <c r="J137" i="60"/>
  <c r="I137" i="60"/>
  <c r="H137" i="60"/>
  <c r="G137" i="60"/>
  <c r="F137" i="60"/>
  <c r="E137" i="60"/>
  <c r="D137" i="60"/>
  <c r="C137" i="60"/>
  <c r="B137" i="60"/>
  <c r="A136" i="60"/>
  <c r="K136" i="60"/>
  <c r="J136" i="60"/>
  <c r="I136" i="60"/>
  <c r="H136" i="60"/>
  <c r="G136" i="60"/>
  <c r="F136" i="60"/>
  <c r="E136" i="60"/>
  <c r="D136" i="60"/>
  <c r="C136" i="60"/>
  <c r="B136" i="60"/>
  <c r="A135" i="60"/>
  <c r="K135" i="60"/>
  <c r="J135" i="60"/>
  <c r="I135" i="60"/>
  <c r="H135" i="60"/>
  <c r="G135" i="60"/>
  <c r="F135" i="60"/>
  <c r="E135" i="60"/>
  <c r="D135" i="60"/>
  <c r="C135" i="60"/>
  <c r="B135" i="60"/>
  <c r="A134" i="60"/>
  <c r="K134" i="60"/>
  <c r="J134" i="60"/>
  <c r="I134" i="60"/>
  <c r="H134" i="60"/>
  <c r="G134" i="60"/>
  <c r="F134" i="60"/>
  <c r="E134" i="60"/>
  <c r="D134" i="60"/>
  <c r="C134" i="60"/>
  <c r="B134" i="60"/>
  <c r="A133" i="60"/>
  <c r="K133" i="60"/>
  <c r="J133" i="60"/>
  <c r="I133" i="60"/>
  <c r="H133" i="60"/>
  <c r="G133" i="60"/>
  <c r="F133" i="60"/>
  <c r="E133" i="60"/>
  <c r="D133" i="60"/>
  <c r="C133" i="60"/>
  <c r="B133" i="60"/>
  <c r="A132" i="60"/>
  <c r="K132" i="60"/>
  <c r="J132" i="60"/>
  <c r="I132" i="60"/>
  <c r="H132" i="60"/>
  <c r="G132" i="60"/>
  <c r="F132" i="60"/>
  <c r="E132" i="60"/>
  <c r="D132" i="60"/>
  <c r="C132" i="60"/>
  <c r="B132" i="60"/>
  <c r="A131" i="60"/>
  <c r="K131" i="60"/>
  <c r="J131" i="60"/>
  <c r="I131" i="60"/>
  <c r="H131" i="60"/>
  <c r="G131" i="60"/>
  <c r="F131" i="60"/>
  <c r="E131" i="60"/>
  <c r="D131" i="60"/>
  <c r="C131" i="60"/>
  <c r="B131" i="60"/>
  <c r="A130" i="60"/>
  <c r="K130" i="60"/>
  <c r="J130" i="60"/>
  <c r="I130" i="60"/>
  <c r="H130" i="60"/>
  <c r="G130" i="60"/>
  <c r="F130" i="60"/>
  <c r="E130" i="60"/>
  <c r="D130" i="60"/>
  <c r="C130" i="60"/>
  <c r="B130" i="60"/>
  <c r="A129" i="60"/>
  <c r="K129" i="60"/>
  <c r="J129" i="60"/>
  <c r="I129" i="60"/>
  <c r="H129" i="60"/>
  <c r="G129" i="60"/>
  <c r="F129" i="60"/>
  <c r="E129" i="60"/>
  <c r="D129" i="60"/>
  <c r="C129" i="60"/>
  <c r="B129" i="60"/>
  <c r="A128" i="60"/>
  <c r="K128" i="60"/>
  <c r="J128" i="60"/>
  <c r="I128" i="60"/>
  <c r="H128" i="60"/>
  <c r="G128" i="60"/>
  <c r="F128" i="60"/>
  <c r="E128" i="60"/>
  <c r="D128" i="60"/>
  <c r="C128" i="60"/>
  <c r="B128" i="60"/>
  <c r="A127" i="60"/>
  <c r="K127" i="60"/>
  <c r="J127" i="60"/>
  <c r="I127" i="60"/>
  <c r="H127" i="60"/>
  <c r="G127" i="60"/>
  <c r="F127" i="60"/>
  <c r="E127" i="60"/>
  <c r="D127" i="60"/>
  <c r="C127" i="60"/>
  <c r="B127" i="60"/>
  <c r="A126" i="60"/>
  <c r="K126" i="60"/>
  <c r="J126" i="60"/>
  <c r="I126" i="60"/>
  <c r="H126" i="60"/>
  <c r="G126" i="60"/>
  <c r="F126" i="60"/>
  <c r="E126" i="60"/>
  <c r="D126" i="60"/>
  <c r="C126" i="60"/>
  <c r="B126" i="60"/>
  <c r="A125" i="60"/>
  <c r="K125" i="60"/>
  <c r="J125" i="60"/>
  <c r="I125" i="60"/>
  <c r="H125" i="60"/>
  <c r="G125" i="60"/>
  <c r="F125" i="60"/>
  <c r="E125" i="60"/>
  <c r="D125" i="60"/>
  <c r="C125" i="60"/>
  <c r="B125" i="60"/>
  <c r="A124" i="60"/>
  <c r="K124" i="60"/>
  <c r="J124" i="60"/>
  <c r="I124" i="60"/>
  <c r="H124" i="60"/>
  <c r="G124" i="60"/>
  <c r="F124" i="60"/>
  <c r="E124" i="60"/>
  <c r="D124" i="60"/>
  <c r="C124" i="60"/>
  <c r="B124" i="60"/>
  <c r="A123" i="60"/>
  <c r="K123" i="60"/>
  <c r="J123" i="60"/>
  <c r="I123" i="60"/>
  <c r="H123" i="60"/>
  <c r="G123" i="60"/>
  <c r="F123" i="60"/>
  <c r="E123" i="60"/>
  <c r="D123" i="60"/>
  <c r="C123" i="60"/>
  <c r="B123" i="60"/>
  <c r="A122" i="60"/>
  <c r="K122" i="60"/>
  <c r="J122" i="60"/>
  <c r="I122" i="60"/>
  <c r="H122" i="60"/>
  <c r="G122" i="60"/>
  <c r="F122" i="60"/>
  <c r="E122" i="60"/>
  <c r="D122" i="60"/>
  <c r="C122" i="60"/>
  <c r="B122" i="60"/>
  <c r="A121" i="60"/>
  <c r="K121" i="60"/>
  <c r="J121" i="60"/>
  <c r="I121" i="60"/>
  <c r="H121" i="60"/>
  <c r="G121" i="60"/>
  <c r="F121" i="60"/>
  <c r="E121" i="60"/>
  <c r="D121" i="60"/>
  <c r="C121" i="60"/>
  <c r="B121" i="60"/>
  <c r="A120" i="60"/>
  <c r="K120" i="60"/>
  <c r="J120" i="60"/>
  <c r="I120" i="60"/>
  <c r="H120" i="60"/>
  <c r="G120" i="60"/>
  <c r="F120" i="60"/>
  <c r="E120" i="60"/>
  <c r="D120" i="60"/>
  <c r="C120" i="60"/>
  <c r="B120" i="60"/>
  <c r="A119" i="60"/>
  <c r="K119" i="60"/>
  <c r="J119" i="60"/>
  <c r="I119" i="60"/>
  <c r="H119" i="60"/>
  <c r="G119" i="60"/>
  <c r="F119" i="60"/>
  <c r="E119" i="60"/>
  <c r="D119" i="60"/>
  <c r="C119" i="60"/>
  <c r="B119" i="60"/>
  <c r="A118" i="60"/>
  <c r="K118" i="60"/>
  <c r="J118" i="60"/>
  <c r="I118" i="60"/>
  <c r="H118" i="60"/>
  <c r="G118" i="60"/>
  <c r="F118" i="60"/>
  <c r="E118" i="60"/>
  <c r="D118" i="60"/>
  <c r="C118" i="60"/>
  <c r="B118" i="60"/>
  <c r="A117" i="60"/>
  <c r="K117" i="60"/>
  <c r="J117" i="60"/>
  <c r="I117" i="60"/>
  <c r="H117" i="60"/>
  <c r="G117" i="60"/>
  <c r="F117" i="60"/>
  <c r="E117" i="60"/>
  <c r="D117" i="60"/>
  <c r="C117" i="60"/>
  <c r="B117" i="60"/>
  <c r="A116" i="60"/>
  <c r="K116" i="60"/>
  <c r="J116" i="60"/>
  <c r="I116" i="60"/>
  <c r="H116" i="60"/>
  <c r="G116" i="60"/>
  <c r="F116" i="60"/>
  <c r="E116" i="60"/>
  <c r="D116" i="60"/>
  <c r="C116" i="60"/>
  <c r="B116" i="60"/>
  <c r="A115" i="60"/>
  <c r="K115" i="60"/>
  <c r="J115" i="60"/>
  <c r="I115" i="60"/>
  <c r="H115" i="60"/>
  <c r="G115" i="60"/>
  <c r="F115" i="60"/>
  <c r="E115" i="60"/>
  <c r="D115" i="60"/>
  <c r="C115" i="60"/>
  <c r="B115" i="60"/>
  <c r="A114" i="60"/>
  <c r="K114" i="60"/>
  <c r="J114" i="60"/>
  <c r="I114" i="60"/>
  <c r="H114" i="60"/>
  <c r="G114" i="60"/>
  <c r="F114" i="60"/>
  <c r="E114" i="60"/>
  <c r="D114" i="60"/>
  <c r="C114" i="60"/>
  <c r="B114" i="60"/>
  <c r="A113" i="60"/>
  <c r="K113" i="60"/>
  <c r="J113" i="60"/>
  <c r="I113" i="60"/>
  <c r="H113" i="60"/>
  <c r="G113" i="60"/>
  <c r="F113" i="60"/>
  <c r="E113" i="60"/>
  <c r="D113" i="60"/>
  <c r="C113" i="60"/>
  <c r="B113" i="60"/>
  <c r="A112" i="60"/>
  <c r="K112" i="60"/>
  <c r="J112" i="60"/>
  <c r="I112" i="60"/>
  <c r="H112" i="60"/>
  <c r="G112" i="60"/>
  <c r="F112" i="60"/>
  <c r="E112" i="60"/>
  <c r="D112" i="60"/>
  <c r="C112" i="60"/>
  <c r="B112" i="60"/>
  <c r="A111" i="60"/>
  <c r="K111" i="60"/>
  <c r="J111" i="60"/>
  <c r="I111" i="60"/>
  <c r="H111" i="60"/>
  <c r="G111" i="60"/>
  <c r="F111" i="60"/>
  <c r="E111" i="60"/>
  <c r="D111" i="60"/>
  <c r="C111" i="60"/>
  <c r="B111" i="60"/>
  <c r="A110" i="60"/>
  <c r="K110" i="60"/>
  <c r="J110" i="60"/>
  <c r="I110" i="60"/>
  <c r="H110" i="60"/>
  <c r="G110" i="60"/>
  <c r="F110" i="60"/>
  <c r="E110" i="60"/>
  <c r="D110" i="60"/>
  <c r="C110" i="60"/>
  <c r="B110" i="60"/>
  <c r="A109" i="60"/>
  <c r="K109" i="60"/>
  <c r="J109" i="60"/>
  <c r="I109" i="60"/>
  <c r="H109" i="60"/>
  <c r="G109" i="60"/>
  <c r="F109" i="60"/>
  <c r="E109" i="60"/>
  <c r="D109" i="60"/>
  <c r="C109" i="60"/>
  <c r="B109" i="60"/>
  <c r="A108" i="60"/>
  <c r="K108" i="60"/>
  <c r="J108" i="60"/>
  <c r="I108" i="60"/>
  <c r="H108" i="60"/>
  <c r="G108" i="60"/>
  <c r="F108" i="60"/>
  <c r="E108" i="60"/>
  <c r="D108" i="60"/>
  <c r="C108" i="60"/>
  <c r="B108" i="60"/>
  <c r="A107" i="60"/>
  <c r="K107" i="60"/>
  <c r="J107" i="60"/>
  <c r="I107" i="60"/>
  <c r="H107" i="60"/>
  <c r="G107" i="60"/>
  <c r="F107" i="60"/>
  <c r="E107" i="60"/>
  <c r="D107" i="60"/>
  <c r="C107" i="60"/>
  <c r="B107" i="60"/>
  <c r="A106" i="60"/>
  <c r="K106" i="60"/>
  <c r="J106" i="60"/>
  <c r="I106" i="60"/>
  <c r="H106" i="60"/>
  <c r="G106" i="60"/>
  <c r="F106" i="60"/>
  <c r="E106" i="60"/>
  <c r="D106" i="60"/>
  <c r="C106" i="60"/>
  <c r="B106" i="60"/>
  <c r="A105" i="60"/>
  <c r="K105" i="60"/>
  <c r="J105" i="60"/>
  <c r="I105" i="60"/>
  <c r="H105" i="60"/>
  <c r="G105" i="60"/>
  <c r="F105" i="60"/>
  <c r="E105" i="60"/>
  <c r="D105" i="60"/>
  <c r="C105" i="60"/>
  <c r="B105" i="60"/>
  <c r="A104" i="60"/>
  <c r="K104" i="60"/>
  <c r="J104" i="60"/>
  <c r="I104" i="60"/>
  <c r="H104" i="60"/>
  <c r="G104" i="60"/>
  <c r="F104" i="60"/>
  <c r="E104" i="60"/>
  <c r="D104" i="60"/>
  <c r="C104" i="60"/>
  <c r="B104" i="60"/>
  <c r="A103" i="60"/>
  <c r="K103" i="60"/>
  <c r="J103" i="60"/>
  <c r="I103" i="60"/>
  <c r="H103" i="60"/>
  <c r="G103" i="60"/>
  <c r="F103" i="60"/>
  <c r="E103" i="60"/>
  <c r="D103" i="60"/>
  <c r="C103" i="60"/>
  <c r="B103" i="60"/>
  <c r="A102" i="60"/>
  <c r="K102" i="60"/>
  <c r="J102" i="60"/>
  <c r="I102" i="60"/>
  <c r="H102" i="60"/>
  <c r="G102" i="60"/>
  <c r="F102" i="60"/>
  <c r="E102" i="60"/>
  <c r="D102" i="60"/>
  <c r="C102" i="60"/>
  <c r="B102" i="60"/>
  <c r="A101" i="60"/>
  <c r="K101" i="60"/>
  <c r="J101" i="60"/>
  <c r="I101" i="60"/>
  <c r="H101" i="60"/>
  <c r="G101" i="60"/>
  <c r="F101" i="60"/>
  <c r="E101" i="60"/>
  <c r="D101" i="60"/>
  <c r="C101" i="60"/>
  <c r="B101" i="60"/>
  <c r="A100" i="60"/>
  <c r="K100" i="60"/>
  <c r="J100" i="60"/>
  <c r="I100" i="60"/>
  <c r="H100" i="60"/>
  <c r="G100" i="60"/>
  <c r="F100" i="60"/>
  <c r="E100" i="60"/>
  <c r="D100" i="60"/>
  <c r="C100" i="60"/>
  <c r="B100" i="60"/>
  <c r="A99" i="60"/>
  <c r="K99" i="60"/>
  <c r="J99" i="60"/>
  <c r="I99" i="60"/>
  <c r="H99" i="60"/>
  <c r="G99" i="60"/>
  <c r="F99" i="60"/>
  <c r="E99" i="60"/>
  <c r="D99" i="60"/>
  <c r="C99" i="60"/>
  <c r="B99" i="60"/>
  <c r="A98" i="60"/>
  <c r="K98" i="60"/>
  <c r="J98" i="60"/>
  <c r="I98" i="60"/>
  <c r="H98" i="60"/>
  <c r="G98" i="60"/>
  <c r="F98" i="60"/>
  <c r="E98" i="60"/>
  <c r="D98" i="60"/>
  <c r="C98" i="60"/>
  <c r="B98" i="60"/>
  <c r="A97" i="60"/>
  <c r="K97" i="60"/>
  <c r="J97" i="60"/>
  <c r="I97" i="60"/>
  <c r="H97" i="60"/>
  <c r="G97" i="60"/>
  <c r="F97" i="60"/>
  <c r="E97" i="60"/>
  <c r="D97" i="60"/>
  <c r="C97" i="60"/>
  <c r="B97" i="60"/>
  <c r="A96" i="60"/>
  <c r="K96" i="60"/>
  <c r="J96" i="60"/>
  <c r="I96" i="60"/>
  <c r="H96" i="60"/>
  <c r="G96" i="60"/>
  <c r="F96" i="60"/>
  <c r="E96" i="60"/>
  <c r="D96" i="60"/>
  <c r="C96" i="60"/>
  <c r="B96" i="60"/>
  <c r="A95" i="60"/>
  <c r="K95" i="60"/>
  <c r="J95" i="60"/>
  <c r="I95" i="60"/>
  <c r="H95" i="60"/>
  <c r="G95" i="60"/>
  <c r="F95" i="60"/>
  <c r="E95" i="60"/>
  <c r="D95" i="60"/>
  <c r="C95" i="60"/>
  <c r="B95" i="60"/>
  <c r="A94" i="60"/>
  <c r="K94" i="60"/>
  <c r="J94" i="60"/>
  <c r="I94" i="60"/>
  <c r="H94" i="60"/>
  <c r="G94" i="60"/>
  <c r="F94" i="60"/>
  <c r="E94" i="60"/>
  <c r="D94" i="60"/>
  <c r="C94" i="60"/>
  <c r="B94" i="60"/>
  <c r="A93" i="60"/>
  <c r="K93" i="60"/>
  <c r="J93" i="60"/>
  <c r="I93" i="60"/>
  <c r="H93" i="60"/>
  <c r="G93" i="60"/>
  <c r="F93" i="60"/>
  <c r="E93" i="60"/>
  <c r="D93" i="60"/>
  <c r="C93" i="60"/>
  <c r="B93" i="60"/>
  <c r="A92" i="60"/>
  <c r="K92" i="60"/>
  <c r="J92" i="60"/>
  <c r="I92" i="60"/>
  <c r="H92" i="60"/>
  <c r="G92" i="60"/>
  <c r="F92" i="60"/>
  <c r="E92" i="60"/>
  <c r="D92" i="60"/>
  <c r="C92" i="60"/>
  <c r="B92" i="60"/>
  <c r="A91" i="60"/>
  <c r="K91" i="60"/>
  <c r="J91" i="60"/>
  <c r="I91" i="60"/>
  <c r="H91" i="60"/>
  <c r="G91" i="60"/>
  <c r="F91" i="60"/>
  <c r="E91" i="60"/>
  <c r="D91" i="60"/>
  <c r="C91" i="60"/>
  <c r="B91" i="60"/>
  <c r="A90" i="60"/>
  <c r="K90" i="60"/>
  <c r="J90" i="60"/>
  <c r="I90" i="60"/>
  <c r="H90" i="60"/>
  <c r="G90" i="60"/>
  <c r="F90" i="60"/>
  <c r="E90" i="60"/>
  <c r="D90" i="60"/>
  <c r="C90" i="60"/>
  <c r="B90" i="60"/>
  <c r="A89" i="60"/>
  <c r="K89" i="60"/>
  <c r="J89" i="60"/>
  <c r="I89" i="60"/>
  <c r="H89" i="60"/>
  <c r="G89" i="60"/>
  <c r="F89" i="60"/>
  <c r="E89" i="60"/>
  <c r="D89" i="60"/>
  <c r="C89" i="60"/>
  <c r="B89" i="60"/>
  <c r="A88" i="60"/>
  <c r="K88" i="60"/>
  <c r="J88" i="60"/>
  <c r="I88" i="60"/>
  <c r="H88" i="60"/>
  <c r="G88" i="60"/>
  <c r="F88" i="60"/>
  <c r="E88" i="60"/>
  <c r="D88" i="60"/>
  <c r="C88" i="60"/>
  <c r="B88" i="60"/>
  <c r="A87" i="60"/>
  <c r="K87" i="60"/>
  <c r="J87" i="60"/>
  <c r="I87" i="60"/>
  <c r="H87" i="60"/>
  <c r="G87" i="60"/>
  <c r="F87" i="60"/>
  <c r="E87" i="60"/>
  <c r="D87" i="60"/>
  <c r="C87" i="60"/>
  <c r="B87" i="60"/>
  <c r="A86" i="60"/>
  <c r="K86" i="60"/>
  <c r="J86" i="60"/>
  <c r="I86" i="60"/>
  <c r="H86" i="60"/>
  <c r="G86" i="60"/>
  <c r="F86" i="60"/>
  <c r="E86" i="60"/>
  <c r="D86" i="60"/>
  <c r="C86" i="60"/>
  <c r="B86" i="60"/>
  <c r="A85" i="60"/>
  <c r="K85" i="60"/>
  <c r="J85" i="60"/>
  <c r="I85" i="60"/>
  <c r="H85" i="60"/>
  <c r="G85" i="60"/>
  <c r="F85" i="60"/>
  <c r="E85" i="60"/>
  <c r="D85" i="60"/>
  <c r="C85" i="60"/>
  <c r="B85" i="60"/>
  <c r="A84" i="60"/>
  <c r="K84" i="60"/>
  <c r="J84" i="60"/>
  <c r="I84" i="60"/>
  <c r="H84" i="60"/>
  <c r="G84" i="60"/>
  <c r="F84" i="60"/>
  <c r="E84" i="60"/>
  <c r="D84" i="60"/>
  <c r="C84" i="60"/>
  <c r="B84" i="60"/>
  <c r="A83" i="60"/>
  <c r="K83" i="60"/>
  <c r="J83" i="60"/>
  <c r="I83" i="60"/>
  <c r="H83" i="60"/>
  <c r="G83" i="60"/>
  <c r="F83" i="60"/>
  <c r="E83" i="60"/>
  <c r="D83" i="60"/>
  <c r="C83" i="60"/>
  <c r="B83" i="60"/>
  <c r="A82" i="60"/>
  <c r="K82" i="60"/>
  <c r="J82" i="60"/>
  <c r="I82" i="60"/>
  <c r="H82" i="60"/>
  <c r="G82" i="60"/>
  <c r="F82" i="60"/>
  <c r="E82" i="60"/>
  <c r="D82" i="60"/>
  <c r="C82" i="60"/>
  <c r="B82" i="60"/>
  <c r="A81" i="60"/>
  <c r="K81" i="60"/>
  <c r="J81" i="60"/>
  <c r="I81" i="60"/>
  <c r="H81" i="60"/>
  <c r="G81" i="60"/>
  <c r="F81" i="60"/>
  <c r="E81" i="60"/>
  <c r="D81" i="60"/>
  <c r="C81" i="60"/>
  <c r="B81" i="60"/>
  <c r="A80" i="60"/>
  <c r="K80" i="60"/>
  <c r="J80" i="60"/>
  <c r="I80" i="60"/>
  <c r="H80" i="60"/>
  <c r="G80" i="60"/>
  <c r="F80" i="60"/>
  <c r="E80" i="60"/>
  <c r="D80" i="60"/>
  <c r="C80" i="60"/>
  <c r="B80" i="60"/>
  <c r="A79" i="60"/>
  <c r="K79" i="60"/>
  <c r="J79" i="60"/>
  <c r="I79" i="60"/>
  <c r="H79" i="60"/>
  <c r="G79" i="60"/>
  <c r="F79" i="60"/>
  <c r="E79" i="60"/>
  <c r="D79" i="60"/>
  <c r="C79" i="60"/>
  <c r="B79" i="60"/>
  <c r="A78" i="60"/>
  <c r="K78" i="60"/>
  <c r="J78" i="60"/>
  <c r="I78" i="60"/>
  <c r="H78" i="60"/>
  <c r="G78" i="60"/>
  <c r="F78" i="60"/>
  <c r="E78" i="60"/>
  <c r="D78" i="60"/>
  <c r="C78" i="60"/>
  <c r="B78" i="60"/>
  <c r="A77" i="60"/>
  <c r="K77" i="60"/>
  <c r="J77" i="60"/>
  <c r="I77" i="60"/>
  <c r="H77" i="60"/>
  <c r="G77" i="60"/>
  <c r="F77" i="60"/>
  <c r="E77" i="60"/>
  <c r="D77" i="60"/>
  <c r="C77" i="60"/>
  <c r="B77" i="60"/>
  <c r="A76" i="60"/>
  <c r="K76" i="60"/>
  <c r="J76" i="60"/>
  <c r="I76" i="60"/>
  <c r="H76" i="60"/>
  <c r="G76" i="60"/>
  <c r="F76" i="60"/>
  <c r="E76" i="60"/>
  <c r="D76" i="60"/>
  <c r="C76" i="60"/>
  <c r="B76" i="60"/>
  <c r="A75" i="60"/>
  <c r="K75" i="60"/>
  <c r="J75" i="60"/>
  <c r="I75" i="60"/>
  <c r="H75" i="60"/>
  <c r="G75" i="60"/>
  <c r="F75" i="60"/>
  <c r="E75" i="60"/>
  <c r="D75" i="60"/>
  <c r="C75" i="60"/>
  <c r="B75" i="60"/>
  <c r="A74" i="60"/>
  <c r="K74" i="60"/>
  <c r="J74" i="60"/>
  <c r="I74" i="60"/>
  <c r="H74" i="60"/>
  <c r="G74" i="60"/>
  <c r="F74" i="60"/>
  <c r="E74" i="60"/>
  <c r="D74" i="60"/>
  <c r="C74" i="60"/>
  <c r="B74" i="60"/>
  <c r="A73" i="60"/>
  <c r="K73" i="60"/>
  <c r="J73" i="60"/>
  <c r="I73" i="60"/>
  <c r="H73" i="60"/>
  <c r="G73" i="60"/>
  <c r="F73" i="60"/>
  <c r="E73" i="60"/>
  <c r="D73" i="60"/>
  <c r="C73" i="60"/>
  <c r="B73" i="60"/>
  <c r="A72" i="60"/>
  <c r="K72" i="60"/>
  <c r="J72" i="60"/>
  <c r="I72" i="60"/>
  <c r="H72" i="60"/>
  <c r="G72" i="60"/>
  <c r="F72" i="60"/>
  <c r="E72" i="60"/>
  <c r="D72" i="60"/>
  <c r="C72" i="60"/>
  <c r="B72" i="60"/>
  <c r="A71" i="60"/>
  <c r="K71" i="60"/>
  <c r="J71" i="60"/>
  <c r="I71" i="60"/>
  <c r="H71" i="60"/>
  <c r="G71" i="60"/>
  <c r="F71" i="60"/>
  <c r="E71" i="60"/>
  <c r="D71" i="60"/>
  <c r="C71" i="60"/>
  <c r="B71" i="60"/>
  <c r="A70" i="60"/>
  <c r="K70" i="60"/>
  <c r="J70" i="60"/>
  <c r="I70" i="60"/>
  <c r="H70" i="60"/>
  <c r="G70" i="60"/>
  <c r="F70" i="60"/>
  <c r="E70" i="60"/>
  <c r="D70" i="60"/>
  <c r="C70" i="60"/>
  <c r="B70" i="60"/>
  <c r="A69" i="60"/>
  <c r="K69" i="60"/>
  <c r="J69" i="60"/>
  <c r="I69" i="60"/>
  <c r="H69" i="60"/>
  <c r="G69" i="60"/>
  <c r="F69" i="60"/>
  <c r="E69" i="60"/>
  <c r="D69" i="60"/>
  <c r="C69" i="60"/>
  <c r="B69" i="60"/>
  <c r="A68" i="60"/>
  <c r="K68" i="60"/>
  <c r="J68" i="60"/>
  <c r="I68" i="60"/>
  <c r="H68" i="60"/>
  <c r="G68" i="60"/>
  <c r="F68" i="60"/>
  <c r="E68" i="60"/>
  <c r="D68" i="60"/>
  <c r="C68" i="60"/>
  <c r="B68" i="60"/>
  <c r="A67" i="60"/>
  <c r="K67" i="60"/>
  <c r="J67" i="60"/>
  <c r="I67" i="60"/>
  <c r="H67" i="60"/>
  <c r="G67" i="60"/>
  <c r="F67" i="60"/>
  <c r="E67" i="60"/>
  <c r="D67" i="60"/>
  <c r="C67" i="60"/>
  <c r="B67" i="60"/>
  <c r="A66" i="60"/>
  <c r="K66" i="60"/>
  <c r="J66" i="60"/>
  <c r="I66" i="60"/>
  <c r="H66" i="60"/>
  <c r="G66" i="60"/>
  <c r="F66" i="60"/>
  <c r="E66" i="60"/>
  <c r="D66" i="60"/>
  <c r="C66" i="60"/>
  <c r="B66" i="60"/>
  <c r="A65" i="60"/>
  <c r="K65" i="60"/>
  <c r="J65" i="60"/>
  <c r="I65" i="60"/>
  <c r="H65" i="60"/>
  <c r="G65" i="60"/>
  <c r="F65" i="60"/>
  <c r="E65" i="60"/>
  <c r="D65" i="60"/>
  <c r="C65" i="60"/>
  <c r="B65" i="60"/>
  <c r="A64" i="60"/>
  <c r="K64" i="60"/>
  <c r="J64" i="60"/>
  <c r="I64" i="60"/>
  <c r="H64" i="60"/>
  <c r="G64" i="60"/>
  <c r="F64" i="60"/>
  <c r="E64" i="60"/>
  <c r="D64" i="60"/>
  <c r="C64" i="60"/>
  <c r="B64" i="60"/>
  <c r="A63" i="60"/>
  <c r="K63" i="60"/>
  <c r="J63" i="60"/>
  <c r="I63" i="60"/>
  <c r="H63" i="60"/>
  <c r="G63" i="60"/>
  <c r="F63" i="60"/>
  <c r="E63" i="60"/>
  <c r="D63" i="60"/>
  <c r="C63" i="60"/>
  <c r="B63" i="60"/>
  <c r="A62" i="60"/>
  <c r="K62" i="60"/>
  <c r="J62" i="60"/>
  <c r="I62" i="60"/>
  <c r="H62" i="60"/>
  <c r="G62" i="60"/>
  <c r="F62" i="60"/>
  <c r="E62" i="60"/>
  <c r="D62" i="60"/>
  <c r="C62" i="60"/>
  <c r="B62" i="60"/>
  <c r="A61" i="60"/>
  <c r="K61" i="60"/>
  <c r="J61" i="60"/>
  <c r="I61" i="60"/>
  <c r="H61" i="60"/>
  <c r="G61" i="60"/>
  <c r="F61" i="60"/>
  <c r="E61" i="60"/>
  <c r="D61" i="60"/>
  <c r="C61" i="60"/>
  <c r="B61" i="60"/>
  <c r="A60" i="60"/>
  <c r="K60" i="60"/>
  <c r="J60" i="60"/>
  <c r="I60" i="60"/>
  <c r="H60" i="60"/>
  <c r="G60" i="60"/>
  <c r="F60" i="60"/>
  <c r="E60" i="60"/>
  <c r="D60" i="60"/>
  <c r="C60" i="60"/>
  <c r="B60" i="60"/>
  <c r="A59" i="60"/>
  <c r="K59" i="60"/>
  <c r="J59" i="60"/>
  <c r="I59" i="60"/>
  <c r="H59" i="60"/>
  <c r="G59" i="60"/>
  <c r="F59" i="60"/>
  <c r="E59" i="60"/>
  <c r="D59" i="60"/>
  <c r="C59" i="60"/>
  <c r="B59" i="60"/>
  <c r="A58" i="60"/>
  <c r="K58" i="60"/>
  <c r="J58" i="60"/>
  <c r="I58" i="60"/>
  <c r="H58" i="60"/>
  <c r="G58" i="60"/>
  <c r="F58" i="60"/>
  <c r="E58" i="60"/>
  <c r="D58" i="60"/>
  <c r="C58" i="60"/>
  <c r="B58" i="60"/>
  <c r="A57" i="60"/>
  <c r="K57" i="60"/>
  <c r="J57" i="60"/>
  <c r="I57" i="60"/>
  <c r="H57" i="60"/>
  <c r="G57" i="60"/>
  <c r="F57" i="60"/>
  <c r="E57" i="60"/>
  <c r="D57" i="60"/>
  <c r="C57" i="60"/>
  <c r="B57" i="60"/>
  <c r="A56" i="60"/>
  <c r="K56" i="60"/>
  <c r="J56" i="60"/>
  <c r="I56" i="60"/>
  <c r="H56" i="60"/>
  <c r="G56" i="60"/>
  <c r="F56" i="60"/>
  <c r="E56" i="60"/>
  <c r="D56" i="60"/>
  <c r="C56" i="60"/>
  <c r="B56" i="60"/>
  <c r="A55" i="60"/>
  <c r="K55" i="60"/>
  <c r="J55" i="60"/>
  <c r="I55" i="60"/>
  <c r="H55" i="60"/>
  <c r="G55" i="60"/>
  <c r="F55" i="60"/>
  <c r="E55" i="60"/>
  <c r="D55" i="60"/>
  <c r="C55" i="60"/>
  <c r="B55" i="60"/>
  <c r="A54" i="60"/>
  <c r="K54" i="60"/>
  <c r="J54" i="60"/>
  <c r="I54" i="60"/>
  <c r="H54" i="60"/>
  <c r="G54" i="60"/>
  <c r="F54" i="60"/>
  <c r="E54" i="60"/>
  <c r="D54" i="60"/>
  <c r="C54" i="60"/>
  <c r="B54" i="60"/>
  <c r="A53" i="60"/>
  <c r="K53" i="60"/>
  <c r="J53" i="60"/>
  <c r="I53" i="60"/>
  <c r="H53" i="60"/>
  <c r="G53" i="60"/>
  <c r="F53" i="60"/>
  <c r="E53" i="60"/>
  <c r="D53" i="60"/>
  <c r="C53" i="60"/>
  <c r="B53" i="60"/>
  <c r="A52" i="60"/>
  <c r="K52" i="60"/>
  <c r="J52" i="60"/>
  <c r="I52" i="60"/>
  <c r="H52" i="60"/>
  <c r="G52" i="60"/>
  <c r="F52" i="60"/>
  <c r="E52" i="60"/>
  <c r="D52" i="60"/>
  <c r="C52" i="60"/>
  <c r="B52" i="60"/>
  <c r="A51" i="60"/>
  <c r="K51" i="60"/>
  <c r="J51" i="60"/>
  <c r="I51" i="60"/>
  <c r="H51" i="60"/>
  <c r="G51" i="60"/>
  <c r="F51" i="60"/>
  <c r="E51" i="60"/>
  <c r="D51" i="60"/>
  <c r="C51" i="60"/>
  <c r="B51" i="60"/>
  <c r="A50" i="60"/>
  <c r="K50" i="60"/>
  <c r="J50" i="60"/>
  <c r="I50" i="60"/>
  <c r="H50" i="60"/>
  <c r="G50" i="60"/>
  <c r="F50" i="60"/>
  <c r="E50" i="60"/>
  <c r="D50" i="60"/>
  <c r="C50" i="60"/>
  <c r="B50" i="60"/>
  <c r="A49" i="60"/>
  <c r="K49" i="60"/>
  <c r="J49" i="60"/>
  <c r="I49" i="60"/>
  <c r="H49" i="60"/>
  <c r="G49" i="60"/>
  <c r="F49" i="60"/>
  <c r="E49" i="60"/>
  <c r="D49" i="60"/>
  <c r="C49" i="60"/>
  <c r="B49" i="60"/>
  <c r="A48" i="60"/>
  <c r="K48" i="60"/>
  <c r="J48" i="60"/>
  <c r="I48" i="60"/>
  <c r="H48" i="60"/>
  <c r="G48" i="60"/>
  <c r="F48" i="60"/>
  <c r="E48" i="60"/>
  <c r="D48" i="60"/>
  <c r="C48" i="60"/>
  <c r="B48" i="60"/>
  <c r="A47" i="60"/>
  <c r="K47" i="60"/>
  <c r="J47" i="60"/>
  <c r="I47" i="60"/>
  <c r="H47" i="60"/>
  <c r="G47" i="60"/>
  <c r="F47" i="60"/>
  <c r="E47" i="60"/>
  <c r="D47" i="60"/>
  <c r="C47" i="60"/>
  <c r="B47" i="60"/>
  <c r="A46" i="60"/>
  <c r="K46" i="60"/>
  <c r="J46" i="60"/>
  <c r="I46" i="60"/>
  <c r="H46" i="60"/>
  <c r="G46" i="60"/>
  <c r="F46" i="60"/>
  <c r="E46" i="60"/>
  <c r="D46" i="60"/>
  <c r="C46" i="60"/>
  <c r="B46" i="60"/>
  <c r="A45" i="60"/>
  <c r="K45" i="60"/>
  <c r="J45" i="60"/>
  <c r="I45" i="60"/>
  <c r="H45" i="60"/>
  <c r="G45" i="60"/>
  <c r="F45" i="60"/>
  <c r="E45" i="60"/>
  <c r="D45" i="60"/>
  <c r="C45" i="60"/>
  <c r="B45" i="60"/>
  <c r="A44" i="60"/>
  <c r="K44" i="60"/>
  <c r="J44" i="60"/>
  <c r="I44" i="60"/>
  <c r="H44" i="60"/>
  <c r="G44" i="60"/>
  <c r="F44" i="60"/>
  <c r="E44" i="60"/>
  <c r="D44" i="60"/>
  <c r="C44" i="60"/>
  <c r="B44" i="60"/>
  <c r="A43" i="60"/>
  <c r="K43" i="60"/>
  <c r="J43" i="60"/>
  <c r="I43" i="60"/>
  <c r="H43" i="60"/>
  <c r="G43" i="60"/>
  <c r="F43" i="60"/>
  <c r="E43" i="60"/>
  <c r="D43" i="60"/>
  <c r="C43" i="60"/>
  <c r="B43" i="60"/>
  <c r="A42" i="60"/>
  <c r="K42" i="60"/>
  <c r="J42" i="60"/>
  <c r="I42" i="60"/>
  <c r="H42" i="60"/>
  <c r="G42" i="60"/>
  <c r="F42" i="60"/>
  <c r="E42" i="60"/>
  <c r="D42" i="60"/>
  <c r="C42" i="60"/>
  <c r="B42" i="60"/>
  <c r="A41" i="60"/>
  <c r="K41" i="60"/>
  <c r="J41" i="60"/>
  <c r="I41" i="60"/>
  <c r="H41" i="60"/>
  <c r="G41" i="60"/>
  <c r="F41" i="60"/>
  <c r="E41" i="60"/>
  <c r="D41" i="60"/>
  <c r="C41" i="60"/>
  <c r="B41" i="60"/>
  <c r="A40" i="60"/>
  <c r="K40" i="60"/>
  <c r="J40" i="60"/>
  <c r="I40" i="60"/>
  <c r="H40" i="60"/>
  <c r="G40" i="60"/>
  <c r="F40" i="60"/>
  <c r="E40" i="60"/>
  <c r="D40" i="60"/>
  <c r="C40" i="60"/>
  <c r="B40" i="60"/>
  <c r="A39" i="60"/>
  <c r="K39" i="60"/>
  <c r="J39" i="60"/>
  <c r="I39" i="60"/>
  <c r="H39" i="60"/>
  <c r="G39" i="60"/>
  <c r="F39" i="60"/>
  <c r="E39" i="60"/>
  <c r="D39" i="60"/>
  <c r="C39" i="60"/>
  <c r="B39" i="60"/>
  <c r="A38" i="60"/>
  <c r="K38" i="60"/>
  <c r="J38" i="60"/>
  <c r="I38" i="60"/>
  <c r="H38" i="60"/>
  <c r="G38" i="60"/>
  <c r="F38" i="60"/>
  <c r="E38" i="60"/>
  <c r="D38" i="60"/>
  <c r="C38" i="60"/>
  <c r="B38" i="60"/>
  <c r="A37" i="60"/>
  <c r="K37" i="60"/>
  <c r="J37" i="60"/>
  <c r="I37" i="60"/>
  <c r="H37" i="60"/>
  <c r="G37" i="60"/>
  <c r="F37" i="60"/>
  <c r="E37" i="60"/>
  <c r="D37" i="60"/>
  <c r="C37" i="60"/>
  <c r="B37" i="60"/>
  <c r="A36" i="60"/>
  <c r="K36" i="60"/>
  <c r="J36" i="60"/>
  <c r="I36" i="60"/>
  <c r="H36" i="60"/>
  <c r="G36" i="60"/>
  <c r="F36" i="60"/>
  <c r="E36" i="60"/>
  <c r="D36" i="60"/>
  <c r="C36" i="60"/>
  <c r="B36" i="60"/>
  <c r="A35" i="60"/>
  <c r="K35" i="60"/>
  <c r="J35" i="60"/>
  <c r="I35" i="60"/>
  <c r="H35" i="60"/>
  <c r="G35" i="60"/>
  <c r="F35" i="60"/>
  <c r="E35" i="60"/>
  <c r="D35" i="60"/>
  <c r="C35" i="60"/>
  <c r="B35" i="60"/>
  <c r="A34" i="60"/>
  <c r="K34" i="60"/>
  <c r="J34" i="60"/>
  <c r="I34" i="60"/>
  <c r="H34" i="60"/>
  <c r="G34" i="60"/>
  <c r="F34" i="60"/>
  <c r="E34" i="60"/>
  <c r="D34" i="60"/>
  <c r="C34" i="60"/>
  <c r="B34" i="60"/>
  <c r="A33" i="60"/>
  <c r="K33" i="60"/>
  <c r="J33" i="60"/>
  <c r="I33" i="60"/>
  <c r="H33" i="60"/>
  <c r="G33" i="60"/>
  <c r="F33" i="60"/>
  <c r="E33" i="60"/>
  <c r="D33" i="60"/>
  <c r="C33" i="60"/>
  <c r="B33" i="60"/>
  <c r="A32" i="60"/>
  <c r="K32" i="60"/>
  <c r="J32" i="60"/>
  <c r="I32" i="60"/>
  <c r="H32" i="60"/>
  <c r="G32" i="60"/>
  <c r="F32" i="60"/>
  <c r="E32" i="60"/>
  <c r="D32" i="60"/>
  <c r="C32" i="60"/>
  <c r="B32" i="60"/>
  <c r="A31" i="60"/>
  <c r="K31" i="60"/>
  <c r="J31" i="60"/>
  <c r="I31" i="60"/>
  <c r="H31" i="60"/>
  <c r="G31" i="60"/>
  <c r="F31" i="60"/>
  <c r="E31" i="60"/>
  <c r="D31" i="60"/>
  <c r="C31" i="60"/>
  <c r="B31" i="60"/>
  <c r="A30" i="60"/>
  <c r="K30" i="60"/>
  <c r="J30" i="60"/>
  <c r="I30" i="60"/>
  <c r="H30" i="60"/>
  <c r="G30" i="60"/>
  <c r="F30" i="60"/>
  <c r="E30" i="60"/>
  <c r="D30" i="60"/>
  <c r="C30" i="60"/>
  <c r="B30" i="60"/>
  <c r="A29" i="60"/>
  <c r="K29" i="60"/>
  <c r="J29" i="60"/>
  <c r="I29" i="60"/>
  <c r="H29" i="60"/>
  <c r="G29" i="60"/>
  <c r="F29" i="60"/>
  <c r="E29" i="60"/>
  <c r="D29" i="60"/>
  <c r="C29" i="60"/>
  <c r="B29" i="60"/>
  <c r="A28" i="60"/>
  <c r="K28" i="60"/>
  <c r="J28" i="60"/>
  <c r="I28" i="60"/>
  <c r="H28" i="60"/>
  <c r="G28" i="60"/>
  <c r="F28" i="60"/>
  <c r="E28" i="60"/>
  <c r="D28" i="60"/>
  <c r="C28" i="60"/>
  <c r="B28" i="60"/>
  <c r="A27" i="60"/>
  <c r="K27" i="60"/>
  <c r="J27" i="60"/>
  <c r="I27" i="60"/>
  <c r="H27" i="60"/>
  <c r="G27" i="60"/>
  <c r="F27" i="60"/>
  <c r="E27" i="60"/>
  <c r="D27" i="60"/>
  <c r="C27" i="60"/>
  <c r="B27" i="60"/>
  <c r="A26" i="60"/>
  <c r="K26" i="60"/>
  <c r="J26" i="60"/>
  <c r="I26" i="60"/>
  <c r="H26" i="60"/>
  <c r="G26" i="60"/>
  <c r="F26" i="60"/>
  <c r="E26" i="60"/>
  <c r="D26" i="60"/>
  <c r="C26" i="60"/>
  <c r="B26" i="60"/>
  <c r="A25" i="60"/>
  <c r="K25" i="60"/>
  <c r="J25" i="60"/>
  <c r="I25" i="60"/>
  <c r="H25" i="60"/>
  <c r="G25" i="60"/>
  <c r="F25" i="60"/>
  <c r="E25" i="60"/>
  <c r="D25" i="60"/>
  <c r="C25" i="60"/>
  <c r="B25" i="60"/>
  <c r="A24" i="60"/>
  <c r="K24" i="60"/>
  <c r="J24" i="60"/>
  <c r="I24" i="60"/>
  <c r="H24" i="60"/>
  <c r="G24" i="60"/>
  <c r="F24" i="60"/>
  <c r="E24" i="60"/>
  <c r="D24" i="60"/>
  <c r="C24" i="60"/>
  <c r="B24" i="60"/>
  <c r="A23" i="60"/>
  <c r="K23" i="60"/>
  <c r="J23" i="60"/>
  <c r="I23" i="60"/>
  <c r="H23" i="60"/>
  <c r="G23" i="60"/>
  <c r="F23" i="60"/>
  <c r="E23" i="60"/>
  <c r="D23" i="60"/>
  <c r="C23" i="60"/>
  <c r="B23" i="60"/>
  <c r="A22" i="60"/>
  <c r="K22" i="60"/>
  <c r="J22" i="60"/>
  <c r="I22" i="60"/>
  <c r="H22" i="60"/>
  <c r="G22" i="60"/>
  <c r="F22" i="60"/>
  <c r="E22" i="60"/>
  <c r="D22" i="60"/>
  <c r="C22" i="60"/>
  <c r="B22" i="60"/>
  <c r="A21" i="60"/>
  <c r="K21" i="60"/>
  <c r="J21" i="60"/>
  <c r="I21" i="60"/>
  <c r="H21" i="60"/>
  <c r="G21" i="60"/>
  <c r="F21" i="60"/>
  <c r="E21" i="60"/>
  <c r="D21" i="60"/>
  <c r="C21" i="60"/>
  <c r="B21" i="60"/>
  <c r="A20" i="60"/>
  <c r="K20" i="60"/>
  <c r="J20" i="60"/>
  <c r="I20" i="60"/>
  <c r="H20" i="60"/>
  <c r="G20" i="60"/>
  <c r="F20" i="60"/>
  <c r="E20" i="60"/>
  <c r="D20" i="60"/>
  <c r="C20" i="60"/>
  <c r="B20" i="60"/>
  <c r="A19" i="60"/>
  <c r="K19" i="60"/>
  <c r="J19" i="60"/>
  <c r="I19" i="60"/>
  <c r="H19" i="60"/>
  <c r="G19" i="60"/>
  <c r="F19" i="60"/>
  <c r="E19" i="60"/>
  <c r="D19" i="60"/>
  <c r="C19" i="60"/>
  <c r="B19" i="60"/>
  <c r="A18" i="60"/>
  <c r="K18" i="60"/>
  <c r="J18" i="60"/>
  <c r="I18" i="60"/>
  <c r="H18" i="60"/>
  <c r="G18" i="60"/>
  <c r="F18" i="60"/>
  <c r="E18" i="60"/>
  <c r="D18" i="60"/>
  <c r="C18" i="60"/>
  <c r="B18" i="60"/>
  <c r="A17" i="60"/>
  <c r="K17" i="60"/>
  <c r="J17" i="60"/>
  <c r="I17" i="60"/>
  <c r="H17" i="60"/>
  <c r="G17" i="60"/>
  <c r="F17" i="60"/>
  <c r="E17" i="60"/>
  <c r="D17" i="60"/>
  <c r="C17" i="60"/>
  <c r="B17" i="60"/>
  <c r="A16" i="60"/>
  <c r="K16" i="60"/>
  <c r="J16" i="60"/>
  <c r="I16" i="60"/>
  <c r="H16" i="60"/>
  <c r="G16" i="60"/>
  <c r="F16" i="60"/>
  <c r="E16" i="60"/>
  <c r="D16" i="60"/>
  <c r="C16" i="60"/>
  <c r="B16" i="60"/>
  <c r="A15" i="60"/>
  <c r="K15" i="60"/>
  <c r="J15" i="60"/>
  <c r="I15" i="60"/>
  <c r="H15" i="60"/>
  <c r="G15" i="60"/>
  <c r="F15" i="60"/>
  <c r="E15" i="60"/>
  <c r="D15" i="60"/>
  <c r="C15" i="60"/>
  <c r="B15" i="60"/>
  <c r="A14" i="60"/>
  <c r="K14" i="60"/>
  <c r="J14" i="60"/>
  <c r="I14" i="60"/>
  <c r="H14" i="60"/>
  <c r="G14" i="60"/>
  <c r="F14" i="60"/>
  <c r="E14" i="60"/>
  <c r="D14" i="60"/>
  <c r="C14" i="60"/>
  <c r="B14" i="60"/>
  <c r="A13" i="60"/>
  <c r="K13" i="60"/>
  <c r="J13" i="60"/>
  <c r="I13" i="60"/>
  <c r="H13" i="60"/>
  <c r="G13" i="60"/>
  <c r="F13" i="60"/>
  <c r="E13" i="60"/>
  <c r="D13" i="60"/>
  <c r="C13" i="60"/>
  <c r="B13" i="60"/>
  <c r="A12" i="60"/>
  <c r="K12" i="60"/>
  <c r="J12" i="60"/>
  <c r="I12" i="60"/>
  <c r="H12" i="60"/>
  <c r="G12" i="60"/>
  <c r="F12" i="60"/>
  <c r="E12" i="60"/>
  <c r="D12" i="60"/>
  <c r="C12" i="60"/>
  <c r="B12" i="60"/>
  <c r="A11" i="60"/>
  <c r="K11" i="60"/>
  <c r="J11" i="60"/>
  <c r="I11" i="60"/>
  <c r="H11" i="60"/>
  <c r="G11" i="60"/>
  <c r="F11" i="60"/>
  <c r="E11" i="60"/>
  <c r="D11" i="60"/>
  <c r="C11" i="60"/>
  <c r="B11" i="60"/>
  <c r="A10" i="60"/>
  <c r="K10" i="60"/>
  <c r="J10" i="60"/>
  <c r="I10" i="60"/>
  <c r="H10" i="60"/>
  <c r="G10" i="60"/>
  <c r="F10" i="60"/>
  <c r="E10" i="60"/>
  <c r="D10" i="60"/>
  <c r="C10" i="60"/>
  <c r="B10" i="60"/>
  <c r="A9" i="60"/>
  <c r="K9" i="60"/>
  <c r="J9" i="60"/>
  <c r="I9" i="60"/>
  <c r="H9" i="60"/>
  <c r="G9" i="60"/>
  <c r="F9" i="60"/>
  <c r="E9" i="60"/>
  <c r="D9" i="60"/>
  <c r="C9" i="60"/>
  <c r="B9" i="60"/>
  <c r="A8" i="60"/>
  <c r="K8" i="60"/>
  <c r="J8" i="60"/>
  <c r="I8" i="60"/>
  <c r="H8" i="60"/>
  <c r="G8" i="60"/>
  <c r="F8" i="60"/>
  <c r="E8" i="60"/>
  <c r="D8" i="60"/>
  <c r="C8" i="60"/>
  <c r="B8" i="60"/>
  <c r="A7" i="60"/>
  <c r="K7" i="60"/>
  <c r="J7" i="60"/>
  <c r="I7" i="60"/>
  <c r="H7" i="60"/>
  <c r="G7" i="60"/>
  <c r="F7" i="60"/>
  <c r="E7" i="60"/>
  <c r="D7" i="60"/>
  <c r="C7" i="60"/>
  <c r="B7" i="60"/>
  <c r="A6" i="60"/>
  <c r="K6" i="60"/>
  <c r="J6" i="60"/>
  <c r="I6" i="60"/>
  <c r="H6" i="60"/>
  <c r="G6" i="60"/>
  <c r="F6" i="60"/>
  <c r="E6" i="60"/>
  <c r="D6" i="60"/>
  <c r="C6" i="60"/>
  <c r="B6" i="60"/>
  <c r="A5" i="60"/>
  <c r="K5" i="60"/>
  <c r="J5" i="60"/>
  <c r="I5" i="60"/>
  <c r="H5" i="60"/>
  <c r="G5" i="60"/>
  <c r="F5" i="60"/>
  <c r="E5" i="60"/>
  <c r="D5" i="60"/>
  <c r="C5" i="60"/>
  <c r="B5" i="60"/>
  <c r="A4" i="60"/>
  <c r="K4" i="60"/>
  <c r="J4" i="60"/>
  <c r="I4" i="60"/>
  <c r="H4" i="60"/>
  <c r="G4" i="60"/>
  <c r="F4" i="60"/>
  <c r="E4" i="60"/>
  <c r="D4" i="60"/>
  <c r="C4" i="60"/>
  <c r="B4" i="60"/>
  <c r="K161" i="70"/>
  <c r="J161" i="70"/>
  <c r="I161" i="70"/>
  <c r="H161" i="70"/>
  <c r="G161" i="70"/>
  <c r="F161" i="70"/>
  <c r="A161" i="70"/>
  <c r="K160" i="70"/>
  <c r="J160" i="70"/>
  <c r="I160" i="70"/>
  <c r="H160" i="70"/>
  <c r="G160" i="70"/>
  <c r="F160" i="70"/>
  <c r="A160" i="70"/>
  <c r="K159" i="70"/>
  <c r="J159" i="70"/>
  <c r="I159" i="70"/>
  <c r="H159" i="70"/>
  <c r="G159" i="70"/>
  <c r="F159" i="70"/>
  <c r="A159" i="70"/>
  <c r="K158" i="70"/>
  <c r="J158" i="70"/>
  <c r="I158" i="70"/>
  <c r="H158" i="70"/>
  <c r="G158" i="70"/>
  <c r="F158" i="70"/>
  <c r="A158" i="70"/>
  <c r="K157" i="70"/>
  <c r="J157" i="70"/>
  <c r="I157" i="70"/>
  <c r="H157" i="70"/>
  <c r="G157" i="70"/>
  <c r="F157" i="70"/>
  <c r="A157" i="70"/>
  <c r="K156" i="70"/>
  <c r="J156" i="70"/>
  <c r="I156" i="70"/>
  <c r="H156" i="70"/>
  <c r="G156" i="70"/>
  <c r="F156" i="70"/>
  <c r="A156" i="70"/>
  <c r="K155" i="70"/>
  <c r="J155" i="70"/>
  <c r="I155" i="70"/>
  <c r="H155" i="70"/>
  <c r="G155" i="70"/>
  <c r="F155" i="70"/>
  <c r="A155" i="70"/>
  <c r="K154" i="70"/>
  <c r="J154" i="70"/>
  <c r="I154" i="70"/>
  <c r="H154" i="70"/>
  <c r="G154" i="70"/>
  <c r="F154" i="70"/>
  <c r="A154" i="70"/>
  <c r="K153" i="70"/>
  <c r="J153" i="70"/>
  <c r="I153" i="70"/>
  <c r="H153" i="70"/>
  <c r="G153" i="70"/>
  <c r="F153" i="70"/>
  <c r="A153" i="70"/>
  <c r="K152" i="70"/>
  <c r="J152" i="70"/>
  <c r="I152" i="70"/>
  <c r="H152" i="70"/>
  <c r="G152" i="70"/>
  <c r="F152" i="70"/>
  <c r="A152" i="70"/>
  <c r="K151" i="70"/>
  <c r="J151" i="70"/>
  <c r="I151" i="70"/>
  <c r="H151" i="70"/>
  <c r="G151" i="70"/>
  <c r="F151" i="70"/>
  <c r="A151" i="70"/>
  <c r="K150" i="70"/>
  <c r="J150" i="70"/>
  <c r="I150" i="70"/>
  <c r="H150" i="70"/>
  <c r="G150" i="70"/>
  <c r="F150" i="70"/>
  <c r="A150" i="70"/>
  <c r="K149" i="70"/>
  <c r="J149" i="70"/>
  <c r="I149" i="70"/>
  <c r="H149" i="70"/>
  <c r="G149" i="70"/>
  <c r="F149" i="70"/>
  <c r="A149" i="70"/>
  <c r="K148" i="70"/>
  <c r="J148" i="70"/>
  <c r="I148" i="70"/>
  <c r="H148" i="70"/>
  <c r="G148" i="70"/>
  <c r="F148" i="70"/>
  <c r="A148" i="70"/>
  <c r="K147" i="70"/>
  <c r="J147" i="70"/>
  <c r="I147" i="70"/>
  <c r="H147" i="70"/>
  <c r="G147" i="70"/>
  <c r="F147" i="70"/>
  <c r="A147" i="70"/>
  <c r="K146" i="70"/>
  <c r="J146" i="70"/>
  <c r="I146" i="70"/>
  <c r="H146" i="70"/>
  <c r="G146" i="70"/>
  <c r="F146" i="70"/>
  <c r="A146" i="70"/>
  <c r="K145" i="70"/>
  <c r="J145" i="70"/>
  <c r="I145" i="70"/>
  <c r="H145" i="70"/>
  <c r="G145" i="70"/>
  <c r="F145" i="70"/>
  <c r="A145" i="70"/>
  <c r="K144" i="70"/>
  <c r="J144" i="70"/>
  <c r="I144" i="70"/>
  <c r="H144" i="70"/>
  <c r="G144" i="70"/>
  <c r="F144" i="70"/>
  <c r="A144" i="70"/>
  <c r="K143" i="70"/>
  <c r="J143" i="70"/>
  <c r="I143" i="70"/>
  <c r="H143" i="70"/>
  <c r="G143" i="70"/>
  <c r="F143" i="70"/>
  <c r="A143" i="70"/>
  <c r="K142" i="70"/>
  <c r="J142" i="70"/>
  <c r="I142" i="70"/>
  <c r="H142" i="70"/>
  <c r="G142" i="70"/>
  <c r="F142" i="70"/>
  <c r="A142" i="70"/>
  <c r="K141" i="70"/>
  <c r="J141" i="70"/>
  <c r="I141" i="70"/>
  <c r="H141" i="70"/>
  <c r="G141" i="70"/>
  <c r="F141" i="70"/>
  <c r="A141" i="70"/>
  <c r="K140" i="70"/>
  <c r="J140" i="70"/>
  <c r="I140" i="70"/>
  <c r="H140" i="70"/>
  <c r="G140" i="70"/>
  <c r="F140" i="70"/>
  <c r="A140" i="70"/>
  <c r="K139" i="70"/>
  <c r="J139" i="70"/>
  <c r="I139" i="70"/>
  <c r="H139" i="70"/>
  <c r="G139" i="70"/>
  <c r="F139" i="70"/>
  <c r="A139" i="70"/>
  <c r="K138" i="70"/>
  <c r="J138" i="70"/>
  <c r="I138" i="70"/>
  <c r="H138" i="70"/>
  <c r="G138" i="70"/>
  <c r="F138" i="70"/>
  <c r="A138" i="70"/>
  <c r="K137" i="70"/>
  <c r="J137" i="70"/>
  <c r="I137" i="70"/>
  <c r="H137" i="70"/>
  <c r="G137" i="70"/>
  <c r="F137" i="70"/>
  <c r="A137" i="70"/>
  <c r="K136" i="70"/>
  <c r="J136" i="70"/>
  <c r="I136" i="70"/>
  <c r="H136" i="70"/>
  <c r="G136" i="70"/>
  <c r="F136" i="70"/>
  <c r="A136" i="70"/>
  <c r="K135" i="70"/>
  <c r="J135" i="70"/>
  <c r="I135" i="70"/>
  <c r="H135" i="70"/>
  <c r="G135" i="70"/>
  <c r="F135" i="70"/>
  <c r="A135" i="70"/>
  <c r="K134" i="70"/>
  <c r="J134" i="70"/>
  <c r="I134" i="70"/>
  <c r="H134" i="70"/>
  <c r="G134" i="70"/>
  <c r="F134" i="70"/>
  <c r="A134" i="70"/>
  <c r="K133" i="70"/>
  <c r="J133" i="70"/>
  <c r="I133" i="70"/>
  <c r="H133" i="70"/>
  <c r="G133" i="70"/>
  <c r="F133" i="70"/>
  <c r="A133" i="70"/>
  <c r="K132" i="70"/>
  <c r="J132" i="70"/>
  <c r="I132" i="70"/>
  <c r="H132" i="70"/>
  <c r="G132" i="70"/>
  <c r="F132" i="70"/>
  <c r="A132" i="70"/>
  <c r="K131" i="70"/>
  <c r="J131" i="70"/>
  <c r="I131" i="70"/>
  <c r="H131" i="70"/>
  <c r="G131" i="70"/>
  <c r="F131" i="70"/>
  <c r="A131" i="70"/>
  <c r="K130" i="70"/>
  <c r="J130" i="70"/>
  <c r="I130" i="70"/>
  <c r="H130" i="70"/>
  <c r="G130" i="70"/>
  <c r="F130" i="70"/>
  <c r="A130" i="70"/>
  <c r="K129" i="70"/>
  <c r="J129" i="70"/>
  <c r="I129" i="70"/>
  <c r="H129" i="70"/>
  <c r="G129" i="70"/>
  <c r="F129" i="70"/>
  <c r="A129" i="70"/>
  <c r="K128" i="70"/>
  <c r="J128" i="70"/>
  <c r="I128" i="70"/>
  <c r="H128" i="70"/>
  <c r="G128" i="70"/>
  <c r="F128" i="70"/>
  <c r="A128" i="70"/>
  <c r="K127" i="70"/>
  <c r="J127" i="70"/>
  <c r="I127" i="70"/>
  <c r="H127" i="70"/>
  <c r="G127" i="70"/>
  <c r="F127" i="70"/>
  <c r="A127" i="70"/>
  <c r="K126" i="70"/>
  <c r="J126" i="70"/>
  <c r="I126" i="70"/>
  <c r="H126" i="70"/>
  <c r="G126" i="70"/>
  <c r="F126" i="70"/>
  <c r="A126" i="70"/>
  <c r="K125" i="70"/>
  <c r="J125" i="70"/>
  <c r="I125" i="70"/>
  <c r="H125" i="70"/>
  <c r="G125" i="70"/>
  <c r="F125" i="70"/>
  <c r="A125" i="70"/>
  <c r="K124" i="70"/>
  <c r="J124" i="70"/>
  <c r="I124" i="70"/>
  <c r="H124" i="70"/>
  <c r="G124" i="70"/>
  <c r="F124" i="70"/>
  <c r="A124" i="70"/>
  <c r="K123" i="70"/>
  <c r="J123" i="70"/>
  <c r="I123" i="70"/>
  <c r="H123" i="70"/>
  <c r="G123" i="70"/>
  <c r="F123" i="70"/>
  <c r="A123" i="70"/>
  <c r="K122" i="70"/>
  <c r="J122" i="70"/>
  <c r="I122" i="70"/>
  <c r="H122" i="70"/>
  <c r="G122" i="70"/>
  <c r="F122" i="70"/>
  <c r="A122" i="70"/>
  <c r="K121" i="70"/>
  <c r="J121" i="70"/>
  <c r="I121" i="70"/>
  <c r="H121" i="70"/>
  <c r="G121" i="70"/>
  <c r="F121" i="70"/>
  <c r="A121" i="70"/>
  <c r="K120" i="70"/>
  <c r="J120" i="70"/>
  <c r="I120" i="70"/>
  <c r="H120" i="70"/>
  <c r="G120" i="70"/>
  <c r="F120" i="70"/>
  <c r="A120" i="70"/>
  <c r="K119" i="70"/>
  <c r="J119" i="70"/>
  <c r="I119" i="70"/>
  <c r="H119" i="70"/>
  <c r="G119" i="70"/>
  <c r="F119" i="70"/>
  <c r="A119" i="70"/>
  <c r="K118" i="70"/>
  <c r="J118" i="70"/>
  <c r="I118" i="70"/>
  <c r="H118" i="70"/>
  <c r="G118" i="70"/>
  <c r="F118" i="70"/>
  <c r="A118" i="70"/>
  <c r="K117" i="70"/>
  <c r="J117" i="70"/>
  <c r="I117" i="70"/>
  <c r="H117" i="70"/>
  <c r="G117" i="70"/>
  <c r="F117" i="70"/>
  <c r="A117" i="70"/>
  <c r="K116" i="70"/>
  <c r="J116" i="70"/>
  <c r="I116" i="70"/>
  <c r="H116" i="70"/>
  <c r="G116" i="70"/>
  <c r="F116" i="70"/>
  <c r="A116" i="70"/>
  <c r="K115" i="70"/>
  <c r="J115" i="70"/>
  <c r="I115" i="70"/>
  <c r="H115" i="70"/>
  <c r="G115" i="70"/>
  <c r="F115" i="70"/>
  <c r="A115" i="70"/>
  <c r="K114" i="70"/>
  <c r="J114" i="70"/>
  <c r="I114" i="70"/>
  <c r="H114" i="70"/>
  <c r="G114" i="70"/>
  <c r="F114" i="70"/>
  <c r="A114" i="70"/>
  <c r="K113" i="70"/>
  <c r="J113" i="70"/>
  <c r="I113" i="70"/>
  <c r="H113" i="70"/>
  <c r="G113" i="70"/>
  <c r="F113" i="70"/>
  <c r="A113" i="70"/>
  <c r="K112" i="70"/>
  <c r="J112" i="70"/>
  <c r="I112" i="70"/>
  <c r="H112" i="70"/>
  <c r="G112" i="70"/>
  <c r="F112" i="70"/>
  <c r="A112" i="70"/>
  <c r="K111" i="70"/>
  <c r="J111" i="70"/>
  <c r="I111" i="70"/>
  <c r="H111" i="70"/>
  <c r="G111" i="70"/>
  <c r="F111" i="70"/>
  <c r="A111" i="70"/>
  <c r="K110" i="70"/>
  <c r="J110" i="70"/>
  <c r="I110" i="70"/>
  <c r="H110" i="70"/>
  <c r="G110" i="70"/>
  <c r="F110" i="70"/>
  <c r="A110" i="70"/>
  <c r="K109" i="70"/>
  <c r="J109" i="70"/>
  <c r="I109" i="70"/>
  <c r="H109" i="70"/>
  <c r="G109" i="70"/>
  <c r="F109" i="70"/>
  <c r="A109" i="70"/>
  <c r="K108" i="70"/>
  <c r="J108" i="70"/>
  <c r="I108" i="70"/>
  <c r="H108" i="70"/>
  <c r="G108" i="70"/>
  <c r="F108" i="70"/>
  <c r="A108" i="70"/>
  <c r="K107" i="70"/>
  <c r="J107" i="70"/>
  <c r="I107" i="70"/>
  <c r="H107" i="70"/>
  <c r="G107" i="70"/>
  <c r="F107" i="70"/>
  <c r="A107" i="70"/>
  <c r="K106" i="70"/>
  <c r="J106" i="70"/>
  <c r="I106" i="70"/>
  <c r="H106" i="70"/>
  <c r="G106" i="70"/>
  <c r="F106" i="70"/>
  <c r="A106" i="70"/>
  <c r="K105" i="70"/>
  <c r="J105" i="70"/>
  <c r="I105" i="70"/>
  <c r="H105" i="70"/>
  <c r="G105" i="70"/>
  <c r="F105" i="70"/>
  <c r="A105" i="70"/>
  <c r="K104" i="70"/>
  <c r="J104" i="70"/>
  <c r="I104" i="70"/>
  <c r="H104" i="70"/>
  <c r="G104" i="70"/>
  <c r="F104" i="70"/>
  <c r="A104" i="70"/>
  <c r="K103" i="70"/>
  <c r="J103" i="70"/>
  <c r="I103" i="70"/>
  <c r="H103" i="70"/>
  <c r="G103" i="70"/>
  <c r="F103" i="70"/>
  <c r="A103" i="70"/>
  <c r="K102" i="70"/>
  <c r="J102" i="70"/>
  <c r="I102" i="70"/>
  <c r="H102" i="70"/>
  <c r="G102" i="70"/>
  <c r="F102" i="70"/>
  <c r="A102" i="70"/>
  <c r="K101" i="70"/>
  <c r="J101" i="70"/>
  <c r="I101" i="70"/>
  <c r="H101" i="70"/>
  <c r="G101" i="70"/>
  <c r="F101" i="70"/>
  <c r="A101" i="70"/>
  <c r="K100" i="70"/>
  <c r="J100" i="70"/>
  <c r="I100" i="70"/>
  <c r="H100" i="70"/>
  <c r="G100" i="70"/>
  <c r="F100" i="70"/>
  <c r="A100" i="70"/>
  <c r="K99" i="70"/>
  <c r="J99" i="70"/>
  <c r="I99" i="70"/>
  <c r="H99" i="70"/>
  <c r="G99" i="70"/>
  <c r="F99" i="70"/>
  <c r="A99" i="70"/>
  <c r="K98" i="70"/>
  <c r="J98" i="70"/>
  <c r="I98" i="70"/>
  <c r="H98" i="70"/>
  <c r="G98" i="70"/>
  <c r="F98" i="70"/>
  <c r="A98" i="70"/>
  <c r="K97" i="70"/>
  <c r="J97" i="70"/>
  <c r="I97" i="70"/>
  <c r="H97" i="70"/>
  <c r="G97" i="70"/>
  <c r="F97" i="70"/>
  <c r="A97" i="70"/>
  <c r="K96" i="70"/>
  <c r="J96" i="70"/>
  <c r="I96" i="70"/>
  <c r="H96" i="70"/>
  <c r="G96" i="70"/>
  <c r="F96" i="70"/>
  <c r="A96" i="70"/>
  <c r="K95" i="70"/>
  <c r="J95" i="70"/>
  <c r="I95" i="70"/>
  <c r="H95" i="70"/>
  <c r="G95" i="70"/>
  <c r="F95" i="70"/>
  <c r="A95" i="70"/>
  <c r="K94" i="70"/>
  <c r="J94" i="70"/>
  <c r="I94" i="70"/>
  <c r="H94" i="70"/>
  <c r="G94" i="70"/>
  <c r="F94" i="70"/>
  <c r="A94" i="70"/>
  <c r="K93" i="70"/>
  <c r="J93" i="70"/>
  <c r="I93" i="70"/>
  <c r="H93" i="70"/>
  <c r="G93" i="70"/>
  <c r="F93" i="70"/>
  <c r="A93" i="70"/>
  <c r="K92" i="70"/>
  <c r="J92" i="70"/>
  <c r="I92" i="70"/>
  <c r="H92" i="70"/>
  <c r="G92" i="70"/>
  <c r="F92" i="70"/>
  <c r="A92" i="70"/>
  <c r="K91" i="70"/>
  <c r="J91" i="70"/>
  <c r="I91" i="70"/>
  <c r="H91" i="70"/>
  <c r="G91" i="70"/>
  <c r="F91" i="70"/>
  <c r="A91" i="70"/>
  <c r="K90" i="70"/>
  <c r="J90" i="70"/>
  <c r="I90" i="70"/>
  <c r="H90" i="70"/>
  <c r="G90" i="70"/>
  <c r="F90" i="70"/>
  <c r="A90" i="70"/>
  <c r="K89" i="70"/>
  <c r="J89" i="70"/>
  <c r="I89" i="70"/>
  <c r="H89" i="70"/>
  <c r="G89" i="70"/>
  <c r="F89" i="70"/>
  <c r="A89" i="70"/>
  <c r="K88" i="70"/>
  <c r="J88" i="70"/>
  <c r="I88" i="70"/>
  <c r="H88" i="70"/>
  <c r="G88" i="70"/>
  <c r="F88" i="70"/>
  <c r="A88" i="70"/>
  <c r="K87" i="70"/>
  <c r="J87" i="70"/>
  <c r="I87" i="70"/>
  <c r="H87" i="70"/>
  <c r="G87" i="70"/>
  <c r="F87" i="70"/>
  <c r="A87" i="70"/>
  <c r="K86" i="70"/>
  <c r="J86" i="70"/>
  <c r="I86" i="70"/>
  <c r="H86" i="70"/>
  <c r="G86" i="70"/>
  <c r="F86" i="70"/>
  <c r="A86" i="70"/>
  <c r="K85" i="70"/>
  <c r="J85" i="70"/>
  <c r="I85" i="70"/>
  <c r="H85" i="70"/>
  <c r="G85" i="70"/>
  <c r="F85" i="70"/>
  <c r="A85" i="70"/>
  <c r="K84" i="70"/>
  <c r="J84" i="70"/>
  <c r="I84" i="70"/>
  <c r="H84" i="70"/>
  <c r="G84" i="70"/>
  <c r="F84" i="70"/>
  <c r="A84" i="70"/>
  <c r="K83" i="70"/>
  <c r="J83" i="70"/>
  <c r="I83" i="70"/>
  <c r="H83" i="70"/>
  <c r="G83" i="70"/>
  <c r="F83" i="70"/>
  <c r="A83" i="70"/>
  <c r="K82" i="70"/>
  <c r="J82" i="70"/>
  <c r="I82" i="70"/>
  <c r="H82" i="70"/>
  <c r="G82" i="70"/>
  <c r="F82" i="70"/>
  <c r="A82" i="70"/>
  <c r="K81" i="70"/>
  <c r="J81" i="70"/>
  <c r="I81" i="70"/>
  <c r="H81" i="70"/>
  <c r="G81" i="70"/>
  <c r="F81" i="70"/>
  <c r="A81" i="70"/>
  <c r="K80" i="70"/>
  <c r="J80" i="70"/>
  <c r="I80" i="70"/>
  <c r="H80" i="70"/>
  <c r="G80" i="70"/>
  <c r="F80" i="70"/>
  <c r="A80" i="70"/>
  <c r="K79" i="70"/>
  <c r="J79" i="70"/>
  <c r="I79" i="70"/>
  <c r="H79" i="70"/>
  <c r="G79" i="70"/>
  <c r="F79" i="70"/>
  <c r="A79" i="70"/>
  <c r="K78" i="70"/>
  <c r="J78" i="70"/>
  <c r="I78" i="70"/>
  <c r="H78" i="70"/>
  <c r="G78" i="70"/>
  <c r="F78" i="70"/>
  <c r="A78" i="70"/>
  <c r="K77" i="70"/>
  <c r="J77" i="70"/>
  <c r="I77" i="70"/>
  <c r="H77" i="70"/>
  <c r="G77" i="70"/>
  <c r="F77" i="70"/>
  <c r="A77" i="70"/>
  <c r="K76" i="70"/>
  <c r="J76" i="70"/>
  <c r="I76" i="70"/>
  <c r="H76" i="70"/>
  <c r="G76" i="70"/>
  <c r="F76" i="70"/>
  <c r="A76" i="70"/>
  <c r="K75" i="70"/>
  <c r="J75" i="70"/>
  <c r="I75" i="70"/>
  <c r="H75" i="70"/>
  <c r="G75" i="70"/>
  <c r="F75" i="70"/>
  <c r="A75" i="70"/>
  <c r="K74" i="70"/>
  <c r="J74" i="70"/>
  <c r="I74" i="70"/>
  <c r="H74" i="70"/>
  <c r="G74" i="70"/>
  <c r="F74" i="70"/>
  <c r="A74" i="70"/>
  <c r="K73" i="70"/>
  <c r="J73" i="70"/>
  <c r="I73" i="70"/>
  <c r="H73" i="70"/>
  <c r="G73" i="70"/>
  <c r="F73" i="70"/>
  <c r="A73" i="70"/>
  <c r="K72" i="70"/>
  <c r="J72" i="70"/>
  <c r="I72" i="70"/>
  <c r="H72" i="70"/>
  <c r="G72" i="70"/>
  <c r="F72" i="70"/>
  <c r="A72" i="70"/>
  <c r="K71" i="70"/>
  <c r="J71" i="70"/>
  <c r="I71" i="70"/>
  <c r="H71" i="70"/>
  <c r="G71" i="70"/>
  <c r="F71" i="70"/>
  <c r="A71" i="70"/>
  <c r="K70" i="70"/>
  <c r="J70" i="70"/>
  <c r="I70" i="70"/>
  <c r="H70" i="70"/>
  <c r="G70" i="70"/>
  <c r="F70" i="70"/>
  <c r="A70" i="70"/>
  <c r="K69" i="70"/>
  <c r="J69" i="70"/>
  <c r="I69" i="70"/>
  <c r="H69" i="70"/>
  <c r="G69" i="70"/>
  <c r="F69" i="70"/>
  <c r="A69" i="70"/>
  <c r="K68" i="70"/>
  <c r="J68" i="70"/>
  <c r="I68" i="70"/>
  <c r="H68" i="70"/>
  <c r="G68" i="70"/>
  <c r="F68" i="70"/>
  <c r="A68" i="70"/>
  <c r="K67" i="70"/>
  <c r="J67" i="70"/>
  <c r="I67" i="70"/>
  <c r="H67" i="70"/>
  <c r="G67" i="70"/>
  <c r="F67" i="70"/>
  <c r="A67" i="70"/>
  <c r="K66" i="70"/>
  <c r="J66" i="70"/>
  <c r="I66" i="70"/>
  <c r="H66" i="70"/>
  <c r="G66" i="70"/>
  <c r="F66" i="70"/>
  <c r="A66" i="70"/>
  <c r="K65" i="70"/>
  <c r="J65" i="70"/>
  <c r="I65" i="70"/>
  <c r="H65" i="70"/>
  <c r="G65" i="70"/>
  <c r="F65" i="70"/>
  <c r="A65" i="70"/>
  <c r="K64" i="70"/>
  <c r="J64" i="70"/>
  <c r="I64" i="70"/>
  <c r="H64" i="70"/>
  <c r="G64" i="70"/>
  <c r="F64" i="70"/>
  <c r="A64" i="70"/>
  <c r="K63" i="70"/>
  <c r="J63" i="70"/>
  <c r="I63" i="70"/>
  <c r="H63" i="70"/>
  <c r="G63" i="70"/>
  <c r="F63" i="70"/>
  <c r="A63" i="70"/>
  <c r="K62" i="70"/>
  <c r="J62" i="70"/>
  <c r="I62" i="70"/>
  <c r="H62" i="70"/>
  <c r="G62" i="70"/>
  <c r="F62" i="70"/>
  <c r="A62" i="70"/>
  <c r="K61" i="70"/>
  <c r="J61" i="70"/>
  <c r="I61" i="70"/>
  <c r="H61" i="70"/>
  <c r="G61" i="70"/>
  <c r="F61" i="70"/>
  <c r="A61" i="70"/>
  <c r="K60" i="70"/>
  <c r="J60" i="70"/>
  <c r="I60" i="70"/>
  <c r="H60" i="70"/>
  <c r="G60" i="70"/>
  <c r="F60" i="70"/>
  <c r="A60" i="70"/>
  <c r="K59" i="70"/>
  <c r="J59" i="70"/>
  <c r="I59" i="70"/>
  <c r="H59" i="70"/>
  <c r="G59" i="70"/>
  <c r="F59" i="70"/>
  <c r="A59" i="70"/>
  <c r="K58" i="70"/>
  <c r="J58" i="70"/>
  <c r="I58" i="70"/>
  <c r="H58" i="70"/>
  <c r="G58" i="70"/>
  <c r="F58" i="70"/>
  <c r="A58" i="70"/>
  <c r="K57" i="70"/>
  <c r="J57" i="70"/>
  <c r="I57" i="70"/>
  <c r="H57" i="70"/>
  <c r="G57" i="70"/>
  <c r="F57" i="70"/>
  <c r="A57" i="70"/>
  <c r="K56" i="70"/>
  <c r="J56" i="70"/>
  <c r="I56" i="70"/>
  <c r="H56" i="70"/>
  <c r="G56" i="70"/>
  <c r="F56" i="70"/>
  <c r="A56" i="70"/>
  <c r="K55" i="70"/>
  <c r="J55" i="70"/>
  <c r="I55" i="70"/>
  <c r="H55" i="70"/>
  <c r="G55" i="70"/>
  <c r="F55" i="70"/>
  <c r="A55" i="70"/>
  <c r="K54" i="70"/>
  <c r="J54" i="70"/>
  <c r="I54" i="70"/>
  <c r="H54" i="70"/>
  <c r="G54" i="70"/>
  <c r="F54" i="70"/>
  <c r="A54" i="70"/>
  <c r="K53" i="70"/>
  <c r="J53" i="70"/>
  <c r="I53" i="70"/>
  <c r="H53" i="70"/>
  <c r="G53" i="70"/>
  <c r="F53" i="70"/>
  <c r="A53" i="70"/>
  <c r="K52" i="70"/>
  <c r="J52" i="70"/>
  <c r="I52" i="70"/>
  <c r="H52" i="70"/>
  <c r="G52" i="70"/>
  <c r="F52" i="70"/>
  <c r="A52" i="70"/>
  <c r="K51" i="70"/>
  <c r="J51" i="70"/>
  <c r="I51" i="70"/>
  <c r="H51" i="70"/>
  <c r="G51" i="70"/>
  <c r="F51" i="70"/>
  <c r="A51" i="70"/>
  <c r="K50" i="70"/>
  <c r="J50" i="70"/>
  <c r="I50" i="70"/>
  <c r="H50" i="70"/>
  <c r="G50" i="70"/>
  <c r="F50" i="70"/>
  <c r="A50" i="70"/>
  <c r="K49" i="70"/>
  <c r="J49" i="70"/>
  <c r="I49" i="70"/>
  <c r="H49" i="70"/>
  <c r="G49" i="70"/>
  <c r="F49" i="70"/>
  <c r="A49" i="70"/>
  <c r="K48" i="70"/>
  <c r="J48" i="70"/>
  <c r="I48" i="70"/>
  <c r="H48" i="70"/>
  <c r="G48" i="70"/>
  <c r="F48" i="70"/>
  <c r="A48" i="70"/>
  <c r="K47" i="70"/>
  <c r="J47" i="70"/>
  <c r="I47" i="70"/>
  <c r="H47" i="70"/>
  <c r="G47" i="70"/>
  <c r="F47" i="70"/>
  <c r="A47" i="70"/>
  <c r="K46" i="70"/>
  <c r="J46" i="70"/>
  <c r="I46" i="70"/>
  <c r="H46" i="70"/>
  <c r="G46" i="70"/>
  <c r="F46" i="70"/>
  <c r="A46" i="70"/>
  <c r="K45" i="70"/>
  <c r="J45" i="70"/>
  <c r="I45" i="70"/>
  <c r="H45" i="70"/>
  <c r="G45" i="70"/>
  <c r="F45" i="70"/>
  <c r="A45" i="70"/>
  <c r="K44" i="70"/>
  <c r="J44" i="70"/>
  <c r="I44" i="70"/>
  <c r="H44" i="70"/>
  <c r="G44" i="70"/>
  <c r="F44" i="70"/>
  <c r="A44" i="70"/>
  <c r="K43" i="70"/>
  <c r="J43" i="70"/>
  <c r="I43" i="70"/>
  <c r="H43" i="70"/>
  <c r="G43" i="70"/>
  <c r="F43" i="70"/>
  <c r="A43" i="70"/>
  <c r="K42" i="70"/>
  <c r="J42" i="70"/>
  <c r="I42" i="70"/>
  <c r="H42" i="70"/>
  <c r="G42" i="70"/>
  <c r="F42" i="70"/>
  <c r="A42" i="70"/>
  <c r="K41" i="70"/>
  <c r="J41" i="70"/>
  <c r="I41" i="70"/>
  <c r="H41" i="70"/>
  <c r="G41" i="70"/>
  <c r="F41" i="70"/>
  <c r="A41" i="70"/>
  <c r="K40" i="70"/>
  <c r="J40" i="70"/>
  <c r="I40" i="70"/>
  <c r="H40" i="70"/>
  <c r="G40" i="70"/>
  <c r="F40" i="70"/>
  <c r="A40" i="70"/>
  <c r="K39" i="70"/>
  <c r="J39" i="70"/>
  <c r="I39" i="70"/>
  <c r="H39" i="70"/>
  <c r="G39" i="70"/>
  <c r="F39" i="70"/>
  <c r="A39" i="70"/>
  <c r="K38" i="70"/>
  <c r="J38" i="70"/>
  <c r="I38" i="70"/>
  <c r="H38" i="70"/>
  <c r="G38" i="70"/>
  <c r="F38" i="70"/>
  <c r="A38" i="70"/>
  <c r="K37" i="70"/>
  <c r="J37" i="70"/>
  <c r="I37" i="70"/>
  <c r="H37" i="70"/>
  <c r="G37" i="70"/>
  <c r="F37" i="70"/>
  <c r="A37" i="70"/>
  <c r="K36" i="70"/>
  <c r="J36" i="70"/>
  <c r="I36" i="70"/>
  <c r="H36" i="70"/>
  <c r="G36" i="70"/>
  <c r="F36" i="70"/>
  <c r="A36" i="70"/>
  <c r="K35" i="70"/>
  <c r="J35" i="70"/>
  <c r="I35" i="70"/>
  <c r="H35" i="70"/>
  <c r="G35" i="70"/>
  <c r="F35" i="70"/>
  <c r="A35" i="70"/>
  <c r="K34" i="70"/>
  <c r="J34" i="70"/>
  <c r="I34" i="70"/>
  <c r="H34" i="70"/>
  <c r="G34" i="70"/>
  <c r="F34" i="70"/>
  <c r="A34" i="70"/>
  <c r="K33" i="70"/>
  <c r="J33" i="70"/>
  <c r="I33" i="70"/>
  <c r="H33" i="70"/>
  <c r="G33" i="70"/>
  <c r="F33" i="70"/>
  <c r="A33" i="70"/>
  <c r="K32" i="70"/>
  <c r="J32" i="70"/>
  <c r="I32" i="70"/>
  <c r="H32" i="70"/>
  <c r="G32" i="70"/>
  <c r="F32" i="70"/>
  <c r="A32" i="70"/>
  <c r="K31" i="70"/>
  <c r="J31" i="70"/>
  <c r="I31" i="70"/>
  <c r="H31" i="70"/>
  <c r="G31" i="70"/>
  <c r="F31" i="70"/>
  <c r="A31" i="70"/>
  <c r="K30" i="70"/>
  <c r="J30" i="70"/>
  <c r="I30" i="70"/>
  <c r="H30" i="70"/>
  <c r="G30" i="70"/>
  <c r="F30" i="70"/>
  <c r="A30" i="70"/>
  <c r="K29" i="70"/>
  <c r="J29" i="70"/>
  <c r="I29" i="70"/>
  <c r="H29" i="70"/>
  <c r="G29" i="70"/>
  <c r="F29" i="70"/>
  <c r="A29" i="70"/>
  <c r="K28" i="70"/>
  <c r="J28" i="70"/>
  <c r="I28" i="70"/>
  <c r="H28" i="70"/>
  <c r="G28" i="70"/>
  <c r="F28" i="70"/>
  <c r="A28" i="70"/>
  <c r="K27" i="70"/>
  <c r="J27" i="70"/>
  <c r="I27" i="70"/>
  <c r="H27" i="70"/>
  <c r="G27" i="70"/>
  <c r="F27" i="70"/>
  <c r="A27" i="70"/>
  <c r="K26" i="70"/>
  <c r="J26" i="70"/>
  <c r="I26" i="70"/>
  <c r="H26" i="70"/>
  <c r="G26" i="70"/>
  <c r="F26" i="70"/>
  <c r="A26" i="70"/>
  <c r="K25" i="70"/>
  <c r="J25" i="70"/>
  <c r="I25" i="70"/>
  <c r="H25" i="70"/>
  <c r="G25" i="70"/>
  <c r="F25" i="70"/>
  <c r="A25" i="70"/>
  <c r="K24" i="70"/>
  <c r="J24" i="70"/>
  <c r="I24" i="70"/>
  <c r="H24" i="70"/>
  <c r="G24" i="70"/>
  <c r="F24" i="70"/>
  <c r="A24" i="70"/>
  <c r="K23" i="70"/>
  <c r="J23" i="70"/>
  <c r="I23" i="70"/>
  <c r="H23" i="70"/>
  <c r="G23" i="70"/>
  <c r="F23" i="70"/>
  <c r="A23" i="70"/>
  <c r="K22" i="70"/>
  <c r="J22" i="70"/>
  <c r="I22" i="70"/>
  <c r="H22" i="70"/>
  <c r="G22" i="70"/>
  <c r="F22" i="70"/>
  <c r="A22" i="70"/>
  <c r="K21" i="70"/>
  <c r="J21" i="70"/>
  <c r="I21" i="70"/>
  <c r="H21" i="70"/>
  <c r="G21" i="70"/>
  <c r="F21" i="70"/>
  <c r="A21" i="70"/>
  <c r="K20" i="70"/>
  <c r="J20" i="70"/>
  <c r="I20" i="70"/>
  <c r="H20" i="70"/>
  <c r="G20" i="70"/>
  <c r="F20" i="70"/>
  <c r="A20" i="70"/>
  <c r="K19" i="70"/>
  <c r="J19" i="70"/>
  <c r="I19" i="70"/>
  <c r="H19" i="70"/>
  <c r="G19" i="70"/>
  <c r="F19" i="70"/>
  <c r="A19" i="70"/>
  <c r="K18" i="70"/>
  <c r="J18" i="70"/>
  <c r="I18" i="70"/>
  <c r="H18" i="70"/>
  <c r="G18" i="70"/>
  <c r="F18" i="70"/>
  <c r="A18" i="70"/>
  <c r="K17" i="70"/>
  <c r="J17" i="70"/>
  <c r="I17" i="70"/>
  <c r="H17" i="70"/>
  <c r="G17" i="70"/>
  <c r="F17" i="70"/>
  <c r="A17" i="70"/>
  <c r="K16" i="70"/>
  <c r="J16" i="70"/>
  <c r="I16" i="70"/>
  <c r="H16" i="70"/>
  <c r="G16" i="70"/>
  <c r="F16" i="70"/>
  <c r="A16" i="70"/>
  <c r="K15" i="70"/>
  <c r="J15" i="70"/>
  <c r="I15" i="70"/>
  <c r="H15" i="70"/>
  <c r="G15" i="70"/>
  <c r="F15" i="70"/>
  <c r="A15" i="70"/>
  <c r="K14" i="70"/>
  <c r="J14" i="70"/>
  <c r="I14" i="70"/>
  <c r="H14" i="70"/>
  <c r="G14" i="70"/>
  <c r="F14" i="70"/>
  <c r="A14" i="70"/>
  <c r="K13" i="70"/>
  <c r="J13" i="70"/>
  <c r="I13" i="70"/>
  <c r="H13" i="70"/>
  <c r="G13" i="70"/>
  <c r="F13" i="70"/>
  <c r="A13" i="70"/>
  <c r="K12" i="70"/>
  <c r="J12" i="70"/>
  <c r="I12" i="70"/>
  <c r="H12" i="70"/>
  <c r="G12" i="70"/>
  <c r="F12" i="70"/>
  <c r="A12" i="70"/>
  <c r="K11" i="70"/>
  <c r="J11" i="70"/>
  <c r="I11" i="70"/>
  <c r="H11" i="70"/>
  <c r="G11" i="70"/>
  <c r="F11" i="70"/>
  <c r="A11" i="70"/>
  <c r="K10" i="70"/>
  <c r="J10" i="70"/>
  <c r="I10" i="70"/>
  <c r="H10" i="70"/>
  <c r="G10" i="70"/>
  <c r="F10" i="70"/>
  <c r="A10" i="70"/>
  <c r="K9" i="70"/>
  <c r="J9" i="70"/>
  <c r="I9" i="70"/>
  <c r="H9" i="70"/>
  <c r="G9" i="70"/>
  <c r="F9" i="70"/>
  <c r="A9" i="70"/>
  <c r="K8" i="70"/>
  <c r="J8" i="70"/>
  <c r="I8" i="70"/>
  <c r="H8" i="70"/>
  <c r="G8" i="70"/>
  <c r="F8" i="70"/>
  <c r="A8" i="70"/>
  <c r="K7" i="70"/>
  <c r="J7" i="70"/>
  <c r="I7" i="70"/>
  <c r="H7" i="70"/>
  <c r="G7" i="70"/>
  <c r="F7" i="70"/>
  <c r="A7" i="70"/>
  <c r="K6" i="70"/>
  <c r="J6" i="70"/>
  <c r="I6" i="70"/>
  <c r="H6" i="70"/>
  <c r="G6" i="70"/>
  <c r="F6" i="70"/>
  <c r="A6" i="70"/>
  <c r="K5" i="70"/>
  <c r="J5" i="70"/>
  <c r="I5" i="70"/>
  <c r="H5" i="70"/>
  <c r="G5" i="70"/>
  <c r="F5" i="70"/>
  <c r="A5" i="70"/>
  <c r="K4" i="70"/>
  <c r="J4" i="70"/>
  <c r="I4" i="70"/>
  <c r="H4" i="70"/>
  <c r="G4" i="70"/>
  <c r="F4" i="70"/>
  <c r="A4" i="70"/>
  <c r="K3" i="70"/>
  <c r="J3" i="70"/>
  <c r="I3" i="70"/>
  <c r="H3" i="70"/>
  <c r="G3" i="70"/>
  <c r="F3" i="70"/>
  <c r="A3" i="70"/>
  <c r="K2" i="70"/>
  <c r="J2" i="70"/>
  <c r="I2" i="70"/>
  <c r="H2" i="70"/>
  <c r="G2" i="70"/>
  <c r="F2" i="70"/>
  <c r="A2" i="70"/>
  <c r="K161" i="69"/>
  <c r="J161" i="69"/>
  <c r="I161" i="69"/>
  <c r="H161" i="69"/>
  <c r="G161" i="69"/>
  <c r="F161" i="69"/>
  <c r="A161" i="69"/>
  <c r="K160" i="69"/>
  <c r="J160" i="69"/>
  <c r="I160" i="69"/>
  <c r="H160" i="69"/>
  <c r="G160" i="69"/>
  <c r="F160" i="69"/>
  <c r="A160" i="69"/>
  <c r="K159" i="69"/>
  <c r="J159" i="69"/>
  <c r="I159" i="69"/>
  <c r="H159" i="69"/>
  <c r="G159" i="69"/>
  <c r="F159" i="69"/>
  <c r="A159" i="69"/>
  <c r="K158" i="69"/>
  <c r="J158" i="69"/>
  <c r="I158" i="69"/>
  <c r="H158" i="69"/>
  <c r="G158" i="69"/>
  <c r="F158" i="69"/>
  <c r="A158" i="69"/>
  <c r="K157" i="69"/>
  <c r="J157" i="69"/>
  <c r="I157" i="69"/>
  <c r="H157" i="69"/>
  <c r="G157" i="69"/>
  <c r="F157" i="69"/>
  <c r="A157" i="69"/>
  <c r="K156" i="69"/>
  <c r="J156" i="69"/>
  <c r="I156" i="69"/>
  <c r="H156" i="69"/>
  <c r="G156" i="69"/>
  <c r="F156" i="69"/>
  <c r="A156" i="69"/>
  <c r="K155" i="69"/>
  <c r="J155" i="69"/>
  <c r="I155" i="69"/>
  <c r="H155" i="69"/>
  <c r="G155" i="69"/>
  <c r="F155" i="69"/>
  <c r="A155" i="69"/>
  <c r="K154" i="69"/>
  <c r="J154" i="69"/>
  <c r="I154" i="69"/>
  <c r="H154" i="69"/>
  <c r="G154" i="69"/>
  <c r="F154" i="69"/>
  <c r="A154" i="69"/>
  <c r="K153" i="69"/>
  <c r="J153" i="69"/>
  <c r="I153" i="69"/>
  <c r="H153" i="69"/>
  <c r="G153" i="69"/>
  <c r="F153" i="69"/>
  <c r="A153" i="69"/>
  <c r="K152" i="69"/>
  <c r="J152" i="69"/>
  <c r="I152" i="69"/>
  <c r="H152" i="69"/>
  <c r="G152" i="69"/>
  <c r="F152" i="69"/>
  <c r="A152" i="69"/>
  <c r="K151" i="69"/>
  <c r="J151" i="69"/>
  <c r="I151" i="69"/>
  <c r="H151" i="69"/>
  <c r="G151" i="69"/>
  <c r="F151" i="69"/>
  <c r="A151" i="69"/>
  <c r="K150" i="69"/>
  <c r="J150" i="69"/>
  <c r="I150" i="69"/>
  <c r="H150" i="69"/>
  <c r="G150" i="69"/>
  <c r="F150" i="69"/>
  <c r="A150" i="69"/>
  <c r="K149" i="69"/>
  <c r="J149" i="69"/>
  <c r="I149" i="69"/>
  <c r="H149" i="69"/>
  <c r="G149" i="69"/>
  <c r="F149" i="69"/>
  <c r="A149" i="69"/>
  <c r="K148" i="69"/>
  <c r="J148" i="69"/>
  <c r="I148" i="69"/>
  <c r="H148" i="69"/>
  <c r="G148" i="69"/>
  <c r="F148" i="69"/>
  <c r="A148" i="69"/>
  <c r="K147" i="69"/>
  <c r="J147" i="69"/>
  <c r="I147" i="69"/>
  <c r="H147" i="69"/>
  <c r="G147" i="69"/>
  <c r="F147" i="69"/>
  <c r="A147" i="69"/>
  <c r="K146" i="69"/>
  <c r="J146" i="69"/>
  <c r="I146" i="69"/>
  <c r="H146" i="69"/>
  <c r="G146" i="69"/>
  <c r="F146" i="69"/>
  <c r="A146" i="69"/>
  <c r="K145" i="69"/>
  <c r="J145" i="69"/>
  <c r="I145" i="69"/>
  <c r="H145" i="69"/>
  <c r="G145" i="69"/>
  <c r="F145" i="69"/>
  <c r="A145" i="69"/>
  <c r="K144" i="69"/>
  <c r="J144" i="69"/>
  <c r="I144" i="69"/>
  <c r="H144" i="69"/>
  <c r="G144" i="69"/>
  <c r="F144" i="69"/>
  <c r="A144" i="69"/>
  <c r="K143" i="69"/>
  <c r="J143" i="69"/>
  <c r="I143" i="69"/>
  <c r="H143" i="69"/>
  <c r="G143" i="69"/>
  <c r="F143" i="69"/>
  <c r="A143" i="69"/>
  <c r="K142" i="69"/>
  <c r="J142" i="69"/>
  <c r="I142" i="69"/>
  <c r="H142" i="69"/>
  <c r="G142" i="69"/>
  <c r="F142" i="69"/>
  <c r="A142" i="69"/>
  <c r="K141" i="69"/>
  <c r="J141" i="69"/>
  <c r="I141" i="69"/>
  <c r="H141" i="69"/>
  <c r="G141" i="69"/>
  <c r="F141" i="69"/>
  <c r="A141" i="69"/>
  <c r="K140" i="69"/>
  <c r="J140" i="69"/>
  <c r="I140" i="69"/>
  <c r="H140" i="69"/>
  <c r="G140" i="69"/>
  <c r="F140" i="69"/>
  <c r="A140" i="69"/>
  <c r="K139" i="69"/>
  <c r="J139" i="69"/>
  <c r="I139" i="69"/>
  <c r="H139" i="69"/>
  <c r="G139" i="69"/>
  <c r="F139" i="69"/>
  <c r="A139" i="69"/>
  <c r="K138" i="69"/>
  <c r="J138" i="69"/>
  <c r="I138" i="69"/>
  <c r="H138" i="69"/>
  <c r="G138" i="69"/>
  <c r="F138" i="69"/>
  <c r="A138" i="69"/>
  <c r="K137" i="69"/>
  <c r="J137" i="69"/>
  <c r="I137" i="69"/>
  <c r="H137" i="69"/>
  <c r="G137" i="69"/>
  <c r="F137" i="69"/>
  <c r="A137" i="69"/>
  <c r="K136" i="69"/>
  <c r="J136" i="69"/>
  <c r="I136" i="69"/>
  <c r="H136" i="69"/>
  <c r="G136" i="69"/>
  <c r="F136" i="69"/>
  <c r="A136" i="69"/>
  <c r="K135" i="69"/>
  <c r="J135" i="69"/>
  <c r="I135" i="69"/>
  <c r="H135" i="69"/>
  <c r="G135" i="69"/>
  <c r="F135" i="69"/>
  <c r="A135" i="69"/>
  <c r="K134" i="69"/>
  <c r="J134" i="69"/>
  <c r="I134" i="69"/>
  <c r="H134" i="69"/>
  <c r="G134" i="69"/>
  <c r="F134" i="69"/>
  <c r="A134" i="69"/>
  <c r="K133" i="69"/>
  <c r="J133" i="69"/>
  <c r="I133" i="69"/>
  <c r="H133" i="69"/>
  <c r="G133" i="69"/>
  <c r="F133" i="69"/>
  <c r="A133" i="69"/>
  <c r="K132" i="69"/>
  <c r="J132" i="69"/>
  <c r="I132" i="69"/>
  <c r="H132" i="69"/>
  <c r="G132" i="69"/>
  <c r="F132" i="69"/>
  <c r="A132" i="69"/>
  <c r="K131" i="69"/>
  <c r="J131" i="69"/>
  <c r="I131" i="69"/>
  <c r="H131" i="69"/>
  <c r="G131" i="69"/>
  <c r="F131" i="69"/>
  <c r="A131" i="69"/>
  <c r="K130" i="69"/>
  <c r="J130" i="69"/>
  <c r="I130" i="69"/>
  <c r="H130" i="69"/>
  <c r="G130" i="69"/>
  <c r="F130" i="69"/>
  <c r="A130" i="69"/>
  <c r="K129" i="69"/>
  <c r="J129" i="69"/>
  <c r="I129" i="69"/>
  <c r="H129" i="69"/>
  <c r="G129" i="69"/>
  <c r="F129" i="69"/>
  <c r="A129" i="69"/>
  <c r="K128" i="69"/>
  <c r="J128" i="69"/>
  <c r="I128" i="69"/>
  <c r="H128" i="69"/>
  <c r="G128" i="69"/>
  <c r="F128" i="69"/>
  <c r="A128" i="69"/>
  <c r="K127" i="69"/>
  <c r="J127" i="69"/>
  <c r="I127" i="69"/>
  <c r="H127" i="69"/>
  <c r="G127" i="69"/>
  <c r="F127" i="69"/>
  <c r="A127" i="69"/>
  <c r="K126" i="69"/>
  <c r="J126" i="69"/>
  <c r="I126" i="69"/>
  <c r="H126" i="69"/>
  <c r="G126" i="69"/>
  <c r="F126" i="69"/>
  <c r="A126" i="69"/>
  <c r="K125" i="69"/>
  <c r="J125" i="69"/>
  <c r="I125" i="69"/>
  <c r="H125" i="69"/>
  <c r="G125" i="69"/>
  <c r="F125" i="69"/>
  <c r="A125" i="69"/>
  <c r="K124" i="69"/>
  <c r="J124" i="69"/>
  <c r="I124" i="69"/>
  <c r="H124" i="69"/>
  <c r="G124" i="69"/>
  <c r="F124" i="69"/>
  <c r="A124" i="69"/>
  <c r="K123" i="69"/>
  <c r="J123" i="69"/>
  <c r="I123" i="69"/>
  <c r="H123" i="69"/>
  <c r="G123" i="69"/>
  <c r="F123" i="69"/>
  <c r="A123" i="69"/>
  <c r="K122" i="69"/>
  <c r="J122" i="69"/>
  <c r="I122" i="69"/>
  <c r="H122" i="69"/>
  <c r="G122" i="69"/>
  <c r="F122" i="69"/>
  <c r="A122" i="69"/>
  <c r="K121" i="69"/>
  <c r="J121" i="69"/>
  <c r="I121" i="69"/>
  <c r="H121" i="69"/>
  <c r="G121" i="69"/>
  <c r="F121" i="69"/>
  <c r="A121" i="69"/>
  <c r="K120" i="69"/>
  <c r="J120" i="69"/>
  <c r="I120" i="69"/>
  <c r="H120" i="69"/>
  <c r="G120" i="69"/>
  <c r="F120" i="69"/>
  <c r="A120" i="69"/>
  <c r="K119" i="69"/>
  <c r="J119" i="69"/>
  <c r="I119" i="69"/>
  <c r="H119" i="69"/>
  <c r="G119" i="69"/>
  <c r="F119" i="69"/>
  <c r="A119" i="69"/>
  <c r="K118" i="69"/>
  <c r="J118" i="69"/>
  <c r="I118" i="69"/>
  <c r="H118" i="69"/>
  <c r="G118" i="69"/>
  <c r="F118" i="69"/>
  <c r="A118" i="69"/>
  <c r="K117" i="69"/>
  <c r="J117" i="69"/>
  <c r="I117" i="69"/>
  <c r="H117" i="69"/>
  <c r="G117" i="69"/>
  <c r="F117" i="69"/>
  <c r="A117" i="69"/>
  <c r="K116" i="69"/>
  <c r="J116" i="69"/>
  <c r="I116" i="69"/>
  <c r="H116" i="69"/>
  <c r="G116" i="69"/>
  <c r="F116" i="69"/>
  <c r="A116" i="69"/>
  <c r="K115" i="69"/>
  <c r="J115" i="69"/>
  <c r="I115" i="69"/>
  <c r="H115" i="69"/>
  <c r="G115" i="69"/>
  <c r="F115" i="69"/>
  <c r="A115" i="69"/>
  <c r="K114" i="69"/>
  <c r="J114" i="69"/>
  <c r="I114" i="69"/>
  <c r="H114" i="69"/>
  <c r="G114" i="69"/>
  <c r="F114" i="69"/>
  <c r="A114" i="69"/>
  <c r="K113" i="69"/>
  <c r="J113" i="69"/>
  <c r="I113" i="69"/>
  <c r="H113" i="69"/>
  <c r="G113" i="69"/>
  <c r="F113" i="69"/>
  <c r="A113" i="69"/>
  <c r="K112" i="69"/>
  <c r="J112" i="69"/>
  <c r="I112" i="69"/>
  <c r="H112" i="69"/>
  <c r="G112" i="69"/>
  <c r="F112" i="69"/>
  <c r="A112" i="69"/>
  <c r="K111" i="69"/>
  <c r="J111" i="69"/>
  <c r="I111" i="69"/>
  <c r="H111" i="69"/>
  <c r="G111" i="69"/>
  <c r="F111" i="69"/>
  <c r="A111" i="69"/>
  <c r="K110" i="69"/>
  <c r="J110" i="69"/>
  <c r="I110" i="69"/>
  <c r="H110" i="69"/>
  <c r="G110" i="69"/>
  <c r="F110" i="69"/>
  <c r="A110" i="69"/>
  <c r="K109" i="69"/>
  <c r="J109" i="69"/>
  <c r="I109" i="69"/>
  <c r="H109" i="69"/>
  <c r="G109" i="69"/>
  <c r="F109" i="69"/>
  <c r="A109" i="69"/>
  <c r="K108" i="69"/>
  <c r="J108" i="69"/>
  <c r="I108" i="69"/>
  <c r="H108" i="69"/>
  <c r="G108" i="69"/>
  <c r="F108" i="69"/>
  <c r="A108" i="69"/>
  <c r="K107" i="69"/>
  <c r="J107" i="69"/>
  <c r="I107" i="69"/>
  <c r="H107" i="69"/>
  <c r="G107" i="69"/>
  <c r="F107" i="69"/>
  <c r="A107" i="69"/>
  <c r="K106" i="69"/>
  <c r="J106" i="69"/>
  <c r="I106" i="69"/>
  <c r="H106" i="69"/>
  <c r="G106" i="69"/>
  <c r="F106" i="69"/>
  <c r="A106" i="69"/>
  <c r="K105" i="69"/>
  <c r="J105" i="69"/>
  <c r="I105" i="69"/>
  <c r="H105" i="69"/>
  <c r="G105" i="69"/>
  <c r="F105" i="69"/>
  <c r="A105" i="69"/>
  <c r="K104" i="69"/>
  <c r="J104" i="69"/>
  <c r="I104" i="69"/>
  <c r="H104" i="69"/>
  <c r="G104" i="69"/>
  <c r="F104" i="69"/>
  <c r="A104" i="69"/>
  <c r="K103" i="69"/>
  <c r="J103" i="69"/>
  <c r="I103" i="69"/>
  <c r="H103" i="69"/>
  <c r="G103" i="69"/>
  <c r="F103" i="69"/>
  <c r="A103" i="69"/>
  <c r="K102" i="69"/>
  <c r="J102" i="69"/>
  <c r="I102" i="69"/>
  <c r="H102" i="69"/>
  <c r="G102" i="69"/>
  <c r="F102" i="69"/>
  <c r="A102" i="69"/>
  <c r="K101" i="69"/>
  <c r="J101" i="69"/>
  <c r="I101" i="69"/>
  <c r="H101" i="69"/>
  <c r="G101" i="69"/>
  <c r="F101" i="69"/>
  <c r="A101" i="69"/>
  <c r="K100" i="69"/>
  <c r="J100" i="69"/>
  <c r="I100" i="69"/>
  <c r="H100" i="69"/>
  <c r="G100" i="69"/>
  <c r="F100" i="69"/>
  <c r="A100" i="69"/>
  <c r="K99" i="69"/>
  <c r="J99" i="69"/>
  <c r="I99" i="69"/>
  <c r="H99" i="69"/>
  <c r="G99" i="69"/>
  <c r="F99" i="69"/>
  <c r="A99" i="69"/>
  <c r="K98" i="69"/>
  <c r="J98" i="69"/>
  <c r="I98" i="69"/>
  <c r="H98" i="69"/>
  <c r="G98" i="69"/>
  <c r="F98" i="69"/>
  <c r="A98" i="69"/>
  <c r="K97" i="69"/>
  <c r="J97" i="69"/>
  <c r="I97" i="69"/>
  <c r="H97" i="69"/>
  <c r="G97" i="69"/>
  <c r="F97" i="69"/>
  <c r="A97" i="69"/>
  <c r="K96" i="69"/>
  <c r="J96" i="69"/>
  <c r="I96" i="69"/>
  <c r="H96" i="69"/>
  <c r="G96" i="69"/>
  <c r="F96" i="69"/>
  <c r="A96" i="69"/>
  <c r="K95" i="69"/>
  <c r="J95" i="69"/>
  <c r="I95" i="69"/>
  <c r="H95" i="69"/>
  <c r="G95" i="69"/>
  <c r="F95" i="69"/>
  <c r="A95" i="69"/>
  <c r="K94" i="69"/>
  <c r="J94" i="69"/>
  <c r="I94" i="69"/>
  <c r="H94" i="69"/>
  <c r="G94" i="69"/>
  <c r="F94" i="69"/>
  <c r="A94" i="69"/>
  <c r="K93" i="69"/>
  <c r="J93" i="69"/>
  <c r="I93" i="69"/>
  <c r="H93" i="69"/>
  <c r="G93" i="69"/>
  <c r="F93" i="69"/>
  <c r="A93" i="69"/>
  <c r="K92" i="69"/>
  <c r="J92" i="69"/>
  <c r="I92" i="69"/>
  <c r="H92" i="69"/>
  <c r="G92" i="69"/>
  <c r="F92" i="69"/>
  <c r="A92" i="69"/>
  <c r="K91" i="69"/>
  <c r="J91" i="69"/>
  <c r="I91" i="69"/>
  <c r="H91" i="69"/>
  <c r="G91" i="69"/>
  <c r="F91" i="69"/>
  <c r="A91" i="69"/>
  <c r="K90" i="69"/>
  <c r="J90" i="69"/>
  <c r="I90" i="69"/>
  <c r="H90" i="69"/>
  <c r="G90" i="69"/>
  <c r="F90" i="69"/>
  <c r="A90" i="69"/>
  <c r="K89" i="69"/>
  <c r="J89" i="69"/>
  <c r="I89" i="69"/>
  <c r="H89" i="69"/>
  <c r="G89" i="69"/>
  <c r="F89" i="69"/>
  <c r="A89" i="69"/>
  <c r="K88" i="69"/>
  <c r="J88" i="69"/>
  <c r="I88" i="69"/>
  <c r="H88" i="69"/>
  <c r="G88" i="69"/>
  <c r="F88" i="69"/>
  <c r="A88" i="69"/>
  <c r="K87" i="69"/>
  <c r="J87" i="69"/>
  <c r="I87" i="69"/>
  <c r="H87" i="69"/>
  <c r="G87" i="69"/>
  <c r="F87" i="69"/>
  <c r="A87" i="69"/>
  <c r="K86" i="69"/>
  <c r="J86" i="69"/>
  <c r="I86" i="69"/>
  <c r="H86" i="69"/>
  <c r="G86" i="69"/>
  <c r="F86" i="69"/>
  <c r="A86" i="69"/>
  <c r="K85" i="69"/>
  <c r="J85" i="69"/>
  <c r="I85" i="69"/>
  <c r="H85" i="69"/>
  <c r="G85" i="69"/>
  <c r="F85" i="69"/>
  <c r="A85" i="69"/>
  <c r="K84" i="69"/>
  <c r="J84" i="69"/>
  <c r="I84" i="69"/>
  <c r="H84" i="69"/>
  <c r="G84" i="69"/>
  <c r="F84" i="69"/>
  <c r="A84" i="69"/>
  <c r="K83" i="69"/>
  <c r="J83" i="69"/>
  <c r="I83" i="69"/>
  <c r="H83" i="69"/>
  <c r="G83" i="69"/>
  <c r="F83" i="69"/>
  <c r="A83" i="69"/>
  <c r="K82" i="69"/>
  <c r="J82" i="69"/>
  <c r="I82" i="69"/>
  <c r="H82" i="69"/>
  <c r="G82" i="69"/>
  <c r="F82" i="69"/>
  <c r="A82" i="69"/>
  <c r="K81" i="69"/>
  <c r="J81" i="69"/>
  <c r="I81" i="69"/>
  <c r="H81" i="69"/>
  <c r="G81" i="69"/>
  <c r="F81" i="69"/>
  <c r="A81" i="69"/>
  <c r="K80" i="69"/>
  <c r="J80" i="69"/>
  <c r="I80" i="69"/>
  <c r="H80" i="69"/>
  <c r="G80" i="69"/>
  <c r="F80" i="69"/>
  <c r="A80" i="69"/>
  <c r="K79" i="69"/>
  <c r="J79" i="69"/>
  <c r="I79" i="69"/>
  <c r="H79" i="69"/>
  <c r="G79" i="69"/>
  <c r="F79" i="69"/>
  <c r="A79" i="69"/>
  <c r="K78" i="69"/>
  <c r="J78" i="69"/>
  <c r="I78" i="69"/>
  <c r="H78" i="69"/>
  <c r="G78" i="69"/>
  <c r="F78" i="69"/>
  <c r="A78" i="69"/>
  <c r="K77" i="69"/>
  <c r="J77" i="69"/>
  <c r="I77" i="69"/>
  <c r="H77" i="69"/>
  <c r="G77" i="69"/>
  <c r="F77" i="69"/>
  <c r="A77" i="69"/>
  <c r="K76" i="69"/>
  <c r="J76" i="69"/>
  <c r="I76" i="69"/>
  <c r="H76" i="69"/>
  <c r="G76" i="69"/>
  <c r="F76" i="69"/>
  <c r="A76" i="69"/>
  <c r="K75" i="69"/>
  <c r="J75" i="69"/>
  <c r="I75" i="69"/>
  <c r="H75" i="69"/>
  <c r="G75" i="69"/>
  <c r="F75" i="69"/>
  <c r="A75" i="69"/>
  <c r="K74" i="69"/>
  <c r="J74" i="69"/>
  <c r="I74" i="69"/>
  <c r="H74" i="69"/>
  <c r="G74" i="69"/>
  <c r="F74" i="69"/>
  <c r="A74" i="69"/>
  <c r="K73" i="69"/>
  <c r="J73" i="69"/>
  <c r="I73" i="69"/>
  <c r="H73" i="69"/>
  <c r="G73" i="69"/>
  <c r="F73" i="69"/>
  <c r="A73" i="69"/>
  <c r="K72" i="69"/>
  <c r="J72" i="69"/>
  <c r="I72" i="69"/>
  <c r="H72" i="69"/>
  <c r="G72" i="69"/>
  <c r="F72" i="69"/>
  <c r="A72" i="69"/>
  <c r="K71" i="69"/>
  <c r="J71" i="69"/>
  <c r="I71" i="69"/>
  <c r="H71" i="69"/>
  <c r="G71" i="69"/>
  <c r="F71" i="69"/>
  <c r="A71" i="69"/>
  <c r="K70" i="69"/>
  <c r="J70" i="69"/>
  <c r="I70" i="69"/>
  <c r="H70" i="69"/>
  <c r="G70" i="69"/>
  <c r="F70" i="69"/>
  <c r="A70" i="69"/>
  <c r="K69" i="69"/>
  <c r="J69" i="69"/>
  <c r="I69" i="69"/>
  <c r="H69" i="69"/>
  <c r="G69" i="69"/>
  <c r="F69" i="69"/>
  <c r="A69" i="69"/>
  <c r="K68" i="69"/>
  <c r="J68" i="69"/>
  <c r="I68" i="69"/>
  <c r="H68" i="69"/>
  <c r="G68" i="69"/>
  <c r="F68" i="69"/>
  <c r="A68" i="69"/>
  <c r="K67" i="69"/>
  <c r="J67" i="69"/>
  <c r="I67" i="69"/>
  <c r="H67" i="69"/>
  <c r="G67" i="69"/>
  <c r="F67" i="69"/>
  <c r="A67" i="69"/>
  <c r="K66" i="69"/>
  <c r="J66" i="69"/>
  <c r="I66" i="69"/>
  <c r="H66" i="69"/>
  <c r="G66" i="69"/>
  <c r="F66" i="69"/>
  <c r="A66" i="69"/>
  <c r="K65" i="69"/>
  <c r="J65" i="69"/>
  <c r="I65" i="69"/>
  <c r="H65" i="69"/>
  <c r="G65" i="69"/>
  <c r="F65" i="69"/>
  <c r="A65" i="69"/>
  <c r="K64" i="69"/>
  <c r="J64" i="69"/>
  <c r="I64" i="69"/>
  <c r="H64" i="69"/>
  <c r="G64" i="69"/>
  <c r="F64" i="69"/>
  <c r="A64" i="69"/>
  <c r="K63" i="69"/>
  <c r="J63" i="69"/>
  <c r="I63" i="69"/>
  <c r="H63" i="69"/>
  <c r="G63" i="69"/>
  <c r="F63" i="69"/>
  <c r="A63" i="69"/>
  <c r="K62" i="69"/>
  <c r="J62" i="69"/>
  <c r="I62" i="69"/>
  <c r="H62" i="69"/>
  <c r="G62" i="69"/>
  <c r="F62" i="69"/>
  <c r="A62" i="69"/>
  <c r="K61" i="69"/>
  <c r="J61" i="69"/>
  <c r="I61" i="69"/>
  <c r="H61" i="69"/>
  <c r="G61" i="69"/>
  <c r="F61" i="69"/>
  <c r="A61" i="69"/>
  <c r="K60" i="69"/>
  <c r="J60" i="69"/>
  <c r="I60" i="69"/>
  <c r="H60" i="69"/>
  <c r="G60" i="69"/>
  <c r="F60" i="69"/>
  <c r="A60" i="69"/>
  <c r="K59" i="69"/>
  <c r="J59" i="69"/>
  <c r="I59" i="69"/>
  <c r="H59" i="69"/>
  <c r="G59" i="69"/>
  <c r="F59" i="69"/>
  <c r="A59" i="69"/>
  <c r="K58" i="69"/>
  <c r="J58" i="69"/>
  <c r="I58" i="69"/>
  <c r="H58" i="69"/>
  <c r="G58" i="69"/>
  <c r="F58" i="69"/>
  <c r="A58" i="69"/>
  <c r="K57" i="69"/>
  <c r="J57" i="69"/>
  <c r="I57" i="69"/>
  <c r="H57" i="69"/>
  <c r="G57" i="69"/>
  <c r="F57" i="69"/>
  <c r="A57" i="69"/>
  <c r="K56" i="69"/>
  <c r="J56" i="69"/>
  <c r="I56" i="69"/>
  <c r="H56" i="69"/>
  <c r="G56" i="69"/>
  <c r="F56" i="69"/>
  <c r="A56" i="69"/>
  <c r="K55" i="69"/>
  <c r="J55" i="69"/>
  <c r="I55" i="69"/>
  <c r="H55" i="69"/>
  <c r="G55" i="69"/>
  <c r="F55" i="69"/>
  <c r="A55" i="69"/>
  <c r="K54" i="69"/>
  <c r="J54" i="69"/>
  <c r="I54" i="69"/>
  <c r="H54" i="69"/>
  <c r="G54" i="69"/>
  <c r="F54" i="69"/>
  <c r="A54" i="69"/>
  <c r="K53" i="69"/>
  <c r="J53" i="69"/>
  <c r="I53" i="69"/>
  <c r="H53" i="69"/>
  <c r="G53" i="69"/>
  <c r="F53" i="69"/>
  <c r="A53" i="69"/>
  <c r="K52" i="69"/>
  <c r="J52" i="69"/>
  <c r="I52" i="69"/>
  <c r="H52" i="69"/>
  <c r="G52" i="69"/>
  <c r="F52" i="69"/>
  <c r="A52" i="69"/>
  <c r="K51" i="69"/>
  <c r="J51" i="69"/>
  <c r="I51" i="69"/>
  <c r="H51" i="69"/>
  <c r="G51" i="69"/>
  <c r="F51" i="69"/>
  <c r="A51" i="69"/>
  <c r="K50" i="69"/>
  <c r="J50" i="69"/>
  <c r="I50" i="69"/>
  <c r="H50" i="69"/>
  <c r="G50" i="69"/>
  <c r="F50" i="69"/>
  <c r="A50" i="69"/>
  <c r="K49" i="69"/>
  <c r="J49" i="69"/>
  <c r="I49" i="69"/>
  <c r="H49" i="69"/>
  <c r="G49" i="69"/>
  <c r="F49" i="69"/>
  <c r="A49" i="69"/>
  <c r="K48" i="69"/>
  <c r="J48" i="69"/>
  <c r="I48" i="69"/>
  <c r="H48" i="69"/>
  <c r="G48" i="69"/>
  <c r="F48" i="69"/>
  <c r="A48" i="69"/>
  <c r="K47" i="69"/>
  <c r="J47" i="69"/>
  <c r="I47" i="69"/>
  <c r="H47" i="69"/>
  <c r="G47" i="69"/>
  <c r="F47" i="69"/>
  <c r="A47" i="69"/>
  <c r="K46" i="69"/>
  <c r="J46" i="69"/>
  <c r="I46" i="69"/>
  <c r="H46" i="69"/>
  <c r="G46" i="69"/>
  <c r="F46" i="69"/>
  <c r="A46" i="69"/>
  <c r="K45" i="69"/>
  <c r="J45" i="69"/>
  <c r="I45" i="69"/>
  <c r="H45" i="69"/>
  <c r="G45" i="69"/>
  <c r="F45" i="69"/>
  <c r="A45" i="69"/>
  <c r="K44" i="69"/>
  <c r="J44" i="69"/>
  <c r="I44" i="69"/>
  <c r="H44" i="69"/>
  <c r="G44" i="69"/>
  <c r="F44" i="69"/>
  <c r="A44" i="69"/>
  <c r="K43" i="69"/>
  <c r="J43" i="69"/>
  <c r="I43" i="69"/>
  <c r="H43" i="69"/>
  <c r="G43" i="69"/>
  <c r="F43" i="69"/>
  <c r="A43" i="69"/>
  <c r="K42" i="69"/>
  <c r="J42" i="69"/>
  <c r="I42" i="69"/>
  <c r="H42" i="69"/>
  <c r="G42" i="69"/>
  <c r="F42" i="69"/>
  <c r="A42" i="69"/>
  <c r="K41" i="69"/>
  <c r="J41" i="69"/>
  <c r="I41" i="69"/>
  <c r="H41" i="69"/>
  <c r="G41" i="69"/>
  <c r="F41" i="69"/>
  <c r="A41" i="69"/>
  <c r="K40" i="69"/>
  <c r="J40" i="69"/>
  <c r="I40" i="69"/>
  <c r="H40" i="69"/>
  <c r="G40" i="69"/>
  <c r="F40" i="69"/>
  <c r="A40" i="69"/>
  <c r="K39" i="69"/>
  <c r="J39" i="69"/>
  <c r="I39" i="69"/>
  <c r="H39" i="69"/>
  <c r="G39" i="69"/>
  <c r="F39" i="69"/>
  <c r="A39" i="69"/>
  <c r="K38" i="69"/>
  <c r="J38" i="69"/>
  <c r="I38" i="69"/>
  <c r="H38" i="69"/>
  <c r="G38" i="69"/>
  <c r="F38" i="69"/>
  <c r="A38" i="69"/>
  <c r="K37" i="69"/>
  <c r="J37" i="69"/>
  <c r="I37" i="69"/>
  <c r="H37" i="69"/>
  <c r="G37" i="69"/>
  <c r="F37" i="69"/>
  <c r="A37" i="69"/>
  <c r="K36" i="69"/>
  <c r="J36" i="69"/>
  <c r="I36" i="69"/>
  <c r="H36" i="69"/>
  <c r="G36" i="69"/>
  <c r="F36" i="69"/>
  <c r="A36" i="69"/>
  <c r="K35" i="69"/>
  <c r="J35" i="69"/>
  <c r="I35" i="69"/>
  <c r="H35" i="69"/>
  <c r="G35" i="69"/>
  <c r="F35" i="69"/>
  <c r="A35" i="69"/>
  <c r="K34" i="69"/>
  <c r="J34" i="69"/>
  <c r="I34" i="69"/>
  <c r="H34" i="69"/>
  <c r="G34" i="69"/>
  <c r="F34" i="69"/>
  <c r="A34" i="69"/>
  <c r="K33" i="69"/>
  <c r="J33" i="69"/>
  <c r="I33" i="69"/>
  <c r="H33" i="69"/>
  <c r="G33" i="69"/>
  <c r="F33" i="69"/>
  <c r="A33" i="69"/>
  <c r="K32" i="69"/>
  <c r="J32" i="69"/>
  <c r="I32" i="69"/>
  <c r="H32" i="69"/>
  <c r="G32" i="69"/>
  <c r="F32" i="69"/>
  <c r="A32" i="69"/>
  <c r="K31" i="69"/>
  <c r="J31" i="69"/>
  <c r="I31" i="69"/>
  <c r="H31" i="69"/>
  <c r="G31" i="69"/>
  <c r="F31" i="69"/>
  <c r="A31" i="69"/>
  <c r="K30" i="69"/>
  <c r="J30" i="69"/>
  <c r="I30" i="69"/>
  <c r="H30" i="69"/>
  <c r="G30" i="69"/>
  <c r="F30" i="69"/>
  <c r="A30" i="69"/>
  <c r="K29" i="69"/>
  <c r="J29" i="69"/>
  <c r="I29" i="69"/>
  <c r="H29" i="69"/>
  <c r="G29" i="69"/>
  <c r="F29" i="69"/>
  <c r="A29" i="69"/>
  <c r="K28" i="69"/>
  <c r="J28" i="69"/>
  <c r="I28" i="69"/>
  <c r="H28" i="69"/>
  <c r="G28" i="69"/>
  <c r="F28" i="69"/>
  <c r="A28" i="69"/>
  <c r="K27" i="69"/>
  <c r="J27" i="69"/>
  <c r="I27" i="69"/>
  <c r="H27" i="69"/>
  <c r="G27" i="69"/>
  <c r="F27" i="69"/>
  <c r="A27" i="69"/>
  <c r="K26" i="69"/>
  <c r="J26" i="69"/>
  <c r="I26" i="69"/>
  <c r="H26" i="69"/>
  <c r="G26" i="69"/>
  <c r="F26" i="69"/>
  <c r="A26" i="69"/>
  <c r="K25" i="69"/>
  <c r="J25" i="69"/>
  <c r="I25" i="69"/>
  <c r="H25" i="69"/>
  <c r="G25" i="69"/>
  <c r="F25" i="69"/>
  <c r="A25" i="69"/>
  <c r="K24" i="69"/>
  <c r="J24" i="69"/>
  <c r="I24" i="69"/>
  <c r="H24" i="69"/>
  <c r="G24" i="69"/>
  <c r="F24" i="69"/>
  <c r="A24" i="69"/>
  <c r="K23" i="69"/>
  <c r="J23" i="69"/>
  <c r="I23" i="69"/>
  <c r="H23" i="69"/>
  <c r="G23" i="69"/>
  <c r="F23" i="69"/>
  <c r="A23" i="69"/>
  <c r="K22" i="69"/>
  <c r="J22" i="69"/>
  <c r="I22" i="69"/>
  <c r="H22" i="69"/>
  <c r="G22" i="69"/>
  <c r="F22" i="69"/>
  <c r="A22" i="69"/>
  <c r="K21" i="69"/>
  <c r="J21" i="69"/>
  <c r="I21" i="69"/>
  <c r="H21" i="69"/>
  <c r="G21" i="69"/>
  <c r="F21" i="69"/>
  <c r="A21" i="69"/>
  <c r="K20" i="69"/>
  <c r="J20" i="69"/>
  <c r="I20" i="69"/>
  <c r="H20" i="69"/>
  <c r="G20" i="69"/>
  <c r="F20" i="69"/>
  <c r="A20" i="69"/>
  <c r="K19" i="69"/>
  <c r="J19" i="69"/>
  <c r="I19" i="69"/>
  <c r="H19" i="69"/>
  <c r="G19" i="69"/>
  <c r="F19" i="69"/>
  <c r="A19" i="69"/>
  <c r="K18" i="69"/>
  <c r="J18" i="69"/>
  <c r="I18" i="69"/>
  <c r="H18" i="69"/>
  <c r="G18" i="69"/>
  <c r="F18" i="69"/>
  <c r="A18" i="69"/>
  <c r="K17" i="69"/>
  <c r="J17" i="69"/>
  <c r="I17" i="69"/>
  <c r="H17" i="69"/>
  <c r="G17" i="69"/>
  <c r="F17" i="69"/>
  <c r="A17" i="69"/>
  <c r="K16" i="69"/>
  <c r="J16" i="69"/>
  <c r="I16" i="69"/>
  <c r="H16" i="69"/>
  <c r="G16" i="69"/>
  <c r="F16" i="69"/>
  <c r="A16" i="69"/>
  <c r="K15" i="69"/>
  <c r="J15" i="69"/>
  <c r="I15" i="69"/>
  <c r="H15" i="69"/>
  <c r="G15" i="69"/>
  <c r="F15" i="69"/>
  <c r="A15" i="69"/>
  <c r="K14" i="69"/>
  <c r="J14" i="69"/>
  <c r="I14" i="69"/>
  <c r="H14" i="69"/>
  <c r="G14" i="69"/>
  <c r="F14" i="69"/>
  <c r="A14" i="69"/>
  <c r="K13" i="69"/>
  <c r="J13" i="69"/>
  <c r="I13" i="69"/>
  <c r="H13" i="69"/>
  <c r="G13" i="69"/>
  <c r="F13" i="69"/>
  <c r="A13" i="69"/>
  <c r="K12" i="69"/>
  <c r="J12" i="69"/>
  <c r="I12" i="69"/>
  <c r="H12" i="69"/>
  <c r="G12" i="69"/>
  <c r="F12" i="69"/>
  <c r="A12" i="69"/>
  <c r="K11" i="69"/>
  <c r="J11" i="69"/>
  <c r="I11" i="69"/>
  <c r="H11" i="69"/>
  <c r="G11" i="69"/>
  <c r="F11" i="69"/>
  <c r="A11" i="69"/>
  <c r="K10" i="69"/>
  <c r="J10" i="69"/>
  <c r="I10" i="69"/>
  <c r="H10" i="69"/>
  <c r="G10" i="69"/>
  <c r="F10" i="69"/>
  <c r="A10" i="69"/>
  <c r="K9" i="69"/>
  <c r="J9" i="69"/>
  <c r="I9" i="69"/>
  <c r="H9" i="69"/>
  <c r="G9" i="69"/>
  <c r="F9" i="69"/>
  <c r="A9" i="69"/>
  <c r="K8" i="69"/>
  <c r="J8" i="69"/>
  <c r="I8" i="69"/>
  <c r="H8" i="69"/>
  <c r="G8" i="69"/>
  <c r="F8" i="69"/>
  <c r="A8" i="69"/>
  <c r="K7" i="69"/>
  <c r="J7" i="69"/>
  <c r="I7" i="69"/>
  <c r="H7" i="69"/>
  <c r="G7" i="69"/>
  <c r="F7" i="69"/>
  <c r="A7" i="69"/>
  <c r="K6" i="69"/>
  <c r="J6" i="69"/>
  <c r="I6" i="69"/>
  <c r="H6" i="69"/>
  <c r="G6" i="69"/>
  <c r="F6" i="69"/>
  <c r="A6" i="69"/>
  <c r="K5" i="69"/>
  <c r="J5" i="69"/>
  <c r="I5" i="69"/>
  <c r="H5" i="69"/>
  <c r="G5" i="69"/>
  <c r="F5" i="69"/>
  <c r="A5" i="69"/>
  <c r="K4" i="69"/>
  <c r="J4" i="69"/>
  <c r="I4" i="69"/>
  <c r="H4" i="69"/>
  <c r="G4" i="69"/>
  <c r="F4" i="69"/>
  <c r="A4" i="69"/>
  <c r="K3" i="69"/>
  <c r="J3" i="69"/>
  <c r="I3" i="69"/>
  <c r="H3" i="69"/>
  <c r="G3" i="69"/>
  <c r="F3" i="69"/>
  <c r="A3" i="69"/>
  <c r="K2" i="69"/>
  <c r="J2" i="69"/>
  <c r="I2" i="69"/>
  <c r="H2" i="69"/>
  <c r="G2" i="69"/>
  <c r="F2" i="69"/>
  <c r="A2" i="69"/>
  <c r="K237" i="68"/>
  <c r="J237" i="68"/>
  <c r="I237" i="68"/>
  <c r="H237" i="68"/>
  <c r="G237" i="68"/>
  <c r="F237" i="68"/>
  <c r="A237" i="68"/>
  <c r="K236" i="68"/>
  <c r="J236" i="68"/>
  <c r="I236" i="68"/>
  <c r="H236" i="68"/>
  <c r="G236" i="68"/>
  <c r="F236" i="68"/>
  <c r="A236" i="68"/>
  <c r="K235" i="68"/>
  <c r="J235" i="68"/>
  <c r="I235" i="68"/>
  <c r="H235" i="68"/>
  <c r="G235" i="68"/>
  <c r="F235" i="68"/>
  <c r="A235" i="68"/>
  <c r="K234" i="68"/>
  <c r="J234" i="68"/>
  <c r="I234" i="68"/>
  <c r="H234" i="68"/>
  <c r="G234" i="68"/>
  <c r="F234" i="68"/>
  <c r="A234" i="68"/>
  <c r="K233" i="68"/>
  <c r="J233" i="68"/>
  <c r="I233" i="68"/>
  <c r="H233" i="68"/>
  <c r="G233" i="68"/>
  <c r="F233" i="68"/>
  <c r="A233" i="68"/>
  <c r="K232" i="68"/>
  <c r="J232" i="68"/>
  <c r="I232" i="68"/>
  <c r="H232" i="68"/>
  <c r="G232" i="68"/>
  <c r="F232" i="68"/>
  <c r="A232" i="68"/>
  <c r="K231" i="68"/>
  <c r="J231" i="68"/>
  <c r="I231" i="68"/>
  <c r="H231" i="68"/>
  <c r="G231" i="68"/>
  <c r="F231" i="68"/>
  <c r="A231" i="68"/>
  <c r="K230" i="68"/>
  <c r="J230" i="68"/>
  <c r="I230" i="68"/>
  <c r="H230" i="68"/>
  <c r="G230" i="68"/>
  <c r="F230" i="68"/>
  <c r="A230" i="68"/>
  <c r="K229" i="68"/>
  <c r="J229" i="68"/>
  <c r="I229" i="68"/>
  <c r="H229" i="68"/>
  <c r="G229" i="68"/>
  <c r="F229" i="68"/>
  <c r="A229" i="68"/>
  <c r="K228" i="68"/>
  <c r="J228" i="68"/>
  <c r="I228" i="68"/>
  <c r="H228" i="68"/>
  <c r="G228" i="68"/>
  <c r="F228" i="68"/>
  <c r="A228" i="68"/>
  <c r="K227" i="68"/>
  <c r="J227" i="68"/>
  <c r="I227" i="68"/>
  <c r="H227" i="68"/>
  <c r="G227" i="68"/>
  <c r="F227" i="68"/>
  <c r="A227" i="68"/>
  <c r="K226" i="68"/>
  <c r="J226" i="68"/>
  <c r="I226" i="68"/>
  <c r="H226" i="68"/>
  <c r="G226" i="68"/>
  <c r="F226" i="68"/>
  <c r="A226" i="68"/>
  <c r="K225" i="68"/>
  <c r="J225" i="68"/>
  <c r="I225" i="68"/>
  <c r="H225" i="68"/>
  <c r="G225" i="68"/>
  <c r="F225" i="68"/>
  <c r="A225" i="68"/>
  <c r="K224" i="68"/>
  <c r="J224" i="68"/>
  <c r="I224" i="68"/>
  <c r="H224" i="68"/>
  <c r="G224" i="68"/>
  <c r="F224" i="68"/>
  <c r="A224" i="68"/>
  <c r="K223" i="68"/>
  <c r="J223" i="68"/>
  <c r="I223" i="68"/>
  <c r="H223" i="68"/>
  <c r="G223" i="68"/>
  <c r="F223" i="68"/>
  <c r="A223" i="68"/>
  <c r="K222" i="68"/>
  <c r="J222" i="68"/>
  <c r="I222" i="68"/>
  <c r="H222" i="68"/>
  <c r="G222" i="68"/>
  <c r="F222" i="68"/>
  <c r="A222" i="68"/>
  <c r="K221" i="68"/>
  <c r="J221" i="68"/>
  <c r="I221" i="68"/>
  <c r="H221" i="68"/>
  <c r="G221" i="68"/>
  <c r="F221" i="68"/>
  <c r="A221" i="68"/>
  <c r="K220" i="68"/>
  <c r="J220" i="68"/>
  <c r="I220" i="68"/>
  <c r="H220" i="68"/>
  <c r="G220" i="68"/>
  <c r="F220" i="68"/>
  <c r="A220" i="68"/>
  <c r="K219" i="68"/>
  <c r="J219" i="68"/>
  <c r="I219" i="68"/>
  <c r="H219" i="68"/>
  <c r="G219" i="68"/>
  <c r="F219" i="68"/>
  <c r="A219" i="68"/>
  <c r="K218" i="68"/>
  <c r="J218" i="68"/>
  <c r="I218" i="68"/>
  <c r="H218" i="68"/>
  <c r="G218" i="68"/>
  <c r="F218" i="68"/>
  <c r="A218" i="68"/>
  <c r="K217" i="68"/>
  <c r="J217" i="68"/>
  <c r="I217" i="68"/>
  <c r="H217" i="68"/>
  <c r="G217" i="68"/>
  <c r="F217" i="68"/>
  <c r="A217" i="68"/>
  <c r="K216" i="68"/>
  <c r="J216" i="68"/>
  <c r="I216" i="68"/>
  <c r="H216" i="68"/>
  <c r="G216" i="68"/>
  <c r="F216" i="68"/>
  <c r="A216" i="68"/>
  <c r="K215" i="68"/>
  <c r="J215" i="68"/>
  <c r="I215" i="68"/>
  <c r="H215" i="68"/>
  <c r="G215" i="68"/>
  <c r="F215" i="68"/>
  <c r="A215" i="68"/>
  <c r="K214" i="68"/>
  <c r="J214" i="68"/>
  <c r="I214" i="68"/>
  <c r="H214" i="68"/>
  <c r="G214" i="68"/>
  <c r="F214" i="68"/>
  <c r="A214" i="68"/>
  <c r="K213" i="68"/>
  <c r="J213" i="68"/>
  <c r="I213" i="68"/>
  <c r="H213" i="68"/>
  <c r="G213" i="68"/>
  <c r="F213" i="68"/>
  <c r="A213" i="68"/>
  <c r="K212" i="68"/>
  <c r="J212" i="68"/>
  <c r="I212" i="68"/>
  <c r="H212" i="68"/>
  <c r="G212" i="68"/>
  <c r="F212" i="68"/>
  <c r="A212" i="68"/>
  <c r="K211" i="68"/>
  <c r="J211" i="68"/>
  <c r="I211" i="68"/>
  <c r="H211" i="68"/>
  <c r="G211" i="68"/>
  <c r="F211" i="68"/>
  <c r="A211" i="68"/>
  <c r="K210" i="68"/>
  <c r="J210" i="68"/>
  <c r="I210" i="68"/>
  <c r="H210" i="68"/>
  <c r="G210" i="68"/>
  <c r="F210" i="68"/>
  <c r="A210" i="68"/>
  <c r="K209" i="68"/>
  <c r="J209" i="68"/>
  <c r="I209" i="68"/>
  <c r="H209" i="68"/>
  <c r="G209" i="68"/>
  <c r="F209" i="68"/>
  <c r="A209" i="68"/>
  <c r="K208" i="68"/>
  <c r="J208" i="68"/>
  <c r="I208" i="68"/>
  <c r="H208" i="68"/>
  <c r="G208" i="68"/>
  <c r="F208" i="68"/>
  <c r="A208" i="68"/>
  <c r="K207" i="68"/>
  <c r="J207" i="68"/>
  <c r="I207" i="68"/>
  <c r="H207" i="68"/>
  <c r="G207" i="68"/>
  <c r="F207" i="68"/>
  <c r="A207" i="68"/>
  <c r="K206" i="68"/>
  <c r="J206" i="68"/>
  <c r="I206" i="68"/>
  <c r="H206" i="68"/>
  <c r="G206" i="68"/>
  <c r="F206" i="68"/>
  <c r="A206" i="68"/>
  <c r="K205" i="68"/>
  <c r="J205" i="68"/>
  <c r="I205" i="68"/>
  <c r="H205" i="68"/>
  <c r="G205" i="68"/>
  <c r="F205" i="68"/>
  <c r="A205" i="68"/>
  <c r="K204" i="68"/>
  <c r="J204" i="68"/>
  <c r="I204" i="68"/>
  <c r="H204" i="68"/>
  <c r="G204" i="68"/>
  <c r="F204" i="68"/>
  <c r="A204" i="68"/>
  <c r="K203" i="68"/>
  <c r="J203" i="68"/>
  <c r="I203" i="68"/>
  <c r="H203" i="68"/>
  <c r="G203" i="68"/>
  <c r="F203" i="68"/>
  <c r="A203" i="68"/>
  <c r="K202" i="68"/>
  <c r="J202" i="68"/>
  <c r="I202" i="68"/>
  <c r="H202" i="68"/>
  <c r="G202" i="68"/>
  <c r="F202" i="68"/>
  <c r="A202" i="68"/>
  <c r="K201" i="68"/>
  <c r="J201" i="68"/>
  <c r="I201" i="68"/>
  <c r="H201" i="68"/>
  <c r="G201" i="68"/>
  <c r="F201" i="68"/>
  <c r="A201" i="68"/>
  <c r="K200" i="68"/>
  <c r="J200" i="68"/>
  <c r="I200" i="68"/>
  <c r="H200" i="68"/>
  <c r="G200" i="68"/>
  <c r="F200" i="68"/>
  <c r="A200" i="68"/>
  <c r="K199" i="68"/>
  <c r="J199" i="68"/>
  <c r="I199" i="68"/>
  <c r="H199" i="68"/>
  <c r="G199" i="68"/>
  <c r="F199" i="68"/>
  <c r="A199" i="68"/>
  <c r="K198" i="68"/>
  <c r="J198" i="68"/>
  <c r="I198" i="68"/>
  <c r="H198" i="68"/>
  <c r="G198" i="68"/>
  <c r="F198" i="68"/>
  <c r="A198" i="68"/>
  <c r="K197" i="68"/>
  <c r="J197" i="68"/>
  <c r="I197" i="68"/>
  <c r="H197" i="68"/>
  <c r="G197" i="68"/>
  <c r="F197" i="68"/>
  <c r="A197" i="68"/>
  <c r="K196" i="68"/>
  <c r="J196" i="68"/>
  <c r="I196" i="68"/>
  <c r="H196" i="68"/>
  <c r="G196" i="68"/>
  <c r="F196" i="68"/>
  <c r="A196" i="68"/>
  <c r="K195" i="68"/>
  <c r="J195" i="68"/>
  <c r="I195" i="68"/>
  <c r="H195" i="68"/>
  <c r="G195" i="68"/>
  <c r="F195" i="68"/>
  <c r="A195" i="68"/>
  <c r="K194" i="68"/>
  <c r="J194" i="68"/>
  <c r="I194" i="68"/>
  <c r="H194" i="68"/>
  <c r="G194" i="68"/>
  <c r="F194" i="68"/>
  <c r="A194" i="68"/>
  <c r="K193" i="68"/>
  <c r="J193" i="68"/>
  <c r="I193" i="68"/>
  <c r="H193" i="68"/>
  <c r="G193" i="68"/>
  <c r="F193" i="68"/>
  <c r="A193" i="68"/>
  <c r="K192" i="68"/>
  <c r="J192" i="68"/>
  <c r="I192" i="68"/>
  <c r="H192" i="68"/>
  <c r="G192" i="68"/>
  <c r="F192" i="68"/>
  <c r="A192" i="68"/>
  <c r="K191" i="68"/>
  <c r="J191" i="68"/>
  <c r="I191" i="68"/>
  <c r="H191" i="68"/>
  <c r="G191" i="68"/>
  <c r="F191" i="68"/>
  <c r="A191" i="68"/>
  <c r="K190" i="68"/>
  <c r="J190" i="68"/>
  <c r="I190" i="68"/>
  <c r="H190" i="68"/>
  <c r="G190" i="68"/>
  <c r="F190" i="68"/>
  <c r="A190" i="68"/>
  <c r="K189" i="68"/>
  <c r="J189" i="68"/>
  <c r="I189" i="68"/>
  <c r="H189" i="68"/>
  <c r="G189" i="68"/>
  <c r="F189" i="68"/>
  <c r="A189" i="68"/>
  <c r="K188" i="68"/>
  <c r="J188" i="68"/>
  <c r="I188" i="68"/>
  <c r="H188" i="68"/>
  <c r="G188" i="68"/>
  <c r="F188" i="68"/>
  <c r="A188" i="68"/>
  <c r="K187" i="68"/>
  <c r="J187" i="68"/>
  <c r="I187" i="68"/>
  <c r="H187" i="68"/>
  <c r="G187" i="68"/>
  <c r="F187" i="68"/>
  <c r="A187" i="68"/>
  <c r="K186" i="68"/>
  <c r="J186" i="68"/>
  <c r="I186" i="68"/>
  <c r="H186" i="68"/>
  <c r="G186" i="68"/>
  <c r="F186" i="68"/>
  <c r="A186" i="68"/>
  <c r="K185" i="68"/>
  <c r="J185" i="68"/>
  <c r="I185" i="68"/>
  <c r="H185" i="68"/>
  <c r="G185" i="68"/>
  <c r="F185" i="68"/>
  <c r="A185" i="68"/>
  <c r="K184" i="68"/>
  <c r="J184" i="68"/>
  <c r="I184" i="68"/>
  <c r="H184" i="68"/>
  <c r="G184" i="68"/>
  <c r="F184" i="68"/>
  <c r="A184" i="68"/>
  <c r="K183" i="68"/>
  <c r="J183" i="68"/>
  <c r="I183" i="68"/>
  <c r="H183" i="68"/>
  <c r="G183" i="68"/>
  <c r="F183" i="68"/>
  <c r="A183" i="68"/>
  <c r="K182" i="68"/>
  <c r="J182" i="68"/>
  <c r="I182" i="68"/>
  <c r="H182" i="68"/>
  <c r="G182" i="68"/>
  <c r="F182" i="68"/>
  <c r="A182" i="68"/>
  <c r="K181" i="68"/>
  <c r="J181" i="68"/>
  <c r="I181" i="68"/>
  <c r="H181" i="68"/>
  <c r="G181" i="68"/>
  <c r="F181" i="68"/>
  <c r="A181" i="68"/>
  <c r="K180" i="68"/>
  <c r="J180" i="68"/>
  <c r="I180" i="68"/>
  <c r="H180" i="68"/>
  <c r="G180" i="68"/>
  <c r="F180" i="68"/>
  <c r="A180" i="68"/>
  <c r="K179" i="68"/>
  <c r="J179" i="68"/>
  <c r="I179" i="68"/>
  <c r="H179" i="68"/>
  <c r="G179" i="68"/>
  <c r="F179" i="68"/>
  <c r="A179" i="68"/>
  <c r="K178" i="68"/>
  <c r="J178" i="68"/>
  <c r="I178" i="68"/>
  <c r="H178" i="68"/>
  <c r="G178" i="68"/>
  <c r="F178" i="68"/>
  <c r="A178" i="68"/>
  <c r="K177" i="68"/>
  <c r="J177" i="68"/>
  <c r="I177" i="68"/>
  <c r="H177" i="68"/>
  <c r="G177" i="68"/>
  <c r="F177" i="68"/>
  <c r="A177" i="68"/>
  <c r="K176" i="68"/>
  <c r="J176" i="68"/>
  <c r="I176" i="68"/>
  <c r="H176" i="68"/>
  <c r="G176" i="68"/>
  <c r="F176" i="68"/>
  <c r="A176" i="68"/>
  <c r="K175" i="68"/>
  <c r="J175" i="68"/>
  <c r="I175" i="68"/>
  <c r="H175" i="68"/>
  <c r="G175" i="68"/>
  <c r="F175" i="68"/>
  <c r="A175" i="68"/>
  <c r="K174" i="68"/>
  <c r="J174" i="68"/>
  <c r="I174" i="68"/>
  <c r="H174" i="68"/>
  <c r="G174" i="68"/>
  <c r="F174" i="68"/>
  <c r="A174" i="68"/>
  <c r="K173" i="68"/>
  <c r="J173" i="68"/>
  <c r="I173" i="68"/>
  <c r="H173" i="68"/>
  <c r="G173" i="68"/>
  <c r="F173" i="68"/>
  <c r="A173" i="68"/>
  <c r="K172" i="68"/>
  <c r="J172" i="68"/>
  <c r="I172" i="68"/>
  <c r="H172" i="68"/>
  <c r="G172" i="68"/>
  <c r="F172" i="68"/>
  <c r="A172" i="68"/>
  <c r="K171" i="68"/>
  <c r="J171" i="68"/>
  <c r="I171" i="68"/>
  <c r="H171" i="68"/>
  <c r="G171" i="68"/>
  <c r="F171" i="68"/>
  <c r="A171" i="68"/>
  <c r="K170" i="68"/>
  <c r="J170" i="68"/>
  <c r="I170" i="68"/>
  <c r="H170" i="68"/>
  <c r="G170" i="68"/>
  <c r="F170" i="68"/>
  <c r="A170" i="68"/>
  <c r="K169" i="68"/>
  <c r="J169" i="68"/>
  <c r="I169" i="68"/>
  <c r="H169" i="68"/>
  <c r="G169" i="68"/>
  <c r="F169" i="68"/>
  <c r="A169" i="68"/>
  <c r="K168" i="68"/>
  <c r="J168" i="68"/>
  <c r="I168" i="68"/>
  <c r="H168" i="68"/>
  <c r="G168" i="68"/>
  <c r="F168" i="68"/>
  <c r="A168" i="68"/>
  <c r="K167" i="68"/>
  <c r="J167" i="68"/>
  <c r="I167" i="68"/>
  <c r="H167" i="68"/>
  <c r="G167" i="68"/>
  <c r="F167" i="68"/>
  <c r="A167" i="68"/>
  <c r="K166" i="68"/>
  <c r="J166" i="68"/>
  <c r="I166" i="68"/>
  <c r="H166" i="68"/>
  <c r="G166" i="68"/>
  <c r="F166" i="68"/>
  <c r="A166" i="68"/>
  <c r="K165" i="68"/>
  <c r="J165" i="68"/>
  <c r="I165" i="68"/>
  <c r="H165" i="68"/>
  <c r="G165" i="68"/>
  <c r="F165" i="68"/>
  <c r="A165" i="68"/>
  <c r="K164" i="68"/>
  <c r="J164" i="68"/>
  <c r="I164" i="68"/>
  <c r="H164" i="68"/>
  <c r="G164" i="68"/>
  <c r="F164" i="68"/>
  <c r="A164" i="68"/>
  <c r="K163" i="68"/>
  <c r="J163" i="68"/>
  <c r="I163" i="68"/>
  <c r="H163" i="68"/>
  <c r="G163" i="68"/>
  <c r="F163" i="68"/>
  <c r="A163" i="68"/>
  <c r="K162" i="68"/>
  <c r="J162" i="68"/>
  <c r="I162" i="68"/>
  <c r="H162" i="68"/>
  <c r="G162" i="68"/>
  <c r="F162" i="68"/>
  <c r="A162" i="68"/>
  <c r="K161" i="68"/>
  <c r="J161" i="68"/>
  <c r="I161" i="68"/>
  <c r="H161" i="68"/>
  <c r="G161" i="68"/>
  <c r="F161" i="68"/>
  <c r="A161" i="68"/>
  <c r="K160" i="68"/>
  <c r="J160" i="68"/>
  <c r="I160" i="68"/>
  <c r="H160" i="68"/>
  <c r="G160" i="68"/>
  <c r="F160" i="68"/>
  <c r="A160" i="68"/>
  <c r="K159" i="68"/>
  <c r="J159" i="68"/>
  <c r="I159" i="68"/>
  <c r="H159" i="68"/>
  <c r="G159" i="68"/>
  <c r="F159" i="68"/>
  <c r="A159" i="68"/>
  <c r="K158" i="68"/>
  <c r="J158" i="68"/>
  <c r="I158" i="68"/>
  <c r="H158" i="68"/>
  <c r="G158" i="68"/>
  <c r="F158" i="68"/>
  <c r="A158" i="68"/>
  <c r="K157" i="68"/>
  <c r="J157" i="68"/>
  <c r="I157" i="68"/>
  <c r="H157" i="68"/>
  <c r="G157" i="68"/>
  <c r="F157" i="68"/>
  <c r="A157" i="68"/>
  <c r="K156" i="68"/>
  <c r="J156" i="68"/>
  <c r="I156" i="68"/>
  <c r="H156" i="68"/>
  <c r="G156" i="68"/>
  <c r="F156" i="68"/>
  <c r="A156" i="68"/>
  <c r="K155" i="68"/>
  <c r="J155" i="68"/>
  <c r="I155" i="68"/>
  <c r="H155" i="68"/>
  <c r="G155" i="68"/>
  <c r="F155" i="68"/>
  <c r="A155" i="68"/>
  <c r="K154" i="68"/>
  <c r="J154" i="68"/>
  <c r="I154" i="68"/>
  <c r="H154" i="68"/>
  <c r="G154" i="68"/>
  <c r="F154" i="68"/>
  <c r="A154" i="68"/>
  <c r="K153" i="68"/>
  <c r="J153" i="68"/>
  <c r="I153" i="68"/>
  <c r="H153" i="68"/>
  <c r="G153" i="68"/>
  <c r="F153" i="68"/>
  <c r="A153" i="68"/>
  <c r="K152" i="68"/>
  <c r="J152" i="68"/>
  <c r="I152" i="68"/>
  <c r="H152" i="68"/>
  <c r="G152" i="68"/>
  <c r="F152" i="68"/>
  <c r="A152" i="68"/>
  <c r="K151" i="68"/>
  <c r="J151" i="68"/>
  <c r="I151" i="68"/>
  <c r="H151" i="68"/>
  <c r="G151" i="68"/>
  <c r="F151" i="68"/>
  <c r="A151" i="68"/>
  <c r="K150" i="68"/>
  <c r="J150" i="68"/>
  <c r="I150" i="68"/>
  <c r="H150" i="68"/>
  <c r="G150" i="68"/>
  <c r="F150" i="68"/>
  <c r="A150" i="68"/>
  <c r="K149" i="68"/>
  <c r="J149" i="68"/>
  <c r="I149" i="68"/>
  <c r="H149" i="68"/>
  <c r="G149" i="68"/>
  <c r="F149" i="68"/>
  <c r="A149" i="68"/>
  <c r="K148" i="68"/>
  <c r="J148" i="68"/>
  <c r="I148" i="68"/>
  <c r="H148" i="68"/>
  <c r="G148" i="68"/>
  <c r="F148" i="68"/>
  <c r="A148" i="68"/>
  <c r="K147" i="68"/>
  <c r="J147" i="68"/>
  <c r="I147" i="68"/>
  <c r="H147" i="68"/>
  <c r="G147" i="68"/>
  <c r="F147" i="68"/>
  <c r="A147" i="68"/>
  <c r="K146" i="68"/>
  <c r="J146" i="68"/>
  <c r="I146" i="68"/>
  <c r="H146" i="68"/>
  <c r="G146" i="68"/>
  <c r="F146" i="68"/>
  <c r="A146" i="68"/>
  <c r="K145" i="68"/>
  <c r="J145" i="68"/>
  <c r="I145" i="68"/>
  <c r="H145" i="68"/>
  <c r="G145" i="68"/>
  <c r="F145" i="68"/>
  <c r="A145" i="68"/>
  <c r="K144" i="68"/>
  <c r="J144" i="68"/>
  <c r="I144" i="68"/>
  <c r="H144" i="68"/>
  <c r="G144" i="68"/>
  <c r="F144" i="68"/>
  <c r="A144" i="68"/>
  <c r="K143" i="68"/>
  <c r="J143" i="68"/>
  <c r="I143" i="68"/>
  <c r="H143" i="68"/>
  <c r="G143" i="68"/>
  <c r="F143" i="68"/>
  <c r="A143" i="68"/>
  <c r="K142" i="68"/>
  <c r="J142" i="68"/>
  <c r="I142" i="68"/>
  <c r="H142" i="68"/>
  <c r="G142" i="68"/>
  <c r="F142" i="68"/>
  <c r="A142" i="68"/>
  <c r="K141" i="68"/>
  <c r="J141" i="68"/>
  <c r="I141" i="68"/>
  <c r="H141" i="68"/>
  <c r="G141" i="68"/>
  <c r="F141" i="68"/>
  <c r="A141" i="68"/>
  <c r="K140" i="68"/>
  <c r="J140" i="68"/>
  <c r="I140" i="68"/>
  <c r="H140" i="68"/>
  <c r="G140" i="68"/>
  <c r="F140" i="68"/>
  <c r="A140" i="68"/>
  <c r="K139" i="68"/>
  <c r="J139" i="68"/>
  <c r="I139" i="68"/>
  <c r="H139" i="68"/>
  <c r="G139" i="68"/>
  <c r="F139" i="68"/>
  <c r="A139" i="68"/>
  <c r="K138" i="68"/>
  <c r="J138" i="68"/>
  <c r="I138" i="68"/>
  <c r="H138" i="68"/>
  <c r="G138" i="68"/>
  <c r="F138" i="68"/>
  <c r="A138" i="68"/>
  <c r="K137" i="68"/>
  <c r="J137" i="68"/>
  <c r="I137" i="68"/>
  <c r="H137" i="68"/>
  <c r="G137" i="68"/>
  <c r="F137" i="68"/>
  <c r="A137" i="68"/>
  <c r="K136" i="68"/>
  <c r="J136" i="68"/>
  <c r="I136" i="68"/>
  <c r="H136" i="68"/>
  <c r="G136" i="68"/>
  <c r="F136" i="68"/>
  <c r="A136" i="68"/>
  <c r="K135" i="68"/>
  <c r="J135" i="68"/>
  <c r="I135" i="68"/>
  <c r="H135" i="68"/>
  <c r="G135" i="68"/>
  <c r="F135" i="68"/>
  <c r="A135" i="68"/>
  <c r="K134" i="68"/>
  <c r="J134" i="68"/>
  <c r="I134" i="68"/>
  <c r="H134" i="68"/>
  <c r="G134" i="68"/>
  <c r="F134" i="68"/>
  <c r="A134" i="68"/>
  <c r="K133" i="68"/>
  <c r="J133" i="68"/>
  <c r="I133" i="68"/>
  <c r="H133" i="68"/>
  <c r="G133" i="68"/>
  <c r="F133" i="68"/>
  <c r="A133" i="68"/>
  <c r="K132" i="68"/>
  <c r="J132" i="68"/>
  <c r="I132" i="68"/>
  <c r="H132" i="68"/>
  <c r="G132" i="68"/>
  <c r="F132" i="68"/>
  <c r="A132" i="68"/>
  <c r="K131" i="68"/>
  <c r="J131" i="68"/>
  <c r="I131" i="68"/>
  <c r="H131" i="68"/>
  <c r="G131" i="68"/>
  <c r="F131" i="68"/>
  <c r="A131" i="68"/>
  <c r="K130" i="68"/>
  <c r="J130" i="68"/>
  <c r="I130" i="68"/>
  <c r="H130" i="68"/>
  <c r="G130" i="68"/>
  <c r="F130" i="68"/>
  <c r="A130" i="68"/>
  <c r="K129" i="68"/>
  <c r="J129" i="68"/>
  <c r="I129" i="68"/>
  <c r="H129" i="68"/>
  <c r="G129" i="68"/>
  <c r="F129" i="68"/>
  <c r="A129" i="68"/>
  <c r="K128" i="68"/>
  <c r="J128" i="68"/>
  <c r="I128" i="68"/>
  <c r="H128" i="68"/>
  <c r="G128" i="68"/>
  <c r="F128" i="68"/>
  <c r="A128" i="68"/>
  <c r="K127" i="68"/>
  <c r="J127" i="68"/>
  <c r="I127" i="68"/>
  <c r="H127" i="68"/>
  <c r="G127" i="68"/>
  <c r="F127" i="68"/>
  <c r="A127" i="68"/>
  <c r="K126" i="68"/>
  <c r="J126" i="68"/>
  <c r="I126" i="68"/>
  <c r="H126" i="68"/>
  <c r="G126" i="68"/>
  <c r="F126" i="68"/>
  <c r="A126" i="68"/>
  <c r="K125" i="68"/>
  <c r="J125" i="68"/>
  <c r="I125" i="68"/>
  <c r="H125" i="68"/>
  <c r="G125" i="68"/>
  <c r="F125" i="68"/>
  <c r="A125" i="68"/>
  <c r="K124" i="68"/>
  <c r="J124" i="68"/>
  <c r="I124" i="68"/>
  <c r="H124" i="68"/>
  <c r="G124" i="68"/>
  <c r="F124" i="68"/>
  <c r="A124" i="68"/>
  <c r="K123" i="68"/>
  <c r="J123" i="68"/>
  <c r="I123" i="68"/>
  <c r="H123" i="68"/>
  <c r="G123" i="68"/>
  <c r="F123" i="68"/>
  <c r="A123" i="68"/>
  <c r="K122" i="68"/>
  <c r="J122" i="68"/>
  <c r="I122" i="68"/>
  <c r="H122" i="68"/>
  <c r="G122" i="68"/>
  <c r="F122" i="68"/>
  <c r="A122" i="68"/>
  <c r="K121" i="68"/>
  <c r="J121" i="68"/>
  <c r="I121" i="68"/>
  <c r="H121" i="68"/>
  <c r="G121" i="68"/>
  <c r="F121" i="68"/>
  <c r="A121" i="68"/>
  <c r="K120" i="68"/>
  <c r="J120" i="68"/>
  <c r="I120" i="68"/>
  <c r="H120" i="68"/>
  <c r="G120" i="68"/>
  <c r="F120" i="68"/>
  <c r="A120" i="68"/>
  <c r="K119" i="68"/>
  <c r="J119" i="68"/>
  <c r="I119" i="68"/>
  <c r="H119" i="68"/>
  <c r="G119" i="68"/>
  <c r="F119" i="68"/>
  <c r="A119" i="68"/>
  <c r="K118" i="68"/>
  <c r="J118" i="68"/>
  <c r="I118" i="68"/>
  <c r="H118" i="68"/>
  <c r="G118" i="68"/>
  <c r="F118" i="68"/>
  <c r="A118" i="68"/>
  <c r="K117" i="68"/>
  <c r="J117" i="68"/>
  <c r="I117" i="68"/>
  <c r="H117" i="68"/>
  <c r="G117" i="68"/>
  <c r="F117" i="68"/>
  <c r="A117" i="68"/>
  <c r="K116" i="68"/>
  <c r="J116" i="68"/>
  <c r="I116" i="68"/>
  <c r="H116" i="68"/>
  <c r="G116" i="68"/>
  <c r="F116" i="68"/>
  <c r="A116" i="68"/>
  <c r="K115" i="68"/>
  <c r="J115" i="68"/>
  <c r="I115" i="68"/>
  <c r="H115" i="68"/>
  <c r="G115" i="68"/>
  <c r="F115" i="68"/>
  <c r="A115" i="68"/>
  <c r="K114" i="68"/>
  <c r="J114" i="68"/>
  <c r="I114" i="68"/>
  <c r="H114" i="68"/>
  <c r="G114" i="68"/>
  <c r="F114" i="68"/>
  <c r="A114" i="68"/>
  <c r="K113" i="68"/>
  <c r="J113" i="68"/>
  <c r="I113" i="68"/>
  <c r="H113" i="68"/>
  <c r="G113" i="68"/>
  <c r="F113" i="68"/>
  <c r="A113" i="68"/>
  <c r="K112" i="68"/>
  <c r="J112" i="68"/>
  <c r="I112" i="68"/>
  <c r="H112" i="68"/>
  <c r="G112" i="68"/>
  <c r="F112" i="68"/>
  <c r="A112" i="68"/>
  <c r="K111" i="68"/>
  <c r="J111" i="68"/>
  <c r="I111" i="68"/>
  <c r="H111" i="68"/>
  <c r="G111" i="68"/>
  <c r="F111" i="68"/>
  <c r="A111" i="68"/>
  <c r="K110" i="68"/>
  <c r="J110" i="68"/>
  <c r="I110" i="68"/>
  <c r="H110" i="68"/>
  <c r="G110" i="68"/>
  <c r="F110" i="68"/>
  <c r="A110" i="68"/>
  <c r="K109" i="68"/>
  <c r="J109" i="68"/>
  <c r="I109" i="68"/>
  <c r="H109" i="68"/>
  <c r="G109" i="68"/>
  <c r="F109" i="68"/>
  <c r="A109" i="68"/>
  <c r="K108" i="68"/>
  <c r="J108" i="68"/>
  <c r="I108" i="68"/>
  <c r="H108" i="68"/>
  <c r="G108" i="68"/>
  <c r="F108" i="68"/>
  <c r="A108" i="68"/>
  <c r="K107" i="68"/>
  <c r="J107" i="68"/>
  <c r="I107" i="68"/>
  <c r="H107" i="68"/>
  <c r="G107" i="68"/>
  <c r="F107" i="68"/>
  <c r="A107" i="68"/>
  <c r="K106" i="68"/>
  <c r="J106" i="68"/>
  <c r="I106" i="68"/>
  <c r="H106" i="68"/>
  <c r="G106" i="68"/>
  <c r="F106" i="68"/>
  <c r="A106" i="68"/>
  <c r="K105" i="68"/>
  <c r="J105" i="68"/>
  <c r="I105" i="68"/>
  <c r="H105" i="68"/>
  <c r="G105" i="68"/>
  <c r="F105" i="68"/>
  <c r="A105" i="68"/>
  <c r="K104" i="68"/>
  <c r="J104" i="68"/>
  <c r="I104" i="68"/>
  <c r="H104" i="68"/>
  <c r="G104" i="68"/>
  <c r="F104" i="68"/>
  <c r="A104" i="68"/>
  <c r="K103" i="68"/>
  <c r="J103" i="68"/>
  <c r="I103" i="68"/>
  <c r="H103" i="68"/>
  <c r="G103" i="68"/>
  <c r="F103" i="68"/>
  <c r="A103" i="68"/>
  <c r="K102" i="68"/>
  <c r="J102" i="68"/>
  <c r="I102" i="68"/>
  <c r="H102" i="68"/>
  <c r="G102" i="68"/>
  <c r="F102" i="68"/>
  <c r="A102" i="68"/>
  <c r="K101" i="68"/>
  <c r="J101" i="68"/>
  <c r="I101" i="68"/>
  <c r="H101" i="68"/>
  <c r="G101" i="68"/>
  <c r="F101" i="68"/>
  <c r="A101" i="68"/>
  <c r="K100" i="68"/>
  <c r="J100" i="68"/>
  <c r="I100" i="68"/>
  <c r="H100" i="68"/>
  <c r="G100" i="68"/>
  <c r="F100" i="68"/>
  <c r="A100" i="68"/>
  <c r="K99" i="68"/>
  <c r="J99" i="68"/>
  <c r="I99" i="68"/>
  <c r="H99" i="68"/>
  <c r="G99" i="68"/>
  <c r="F99" i="68"/>
  <c r="A99" i="68"/>
  <c r="K98" i="68"/>
  <c r="J98" i="68"/>
  <c r="I98" i="68"/>
  <c r="H98" i="68"/>
  <c r="G98" i="68"/>
  <c r="F98" i="68"/>
  <c r="A98" i="68"/>
  <c r="K97" i="68"/>
  <c r="J97" i="68"/>
  <c r="I97" i="68"/>
  <c r="H97" i="68"/>
  <c r="G97" i="68"/>
  <c r="F97" i="68"/>
  <c r="A97" i="68"/>
  <c r="K96" i="68"/>
  <c r="J96" i="68"/>
  <c r="I96" i="68"/>
  <c r="H96" i="68"/>
  <c r="G96" i="68"/>
  <c r="F96" i="68"/>
  <c r="A96" i="68"/>
  <c r="K95" i="68"/>
  <c r="J95" i="68"/>
  <c r="I95" i="68"/>
  <c r="H95" i="68"/>
  <c r="G95" i="68"/>
  <c r="F95" i="68"/>
  <c r="A95" i="68"/>
  <c r="K93" i="68"/>
  <c r="J93" i="68"/>
  <c r="I93" i="68"/>
  <c r="H93" i="68"/>
  <c r="G93" i="68"/>
  <c r="F93" i="68"/>
  <c r="A93" i="68"/>
  <c r="K92" i="68"/>
  <c r="J92" i="68"/>
  <c r="I92" i="68"/>
  <c r="H92" i="68"/>
  <c r="G92" i="68"/>
  <c r="F92" i="68"/>
  <c r="A92" i="68"/>
  <c r="K91" i="68"/>
  <c r="J91" i="68"/>
  <c r="I91" i="68"/>
  <c r="H91" i="68"/>
  <c r="G91" i="68"/>
  <c r="F91" i="68"/>
  <c r="A91" i="68"/>
  <c r="K90" i="68"/>
  <c r="J90" i="68"/>
  <c r="I90" i="68"/>
  <c r="H90" i="68"/>
  <c r="G90" i="68"/>
  <c r="F90" i="68"/>
  <c r="A90" i="68"/>
  <c r="K89" i="68"/>
  <c r="J89" i="68"/>
  <c r="I89" i="68"/>
  <c r="H89" i="68"/>
  <c r="G89" i="68"/>
  <c r="F89" i="68"/>
  <c r="A89" i="68"/>
  <c r="K88" i="68"/>
  <c r="J88" i="68"/>
  <c r="I88" i="68"/>
  <c r="H88" i="68"/>
  <c r="G88" i="68"/>
  <c r="F88" i="68"/>
  <c r="A88" i="68"/>
  <c r="K87" i="68"/>
  <c r="J87" i="68"/>
  <c r="I87" i="68"/>
  <c r="H87" i="68"/>
  <c r="G87" i="68"/>
  <c r="F87" i="68"/>
  <c r="A87" i="68"/>
  <c r="K86" i="68"/>
  <c r="J86" i="68"/>
  <c r="I86" i="68"/>
  <c r="H86" i="68"/>
  <c r="G86" i="68"/>
  <c r="F86" i="68"/>
  <c r="A86" i="68"/>
  <c r="K85" i="68"/>
  <c r="J85" i="68"/>
  <c r="I85" i="68"/>
  <c r="H85" i="68"/>
  <c r="G85" i="68"/>
  <c r="F85" i="68"/>
  <c r="A85" i="68"/>
  <c r="K84" i="68"/>
  <c r="J84" i="68"/>
  <c r="I84" i="68"/>
  <c r="H84" i="68"/>
  <c r="G84" i="68"/>
  <c r="F84" i="68"/>
  <c r="A84" i="68"/>
  <c r="K83" i="68"/>
  <c r="J83" i="68"/>
  <c r="I83" i="68"/>
  <c r="H83" i="68"/>
  <c r="G83" i="68"/>
  <c r="F83" i="68"/>
  <c r="A83" i="68"/>
  <c r="K82" i="68"/>
  <c r="J82" i="68"/>
  <c r="I82" i="68"/>
  <c r="H82" i="68"/>
  <c r="G82" i="68"/>
  <c r="F82" i="68"/>
  <c r="A82" i="68"/>
  <c r="K81" i="68"/>
  <c r="J81" i="68"/>
  <c r="I81" i="68"/>
  <c r="H81" i="68"/>
  <c r="G81" i="68"/>
  <c r="F81" i="68"/>
  <c r="A81" i="68"/>
  <c r="K80" i="68"/>
  <c r="J80" i="68"/>
  <c r="I80" i="68"/>
  <c r="H80" i="68"/>
  <c r="G80" i="68"/>
  <c r="F80" i="68"/>
  <c r="A80" i="68"/>
  <c r="K79" i="68"/>
  <c r="J79" i="68"/>
  <c r="I79" i="68"/>
  <c r="H79" i="68"/>
  <c r="G79" i="68"/>
  <c r="F79" i="68"/>
  <c r="A79" i="68"/>
  <c r="K78" i="68"/>
  <c r="J78" i="68"/>
  <c r="I78" i="68"/>
  <c r="H78" i="68"/>
  <c r="G78" i="68"/>
  <c r="F78" i="68"/>
  <c r="A78" i="68"/>
  <c r="K77" i="68"/>
  <c r="J77" i="68"/>
  <c r="I77" i="68"/>
  <c r="H77" i="68"/>
  <c r="G77" i="68"/>
  <c r="F77" i="68"/>
  <c r="A77" i="68"/>
  <c r="K76" i="68"/>
  <c r="J76" i="68"/>
  <c r="I76" i="68"/>
  <c r="H76" i="68"/>
  <c r="G76" i="68"/>
  <c r="F76" i="68"/>
  <c r="A76" i="68"/>
  <c r="K75" i="68"/>
  <c r="J75" i="68"/>
  <c r="I75" i="68"/>
  <c r="H75" i="68"/>
  <c r="G75" i="68"/>
  <c r="F75" i="68"/>
  <c r="A75" i="68"/>
  <c r="K74" i="68"/>
  <c r="J74" i="68"/>
  <c r="I74" i="68"/>
  <c r="H74" i="68"/>
  <c r="G74" i="68"/>
  <c r="F74" i="68"/>
  <c r="A74" i="68"/>
  <c r="K73" i="68"/>
  <c r="J73" i="68"/>
  <c r="I73" i="68"/>
  <c r="H73" i="68"/>
  <c r="G73" i="68"/>
  <c r="F73" i="68"/>
  <c r="A73" i="68"/>
  <c r="K72" i="68"/>
  <c r="J72" i="68"/>
  <c r="I72" i="68"/>
  <c r="H72" i="68"/>
  <c r="G72" i="68"/>
  <c r="F72" i="68"/>
  <c r="A72" i="68"/>
  <c r="K71" i="68"/>
  <c r="J71" i="68"/>
  <c r="I71" i="68"/>
  <c r="H71" i="68"/>
  <c r="G71" i="68"/>
  <c r="F71" i="68"/>
  <c r="A71" i="68"/>
  <c r="K70" i="68"/>
  <c r="J70" i="68"/>
  <c r="I70" i="68"/>
  <c r="H70" i="68"/>
  <c r="G70" i="68"/>
  <c r="F70" i="68"/>
  <c r="A70" i="68"/>
  <c r="K69" i="68"/>
  <c r="J69" i="68"/>
  <c r="I69" i="68"/>
  <c r="H69" i="68"/>
  <c r="G69" i="68"/>
  <c r="F69" i="68"/>
  <c r="A69" i="68"/>
  <c r="K68" i="68"/>
  <c r="J68" i="68"/>
  <c r="I68" i="68"/>
  <c r="H68" i="68"/>
  <c r="G68" i="68"/>
  <c r="F68" i="68"/>
  <c r="A68" i="68"/>
  <c r="K67" i="68"/>
  <c r="J67" i="68"/>
  <c r="I67" i="68"/>
  <c r="H67" i="68"/>
  <c r="G67" i="68"/>
  <c r="F67" i="68"/>
  <c r="A67" i="68"/>
  <c r="K66" i="68"/>
  <c r="J66" i="68"/>
  <c r="I66" i="68"/>
  <c r="H66" i="68"/>
  <c r="G66" i="68"/>
  <c r="F66" i="68"/>
  <c r="A66" i="68"/>
  <c r="K65" i="68"/>
  <c r="J65" i="68"/>
  <c r="I65" i="68"/>
  <c r="H65" i="68"/>
  <c r="G65" i="68"/>
  <c r="F65" i="68"/>
  <c r="A65" i="68"/>
  <c r="K64" i="68"/>
  <c r="J64" i="68"/>
  <c r="I64" i="68"/>
  <c r="H64" i="68"/>
  <c r="G64" i="68"/>
  <c r="F64" i="68"/>
  <c r="A64" i="68"/>
  <c r="K63" i="68"/>
  <c r="J63" i="68"/>
  <c r="I63" i="68"/>
  <c r="H63" i="68"/>
  <c r="G63" i="68"/>
  <c r="F63" i="68"/>
  <c r="A63" i="68"/>
  <c r="K62" i="68"/>
  <c r="J62" i="68"/>
  <c r="I62" i="68"/>
  <c r="H62" i="68"/>
  <c r="G62" i="68"/>
  <c r="F62" i="68"/>
  <c r="A62" i="68"/>
  <c r="K61" i="68"/>
  <c r="J61" i="68"/>
  <c r="I61" i="68"/>
  <c r="H61" i="68"/>
  <c r="G61" i="68"/>
  <c r="F61" i="68"/>
  <c r="A61" i="68"/>
  <c r="K60" i="68"/>
  <c r="J60" i="68"/>
  <c r="I60" i="68"/>
  <c r="H60" i="68"/>
  <c r="G60" i="68"/>
  <c r="F60" i="68"/>
  <c r="A60" i="68"/>
  <c r="K59" i="68"/>
  <c r="J59" i="68"/>
  <c r="I59" i="68"/>
  <c r="H59" i="68"/>
  <c r="G59" i="68"/>
  <c r="F59" i="68"/>
  <c r="A59" i="68"/>
  <c r="K58" i="68"/>
  <c r="J58" i="68"/>
  <c r="I58" i="68"/>
  <c r="H58" i="68"/>
  <c r="G58" i="68"/>
  <c r="F58" i="68"/>
  <c r="A58" i="68"/>
  <c r="K57" i="68"/>
  <c r="J57" i="68"/>
  <c r="I57" i="68"/>
  <c r="H57" i="68"/>
  <c r="G57" i="68"/>
  <c r="F57" i="68"/>
  <c r="A57" i="68"/>
  <c r="K56" i="68"/>
  <c r="J56" i="68"/>
  <c r="I56" i="68"/>
  <c r="H56" i="68"/>
  <c r="G56" i="68"/>
  <c r="F56" i="68"/>
  <c r="A56" i="68"/>
  <c r="K55" i="68"/>
  <c r="J55" i="68"/>
  <c r="I55" i="68"/>
  <c r="H55" i="68"/>
  <c r="G55" i="68"/>
  <c r="F55" i="68"/>
  <c r="A55" i="68"/>
  <c r="K54" i="68"/>
  <c r="J54" i="68"/>
  <c r="I54" i="68"/>
  <c r="H54" i="68"/>
  <c r="G54" i="68"/>
  <c r="F54" i="68"/>
  <c r="A54" i="68"/>
  <c r="K53" i="68"/>
  <c r="J53" i="68"/>
  <c r="I53" i="68"/>
  <c r="H53" i="68"/>
  <c r="G53" i="68"/>
  <c r="F53" i="68"/>
  <c r="A53" i="68"/>
  <c r="K52" i="68"/>
  <c r="J52" i="68"/>
  <c r="I52" i="68"/>
  <c r="H52" i="68"/>
  <c r="G52" i="68"/>
  <c r="F52" i="68"/>
  <c r="A52" i="68"/>
  <c r="K51" i="68"/>
  <c r="J51" i="68"/>
  <c r="I51" i="68"/>
  <c r="H51" i="68"/>
  <c r="G51" i="68"/>
  <c r="F51" i="68"/>
  <c r="A51" i="68"/>
  <c r="K50" i="68"/>
  <c r="J50" i="68"/>
  <c r="I50" i="68"/>
  <c r="H50" i="68"/>
  <c r="G50" i="68"/>
  <c r="F50" i="68"/>
  <c r="A50" i="68"/>
  <c r="K49" i="68"/>
  <c r="J49" i="68"/>
  <c r="I49" i="68"/>
  <c r="H49" i="68"/>
  <c r="G49" i="68"/>
  <c r="F49" i="68"/>
  <c r="A49" i="68"/>
  <c r="K48" i="68"/>
  <c r="J48" i="68"/>
  <c r="I48" i="68"/>
  <c r="H48" i="68"/>
  <c r="G48" i="68"/>
  <c r="F48" i="68"/>
  <c r="A48" i="68"/>
  <c r="K47" i="68"/>
  <c r="J47" i="68"/>
  <c r="I47" i="68"/>
  <c r="H47" i="68"/>
  <c r="G47" i="68"/>
  <c r="F47" i="68"/>
  <c r="A47" i="68"/>
  <c r="K46" i="68"/>
  <c r="J46" i="68"/>
  <c r="I46" i="68"/>
  <c r="H46" i="68"/>
  <c r="G46" i="68"/>
  <c r="F46" i="68"/>
  <c r="A46" i="68"/>
  <c r="K45" i="68"/>
  <c r="J45" i="68"/>
  <c r="I45" i="68"/>
  <c r="H45" i="68"/>
  <c r="G45" i="68"/>
  <c r="F45" i="68"/>
  <c r="A45" i="68"/>
  <c r="K44" i="68"/>
  <c r="J44" i="68"/>
  <c r="I44" i="68"/>
  <c r="H44" i="68"/>
  <c r="G44" i="68"/>
  <c r="F44" i="68"/>
  <c r="A44" i="68"/>
  <c r="K43" i="68"/>
  <c r="J43" i="68"/>
  <c r="I43" i="68"/>
  <c r="H43" i="68"/>
  <c r="G43" i="68"/>
  <c r="F43" i="68"/>
  <c r="A43" i="68"/>
  <c r="K42" i="68"/>
  <c r="J42" i="68"/>
  <c r="I42" i="68"/>
  <c r="H42" i="68"/>
  <c r="G42" i="68"/>
  <c r="F42" i="68"/>
  <c r="A42" i="68"/>
  <c r="K41" i="68"/>
  <c r="J41" i="68"/>
  <c r="I41" i="68"/>
  <c r="H41" i="68"/>
  <c r="G41" i="68"/>
  <c r="F41" i="68"/>
  <c r="A41" i="68"/>
  <c r="K40" i="68"/>
  <c r="J40" i="68"/>
  <c r="I40" i="68"/>
  <c r="H40" i="68"/>
  <c r="G40" i="68"/>
  <c r="F40" i="68"/>
  <c r="A40" i="68"/>
  <c r="K39" i="68"/>
  <c r="J39" i="68"/>
  <c r="I39" i="68"/>
  <c r="H39" i="68"/>
  <c r="G39" i="68"/>
  <c r="F39" i="68"/>
  <c r="A39" i="68"/>
  <c r="K38" i="68"/>
  <c r="J38" i="68"/>
  <c r="I38" i="68"/>
  <c r="H38" i="68"/>
  <c r="G38" i="68"/>
  <c r="F38" i="68"/>
  <c r="A38" i="68"/>
  <c r="K37" i="68"/>
  <c r="J37" i="68"/>
  <c r="I37" i="68"/>
  <c r="H37" i="68"/>
  <c r="G37" i="68"/>
  <c r="F37" i="68"/>
  <c r="A37" i="68"/>
  <c r="K36" i="68"/>
  <c r="J36" i="68"/>
  <c r="I36" i="68"/>
  <c r="H36" i="68"/>
  <c r="G36" i="68"/>
  <c r="F36" i="68"/>
  <c r="A36" i="68"/>
  <c r="K35" i="68"/>
  <c r="J35" i="68"/>
  <c r="I35" i="68"/>
  <c r="H35" i="68"/>
  <c r="G35" i="68"/>
  <c r="F35" i="68"/>
  <c r="A35" i="68"/>
  <c r="K34" i="68"/>
  <c r="J34" i="68"/>
  <c r="I34" i="68"/>
  <c r="H34" i="68"/>
  <c r="G34" i="68"/>
  <c r="F34" i="68"/>
  <c r="A34" i="68"/>
  <c r="K33" i="68"/>
  <c r="J33" i="68"/>
  <c r="I33" i="68"/>
  <c r="H33" i="68"/>
  <c r="G33" i="68"/>
  <c r="F33" i="68"/>
  <c r="A33" i="68"/>
  <c r="K32" i="68"/>
  <c r="J32" i="68"/>
  <c r="I32" i="68"/>
  <c r="H32" i="68"/>
  <c r="G32" i="68"/>
  <c r="F32" i="68"/>
  <c r="A32" i="68"/>
  <c r="K31" i="68"/>
  <c r="J31" i="68"/>
  <c r="I31" i="68"/>
  <c r="H31" i="68"/>
  <c r="G31" i="68"/>
  <c r="F31" i="68"/>
  <c r="A31" i="68"/>
  <c r="K30" i="68"/>
  <c r="J30" i="68"/>
  <c r="I30" i="68"/>
  <c r="H30" i="68"/>
  <c r="G30" i="68"/>
  <c r="F30" i="68"/>
  <c r="A30" i="68"/>
  <c r="K29" i="68"/>
  <c r="J29" i="68"/>
  <c r="I29" i="68"/>
  <c r="H29" i="68"/>
  <c r="G29" i="68"/>
  <c r="F29" i="68"/>
  <c r="A29" i="68"/>
  <c r="K28" i="68"/>
  <c r="J28" i="68"/>
  <c r="I28" i="68"/>
  <c r="H28" i="68"/>
  <c r="G28" i="68"/>
  <c r="F28" i="68"/>
  <c r="A28" i="68"/>
  <c r="K27" i="68"/>
  <c r="J27" i="68"/>
  <c r="I27" i="68"/>
  <c r="H27" i="68"/>
  <c r="G27" i="68"/>
  <c r="F27" i="68"/>
  <c r="A27" i="68"/>
  <c r="K26" i="68"/>
  <c r="J26" i="68"/>
  <c r="I26" i="68"/>
  <c r="H26" i="68"/>
  <c r="G26" i="68"/>
  <c r="F26" i="68"/>
  <c r="A26" i="68"/>
  <c r="K25" i="68"/>
  <c r="J25" i="68"/>
  <c r="I25" i="68"/>
  <c r="H25" i="68"/>
  <c r="G25" i="68"/>
  <c r="F25" i="68"/>
  <c r="A25" i="68"/>
  <c r="K24" i="68"/>
  <c r="J24" i="68"/>
  <c r="I24" i="68"/>
  <c r="H24" i="68"/>
  <c r="G24" i="68"/>
  <c r="F24" i="68"/>
  <c r="A24" i="68"/>
  <c r="K23" i="68"/>
  <c r="J23" i="68"/>
  <c r="I23" i="68"/>
  <c r="H23" i="68"/>
  <c r="G23" i="68"/>
  <c r="F23" i="68"/>
  <c r="A23" i="68"/>
  <c r="K22" i="68"/>
  <c r="J22" i="68"/>
  <c r="I22" i="68"/>
  <c r="H22" i="68"/>
  <c r="G22" i="68"/>
  <c r="F22" i="68"/>
  <c r="A22" i="68"/>
  <c r="K21" i="68"/>
  <c r="J21" i="68"/>
  <c r="I21" i="68"/>
  <c r="H21" i="68"/>
  <c r="G21" i="68"/>
  <c r="F21" i="68"/>
  <c r="A21" i="68"/>
  <c r="K20" i="68"/>
  <c r="J20" i="68"/>
  <c r="I20" i="68"/>
  <c r="H20" i="68"/>
  <c r="G20" i="68"/>
  <c r="F20" i="68"/>
  <c r="A20" i="68"/>
  <c r="K19" i="68"/>
  <c r="J19" i="68"/>
  <c r="I19" i="68"/>
  <c r="H19" i="68"/>
  <c r="G19" i="68"/>
  <c r="F19" i="68"/>
  <c r="A19" i="68"/>
  <c r="K18" i="68"/>
  <c r="J18" i="68"/>
  <c r="I18" i="68"/>
  <c r="H18" i="68"/>
  <c r="G18" i="68"/>
  <c r="F18" i="68"/>
  <c r="A18" i="68"/>
  <c r="K17" i="68"/>
  <c r="J17" i="68"/>
  <c r="I17" i="68"/>
  <c r="H17" i="68"/>
  <c r="G17" i="68"/>
  <c r="F17" i="68"/>
  <c r="A17" i="68"/>
  <c r="K16" i="68"/>
  <c r="J16" i="68"/>
  <c r="I16" i="68"/>
  <c r="H16" i="68"/>
  <c r="G16" i="68"/>
  <c r="F16" i="68"/>
  <c r="A16" i="68"/>
  <c r="K15" i="68"/>
  <c r="J15" i="68"/>
  <c r="I15" i="68"/>
  <c r="H15" i="68"/>
  <c r="G15" i="68"/>
  <c r="F15" i="68"/>
  <c r="A15" i="68"/>
  <c r="K14" i="68"/>
  <c r="J14" i="68"/>
  <c r="I14" i="68"/>
  <c r="H14" i="68"/>
  <c r="G14" i="68"/>
  <c r="F14" i="68"/>
  <c r="A14" i="68"/>
  <c r="K13" i="68"/>
  <c r="J13" i="68"/>
  <c r="I13" i="68"/>
  <c r="H13" i="68"/>
  <c r="G13" i="68"/>
  <c r="F13" i="68"/>
  <c r="A13" i="68"/>
  <c r="K12" i="68"/>
  <c r="J12" i="68"/>
  <c r="I12" i="68"/>
  <c r="H12" i="68"/>
  <c r="G12" i="68"/>
  <c r="F12" i="68"/>
  <c r="A12" i="68"/>
  <c r="K11" i="68"/>
  <c r="J11" i="68"/>
  <c r="I11" i="68"/>
  <c r="H11" i="68"/>
  <c r="G11" i="68"/>
  <c r="F11" i="68"/>
  <c r="A11" i="68"/>
  <c r="K10" i="68"/>
  <c r="J10" i="68"/>
  <c r="I10" i="68"/>
  <c r="H10" i="68"/>
  <c r="G10" i="68"/>
  <c r="F10" i="68"/>
  <c r="A10" i="68"/>
  <c r="K9" i="68"/>
  <c r="J9" i="68"/>
  <c r="I9" i="68"/>
  <c r="H9" i="68"/>
  <c r="G9" i="68"/>
  <c r="F9" i="68"/>
  <c r="A9" i="68"/>
  <c r="K8" i="68"/>
  <c r="J8" i="68"/>
  <c r="I8" i="68"/>
  <c r="H8" i="68"/>
  <c r="G8" i="68"/>
  <c r="F8" i="68"/>
  <c r="A8" i="68"/>
  <c r="K7" i="68"/>
  <c r="J7" i="68"/>
  <c r="I7" i="68"/>
  <c r="H7" i="68"/>
  <c r="G7" i="68"/>
  <c r="F7" i="68"/>
  <c r="A7" i="68"/>
  <c r="K6" i="68"/>
  <c r="J6" i="68"/>
  <c r="I6" i="68"/>
  <c r="H6" i="68"/>
  <c r="G6" i="68"/>
  <c r="F6" i="68"/>
  <c r="A6" i="68"/>
  <c r="K5" i="68"/>
  <c r="J5" i="68"/>
  <c r="I5" i="68"/>
  <c r="H5" i="68"/>
  <c r="G5" i="68"/>
  <c r="F5" i="68"/>
  <c r="A5" i="68"/>
  <c r="K4" i="68"/>
  <c r="J4" i="68"/>
  <c r="I4" i="68"/>
  <c r="H4" i="68"/>
  <c r="G4" i="68"/>
  <c r="F4" i="68"/>
  <c r="A4" i="68"/>
  <c r="K3" i="68"/>
  <c r="J3" i="68"/>
  <c r="I3" i="68"/>
  <c r="H3" i="68"/>
  <c r="G3" i="68"/>
  <c r="F3" i="68"/>
  <c r="A3" i="68"/>
  <c r="K2" i="68"/>
  <c r="J2" i="68"/>
  <c r="I2" i="68"/>
  <c r="H2" i="68"/>
  <c r="G2" i="68"/>
  <c r="F2" i="68"/>
  <c r="A2" i="68"/>
  <c r="K237" i="67"/>
  <c r="J237" i="67"/>
  <c r="I237" i="67"/>
  <c r="H237" i="67"/>
  <c r="G237" i="67"/>
  <c r="F237" i="67"/>
  <c r="A237" i="67"/>
  <c r="K236" i="67"/>
  <c r="J236" i="67"/>
  <c r="I236" i="67"/>
  <c r="H236" i="67"/>
  <c r="G236" i="67"/>
  <c r="F236" i="67"/>
  <c r="A236" i="67"/>
  <c r="K235" i="67"/>
  <c r="J235" i="67"/>
  <c r="I235" i="67"/>
  <c r="H235" i="67"/>
  <c r="G235" i="67"/>
  <c r="F235" i="67"/>
  <c r="A235" i="67"/>
  <c r="K234" i="67"/>
  <c r="J234" i="67"/>
  <c r="I234" i="67"/>
  <c r="H234" i="67"/>
  <c r="G234" i="67"/>
  <c r="F234" i="67"/>
  <c r="A234" i="67"/>
  <c r="K233" i="67"/>
  <c r="J233" i="67"/>
  <c r="I233" i="67"/>
  <c r="H233" i="67"/>
  <c r="G233" i="67"/>
  <c r="F233" i="67"/>
  <c r="A233" i="67"/>
  <c r="K232" i="67"/>
  <c r="J232" i="67"/>
  <c r="I232" i="67"/>
  <c r="H232" i="67"/>
  <c r="G232" i="67"/>
  <c r="F232" i="67"/>
  <c r="A232" i="67"/>
  <c r="K231" i="67"/>
  <c r="J231" i="67"/>
  <c r="I231" i="67"/>
  <c r="H231" i="67"/>
  <c r="G231" i="67"/>
  <c r="F231" i="67"/>
  <c r="A231" i="67"/>
  <c r="K230" i="67"/>
  <c r="J230" i="67"/>
  <c r="I230" i="67"/>
  <c r="H230" i="67"/>
  <c r="G230" i="67"/>
  <c r="F230" i="67"/>
  <c r="A230" i="67"/>
  <c r="K93" i="67"/>
  <c r="J93" i="67"/>
  <c r="I93" i="67"/>
  <c r="H93" i="67"/>
  <c r="G93" i="67"/>
  <c r="F93" i="67"/>
  <c r="A93" i="67"/>
  <c r="K92" i="67"/>
  <c r="J92" i="67"/>
  <c r="I92" i="67"/>
  <c r="H92" i="67"/>
  <c r="G92" i="67"/>
  <c r="F92" i="67"/>
  <c r="A92" i="67"/>
  <c r="K91" i="67"/>
  <c r="J91" i="67"/>
  <c r="I91" i="67"/>
  <c r="H91" i="67"/>
  <c r="G91" i="67"/>
  <c r="F91" i="67"/>
  <c r="A91" i="67"/>
  <c r="K90" i="67"/>
  <c r="J90" i="67"/>
  <c r="I90" i="67"/>
  <c r="H90" i="67"/>
  <c r="G90" i="67"/>
  <c r="F90" i="67"/>
  <c r="A90" i="67"/>
  <c r="K89" i="67"/>
  <c r="J89" i="67"/>
  <c r="I89" i="67"/>
  <c r="H89" i="67"/>
  <c r="G89" i="67"/>
  <c r="F89" i="67"/>
  <c r="A89" i="67"/>
  <c r="K88" i="67"/>
  <c r="J88" i="67"/>
  <c r="I88" i="67"/>
  <c r="H88" i="67"/>
  <c r="G88" i="67"/>
  <c r="F88" i="67"/>
  <c r="A88" i="67"/>
  <c r="K87" i="67"/>
  <c r="J87" i="67"/>
  <c r="I87" i="67"/>
  <c r="H87" i="67"/>
  <c r="G87" i="67"/>
  <c r="F87" i="67"/>
  <c r="A87" i="67"/>
  <c r="K86" i="67"/>
  <c r="J86" i="67"/>
  <c r="I86" i="67"/>
  <c r="H86" i="67"/>
  <c r="G86" i="67"/>
  <c r="F86" i="67"/>
  <c r="A86" i="67"/>
  <c r="K229" i="67"/>
  <c r="J229" i="67"/>
  <c r="I229" i="67"/>
  <c r="H229" i="67"/>
  <c r="G229" i="67"/>
  <c r="F229" i="67"/>
  <c r="A229" i="67"/>
  <c r="K228" i="67"/>
  <c r="J228" i="67"/>
  <c r="I228" i="67"/>
  <c r="H228" i="67"/>
  <c r="G228" i="67"/>
  <c r="F228" i="67"/>
  <c r="A228" i="67"/>
  <c r="K227" i="67"/>
  <c r="J227" i="67"/>
  <c r="I227" i="67"/>
  <c r="H227" i="67"/>
  <c r="G227" i="67"/>
  <c r="F227" i="67"/>
  <c r="A227" i="67"/>
  <c r="K226" i="67"/>
  <c r="J226" i="67"/>
  <c r="I226" i="67"/>
  <c r="H226" i="67"/>
  <c r="G226" i="67"/>
  <c r="F226" i="67"/>
  <c r="A226" i="67"/>
  <c r="K225" i="67"/>
  <c r="J225" i="67"/>
  <c r="I225" i="67"/>
  <c r="H225" i="67"/>
  <c r="G225" i="67"/>
  <c r="F225" i="67"/>
  <c r="A225" i="67"/>
  <c r="K224" i="67"/>
  <c r="J224" i="67"/>
  <c r="I224" i="67"/>
  <c r="H224" i="67"/>
  <c r="G224" i="67"/>
  <c r="F224" i="67"/>
  <c r="A224" i="67"/>
  <c r="K223" i="67"/>
  <c r="J223" i="67"/>
  <c r="I223" i="67"/>
  <c r="H223" i="67"/>
  <c r="G223" i="67"/>
  <c r="F223" i="67"/>
  <c r="A223" i="67"/>
  <c r="K222" i="67"/>
  <c r="J222" i="67"/>
  <c r="I222" i="67"/>
  <c r="H222" i="67"/>
  <c r="G222" i="67"/>
  <c r="F222" i="67"/>
  <c r="A222" i="67"/>
  <c r="K221" i="67"/>
  <c r="J221" i="67"/>
  <c r="I221" i="67"/>
  <c r="H221" i="67"/>
  <c r="G221" i="67"/>
  <c r="F221" i="67"/>
  <c r="A221" i="67"/>
  <c r="K220" i="67"/>
  <c r="J220" i="67"/>
  <c r="I220" i="67"/>
  <c r="H220" i="67"/>
  <c r="G220" i="67"/>
  <c r="F220" i="67"/>
  <c r="A220" i="67"/>
  <c r="K219" i="67"/>
  <c r="J219" i="67"/>
  <c r="I219" i="67"/>
  <c r="H219" i="67"/>
  <c r="G219" i="67"/>
  <c r="F219" i="67"/>
  <c r="A219" i="67"/>
  <c r="K218" i="67"/>
  <c r="J218" i="67"/>
  <c r="I218" i="67"/>
  <c r="H218" i="67"/>
  <c r="G218" i="67"/>
  <c r="F218" i="67"/>
  <c r="A218" i="67"/>
  <c r="K217" i="67"/>
  <c r="J217" i="67"/>
  <c r="I217" i="67"/>
  <c r="H217" i="67"/>
  <c r="G217" i="67"/>
  <c r="F217" i="67"/>
  <c r="A217" i="67"/>
  <c r="K216" i="67"/>
  <c r="J216" i="67"/>
  <c r="I216" i="67"/>
  <c r="H216" i="67"/>
  <c r="G216" i="67"/>
  <c r="F216" i="67"/>
  <c r="A216" i="67"/>
  <c r="K215" i="67"/>
  <c r="J215" i="67"/>
  <c r="I215" i="67"/>
  <c r="H215" i="67"/>
  <c r="G215" i="67"/>
  <c r="F215" i="67"/>
  <c r="A215" i="67"/>
  <c r="K214" i="67"/>
  <c r="J214" i="67"/>
  <c r="I214" i="67"/>
  <c r="H214" i="67"/>
  <c r="G214" i="67"/>
  <c r="F214" i="67"/>
  <c r="A214" i="67"/>
  <c r="K213" i="67"/>
  <c r="J213" i="67"/>
  <c r="I213" i="67"/>
  <c r="H213" i="67"/>
  <c r="G213" i="67"/>
  <c r="F213" i="67"/>
  <c r="A213" i="67"/>
  <c r="K212" i="67"/>
  <c r="J212" i="67"/>
  <c r="I212" i="67"/>
  <c r="H212" i="67"/>
  <c r="G212" i="67"/>
  <c r="F212" i="67"/>
  <c r="A212" i="67"/>
  <c r="K211" i="67"/>
  <c r="J211" i="67"/>
  <c r="I211" i="67"/>
  <c r="H211" i="67"/>
  <c r="G211" i="67"/>
  <c r="F211" i="67"/>
  <c r="A211" i="67"/>
  <c r="K210" i="67"/>
  <c r="J210" i="67"/>
  <c r="I210" i="67"/>
  <c r="H210" i="67"/>
  <c r="G210" i="67"/>
  <c r="F210" i="67"/>
  <c r="A210" i="67"/>
  <c r="K209" i="67"/>
  <c r="J209" i="67"/>
  <c r="I209" i="67"/>
  <c r="H209" i="67"/>
  <c r="G209" i="67"/>
  <c r="F209" i="67"/>
  <c r="A209" i="67"/>
  <c r="K208" i="67"/>
  <c r="J208" i="67"/>
  <c r="I208" i="67"/>
  <c r="H208" i="67"/>
  <c r="G208" i="67"/>
  <c r="F208" i="67"/>
  <c r="A208" i="67"/>
  <c r="K207" i="67"/>
  <c r="J207" i="67"/>
  <c r="I207" i="67"/>
  <c r="H207" i="67"/>
  <c r="G207" i="67"/>
  <c r="F207" i="67"/>
  <c r="A207" i="67"/>
  <c r="K206" i="67"/>
  <c r="J206" i="67"/>
  <c r="I206" i="67"/>
  <c r="H206" i="67"/>
  <c r="G206" i="67"/>
  <c r="F206" i="67"/>
  <c r="A206" i="67"/>
  <c r="K205" i="67"/>
  <c r="J205" i="67"/>
  <c r="I205" i="67"/>
  <c r="H205" i="67"/>
  <c r="G205" i="67"/>
  <c r="F205" i="67"/>
  <c r="A205" i="67"/>
  <c r="K204" i="67"/>
  <c r="J204" i="67"/>
  <c r="I204" i="67"/>
  <c r="H204" i="67"/>
  <c r="G204" i="67"/>
  <c r="F204" i="67"/>
  <c r="A204" i="67"/>
  <c r="K203" i="67"/>
  <c r="J203" i="67"/>
  <c r="I203" i="67"/>
  <c r="H203" i="67"/>
  <c r="G203" i="67"/>
  <c r="F203" i="67"/>
  <c r="A203" i="67"/>
  <c r="K202" i="67"/>
  <c r="J202" i="67"/>
  <c r="I202" i="67"/>
  <c r="H202" i="67"/>
  <c r="G202" i="67"/>
  <c r="F202" i="67"/>
  <c r="A202" i="67"/>
  <c r="K201" i="67"/>
  <c r="J201" i="67"/>
  <c r="I201" i="67"/>
  <c r="H201" i="67"/>
  <c r="G201" i="67"/>
  <c r="F201" i="67"/>
  <c r="A201" i="67"/>
  <c r="K200" i="67"/>
  <c r="J200" i="67"/>
  <c r="I200" i="67"/>
  <c r="H200" i="67"/>
  <c r="G200" i="67"/>
  <c r="F200" i="67"/>
  <c r="A200" i="67"/>
  <c r="K199" i="67"/>
  <c r="J199" i="67"/>
  <c r="I199" i="67"/>
  <c r="H199" i="67"/>
  <c r="G199" i="67"/>
  <c r="F199" i="67"/>
  <c r="A199" i="67"/>
  <c r="K198" i="67"/>
  <c r="J198" i="67"/>
  <c r="I198" i="67"/>
  <c r="H198" i="67"/>
  <c r="G198" i="67"/>
  <c r="F198" i="67"/>
  <c r="A198" i="67"/>
  <c r="K197" i="67"/>
  <c r="J197" i="67"/>
  <c r="I197" i="67"/>
  <c r="H197" i="67"/>
  <c r="G197" i="67"/>
  <c r="F197" i="67"/>
  <c r="A197" i="67"/>
  <c r="K196" i="67"/>
  <c r="J196" i="67"/>
  <c r="I196" i="67"/>
  <c r="H196" i="67"/>
  <c r="G196" i="67"/>
  <c r="F196" i="67"/>
  <c r="A196" i="67"/>
  <c r="K195" i="67"/>
  <c r="J195" i="67"/>
  <c r="I195" i="67"/>
  <c r="H195" i="67"/>
  <c r="G195" i="67"/>
  <c r="F195" i="67"/>
  <c r="A195" i="67"/>
  <c r="K194" i="67"/>
  <c r="J194" i="67"/>
  <c r="I194" i="67"/>
  <c r="H194" i="67"/>
  <c r="G194" i="67"/>
  <c r="F194" i="67"/>
  <c r="A194" i="67"/>
  <c r="K193" i="67"/>
  <c r="J193" i="67"/>
  <c r="I193" i="67"/>
  <c r="H193" i="67"/>
  <c r="G193" i="67"/>
  <c r="F193" i="67"/>
  <c r="A193" i="67"/>
  <c r="K192" i="67"/>
  <c r="J192" i="67"/>
  <c r="I192" i="67"/>
  <c r="H192" i="67"/>
  <c r="G192" i="67"/>
  <c r="F192" i="67"/>
  <c r="A192" i="67"/>
  <c r="K191" i="67"/>
  <c r="J191" i="67"/>
  <c r="I191" i="67"/>
  <c r="H191" i="67"/>
  <c r="G191" i="67"/>
  <c r="F191" i="67"/>
  <c r="A191" i="67"/>
  <c r="K190" i="67"/>
  <c r="J190" i="67"/>
  <c r="I190" i="67"/>
  <c r="H190" i="67"/>
  <c r="G190" i="67"/>
  <c r="F190" i="67"/>
  <c r="A190" i="67"/>
  <c r="K189" i="67"/>
  <c r="J189" i="67"/>
  <c r="I189" i="67"/>
  <c r="H189" i="67"/>
  <c r="G189" i="67"/>
  <c r="F189" i="67"/>
  <c r="A189" i="67"/>
  <c r="K188" i="67"/>
  <c r="J188" i="67"/>
  <c r="I188" i="67"/>
  <c r="H188" i="67"/>
  <c r="G188" i="67"/>
  <c r="F188" i="67"/>
  <c r="A188" i="67"/>
  <c r="K187" i="67"/>
  <c r="J187" i="67"/>
  <c r="I187" i="67"/>
  <c r="H187" i="67"/>
  <c r="G187" i="67"/>
  <c r="F187" i="67"/>
  <c r="A187" i="67"/>
  <c r="K186" i="67"/>
  <c r="J186" i="67"/>
  <c r="I186" i="67"/>
  <c r="H186" i="67"/>
  <c r="G186" i="67"/>
  <c r="F186" i="67"/>
  <c r="A186" i="67"/>
  <c r="K185" i="67"/>
  <c r="J185" i="67"/>
  <c r="I185" i="67"/>
  <c r="H185" i="67"/>
  <c r="G185" i="67"/>
  <c r="F185" i="67"/>
  <c r="A185" i="67"/>
  <c r="K184" i="67"/>
  <c r="J184" i="67"/>
  <c r="I184" i="67"/>
  <c r="H184" i="67"/>
  <c r="G184" i="67"/>
  <c r="F184" i="67"/>
  <c r="A184" i="67"/>
  <c r="K183" i="67"/>
  <c r="J183" i="67"/>
  <c r="I183" i="67"/>
  <c r="H183" i="67"/>
  <c r="G183" i="67"/>
  <c r="F183" i="67"/>
  <c r="A183" i="67"/>
  <c r="K182" i="67"/>
  <c r="J182" i="67"/>
  <c r="I182" i="67"/>
  <c r="H182" i="67"/>
  <c r="G182" i="67"/>
  <c r="F182" i="67"/>
  <c r="A182" i="67"/>
  <c r="K181" i="67"/>
  <c r="J181" i="67"/>
  <c r="I181" i="67"/>
  <c r="H181" i="67"/>
  <c r="G181" i="67"/>
  <c r="F181" i="67"/>
  <c r="A181" i="67"/>
  <c r="K180" i="67"/>
  <c r="J180" i="67"/>
  <c r="I180" i="67"/>
  <c r="H180" i="67"/>
  <c r="G180" i="67"/>
  <c r="F180" i="67"/>
  <c r="A180" i="67"/>
  <c r="K179" i="67"/>
  <c r="J179" i="67"/>
  <c r="I179" i="67"/>
  <c r="H179" i="67"/>
  <c r="G179" i="67"/>
  <c r="F179" i="67"/>
  <c r="A179" i="67"/>
  <c r="K178" i="67"/>
  <c r="J178" i="67"/>
  <c r="I178" i="67"/>
  <c r="H178" i="67"/>
  <c r="G178" i="67"/>
  <c r="F178" i="67"/>
  <c r="A178" i="67"/>
  <c r="K177" i="67"/>
  <c r="J177" i="67"/>
  <c r="I177" i="67"/>
  <c r="H177" i="67"/>
  <c r="G177" i="67"/>
  <c r="F177" i="67"/>
  <c r="A177" i="67"/>
  <c r="K176" i="67"/>
  <c r="J176" i="67"/>
  <c r="I176" i="67"/>
  <c r="H176" i="67"/>
  <c r="G176" i="67"/>
  <c r="F176" i="67"/>
  <c r="A176" i="67"/>
  <c r="K175" i="67"/>
  <c r="J175" i="67"/>
  <c r="I175" i="67"/>
  <c r="H175" i="67"/>
  <c r="G175" i="67"/>
  <c r="F175" i="67"/>
  <c r="A175" i="67"/>
  <c r="K174" i="67"/>
  <c r="J174" i="67"/>
  <c r="I174" i="67"/>
  <c r="H174" i="67"/>
  <c r="G174" i="67"/>
  <c r="F174" i="67"/>
  <c r="A174" i="67"/>
  <c r="K173" i="67"/>
  <c r="J173" i="67"/>
  <c r="I173" i="67"/>
  <c r="H173" i="67"/>
  <c r="G173" i="67"/>
  <c r="F173" i="67"/>
  <c r="A173" i="67"/>
  <c r="K172" i="67"/>
  <c r="J172" i="67"/>
  <c r="I172" i="67"/>
  <c r="H172" i="67"/>
  <c r="G172" i="67"/>
  <c r="F172" i="67"/>
  <c r="A172" i="67"/>
  <c r="K171" i="67"/>
  <c r="J171" i="67"/>
  <c r="I171" i="67"/>
  <c r="H171" i="67"/>
  <c r="G171" i="67"/>
  <c r="F171" i="67"/>
  <c r="A171" i="67"/>
  <c r="K170" i="67"/>
  <c r="J170" i="67"/>
  <c r="I170" i="67"/>
  <c r="H170" i="67"/>
  <c r="G170" i="67"/>
  <c r="F170" i="67"/>
  <c r="A170" i="67"/>
  <c r="K169" i="67"/>
  <c r="J169" i="67"/>
  <c r="I169" i="67"/>
  <c r="H169" i="67"/>
  <c r="G169" i="67"/>
  <c r="F169" i="67"/>
  <c r="A169" i="67"/>
  <c r="K168" i="67"/>
  <c r="J168" i="67"/>
  <c r="I168" i="67"/>
  <c r="H168" i="67"/>
  <c r="G168" i="67"/>
  <c r="F168" i="67"/>
  <c r="A168" i="67"/>
  <c r="K167" i="67"/>
  <c r="J167" i="67"/>
  <c r="I167" i="67"/>
  <c r="H167" i="67"/>
  <c r="G167" i="67"/>
  <c r="F167" i="67"/>
  <c r="A167" i="67"/>
  <c r="K166" i="67"/>
  <c r="J166" i="67"/>
  <c r="I166" i="67"/>
  <c r="H166" i="67"/>
  <c r="G166" i="67"/>
  <c r="F166" i="67"/>
  <c r="A166" i="67"/>
  <c r="K165" i="67"/>
  <c r="J165" i="67"/>
  <c r="I165" i="67"/>
  <c r="H165" i="67"/>
  <c r="G165" i="67"/>
  <c r="F165" i="67"/>
  <c r="A165" i="67"/>
  <c r="K164" i="67"/>
  <c r="J164" i="67"/>
  <c r="I164" i="67"/>
  <c r="H164" i="67"/>
  <c r="G164" i="67"/>
  <c r="F164" i="67"/>
  <c r="A164" i="67"/>
  <c r="K163" i="67"/>
  <c r="J163" i="67"/>
  <c r="I163" i="67"/>
  <c r="H163" i="67"/>
  <c r="G163" i="67"/>
  <c r="F163" i="67"/>
  <c r="A163" i="67"/>
  <c r="K162" i="67"/>
  <c r="J162" i="67"/>
  <c r="I162" i="67"/>
  <c r="H162" i="67"/>
  <c r="G162" i="67"/>
  <c r="F162" i="67"/>
  <c r="A162" i="67"/>
  <c r="K161" i="67"/>
  <c r="J161" i="67"/>
  <c r="I161" i="67"/>
  <c r="H161" i="67"/>
  <c r="G161" i="67"/>
  <c r="F161" i="67"/>
  <c r="A161" i="67"/>
  <c r="K160" i="67"/>
  <c r="J160" i="67"/>
  <c r="I160" i="67"/>
  <c r="H160" i="67"/>
  <c r="G160" i="67"/>
  <c r="F160" i="67"/>
  <c r="A160" i="67"/>
  <c r="K159" i="67"/>
  <c r="J159" i="67"/>
  <c r="I159" i="67"/>
  <c r="H159" i="67"/>
  <c r="G159" i="67"/>
  <c r="F159" i="67"/>
  <c r="A159" i="67"/>
  <c r="K158" i="67"/>
  <c r="J158" i="67"/>
  <c r="I158" i="67"/>
  <c r="H158" i="67"/>
  <c r="G158" i="67"/>
  <c r="F158" i="67"/>
  <c r="A158" i="67"/>
  <c r="K157" i="67"/>
  <c r="J157" i="67"/>
  <c r="I157" i="67"/>
  <c r="H157" i="67"/>
  <c r="G157" i="67"/>
  <c r="F157" i="67"/>
  <c r="A157" i="67"/>
  <c r="K156" i="67"/>
  <c r="J156" i="67"/>
  <c r="I156" i="67"/>
  <c r="H156" i="67"/>
  <c r="G156" i="67"/>
  <c r="F156" i="67"/>
  <c r="A156" i="67"/>
  <c r="K155" i="67"/>
  <c r="J155" i="67"/>
  <c r="I155" i="67"/>
  <c r="H155" i="67"/>
  <c r="G155" i="67"/>
  <c r="F155" i="67"/>
  <c r="A155" i="67"/>
  <c r="K154" i="67"/>
  <c r="J154" i="67"/>
  <c r="I154" i="67"/>
  <c r="H154" i="67"/>
  <c r="G154" i="67"/>
  <c r="F154" i="67"/>
  <c r="A154" i="67"/>
  <c r="K153" i="67"/>
  <c r="J153" i="67"/>
  <c r="I153" i="67"/>
  <c r="H153" i="67"/>
  <c r="G153" i="67"/>
  <c r="F153" i="67"/>
  <c r="A153" i="67"/>
  <c r="K152" i="67"/>
  <c r="J152" i="67"/>
  <c r="I152" i="67"/>
  <c r="H152" i="67"/>
  <c r="G152" i="67"/>
  <c r="F152" i="67"/>
  <c r="A152" i="67"/>
  <c r="K151" i="67"/>
  <c r="J151" i="67"/>
  <c r="I151" i="67"/>
  <c r="H151" i="67"/>
  <c r="G151" i="67"/>
  <c r="F151" i="67"/>
  <c r="A151" i="67"/>
  <c r="K150" i="67"/>
  <c r="J150" i="67"/>
  <c r="I150" i="67"/>
  <c r="H150" i="67"/>
  <c r="G150" i="67"/>
  <c r="F150" i="67"/>
  <c r="A150" i="67"/>
  <c r="K149" i="67"/>
  <c r="J149" i="67"/>
  <c r="I149" i="67"/>
  <c r="H149" i="67"/>
  <c r="G149" i="67"/>
  <c r="F149" i="67"/>
  <c r="A149" i="67"/>
  <c r="K148" i="67"/>
  <c r="J148" i="67"/>
  <c r="I148" i="67"/>
  <c r="H148" i="67"/>
  <c r="G148" i="67"/>
  <c r="F148" i="67"/>
  <c r="A148" i="67"/>
  <c r="K147" i="67"/>
  <c r="J147" i="67"/>
  <c r="I147" i="67"/>
  <c r="H147" i="67"/>
  <c r="G147" i="67"/>
  <c r="F147" i="67"/>
  <c r="A147" i="67"/>
  <c r="K146" i="67"/>
  <c r="J146" i="67"/>
  <c r="I146" i="67"/>
  <c r="H146" i="67"/>
  <c r="G146" i="67"/>
  <c r="F146" i="67"/>
  <c r="A146" i="67"/>
  <c r="K145" i="67"/>
  <c r="J145" i="67"/>
  <c r="I145" i="67"/>
  <c r="H145" i="67"/>
  <c r="G145" i="67"/>
  <c r="F145" i="67"/>
  <c r="A145" i="67"/>
  <c r="K144" i="67"/>
  <c r="J144" i="67"/>
  <c r="I144" i="67"/>
  <c r="H144" i="67"/>
  <c r="G144" i="67"/>
  <c r="F144" i="67"/>
  <c r="A144" i="67"/>
  <c r="K143" i="67"/>
  <c r="J143" i="67"/>
  <c r="I143" i="67"/>
  <c r="H143" i="67"/>
  <c r="G143" i="67"/>
  <c r="F143" i="67"/>
  <c r="A143" i="67"/>
  <c r="K142" i="67"/>
  <c r="J142" i="67"/>
  <c r="I142" i="67"/>
  <c r="H142" i="67"/>
  <c r="G142" i="67"/>
  <c r="F142" i="67"/>
  <c r="A142" i="67"/>
  <c r="K141" i="67"/>
  <c r="J141" i="67"/>
  <c r="I141" i="67"/>
  <c r="H141" i="67"/>
  <c r="G141" i="67"/>
  <c r="F141" i="67"/>
  <c r="A141" i="67"/>
  <c r="K140" i="67"/>
  <c r="J140" i="67"/>
  <c r="I140" i="67"/>
  <c r="H140" i="67"/>
  <c r="G140" i="67"/>
  <c r="F140" i="67"/>
  <c r="A140" i="67"/>
  <c r="K139" i="67"/>
  <c r="J139" i="67"/>
  <c r="I139" i="67"/>
  <c r="H139" i="67"/>
  <c r="G139" i="67"/>
  <c r="F139" i="67"/>
  <c r="A139" i="67"/>
  <c r="K138" i="67"/>
  <c r="J138" i="67"/>
  <c r="I138" i="67"/>
  <c r="H138" i="67"/>
  <c r="G138" i="67"/>
  <c r="F138" i="67"/>
  <c r="A138" i="67"/>
  <c r="K137" i="67"/>
  <c r="J137" i="67"/>
  <c r="I137" i="67"/>
  <c r="H137" i="67"/>
  <c r="G137" i="67"/>
  <c r="F137" i="67"/>
  <c r="A137" i="67"/>
  <c r="K136" i="67"/>
  <c r="J136" i="67"/>
  <c r="I136" i="67"/>
  <c r="H136" i="67"/>
  <c r="G136" i="67"/>
  <c r="F136" i="67"/>
  <c r="A136" i="67"/>
  <c r="K135" i="67"/>
  <c r="J135" i="67"/>
  <c r="I135" i="67"/>
  <c r="H135" i="67"/>
  <c r="G135" i="67"/>
  <c r="F135" i="67"/>
  <c r="A135" i="67"/>
  <c r="K134" i="67"/>
  <c r="J134" i="67"/>
  <c r="I134" i="67"/>
  <c r="H134" i="67"/>
  <c r="G134" i="67"/>
  <c r="F134" i="67"/>
  <c r="A134" i="67"/>
  <c r="K133" i="67"/>
  <c r="J133" i="67"/>
  <c r="I133" i="67"/>
  <c r="H133" i="67"/>
  <c r="G133" i="67"/>
  <c r="F133" i="67"/>
  <c r="A133" i="67"/>
  <c r="K132" i="67"/>
  <c r="J132" i="67"/>
  <c r="I132" i="67"/>
  <c r="H132" i="67"/>
  <c r="G132" i="67"/>
  <c r="F132" i="67"/>
  <c r="A132" i="67"/>
  <c r="K131" i="67"/>
  <c r="J131" i="67"/>
  <c r="I131" i="67"/>
  <c r="H131" i="67"/>
  <c r="G131" i="67"/>
  <c r="F131" i="67"/>
  <c r="A131" i="67"/>
  <c r="K130" i="67"/>
  <c r="J130" i="67"/>
  <c r="I130" i="67"/>
  <c r="H130" i="67"/>
  <c r="G130" i="67"/>
  <c r="F130" i="67"/>
  <c r="A130" i="67"/>
  <c r="K129" i="67"/>
  <c r="J129" i="67"/>
  <c r="I129" i="67"/>
  <c r="H129" i="67"/>
  <c r="G129" i="67"/>
  <c r="F129" i="67"/>
  <c r="A129" i="67"/>
  <c r="K128" i="67"/>
  <c r="J128" i="67"/>
  <c r="I128" i="67"/>
  <c r="H128" i="67"/>
  <c r="G128" i="67"/>
  <c r="F128" i="67"/>
  <c r="A128" i="67"/>
  <c r="K127" i="67"/>
  <c r="J127" i="67"/>
  <c r="I127" i="67"/>
  <c r="H127" i="67"/>
  <c r="G127" i="67"/>
  <c r="F127" i="67"/>
  <c r="A127" i="67"/>
  <c r="K126" i="67"/>
  <c r="J126" i="67"/>
  <c r="I126" i="67"/>
  <c r="H126" i="67"/>
  <c r="G126" i="67"/>
  <c r="F126" i="67"/>
  <c r="A126" i="67"/>
  <c r="K125" i="67"/>
  <c r="J125" i="67"/>
  <c r="I125" i="67"/>
  <c r="H125" i="67"/>
  <c r="G125" i="67"/>
  <c r="F125" i="67"/>
  <c r="A125" i="67"/>
  <c r="K124" i="67"/>
  <c r="J124" i="67"/>
  <c r="I124" i="67"/>
  <c r="H124" i="67"/>
  <c r="G124" i="67"/>
  <c r="F124" i="67"/>
  <c r="A124" i="67"/>
  <c r="K123" i="67"/>
  <c r="J123" i="67"/>
  <c r="I123" i="67"/>
  <c r="H123" i="67"/>
  <c r="G123" i="67"/>
  <c r="F123" i="67"/>
  <c r="A123" i="67"/>
  <c r="K122" i="67"/>
  <c r="J122" i="67"/>
  <c r="I122" i="67"/>
  <c r="H122" i="67"/>
  <c r="G122" i="67"/>
  <c r="F122" i="67"/>
  <c r="A122" i="67"/>
  <c r="K121" i="67"/>
  <c r="J121" i="67"/>
  <c r="I121" i="67"/>
  <c r="H121" i="67"/>
  <c r="G121" i="67"/>
  <c r="F121" i="67"/>
  <c r="A121" i="67"/>
  <c r="K120" i="67"/>
  <c r="J120" i="67"/>
  <c r="I120" i="67"/>
  <c r="H120" i="67"/>
  <c r="G120" i="67"/>
  <c r="F120" i="67"/>
  <c r="A120" i="67"/>
  <c r="K119" i="67"/>
  <c r="J119" i="67"/>
  <c r="I119" i="67"/>
  <c r="H119" i="67"/>
  <c r="G119" i="67"/>
  <c r="F119" i="67"/>
  <c r="A119" i="67"/>
  <c r="K118" i="67"/>
  <c r="J118" i="67"/>
  <c r="I118" i="67"/>
  <c r="H118" i="67"/>
  <c r="G118" i="67"/>
  <c r="F118" i="67"/>
  <c r="A118" i="67"/>
  <c r="K117" i="67"/>
  <c r="J117" i="67"/>
  <c r="I117" i="67"/>
  <c r="H117" i="67"/>
  <c r="G117" i="67"/>
  <c r="F117" i="67"/>
  <c r="A117" i="67"/>
  <c r="K116" i="67"/>
  <c r="J116" i="67"/>
  <c r="I116" i="67"/>
  <c r="H116" i="67"/>
  <c r="G116" i="67"/>
  <c r="F116" i="67"/>
  <c r="A116" i="67"/>
  <c r="K115" i="67"/>
  <c r="J115" i="67"/>
  <c r="I115" i="67"/>
  <c r="H115" i="67"/>
  <c r="G115" i="67"/>
  <c r="F115" i="67"/>
  <c r="A115" i="67"/>
  <c r="K114" i="67"/>
  <c r="J114" i="67"/>
  <c r="I114" i="67"/>
  <c r="H114" i="67"/>
  <c r="G114" i="67"/>
  <c r="F114" i="67"/>
  <c r="A114" i="67"/>
  <c r="K113" i="67"/>
  <c r="J113" i="67"/>
  <c r="I113" i="67"/>
  <c r="H113" i="67"/>
  <c r="G113" i="67"/>
  <c r="F113" i="67"/>
  <c r="A113" i="67"/>
  <c r="K112" i="67"/>
  <c r="J112" i="67"/>
  <c r="I112" i="67"/>
  <c r="H112" i="67"/>
  <c r="G112" i="67"/>
  <c r="F112" i="67"/>
  <c r="A112" i="67"/>
  <c r="K111" i="67"/>
  <c r="J111" i="67"/>
  <c r="I111" i="67"/>
  <c r="H111" i="67"/>
  <c r="G111" i="67"/>
  <c r="F111" i="67"/>
  <c r="A111" i="67"/>
  <c r="K110" i="67"/>
  <c r="J110" i="67"/>
  <c r="I110" i="67"/>
  <c r="H110" i="67"/>
  <c r="G110" i="67"/>
  <c r="F110" i="67"/>
  <c r="A110" i="67"/>
  <c r="K109" i="67"/>
  <c r="J109" i="67"/>
  <c r="I109" i="67"/>
  <c r="H109" i="67"/>
  <c r="G109" i="67"/>
  <c r="F109" i="67"/>
  <c r="A109" i="67"/>
  <c r="K108" i="67"/>
  <c r="J108" i="67"/>
  <c r="I108" i="67"/>
  <c r="H108" i="67"/>
  <c r="G108" i="67"/>
  <c r="F108" i="67"/>
  <c r="A108" i="67"/>
  <c r="K107" i="67"/>
  <c r="J107" i="67"/>
  <c r="I107" i="67"/>
  <c r="H107" i="67"/>
  <c r="G107" i="67"/>
  <c r="F107" i="67"/>
  <c r="A107" i="67"/>
  <c r="K106" i="67"/>
  <c r="J106" i="67"/>
  <c r="I106" i="67"/>
  <c r="H106" i="67"/>
  <c r="G106" i="67"/>
  <c r="F106" i="67"/>
  <c r="A106" i="67"/>
  <c r="K105" i="67"/>
  <c r="J105" i="67"/>
  <c r="I105" i="67"/>
  <c r="H105" i="67"/>
  <c r="G105" i="67"/>
  <c r="F105" i="67"/>
  <c r="A105" i="67"/>
  <c r="K104" i="67"/>
  <c r="J104" i="67"/>
  <c r="I104" i="67"/>
  <c r="H104" i="67"/>
  <c r="G104" i="67"/>
  <c r="F104" i="67"/>
  <c r="A104" i="67"/>
  <c r="K103" i="67"/>
  <c r="J103" i="67"/>
  <c r="I103" i="67"/>
  <c r="H103" i="67"/>
  <c r="G103" i="67"/>
  <c r="F103" i="67"/>
  <c r="A103" i="67"/>
  <c r="K102" i="67"/>
  <c r="J102" i="67"/>
  <c r="I102" i="67"/>
  <c r="H102" i="67"/>
  <c r="G102" i="67"/>
  <c r="F102" i="67"/>
  <c r="A102" i="67"/>
  <c r="K101" i="67"/>
  <c r="J101" i="67"/>
  <c r="I101" i="67"/>
  <c r="H101" i="67"/>
  <c r="G101" i="67"/>
  <c r="F101" i="67"/>
  <c r="A101" i="67"/>
  <c r="K100" i="67"/>
  <c r="J100" i="67"/>
  <c r="I100" i="67"/>
  <c r="H100" i="67"/>
  <c r="G100" i="67"/>
  <c r="F100" i="67"/>
  <c r="A100" i="67"/>
  <c r="K99" i="67"/>
  <c r="J99" i="67"/>
  <c r="I99" i="67"/>
  <c r="H99" i="67"/>
  <c r="G99" i="67"/>
  <c r="F99" i="67"/>
  <c r="A99" i="67"/>
  <c r="K98" i="67"/>
  <c r="J98" i="67"/>
  <c r="I98" i="67"/>
  <c r="H98" i="67"/>
  <c r="G98" i="67"/>
  <c r="F98" i="67"/>
  <c r="A98" i="67"/>
  <c r="K97" i="67"/>
  <c r="J97" i="67"/>
  <c r="I97" i="67"/>
  <c r="H97" i="67"/>
  <c r="G97" i="67"/>
  <c r="F97" i="67"/>
  <c r="A97" i="67"/>
  <c r="K96" i="67"/>
  <c r="J96" i="67"/>
  <c r="I96" i="67"/>
  <c r="H96" i="67"/>
  <c r="G96" i="67"/>
  <c r="F96" i="67"/>
  <c r="A96" i="67"/>
  <c r="K95" i="67"/>
  <c r="J95" i="67"/>
  <c r="I95" i="67"/>
  <c r="H95" i="67"/>
  <c r="G95" i="67"/>
  <c r="F95" i="67"/>
  <c r="A95" i="67"/>
  <c r="K85" i="67"/>
  <c r="J85" i="67"/>
  <c r="I85" i="67"/>
  <c r="H85" i="67"/>
  <c r="G85" i="67"/>
  <c r="F85" i="67"/>
  <c r="A85" i="67"/>
  <c r="K84" i="67"/>
  <c r="J84" i="67"/>
  <c r="I84" i="67"/>
  <c r="H84" i="67"/>
  <c r="G84" i="67"/>
  <c r="F84" i="67"/>
  <c r="A84" i="67"/>
  <c r="K83" i="67"/>
  <c r="J83" i="67"/>
  <c r="I83" i="67"/>
  <c r="H83" i="67"/>
  <c r="G83" i="67"/>
  <c r="F83" i="67"/>
  <c r="A83" i="67"/>
  <c r="K82" i="67"/>
  <c r="J82" i="67"/>
  <c r="I82" i="67"/>
  <c r="H82" i="67"/>
  <c r="G82" i="67"/>
  <c r="F82" i="67"/>
  <c r="A82" i="67"/>
  <c r="K81" i="67"/>
  <c r="J81" i="67"/>
  <c r="I81" i="67"/>
  <c r="H81" i="67"/>
  <c r="G81" i="67"/>
  <c r="F81" i="67"/>
  <c r="A81" i="67"/>
  <c r="K80" i="67"/>
  <c r="J80" i="67"/>
  <c r="I80" i="67"/>
  <c r="H80" i="67"/>
  <c r="G80" i="67"/>
  <c r="F80" i="67"/>
  <c r="A80" i="67"/>
  <c r="K79" i="67"/>
  <c r="J79" i="67"/>
  <c r="I79" i="67"/>
  <c r="H79" i="67"/>
  <c r="G79" i="67"/>
  <c r="F79" i="67"/>
  <c r="A79" i="67"/>
  <c r="K78" i="67"/>
  <c r="J78" i="67"/>
  <c r="I78" i="67"/>
  <c r="H78" i="67"/>
  <c r="G78" i="67"/>
  <c r="F78" i="67"/>
  <c r="A78" i="67"/>
  <c r="K77" i="67"/>
  <c r="J77" i="67"/>
  <c r="I77" i="67"/>
  <c r="H77" i="67"/>
  <c r="G77" i="67"/>
  <c r="F77" i="67"/>
  <c r="A77" i="67"/>
  <c r="K76" i="67"/>
  <c r="J76" i="67"/>
  <c r="I76" i="67"/>
  <c r="H76" i="67"/>
  <c r="G76" i="67"/>
  <c r="F76" i="67"/>
  <c r="A76" i="67"/>
  <c r="K75" i="67"/>
  <c r="J75" i="67"/>
  <c r="I75" i="67"/>
  <c r="H75" i="67"/>
  <c r="G75" i="67"/>
  <c r="F75" i="67"/>
  <c r="A75" i="67"/>
  <c r="K74" i="67"/>
  <c r="J74" i="67"/>
  <c r="I74" i="67"/>
  <c r="H74" i="67"/>
  <c r="G74" i="67"/>
  <c r="F74" i="67"/>
  <c r="A74" i="67"/>
  <c r="K73" i="67"/>
  <c r="J73" i="67"/>
  <c r="I73" i="67"/>
  <c r="H73" i="67"/>
  <c r="G73" i="67"/>
  <c r="F73" i="67"/>
  <c r="A73" i="67"/>
  <c r="K72" i="67"/>
  <c r="J72" i="67"/>
  <c r="I72" i="67"/>
  <c r="H72" i="67"/>
  <c r="G72" i="67"/>
  <c r="F72" i="67"/>
  <c r="A72" i="67"/>
  <c r="K71" i="67"/>
  <c r="J71" i="67"/>
  <c r="I71" i="67"/>
  <c r="H71" i="67"/>
  <c r="G71" i="67"/>
  <c r="F71" i="67"/>
  <c r="A71" i="67"/>
  <c r="K70" i="67"/>
  <c r="J70" i="67"/>
  <c r="I70" i="67"/>
  <c r="H70" i="67"/>
  <c r="G70" i="67"/>
  <c r="F70" i="67"/>
  <c r="A70" i="67"/>
  <c r="K69" i="67"/>
  <c r="J69" i="67"/>
  <c r="I69" i="67"/>
  <c r="H69" i="67"/>
  <c r="G69" i="67"/>
  <c r="F69" i="67"/>
  <c r="A69" i="67"/>
  <c r="K68" i="67"/>
  <c r="J68" i="67"/>
  <c r="I68" i="67"/>
  <c r="H68" i="67"/>
  <c r="G68" i="67"/>
  <c r="F68" i="67"/>
  <c r="A68" i="67"/>
  <c r="K67" i="67"/>
  <c r="J67" i="67"/>
  <c r="I67" i="67"/>
  <c r="H67" i="67"/>
  <c r="G67" i="67"/>
  <c r="F67" i="67"/>
  <c r="A67" i="67"/>
  <c r="K66" i="67"/>
  <c r="J66" i="67"/>
  <c r="I66" i="67"/>
  <c r="H66" i="67"/>
  <c r="G66" i="67"/>
  <c r="F66" i="67"/>
  <c r="A66" i="67"/>
  <c r="K65" i="67"/>
  <c r="J65" i="67"/>
  <c r="I65" i="67"/>
  <c r="H65" i="67"/>
  <c r="G65" i="67"/>
  <c r="F65" i="67"/>
  <c r="A65" i="67"/>
  <c r="K64" i="67"/>
  <c r="J64" i="67"/>
  <c r="I64" i="67"/>
  <c r="H64" i="67"/>
  <c r="G64" i="67"/>
  <c r="F64" i="67"/>
  <c r="A64" i="67"/>
  <c r="K63" i="67"/>
  <c r="J63" i="67"/>
  <c r="I63" i="67"/>
  <c r="H63" i="67"/>
  <c r="G63" i="67"/>
  <c r="F63" i="67"/>
  <c r="A63" i="67"/>
  <c r="K62" i="67"/>
  <c r="J62" i="67"/>
  <c r="I62" i="67"/>
  <c r="H62" i="67"/>
  <c r="G62" i="67"/>
  <c r="F62" i="67"/>
  <c r="A62" i="67"/>
  <c r="K61" i="67"/>
  <c r="J61" i="67"/>
  <c r="I61" i="67"/>
  <c r="H61" i="67"/>
  <c r="G61" i="67"/>
  <c r="F61" i="67"/>
  <c r="A61" i="67"/>
  <c r="K60" i="67"/>
  <c r="J60" i="67"/>
  <c r="I60" i="67"/>
  <c r="H60" i="67"/>
  <c r="G60" i="67"/>
  <c r="F60" i="67"/>
  <c r="A60" i="67"/>
  <c r="K59" i="67"/>
  <c r="J59" i="67"/>
  <c r="I59" i="67"/>
  <c r="H59" i="67"/>
  <c r="G59" i="67"/>
  <c r="F59" i="67"/>
  <c r="A59" i="67"/>
  <c r="K58" i="67"/>
  <c r="J58" i="67"/>
  <c r="I58" i="67"/>
  <c r="H58" i="67"/>
  <c r="G58" i="67"/>
  <c r="F58" i="67"/>
  <c r="A58" i="67"/>
  <c r="K57" i="67"/>
  <c r="J57" i="67"/>
  <c r="I57" i="67"/>
  <c r="H57" i="67"/>
  <c r="G57" i="67"/>
  <c r="F57" i="67"/>
  <c r="A57" i="67"/>
  <c r="K56" i="67"/>
  <c r="J56" i="67"/>
  <c r="I56" i="67"/>
  <c r="H56" i="67"/>
  <c r="G56" i="67"/>
  <c r="F56" i="67"/>
  <c r="A56" i="67"/>
  <c r="K55" i="67"/>
  <c r="J55" i="67"/>
  <c r="I55" i="67"/>
  <c r="H55" i="67"/>
  <c r="G55" i="67"/>
  <c r="F55" i="67"/>
  <c r="A55" i="67"/>
  <c r="K54" i="67"/>
  <c r="J54" i="67"/>
  <c r="I54" i="67"/>
  <c r="H54" i="67"/>
  <c r="G54" i="67"/>
  <c r="F54" i="67"/>
  <c r="A54" i="67"/>
  <c r="K53" i="67"/>
  <c r="J53" i="67"/>
  <c r="I53" i="67"/>
  <c r="H53" i="67"/>
  <c r="G53" i="67"/>
  <c r="F53" i="67"/>
  <c r="A53" i="67"/>
  <c r="K52" i="67"/>
  <c r="J52" i="67"/>
  <c r="I52" i="67"/>
  <c r="H52" i="67"/>
  <c r="G52" i="67"/>
  <c r="F52" i="67"/>
  <c r="A52" i="67"/>
  <c r="K51" i="67"/>
  <c r="J51" i="67"/>
  <c r="I51" i="67"/>
  <c r="H51" i="67"/>
  <c r="G51" i="67"/>
  <c r="F51" i="67"/>
  <c r="A51" i="67"/>
  <c r="K50" i="67"/>
  <c r="J50" i="67"/>
  <c r="I50" i="67"/>
  <c r="H50" i="67"/>
  <c r="G50" i="67"/>
  <c r="F50" i="67"/>
  <c r="A50" i="67"/>
  <c r="K49" i="67"/>
  <c r="J49" i="67"/>
  <c r="I49" i="67"/>
  <c r="H49" i="67"/>
  <c r="G49" i="67"/>
  <c r="F49" i="67"/>
  <c r="A49" i="67"/>
  <c r="K48" i="67"/>
  <c r="J48" i="67"/>
  <c r="I48" i="67"/>
  <c r="H48" i="67"/>
  <c r="G48" i="67"/>
  <c r="F48" i="67"/>
  <c r="A48" i="67"/>
  <c r="K47" i="67"/>
  <c r="J47" i="67"/>
  <c r="I47" i="67"/>
  <c r="H47" i="67"/>
  <c r="G47" i="67"/>
  <c r="F47" i="67"/>
  <c r="A47" i="67"/>
  <c r="K46" i="67"/>
  <c r="J46" i="67"/>
  <c r="I46" i="67"/>
  <c r="H46" i="67"/>
  <c r="G46" i="67"/>
  <c r="F46" i="67"/>
  <c r="A46" i="67"/>
  <c r="K45" i="67"/>
  <c r="J45" i="67"/>
  <c r="I45" i="67"/>
  <c r="H45" i="67"/>
  <c r="G45" i="67"/>
  <c r="F45" i="67"/>
  <c r="A45" i="67"/>
  <c r="K44" i="67"/>
  <c r="J44" i="67"/>
  <c r="I44" i="67"/>
  <c r="H44" i="67"/>
  <c r="G44" i="67"/>
  <c r="F44" i="67"/>
  <c r="A44" i="67"/>
  <c r="K43" i="67"/>
  <c r="J43" i="67"/>
  <c r="I43" i="67"/>
  <c r="H43" i="67"/>
  <c r="G43" i="67"/>
  <c r="F43" i="67"/>
  <c r="A43" i="67"/>
  <c r="K42" i="67"/>
  <c r="J42" i="67"/>
  <c r="I42" i="67"/>
  <c r="H42" i="67"/>
  <c r="G42" i="67"/>
  <c r="F42" i="67"/>
  <c r="A42" i="67"/>
  <c r="K41" i="67"/>
  <c r="J41" i="67"/>
  <c r="I41" i="67"/>
  <c r="H41" i="67"/>
  <c r="G41" i="67"/>
  <c r="F41" i="67"/>
  <c r="A41" i="67"/>
  <c r="K40" i="67"/>
  <c r="J40" i="67"/>
  <c r="I40" i="67"/>
  <c r="H40" i="67"/>
  <c r="G40" i="67"/>
  <c r="F40" i="67"/>
  <c r="A40" i="67"/>
  <c r="K39" i="67"/>
  <c r="J39" i="67"/>
  <c r="I39" i="67"/>
  <c r="H39" i="67"/>
  <c r="G39" i="67"/>
  <c r="F39" i="67"/>
  <c r="A39" i="67"/>
  <c r="K38" i="67"/>
  <c r="J38" i="67"/>
  <c r="I38" i="67"/>
  <c r="H38" i="67"/>
  <c r="G38" i="67"/>
  <c r="F38" i="67"/>
  <c r="A38" i="67"/>
  <c r="K37" i="67"/>
  <c r="J37" i="67"/>
  <c r="I37" i="67"/>
  <c r="H37" i="67"/>
  <c r="G37" i="67"/>
  <c r="F37" i="67"/>
  <c r="A37" i="67"/>
  <c r="K36" i="67"/>
  <c r="J36" i="67"/>
  <c r="I36" i="67"/>
  <c r="H36" i="67"/>
  <c r="G36" i="67"/>
  <c r="F36" i="67"/>
  <c r="A36" i="67"/>
  <c r="K35" i="67"/>
  <c r="J35" i="67"/>
  <c r="I35" i="67"/>
  <c r="H35" i="67"/>
  <c r="G35" i="67"/>
  <c r="F35" i="67"/>
  <c r="A35" i="67"/>
  <c r="K34" i="67"/>
  <c r="J34" i="67"/>
  <c r="I34" i="67"/>
  <c r="H34" i="67"/>
  <c r="G34" i="67"/>
  <c r="F34" i="67"/>
  <c r="A34" i="67"/>
  <c r="K33" i="67"/>
  <c r="J33" i="67"/>
  <c r="I33" i="67"/>
  <c r="H33" i="67"/>
  <c r="G33" i="67"/>
  <c r="F33" i="67"/>
  <c r="A33" i="67"/>
  <c r="K32" i="67"/>
  <c r="J32" i="67"/>
  <c r="I32" i="67"/>
  <c r="H32" i="67"/>
  <c r="G32" i="67"/>
  <c r="F32" i="67"/>
  <c r="A32" i="67"/>
  <c r="K31" i="67"/>
  <c r="J31" i="67"/>
  <c r="I31" i="67"/>
  <c r="H31" i="67"/>
  <c r="G31" i="67"/>
  <c r="F31" i="67"/>
  <c r="A31" i="67"/>
  <c r="K30" i="67"/>
  <c r="J30" i="67"/>
  <c r="I30" i="67"/>
  <c r="H30" i="67"/>
  <c r="G30" i="67"/>
  <c r="F30" i="67"/>
  <c r="A30" i="67"/>
  <c r="K29" i="67"/>
  <c r="J29" i="67"/>
  <c r="I29" i="67"/>
  <c r="H29" i="67"/>
  <c r="G29" i="67"/>
  <c r="F29" i="67"/>
  <c r="A29" i="67"/>
  <c r="K28" i="67"/>
  <c r="J28" i="67"/>
  <c r="I28" i="67"/>
  <c r="H28" i="67"/>
  <c r="G28" i="67"/>
  <c r="F28" i="67"/>
  <c r="A28" i="67"/>
  <c r="K27" i="67"/>
  <c r="J27" i="67"/>
  <c r="I27" i="67"/>
  <c r="H27" i="67"/>
  <c r="G27" i="67"/>
  <c r="F27" i="67"/>
  <c r="A27" i="67"/>
  <c r="K26" i="67"/>
  <c r="J26" i="67"/>
  <c r="I26" i="67"/>
  <c r="H26" i="67"/>
  <c r="G26" i="67"/>
  <c r="F26" i="67"/>
  <c r="A26" i="67"/>
  <c r="K25" i="67"/>
  <c r="J25" i="67"/>
  <c r="I25" i="67"/>
  <c r="H25" i="67"/>
  <c r="G25" i="67"/>
  <c r="F25" i="67"/>
  <c r="A25" i="67"/>
  <c r="K24" i="67"/>
  <c r="J24" i="67"/>
  <c r="I24" i="67"/>
  <c r="H24" i="67"/>
  <c r="G24" i="67"/>
  <c r="F24" i="67"/>
  <c r="A24" i="67"/>
  <c r="K23" i="67"/>
  <c r="J23" i="67"/>
  <c r="I23" i="67"/>
  <c r="H23" i="67"/>
  <c r="G23" i="67"/>
  <c r="F23" i="67"/>
  <c r="A23" i="67"/>
  <c r="K22" i="67"/>
  <c r="J22" i="67"/>
  <c r="I22" i="67"/>
  <c r="H22" i="67"/>
  <c r="G22" i="67"/>
  <c r="F22" i="67"/>
  <c r="A22" i="67"/>
  <c r="K21" i="67"/>
  <c r="J21" i="67"/>
  <c r="I21" i="67"/>
  <c r="H21" i="67"/>
  <c r="G21" i="67"/>
  <c r="F21" i="67"/>
  <c r="A21" i="67"/>
  <c r="K20" i="67"/>
  <c r="J20" i="67"/>
  <c r="I20" i="67"/>
  <c r="H20" i="67"/>
  <c r="G20" i="67"/>
  <c r="F20" i="67"/>
  <c r="A20" i="67"/>
  <c r="K19" i="67"/>
  <c r="J19" i="67"/>
  <c r="I19" i="67"/>
  <c r="H19" i="67"/>
  <c r="G19" i="67"/>
  <c r="F19" i="67"/>
  <c r="A19" i="67"/>
  <c r="K18" i="67"/>
  <c r="J18" i="67"/>
  <c r="I18" i="67"/>
  <c r="H18" i="67"/>
  <c r="G18" i="67"/>
  <c r="F18" i="67"/>
  <c r="A18" i="67"/>
  <c r="K17" i="67"/>
  <c r="J17" i="67"/>
  <c r="I17" i="67"/>
  <c r="H17" i="67"/>
  <c r="G17" i="67"/>
  <c r="F17" i="67"/>
  <c r="A17" i="67"/>
  <c r="K16" i="67"/>
  <c r="J16" i="67"/>
  <c r="I16" i="67"/>
  <c r="H16" i="67"/>
  <c r="G16" i="67"/>
  <c r="F16" i="67"/>
  <c r="A16" i="67"/>
  <c r="K15" i="67"/>
  <c r="J15" i="67"/>
  <c r="I15" i="67"/>
  <c r="H15" i="67"/>
  <c r="G15" i="67"/>
  <c r="F15" i="67"/>
  <c r="A15" i="67"/>
  <c r="K14" i="67"/>
  <c r="J14" i="67"/>
  <c r="I14" i="67"/>
  <c r="H14" i="67"/>
  <c r="G14" i="67"/>
  <c r="F14" i="67"/>
  <c r="A14" i="67"/>
  <c r="K13" i="67"/>
  <c r="J13" i="67"/>
  <c r="I13" i="67"/>
  <c r="H13" i="67"/>
  <c r="G13" i="67"/>
  <c r="F13" i="67"/>
  <c r="A13" i="67"/>
  <c r="K12" i="67"/>
  <c r="J12" i="67"/>
  <c r="I12" i="67"/>
  <c r="H12" i="67"/>
  <c r="G12" i="67"/>
  <c r="F12" i="67"/>
  <c r="A12" i="67"/>
  <c r="K11" i="67"/>
  <c r="J11" i="67"/>
  <c r="I11" i="67"/>
  <c r="H11" i="67"/>
  <c r="G11" i="67"/>
  <c r="F11" i="67"/>
  <c r="A11" i="67"/>
  <c r="K10" i="67"/>
  <c r="J10" i="67"/>
  <c r="I10" i="67"/>
  <c r="H10" i="67"/>
  <c r="G10" i="67"/>
  <c r="F10" i="67"/>
  <c r="A10" i="67"/>
  <c r="K9" i="67"/>
  <c r="J9" i="67"/>
  <c r="I9" i="67"/>
  <c r="H9" i="67"/>
  <c r="G9" i="67"/>
  <c r="F9" i="67"/>
  <c r="A9" i="67"/>
  <c r="K8" i="67"/>
  <c r="J8" i="67"/>
  <c r="I8" i="67"/>
  <c r="H8" i="67"/>
  <c r="G8" i="67"/>
  <c r="F8" i="67"/>
  <c r="A8" i="67"/>
  <c r="K7" i="67"/>
  <c r="J7" i="67"/>
  <c r="I7" i="67"/>
  <c r="H7" i="67"/>
  <c r="G7" i="67"/>
  <c r="F7" i="67"/>
  <c r="A7" i="67"/>
  <c r="K6" i="67"/>
  <c r="J6" i="67"/>
  <c r="I6" i="67"/>
  <c r="H6" i="67"/>
  <c r="G6" i="67"/>
  <c r="F6" i="67"/>
  <c r="A6" i="67"/>
  <c r="K5" i="67"/>
  <c r="J5" i="67"/>
  <c r="I5" i="67"/>
  <c r="H5" i="67"/>
  <c r="G5" i="67"/>
  <c r="F5" i="67"/>
  <c r="A5" i="67"/>
  <c r="K4" i="67"/>
  <c r="J4" i="67"/>
  <c r="I4" i="67"/>
  <c r="H4" i="67"/>
  <c r="G4" i="67"/>
  <c r="F4" i="67"/>
  <c r="A4" i="67"/>
  <c r="K3" i="67"/>
  <c r="J3" i="67"/>
  <c r="I3" i="67"/>
  <c r="H3" i="67"/>
  <c r="G3" i="67"/>
  <c r="F3" i="67"/>
  <c r="A3" i="67"/>
  <c r="K2" i="67"/>
  <c r="J2" i="67"/>
  <c r="I2" i="67"/>
  <c r="H2" i="67"/>
  <c r="G2" i="67"/>
  <c r="F2" i="67"/>
  <c r="A2" i="67"/>
  <c r="K58" i="66"/>
  <c r="J58" i="66"/>
  <c r="I58" i="66"/>
  <c r="H58" i="66"/>
  <c r="G58" i="66"/>
  <c r="F58" i="66"/>
  <c r="A58" i="66"/>
  <c r="A145" i="66"/>
  <c r="F145" i="66"/>
  <c r="G145" i="66"/>
  <c r="H145" i="66"/>
  <c r="I145" i="66"/>
  <c r="J145" i="66"/>
  <c r="K145" i="66"/>
  <c r="K161" i="66"/>
  <c r="J161" i="66"/>
  <c r="I161" i="66"/>
  <c r="H161" i="66"/>
  <c r="G161" i="66"/>
  <c r="F161" i="66"/>
  <c r="A161" i="66"/>
  <c r="K160" i="66"/>
  <c r="J160" i="66"/>
  <c r="I160" i="66"/>
  <c r="H160" i="66"/>
  <c r="G160" i="66"/>
  <c r="F160" i="66"/>
  <c r="A160" i="66"/>
  <c r="K159" i="66"/>
  <c r="J159" i="66"/>
  <c r="I159" i="66"/>
  <c r="H159" i="66"/>
  <c r="G159" i="66"/>
  <c r="F159" i="66"/>
  <c r="A159" i="66"/>
  <c r="K158" i="66"/>
  <c r="J158" i="66"/>
  <c r="I158" i="66"/>
  <c r="H158" i="66"/>
  <c r="G158" i="66"/>
  <c r="F158" i="66"/>
  <c r="A158" i="66"/>
  <c r="K157" i="66"/>
  <c r="J157" i="66"/>
  <c r="I157" i="66"/>
  <c r="H157" i="66"/>
  <c r="G157" i="66"/>
  <c r="F157" i="66"/>
  <c r="A157" i="66"/>
  <c r="K156" i="66"/>
  <c r="J156" i="66"/>
  <c r="I156" i="66"/>
  <c r="H156" i="66"/>
  <c r="G156" i="66"/>
  <c r="F156" i="66"/>
  <c r="A156" i="66"/>
  <c r="K155" i="66"/>
  <c r="J155" i="66"/>
  <c r="I155" i="66"/>
  <c r="H155" i="66"/>
  <c r="G155" i="66"/>
  <c r="F155" i="66"/>
  <c r="A155" i="66"/>
  <c r="K154" i="66"/>
  <c r="J154" i="66"/>
  <c r="I154" i="66"/>
  <c r="H154" i="66"/>
  <c r="G154" i="66"/>
  <c r="F154" i="66"/>
  <c r="A154" i="66"/>
  <c r="K153" i="66"/>
  <c r="J153" i="66"/>
  <c r="I153" i="66"/>
  <c r="H153" i="66"/>
  <c r="G153" i="66"/>
  <c r="F153" i="66"/>
  <c r="A153" i="66"/>
  <c r="K152" i="66"/>
  <c r="J152" i="66"/>
  <c r="I152" i="66"/>
  <c r="H152" i="66"/>
  <c r="G152" i="66"/>
  <c r="F152" i="66"/>
  <c r="A152" i="66"/>
  <c r="K151" i="66"/>
  <c r="J151" i="66"/>
  <c r="I151" i="66"/>
  <c r="H151" i="66"/>
  <c r="G151" i="66"/>
  <c r="F151" i="66"/>
  <c r="A151" i="66"/>
  <c r="K150" i="66"/>
  <c r="J150" i="66"/>
  <c r="I150" i="66"/>
  <c r="H150" i="66"/>
  <c r="G150" i="66"/>
  <c r="F150" i="66"/>
  <c r="A150" i="66"/>
  <c r="K149" i="66"/>
  <c r="J149" i="66"/>
  <c r="I149" i="66"/>
  <c r="H149" i="66"/>
  <c r="G149" i="66"/>
  <c r="F149" i="66"/>
  <c r="A149" i="66"/>
  <c r="K148" i="66"/>
  <c r="J148" i="66"/>
  <c r="I148" i="66"/>
  <c r="H148" i="66"/>
  <c r="G148" i="66"/>
  <c r="F148" i="66"/>
  <c r="A148" i="66"/>
  <c r="K147" i="66"/>
  <c r="J147" i="66"/>
  <c r="I147" i="66"/>
  <c r="H147" i="66"/>
  <c r="G147" i="66"/>
  <c r="F147" i="66"/>
  <c r="A147" i="66"/>
  <c r="K146" i="66"/>
  <c r="J146" i="66"/>
  <c r="I146" i="66"/>
  <c r="H146" i="66"/>
  <c r="G146" i="66"/>
  <c r="F146" i="66"/>
  <c r="A146" i="66"/>
  <c r="K144" i="66"/>
  <c r="J144" i="66"/>
  <c r="I144" i="66"/>
  <c r="H144" i="66"/>
  <c r="G144" i="66"/>
  <c r="F144" i="66"/>
  <c r="A144" i="66"/>
  <c r="K143" i="66"/>
  <c r="J143" i="66"/>
  <c r="I143" i="66"/>
  <c r="H143" i="66"/>
  <c r="G143" i="66"/>
  <c r="F143" i="66"/>
  <c r="A143" i="66"/>
  <c r="K142" i="66"/>
  <c r="J142" i="66"/>
  <c r="I142" i="66"/>
  <c r="H142" i="66"/>
  <c r="G142" i="66"/>
  <c r="F142" i="66"/>
  <c r="A142" i="66"/>
  <c r="K141" i="66"/>
  <c r="J141" i="66"/>
  <c r="I141" i="66"/>
  <c r="H141" i="66"/>
  <c r="G141" i="66"/>
  <c r="F141" i="66"/>
  <c r="A141" i="66"/>
  <c r="K140" i="66"/>
  <c r="J140" i="66"/>
  <c r="I140" i="66"/>
  <c r="H140" i="66"/>
  <c r="G140" i="66"/>
  <c r="F140" i="66"/>
  <c r="A140" i="66"/>
  <c r="K139" i="66"/>
  <c r="J139" i="66"/>
  <c r="I139" i="66"/>
  <c r="H139" i="66"/>
  <c r="G139" i="66"/>
  <c r="F139" i="66"/>
  <c r="A139" i="66"/>
  <c r="K138" i="66"/>
  <c r="J138" i="66"/>
  <c r="I138" i="66"/>
  <c r="H138" i="66"/>
  <c r="G138" i="66"/>
  <c r="F138" i="66"/>
  <c r="A138" i="66"/>
  <c r="K137" i="66"/>
  <c r="J137" i="66"/>
  <c r="I137" i="66"/>
  <c r="H137" i="66"/>
  <c r="G137" i="66"/>
  <c r="F137" i="66"/>
  <c r="A137" i="66"/>
  <c r="K136" i="66"/>
  <c r="J136" i="66"/>
  <c r="I136" i="66"/>
  <c r="H136" i="66"/>
  <c r="G136" i="66"/>
  <c r="F136" i="66"/>
  <c r="A136" i="66"/>
  <c r="K135" i="66"/>
  <c r="J135" i="66"/>
  <c r="I135" i="66"/>
  <c r="H135" i="66"/>
  <c r="G135" i="66"/>
  <c r="F135" i="66"/>
  <c r="A135" i="66"/>
  <c r="K134" i="66"/>
  <c r="J134" i="66"/>
  <c r="I134" i="66"/>
  <c r="H134" i="66"/>
  <c r="G134" i="66"/>
  <c r="F134" i="66"/>
  <c r="A134" i="66"/>
  <c r="K133" i="66"/>
  <c r="J133" i="66"/>
  <c r="I133" i="66"/>
  <c r="H133" i="66"/>
  <c r="G133" i="66"/>
  <c r="F133" i="66"/>
  <c r="A133" i="66"/>
  <c r="K132" i="66"/>
  <c r="J132" i="66"/>
  <c r="I132" i="66"/>
  <c r="H132" i="66"/>
  <c r="G132" i="66"/>
  <c r="F132" i="66"/>
  <c r="A132" i="66"/>
  <c r="K131" i="66"/>
  <c r="J131" i="66"/>
  <c r="I131" i="66"/>
  <c r="H131" i="66"/>
  <c r="G131" i="66"/>
  <c r="F131" i="66"/>
  <c r="A131" i="66"/>
  <c r="K130" i="66"/>
  <c r="J130" i="66"/>
  <c r="I130" i="66"/>
  <c r="H130" i="66"/>
  <c r="G130" i="66"/>
  <c r="F130" i="66"/>
  <c r="A130" i="66"/>
  <c r="K129" i="66"/>
  <c r="J129" i="66"/>
  <c r="I129" i="66"/>
  <c r="H129" i="66"/>
  <c r="G129" i="66"/>
  <c r="F129" i="66"/>
  <c r="A129" i="66"/>
  <c r="K128" i="66"/>
  <c r="J128" i="66"/>
  <c r="I128" i="66"/>
  <c r="H128" i="66"/>
  <c r="G128" i="66"/>
  <c r="F128" i="66"/>
  <c r="A128" i="66"/>
  <c r="K127" i="66"/>
  <c r="J127" i="66"/>
  <c r="I127" i="66"/>
  <c r="H127" i="66"/>
  <c r="G127" i="66"/>
  <c r="F127" i="66"/>
  <c r="A127" i="66"/>
  <c r="K126" i="66"/>
  <c r="J126" i="66"/>
  <c r="I126" i="66"/>
  <c r="H126" i="66"/>
  <c r="G126" i="66"/>
  <c r="F126" i="66"/>
  <c r="A126" i="66"/>
  <c r="K125" i="66"/>
  <c r="J125" i="66"/>
  <c r="I125" i="66"/>
  <c r="H125" i="66"/>
  <c r="G125" i="66"/>
  <c r="F125" i="66"/>
  <c r="A125" i="66"/>
  <c r="K124" i="66"/>
  <c r="J124" i="66"/>
  <c r="I124" i="66"/>
  <c r="H124" i="66"/>
  <c r="G124" i="66"/>
  <c r="F124" i="66"/>
  <c r="A124" i="66"/>
  <c r="K123" i="66"/>
  <c r="J123" i="66"/>
  <c r="I123" i="66"/>
  <c r="H123" i="66"/>
  <c r="G123" i="66"/>
  <c r="F123" i="66"/>
  <c r="A123" i="66"/>
  <c r="K122" i="66"/>
  <c r="J122" i="66"/>
  <c r="I122" i="66"/>
  <c r="H122" i="66"/>
  <c r="G122" i="66"/>
  <c r="F122" i="66"/>
  <c r="A122" i="66"/>
  <c r="K121" i="66"/>
  <c r="J121" i="66"/>
  <c r="I121" i="66"/>
  <c r="H121" i="66"/>
  <c r="G121" i="66"/>
  <c r="F121" i="66"/>
  <c r="A121" i="66"/>
  <c r="K120" i="66"/>
  <c r="J120" i="66"/>
  <c r="I120" i="66"/>
  <c r="H120" i="66"/>
  <c r="G120" i="66"/>
  <c r="F120" i="66"/>
  <c r="A120" i="66"/>
  <c r="K119" i="66"/>
  <c r="J119" i="66"/>
  <c r="I119" i="66"/>
  <c r="H119" i="66"/>
  <c r="G119" i="66"/>
  <c r="F119" i="66"/>
  <c r="A119" i="66"/>
  <c r="K118" i="66"/>
  <c r="J118" i="66"/>
  <c r="I118" i="66"/>
  <c r="H118" i="66"/>
  <c r="G118" i="66"/>
  <c r="F118" i="66"/>
  <c r="A118" i="66"/>
  <c r="K117" i="66"/>
  <c r="J117" i="66"/>
  <c r="I117" i="66"/>
  <c r="H117" i="66"/>
  <c r="G117" i="66"/>
  <c r="F117" i="66"/>
  <c r="A117" i="66"/>
  <c r="K116" i="66"/>
  <c r="J116" i="66"/>
  <c r="I116" i="66"/>
  <c r="H116" i="66"/>
  <c r="G116" i="66"/>
  <c r="F116" i="66"/>
  <c r="A116" i="66"/>
  <c r="K115" i="66"/>
  <c r="J115" i="66"/>
  <c r="I115" i="66"/>
  <c r="H115" i="66"/>
  <c r="G115" i="66"/>
  <c r="F115" i="66"/>
  <c r="A115" i="66"/>
  <c r="K114" i="66"/>
  <c r="J114" i="66"/>
  <c r="I114" i="66"/>
  <c r="H114" i="66"/>
  <c r="G114" i="66"/>
  <c r="F114" i="66"/>
  <c r="A114" i="66"/>
  <c r="K113" i="66"/>
  <c r="J113" i="66"/>
  <c r="I113" i="66"/>
  <c r="H113" i="66"/>
  <c r="G113" i="66"/>
  <c r="F113" i="66"/>
  <c r="A113" i="66"/>
  <c r="K112" i="66"/>
  <c r="J112" i="66"/>
  <c r="I112" i="66"/>
  <c r="H112" i="66"/>
  <c r="G112" i="66"/>
  <c r="F112" i="66"/>
  <c r="A112" i="66"/>
  <c r="K111" i="66"/>
  <c r="J111" i="66"/>
  <c r="I111" i="66"/>
  <c r="H111" i="66"/>
  <c r="G111" i="66"/>
  <c r="F111" i="66"/>
  <c r="A111" i="66"/>
  <c r="K110" i="66"/>
  <c r="J110" i="66"/>
  <c r="I110" i="66"/>
  <c r="H110" i="66"/>
  <c r="G110" i="66"/>
  <c r="F110" i="66"/>
  <c r="A110" i="66"/>
  <c r="K109" i="66"/>
  <c r="J109" i="66"/>
  <c r="I109" i="66"/>
  <c r="H109" i="66"/>
  <c r="G109" i="66"/>
  <c r="F109" i="66"/>
  <c r="A109" i="66"/>
  <c r="K108" i="66"/>
  <c r="J108" i="66"/>
  <c r="I108" i="66"/>
  <c r="H108" i="66"/>
  <c r="G108" i="66"/>
  <c r="F108" i="66"/>
  <c r="A108" i="66"/>
  <c r="K107" i="66"/>
  <c r="J107" i="66"/>
  <c r="I107" i="66"/>
  <c r="H107" i="66"/>
  <c r="G107" i="66"/>
  <c r="F107" i="66"/>
  <c r="A107" i="66"/>
  <c r="K106" i="66"/>
  <c r="J106" i="66"/>
  <c r="I106" i="66"/>
  <c r="H106" i="66"/>
  <c r="G106" i="66"/>
  <c r="F106" i="66"/>
  <c r="A106" i="66"/>
  <c r="K105" i="66"/>
  <c r="J105" i="66"/>
  <c r="I105" i="66"/>
  <c r="H105" i="66"/>
  <c r="G105" i="66"/>
  <c r="F105" i="66"/>
  <c r="A105" i="66"/>
  <c r="K104" i="66"/>
  <c r="J104" i="66"/>
  <c r="I104" i="66"/>
  <c r="H104" i="66"/>
  <c r="G104" i="66"/>
  <c r="F104" i="66"/>
  <c r="A104" i="66"/>
  <c r="K103" i="66"/>
  <c r="J103" i="66"/>
  <c r="I103" i="66"/>
  <c r="H103" i="66"/>
  <c r="G103" i="66"/>
  <c r="F103" i="66"/>
  <c r="A103" i="66"/>
  <c r="K102" i="66"/>
  <c r="J102" i="66"/>
  <c r="I102" i="66"/>
  <c r="H102" i="66"/>
  <c r="G102" i="66"/>
  <c r="F102" i="66"/>
  <c r="A102" i="66"/>
  <c r="K101" i="66"/>
  <c r="J101" i="66"/>
  <c r="I101" i="66"/>
  <c r="H101" i="66"/>
  <c r="G101" i="66"/>
  <c r="F101" i="66"/>
  <c r="A101" i="66"/>
  <c r="K100" i="66"/>
  <c r="J100" i="66"/>
  <c r="I100" i="66"/>
  <c r="H100" i="66"/>
  <c r="G100" i="66"/>
  <c r="F100" i="66"/>
  <c r="A100" i="66"/>
  <c r="K99" i="66"/>
  <c r="J99" i="66"/>
  <c r="I99" i="66"/>
  <c r="H99" i="66"/>
  <c r="G99" i="66"/>
  <c r="F99" i="66"/>
  <c r="A99" i="66"/>
  <c r="K98" i="66"/>
  <c r="J98" i="66"/>
  <c r="I98" i="66"/>
  <c r="H98" i="66"/>
  <c r="G98" i="66"/>
  <c r="F98" i="66"/>
  <c r="A98" i="66"/>
  <c r="K97" i="66"/>
  <c r="J97" i="66"/>
  <c r="I97" i="66"/>
  <c r="H97" i="66"/>
  <c r="G97" i="66"/>
  <c r="F97" i="66"/>
  <c r="A97" i="66"/>
  <c r="K96" i="66"/>
  <c r="J96" i="66"/>
  <c r="I96" i="66"/>
  <c r="H96" i="66"/>
  <c r="G96" i="66"/>
  <c r="F96" i="66"/>
  <c r="A96" i="66"/>
  <c r="K95" i="66"/>
  <c r="J95" i="66"/>
  <c r="I95" i="66"/>
  <c r="H95" i="66"/>
  <c r="G95" i="66"/>
  <c r="F95" i="66"/>
  <c r="A95" i="66"/>
  <c r="K94" i="66"/>
  <c r="J94" i="66"/>
  <c r="I94" i="66"/>
  <c r="H94" i="66"/>
  <c r="G94" i="66"/>
  <c r="F94" i="66"/>
  <c r="A94" i="66"/>
  <c r="K93" i="66"/>
  <c r="J93" i="66"/>
  <c r="I93" i="66"/>
  <c r="H93" i="66"/>
  <c r="G93" i="66"/>
  <c r="F93" i="66"/>
  <c r="A93" i="66"/>
  <c r="K92" i="66"/>
  <c r="J92" i="66"/>
  <c r="I92" i="66"/>
  <c r="H92" i="66"/>
  <c r="G92" i="66"/>
  <c r="F92" i="66"/>
  <c r="A92" i="66"/>
  <c r="K91" i="66"/>
  <c r="J91" i="66"/>
  <c r="I91" i="66"/>
  <c r="H91" i="66"/>
  <c r="G91" i="66"/>
  <c r="F91" i="66"/>
  <c r="A91" i="66"/>
  <c r="K90" i="66"/>
  <c r="J90" i="66"/>
  <c r="I90" i="66"/>
  <c r="H90" i="66"/>
  <c r="G90" i="66"/>
  <c r="F90" i="66"/>
  <c r="A90" i="66"/>
  <c r="K89" i="66"/>
  <c r="J89" i="66"/>
  <c r="I89" i="66"/>
  <c r="H89" i="66"/>
  <c r="G89" i="66"/>
  <c r="F89" i="66"/>
  <c r="A89" i="66"/>
  <c r="K88" i="66"/>
  <c r="J88" i="66"/>
  <c r="I88" i="66"/>
  <c r="H88" i="66"/>
  <c r="G88" i="66"/>
  <c r="F88" i="66"/>
  <c r="A88" i="66"/>
  <c r="K87" i="66"/>
  <c r="J87" i="66"/>
  <c r="I87" i="66"/>
  <c r="H87" i="66"/>
  <c r="G87" i="66"/>
  <c r="F87" i="66"/>
  <c r="A87" i="66"/>
  <c r="K86" i="66"/>
  <c r="J86" i="66"/>
  <c r="I86" i="66"/>
  <c r="H86" i="66"/>
  <c r="G86" i="66"/>
  <c r="F86" i="66"/>
  <c r="A86" i="66"/>
  <c r="K85" i="66"/>
  <c r="J85" i="66"/>
  <c r="I85" i="66"/>
  <c r="H85" i="66"/>
  <c r="G85" i="66"/>
  <c r="F85" i="66"/>
  <c r="A85" i="66"/>
  <c r="K84" i="66"/>
  <c r="J84" i="66"/>
  <c r="I84" i="66"/>
  <c r="H84" i="66"/>
  <c r="G84" i="66"/>
  <c r="F84" i="66"/>
  <c r="A84" i="66"/>
  <c r="K83" i="66"/>
  <c r="J83" i="66"/>
  <c r="I83" i="66"/>
  <c r="H83" i="66"/>
  <c r="G83" i="66"/>
  <c r="F83" i="66"/>
  <c r="A83" i="66"/>
  <c r="K82" i="66"/>
  <c r="J82" i="66"/>
  <c r="I82" i="66"/>
  <c r="H82" i="66"/>
  <c r="G82" i="66"/>
  <c r="F82" i="66"/>
  <c r="A82" i="66"/>
  <c r="K81" i="66"/>
  <c r="J81" i="66"/>
  <c r="I81" i="66"/>
  <c r="H81" i="66"/>
  <c r="G81" i="66"/>
  <c r="F81" i="66"/>
  <c r="A81" i="66"/>
  <c r="K80" i="66"/>
  <c r="J80" i="66"/>
  <c r="I80" i="66"/>
  <c r="H80" i="66"/>
  <c r="G80" i="66"/>
  <c r="F80" i="66"/>
  <c r="A80" i="66"/>
  <c r="K79" i="66"/>
  <c r="J79" i="66"/>
  <c r="I79" i="66"/>
  <c r="H79" i="66"/>
  <c r="G79" i="66"/>
  <c r="F79" i="66"/>
  <c r="A79" i="66"/>
  <c r="K78" i="66"/>
  <c r="J78" i="66"/>
  <c r="I78" i="66"/>
  <c r="H78" i="66"/>
  <c r="G78" i="66"/>
  <c r="F78" i="66"/>
  <c r="A78" i="66"/>
  <c r="K77" i="66"/>
  <c r="J77" i="66"/>
  <c r="I77" i="66"/>
  <c r="H77" i="66"/>
  <c r="G77" i="66"/>
  <c r="F77" i="66"/>
  <c r="A77" i="66"/>
  <c r="K76" i="66"/>
  <c r="J76" i="66"/>
  <c r="I76" i="66"/>
  <c r="H76" i="66"/>
  <c r="G76" i="66"/>
  <c r="F76" i="66"/>
  <c r="A76" i="66"/>
  <c r="K75" i="66"/>
  <c r="J75" i="66"/>
  <c r="I75" i="66"/>
  <c r="H75" i="66"/>
  <c r="G75" i="66"/>
  <c r="F75" i="66"/>
  <c r="A75" i="66"/>
  <c r="K74" i="66"/>
  <c r="J74" i="66"/>
  <c r="I74" i="66"/>
  <c r="H74" i="66"/>
  <c r="G74" i="66"/>
  <c r="F74" i="66"/>
  <c r="A74" i="66"/>
  <c r="K73" i="66"/>
  <c r="J73" i="66"/>
  <c r="I73" i="66"/>
  <c r="H73" i="66"/>
  <c r="G73" i="66"/>
  <c r="F73" i="66"/>
  <c r="A73" i="66"/>
  <c r="K72" i="66"/>
  <c r="J72" i="66"/>
  <c r="I72" i="66"/>
  <c r="H72" i="66"/>
  <c r="G72" i="66"/>
  <c r="F72" i="66"/>
  <c r="A72" i="66"/>
  <c r="K71" i="66"/>
  <c r="J71" i="66"/>
  <c r="I71" i="66"/>
  <c r="H71" i="66"/>
  <c r="G71" i="66"/>
  <c r="F71" i="66"/>
  <c r="A71" i="66"/>
  <c r="K70" i="66"/>
  <c r="J70" i="66"/>
  <c r="I70" i="66"/>
  <c r="H70" i="66"/>
  <c r="G70" i="66"/>
  <c r="F70" i="66"/>
  <c r="A70" i="66"/>
  <c r="K69" i="66"/>
  <c r="J69" i="66"/>
  <c r="I69" i="66"/>
  <c r="H69" i="66"/>
  <c r="G69" i="66"/>
  <c r="F69" i="66"/>
  <c r="A69" i="66"/>
  <c r="K68" i="66"/>
  <c r="J68" i="66"/>
  <c r="I68" i="66"/>
  <c r="H68" i="66"/>
  <c r="G68" i="66"/>
  <c r="F68" i="66"/>
  <c r="A68" i="66"/>
  <c r="K67" i="66"/>
  <c r="J67" i="66"/>
  <c r="I67" i="66"/>
  <c r="H67" i="66"/>
  <c r="G67" i="66"/>
  <c r="F67" i="66"/>
  <c r="A67" i="66"/>
  <c r="K66" i="66"/>
  <c r="J66" i="66"/>
  <c r="I66" i="66"/>
  <c r="H66" i="66"/>
  <c r="G66" i="66"/>
  <c r="F66" i="66"/>
  <c r="A66" i="66"/>
  <c r="K65" i="66"/>
  <c r="J65" i="66"/>
  <c r="I65" i="66"/>
  <c r="H65" i="66"/>
  <c r="G65" i="66"/>
  <c r="F65" i="66"/>
  <c r="A65" i="66"/>
  <c r="K64" i="66"/>
  <c r="J64" i="66"/>
  <c r="I64" i="66"/>
  <c r="H64" i="66"/>
  <c r="G64" i="66"/>
  <c r="F64" i="66"/>
  <c r="A64" i="66"/>
  <c r="K63" i="66"/>
  <c r="J63" i="66"/>
  <c r="I63" i="66"/>
  <c r="H63" i="66"/>
  <c r="G63" i="66"/>
  <c r="F63" i="66"/>
  <c r="A63" i="66"/>
  <c r="K62" i="66"/>
  <c r="J62" i="66"/>
  <c r="I62" i="66"/>
  <c r="H62" i="66"/>
  <c r="G62" i="66"/>
  <c r="F62" i="66"/>
  <c r="A62" i="66"/>
  <c r="K61" i="66"/>
  <c r="J61" i="66"/>
  <c r="I61" i="66"/>
  <c r="H61" i="66"/>
  <c r="G61" i="66"/>
  <c r="F61" i="66"/>
  <c r="A61" i="66"/>
  <c r="K60" i="66"/>
  <c r="J60" i="66"/>
  <c r="I60" i="66"/>
  <c r="H60" i="66"/>
  <c r="G60" i="66"/>
  <c r="F60" i="66"/>
  <c r="A60" i="66"/>
  <c r="K59" i="66"/>
  <c r="J59" i="66"/>
  <c r="I59" i="66"/>
  <c r="H59" i="66"/>
  <c r="G59" i="66"/>
  <c r="F59" i="66"/>
  <c r="A59" i="66"/>
  <c r="K57" i="66"/>
  <c r="J57" i="66"/>
  <c r="I57" i="66"/>
  <c r="H57" i="66"/>
  <c r="G57" i="66"/>
  <c r="F57" i="66"/>
  <c r="A57" i="66"/>
  <c r="K56" i="66"/>
  <c r="J56" i="66"/>
  <c r="I56" i="66"/>
  <c r="H56" i="66"/>
  <c r="G56" i="66"/>
  <c r="F56" i="66"/>
  <c r="A56" i="66"/>
  <c r="K55" i="66"/>
  <c r="J55" i="66"/>
  <c r="I55" i="66"/>
  <c r="H55" i="66"/>
  <c r="G55" i="66"/>
  <c r="F55" i="66"/>
  <c r="A55" i="66"/>
  <c r="K54" i="66"/>
  <c r="J54" i="66"/>
  <c r="I54" i="66"/>
  <c r="H54" i="66"/>
  <c r="G54" i="66"/>
  <c r="F54" i="66"/>
  <c r="A54" i="66"/>
  <c r="K53" i="66"/>
  <c r="J53" i="66"/>
  <c r="I53" i="66"/>
  <c r="H53" i="66"/>
  <c r="G53" i="66"/>
  <c r="F53" i="66"/>
  <c r="A53" i="66"/>
  <c r="K52" i="66"/>
  <c r="J52" i="66"/>
  <c r="I52" i="66"/>
  <c r="H52" i="66"/>
  <c r="G52" i="66"/>
  <c r="F52" i="66"/>
  <c r="A52" i="66"/>
  <c r="K51" i="66"/>
  <c r="J51" i="66"/>
  <c r="I51" i="66"/>
  <c r="H51" i="66"/>
  <c r="G51" i="66"/>
  <c r="F51" i="66"/>
  <c r="A51" i="66"/>
  <c r="K50" i="66"/>
  <c r="J50" i="66"/>
  <c r="I50" i="66"/>
  <c r="H50" i="66"/>
  <c r="G50" i="66"/>
  <c r="F50" i="66"/>
  <c r="A50" i="66"/>
  <c r="K49" i="66"/>
  <c r="J49" i="66"/>
  <c r="I49" i="66"/>
  <c r="H49" i="66"/>
  <c r="G49" i="66"/>
  <c r="F49" i="66"/>
  <c r="A49" i="66"/>
  <c r="K48" i="66"/>
  <c r="J48" i="66"/>
  <c r="I48" i="66"/>
  <c r="H48" i="66"/>
  <c r="G48" i="66"/>
  <c r="F48" i="66"/>
  <c r="A48" i="66"/>
  <c r="K47" i="66"/>
  <c r="J47" i="66"/>
  <c r="I47" i="66"/>
  <c r="H47" i="66"/>
  <c r="G47" i="66"/>
  <c r="F47" i="66"/>
  <c r="A47" i="66"/>
  <c r="K46" i="66"/>
  <c r="J46" i="66"/>
  <c r="I46" i="66"/>
  <c r="H46" i="66"/>
  <c r="G46" i="66"/>
  <c r="F46" i="66"/>
  <c r="A46" i="66"/>
  <c r="K45" i="66"/>
  <c r="J45" i="66"/>
  <c r="I45" i="66"/>
  <c r="H45" i="66"/>
  <c r="G45" i="66"/>
  <c r="F45" i="66"/>
  <c r="A45" i="66"/>
  <c r="K44" i="66"/>
  <c r="J44" i="66"/>
  <c r="I44" i="66"/>
  <c r="H44" i="66"/>
  <c r="G44" i="66"/>
  <c r="F44" i="66"/>
  <c r="A44" i="66"/>
  <c r="K43" i="66"/>
  <c r="J43" i="66"/>
  <c r="I43" i="66"/>
  <c r="H43" i="66"/>
  <c r="G43" i="66"/>
  <c r="F43" i="66"/>
  <c r="A43" i="66"/>
  <c r="K42" i="66"/>
  <c r="J42" i="66"/>
  <c r="I42" i="66"/>
  <c r="H42" i="66"/>
  <c r="G42" i="66"/>
  <c r="F42" i="66"/>
  <c r="A42" i="66"/>
  <c r="K41" i="66"/>
  <c r="J41" i="66"/>
  <c r="I41" i="66"/>
  <c r="H41" i="66"/>
  <c r="G41" i="66"/>
  <c r="F41" i="66"/>
  <c r="A41" i="66"/>
  <c r="K40" i="66"/>
  <c r="J40" i="66"/>
  <c r="I40" i="66"/>
  <c r="H40" i="66"/>
  <c r="G40" i="66"/>
  <c r="F40" i="66"/>
  <c r="A40" i="66"/>
  <c r="K39" i="66"/>
  <c r="J39" i="66"/>
  <c r="I39" i="66"/>
  <c r="H39" i="66"/>
  <c r="G39" i="66"/>
  <c r="F39" i="66"/>
  <c r="A39" i="66"/>
  <c r="K38" i="66"/>
  <c r="J38" i="66"/>
  <c r="I38" i="66"/>
  <c r="H38" i="66"/>
  <c r="G38" i="66"/>
  <c r="F38" i="66"/>
  <c r="A38" i="66"/>
  <c r="K37" i="66"/>
  <c r="J37" i="66"/>
  <c r="I37" i="66"/>
  <c r="H37" i="66"/>
  <c r="G37" i="66"/>
  <c r="F37" i="66"/>
  <c r="A37" i="66"/>
  <c r="K36" i="66"/>
  <c r="J36" i="66"/>
  <c r="I36" i="66"/>
  <c r="H36" i="66"/>
  <c r="G36" i="66"/>
  <c r="F36" i="66"/>
  <c r="A36" i="66"/>
  <c r="K35" i="66"/>
  <c r="J35" i="66"/>
  <c r="I35" i="66"/>
  <c r="H35" i="66"/>
  <c r="G35" i="66"/>
  <c r="F35" i="66"/>
  <c r="A35" i="66"/>
  <c r="K34" i="66"/>
  <c r="J34" i="66"/>
  <c r="I34" i="66"/>
  <c r="H34" i="66"/>
  <c r="G34" i="66"/>
  <c r="F34" i="66"/>
  <c r="A34" i="66"/>
  <c r="K33" i="66"/>
  <c r="J33" i="66"/>
  <c r="I33" i="66"/>
  <c r="H33" i="66"/>
  <c r="G33" i="66"/>
  <c r="F33" i="66"/>
  <c r="A33" i="66"/>
  <c r="K32" i="66"/>
  <c r="J32" i="66"/>
  <c r="I32" i="66"/>
  <c r="H32" i="66"/>
  <c r="G32" i="66"/>
  <c r="F32" i="66"/>
  <c r="A32" i="66"/>
  <c r="K31" i="66"/>
  <c r="J31" i="66"/>
  <c r="I31" i="66"/>
  <c r="H31" i="66"/>
  <c r="G31" i="66"/>
  <c r="F31" i="66"/>
  <c r="A31" i="66"/>
  <c r="K30" i="66"/>
  <c r="J30" i="66"/>
  <c r="I30" i="66"/>
  <c r="H30" i="66"/>
  <c r="G30" i="66"/>
  <c r="F30" i="66"/>
  <c r="A30" i="66"/>
  <c r="K29" i="66"/>
  <c r="J29" i="66"/>
  <c r="I29" i="66"/>
  <c r="H29" i="66"/>
  <c r="G29" i="66"/>
  <c r="F29" i="66"/>
  <c r="A29" i="66"/>
  <c r="K28" i="66"/>
  <c r="J28" i="66"/>
  <c r="I28" i="66"/>
  <c r="H28" i="66"/>
  <c r="G28" i="66"/>
  <c r="F28" i="66"/>
  <c r="A28" i="66"/>
  <c r="K27" i="66"/>
  <c r="J27" i="66"/>
  <c r="I27" i="66"/>
  <c r="H27" i="66"/>
  <c r="G27" i="66"/>
  <c r="F27" i="66"/>
  <c r="A27" i="66"/>
  <c r="K26" i="66"/>
  <c r="J26" i="66"/>
  <c r="I26" i="66"/>
  <c r="H26" i="66"/>
  <c r="G26" i="66"/>
  <c r="F26" i="66"/>
  <c r="A26" i="66"/>
  <c r="K25" i="66"/>
  <c r="J25" i="66"/>
  <c r="I25" i="66"/>
  <c r="H25" i="66"/>
  <c r="G25" i="66"/>
  <c r="F25" i="66"/>
  <c r="A25" i="66"/>
  <c r="K24" i="66"/>
  <c r="J24" i="66"/>
  <c r="I24" i="66"/>
  <c r="H24" i="66"/>
  <c r="G24" i="66"/>
  <c r="F24" i="66"/>
  <c r="A24" i="66"/>
  <c r="K23" i="66"/>
  <c r="J23" i="66"/>
  <c r="I23" i="66"/>
  <c r="H23" i="66"/>
  <c r="G23" i="66"/>
  <c r="F23" i="66"/>
  <c r="A23" i="66"/>
  <c r="K22" i="66"/>
  <c r="J22" i="66"/>
  <c r="I22" i="66"/>
  <c r="H22" i="66"/>
  <c r="G22" i="66"/>
  <c r="F22" i="66"/>
  <c r="A22" i="66"/>
  <c r="K21" i="66"/>
  <c r="J21" i="66"/>
  <c r="I21" i="66"/>
  <c r="H21" i="66"/>
  <c r="G21" i="66"/>
  <c r="F21" i="66"/>
  <c r="A21" i="66"/>
  <c r="K20" i="66"/>
  <c r="J20" i="66"/>
  <c r="I20" i="66"/>
  <c r="H20" i="66"/>
  <c r="G20" i="66"/>
  <c r="F20" i="66"/>
  <c r="A20" i="66"/>
  <c r="K19" i="66"/>
  <c r="J19" i="66"/>
  <c r="I19" i="66"/>
  <c r="H19" i="66"/>
  <c r="G19" i="66"/>
  <c r="F19" i="66"/>
  <c r="A19" i="66"/>
  <c r="K18" i="66"/>
  <c r="J18" i="66"/>
  <c r="I18" i="66"/>
  <c r="H18" i="66"/>
  <c r="G18" i="66"/>
  <c r="F18" i="66"/>
  <c r="A18" i="66"/>
  <c r="K17" i="66"/>
  <c r="J17" i="66"/>
  <c r="I17" i="66"/>
  <c r="H17" i="66"/>
  <c r="G17" i="66"/>
  <c r="F17" i="66"/>
  <c r="A17" i="66"/>
  <c r="K16" i="66"/>
  <c r="J16" i="66"/>
  <c r="I16" i="66"/>
  <c r="H16" i="66"/>
  <c r="G16" i="66"/>
  <c r="F16" i="66"/>
  <c r="A16" i="66"/>
  <c r="K15" i="66"/>
  <c r="J15" i="66"/>
  <c r="I15" i="66"/>
  <c r="H15" i="66"/>
  <c r="G15" i="66"/>
  <c r="F15" i="66"/>
  <c r="A15" i="66"/>
  <c r="K14" i="66"/>
  <c r="J14" i="66"/>
  <c r="I14" i="66"/>
  <c r="H14" i="66"/>
  <c r="G14" i="66"/>
  <c r="F14" i="66"/>
  <c r="A14" i="66"/>
  <c r="K13" i="66"/>
  <c r="J13" i="66"/>
  <c r="I13" i="66"/>
  <c r="H13" i="66"/>
  <c r="G13" i="66"/>
  <c r="F13" i="66"/>
  <c r="A13" i="66"/>
  <c r="K12" i="66"/>
  <c r="J12" i="66"/>
  <c r="I12" i="66"/>
  <c r="H12" i="66"/>
  <c r="G12" i="66"/>
  <c r="F12" i="66"/>
  <c r="A12" i="66"/>
  <c r="K11" i="66"/>
  <c r="J11" i="66"/>
  <c r="I11" i="66"/>
  <c r="H11" i="66"/>
  <c r="G11" i="66"/>
  <c r="F11" i="66"/>
  <c r="A11" i="66"/>
  <c r="K10" i="66"/>
  <c r="J10" i="66"/>
  <c r="I10" i="66"/>
  <c r="H10" i="66"/>
  <c r="G10" i="66"/>
  <c r="F10" i="66"/>
  <c r="A10" i="66"/>
  <c r="K9" i="66"/>
  <c r="J9" i="66"/>
  <c r="I9" i="66"/>
  <c r="H9" i="66"/>
  <c r="G9" i="66"/>
  <c r="F9" i="66"/>
  <c r="A9" i="66"/>
  <c r="K8" i="66"/>
  <c r="J8" i="66"/>
  <c r="I8" i="66"/>
  <c r="H8" i="66"/>
  <c r="G8" i="66"/>
  <c r="F8" i="66"/>
  <c r="A8" i="66"/>
  <c r="K7" i="66"/>
  <c r="J7" i="66"/>
  <c r="I7" i="66"/>
  <c r="H7" i="66"/>
  <c r="G7" i="66"/>
  <c r="F7" i="66"/>
  <c r="A7" i="66"/>
  <c r="K6" i="66"/>
  <c r="J6" i="66"/>
  <c r="I6" i="66"/>
  <c r="H6" i="66"/>
  <c r="G6" i="66"/>
  <c r="F6" i="66"/>
  <c r="A6" i="66"/>
  <c r="K5" i="66"/>
  <c r="J5" i="66"/>
  <c r="I5" i="66"/>
  <c r="H5" i="66"/>
  <c r="G5" i="66"/>
  <c r="F5" i="66"/>
  <c r="A5" i="66"/>
  <c r="K4" i="66"/>
  <c r="J4" i="66"/>
  <c r="I4" i="66"/>
  <c r="H4" i="66"/>
  <c r="G4" i="66"/>
  <c r="F4" i="66"/>
  <c r="A4" i="66"/>
  <c r="K3" i="66"/>
  <c r="J3" i="66"/>
  <c r="I3" i="66"/>
  <c r="H3" i="66"/>
  <c r="G3" i="66"/>
  <c r="F3" i="66"/>
  <c r="A3" i="66"/>
  <c r="K2" i="66"/>
  <c r="J2" i="66"/>
  <c r="I2" i="66"/>
  <c r="H2" i="66"/>
  <c r="G2" i="66"/>
  <c r="F2" i="66"/>
  <c r="A2" i="66"/>
  <c r="A3" i="65"/>
  <c r="K3" i="65"/>
  <c r="J3" i="65"/>
  <c r="I3" i="65"/>
  <c r="H3" i="65"/>
  <c r="G3" i="65"/>
  <c r="F3" i="65"/>
  <c r="E3" i="65"/>
  <c r="D3" i="65"/>
  <c r="C3" i="65"/>
  <c r="B3" i="65"/>
  <c r="A3" i="63"/>
  <c r="K3" i="63"/>
  <c r="J3" i="63"/>
  <c r="I3" i="63"/>
  <c r="H3" i="63"/>
  <c r="G3" i="63"/>
  <c r="F3" i="63"/>
  <c r="E3" i="63"/>
  <c r="D3" i="63"/>
  <c r="C3" i="63"/>
  <c r="B3" i="63"/>
  <c r="A3" i="62"/>
  <c r="K3" i="62"/>
  <c r="J3" i="62"/>
  <c r="I3" i="62"/>
  <c r="H3" i="62"/>
  <c r="G3" i="62"/>
  <c r="F3" i="62"/>
  <c r="E3" i="62"/>
  <c r="D3" i="62"/>
  <c r="C3" i="62"/>
  <c r="B3" i="62"/>
  <c r="A3" i="61"/>
  <c r="K3" i="61"/>
  <c r="J3" i="61"/>
  <c r="I3" i="61"/>
  <c r="H3" i="61"/>
  <c r="G3" i="61"/>
  <c r="F3" i="61"/>
  <c r="E3" i="61"/>
  <c r="D3" i="61"/>
  <c r="C3" i="61"/>
  <c r="B3" i="61"/>
  <c r="A3" i="60"/>
  <c r="K3" i="60"/>
  <c r="J3" i="60"/>
  <c r="I3" i="60"/>
  <c r="H3" i="60"/>
  <c r="G3" i="60"/>
  <c r="F3" i="60"/>
  <c r="E3" i="60"/>
  <c r="D3" i="60"/>
  <c r="C3" i="60"/>
  <c r="B3" i="60"/>
  <c r="C1" i="53"/>
  <c r="A1" i="53"/>
  <c r="A221" i="53"/>
  <c r="B1" i="53"/>
  <c r="K221" i="53"/>
  <c r="J221" i="53"/>
  <c r="I221" i="53"/>
  <c r="H221" i="53"/>
  <c r="G221" i="53"/>
  <c r="F221" i="53"/>
  <c r="E221" i="53"/>
  <c r="D221" i="53"/>
  <c r="C221" i="53"/>
  <c r="B221" i="53"/>
  <c r="A220" i="53"/>
  <c r="K220" i="53"/>
  <c r="J220" i="53"/>
  <c r="I220" i="53"/>
  <c r="H220" i="53"/>
  <c r="G220" i="53"/>
  <c r="F220" i="53"/>
  <c r="E220" i="53"/>
  <c r="D220" i="53"/>
  <c r="C220" i="53"/>
  <c r="B220" i="53"/>
  <c r="A219" i="53"/>
  <c r="K219" i="53"/>
  <c r="J219" i="53"/>
  <c r="I219" i="53"/>
  <c r="H219" i="53"/>
  <c r="G219" i="53"/>
  <c r="F219" i="53"/>
  <c r="E219" i="53"/>
  <c r="D219" i="53"/>
  <c r="C219" i="53"/>
  <c r="B219" i="53"/>
  <c r="A218" i="53"/>
  <c r="K218" i="53"/>
  <c r="J218" i="53"/>
  <c r="I218" i="53"/>
  <c r="H218" i="53"/>
  <c r="G218" i="53"/>
  <c r="F218" i="53"/>
  <c r="E218" i="53"/>
  <c r="D218" i="53"/>
  <c r="C218" i="53"/>
  <c r="B218" i="53"/>
  <c r="A217" i="53"/>
  <c r="K217" i="53"/>
  <c r="J217" i="53"/>
  <c r="I217" i="53"/>
  <c r="H217" i="53"/>
  <c r="G217" i="53"/>
  <c r="F217" i="53"/>
  <c r="E217" i="53"/>
  <c r="D217" i="53"/>
  <c r="C217" i="53"/>
  <c r="B217" i="53"/>
  <c r="A216" i="53"/>
  <c r="K216" i="53"/>
  <c r="J216" i="53"/>
  <c r="I216" i="53"/>
  <c r="H216" i="53"/>
  <c r="G216" i="53"/>
  <c r="F216" i="53"/>
  <c r="E216" i="53"/>
  <c r="D216" i="53"/>
  <c r="C216" i="53"/>
  <c r="B216" i="53"/>
  <c r="A215" i="53"/>
  <c r="K215" i="53"/>
  <c r="J215" i="53"/>
  <c r="I215" i="53"/>
  <c r="H215" i="53"/>
  <c r="G215" i="53"/>
  <c r="F215" i="53"/>
  <c r="E215" i="53"/>
  <c r="D215" i="53"/>
  <c r="C215" i="53"/>
  <c r="B215" i="53"/>
  <c r="A214" i="53"/>
  <c r="K214" i="53"/>
  <c r="J214" i="53"/>
  <c r="I214" i="53"/>
  <c r="H214" i="53"/>
  <c r="G214" i="53"/>
  <c r="F214" i="53"/>
  <c r="E214" i="53"/>
  <c r="D214" i="53"/>
  <c r="C214" i="53"/>
  <c r="B214" i="53"/>
  <c r="A213" i="53"/>
  <c r="K213" i="53"/>
  <c r="J213" i="53"/>
  <c r="I213" i="53"/>
  <c r="H213" i="53"/>
  <c r="G213" i="53"/>
  <c r="F213" i="53"/>
  <c r="E213" i="53"/>
  <c r="D213" i="53"/>
  <c r="C213" i="53"/>
  <c r="B213" i="53"/>
  <c r="A212" i="53"/>
  <c r="K212" i="53"/>
  <c r="J212" i="53"/>
  <c r="I212" i="53"/>
  <c r="H212" i="53"/>
  <c r="G212" i="53"/>
  <c r="F212" i="53"/>
  <c r="E212" i="53"/>
  <c r="D212" i="53"/>
  <c r="C212" i="53"/>
  <c r="B212" i="53"/>
  <c r="A211" i="53"/>
  <c r="K211" i="53"/>
  <c r="J211" i="53"/>
  <c r="I211" i="53"/>
  <c r="H211" i="53"/>
  <c r="G211" i="53"/>
  <c r="F211" i="53"/>
  <c r="E211" i="53"/>
  <c r="D211" i="53"/>
  <c r="C211" i="53"/>
  <c r="B211" i="53"/>
  <c r="A210" i="53"/>
  <c r="K210" i="53"/>
  <c r="J210" i="53"/>
  <c r="I210" i="53"/>
  <c r="H210" i="53"/>
  <c r="G210" i="53"/>
  <c r="F210" i="53"/>
  <c r="E210" i="53"/>
  <c r="D210" i="53"/>
  <c r="C210" i="53"/>
  <c r="B210" i="53"/>
  <c r="A209" i="53"/>
  <c r="K209" i="53"/>
  <c r="J209" i="53"/>
  <c r="I209" i="53"/>
  <c r="H209" i="53"/>
  <c r="G209" i="53"/>
  <c r="F209" i="53"/>
  <c r="E209" i="53"/>
  <c r="D209" i="53"/>
  <c r="C209" i="53"/>
  <c r="B209" i="53"/>
  <c r="A208" i="53"/>
  <c r="K208" i="53"/>
  <c r="J208" i="53"/>
  <c r="I208" i="53"/>
  <c r="H208" i="53"/>
  <c r="G208" i="53"/>
  <c r="F208" i="53"/>
  <c r="E208" i="53"/>
  <c r="D208" i="53"/>
  <c r="C208" i="53"/>
  <c r="B208" i="53"/>
  <c r="A207" i="53"/>
  <c r="K207" i="53"/>
  <c r="J207" i="53"/>
  <c r="I207" i="53"/>
  <c r="H207" i="53"/>
  <c r="G207" i="53"/>
  <c r="F207" i="53"/>
  <c r="E207" i="53"/>
  <c r="D207" i="53"/>
  <c r="C207" i="53"/>
  <c r="B207" i="53"/>
  <c r="A206" i="53"/>
  <c r="K206" i="53"/>
  <c r="J206" i="53"/>
  <c r="I206" i="53"/>
  <c r="H206" i="53"/>
  <c r="G206" i="53"/>
  <c r="F206" i="53"/>
  <c r="E206" i="53"/>
  <c r="D206" i="53"/>
  <c r="C206" i="53"/>
  <c r="B206" i="53"/>
  <c r="A205" i="53"/>
  <c r="K205" i="53"/>
  <c r="J205" i="53"/>
  <c r="I205" i="53"/>
  <c r="H205" i="53"/>
  <c r="G205" i="53"/>
  <c r="F205" i="53"/>
  <c r="E205" i="53"/>
  <c r="D205" i="53"/>
  <c r="C205" i="53"/>
  <c r="B205" i="53"/>
  <c r="A204" i="53"/>
  <c r="K204" i="53"/>
  <c r="J204" i="53"/>
  <c r="I204" i="53"/>
  <c r="H204" i="53"/>
  <c r="G204" i="53"/>
  <c r="F204" i="53"/>
  <c r="E204" i="53"/>
  <c r="D204" i="53"/>
  <c r="C204" i="53"/>
  <c r="B204" i="53"/>
  <c r="A203" i="53"/>
  <c r="K203" i="53"/>
  <c r="J203" i="53"/>
  <c r="I203" i="53"/>
  <c r="H203" i="53"/>
  <c r="G203" i="53"/>
  <c r="F203" i="53"/>
  <c r="E203" i="53"/>
  <c r="D203" i="53"/>
  <c r="C203" i="53"/>
  <c r="B203" i="53"/>
  <c r="A202" i="53"/>
  <c r="K202" i="53"/>
  <c r="J202" i="53"/>
  <c r="I202" i="53"/>
  <c r="H202" i="53"/>
  <c r="G202" i="53"/>
  <c r="F202" i="53"/>
  <c r="E202" i="53"/>
  <c r="D202" i="53"/>
  <c r="C202" i="53"/>
  <c r="B202" i="53"/>
  <c r="A201" i="53"/>
  <c r="K201" i="53"/>
  <c r="J201" i="53"/>
  <c r="I201" i="53"/>
  <c r="H201" i="53"/>
  <c r="G201" i="53"/>
  <c r="F201" i="53"/>
  <c r="E201" i="53"/>
  <c r="D201" i="53"/>
  <c r="C201" i="53"/>
  <c r="B201" i="53"/>
  <c r="A200" i="53"/>
  <c r="K200" i="53"/>
  <c r="J200" i="53"/>
  <c r="I200" i="53"/>
  <c r="H200" i="53"/>
  <c r="G200" i="53"/>
  <c r="F200" i="53"/>
  <c r="E200" i="53"/>
  <c r="D200" i="53"/>
  <c r="C200" i="53"/>
  <c r="B200" i="53"/>
  <c r="A199" i="53"/>
  <c r="K199" i="53"/>
  <c r="J199" i="53"/>
  <c r="I199" i="53"/>
  <c r="H199" i="53"/>
  <c r="G199" i="53"/>
  <c r="F199" i="53"/>
  <c r="E199" i="53"/>
  <c r="D199" i="53"/>
  <c r="C199" i="53"/>
  <c r="B199" i="53"/>
  <c r="A198" i="53"/>
  <c r="K198" i="53"/>
  <c r="J198" i="53"/>
  <c r="I198" i="53"/>
  <c r="H198" i="53"/>
  <c r="G198" i="53"/>
  <c r="F198" i="53"/>
  <c r="E198" i="53"/>
  <c r="D198" i="53"/>
  <c r="C198" i="53"/>
  <c r="B198" i="53"/>
  <c r="A197" i="53"/>
  <c r="K197" i="53"/>
  <c r="J197" i="53"/>
  <c r="I197" i="53"/>
  <c r="H197" i="53"/>
  <c r="G197" i="53"/>
  <c r="F197" i="53"/>
  <c r="E197" i="53"/>
  <c r="D197" i="53"/>
  <c r="C197" i="53"/>
  <c r="B197" i="53"/>
  <c r="A196" i="53"/>
  <c r="K196" i="53"/>
  <c r="J196" i="53"/>
  <c r="I196" i="53"/>
  <c r="H196" i="53"/>
  <c r="G196" i="53"/>
  <c r="F196" i="53"/>
  <c r="E196" i="53"/>
  <c r="D196" i="53"/>
  <c r="C196" i="53"/>
  <c r="B196" i="53"/>
  <c r="A195" i="53"/>
  <c r="K195" i="53"/>
  <c r="J195" i="53"/>
  <c r="I195" i="53"/>
  <c r="H195" i="53"/>
  <c r="G195" i="53"/>
  <c r="F195" i="53"/>
  <c r="E195" i="53"/>
  <c r="D195" i="53"/>
  <c r="C195" i="53"/>
  <c r="B195" i="53"/>
  <c r="A194" i="53"/>
  <c r="K194" i="53"/>
  <c r="J194" i="53"/>
  <c r="I194" i="53"/>
  <c r="H194" i="53"/>
  <c r="G194" i="53"/>
  <c r="F194" i="53"/>
  <c r="E194" i="53"/>
  <c r="D194" i="53"/>
  <c r="C194" i="53"/>
  <c r="B194" i="53"/>
  <c r="A193" i="53"/>
  <c r="K193" i="53"/>
  <c r="J193" i="53"/>
  <c r="I193" i="53"/>
  <c r="H193" i="53"/>
  <c r="G193" i="53"/>
  <c r="F193" i="53"/>
  <c r="E193" i="53"/>
  <c r="D193" i="53"/>
  <c r="C193" i="53"/>
  <c r="B193" i="53"/>
  <c r="A192" i="53"/>
  <c r="K192" i="53"/>
  <c r="J192" i="53"/>
  <c r="I192" i="53"/>
  <c r="H192" i="53"/>
  <c r="G192" i="53"/>
  <c r="F192" i="53"/>
  <c r="E192" i="53"/>
  <c r="D192" i="53"/>
  <c r="C192" i="53"/>
  <c r="B192" i="53"/>
  <c r="A191" i="53"/>
  <c r="K191" i="53"/>
  <c r="J191" i="53"/>
  <c r="I191" i="53"/>
  <c r="H191" i="53"/>
  <c r="G191" i="53"/>
  <c r="F191" i="53"/>
  <c r="E191" i="53"/>
  <c r="D191" i="53"/>
  <c r="C191" i="53"/>
  <c r="B191" i="53"/>
  <c r="A190" i="53"/>
  <c r="K190" i="53"/>
  <c r="J190" i="53"/>
  <c r="I190" i="53"/>
  <c r="H190" i="53"/>
  <c r="G190" i="53"/>
  <c r="F190" i="53"/>
  <c r="E190" i="53"/>
  <c r="D190" i="53"/>
  <c r="C190" i="53"/>
  <c r="B190" i="53"/>
  <c r="A189" i="53"/>
  <c r="K189" i="53"/>
  <c r="J189" i="53"/>
  <c r="I189" i="53"/>
  <c r="H189" i="53"/>
  <c r="G189" i="53"/>
  <c r="F189" i="53"/>
  <c r="E189" i="53"/>
  <c r="D189" i="53"/>
  <c r="C189" i="53"/>
  <c r="B189" i="53"/>
  <c r="A188" i="53"/>
  <c r="K188" i="53"/>
  <c r="J188" i="53"/>
  <c r="I188" i="53"/>
  <c r="H188" i="53"/>
  <c r="G188" i="53"/>
  <c r="F188" i="53"/>
  <c r="E188" i="53"/>
  <c r="D188" i="53"/>
  <c r="C188" i="53"/>
  <c r="B188" i="53"/>
  <c r="A187" i="53"/>
  <c r="K187" i="53"/>
  <c r="J187" i="53"/>
  <c r="I187" i="53"/>
  <c r="H187" i="53"/>
  <c r="G187" i="53"/>
  <c r="F187" i="53"/>
  <c r="E187" i="53"/>
  <c r="D187" i="53"/>
  <c r="C187" i="53"/>
  <c r="B187" i="53"/>
  <c r="A186" i="53"/>
  <c r="K186" i="53"/>
  <c r="J186" i="53"/>
  <c r="I186" i="53"/>
  <c r="H186" i="53"/>
  <c r="G186" i="53"/>
  <c r="F186" i="53"/>
  <c r="E186" i="53"/>
  <c r="D186" i="53"/>
  <c r="C186" i="53"/>
  <c r="B186" i="53"/>
  <c r="A185" i="53"/>
  <c r="K185" i="53"/>
  <c r="J185" i="53"/>
  <c r="I185" i="53"/>
  <c r="H185" i="53"/>
  <c r="G185" i="53"/>
  <c r="F185" i="53"/>
  <c r="E185" i="53"/>
  <c r="D185" i="53"/>
  <c r="C185" i="53"/>
  <c r="B185" i="53"/>
  <c r="A184" i="53"/>
  <c r="K184" i="53"/>
  <c r="J184" i="53"/>
  <c r="I184" i="53"/>
  <c r="H184" i="53"/>
  <c r="G184" i="53"/>
  <c r="F184" i="53"/>
  <c r="E184" i="53"/>
  <c r="D184" i="53"/>
  <c r="C184" i="53"/>
  <c r="B184" i="53"/>
  <c r="A183" i="53"/>
  <c r="K183" i="53"/>
  <c r="J183" i="53"/>
  <c r="I183" i="53"/>
  <c r="H183" i="53"/>
  <c r="G183" i="53"/>
  <c r="F183" i="53"/>
  <c r="E183" i="53"/>
  <c r="D183" i="53"/>
  <c r="C183" i="53"/>
  <c r="B183" i="53"/>
  <c r="A182" i="53"/>
  <c r="K182" i="53"/>
  <c r="J182" i="53"/>
  <c r="I182" i="53"/>
  <c r="H182" i="53"/>
  <c r="G182" i="53"/>
  <c r="F182" i="53"/>
  <c r="E182" i="53"/>
  <c r="D182" i="53"/>
  <c r="C182" i="53"/>
  <c r="B182" i="53"/>
  <c r="A181" i="53"/>
  <c r="K181" i="53"/>
  <c r="J181" i="53"/>
  <c r="I181" i="53"/>
  <c r="H181" i="53"/>
  <c r="G181" i="53"/>
  <c r="F181" i="53"/>
  <c r="E181" i="53"/>
  <c r="D181" i="53"/>
  <c r="C181" i="53"/>
  <c r="B181" i="53"/>
  <c r="A180" i="53"/>
  <c r="K180" i="53"/>
  <c r="J180" i="53"/>
  <c r="I180" i="53"/>
  <c r="H180" i="53"/>
  <c r="G180" i="53"/>
  <c r="F180" i="53"/>
  <c r="E180" i="53"/>
  <c r="D180" i="53"/>
  <c r="C180" i="53"/>
  <c r="B180" i="53"/>
  <c r="A179" i="53"/>
  <c r="K179" i="53"/>
  <c r="J179" i="53"/>
  <c r="I179" i="53"/>
  <c r="H179" i="53"/>
  <c r="G179" i="53"/>
  <c r="F179" i="53"/>
  <c r="E179" i="53"/>
  <c r="D179" i="53"/>
  <c r="C179" i="53"/>
  <c r="B179" i="53"/>
  <c r="A178" i="53"/>
  <c r="K178" i="53"/>
  <c r="J178" i="53"/>
  <c r="I178" i="53"/>
  <c r="H178" i="53"/>
  <c r="G178" i="53"/>
  <c r="F178" i="53"/>
  <c r="E178" i="53"/>
  <c r="D178" i="53"/>
  <c r="C178" i="53"/>
  <c r="B178" i="53"/>
  <c r="A177" i="53"/>
  <c r="K177" i="53"/>
  <c r="J177" i="53"/>
  <c r="I177" i="53"/>
  <c r="H177" i="53"/>
  <c r="G177" i="53"/>
  <c r="F177" i="53"/>
  <c r="E177" i="53"/>
  <c r="D177" i="53"/>
  <c r="C177" i="53"/>
  <c r="B177" i="53"/>
  <c r="A176" i="53"/>
  <c r="K176" i="53"/>
  <c r="J176" i="53"/>
  <c r="I176" i="53"/>
  <c r="H176" i="53"/>
  <c r="G176" i="53"/>
  <c r="F176" i="53"/>
  <c r="E176" i="53"/>
  <c r="D176" i="53"/>
  <c r="C176" i="53"/>
  <c r="B176" i="53"/>
  <c r="A175" i="53"/>
  <c r="K175" i="53"/>
  <c r="J175" i="53"/>
  <c r="I175" i="53"/>
  <c r="H175" i="53"/>
  <c r="G175" i="53"/>
  <c r="F175" i="53"/>
  <c r="E175" i="53"/>
  <c r="D175" i="53"/>
  <c r="C175" i="53"/>
  <c r="B175" i="53"/>
  <c r="A174" i="53"/>
  <c r="K174" i="53"/>
  <c r="J174" i="53"/>
  <c r="I174" i="53"/>
  <c r="H174" i="53"/>
  <c r="G174" i="53"/>
  <c r="F174" i="53"/>
  <c r="E174" i="53"/>
  <c r="D174" i="53"/>
  <c r="C174" i="53"/>
  <c r="B174" i="53"/>
  <c r="A173" i="53"/>
  <c r="K173" i="53"/>
  <c r="J173" i="53"/>
  <c r="I173" i="53"/>
  <c r="H173" i="53"/>
  <c r="G173" i="53"/>
  <c r="F173" i="53"/>
  <c r="E173" i="53"/>
  <c r="D173" i="53"/>
  <c r="C173" i="53"/>
  <c r="B173" i="53"/>
  <c r="A172" i="53"/>
  <c r="K172" i="53"/>
  <c r="J172" i="53"/>
  <c r="I172" i="53"/>
  <c r="H172" i="53"/>
  <c r="G172" i="53"/>
  <c r="F172" i="53"/>
  <c r="E172" i="53"/>
  <c r="D172" i="53"/>
  <c r="C172" i="53"/>
  <c r="B172" i="53"/>
  <c r="A171" i="53"/>
  <c r="K171" i="53"/>
  <c r="J171" i="53"/>
  <c r="I171" i="53"/>
  <c r="H171" i="53"/>
  <c r="G171" i="53"/>
  <c r="F171" i="53"/>
  <c r="E171" i="53"/>
  <c r="D171" i="53"/>
  <c r="C171" i="53"/>
  <c r="B171" i="53"/>
  <c r="A170" i="53"/>
  <c r="K170" i="53"/>
  <c r="J170" i="53"/>
  <c r="I170" i="53"/>
  <c r="H170" i="53"/>
  <c r="G170" i="53"/>
  <c r="F170" i="53"/>
  <c r="E170" i="53"/>
  <c r="D170" i="53"/>
  <c r="C170" i="53"/>
  <c r="B170" i="53"/>
  <c r="A169" i="53"/>
  <c r="K169" i="53"/>
  <c r="J169" i="53"/>
  <c r="I169" i="53"/>
  <c r="H169" i="53"/>
  <c r="G169" i="53"/>
  <c r="F169" i="53"/>
  <c r="E169" i="53"/>
  <c r="D169" i="53"/>
  <c r="C169" i="53"/>
  <c r="B169" i="53"/>
  <c r="A168" i="53"/>
  <c r="K168" i="53"/>
  <c r="J168" i="53"/>
  <c r="I168" i="53"/>
  <c r="H168" i="53"/>
  <c r="G168" i="53"/>
  <c r="F168" i="53"/>
  <c r="E168" i="53"/>
  <c r="D168" i="53"/>
  <c r="C168" i="53"/>
  <c r="B168" i="53"/>
  <c r="A167" i="53"/>
  <c r="K167" i="53"/>
  <c r="J167" i="53"/>
  <c r="I167" i="53"/>
  <c r="H167" i="53"/>
  <c r="G167" i="53"/>
  <c r="F167" i="53"/>
  <c r="E167" i="53"/>
  <c r="D167" i="53"/>
  <c r="C167" i="53"/>
  <c r="B167" i="53"/>
  <c r="A166" i="53"/>
  <c r="K166" i="53"/>
  <c r="J166" i="53"/>
  <c r="I166" i="53"/>
  <c r="H166" i="53"/>
  <c r="G166" i="53"/>
  <c r="F166" i="53"/>
  <c r="E166" i="53"/>
  <c r="D166" i="53"/>
  <c r="C166" i="53"/>
  <c r="B166" i="53"/>
  <c r="A165" i="53"/>
  <c r="K165" i="53"/>
  <c r="J165" i="53"/>
  <c r="I165" i="53"/>
  <c r="H165" i="53"/>
  <c r="G165" i="53"/>
  <c r="F165" i="53"/>
  <c r="E165" i="53"/>
  <c r="D165" i="53"/>
  <c r="C165" i="53"/>
  <c r="B165" i="53"/>
  <c r="A164" i="53"/>
  <c r="K164" i="53"/>
  <c r="J164" i="53"/>
  <c r="I164" i="53"/>
  <c r="H164" i="53"/>
  <c r="G164" i="53"/>
  <c r="F164" i="53"/>
  <c r="E164" i="53"/>
  <c r="D164" i="53"/>
  <c r="C164" i="53"/>
  <c r="B164" i="53"/>
  <c r="A163" i="53"/>
  <c r="K163" i="53"/>
  <c r="J163" i="53"/>
  <c r="I163" i="53"/>
  <c r="H163" i="53"/>
  <c r="G163" i="53"/>
  <c r="F163" i="53"/>
  <c r="E163" i="53"/>
  <c r="D163" i="53"/>
  <c r="C163" i="53"/>
  <c r="B163" i="53"/>
  <c r="A162" i="53"/>
  <c r="K162" i="53"/>
  <c r="J162" i="53"/>
  <c r="I162" i="53"/>
  <c r="H162" i="53"/>
  <c r="G162" i="53"/>
  <c r="F162" i="53"/>
  <c r="E162" i="53"/>
  <c r="D162" i="53"/>
  <c r="C162" i="53"/>
  <c r="B162" i="53"/>
  <c r="A161" i="53"/>
  <c r="K161" i="53"/>
  <c r="J161" i="53"/>
  <c r="I161" i="53"/>
  <c r="H161" i="53"/>
  <c r="G161" i="53"/>
  <c r="F161" i="53"/>
  <c r="E161" i="53"/>
  <c r="D161" i="53"/>
  <c r="C161" i="53"/>
  <c r="B161" i="53"/>
  <c r="A160" i="53"/>
  <c r="K160" i="53"/>
  <c r="J160" i="53"/>
  <c r="I160" i="53"/>
  <c r="H160" i="53"/>
  <c r="G160" i="53"/>
  <c r="F160" i="53"/>
  <c r="E160" i="53"/>
  <c r="D160" i="53"/>
  <c r="C160" i="53"/>
  <c r="B160" i="53"/>
  <c r="A159" i="53"/>
  <c r="K159" i="53"/>
  <c r="J159" i="53"/>
  <c r="I159" i="53"/>
  <c r="H159" i="53"/>
  <c r="G159" i="53"/>
  <c r="F159" i="53"/>
  <c r="E159" i="53"/>
  <c r="D159" i="53"/>
  <c r="C159" i="53"/>
  <c r="B159" i="53"/>
  <c r="A158" i="53"/>
  <c r="K158" i="53"/>
  <c r="J158" i="53"/>
  <c r="I158" i="53"/>
  <c r="H158" i="53"/>
  <c r="G158" i="53"/>
  <c r="F158" i="53"/>
  <c r="E158" i="53"/>
  <c r="D158" i="53"/>
  <c r="C158" i="53"/>
  <c r="B158" i="53"/>
  <c r="A157" i="53"/>
  <c r="K157" i="53"/>
  <c r="J157" i="53"/>
  <c r="I157" i="53"/>
  <c r="H157" i="53"/>
  <c r="G157" i="53"/>
  <c r="F157" i="53"/>
  <c r="E157" i="53"/>
  <c r="D157" i="53"/>
  <c r="C157" i="53"/>
  <c r="B157" i="53"/>
  <c r="A156" i="53"/>
  <c r="K156" i="53"/>
  <c r="J156" i="53"/>
  <c r="I156" i="53"/>
  <c r="H156" i="53"/>
  <c r="G156" i="53"/>
  <c r="F156" i="53"/>
  <c r="E156" i="53"/>
  <c r="D156" i="53"/>
  <c r="C156" i="53"/>
  <c r="B156" i="53"/>
  <c r="A155" i="53"/>
  <c r="K155" i="53"/>
  <c r="J155" i="53"/>
  <c r="I155" i="53"/>
  <c r="H155" i="53"/>
  <c r="G155" i="53"/>
  <c r="F155" i="53"/>
  <c r="E155" i="53"/>
  <c r="D155" i="53"/>
  <c r="C155" i="53"/>
  <c r="B155" i="53"/>
  <c r="A154" i="53"/>
  <c r="K154" i="53"/>
  <c r="J154" i="53"/>
  <c r="I154" i="53"/>
  <c r="H154" i="53"/>
  <c r="G154" i="53"/>
  <c r="F154" i="53"/>
  <c r="E154" i="53"/>
  <c r="D154" i="53"/>
  <c r="C154" i="53"/>
  <c r="B154" i="53"/>
  <c r="A153" i="53"/>
  <c r="K153" i="53"/>
  <c r="J153" i="53"/>
  <c r="I153" i="53"/>
  <c r="H153" i="53"/>
  <c r="G153" i="53"/>
  <c r="F153" i="53"/>
  <c r="E153" i="53"/>
  <c r="D153" i="53"/>
  <c r="C153" i="53"/>
  <c r="B153" i="53"/>
  <c r="A152" i="53"/>
  <c r="K152" i="53"/>
  <c r="J152" i="53"/>
  <c r="I152" i="53"/>
  <c r="H152" i="53"/>
  <c r="G152" i="53"/>
  <c r="F152" i="53"/>
  <c r="E152" i="53"/>
  <c r="D152" i="53"/>
  <c r="C152" i="53"/>
  <c r="B152" i="53"/>
  <c r="A151" i="53"/>
  <c r="K151" i="53"/>
  <c r="J151" i="53"/>
  <c r="I151" i="53"/>
  <c r="H151" i="53"/>
  <c r="G151" i="53"/>
  <c r="F151" i="53"/>
  <c r="E151" i="53"/>
  <c r="D151" i="53"/>
  <c r="C151" i="53"/>
  <c r="B151" i="53"/>
  <c r="A150" i="53"/>
  <c r="K150" i="53"/>
  <c r="J150" i="53"/>
  <c r="I150" i="53"/>
  <c r="H150" i="53"/>
  <c r="G150" i="53"/>
  <c r="F150" i="53"/>
  <c r="E150" i="53"/>
  <c r="D150" i="53"/>
  <c r="C150" i="53"/>
  <c r="B150" i="53"/>
  <c r="A149" i="53"/>
  <c r="K149" i="53"/>
  <c r="J149" i="53"/>
  <c r="I149" i="53"/>
  <c r="H149" i="53"/>
  <c r="G149" i="53"/>
  <c r="F149" i="53"/>
  <c r="E149" i="53"/>
  <c r="D149" i="53"/>
  <c r="C149" i="53"/>
  <c r="B149" i="53"/>
  <c r="A148" i="53"/>
  <c r="K148" i="53"/>
  <c r="J148" i="53"/>
  <c r="I148" i="53"/>
  <c r="H148" i="53"/>
  <c r="G148" i="53"/>
  <c r="F148" i="53"/>
  <c r="E148" i="53"/>
  <c r="D148" i="53"/>
  <c r="C148" i="53"/>
  <c r="B148" i="53"/>
  <c r="A147" i="53"/>
  <c r="K147" i="53"/>
  <c r="J147" i="53"/>
  <c r="I147" i="53"/>
  <c r="H147" i="53"/>
  <c r="G147" i="53"/>
  <c r="F147" i="53"/>
  <c r="E147" i="53"/>
  <c r="D147" i="53"/>
  <c r="C147" i="53"/>
  <c r="B147" i="53"/>
  <c r="A146" i="53"/>
  <c r="K146" i="53"/>
  <c r="J146" i="53"/>
  <c r="I146" i="53"/>
  <c r="H146" i="53"/>
  <c r="G146" i="53"/>
  <c r="F146" i="53"/>
  <c r="E146" i="53"/>
  <c r="D146" i="53"/>
  <c r="C146" i="53"/>
  <c r="B146" i="53"/>
  <c r="A145" i="53"/>
  <c r="K145" i="53"/>
  <c r="J145" i="53"/>
  <c r="I145" i="53"/>
  <c r="H145" i="53"/>
  <c r="G145" i="53"/>
  <c r="F145" i="53"/>
  <c r="E145" i="53"/>
  <c r="D145" i="53"/>
  <c r="C145" i="53"/>
  <c r="B145" i="53"/>
  <c r="A144" i="53"/>
  <c r="K144" i="53"/>
  <c r="J144" i="53"/>
  <c r="I144" i="53"/>
  <c r="H144" i="53"/>
  <c r="G144" i="53"/>
  <c r="F144" i="53"/>
  <c r="E144" i="53"/>
  <c r="D144" i="53"/>
  <c r="C144" i="53"/>
  <c r="B144" i="53"/>
  <c r="A143" i="53"/>
  <c r="K143" i="53"/>
  <c r="J143" i="53"/>
  <c r="I143" i="53"/>
  <c r="H143" i="53"/>
  <c r="G143" i="53"/>
  <c r="F143" i="53"/>
  <c r="E143" i="53"/>
  <c r="D143" i="53"/>
  <c r="C143" i="53"/>
  <c r="B143" i="53"/>
  <c r="A142" i="53"/>
  <c r="K142" i="53"/>
  <c r="J142" i="53"/>
  <c r="I142" i="53"/>
  <c r="H142" i="53"/>
  <c r="G142" i="53"/>
  <c r="F142" i="53"/>
  <c r="E142" i="53"/>
  <c r="D142" i="53"/>
  <c r="C142" i="53"/>
  <c r="B142" i="53"/>
  <c r="A141" i="53"/>
  <c r="K141" i="53"/>
  <c r="J141" i="53"/>
  <c r="I141" i="53"/>
  <c r="H141" i="53"/>
  <c r="G141" i="53"/>
  <c r="F141" i="53"/>
  <c r="E141" i="53"/>
  <c r="D141" i="53"/>
  <c r="C141" i="53"/>
  <c r="B141" i="53"/>
  <c r="A140" i="53"/>
  <c r="K140" i="53"/>
  <c r="J140" i="53"/>
  <c r="I140" i="53"/>
  <c r="H140" i="53"/>
  <c r="G140" i="53"/>
  <c r="F140" i="53"/>
  <c r="E140" i="53"/>
  <c r="D140" i="53"/>
  <c r="C140" i="53"/>
  <c r="B140" i="53"/>
  <c r="A139" i="53"/>
  <c r="K139" i="53"/>
  <c r="J139" i="53"/>
  <c r="I139" i="53"/>
  <c r="H139" i="53"/>
  <c r="G139" i="53"/>
  <c r="F139" i="53"/>
  <c r="E139" i="53"/>
  <c r="D139" i="53"/>
  <c r="C139" i="53"/>
  <c r="B139" i="53"/>
  <c r="A138" i="53"/>
  <c r="K138" i="53"/>
  <c r="J138" i="53"/>
  <c r="I138" i="53"/>
  <c r="H138" i="53"/>
  <c r="G138" i="53"/>
  <c r="F138" i="53"/>
  <c r="E138" i="53"/>
  <c r="D138" i="53"/>
  <c r="C138" i="53"/>
  <c r="B138" i="53"/>
  <c r="A137" i="53"/>
  <c r="K137" i="53"/>
  <c r="J137" i="53"/>
  <c r="I137" i="53"/>
  <c r="H137" i="53"/>
  <c r="G137" i="53"/>
  <c r="F137" i="53"/>
  <c r="E137" i="53"/>
  <c r="D137" i="53"/>
  <c r="C137" i="53"/>
  <c r="B137" i="53"/>
  <c r="A136" i="53"/>
  <c r="K136" i="53"/>
  <c r="J136" i="53"/>
  <c r="I136" i="53"/>
  <c r="H136" i="53"/>
  <c r="G136" i="53"/>
  <c r="F136" i="53"/>
  <c r="E136" i="53"/>
  <c r="D136" i="53"/>
  <c r="C136" i="53"/>
  <c r="B136" i="53"/>
  <c r="A135" i="53"/>
  <c r="K135" i="53"/>
  <c r="J135" i="53"/>
  <c r="I135" i="53"/>
  <c r="H135" i="53"/>
  <c r="G135" i="53"/>
  <c r="F135" i="53"/>
  <c r="E135" i="53"/>
  <c r="D135" i="53"/>
  <c r="C135" i="53"/>
  <c r="B135" i="53"/>
  <c r="A134" i="53"/>
  <c r="K134" i="53"/>
  <c r="J134" i="53"/>
  <c r="I134" i="53"/>
  <c r="H134" i="53"/>
  <c r="G134" i="53"/>
  <c r="F134" i="53"/>
  <c r="E134" i="53"/>
  <c r="D134" i="53"/>
  <c r="C134" i="53"/>
  <c r="B134" i="53"/>
  <c r="A133" i="53"/>
  <c r="K133" i="53"/>
  <c r="J133" i="53"/>
  <c r="I133" i="53"/>
  <c r="H133" i="53"/>
  <c r="G133" i="53"/>
  <c r="F133" i="53"/>
  <c r="E133" i="53"/>
  <c r="D133" i="53"/>
  <c r="C133" i="53"/>
  <c r="B133" i="53"/>
  <c r="A132" i="53"/>
  <c r="K132" i="53"/>
  <c r="J132" i="53"/>
  <c r="I132" i="53"/>
  <c r="H132" i="53"/>
  <c r="G132" i="53"/>
  <c r="F132" i="53"/>
  <c r="E132" i="53"/>
  <c r="D132" i="53"/>
  <c r="C132" i="53"/>
  <c r="B132" i="53"/>
  <c r="A131" i="53"/>
  <c r="K131" i="53"/>
  <c r="J131" i="53"/>
  <c r="I131" i="53"/>
  <c r="H131" i="53"/>
  <c r="G131" i="53"/>
  <c r="F131" i="53"/>
  <c r="E131" i="53"/>
  <c r="D131" i="53"/>
  <c r="C131" i="53"/>
  <c r="B131" i="53"/>
  <c r="A130" i="53"/>
  <c r="K130" i="53"/>
  <c r="J130" i="53"/>
  <c r="I130" i="53"/>
  <c r="H130" i="53"/>
  <c r="G130" i="53"/>
  <c r="F130" i="53"/>
  <c r="E130" i="53"/>
  <c r="D130" i="53"/>
  <c r="C130" i="53"/>
  <c r="B130" i="53"/>
  <c r="A129" i="53"/>
  <c r="K129" i="53"/>
  <c r="J129" i="53"/>
  <c r="I129" i="53"/>
  <c r="H129" i="53"/>
  <c r="G129" i="53"/>
  <c r="F129" i="53"/>
  <c r="E129" i="53"/>
  <c r="D129" i="53"/>
  <c r="C129" i="53"/>
  <c r="B129" i="53"/>
  <c r="A128" i="53"/>
  <c r="K128" i="53"/>
  <c r="J128" i="53"/>
  <c r="I128" i="53"/>
  <c r="H128" i="53"/>
  <c r="G128" i="53"/>
  <c r="F128" i="53"/>
  <c r="E128" i="53"/>
  <c r="D128" i="53"/>
  <c r="C128" i="53"/>
  <c r="B128" i="53"/>
  <c r="A127" i="53"/>
  <c r="K127" i="53"/>
  <c r="J127" i="53"/>
  <c r="I127" i="53"/>
  <c r="H127" i="53"/>
  <c r="G127" i="53"/>
  <c r="F127" i="53"/>
  <c r="E127" i="53"/>
  <c r="D127" i="53"/>
  <c r="C127" i="53"/>
  <c r="B127" i="53"/>
  <c r="A126" i="53"/>
  <c r="K126" i="53"/>
  <c r="J126" i="53"/>
  <c r="I126" i="53"/>
  <c r="H126" i="53"/>
  <c r="G126" i="53"/>
  <c r="F126" i="53"/>
  <c r="E126" i="53"/>
  <c r="D126" i="53"/>
  <c r="C126" i="53"/>
  <c r="B126" i="53"/>
  <c r="A125" i="53"/>
  <c r="K125" i="53"/>
  <c r="J125" i="53"/>
  <c r="I125" i="53"/>
  <c r="H125" i="53"/>
  <c r="G125" i="53"/>
  <c r="F125" i="53"/>
  <c r="E125" i="53"/>
  <c r="D125" i="53"/>
  <c r="C125" i="53"/>
  <c r="B125" i="53"/>
  <c r="A124" i="53"/>
  <c r="K124" i="53"/>
  <c r="J124" i="53"/>
  <c r="I124" i="53"/>
  <c r="H124" i="53"/>
  <c r="G124" i="53"/>
  <c r="F124" i="53"/>
  <c r="E124" i="53"/>
  <c r="D124" i="53"/>
  <c r="C124" i="53"/>
  <c r="B124" i="53"/>
  <c r="A123" i="53"/>
  <c r="K123" i="53"/>
  <c r="J123" i="53"/>
  <c r="I123" i="53"/>
  <c r="H123" i="53"/>
  <c r="G123" i="53"/>
  <c r="F123" i="53"/>
  <c r="E123" i="53"/>
  <c r="D123" i="53"/>
  <c r="C123" i="53"/>
  <c r="B123" i="53"/>
  <c r="A122" i="53"/>
  <c r="K122" i="53"/>
  <c r="J122" i="53"/>
  <c r="I122" i="53"/>
  <c r="H122" i="53"/>
  <c r="G122" i="53"/>
  <c r="F122" i="53"/>
  <c r="E122" i="53"/>
  <c r="D122" i="53"/>
  <c r="C122" i="53"/>
  <c r="B122" i="53"/>
  <c r="A121" i="53"/>
  <c r="K121" i="53"/>
  <c r="J121" i="53"/>
  <c r="I121" i="53"/>
  <c r="H121" i="53"/>
  <c r="G121" i="53"/>
  <c r="F121" i="53"/>
  <c r="E121" i="53"/>
  <c r="D121" i="53"/>
  <c r="C121" i="53"/>
  <c r="B121" i="53"/>
  <c r="A120" i="53"/>
  <c r="K120" i="53"/>
  <c r="J120" i="53"/>
  <c r="I120" i="53"/>
  <c r="H120" i="53"/>
  <c r="G120" i="53"/>
  <c r="F120" i="53"/>
  <c r="E120" i="53"/>
  <c r="D120" i="53"/>
  <c r="C120" i="53"/>
  <c r="B120" i="53"/>
  <c r="A119" i="53"/>
  <c r="K119" i="53"/>
  <c r="J119" i="53"/>
  <c r="I119" i="53"/>
  <c r="H119" i="53"/>
  <c r="G119" i="53"/>
  <c r="F119" i="53"/>
  <c r="E119" i="53"/>
  <c r="D119" i="53"/>
  <c r="C119" i="53"/>
  <c r="B119" i="53"/>
  <c r="A118" i="53"/>
  <c r="K118" i="53"/>
  <c r="J118" i="53"/>
  <c r="I118" i="53"/>
  <c r="H118" i="53"/>
  <c r="G118" i="53"/>
  <c r="F118" i="53"/>
  <c r="E118" i="53"/>
  <c r="D118" i="53"/>
  <c r="C118" i="53"/>
  <c r="B118" i="53"/>
  <c r="A117" i="53"/>
  <c r="K117" i="53"/>
  <c r="J117" i="53"/>
  <c r="I117" i="53"/>
  <c r="H117" i="53"/>
  <c r="G117" i="53"/>
  <c r="F117" i="53"/>
  <c r="E117" i="53"/>
  <c r="D117" i="53"/>
  <c r="C117" i="53"/>
  <c r="B117" i="53"/>
  <c r="A116" i="53"/>
  <c r="K116" i="53"/>
  <c r="J116" i="53"/>
  <c r="I116" i="53"/>
  <c r="H116" i="53"/>
  <c r="G116" i="53"/>
  <c r="F116" i="53"/>
  <c r="E116" i="53"/>
  <c r="D116" i="53"/>
  <c r="C116" i="53"/>
  <c r="B116" i="53"/>
  <c r="A115" i="53"/>
  <c r="K115" i="53"/>
  <c r="J115" i="53"/>
  <c r="I115" i="53"/>
  <c r="H115" i="53"/>
  <c r="G115" i="53"/>
  <c r="F115" i="53"/>
  <c r="E115" i="53"/>
  <c r="D115" i="53"/>
  <c r="C115" i="53"/>
  <c r="B115" i="53"/>
  <c r="A114" i="53"/>
  <c r="K114" i="53"/>
  <c r="J114" i="53"/>
  <c r="I114" i="53"/>
  <c r="H114" i="53"/>
  <c r="G114" i="53"/>
  <c r="F114" i="53"/>
  <c r="E114" i="53"/>
  <c r="D114" i="53"/>
  <c r="C114" i="53"/>
  <c r="B114" i="53"/>
  <c r="A113" i="53"/>
  <c r="K113" i="53"/>
  <c r="J113" i="53"/>
  <c r="I113" i="53"/>
  <c r="H113" i="53"/>
  <c r="G113" i="53"/>
  <c r="F113" i="53"/>
  <c r="E113" i="53"/>
  <c r="D113" i="53"/>
  <c r="C113" i="53"/>
  <c r="B113" i="53"/>
  <c r="A112" i="53"/>
  <c r="K112" i="53"/>
  <c r="J112" i="53"/>
  <c r="I112" i="53"/>
  <c r="H112" i="53"/>
  <c r="G112" i="53"/>
  <c r="F112" i="53"/>
  <c r="E112" i="53"/>
  <c r="D112" i="53"/>
  <c r="C112" i="53"/>
  <c r="B112" i="53"/>
  <c r="A111" i="53"/>
  <c r="K111" i="53"/>
  <c r="J111" i="53"/>
  <c r="I111" i="53"/>
  <c r="H111" i="53"/>
  <c r="G111" i="53"/>
  <c r="F111" i="53"/>
  <c r="E111" i="53"/>
  <c r="D111" i="53"/>
  <c r="C111" i="53"/>
  <c r="B111" i="53"/>
  <c r="A110" i="53"/>
  <c r="K110" i="53"/>
  <c r="J110" i="53"/>
  <c r="I110" i="53"/>
  <c r="H110" i="53"/>
  <c r="G110" i="53"/>
  <c r="F110" i="53"/>
  <c r="E110" i="53"/>
  <c r="D110" i="53"/>
  <c r="C110" i="53"/>
  <c r="B110" i="53"/>
  <c r="A109" i="53"/>
  <c r="K109" i="53"/>
  <c r="J109" i="53"/>
  <c r="I109" i="53"/>
  <c r="H109" i="53"/>
  <c r="G109" i="53"/>
  <c r="F109" i="53"/>
  <c r="E109" i="53"/>
  <c r="D109" i="53"/>
  <c r="C109" i="53"/>
  <c r="B109" i="53"/>
  <c r="A108" i="53"/>
  <c r="K108" i="53"/>
  <c r="J108" i="53"/>
  <c r="I108" i="53"/>
  <c r="H108" i="53"/>
  <c r="G108" i="53"/>
  <c r="F108" i="53"/>
  <c r="E108" i="53"/>
  <c r="D108" i="53"/>
  <c r="C108" i="53"/>
  <c r="B108" i="53"/>
  <c r="A107" i="53"/>
  <c r="K107" i="53"/>
  <c r="J107" i="53"/>
  <c r="I107" i="53"/>
  <c r="H107" i="53"/>
  <c r="G107" i="53"/>
  <c r="F107" i="53"/>
  <c r="E107" i="53"/>
  <c r="D107" i="53"/>
  <c r="C107" i="53"/>
  <c r="B107" i="53"/>
  <c r="A106" i="53"/>
  <c r="K106" i="53"/>
  <c r="J106" i="53"/>
  <c r="I106" i="53"/>
  <c r="H106" i="53"/>
  <c r="G106" i="53"/>
  <c r="F106" i="53"/>
  <c r="E106" i="53"/>
  <c r="D106" i="53"/>
  <c r="C106" i="53"/>
  <c r="B106" i="53"/>
  <c r="A105" i="53"/>
  <c r="K105" i="53"/>
  <c r="J105" i="53"/>
  <c r="I105" i="53"/>
  <c r="H105" i="53"/>
  <c r="G105" i="53"/>
  <c r="F105" i="53"/>
  <c r="E105" i="53"/>
  <c r="D105" i="53"/>
  <c r="C105" i="53"/>
  <c r="B105" i="53"/>
  <c r="A104" i="53"/>
  <c r="K104" i="53"/>
  <c r="J104" i="53"/>
  <c r="I104" i="53"/>
  <c r="H104" i="53"/>
  <c r="G104" i="53"/>
  <c r="F104" i="53"/>
  <c r="E104" i="53"/>
  <c r="D104" i="53"/>
  <c r="C104" i="53"/>
  <c r="B104" i="53"/>
  <c r="A103" i="53"/>
  <c r="K103" i="53"/>
  <c r="J103" i="53"/>
  <c r="I103" i="53"/>
  <c r="H103" i="53"/>
  <c r="G103" i="53"/>
  <c r="F103" i="53"/>
  <c r="E103" i="53"/>
  <c r="D103" i="53"/>
  <c r="C103" i="53"/>
  <c r="B103" i="53"/>
  <c r="A102" i="53"/>
  <c r="K102" i="53"/>
  <c r="J102" i="53"/>
  <c r="I102" i="53"/>
  <c r="H102" i="53"/>
  <c r="G102" i="53"/>
  <c r="F102" i="53"/>
  <c r="E102" i="53"/>
  <c r="D102" i="53"/>
  <c r="C102" i="53"/>
  <c r="B102" i="53"/>
  <c r="A101" i="53"/>
  <c r="K101" i="53"/>
  <c r="J101" i="53"/>
  <c r="I101" i="53"/>
  <c r="H101" i="53"/>
  <c r="G101" i="53"/>
  <c r="F101" i="53"/>
  <c r="E101" i="53"/>
  <c r="D101" i="53"/>
  <c r="C101" i="53"/>
  <c r="B101" i="53"/>
  <c r="A100" i="53"/>
  <c r="K100" i="53"/>
  <c r="J100" i="53"/>
  <c r="I100" i="53"/>
  <c r="H100" i="53"/>
  <c r="G100" i="53"/>
  <c r="F100" i="53"/>
  <c r="E100" i="53"/>
  <c r="D100" i="53"/>
  <c r="C100" i="53"/>
  <c r="B100" i="53"/>
  <c r="A99" i="53"/>
  <c r="K99" i="53"/>
  <c r="J99" i="53"/>
  <c r="I99" i="53"/>
  <c r="H99" i="53"/>
  <c r="G99" i="53"/>
  <c r="F99" i="53"/>
  <c r="E99" i="53"/>
  <c r="D99" i="53"/>
  <c r="C99" i="53"/>
  <c r="B99" i="53"/>
  <c r="A98" i="53"/>
  <c r="K98" i="53"/>
  <c r="J98" i="53"/>
  <c r="I98" i="53"/>
  <c r="H98" i="53"/>
  <c r="G98" i="53"/>
  <c r="F98" i="53"/>
  <c r="E98" i="53"/>
  <c r="D98" i="53"/>
  <c r="C98" i="53"/>
  <c r="B98" i="53"/>
  <c r="A97" i="53"/>
  <c r="K97" i="53"/>
  <c r="J97" i="53"/>
  <c r="I97" i="53"/>
  <c r="H97" i="53"/>
  <c r="G97" i="53"/>
  <c r="F97" i="53"/>
  <c r="E97" i="53"/>
  <c r="D97" i="53"/>
  <c r="C97" i="53"/>
  <c r="B97" i="53"/>
  <c r="A96" i="53"/>
  <c r="K96" i="53"/>
  <c r="J96" i="53"/>
  <c r="I96" i="53"/>
  <c r="H96" i="53"/>
  <c r="G96" i="53"/>
  <c r="F96" i="53"/>
  <c r="E96" i="53"/>
  <c r="D96" i="53"/>
  <c r="C96" i="53"/>
  <c r="B96" i="53"/>
  <c r="A95" i="53"/>
  <c r="K95" i="53"/>
  <c r="J95" i="53"/>
  <c r="I95" i="53"/>
  <c r="H95" i="53"/>
  <c r="G95" i="53"/>
  <c r="F95" i="53"/>
  <c r="E95" i="53"/>
  <c r="D95" i="53"/>
  <c r="C95" i="53"/>
  <c r="B95" i="53"/>
  <c r="A94" i="53"/>
  <c r="K94" i="53"/>
  <c r="J94" i="53"/>
  <c r="I94" i="53"/>
  <c r="H94" i="53"/>
  <c r="G94" i="53"/>
  <c r="F94" i="53"/>
  <c r="E94" i="53"/>
  <c r="D94" i="53"/>
  <c r="C94" i="53"/>
  <c r="B94" i="53"/>
  <c r="A93" i="53"/>
  <c r="K93" i="53"/>
  <c r="J93" i="53"/>
  <c r="I93" i="53"/>
  <c r="H93" i="53"/>
  <c r="G93" i="53"/>
  <c r="F93" i="53"/>
  <c r="E93" i="53"/>
  <c r="D93" i="53"/>
  <c r="C93" i="53"/>
  <c r="B93" i="53"/>
  <c r="A92" i="53"/>
  <c r="K92" i="53"/>
  <c r="J92" i="53"/>
  <c r="I92" i="53"/>
  <c r="H92" i="53"/>
  <c r="G92" i="53"/>
  <c r="F92" i="53"/>
  <c r="E92" i="53"/>
  <c r="D92" i="53"/>
  <c r="C92" i="53"/>
  <c r="B92" i="53"/>
  <c r="A91" i="53"/>
  <c r="K91" i="53"/>
  <c r="J91" i="53"/>
  <c r="I91" i="53"/>
  <c r="H91" i="53"/>
  <c r="G91" i="53"/>
  <c r="F91" i="53"/>
  <c r="E91" i="53"/>
  <c r="D91" i="53"/>
  <c r="C91" i="53"/>
  <c r="B91" i="53"/>
  <c r="A90" i="53"/>
  <c r="K90" i="53"/>
  <c r="J90" i="53"/>
  <c r="I90" i="53"/>
  <c r="H90" i="53"/>
  <c r="G90" i="53"/>
  <c r="F90" i="53"/>
  <c r="E90" i="53"/>
  <c r="D90" i="53"/>
  <c r="C90" i="53"/>
  <c r="B90" i="53"/>
  <c r="A89" i="53"/>
  <c r="K89" i="53"/>
  <c r="J89" i="53"/>
  <c r="I89" i="53"/>
  <c r="H89" i="53"/>
  <c r="G89" i="53"/>
  <c r="F89" i="53"/>
  <c r="E89" i="53"/>
  <c r="D89" i="53"/>
  <c r="C89" i="53"/>
  <c r="B89" i="53"/>
  <c r="A88" i="53"/>
  <c r="K88" i="53"/>
  <c r="J88" i="53"/>
  <c r="I88" i="53"/>
  <c r="H88" i="53"/>
  <c r="G88" i="53"/>
  <c r="F88" i="53"/>
  <c r="E88" i="53"/>
  <c r="D88" i="53"/>
  <c r="C88" i="53"/>
  <c r="B88" i="53"/>
  <c r="A87" i="53"/>
  <c r="K87" i="53"/>
  <c r="J87" i="53"/>
  <c r="I87" i="53"/>
  <c r="H87" i="53"/>
  <c r="G87" i="53"/>
  <c r="F87" i="53"/>
  <c r="E87" i="53"/>
  <c r="D87" i="53"/>
  <c r="C87" i="53"/>
  <c r="B87" i="53"/>
  <c r="A86" i="53"/>
  <c r="K86" i="53"/>
  <c r="J86" i="53"/>
  <c r="I86" i="53"/>
  <c r="H86" i="53"/>
  <c r="G86" i="53"/>
  <c r="F86" i="53"/>
  <c r="E86" i="53"/>
  <c r="D86" i="53"/>
  <c r="C86" i="53"/>
  <c r="B86" i="53"/>
  <c r="A85" i="53"/>
  <c r="K85" i="53"/>
  <c r="J85" i="53"/>
  <c r="I85" i="53"/>
  <c r="H85" i="53"/>
  <c r="G85" i="53"/>
  <c r="F85" i="53"/>
  <c r="E85" i="53"/>
  <c r="D85" i="53"/>
  <c r="C85" i="53"/>
  <c r="B85" i="53"/>
  <c r="A84" i="53"/>
  <c r="K84" i="53"/>
  <c r="J84" i="53"/>
  <c r="I84" i="53"/>
  <c r="H84" i="53"/>
  <c r="G84" i="53"/>
  <c r="F84" i="53"/>
  <c r="E84" i="53"/>
  <c r="D84" i="53"/>
  <c r="C84" i="53"/>
  <c r="B84" i="53"/>
  <c r="A83" i="53"/>
  <c r="K83" i="53"/>
  <c r="J83" i="53"/>
  <c r="I83" i="53"/>
  <c r="H83" i="53"/>
  <c r="G83" i="53"/>
  <c r="F83" i="53"/>
  <c r="E83" i="53"/>
  <c r="D83" i="53"/>
  <c r="C83" i="53"/>
  <c r="B83" i="53"/>
  <c r="A82" i="53"/>
  <c r="K82" i="53"/>
  <c r="J82" i="53"/>
  <c r="I82" i="53"/>
  <c r="H82" i="53"/>
  <c r="G82" i="53"/>
  <c r="F82" i="53"/>
  <c r="E82" i="53"/>
  <c r="D82" i="53"/>
  <c r="C82" i="53"/>
  <c r="B82" i="53"/>
  <c r="A81" i="53"/>
  <c r="K81" i="53"/>
  <c r="J81" i="53"/>
  <c r="I81" i="53"/>
  <c r="H81" i="53"/>
  <c r="G81" i="53"/>
  <c r="F81" i="53"/>
  <c r="E81" i="53"/>
  <c r="D81" i="53"/>
  <c r="C81" i="53"/>
  <c r="B81" i="53"/>
  <c r="A80" i="53"/>
  <c r="K80" i="53"/>
  <c r="J80" i="53"/>
  <c r="I80" i="53"/>
  <c r="H80" i="53"/>
  <c r="G80" i="53"/>
  <c r="F80" i="53"/>
  <c r="E80" i="53"/>
  <c r="D80" i="53"/>
  <c r="C80" i="53"/>
  <c r="B80" i="53"/>
  <c r="A79" i="53"/>
  <c r="K79" i="53"/>
  <c r="J79" i="53"/>
  <c r="I79" i="53"/>
  <c r="H79" i="53"/>
  <c r="G79" i="53"/>
  <c r="F79" i="53"/>
  <c r="E79" i="53"/>
  <c r="D79" i="53"/>
  <c r="C79" i="53"/>
  <c r="B79" i="53"/>
  <c r="A78" i="53"/>
  <c r="K78" i="53"/>
  <c r="J78" i="53"/>
  <c r="I78" i="53"/>
  <c r="H78" i="53"/>
  <c r="G78" i="53"/>
  <c r="F78" i="53"/>
  <c r="E78" i="53"/>
  <c r="D78" i="53"/>
  <c r="C78" i="53"/>
  <c r="B78" i="53"/>
  <c r="A77" i="53"/>
  <c r="K77" i="53"/>
  <c r="J77" i="53"/>
  <c r="I77" i="53"/>
  <c r="H77" i="53"/>
  <c r="G77" i="53"/>
  <c r="F77" i="53"/>
  <c r="E77" i="53"/>
  <c r="D77" i="53"/>
  <c r="C77" i="53"/>
  <c r="B77" i="53"/>
  <c r="A76" i="53"/>
  <c r="K76" i="53"/>
  <c r="J76" i="53"/>
  <c r="I76" i="53"/>
  <c r="H76" i="53"/>
  <c r="G76" i="53"/>
  <c r="F76" i="53"/>
  <c r="E76" i="53"/>
  <c r="D76" i="53"/>
  <c r="C76" i="53"/>
  <c r="B76" i="53"/>
  <c r="A75" i="53"/>
  <c r="K75" i="53"/>
  <c r="J75" i="53"/>
  <c r="I75" i="53"/>
  <c r="H75" i="53"/>
  <c r="G75" i="53"/>
  <c r="F75" i="53"/>
  <c r="E75" i="53"/>
  <c r="D75" i="53"/>
  <c r="C75" i="53"/>
  <c r="B75" i="53"/>
  <c r="A74" i="53"/>
  <c r="K74" i="53"/>
  <c r="J74" i="53"/>
  <c r="I74" i="53"/>
  <c r="H74" i="53"/>
  <c r="G74" i="53"/>
  <c r="F74" i="53"/>
  <c r="E74" i="53"/>
  <c r="D74" i="53"/>
  <c r="C74" i="53"/>
  <c r="B74" i="53"/>
  <c r="A73" i="53"/>
  <c r="K73" i="53"/>
  <c r="J73" i="53"/>
  <c r="I73" i="53"/>
  <c r="H73" i="53"/>
  <c r="G73" i="53"/>
  <c r="F73" i="53"/>
  <c r="E73" i="53"/>
  <c r="D73" i="53"/>
  <c r="C73" i="53"/>
  <c r="B73" i="53"/>
  <c r="A72" i="53"/>
  <c r="K72" i="53"/>
  <c r="J72" i="53"/>
  <c r="I72" i="53"/>
  <c r="H72" i="53"/>
  <c r="G72" i="53"/>
  <c r="F72" i="53"/>
  <c r="E72" i="53"/>
  <c r="D72" i="53"/>
  <c r="C72" i="53"/>
  <c r="B72" i="53"/>
  <c r="A71" i="53"/>
  <c r="K71" i="53"/>
  <c r="J71" i="53"/>
  <c r="I71" i="53"/>
  <c r="H71" i="53"/>
  <c r="G71" i="53"/>
  <c r="F71" i="53"/>
  <c r="E71" i="53"/>
  <c r="D71" i="53"/>
  <c r="C71" i="53"/>
  <c r="B71" i="53"/>
  <c r="A70" i="53"/>
  <c r="K70" i="53"/>
  <c r="J70" i="53"/>
  <c r="I70" i="53"/>
  <c r="H70" i="53"/>
  <c r="G70" i="53"/>
  <c r="F70" i="53"/>
  <c r="E70" i="53"/>
  <c r="D70" i="53"/>
  <c r="C70" i="53"/>
  <c r="B70" i="53"/>
  <c r="A69" i="53"/>
  <c r="K69" i="53"/>
  <c r="J69" i="53"/>
  <c r="I69" i="53"/>
  <c r="H69" i="53"/>
  <c r="G69" i="53"/>
  <c r="F69" i="53"/>
  <c r="E69" i="53"/>
  <c r="D69" i="53"/>
  <c r="C69" i="53"/>
  <c r="B69" i="53"/>
  <c r="A68" i="53"/>
  <c r="K68" i="53"/>
  <c r="J68" i="53"/>
  <c r="I68" i="53"/>
  <c r="H68" i="53"/>
  <c r="G68" i="53"/>
  <c r="F68" i="53"/>
  <c r="E68" i="53"/>
  <c r="D68" i="53"/>
  <c r="C68" i="53"/>
  <c r="B68" i="53"/>
  <c r="A67" i="53"/>
  <c r="K67" i="53"/>
  <c r="J67" i="53"/>
  <c r="I67" i="53"/>
  <c r="H67" i="53"/>
  <c r="G67" i="53"/>
  <c r="F67" i="53"/>
  <c r="E67" i="53"/>
  <c r="D67" i="53"/>
  <c r="C67" i="53"/>
  <c r="B67" i="53"/>
  <c r="A66" i="53"/>
  <c r="K66" i="53"/>
  <c r="J66" i="53"/>
  <c r="I66" i="53"/>
  <c r="H66" i="53"/>
  <c r="G66" i="53"/>
  <c r="F66" i="53"/>
  <c r="E66" i="53"/>
  <c r="D66" i="53"/>
  <c r="C66" i="53"/>
  <c r="B66" i="53"/>
  <c r="A65" i="53"/>
  <c r="K65" i="53"/>
  <c r="J65" i="53"/>
  <c r="I65" i="53"/>
  <c r="H65" i="53"/>
  <c r="G65" i="53"/>
  <c r="F65" i="53"/>
  <c r="E65" i="53"/>
  <c r="D65" i="53"/>
  <c r="C65" i="53"/>
  <c r="B65" i="53"/>
  <c r="A64" i="53"/>
  <c r="K64" i="53"/>
  <c r="J64" i="53"/>
  <c r="I64" i="53"/>
  <c r="H64" i="53"/>
  <c r="G64" i="53"/>
  <c r="F64" i="53"/>
  <c r="E64" i="53"/>
  <c r="D64" i="53"/>
  <c r="C64" i="53"/>
  <c r="B64" i="53"/>
  <c r="A63" i="53"/>
  <c r="K63" i="53"/>
  <c r="J63" i="53"/>
  <c r="I63" i="53"/>
  <c r="H63" i="53"/>
  <c r="G63" i="53"/>
  <c r="F63" i="53"/>
  <c r="E63" i="53"/>
  <c r="D63" i="53"/>
  <c r="C63" i="53"/>
  <c r="B63" i="53"/>
  <c r="A62" i="53"/>
  <c r="K62" i="53"/>
  <c r="J62" i="53"/>
  <c r="I62" i="53"/>
  <c r="H62" i="53"/>
  <c r="G62" i="53"/>
  <c r="F62" i="53"/>
  <c r="E62" i="53"/>
  <c r="D62" i="53"/>
  <c r="C62" i="53"/>
  <c r="B62" i="53"/>
  <c r="A61" i="53"/>
  <c r="K61" i="53"/>
  <c r="J61" i="53"/>
  <c r="I61" i="53"/>
  <c r="H61" i="53"/>
  <c r="G61" i="53"/>
  <c r="F61" i="53"/>
  <c r="E61" i="53"/>
  <c r="D61" i="53"/>
  <c r="C61" i="53"/>
  <c r="B61" i="53"/>
  <c r="A60" i="53"/>
  <c r="K60" i="53"/>
  <c r="J60" i="53"/>
  <c r="I60" i="53"/>
  <c r="H60" i="53"/>
  <c r="G60" i="53"/>
  <c r="F60" i="53"/>
  <c r="E60" i="53"/>
  <c r="D60" i="53"/>
  <c r="C60" i="53"/>
  <c r="B60" i="53"/>
  <c r="A59" i="53"/>
  <c r="K59" i="53"/>
  <c r="J59" i="53"/>
  <c r="I59" i="53"/>
  <c r="H59" i="53"/>
  <c r="G59" i="53"/>
  <c r="F59" i="53"/>
  <c r="E59" i="53"/>
  <c r="D59" i="53"/>
  <c r="C59" i="53"/>
  <c r="B59" i="53"/>
  <c r="A58" i="53"/>
  <c r="K58" i="53"/>
  <c r="J58" i="53"/>
  <c r="I58" i="53"/>
  <c r="H58" i="53"/>
  <c r="G58" i="53"/>
  <c r="F58" i="53"/>
  <c r="E58" i="53"/>
  <c r="D58" i="53"/>
  <c r="C58" i="53"/>
  <c r="B58" i="53"/>
  <c r="A57" i="53"/>
  <c r="K57" i="53"/>
  <c r="J57" i="53"/>
  <c r="I57" i="53"/>
  <c r="H57" i="53"/>
  <c r="G57" i="53"/>
  <c r="F57" i="53"/>
  <c r="E57" i="53"/>
  <c r="D57" i="53"/>
  <c r="C57" i="53"/>
  <c r="B57" i="53"/>
  <c r="A56" i="53"/>
  <c r="K56" i="53"/>
  <c r="J56" i="53"/>
  <c r="I56" i="53"/>
  <c r="H56" i="53"/>
  <c r="G56" i="53"/>
  <c r="F56" i="53"/>
  <c r="E56" i="53"/>
  <c r="D56" i="53"/>
  <c r="C56" i="53"/>
  <c r="B56" i="53"/>
  <c r="A55" i="53"/>
  <c r="K55" i="53"/>
  <c r="J55" i="53"/>
  <c r="I55" i="53"/>
  <c r="H55" i="53"/>
  <c r="G55" i="53"/>
  <c r="F55" i="53"/>
  <c r="E55" i="53"/>
  <c r="D55" i="53"/>
  <c r="C55" i="53"/>
  <c r="B55" i="53"/>
  <c r="A54" i="53"/>
  <c r="K54" i="53"/>
  <c r="J54" i="53"/>
  <c r="I54" i="53"/>
  <c r="H54" i="53"/>
  <c r="G54" i="53"/>
  <c r="F54" i="53"/>
  <c r="E54" i="53"/>
  <c r="D54" i="53"/>
  <c r="C54" i="53"/>
  <c r="B54" i="53"/>
  <c r="A53" i="53"/>
  <c r="K53" i="53"/>
  <c r="J53" i="53"/>
  <c r="I53" i="53"/>
  <c r="H53" i="53"/>
  <c r="G53" i="53"/>
  <c r="F53" i="53"/>
  <c r="E53" i="53"/>
  <c r="D53" i="53"/>
  <c r="C53" i="53"/>
  <c r="B53" i="53"/>
  <c r="A52" i="53"/>
  <c r="K52" i="53"/>
  <c r="J52" i="53"/>
  <c r="I52" i="53"/>
  <c r="H52" i="53"/>
  <c r="G52" i="53"/>
  <c r="F52" i="53"/>
  <c r="E52" i="53"/>
  <c r="D52" i="53"/>
  <c r="C52" i="53"/>
  <c r="B52" i="53"/>
  <c r="A51" i="53"/>
  <c r="K51" i="53"/>
  <c r="J51" i="53"/>
  <c r="I51" i="53"/>
  <c r="H51" i="53"/>
  <c r="G51" i="53"/>
  <c r="F51" i="53"/>
  <c r="E51" i="53"/>
  <c r="D51" i="53"/>
  <c r="C51" i="53"/>
  <c r="B51" i="53"/>
  <c r="A50" i="53"/>
  <c r="K50" i="53"/>
  <c r="J50" i="53"/>
  <c r="I50" i="53"/>
  <c r="H50" i="53"/>
  <c r="G50" i="53"/>
  <c r="F50" i="53"/>
  <c r="E50" i="53"/>
  <c r="D50" i="53"/>
  <c r="C50" i="53"/>
  <c r="B50" i="53"/>
  <c r="A49" i="53"/>
  <c r="K49" i="53"/>
  <c r="J49" i="53"/>
  <c r="I49" i="53"/>
  <c r="H49" i="53"/>
  <c r="G49" i="53"/>
  <c r="F49" i="53"/>
  <c r="E49" i="53"/>
  <c r="D49" i="53"/>
  <c r="C49" i="53"/>
  <c r="B49" i="53"/>
  <c r="A48" i="53"/>
  <c r="K48" i="53"/>
  <c r="J48" i="53"/>
  <c r="I48" i="53"/>
  <c r="H48" i="53"/>
  <c r="G48" i="53"/>
  <c r="F48" i="53"/>
  <c r="E48" i="53"/>
  <c r="D48" i="53"/>
  <c r="C48" i="53"/>
  <c r="B48" i="53"/>
  <c r="A47" i="53"/>
  <c r="K47" i="53"/>
  <c r="J47" i="53"/>
  <c r="I47" i="53"/>
  <c r="H47" i="53"/>
  <c r="G47" i="53"/>
  <c r="F47" i="53"/>
  <c r="E47" i="53"/>
  <c r="D47" i="53"/>
  <c r="C47" i="53"/>
  <c r="B47" i="53"/>
  <c r="A46" i="53"/>
  <c r="K46" i="53"/>
  <c r="J46" i="53"/>
  <c r="I46" i="53"/>
  <c r="H46" i="53"/>
  <c r="G46" i="53"/>
  <c r="F46" i="53"/>
  <c r="E46" i="53"/>
  <c r="D46" i="53"/>
  <c r="C46" i="53"/>
  <c r="B46" i="53"/>
  <c r="A45" i="53"/>
  <c r="K45" i="53"/>
  <c r="J45" i="53"/>
  <c r="I45" i="53"/>
  <c r="H45" i="53"/>
  <c r="G45" i="53"/>
  <c r="F45" i="53"/>
  <c r="E45" i="53"/>
  <c r="D45" i="53"/>
  <c r="C45" i="53"/>
  <c r="B45" i="53"/>
  <c r="A44" i="53"/>
  <c r="K44" i="53"/>
  <c r="J44" i="53"/>
  <c r="I44" i="53"/>
  <c r="H44" i="53"/>
  <c r="G44" i="53"/>
  <c r="F44" i="53"/>
  <c r="E44" i="53"/>
  <c r="D44" i="53"/>
  <c r="C44" i="53"/>
  <c r="B44" i="53"/>
  <c r="A43" i="53"/>
  <c r="K43" i="53"/>
  <c r="J43" i="53"/>
  <c r="I43" i="53"/>
  <c r="H43" i="53"/>
  <c r="G43" i="53"/>
  <c r="F43" i="53"/>
  <c r="E43" i="53"/>
  <c r="D43" i="53"/>
  <c r="C43" i="53"/>
  <c r="B43" i="53"/>
  <c r="A42" i="53"/>
  <c r="K42" i="53"/>
  <c r="J42" i="53"/>
  <c r="I42" i="53"/>
  <c r="H42" i="53"/>
  <c r="G42" i="53"/>
  <c r="F42" i="53"/>
  <c r="E42" i="53"/>
  <c r="D42" i="53"/>
  <c r="C42" i="53"/>
  <c r="B42" i="53"/>
  <c r="A41" i="53"/>
  <c r="K41" i="53"/>
  <c r="J41" i="53"/>
  <c r="I41" i="53"/>
  <c r="H41" i="53"/>
  <c r="G41" i="53"/>
  <c r="F41" i="53"/>
  <c r="E41" i="53"/>
  <c r="D41" i="53"/>
  <c r="C41" i="53"/>
  <c r="B41" i="53"/>
  <c r="A40" i="53"/>
  <c r="K40" i="53"/>
  <c r="J40" i="53"/>
  <c r="I40" i="53"/>
  <c r="H40" i="53"/>
  <c r="G40" i="53"/>
  <c r="F40" i="53"/>
  <c r="E40" i="53"/>
  <c r="D40" i="53"/>
  <c r="C40" i="53"/>
  <c r="B40" i="53"/>
  <c r="A39" i="53"/>
  <c r="K39" i="53"/>
  <c r="J39" i="53"/>
  <c r="I39" i="53"/>
  <c r="H39" i="53"/>
  <c r="G39" i="53"/>
  <c r="F39" i="53"/>
  <c r="E39" i="53"/>
  <c r="D39" i="53"/>
  <c r="C39" i="53"/>
  <c r="B39" i="53"/>
  <c r="A38" i="53"/>
  <c r="K38" i="53"/>
  <c r="J38" i="53"/>
  <c r="I38" i="53"/>
  <c r="H38" i="53"/>
  <c r="G38" i="53"/>
  <c r="F38" i="53"/>
  <c r="E38" i="53"/>
  <c r="D38" i="53"/>
  <c r="C38" i="53"/>
  <c r="B38" i="53"/>
  <c r="A37" i="53"/>
  <c r="K37" i="53"/>
  <c r="J37" i="53"/>
  <c r="I37" i="53"/>
  <c r="H37" i="53"/>
  <c r="G37" i="53"/>
  <c r="F37" i="53"/>
  <c r="E37" i="53"/>
  <c r="D37" i="53"/>
  <c r="C37" i="53"/>
  <c r="B37" i="53"/>
  <c r="A36" i="53"/>
  <c r="K36" i="53"/>
  <c r="J36" i="53"/>
  <c r="I36" i="53"/>
  <c r="H36" i="53"/>
  <c r="G36" i="53"/>
  <c r="F36" i="53"/>
  <c r="E36" i="53"/>
  <c r="D36" i="53"/>
  <c r="C36" i="53"/>
  <c r="B36" i="53"/>
  <c r="A35" i="53"/>
  <c r="K35" i="53"/>
  <c r="J35" i="53"/>
  <c r="I35" i="53"/>
  <c r="H35" i="53"/>
  <c r="G35" i="53"/>
  <c r="F35" i="53"/>
  <c r="E35" i="53"/>
  <c r="D35" i="53"/>
  <c r="C35" i="53"/>
  <c r="B35" i="53"/>
  <c r="A34" i="53"/>
  <c r="K34" i="53"/>
  <c r="J34" i="53"/>
  <c r="I34" i="53"/>
  <c r="H34" i="53"/>
  <c r="G34" i="53"/>
  <c r="F34" i="53"/>
  <c r="E34" i="53"/>
  <c r="D34" i="53"/>
  <c r="C34" i="53"/>
  <c r="B34" i="53"/>
  <c r="A33" i="53"/>
  <c r="K33" i="53"/>
  <c r="J33" i="53"/>
  <c r="I33" i="53"/>
  <c r="H33" i="53"/>
  <c r="G33" i="53"/>
  <c r="F33" i="53"/>
  <c r="E33" i="53"/>
  <c r="D33" i="53"/>
  <c r="C33" i="53"/>
  <c r="B33" i="53"/>
  <c r="A32" i="53"/>
  <c r="K32" i="53"/>
  <c r="J32" i="53"/>
  <c r="I32" i="53"/>
  <c r="H32" i="53"/>
  <c r="G32" i="53"/>
  <c r="F32" i="53"/>
  <c r="E32" i="53"/>
  <c r="D32" i="53"/>
  <c r="C32" i="53"/>
  <c r="B32" i="53"/>
  <c r="A31" i="53"/>
  <c r="K31" i="53"/>
  <c r="J31" i="53"/>
  <c r="I31" i="53"/>
  <c r="H31" i="53"/>
  <c r="G31" i="53"/>
  <c r="F31" i="53"/>
  <c r="E31" i="53"/>
  <c r="D31" i="53"/>
  <c r="C31" i="53"/>
  <c r="B31" i="53"/>
  <c r="A30" i="53"/>
  <c r="K30" i="53"/>
  <c r="J30" i="53"/>
  <c r="I30" i="53"/>
  <c r="H30" i="53"/>
  <c r="G30" i="53"/>
  <c r="F30" i="53"/>
  <c r="E30" i="53"/>
  <c r="D30" i="53"/>
  <c r="C30" i="53"/>
  <c r="B30" i="53"/>
  <c r="A29" i="53"/>
  <c r="K29" i="53"/>
  <c r="J29" i="53"/>
  <c r="I29" i="53"/>
  <c r="H29" i="53"/>
  <c r="G29" i="53"/>
  <c r="F29" i="53"/>
  <c r="E29" i="53"/>
  <c r="D29" i="53"/>
  <c r="C29" i="53"/>
  <c r="B29" i="53"/>
  <c r="A28" i="53"/>
  <c r="K28" i="53"/>
  <c r="J28" i="53"/>
  <c r="I28" i="53"/>
  <c r="H28" i="53"/>
  <c r="G28" i="53"/>
  <c r="F28" i="53"/>
  <c r="E28" i="53"/>
  <c r="D28" i="53"/>
  <c r="C28" i="53"/>
  <c r="B28" i="53"/>
  <c r="A27" i="53"/>
  <c r="K27" i="53"/>
  <c r="J27" i="53"/>
  <c r="I27" i="53"/>
  <c r="H27" i="53"/>
  <c r="G27" i="53"/>
  <c r="F27" i="53"/>
  <c r="E27" i="53"/>
  <c r="D27" i="53"/>
  <c r="C27" i="53"/>
  <c r="B27" i="53"/>
  <c r="A26" i="53"/>
  <c r="K26" i="53"/>
  <c r="J26" i="53"/>
  <c r="I26" i="53"/>
  <c r="H26" i="53"/>
  <c r="G26" i="53"/>
  <c r="F26" i="53"/>
  <c r="E26" i="53"/>
  <c r="D26" i="53"/>
  <c r="C26" i="53"/>
  <c r="B26" i="53"/>
  <c r="A25" i="53"/>
  <c r="K25" i="53"/>
  <c r="J25" i="53"/>
  <c r="I25" i="53"/>
  <c r="H25" i="53"/>
  <c r="G25" i="53"/>
  <c r="F25" i="53"/>
  <c r="E25" i="53"/>
  <c r="D25" i="53"/>
  <c r="C25" i="53"/>
  <c r="B25" i="53"/>
  <c r="A24" i="53"/>
  <c r="K24" i="53"/>
  <c r="J24" i="53"/>
  <c r="I24" i="53"/>
  <c r="H24" i="53"/>
  <c r="G24" i="53"/>
  <c r="F24" i="53"/>
  <c r="E24" i="53"/>
  <c r="D24" i="53"/>
  <c r="C24" i="53"/>
  <c r="B24" i="53"/>
  <c r="A23" i="53"/>
  <c r="K23" i="53"/>
  <c r="J23" i="53"/>
  <c r="I23" i="53"/>
  <c r="H23" i="53"/>
  <c r="G23" i="53"/>
  <c r="F23" i="53"/>
  <c r="E23" i="53"/>
  <c r="D23" i="53"/>
  <c r="C23" i="53"/>
  <c r="B23" i="53"/>
  <c r="A22" i="53"/>
  <c r="K22" i="53"/>
  <c r="J22" i="53"/>
  <c r="I22" i="53"/>
  <c r="H22" i="53"/>
  <c r="G22" i="53"/>
  <c r="F22" i="53"/>
  <c r="E22" i="53"/>
  <c r="D22" i="53"/>
  <c r="C22" i="53"/>
  <c r="B22" i="53"/>
  <c r="A21" i="53"/>
  <c r="K21" i="53"/>
  <c r="J21" i="53"/>
  <c r="I21" i="53"/>
  <c r="H21" i="53"/>
  <c r="G21" i="53"/>
  <c r="F21" i="53"/>
  <c r="E21" i="53"/>
  <c r="D21" i="53"/>
  <c r="C21" i="53"/>
  <c r="B21" i="53"/>
  <c r="A20" i="53"/>
  <c r="K20" i="53"/>
  <c r="J20" i="53"/>
  <c r="I20" i="53"/>
  <c r="H20" i="53"/>
  <c r="G20" i="53"/>
  <c r="F20" i="53"/>
  <c r="E20" i="53"/>
  <c r="D20" i="53"/>
  <c r="C20" i="53"/>
  <c r="B20" i="53"/>
  <c r="A19" i="53"/>
  <c r="K19" i="53"/>
  <c r="J19" i="53"/>
  <c r="I19" i="53"/>
  <c r="H19" i="53"/>
  <c r="G19" i="53"/>
  <c r="F19" i="53"/>
  <c r="E19" i="53"/>
  <c r="D19" i="53"/>
  <c r="C19" i="53"/>
  <c r="B19" i="53"/>
  <c r="A18" i="53"/>
  <c r="K18" i="53"/>
  <c r="J18" i="53"/>
  <c r="I18" i="53"/>
  <c r="H18" i="53"/>
  <c r="G18" i="53"/>
  <c r="F18" i="53"/>
  <c r="E18" i="53"/>
  <c r="D18" i="53"/>
  <c r="C18" i="53"/>
  <c r="B18" i="53"/>
  <c r="A17" i="53"/>
  <c r="K17" i="53"/>
  <c r="J17" i="53"/>
  <c r="I17" i="53"/>
  <c r="H17" i="53"/>
  <c r="G17" i="53"/>
  <c r="F17" i="53"/>
  <c r="E17" i="53"/>
  <c r="D17" i="53"/>
  <c r="C17" i="53"/>
  <c r="B17" i="53"/>
  <c r="A16" i="53"/>
  <c r="K16" i="53"/>
  <c r="J16" i="53"/>
  <c r="I16" i="53"/>
  <c r="H16" i="53"/>
  <c r="G16" i="53"/>
  <c r="F16" i="53"/>
  <c r="E16" i="53"/>
  <c r="D16" i="53"/>
  <c r="C16" i="53"/>
  <c r="B16" i="53"/>
  <c r="A15" i="53"/>
  <c r="K15" i="53"/>
  <c r="J15" i="53"/>
  <c r="I15" i="53"/>
  <c r="H15" i="53"/>
  <c r="G15" i="53"/>
  <c r="F15" i="53"/>
  <c r="E15" i="53"/>
  <c r="D15" i="53"/>
  <c r="C15" i="53"/>
  <c r="B15" i="53"/>
  <c r="A14" i="53"/>
  <c r="K14" i="53"/>
  <c r="J14" i="53"/>
  <c r="I14" i="53"/>
  <c r="H14" i="53"/>
  <c r="G14" i="53"/>
  <c r="F14" i="53"/>
  <c r="E14" i="53"/>
  <c r="D14" i="53"/>
  <c r="C14" i="53"/>
  <c r="B14" i="53"/>
  <c r="A13" i="53"/>
  <c r="K13" i="53"/>
  <c r="J13" i="53"/>
  <c r="I13" i="53"/>
  <c r="H13" i="53"/>
  <c r="G13" i="53"/>
  <c r="F13" i="53"/>
  <c r="E13" i="53"/>
  <c r="D13" i="53"/>
  <c r="C13" i="53"/>
  <c r="B13" i="53"/>
  <c r="A12" i="53"/>
  <c r="K12" i="53"/>
  <c r="J12" i="53"/>
  <c r="I12" i="53"/>
  <c r="H12" i="53"/>
  <c r="G12" i="53"/>
  <c r="F12" i="53"/>
  <c r="E12" i="53"/>
  <c r="D12" i="53"/>
  <c r="C12" i="53"/>
  <c r="B12" i="53"/>
  <c r="A11" i="53"/>
  <c r="K11" i="53"/>
  <c r="J11" i="53"/>
  <c r="I11" i="53"/>
  <c r="H11" i="53"/>
  <c r="G11" i="53"/>
  <c r="F11" i="53"/>
  <c r="E11" i="53"/>
  <c r="D11" i="53"/>
  <c r="C11" i="53"/>
  <c r="B11" i="53"/>
  <c r="A10" i="53"/>
  <c r="K10" i="53"/>
  <c r="J10" i="53"/>
  <c r="I10" i="53"/>
  <c r="H10" i="53"/>
  <c r="G10" i="53"/>
  <c r="F10" i="53"/>
  <c r="E10" i="53"/>
  <c r="D10" i="53"/>
  <c r="C10" i="53"/>
  <c r="B10" i="53"/>
  <c r="A9" i="53"/>
  <c r="K9" i="53"/>
  <c r="J9" i="53"/>
  <c r="I9" i="53"/>
  <c r="H9" i="53"/>
  <c r="G9" i="53"/>
  <c r="F9" i="53"/>
  <c r="E9" i="53"/>
  <c r="D9" i="53"/>
  <c r="C9" i="53"/>
  <c r="B9" i="53"/>
  <c r="A8" i="53"/>
  <c r="K8" i="53"/>
  <c r="J8" i="53"/>
  <c r="I8" i="53"/>
  <c r="H8" i="53"/>
  <c r="G8" i="53"/>
  <c r="F8" i="53"/>
  <c r="E8" i="53"/>
  <c r="D8" i="53"/>
  <c r="C8" i="53"/>
  <c r="B8" i="53"/>
  <c r="A7" i="53"/>
  <c r="K7" i="53"/>
  <c r="J7" i="53"/>
  <c r="I7" i="53"/>
  <c r="H7" i="53"/>
  <c r="G7" i="53"/>
  <c r="F7" i="53"/>
  <c r="E7" i="53"/>
  <c r="D7" i="53"/>
  <c r="C7" i="53"/>
  <c r="B7" i="53"/>
  <c r="A6" i="53"/>
  <c r="K6" i="53"/>
  <c r="J6" i="53"/>
  <c r="I6" i="53"/>
  <c r="H6" i="53"/>
  <c r="G6" i="53"/>
  <c r="F6" i="53"/>
  <c r="E6" i="53"/>
  <c r="D6" i="53"/>
  <c r="C6" i="53"/>
  <c r="B6" i="53"/>
  <c r="A5" i="53"/>
  <c r="K5" i="53"/>
  <c r="J5" i="53"/>
  <c r="I5" i="53"/>
  <c r="H5" i="53"/>
  <c r="G5" i="53"/>
  <c r="F5" i="53"/>
  <c r="E5" i="53"/>
  <c r="D5" i="53"/>
  <c r="C5" i="53"/>
  <c r="B5" i="53"/>
  <c r="A4" i="53"/>
  <c r="K4" i="53"/>
  <c r="J4" i="53"/>
  <c r="I4" i="53"/>
  <c r="H4" i="53"/>
  <c r="G4" i="53"/>
  <c r="F4" i="53"/>
  <c r="E4" i="53"/>
  <c r="D4" i="53"/>
  <c r="C4" i="53"/>
  <c r="B4" i="53"/>
  <c r="A3" i="53"/>
  <c r="K3" i="53"/>
  <c r="J3" i="53"/>
  <c r="I3" i="53"/>
  <c r="H3" i="53"/>
  <c r="G3" i="53"/>
  <c r="F3" i="53"/>
  <c r="E3" i="53"/>
  <c r="D3" i="53"/>
  <c r="C3" i="53"/>
  <c r="B3" i="53"/>
  <c r="K220" i="52"/>
  <c r="J220" i="52"/>
  <c r="I220" i="52"/>
  <c r="H220" i="52"/>
  <c r="G220" i="52"/>
  <c r="F220" i="52"/>
  <c r="A220" i="52"/>
  <c r="K219" i="52"/>
  <c r="J219" i="52"/>
  <c r="I219" i="52"/>
  <c r="H219" i="52"/>
  <c r="G219" i="52"/>
  <c r="F219" i="52"/>
  <c r="A219" i="52"/>
  <c r="K218" i="52"/>
  <c r="J218" i="52"/>
  <c r="I218" i="52"/>
  <c r="H218" i="52"/>
  <c r="G218" i="52"/>
  <c r="F218" i="52"/>
  <c r="A218" i="52"/>
  <c r="K217" i="52"/>
  <c r="J217" i="52"/>
  <c r="I217" i="52"/>
  <c r="H217" i="52"/>
  <c r="G217" i="52"/>
  <c r="F217" i="52"/>
  <c r="A217" i="52"/>
  <c r="K216" i="52"/>
  <c r="J216" i="52"/>
  <c r="I216" i="52"/>
  <c r="H216" i="52"/>
  <c r="G216" i="52"/>
  <c r="F216" i="52"/>
  <c r="A216" i="52"/>
  <c r="K215" i="52"/>
  <c r="J215" i="52"/>
  <c r="I215" i="52"/>
  <c r="H215" i="52"/>
  <c r="G215" i="52"/>
  <c r="F215" i="52"/>
  <c r="A215" i="52"/>
  <c r="K214" i="52"/>
  <c r="J214" i="52"/>
  <c r="I214" i="52"/>
  <c r="H214" i="52"/>
  <c r="G214" i="52"/>
  <c r="F214" i="52"/>
  <c r="A214" i="52"/>
  <c r="K213" i="52"/>
  <c r="J213" i="52"/>
  <c r="I213" i="52"/>
  <c r="H213" i="52"/>
  <c r="G213" i="52"/>
  <c r="F213" i="52"/>
  <c r="A213" i="52"/>
  <c r="K212" i="52"/>
  <c r="J212" i="52"/>
  <c r="I212" i="52"/>
  <c r="H212" i="52"/>
  <c r="G212" i="52"/>
  <c r="F212" i="52"/>
  <c r="A212" i="52"/>
  <c r="K211" i="52"/>
  <c r="J211" i="52"/>
  <c r="I211" i="52"/>
  <c r="H211" i="52"/>
  <c r="G211" i="52"/>
  <c r="F211" i="52"/>
  <c r="A211" i="52"/>
  <c r="K210" i="52"/>
  <c r="J210" i="52"/>
  <c r="I210" i="52"/>
  <c r="H210" i="52"/>
  <c r="G210" i="52"/>
  <c r="F210" i="52"/>
  <c r="A210" i="52"/>
  <c r="K209" i="52"/>
  <c r="J209" i="52"/>
  <c r="I209" i="52"/>
  <c r="H209" i="52"/>
  <c r="G209" i="52"/>
  <c r="F209" i="52"/>
  <c r="A209" i="52"/>
  <c r="K208" i="52"/>
  <c r="J208" i="52"/>
  <c r="I208" i="52"/>
  <c r="H208" i="52"/>
  <c r="G208" i="52"/>
  <c r="F208" i="52"/>
  <c r="A208" i="52"/>
  <c r="K207" i="52"/>
  <c r="J207" i="52"/>
  <c r="I207" i="52"/>
  <c r="H207" i="52"/>
  <c r="G207" i="52"/>
  <c r="F207" i="52"/>
  <c r="A207" i="52"/>
  <c r="K206" i="52"/>
  <c r="J206" i="52"/>
  <c r="I206" i="52"/>
  <c r="H206" i="52"/>
  <c r="G206" i="52"/>
  <c r="F206" i="52"/>
  <c r="A206" i="52"/>
  <c r="K205" i="52"/>
  <c r="J205" i="52"/>
  <c r="I205" i="52"/>
  <c r="H205" i="52"/>
  <c r="G205" i="52"/>
  <c r="F205" i="52"/>
  <c r="A205" i="52"/>
  <c r="K204" i="52"/>
  <c r="J204" i="52"/>
  <c r="I204" i="52"/>
  <c r="H204" i="52"/>
  <c r="G204" i="52"/>
  <c r="F204" i="52"/>
  <c r="A204" i="52"/>
  <c r="K203" i="52"/>
  <c r="J203" i="52"/>
  <c r="I203" i="52"/>
  <c r="H203" i="52"/>
  <c r="G203" i="52"/>
  <c r="F203" i="52"/>
  <c r="A203" i="52"/>
  <c r="K202" i="52"/>
  <c r="J202" i="52"/>
  <c r="I202" i="52"/>
  <c r="H202" i="52"/>
  <c r="G202" i="52"/>
  <c r="F202" i="52"/>
  <c r="A202" i="52"/>
  <c r="K201" i="52"/>
  <c r="J201" i="52"/>
  <c r="I201" i="52"/>
  <c r="H201" i="52"/>
  <c r="G201" i="52"/>
  <c r="F201" i="52"/>
  <c r="A201" i="52"/>
  <c r="K200" i="52"/>
  <c r="J200" i="52"/>
  <c r="I200" i="52"/>
  <c r="H200" i="52"/>
  <c r="G200" i="52"/>
  <c r="F200" i="52"/>
  <c r="A200" i="52"/>
  <c r="K199" i="52"/>
  <c r="J199" i="52"/>
  <c r="I199" i="52"/>
  <c r="H199" i="52"/>
  <c r="G199" i="52"/>
  <c r="F199" i="52"/>
  <c r="A199" i="52"/>
  <c r="K198" i="52"/>
  <c r="J198" i="52"/>
  <c r="I198" i="52"/>
  <c r="H198" i="52"/>
  <c r="G198" i="52"/>
  <c r="F198" i="52"/>
  <c r="A198" i="52"/>
  <c r="K197" i="52"/>
  <c r="J197" i="52"/>
  <c r="I197" i="52"/>
  <c r="H197" i="52"/>
  <c r="G197" i="52"/>
  <c r="F197" i="52"/>
  <c r="A197" i="52"/>
  <c r="K196" i="52"/>
  <c r="J196" i="52"/>
  <c r="I196" i="52"/>
  <c r="H196" i="52"/>
  <c r="G196" i="52"/>
  <c r="F196" i="52"/>
  <c r="A196" i="52"/>
  <c r="K195" i="52"/>
  <c r="J195" i="52"/>
  <c r="I195" i="52"/>
  <c r="H195" i="52"/>
  <c r="G195" i="52"/>
  <c r="F195" i="52"/>
  <c r="A195" i="52"/>
  <c r="K194" i="52"/>
  <c r="J194" i="52"/>
  <c r="I194" i="52"/>
  <c r="H194" i="52"/>
  <c r="G194" i="52"/>
  <c r="F194" i="52"/>
  <c r="A194" i="52"/>
  <c r="K193" i="52"/>
  <c r="J193" i="52"/>
  <c r="I193" i="52"/>
  <c r="H193" i="52"/>
  <c r="G193" i="52"/>
  <c r="F193" i="52"/>
  <c r="A193" i="52"/>
  <c r="K192" i="52"/>
  <c r="J192" i="52"/>
  <c r="I192" i="52"/>
  <c r="H192" i="52"/>
  <c r="G192" i="52"/>
  <c r="F192" i="52"/>
  <c r="A192" i="52"/>
  <c r="K191" i="52"/>
  <c r="J191" i="52"/>
  <c r="I191" i="52"/>
  <c r="H191" i="52"/>
  <c r="G191" i="52"/>
  <c r="F191" i="52"/>
  <c r="A191" i="52"/>
  <c r="K190" i="52"/>
  <c r="J190" i="52"/>
  <c r="I190" i="52"/>
  <c r="H190" i="52"/>
  <c r="G190" i="52"/>
  <c r="F190" i="52"/>
  <c r="A190" i="52"/>
  <c r="K189" i="52"/>
  <c r="J189" i="52"/>
  <c r="I189" i="52"/>
  <c r="H189" i="52"/>
  <c r="G189" i="52"/>
  <c r="F189" i="52"/>
  <c r="A189" i="52"/>
  <c r="K188" i="52"/>
  <c r="J188" i="52"/>
  <c r="I188" i="52"/>
  <c r="H188" i="52"/>
  <c r="G188" i="52"/>
  <c r="F188" i="52"/>
  <c r="A188" i="52"/>
  <c r="K187" i="52"/>
  <c r="J187" i="52"/>
  <c r="I187" i="52"/>
  <c r="H187" i="52"/>
  <c r="G187" i="52"/>
  <c r="F187" i="52"/>
  <c r="A187" i="52"/>
  <c r="K186" i="52"/>
  <c r="J186" i="52"/>
  <c r="I186" i="52"/>
  <c r="H186" i="52"/>
  <c r="G186" i="52"/>
  <c r="F186" i="52"/>
  <c r="A186" i="52"/>
  <c r="K185" i="52"/>
  <c r="J185" i="52"/>
  <c r="I185" i="52"/>
  <c r="H185" i="52"/>
  <c r="G185" i="52"/>
  <c r="F185" i="52"/>
  <c r="A185" i="52"/>
  <c r="K184" i="52"/>
  <c r="J184" i="52"/>
  <c r="I184" i="52"/>
  <c r="H184" i="52"/>
  <c r="G184" i="52"/>
  <c r="F184" i="52"/>
  <c r="A184" i="52"/>
  <c r="K183" i="52"/>
  <c r="J183" i="52"/>
  <c r="I183" i="52"/>
  <c r="H183" i="52"/>
  <c r="G183" i="52"/>
  <c r="F183" i="52"/>
  <c r="A183" i="52"/>
  <c r="K182" i="52"/>
  <c r="J182" i="52"/>
  <c r="I182" i="52"/>
  <c r="H182" i="52"/>
  <c r="G182" i="52"/>
  <c r="F182" i="52"/>
  <c r="A182" i="52"/>
  <c r="K181" i="52"/>
  <c r="J181" i="52"/>
  <c r="I181" i="52"/>
  <c r="H181" i="52"/>
  <c r="G181" i="52"/>
  <c r="F181" i="52"/>
  <c r="A181" i="52"/>
  <c r="K180" i="52"/>
  <c r="J180" i="52"/>
  <c r="I180" i="52"/>
  <c r="H180" i="52"/>
  <c r="G180" i="52"/>
  <c r="F180" i="52"/>
  <c r="A180" i="52"/>
  <c r="K179" i="52"/>
  <c r="J179" i="52"/>
  <c r="I179" i="52"/>
  <c r="H179" i="52"/>
  <c r="G179" i="52"/>
  <c r="F179" i="52"/>
  <c r="A179" i="52"/>
  <c r="K178" i="52"/>
  <c r="J178" i="52"/>
  <c r="I178" i="52"/>
  <c r="H178" i="52"/>
  <c r="G178" i="52"/>
  <c r="F178" i="52"/>
  <c r="A178" i="52"/>
  <c r="K177" i="52"/>
  <c r="J177" i="52"/>
  <c r="I177" i="52"/>
  <c r="H177" i="52"/>
  <c r="G177" i="52"/>
  <c r="F177" i="52"/>
  <c r="A177" i="52"/>
  <c r="K176" i="52"/>
  <c r="J176" i="52"/>
  <c r="I176" i="52"/>
  <c r="H176" i="52"/>
  <c r="G176" i="52"/>
  <c r="F176" i="52"/>
  <c r="A176" i="52"/>
  <c r="K175" i="52"/>
  <c r="J175" i="52"/>
  <c r="I175" i="52"/>
  <c r="H175" i="52"/>
  <c r="G175" i="52"/>
  <c r="F175" i="52"/>
  <c r="A175" i="52"/>
  <c r="K174" i="52"/>
  <c r="J174" i="52"/>
  <c r="I174" i="52"/>
  <c r="H174" i="52"/>
  <c r="G174" i="52"/>
  <c r="F174" i="52"/>
  <c r="A174" i="52"/>
  <c r="K173" i="52"/>
  <c r="J173" i="52"/>
  <c r="I173" i="52"/>
  <c r="H173" i="52"/>
  <c r="G173" i="52"/>
  <c r="F173" i="52"/>
  <c r="A173" i="52"/>
  <c r="K172" i="52"/>
  <c r="J172" i="52"/>
  <c r="I172" i="52"/>
  <c r="H172" i="52"/>
  <c r="G172" i="52"/>
  <c r="F172" i="52"/>
  <c r="A172" i="52"/>
  <c r="K171" i="52"/>
  <c r="J171" i="52"/>
  <c r="I171" i="52"/>
  <c r="H171" i="52"/>
  <c r="G171" i="52"/>
  <c r="F171" i="52"/>
  <c r="A171" i="52"/>
  <c r="K170" i="52"/>
  <c r="J170" i="52"/>
  <c r="I170" i="52"/>
  <c r="H170" i="52"/>
  <c r="G170" i="52"/>
  <c r="F170" i="52"/>
  <c r="A170" i="52"/>
  <c r="K169" i="52"/>
  <c r="J169" i="52"/>
  <c r="I169" i="52"/>
  <c r="H169" i="52"/>
  <c r="G169" i="52"/>
  <c r="F169" i="52"/>
  <c r="A169" i="52"/>
  <c r="K168" i="52"/>
  <c r="J168" i="52"/>
  <c r="I168" i="52"/>
  <c r="H168" i="52"/>
  <c r="G168" i="52"/>
  <c r="F168" i="52"/>
  <c r="A168" i="52"/>
  <c r="K167" i="52"/>
  <c r="J167" i="52"/>
  <c r="I167" i="52"/>
  <c r="H167" i="52"/>
  <c r="G167" i="52"/>
  <c r="F167" i="52"/>
  <c r="A167" i="52"/>
  <c r="K166" i="52"/>
  <c r="J166" i="52"/>
  <c r="I166" i="52"/>
  <c r="H166" i="52"/>
  <c r="G166" i="52"/>
  <c r="F166" i="52"/>
  <c r="A166" i="52"/>
  <c r="K165" i="52"/>
  <c r="J165" i="52"/>
  <c r="I165" i="52"/>
  <c r="H165" i="52"/>
  <c r="G165" i="52"/>
  <c r="F165" i="52"/>
  <c r="A165" i="52"/>
  <c r="K164" i="52"/>
  <c r="J164" i="52"/>
  <c r="I164" i="52"/>
  <c r="H164" i="52"/>
  <c r="G164" i="52"/>
  <c r="F164" i="52"/>
  <c r="A164" i="52"/>
  <c r="K163" i="52"/>
  <c r="J163" i="52"/>
  <c r="I163" i="52"/>
  <c r="H163" i="52"/>
  <c r="G163" i="52"/>
  <c r="F163" i="52"/>
  <c r="A163" i="52"/>
  <c r="K162" i="52"/>
  <c r="J162" i="52"/>
  <c r="I162" i="52"/>
  <c r="H162" i="52"/>
  <c r="G162" i="52"/>
  <c r="F162" i="52"/>
  <c r="A162" i="52"/>
  <c r="K161" i="52"/>
  <c r="J161" i="52"/>
  <c r="I161" i="52"/>
  <c r="H161" i="52"/>
  <c r="G161" i="52"/>
  <c r="F161" i="52"/>
  <c r="A161" i="52"/>
  <c r="K160" i="52"/>
  <c r="J160" i="52"/>
  <c r="I160" i="52"/>
  <c r="H160" i="52"/>
  <c r="G160" i="52"/>
  <c r="F160" i="52"/>
  <c r="A160" i="52"/>
  <c r="K159" i="52"/>
  <c r="J159" i="52"/>
  <c r="I159" i="52"/>
  <c r="H159" i="52"/>
  <c r="G159" i="52"/>
  <c r="F159" i="52"/>
  <c r="A159" i="52"/>
  <c r="K158" i="52"/>
  <c r="J158" i="52"/>
  <c r="I158" i="52"/>
  <c r="H158" i="52"/>
  <c r="G158" i="52"/>
  <c r="F158" i="52"/>
  <c r="A158" i="52"/>
  <c r="K157" i="52"/>
  <c r="J157" i="52"/>
  <c r="I157" i="52"/>
  <c r="H157" i="52"/>
  <c r="G157" i="52"/>
  <c r="F157" i="52"/>
  <c r="A157" i="52"/>
  <c r="K156" i="52"/>
  <c r="J156" i="52"/>
  <c r="I156" i="52"/>
  <c r="H156" i="52"/>
  <c r="G156" i="52"/>
  <c r="F156" i="52"/>
  <c r="A156" i="52"/>
  <c r="K155" i="52"/>
  <c r="J155" i="52"/>
  <c r="I155" i="52"/>
  <c r="H155" i="52"/>
  <c r="G155" i="52"/>
  <c r="F155" i="52"/>
  <c r="A155" i="52"/>
  <c r="K154" i="52"/>
  <c r="J154" i="52"/>
  <c r="I154" i="52"/>
  <c r="H154" i="52"/>
  <c r="G154" i="52"/>
  <c r="F154" i="52"/>
  <c r="A154" i="52"/>
  <c r="K153" i="52"/>
  <c r="J153" i="52"/>
  <c r="I153" i="52"/>
  <c r="H153" i="52"/>
  <c r="G153" i="52"/>
  <c r="F153" i="52"/>
  <c r="A153" i="52"/>
  <c r="K152" i="52"/>
  <c r="J152" i="52"/>
  <c r="I152" i="52"/>
  <c r="H152" i="52"/>
  <c r="G152" i="52"/>
  <c r="F152" i="52"/>
  <c r="A152" i="52"/>
  <c r="K151" i="52"/>
  <c r="J151" i="52"/>
  <c r="I151" i="52"/>
  <c r="H151" i="52"/>
  <c r="G151" i="52"/>
  <c r="F151" i="52"/>
  <c r="A151" i="52"/>
  <c r="K150" i="52"/>
  <c r="J150" i="52"/>
  <c r="I150" i="52"/>
  <c r="H150" i="52"/>
  <c r="G150" i="52"/>
  <c r="F150" i="52"/>
  <c r="A150" i="52"/>
  <c r="K149" i="52"/>
  <c r="J149" i="52"/>
  <c r="I149" i="52"/>
  <c r="H149" i="52"/>
  <c r="G149" i="52"/>
  <c r="F149" i="52"/>
  <c r="A149" i="52"/>
  <c r="K148" i="52"/>
  <c r="J148" i="52"/>
  <c r="I148" i="52"/>
  <c r="H148" i="52"/>
  <c r="G148" i="52"/>
  <c r="F148" i="52"/>
  <c r="A148" i="52"/>
  <c r="K147" i="52"/>
  <c r="J147" i="52"/>
  <c r="I147" i="52"/>
  <c r="H147" i="52"/>
  <c r="G147" i="52"/>
  <c r="F147" i="52"/>
  <c r="A147" i="52"/>
  <c r="K146" i="52"/>
  <c r="J146" i="52"/>
  <c r="I146" i="52"/>
  <c r="H146" i="52"/>
  <c r="G146" i="52"/>
  <c r="F146" i="52"/>
  <c r="A146" i="52"/>
  <c r="K145" i="52"/>
  <c r="J145" i="52"/>
  <c r="I145" i="52"/>
  <c r="H145" i="52"/>
  <c r="G145" i="52"/>
  <c r="F145" i="52"/>
  <c r="A145" i="52"/>
  <c r="K144" i="52"/>
  <c r="J144" i="52"/>
  <c r="I144" i="52"/>
  <c r="H144" i="52"/>
  <c r="G144" i="52"/>
  <c r="F144" i="52"/>
  <c r="A144" i="52"/>
  <c r="K143" i="52"/>
  <c r="J143" i="52"/>
  <c r="I143" i="52"/>
  <c r="H143" i="52"/>
  <c r="G143" i="52"/>
  <c r="F143" i="52"/>
  <c r="A143" i="52"/>
  <c r="K142" i="52"/>
  <c r="J142" i="52"/>
  <c r="I142" i="52"/>
  <c r="H142" i="52"/>
  <c r="G142" i="52"/>
  <c r="F142" i="52"/>
  <c r="A142" i="52"/>
  <c r="K141" i="52"/>
  <c r="J141" i="52"/>
  <c r="I141" i="52"/>
  <c r="H141" i="52"/>
  <c r="G141" i="52"/>
  <c r="F141" i="52"/>
  <c r="A141" i="52"/>
  <c r="K140" i="52"/>
  <c r="J140" i="52"/>
  <c r="I140" i="52"/>
  <c r="H140" i="52"/>
  <c r="G140" i="52"/>
  <c r="F140" i="52"/>
  <c r="A140" i="52"/>
  <c r="K139" i="52"/>
  <c r="J139" i="52"/>
  <c r="I139" i="52"/>
  <c r="H139" i="52"/>
  <c r="G139" i="52"/>
  <c r="F139" i="52"/>
  <c r="A139" i="52"/>
  <c r="K138" i="52"/>
  <c r="J138" i="52"/>
  <c r="I138" i="52"/>
  <c r="H138" i="52"/>
  <c r="G138" i="52"/>
  <c r="F138" i="52"/>
  <c r="A138" i="52"/>
  <c r="K137" i="52"/>
  <c r="J137" i="52"/>
  <c r="I137" i="52"/>
  <c r="H137" i="52"/>
  <c r="G137" i="52"/>
  <c r="F137" i="52"/>
  <c r="A137" i="52"/>
  <c r="K136" i="52"/>
  <c r="J136" i="52"/>
  <c r="I136" i="52"/>
  <c r="H136" i="52"/>
  <c r="G136" i="52"/>
  <c r="F136" i="52"/>
  <c r="A136" i="52"/>
  <c r="K135" i="52"/>
  <c r="J135" i="52"/>
  <c r="I135" i="52"/>
  <c r="H135" i="52"/>
  <c r="G135" i="52"/>
  <c r="F135" i="52"/>
  <c r="A135" i="52"/>
  <c r="K134" i="52"/>
  <c r="J134" i="52"/>
  <c r="I134" i="52"/>
  <c r="H134" i="52"/>
  <c r="G134" i="52"/>
  <c r="F134" i="52"/>
  <c r="A134" i="52"/>
  <c r="K133" i="52"/>
  <c r="J133" i="52"/>
  <c r="I133" i="52"/>
  <c r="H133" i="52"/>
  <c r="G133" i="52"/>
  <c r="F133" i="52"/>
  <c r="A133" i="52"/>
  <c r="K132" i="52"/>
  <c r="J132" i="52"/>
  <c r="I132" i="52"/>
  <c r="H132" i="52"/>
  <c r="G132" i="52"/>
  <c r="F132" i="52"/>
  <c r="A132" i="52"/>
  <c r="K131" i="52"/>
  <c r="J131" i="52"/>
  <c r="I131" i="52"/>
  <c r="H131" i="52"/>
  <c r="G131" i="52"/>
  <c r="F131" i="52"/>
  <c r="A131" i="52"/>
  <c r="K130" i="52"/>
  <c r="J130" i="52"/>
  <c r="I130" i="52"/>
  <c r="H130" i="52"/>
  <c r="G130" i="52"/>
  <c r="F130" i="52"/>
  <c r="A130" i="52"/>
  <c r="K129" i="52"/>
  <c r="J129" i="52"/>
  <c r="I129" i="52"/>
  <c r="H129" i="52"/>
  <c r="G129" i="52"/>
  <c r="F129" i="52"/>
  <c r="A129" i="52"/>
  <c r="K128" i="52"/>
  <c r="J128" i="52"/>
  <c r="I128" i="52"/>
  <c r="H128" i="52"/>
  <c r="G128" i="52"/>
  <c r="F128" i="52"/>
  <c r="A128" i="52"/>
  <c r="K127" i="52"/>
  <c r="J127" i="52"/>
  <c r="I127" i="52"/>
  <c r="H127" i="52"/>
  <c r="G127" i="52"/>
  <c r="F127" i="52"/>
  <c r="A127" i="52"/>
  <c r="K126" i="52"/>
  <c r="J126" i="52"/>
  <c r="I126" i="52"/>
  <c r="H126" i="52"/>
  <c r="G126" i="52"/>
  <c r="F126" i="52"/>
  <c r="A126" i="52"/>
  <c r="K125" i="52"/>
  <c r="J125" i="52"/>
  <c r="I125" i="52"/>
  <c r="H125" i="52"/>
  <c r="G125" i="52"/>
  <c r="F125" i="52"/>
  <c r="A125" i="52"/>
  <c r="K124" i="52"/>
  <c r="J124" i="52"/>
  <c r="I124" i="52"/>
  <c r="H124" i="52"/>
  <c r="G124" i="52"/>
  <c r="F124" i="52"/>
  <c r="A124" i="52"/>
  <c r="K123" i="52"/>
  <c r="J123" i="52"/>
  <c r="I123" i="52"/>
  <c r="H123" i="52"/>
  <c r="G123" i="52"/>
  <c r="F123" i="52"/>
  <c r="A123" i="52"/>
  <c r="K122" i="52"/>
  <c r="J122" i="52"/>
  <c r="I122" i="52"/>
  <c r="H122" i="52"/>
  <c r="G122" i="52"/>
  <c r="F122" i="52"/>
  <c r="A122" i="52"/>
  <c r="K121" i="52"/>
  <c r="J121" i="52"/>
  <c r="I121" i="52"/>
  <c r="H121" i="52"/>
  <c r="G121" i="52"/>
  <c r="F121" i="52"/>
  <c r="A121" i="52"/>
  <c r="K120" i="52"/>
  <c r="J120" i="52"/>
  <c r="I120" i="52"/>
  <c r="H120" i="52"/>
  <c r="G120" i="52"/>
  <c r="F120" i="52"/>
  <c r="A120" i="52"/>
  <c r="K119" i="52"/>
  <c r="J119" i="52"/>
  <c r="I119" i="52"/>
  <c r="H119" i="52"/>
  <c r="G119" i="52"/>
  <c r="F119" i="52"/>
  <c r="A119" i="52"/>
  <c r="K118" i="52"/>
  <c r="J118" i="52"/>
  <c r="I118" i="52"/>
  <c r="H118" i="52"/>
  <c r="G118" i="52"/>
  <c r="F118" i="52"/>
  <c r="A118" i="52"/>
  <c r="K117" i="52"/>
  <c r="J117" i="52"/>
  <c r="I117" i="52"/>
  <c r="H117" i="52"/>
  <c r="G117" i="52"/>
  <c r="F117" i="52"/>
  <c r="A117" i="52"/>
  <c r="K116" i="52"/>
  <c r="J116" i="52"/>
  <c r="I116" i="52"/>
  <c r="H116" i="52"/>
  <c r="G116" i="52"/>
  <c r="F116" i="52"/>
  <c r="A116" i="52"/>
  <c r="K115" i="52"/>
  <c r="J115" i="52"/>
  <c r="I115" i="52"/>
  <c r="H115" i="52"/>
  <c r="G115" i="52"/>
  <c r="F115" i="52"/>
  <c r="A115" i="52"/>
  <c r="K114" i="52"/>
  <c r="J114" i="52"/>
  <c r="I114" i="52"/>
  <c r="H114" i="52"/>
  <c r="G114" i="52"/>
  <c r="F114" i="52"/>
  <c r="A114" i="52"/>
  <c r="K113" i="52"/>
  <c r="J113" i="52"/>
  <c r="I113" i="52"/>
  <c r="H113" i="52"/>
  <c r="G113" i="52"/>
  <c r="F113" i="52"/>
  <c r="A113" i="52"/>
  <c r="K112" i="52"/>
  <c r="J112" i="52"/>
  <c r="I112" i="52"/>
  <c r="H112" i="52"/>
  <c r="G112" i="52"/>
  <c r="F112" i="52"/>
  <c r="A112" i="52"/>
  <c r="K111" i="52"/>
  <c r="J111" i="52"/>
  <c r="I111" i="52"/>
  <c r="H111" i="52"/>
  <c r="G111" i="52"/>
  <c r="F111" i="52"/>
  <c r="A111" i="52"/>
  <c r="K110" i="52"/>
  <c r="J110" i="52"/>
  <c r="I110" i="52"/>
  <c r="H110" i="52"/>
  <c r="G110" i="52"/>
  <c r="F110" i="52"/>
  <c r="A110" i="52"/>
  <c r="K109" i="52"/>
  <c r="J109" i="52"/>
  <c r="I109" i="52"/>
  <c r="H109" i="52"/>
  <c r="G109" i="52"/>
  <c r="F109" i="52"/>
  <c r="A109" i="52"/>
  <c r="K108" i="52"/>
  <c r="J108" i="52"/>
  <c r="I108" i="52"/>
  <c r="H108" i="52"/>
  <c r="G108" i="52"/>
  <c r="F108" i="52"/>
  <c r="A108" i="52"/>
  <c r="K107" i="52"/>
  <c r="J107" i="52"/>
  <c r="I107" i="52"/>
  <c r="H107" i="52"/>
  <c r="G107" i="52"/>
  <c r="F107" i="52"/>
  <c r="A107" i="52"/>
  <c r="K106" i="52"/>
  <c r="J106" i="52"/>
  <c r="I106" i="52"/>
  <c r="H106" i="52"/>
  <c r="G106" i="52"/>
  <c r="F106" i="52"/>
  <c r="A106" i="52"/>
  <c r="K105" i="52"/>
  <c r="J105" i="52"/>
  <c r="I105" i="52"/>
  <c r="H105" i="52"/>
  <c r="G105" i="52"/>
  <c r="F105" i="52"/>
  <c r="A105" i="52"/>
  <c r="K104" i="52"/>
  <c r="J104" i="52"/>
  <c r="I104" i="52"/>
  <c r="H104" i="52"/>
  <c r="G104" i="52"/>
  <c r="F104" i="52"/>
  <c r="A104" i="52"/>
  <c r="K103" i="52"/>
  <c r="J103" i="52"/>
  <c r="I103" i="52"/>
  <c r="H103" i="52"/>
  <c r="G103" i="52"/>
  <c r="F103" i="52"/>
  <c r="A103" i="52"/>
  <c r="K102" i="52"/>
  <c r="J102" i="52"/>
  <c r="I102" i="52"/>
  <c r="H102" i="52"/>
  <c r="G102" i="52"/>
  <c r="F102" i="52"/>
  <c r="A102" i="52"/>
  <c r="K101" i="52"/>
  <c r="J101" i="52"/>
  <c r="I101" i="52"/>
  <c r="H101" i="52"/>
  <c r="G101" i="52"/>
  <c r="F101" i="52"/>
  <c r="A101" i="52"/>
  <c r="K100" i="52"/>
  <c r="J100" i="52"/>
  <c r="I100" i="52"/>
  <c r="H100" i="52"/>
  <c r="G100" i="52"/>
  <c r="F100" i="52"/>
  <c r="A100" i="52"/>
  <c r="K99" i="52"/>
  <c r="J99" i="52"/>
  <c r="I99" i="52"/>
  <c r="H99" i="52"/>
  <c r="G99" i="52"/>
  <c r="F99" i="52"/>
  <c r="A99" i="52"/>
  <c r="K98" i="52"/>
  <c r="J98" i="52"/>
  <c r="I98" i="52"/>
  <c r="H98" i="52"/>
  <c r="G98" i="52"/>
  <c r="F98" i="52"/>
  <c r="A98" i="52"/>
  <c r="K97" i="52"/>
  <c r="J97" i="52"/>
  <c r="I97" i="52"/>
  <c r="H97" i="52"/>
  <c r="G97" i="52"/>
  <c r="F97" i="52"/>
  <c r="A97" i="52"/>
  <c r="K96" i="52"/>
  <c r="J96" i="52"/>
  <c r="I96" i="52"/>
  <c r="H96" i="52"/>
  <c r="G96" i="52"/>
  <c r="F96" i="52"/>
  <c r="A96" i="52"/>
  <c r="K95" i="52"/>
  <c r="J95" i="52"/>
  <c r="I95" i="52"/>
  <c r="H95" i="52"/>
  <c r="G95" i="52"/>
  <c r="F95" i="52"/>
  <c r="A95" i="52"/>
  <c r="K94" i="52"/>
  <c r="J94" i="52"/>
  <c r="I94" i="52"/>
  <c r="H94" i="52"/>
  <c r="G94" i="52"/>
  <c r="F94" i="52"/>
  <c r="A94" i="52"/>
  <c r="K93" i="52"/>
  <c r="J93" i="52"/>
  <c r="I93" i="52"/>
  <c r="H93" i="52"/>
  <c r="G93" i="52"/>
  <c r="F93" i="52"/>
  <c r="A93" i="52"/>
  <c r="K92" i="52"/>
  <c r="J92" i="52"/>
  <c r="I92" i="52"/>
  <c r="H92" i="52"/>
  <c r="G92" i="52"/>
  <c r="F92" i="52"/>
  <c r="A92" i="52"/>
  <c r="K91" i="52"/>
  <c r="J91" i="52"/>
  <c r="I91" i="52"/>
  <c r="H91" i="52"/>
  <c r="G91" i="52"/>
  <c r="F91" i="52"/>
  <c r="A91" i="52"/>
  <c r="K90" i="52"/>
  <c r="J90" i="52"/>
  <c r="I90" i="52"/>
  <c r="H90" i="52"/>
  <c r="G90" i="52"/>
  <c r="F90" i="52"/>
  <c r="A90" i="52"/>
  <c r="K89" i="52"/>
  <c r="J89" i="52"/>
  <c r="I89" i="52"/>
  <c r="H89" i="52"/>
  <c r="G89" i="52"/>
  <c r="F89" i="52"/>
  <c r="A89" i="52"/>
  <c r="K88" i="52"/>
  <c r="J88" i="52"/>
  <c r="I88" i="52"/>
  <c r="H88" i="52"/>
  <c r="G88" i="52"/>
  <c r="F88" i="52"/>
  <c r="A88" i="52"/>
  <c r="K87" i="52"/>
  <c r="J87" i="52"/>
  <c r="I87" i="52"/>
  <c r="H87" i="52"/>
  <c r="G87" i="52"/>
  <c r="F87" i="52"/>
  <c r="A87" i="52"/>
  <c r="K86" i="52"/>
  <c r="J86" i="52"/>
  <c r="I86" i="52"/>
  <c r="H86" i="52"/>
  <c r="G86" i="52"/>
  <c r="F86" i="52"/>
  <c r="A86" i="52"/>
  <c r="K85" i="52"/>
  <c r="J85" i="52"/>
  <c r="I85" i="52"/>
  <c r="H85" i="52"/>
  <c r="G85" i="52"/>
  <c r="F85" i="52"/>
  <c r="A85" i="52"/>
  <c r="K84" i="52"/>
  <c r="J84" i="52"/>
  <c r="I84" i="52"/>
  <c r="H84" i="52"/>
  <c r="G84" i="52"/>
  <c r="F84" i="52"/>
  <c r="A84" i="52"/>
  <c r="K83" i="52"/>
  <c r="J83" i="52"/>
  <c r="I83" i="52"/>
  <c r="H83" i="52"/>
  <c r="G83" i="52"/>
  <c r="F83" i="52"/>
  <c r="A83" i="52"/>
  <c r="K82" i="52"/>
  <c r="J82" i="52"/>
  <c r="I82" i="52"/>
  <c r="H82" i="52"/>
  <c r="G82" i="52"/>
  <c r="F82" i="52"/>
  <c r="A82" i="52"/>
  <c r="K81" i="52"/>
  <c r="J81" i="52"/>
  <c r="I81" i="52"/>
  <c r="H81" i="52"/>
  <c r="G81" i="52"/>
  <c r="F81" i="52"/>
  <c r="A81" i="52"/>
  <c r="K80" i="52"/>
  <c r="J80" i="52"/>
  <c r="I80" i="52"/>
  <c r="H80" i="52"/>
  <c r="G80" i="52"/>
  <c r="F80" i="52"/>
  <c r="A80" i="52"/>
  <c r="K79" i="52"/>
  <c r="J79" i="52"/>
  <c r="I79" i="52"/>
  <c r="H79" i="52"/>
  <c r="G79" i="52"/>
  <c r="F79" i="52"/>
  <c r="A79" i="52"/>
  <c r="K78" i="52"/>
  <c r="J78" i="52"/>
  <c r="I78" i="52"/>
  <c r="H78" i="52"/>
  <c r="G78" i="52"/>
  <c r="F78" i="52"/>
  <c r="A78" i="52"/>
  <c r="K77" i="52"/>
  <c r="J77" i="52"/>
  <c r="I77" i="52"/>
  <c r="H77" i="52"/>
  <c r="G77" i="52"/>
  <c r="F77" i="52"/>
  <c r="A77" i="52"/>
  <c r="K76" i="52"/>
  <c r="J76" i="52"/>
  <c r="I76" i="52"/>
  <c r="H76" i="52"/>
  <c r="G76" i="52"/>
  <c r="F76" i="52"/>
  <c r="A76" i="52"/>
  <c r="K75" i="52"/>
  <c r="J75" i="52"/>
  <c r="I75" i="52"/>
  <c r="H75" i="52"/>
  <c r="G75" i="52"/>
  <c r="F75" i="52"/>
  <c r="A75" i="52"/>
  <c r="K74" i="52"/>
  <c r="J74" i="52"/>
  <c r="I74" i="52"/>
  <c r="H74" i="52"/>
  <c r="G74" i="52"/>
  <c r="F74" i="52"/>
  <c r="A74" i="52"/>
  <c r="K73" i="52"/>
  <c r="J73" i="52"/>
  <c r="I73" i="52"/>
  <c r="H73" i="52"/>
  <c r="G73" i="52"/>
  <c r="F73" i="52"/>
  <c r="A73" i="52"/>
  <c r="K72" i="52"/>
  <c r="J72" i="52"/>
  <c r="I72" i="52"/>
  <c r="H72" i="52"/>
  <c r="G72" i="52"/>
  <c r="F72" i="52"/>
  <c r="A72" i="52"/>
  <c r="K71" i="52"/>
  <c r="J71" i="52"/>
  <c r="I71" i="52"/>
  <c r="H71" i="52"/>
  <c r="G71" i="52"/>
  <c r="F71" i="52"/>
  <c r="A71" i="52"/>
  <c r="K70" i="52"/>
  <c r="J70" i="52"/>
  <c r="I70" i="52"/>
  <c r="H70" i="52"/>
  <c r="G70" i="52"/>
  <c r="F70" i="52"/>
  <c r="A70" i="52"/>
  <c r="K69" i="52"/>
  <c r="J69" i="52"/>
  <c r="I69" i="52"/>
  <c r="H69" i="52"/>
  <c r="G69" i="52"/>
  <c r="F69" i="52"/>
  <c r="A69" i="52"/>
  <c r="K68" i="52"/>
  <c r="J68" i="52"/>
  <c r="I68" i="52"/>
  <c r="H68" i="52"/>
  <c r="G68" i="52"/>
  <c r="F68" i="52"/>
  <c r="A68" i="52"/>
  <c r="K67" i="52"/>
  <c r="J67" i="52"/>
  <c r="I67" i="52"/>
  <c r="H67" i="52"/>
  <c r="G67" i="52"/>
  <c r="F67" i="52"/>
  <c r="A67" i="52"/>
  <c r="K66" i="52"/>
  <c r="J66" i="52"/>
  <c r="I66" i="52"/>
  <c r="H66" i="52"/>
  <c r="G66" i="52"/>
  <c r="F66" i="52"/>
  <c r="A66" i="52"/>
  <c r="K65" i="52"/>
  <c r="J65" i="52"/>
  <c r="I65" i="52"/>
  <c r="H65" i="52"/>
  <c r="G65" i="52"/>
  <c r="F65" i="52"/>
  <c r="A65" i="52"/>
  <c r="K64" i="52"/>
  <c r="J64" i="52"/>
  <c r="I64" i="52"/>
  <c r="H64" i="52"/>
  <c r="G64" i="52"/>
  <c r="F64" i="52"/>
  <c r="A64" i="52"/>
  <c r="K63" i="52"/>
  <c r="J63" i="52"/>
  <c r="I63" i="52"/>
  <c r="H63" i="52"/>
  <c r="G63" i="52"/>
  <c r="F63" i="52"/>
  <c r="A63" i="52"/>
  <c r="K62" i="52"/>
  <c r="J62" i="52"/>
  <c r="I62" i="52"/>
  <c r="H62" i="52"/>
  <c r="G62" i="52"/>
  <c r="F62" i="52"/>
  <c r="A62" i="52"/>
  <c r="K61" i="52"/>
  <c r="J61" i="52"/>
  <c r="I61" i="52"/>
  <c r="H61" i="52"/>
  <c r="G61" i="52"/>
  <c r="F61" i="52"/>
  <c r="A61" i="52"/>
  <c r="K60" i="52"/>
  <c r="J60" i="52"/>
  <c r="I60" i="52"/>
  <c r="H60" i="52"/>
  <c r="G60" i="52"/>
  <c r="F60" i="52"/>
  <c r="A60" i="52"/>
  <c r="K59" i="52"/>
  <c r="J59" i="52"/>
  <c r="I59" i="52"/>
  <c r="H59" i="52"/>
  <c r="G59" i="52"/>
  <c r="F59" i="52"/>
  <c r="A59" i="52"/>
  <c r="K58" i="52"/>
  <c r="J58" i="52"/>
  <c r="I58" i="52"/>
  <c r="H58" i="52"/>
  <c r="G58" i="52"/>
  <c r="F58" i="52"/>
  <c r="A58" i="52"/>
  <c r="K57" i="52"/>
  <c r="J57" i="52"/>
  <c r="I57" i="52"/>
  <c r="H57" i="52"/>
  <c r="G57" i="52"/>
  <c r="F57" i="52"/>
  <c r="A57" i="52"/>
  <c r="K56" i="52"/>
  <c r="J56" i="52"/>
  <c r="I56" i="52"/>
  <c r="H56" i="52"/>
  <c r="G56" i="52"/>
  <c r="F56" i="52"/>
  <c r="A56" i="52"/>
  <c r="K55" i="52"/>
  <c r="J55" i="52"/>
  <c r="I55" i="52"/>
  <c r="H55" i="52"/>
  <c r="G55" i="52"/>
  <c r="F55" i="52"/>
  <c r="A55" i="52"/>
  <c r="K54" i="52"/>
  <c r="J54" i="52"/>
  <c r="I54" i="52"/>
  <c r="H54" i="52"/>
  <c r="G54" i="52"/>
  <c r="F54" i="52"/>
  <c r="A54" i="52"/>
  <c r="K53" i="52"/>
  <c r="J53" i="52"/>
  <c r="I53" i="52"/>
  <c r="H53" i="52"/>
  <c r="G53" i="52"/>
  <c r="F53" i="52"/>
  <c r="A53" i="52"/>
  <c r="K52" i="52"/>
  <c r="J52" i="52"/>
  <c r="I52" i="52"/>
  <c r="H52" i="52"/>
  <c r="G52" i="52"/>
  <c r="F52" i="52"/>
  <c r="A52" i="52"/>
  <c r="K51" i="52"/>
  <c r="J51" i="52"/>
  <c r="I51" i="52"/>
  <c r="H51" i="52"/>
  <c r="G51" i="52"/>
  <c r="F51" i="52"/>
  <c r="A51" i="52"/>
  <c r="K50" i="52"/>
  <c r="J50" i="52"/>
  <c r="I50" i="52"/>
  <c r="H50" i="52"/>
  <c r="G50" i="52"/>
  <c r="F50" i="52"/>
  <c r="A50" i="52"/>
  <c r="K49" i="52"/>
  <c r="J49" i="52"/>
  <c r="I49" i="52"/>
  <c r="H49" i="52"/>
  <c r="G49" i="52"/>
  <c r="F49" i="52"/>
  <c r="A49" i="52"/>
  <c r="K48" i="52"/>
  <c r="J48" i="52"/>
  <c r="I48" i="52"/>
  <c r="H48" i="52"/>
  <c r="G48" i="52"/>
  <c r="F48" i="52"/>
  <c r="A48" i="52"/>
  <c r="K47" i="52"/>
  <c r="J47" i="52"/>
  <c r="I47" i="52"/>
  <c r="H47" i="52"/>
  <c r="G47" i="52"/>
  <c r="F47" i="52"/>
  <c r="A47" i="52"/>
  <c r="K46" i="52"/>
  <c r="J46" i="52"/>
  <c r="I46" i="52"/>
  <c r="H46" i="52"/>
  <c r="G46" i="52"/>
  <c r="F46" i="52"/>
  <c r="A46" i="52"/>
  <c r="K45" i="52"/>
  <c r="J45" i="52"/>
  <c r="I45" i="52"/>
  <c r="H45" i="52"/>
  <c r="G45" i="52"/>
  <c r="F45" i="52"/>
  <c r="A45" i="52"/>
  <c r="K44" i="52"/>
  <c r="J44" i="52"/>
  <c r="I44" i="52"/>
  <c r="H44" i="52"/>
  <c r="G44" i="52"/>
  <c r="F44" i="52"/>
  <c r="A44" i="52"/>
  <c r="K43" i="52"/>
  <c r="J43" i="52"/>
  <c r="I43" i="52"/>
  <c r="H43" i="52"/>
  <c r="G43" i="52"/>
  <c r="F43" i="52"/>
  <c r="A43" i="52"/>
  <c r="K42" i="52"/>
  <c r="J42" i="52"/>
  <c r="I42" i="52"/>
  <c r="H42" i="52"/>
  <c r="G42" i="52"/>
  <c r="F42" i="52"/>
  <c r="A42" i="52"/>
  <c r="K41" i="52"/>
  <c r="J41" i="52"/>
  <c r="I41" i="52"/>
  <c r="H41" i="52"/>
  <c r="G41" i="52"/>
  <c r="F41" i="52"/>
  <c r="A41" i="52"/>
  <c r="K40" i="52"/>
  <c r="J40" i="52"/>
  <c r="I40" i="52"/>
  <c r="H40" i="52"/>
  <c r="G40" i="52"/>
  <c r="F40" i="52"/>
  <c r="A40" i="52"/>
  <c r="K39" i="52"/>
  <c r="J39" i="52"/>
  <c r="I39" i="52"/>
  <c r="H39" i="52"/>
  <c r="G39" i="52"/>
  <c r="F39" i="52"/>
  <c r="A39" i="52"/>
  <c r="K38" i="52"/>
  <c r="J38" i="52"/>
  <c r="I38" i="52"/>
  <c r="H38" i="52"/>
  <c r="G38" i="52"/>
  <c r="F38" i="52"/>
  <c r="A38" i="52"/>
  <c r="K37" i="52"/>
  <c r="J37" i="52"/>
  <c r="I37" i="52"/>
  <c r="H37" i="52"/>
  <c r="G37" i="52"/>
  <c r="F37" i="52"/>
  <c r="A37" i="52"/>
  <c r="K36" i="52"/>
  <c r="J36" i="52"/>
  <c r="I36" i="52"/>
  <c r="H36" i="52"/>
  <c r="G36" i="52"/>
  <c r="F36" i="52"/>
  <c r="A36" i="52"/>
  <c r="K35" i="52"/>
  <c r="J35" i="52"/>
  <c r="I35" i="52"/>
  <c r="H35" i="52"/>
  <c r="G35" i="52"/>
  <c r="F35" i="52"/>
  <c r="A35" i="52"/>
  <c r="K34" i="52"/>
  <c r="J34" i="52"/>
  <c r="I34" i="52"/>
  <c r="H34" i="52"/>
  <c r="G34" i="52"/>
  <c r="F34" i="52"/>
  <c r="A34" i="52"/>
  <c r="K33" i="52"/>
  <c r="J33" i="52"/>
  <c r="I33" i="52"/>
  <c r="H33" i="52"/>
  <c r="G33" i="52"/>
  <c r="F33" i="52"/>
  <c r="A33" i="52"/>
  <c r="K32" i="52"/>
  <c r="J32" i="52"/>
  <c r="I32" i="52"/>
  <c r="H32" i="52"/>
  <c r="G32" i="52"/>
  <c r="F32" i="52"/>
  <c r="A32" i="52"/>
  <c r="K31" i="52"/>
  <c r="J31" i="52"/>
  <c r="I31" i="52"/>
  <c r="H31" i="52"/>
  <c r="G31" i="52"/>
  <c r="F31" i="52"/>
  <c r="A31" i="52"/>
  <c r="K30" i="52"/>
  <c r="J30" i="52"/>
  <c r="I30" i="52"/>
  <c r="H30" i="52"/>
  <c r="G30" i="52"/>
  <c r="F30" i="52"/>
  <c r="A30" i="52"/>
  <c r="K29" i="52"/>
  <c r="J29" i="52"/>
  <c r="I29" i="52"/>
  <c r="H29" i="52"/>
  <c r="G29" i="52"/>
  <c r="F29" i="52"/>
  <c r="A29" i="52"/>
  <c r="K28" i="52"/>
  <c r="J28" i="52"/>
  <c r="I28" i="52"/>
  <c r="H28" i="52"/>
  <c r="G28" i="52"/>
  <c r="F28" i="52"/>
  <c r="A28" i="52"/>
  <c r="K27" i="52"/>
  <c r="J27" i="52"/>
  <c r="I27" i="52"/>
  <c r="H27" i="52"/>
  <c r="G27" i="52"/>
  <c r="F27" i="52"/>
  <c r="A27" i="52"/>
  <c r="K26" i="52"/>
  <c r="J26" i="52"/>
  <c r="I26" i="52"/>
  <c r="H26" i="52"/>
  <c r="G26" i="52"/>
  <c r="F26" i="52"/>
  <c r="A26" i="52"/>
  <c r="K25" i="52"/>
  <c r="J25" i="52"/>
  <c r="I25" i="52"/>
  <c r="H25" i="52"/>
  <c r="G25" i="52"/>
  <c r="F25" i="52"/>
  <c r="A25" i="52"/>
  <c r="K24" i="52"/>
  <c r="J24" i="52"/>
  <c r="I24" i="52"/>
  <c r="H24" i="52"/>
  <c r="G24" i="52"/>
  <c r="F24" i="52"/>
  <c r="A24" i="52"/>
  <c r="K23" i="52"/>
  <c r="J23" i="52"/>
  <c r="I23" i="52"/>
  <c r="H23" i="52"/>
  <c r="G23" i="52"/>
  <c r="F23" i="52"/>
  <c r="A23" i="52"/>
  <c r="K22" i="52"/>
  <c r="J22" i="52"/>
  <c r="I22" i="52"/>
  <c r="H22" i="52"/>
  <c r="G22" i="52"/>
  <c r="F22" i="52"/>
  <c r="A22" i="52"/>
  <c r="K21" i="52"/>
  <c r="J21" i="52"/>
  <c r="I21" i="52"/>
  <c r="H21" i="52"/>
  <c r="G21" i="52"/>
  <c r="F21" i="52"/>
  <c r="A21" i="52"/>
  <c r="K20" i="52"/>
  <c r="J20" i="52"/>
  <c r="I20" i="52"/>
  <c r="H20" i="52"/>
  <c r="G20" i="52"/>
  <c r="F20" i="52"/>
  <c r="A20" i="52"/>
  <c r="K19" i="52"/>
  <c r="J19" i="52"/>
  <c r="I19" i="52"/>
  <c r="H19" i="52"/>
  <c r="G19" i="52"/>
  <c r="F19" i="52"/>
  <c r="A19" i="52"/>
  <c r="K18" i="52"/>
  <c r="J18" i="52"/>
  <c r="I18" i="52"/>
  <c r="H18" i="52"/>
  <c r="G18" i="52"/>
  <c r="F18" i="52"/>
  <c r="A18" i="52"/>
  <c r="K17" i="52"/>
  <c r="J17" i="52"/>
  <c r="I17" i="52"/>
  <c r="H17" i="52"/>
  <c r="G17" i="52"/>
  <c r="F17" i="52"/>
  <c r="A17" i="52"/>
  <c r="K16" i="52"/>
  <c r="J16" i="52"/>
  <c r="I16" i="52"/>
  <c r="H16" i="52"/>
  <c r="G16" i="52"/>
  <c r="F16" i="52"/>
  <c r="A16" i="52"/>
  <c r="K15" i="52"/>
  <c r="J15" i="52"/>
  <c r="I15" i="52"/>
  <c r="H15" i="52"/>
  <c r="G15" i="52"/>
  <c r="F15" i="52"/>
  <c r="A15" i="52"/>
  <c r="K14" i="52"/>
  <c r="J14" i="52"/>
  <c r="I14" i="52"/>
  <c r="H14" i="52"/>
  <c r="G14" i="52"/>
  <c r="F14" i="52"/>
  <c r="A14" i="52"/>
  <c r="K13" i="52"/>
  <c r="J13" i="52"/>
  <c r="I13" i="52"/>
  <c r="H13" i="52"/>
  <c r="G13" i="52"/>
  <c r="F13" i="52"/>
  <c r="A13" i="52"/>
  <c r="K12" i="52"/>
  <c r="J12" i="52"/>
  <c r="I12" i="52"/>
  <c r="H12" i="52"/>
  <c r="G12" i="52"/>
  <c r="F12" i="52"/>
  <c r="A12" i="52"/>
  <c r="K11" i="52"/>
  <c r="J11" i="52"/>
  <c r="I11" i="52"/>
  <c r="H11" i="52"/>
  <c r="G11" i="52"/>
  <c r="F11" i="52"/>
  <c r="A11" i="52"/>
  <c r="K10" i="52"/>
  <c r="J10" i="52"/>
  <c r="I10" i="52"/>
  <c r="H10" i="52"/>
  <c r="G10" i="52"/>
  <c r="F10" i="52"/>
  <c r="A10" i="52"/>
  <c r="K9" i="52"/>
  <c r="J9" i="52"/>
  <c r="I9" i="52"/>
  <c r="H9" i="52"/>
  <c r="G9" i="52"/>
  <c r="F9" i="52"/>
  <c r="A9" i="52"/>
  <c r="K8" i="52"/>
  <c r="J8" i="52"/>
  <c r="I8" i="52"/>
  <c r="H8" i="52"/>
  <c r="G8" i="52"/>
  <c r="F8" i="52"/>
  <c r="A8" i="52"/>
  <c r="K7" i="52"/>
  <c r="J7" i="52"/>
  <c r="I7" i="52"/>
  <c r="H7" i="52"/>
  <c r="G7" i="52"/>
  <c r="F7" i="52"/>
  <c r="A7" i="52"/>
  <c r="K6" i="52"/>
  <c r="J6" i="52"/>
  <c r="I6" i="52"/>
  <c r="H6" i="52"/>
  <c r="G6" i="52"/>
  <c r="F6" i="52"/>
  <c r="A6" i="52"/>
  <c r="K5" i="52"/>
  <c r="J5" i="52"/>
  <c r="I5" i="52"/>
  <c r="H5" i="52"/>
  <c r="G5" i="52"/>
  <c r="F5" i="52"/>
  <c r="A5" i="52"/>
  <c r="K4" i="52"/>
  <c r="J4" i="52"/>
  <c r="I4" i="52"/>
  <c r="H4" i="52"/>
  <c r="G4" i="52"/>
  <c r="F4" i="52"/>
  <c r="A4" i="52"/>
  <c r="K3" i="52"/>
  <c r="J3" i="52"/>
  <c r="I3" i="52"/>
  <c r="H3" i="52"/>
  <c r="G3" i="52"/>
  <c r="F3" i="52"/>
  <c r="A3" i="52"/>
  <c r="K2" i="52"/>
  <c r="J2" i="52"/>
  <c r="I2" i="52"/>
  <c r="H2" i="52"/>
  <c r="G2" i="52"/>
  <c r="F2" i="52"/>
  <c r="A2" i="52"/>
  <c r="A1" i="51"/>
  <c r="A221" i="51"/>
  <c r="B1" i="51"/>
  <c r="K221" i="51"/>
  <c r="J221" i="51"/>
  <c r="I221" i="51"/>
  <c r="H221" i="51"/>
  <c r="G221" i="51"/>
  <c r="F221" i="51"/>
  <c r="E221" i="51"/>
  <c r="D221" i="51"/>
  <c r="C221" i="51"/>
  <c r="B221" i="51"/>
  <c r="A220" i="51"/>
  <c r="K220" i="51"/>
  <c r="J220" i="51"/>
  <c r="I220" i="51"/>
  <c r="H220" i="51"/>
  <c r="G220" i="51"/>
  <c r="F220" i="51"/>
  <c r="E220" i="51"/>
  <c r="D220" i="51"/>
  <c r="C220" i="51"/>
  <c r="B220" i="51"/>
  <c r="A219" i="51"/>
  <c r="K219" i="51"/>
  <c r="J219" i="51"/>
  <c r="I219" i="51"/>
  <c r="H219" i="51"/>
  <c r="G219" i="51"/>
  <c r="F219" i="51"/>
  <c r="E219" i="51"/>
  <c r="D219" i="51"/>
  <c r="C219" i="51"/>
  <c r="B219" i="51"/>
  <c r="A218" i="51"/>
  <c r="K218" i="51"/>
  <c r="J218" i="51"/>
  <c r="I218" i="51"/>
  <c r="H218" i="51"/>
  <c r="G218" i="51"/>
  <c r="F218" i="51"/>
  <c r="E218" i="51"/>
  <c r="D218" i="51"/>
  <c r="C218" i="51"/>
  <c r="B218" i="51"/>
  <c r="A217" i="51"/>
  <c r="K217" i="51"/>
  <c r="J217" i="51"/>
  <c r="I217" i="51"/>
  <c r="H217" i="51"/>
  <c r="G217" i="51"/>
  <c r="F217" i="51"/>
  <c r="E217" i="51"/>
  <c r="D217" i="51"/>
  <c r="C217" i="51"/>
  <c r="B217" i="51"/>
  <c r="A216" i="51"/>
  <c r="K216" i="51"/>
  <c r="J216" i="51"/>
  <c r="I216" i="51"/>
  <c r="H216" i="51"/>
  <c r="G216" i="51"/>
  <c r="F216" i="51"/>
  <c r="E216" i="51"/>
  <c r="D216" i="51"/>
  <c r="C216" i="51"/>
  <c r="B216" i="51"/>
  <c r="A215" i="51"/>
  <c r="K215" i="51"/>
  <c r="J215" i="51"/>
  <c r="I215" i="51"/>
  <c r="H215" i="51"/>
  <c r="G215" i="51"/>
  <c r="F215" i="51"/>
  <c r="E215" i="51"/>
  <c r="D215" i="51"/>
  <c r="C215" i="51"/>
  <c r="B215" i="51"/>
  <c r="A214" i="51"/>
  <c r="K214" i="51"/>
  <c r="J214" i="51"/>
  <c r="I214" i="51"/>
  <c r="H214" i="51"/>
  <c r="G214" i="51"/>
  <c r="F214" i="51"/>
  <c r="E214" i="51"/>
  <c r="D214" i="51"/>
  <c r="C214" i="51"/>
  <c r="B214" i="51"/>
  <c r="A213" i="51"/>
  <c r="K213" i="51"/>
  <c r="J213" i="51"/>
  <c r="I213" i="51"/>
  <c r="H213" i="51"/>
  <c r="G213" i="51"/>
  <c r="F213" i="51"/>
  <c r="E213" i="51"/>
  <c r="D213" i="51"/>
  <c r="C213" i="51"/>
  <c r="B213" i="51"/>
  <c r="A212" i="51"/>
  <c r="K212" i="51"/>
  <c r="J212" i="51"/>
  <c r="I212" i="51"/>
  <c r="H212" i="51"/>
  <c r="G212" i="51"/>
  <c r="F212" i="51"/>
  <c r="E212" i="51"/>
  <c r="D212" i="51"/>
  <c r="C212" i="51"/>
  <c r="B212" i="51"/>
  <c r="A211" i="51"/>
  <c r="K211" i="51"/>
  <c r="J211" i="51"/>
  <c r="I211" i="51"/>
  <c r="H211" i="51"/>
  <c r="G211" i="51"/>
  <c r="F211" i="51"/>
  <c r="E211" i="51"/>
  <c r="D211" i="51"/>
  <c r="C211" i="51"/>
  <c r="B211" i="51"/>
  <c r="A210" i="51"/>
  <c r="K210" i="51"/>
  <c r="J210" i="51"/>
  <c r="I210" i="51"/>
  <c r="H210" i="51"/>
  <c r="G210" i="51"/>
  <c r="F210" i="51"/>
  <c r="E210" i="51"/>
  <c r="D210" i="51"/>
  <c r="C210" i="51"/>
  <c r="B210" i="51"/>
  <c r="A209" i="51"/>
  <c r="K209" i="51"/>
  <c r="J209" i="51"/>
  <c r="I209" i="51"/>
  <c r="H209" i="51"/>
  <c r="G209" i="51"/>
  <c r="F209" i="51"/>
  <c r="E209" i="51"/>
  <c r="D209" i="51"/>
  <c r="C209" i="51"/>
  <c r="B209" i="51"/>
  <c r="A208" i="51"/>
  <c r="K208" i="51"/>
  <c r="J208" i="51"/>
  <c r="I208" i="51"/>
  <c r="H208" i="51"/>
  <c r="G208" i="51"/>
  <c r="F208" i="51"/>
  <c r="E208" i="51"/>
  <c r="D208" i="51"/>
  <c r="C208" i="51"/>
  <c r="B208" i="51"/>
  <c r="A207" i="51"/>
  <c r="K207" i="51"/>
  <c r="J207" i="51"/>
  <c r="I207" i="51"/>
  <c r="H207" i="51"/>
  <c r="G207" i="51"/>
  <c r="F207" i="51"/>
  <c r="E207" i="51"/>
  <c r="D207" i="51"/>
  <c r="C207" i="51"/>
  <c r="B207" i="51"/>
  <c r="A206" i="51"/>
  <c r="K206" i="51"/>
  <c r="J206" i="51"/>
  <c r="I206" i="51"/>
  <c r="H206" i="51"/>
  <c r="G206" i="51"/>
  <c r="F206" i="51"/>
  <c r="E206" i="51"/>
  <c r="D206" i="51"/>
  <c r="C206" i="51"/>
  <c r="B206" i="51"/>
  <c r="A205" i="51"/>
  <c r="K205" i="51"/>
  <c r="J205" i="51"/>
  <c r="I205" i="51"/>
  <c r="H205" i="51"/>
  <c r="G205" i="51"/>
  <c r="F205" i="51"/>
  <c r="E205" i="51"/>
  <c r="D205" i="51"/>
  <c r="C205" i="51"/>
  <c r="B205" i="51"/>
  <c r="A204" i="51"/>
  <c r="K204" i="51"/>
  <c r="J204" i="51"/>
  <c r="I204" i="51"/>
  <c r="H204" i="51"/>
  <c r="G204" i="51"/>
  <c r="F204" i="51"/>
  <c r="E204" i="51"/>
  <c r="D204" i="51"/>
  <c r="C204" i="51"/>
  <c r="B204" i="51"/>
  <c r="A203" i="51"/>
  <c r="K203" i="51"/>
  <c r="J203" i="51"/>
  <c r="I203" i="51"/>
  <c r="H203" i="51"/>
  <c r="G203" i="51"/>
  <c r="F203" i="51"/>
  <c r="E203" i="51"/>
  <c r="D203" i="51"/>
  <c r="C203" i="51"/>
  <c r="B203" i="51"/>
  <c r="A202" i="51"/>
  <c r="K202" i="51"/>
  <c r="J202" i="51"/>
  <c r="I202" i="51"/>
  <c r="H202" i="51"/>
  <c r="G202" i="51"/>
  <c r="F202" i="51"/>
  <c r="E202" i="51"/>
  <c r="D202" i="51"/>
  <c r="C202" i="51"/>
  <c r="B202" i="51"/>
  <c r="A201" i="51"/>
  <c r="K201" i="51"/>
  <c r="J201" i="51"/>
  <c r="I201" i="51"/>
  <c r="H201" i="51"/>
  <c r="G201" i="51"/>
  <c r="F201" i="51"/>
  <c r="E201" i="51"/>
  <c r="D201" i="51"/>
  <c r="C201" i="51"/>
  <c r="B201" i="51"/>
  <c r="A200" i="51"/>
  <c r="K200" i="51"/>
  <c r="J200" i="51"/>
  <c r="I200" i="51"/>
  <c r="H200" i="51"/>
  <c r="G200" i="51"/>
  <c r="F200" i="51"/>
  <c r="E200" i="51"/>
  <c r="D200" i="51"/>
  <c r="C200" i="51"/>
  <c r="B200" i="51"/>
  <c r="A199" i="51"/>
  <c r="K199" i="51"/>
  <c r="J199" i="51"/>
  <c r="I199" i="51"/>
  <c r="H199" i="51"/>
  <c r="G199" i="51"/>
  <c r="F199" i="51"/>
  <c r="E199" i="51"/>
  <c r="D199" i="51"/>
  <c r="C199" i="51"/>
  <c r="B199" i="51"/>
  <c r="A198" i="51"/>
  <c r="K198" i="51"/>
  <c r="J198" i="51"/>
  <c r="I198" i="51"/>
  <c r="H198" i="51"/>
  <c r="G198" i="51"/>
  <c r="F198" i="51"/>
  <c r="E198" i="51"/>
  <c r="D198" i="51"/>
  <c r="C198" i="51"/>
  <c r="B198" i="51"/>
  <c r="A197" i="51"/>
  <c r="K197" i="51"/>
  <c r="J197" i="51"/>
  <c r="I197" i="51"/>
  <c r="H197" i="51"/>
  <c r="G197" i="51"/>
  <c r="F197" i="51"/>
  <c r="E197" i="51"/>
  <c r="D197" i="51"/>
  <c r="C197" i="51"/>
  <c r="B197" i="51"/>
  <c r="A196" i="51"/>
  <c r="K196" i="51"/>
  <c r="J196" i="51"/>
  <c r="I196" i="51"/>
  <c r="H196" i="51"/>
  <c r="G196" i="51"/>
  <c r="F196" i="51"/>
  <c r="E196" i="51"/>
  <c r="D196" i="51"/>
  <c r="C196" i="51"/>
  <c r="B196" i="51"/>
  <c r="A195" i="51"/>
  <c r="K195" i="51"/>
  <c r="J195" i="51"/>
  <c r="I195" i="51"/>
  <c r="H195" i="51"/>
  <c r="G195" i="51"/>
  <c r="F195" i="51"/>
  <c r="E195" i="51"/>
  <c r="D195" i="51"/>
  <c r="C195" i="51"/>
  <c r="B195" i="51"/>
  <c r="A194" i="51"/>
  <c r="K194" i="51"/>
  <c r="J194" i="51"/>
  <c r="I194" i="51"/>
  <c r="H194" i="51"/>
  <c r="G194" i="51"/>
  <c r="F194" i="51"/>
  <c r="E194" i="51"/>
  <c r="D194" i="51"/>
  <c r="C194" i="51"/>
  <c r="B194" i="51"/>
  <c r="A193" i="51"/>
  <c r="K193" i="51"/>
  <c r="J193" i="51"/>
  <c r="I193" i="51"/>
  <c r="H193" i="51"/>
  <c r="G193" i="51"/>
  <c r="F193" i="51"/>
  <c r="E193" i="51"/>
  <c r="D193" i="51"/>
  <c r="C193" i="51"/>
  <c r="B193" i="51"/>
  <c r="A192" i="51"/>
  <c r="K192" i="51"/>
  <c r="J192" i="51"/>
  <c r="I192" i="51"/>
  <c r="H192" i="51"/>
  <c r="G192" i="51"/>
  <c r="F192" i="51"/>
  <c r="E192" i="51"/>
  <c r="D192" i="51"/>
  <c r="C192" i="51"/>
  <c r="B192" i="51"/>
  <c r="A191" i="51"/>
  <c r="K191" i="51"/>
  <c r="J191" i="51"/>
  <c r="I191" i="51"/>
  <c r="H191" i="51"/>
  <c r="G191" i="51"/>
  <c r="F191" i="51"/>
  <c r="E191" i="51"/>
  <c r="D191" i="51"/>
  <c r="C191" i="51"/>
  <c r="B191" i="51"/>
  <c r="A190" i="51"/>
  <c r="K190" i="51"/>
  <c r="J190" i="51"/>
  <c r="I190" i="51"/>
  <c r="H190" i="51"/>
  <c r="G190" i="51"/>
  <c r="F190" i="51"/>
  <c r="E190" i="51"/>
  <c r="D190" i="51"/>
  <c r="C190" i="51"/>
  <c r="B190" i="51"/>
  <c r="A189" i="51"/>
  <c r="K189" i="51"/>
  <c r="J189" i="51"/>
  <c r="I189" i="51"/>
  <c r="H189" i="51"/>
  <c r="G189" i="51"/>
  <c r="F189" i="51"/>
  <c r="E189" i="51"/>
  <c r="D189" i="51"/>
  <c r="C189" i="51"/>
  <c r="B189" i="51"/>
  <c r="A188" i="51"/>
  <c r="K188" i="51"/>
  <c r="J188" i="51"/>
  <c r="I188" i="51"/>
  <c r="H188" i="51"/>
  <c r="G188" i="51"/>
  <c r="F188" i="51"/>
  <c r="E188" i="51"/>
  <c r="D188" i="51"/>
  <c r="C188" i="51"/>
  <c r="B188" i="51"/>
  <c r="A187" i="51"/>
  <c r="K187" i="51"/>
  <c r="J187" i="51"/>
  <c r="I187" i="51"/>
  <c r="H187" i="51"/>
  <c r="G187" i="51"/>
  <c r="F187" i="51"/>
  <c r="E187" i="51"/>
  <c r="D187" i="51"/>
  <c r="C187" i="51"/>
  <c r="B187" i="51"/>
  <c r="A186" i="51"/>
  <c r="K186" i="51"/>
  <c r="J186" i="51"/>
  <c r="I186" i="51"/>
  <c r="H186" i="51"/>
  <c r="G186" i="51"/>
  <c r="F186" i="51"/>
  <c r="E186" i="51"/>
  <c r="D186" i="51"/>
  <c r="C186" i="51"/>
  <c r="B186" i="51"/>
  <c r="A185" i="51"/>
  <c r="K185" i="51"/>
  <c r="J185" i="51"/>
  <c r="I185" i="51"/>
  <c r="H185" i="51"/>
  <c r="G185" i="51"/>
  <c r="F185" i="51"/>
  <c r="E185" i="51"/>
  <c r="D185" i="51"/>
  <c r="C185" i="51"/>
  <c r="B185" i="51"/>
  <c r="A184" i="51"/>
  <c r="K184" i="51"/>
  <c r="J184" i="51"/>
  <c r="I184" i="51"/>
  <c r="H184" i="51"/>
  <c r="G184" i="51"/>
  <c r="F184" i="51"/>
  <c r="E184" i="51"/>
  <c r="D184" i="51"/>
  <c r="C184" i="51"/>
  <c r="B184" i="51"/>
  <c r="A183" i="51"/>
  <c r="K183" i="51"/>
  <c r="J183" i="51"/>
  <c r="I183" i="51"/>
  <c r="H183" i="51"/>
  <c r="G183" i="51"/>
  <c r="F183" i="51"/>
  <c r="E183" i="51"/>
  <c r="D183" i="51"/>
  <c r="C183" i="51"/>
  <c r="B183" i="51"/>
  <c r="A182" i="51"/>
  <c r="K182" i="51"/>
  <c r="J182" i="51"/>
  <c r="I182" i="51"/>
  <c r="H182" i="51"/>
  <c r="G182" i="51"/>
  <c r="F182" i="51"/>
  <c r="E182" i="51"/>
  <c r="D182" i="51"/>
  <c r="C182" i="51"/>
  <c r="B182" i="51"/>
  <c r="A181" i="51"/>
  <c r="K181" i="51"/>
  <c r="J181" i="51"/>
  <c r="I181" i="51"/>
  <c r="H181" i="51"/>
  <c r="G181" i="51"/>
  <c r="F181" i="51"/>
  <c r="E181" i="51"/>
  <c r="D181" i="51"/>
  <c r="C181" i="51"/>
  <c r="B181" i="51"/>
  <c r="A180" i="51"/>
  <c r="K180" i="51"/>
  <c r="J180" i="51"/>
  <c r="I180" i="51"/>
  <c r="H180" i="51"/>
  <c r="G180" i="51"/>
  <c r="F180" i="51"/>
  <c r="E180" i="51"/>
  <c r="D180" i="51"/>
  <c r="C180" i="51"/>
  <c r="B180" i="51"/>
  <c r="A179" i="51"/>
  <c r="K179" i="51"/>
  <c r="J179" i="51"/>
  <c r="I179" i="51"/>
  <c r="H179" i="51"/>
  <c r="G179" i="51"/>
  <c r="F179" i="51"/>
  <c r="E179" i="51"/>
  <c r="D179" i="51"/>
  <c r="C179" i="51"/>
  <c r="B179" i="51"/>
  <c r="A178" i="51"/>
  <c r="K178" i="51"/>
  <c r="J178" i="51"/>
  <c r="I178" i="51"/>
  <c r="H178" i="51"/>
  <c r="G178" i="51"/>
  <c r="F178" i="51"/>
  <c r="E178" i="51"/>
  <c r="D178" i="51"/>
  <c r="C178" i="51"/>
  <c r="B178" i="51"/>
  <c r="A177" i="51"/>
  <c r="K177" i="51"/>
  <c r="J177" i="51"/>
  <c r="I177" i="51"/>
  <c r="H177" i="51"/>
  <c r="G177" i="51"/>
  <c r="F177" i="51"/>
  <c r="E177" i="51"/>
  <c r="D177" i="51"/>
  <c r="C177" i="51"/>
  <c r="B177" i="51"/>
  <c r="A176" i="51"/>
  <c r="K176" i="51"/>
  <c r="J176" i="51"/>
  <c r="I176" i="51"/>
  <c r="H176" i="51"/>
  <c r="G176" i="51"/>
  <c r="F176" i="51"/>
  <c r="E176" i="51"/>
  <c r="D176" i="51"/>
  <c r="C176" i="51"/>
  <c r="B176" i="51"/>
  <c r="A175" i="51"/>
  <c r="K175" i="51"/>
  <c r="J175" i="51"/>
  <c r="I175" i="51"/>
  <c r="H175" i="51"/>
  <c r="G175" i="51"/>
  <c r="F175" i="51"/>
  <c r="E175" i="51"/>
  <c r="D175" i="51"/>
  <c r="C175" i="51"/>
  <c r="B175" i="51"/>
  <c r="A174" i="51"/>
  <c r="K174" i="51"/>
  <c r="J174" i="51"/>
  <c r="I174" i="51"/>
  <c r="H174" i="51"/>
  <c r="G174" i="51"/>
  <c r="F174" i="51"/>
  <c r="E174" i="51"/>
  <c r="D174" i="51"/>
  <c r="C174" i="51"/>
  <c r="B174" i="51"/>
  <c r="A173" i="51"/>
  <c r="K173" i="51"/>
  <c r="J173" i="51"/>
  <c r="I173" i="51"/>
  <c r="H173" i="51"/>
  <c r="G173" i="51"/>
  <c r="F173" i="51"/>
  <c r="E173" i="51"/>
  <c r="D173" i="51"/>
  <c r="C173" i="51"/>
  <c r="B173" i="51"/>
  <c r="A172" i="51"/>
  <c r="K172" i="51"/>
  <c r="J172" i="51"/>
  <c r="I172" i="51"/>
  <c r="H172" i="51"/>
  <c r="G172" i="51"/>
  <c r="F172" i="51"/>
  <c r="E172" i="51"/>
  <c r="D172" i="51"/>
  <c r="C172" i="51"/>
  <c r="B172" i="51"/>
  <c r="A171" i="51"/>
  <c r="K171" i="51"/>
  <c r="J171" i="51"/>
  <c r="I171" i="51"/>
  <c r="H171" i="51"/>
  <c r="G171" i="51"/>
  <c r="F171" i="51"/>
  <c r="E171" i="51"/>
  <c r="D171" i="51"/>
  <c r="C171" i="51"/>
  <c r="B171" i="51"/>
  <c r="A170" i="51"/>
  <c r="K170" i="51"/>
  <c r="J170" i="51"/>
  <c r="I170" i="51"/>
  <c r="H170" i="51"/>
  <c r="G170" i="51"/>
  <c r="F170" i="51"/>
  <c r="E170" i="51"/>
  <c r="D170" i="51"/>
  <c r="C170" i="51"/>
  <c r="B170" i="51"/>
  <c r="A169" i="51"/>
  <c r="K169" i="51"/>
  <c r="J169" i="51"/>
  <c r="I169" i="51"/>
  <c r="H169" i="51"/>
  <c r="G169" i="51"/>
  <c r="F169" i="51"/>
  <c r="E169" i="51"/>
  <c r="D169" i="51"/>
  <c r="C169" i="51"/>
  <c r="B169" i="51"/>
  <c r="A168" i="51"/>
  <c r="K168" i="51"/>
  <c r="J168" i="51"/>
  <c r="I168" i="51"/>
  <c r="H168" i="51"/>
  <c r="G168" i="51"/>
  <c r="F168" i="51"/>
  <c r="E168" i="51"/>
  <c r="D168" i="51"/>
  <c r="C168" i="51"/>
  <c r="B168" i="51"/>
  <c r="A167" i="51"/>
  <c r="K167" i="51"/>
  <c r="J167" i="51"/>
  <c r="I167" i="51"/>
  <c r="H167" i="51"/>
  <c r="G167" i="51"/>
  <c r="F167" i="51"/>
  <c r="E167" i="51"/>
  <c r="D167" i="51"/>
  <c r="C167" i="51"/>
  <c r="B167" i="51"/>
  <c r="A166" i="51"/>
  <c r="K166" i="51"/>
  <c r="J166" i="51"/>
  <c r="I166" i="51"/>
  <c r="H166" i="51"/>
  <c r="G166" i="51"/>
  <c r="F166" i="51"/>
  <c r="E166" i="51"/>
  <c r="D166" i="51"/>
  <c r="C166" i="51"/>
  <c r="B166" i="51"/>
  <c r="A165" i="51"/>
  <c r="K165" i="51"/>
  <c r="J165" i="51"/>
  <c r="I165" i="51"/>
  <c r="H165" i="51"/>
  <c r="G165" i="51"/>
  <c r="F165" i="51"/>
  <c r="E165" i="51"/>
  <c r="D165" i="51"/>
  <c r="C165" i="51"/>
  <c r="B165" i="51"/>
  <c r="A164" i="51"/>
  <c r="K164" i="51"/>
  <c r="J164" i="51"/>
  <c r="I164" i="51"/>
  <c r="H164" i="51"/>
  <c r="G164" i="51"/>
  <c r="F164" i="51"/>
  <c r="E164" i="51"/>
  <c r="D164" i="51"/>
  <c r="C164" i="51"/>
  <c r="B164" i="51"/>
  <c r="A163" i="51"/>
  <c r="K163" i="51"/>
  <c r="J163" i="51"/>
  <c r="I163" i="51"/>
  <c r="H163" i="51"/>
  <c r="G163" i="51"/>
  <c r="F163" i="51"/>
  <c r="E163" i="51"/>
  <c r="D163" i="51"/>
  <c r="C163" i="51"/>
  <c r="B163" i="51"/>
  <c r="A162" i="51"/>
  <c r="K162" i="51"/>
  <c r="J162" i="51"/>
  <c r="I162" i="51"/>
  <c r="H162" i="51"/>
  <c r="G162" i="51"/>
  <c r="F162" i="51"/>
  <c r="E162" i="51"/>
  <c r="D162" i="51"/>
  <c r="C162" i="51"/>
  <c r="B162" i="51"/>
  <c r="A161" i="51"/>
  <c r="K161" i="51"/>
  <c r="J161" i="51"/>
  <c r="I161" i="51"/>
  <c r="H161" i="51"/>
  <c r="G161" i="51"/>
  <c r="F161" i="51"/>
  <c r="E161" i="51"/>
  <c r="D161" i="51"/>
  <c r="C161" i="51"/>
  <c r="B161" i="51"/>
  <c r="A160" i="51"/>
  <c r="K160" i="51"/>
  <c r="J160" i="51"/>
  <c r="I160" i="51"/>
  <c r="H160" i="51"/>
  <c r="G160" i="51"/>
  <c r="F160" i="51"/>
  <c r="E160" i="51"/>
  <c r="D160" i="51"/>
  <c r="C160" i="51"/>
  <c r="B160" i="51"/>
  <c r="A159" i="51"/>
  <c r="K159" i="51"/>
  <c r="J159" i="51"/>
  <c r="I159" i="51"/>
  <c r="H159" i="51"/>
  <c r="G159" i="51"/>
  <c r="F159" i="51"/>
  <c r="E159" i="51"/>
  <c r="D159" i="51"/>
  <c r="C159" i="51"/>
  <c r="B159" i="51"/>
  <c r="A158" i="51"/>
  <c r="K158" i="51"/>
  <c r="J158" i="51"/>
  <c r="I158" i="51"/>
  <c r="H158" i="51"/>
  <c r="G158" i="51"/>
  <c r="F158" i="51"/>
  <c r="E158" i="51"/>
  <c r="D158" i="51"/>
  <c r="C158" i="51"/>
  <c r="B158" i="51"/>
  <c r="A157" i="51"/>
  <c r="K157" i="51"/>
  <c r="J157" i="51"/>
  <c r="I157" i="51"/>
  <c r="H157" i="51"/>
  <c r="G157" i="51"/>
  <c r="F157" i="51"/>
  <c r="E157" i="51"/>
  <c r="D157" i="51"/>
  <c r="C157" i="51"/>
  <c r="B157" i="51"/>
  <c r="A156" i="51"/>
  <c r="K156" i="51"/>
  <c r="J156" i="51"/>
  <c r="I156" i="51"/>
  <c r="H156" i="51"/>
  <c r="G156" i="51"/>
  <c r="F156" i="51"/>
  <c r="E156" i="51"/>
  <c r="D156" i="51"/>
  <c r="C156" i="51"/>
  <c r="B156" i="51"/>
  <c r="A155" i="51"/>
  <c r="K155" i="51"/>
  <c r="J155" i="51"/>
  <c r="I155" i="51"/>
  <c r="H155" i="51"/>
  <c r="G155" i="51"/>
  <c r="F155" i="51"/>
  <c r="E155" i="51"/>
  <c r="D155" i="51"/>
  <c r="C155" i="51"/>
  <c r="B155" i="51"/>
  <c r="A154" i="51"/>
  <c r="K154" i="51"/>
  <c r="J154" i="51"/>
  <c r="I154" i="51"/>
  <c r="H154" i="51"/>
  <c r="G154" i="51"/>
  <c r="F154" i="51"/>
  <c r="E154" i="51"/>
  <c r="D154" i="51"/>
  <c r="C154" i="51"/>
  <c r="B154" i="51"/>
  <c r="A153" i="51"/>
  <c r="K153" i="51"/>
  <c r="J153" i="51"/>
  <c r="I153" i="51"/>
  <c r="H153" i="51"/>
  <c r="G153" i="51"/>
  <c r="F153" i="51"/>
  <c r="E153" i="51"/>
  <c r="D153" i="51"/>
  <c r="C153" i="51"/>
  <c r="B153" i="51"/>
  <c r="A152" i="51"/>
  <c r="K152" i="51"/>
  <c r="J152" i="51"/>
  <c r="I152" i="51"/>
  <c r="H152" i="51"/>
  <c r="G152" i="51"/>
  <c r="F152" i="51"/>
  <c r="E152" i="51"/>
  <c r="D152" i="51"/>
  <c r="C152" i="51"/>
  <c r="B152" i="51"/>
  <c r="A151" i="51"/>
  <c r="K151" i="51"/>
  <c r="J151" i="51"/>
  <c r="I151" i="51"/>
  <c r="H151" i="51"/>
  <c r="G151" i="51"/>
  <c r="F151" i="51"/>
  <c r="E151" i="51"/>
  <c r="D151" i="51"/>
  <c r="C151" i="51"/>
  <c r="B151" i="51"/>
  <c r="A150" i="51"/>
  <c r="K150" i="51"/>
  <c r="J150" i="51"/>
  <c r="I150" i="51"/>
  <c r="H150" i="51"/>
  <c r="G150" i="51"/>
  <c r="F150" i="51"/>
  <c r="E150" i="51"/>
  <c r="D150" i="51"/>
  <c r="C150" i="51"/>
  <c r="B150" i="51"/>
  <c r="A149" i="51"/>
  <c r="K149" i="51"/>
  <c r="J149" i="51"/>
  <c r="I149" i="51"/>
  <c r="H149" i="51"/>
  <c r="G149" i="51"/>
  <c r="F149" i="51"/>
  <c r="E149" i="51"/>
  <c r="D149" i="51"/>
  <c r="C149" i="51"/>
  <c r="B149" i="51"/>
  <c r="A148" i="51"/>
  <c r="K148" i="51"/>
  <c r="J148" i="51"/>
  <c r="I148" i="51"/>
  <c r="H148" i="51"/>
  <c r="G148" i="51"/>
  <c r="F148" i="51"/>
  <c r="E148" i="51"/>
  <c r="D148" i="51"/>
  <c r="C148" i="51"/>
  <c r="B148" i="51"/>
  <c r="A147" i="51"/>
  <c r="K147" i="51"/>
  <c r="J147" i="51"/>
  <c r="I147" i="51"/>
  <c r="H147" i="51"/>
  <c r="G147" i="51"/>
  <c r="F147" i="51"/>
  <c r="E147" i="51"/>
  <c r="D147" i="51"/>
  <c r="C147" i="51"/>
  <c r="B147" i="51"/>
  <c r="A146" i="51"/>
  <c r="K146" i="51"/>
  <c r="J146" i="51"/>
  <c r="I146" i="51"/>
  <c r="H146" i="51"/>
  <c r="G146" i="51"/>
  <c r="F146" i="51"/>
  <c r="E146" i="51"/>
  <c r="D146" i="51"/>
  <c r="C146" i="51"/>
  <c r="B146" i="51"/>
  <c r="A145" i="51"/>
  <c r="K145" i="51"/>
  <c r="J145" i="51"/>
  <c r="I145" i="51"/>
  <c r="H145" i="51"/>
  <c r="G145" i="51"/>
  <c r="F145" i="51"/>
  <c r="E145" i="51"/>
  <c r="D145" i="51"/>
  <c r="C145" i="51"/>
  <c r="B145" i="51"/>
  <c r="A144" i="51"/>
  <c r="K144" i="51"/>
  <c r="J144" i="51"/>
  <c r="I144" i="51"/>
  <c r="H144" i="51"/>
  <c r="G144" i="51"/>
  <c r="F144" i="51"/>
  <c r="E144" i="51"/>
  <c r="D144" i="51"/>
  <c r="C144" i="51"/>
  <c r="B144" i="51"/>
  <c r="A143" i="51"/>
  <c r="K143" i="51"/>
  <c r="J143" i="51"/>
  <c r="I143" i="51"/>
  <c r="H143" i="51"/>
  <c r="G143" i="51"/>
  <c r="F143" i="51"/>
  <c r="E143" i="51"/>
  <c r="D143" i="51"/>
  <c r="C143" i="51"/>
  <c r="B143" i="51"/>
  <c r="A142" i="51"/>
  <c r="K142" i="51"/>
  <c r="J142" i="51"/>
  <c r="I142" i="51"/>
  <c r="H142" i="51"/>
  <c r="G142" i="51"/>
  <c r="F142" i="51"/>
  <c r="E142" i="51"/>
  <c r="D142" i="51"/>
  <c r="C142" i="51"/>
  <c r="B142" i="51"/>
  <c r="A141" i="51"/>
  <c r="K141" i="51"/>
  <c r="J141" i="51"/>
  <c r="I141" i="51"/>
  <c r="H141" i="51"/>
  <c r="G141" i="51"/>
  <c r="F141" i="51"/>
  <c r="E141" i="51"/>
  <c r="D141" i="51"/>
  <c r="C141" i="51"/>
  <c r="B141" i="51"/>
  <c r="A140" i="51"/>
  <c r="K140" i="51"/>
  <c r="J140" i="51"/>
  <c r="I140" i="51"/>
  <c r="H140" i="51"/>
  <c r="G140" i="51"/>
  <c r="F140" i="51"/>
  <c r="E140" i="51"/>
  <c r="D140" i="51"/>
  <c r="C140" i="51"/>
  <c r="B140" i="51"/>
  <c r="A139" i="51"/>
  <c r="K139" i="51"/>
  <c r="J139" i="51"/>
  <c r="I139" i="51"/>
  <c r="H139" i="51"/>
  <c r="G139" i="51"/>
  <c r="F139" i="51"/>
  <c r="E139" i="51"/>
  <c r="D139" i="51"/>
  <c r="C139" i="51"/>
  <c r="B139" i="51"/>
  <c r="A138" i="51"/>
  <c r="K138" i="51"/>
  <c r="J138" i="51"/>
  <c r="I138" i="51"/>
  <c r="H138" i="51"/>
  <c r="G138" i="51"/>
  <c r="F138" i="51"/>
  <c r="E138" i="51"/>
  <c r="D138" i="51"/>
  <c r="C138" i="51"/>
  <c r="B138" i="51"/>
  <c r="A137" i="51"/>
  <c r="K137" i="51"/>
  <c r="J137" i="51"/>
  <c r="I137" i="51"/>
  <c r="H137" i="51"/>
  <c r="G137" i="51"/>
  <c r="F137" i="51"/>
  <c r="E137" i="51"/>
  <c r="D137" i="51"/>
  <c r="C137" i="51"/>
  <c r="B137" i="51"/>
  <c r="A136" i="51"/>
  <c r="K136" i="51"/>
  <c r="J136" i="51"/>
  <c r="I136" i="51"/>
  <c r="H136" i="51"/>
  <c r="G136" i="51"/>
  <c r="F136" i="51"/>
  <c r="E136" i="51"/>
  <c r="D136" i="51"/>
  <c r="C136" i="51"/>
  <c r="B136" i="51"/>
  <c r="A135" i="51"/>
  <c r="K135" i="51"/>
  <c r="J135" i="51"/>
  <c r="I135" i="51"/>
  <c r="H135" i="51"/>
  <c r="G135" i="51"/>
  <c r="F135" i="51"/>
  <c r="E135" i="51"/>
  <c r="D135" i="51"/>
  <c r="C135" i="51"/>
  <c r="B135" i="51"/>
  <c r="A134" i="51"/>
  <c r="K134" i="51"/>
  <c r="J134" i="51"/>
  <c r="I134" i="51"/>
  <c r="H134" i="51"/>
  <c r="G134" i="51"/>
  <c r="F134" i="51"/>
  <c r="E134" i="51"/>
  <c r="D134" i="51"/>
  <c r="C134" i="51"/>
  <c r="B134" i="51"/>
  <c r="A133" i="51"/>
  <c r="K133" i="51"/>
  <c r="J133" i="51"/>
  <c r="I133" i="51"/>
  <c r="H133" i="51"/>
  <c r="G133" i="51"/>
  <c r="F133" i="51"/>
  <c r="E133" i="51"/>
  <c r="D133" i="51"/>
  <c r="C133" i="51"/>
  <c r="B133" i="51"/>
  <c r="A132" i="51"/>
  <c r="K132" i="51"/>
  <c r="J132" i="51"/>
  <c r="I132" i="51"/>
  <c r="H132" i="51"/>
  <c r="G132" i="51"/>
  <c r="F132" i="51"/>
  <c r="E132" i="51"/>
  <c r="D132" i="51"/>
  <c r="C132" i="51"/>
  <c r="B132" i="51"/>
  <c r="A131" i="51"/>
  <c r="K131" i="51"/>
  <c r="J131" i="51"/>
  <c r="I131" i="51"/>
  <c r="H131" i="51"/>
  <c r="G131" i="51"/>
  <c r="F131" i="51"/>
  <c r="E131" i="51"/>
  <c r="D131" i="51"/>
  <c r="C131" i="51"/>
  <c r="B131" i="51"/>
  <c r="A130" i="51"/>
  <c r="K130" i="51"/>
  <c r="J130" i="51"/>
  <c r="I130" i="51"/>
  <c r="H130" i="51"/>
  <c r="G130" i="51"/>
  <c r="F130" i="51"/>
  <c r="E130" i="51"/>
  <c r="D130" i="51"/>
  <c r="C130" i="51"/>
  <c r="B130" i="51"/>
  <c r="A129" i="51"/>
  <c r="K129" i="51"/>
  <c r="J129" i="51"/>
  <c r="I129" i="51"/>
  <c r="H129" i="51"/>
  <c r="G129" i="51"/>
  <c r="F129" i="51"/>
  <c r="E129" i="51"/>
  <c r="D129" i="51"/>
  <c r="C129" i="51"/>
  <c r="B129" i="51"/>
  <c r="A128" i="51"/>
  <c r="K128" i="51"/>
  <c r="J128" i="51"/>
  <c r="I128" i="51"/>
  <c r="H128" i="51"/>
  <c r="G128" i="51"/>
  <c r="F128" i="51"/>
  <c r="E128" i="51"/>
  <c r="D128" i="51"/>
  <c r="C128" i="51"/>
  <c r="B128" i="51"/>
  <c r="A127" i="51"/>
  <c r="K127" i="51"/>
  <c r="J127" i="51"/>
  <c r="I127" i="51"/>
  <c r="H127" i="51"/>
  <c r="G127" i="51"/>
  <c r="F127" i="51"/>
  <c r="E127" i="51"/>
  <c r="D127" i="51"/>
  <c r="C127" i="51"/>
  <c r="B127" i="51"/>
  <c r="A126" i="51"/>
  <c r="K126" i="51"/>
  <c r="J126" i="51"/>
  <c r="I126" i="51"/>
  <c r="H126" i="51"/>
  <c r="G126" i="51"/>
  <c r="F126" i="51"/>
  <c r="E126" i="51"/>
  <c r="D126" i="51"/>
  <c r="C126" i="51"/>
  <c r="B126" i="51"/>
  <c r="A125" i="51"/>
  <c r="K125" i="51"/>
  <c r="J125" i="51"/>
  <c r="I125" i="51"/>
  <c r="H125" i="51"/>
  <c r="G125" i="51"/>
  <c r="F125" i="51"/>
  <c r="E125" i="51"/>
  <c r="D125" i="51"/>
  <c r="C125" i="51"/>
  <c r="B125" i="51"/>
  <c r="A124" i="51"/>
  <c r="K124" i="51"/>
  <c r="J124" i="51"/>
  <c r="I124" i="51"/>
  <c r="H124" i="51"/>
  <c r="G124" i="51"/>
  <c r="F124" i="51"/>
  <c r="E124" i="51"/>
  <c r="D124" i="51"/>
  <c r="C124" i="51"/>
  <c r="B124" i="51"/>
  <c r="A123" i="51"/>
  <c r="K123" i="51"/>
  <c r="J123" i="51"/>
  <c r="I123" i="51"/>
  <c r="H123" i="51"/>
  <c r="G123" i="51"/>
  <c r="F123" i="51"/>
  <c r="E123" i="51"/>
  <c r="D123" i="51"/>
  <c r="C123" i="51"/>
  <c r="B123" i="51"/>
  <c r="A122" i="51"/>
  <c r="K122" i="51"/>
  <c r="J122" i="51"/>
  <c r="I122" i="51"/>
  <c r="H122" i="51"/>
  <c r="G122" i="51"/>
  <c r="F122" i="51"/>
  <c r="E122" i="51"/>
  <c r="D122" i="51"/>
  <c r="C122" i="51"/>
  <c r="B122" i="51"/>
  <c r="A121" i="51"/>
  <c r="K121" i="51"/>
  <c r="J121" i="51"/>
  <c r="I121" i="51"/>
  <c r="H121" i="51"/>
  <c r="G121" i="51"/>
  <c r="F121" i="51"/>
  <c r="E121" i="51"/>
  <c r="D121" i="51"/>
  <c r="C121" i="51"/>
  <c r="B121" i="51"/>
  <c r="A120" i="51"/>
  <c r="K120" i="51"/>
  <c r="J120" i="51"/>
  <c r="I120" i="51"/>
  <c r="H120" i="51"/>
  <c r="G120" i="51"/>
  <c r="F120" i="51"/>
  <c r="E120" i="51"/>
  <c r="D120" i="51"/>
  <c r="C120" i="51"/>
  <c r="B120" i="51"/>
  <c r="A119" i="51"/>
  <c r="K119" i="51"/>
  <c r="J119" i="51"/>
  <c r="I119" i="51"/>
  <c r="H119" i="51"/>
  <c r="G119" i="51"/>
  <c r="F119" i="51"/>
  <c r="E119" i="51"/>
  <c r="D119" i="51"/>
  <c r="C119" i="51"/>
  <c r="B119" i="51"/>
  <c r="A118" i="51"/>
  <c r="K118" i="51"/>
  <c r="J118" i="51"/>
  <c r="I118" i="51"/>
  <c r="H118" i="51"/>
  <c r="G118" i="51"/>
  <c r="F118" i="51"/>
  <c r="E118" i="51"/>
  <c r="D118" i="51"/>
  <c r="C118" i="51"/>
  <c r="B118" i="51"/>
  <c r="A117" i="51"/>
  <c r="K117" i="51"/>
  <c r="J117" i="51"/>
  <c r="I117" i="51"/>
  <c r="H117" i="51"/>
  <c r="G117" i="51"/>
  <c r="F117" i="51"/>
  <c r="E117" i="51"/>
  <c r="D117" i="51"/>
  <c r="C117" i="51"/>
  <c r="B117" i="51"/>
  <c r="A116" i="51"/>
  <c r="K116" i="51"/>
  <c r="J116" i="51"/>
  <c r="I116" i="51"/>
  <c r="H116" i="51"/>
  <c r="G116" i="51"/>
  <c r="F116" i="51"/>
  <c r="E116" i="51"/>
  <c r="D116" i="51"/>
  <c r="C116" i="51"/>
  <c r="B116" i="51"/>
  <c r="A115" i="51"/>
  <c r="K115" i="51"/>
  <c r="J115" i="51"/>
  <c r="I115" i="51"/>
  <c r="H115" i="51"/>
  <c r="G115" i="51"/>
  <c r="F115" i="51"/>
  <c r="E115" i="51"/>
  <c r="D115" i="51"/>
  <c r="C115" i="51"/>
  <c r="B115" i="51"/>
  <c r="A114" i="51"/>
  <c r="K114" i="51"/>
  <c r="J114" i="51"/>
  <c r="I114" i="51"/>
  <c r="H114" i="51"/>
  <c r="G114" i="51"/>
  <c r="F114" i="51"/>
  <c r="E114" i="51"/>
  <c r="D114" i="51"/>
  <c r="C114" i="51"/>
  <c r="B114" i="51"/>
  <c r="A113" i="51"/>
  <c r="K113" i="51"/>
  <c r="J113" i="51"/>
  <c r="I113" i="51"/>
  <c r="H113" i="51"/>
  <c r="G113" i="51"/>
  <c r="F113" i="51"/>
  <c r="E113" i="51"/>
  <c r="D113" i="51"/>
  <c r="C113" i="51"/>
  <c r="B113" i="51"/>
  <c r="A112" i="51"/>
  <c r="K112" i="51"/>
  <c r="J112" i="51"/>
  <c r="I112" i="51"/>
  <c r="H112" i="51"/>
  <c r="G112" i="51"/>
  <c r="F112" i="51"/>
  <c r="E112" i="51"/>
  <c r="D112" i="51"/>
  <c r="C112" i="51"/>
  <c r="B112" i="51"/>
  <c r="A111" i="51"/>
  <c r="K111" i="51"/>
  <c r="J111" i="51"/>
  <c r="I111" i="51"/>
  <c r="H111" i="51"/>
  <c r="G111" i="51"/>
  <c r="F111" i="51"/>
  <c r="E111" i="51"/>
  <c r="D111" i="51"/>
  <c r="C111" i="51"/>
  <c r="B111" i="51"/>
  <c r="A110" i="51"/>
  <c r="K110" i="51"/>
  <c r="J110" i="51"/>
  <c r="I110" i="51"/>
  <c r="H110" i="51"/>
  <c r="G110" i="51"/>
  <c r="F110" i="51"/>
  <c r="E110" i="51"/>
  <c r="D110" i="51"/>
  <c r="C110" i="51"/>
  <c r="B110" i="51"/>
  <c r="A109" i="51"/>
  <c r="K109" i="51"/>
  <c r="J109" i="51"/>
  <c r="I109" i="51"/>
  <c r="H109" i="51"/>
  <c r="G109" i="51"/>
  <c r="F109" i="51"/>
  <c r="E109" i="51"/>
  <c r="D109" i="51"/>
  <c r="C109" i="51"/>
  <c r="B109" i="51"/>
  <c r="A108" i="51"/>
  <c r="K108" i="51"/>
  <c r="J108" i="51"/>
  <c r="I108" i="51"/>
  <c r="H108" i="51"/>
  <c r="G108" i="51"/>
  <c r="F108" i="51"/>
  <c r="E108" i="51"/>
  <c r="D108" i="51"/>
  <c r="C108" i="51"/>
  <c r="B108" i="51"/>
  <c r="A107" i="51"/>
  <c r="K107" i="51"/>
  <c r="J107" i="51"/>
  <c r="I107" i="51"/>
  <c r="H107" i="51"/>
  <c r="G107" i="51"/>
  <c r="F107" i="51"/>
  <c r="E107" i="51"/>
  <c r="D107" i="51"/>
  <c r="C107" i="51"/>
  <c r="B107" i="51"/>
  <c r="A106" i="51"/>
  <c r="K106" i="51"/>
  <c r="J106" i="51"/>
  <c r="I106" i="51"/>
  <c r="H106" i="51"/>
  <c r="G106" i="51"/>
  <c r="F106" i="51"/>
  <c r="E106" i="51"/>
  <c r="D106" i="51"/>
  <c r="C106" i="51"/>
  <c r="B106" i="51"/>
  <c r="A105" i="51"/>
  <c r="K105" i="51"/>
  <c r="J105" i="51"/>
  <c r="I105" i="51"/>
  <c r="H105" i="51"/>
  <c r="G105" i="51"/>
  <c r="F105" i="51"/>
  <c r="E105" i="51"/>
  <c r="D105" i="51"/>
  <c r="C105" i="51"/>
  <c r="B105" i="51"/>
  <c r="A104" i="51"/>
  <c r="K104" i="51"/>
  <c r="J104" i="51"/>
  <c r="I104" i="51"/>
  <c r="H104" i="51"/>
  <c r="G104" i="51"/>
  <c r="F104" i="51"/>
  <c r="E104" i="51"/>
  <c r="D104" i="51"/>
  <c r="C104" i="51"/>
  <c r="B104" i="51"/>
  <c r="A103" i="51"/>
  <c r="K103" i="51"/>
  <c r="J103" i="51"/>
  <c r="I103" i="51"/>
  <c r="H103" i="51"/>
  <c r="G103" i="51"/>
  <c r="F103" i="51"/>
  <c r="E103" i="51"/>
  <c r="D103" i="51"/>
  <c r="C103" i="51"/>
  <c r="B103" i="51"/>
  <c r="A102" i="51"/>
  <c r="K102" i="51"/>
  <c r="J102" i="51"/>
  <c r="I102" i="51"/>
  <c r="H102" i="51"/>
  <c r="G102" i="51"/>
  <c r="F102" i="51"/>
  <c r="E102" i="51"/>
  <c r="D102" i="51"/>
  <c r="C102" i="51"/>
  <c r="B102" i="51"/>
  <c r="A101" i="51"/>
  <c r="K101" i="51"/>
  <c r="J101" i="51"/>
  <c r="I101" i="51"/>
  <c r="H101" i="51"/>
  <c r="G101" i="51"/>
  <c r="F101" i="51"/>
  <c r="E101" i="51"/>
  <c r="D101" i="51"/>
  <c r="C101" i="51"/>
  <c r="B101" i="51"/>
  <c r="A100" i="51"/>
  <c r="K100" i="51"/>
  <c r="J100" i="51"/>
  <c r="I100" i="51"/>
  <c r="H100" i="51"/>
  <c r="G100" i="51"/>
  <c r="F100" i="51"/>
  <c r="E100" i="51"/>
  <c r="D100" i="51"/>
  <c r="C100" i="51"/>
  <c r="B100" i="51"/>
  <c r="A99" i="51"/>
  <c r="K99" i="51"/>
  <c r="J99" i="51"/>
  <c r="I99" i="51"/>
  <c r="H99" i="51"/>
  <c r="G99" i="51"/>
  <c r="F99" i="51"/>
  <c r="E99" i="51"/>
  <c r="D99" i="51"/>
  <c r="C99" i="51"/>
  <c r="B99" i="51"/>
  <c r="A98" i="51"/>
  <c r="K98" i="51"/>
  <c r="J98" i="51"/>
  <c r="I98" i="51"/>
  <c r="H98" i="51"/>
  <c r="G98" i="51"/>
  <c r="F98" i="51"/>
  <c r="E98" i="51"/>
  <c r="D98" i="51"/>
  <c r="C98" i="51"/>
  <c r="B98" i="51"/>
  <c r="A97" i="51"/>
  <c r="K97" i="51"/>
  <c r="J97" i="51"/>
  <c r="I97" i="51"/>
  <c r="H97" i="51"/>
  <c r="G97" i="51"/>
  <c r="F97" i="51"/>
  <c r="E97" i="51"/>
  <c r="D97" i="51"/>
  <c r="C97" i="51"/>
  <c r="B97" i="51"/>
  <c r="A96" i="51"/>
  <c r="K96" i="51"/>
  <c r="J96" i="51"/>
  <c r="I96" i="51"/>
  <c r="H96" i="51"/>
  <c r="G96" i="51"/>
  <c r="F96" i="51"/>
  <c r="E96" i="51"/>
  <c r="D96" i="51"/>
  <c r="C96" i="51"/>
  <c r="B96" i="51"/>
  <c r="A95" i="51"/>
  <c r="K95" i="51"/>
  <c r="J95" i="51"/>
  <c r="I95" i="51"/>
  <c r="H95" i="51"/>
  <c r="G95" i="51"/>
  <c r="F95" i="51"/>
  <c r="E95" i="51"/>
  <c r="D95" i="51"/>
  <c r="C95" i="51"/>
  <c r="B95" i="51"/>
  <c r="A94" i="51"/>
  <c r="K94" i="51"/>
  <c r="J94" i="51"/>
  <c r="I94" i="51"/>
  <c r="H94" i="51"/>
  <c r="G94" i="51"/>
  <c r="F94" i="51"/>
  <c r="E94" i="51"/>
  <c r="D94" i="51"/>
  <c r="C94" i="51"/>
  <c r="B94" i="51"/>
  <c r="A93" i="51"/>
  <c r="K93" i="51"/>
  <c r="J93" i="51"/>
  <c r="I93" i="51"/>
  <c r="H93" i="51"/>
  <c r="G93" i="51"/>
  <c r="F93" i="51"/>
  <c r="E93" i="51"/>
  <c r="D93" i="51"/>
  <c r="C93" i="51"/>
  <c r="B93" i="51"/>
  <c r="A92" i="51"/>
  <c r="K92" i="51"/>
  <c r="J92" i="51"/>
  <c r="I92" i="51"/>
  <c r="H92" i="51"/>
  <c r="G92" i="51"/>
  <c r="F92" i="51"/>
  <c r="E92" i="51"/>
  <c r="D92" i="51"/>
  <c r="C92" i="51"/>
  <c r="B92" i="51"/>
  <c r="A91" i="51"/>
  <c r="K91" i="51"/>
  <c r="J91" i="51"/>
  <c r="I91" i="51"/>
  <c r="H91" i="51"/>
  <c r="G91" i="51"/>
  <c r="F91" i="51"/>
  <c r="E91" i="51"/>
  <c r="D91" i="51"/>
  <c r="C91" i="51"/>
  <c r="B91" i="51"/>
  <c r="A90" i="51"/>
  <c r="K90" i="51"/>
  <c r="J90" i="51"/>
  <c r="I90" i="51"/>
  <c r="H90" i="51"/>
  <c r="G90" i="51"/>
  <c r="F90" i="51"/>
  <c r="E90" i="51"/>
  <c r="D90" i="51"/>
  <c r="C90" i="51"/>
  <c r="B90" i="51"/>
  <c r="A89" i="51"/>
  <c r="K89" i="51"/>
  <c r="J89" i="51"/>
  <c r="I89" i="51"/>
  <c r="H89" i="51"/>
  <c r="G89" i="51"/>
  <c r="F89" i="51"/>
  <c r="E89" i="51"/>
  <c r="D89" i="51"/>
  <c r="C89" i="51"/>
  <c r="B89" i="51"/>
  <c r="A88" i="51"/>
  <c r="K88" i="51"/>
  <c r="J88" i="51"/>
  <c r="I88" i="51"/>
  <c r="H88" i="51"/>
  <c r="G88" i="51"/>
  <c r="F88" i="51"/>
  <c r="E88" i="51"/>
  <c r="D88" i="51"/>
  <c r="C88" i="51"/>
  <c r="B88" i="51"/>
  <c r="A87" i="51"/>
  <c r="K87" i="51"/>
  <c r="J87" i="51"/>
  <c r="I87" i="51"/>
  <c r="H87" i="51"/>
  <c r="G87" i="51"/>
  <c r="F87" i="51"/>
  <c r="E87" i="51"/>
  <c r="D87" i="51"/>
  <c r="C87" i="51"/>
  <c r="B87" i="51"/>
  <c r="A86" i="51"/>
  <c r="K86" i="51"/>
  <c r="J86" i="51"/>
  <c r="I86" i="51"/>
  <c r="H86" i="51"/>
  <c r="G86" i="51"/>
  <c r="F86" i="51"/>
  <c r="E86" i="51"/>
  <c r="D86" i="51"/>
  <c r="C86" i="51"/>
  <c r="B86" i="51"/>
  <c r="A85" i="51"/>
  <c r="K85" i="51"/>
  <c r="J85" i="51"/>
  <c r="I85" i="51"/>
  <c r="H85" i="51"/>
  <c r="G85" i="51"/>
  <c r="F85" i="51"/>
  <c r="E85" i="51"/>
  <c r="D85" i="51"/>
  <c r="C85" i="51"/>
  <c r="B85" i="51"/>
  <c r="A84" i="51"/>
  <c r="K84" i="51"/>
  <c r="J84" i="51"/>
  <c r="I84" i="51"/>
  <c r="H84" i="51"/>
  <c r="G84" i="51"/>
  <c r="F84" i="51"/>
  <c r="E84" i="51"/>
  <c r="D84" i="51"/>
  <c r="C84" i="51"/>
  <c r="B84" i="51"/>
  <c r="A83" i="51"/>
  <c r="K83" i="51"/>
  <c r="J83" i="51"/>
  <c r="I83" i="51"/>
  <c r="H83" i="51"/>
  <c r="G83" i="51"/>
  <c r="F83" i="51"/>
  <c r="E83" i="51"/>
  <c r="D83" i="51"/>
  <c r="C83" i="51"/>
  <c r="B83" i="51"/>
  <c r="A82" i="51"/>
  <c r="K82" i="51"/>
  <c r="J82" i="51"/>
  <c r="I82" i="51"/>
  <c r="H82" i="51"/>
  <c r="G82" i="51"/>
  <c r="F82" i="51"/>
  <c r="E82" i="51"/>
  <c r="D82" i="51"/>
  <c r="C82" i="51"/>
  <c r="B82" i="51"/>
  <c r="A81" i="51"/>
  <c r="K81" i="51"/>
  <c r="J81" i="51"/>
  <c r="I81" i="51"/>
  <c r="H81" i="51"/>
  <c r="G81" i="51"/>
  <c r="F81" i="51"/>
  <c r="E81" i="51"/>
  <c r="D81" i="51"/>
  <c r="C81" i="51"/>
  <c r="B81" i="51"/>
  <c r="A80" i="51"/>
  <c r="K80" i="51"/>
  <c r="J80" i="51"/>
  <c r="I80" i="51"/>
  <c r="H80" i="51"/>
  <c r="G80" i="51"/>
  <c r="F80" i="51"/>
  <c r="E80" i="51"/>
  <c r="D80" i="51"/>
  <c r="C80" i="51"/>
  <c r="B80" i="51"/>
  <c r="A79" i="51"/>
  <c r="K79" i="51"/>
  <c r="J79" i="51"/>
  <c r="I79" i="51"/>
  <c r="H79" i="51"/>
  <c r="G79" i="51"/>
  <c r="F79" i="51"/>
  <c r="E79" i="51"/>
  <c r="D79" i="51"/>
  <c r="C79" i="51"/>
  <c r="B79" i="51"/>
  <c r="A78" i="51"/>
  <c r="K78" i="51"/>
  <c r="J78" i="51"/>
  <c r="I78" i="51"/>
  <c r="H78" i="51"/>
  <c r="G78" i="51"/>
  <c r="F78" i="51"/>
  <c r="E78" i="51"/>
  <c r="D78" i="51"/>
  <c r="C78" i="51"/>
  <c r="B78" i="51"/>
  <c r="A77" i="51"/>
  <c r="K77" i="51"/>
  <c r="J77" i="51"/>
  <c r="I77" i="51"/>
  <c r="H77" i="51"/>
  <c r="G77" i="51"/>
  <c r="F77" i="51"/>
  <c r="E77" i="51"/>
  <c r="D77" i="51"/>
  <c r="C77" i="51"/>
  <c r="B77" i="51"/>
  <c r="A76" i="51"/>
  <c r="K76" i="51"/>
  <c r="J76" i="51"/>
  <c r="I76" i="51"/>
  <c r="H76" i="51"/>
  <c r="G76" i="51"/>
  <c r="F76" i="51"/>
  <c r="E76" i="51"/>
  <c r="D76" i="51"/>
  <c r="C76" i="51"/>
  <c r="B76" i="51"/>
  <c r="A75" i="51"/>
  <c r="K75" i="51"/>
  <c r="J75" i="51"/>
  <c r="I75" i="51"/>
  <c r="H75" i="51"/>
  <c r="G75" i="51"/>
  <c r="F75" i="51"/>
  <c r="E75" i="51"/>
  <c r="D75" i="51"/>
  <c r="C75" i="51"/>
  <c r="B75" i="51"/>
  <c r="A74" i="51"/>
  <c r="K74" i="51"/>
  <c r="J74" i="51"/>
  <c r="I74" i="51"/>
  <c r="H74" i="51"/>
  <c r="G74" i="51"/>
  <c r="F74" i="51"/>
  <c r="E74" i="51"/>
  <c r="D74" i="51"/>
  <c r="C74" i="51"/>
  <c r="B74" i="51"/>
  <c r="A73" i="51"/>
  <c r="K73" i="51"/>
  <c r="J73" i="51"/>
  <c r="I73" i="51"/>
  <c r="H73" i="51"/>
  <c r="G73" i="51"/>
  <c r="F73" i="51"/>
  <c r="E73" i="51"/>
  <c r="D73" i="51"/>
  <c r="C73" i="51"/>
  <c r="B73" i="51"/>
  <c r="A72" i="51"/>
  <c r="K72" i="51"/>
  <c r="J72" i="51"/>
  <c r="I72" i="51"/>
  <c r="H72" i="51"/>
  <c r="G72" i="51"/>
  <c r="F72" i="51"/>
  <c r="E72" i="51"/>
  <c r="D72" i="51"/>
  <c r="C72" i="51"/>
  <c r="B72" i="51"/>
  <c r="A71" i="51"/>
  <c r="K71" i="51"/>
  <c r="J71" i="51"/>
  <c r="I71" i="51"/>
  <c r="H71" i="51"/>
  <c r="G71" i="51"/>
  <c r="F71" i="51"/>
  <c r="E71" i="51"/>
  <c r="D71" i="51"/>
  <c r="C71" i="51"/>
  <c r="B71" i="51"/>
  <c r="A70" i="51"/>
  <c r="K70" i="51"/>
  <c r="J70" i="51"/>
  <c r="I70" i="51"/>
  <c r="H70" i="51"/>
  <c r="G70" i="51"/>
  <c r="F70" i="51"/>
  <c r="E70" i="51"/>
  <c r="D70" i="51"/>
  <c r="C70" i="51"/>
  <c r="B70" i="51"/>
  <c r="A69" i="51"/>
  <c r="K69" i="51"/>
  <c r="J69" i="51"/>
  <c r="I69" i="51"/>
  <c r="H69" i="51"/>
  <c r="G69" i="51"/>
  <c r="F69" i="51"/>
  <c r="E69" i="51"/>
  <c r="D69" i="51"/>
  <c r="C69" i="51"/>
  <c r="B69" i="51"/>
  <c r="A68" i="51"/>
  <c r="K68" i="51"/>
  <c r="J68" i="51"/>
  <c r="I68" i="51"/>
  <c r="H68" i="51"/>
  <c r="G68" i="51"/>
  <c r="F68" i="51"/>
  <c r="E68" i="51"/>
  <c r="D68" i="51"/>
  <c r="C68" i="51"/>
  <c r="B68" i="51"/>
  <c r="A67" i="51"/>
  <c r="K67" i="51"/>
  <c r="J67" i="51"/>
  <c r="I67" i="51"/>
  <c r="H67" i="51"/>
  <c r="G67" i="51"/>
  <c r="F67" i="51"/>
  <c r="E67" i="51"/>
  <c r="D67" i="51"/>
  <c r="C67" i="51"/>
  <c r="B67" i="51"/>
  <c r="A66" i="51"/>
  <c r="K66" i="51"/>
  <c r="J66" i="51"/>
  <c r="I66" i="51"/>
  <c r="H66" i="51"/>
  <c r="G66" i="51"/>
  <c r="F66" i="51"/>
  <c r="E66" i="51"/>
  <c r="D66" i="51"/>
  <c r="C66" i="51"/>
  <c r="B66" i="51"/>
  <c r="A65" i="51"/>
  <c r="K65" i="51"/>
  <c r="J65" i="51"/>
  <c r="I65" i="51"/>
  <c r="H65" i="51"/>
  <c r="G65" i="51"/>
  <c r="F65" i="51"/>
  <c r="E65" i="51"/>
  <c r="D65" i="51"/>
  <c r="C65" i="51"/>
  <c r="B65" i="51"/>
  <c r="A64" i="51"/>
  <c r="K64" i="51"/>
  <c r="J64" i="51"/>
  <c r="I64" i="51"/>
  <c r="H64" i="51"/>
  <c r="G64" i="51"/>
  <c r="F64" i="51"/>
  <c r="E64" i="51"/>
  <c r="D64" i="51"/>
  <c r="C64" i="51"/>
  <c r="B64" i="51"/>
  <c r="A63" i="51"/>
  <c r="K63" i="51"/>
  <c r="J63" i="51"/>
  <c r="I63" i="51"/>
  <c r="H63" i="51"/>
  <c r="G63" i="51"/>
  <c r="F63" i="51"/>
  <c r="E63" i="51"/>
  <c r="D63" i="51"/>
  <c r="C63" i="51"/>
  <c r="B63" i="51"/>
  <c r="A62" i="51"/>
  <c r="K62" i="51"/>
  <c r="J62" i="51"/>
  <c r="I62" i="51"/>
  <c r="H62" i="51"/>
  <c r="G62" i="51"/>
  <c r="F62" i="51"/>
  <c r="E62" i="51"/>
  <c r="D62" i="51"/>
  <c r="C62" i="51"/>
  <c r="B62" i="51"/>
  <c r="A61" i="51"/>
  <c r="K61" i="51"/>
  <c r="J61" i="51"/>
  <c r="I61" i="51"/>
  <c r="H61" i="51"/>
  <c r="G61" i="51"/>
  <c r="F61" i="51"/>
  <c r="E61" i="51"/>
  <c r="D61" i="51"/>
  <c r="C61" i="51"/>
  <c r="B61" i="51"/>
  <c r="A60" i="51"/>
  <c r="K60" i="51"/>
  <c r="J60" i="51"/>
  <c r="I60" i="51"/>
  <c r="H60" i="51"/>
  <c r="G60" i="51"/>
  <c r="F60" i="51"/>
  <c r="E60" i="51"/>
  <c r="D60" i="51"/>
  <c r="C60" i="51"/>
  <c r="B60" i="51"/>
  <c r="A59" i="51"/>
  <c r="K59" i="51"/>
  <c r="J59" i="51"/>
  <c r="I59" i="51"/>
  <c r="H59" i="51"/>
  <c r="G59" i="51"/>
  <c r="F59" i="51"/>
  <c r="E59" i="51"/>
  <c r="D59" i="51"/>
  <c r="C59" i="51"/>
  <c r="B59" i="51"/>
  <c r="A58" i="51"/>
  <c r="K58" i="51"/>
  <c r="J58" i="51"/>
  <c r="I58" i="51"/>
  <c r="H58" i="51"/>
  <c r="G58" i="51"/>
  <c r="F58" i="51"/>
  <c r="E58" i="51"/>
  <c r="D58" i="51"/>
  <c r="C58" i="51"/>
  <c r="B58" i="51"/>
  <c r="A57" i="51"/>
  <c r="K57" i="51"/>
  <c r="J57" i="51"/>
  <c r="I57" i="51"/>
  <c r="H57" i="51"/>
  <c r="G57" i="51"/>
  <c r="F57" i="51"/>
  <c r="E57" i="51"/>
  <c r="D57" i="51"/>
  <c r="C57" i="51"/>
  <c r="B57" i="51"/>
  <c r="A56" i="51"/>
  <c r="K56" i="51"/>
  <c r="J56" i="51"/>
  <c r="I56" i="51"/>
  <c r="H56" i="51"/>
  <c r="G56" i="51"/>
  <c r="F56" i="51"/>
  <c r="E56" i="51"/>
  <c r="D56" i="51"/>
  <c r="C56" i="51"/>
  <c r="B56" i="51"/>
  <c r="A55" i="51"/>
  <c r="K55" i="51"/>
  <c r="J55" i="51"/>
  <c r="I55" i="51"/>
  <c r="H55" i="51"/>
  <c r="G55" i="51"/>
  <c r="F55" i="51"/>
  <c r="E55" i="51"/>
  <c r="D55" i="51"/>
  <c r="C55" i="51"/>
  <c r="B55" i="51"/>
  <c r="A54" i="51"/>
  <c r="K54" i="51"/>
  <c r="J54" i="51"/>
  <c r="I54" i="51"/>
  <c r="H54" i="51"/>
  <c r="G54" i="51"/>
  <c r="F54" i="51"/>
  <c r="E54" i="51"/>
  <c r="D54" i="51"/>
  <c r="C54" i="51"/>
  <c r="B54" i="51"/>
  <c r="A53" i="51"/>
  <c r="K53" i="51"/>
  <c r="J53" i="51"/>
  <c r="I53" i="51"/>
  <c r="H53" i="51"/>
  <c r="G53" i="51"/>
  <c r="F53" i="51"/>
  <c r="E53" i="51"/>
  <c r="D53" i="51"/>
  <c r="C53" i="51"/>
  <c r="B53" i="51"/>
  <c r="A52" i="51"/>
  <c r="K52" i="51"/>
  <c r="J52" i="51"/>
  <c r="I52" i="51"/>
  <c r="H52" i="51"/>
  <c r="G52" i="51"/>
  <c r="F52" i="51"/>
  <c r="E52" i="51"/>
  <c r="D52" i="51"/>
  <c r="C52" i="51"/>
  <c r="B52" i="51"/>
  <c r="A51" i="51"/>
  <c r="K51" i="51"/>
  <c r="J51" i="51"/>
  <c r="I51" i="51"/>
  <c r="H51" i="51"/>
  <c r="G51" i="51"/>
  <c r="F51" i="51"/>
  <c r="E51" i="51"/>
  <c r="D51" i="51"/>
  <c r="C51" i="51"/>
  <c r="B51" i="51"/>
  <c r="A50" i="51"/>
  <c r="K50" i="51"/>
  <c r="J50" i="51"/>
  <c r="I50" i="51"/>
  <c r="H50" i="51"/>
  <c r="G50" i="51"/>
  <c r="F50" i="51"/>
  <c r="E50" i="51"/>
  <c r="D50" i="51"/>
  <c r="C50" i="51"/>
  <c r="B50" i="51"/>
  <c r="A49" i="51"/>
  <c r="K49" i="51"/>
  <c r="J49" i="51"/>
  <c r="I49" i="51"/>
  <c r="H49" i="51"/>
  <c r="G49" i="51"/>
  <c r="F49" i="51"/>
  <c r="E49" i="51"/>
  <c r="D49" i="51"/>
  <c r="C49" i="51"/>
  <c r="B49" i="51"/>
  <c r="A48" i="51"/>
  <c r="K48" i="51"/>
  <c r="J48" i="51"/>
  <c r="I48" i="51"/>
  <c r="H48" i="51"/>
  <c r="G48" i="51"/>
  <c r="F48" i="51"/>
  <c r="E48" i="51"/>
  <c r="D48" i="51"/>
  <c r="C48" i="51"/>
  <c r="B48" i="51"/>
  <c r="A47" i="51"/>
  <c r="K47" i="51"/>
  <c r="J47" i="51"/>
  <c r="I47" i="51"/>
  <c r="H47" i="51"/>
  <c r="G47" i="51"/>
  <c r="F47" i="51"/>
  <c r="E47" i="51"/>
  <c r="D47" i="51"/>
  <c r="C47" i="51"/>
  <c r="B47" i="51"/>
  <c r="A46" i="51"/>
  <c r="K46" i="51"/>
  <c r="J46" i="51"/>
  <c r="I46" i="51"/>
  <c r="H46" i="51"/>
  <c r="G46" i="51"/>
  <c r="F46" i="51"/>
  <c r="E46" i="51"/>
  <c r="D46" i="51"/>
  <c r="C46" i="51"/>
  <c r="B46" i="51"/>
  <c r="A45" i="51"/>
  <c r="K45" i="51"/>
  <c r="J45" i="51"/>
  <c r="I45" i="51"/>
  <c r="H45" i="51"/>
  <c r="G45" i="51"/>
  <c r="F45" i="51"/>
  <c r="E45" i="51"/>
  <c r="D45" i="51"/>
  <c r="C45" i="51"/>
  <c r="B45" i="51"/>
  <c r="A44" i="51"/>
  <c r="K44" i="51"/>
  <c r="J44" i="51"/>
  <c r="I44" i="51"/>
  <c r="H44" i="51"/>
  <c r="G44" i="51"/>
  <c r="F44" i="51"/>
  <c r="E44" i="51"/>
  <c r="D44" i="51"/>
  <c r="C44" i="51"/>
  <c r="B44" i="51"/>
  <c r="A43" i="51"/>
  <c r="K43" i="51"/>
  <c r="J43" i="51"/>
  <c r="I43" i="51"/>
  <c r="H43" i="51"/>
  <c r="G43" i="51"/>
  <c r="F43" i="51"/>
  <c r="E43" i="51"/>
  <c r="D43" i="51"/>
  <c r="C43" i="51"/>
  <c r="B43" i="51"/>
  <c r="A42" i="51"/>
  <c r="K42" i="51"/>
  <c r="J42" i="51"/>
  <c r="I42" i="51"/>
  <c r="H42" i="51"/>
  <c r="G42" i="51"/>
  <c r="F42" i="51"/>
  <c r="E42" i="51"/>
  <c r="D42" i="51"/>
  <c r="C42" i="51"/>
  <c r="B42" i="51"/>
  <c r="A41" i="51"/>
  <c r="K41" i="51"/>
  <c r="J41" i="51"/>
  <c r="I41" i="51"/>
  <c r="H41" i="51"/>
  <c r="G41" i="51"/>
  <c r="F41" i="51"/>
  <c r="E41" i="51"/>
  <c r="D41" i="51"/>
  <c r="C41" i="51"/>
  <c r="B41" i="51"/>
  <c r="A40" i="51"/>
  <c r="K40" i="51"/>
  <c r="J40" i="51"/>
  <c r="I40" i="51"/>
  <c r="H40" i="51"/>
  <c r="G40" i="51"/>
  <c r="F40" i="51"/>
  <c r="E40" i="51"/>
  <c r="D40" i="51"/>
  <c r="C40" i="51"/>
  <c r="B40" i="51"/>
  <c r="A39" i="51"/>
  <c r="K39" i="51"/>
  <c r="J39" i="51"/>
  <c r="I39" i="51"/>
  <c r="H39" i="51"/>
  <c r="G39" i="51"/>
  <c r="F39" i="51"/>
  <c r="E39" i="51"/>
  <c r="D39" i="51"/>
  <c r="C39" i="51"/>
  <c r="B39" i="51"/>
  <c r="A38" i="51"/>
  <c r="K38" i="51"/>
  <c r="J38" i="51"/>
  <c r="I38" i="51"/>
  <c r="H38" i="51"/>
  <c r="G38" i="51"/>
  <c r="F38" i="51"/>
  <c r="E38" i="51"/>
  <c r="D38" i="51"/>
  <c r="C38" i="51"/>
  <c r="B38" i="51"/>
  <c r="A37" i="51"/>
  <c r="K37" i="51"/>
  <c r="J37" i="51"/>
  <c r="I37" i="51"/>
  <c r="H37" i="51"/>
  <c r="G37" i="51"/>
  <c r="F37" i="51"/>
  <c r="E37" i="51"/>
  <c r="D37" i="51"/>
  <c r="C37" i="51"/>
  <c r="B37" i="51"/>
  <c r="A36" i="51"/>
  <c r="K36" i="51"/>
  <c r="J36" i="51"/>
  <c r="I36" i="51"/>
  <c r="H36" i="51"/>
  <c r="G36" i="51"/>
  <c r="F36" i="51"/>
  <c r="E36" i="51"/>
  <c r="D36" i="51"/>
  <c r="C36" i="51"/>
  <c r="B36" i="51"/>
  <c r="A35" i="51"/>
  <c r="K35" i="51"/>
  <c r="J35" i="51"/>
  <c r="I35" i="51"/>
  <c r="H35" i="51"/>
  <c r="G35" i="51"/>
  <c r="F35" i="51"/>
  <c r="E35" i="51"/>
  <c r="D35" i="51"/>
  <c r="C35" i="51"/>
  <c r="B35" i="51"/>
  <c r="A34" i="51"/>
  <c r="K34" i="51"/>
  <c r="J34" i="51"/>
  <c r="I34" i="51"/>
  <c r="H34" i="51"/>
  <c r="G34" i="51"/>
  <c r="F34" i="51"/>
  <c r="E34" i="51"/>
  <c r="D34" i="51"/>
  <c r="C34" i="51"/>
  <c r="B34" i="51"/>
  <c r="A33" i="51"/>
  <c r="K33" i="51"/>
  <c r="J33" i="51"/>
  <c r="I33" i="51"/>
  <c r="H33" i="51"/>
  <c r="G33" i="51"/>
  <c r="F33" i="51"/>
  <c r="E33" i="51"/>
  <c r="D33" i="51"/>
  <c r="C33" i="51"/>
  <c r="B33" i="51"/>
  <c r="A32" i="51"/>
  <c r="K32" i="51"/>
  <c r="J32" i="51"/>
  <c r="I32" i="51"/>
  <c r="H32" i="51"/>
  <c r="G32" i="51"/>
  <c r="F32" i="51"/>
  <c r="E32" i="51"/>
  <c r="D32" i="51"/>
  <c r="C32" i="51"/>
  <c r="B32" i="51"/>
  <c r="A31" i="51"/>
  <c r="K31" i="51"/>
  <c r="J31" i="51"/>
  <c r="I31" i="51"/>
  <c r="H31" i="51"/>
  <c r="G31" i="51"/>
  <c r="F31" i="51"/>
  <c r="E31" i="51"/>
  <c r="D31" i="51"/>
  <c r="C31" i="51"/>
  <c r="B31" i="51"/>
  <c r="A30" i="51"/>
  <c r="K30" i="51"/>
  <c r="J30" i="51"/>
  <c r="I30" i="51"/>
  <c r="H30" i="51"/>
  <c r="G30" i="51"/>
  <c r="F30" i="51"/>
  <c r="E30" i="51"/>
  <c r="D30" i="51"/>
  <c r="C30" i="51"/>
  <c r="B30" i="51"/>
  <c r="A29" i="51"/>
  <c r="K29" i="51"/>
  <c r="J29" i="51"/>
  <c r="I29" i="51"/>
  <c r="H29" i="51"/>
  <c r="G29" i="51"/>
  <c r="F29" i="51"/>
  <c r="E29" i="51"/>
  <c r="D29" i="51"/>
  <c r="C29" i="51"/>
  <c r="B29" i="51"/>
  <c r="A28" i="51"/>
  <c r="K28" i="51"/>
  <c r="J28" i="51"/>
  <c r="I28" i="51"/>
  <c r="H28" i="51"/>
  <c r="G28" i="51"/>
  <c r="F28" i="51"/>
  <c r="E28" i="51"/>
  <c r="D28" i="51"/>
  <c r="C28" i="51"/>
  <c r="B28" i="51"/>
  <c r="A27" i="51"/>
  <c r="K27" i="51"/>
  <c r="J27" i="51"/>
  <c r="I27" i="51"/>
  <c r="H27" i="51"/>
  <c r="G27" i="51"/>
  <c r="F27" i="51"/>
  <c r="E27" i="51"/>
  <c r="D27" i="51"/>
  <c r="C27" i="51"/>
  <c r="B27" i="51"/>
  <c r="A26" i="51"/>
  <c r="K26" i="51"/>
  <c r="J26" i="51"/>
  <c r="I26" i="51"/>
  <c r="H26" i="51"/>
  <c r="G26" i="51"/>
  <c r="F26" i="51"/>
  <c r="E26" i="51"/>
  <c r="D26" i="51"/>
  <c r="C26" i="51"/>
  <c r="B26" i="51"/>
  <c r="A25" i="51"/>
  <c r="K25" i="51"/>
  <c r="J25" i="51"/>
  <c r="I25" i="51"/>
  <c r="H25" i="51"/>
  <c r="G25" i="51"/>
  <c r="F25" i="51"/>
  <c r="E25" i="51"/>
  <c r="D25" i="51"/>
  <c r="C25" i="51"/>
  <c r="B25" i="51"/>
  <c r="A24" i="51"/>
  <c r="K24" i="51"/>
  <c r="J24" i="51"/>
  <c r="I24" i="51"/>
  <c r="H24" i="51"/>
  <c r="G24" i="51"/>
  <c r="F24" i="51"/>
  <c r="E24" i="51"/>
  <c r="D24" i="51"/>
  <c r="C24" i="51"/>
  <c r="B24" i="51"/>
  <c r="A23" i="51"/>
  <c r="K23" i="51"/>
  <c r="J23" i="51"/>
  <c r="I23" i="51"/>
  <c r="H23" i="51"/>
  <c r="G23" i="51"/>
  <c r="F23" i="51"/>
  <c r="E23" i="51"/>
  <c r="D23" i="51"/>
  <c r="C23" i="51"/>
  <c r="B23" i="51"/>
  <c r="A22" i="51"/>
  <c r="K22" i="51"/>
  <c r="J22" i="51"/>
  <c r="I22" i="51"/>
  <c r="H22" i="51"/>
  <c r="G22" i="51"/>
  <c r="F22" i="51"/>
  <c r="E22" i="51"/>
  <c r="D22" i="51"/>
  <c r="C22" i="51"/>
  <c r="B22" i="51"/>
  <c r="A21" i="51"/>
  <c r="K21" i="51"/>
  <c r="J21" i="51"/>
  <c r="I21" i="51"/>
  <c r="H21" i="51"/>
  <c r="G21" i="51"/>
  <c r="F21" i="51"/>
  <c r="E21" i="51"/>
  <c r="D21" i="51"/>
  <c r="C21" i="51"/>
  <c r="B21" i="51"/>
  <c r="A20" i="51"/>
  <c r="K20" i="51"/>
  <c r="J20" i="51"/>
  <c r="I20" i="51"/>
  <c r="H20" i="51"/>
  <c r="G20" i="51"/>
  <c r="F20" i="51"/>
  <c r="E20" i="51"/>
  <c r="D20" i="51"/>
  <c r="C20" i="51"/>
  <c r="B20" i="51"/>
  <c r="A19" i="51"/>
  <c r="K19" i="51"/>
  <c r="J19" i="51"/>
  <c r="I19" i="51"/>
  <c r="H19" i="51"/>
  <c r="G19" i="51"/>
  <c r="F19" i="51"/>
  <c r="E19" i="51"/>
  <c r="D19" i="51"/>
  <c r="C19" i="51"/>
  <c r="B19" i="51"/>
  <c r="A18" i="51"/>
  <c r="K18" i="51"/>
  <c r="J18" i="51"/>
  <c r="I18" i="51"/>
  <c r="H18" i="51"/>
  <c r="G18" i="51"/>
  <c r="F18" i="51"/>
  <c r="E18" i="51"/>
  <c r="D18" i="51"/>
  <c r="C18" i="51"/>
  <c r="B18" i="51"/>
  <c r="A17" i="51"/>
  <c r="K17" i="51"/>
  <c r="J17" i="51"/>
  <c r="I17" i="51"/>
  <c r="H17" i="51"/>
  <c r="G17" i="51"/>
  <c r="F17" i="51"/>
  <c r="E17" i="51"/>
  <c r="D17" i="51"/>
  <c r="C17" i="51"/>
  <c r="B17" i="51"/>
  <c r="A16" i="51"/>
  <c r="K16" i="51"/>
  <c r="J16" i="51"/>
  <c r="I16" i="51"/>
  <c r="H16" i="51"/>
  <c r="G16" i="51"/>
  <c r="F16" i="51"/>
  <c r="E16" i="51"/>
  <c r="D16" i="51"/>
  <c r="C16" i="51"/>
  <c r="B16" i="51"/>
  <c r="A15" i="51"/>
  <c r="K15" i="51"/>
  <c r="J15" i="51"/>
  <c r="I15" i="51"/>
  <c r="H15" i="51"/>
  <c r="G15" i="51"/>
  <c r="F15" i="51"/>
  <c r="E15" i="51"/>
  <c r="D15" i="51"/>
  <c r="C15" i="51"/>
  <c r="B15" i="51"/>
  <c r="A14" i="51"/>
  <c r="K14" i="51"/>
  <c r="J14" i="51"/>
  <c r="I14" i="51"/>
  <c r="H14" i="51"/>
  <c r="G14" i="51"/>
  <c r="F14" i="51"/>
  <c r="E14" i="51"/>
  <c r="D14" i="51"/>
  <c r="C14" i="51"/>
  <c r="B14" i="51"/>
  <c r="A13" i="51"/>
  <c r="K13" i="51"/>
  <c r="J13" i="51"/>
  <c r="I13" i="51"/>
  <c r="H13" i="51"/>
  <c r="G13" i="51"/>
  <c r="F13" i="51"/>
  <c r="E13" i="51"/>
  <c r="D13" i="51"/>
  <c r="C13" i="51"/>
  <c r="B13" i="51"/>
  <c r="A12" i="51"/>
  <c r="K12" i="51"/>
  <c r="J12" i="51"/>
  <c r="I12" i="51"/>
  <c r="H12" i="51"/>
  <c r="G12" i="51"/>
  <c r="F12" i="51"/>
  <c r="E12" i="51"/>
  <c r="D12" i="51"/>
  <c r="C12" i="51"/>
  <c r="B12" i="51"/>
  <c r="A11" i="51"/>
  <c r="K11" i="51"/>
  <c r="J11" i="51"/>
  <c r="I11" i="51"/>
  <c r="H11" i="51"/>
  <c r="G11" i="51"/>
  <c r="F11" i="51"/>
  <c r="E11" i="51"/>
  <c r="D11" i="51"/>
  <c r="C11" i="51"/>
  <c r="B11" i="51"/>
  <c r="A10" i="51"/>
  <c r="K10" i="51"/>
  <c r="J10" i="51"/>
  <c r="I10" i="51"/>
  <c r="H10" i="51"/>
  <c r="G10" i="51"/>
  <c r="F10" i="51"/>
  <c r="E10" i="51"/>
  <c r="D10" i="51"/>
  <c r="C10" i="51"/>
  <c r="B10" i="51"/>
  <c r="A9" i="51"/>
  <c r="K9" i="51"/>
  <c r="J9" i="51"/>
  <c r="I9" i="51"/>
  <c r="H9" i="51"/>
  <c r="G9" i="51"/>
  <c r="F9" i="51"/>
  <c r="E9" i="51"/>
  <c r="D9" i="51"/>
  <c r="C9" i="51"/>
  <c r="B9" i="51"/>
  <c r="A8" i="51"/>
  <c r="K8" i="51"/>
  <c r="J8" i="51"/>
  <c r="I8" i="51"/>
  <c r="H8" i="51"/>
  <c r="G8" i="51"/>
  <c r="F8" i="51"/>
  <c r="E8" i="51"/>
  <c r="D8" i="51"/>
  <c r="C8" i="51"/>
  <c r="B8" i="51"/>
  <c r="A7" i="51"/>
  <c r="K7" i="51"/>
  <c r="J7" i="51"/>
  <c r="I7" i="51"/>
  <c r="H7" i="51"/>
  <c r="G7" i="51"/>
  <c r="F7" i="51"/>
  <c r="E7" i="51"/>
  <c r="D7" i="51"/>
  <c r="C7" i="51"/>
  <c r="B7" i="51"/>
  <c r="A6" i="51"/>
  <c r="K6" i="51"/>
  <c r="J6" i="51"/>
  <c r="I6" i="51"/>
  <c r="H6" i="51"/>
  <c r="G6" i="51"/>
  <c r="F6" i="51"/>
  <c r="E6" i="51"/>
  <c r="D6" i="51"/>
  <c r="C6" i="51"/>
  <c r="B6" i="51"/>
  <c r="A5" i="51"/>
  <c r="K5" i="51"/>
  <c r="J5" i="51"/>
  <c r="I5" i="51"/>
  <c r="H5" i="51"/>
  <c r="G5" i="51"/>
  <c r="F5" i="51"/>
  <c r="E5" i="51"/>
  <c r="D5" i="51"/>
  <c r="C5" i="51"/>
  <c r="B5" i="51"/>
  <c r="A4" i="51"/>
  <c r="K4" i="51"/>
  <c r="J4" i="51"/>
  <c r="I4" i="51"/>
  <c r="H4" i="51"/>
  <c r="G4" i="51"/>
  <c r="F4" i="51"/>
  <c r="E4" i="51"/>
  <c r="D4" i="51"/>
  <c r="C4" i="51"/>
  <c r="B4" i="51"/>
  <c r="K85" i="50"/>
  <c r="J85" i="50"/>
  <c r="I85" i="50"/>
  <c r="H85" i="50"/>
  <c r="G85" i="50"/>
  <c r="F85" i="50"/>
  <c r="A85" i="50"/>
  <c r="K84" i="50"/>
  <c r="J84" i="50"/>
  <c r="I84" i="50"/>
  <c r="H84" i="50"/>
  <c r="G84" i="50"/>
  <c r="F84" i="50"/>
  <c r="A84" i="50"/>
  <c r="K83" i="50"/>
  <c r="J83" i="50"/>
  <c r="I83" i="50"/>
  <c r="H83" i="50"/>
  <c r="G83" i="50"/>
  <c r="F83" i="50"/>
  <c r="A83" i="50"/>
  <c r="K82" i="50"/>
  <c r="J82" i="50"/>
  <c r="I82" i="50"/>
  <c r="H82" i="50"/>
  <c r="G82" i="50"/>
  <c r="F82" i="50"/>
  <c r="A82" i="50"/>
  <c r="K81" i="50"/>
  <c r="J81" i="50"/>
  <c r="I81" i="50"/>
  <c r="H81" i="50"/>
  <c r="G81" i="50"/>
  <c r="F81" i="50"/>
  <c r="A81" i="50"/>
  <c r="K80" i="50"/>
  <c r="J80" i="50"/>
  <c r="I80" i="50"/>
  <c r="H80" i="50"/>
  <c r="G80" i="50"/>
  <c r="F80" i="50"/>
  <c r="A80" i="50"/>
  <c r="K79" i="50"/>
  <c r="J79" i="50"/>
  <c r="I79" i="50"/>
  <c r="H79" i="50"/>
  <c r="G79" i="50"/>
  <c r="F79" i="50"/>
  <c r="A79" i="50"/>
  <c r="K78" i="50"/>
  <c r="J78" i="50"/>
  <c r="I78" i="50"/>
  <c r="H78" i="50"/>
  <c r="G78" i="50"/>
  <c r="F78" i="50"/>
  <c r="A78" i="50"/>
  <c r="K220" i="50"/>
  <c r="J220" i="50"/>
  <c r="I220" i="50"/>
  <c r="H220" i="50"/>
  <c r="G220" i="50"/>
  <c r="F220" i="50"/>
  <c r="A220" i="50"/>
  <c r="K219" i="50"/>
  <c r="J219" i="50"/>
  <c r="I219" i="50"/>
  <c r="H219" i="50"/>
  <c r="G219" i="50"/>
  <c r="F219" i="50"/>
  <c r="A219" i="50"/>
  <c r="K218" i="50"/>
  <c r="J218" i="50"/>
  <c r="I218" i="50"/>
  <c r="H218" i="50"/>
  <c r="G218" i="50"/>
  <c r="F218" i="50"/>
  <c r="A218" i="50"/>
  <c r="K217" i="50"/>
  <c r="J217" i="50"/>
  <c r="I217" i="50"/>
  <c r="H217" i="50"/>
  <c r="G217" i="50"/>
  <c r="F217" i="50"/>
  <c r="A217" i="50"/>
  <c r="K216" i="50"/>
  <c r="J216" i="50"/>
  <c r="I216" i="50"/>
  <c r="H216" i="50"/>
  <c r="G216" i="50"/>
  <c r="F216" i="50"/>
  <c r="A216" i="50"/>
  <c r="K215" i="50"/>
  <c r="J215" i="50"/>
  <c r="I215" i="50"/>
  <c r="H215" i="50"/>
  <c r="G215" i="50"/>
  <c r="F215" i="50"/>
  <c r="A215" i="50"/>
  <c r="K214" i="50"/>
  <c r="J214" i="50"/>
  <c r="I214" i="50"/>
  <c r="H214" i="50"/>
  <c r="G214" i="50"/>
  <c r="F214" i="50"/>
  <c r="A214" i="50"/>
  <c r="K213" i="50"/>
  <c r="J213" i="50"/>
  <c r="I213" i="50"/>
  <c r="H213" i="50"/>
  <c r="G213" i="50"/>
  <c r="F213" i="50"/>
  <c r="A213" i="50"/>
  <c r="K212" i="50"/>
  <c r="J212" i="50"/>
  <c r="I212" i="50"/>
  <c r="H212" i="50"/>
  <c r="G212" i="50"/>
  <c r="F212" i="50"/>
  <c r="A212" i="50"/>
  <c r="K211" i="50"/>
  <c r="J211" i="50"/>
  <c r="I211" i="50"/>
  <c r="H211" i="50"/>
  <c r="G211" i="50"/>
  <c r="F211" i="50"/>
  <c r="A211" i="50"/>
  <c r="K210" i="50"/>
  <c r="J210" i="50"/>
  <c r="I210" i="50"/>
  <c r="H210" i="50"/>
  <c r="G210" i="50"/>
  <c r="F210" i="50"/>
  <c r="A210" i="50"/>
  <c r="K209" i="50"/>
  <c r="J209" i="50"/>
  <c r="I209" i="50"/>
  <c r="H209" i="50"/>
  <c r="G209" i="50"/>
  <c r="F209" i="50"/>
  <c r="A209" i="50"/>
  <c r="A208" i="50"/>
  <c r="A196" i="50"/>
  <c r="A197" i="50"/>
  <c r="A198" i="50"/>
  <c r="A200" i="50"/>
  <c r="A2" i="50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9" i="50"/>
  <c r="A201" i="50"/>
  <c r="A202" i="50"/>
  <c r="A203" i="50"/>
  <c r="A204" i="50"/>
  <c r="A205" i="50"/>
  <c r="A206" i="50"/>
  <c r="A207" i="50"/>
  <c r="A3" i="51"/>
  <c r="K3" i="51"/>
  <c r="J3" i="51"/>
  <c r="I3" i="51"/>
  <c r="H3" i="51"/>
  <c r="G3" i="51"/>
  <c r="F3" i="51"/>
  <c r="E3" i="51"/>
  <c r="D3" i="51"/>
  <c r="C3" i="51"/>
  <c r="B3" i="51"/>
  <c r="K208" i="50"/>
  <c r="J208" i="50"/>
  <c r="I208" i="50"/>
  <c r="H208" i="50"/>
  <c r="G208" i="50"/>
  <c r="F208" i="50"/>
  <c r="K207" i="50"/>
  <c r="J207" i="50"/>
  <c r="I207" i="50"/>
  <c r="H207" i="50"/>
  <c r="G207" i="50"/>
  <c r="F207" i="50"/>
  <c r="K206" i="50"/>
  <c r="J206" i="50"/>
  <c r="I206" i="50"/>
  <c r="H206" i="50"/>
  <c r="G206" i="50"/>
  <c r="F206" i="50"/>
  <c r="K205" i="50"/>
  <c r="J205" i="50"/>
  <c r="I205" i="50"/>
  <c r="H205" i="50"/>
  <c r="G205" i="50"/>
  <c r="F205" i="50"/>
  <c r="K204" i="50"/>
  <c r="J204" i="50"/>
  <c r="I204" i="50"/>
  <c r="H204" i="50"/>
  <c r="G204" i="50"/>
  <c r="F204" i="50"/>
  <c r="K203" i="50"/>
  <c r="J203" i="50"/>
  <c r="I203" i="50"/>
  <c r="H203" i="50"/>
  <c r="G203" i="50"/>
  <c r="F203" i="50"/>
  <c r="K202" i="50"/>
  <c r="J202" i="50"/>
  <c r="I202" i="50"/>
  <c r="H202" i="50"/>
  <c r="G202" i="50"/>
  <c r="F202" i="50"/>
  <c r="K201" i="50"/>
  <c r="J201" i="50"/>
  <c r="I201" i="50"/>
  <c r="H201" i="50"/>
  <c r="G201" i="50"/>
  <c r="F201" i="50"/>
  <c r="K200" i="50"/>
  <c r="J200" i="50"/>
  <c r="I200" i="50"/>
  <c r="H200" i="50"/>
  <c r="G200" i="50"/>
  <c r="F200" i="50"/>
  <c r="K199" i="50"/>
  <c r="J199" i="50"/>
  <c r="I199" i="50"/>
  <c r="H199" i="50"/>
  <c r="G199" i="50"/>
  <c r="F199" i="50"/>
  <c r="K198" i="50"/>
  <c r="J198" i="50"/>
  <c r="I198" i="50"/>
  <c r="H198" i="50"/>
  <c r="G198" i="50"/>
  <c r="F198" i="50"/>
  <c r="K197" i="50"/>
  <c r="J197" i="50"/>
  <c r="I197" i="50"/>
  <c r="H197" i="50"/>
  <c r="G197" i="50"/>
  <c r="F197" i="50"/>
  <c r="K196" i="50"/>
  <c r="J196" i="50"/>
  <c r="I196" i="50"/>
  <c r="H196" i="50"/>
  <c r="G196" i="50"/>
  <c r="F196" i="50"/>
  <c r="K195" i="50"/>
  <c r="J195" i="50"/>
  <c r="I195" i="50"/>
  <c r="H195" i="50"/>
  <c r="G195" i="50"/>
  <c r="F195" i="50"/>
  <c r="K194" i="50"/>
  <c r="J194" i="50"/>
  <c r="I194" i="50"/>
  <c r="H194" i="50"/>
  <c r="G194" i="50"/>
  <c r="F194" i="50"/>
  <c r="K193" i="50"/>
  <c r="J193" i="50"/>
  <c r="I193" i="50"/>
  <c r="H193" i="50"/>
  <c r="G193" i="50"/>
  <c r="F193" i="50"/>
  <c r="K192" i="50"/>
  <c r="J192" i="50"/>
  <c r="I192" i="50"/>
  <c r="H192" i="50"/>
  <c r="G192" i="50"/>
  <c r="F192" i="50"/>
  <c r="K191" i="50"/>
  <c r="J191" i="50"/>
  <c r="I191" i="50"/>
  <c r="H191" i="50"/>
  <c r="G191" i="50"/>
  <c r="F191" i="50"/>
  <c r="K190" i="50"/>
  <c r="J190" i="50"/>
  <c r="I190" i="50"/>
  <c r="H190" i="50"/>
  <c r="G190" i="50"/>
  <c r="F190" i="50"/>
  <c r="K189" i="50"/>
  <c r="J189" i="50"/>
  <c r="I189" i="50"/>
  <c r="H189" i="50"/>
  <c r="G189" i="50"/>
  <c r="F189" i="50"/>
  <c r="K188" i="50"/>
  <c r="J188" i="50"/>
  <c r="I188" i="50"/>
  <c r="H188" i="50"/>
  <c r="G188" i="50"/>
  <c r="F188" i="50"/>
  <c r="K187" i="50"/>
  <c r="J187" i="50"/>
  <c r="I187" i="50"/>
  <c r="H187" i="50"/>
  <c r="G187" i="50"/>
  <c r="F187" i="50"/>
  <c r="K186" i="50"/>
  <c r="J186" i="50"/>
  <c r="I186" i="50"/>
  <c r="H186" i="50"/>
  <c r="G186" i="50"/>
  <c r="F186" i="50"/>
  <c r="K185" i="50"/>
  <c r="J185" i="50"/>
  <c r="I185" i="50"/>
  <c r="H185" i="50"/>
  <c r="G185" i="50"/>
  <c r="F185" i="50"/>
  <c r="K184" i="50"/>
  <c r="J184" i="50"/>
  <c r="I184" i="50"/>
  <c r="H184" i="50"/>
  <c r="G184" i="50"/>
  <c r="F184" i="50"/>
  <c r="K183" i="50"/>
  <c r="J183" i="50"/>
  <c r="I183" i="50"/>
  <c r="H183" i="50"/>
  <c r="G183" i="50"/>
  <c r="F183" i="50"/>
  <c r="K182" i="50"/>
  <c r="J182" i="50"/>
  <c r="I182" i="50"/>
  <c r="H182" i="50"/>
  <c r="G182" i="50"/>
  <c r="F182" i="50"/>
  <c r="K181" i="50"/>
  <c r="J181" i="50"/>
  <c r="I181" i="50"/>
  <c r="H181" i="50"/>
  <c r="G181" i="50"/>
  <c r="F181" i="50"/>
  <c r="K180" i="50"/>
  <c r="J180" i="50"/>
  <c r="I180" i="50"/>
  <c r="H180" i="50"/>
  <c r="G180" i="50"/>
  <c r="F180" i="50"/>
  <c r="K179" i="50"/>
  <c r="J179" i="50"/>
  <c r="I179" i="50"/>
  <c r="H179" i="50"/>
  <c r="G179" i="50"/>
  <c r="F179" i="50"/>
  <c r="K178" i="50"/>
  <c r="J178" i="50"/>
  <c r="I178" i="50"/>
  <c r="H178" i="50"/>
  <c r="G178" i="50"/>
  <c r="F178" i="50"/>
  <c r="K177" i="50"/>
  <c r="J177" i="50"/>
  <c r="I177" i="50"/>
  <c r="H177" i="50"/>
  <c r="G177" i="50"/>
  <c r="F177" i="50"/>
  <c r="K176" i="50"/>
  <c r="J176" i="50"/>
  <c r="I176" i="50"/>
  <c r="H176" i="50"/>
  <c r="G176" i="50"/>
  <c r="F176" i="50"/>
  <c r="K175" i="50"/>
  <c r="J175" i="50"/>
  <c r="I175" i="50"/>
  <c r="H175" i="50"/>
  <c r="G175" i="50"/>
  <c r="F175" i="50"/>
  <c r="K174" i="50"/>
  <c r="J174" i="50"/>
  <c r="I174" i="50"/>
  <c r="H174" i="50"/>
  <c r="G174" i="50"/>
  <c r="F174" i="50"/>
  <c r="K173" i="50"/>
  <c r="J173" i="50"/>
  <c r="I173" i="50"/>
  <c r="H173" i="50"/>
  <c r="G173" i="50"/>
  <c r="F173" i="50"/>
  <c r="K172" i="50"/>
  <c r="J172" i="50"/>
  <c r="I172" i="50"/>
  <c r="H172" i="50"/>
  <c r="G172" i="50"/>
  <c r="F172" i="50"/>
  <c r="K171" i="50"/>
  <c r="J171" i="50"/>
  <c r="I171" i="50"/>
  <c r="H171" i="50"/>
  <c r="G171" i="50"/>
  <c r="F171" i="50"/>
  <c r="K170" i="50"/>
  <c r="J170" i="50"/>
  <c r="I170" i="50"/>
  <c r="H170" i="50"/>
  <c r="G170" i="50"/>
  <c r="F170" i="50"/>
  <c r="K169" i="50"/>
  <c r="J169" i="50"/>
  <c r="I169" i="50"/>
  <c r="H169" i="50"/>
  <c r="G169" i="50"/>
  <c r="F169" i="50"/>
  <c r="K168" i="50"/>
  <c r="J168" i="50"/>
  <c r="I168" i="50"/>
  <c r="H168" i="50"/>
  <c r="G168" i="50"/>
  <c r="F168" i="50"/>
  <c r="K167" i="50"/>
  <c r="J167" i="50"/>
  <c r="I167" i="50"/>
  <c r="H167" i="50"/>
  <c r="G167" i="50"/>
  <c r="F167" i="50"/>
  <c r="K166" i="50"/>
  <c r="J166" i="50"/>
  <c r="I166" i="50"/>
  <c r="H166" i="50"/>
  <c r="G166" i="50"/>
  <c r="F166" i="50"/>
  <c r="K165" i="50"/>
  <c r="J165" i="50"/>
  <c r="I165" i="50"/>
  <c r="H165" i="50"/>
  <c r="G165" i="50"/>
  <c r="F165" i="50"/>
  <c r="K164" i="50"/>
  <c r="J164" i="50"/>
  <c r="I164" i="50"/>
  <c r="H164" i="50"/>
  <c r="G164" i="50"/>
  <c r="F164" i="50"/>
  <c r="K163" i="50"/>
  <c r="J163" i="50"/>
  <c r="I163" i="50"/>
  <c r="H163" i="50"/>
  <c r="G163" i="50"/>
  <c r="F163" i="50"/>
  <c r="K162" i="50"/>
  <c r="J162" i="50"/>
  <c r="I162" i="50"/>
  <c r="H162" i="50"/>
  <c r="G162" i="50"/>
  <c r="F162" i="50"/>
  <c r="K161" i="50"/>
  <c r="J161" i="50"/>
  <c r="I161" i="50"/>
  <c r="H161" i="50"/>
  <c r="G161" i="50"/>
  <c r="F161" i="50"/>
  <c r="K160" i="50"/>
  <c r="J160" i="50"/>
  <c r="I160" i="50"/>
  <c r="H160" i="50"/>
  <c r="G160" i="50"/>
  <c r="F160" i="50"/>
  <c r="K159" i="50"/>
  <c r="J159" i="50"/>
  <c r="I159" i="50"/>
  <c r="H159" i="50"/>
  <c r="G159" i="50"/>
  <c r="F159" i="50"/>
  <c r="K158" i="50"/>
  <c r="J158" i="50"/>
  <c r="I158" i="50"/>
  <c r="H158" i="50"/>
  <c r="G158" i="50"/>
  <c r="F158" i="50"/>
  <c r="K157" i="50"/>
  <c r="J157" i="50"/>
  <c r="I157" i="50"/>
  <c r="H157" i="50"/>
  <c r="G157" i="50"/>
  <c r="F157" i="50"/>
  <c r="K156" i="50"/>
  <c r="J156" i="50"/>
  <c r="I156" i="50"/>
  <c r="H156" i="50"/>
  <c r="G156" i="50"/>
  <c r="F156" i="50"/>
  <c r="K155" i="50"/>
  <c r="J155" i="50"/>
  <c r="I155" i="50"/>
  <c r="H155" i="50"/>
  <c r="G155" i="50"/>
  <c r="F155" i="50"/>
  <c r="K154" i="50"/>
  <c r="J154" i="50"/>
  <c r="I154" i="50"/>
  <c r="H154" i="50"/>
  <c r="G154" i="50"/>
  <c r="F154" i="50"/>
  <c r="K153" i="50"/>
  <c r="J153" i="50"/>
  <c r="I153" i="50"/>
  <c r="H153" i="50"/>
  <c r="G153" i="50"/>
  <c r="F153" i="50"/>
  <c r="K152" i="50"/>
  <c r="J152" i="50"/>
  <c r="I152" i="50"/>
  <c r="H152" i="50"/>
  <c r="G152" i="50"/>
  <c r="F152" i="50"/>
  <c r="K151" i="50"/>
  <c r="J151" i="50"/>
  <c r="I151" i="50"/>
  <c r="H151" i="50"/>
  <c r="G151" i="50"/>
  <c r="F151" i="50"/>
  <c r="K150" i="50"/>
  <c r="J150" i="50"/>
  <c r="I150" i="50"/>
  <c r="H150" i="50"/>
  <c r="G150" i="50"/>
  <c r="F150" i="50"/>
  <c r="K149" i="50"/>
  <c r="J149" i="50"/>
  <c r="I149" i="50"/>
  <c r="H149" i="50"/>
  <c r="G149" i="50"/>
  <c r="F149" i="50"/>
  <c r="K148" i="50"/>
  <c r="J148" i="50"/>
  <c r="I148" i="50"/>
  <c r="H148" i="50"/>
  <c r="G148" i="50"/>
  <c r="F148" i="50"/>
  <c r="K147" i="50"/>
  <c r="J147" i="50"/>
  <c r="I147" i="50"/>
  <c r="H147" i="50"/>
  <c r="G147" i="50"/>
  <c r="F147" i="50"/>
  <c r="K146" i="50"/>
  <c r="J146" i="50"/>
  <c r="I146" i="50"/>
  <c r="H146" i="50"/>
  <c r="G146" i="50"/>
  <c r="F146" i="50"/>
  <c r="K145" i="50"/>
  <c r="J145" i="50"/>
  <c r="I145" i="50"/>
  <c r="H145" i="50"/>
  <c r="G145" i="50"/>
  <c r="F145" i="50"/>
  <c r="K144" i="50"/>
  <c r="J144" i="50"/>
  <c r="I144" i="50"/>
  <c r="H144" i="50"/>
  <c r="G144" i="50"/>
  <c r="F144" i="50"/>
  <c r="K143" i="50"/>
  <c r="J143" i="50"/>
  <c r="I143" i="50"/>
  <c r="H143" i="50"/>
  <c r="G143" i="50"/>
  <c r="F143" i="50"/>
  <c r="K142" i="50"/>
  <c r="J142" i="50"/>
  <c r="I142" i="50"/>
  <c r="H142" i="50"/>
  <c r="G142" i="50"/>
  <c r="F142" i="50"/>
  <c r="K141" i="50"/>
  <c r="J141" i="50"/>
  <c r="I141" i="50"/>
  <c r="H141" i="50"/>
  <c r="G141" i="50"/>
  <c r="F141" i="50"/>
  <c r="K140" i="50"/>
  <c r="J140" i="50"/>
  <c r="I140" i="50"/>
  <c r="H140" i="50"/>
  <c r="G140" i="50"/>
  <c r="F140" i="50"/>
  <c r="K139" i="50"/>
  <c r="J139" i="50"/>
  <c r="I139" i="50"/>
  <c r="H139" i="50"/>
  <c r="G139" i="50"/>
  <c r="F139" i="50"/>
  <c r="K138" i="50"/>
  <c r="J138" i="50"/>
  <c r="I138" i="50"/>
  <c r="H138" i="50"/>
  <c r="G138" i="50"/>
  <c r="F138" i="50"/>
  <c r="K137" i="50"/>
  <c r="J137" i="50"/>
  <c r="I137" i="50"/>
  <c r="H137" i="50"/>
  <c r="G137" i="50"/>
  <c r="F137" i="50"/>
  <c r="K136" i="50"/>
  <c r="J136" i="50"/>
  <c r="I136" i="50"/>
  <c r="H136" i="50"/>
  <c r="G136" i="50"/>
  <c r="F136" i="50"/>
  <c r="K135" i="50"/>
  <c r="J135" i="50"/>
  <c r="I135" i="50"/>
  <c r="H135" i="50"/>
  <c r="G135" i="50"/>
  <c r="F135" i="50"/>
  <c r="K134" i="50"/>
  <c r="J134" i="50"/>
  <c r="I134" i="50"/>
  <c r="H134" i="50"/>
  <c r="G134" i="50"/>
  <c r="F134" i="50"/>
  <c r="K133" i="50"/>
  <c r="J133" i="50"/>
  <c r="I133" i="50"/>
  <c r="H133" i="50"/>
  <c r="G133" i="50"/>
  <c r="F133" i="50"/>
  <c r="K132" i="50"/>
  <c r="J132" i="50"/>
  <c r="I132" i="50"/>
  <c r="H132" i="50"/>
  <c r="G132" i="50"/>
  <c r="F132" i="50"/>
  <c r="K131" i="50"/>
  <c r="J131" i="50"/>
  <c r="I131" i="50"/>
  <c r="H131" i="50"/>
  <c r="G131" i="50"/>
  <c r="F131" i="50"/>
  <c r="K130" i="50"/>
  <c r="J130" i="50"/>
  <c r="I130" i="50"/>
  <c r="H130" i="50"/>
  <c r="G130" i="50"/>
  <c r="F130" i="50"/>
  <c r="K129" i="50"/>
  <c r="J129" i="50"/>
  <c r="I129" i="50"/>
  <c r="H129" i="50"/>
  <c r="G129" i="50"/>
  <c r="F129" i="50"/>
  <c r="K128" i="50"/>
  <c r="J128" i="50"/>
  <c r="I128" i="50"/>
  <c r="H128" i="50"/>
  <c r="G128" i="50"/>
  <c r="F128" i="50"/>
  <c r="K127" i="50"/>
  <c r="J127" i="50"/>
  <c r="I127" i="50"/>
  <c r="H127" i="50"/>
  <c r="G127" i="50"/>
  <c r="F127" i="50"/>
  <c r="K126" i="50"/>
  <c r="J126" i="50"/>
  <c r="I126" i="50"/>
  <c r="H126" i="50"/>
  <c r="G126" i="50"/>
  <c r="F126" i="50"/>
  <c r="K125" i="50"/>
  <c r="J125" i="50"/>
  <c r="I125" i="50"/>
  <c r="H125" i="50"/>
  <c r="G125" i="50"/>
  <c r="F125" i="50"/>
  <c r="K124" i="50"/>
  <c r="J124" i="50"/>
  <c r="I124" i="50"/>
  <c r="H124" i="50"/>
  <c r="G124" i="50"/>
  <c r="F124" i="50"/>
  <c r="K123" i="50"/>
  <c r="J123" i="50"/>
  <c r="I123" i="50"/>
  <c r="H123" i="50"/>
  <c r="G123" i="50"/>
  <c r="F123" i="50"/>
  <c r="K122" i="50"/>
  <c r="J122" i="50"/>
  <c r="I122" i="50"/>
  <c r="H122" i="50"/>
  <c r="G122" i="50"/>
  <c r="F122" i="50"/>
  <c r="K121" i="50"/>
  <c r="J121" i="50"/>
  <c r="I121" i="50"/>
  <c r="H121" i="50"/>
  <c r="G121" i="50"/>
  <c r="F121" i="50"/>
  <c r="K120" i="50"/>
  <c r="J120" i="50"/>
  <c r="I120" i="50"/>
  <c r="H120" i="50"/>
  <c r="G120" i="50"/>
  <c r="F120" i="50"/>
  <c r="K119" i="50"/>
  <c r="J119" i="50"/>
  <c r="I119" i="50"/>
  <c r="H119" i="50"/>
  <c r="G119" i="50"/>
  <c r="F119" i="50"/>
  <c r="K118" i="50"/>
  <c r="J118" i="50"/>
  <c r="I118" i="50"/>
  <c r="H118" i="50"/>
  <c r="G118" i="50"/>
  <c r="F118" i="50"/>
  <c r="K117" i="50"/>
  <c r="J117" i="50"/>
  <c r="I117" i="50"/>
  <c r="H117" i="50"/>
  <c r="G117" i="50"/>
  <c r="F117" i="50"/>
  <c r="K116" i="50"/>
  <c r="J116" i="50"/>
  <c r="I116" i="50"/>
  <c r="H116" i="50"/>
  <c r="G116" i="50"/>
  <c r="F116" i="50"/>
  <c r="K115" i="50"/>
  <c r="J115" i="50"/>
  <c r="I115" i="50"/>
  <c r="H115" i="50"/>
  <c r="G115" i="50"/>
  <c r="F115" i="50"/>
  <c r="K114" i="50"/>
  <c r="J114" i="50"/>
  <c r="I114" i="50"/>
  <c r="H114" i="50"/>
  <c r="G114" i="50"/>
  <c r="F114" i="50"/>
  <c r="K113" i="50"/>
  <c r="J113" i="50"/>
  <c r="I113" i="50"/>
  <c r="H113" i="50"/>
  <c r="G113" i="50"/>
  <c r="F113" i="50"/>
  <c r="K112" i="50"/>
  <c r="J112" i="50"/>
  <c r="I112" i="50"/>
  <c r="H112" i="50"/>
  <c r="G112" i="50"/>
  <c r="F112" i="50"/>
  <c r="K111" i="50"/>
  <c r="J111" i="50"/>
  <c r="I111" i="50"/>
  <c r="H111" i="50"/>
  <c r="G111" i="50"/>
  <c r="F111" i="50"/>
  <c r="K110" i="50"/>
  <c r="J110" i="50"/>
  <c r="I110" i="50"/>
  <c r="H110" i="50"/>
  <c r="G110" i="50"/>
  <c r="F110" i="50"/>
  <c r="K109" i="50"/>
  <c r="J109" i="50"/>
  <c r="I109" i="50"/>
  <c r="H109" i="50"/>
  <c r="G109" i="50"/>
  <c r="F109" i="50"/>
  <c r="K108" i="50"/>
  <c r="J108" i="50"/>
  <c r="I108" i="50"/>
  <c r="H108" i="50"/>
  <c r="G108" i="50"/>
  <c r="F108" i="50"/>
  <c r="K107" i="50"/>
  <c r="J107" i="50"/>
  <c r="I107" i="50"/>
  <c r="H107" i="50"/>
  <c r="G107" i="50"/>
  <c r="F107" i="50"/>
  <c r="K106" i="50"/>
  <c r="J106" i="50"/>
  <c r="I106" i="50"/>
  <c r="H106" i="50"/>
  <c r="G106" i="50"/>
  <c r="F106" i="50"/>
  <c r="K105" i="50"/>
  <c r="J105" i="50"/>
  <c r="I105" i="50"/>
  <c r="H105" i="50"/>
  <c r="G105" i="50"/>
  <c r="F105" i="50"/>
  <c r="K104" i="50"/>
  <c r="J104" i="50"/>
  <c r="I104" i="50"/>
  <c r="H104" i="50"/>
  <c r="G104" i="50"/>
  <c r="F104" i="50"/>
  <c r="K103" i="50"/>
  <c r="J103" i="50"/>
  <c r="I103" i="50"/>
  <c r="H103" i="50"/>
  <c r="G103" i="50"/>
  <c r="F103" i="50"/>
  <c r="K102" i="50"/>
  <c r="J102" i="50"/>
  <c r="I102" i="50"/>
  <c r="H102" i="50"/>
  <c r="G102" i="50"/>
  <c r="F102" i="50"/>
  <c r="K101" i="50"/>
  <c r="J101" i="50"/>
  <c r="I101" i="50"/>
  <c r="H101" i="50"/>
  <c r="G101" i="50"/>
  <c r="F101" i="50"/>
  <c r="K100" i="50"/>
  <c r="J100" i="50"/>
  <c r="I100" i="50"/>
  <c r="H100" i="50"/>
  <c r="G100" i="50"/>
  <c r="F100" i="50"/>
  <c r="K99" i="50"/>
  <c r="J99" i="50"/>
  <c r="I99" i="50"/>
  <c r="H99" i="50"/>
  <c r="G99" i="50"/>
  <c r="F99" i="50"/>
  <c r="K98" i="50"/>
  <c r="J98" i="50"/>
  <c r="I98" i="50"/>
  <c r="H98" i="50"/>
  <c r="G98" i="50"/>
  <c r="F98" i="50"/>
  <c r="K97" i="50"/>
  <c r="J97" i="50"/>
  <c r="I97" i="50"/>
  <c r="H97" i="50"/>
  <c r="G97" i="50"/>
  <c r="F97" i="50"/>
  <c r="K96" i="50"/>
  <c r="J96" i="50"/>
  <c r="I96" i="50"/>
  <c r="H96" i="50"/>
  <c r="G96" i="50"/>
  <c r="F96" i="50"/>
  <c r="K95" i="50"/>
  <c r="J95" i="50"/>
  <c r="I95" i="50"/>
  <c r="H95" i="50"/>
  <c r="G95" i="50"/>
  <c r="F95" i="50"/>
  <c r="K94" i="50"/>
  <c r="J94" i="50"/>
  <c r="I94" i="50"/>
  <c r="H94" i="50"/>
  <c r="G94" i="50"/>
  <c r="F94" i="50"/>
  <c r="K93" i="50"/>
  <c r="J93" i="50"/>
  <c r="I93" i="50"/>
  <c r="H93" i="50"/>
  <c r="G93" i="50"/>
  <c r="F93" i="50"/>
  <c r="K92" i="50"/>
  <c r="J92" i="50"/>
  <c r="I92" i="50"/>
  <c r="H92" i="50"/>
  <c r="G92" i="50"/>
  <c r="F92" i="50"/>
  <c r="K91" i="50"/>
  <c r="J91" i="50"/>
  <c r="I91" i="50"/>
  <c r="H91" i="50"/>
  <c r="G91" i="50"/>
  <c r="F91" i="50"/>
  <c r="K90" i="50"/>
  <c r="J90" i="50"/>
  <c r="I90" i="50"/>
  <c r="H90" i="50"/>
  <c r="G90" i="50"/>
  <c r="F90" i="50"/>
  <c r="K89" i="50"/>
  <c r="J89" i="50"/>
  <c r="I89" i="50"/>
  <c r="H89" i="50"/>
  <c r="G89" i="50"/>
  <c r="F89" i="50"/>
  <c r="K88" i="50"/>
  <c r="J88" i="50"/>
  <c r="I88" i="50"/>
  <c r="H88" i="50"/>
  <c r="G88" i="50"/>
  <c r="F88" i="50"/>
  <c r="K87" i="50"/>
  <c r="J87" i="50"/>
  <c r="I87" i="50"/>
  <c r="H87" i="50"/>
  <c r="G87" i="50"/>
  <c r="F87" i="50"/>
  <c r="K86" i="50"/>
  <c r="J86" i="50"/>
  <c r="I86" i="50"/>
  <c r="H86" i="50"/>
  <c r="G86" i="50"/>
  <c r="F86" i="50"/>
  <c r="K77" i="50"/>
  <c r="J77" i="50"/>
  <c r="I77" i="50"/>
  <c r="H77" i="50"/>
  <c r="G77" i="50"/>
  <c r="F77" i="50"/>
  <c r="K76" i="50"/>
  <c r="J76" i="50"/>
  <c r="I76" i="50"/>
  <c r="H76" i="50"/>
  <c r="G76" i="50"/>
  <c r="F76" i="50"/>
  <c r="K75" i="50"/>
  <c r="J75" i="50"/>
  <c r="I75" i="50"/>
  <c r="H75" i="50"/>
  <c r="G75" i="50"/>
  <c r="F75" i="50"/>
  <c r="K74" i="50"/>
  <c r="J74" i="50"/>
  <c r="I74" i="50"/>
  <c r="H74" i="50"/>
  <c r="G74" i="50"/>
  <c r="F74" i="50"/>
  <c r="K73" i="50"/>
  <c r="J73" i="50"/>
  <c r="I73" i="50"/>
  <c r="H73" i="50"/>
  <c r="G73" i="50"/>
  <c r="F73" i="50"/>
  <c r="K72" i="50"/>
  <c r="J72" i="50"/>
  <c r="I72" i="50"/>
  <c r="H72" i="50"/>
  <c r="G72" i="50"/>
  <c r="F72" i="50"/>
  <c r="K71" i="50"/>
  <c r="J71" i="50"/>
  <c r="I71" i="50"/>
  <c r="H71" i="50"/>
  <c r="G71" i="50"/>
  <c r="F71" i="50"/>
  <c r="K70" i="50"/>
  <c r="J70" i="50"/>
  <c r="I70" i="50"/>
  <c r="H70" i="50"/>
  <c r="G70" i="50"/>
  <c r="F70" i="50"/>
  <c r="K69" i="50"/>
  <c r="J69" i="50"/>
  <c r="I69" i="50"/>
  <c r="H69" i="50"/>
  <c r="G69" i="50"/>
  <c r="F69" i="50"/>
  <c r="K68" i="50"/>
  <c r="J68" i="50"/>
  <c r="I68" i="50"/>
  <c r="H68" i="50"/>
  <c r="G68" i="50"/>
  <c r="F68" i="50"/>
  <c r="K67" i="50"/>
  <c r="J67" i="50"/>
  <c r="I67" i="50"/>
  <c r="H67" i="50"/>
  <c r="G67" i="50"/>
  <c r="F67" i="50"/>
  <c r="K66" i="50"/>
  <c r="J66" i="50"/>
  <c r="I66" i="50"/>
  <c r="H66" i="50"/>
  <c r="G66" i="50"/>
  <c r="F66" i="50"/>
  <c r="K65" i="50"/>
  <c r="J65" i="50"/>
  <c r="I65" i="50"/>
  <c r="H65" i="50"/>
  <c r="G65" i="50"/>
  <c r="F65" i="50"/>
  <c r="K64" i="50"/>
  <c r="J64" i="50"/>
  <c r="I64" i="50"/>
  <c r="H64" i="50"/>
  <c r="G64" i="50"/>
  <c r="F64" i="50"/>
  <c r="K63" i="50"/>
  <c r="J63" i="50"/>
  <c r="I63" i="50"/>
  <c r="H63" i="50"/>
  <c r="G63" i="50"/>
  <c r="F63" i="50"/>
  <c r="K62" i="50"/>
  <c r="J62" i="50"/>
  <c r="I62" i="50"/>
  <c r="H62" i="50"/>
  <c r="G62" i="50"/>
  <c r="F62" i="50"/>
  <c r="K61" i="50"/>
  <c r="J61" i="50"/>
  <c r="I61" i="50"/>
  <c r="H61" i="50"/>
  <c r="G61" i="50"/>
  <c r="F61" i="50"/>
  <c r="K60" i="50"/>
  <c r="J60" i="50"/>
  <c r="I60" i="50"/>
  <c r="H60" i="50"/>
  <c r="G60" i="50"/>
  <c r="F60" i="50"/>
  <c r="K59" i="50"/>
  <c r="J59" i="50"/>
  <c r="I59" i="50"/>
  <c r="H59" i="50"/>
  <c r="G59" i="50"/>
  <c r="F59" i="50"/>
  <c r="K58" i="50"/>
  <c r="J58" i="50"/>
  <c r="I58" i="50"/>
  <c r="H58" i="50"/>
  <c r="G58" i="50"/>
  <c r="F58" i="50"/>
  <c r="K57" i="50"/>
  <c r="J57" i="50"/>
  <c r="I57" i="50"/>
  <c r="H57" i="50"/>
  <c r="G57" i="50"/>
  <c r="F57" i="50"/>
  <c r="K56" i="50"/>
  <c r="J56" i="50"/>
  <c r="I56" i="50"/>
  <c r="H56" i="50"/>
  <c r="G56" i="50"/>
  <c r="F56" i="50"/>
  <c r="K55" i="50"/>
  <c r="J55" i="50"/>
  <c r="I55" i="50"/>
  <c r="H55" i="50"/>
  <c r="G55" i="50"/>
  <c r="F55" i="50"/>
  <c r="K54" i="50"/>
  <c r="J54" i="50"/>
  <c r="I54" i="50"/>
  <c r="H54" i="50"/>
  <c r="G54" i="50"/>
  <c r="F54" i="50"/>
  <c r="K53" i="50"/>
  <c r="J53" i="50"/>
  <c r="I53" i="50"/>
  <c r="H53" i="50"/>
  <c r="G53" i="50"/>
  <c r="F53" i="50"/>
  <c r="K52" i="50"/>
  <c r="J52" i="50"/>
  <c r="I52" i="50"/>
  <c r="H52" i="50"/>
  <c r="G52" i="50"/>
  <c r="F52" i="50"/>
  <c r="K51" i="50"/>
  <c r="J51" i="50"/>
  <c r="I51" i="50"/>
  <c r="H51" i="50"/>
  <c r="G51" i="50"/>
  <c r="F51" i="50"/>
  <c r="K50" i="50"/>
  <c r="J50" i="50"/>
  <c r="I50" i="50"/>
  <c r="H50" i="50"/>
  <c r="G50" i="50"/>
  <c r="F50" i="50"/>
  <c r="K49" i="50"/>
  <c r="J49" i="50"/>
  <c r="I49" i="50"/>
  <c r="H49" i="50"/>
  <c r="G49" i="50"/>
  <c r="F49" i="50"/>
  <c r="K48" i="50"/>
  <c r="J48" i="50"/>
  <c r="I48" i="50"/>
  <c r="H48" i="50"/>
  <c r="G48" i="50"/>
  <c r="F48" i="50"/>
  <c r="K47" i="50"/>
  <c r="J47" i="50"/>
  <c r="I47" i="50"/>
  <c r="H47" i="50"/>
  <c r="G47" i="50"/>
  <c r="F47" i="50"/>
  <c r="K46" i="50"/>
  <c r="J46" i="50"/>
  <c r="I46" i="50"/>
  <c r="H46" i="50"/>
  <c r="G46" i="50"/>
  <c r="F46" i="50"/>
  <c r="K45" i="50"/>
  <c r="J45" i="50"/>
  <c r="I45" i="50"/>
  <c r="H45" i="50"/>
  <c r="G45" i="50"/>
  <c r="F45" i="50"/>
  <c r="K44" i="50"/>
  <c r="J44" i="50"/>
  <c r="I44" i="50"/>
  <c r="H44" i="50"/>
  <c r="G44" i="50"/>
  <c r="F44" i="50"/>
  <c r="K43" i="50"/>
  <c r="J43" i="50"/>
  <c r="I43" i="50"/>
  <c r="H43" i="50"/>
  <c r="G43" i="50"/>
  <c r="F43" i="50"/>
  <c r="K42" i="50"/>
  <c r="J42" i="50"/>
  <c r="I42" i="50"/>
  <c r="H42" i="50"/>
  <c r="G42" i="50"/>
  <c r="F42" i="50"/>
  <c r="K41" i="50"/>
  <c r="J41" i="50"/>
  <c r="I41" i="50"/>
  <c r="H41" i="50"/>
  <c r="G41" i="50"/>
  <c r="F41" i="50"/>
  <c r="K40" i="50"/>
  <c r="J40" i="50"/>
  <c r="I40" i="50"/>
  <c r="H40" i="50"/>
  <c r="G40" i="50"/>
  <c r="F40" i="50"/>
  <c r="K39" i="50"/>
  <c r="J39" i="50"/>
  <c r="I39" i="50"/>
  <c r="H39" i="50"/>
  <c r="G39" i="50"/>
  <c r="F39" i="50"/>
  <c r="K38" i="50"/>
  <c r="J38" i="50"/>
  <c r="I38" i="50"/>
  <c r="H38" i="50"/>
  <c r="G38" i="50"/>
  <c r="F38" i="50"/>
  <c r="K37" i="50"/>
  <c r="J37" i="50"/>
  <c r="I37" i="50"/>
  <c r="H37" i="50"/>
  <c r="G37" i="50"/>
  <c r="F37" i="50"/>
  <c r="K36" i="50"/>
  <c r="J36" i="50"/>
  <c r="I36" i="50"/>
  <c r="H36" i="50"/>
  <c r="G36" i="50"/>
  <c r="F36" i="50"/>
  <c r="K35" i="50"/>
  <c r="J35" i="50"/>
  <c r="I35" i="50"/>
  <c r="H35" i="50"/>
  <c r="G35" i="50"/>
  <c r="F35" i="50"/>
  <c r="K34" i="50"/>
  <c r="J34" i="50"/>
  <c r="I34" i="50"/>
  <c r="H34" i="50"/>
  <c r="G34" i="50"/>
  <c r="F34" i="50"/>
  <c r="K33" i="50"/>
  <c r="J33" i="50"/>
  <c r="I33" i="50"/>
  <c r="H33" i="50"/>
  <c r="G33" i="50"/>
  <c r="F33" i="50"/>
  <c r="K32" i="50"/>
  <c r="J32" i="50"/>
  <c r="I32" i="50"/>
  <c r="H32" i="50"/>
  <c r="G32" i="50"/>
  <c r="F32" i="50"/>
  <c r="K31" i="50"/>
  <c r="J31" i="50"/>
  <c r="I31" i="50"/>
  <c r="H31" i="50"/>
  <c r="G31" i="50"/>
  <c r="F31" i="50"/>
  <c r="K30" i="50"/>
  <c r="J30" i="50"/>
  <c r="I30" i="50"/>
  <c r="H30" i="50"/>
  <c r="G30" i="50"/>
  <c r="F30" i="50"/>
  <c r="K29" i="50"/>
  <c r="J29" i="50"/>
  <c r="I29" i="50"/>
  <c r="H29" i="50"/>
  <c r="G29" i="50"/>
  <c r="F29" i="50"/>
  <c r="K28" i="50"/>
  <c r="J28" i="50"/>
  <c r="I28" i="50"/>
  <c r="H28" i="50"/>
  <c r="G28" i="50"/>
  <c r="F28" i="50"/>
  <c r="K27" i="50"/>
  <c r="J27" i="50"/>
  <c r="I27" i="50"/>
  <c r="H27" i="50"/>
  <c r="G27" i="50"/>
  <c r="F27" i="50"/>
  <c r="K26" i="50"/>
  <c r="J26" i="50"/>
  <c r="I26" i="50"/>
  <c r="H26" i="50"/>
  <c r="G26" i="50"/>
  <c r="F26" i="50"/>
  <c r="K25" i="50"/>
  <c r="J25" i="50"/>
  <c r="I25" i="50"/>
  <c r="H25" i="50"/>
  <c r="G25" i="50"/>
  <c r="F25" i="50"/>
  <c r="K24" i="50"/>
  <c r="J24" i="50"/>
  <c r="I24" i="50"/>
  <c r="H24" i="50"/>
  <c r="G24" i="50"/>
  <c r="F24" i="50"/>
  <c r="K23" i="50"/>
  <c r="J23" i="50"/>
  <c r="I23" i="50"/>
  <c r="H23" i="50"/>
  <c r="G23" i="50"/>
  <c r="F23" i="50"/>
  <c r="K22" i="50"/>
  <c r="J22" i="50"/>
  <c r="I22" i="50"/>
  <c r="H22" i="50"/>
  <c r="G22" i="50"/>
  <c r="F22" i="50"/>
  <c r="K21" i="50"/>
  <c r="J21" i="50"/>
  <c r="I21" i="50"/>
  <c r="H21" i="50"/>
  <c r="G21" i="50"/>
  <c r="F21" i="50"/>
  <c r="K20" i="50"/>
  <c r="J20" i="50"/>
  <c r="I20" i="50"/>
  <c r="H20" i="50"/>
  <c r="G20" i="50"/>
  <c r="F20" i="50"/>
  <c r="K19" i="50"/>
  <c r="J19" i="50"/>
  <c r="I19" i="50"/>
  <c r="H19" i="50"/>
  <c r="G19" i="50"/>
  <c r="F19" i="50"/>
  <c r="K18" i="50"/>
  <c r="J18" i="50"/>
  <c r="I18" i="50"/>
  <c r="H18" i="50"/>
  <c r="G18" i="50"/>
  <c r="F18" i="50"/>
  <c r="K17" i="50"/>
  <c r="J17" i="50"/>
  <c r="I17" i="50"/>
  <c r="H17" i="50"/>
  <c r="G17" i="50"/>
  <c r="F17" i="50"/>
  <c r="K16" i="50"/>
  <c r="J16" i="50"/>
  <c r="I16" i="50"/>
  <c r="H16" i="50"/>
  <c r="G16" i="50"/>
  <c r="F16" i="50"/>
  <c r="K15" i="50"/>
  <c r="J15" i="50"/>
  <c r="I15" i="50"/>
  <c r="H15" i="50"/>
  <c r="G15" i="50"/>
  <c r="F15" i="50"/>
  <c r="K14" i="50"/>
  <c r="J14" i="50"/>
  <c r="I14" i="50"/>
  <c r="H14" i="50"/>
  <c r="G14" i="50"/>
  <c r="F14" i="50"/>
  <c r="K13" i="50"/>
  <c r="J13" i="50"/>
  <c r="I13" i="50"/>
  <c r="H13" i="50"/>
  <c r="G13" i="50"/>
  <c r="F13" i="50"/>
  <c r="K12" i="50"/>
  <c r="J12" i="50"/>
  <c r="I12" i="50"/>
  <c r="H12" i="50"/>
  <c r="G12" i="50"/>
  <c r="F12" i="50"/>
  <c r="K11" i="50"/>
  <c r="J11" i="50"/>
  <c r="I11" i="50"/>
  <c r="H11" i="50"/>
  <c r="G11" i="50"/>
  <c r="F11" i="50"/>
  <c r="K10" i="50"/>
  <c r="J10" i="50"/>
  <c r="I10" i="50"/>
  <c r="H10" i="50"/>
  <c r="G10" i="50"/>
  <c r="F10" i="50"/>
  <c r="K9" i="50"/>
  <c r="J9" i="50"/>
  <c r="I9" i="50"/>
  <c r="H9" i="50"/>
  <c r="G9" i="50"/>
  <c r="F9" i="50"/>
  <c r="K8" i="50"/>
  <c r="J8" i="50"/>
  <c r="I8" i="50"/>
  <c r="H8" i="50"/>
  <c r="G8" i="50"/>
  <c r="F8" i="50"/>
  <c r="K7" i="50"/>
  <c r="J7" i="50"/>
  <c r="I7" i="50"/>
  <c r="H7" i="50"/>
  <c r="G7" i="50"/>
  <c r="F7" i="50"/>
  <c r="K6" i="50"/>
  <c r="J6" i="50"/>
  <c r="I6" i="50"/>
  <c r="H6" i="50"/>
  <c r="G6" i="50"/>
  <c r="F6" i="50"/>
  <c r="K5" i="50"/>
  <c r="J5" i="50"/>
  <c r="I5" i="50"/>
  <c r="H5" i="50"/>
  <c r="G5" i="50"/>
  <c r="F5" i="50"/>
  <c r="K4" i="50"/>
  <c r="J4" i="50"/>
  <c r="I4" i="50"/>
  <c r="H4" i="50"/>
  <c r="G4" i="50"/>
  <c r="F4" i="50"/>
  <c r="K3" i="50"/>
  <c r="J3" i="50"/>
  <c r="I3" i="50"/>
  <c r="H3" i="50"/>
  <c r="G3" i="50"/>
  <c r="F3" i="50"/>
  <c r="K2" i="50"/>
  <c r="J2" i="50"/>
  <c r="I2" i="50"/>
  <c r="H2" i="50"/>
  <c r="G2" i="50"/>
  <c r="F2" i="50"/>
  <c r="A3" i="64"/>
  <c r="B3" i="64"/>
  <c r="C3" i="64"/>
  <c r="D3" i="64"/>
  <c r="E3" i="64"/>
  <c r="F3" i="64"/>
  <c r="G3" i="64"/>
  <c r="H3" i="64"/>
  <c r="I3" i="64"/>
  <c r="J3" i="64"/>
  <c r="K3" i="64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9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0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1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<sst xmlns="http://schemas.openxmlformats.org/spreadsheetml/2006/main" count="348" uniqueCount="25">
  <si>
    <t>character_id</t>
  </si>
  <si>
    <t>備考</t>
    <rPh sb="0" eb="2">
      <t>ビコウ</t>
    </rPh>
    <phoneticPr fontId="3"/>
  </si>
  <si>
    <t>gacha_id</t>
    <phoneticPr fontId="3"/>
  </si>
  <si>
    <t>table_no</t>
    <phoneticPr fontId="3"/>
  </si>
  <si>
    <t>character_id</t>
    <phoneticPr fontId="3"/>
  </si>
  <si>
    <t>unit_level</t>
    <phoneticPr fontId="3"/>
  </si>
  <si>
    <t>weight</t>
    <phoneticPr fontId="3"/>
  </si>
  <si>
    <t>rare</t>
    <phoneticPr fontId="3"/>
  </si>
  <si>
    <t>gacha_id</t>
  </si>
  <si>
    <t>name</t>
    <phoneticPr fontId="3"/>
  </si>
  <si>
    <t>drop_label</t>
    <phoneticPr fontId="3"/>
  </si>
  <si>
    <t>color</t>
    <phoneticPr fontId="3"/>
  </si>
  <si>
    <t>character_type_id</t>
    <phoneticPr fontId="3"/>
  </si>
  <si>
    <t>character_tribe_id</t>
    <phoneticPr fontId="3"/>
  </si>
  <si>
    <t>temp_gacha</t>
  </si>
  <si>
    <t>temp_gacha</t>
    <phoneticPr fontId="3"/>
  </si>
  <si>
    <t>table_no</t>
  </si>
  <si>
    <t>unit_level</t>
  </si>
  <si>
    <t>weight</t>
  </si>
  <si>
    <t>hp_plus</t>
  </si>
  <si>
    <t>attack_plus</t>
  </si>
  <si>
    <t>defense_plus</t>
  </si>
  <si>
    <t>heal_plus</t>
  </si>
  <si>
    <t>bug</t>
  </si>
  <si>
    <t>name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</si>
</sst>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$&quot;#&quot;:$&quot;#"/>
  </numFmts>
  <fonts count="3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rgb="FF00000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rgb="FF00000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</borders>
  <cellStyleXfs count="2656">
    <xf numFmtId="0" fontId="0" fillId="0" borderId="0"/>
    <xf numFmtId="0" fontId="2" fillId="0" borderId="0"/>
    <xf numFmtId="0" fontId="6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5" fillId="7" borderId="2" applyNumberFormat="0" applyAlignment="0" applyProtection="0"/>
    <xf numFmtId="0" fontId="16" fillId="8" borderId="0" applyNumberFormat="0" applyBorder="0" applyAlignment="0" applyProtection="0"/>
    <xf numFmtId="0" fontId="17" fillId="9" borderId="3" applyNumberFormat="0" applyAlignment="0" applyProtection="0"/>
    <xf numFmtId="0" fontId="18" fillId="0" borderId="0" applyNumberFormat="0" applyFill="0" applyBorder="0" applyAlignment="0" applyProtection="0"/>
    <xf numFmtId="0" fontId="19" fillId="10" borderId="0" applyNumberFormat="0" applyBorder="0" applyAlignment="0" applyProtection="0"/>
    <xf numFmtId="0" fontId="20" fillId="11" borderId="4" applyNumberFormat="0" applyAlignment="0" applyProtection="0"/>
    <xf numFmtId="0" fontId="21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23" fillId="0" borderId="6" applyNumberFormat="0" applyFill="0" applyAlignment="0" applyProtection="0"/>
    <xf numFmtId="0" fontId="24" fillId="0" borderId="7" applyNumberFormat="0" applyFill="0" applyAlignment="0" applyProtection="0"/>
    <xf numFmtId="0" fontId="24" fillId="0" borderId="0" applyNumberFormat="0" applyFill="0" applyBorder="0" applyAlignment="0" applyProtection="0"/>
    <xf numFmtId="0" fontId="25" fillId="9" borderId="0" applyNumberFormat="0" applyBorder="0" applyAlignment="0" applyProtection="0"/>
    <xf numFmtId="0" fontId="25" fillId="8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3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14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5" borderId="0" applyNumberFormat="0" applyBorder="0" applyAlignment="0" applyProtection="0"/>
    <xf numFmtId="0" fontId="25" fillId="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6" fillId="12" borderId="0" applyNumberFormat="0" applyBorder="0" applyAlignment="0" applyProtection="0"/>
    <xf numFmtId="0" fontId="26" fillId="9" borderId="0" applyNumberFormat="0" applyBorder="0" applyAlignment="0" applyProtection="0"/>
    <xf numFmtId="0" fontId="26" fillId="16" borderId="0" applyNumberFormat="0" applyBorder="0" applyAlignment="0" applyProtection="0"/>
    <xf numFmtId="0" fontId="26" fillId="8" borderId="0" applyNumberFormat="0" applyBorder="0" applyAlignment="0" applyProtection="0"/>
    <xf numFmtId="0" fontId="18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2" borderId="0" applyNumberFormat="0" applyBorder="0" applyAlignment="0" applyProtection="0"/>
    <xf numFmtId="0" fontId="26" fillId="18" borderId="0" applyNumberFormat="0" applyBorder="0" applyAlignment="0" applyProtection="0"/>
    <xf numFmtId="0" fontId="26" fillId="16" borderId="0" applyNumberFormat="0" applyBorder="0" applyAlignment="0" applyProtection="0"/>
    <xf numFmtId="0" fontId="26" fillId="14" borderId="0" applyNumberFormat="0" applyBorder="0" applyAlignment="0" applyProtection="0"/>
    <xf numFmtId="0" fontId="27" fillId="19" borderId="0" applyNumberFormat="0" applyBorder="0" applyAlignment="0" applyProtection="0"/>
    <xf numFmtId="0" fontId="16" fillId="8" borderId="0" applyNumberFormat="0" applyBorder="0" applyAlignment="0" applyProtection="0"/>
    <xf numFmtId="0" fontId="28" fillId="0" borderId="8" applyNumberFormat="0" applyFill="0" applyAlignment="0" applyProtection="0"/>
    <xf numFmtId="0" fontId="29" fillId="9" borderId="9" applyNumberFormat="0" applyAlignment="0" applyProtection="0"/>
    <xf numFmtId="0" fontId="29" fillId="20" borderId="9" applyNumberFormat="0" applyAlignment="0" applyProtection="0"/>
    <xf numFmtId="0" fontId="17" fillId="8" borderId="3" applyNumberFormat="0" applyAlignment="0" applyProtection="0"/>
    <xf numFmtId="0" fontId="30" fillId="0" borderId="10" applyNumberFormat="0" applyFill="0" applyAlignment="0" applyProtection="0"/>
    <xf numFmtId="0" fontId="31" fillId="20" borderId="3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1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34" fillId="21" borderId="0" applyNumberFormat="0" applyBorder="0" applyAlignment="0" applyProtection="0"/>
    <xf numFmtId="0" fontId="35" fillId="22" borderId="0" applyNumberFormat="0" applyBorder="0" applyAlignment="0" applyProtection="0"/>
    <xf numFmtId="0" fontId="1" fillId="0" borderId="0"/>
    <xf numFmtId="0" fontId="36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6">
    <xf numFmtId="0" fontId="0" fillId="0" borderId="0" xfId="0"/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0" fontId="8" fillId="3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8" fillId="4" borderId="1" xfId="2" applyFont="1" applyFill="1" applyBorder="1" applyAlignment="1">
      <alignment vertical="center"/>
    </xf>
    <xf numFmtId="0" fontId="7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1" fillId="0" borderId="0" xfId="19"/>
    <xf numFmtId="0" fontId="8" fillId="3" borderId="1" xfId="2" applyFont="1" applyFill="1" applyBorder="1" applyAlignment="1">
      <alignment vertical="center"/>
    </xf>
    <xf numFmtId="0" fontId="1" fillId="6" borderId="0" xfId="70" applyFont="1" applyFill="1"/>
    <xf numFmtId="176" fontId="1" fillId="6" borderId="0" xfId="70" applyNumberFormat="1" applyFont="1" applyFill="1"/>
    <xf numFmtId="0" fontId="10" fillId="5" borderId="0" xfId="19" applyFont="1" applyFill="1"/>
    <xf numFmtId="0" fontId="1" fillId="2" borderId="0" xfId="19" applyFill="1"/>
    <xf numFmtId="0" fontId="13" fillId="5" borderId="0" xfId="70" applyFont="1" applyFill="1" applyBorder="1"/>
    <xf numFmtId="0" fontId="14" fillId="0" borderId="0" xfId="70" applyFont="1" applyFill="1" applyBorder="1"/>
    <xf numFmtId="0" fontId="37" fillId="23" borderId="1" xfId="0" applyFont="1" applyFill="1" applyBorder="1" applyAlignment="1">
      <alignment horizontal="center" vertical="center"/>
    </xf>
    <xf numFmtId="0" fontId="37" fillId="0" borderId="12" xfId="0" applyFont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3" borderId="12" xfId="2" applyFont="1" applyFill="1" applyBorder="1" applyAlignment="1">
      <alignment vertical="center"/>
    </xf>
    <xf numFmtId="0" fontId="8" fillId="4" borderId="12" xfId="2" applyFont="1" applyFill="1" applyBorder="1" applyAlignment="1">
      <alignment vertical="center"/>
    </xf>
    <xf numFmtId="0" fontId="13" fillId="5" borderId="13" xfId="2" applyFont="1" applyFill="1" applyBorder="1" applyAlignment="1">
      <alignment vertical="center"/>
    </xf>
    <xf numFmtId="0" fontId="8" fillId="3" borderId="14" xfId="2" applyFont="1" applyFill="1" applyBorder="1" applyAlignment="1">
      <alignment vertical="center"/>
    </xf>
    <xf numFmtId="0" fontId="8" fillId="4" borderId="14" xfId="2" applyFont="1" applyFill="1" applyBorder="1" applyAlignment="1">
      <alignment vertical="center"/>
    </xf>
    <xf numFmtId="0" fontId="7" fillId="4" borderId="14" xfId="0" applyFont="1" applyFill="1" applyBorder="1" applyAlignment="1">
      <alignment horizontal="right" vertical="center"/>
    </xf>
    <xf numFmtId="0" fontId="8" fillId="0" borderId="13" xfId="2" applyFont="1" applyBorder="1" applyAlignment="1">
      <alignment vertical="center"/>
    </xf>
    <xf numFmtId="0" fontId="7" fillId="4" borderId="12" xfId="0" applyFont="1" applyFill="1" applyBorder="1" applyAlignment="1">
      <alignment horizontal="right" vertical="center"/>
    </xf>
    <xf numFmtId="0" fontId="37" fillId="0" borderId="1" xfId="0" applyFont="1" applyBorder="1" applyAlignment="1">
      <alignment vertical="center"/>
    </xf>
    <xf numFmtId="0" fontId="8" fillId="24" borderId="1" xfId="2" applyFont="1" applyFill="1" applyBorder="1" applyAlignment="1">
      <alignment vertical="center"/>
    </xf>
    <xf numFmtId="0" fontId="7" fillId="24" borderId="1" xfId="0" applyFont="1" applyFill="1" applyBorder="1" applyAlignment="1">
      <alignment horizontal="right" vertical="center"/>
    </xf>
    <xf numFmtId="0" fontId="8" fillId="0" borderId="12" xfId="2" applyFont="1" applyBorder="1" applyAlignment="1">
      <alignment vertical="center"/>
    </xf>
    <xf numFmtId="0" fontId="8" fillId="0" borderId="14" xfId="2" applyFont="1" applyBorder="1" applyAlignment="1">
      <alignment vertical="center"/>
    </xf>
    <xf numFmtId="0" fontId="8" fillId="24" borderId="14" xfId="2" applyFont="1" applyFill="1" applyBorder="1" applyAlignment="1">
      <alignment vertical="center"/>
    </xf>
    <xf numFmtId="0" fontId="7" fillId="24" borderId="14" xfId="0" applyFont="1" applyFill="1" applyBorder="1" applyAlignment="1">
      <alignment horizontal="right" vertical="center"/>
    </xf>
    <xf numFmtId="0" fontId="37" fillId="0" borderId="14" xfId="0" applyFont="1" applyBorder="1" applyAlignment="1">
      <alignment vertical="center"/>
    </xf>
    <xf numFmtId="0" fontId="9" fillId="24" borderId="1" xfId="0" applyFont="1" applyFill="1" applyBorder="1" applyAlignment="1">
      <alignment vertical="center"/>
    </xf>
    <xf numFmtId="0" fontId="8" fillId="24" borderId="12" xfId="2" applyFont="1" applyFill="1" applyBorder="1" applyAlignment="1">
      <alignment vertical="center"/>
    </xf>
    <xf numFmtId="0" fontId="7" fillId="24" borderId="12" xfId="0" applyFont="1" applyFill="1" applyBorder="1" applyAlignment="1">
      <alignment horizontal="right" vertical="center"/>
    </xf>
    <xf numFmtId="0" fontId="9" fillId="4" borderId="12" xfId="0" applyFont="1" applyFill="1" applyBorder="1" applyAlignment="1">
      <alignment vertical="center"/>
    </xf>
    <xf numFmtId="0" fontId="8" fillId="2" borderId="14" xfId="2" applyFont="1" applyFill="1" applyBorder="1" applyAlignment="1">
      <alignment horizontal="center" vertical="center"/>
    </xf>
    <xf numFmtId="0" fontId="8" fillId="3" borderId="14" xfId="2" applyFont="1" applyFill="1" applyBorder="1" applyAlignment="1">
      <alignment horizontal="center" vertical="center"/>
    </xf>
    <xf numFmtId="0" fontId="37" fillId="23" borderId="14" xfId="0" applyFont="1" applyFill="1" applyBorder="1" applyAlignment="1">
      <alignment horizontal="center" vertical="center"/>
    </xf>
    <xf numFmtId="0" fontId="9" fillId="4" borderId="15" xfId="0" applyFont="1" applyFill="1" applyBorder="1" applyAlignment="1">
      <alignment vertical="center"/>
    </xf>
    <xf numFmtId="0" fontId="0" fillId="25" borderId="14" xfId="0" applyFill="1" applyBorder="1" applyAlignment="1">
      <alignment vertical="center"/>
    </xf>
    <xf numFmtId="0" fontId="37" fillId="25" borderId="1" xfId="0" applyFont="1" applyFill="1" applyBorder="1" applyAlignment="1">
      <alignment vertical="center"/>
    </xf>
  </cellXfs>
  <cellStyles count="2656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3" xfId="19"/>
    <cellStyle name="標準 4" xfId="7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externalLink" Target="externalLinks/externalLink1.xml"/><Relationship Id="rId26" Type="http://schemas.openxmlformats.org/officeDocument/2006/relationships/externalLink" Target="externalLinks/externalLink2.xml"/><Relationship Id="rId27" Type="http://schemas.openxmlformats.org/officeDocument/2006/relationships/theme" Target="theme/theme1.xml"/><Relationship Id="rId28" Type="http://schemas.openxmlformats.org/officeDocument/2006/relationships/styles" Target="styles.xml"/><Relationship Id="rId29" Type="http://schemas.openxmlformats.org/officeDocument/2006/relationships/sharedStrings" Target="sharedStrings.xml"/><Relationship Id="rId30" Type="http://schemas.openxmlformats.org/officeDocument/2006/relationships/calcChain" Target="calcChain.xml"/><Relationship Id="rId3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  <cell r="B1" t="str">
            <v>名前</v>
          </cell>
          <cell r="C1" t="str">
            <v>参考</v>
          </cell>
          <cell r="D1" t="str">
            <v>参考</v>
          </cell>
          <cell r="E1" t="str">
            <v>参考</v>
          </cell>
          <cell r="F1" t="str">
            <v>参考</v>
          </cell>
          <cell r="G1" t="str">
            <v>属性</v>
          </cell>
          <cell r="H1" t="str">
            <v>★</v>
          </cell>
          <cell r="I1" t="str">
            <v>ラベル</v>
          </cell>
          <cell r="J1" t="str">
            <v>タイプ</v>
          </cell>
          <cell r="L1" t="str">
            <v>character_tribe_id</v>
          </cell>
          <cell r="P1" t="str">
            <v>skill type</v>
          </cell>
          <cell r="Q1" t="str">
            <v>flag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gachas"/>
      <sheetName val="gacha_schedules"/>
      <sheetName val="gacha_layouts"/>
      <sheetName val="gacha_types"/>
      <sheetName val="gacha_rarity_bump"/>
      <sheetName val="gachas.csv"/>
      <sheetName val="gacha_schedules.csv"/>
      <sheetName val="gachas_i18n.csv"/>
      <sheetName val="gacha_layouts.csv"/>
      <sheetName val="gacha_types.csv"/>
      <sheetName val="gacha_rarity_bump.csv"/>
    </sheetNames>
    <sheetDataSet>
      <sheetData sheetId="0">
        <row r="1">
          <cell r="A1" t="str">
            <v>gacha_id</v>
          </cell>
          <cell r="B1" t="str">
            <v>gacha_type_id</v>
          </cell>
          <cell r="C1" t="str">
            <v>valid_flg</v>
          </cell>
          <cell r="D1" t="str">
            <v>detail</v>
          </cell>
          <cell r="E1" t="str">
            <v>image_filename</v>
          </cell>
          <cell r="F1" t="str">
            <v>備考</v>
          </cell>
          <cell r="G1" t="str">
            <v>use_item</v>
          </cell>
          <cell r="H1" t="str">
            <v>draw_cost</v>
          </cell>
        </row>
        <row r="2">
          <cell r="A2">
            <v>102</v>
          </cell>
        </row>
        <row r="3">
          <cell r="A3">
            <v>103</v>
          </cell>
        </row>
        <row r="4">
          <cell r="A4">
            <v>104</v>
          </cell>
        </row>
        <row r="5">
          <cell r="A5">
            <v>105</v>
          </cell>
        </row>
        <row r="6">
          <cell r="A6">
            <v>106</v>
          </cell>
        </row>
        <row r="7">
          <cell r="A7">
            <v>107</v>
          </cell>
        </row>
        <row r="8">
          <cell r="A8">
            <v>108</v>
          </cell>
        </row>
        <row r="9">
          <cell r="A9">
            <v>109</v>
          </cell>
        </row>
        <row r="10">
          <cell r="A10">
            <v>110</v>
          </cell>
        </row>
        <row r="11">
          <cell r="A11">
            <v>111</v>
          </cell>
        </row>
        <row r="12">
          <cell r="A12">
            <v>112</v>
          </cell>
        </row>
        <row r="13">
          <cell r="A13">
            <v>113</v>
          </cell>
        </row>
        <row r="14">
          <cell r="A14">
            <v>114</v>
          </cell>
        </row>
        <row r="15">
          <cell r="A15">
            <v>115</v>
          </cell>
        </row>
        <row r="16">
          <cell r="A16">
            <v>116</v>
          </cell>
        </row>
        <row r="17">
          <cell r="A17">
            <v>117</v>
          </cell>
        </row>
        <row r="18">
          <cell r="A18">
            <v>118</v>
          </cell>
        </row>
        <row r="19">
          <cell r="A19">
            <v>119</v>
          </cell>
        </row>
        <row r="20">
          <cell r="A20">
            <v>120</v>
          </cell>
        </row>
        <row r="21">
          <cell r="A21">
            <v>121</v>
          </cell>
        </row>
        <row r="22">
          <cell r="A22">
            <v>122</v>
          </cell>
        </row>
        <row r="23">
          <cell r="A23">
            <v>123</v>
          </cell>
        </row>
        <row r="24">
          <cell r="A24">
            <v>124</v>
          </cell>
        </row>
        <row r="25">
          <cell r="A25">
            <v>200</v>
          </cell>
        </row>
        <row r="26">
          <cell r="A26">
            <v>201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Relationship Id="rId2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Relationship Id="rId2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Relationship Id="rId2" Type="http://schemas.openxmlformats.org/officeDocument/2006/relationships/comments" Target="../comments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rgb="FF0000FF"/>
    <outlinePr summaryBelow="0" summaryRight="0"/>
  </sheetPr>
  <dimension ref="A1:R220"/>
  <sheetViews>
    <sheetView showGridLines="0" tabSelected="1" workbookViewId="0">
      <pane ySplit="1" topLeftCell="A2" activePane="bottomLeft" state="frozen"/>
      <selection pane="bottomLeft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21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102</v>
      </c>
      <c r="C2" s="10" t="str">
        <f ca="1">VLOOKUP($B2,OFFSET([2]gachas!$A$2,0,0,COUNTA([2]gachas!$A:$A),MATCH(C$1,[2]gachas!$1:$1,0)-MATCH($B$1,[2]gachas!$1:$1,0)+1),MATCH(C$1,[2]gachas!$1:$1,0)-MATCH($B$1,[2]gachas!$1:$1,0)+1,FALSE)</f>
        <v>レアガチャ（追加02 確率UP）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6">
        <v>1134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102</v>
      </c>
      <c r="C3" s="10" t="str">
        <f ca="1">VLOOKUP($B3,OFFSET([2]gachas!$A$2,0,0,COUNTA([2]gachas!$A:$A),MATCH(C$1,[2]gachas!$1:$1,0)-MATCH($B$1,[2]gachas!$1:$1,0)+1),MATCH(C$1,[2]gachas!$1:$1,0)-MATCH($B$1,[2]gachas!$1:$1,0)+1,FALSE)</f>
        <v>レアガチャ（追加02 確率UP）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6">
        <v>1134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102</v>
      </c>
      <c r="C4" s="10" t="str">
        <f ca="1">VLOOKUP($B4,OFFSET([2]gachas!$A$2,0,0,COUNTA([2]gachas!$A:$A),MATCH(C$1,[2]gachas!$1:$1,0)-MATCH($B$1,[2]gachas!$1:$1,0)+1),MATCH(C$1,[2]gachas!$1:$1,0)-MATCH($B$1,[2]gachas!$1:$1,0)+1,FALSE)</f>
        <v>レアガチャ（追加02 確率UP）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6">
        <v>1134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102</v>
      </c>
      <c r="C5" s="10" t="str">
        <f ca="1">VLOOKUP($B5,OFFSET([2]gachas!$A$2,0,0,COUNTA([2]gachas!$A:$A),MATCH(C$1,[2]gachas!$1:$1,0)-MATCH($B$1,[2]gachas!$1:$1,0)+1),MATCH(C$1,[2]gachas!$1:$1,0)-MATCH($B$1,[2]gachas!$1:$1,0)+1,FALSE)</f>
        <v>レアガチャ（追加02 確率UP）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6">
        <v>1134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102</v>
      </c>
      <c r="C6" s="10" t="str">
        <f ca="1">VLOOKUP($B6,OFFSET([2]gachas!$A$2,0,0,COUNTA([2]gachas!$A:$A),MATCH(C$1,[2]gachas!$1:$1,0)-MATCH($B$1,[2]gachas!$1:$1,0)+1),MATCH(C$1,[2]gachas!$1:$1,0)-MATCH($B$1,[2]gachas!$1:$1,0)+1,FALSE)</f>
        <v>レアガチャ（追加02 確率UP）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6">
        <v>1134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102</v>
      </c>
      <c r="C7" s="10" t="str">
        <f ca="1">VLOOKUP($B7,OFFSET([2]gachas!$A$2,0,0,COUNTA([2]gachas!$A:$A),MATCH(C$1,[2]gachas!$1:$1,0)-MATCH($B$1,[2]gachas!$1:$1,0)+1),MATCH(C$1,[2]gachas!$1:$1,0)-MATCH($B$1,[2]gachas!$1:$1,0)+1,FALSE)</f>
        <v>レアガチャ（追加02 確率UP）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6">
        <v>1134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102</v>
      </c>
      <c r="C8" s="10" t="str">
        <f ca="1">VLOOKUP($B8,OFFSET([2]gachas!$A$2,0,0,COUNTA([2]gachas!$A:$A),MATCH(C$1,[2]gachas!$1:$1,0)-MATCH($B$1,[2]gachas!$1:$1,0)+1),MATCH(C$1,[2]gachas!$1:$1,0)-MATCH($B$1,[2]gachas!$1:$1,0)+1,FALSE)</f>
        <v>レアガチャ（追加02 確率UP）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6">
        <v>1134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102</v>
      </c>
      <c r="C9" s="10" t="str">
        <f ca="1">VLOOKUP($B9,OFFSET([2]gachas!$A$2,0,0,COUNTA([2]gachas!$A:$A),MATCH(C$1,[2]gachas!$1:$1,0)-MATCH($B$1,[2]gachas!$1:$1,0)+1),MATCH(C$1,[2]gachas!$1:$1,0)-MATCH($B$1,[2]gachas!$1:$1,0)+1,FALSE)</f>
        <v>レアガチャ（追加02 確率UP）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6">
        <v>1134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102</v>
      </c>
      <c r="C10" s="10" t="str">
        <f ca="1">VLOOKUP($B10,OFFSET([2]gachas!$A$2,0,0,COUNTA([2]gachas!$A:$A),MATCH(C$1,[2]gachas!$1:$1,0)-MATCH($B$1,[2]gachas!$1:$1,0)+1),MATCH(C$1,[2]gachas!$1:$1,0)-MATCH($B$1,[2]gachas!$1:$1,0)+1,FALSE)</f>
        <v>レアガチャ（追加02 確率UP）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6">
        <v>1134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102</v>
      </c>
      <c r="C11" s="10" t="str">
        <f ca="1">VLOOKUP($B11,OFFSET([2]gachas!$A$2,0,0,COUNTA([2]gachas!$A:$A),MATCH(C$1,[2]gachas!$1:$1,0)-MATCH($B$1,[2]gachas!$1:$1,0)+1),MATCH(C$1,[2]gachas!$1:$1,0)-MATCH($B$1,[2]gachas!$1:$1,0)+1,FALSE)</f>
        <v>レアガチャ（追加02 確率UP）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6">
        <v>1134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102</v>
      </c>
      <c r="C12" s="10" t="str">
        <f ca="1">VLOOKUP($B12,OFFSET([2]gachas!$A$2,0,0,COUNTA([2]gachas!$A:$A),MATCH(C$1,[2]gachas!$1:$1,0)-MATCH($B$1,[2]gachas!$1:$1,0)+1),MATCH(C$1,[2]gachas!$1:$1,0)-MATCH($B$1,[2]gachas!$1:$1,0)+1,FALSE)</f>
        <v>レアガチャ（追加02 確率UP）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6">
        <v>1134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102</v>
      </c>
      <c r="C13" s="10" t="str">
        <f ca="1">VLOOKUP($B13,OFFSET([2]gachas!$A$2,0,0,COUNTA([2]gachas!$A:$A),MATCH(C$1,[2]gachas!$1:$1,0)-MATCH($B$1,[2]gachas!$1:$1,0)+1),MATCH(C$1,[2]gachas!$1:$1,0)-MATCH($B$1,[2]gachas!$1:$1,0)+1,FALSE)</f>
        <v>レアガチャ（追加02 確率UP）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6">
        <v>1134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102</v>
      </c>
      <c r="C14" s="10" t="str">
        <f ca="1">VLOOKUP($B14,OFFSET([2]gachas!$A$2,0,0,COUNTA([2]gachas!$A:$A),MATCH(C$1,[2]gachas!$1:$1,0)-MATCH($B$1,[2]gachas!$1:$1,0)+1),MATCH(C$1,[2]gachas!$1:$1,0)-MATCH($B$1,[2]gachas!$1:$1,0)+1,FALSE)</f>
        <v>レアガチャ（追加02 確率UP）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6">
        <v>1134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102</v>
      </c>
      <c r="C15" s="10" t="str">
        <f ca="1">VLOOKUP($B15,OFFSET([2]gachas!$A$2,0,0,COUNTA([2]gachas!$A:$A),MATCH(C$1,[2]gachas!$1:$1,0)-MATCH($B$1,[2]gachas!$1:$1,0)+1),MATCH(C$1,[2]gachas!$1:$1,0)-MATCH($B$1,[2]gachas!$1:$1,0)+1,FALSE)</f>
        <v>レアガチャ（追加02 確率UP）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6">
        <v>1134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102</v>
      </c>
      <c r="C16" s="10" t="str">
        <f ca="1">VLOOKUP($B16,OFFSET([2]gachas!$A$2,0,0,COUNTA([2]gachas!$A:$A),MATCH(C$1,[2]gachas!$1:$1,0)-MATCH($B$1,[2]gachas!$1:$1,0)+1),MATCH(C$1,[2]gachas!$1:$1,0)-MATCH($B$1,[2]gachas!$1:$1,0)+1,FALSE)</f>
        <v>レアガチャ（追加02 確率UP）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6">
        <v>1134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102</v>
      </c>
      <c r="C17" s="10" t="str">
        <f ca="1">VLOOKUP($B17,OFFSET([2]gachas!$A$2,0,0,COUNTA([2]gachas!$A:$A),MATCH(C$1,[2]gachas!$1:$1,0)-MATCH($B$1,[2]gachas!$1:$1,0)+1),MATCH(C$1,[2]gachas!$1:$1,0)-MATCH($B$1,[2]gachas!$1:$1,0)+1,FALSE)</f>
        <v>レアガチャ（追加02 確率UP）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6">
        <v>1134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102</v>
      </c>
      <c r="C18" s="10" t="str">
        <f ca="1">VLOOKUP($B18,OFFSET([2]gachas!$A$2,0,0,COUNTA([2]gachas!$A:$A),MATCH(C$1,[2]gachas!$1:$1,0)-MATCH($B$1,[2]gachas!$1:$1,0)+1),MATCH(C$1,[2]gachas!$1:$1,0)-MATCH($B$1,[2]gachas!$1:$1,0)+1,FALSE)</f>
        <v>レアガチャ（追加02 確率UP）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6">
        <v>1134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102</v>
      </c>
      <c r="C19" s="10" t="str">
        <f ca="1">VLOOKUP($B19,OFFSET([2]gachas!$A$2,0,0,COUNTA([2]gachas!$A:$A),MATCH(C$1,[2]gachas!$1:$1,0)-MATCH($B$1,[2]gachas!$1:$1,0)+1),MATCH(C$1,[2]gachas!$1:$1,0)-MATCH($B$1,[2]gachas!$1:$1,0)+1,FALSE)</f>
        <v>レアガチャ（追加02 確率UP）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6">
        <v>1134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102</v>
      </c>
      <c r="C20" s="10" t="str">
        <f ca="1">VLOOKUP($B20,OFFSET([2]gachas!$A$2,0,0,COUNTA([2]gachas!$A:$A),MATCH(C$1,[2]gachas!$1:$1,0)-MATCH($B$1,[2]gachas!$1:$1,0)+1),MATCH(C$1,[2]gachas!$1:$1,0)-MATCH($B$1,[2]gachas!$1:$1,0)+1,FALSE)</f>
        <v>レアガチャ（追加02 確率UP）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6">
        <v>1134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102</v>
      </c>
      <c r="C21" s="10" t="str">
        <f ca="1">VLOOKUP($B21,OFFSET([2]gachas!$A$2,0,0,COUNTA([2]gachas!$A:$A),MATCH(C$1,[2]gachas!$1:$1,0)-MATCH($B$1,[2]gachas!$1:$1,0)+1),MATCH(C$1,[2]gachas!$1:$1,0)-MATCH($B$1,[2]gachas!$1:$1,0)+1,FALSE)</f>
        <v>レアガチャ（追加02 確率UP）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6">
        <v>1134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102</v>
      </c>
      <c r="C22" s="10" t="str">
        <f ca="1">VLOOKUP($B22,OFFSET([2]gachas!$A$2,0,0,COUNTA([2]gachas!$A:$A),MATCH(C$1,[2]gachas!$1:$1,0)-MATCH($B$1,[2]gachas!$1:$1,0)+1),MATCH(C$1,[2]gachas!$1:$1,0)-MATCH($B$1,[2]gachas!$1:$1,0)+1,FALSE)</f>
        <v>レアガチャ（追加02 確率UP）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6">
        <v>1323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102</v>
      </c>
      <c r="C23" s="10" t="str">
        <f ca="1">VLOOKUP($B23,OFFSET([2]gachas!$A$2,0,0,COUNTA([2]gachas!$A:$A),MATCH(C$1,[2]gachas!$1:$1,0)-MATCH($B$1,[2]gachas!$1:$1,0)+1),MATCH(C$1,[2]gachas!$1:$1,0)-MATCH($B$1,[2]gachas!$1:$1,0)+1,FALSE)</f>
        <v>レアガチャ（追加02 確率UP）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6">
        <v>1323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102</v>
      </c>
      <c r="C24" s="10" t="str">
        <f ca="1">VLOOKUP($B24,OFFSET([2]gachas!$A$2,0,0,COUNTA([2]gachas!$A:$A),MATCH(C$1,[2]gachas!$1:$1,0)-MATCH($B$1,[2]gachas!$1:$1,0)+1),MATCH(C$1,[2]gachas!$1:$1,0)-MATCH($B$1,[2]gachas!$1:$1,0)+1,FALSE)</f>
        <v>レアガチャ（追加02 確率UP）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1323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102</v>
      </c>
      <c r="C25" s="10" t="str">
        <f ca="1">VLOOKUP($B25,OFFSET([2]gachas!$A$2,0,0,COUNTA([2]gachas!$A:$A),MATCH(C$1,[2]gachas!$1:$1,0)-MATCH($B$1,[2]gachas!$1:$1,0)+1),MATCH(C$1,[2]gachas!$1:$1,0)-MATCH($B$1,[2]gachas!$1:$1,0)+1,FALSE)</f>
        <v>レアガチャ（追加02 確率UP）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1323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102</v>
      </c>
      <c r="C26" s="10" t="str">
        <f ca="1">VLOOKUP($B26,OFFSET([2]gachas!$A$2,0,0,COUNTA([2]gachas!$A:$A),MATCH(C$1,[2]gachas!$1:$1,0)-MATCH($B$1,[2]gachas!$1:$1,0)+1),MATCH(C$1,[2]gachas!$1:$1,0)-MATCH($B$1,[2]gachas!$1:$1,0)+1,FALSE)</f>
        <v>レアガチャ（追加02 確率UP）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6">
        <v>1323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102</v>
      </c>
      <c r="C27" s="10" t="str">
        <f ca="1">VLOOKUP($B27,OFFSET([2]gachas!$A$2,0,0,COUNTA([2]gachas!$A:$A),MATCH(C$1,[2]gachas!$1:$1,0)-MATCH($B$1,[2]gachas!$1:$1,0)+1),MATCH(C$1,[2]gachas!$1:$1,0)-MATCH($B$1,[2]gachas!$1:$1,0)+1,FALSE)</f>
        <v>レアガチャ（追加02 確率UP）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1323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102</v>
      </c>
      <c r="C28" s="10" t="str">
        <f ca="1">VLOOKUP($B28,OFFSET([2]gachas!$A$2,0,0,COUNTA([2]gachas!$A:$A),MATCH(C$1,[2]gachas!$1:$1,0)-MATCH($B$1,[2]gachas!$1:$1,0)+1),MATCH(C$1,[2]gachas!$1:$1,0)-MATCH($B$1,[2]gachas!$1:$1,0)+1,FALSE)</f>
        <v>レアガチャ（追加02 確率UP）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1323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102</v>
      </c>
      <c r="C29" s="10" t="str">
        <f ca="1">VLOOKUP($B29,OFFSET([2]gachas!$A$2,0,0,COUNTA([2]gachas!$A:$A),MATCH(C$1,[2]gachas!$1:$1,0)-MATCH($B$1,[2]gachas!$1:$1,0)+1),MATCH(C$1,[2]gachas!$1:$1,0)-MATCH($B$1,[2]gachas!$1:$1,0)+1,FALSE)</f>
        <v>レアガチャ（追加02 確率UP）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1323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102</v>
      </c>
      <c r="C30" s="10" t="str">
        <f ca="1">VLOOKUP($B30,OFFSET([2]gachas!$A$2,0,0,COUNTA([2]gachas!$A:$A),MATCH(C$1,[2]gachas!$1:$1,0)-MATCH($B$1,[2]gachas!$1:$1,0)+1),MATCH(C$1,[2]gachas!$1:$1,0)-MATCH($B$1,[2]gachas!$1:$1,0)+1,FALSE)</f>
        <v>レアガチャ（追加02 確率UP）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6">
        <v>1323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102</v>
      </c>
      <c r="C31" s="10" t="str">
        <f ca="1">VLOOKUP($B31,OFFSET([2]gachas!$A$2,0,0,COUNTA([2]gachas!$A:$A),MATCH(C$1,[2]gachas!$1:$1,0)-MATCH($B$1,[2]gachas!$1:$1,0)+1),MATCH(C$1,[2]gachas!$1:$1,0)-MATCH($B$1,[2]gachas!$1:$1,0)+1,FALSE)</f>
        <v>レアガチャ（追加02 確率UP）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1323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102</v>
      </c>
      <c r="C32" s="10" t="str">
        <f ca="1">VLOOKUP($B32,OFFSET([2]gachas!$A$2,0,0,COUNTA([2]gachas!$A:$A),MATCH(C$1,[2]gachas!$1:$1,0)-MATCH($B$1,[2]gachas!$1:$1,0)+1),MATCH(C$1,[2]gachas!$1:$1,0)-MATCH($B$1,[2]gachas!$1:$1,0)+1,FALSE)</f>
        <v>レアガチャ（追加02 確率UP）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1323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102</v>
      </c>
      <c r="C33" s="10" t="str">
        <f ca="1">VLOOKUP($B33,OFFSET([2]gachas!$A$2,0,0,COUNTA([2]gachas!$A:$A),MATCH(C$1,[2]gachas!$1:$1,0)-MATCH($B$1,[2]gachas!$1:$1,0)+1),MATCH(C$1,[2]gachas!$1:$1,0)-MATCH($B$1,[2]gachas!$1:$1,0)+1,FALSE)</f>
        <v>レアガチャ（追加02 確率UP）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6">
        <v>1323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102</v>
      </c>
      <c r="C34" s="10" t="str">
        <f ca="1">VLOOKUP($B34,OFFSET([2]gachas!$A$2,0,0,COUNTA([2]gachas!$A:$A),MATCH(C$1,[2]gachas!$1:$1,0)-MATCH($B$1,[2]gachas!$1:$1,0)+1),MATCH(C$1,[2]gachas!$1:$1,0)-MATCH($B$1,[2]gachas!$1:$1,0)+1,FALSE)</f>
        <v>レアガチャ（追加02 確率UP）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6">
        <v>1323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102</v>
      </c>
      <c r="C35" s="10" t="str">
        <f ca="1">VLOOKUP($B35,OFFSET([2]gachas!$A$2,0,0,COUNTA([2]gachas!$A:$A),MATCH(C$1,[2]gachas!$1:$1,0)-MATCH($B$1,[2]gachas!$1:$1,0)+1),MATCH(C$1,[2]gachas!$1:$1,0)-MATCH($B$1,[2]gachas!$1:$1,0)+1,FALSE)</f>
        <v>レアガチャ（追加02 確率UP）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1323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102</v>
      </c>
      <c r="C36" s="10" t="str">
        <f ca="1">VLOOKUP($B36,OFFSET([2]gachas!$A$2,0,0,COUNTA([2]gachas!$A:$A),MATCH(C$1,[2]gachas!$1:$1,0)-MATCH($B$1,[2]gachas!$1:$1,0)+1),MATCH(C$1,[2]gachas!$1:$1,0)-MATCH($B$1,[2]gachas!$1:$1,0)+1,FALSE)</f>
        <v>レアガチャ（追加02 確率UP）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1323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102</v>
      </c>
      <c r="C37" s="10" t="str">
        <f ca="1">VLOOKUP($B37,OFFSET([2]gachas!$A$2,0,0,COUNTA([2]gachas!$A:$A),MATCH(C$1,[2]gachas!$1:$1,0)-MATCH($B$1,[2]gachas!$1:$1,0)+1),MATCH(C$1,[2]gachas!$1:$1,0)-MATCH($B$1,[2]gachas!$1:$1,0)+1,FALSE)</f>
        <v>レアガチャ（追加02 確率UP）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1323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102</v>
      </c>
      <c r="C38" s="10" t="str">
        <f ca="1">VLOOKUP($B38,OFFSET([2]gachas!$A$2,0,0,COUNTA([2]gachas!$A:$A),MATCH(C$1,[2]gachas!$1:$1,0)-MATCH($B$1,[2]gachas!$1:$1,0)+1),MATCH(C$1,[2]gachas!$1:$1,0)-MATCH($B$1,[2]gachas!$1:$1,0)+1,FALSE)</f>
        <v>レアガチャ（追加02 確率UP）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6">
        <v>1323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102</v>
      </c>
      <c r="C39" s="10" t="str">
        <f ca="1">VLOOKUP($B39,OFFSET([2]gachas!$A$2,0,0,COUNTA([2]gachas!$A:$A),MATCH(C$1,[2]gachas!$1:$1,0)-MATCH($B$1,[2]gachas!$1:$1,0)+1),MATCH(C$1,[2]gachas!$1:$1,0)-MATCH($B$1,[2]gachas!$1:$1,0)+1,FALSE)</f>
        <v>レアガチャ（追加02 確率UP）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1323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102</v>
      </c>
      <c r="C40" s="10" t="str">
        <f ca="1">VLOOKUP($B40,OFFSET([2]gachas!$A$2,0,0,COUNTA([2]gachas!$A:$A),MATCH(C$1,[2]gachas!$1:$1,0)-MATCH($B$1,[2]gachas!$1:$1,0)+1),MATCH(C$1,[2]gachas!$1:$1,0)-MATCH($B$1,[2]gachas!$1:$1,0)+1,FALSE)</f>
        <v>レアガチャ（追加02 確率UP）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1323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102</v>
      </c>
      <c r="C41" s="10" t="str">
        <f ca="1">VLOOKUP($B41,OFFSET([2]gachas!$A$2,0,0,COUNTA([2]gachas!$A:$A),MATCH(C$1,[2]gachas!$1:$1,0)-MATCH($B$1,[2]gachas!$1:$1,0)+1),MATCH(C$1,[2]gachas!$1:$1,0)-MATCH($B$1,[2]gachas!$1:$1,0)+1,FALSE)</f>
        <v>レアガチャ（追加02 確率UP）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1323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102</v>
      </c>
      <c r="C42" s="10" t="str">
        <f ca="1">VLOOKUP($B42,OFFSET([2]gachas!$A$2,0,0,COUNTA([2]gachas!$A:$A),MATCH(C$1,[2]gachas!$1:$1,0)-MATCH($B$1,[2]gachas!$1:$1,0)+1),MATCH(C$1,[2]gachas!$1:$1,0)-MATCH($B$1,[2]gachas!$1:$1,0)+1,FALSE)</f>
        <v>レアガチャ（追加02 確率UP）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6">
        <v>945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102</v>
      </c>
      <c r="C43" s="10" t="str">
        <f ca="1">VLOOKUP($B43,OFFSET([2]gachas!$A$2,0,0,COUNTA([2]gachas!$A:$A),MATCH(C$1,[2]gachas!$1:$1,0)-MATCH($B$1,[2]gachas!$1:$1,0)+1),MATCH(C$1,[2]gachas!$1:$1,0)-MATCH($B$1,[2]gachas!$1:$1,0)+1,FALSE)</f>
        <v>レアガチャ（追加02 確率UP）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6">
        <v>945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102</v>
      </c>
      <c r="C44" s="10" t="str">
        <f ca="1">VLOOKUP($B44,OFFSET([2]gachas!$A$2,0,0,COUNTA([2]gachas!$A:$A),MATCH(C$1,[2]gachas!$1:$1,0)-MATCH($B$1,[2]gachas!$1:$1,0)+1),MATCH(C$1,[2]gachas!$1:$1,0)-MATCH($B$1,[2]gachas!$1:$1,0)+1,FALSE)</f>
        <v>レアガチャ（追加02 確率UP）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945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102</v>
      </c>
      <c r="C45" s="10" t="str">
        <f ca="1">VLOOKUP($B45,OFFSET([2]gachas!$A$2,0,0,COUNTA([2]gachas!$A:$A),MATCH(C$1,[2]gachas!$1:$1,0)-MATCH($B$1,[2]gachas!$1:$1,0)+1),MATCH(C$1,[2]gachas!$1:$1,0)-MATCH($B$1,[2]gachas!$1:$1,0)+1,FALSE)</f>
        <v>レアガチャ（追加02 確率UP）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6">
        <v>945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v>102</v>
      </c>
      <c r="C46" s="10" t="str">
        <f ca="1">VLOOKUP($B46,OFFSET([2]gachas!$A$2,0,0,COUNTA([2]gachas!$A:$A),MATCH(C$1,[2]gachas!$1:$1,0)-MATCH($B$1,[2]gachas!$1:$1,0)+1),MATCH(C$1,[2]gachas!$1:$1,0)-MATCH($B$1,[2]gachas!$1:$1,0)+1,FALSE)</f>
        <v>レアガチャ（追加02 確率UP）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6">
        <v>273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v>102</v>
      </c>
      <c r="C47" s="10" t="str">
        <f ca="1">VLOOKUP($B47,OFFSET([2]gachas!$A$2,0,0,COUNTA([2]gachas!$A:$A),MATCH(C$1,[2]gachas!$1:$1,0)-MATCH($B$1,[2]gachas!$1:$1,0)+1),MATCH(C$1,[2]gachas!$1:$1,0)-MATCH($B$1,[2]gachas!$1:$1,0)+1,FALSE)</f>
        <v>レアガチャ（追加02 確率UP）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6">
        <v>273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v>102</v>
      </c>
      <c r="C48" s="10" t="str">
        <f ca="1">VLOOKUP($B48,OFFSET([2]gachas!$A$2,0,0,COUNTA([2]gachas!$A:$A),MATCH(C$1,[2]gachas!$1:$1,0)-MATCH($B$1,[2]gachas!$1:$1,0)+1),MATCH(C$1,[2]gachas!$1:$1,0)-MATCH($B$1,[2]gachas!$1:$1,0)+1,FALSE)</f>
        <v>レアガチャ（追加02 確率UP）</v>
      </c>
      <c r="D48" s="6">
        <v>1</v>
      </c>
      <c r="E48" s="7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6">
        <v>1</v>
      </c>
      <c r="M48" s="6">
        <v>273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v>102</v>
      </c>
      <c r="C49" s="10" t="str">
        <f ca="1">VLOOKUP($B49,OFFSET([2]gachas!$A$2,0,0,COUNTA([2]gachas!$A:$A),MATCH(C$1,[2]gachas!$1:$1,0)-MATCH($B$1,[2]gachas!$1:$1,0)+1),MATCH(C$1,[2]gachas!$1:$1,0)-MATCH($B$1,[2]gachas!$1:$1,0)+1,FALSE)</f>
        <v>レアガチャ（追加02 確率UP）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6">
        <v>273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v>102</v>
      </c>
      <c r="C50" s="10" t="str">
        <f ca="1">VLOOKUP($B50,OFFSET([2]gachas!$A$2,0,0,COUNTA([2]gachas!$A:$A),MATCH(C$1,[2]gachas!$1:$1,0)-MATCH($B$1,[2]gachas!$1:$1,0)+1),MATCH(C$1,[2]gachas!$1:$1,0)-MATCH($B$1,[2]gachas!$1:$1,0)+1,FALSE)</f>
        <v>レアガチャ（追加02 確率UP）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6">
        <v>273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v>102</v>
      </c>
      <c r="C51" s="10" t="str">
        <f ca="1">VLOOKUP($B51,OFFSET([2]gachas!$A$2,0,0,COUNTA([2]gachas!$A:$A),MATCH(C$1,[2]gachas!$1:$1,0)-MATCH($B$1,[2]gachas!$1:$1,0)+1),MATCH(C$1,[2]gachas!$1:$1,0)-MATCH($B$1,[2]gachas!$1:$1,0)+1,FALSE)</f>
        <v>レアガチャ（追加02 確率UP）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6">
        <v>273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v>102</v>
      </c>
      <c r="C52" s="10" t="str">
        <f ca="1">VLOOKUP($B52,OFFSET([2]gachas!$A$2,0,0,COUNTA([2]gachas!$A:$A),MATCH(C$1,[2]gachas!$1:$1,0)-MATCH($B$1,[2]gachas!$1:$1,0)+1),MATCH(C$1,[2]gachas!$1:$1,0)-MATCH($B$1,[2]gachas!$1:$1,0)+1,FALSE)</f>
        <v>レアガチャ（追加02 確率UP）</v>
      </c>
      <c r="D52" s="6">
        <v>1</v>
      </c>
      <c r="E52" s="7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6">
        <v>1</v>
      </c>
      <c r="M52" s="6">
        <v>273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v>102</v>
      </c>
      <c r="C53" s="10" t="str">
        <f ca="1">VLOOKUP($B53,OFFSET([2]gachas!$A$2,0,0,COUNTA([2]gachas!$A:$A),MATCH(C$1,[2]gachas!$1:$1,0)-MATCH($B$1,[2]gachas!$1:$1,0)+1),MATCH(C$1,[2]gachas!$1:$1,0)-MATCH($B$1,[2]gachas!$1:$1,0)+1,FALSE)</f>
        <v>レアガチャ（追加02 確率UP）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6">
        <v>273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v>102</v>
      </c>
      <c r="C54" s="10" t="str">
        <f ca="1">VLOOKUP($B54,OFFSET([2]gachas!$A$2,0,0,COUNTA([2]gachas!$A:$A),MATCH(C$1,[2]gachas!$1:$1,0)-MATCH($B$1,[2]gachas!$1:$1,0)+1),MATCH(C$1,[2]gachas!$1:$1,0)-MATCH($B$1,[2]gachas!$1:$1,0)+1,FALSE)</f>
        <v>レアガチャ（追加02 確率UP）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6">
        <v>273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v>102</v>
      </c>
      <c r="C55" s="10" t="str">
        <f ca="1">VLOOKUP($B55,OFFSET([2]gachas!$A$2,0,0,COUNTA([2]gachas!$A:$A),MATCH(C$1,[2]gachas!$1:$1,0)-MATCH($B$1,[2]gachas!$1:$1,0)+1),MATCH(C$1,[2]gachas!$1:$1,0)-MATCH($B$1,[2]gachas!$1:$1,0)+1,FALSE)</f>
        <v>レアガチャ（追加02 確率UP）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6">
        <v>273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v>102</v>
      </c>
      <c r="C56" s="10" t="str">
        <f ca="1">VLOOKUP($B56,OFFSET([2]gachas!$A$2,0,0,COUNTA([2]gachas!$A:$A),MATCH(C$1,[2]gachas!$1:$1,0)-MATCH($B$1,[2]gachas!$1:$1,0)+1),MATCH(C$1,[2]gachas!$1:$1,0)-MATCH($B$1,[2]gachas!$1:$1,0)+1,FALSE)</f>
        <v>レアガチャ（追加02 確率UP）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6">
        <v>273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v>102</v>
      </c>
      <c r="C57" s="10" t="str">
        <f ca="1">VLOOKUP($B57,OFFSET([2]gachas!$A$2,0,0,COUNTA([2]gachas!$A:$A),MATCH(C$1,[2]gachas!$1:$1,0)-MATCH($B$1,[2]gachas!$1:$1,0)+1),MATCH(C$1,[2]gachas!$1:$1,0)-MATCH($B$1,[2]gachas!$1:$1,0)+1,FALSE)</f>
        <v>レアガチャ（追加02 確率UP）</v>
      </c>
      <c r="D57" s="6">
        <v>1</v>
      </c>
      <c r="E57" s="7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6">
        <v>273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v>102</v>
      </c>
      <c r="C58" s="10" t="str">
        <f ca="1">VLOOKUP($B58,OFFSET([2]gachas!$A$2,0,0,COUNTA([2]gachas!$A:$A),MATCH(C$1,[2]gachas!$1:$1,0)-MATCH($B$1,[2]gachas!$1:$1,0)+1),MATCH(C$1,[2]gachas!$1:$1,0)-MATCH($B$1,[2]gachas!$1:$1,0)+1,FALSE)</f>
        <v>レアガチャ（追加02 確率UP）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6">
        <v>273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v>102</v>
      </c>
      <c r="C59" s="10" t="str">
        <f ca="1">VLOOKUP($B59,OFFSET([2]gachas!$A$2,0,0,COUNTA([2]gachas!$A:$A),MATCH(C$1,[2]gachas!$1:$1,0)-MATCH($B$1,[2]gachas!$1:$1,0)+1),MATCH(C$1,[2]gachas!$1:$1,0)-MATCH($B$1,[2]gachas!$1:$1,0)+1,FALSE)</f>
        <v>レアガチャ（追加02 確率UP）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6">
        <v>273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v>102</v>
      </c>
      <c r="C60" s="10" t="str">
        <f ca="1">VLOOKUP($B60,OFFSET([2]gachas!$A$2,0,0,COUNTA([2]gachas!$A:$A),MATCH(C$1,[2]gachas!$1:$1,0)-MATCH($B$1,[2]gachas!$1:$1,0)+1),MATCH(C$1,[2]gachas!$1:$1,0)-MATCH($B$1,[2]gachas!$1:$1,0)+1,FALSE)</f>
        <v>レアガチャ（追加02 確率UP）</v>
      </c>
      <c r="D60" s="6">
        <v>1</v>
      </c>
      <c r="E60" s="7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6">
        <v>1</v>
      </c>
      <c r="M60" s="6">
        <v>273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v>102</v>
      </c>
      <c r="C61" s="10" t="str">
        <f ca="1">VLOOKUP($B61,OFFSET([2]gachas!$A$2,0,0,COUNTA([2]gachas!$A:$A),MATCH(C$1,[2]gachas!$1:$1,0)-MATCH($B$1,[2]gachas!$1:$1,0)+1),MATCH(C$1,[2]gachas!$1:$1,0)-MATCH($B$1,[2]gachas!$1:$1,0)+1,FALSE)</f>
        <v>レアガチャ（追加02 確率UP）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6">
        <v>273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v>102</v>
      </c>
      <c r="C62" s="10" t="str">
        <f ca="1">VLOOKUP($B62,OFFSET([2]gachas!$A$2,0,0,COUNTA([2]gachas!$A:$A),MATCH(C$1,[2]gachas!$1:$1,0)-MATCH($B$1,[2]gachas!$1:$1,0)+1),MATCH(C$1,[2]gachas!$1:$1,0)-MATCH($B$1,[2]gachas!$1:$1,0)+1,FALSE)</f>
        <v>レアガチャ（追加02 確率UP）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6">
        <v>273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v>102</v>
      </c>
      <c r="C63" s="10" t="str">
        <f ca="1">VLOOKUP($B63,OFFSET([2]gachas!$A$2,0,0,COUNTA([2]gachas!$A:$A),MATCH(C$1,[2]gachas!$1:$1,0)-MATCH($B$1,[2]gachas!$1:$1,0)+1),MATCH(C$1,[2]gachas!$1:$1,0)-MATCH($B$1,[2]gachas!$1:$1,0)+1,FALSE)</f>
        <v>レアガチャ（追加02 確率UP）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6">
        <v>273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v>102</v>
      </c>
      <c r="C64" s="10" t="str">
        <f ca="1">VLOOKUP($B64,OFFSET([2]gachas!$A$2,0,0,COUNTA([2]gachas!$A:$A),MATCH(C$1,[2]gachas!$1:$1,0)-MATCH($B$1,[2]gachas!$1:$1,0)+1),MATCH(C$1,[2]gachas!$1:$1,0)-MATCH($B$1,[2]gachas!$1:$1,0)+1,FALSE)</f>
        <v>レアガチャ（追加02 確率UP）</v>
      </c>
      <c r="D64" s="6">
        <v>1</v>
      </c>
      <c r="E64" s="7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6">
        <v>1</v>
      </c>
      <c r="M64" s="6">
        <v>273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v>102</v>
      </c>
      <c r="C65" s="10" t="str">
        <f ca="1">VLOOKUP($B65,OFFSET([2]gachas!$A$2,0,0,COUNTA([2]gachas!$A:$A),MATCH(C$1,[2]gachas!$1:$1,0)-MATCH($B$1,[2]gachas!$1:$1,0)+1),MATCH(C$1,[2]gachas!$1:$1,0)-MATCH($B$1,[2]gachas!$1:$1,0)+1,FALSE)</f>
        <v>レアガチャ（追加02 確率UP）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6">
        <v>273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37" si="1">D66&amp;E66&amp;L66</f>
        <v>12281</v>
      </c>
      <c r="B66" s="2">
        <v>102</v>
      </c>
      <c r="C66" s="10" t="str">
        <f ca="1">VLOOKUP($B66,OFFSET([2]gachas!$A$2,0,0,COUNTA([2]gachas!$A:$A),MATCH(C$1,[2]gachas!$1:$1,0)-MATCH($B$1,[2]gachas!$1:$1,0)+1),MATCH(C$1,[2]gachas!$1:$1,0)-MATCH($B$1,[2]gachas!$1:$1,0)+1,FALSE)</f>
        <v>レアガチャ（追加02 確率UP）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6">
        <v>105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12311</v>
      </c>
      <c r="B67" s="2">
        <v>102</v>
      </c>
      <c r="C67" s="10" t="str">
        <f ca="1">VLOOKUP($B67,OFFSET([2]gachas!$A$2,0,0,COUNTA([2]gachas!$A:$A),MATCH(C$1,[2]gachas!$1:$1,0)-MATCH($B$1,[2]gachas!$1:$1,0)+1),MATCH(C$1,[2]gachas!$1:$1,0)-MATCH($B$1,[2]gachas!$1:$1,0)+1,FALSE)</f>
        <v>レアガチャ（追加02 確率UP）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6">
        <v>105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12341</v>
      </c>
      <c r="B68" s="2">
        <v>102</v>
      </c>
      <c r="C68" s="10" t="str">
        <f ca="1">VLOOKUP($B68,OFFSET([2]gachas!$A$2,0,0,COUNTA([2]gachas!$A:$A),MATCH(C$1,[2]gachas!$1:$1,0)-MATCH($B$1,[2]gachas!$1:$1,0)+1),MATCH(C$1,[2]gachas!$1:$1,0)-MATCH($B$1,[2]gachas!$1:$1,0)+1,FALSE)</f>
        <v>レアガチャ（追加02 確率UP）</v>
      </c>
      <c r="D68" s="6">
        <v>1</v>
      </c>
      <c r="E68" s="7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6">
        <v>105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1"/>
        <v>12371</v>
      </c>
      <c r="B69" s="2">
        <v>102</v>
      </c>
      <c r="C69" s="10" t="str">
        <f ca="1">VLOOKUP($B69,OFFSET([2]gachas!$A$2,0,0,COUNTA([2]gachas!$A:$A),MATCH(C$1,[2]gachas!$1:$1,0)-MATCH($B$1,[2]gachas!$1:$1,0)+1),MATCH(C$1,[2]gachas!$1:$1,0)-MATCH($B$1,[2]gachas!$1:$1,0)+1,FALSE)</f>
        <v>レアガチャ（追加02 確率UP）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6">
        <v>105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12391</v>
      </c>
      <c r="B70" s="2">
        <v>102</v>
      </c>
      <c r="C70" s="10" t="str">
        <f ca="1">VLOOKUP($B70,OFFSET([2]gachas!$A$2,0,0,COUNTA([2]gachas!$A:$A),MATCH(C$1,[2]gachas!$1:$1,0)-MATCH($B$1,[2]gachas!$1:$1,0)+1),MATCH(C$1,[2]gachas!$1:$1,0)-MATCH($B$1,[2]gachas!$1:$1,0)+1,FALSE)</f>
        <v>レアガチャ（追加02 確率UP）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6">
        <v>945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12401</v>
      </c>
      <c r="B71" s="2">
        <v>102</v>
      </c>
      <c r="C71" s="10" t="str">
        <f ca="1">VLOOKUP($B71,OFFSET([2]gachas!$A$2,0,0,COUNTA([2]gachas!$A:$A),MATCH(C$1,[2]gachas!$1:$1,0)-MATCH($B$1,[2]gachas!$1:$1,0)+1),MATCH(C$1,[2]gachas!$1:$1,0)-MATCH($B$1,[2]gachas!$1:$1,0)+1,FALSE)</f>
        <v>レアガチャ（追加02 確率UP）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6">
        <v>105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12421</v>
      </c>
      <c r="B72" s="2">
        <v>102</v>
      </c>
      <c r="C72" s="10" t="str">
        <f ca="1">VLOOKUP($B72,OFFSET([2]gachas!$A$2,0,0,COUNTA([2]gachas!$A:$A),MATCH(C$1,[2]gachas!$1:$1,0)-MATCH($B$1,[2]gachas!$1:$1,0)+1),MATCH(C$1,[2]gachas!$1:$1,0)-MATCH($B$1,[2]gachas!$1:$1,0)+1,FALSE)</f>
        <v>レアガチャ（追加02 確率UP）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6">
        <v>945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12431</v>
      </c>
      <c r="B73" s="2">
        <v>102</v>
      </c>
      <c r="C73" s="10" t="str">
        <f ca="1">VLOOKUP($B73,OFFSET([2]gachas!$A$2,0,0,COUNTA([2]gachas!$A:$A),MATCH(C$1,[2]gachas!$1:$1,0)-MATCH($B$1,[2]gachas!$1:$1,0)+1),MATCH(C$1,[2]gachas!$1:$1,0)-MATCH($B$1,[2]gachas!$1:$1,0)+1,FALSE)</f>
        <v>レアガチャ（追加02 確率UP）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6">
        <v>105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12451</v>
      </c>
      <c r="B74" s="2">
        <v>102</v>
      </c>
      <c r="C74" s="10" t="str">
        <f ca="1">VLOOKUP($B74,OFFSET([2]gachas!$A$2,0,0,COUNTA([2]gachas!$A:$A),MATCH(C$1,[2]gachas!$1:$1,0)-MATCH($B$1,[2]gachas!$1:$1,0)+1),MATCH(C$1,[2]gachas!$1:$1,0)-MATCH($B$1,[2]gachas!$1:$1,0)+1,FALSE)</f>
        <v>レアガチャ（追加02 確率UP）</v>
      </c>
      <c r="D74" s="6">
        <v>1</v>
      </c>
      <c r="E74" s="19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6">
        <v>1</v>
      </c>
      <c r="M74" s="6">
        <v>945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12461</v>
      </c>
      <c r="B75" s="2">
        <v>102</v>
      </c>
      <c r="C75" s="10" t="str">
        <f ca="1">VLOOKUP($B75,OFFSET([2]gachas!$A$2,0,0,COUNTA([2]gachas!$A:$A),MATCH(C$1,[2]gachas!$1:$1,0)-MATCH($B$1,[2]gachas!$1:$1,0)+1),MATCH(C$1,[2]gachas!$1:$1,0)-MATCH($B$1,[2]gachas!$1:$1,0)+1,FALSE)</f>
        <v>レアガチャ（追加02 確率UP）</v>
      </c>
      <c r="D75" s="6">
        <v>1</v>
      </c>
      <c r="E75" s="19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6">
        <v>1</v>
      </c>
      <c r="M75" s="6">
        <v>105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12481</v>
      </c>
      <c r="B76" s="2">
        <v>102</v>
      </c>
      <c r="C76" s="10" t="str">
        <f ca="1">VLOOKUP($B76,OFFSET([2]gachas!$A$2,0,0,COUNTA([2]gachas!$A:$A),MATCH(C$1,[2]gachas!$1:$1,0)-MATCH($B$1,[2]gachas!$1:$1,0)+1),MATCH(C$1,[2]gachas!$1:$1,0)-MATCH($B$1,[2]gachas!$1:$1,0)+1,FALSE)</f>
        <v>レアガチャ（追加02 確率UP）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6">
        <v>945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1"/>
        <v>12491</v>
      </c>
      <c r="B77" s="2">
        <v>102</v>
      </c>
      <c r="C77" s="10" t="str">
        <f ca="1">VLOOKUP($B77,OFFSET([2]gachas!$A$2,0,0,COUNTA([2]gachas!$A:$A),MATCH(C$1,[2]gachas!$1:$1,0)-MATCH($B$1,[2]gachas!$1:$1,0)+1),MATCH(C$1,[2]gachas!$1:$1,0)-MATCH($B$1,[2]gachas!$1:$1,0)+1,FALSE)</f>
        <v>レアガチャ（追加02 確率UP）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6">
        <v>105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1"/>
        <v>12511</v>
      </c>
      <c r="B78" s="2">
        <v>102</v>
      </c>
      <c r="C78" s="10" t="str">
        <f ca="1">VLOOKUP($B78,OFFSET([2]gachas!$A$2,0,0,COUNTA([2]gachas!$A:$A),MATCH(C$1,[2]gachas!$1:$1,0)-MATCH($B$1,[2]gachas!$1:$1,0)+1),MATCH(C$1,[2]gachas!$1:$1,0)-MATCH($B$1,[2]gachas!$1:$1,0)+1,FALSE)</f>
        <v>レアガチャ（追加02 確率UP）</v>
      </c>
      <c r="D78" s="29">
        <v>1</v>
      </c>
      <c r="E78" s="30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29">
        <v>1</v>
      </c>
      <c r="M78" s="29">
        <v>4725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1"/>
        <v>12521</v>
      </c>
      <c r="B79" s="2">
        <v>102</v>
      </c>
      <c r="C79" s="10" t="str">
        <f ca="1">VLOOKUP($B79,OFFSET([2]gachas!$A$2,0,0,COUNTA([2]gachas!$A:$A),MATCH(C$1,[2]gachas!$1:$1,0)-MATCH($B$1,[2]gachas!$1:$1,0)+1),MATCH(C$1,[2]gachas!$1:$1,0)-MATCH($B$1,[2]gachas!$1:$1,0)+1,FALSE)</f>
        <v>レアガチャ（追加02 確率UP）</v>
      </c>
      <c r="D79" s="29">
        <v>1</v>
      </c>
      <c r="E79" s="30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29">
        <v>1</v>
      </c>
      <c r="M79" s="29">
        <v>525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1"/>
        <v>12541</v>
      </c>
      <c r="B80" s="2">
        <v>102</v>
      </c>
      <c r="C80" s="10" t="str">
        <f ca="1">VLOOKUP($B80,OFFSET([2]gachas!$A$2,0,0,COUNTA([2]gachas!$A:$A),MATCH(C$1,[2]gachas!$1:$1,0)-MATCH($B$1,[2]gachas!$1:$1,0)+1),MATCH(C$1,[2]gachas!$1:$1,0)-MATCH($B$1,[2]gachas!$1:$1,0)+1,FALSE)</f>
        <v>レアガチャ（追加02 確率UP）</v>
      </c>
      <c r="D80" s="29">
        <v>1</v>
      </c>
      <c r="E80" s="30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29">
        <v>1</v>
      </c>
      <c r="M80" s="29">
        <v>4725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1"/>
        <v>12551</v>
      </c>
      <c r="B81" s="2">
        <v>102</v>
      </c>
      <c r="C81" s="10" t="str">
        <f ca="1">VLOOKUP($B81,OFFSET([2]gachas!$A$2,0,0,COUNTA([2]gachas!$A:$A),MATCH(C$1,[2]gachas!$1:$1,0)-MATCH($B$1,[2]gachas!$1:$1,0)+1),MATCH(C$1,[2]gachas!$1:$1,0)-MATCH($B$1,[2]gachas!$1:$1,0)+1,FALSE)</f>
        <v>レアガチャ（追加02 確率UP）</v>
      </c>
      <c r="D81" s="29">
        <v>1</v>
      </c>
      <c r="E81" s="30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29">
        <v>1</v>
      </c>
      <c r="M81" s="29">
        <v>525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1"/>
        <v>12571</v>
      </c>
      <c r="B82" s="2">
        <v>102</v>
      </c>
      <c r="C82" s="10" t="str">
        <f ca="1">VLOOKUP($B82,OFFSET([2]gachas!$A$2,0,0,COUNTA([2]gachas!$A:$A),MATCH(C$1,[2]gachas!$1:$1,0)-MATCH($B$1,[2]gachas!$1:$1,0)+1),MATCH(C$1,[2]gachas!$1:$1,0)-MATCH($B$1,[2]gachas!$1:$1,0)+1,FALSE)</f>
        <v>レアガチャ（追加02 確率UP）</v>
      </c>
      <c r="D82" s="29">
        <v>1</v>
      </c>
      <c r="E82" s="30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29">
        <v>1</v>
      </c>
      <c r="M82" s="29">
        <v>4725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1"/>
        <v>12581</v>
      </c>
      <c r="B83" s="2">
        <v>102</v>
      </c>
      <c r="C83" s="10" t="str">
        <f ca="1">VLOOKUP($B83,OFFSET([2]gachas!$A$2,0,0,COUNTA([2]gachas!$A:$A),MATCH(C$1,[2]gachas!$1:$1,0)-MATCH($B$1,[2]gachas!$1:$1,0)+1),MATCH(C$1,[2]gachas!$1:$1,0)-MATCH($B$1,[2]gachas!$1:$1,0)+1,FALSE)</f>
        <v>レアガチャ（追加02 確率UP）</v>
      </c>
      <c r="D83" s="29">
        <v>1</v>
      </c>
      <c r="E83" s="30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29">
        <v>1</v>
      </c>
      <c r="M83" s="29">
        <v>525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1"/>
        <v>12601</v>
      </c>
      <c r="B84" s="2">
        <v>102</v>
      </c>
      <c r="C84" s="10" t="str">
        <f ca="1">VLOOKUP($B84,OFFSET([2]gachas!$A$2,0,0,COUNTA([2]gachas!$A:$A),MATCH(C$1,[2]gachas!$1:$1,0)-MATCH($B$1,[2]gachas!$1:$1,0)+1),MATCH(C$1,[2]gachas!$1:$1,0)-MATCH($B$1,[2]gachas!$1:$1,0)+1,FALSE)</f>
        <v>レアガチャ（追加02 確率UP）</v>
      </c>
      <c r="D84" s="29">
        <v>1</v>
      </c>
      <c r="E84" s="30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29">
        <v>1</v>
      </c>
      <c r="M84" s="29">
        <v>4725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1"/>
        <v>12611</v>
      </c>
      <c r="B85" s="32">
        <v>102</v>
      </c>
      <c r="C85" s="10" t="str">
        <f ca="1">VLOOKUP($B85,OFFSET([2]gachas!$A$2,0,0,COUNTA([2]gachas!$A:$A),MATCH(C$1,[2]gachas!$1:$1,0)-MATCH($B$1,[2]gachas!$1:$1,0)+1),MATCH(C$1,[2]gachas!$1:$1,0)-MATCH($B$1,[2]gachas!$1:$1,0)+1,FALSE)</f>
        <v>レアガチャ（追加02 確率UP）</v>
      </c>
      <c r="D85" s="33">
        <v>1</v>
      </c>
      <c r="E85" s="34">
        <v>261</v>
      </c>
      <c r="F85" s="23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23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23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23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23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23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33">
        <v>1</v>
      </c>
      <c r="M85" s="29">
        <v>525</v>
      </c>
      <c r="N85" s="35">
        <v>0</v>
      </c>
      <c r="O85" s="35">
        <v>0</v>
      </c>
      <c r="P85" s="35">
        <v>0</v>
      </c>
      <c r="Q85" s="35">
        <v>0</v>
      </c>
      <c r="R85" s="35">
        <v>1</v>
      </c>
    </row>
    <row r="86" spans="1:18" ht="21" customHeight="1">
      <c r="A86" s="8" t="str">
        <f t="shared" si="1"/>
        <v>01281</v>
      </c>
      <c r="B86" s="31">
        <v>102</v>
      </c>
      <c r="C86" s="10" t="str">
        <f ca="1">VLOOKUP($B86,OFFSET([2]gachas!$A$2,0,0,COUNTA([2]gachas!$A:$A),MATCH(C$1,[2]gachas!$1:$1,0)-MATCH($B$1,[2]gachas!$1:$1,0)+1),MATCH(C$1,[2]gachas!$1:$1,0)-MATCH($B$1,[2]gachas!$1:$1,0)+1,FALSE)</f>
        <v>レアガチャ（追加02 確率UP）</v>
      </c>
      <c r="D86" s="21">
        <v>0</v>
      </c>
      <c r="E86" s="27">
        <v>128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野生児 アマラ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PremiumW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3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green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21">
        <v>1595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>
      <c r="A87" s="8" t="str">
        <f t="shared" si="1"/>
        <v>01301</v>
      </c>
      <c r="B87" s="2">
        <v>102</v>
      </c>
      <c r="C87" s="10" t="str">
        <f ca="1">VLOOKUP($B87,OFFSET([2]gachas!$A$2,0,0,COUNTA([2]gachas!$A:$A),MATCH(C$1,[2]gachas!$1:$1,0)-MATCH($B$1,[2]gachas!$1:$1,0)+1),MATCH(C$1,[2]gachas!$1:$1,0)-MATCH($B$1,[2]gachas!$1:$1,0)+1,FALSE)</f>
        <v>レアガチャ（追加02 確率UP）</v>
      </c>
      <c r="D87" s="6">
        <v>0</v>
      </c>
      <c r="E87" s="7">
        <v>130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狼男 ローレンス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PremiumW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3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blue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アニマル</v>
      </c>
      <c r="L87" s="6">
        <v>1</v>
      </c>
      <c r="M87" s="21">
        <v>1595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>
      <c r="A88" s="8" t="str">
        <f t="shared" si="1"/>
        <v>01321</v>
      </c>
      <c r="B88" s="2">
        <v>102</v>
      </c>
      <c r="C88" s="10" t="str">
        <f ca="1">VLOOKUP($B88,OFFSET([2]gachas!$A$2,0,0,COUNTA([2]gachas!$A:$A),MATCH(C$1,[2]gachas!$1:$1,0)-MATCH($B$1,[2]gachas!$1:$1,0)+1),MATCH(C$1,[2]gachas!$1:$1,0)-MATCH($B$1,[2]gachas!$1:$1,0)+1,FALSE)</f>
        <v>レアガチャ（追加02 確率UP）</v>
      </c>
      <c r="D88" s="6">
        <v>0</v>
      </c>
      <c r="E88" s="7">
        <v>132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鳥人ハヤト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PremiumW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3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yellow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21">
        <v>1595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>
      <c r="A89" s="8" t="str">
        <f t="shared" si="1"/>
        <v>01341</v>
      </c>
      <c r="B89" s="2">
        <v>102</v>
      </c>
      <c r="C89" s="10" t="str">
        <f ca="1">VLOOKUP($B89,OFFSET([2]gachas!$A$2,0,0,COUNTA([2]gachas!$A:$A),MATCH(C$1,[2]gachas!$1:$1,0)-MATCH($B$1,[2]gachas!$1:$1,0)+1),MATCH(C$1,[2]gachas!$1:$1,0)-MATCH($B$1,[2]gachas!$1:$1,0)+1,FALSE)</f>
        <v>レアガチャ（追加02 確率UP）</v>
      </c>
      <c r="D89" s="6">
        <v>0</v>
      </c>
      <c r="E89" s="7">
        <v>134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妖炎の夕霧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PremiumW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3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red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21">
        <v>1595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>
      <c r="A90" s="8" t="str">
        <f t="shared" si="1"/>
        <v>01361</v>
      </c>
      <c r="B90" s="2">
        <v>102</v>
      </c>
      <c r="C90" s="10" t="str">
        <f ca="1">VLOOKUP($B90,OFFSET([2]gachas!$A$2,0,0,COUNTA([2]gachas!$A:$A),MATCH(C$1,[2]gachas!$1:$1,0)-MATCH($B$1,[2]gachas!$1:$1,0)+1),MATCH(C$1,[2]gachas!$1:$1,0)-MATCH($B$1,[2]gachas!$1:$1,0)+1,FALSE)</f>
        <v>レアガチャ（追加02 確率UP）</v>
      </c>
      <c r="D90" s="6">
        <v>0</v>
      </c>
      <c r="E90" s="7">
        <v>136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お針子チハヤ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PremiumW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3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green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21">
        <v>1595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>
      <c r="A91" s="8" t="str">
        <f t="shared" si="1"/>
        <v>01381</v>
      </c>
      <c r="B91" s="2">
        <v>102</v>
      </c>
      <c r="C91" s="10" t="str">
        <f ca="1">VLOOKUP($B91,OFFSET([2]gachas!$A$2,0,0,COUNTA([2]gachas!$A:$A),MATCH(C$1,[2]gachas!$1:$1,0)-MATCH($B$1,[2]gachas!$1:$1,0)+1),MATCH(C$1,[2]gachas!$1:$1,0)-MATCH($B$1,[2]gachas!$1:$1,0)+1,FALSE)</f>
        <v>レアガチャ（追加02 確率UP）</v>
      </c>
      <c r="D91" s="6">
        <v>0</v>
      </c>
      <c r="E91" s="7">
        <v>138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蒼薙のトモエ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PremiumW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3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21">
        <v>1595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>
      <c r="A92" s="8" t="str">
        <f t="shared" si="1"/>
        <v>01401</v>
      </c>
      <c r="B92" s="2">
        <v>102</v>
      </c>
      <c r="C92" s="10" t="str">
        <f ca="1">VLOOKUP($B92,OFFSET([2]gachas!$A$2,0,0,COUNTA([2]gachas!$A:$A),MATCH(C$1,[2]gachas!$1:$1,0)-MATCH($B$1,[2]gachas!$1:$1,0)+1),MATCH(C$1,[2]gachas!$1:$1,0)-MATCH($B$1,[2]gachas!$1:$1,0)+1,FALSE)</f>
        <v>レアガチャ（追加02 確率UP）</v>
      </c>
      <c r="D92" s="6">
        <v>0</v>
      </c>
      <c r="E92" s="7">
        <v>140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秋祭のタマモ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PremiumW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3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アニマル</v>
      </c>
      <c r="L92" s="6">
        <v>1</v>
      </c>
      <c r="M92" s="21">
        <v>1595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>
      <c r="A93" s="8" t="str">
        <f t="shared" si="1"/>
        <v>01421</v>
      </c>
      <c r="B93" s="2">
        <v>102</v>
      </c>
      <c r="C93" s="10" t="str">
        <f ca="1">VLOOKUP($B93,OFFSET([2]gachas!$A$2,0,0,COUNTA([2]gachas!$A:$A),MATCH(C$1,[2]gachas!$1:$1,0)-MATCH($B$1,[2]gachas!$1:$1,0)+1),MATCH(C$1,[2]gachas!$1:$1,0)-MATCH($B$1,[2]gachas!$1:$1,0)+1,FALSE)</f>
        <v>レアガチャ（追加02 確率UP）</v>
      </c>
      <c r="D93" s="6">
        <v>0</v>
      </c>
      <c r="E93" s="7">
        <v>142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赤ずきん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PremiumW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3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red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21">
        <v>1595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>
      <c r="A94" s="8" t="str">
        <f t="shared" si="1"/>
        <v>01441</v>
      </c>
      <c r="B94" s="2">
        <v>102</v>
      </c>
      <c r="C94" s="10" t="str">
        <f ca="1">VLOOKUP($B94,OFFSET([2]gachas!$A$2,0,0,COUNTA([2]gachas!$A:$A),MATCH(C$1,[2]gachas!$1:$1,0)-MATCH($B$1,[2]gachas!$1:$1,0)+1),MATCH(C$1,[2]gachas!$1:$1,0)-MATCH($B$1,[2]gachas!$1:$1,0)+1,FALSE)</f>
        <v>レアガチャ（追加02 確率UP）</v>
      </c>
      <c r="D94" s="6">
        <v>0</v>
      </c>
      <c r="E94" s="7">
        <v>144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かぐや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PremiumW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green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ヒューマン</v>
      </c>
      <c r="L94" s="6">
        <v>1</v>
      </c>
      <c r="M94" s="21">
        <v>1595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>
      <c r="A95" s="8" t="str">
        <f t="shared" si="1"/>
        <v>01461</v>
      </c>
      <c r="B95" s="2">
        <v>102</v>
      </c>
      <c r="C95" s="10" t="str">
        <f ca="1">VLOOKUP($B95,OFFSET([2]gachas!$A$2,0,0,COUNTA([2]gachas!$A:$A),MATCH(C$1,[2]gachas!$1:$1,0)-MATCH($B$1,[2]gachas!$1:$1,0)+1),MATCH(C$1,[2]gachas!$1:$1,0)-MATCH($B$1,[2]gachas!$1:$1,0)+1,FALSE)</f>
        <v>レアガチャ（追加02 確率UP）</v>
      </c>
      <c r="D95" s="6">
        <v>0</v>
      </c>
      <c r="E95" s="7">
        <v>146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マーメイド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PremiumW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blue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ヒューマン</v>
      </c>
      <c r="L95" s="6">
        <v>1</v>
      </c>
      <c r="M95" s="21">
        <v>1595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>
      <c r="A96" s="8" t="str">
        <f t="shared" si="1"/>
        <v>01481</v>
      </c>
      <c r="B96" s="2">
        <v>102</v>
      </c>
      <c r="C96" s="10" t="str">
        <f ca="1">VLOOKUP($B96,OFFSET([2]gachas!$A$2,0,0,COUNTA([2]gachas!$A:$A),MATCH(C$1,[2]gachas!$1:$1,0)-MATCH($B$1,[2]gachas!$1:$1,0)+1),MATCH(C$1,[2]gachas!$1:$1,0)-MATCH($B$1,[2]gachas!$1:$1,0)+1,FALSE)</f>
        <v>レアガチャ（追加02 確率UP）</v>
      </c>
      <c r="D96" s="6">
        <v>0</v>
      </c>
      <c r="E96" s="7">
        <v>148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シンデレラ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PremiumW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yellow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ヒューマン</v>
      </c>
      <c r="L96" s="6">
        <v>1</v>
      </c>
      <c r="M96" s="21">
        <v>1595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01501</v>
      </c>
      <c r="B97" s="2">
        <v>102</v>
      </c>
      <c r="C97" s="10" t="str">
        <f ca="1">VLOOKUP($B97,OFFSET([2]gachas!$A$2,0,0,COUNTA([2]gachas!$A:$A),MATCH(C$1,[2]gachas!$1:$1,0)-MATCH($B$1,[2]gachas!$1:$1,0)+1),MATCH(C$1,[2]gachas!$1:$1,0)-MATCH($B$1,[2]gachas!$1:$1,0)+1,FALSE)</f>
        <v>レアガチャ（追加02 確率UP）</v>
      </c>
      <c r="D97" s="6">
        <v>0</v>
      </c>
      <c r="E97" s="7">
        <v>150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ポイズンマスターサキ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PremiumW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red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ヒューマン</v>
      </c>
      <c r="L97" s="6">
        <v>1</v>
      </c>
      <c r="M97" s="21">
        <v>1595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01521</v>
      </c>
      <c r="B98" s="2">
        <v>102</v>
      </c>
      <c r="C98" s="10" t="str">
        <f ca="1">VLOOKUP($B98,OFFSET([2]gachas!$A$2,0,0,COUNTA([2]gachas!$A:$A),MATCH(C$1,[2]gachas!$1:$1,0)-MATCH($B$1,[2]gachas!$1:$1,0)+1),MATCH(C$1,[2]gachas!$1:$1,0)-MATCH($B$1,[2]gachas!$1:$1,0)+1,FALSE)</f>
        <v>レアガチャ（追加02 確率UP）</v>
      </c>
      <c r="D98" s="6">
        <v>0</v>
      </c>
      <c r="E98" s="7">
        <v>152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功夫少女ランラン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PremiumW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3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green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6">
        <v>1</v>
      </c>
      <c r="M98" s="21">
        <v>1595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01541</v>
      </c>
      <c r="B99" s="2">
        <v>102</v>
      </c>
      <c r="C99" s="10" t="str">
        <f ca="1">VLOOKUP($B99,OFFSET([2]gachas!$A$2,0,0,COUNTA([2]gachas!$A:$A),MATCH(C$1,[2]gachas!$1:$1,0)-MATCH($B$1,[2]gachas!$1:$1,0)+1),MATCH(C$1,[2]gachas!$1:$1,0)-MATCH($B$1,[2]gachas!$1:$1,0)+1,FALSE)</f>
        <v>レアガチャ（追加02 確率UP）</v>
      </c>
      <c r="D99" s="6">
        <v>0</v>
      </c>
      <c r="E99" s="7">
        <v>154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始末屋 ハンナ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PremiumW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3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6">
        <v>1</v>
      </c>
      <c r="M99" s="21">
        <v>1595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01561</v>
      </c>
      <c r="B100" s="2">
        <v>102</v>
      </c>
      <c r="C100" s="10" t="str">
        <f ca="1">VLOOKUP($B100,OFFSET([2]gachas!$A$2,0,0,COUNTA([2]gachas!$A:$A),MATCH(C$1,[2]gachas!$1:$1,0)-MATCH($B$1,[2]gachas!$1:$1,0)+1),MATCH(C$1,[2]gachas!$1:$1,0)-MATCH($B$1,[2]gachas!$1:$1,0)+1,FALSE)</f>
        <v>レアガチャ（追加02 確率UP）</v>
      </c>
      <c r="D100" s="6">
        <v>0</v>
      </c>
      <c r="E100" s="7">
        <v>156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踊り子 エレナ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PremiumW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3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6">
        <v>1</v>
      </c>
      <c r="M100" s="21">
        <v>1595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01581</v>
      </c>
      <c r="B101" s="2">
        <v>102</v>
      </c>
      <c r="C101" s="10" t="str">
        <f ca="1">VLOOKUP($B101,OFFSET([2]gachas!$A$2,0,0,COUNTA([2]gachas!$A:$A),MATCH(C$1,[2]gachas!$1:$1,0)-MATCH($B$1,[2]gachas!$1:$1,0)+1),MATCH(C$1,[2]gachas!$1:$1,0)-MATCH($B$1,[2]gachas!$1:$1,0)+1,FALSE)</f>
        <v>レアガチャ（追加02 確率UP）</v>
      </c>
      <c r="D101" s="6">
        <v>0</v>
      </c>
      <c r="E101" s="7">
        <v>158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PremiumW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3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red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ヒューマン</v>
      </c>
      <c r="L101" s="6">
        <v>1</v>
      </c>
      <c r="M101" s="21">
        <v>1595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01601</v>
      </c>
      <c r="B102" s="2">
        <v>102</v>
      </c>
      <c r="C102" s="10" t="str">
        <f ca="1">VLOOKUP($B102,OFFSET([2]gachas!$A$2,0,0,COUNTA([2]gachas!$A:$A),MATCH(C$1,[2]gachas!$1:$1,0)-MATCH($B$1,[2]gachas!$1:$1,0)+1),MATCH(C$1,[2]gachas!$1:$1,0)-MATCH($B$1,[2]gachas!$1:$1,0)+1,FALSE)</f>
        <v>レアガチャ（追加02 確率UP）</v>
      </c>
      <c r="D102" s="6">
        <v>0</v>
      </c>
      <c r="E102" s="7">
        <v>160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反逆者 クリエ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green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6">
        <v>1</v>
      </c>
      <c r="M102" s="21">
        <v>1595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01621</v>
      </c>
      <c r="B103" s="2">
        <v>102</v>
      </c>
      <c r="C103" s="10" t="str">
        <f ca="1">VLOOKUP($B103,OFFSET([2]gachas!$A$2,0,0,COUNTA([2]gachas!$A:$A),MATCH(C$1,[2]gachas!$1:$1,0)-MATCH($B$1,[2]gachas!$1:$1,0)+1),MATCH(C$1,[2]gachas!$1:$1,0)-MATCH($B$1,[2]gachas!$1:$1,0)+1,FALSE)</f>
        <v>レアガチャ（追加02 確率UP）</v>
      </c>
      <c r="D103" s="6">
        <v>0</v>
      </c>
      <c r="E103" s="7">
        <v>162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狂女 クララ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blue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6">
        <v>1</v>
      </c>
      <c r="M103" s="21">
        <v>1595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01641</v>
      </c>
      <c r="B104" s="2">
        <v>102</v>
      </c>
      <c r="C104" s="10" t="str">
        <f ca="1">VLOOKUP($B104,OFFSET([2]gachas!$A$2,0,0,COUNTA([2]gachas!$A:$A),MATCH(C$1,[2]gachas!$1:$1,0)-MATCH($B$1,[2]gachas!$1:$1,0)+1),MATCH(C$1,[2]gachas!$1:$1,0)-MATCH($B$1,[2]gachas!$1:$1,0)+1,FALSE)</f>
        <v>レアガチャ（追加02 確率UP）</v>
      </c>
      <c r="D104" s="6">
        <v>0</v>
      </c>
      <c r="E104" s="7">
        <v>164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イブとトモダチ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yellow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21">
        <v>1595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01661</v>
      </c>
      <c r="B105" s="2">
        <v>102</v>
      </c>
      <c r="C105" s="10" t="str">
        <f ca="1">VLOOKUP($B105,OFFSET([2]gachas!$A$2,0,0,COUNTA([2]gachas!$A:$A),MATCH(C$1,[2]gachas!$1:$1,0)-MATCH($B$1,[2]gachas!$1:$1,0)+1),MATCH(C$1,[2]gachas!$1:$1,0)-MATCH($B$1,[2]gachas!$1:$1,0)+1,FALSE)</f>
        <v>レアガチャ（追加02 確率UP）</v>
      </c>
      <c r="D105" s="6">
        <v>0</v>
      </c>
      <c r="E105" s="7">
        <v>166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ベリアル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PremiumN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red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ゴッド</v>
      </c>
      <c r="L105" s="6">
        <v>1</v>
      </c>
      <c r="M105" s="6">
        <v>1642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01691</v>
      </c>
      <c r="B106" s="2">
        <v>102</v>
      </c>
      <c r="C106" s="10" t="str">
        <f ca="1">VLOOKUP($B106,OFFSET([2]gachas!$A$2,0,0,COUNTA([2]gachas!$A:$A),MATCH(C$1,[2]gachas!$1:$1,0)-MATCH($B$1,[2]gachas!$1:$1,0)+1),MATCH(C$1,[2]gachas!$1:$1,0)-MATCH($B$1,[2]gachas!$1:$1,0)+1,FALSE)</f>
        <v>レアガチャ（追加02 確率UP）</v>
      </c>
      <c r="D106" s="6">
        <v>0</v>
      </c>
      <c r="E106" s="7">
        <v>169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オセ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PremiumN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green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ゴッド</v>
      </c>
      <c r="L106" s="6">
        <v>1</v>
      </c>
      <c r="M106" s="6">
        <v>1642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01721</v>
      </c>
      <c r="B107" s="2">
        <v>102</v>
      </c>
      <c r="C107" s="10" t="str">
        <f ca="1">VLOOKUP($B107,OFFSET([2]gachas!$A$2,0,0,COUNTA([2]gachas!$A:$A),MATCH(C$1,[2]gachas!$1:$1,0)-MATCH($B$1,[2]gachas!$1:$1,0)+1),MATCH(C$1,[2]gachas!$1:$1,0)-MATCH($B$1,[2]gachas!$1:$1,0)+1,FALSE)</f>
        <v>レアガチャ（追加02 確率UP）</v>
      </c>
      <c r="D107" s="6">
        <v>0</v>
      </c>
      <c r="E107" s="7">
        <v>172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フォルネウス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PremiumN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blue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ゴッド</v>
      </c>
      <c r="L107" s="6">
        <v>1</v>
      </c>
      <c r="M107" s="6">
        <v>1642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01751</v>
      </c>
      <c r="B108" s="2">
        <v>102</v>
      </c>
      <c r="C108" s="10" t="str">
        <f ca="1">VLOOKUP($B108,OFFSET([2]gachas!$A$2,0,0,COUNTA([2]gachas!$A:$A),MATCH(C$1,[2]gachas!$1:$1,0)-MATCH($B$1,[2]gachas!$1:$1,0)+1),MATCH(C$1,[2]gachas!$1:$1,0)-MATCH($B$1,[2]gachas!$1:$1,0)+1,FALSE)</f>
        <v>レアガチャ（追加02 確率UP）</v>
      </c>
      <c r="D108" s="6">
        <v>0</v>
      </c>
      <c r="E108" s="7">
        <v>175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バフォメット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PremiumN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yellow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ゴッド</v>
      </c>
      <c r="L108" s="6">
        <v>1</v>
      </c>
      <c r="M108" s="6">
        <v>1642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01781</v>
      </c>
      <c r="B109" s="2">
        <v>102</v>
      </c>
      <c r="C109" s="10" t="str">
        <f ca="1">VLOOKUP($B109,OFFSET([2]gachas!$A$2,0,0,COUNTA([2]gachas!$A:$A),MATCH(C$1,[2]gachas!$1:$1,0)-MATCH($B$1,[2]gachas!$1:$1,0)+1),MATCH(C$1,[2]gachas!$1:$1,0)-MATCH($B$1,[2]gachas!$1:$1,0)+1,FALSE)</f>
        <v>レアガチャ（追加02 確率UP）</v>
      </c>
      <c r="D109" s="6">
        <v>0</v>
      </c>
      <c r="E109" s="7">
        <v>178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ケルベロス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PremiumN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red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6">
        <v>1642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01811</v>
      </c>
      <c r="B110" s="2">
        <v>102</v>
      </c>
      <c r="C110" s="10" t="str">
        <f ca="1">VLOOKUP($B110,OFFSET([2]gachas!$A$2,0,0,COUNTA([2]gachas!$A:$A),MATCH(C$1,[2]gachas!$1:$1,0)-MATCH($B$1,[2]gachas!$1:$1,0)+1),MATCH(C$1,[2]gachas!$1:$1,0)-MATCH($B$1,[2]gachas!$1:$1,0)+1,FALSE)</f>
        <v>レアガチャ（追加02 確率UP）</v>
      </c>
      <c r="D110" s="6">
        <v>0</v>
      </c>
      <c r="E110" s="7">
        <v>181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ベヒモス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PremiumN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green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アニマル</v>
      </c>
      <c r="L110" s="6">
        <v>1</v>
      </c>
      <c r="M110" s="6">
        <v>1642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01841</v>
      </c>
      <c r="B111" s="2">
        <v>102</v>
      </c>
      <c r="C111" s="10" t="str">
        <f ca="1">VLOOKUP($B111,OFFSET([2]gachas!$A$2,0,0,COUNTA([2]gachas!$A:$A),MATCH(C$1,[2]gachas!$1:$1,0)-MATCH($B$1,[2]gachas!$1:$1,0)+1),MATCH(C$1,[2]gachas!$1:$1,0)-MATCH($B$1,[2]gachas!$1:$1,0)+1,FALSE)</f>
        <v>レアガチャ（追加02 確率UP）</v>
      </c>
      <c r="D111" s="6">
        <v>0</v>
      </c>
      <c r="E111" s="7">
        <v>184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クラーケン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PremiumN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blue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アニマル</v>
      </c>
      <c r="L111" s="6">
        <v>1</v>
      </c>
      <c r="M111" s="6">
        <v>1642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01871</v>
      </c>
      <c r="B112" s="2">
        <v>102</v>
      </c>
      <c r="C112" s="10" t="str">
        <f ca="1">VLOOKUP($B112,OFFSET([2]gachas!$A$2,0,0,COUNTA([2]gachas!$A:$A),MATCH(C$1,[2]gachas!$1:$1,0)-MATCH($B$1,[2]gachas!$1:$1,0)+1),MATCH(C$1,[2]gachas!$1:$1,0)-MATCH($B$1,[2]gachas!$1:$1,0)+1,FALSE)</f>
        <v>レアガチャ（追加02 確率UP）</v>
      </c>
      <c r="D112" s="6">
        <v>0</v>
      </c>
      <c r="E112" s="7">
        <v>187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ホルス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PremiumN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yellow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アニマル</v>
      </c>
      <c r="L112" s="6">
        <v>1</v>
      </c>
      <c r="M112" s="6">
        <v>1642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1"/>
        <v>01901</v>
      </c>
      <c r="B113" s="2">
        <v>102</v>
      </c>
      <c r="C113" s="10" t="str">
        <f ca="1">VLOOKUP($B113,OFFSET([2]gachas!$A$2,0,0,COUNTA([2]gachas!$A:$A),MATCH(C$1,[2]gachas!$1:$1,0)-MATCH($B$1,[2]gachas!$1:$1,0)+1),MATCH(C$1,[2]gachas!$1:$1,0)-MATCH($B$1,[2]gachas!$1:$1,0)+1,FALSE)</f>
        <v>レアガチャ（追加02 確率UP）</v>
      </c>
      <c r="D113" s="6">
        <v>0</v>
      </c>
      <c r="E113" s="7">
        <v>190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卑弥呼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PremiumN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red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6">
        <v>1642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1"/>
        <v>01931</v>
      </c>
      <c r="B114" s="2">
        <v>102</v>
      </c>
      <c r="C114" s="10" t="str">
        <f ca="1">VLOOKUP($B114,OFFSET([2]gachas!$A$2,0,0,COUNTA([2]gachas!$A:$A),MATCH(C$1,[2]gachas!$1:$1,0)-MATCH($B$1,[2]gachas!$1:$1,0)+1),MATCH(C$1,[2]gachas!$1:$1,0)-MATCH($B$1,[2]gachas!$1:$1,0)+1,FALSE)</f>
        <v>レアガチャ（追加02 確率UP）</v>
      </c>
      <c r="D114" s="6">
        <v>0</v>
      </c>
      <c r="E114" s="7">
        <v>193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ロビンフッド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PremiumN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green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6">
        <v>1642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1"/>
        <v>01961</v>
      </c>
      <c r="B115" s="2">
        <v>102</v>
      </c>
      <c r="C115" s="10" t="str">
        <f ca="1">VLOOKUP($B115,OFFSET([2]gachas!$A$2,0,0,COUNTA([2]gachas!$A:$A),MATCH(C$1,[2]gachas!$1:$1,0)-MATCH($B$1,[2]gachas!$1:$1,0)+1),MATCH(C$1,[2]gachas!$1:$1,0)-MATCH($B$1,[2]gachas!$1:$1,0)+1,FALSE)</f>
        <v>レアガチャ（追加02 確率UP）</v>
      </c>
      <c r="D115" s="6">
        <v>0</v>
      </c>
      <c r="E115" s="7">
        <v>196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アキレス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PremiumN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yellow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6">
        <v>1642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1"/>
        <v>01991</v>
      </c>
      <c r="B116" s="2">
        <v>102</v>
      </c>
      <c r="C116" s="10" t="str">
        <f ca="1">VLOOKUP($B116,OFFSET([2]gachas!$A$2,0,0,COUNTA([2]gachas!$A:$A),MATCH(C$1,[2]gachas!$1:$1,0)-MATCH($B$1,[2]gachas!$1:$1,0)+1),MATCH(C$1,[2]gachas!$1:$1,0)-MATCH($B$1,[2]gachas!$1:$1,0)+1,FALSE)</f>
        <v>レアガチャ（追加02 確率UP）</v>
      </c>
      <c r="D116" s="6">
        <v>0</v>
      </c>
      <c r="E116" s="7">
        <v>199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ジークフリート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PremiumN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6">
        <v>1642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1"/>
        <v>02021</v>
      </c>
      <c r="B117" s="2">
        <v>102</v>
      </c>
      <c r="C117" s="10" t="str">
        <f ca="1">VLOOKUP($B117,OFFSET([2]gachas!$A$2,0,0,COUNTA([2]gachas!$A:$A),MATCH(C$1,[2]gachas!$1:$1,0)-MATCH($B$1,[2]gachas!$1:$1,0)+1),MATCH(C$1,[2]gachas!$1:$1,0)-MATCH($B$1,[2]gachas!$1:$1,0)+1,FALSE)</f>
        <v>レアガチャ（追加02 確率UP）</v>
      </c>
      <c r="D117" s="6">
        <v>0</v>
      </c>
      <c r="E117" s="7">
        <v>202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プロメテウス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PremiumN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red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ゴッド</v>
      </c>
      <c r="L117" s="6">
        <v>1</v>
      </c>
      <c r="M117" s="6">
        <v>1642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1"/>
        <v>02051</v>
      </c>
      <c r="B118" s="2">
        <v>102</v>
      </c>
      <c r="C118" s="10" t="str">
        <f ca="1">VLOOKUP($B118,OFFSET([2]gachas!$A$2,0,0,COUNTA([2]gachas!$A:$A),MATCH(C$1,[2]gachas!$1:$1,0)-MATCH($B$1,[2]gachas!$1:$1,0)+1),MATCH(C$1,[2]gachas!$1:$1,0)-MATCH($B$1,[2]gachas!$1:$1,0)+1,FALSE)</f>
        <v>レアガチャ（追加02 確率UP）</v>
      </c>
      <c r="D118" s="6">
        <v>0</v>
      </c>
      <c r="E118" s="7">
        <v>205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アフロディーテ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PremiumN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green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ゴッド</v>
      </c>
      <c r="L118" s="6">
        <v>1</v>
      </c>
      <c r="M118" s="6">
        <v>1642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1"/>
        <v>02081</v>
      </c>
      <c r="B119" s="2">
        <v>102</v>
      </c>
      <c r="C119" s="10" t="str">
        <f ca="1">VLOOKUP($B119,OFFSET([2]gachas!$A$2,0,0,COUNTA([2]gachas!$A:$A),MATCH(C$1,[2]gachas!$1:$1,0)-MATCH($B$1,[2]gachas!$1:$1,0)+1),MATCH(C$1,[2]gachas!$1:$1,0)-MATCH($B$1,[2]gachas!$1:$1,0)+1,FALSE)</f>
        <v>レアガチャ（追加02 確率UP）</v>
      </c>
      <c r="D119" s="6">
        <v>0</v>
      </c>
      <c r="E119" s="7">
        <v>208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テティス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PremiumN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blue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ゴッド</v>
      </c>
      <c r="L119" s="6">
        <v>1</v>
      </c>
      <c r="M119" s="6">
        <v>1642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1"/>
        <v>02111</v>
      </c>
      <c r="B120" s="2">
        <v>102</v>
      </c>
      <c r="C120" s="10" t="str">
        <f ca="1">VLOOKUP($B120,OFFSET([2]gachas!$A$2,0,0,COUNTA([2]gachas!$A:$A),MATCH(C$1,[2]gachas!$1:$1,0)-MATCH($B$1,[2]gachas!$1:$1,0)+1),MATCH(C$1,[2]gachas!$1:$1,0)-MATCH($B$1,[2]gachas!$1:$1,0)+1,FALSE)</f>
        <v>レアガチャ（追加02 確率UP）</v>
      </c>
      <c r="D120" s="6">
        <v>0</v>
      </c>
      <c r="E120" s="7">
        <v>211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アストライアー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PremiumN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yellow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ゴッド</v>
      </c>
      <c r="L120" s="6">
        <v>1</v>
      </c>
      <c r="M120" s="6">
        <v>1642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1"/>
        <v>02141</v>
      </c>
      <c r="B121" s="2">
        <v>102</v>
      </c>
      <c r="C121" s="10" t="str">
        <f ca="1">VLOOKUP($B121,OFFSET([2]gachas!$A$2,0,0,COUNTA([2]gachas!$A:$A),MATCH(C$1,[2]gachas!$1:$1,0)-MATCH($B$1,[2]gachas!$1:$1,0)+1),MATCH(C$1,[2]gachas!$1:$1,0)-MATCH($B$1,[2]gachas!$1:$1,0)+1,FALSE)</f>
        <v>レアガチャ（追加02 確率UP）</v>
      </c>
      <c r="D121" s="6">
        <v>0</v>
      </c>
      <c r="E121" s="7">
        <v>214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アズラエル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PremiumN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red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ゴッド</v>
      </c>
      <c r="L121" s="6">
        <v>1</v>
      </c>
      <c r="M121" s="6">
        <v>1642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1"/>
        <v>02171</v>
      </c>
      <c r="B122" s="2">
        <v>102</v>
      </c>
      <c r="C122" s="10" t="str">
        <f ca="1">VLOOKUP($B122,OFFSET([2]gachas!$A$2,0,0,COUNTA([2]gachas!$A:$A),MATCH(C$1,[2]gachas!$1:$1,0)-MATCH($B$1,[2]gachas!$1:$1,0)+1),MATCH(C$1,[2]gachas!$1:$1,0)-MATCH($B$1,[2]gachas!$1:$1,0)+1,FALSE)</f>
        <v>レアガチャ（追加02 確率UP）</v>
      </c>
      <c r="D122" s="6">
        <v>0</v>
      </c>
      <c r="E122" s="7">
        <v>217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ケツァクアトル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green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ドラゴン</v>
      </c>
      <c r="L122" s="6">
        <v>1</v>
      </c>
      <c r="M122" s="6">
        <v>1642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1"/>
        <v>02201</v>
      </c>
      <c r="B123" s="2">
        <v>102</v>
      </c>
      <c r="C123" s="10" t="str">
        <f ca="1">VLOOKUP($B123,OFFSET([2]gachas!$A$2,0,0,COUNTA([2]gachas!$A:$A),MATCH(C$1,[2]gachas!$1:$1,0)-MATCH($B$1,[2]gachas!$1:$1,0)+1),MATCH(C$1,[2]gachas!$1:$1,0)-MATCH($B$1,[2]gachas!$1:$1,0)+1,FALSE)</f>
        <v>レアガチャ（追加02 確率UP）</v>
      </c>
      <c r="D123" s="6">
        <v>0</v>
      </c>
      <c r="E123" s="7">
        <v>220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ルキフグス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blue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6">
        <v>1</v>
      </c>
      <c r="M123" s="6">
        <v>1642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1"/>
        <v>02231</v>
      </c>
      <c r="B124" s="2">
        <v>102</v>
      </c>
      <c r="C124" s="10" t="str">
        <f ca="1">VLOOKUP($B124,OFFSET([2]gachas!$A$2,0,0,COUNTA([2]gachas!$A:$A),MATCH(C$1,[2]gachas!$1:$1,0)-MATCH($B$1,[2]gachas!$1:$1,0)+1),MATCH(C$1,[2]gachas!$1:$1,0)-MATCH($B$1,[2]gachas!$1:$1,0)+1,FALSE)</f>
        <v>レアガチャ（追加02 確率UP）</v>
      </c>
      <c r="D124" s="6">
        <v>0</v>
      </c>
      <c r="E124" s="7">
        <v>223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ヘラクレス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ヒューマン</v>
      </c>
      <c r="L124" s="6">
        <v>1</v>
      </c>
      <c r="M124" s="6">
        <v>1642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1"/>
        <v>02261</v>
      </c>
      <c r="B125" s="2">
        <v>102</v>
      </c>
      <c r="C125" s="10" t="str">
        <f ca="1">VLOOKUP($B125,OFFSET([2]gachas!$A$2,0,0,COUNTA([2]gachas!$A:$A),MATCH(C$1,[2]gachas!$1:$1,0)-MATCH($B$1,[2]gachas!$1:$1,0)+1),MATCH(C$1,[2]gachas!$1:$1,0)-MATCH($B$1,[2]gachas!$1:$1,0)+1,FALSE)</f>
        <v>レアガチャ（追加02 確率UP）</v>
      </c>
      <c r="D125" s="6">
        <v>0</v>
      </c>
      <c r="E125" s="7">
        <v>226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アレス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PremiumS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red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6">
        <v>704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1"/>
        <v>02291</v>
      </c>
      <c r="B126" s="2">
        <v>102</v>
      </c>
      <c r="C126" s="10" t="str">
        <f ca="1">VLOOKUP($B126,OFFSET([2]gachas!$A$2,0,0,COUNTA([2]gachas!$A:$A),MATCH(C$1,[2]gachas!$1:$1,0)-MATCH($B$1,[2]gachas!$1:$1,0)+1),MATCH(C$1,[2]gachas!$1:$1,0)-MATCH($B$1,[2]gachas!$1:$1,0)+1,FALSE)</f>
        <v>レアガチャ（追加02 確率UP）</v>
      </c>
      <c r="D126" s="6">
        <v>0</v>
      </c>
      <c r="E126" s="7">
        <v>229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ヨルムンガンド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PremiumS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green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ドラゴン</v>
      </c>
      <c r="L126" s="6">
        <v>1</v>
      </c>
      <c r="M126" s="6">
        <v>704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1"/>
        <v>02321</v>
      </c>
      <c r="B127" s="2">
        <v>102</v>
      </c>
      <c r="C127" s="10" t="str">
        <f ca="1">VLOOKUP($B127,OFFSET([2]gachas!$A$2,0,0,COUNTA([2]gachas!$A:$A),MATCH(C$1,[2]gachas!$1:$1,0)-MATCH($B$1,[2]gachas!$1:$1,0)+1),MATCH(C$1,[2]gachas!$1:$1,0)-MATCH($B$1,[2]gachas!$1:$1,0)+1,FALSE)</f>
        <v>レアガチャ（追加02 確率UP）</v>
      </c>
      <c r="D127" s="6">
        <v>0</v>
      </c>
      <c r="E127" s="7">
        <v>232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パーシヴァル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PremiumS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blue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ヒューマン</v>
      </c>
      <c r="L127" s="6">
        <v>1</v>
      </c>
      <c r="M127" s="6">
        <v>704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1"/>
        <v>02351</v>
      </c>
      <c r="B128" s="2">
        <v>102</v>
      </c>
      <c r="C128" s="10" t="str">
        <f ca="1">VLOOKUP($B128,OFFSET([2]gachas!$A$2,0,0,COUNTA([2]gachas!$A:$A),MATCH(C$1,[2]gachas!$1:$1,0)-MATCH($B$1,[2]gachas!$1:$1,0)+1),MATCH(C$1,[2]gachas!$1:$1,0)-MATCH($B$1,[2]gachas!$1:$1,0)+1,FALSE)</f>
        <v>レアガチャ（追加02 確率UP）</v>
      </c>
      <c r="D128" s="6">
        <v>0</v>
      </c>
      <c r="E128" s="7">
        <v>235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イザナミ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PremiumS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yellow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6">
        <v>1</v>
      </c>
      <c r="M128" s="6">
        <v>704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1"/>
        <v>01271</v>
      </c>
      <c r="B129" s="2">
        <v>102</v>
      </c>
      <c r="C129" s="10" t="str">
        <f ca="1">VLOOKUP($B129,OFFSET([2]gachas!$A$2,0,0,COUNTA([2]gachas!$A:$A),MATCH(C$1,[2]gachas!$1:$1,0)-MATCH($B$1,[2]gachas!$1:$1,0)+1),MATCH(C$1,[2]gachas!$1:$1,0)-MATCH($B$1,[2]gachas!$1:$1,0)+1,FALSE)</f>
        <v>レアガチャ（追加02 確率UP）</v>
      </c>
      <c r="D129" s="6">
        <v>0</v>
      </c>
      <c r="E129" s="7">
        <v>127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狂喜の賢者 ユノ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PremiumW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4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red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ヒューマン</v>
      </c>
      <c r="L129" s="6">
        <v>1</v>
      </c>
      <c r="M129" s="6">
        <v>578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1"/>
        <v>01291</v>
      </c>
      <c r="B130" s="2">
        <v>102</v>
      </c>
      <c r="C130" s="10" t="str">
        <f ca="1">VLOOKUP($B130,OFFSET([2]gachas!$A$2,0,0,COUNTA([2]gachas!$A:$A),MATCH(C$1,[2]gachas!$1:$1,0)-MATCH($B$1,[2]gachas!$1:$1,0)+1),MATCH(C$1,[2]gachas!$1:$1,0)-MATCH($B$1,[2]gachas!$1:$1,0)+1,FALSE)</f>
        <v>レアガチャ（追加02 確率UP）</v>
      </c>
      <c r="D130" s="6">
        <v>0</v>
      </c>
      <c r="E130" s="7">
        <v>129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孤高の狼憑き アマラ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PremiumW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green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6">
        <v>578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1"/>
        <v>01311</v>
      </c>
      <c r="B131" s="2">
        <v>102</v>
      </c>
      <c r="C131" s="10" t="str">
        <f ca="1">VLOOKUP($B131,OFFSET([2]gachas!$A$2,0,0,COUNTA([2]gachas!$A:$A),MATCH(C$1,[2]gachas!$1:$1,0)-MATCH($B$1,[2]gachas!$1:$1,0)+1),MATCH(C$1,[2]gachas!$1:$1,0)-MATCH($B$1,[2]gachas!$1:$1,0)+1,FALSE)</f>
        <v>レアガチャ（追加02 確率UP）</v>
      </c>
      <c r="D131" s="6">
        <v>0</v>
      </c>
      <c r="E131" s="7">
        <v>131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PremiumW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4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blue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アニマル</v>
      </c>
      <c r="L131" s="6">
        <v>1</v>
      </c>
      <c r="M131" s="6">
        <v>578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1"/>
        <v>01331</v>
      </c>
      <c r="B132" s="2">
        <v>102</v>
      </c>
      <c r="C132" s="10" t="str">
        <f ca="1">VLOOKUP($B132,OFFSET([2]gachas!$A$2,0,0,COUNTA([2]gachas!$A:$A),MATCH(C$1,[2]gachas!$1:$1,0)-MATCH($B$1,[2]gachas!$1:$1,0)+1),MATCH(C$1,[2]gachas!$1:$1,0)-MATCH($B$1,[2]gachas!$1:$1,0)+1,FALSE)</f>
        <v>レアガチャ（追加02 確率UP）</v>
      </c>
      <c r="D132" s="6">
        <v>0</v>
      </c>
      <c r="E132" s="7">
        <v>133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迅雷の刀剣 ハヤト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PremiumW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4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6">
        <v>578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1"/>
        <v>01351</v>
      </c>
      <c r="B133" s="2">
        <v>102</v>
      </c>
      <c r="C133" s="10" t="str">
        <f ca="1">VLOOKUP($B133,OFFSET([2]gachas!$A$2,0,0,COUNTA([2]gachas!$A:$A),MATCH(C$1,[2]gachas!$1:$1,0)-MATCH($B$1,[2]gachas!$1:$1,0)+1),MATCH(C$1,[2]gachas!$1:$1,0)-MATCH($B$1,[2]gachas!$1:$1,0)+1,FALSE)</f>
        <v>レアガチャ（追加02 確率UP）</v>
      </c>
      <c r="D133" s="6">
        <v>0</v>
      </c>
      <c r="E133" s="7">
        <v>135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京の炎華夕霧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PremiumW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red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6">
        <v>578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1"/>
        <v>01371</v>
      </c>
      <c r="B134" s="2">
        <v>102</v>
      </c>
      <c r="C134" s="10" t="str">
        <f ca="1">VLOOKUP($B134,OFFSET([2]gachas!$A$2,0,0,COUNTA([2]gachas!$A:$A),MATCH(C$1,[2]gachas!$1:$1,0)-MATCH($B$1,[2]gachas!$1:$1,0)+1),MATCH(C$1,[2]gachas!$1:$1,0)-MATCH($B$1,[2]gachas!$1:$1,0)+1,FALSE)</f>
        <v>レアガチャ（追加02 確率UP）</v>
      </c>
      <c r="D134" s="6">
        <v>0</v>
      </c>
      <c r="E134" s="7">
        <v>137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清福の仕立屋 チハヤ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PremiumW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4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green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ヒューマン</v>
      </c>
      <c r="L134" s="6">
        <v>1</v>
      </c>
      <c r="M134" s="6">
        <v>578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1"/>
        <v>01391</v>
      </c>
      <c r="B135" s="2">
        <v>102</v>
      </c>
      <c r="C135" s="10" t="str">
        <f ca="1">VLOOKUP($B135,OFFSET([2]gachas!$A$2,0,0,COUNTA([2]gachas!$A:$A),MATCH(C$1,[2]gachas!$1:$1,0)-MATCH($B$1,[2]gachas!$1:$1,0)+1),MATCH(C$1,[2]gachas!$1:$1,0)-MATCH($B$1,[2]gachas!$1:$1,0)+1,FALSE)</f>
        <v>レアガチャ（追加02 確率UP）</v>
      </c>
      <c r="D135" s="6">
        <v>0</v>
      </c>
      <c r="E135" s="7">
        <v>139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蒼昇刃姫 トモエ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PremiumW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4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blue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ヒューマン</v>
      </c>
      <c r="L135" s="6">
        <v>1</v>
      </c>
      <c r="M135" s="6">
        <v>578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1"/>
        <v>01411</v>
      </c>
      <c r="B136" s="2">
        <v>102</v>
      </c>
      <c r="C136" s="10" t="str">
        <f ca="1">VLOOKUP($B136,OFFSET([2]gachas!$A$2,0,0,COUNTA([2]gachas!$A:$A),MATCH(C$1,[2]gachas!$1:$1,0)-MATCH($B$1,[2]gachas!$1:$1,0)+1),MATCH(C$1,[2]gachas!$1:$1,0)-MATCH($B$1,[2]gachas!$1:$1,0)+1,FALSE)</f>
        <v>レアガチャ（追加02 確率UP）</v>
      </c>
      <c r="D136" s="6">
        <v>0</v>
      </c>
      <c r="E136" s="7">
        <v>141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妖狐演舞 タマモ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PremiumW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yellow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アニマル</v>
      </c>
      <c r="L136" s="6">
        <v>1</v>
      </c>
      <c r="M136" s="6">
        <v>578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1"/>
        <v>01431</v>
      </c>
      <c r="B137" s="2">
        <v>102</v>
      </c>
      <c r="C137" s="10" t="str">
        <f ca="1">VLOOKUP($B137,OFFSET([2]gachas!$A$2,0,0,COUNTA([2]gachas!$A:$A),MATCH(C$1,[2]gachas!$1:$1,0)-MATCH($B$1,[2]gachas!$1:$1,0)+1),MATCH(C$1,[2]gachas!$1:$1,0)-MATCH($B$1,[2]gachas!$1:$1,0)+1,FALSE)</f>
        <v>レアガチャ（追加02 確率UP）</v>
      </c>
      <c r="D137" s="6">
        <v>0</v>
      </c>
      <c r="E137" s="7">
        <v>143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深紅の死神 赤ずきん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PremiumW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4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red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ヒューマン</v>
      </c>
      <c r="L137" s="6">
        <v>1</v>
      </c>
      <c r="M137" s="6">
        <v>578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ref="A138:A201" si="2">D138&amp;E138&amp;L138</f>
        <v>01451</v>
      </c>
      <c r="B138" s="2">
        <v>102</v>
      </c>
      <c r="C138" s="10" t="str">
        <f ca="1">VLOOKUP($B138,OFFSET([2]gachas!$A$2,0,0,COUNTA([2]gachas!$A:$A),MATCH(C$1,[2]gachas!$1:$1,0)-MATCH($B$1,[2]gachas!$1:$1,0)+1),MATCH(C$1,[2]gachas!$1:$1,0)-MATCH($B$1,[2]gachas!$1:$1,0)+1,FALSE)</f>
        <v>レアガチャ（追加02 確率UP）</v>
      </c>
      <c r="D138" s="6">
        <v>0</v>
      </c>
      <c r="E138" s="7">
        <v>145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魔性妖艶 かぐや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PremiumW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green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6">
        <v>1</v>
      </c>
      <c r="M138" s="6">
        <v>578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2"/>
        <v>01471</v>
      </c>
      <c r="B139" s="2">
        <v>102</v>
      </c>
      <c r="C139" s="10" t="str">
        <f ca="1">VLOOKUP($B139,OFFSET([2]gachas!$A$2,0,0,COUNTA([2]gachas!$A:$A),MATCH(C$1,[2]gachas!$1:$1,0)-MATCH($B$1,[2]gachas!$1:$1,0)+1),MATCH(C$1,[2]gachas!$1:$1,0)-MATCH($B$1,[2]gachas!$1:$1,0)+1,FALSE)</f>
        <v>レアガチャ（追加02 確率UP）</v>
      </c>
      <c r="D139" s="6">
        <v>0</v>
      </c>
      <c r="E139" s="7">
        <v>147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PremiumW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blue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6">
        <v>1</v>
      </c>
      <c r="M139" s="6">
        <v>578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2"/>
        <v>01491</v>
      </c>
      <c r="B140" s="2">
        <v>102</v>
      </c>
      <c r="C140" s="10" t="str">
        <f ca="1">VLOOKUP($B140,OFFSET([2]gachas!$A$2,0,0,COUNTA([2]gachas!$A:$A),MATCH(C$1,[2]gachas!$1:$1,0)-MATCH($B$1,[2]gachas!$1:$1,0)+1),MATCH(C$1,[2]gachas!$1:$1,0)-MATCH($B$1,[2]gachas!$1:$1,0)+1,FALSE)</f>
        <v>レアガチャ（追加02 確率UP）</v>
      </c>
      <c r="D140" s="6">
        <v>0</v>
      </c>
      <c r="E140" s="7">
        <v>149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PremiumW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yellow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ヒューマン</v>
      </c>
      <c r="L140" s="6">
        <v>1</v>
      </c>
      <c r="M140" s="6">
        <v>578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2"/>
        <v>01511</v>
      </c>
      <c r="B141" s="2">
        <v>102</v>
      </c>
      <c r="C141" s="10" t="str">
        <f ca="1">VLOOKUP($B141,OFFSET([2]gachas!$A$2,0,0,COUNTA([2]gachas!$A:$A),MATCH(C$1,[2]gachas!$1:$1,0)-MATCH($B$1,[2]gachas!$1:$1,0)+1),MATCH(C$1,[2]gachas!$1:$1,0)-MATCH($B$1,[2]gachas!$1:$1,0)+1,FALSE)</f>
        <v>レアガチャ（追加02 確率UP）</v>
      </c>
      <c r="D141" s="6">
        <v>0</v>
      </c>
      <c r="E141" s="7">
        <v>151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毒煙の処刑人サキ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PremiumW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red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6">
        <v>578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2"/>
        <v>01531</v>
      </c>
      <c r="B142" s="2">
        <v>102</v>
      </c>
      <c r="C142" s="10" t="str">
        <f ca="1">VLOOKUP($B142,OFFSET([2]gachas!$A$2,0,0,COUNTA([2]gachas!$A:$A),MATCH(C$1,[2]gachas!$1:$1,0)-MATCH($B$1,[2]gachas!$1:$1,0)+1),MATCH(C$1,[2]gachas!$1:$1,0)-MATCH($B$1,[2]gachas!$1:$1,0)+1,FALSE)</f>
        <v>レアガチャ（追加02 確率UP）</v>
      </c>
      <c r="D142" s="6">
        <v>0</v>
      </c>
      <c r="E142" s="7">
        <v>153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拳聖ランラン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PremiumW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green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6">
        <v>1</v>
      </c>
      <c r="M142" s="6">
        <v>578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2"/>
        <v>01551</v>
      </c>
      <c r="B143" s="2">
        <v>102</v>
      </c>
      <c r="C143" s="10" t="str">
        <f ca="1">VLOOKUP($B143,OFFSET([2]gachas!$A$2,0,0,COUNTA([2]gachas!$A:$A),MATCH(C$1,[2]gachas!$1:$1,0)-MATCH($B$1,[2]gachas!$1:$1,0)+1),MATCH(C$1,[2]gachas!$1:$1,0)-MATCH($B$1,[2]gachas!$1:$1,0)+1,FALSE)</f>
        <v>レアガチャ（追加02 確率UP）</v>
      </c>
      <c r="D143" s="6">
        <v>0</v>
      </c>
      <c r="E143" s="7">
        <v>155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隻眼の掃除屋 ハンナ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PremiumW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4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blue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6">
        <v>1</v>
      </c>
      <c r="M143" s="6">
        <v>578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2"/>
        <v>01571</v>
      </c>
      <c r="B144" s="2">
        <v>102</v>
      </c>
      <c r="C144" s="10" t="str">
        <f ca="1">VLOOKUP($B144,OFFSET([2]gachas!$A$2,0,0,COUNTA([2]gachas!$A:$A),MATCH(C$1,[2]gachas!$1:$1,0)-MATCH($B$1,[2]gachas!$1:$1,0)+1),MATCH(C$1,[2]gachas!$1:$1,0)-MATCH($B$1,[2]gachas!$1:$1,0)+1,FALSE)</f>
        <v>レアガチャ（追加02 確率UP）</v>
      </c>
      <c r="D144" s="6">
        <v>0</v>
      </c>
      <c r="E144" s="7">
        <v>157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雷光舞姫 エレナ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PremiumW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yellow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6">
        <v>1</v>
      </c>
      <c r="M144" s="6">
        <v>578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2"/>
        <v>01591</v>
      </c>
      <c r="B145" s="2">
        <v>102</v>
      </c>
      <c r="C145" s="10" t="str">
        <f ca="1">VLOOKUP($B145,OFFSET([2]gachas!$A$2,0,0,COUNTA([2]gachas!$A:$A),MATCH(C$1,[2]gachas!$1:$1,0)-MATCH($B$1,[2]gachas!$1:$1,0)+1),MATCH(C$1,[2]gachas!$1:$1,0)-MATCH($B$1,[2]gachas!$1:$1,0)+1,FALSE)</f>
        <v>レアガチャ（追加02 確率UP）</v>
      </c>
      <c r="D145" s="6">
        <v>0</v>
      </c>
      <c r="E145" s="7">
        <v>159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PremiumW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4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red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ヒューマン</v>
      </c>
      <c r="L145" s="6">
        <v>1</v>
      </c>
      <c r="M145" s="6">
        <v>578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2"/>
        <v>01611</v>
      </c>
      <c r="B146" s="2">
        <v>102</v>
      </c>
      <c r="C146" s="10" t="str">
        <f ca="1">VLOOKUP($B146,OFFSET([2]gachas!$A$2,0,0,COUNTA([2]gachas!$A:$A),MATCH(C$1,[2]gachas!$1:$1,0)-MATCH($B$1,[2]gachas!$1:$1,0)+1),MATCH(C$1,[2]gachas!$1:$1,0)-MATCH($B$1,[2]gachas!$1:$1,0)+1,FALSE)</f>
        <v>レアガチャ（追加02 確率UP）</v>
      </c>
      <c r="D146" s="6">
        <v>0</v>
      </c>
      <c r="E146" s="7">
        <v>161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咆哮の先導者 クリエ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green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6">
        <v>578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2"/>
        <v>01631</v>
      </c>
      <c r="B147" s="2">
        <v>102</v>
      </c>
      <c r="C147" s="10" t="str">
        <f ca="1">VLOOKUP($B147,OFFSET([2]gachas!$A$2,0,0,COUNTA([2]gachas!$A:$A),MATCH(C$1,[2]gachas!$1:$1,0)-MATCH($B$1,[2]gachas!$1:$1,0)+1),MATCH(C$1,[2]gachas!$1:$1,0)-MATCH($B$1,[2]gachas!$1:$1,0)+1,FALSE)</f>
        <v>レアガチャ（追加02 確率UP）</v>
      </c>
      <c r="D147" s="6">
        <v>0</v>
      </c>
      <c r="E147" s="7">
        <v>163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冷酷な狂嬢 クララ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blue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6">
        <v>578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01651</v>
      </c>
      <c r="B148" s="2">
        <v>102</v>
      </c>
      <c r="C148" s="10" t="str">
        <f ca="1">VLOOKUP($B148,OFFSET([2]gachas!$A$2,0,0,COUNTA([2]gachas!$A:$A),MATCH(C$1,[2]gachas!$1:$1,0)-MATCH($B$1,[2]gachas!$1:$1,0)+1),MATCH(C$1,[2]gachas!$1:$1,0)-MATCH($B$1,[2]gachas!$1:$1,0)+1,FALSE)</f>
        <v>レアガチャ（追加02 確率UP）</v>
      </c>
      <c r="D148" s="6">
        <v>0</v>
      </c>
      <c r="E148" s="7">
        <v>165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yellow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ヒューマン</v>
      </c>
      <c r="L148" s="6">
        <v>1</v>
      </c>
      <c r="M148" s="6">
        <v>578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01671</v>
      </c>
      <c r="B149" s="2">
        <v>102</v>
      </c>
      <c r="C149" s="10" t="str">
        <f ca="1">VLOOKUP($B149,OFFSET([2]gachas!$A$2,0,0,COUNTA([2]gachas!$A:$A),MATCH(C$1,[2]gachas!$1:$1,0)-MATCH($B$1,[2]gachas!$1:$1,0)+1),MATCH(C$1,[2]gachas!$1:$1,0)-MATCH($B$1,[2]gachas!$1:$1,0)+1,FALSE)</f>
        <v>レアガチャ（追加02 確率UP）</v>
      </c>
      <c r="D149" s="6">
        <v>0</v>
      </c>
      <c r="E149" s="7">
        <v>167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逆徒 ベリアル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PremiumN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red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ゴッド</v>
      </c>
      <c r="L149" s="6">
        <v>1</v>
      </c>
      <c r="M149" s="6">
        <v>595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01701</v>
      </c>
      <c r="B150" s="2">
        <v>102</v>
      </c>
      <c r="C150" s="10" t="str">
        <f ca="1">VLOOKUP($B150,OFFSET([2]gachas!$A$2,0,0,COUNTA([2]gachas!$A:$A),MATCH(C$1,[2]gachas!$1:$1,0)-MATCH($B$1,[2]gachas!$1:$1,0)+1),MATCH(C$1,[2]gachas!$1:$1,0)-MATCH($B$1,[2]gachas!$1:$1,0)+1,FALSE)</f>
        <v>レアガチャ（追加02 確率UP）</v>
      </c>
      <c r="D150" s="6">
        <v>0</v>
      </c>
      <c r="E150" s="7">
        <v>170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識徒 オセ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PremiumN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green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ゴッド</v>
      </c>
      <c r="L150" s="6">
        <v>1</v>
      </c>
      <c r="M150" s="6">
        <v>595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01731</v>
      </c>
      <c r="B151" s="2">
        <v>102</v>
      </c>
      <c r="C151" s="10" t="str">
        <f ca="1">VLOOKUP($B151,OFFSET([2]gachas!$A$2,0,0,COUNTA([2]gachas!$A:$A),MATCH(C$1,[2]gachas!$1:$1,0)-MATCH($B$1,[2]gachas!$1:$1,0)+1),MATCH(C$1,[2]gachas!$1:$1,0)-MATCH($B$1,[2]gachas!$1:$1,0)+1,FALSE)</f>
        <v>レアガチャ（追加02 確率UP）</v>
      </c>
      <c r="D151" s="6">
        <v>0</v>
      </c>
      <c r="E151" s="7">
        <v>173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公爵 フォルネウス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PremiumN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blue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ゴッド</v>
      </c>
      <c r="L151" s="6">
        <v>1</v>
      </c>
      <c r="M151" s="6">
        <v>595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01761</v>
      </c>
      <c r="B152" s="2">
        <v>102</v>
      </c>
      <c r="C152" s="10" t="str">
        <f ca="1">VLOOKUP($B152,OFFSET([2]gachas!$A$2,0,0,COUNTA([2]gachas!$A:$A),MATCH(C$1,[2]gachas!$1:$1,0)-MATCH($B$1,[2]gachas!$1:$1,0)+1),MATCH(C$1,[2]gachas!$1:$1,0)-MATCH($B$1,[2]gachas!$1:$1,0)+1,FALSE)</f>
        <v>レアガチャ（追加02 確率UP）</v>
      </c>
      <c r="D152" s="6">
        <v>0</v>
      </c>
      <c r="E152" s="7">
        <v>176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異教徒 バフォメット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PremiumN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yellow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ゴッド</v>
      </c>
      <c r="L152" s="6">
        <v>1</v>
      </c>
      <c r="M152" s="6">
        <v>595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01791</v>
      </c>
      <c r="B153" s="2">
        <v>102</v>
      </c>
      <c r="C153" s="10" t="str">
        <f ca="1">VLOOKUP($B153,OFFSET([2]gachas!$A$2,0,0,COUNTA([2]gachas!$A:$A),MATCH(C$1,[2]gachas!$1:$1,0)-MATCH($B$1,[2]gachas!$1:$1,0)+1),MATCH(C$1,[2]gachas!$1:$1,0)-MATCH($B$1,[2]gachas!$1:$1,0)+1,FALSE)</f>
        <v>レアガチャ（追加02 確率UP）</v>
      </c>
      <c r="D153" s="6">
        <v>0</v>
      </c>
      <c r="E153" s="7">
        <v>179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番犬 ケルベロス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PremiumN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red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6">
        <v>595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2"/>
        <v>01821</v>
      </c>
      <c r="B154" s="2">
        <v>102</v>
      </c>
      <c r="C154" s="10" t="str">
        <f ca="1">VLOOKUP($B154,OFFSET([2]gachas!$A$2,0,0,COUNTA([2]gachas!$A:$A),MATCH(C$1,[2]gachas!$1:$1,0)-MATCH($B$1,[2]gachas!$1:$1,0)+1),MATCH(C$1,[2]gachas!$1:$1,0)-MATCH($B$1,[2]gachas!$1:$1,0)+1,FALSE)</f>
        <v>レアガチャ（追加02 確率UP）</v>
      </c>
      <c r="D154" s="6">
        <v>0</v>
      </c>
      <c r="E154" s="7">
        <v>182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放蕩者 ベヒモス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PremiumN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green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アニマル</v>
      </c>
      <c r="L154" s="6">
        <v>1</v>
      </c>
      <c r="M154" s="6">
        <v>595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si="2"/>
        <v>01851</v>
      </c>
      <c r="B155" s="2">
        <v>102</v>
      </c>
      <c r="C155" s="10" t="str">
        <f ca="1">VLOOKUP($B155,OFFSET([2]gachas!$A$2,0,0,COUNTA([2]gachas!$A:$A),MATCH(C$1,[2]gachas!$1:$1,0)-MATCH($B$1,[2]gachas!$1:$1,0)+1),MATCH(C$1,[2]gachas!$1:$1,0)-MATCH($B$1,[2]gachas!$1:$1,0)+1,FALSE)</f>
        <v>レアガチャ（追加02 確率UP）</v>
      </c>
      <c r="D155" s="6">
        <v>0</v>
      </c>
      <c r="E155" s="7">
        <v>185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海姫 クラーケン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PremiumN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blue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アニマル</v>
      </c>
      <c r="L155" s="6">
        <v>1</v>
      </c>
      <c r="M155" s="6">
        <v>595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2"/>
        <v>01881</v>
      </c>
      <c r="B156" s="2">
        <v>102</v>
      </c>
      <c r="C156" s="10" t="str">
        <f ca="1">VLOOKUP($B156,OFFSET([2]gachas!$A$2,0,0,COUNTA([2]gachas!$A:$A),MATCH(C$1,[2]gachas!$1:$1,0)-MATCH($B$1,[2]gachas!$1:$1,0)+1),MATCH(C$1,[2]gachas!$1:$1,0)-MATCH($B$1,[2]gachas!$1:$1,0)+1,FALSE)</f>
        <v>レアガチャ（追加02 確率UP）</v>
      </c>
      <c r="D156" s="6">
        <v>0</v>
      </c>
      <c r="E156" s="7">
        <v>188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猛禽 ホルス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PremiumN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yellow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アニマル</v>
      </c>
      <c r="L156" s="6">
        <v>1</v>
      </c>
      <c r="M156" s="6">
        <v>595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2"/>
        <v>01911</v>
      </c>
      <c r="B157" s="2">
        <v>102</v>
      </c>
      <c r="C157" s="10" t="str">
        <f ca="1">VLOOKUP($B157,OFFSET([2]gachas!$A$2,0,0,COUNTA([2]gachas!$A:$A),MATCH(C$1,[2]gachas!$1:$1,0)-MATCH($B$1,[2]gachas!$1:$1,0)+1),MATCH(C$1,[2]gachas!$1:$1,0)-MATCH($B$1,[2]gachas!$1:$1,0)+1,FALSE)</f>
        <v>レアガチャ（追加02 確率UP）</v>
      </c>
      <c r="D157" s="6">
        <v>0</v>
      </c>
      <c r="E157" s="7">
        <v>191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始祖 卑弥呼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PremiumN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red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6">
        <v>595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2"/>
        <v>01941</v>
      </c>
      <c r="B158" s="2">
        <v>102</v>
      </c>
      <c r="C158" s="10" t="str">
        <f ca="1">VLOOKUP($B158,OFFSET([2]gachas!$A$2,0,0,COUNTA([2]gachas!$A:$A),MATCH(C$1,[2]gachas!$1:$1,0)-MATCH($B$1,[2]gachas!$1:$1,0)+1),MATCH(C$1,[2]gachas!$1:$1,0)-MATCH($B$1,[2]gachas!$1:$1,0)+1,FALSE)</f>
        <v>レアガチャ（追加02 確率UP）</v>
      </c>
      <c r="D158" s="6">
        <v>0</v>
      </c>
      <c r="E158" s="7">
        <v>194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PremiumN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green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6">
        <v>595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2"/>
        <v>01971</v>
      </c>
      <c r="B159" s="2">
        <v>102</v>
      </c>
      <c r="C159" s="10" t="str">
        <f ca="1">VLOOKUP($B159,OFFSET([2]gachas!$A$2,0,0,COUNTA([2]gachas!$A:$A),MATCH(C$1,[2]gachas!$1:$1,0)-MATCH($B$1,[2]gachas!$1:$1,0)+1),MATCH(C$1,[2]gachas!$1:$1,0)-MATCH($B$1,[2]gachas!$1:$1,0)+1,FALSE)</f>
        <v>レアガチャ（追加02 確率UP）</v>
      </c>
      <c r="D159" s="6">
        <v>0</v>
      </c>
      <c r="E159" s="7">
        <v>197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鉄腕 アキレス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PremiumN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yellow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6">
        <v>1</v>
      </c>
      <c r="M159" s="6">
        <v>595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2"/>
        <v>02001</v>
      </c>
      <c r="B160" s="2">
        <v>102</v>
      </c>
      <c r="C160" s="10" t="str">
        <f ca="1">VLOOKUP($B160,OFFSET([2]gachas!$A$2,0,0,COUNTA([2]gachas!$A:$A),MATCH(C$1,[2]gachas!$1:$1,0)-MATCH($B$1,[2]gachas!$1:$1,0)+1),MATCH(C$1,[2]gachas!$1:$1,0)-MATCH($B$1,[2]gachas!$1:$1,0)+1,FALSE)</f>
        <v>レアガチャ（追加02 確率UP）</v>
      </c>
      <c r="D160" s="6">
        <v>0</v>
      </c>
      <c r="E160" s="7">
        <v>200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PremiumN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6">
        <v>1</v>
      </c>
      <c r="M160" s="6">
        <v>595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2"/>
        <v>02031</v>
      </c>
      <c r="B161" s="2">
        <v>102</v>
      </c>
      <c r="C161" s="10" t="str">
        <f ca="1">VLOOKUP($B161,OFFSET([2]gachas!$A$2,0,0,COUNTA([2]gachas!$A:$A),MATCH(C$1,[2]gachas!$1:$1,0)-MATCH($B$1,[2]gachas!$1:$1,0)+1),MATCH(C$1,[2]gachas!$1:$1,0)-MATCH($B$1,[2]gachas!$1:$1,0)+1,FALSE)</f>
        <v>レアガチャ（追加02 確率UP）</v>
      </c>
      <c r="D161" s="6">
        <v>0</v>
      </c>
      <c r="E161" s="7">
        <v>203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焔神 プロメテウス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PremiumN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red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ゴッド</v>
      </c>
      <c r="L161" s="6">
        <v>1</v>
      </c>
      <c r="M161" s="6">
        <v>595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2"/>
        <v>02061</v>
      </c>
      <c r="B162" s="2">
        <v>102</v>
      </c>
      <c r="C162" s="10" t="str">
        <f ca="1">VLOOKUP($B162,OFFSET([2]gachas!$A$2,0,0,COUNTA([2]gachas!$A:$A),MATCH(C$1,[2]gachas!$1:$1,0)-MATCH($B$1,[2]gachas!$1:$1,0)+1),MATCH(C$1,[2]gachas!$1:$1,0)-MATCH($B$1,[2]gachas!$1:$1,0)+1,FALSE)</f>
        <v>レアガチャ（追加02 確率UP）</v>
      </c>
      <c r="D162" s="6">
        <v>0</v>
      </c>
      <c r="E162" s="7">
        <v>206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美神 アフロディーテ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PremiumN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green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ゴッド</v>
      </c>
      <c r="L162" s="6">
        <v>1</v>
      </c>
      <c r="M162" s="6">
        <v>595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2"/>
        <v>02091</v>
      </c>
      <c r="B163" s="2">
        <v>102</v>
      </c>
      <c r="C163" s="10" t="str">
        <f ca="1">VLOOKUP($B163,OFFSET([2]gachas!$A$2,0,0,COUNTA([2]gachas!$A:$A),MATCH(C$1,[2]gachas!$1:$1,0)-MATCH($B$1,[2]gachas!$1:$1,0)+1),MATCH(C$1,[2]gachas!$1:$1,0)-MATCH($B$1,[2]gachas!$1:$1,0)+1,FALSE)</f>
        <v>レアガチャ（追加02 確率UP）</v>
      </c>
      <c r="D163" s="6">
        <v>0</v>
      </c>
      <c r="E163" s="7">
        <v>209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孤神 テティス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PremiumN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blue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ゴッド</v>
      </c>
      <c r="L163" s="6">
        <v>1</v>
      </c>
      <c r="M163" s="6">
        <v>595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2"/>
        <v>02121</v>
      </c>
      <c r="B164" s="2">
        <v>102</v>
      </c>
      <c r="C164" s="10" t="str">
        <f ca="1">VLOOKUP($B164,OFFSET([2]gachas!$A$2,0,0,COUNTA([2]gachas!$A:$A),MATCH(C$1,[2]gachas!$1:$1,0)-MATCH($B$1,[2]gachas!$1:$1,0)+1),MATCH(C$1,[2]gachas!$1:$1,0)-MATCH($B$1,[2]gachas!$1:$1,0)+1,FALSE)</f>
        <v>レアガチャ（追加02 確率UP）</v>
      </c>
      <c r="D164" s="6">
        <v>0</v>
      </c>
      <c r="E164" s="7">
        <v>212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星神 アストライアー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PremiumN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yellow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ゴッド</v>
      </c>
      <c r="L164" s="6">
        <v>1</v>
      </c>
      <c r="M164" s="6">
        <v>595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2"/>
        <v>02151</v>
      </c>
      <c r="B165" s="2">
        <v>102</v>
      </c>
      <c r="C165" s="10" t="str">
        <f ca="1">VLOOKUP($B165,OFFSET([2]gachas!$A$2,0,0,COUNTA([2]gachas!$A:$A),MATCH(C$1,[2]gachas!$1:$1,0)-MATCH($B$1,[2]gachas!$1:$1,0)+1),MATCH(C$1,[2]gachas!$1:$1,0)-MATCH($B$1,[2]gachas!$1:$1,0)+1,FALSE)</f>
        <v>レアガチャ（追加02 確率UP）</v>
      </c>
      <c r="D165" s="6">
        <v>0</v>
      </c>
      <c r="E165" s="7">
        <v>215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死導者 アズラエル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PremiumN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red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ゴッド</v>
      </c>
      <c r="L165" s="6">
        <v>1</v>
      </c>
      <c r="M165" s="6">
        <v>595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2"/>
        <v>02181</v>
      </c>
      <c r="B166" s="2">
        <v>102</v>
      </c>
      <c r="C166" s="10" t="str">
        <f ca="1">VLOOKUP($B166,OFFSET([2]gachas!$A$2,0,0,COUNTA([2]gachas!$A:$A),MATCH(C$1,[2]gachas!$1:$1,0)-MATCH($B$1,[2]gachas!$1:$1,0)+1),MATCH(C$1,[2]gachas!$1:$1,0)-MATCH($B$1,[2]gachas!$1:$1,0)+1,FALSE)</f>
        <v>レアガチャ（追加02 確率UP）</v>
      </c>
      <c r="D166" s="6">
        <v>0</v>
      </c>
      <c r="E166" s="7">
        <v>218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聖蛇 ケツァクアトル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green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ドラゴン</v>
      </c>
      <c r="L166" s="6">
        <v>1</v>
      </c>
      <c r="M166" s="6">
        <v>595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2"/>
        <v>02211</v>
      </c>
      <c r="B167" s="2">
        <v>102</v>
      </c>
      <c r="C167" s="10" t="str">
        <f ca="1">VLOOKUP($B167,OFFSET([2]gachas!$A$2,0,0,COUNTA([2]gachas!$A:$A),MATCH(C$1,[2]gachas!$1:$1,0)-MATCH($B$1,[2]gachas!$1:$1,0)+1),MATCH(C$1,[2]gachas!$1:$1,0)-MATCH($B$1,[2]gachas!$1:$1,0)+1,FALSE)</f>
        <v>レアガチャ（追加02 確率UP）</v>
      </c>
      <c r="D167" s="6">
        <v>0</v>
      </c>
      <c r="E167" s="7">
        <v>221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宰相 ルキフグス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blue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6">
        <v>1</v>
      </c>
      <c r="M167" s="6">
        <v>595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2"/>
        <v>02241</v>
      </c>
      <c r="B168" s="2">
        <v>102</v>
      </c>
      <c r="C168" s="10" t="str">
        <f ca="1">VLOOKUP($B168,OFFSET([2]gachas!$A$2,0,0,COUNTA([2]gachas!$A:$A),MATCH(C$1,[2]gachas!$1:$1,0)-MATCH($B$1,[2]gachas!$1:$1,0)+1),MATCH(C$1,[2]gachas!$1:$1,0)-MATCH($B$1,[2]gachas!$1:$1,0)+1,FALSE)</f>
        <v>レアガチャ（追加02 確率UP）</v>
      </c>
      <c r="D168" s="6">
        <v>0</v>
      </c>
      <c r="E168" s="7">
        <v>224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巨腕 ヘラクレス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yellow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ヒューマン</v>
      </c>
      <c r="L168" s="6">
        <v>1</v>
      </c>
      <c r="M168" s="6">
        <v>595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2"/>
        <v>02271</v>
      </c>
      <c r="B169" s="2">
        <v>102</v>
      </c>
      <c r="C169" s="10" t="str">
        <f ca="1">VLOOKUP($B169,OFFSET([2]gachas!$A$2,0,0,COUNTA([2]gachas!$A:$A),MATCH(C$1,[2]gachas!$1:$1,0)-MATCH($B$1,[2]gachas!$1:$1,0)+1),MATCH(C$1,[2]gachas!$1:$1,0)-MATCH($B$1,[2]gachas!$1:$1,0)+1,FALSE)</f>
        <v>レアガチャ（追加02 確率UP）</v>
      </c>
      <c r="D169" s="6">
        <v>0</v>
      </c>
      <c r="E169" s="7">
        <v>227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滅弾 アレス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PremiumS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red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6">
        <v>255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2"/>
        <v>02301</v>
      </c>
      <c r="B170" s="2">
        <v>102</v>
      </c>
      <c r="C170" s="10" t="str">
        <f ca="1">VLOOKUP($B170,OFFSET([2]gachas!$A$2,0,0,COUNTA([2]gachas!$A:$A),MATCH(C$1,[2]gachas!$1:$1,0)-MATCH($B$1,[2]gachas!$1:$1,0)+1),MATCH(C$1,[2]gachas!$1:$1,0)-MATCH($B$1,[2]gachas!$1:$1,0)+1,FALSE)</f>
        <v>レアガチャ（追加02 確率UP）</v>
      </c>
      <c r="D170" s="6">
        <v>0</v>
      </c>
      <c r="E170" s="7">
        <v>230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毒銃 ヨルムンガンド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PremiumS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green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ドラゴン</v>
      </c>
      <c r="L170" s="6">
        <v>1</v>
      </c>
      <c r="M170" s="6">
        <v>255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2"/>
        <v>02331</v>
      </c>
      <c r="B171" s="2">
        <v>102</v>
      </c>
      <c r="C171" s="10" t="str">
        <f ca="1">VLOOKUP($B171,OFFSET([2]gachas!$A$2,0,0,COUNTA([2]gachas!$A:$A),MATCH(C$1,[2]gachas!$1:$1,0)-MATCH($B$1,[2]gachas!$1:$1,0)+1),MATCH(C$1,[2]gachas!$1:$1,0)-MATCH($B$1,[2]gachas!$1:$1,0)+1,FALSE)</f>
        <v>レアガチャ（追加02 確率UP）</v>
      </c>
      <c r="D171" s="6">
        <v>0</v>
      </c>
      <c r="E171" s="7">
        <v>233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遂行 パーシヴァル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PremiumS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blue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ヒューマン</v>
      </c>
      <c r="L171" s="6">
        <v>1</v>
      </c>
      <c r="M171" s="6">
        <v>255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2"/>
        <v>02361</v>
      </c>
      <c r="B172" s="2">
        <v>102</v>
      </c>
      <c r="C172" s="10" t="str">
        <f ca="1">VLOOKUP($B172,OFFSET([2]gachas!$A$2,0,0,COUNTA([2]gachas!$A:$A),MATCH(C$1,[2]gachas!$1:$1,0)-MATCH($B$1,[2]gachas!$1:$1,0)+1),MATCH(C$1,[2]gachas!$1:$1,0)-MATCH($B$1,[2]gachas!$1:$1,0)+1,FALSE)</f>
        <v>レアガチャ（追加02 確率UP）</v>
      </c>
      <c r="D172" s="6">
        <v>0</v>
      </c>
      <c r="E172" s="7">
        <v>236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神産 イザナミ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PremiumS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yellow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ゴッド</v>
      </c>
      <c r="L172" s="6">
        <v>1</v>
      </c>
      <c r="M172" s="6">
        <v>255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2"/>
        <v>01681</v>
      </c>
      <c r="B173" s="2">
        <v>102</v>
      </c>
      <c r="C173" s="10" t="str">
        <f ca="1">VLOOKUP($B173,OFFSET([2]gachas!$A$2,0,0,COUNTA([2]gachas!$A:$A),MATCH(C$1,[2]gachas!$1:$1,0)-MATCH($B$1,[2]gachas!$1:$1,0)+1),MATCH(C$1,[2]gachas!$1:$1,0)-MATCH($B$1,[2]gachas!$1:$1,0)+1,FALSE)</f>
        <v>レアガチャ（追加02 確率UP）</v>
      </c>
      <c r="D173" s="6">
        <v>0</v>
      </c>
      <c r="E173" s="7">
        <v>168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5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red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ゴッド</v>
      </c>
      <c r="L173" s="6">
        <v>1</v>
      </c>
      <c r="M173" s="6">
        <v>143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2"/>
        <v>01711</v>
      </c>
      <c r="B174" s="2">
        <v>102</v>
      </c>
      <c r="C174" s="10" t="str">
        <f ca="1">VLOOKUP($B174,OFFSET([2]gachas!$A$2,0,0,COUNTA([2]gachas!$A:$A),MATCH(C$1,[2]gachas!$1:$1,0)-MATCH($B$1,[2]gachas!$1:$1,0)+1),MATCH(C$1,[2]gachas!$1:$1,0)-MATCH($B$1,[2]gachas!$1:$1,0)+1,FALSE)</f>
        <v>レアガチャ（追加02 確率UP）</v>
      </c>
      <c r="D174" s="6">
        <v>0</v>
      </c>
      <c r="E174" s="7">
        <v>171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精解の預知者 オセ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5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green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ゴッド</v>
      </c>
      <c r="L174" s="6">
        <v>1</v>
      </c>
      <c r="M174" s="6">
        <v>143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2"/>
        <v>01741</v>
      </c>
      <c r="B175" s="2">
        <v>102</v>
      </c>
      <c r="C175" s="10" t="str">
        <f ca="1">VLOOKUP($B175,OFFSET([2]gachas!$A$2,0,0,COUNTA([2]gachas!$A:$A),MATCH(C$1,[2]gachas!$1:$1,0)-MATCH($B$1,[2]gachas!$1:$1,0)+1),MATCH(C$1,[2]gachas!$1:$1,0)-MATCH($B$1,[2]gachas!$1:$1,0)+1,FALSE)</f>
        <v>レアガチャ（追加02 確率UP）</v>
      </c>
      <c r="D175" s="6">
        <v>0</v>
      </c>
      <c r="E175" s="7">
        <v>174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5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blue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ゴッド</v>
      </c>
      <c r="L175" s="6">
        <v>1</v>
      </c>
      <c r="M175" s="6">
        <v>143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2"/>
        <v>01771</v>
      </c>
      <c r="B176" s="2">
        <v>102</v>
      </c>
      <c r="C176" s="10" t="str">
        <f ca="1">VLOOKUP($B176,OFFSET([2]gachas!$A$2,0,0,COUNTA([2]gachas!$A:$A),MATCH(C$1,[2]gachas!$1:$1,0)-MATCH($B$1,[2]gachas!$1:$1,0)+1),MATCH(C$1,[2]gachas!$1:$1,0)-MATCH($B$1,[2]gachas!$1:$1,0)+1,FALSE)</f>
        <v>レアガチャ（追加02 確率UP）</v>
      </c>
      <c r="D176" s="6">
        <v>0</v>
      </c>
      <c r="E176" s="7">
        <v>177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5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ゴッド</v>
      </c>
      <c r="L176" s="6">
        <v>1</v>
      </c>
      <c r="M176" s="6">
        <v>143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2"/>
        <v>01801</v>
      </c>
      <c r="B177" s="2">
        <v>102</v>
      </c>
      <c r="C177" s="10" t="str">
        <f ca="1">VLOOKUP($B177,OFFSET([2]gachas!$A$2,0,0,COUNTA([2]gachas!$A:$A),MATCH(C$1,[2]gachas!$1:$1,0)-MATCH($B$1,[2]gachas!$1:$1,0)+1),MATCH(C$1,[2]gachas!$1:$1,0)-MATCH($B$1,[2]gachas!$1:$1,0)+1,FALSE)</f>
        <v>レアガチャ（追加02 確率UP）</v>
      </c>
      <c r="D177" s="6">
        <v>0</v>
      </c>
      <c r="E177" s="7">
        <v>180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5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red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アニマル</v>
      </c>
      <c r="L177" s="6">
        <v>1</v>
      </c>
      <c r="M177" s="6">
        <v>143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2"/>
        <v>01831</v>
      </c>
      <c r="B178" s="2">
        <v>102</v>
      </c>
      <c r="C178" s="10" t="str">
        <f ca="1">VLOOKUP($B178,OFFSET([2]gachas!$A$2,0,0,COUNTA([2]gachas!$A:$A),MATCH(C$1,[2]gachas!$1:$1,0)-MATCH($B$1,[2]gachas!$1:$1,0)+1),MATCH(C$1,[2]gachas!$1:$1,0)-MATCH($B$1,[2]gachas!$1:$1,0)+1,FALSE)</f>
        <v>レアガチャ（追加02 確率UP）</v>
      </c>
      <c r="D178" s="6">
        <v>0</v>
      </c>
      <c r="E178" s="7">
        <v>183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5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green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アニマル</v>
      </c>
      <c r="L178" s="6">
        <v>1</v>
      </c>
      <c r="M178" s="6">
        <v>143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2"/>
        <v>01861</v>
      </c>
      <c r="B179" s="2">
        <v>102</v>
      </c>
      <c r="C179" s="10" t="str">
        <f ca="1">VLOOKUP($B179,OFFSET([2]gachas!$A$2,0,0,COUNTA([2]gachas!$A:$A),MATCH(C$1,[2]gachas!$1:$1,0)-MATCH($B$1,[2]gachas!$1:$1,0)+1),MATCH(C$1,[2]gachas!$1:$1,0)-MATCH($B$1,[2]gachas!$1:$1,0)+1,FALSE)</f>
        <v>レアガチャ（追加02 確率UP）</v>
      </c>
      <c r="D179" s="6">
        <v>0</v>
      </c>
      <c r="E179" s="7">
        <v>186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5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blue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アニマル</v>
      </c>
      <c r="L179" s="6">
        <v>1</v>
      </c>
      <c r="M179" s="6">
        <v>143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2"/>
        <v>01891</v>
      </c>
      <c r="B180" s="2">
        <v>102</v>
      </c>
      <c r="C180" s="10" t="str">
        <f ca="1">VLOOKUP($B180,OFFSET([2]gachas!$A$2,0,0,COUNTA([2]gachas!$A:$A),MATCH(C$1,[2]gachas!$1:$1,0)-MATCH($B$1,[2]gachas!$1:$1,0)+1),MATCH(C$1,[2]gachas!$1:$1,0)-MATCH($B$1,[2]gachas!$1:$1,0)+1,FALSE)</f>
        <v>レアガチャ（追加02 確率UP）</v>
      </c>
      <c r="D180" s="6">
        <v>0</v>
      </c>
      <c r="E180" s="7">
        <v>189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迅雷の王禽 ホルス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5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yellow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アニマル</v>
      </c>
      <c r="L180" s="6">
        <v>1</v>
      </c>
      <c r="M180" s="6">
        <v>143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2"/>
        <v>01921</v>
      </c>
      <c r="B181" s="2">
        <v>102</v>
      </c>
      <c r="C181" s="10" t="str">
        <f ca="1">VLOOKUP($B181,OFFSET([2]gachas!$A$2,0,0,COUNTA([2]gachas!$A:$A),MATCH(C$1,[2]gachas!$1:$1,0)-MATCH($B$1,[2]gachas!$1:$1,0)+1),MATCH(C$1,[2]gachas!$1:$1,0)-MATCH($B$1,[2]gachas!$1:$1,0)+1,FALSE)</f>
        <v>レアガチャ（追加02 確率UP）</v>
      </c>
      <c r="D181" s="6">
        <v>0</v>
      </c>
      <c r="E181" s="7">
        <v>192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5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red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ヒューマン</v>
      </c>
      <c r="L181" s="6">
        <v>1</v>
      </c>
      <c r="M181" s="6">
        <v>143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2"/>
        <v>01951</v>
      </c>
      <c r="B182" s="2">
        <v>102</v>
      </c>
      <c r="C182" s="10" t="str">
        <f ca="1">VLOOKUP($B182,OFFSET([2]gachas!$A$2,0,0,COUNTA([2]gachas!$A:$A),MATCH(C$1,[2]gachas!$1:$1,0)-MATCH($B$1,[2]gachas!$1:$1,0)+1),MATCH(C$1,[2]gachas!$1:$1,0)-MATCH($B$1,[2]gachas!$1:$1,0)+1,FALSE)</f>
        <v>レアガチャ（追加02 確率UP）</v>
      </c>
      <c r="D182" s="6">
        <v>0</v>
      </c>
      <c r="E182" s="7">
        <v>195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5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green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ヒューマン</v>
      </c>
      <c r="L182" s="6">
        <v>1</v>
      </c>
      <c r="M182" s="6">
        <v>143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2"/>
        <v>01981</v>
      </c>
      <c r="B183" s="2">
        <v>102</v>
      </c>
      <c r="C183" s="10" t="str">
        <f ca="1">VLOOKUP($B183,OFFSET([2]gachas!$A$2,0,0,COUNTA([2]gachas!$A:$A),MATCH(C$1,[2]gachas!$1:$1,0)-MATCH($B$1,[2]gachas!$1:$1,0)+1),MATCH(C$1,[2]gachas!$1:$1,0)-MATCH($B$1,[2]gachas!$1:$1,0)+1,FALSE)</f>
        <v>レアガチャ（追加02 確率UP）</v>
      </c>
      <c r="D183" s="6">
        <v>0</v>
      </c>
      <c r="E183" s="7">
        <v>198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砕骨の剛腕 アキレス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5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yellow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ヒューマン</v>
      </c>
      <c r="L183" s="6">
        <v>1</v>
      </c>
      <c r="M183" s="6">
        <v>143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2"/>
        <v>02011</v>
      </c>
      <c r="B184" s="2">
        <v>102</v>
      </c>
      <c r="C184" s="10" t="str">
        <f ca="1">VLOOKUP($B184,OFFSET([2]gachas!$A$2,0,0,COUNTA([2]gachas!$A:$A),MATCH(C$1,[2]gachas!$1:$1,0)-MATCH($B$1,[2]gachas!$1:$1,0)+1),MATCH(C$1,[2]gachas!$1:$1,0)-MATCH($B$1,[2]gachas!$1:$1,0)+1,FALSE)</f>
        <v>レアガチャ（追加02 確率UP）</v>
      </c>
      <c r="D184" s="6">
        <v>0</v>
      </c>
      <c r="E184" s="7">
        <v>201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5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ヒューマン</v>
      </c>
      <c r="L184" s="6">
        <v>1</v>
      </c>
      <c r="M184" s="6">
        <v>143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2"/>
        <v>02041</v>
      </c>
      <c r="B185" s="2">
        <v>102</v>
      </c>
      <c r="C185" s="10" t="str">
        <f ca="1">VLOOKUP($B185,OFFSET([2]gachas!$A$2,0,0,COUNTA([2]gachas!$A:$A),MATCH(C$1,[2]gachas!$1:$1,0)-MATCH($B$1,[2]gachas!$1:$1,0)+1),MATCH(C$1,[2]gachas!$1:$1,0)-MATCH($B$1,[2]gachas!$1:$1,0)+1,FALSE)</f>
        <v>レアガチャ（追加02 確率UP）</v>
      </c>
      <c r="D185" s="6">
        <v>0</v>
      </c>
      <c r="E185" s="7">
        <v>204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5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red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ゴッド</v>
      </c>
      <c r="L185" s="6">
        <v>1</v>
      </c>
      <c r="M185" s="6">
        <v>143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2"/>
        <v>02071</v>
      </c>
      <c r="B186" s="2">
        <v>102</v>
      </c>
      <c r="C186" s="10" t="str">
        <f ca="1">VLOOKUP($B186,OFFSET([2]gachas!$A$2,0,0,COUNTA([2]gachas!$A:$A),MATCH(C$1,[2]gachas!$1:$1,0)-MATCH($B$1,[2]gachas!$1:$1,0)+1),MATCH(C$1,[2]gachas!$1:$1,0)-MATCH($B$1,[2]gachas!$1:$1,0)+1,FALSE)</f>
        <v>レアガチャ（追加02 確率UP）</v>
      </c>
      <c r="D186" s="6">
        <v>0</v>
      </c>
      <c r="E186" s="7">
        <v>207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PremiumN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5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green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6">
        <v>143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2"/>
        <v>02101</v>
      </c>
      <c r="B187" s="2">
        <v>102</v>
      </c>
      <c r="C187" s="10" t="str">
        <f ca="1">VLOOKUP($B187,OFFSET([2]gachas!$A$2,0,0,COUNTA([2]gachas!$A:$A),MATCH(C$1,[2]gachas!$1:$1,0)-MATCH($B$1,[2]gachas!$1:$1,0)+1),MATCH(C$1,[2]gachas!$1:$1,0)-MATCH($B$1,[2]gachas!$1:$1,0)+1,FALSE)</f>
        <v>レアガチャ（追加02 確率UP）</v>
      </c>
      <c r="D187" s="6">
        <v>0</v>
      </c>
      <c r="E187" s="7">
        <v>210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PremiumN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5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blue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ゴッド</v>
      </c>
      <c r="L187" s="6">
        <v>1</v>
      </c>
      <c r="M187" s="6">
        <v>143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2"/>
        <v>02131</v>
      </c>
      <c r="B188" s="2">
        <v>102</v>
      </c>
      <c r="C188" s="10" t="str">
        <f ca="1">VLOOKUP($B188,OFFSET([2]gachas!$A$2,0,0,COUNTA([2]gachas!$A:$A),MATCH(C$1,[2]gachas!$1:$1,0)-MATCH($B$1,[2]gachas!$1:$1,0)+1),MATCH(C$1,[2]gachas!$1:$1,0)-MATCH($B$1,[2]gachas!$1:$1,0)+1,FALSE)</f>
        <v>レアガチャ（追加02 確率UP）</v>
      </c>
      <c r="D188" s="6">
        <v>0</v>
      </c>
      <c r="E188" s="7">
        <v>213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PremiumN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5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yellow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ゴッド</v>
      </c>
      <c r="L188" s="6">
        <v>1</v>
      </c>
      <c r="M188" s="6">
        <v>143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2"/>
        <v>02161</v>
      </c>
      <c r="B189" s="2">
        <v>102</v>
      </c>
      <c r="C189" s="10" t="str">
        <f ca="1">VLOOKUP($B189,OFFSET([2]gachas!$A$2,0,0,COUNTA([2]gachas!$A:$A),MATCH(C$1,[2]gachas!$1:$1,0)-MATCH($B$1,[2]gachas!$1:$1,0)+1),MATCH(C$1,[2]gachas!$1:$1,0)-MATCH($B$1,[2]gachas!$1:$1,0)+1,FALSE)</f>
        <v>レアガチャ（追加02 確率UP）</v>
      </c>
      <c r="D189" s="6">
        <v>0</v>
      </c>
      <c r="E189" s="7">
        <v>216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PremiumN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5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red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6">
        <v>143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2"/>
        <v>02191</v>
      </c>
      <c r="B190" s="2">
        <v>102</v>
      </c>
      <c r="C190" s="10" t="str">
        <f ca="1">VLOOKUP($B190,OFFSET([2]gachas!$A$2,0,0,COUNTA([2]gachas!$A:$A),MATCH(C$1,[2]gachas!$1:$1,0)-MATCH($B$1,[2]gachas!$1:$1,0)+1),MATCH(C$1,[2]gachas!$1:$1,0)-MATCH($B$1,[2]gachas!$1:$1,0)+1,FALSE)</f>
        <v>レアガチャ（追加02 確率UP）</v>
      </c>
      <c r="D190" s="6">
        <v>0</v>
      </c>
      <c r="E190" s="7">
        <v>219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green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ドラゴン</v>
      </c>
      <c r="L190" s="6">
        <v>1</v>
      </c>
      <c r="M190" s="6">
        <v>143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2"/>
        <v>02221</v>
      </c>
      <c r="B191" s="2">
        <v>102</v>
      </c>
      <c r="C191" s="10" t="str">
        <f ca="1">VLOOKUP($B191,OFFSET([2]gachas!$A$2,0,0,COUNTA([2]gachas!$A:$A),MATCH(C$1,[2]gachas!$1:$1,0)-MATCH($B$1,[2]gachas!$1:$1,0)+1),MATCH(C$1,[2]gachas!$1:$1,0)-MATCH($B$1,[2]gachas!$1:$1,0)+1,FALSE)</f>
        <v>レアガチャ（追加02 確率UP）</v>
      </c>
      <c r="D191" s="6">
        <v>0</v>
      </c>
      <c r="E191" s="7">
        <v>222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blue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6">
        <v>1</v>
      </c>
      <c r="M191" s="6">
        <v>143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2"/>
        <v>02251</v>
      </c>
      <c r="B192" s="2">
        <v>102</v>
      </c>
      <c r="C192" s="10" t="str">
        <f ca="1">VLOOKUP($B192,OFFSET([2]gachas!$A$2,0,0,COUNTA([2]gachas!$A:$A),MATCH(C$1,[2]gachas!$1:$1,0)-MATCH($B$1,[2]gachas!$1:$1,0)+1),MATCH(C$1,[2]gachas!$1:$1,0)-MATCH($B$1,[2]gachas!$1:$1,0)+1,FALSE)</f>
        <v>レアガチャ（追加02 確率UP）</v>
      </c>
      <c r="D192" s="6">
        <v>0</v>
      </c>
      <c r="E192" s="7">
        <v>225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yellow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ヒューマン</v>
      </c>
      <c r="L192" s="6">
        <v>1</v>
      </c>
      <c r="M192" s="6">
        <v>143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2"/>
        <v>02281</v>
      </c>
      <c r="B193" s="2">
        <v>102</v>
      </c>
      <c r="C193" s="10" t="str">
        <f ca="1">VLOOKUP($B193,OFFSET([2]gachas!$A$2,0,0,COUNTA([2]gachas!$A:$A),MATCH(C$1,[2]gachas!$1:$1,0)-MATCH($B$1,[2]gachas!$1:$1,0)+1),MATCH(C$1,[2]gachas!$1:$1,0)-MATCH($B$1,[2]gachas!$1:$1,0)+1,FALSE)</f>
        <v>レアガチャ（追加02 確率UP）</v>
      </c>
      <c r="D193" s="6">
        <v>0</v>
      </c>
      <c r="E193" s="7">
        <v>228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殲滅の掃射砲 アレス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PremiumS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red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6">
        <v>61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2"/>
        <v>02311</v>
      </c>
      <c r="B194" s="2">
        <v>102</v>
      </c>
      <c r="C194" s="10" t="str">
        <f ca="1">VLOOKUP($B194,OFFSET([2]gachas!$A$2,0,0,COUNTA([2]gachas!$A:$A),MATCH(C$1,[2]gachas!$1:$1,0)-MATCH($B$1,[2]gachas!$1:$1,0)+1),MATCH(C$1,[2]gachas!$1:$1,0)-MATCH($B$1,[2]gachas!$1:$1,0)+1,FALSE)</f>
        <v>レアガチャ（追加02 確率UP）</v>
      </c>
      <c r="D194" s="6">
        <v>0</v>
      </c>
      <c r="E194" s="7">
        <v>231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PremiumS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green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ドラゴン</v>
      </c>
      <c r="L194" s="6">
        <v>1</v>
      </c>
      <c r="M194" s="6">
        <v>61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2"/>
        <v>02341</v>
      </c>
      <c r="B195" s="2">
        <v>102</v>
      </c>
      <c r="C195" s="10" t="str">
        <f ca="1">VLOOKUP($B195,OFFSET([2]gachas!$A$2,0,0,COUNTA([2]gachas!$A:$A),MATCH(C$1,[2]gachas!$1:$1,0)-MATCH($B$1,[2]gachas!$1:$1,0)+1),MATCH(C$1,[2]gachas!$1:$1,0)-MATCH($B$1,[2]gachas!$1:$1,0)+1,FALSE)</f>
        <v>レアガチャ（追加02 確率UP）</v>
      </c>
      <c r="D195" s="6">
        <v>0</v>
      </c>
      <c r="E195" s="7">
        <v>234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PremiumS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blue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ヒューマン</v>
      </c>
      <c r="L195" s="6">
        <v>1</v>
      </c>
      <c r="M195" s="6">
        <v>61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s="26" customFormat="1" ht="21" customHeight="1" thickBot="1">
      <c r="A196" s="22" t="str">
        <f t="shared" si="2"/>
        <v>02371</v>
      </c>
      <c r="B196" s="2">
        <v>102</v>
      </c>
      <c r="C196" s="10" t="str">
        <f ca="1">VLOOKUP($B196,OFFSET([2]gachas!$A$2,0,0,COUNTA([2]gachas!$A:$A),MATCH(C$1,[2]gachas!$1:$1,0)-MATCH($B$1,[2]gachas!$1:$1,0)+1),MATCH(C$1,[2]gachas!$1:$1,0)-MATCH($B$1,[2]gachas!$1:$1,0)+1,FALSE)</f>
        <v>レアガチャ（追加02 確率UP）</v>
      </c>
      <c r="D196" s="6">
        <v>0</v>
      </c>
      <c r="E196" s="7">
        <v>237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PremiumS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yellow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ゴッド</v>
      </c>
      <c r="L196" s="6">
        <v>1</v>
      </c>
      <c r="M196" s="6">
        <v>61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2"/>
        <v>02381</v>
      </c>
      <c r="B197" s="2">
        <v>102</v>
      </c>
      <c r="C197" s="10" t="str">
        <f ca="1">VLOOKUP($B197,OFFSET([2]gachas!$A$2,0,0,COUNTA([2]gachas!$A:$A),MATCH(C$1,[2]gachas!$1:$1,0)-MATCH($B$1,[2]gachas!$1:$1,0)+1),MATCH(C$1,[2]gachas!$1:$1,0)-MATCH($B$1,[2]gachas!$1:$1,0)+1,FALSE)</f>
        <v>レアガチャ（追加02 確率UP）</v>
      </c>
      <c r="D197" s="6">
        <v>0</v>
      </c>
      <c r="E197" s="19">
        <v>238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ウリエル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PremiumS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3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red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マシン</v>
      </c>
      <c r="L197" s="6">
        <v>1</v>
      </c>
      <c r="M197" s="6">
        <v>704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2"/>
        <v>02391</v>
      </c>
      <c r="B198" s="2">
        <v>102</v>
      </c>
      <c r="C198" s="10" t="str">
        <f ca="1">VLOOKUP($B198,OFFSET([2]gachas!$A$2,0,0,COUNTA([2]gachas!$A:$A),MATCH(C$1,[2]gachas!$1:$1,0)-MATCH($B$1,[2]gachas!$1:$1,0)+1),MATCH(C$1,[2]gachas!$1:$1,0)-MATCH($B$1,[2]gachas!$1:$1,0)+1,FALSE)</f>
        <v>レアガチャ（追加02 確率UP）</v>
      </c>
      <c r="D198" s="6">
        <v>0</v>
      </c>
      <c r="E198" s="19">
        <v>239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豪炎の天使 ウリエル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PremiumS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4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マシン</v>
      </c>
      <c r="L198" s="6">
        <v>1</v>
      </c>
      <c r="M198" s="6">
        <v>255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2"/>
        <v>02401</v>
      </c>
      <c r="B199" s="2">
        <v>102</v>
      </c>
      <c r="C199" s="10" t="str">
        <f ca="1">VLOOKUP($B199,OFFSET([2]gachas!$A$2,0,0,COUNTA([2]gachas!$A:$A),MATCH(C$1,[2]gachas!$1:$1,0)-MATCH($B$1,[2]gachas!$1:$1,0)+1),MATCH(C$1,[2]gachas!$1:$1,0)-MATCH($B$1,[2]gachas!$1:$1,0)+1,FALSE)</f>
        <v>レアガチャ（追加02 確率UP）</v>
      </c>
      <c r="D199" s="6">
        <v>0</v>
      </c>
      <c r="E199" s="19">
        <v>240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PremiumS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red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マシン</v>
      </c>
      <c r="L199" s="6">
        <v>1</v>
      </c>
      <c r="M199" s="6">
        <v>61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2"/>
        <v>02411</v>
      </c>
      <c r="B200" s="2">
        <v>102</v>
      </c>
      <c r="C200" s="10" t="str">
        <f ca="1">VLOOKUP($B200,OFFSET([2]gachas!$A$2,0,0,COUNTA([2]gachas!$A:$A),MATCH(C$1,[2]gachas!$1:$1,0)-MATCH($B$1,[2]gachas!$1:$1,0)+1),MATCH(C$1,[2]gachas!$1:$1,0)-MATCH($B$1,[2]gachas!$1:$1,0)+1,FALSE)</f>
        <v>レアガチャ（追加02 確率UP）</v>
      </c>
      <c r="D200" s="6">
        <v>0</v>
      </c>
      <c r="E200" s="19">
        <v>241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ガブリエル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PremiumS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3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green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マシン</v>
      </c>
      <c r="L200" s="6">
        <v>1</v>
      </c>
      <c r="M200" s="6">
        <v>704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2"/>
        <v>02421</v>
      </c>
      <c r="B201" s="2">
        <v>102</v>
      </c>
      <c r="C201" s="10" t="str">
        <f ca="1">VLOOKUP($B201,OFFSET([2]gachas!$A$2,0,0,COUNTA([2]gachas!$A:$A),MATCH(C$1,[2]gachas!$1:$1,0)-MATCH($B$1,[2]gachas!$1:$1,0)+1),MATCH(C$1,[2]gachas!$1:$1,0)-MATCH($B$1,[2]gachas!$1:$1,0)+1,FALSE)</f>
        <v>レアガチャ（追加02 確率UP）</v>
      </c>
      <c r="D201" s="6">
        <v>0</v>
      </c>
      <c r="E201" s="19">
        <v>242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PremiumS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4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green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マシン</v>
      </c>
      <c r="L201" s="6">
        <v>1</v>
      </c>
      <c r="M201" s="6">
        <v>255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ref="A202:A208" si="3">D202&amp;E202&amp;L202</f>
        <v>02431</v>
      </c>
      <c r="B202" s="2">
        <v>102</v>
      </c>
      <c r="C202" s="10" t="str">
        <f ca="1">VLOOKUP($B202,OFFSET([2]gachas!$A$2,0,0,COUNTA([2]gachas!$A:$A),MATCH(C$1,[2]gachas!$1:$1,0)-MATCH($B$1,[2]gachas!$1:$1,0)+1),MATCH(C$1,[2]gachas!$1:$1,0)-MATCH($B$1,[2]gachas!$1:$1,0)+1,FALSE)</f>
        <v>レアガチャ（追加02 確率UP）</v>
      </c>
      <c r="D202" s="6">
        <v>0</v>
      </c>
      <c r="E202" s="19">
        <v>243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PremiumS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green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マシン</v>
      </c>
      <c r="L202" s="6">
        <v>1</v>
      </c>
      <c r="M202" s="6">
        <v>61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3"/>
        <v>02441</v>
      </c>
      <c r="B203" s="2">
        <v>102</v>
      </c>
      <c r="C203" s="10" t="str">
        <f ca="1">VLOOKUP($B203,OFFSET([2]gachas!$A$2,0,0,COUNTA([2]gachas!$A:$A),MATCH(C$1,[2]gachas!$1:$1,0)-MATCH($B$1,[2]gachas!$1:$1,0)+1),MATCH(C$1,[2]gachas!$1:$1,0)-MATCH($B$1,[2]gachas!$1:$1,0)+1,FALSE)</f>
        <v>レアガチャ（追加02 確率UP）</v>
      </c>
      <c r="D203" s="6">
        <v>0</v>
      </c>
      <c r="E203" s="19">
        <v>244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ラファエル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PremiumS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3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blue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マシン</v>
      </c>
      <c r="L203" s="6">
        <v>1</v>
      </c>
      <c r="M203" s="6">
        <v>704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3"/>
        <v>02451</v>
      </c>
      <c r="B204" s="2">
        <v>102</v>
      </c>
      <c r="C204" s="10" t="str">
        <f ca="1">VLOOKUP($B204,OFFSET([2]gachas!$A$2,0,0,COUNTA([2]gachas!$A:$A),MATCH(C$1,[2]gachas!$1:$1,0)-MATCH($B$1,[2]gachas!$1:$1,0)+1),MATCH(C$1,[2]gachas!$1:$1,0)-MATCH($B$1,[2]gachas!$1:$1,0)+1,FALSE)</f>
        <v>レアガチャ（追加02 確率UP）</v>
      </c>
      <c r="D204" s="6">
        <v>0</v>
      </c>
      <c r="E204" s="19">
        <v>245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PremiumS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4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マシン</v>
      </c>
      <c r="L204" s="6">
        <v>1</v>
      </c>
      <c r="M204" s="6">
        <v>255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3"/>
        <v>02461</v>
      </c>
      <c r="B205" s="2">
        <v>102</v>
      </c>
      <c r="C205" s="10" t="str">
        <f ca="1">VLOOKUP($B205,OFFSET([2]gachas!$A$2,0,0,COUNTA([2]gachas!$A:$A),MATCH(C$1,[2]gachas!$1:$1,0)-MATCH($B$1,[2]gachas!$1:$1,0)+1),MATCH(C$1,[2]gachas!$1:$1,0)-MATCH($B$1,[2]gachas!$1:$1,0)+1,FALSE)</f>
        <v>レアガチャ（追加02 確率UP）</v>
      </c>
      <c r="D205" s="6">
        <v>0</v>
      </c>
      <c r="E205" s="19">
        <v>246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PremiumS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blue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マシン</v>
      </c>
      <c r="L205" s="6">
        <v>1</v>
      </c>
      <c r="M205" s="6">
        <v>61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3"/>
        <v>02471</v>
      </c>
      <c r="B206" s="2">
        <v>102</v>
      </c>
      <c r="C206" s="10" t="str">
        <f ca="1">VLOOKUP($B206,OFFSET([2]gachas!$A$2,0,0,COUNTA([2]gachas!$A:$A),MATCH(C$1,[2]gachas!$1:$1,0)-MATCH($B$1,[2]gachas!$1:$1,0)+1),MATCH(C$1,[2]gachas!$1:$1,0)-MATCH($B$1,[2]gachas!$1:$1,0)+1,FALSE)</f>
        <v>レアガチャ（追加02 確率UP）</v>
      </c>
      <c r="D206" s="6">
        <v>0</v>
      </c>
      <c r="E206" s="19">
        <v>247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ミカエル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PremiumS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3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yellow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マシン</v>
      </c>
      <c r="L206" s="6">
        <v>1</v>
      </c>
      <c r="M206" s="6">
        <v>704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3"/>
        <v>02481</v>
      </c>
      <c r="B207" s="2">
        <v>102</v>
      </c>
      <c r="C207" s="10" t="str">
        <f ca="1">VLOOKUP($B207,OFFSET([2]gachas!$A$2,0,0,COUNTA([2]gachas!$A:$A),MATCH(C$1,[2]gachas!$1:$1,0)-MATCH($B$1,[2]gachas!$1:$1,0)+1),MATCH(C$1,[2]gachas!$1:$1,0)-MATCH($B$1,[2]gachas!$1:$1,0)+1,FALSE)</f>
        <v>レアガチャ（追加02 確率UP）</v>
      </c>
      <c r="D207" s="6">
        <v>0</v>
      </c>
      <c r="E207" s="19">
        <v>248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彩電の天使 ミカエル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PremiumS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4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yellow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マシン</v>
      </c>
      <c r="L207" s="6">
        <v>1</v>
      </c>
      <c r="M207" s="6">
        <v>255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s="26" customFormat="1" ht="21" customHeight="1" thickBot="1">
      <c r="A208" s="22" t="str">
        <f t="shared" si="3"/>
        <v>02491</v>
      </c>
      <c r="B208" s="2">
        <v>102</v>
      </c>
      <c r="C208" s="10" t="str">
        <f ca="1">VLOOKUP($B208,OFFSET([2]gachas!$A$2,0,0,COUNTA([2]gachas!$A:$A),MATCH(C$1,[2]gachas!$1:$1,0)-MATCH($B$1,[2]gachas!$1:$1,0)+1),MATCH(C$1,[2]gachas!$1:$1,0)-MATCH($B$1,[2]gachas!$1:$1,0)+1,FALSE)</f>
        <v>レアガチャ（追加02 確率UP）</v>
      </c>
      <c r="D208" s="6">
        <v>0</v>
      </c>
      <c r="E208" s="19">
        <v>249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PremiumS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yellow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マシン</v>
      </c>
      <c r="L208" s="6">
        <v>1</v>
      </c>
      <c r="M208" s="6">
        <v>61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s="26" customFormat="1" ht="21" customHeight="1" thickBot="1">
      <c r="A209" s="22" t="str">
        <f t="shared" ref="A209" si="4">D209&amp;E209&amp;L209</f>
        <v>02501</v>
      </c>
      <c r="B209" s="2">
        <v>102</v>
      </c>
      <c r="C209" s="10" t="str">
        <f ca="1">VLOOKUP($B209,OFFSET([2]gachas!$A$2,0,0,COUNTA([2]gachas!$A:$A),MATCH(C$1,[2]gachas!$1:$1,0)-MATCH($B$1,[2]gachas!$1:$1,0)+1),MATCH(C$1,[2]gachas!$1:$1,0)-MATCH($B$1,[2]gachas!$1:$1,0)+1,FALSE)</f>
        <v>レアガチャ（追加02 確率UP）</v>
      </c>
      <c r="D209" s="29">
        <v>0</v>
      </c>
      <c r="E209" s="30">
        <v>250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マンモン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PremiumS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3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red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ゴッド</v>
      </c>
      <c r="L209" s="29">
        <v>1</v>
      </c>
      <c r="M209" s="29">
        <v>5865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 thickBot="1">
      <c r="A210" s="22" t="str">
        <f t="shared" ref="A210:A220" si="5">D210&amp;E210&amp;L210</f>
        <v>02511</v>
      </c>
      <c r="B210" s="2">
        <v>102</v>
      </c>
      <c r="C210" s="10" t="str">
        <f ca="1">VLOOKUP($B210,OFFSET([2]gachas!$A$2,0,0,COUNTA([2]gachas!$A:$A),MATCH(C$1,[2]gachas!$1:$1,0)-MATCH($B$1,[2]gachas!$1:$1,0)+1),MATCH(C$1,[2]gachas!$1:$1,0)-MATCH($B$1,[2]gachas!$1:$1,0)+1,FALSE)</f>
        <v>レアガチャ（追加02 確率UP）</v>
      </c>
      <c r="D210" s="29">
        <v>0</v>
      </c>
      <c r="E210" s="30">
        <v>251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強欲 マンモン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4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29">
        <v>1</v>
      </c>
      <c r="M210" s="29">
        <v>2125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 thickBot="1">
      <c r="A211" s="22" t="str">
        <f t="shared" si="5"/>
        <v>02521</v>
      </c>
      <c r="B211" s="2">
        <v>102</v>
      </c>
      <c r="C211" s="10" t="str">
        <f ca="1">VLOOKUP($B211,OFFSET([2]gachas!$A$2,0,0,COUNTA([2]gachas!$A:$A),MATCH(C$1,[2]gachas!$1:$1,0)-MATCH($B$1,[2]gachas!$1:$1,0)+1),MATCH(C$1,[2]gachas!$1:$1,0)-MATCH($B$1,[2]gachas!$1:$1,0)+1,FALSE)</f>
        <v>レアガチャ（追加02 確率UP）</v>
      </c>
      <c r="D211" s="29">
        <v>0</v>
      </c>
      <c r="E211" s="30">
        <v>252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強欲の沸騰 マンモン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red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ゴッド</v>
      </c>
      <c r="L211" s="29">
        <v>1</v>
      </c>
      <c r="M211" s="29">
        <v>510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 thickBot="1">
      <c r="A212" s="22" t="str">
        <f t="shared" si="5"/>
        <v>02531</v>
      </c>
      <c r="B212" s="2">
        <v>102</v>
      </c>
      <c r="C212" s="10" t="str">
        <f ca="1">VLOOKUP($B212,OFFSET([2]gachas!$A$2,0,0,COUNTA([2]gachas!$A:$A),MATCH(C$1,[2]gachas!$1:$1,0)-MATCH($B$1,[2]gachas!$1:$1,0)+1),MATCH(C$1,[2]gachas!$1:$1,0)-MATCH($B$1,[2]gachas!$1:$1,0)+1,FALSE)</f>
        <v>レアガチャ（追加02 確率UP）</v>
      </c>
      <c r="D212" s="29">
        <v>0</v>
      </c>
      <c r="E212" s="30">
        <v>253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ベルフェゴール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3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green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ゴッド</v>
      </c>
      <c r="L212" s="29">
        <v>1</v>
      </c>
      <c r="M212" s="29">
        <v>5865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ht="21" customHeight="1" thickBot="1">
      <c r="A213" s="22" t="str">
        <f t="shared" si="5"/>
        <v>02541</v>
      </c>
      <c r="B213" s="2">
        <v>102</v>
      </c>
      <c r="C213" s="10" t="str">
        <f ca="1">VLOOKUP($B213,OFFSET([2]gachas!$A$2,0,0,COUNTA([2]gachas!$A:$A),MATCH(C$1,[2]gachas!$1:$1,0)-MATCH($B$1,[2]gachas!$1:$1,0)+1),MATCH(C$1,[2]gachas!$1:$1,0)-MATCH($B$1,[2]gachas!$1:$1,0)+1,FALSE)</f>
        <v>レアガチャ（追加02 確率UP）</v>
      </c>
      <c r="D213" s="29">
        <v>0</v>
      </c>
      <c r="E213" s="30">
        <v>254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怠惰 ベルフェゴール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4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green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29">
        <v>1</v>
      </c>
      <c r="M213" s="29">
        <v>2125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 thickBot="1">
      <c r="A214" s="22" t="str">
        <f t="shared" si="5"/>
        <v>02551</v>
      </c>
      <c r="B214" s="2">
        <v>102</v>
      </c>
      <c r="C214" s="10" t="str">
        <f ca="1">VLOOKUP($B214,OFFSET([2]gachas!$A$2,0,0,COUNTA([2]gachas!$A:$A),MATCH(C$1,[2]gachas!$1:$1,0)-MATCH($B$1,[2]gachas!$1:$1,0)+1),MATCH(C$1,[2]gachas!$1:$1,0)-MATCH($B$1,[2]gachas!$1:$1,0)+1,FALSE)</f>
        <v>レアガチャ（追加02 確率UP）</v>
      </c>
      <c r="D214" s="29">
        <v>0</v>
      </c>
      <c r="E214" s="30">
        <v>255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5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green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ゴッド</v>
      </c>
      <c r="L214" s="29">
        <v>1</v>
      </c>
      <c r="M214" s="29">
        <v>510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 thickBot="1">
      <c r="A215" s="22" t="str">
        <f t="shared" si="5"/>
        <v>02561</v>
      </c>
      <c r="B215" s="2">
        <v>102</v>
      </c>
      <c r="C215" s="10" t="str">
        <f ca="1">VLOOKUP($B215,OFFSET([2]gachas!$A$2,0,0,COUNTA([2]gachas!$A:$A),MATCH(C$1,[2]gachas!$1:$1,0)-MATCH($B$1,[2]gachas!$1:$1,0)+1),MATCH(C$1,[2]gachas!$1:$1,0)-MATCH($B$1,[2]gachas!$1:$1,0)+1,FALSE)</f>
        <v>レアガチャ（追加02 確率UP）</v>
      </c>
      <c r="D215" s="29">
        <v>0</v>
      </c>
      <c r="E215" s="30">
        <v>256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アスモデウス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3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blue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ゴッド</v>
      </c>
      <c r="L215" s="29">
        <v>1</v>
      </c>
      <c r="M215" s="29">
        <v>5865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 thickBot="1">
      <c r="A216" s="22" t="str">
        <f t="shared" si="5"/>
        <v>02571</v>
      </c>
      <c r="B216" s="2">
        <v>102</v>
      </c>
      <c r="C216" s="10" t="str">
        <f ca="1">VLOOKUP($B216,OFFSET([2]gachas!$A$2,0,0,COUNTA([2]gachas!$A:$A),MATCH(C$1,[2]gachas!$1:$1,0)-MATCH($B$1,[2]gachas!$1:$1,0)+1),MATCH(C$1,[2]gachas!$1:$1,0)-MATCH($B$1,[2]gachas!$1:$1,0)+1,FALSE)</f>
        <v>レアガチャ（追加02 確率UP）</v>
      </c>
      <c r="D216" s="29">
        <v>0</v>
      </c>
      <c r="E216" s="30">
        <v>257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色欲 アスモデウス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4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blue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ゴッド</v>
      </c>
      <c r="L216" s="29">
        <v>1</v>
      </c>
      <c r="M216" s="29">
        <v>2125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 thickBot="1">
      <c r="A217" s="22" t="str">
        <f t="shared" si="5"/>
        <v>02581</v>
      </c>
      <c r="B217" s="2">
        <v>102</v>
      </c>
      <c r="C217" s="10" t="str">
        <f ca="1">VLOOKUP($B217,OFFSET([2]gachas!$A$2,0,0,COUNTA([2]gachas!$A:$A),MATCH(C$1,[2]gachas!$1:$1,0)-MATCH($B$1,[2]gachas!$1:$1,0)+1),MATCH(C$1,[2]gachas!$1:$1,0)-MATCH($B$1,[2]gachas!$1:$1,0)+1,FALSE)</f>
        <v>レアガチャ（追加02 確率UP）</v>
      </c>
      <c r="D217" s="29">
        <v>0</v>
      </c>
      <c r="E217" s="30">
        <v>258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5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blue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ゴッド</v>
      </c>
      <c r="L217" s="29">
        <v>1</v>
      </c>
      <c r="M217" s="29">
        <v>510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 thickBot="1">
      <c r="A218" s="22" t="str">
        <f t="shared" si="5"/>
        <v>02591</v>
      </c>
      <c r="B218" s="2">
        <v>102</v>
      </c>
      <c r="C218" s="10" t="str">
        <f ca="1">VLOOKUP($B218,OFFSET([2]gachas!$A$2,0,0,COUNTA([2]gachas!$A:$A),MATCH(C$1,[2]gachas!$1:$1,0)-MATCH($B$1,[2]gachas!$1:$1,0)+1),MATCH(C$1,[2]gachas!$1:$1,0)-MATCH($B$1,[2]gachas!$1:$1,0)+1,FALSE)</f>
        <v>レアガチャ（追加02 確率UP）</v>
      </c>
      <c r="D218" s="29">
        <v>0</v>
      </c>
      <c r="E218" s="30">
        <v>259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ウロボロス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3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yellow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ドラゴン</v>
      </c>
      <c r="L218" s="29">
        <v>1</v>
      </c>
      <c r="M218" s="29">
        <v>5865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 thickBot="1">
      <c r="A219" s="22" t="str">
        <f t="shared" si="5"/>
        <v>02601</v>
      </c>
      <c r="B219" s="2">
        <v>102</v>
      </c>
      <c r="C219" s="10" t="str">
        <f ca="1">VLOOKUP($B219,OFFSET([2]gachas!$A$2,0,0,COUNTA([2]gachas!$A:$A),MATCH(C$1,[2]gachas!$1:$1,0)-MATCH($B$1,[2]gachas!$1:$1,0)+1),MATCH(C$1,[2]gachas!$1:$1,0)-MATCH($B$1,[2]gachas!$1:$1,0)+1,FALSE)</f>
        <v>レアガチャ（追加02 確率UP）</v>
      </c>
      <c r="D219" s="29">
        <v>0</v>
      </c>
      <c r="E219" s="30">
        <v>260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輪廻 ウロボロス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4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yellow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ドラゴン</v>
      </c>
      <c r="L219" s="29">
        <v>1</v>
      </c>
      <c r="M219" s="29">
        <v>2125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 thickBot="1">
      <c r="A220" s="22" t="str">
        <f t="shared" si="5"/>
        <v>02611</v>
      </c>
      <c r="B220" s="2">
        <v>102</v>
      </c>
      <c r="C220" s="10" t="str">
        <f ca="1">VLOOKUP($B220,OFFSET([2]gachas!$A$2,0,0,COUNTA([2]gachas!$A:$A),MATCH(C$1,[2]gachas!$1:$1,0)-MATCH($B$1,[2]gachas!$1:$1,0)+1),MATCH(C$1,[2]gachas!$1:$1,0)-MATCH($B$1,[2]gachas!$1:$1,0)+1,FALSE)</f>
        <v>レアガチャ（追加02 確率UP）</v>
      </c>
      <c r="D220" s="29">
        <v>0</v>
      </c>
      <c r="E220" s="30">
        <v>261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5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yellow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ドラゴン</v>
      </c>
      <c r="L220" s="29">
        <v>1</v>
      </c>
      <c r="M220" s="29">
        <v>510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</sheetData>
  <autoFilter ref="B1:M220">
    <sortState ref="B226:S337">
      <sortCondition ref="H1:H469"/>
    </sortState>
  </autoFilter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 enableFormatConditionsCalculation="0">
    <tabColor rgb="FF0000FF"/>
    <outlinePr summaryBelow="0" summaryRight="0"/>
  </sheetPr>
  <dimension ref="A1:R220"/>
  <sheetViews>
    <sheetView showGridLines="0" workbookViewId="0">
      <pane ySplit="1" topLeftCell="A202" activePane="bottomLeft" state="frozen"/>
      <selection pane="bottomLeft" activeCell="C2" sqref="C2:C220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5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103</v>
      </c>
      <c r="C2" s="10" t="str">
        <f ca="1">VLOOKUP($B2,OFFSET([2]gachas!$A$2,0,0,COUNTA([2]gachas!$A:$A),MATCH(C$1,[2]gachas!$1:$1,0)-MATCH($B$1,[2]gachas!$1:$1,0)+1),MATCH(C$1,[2]gachas!$1:$1,0)-MATCH($B$1,[2]gachas!$1:$1,0)+1,FALSE)</f>
        <v>レアガチャ（追加02）（大罪）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6">
        <v>2570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103</v>
      </c>
      <c r="C3" s="10" t="str">
        <f ca="1">VLOOKUP($B3,OFFSET([2]gachas!$A$2,0,0,COUNTA([2]gachas!$A:$A),MATCH(C$1,[2]gachas!$1:$1,0)-MATCH($B$1,[2]gachas!$1:$1,0)+1),MATCH(C$1,[2]gachas!$1:$1,0)-MATCH($B$1,[2]gachas!$1:$1,0)+1,FALSE)</f>
        <v>レアガチャ（追加02）（大罪）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6">
        <v>2570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103</v>
      </c>
      <c r="C4" s="10" t="str">
        <f ca="1">VLOOKUP($B4,OFFSET([2]gachas!$A$2,0,0,COUNTA([2]gachas!$A:$A),MATCH(C$1,[2]gachas!$1:$1,0)-MATCH($B$1,[2]gachas!$1:$1,0)+1),MATCH(C$1,[2]gachas!$1:$1,0)-MATCH($B$1,[2]gachas!$1:$1,0)+1,FALSE)</f>
        <v>レアガチャ（追加02）（大罪）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6">
        <v>2570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103</v>
      </c>
      <c r="C5" s="10" t="str">
        <f ca="1">VLOOKUP($B5,OFFSET([2]gachas!$A$2,0,0,COUNTA([2]gachas!$A:$A),MATCH(C$1,[2]gachas!$1:$1,0)-MATCH($B$1,[2]gachas!$1:$1,0)+1),MATCH(C$1,[2]gachas!$1:$1,0)-MATCH($B$1,[2]gachas!$1:$1,0)+1,FALSE)</f>
        <v>レアガチャ（追加02）（大罪）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6">
        <v>2570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103</v>
      </c>
      <c r="C6" s="10" t="str">
        <f ca="1">VLOOKUP($B6,OFFSET([2]gachas!$A$2,0,0,COUNTA([2]gachas!$A:$A),MATCH(C$1,[2]gachas!$1:$1,0)-MATCH($B$1,[2]gachas!$1:$1,0)+1),MATCH(C$1,[2]gachas!$1:$1,0)-MATCH($B$1,[2]gachas!$1:$1,0)+1,FALSE)</f>
        <v>レアガチャ（追加02）（大罪）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6">
        <v>2570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103</v>
      </c>
      <c r="C7" s="10" t="str">
        <f ca="1">VLOOKUP($B7,OFFSET([2]gachas!$A$2,0,0,COUNTA([2]gachas!$A:$A),MATCH(C$1,[2]gachas!$1:$1,0)-MATCH($B$1,[2]gachas!$1:$1,0)+1),MATCH(C$1,[2]gachas!$1:$1,0)-MATCH($B$1,[2]gachas!$1:$1,0)+1,FALSE)</f>
        <v>レアガチャ（追加02）（大罪）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6">
        <v>2570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103</v>
      </c>
      <c r="C8" s="10" t="str">
        <f ca="1">VLOOKUP($B8,OFFSET([2]gachas!$A$2,0,0,COUNTA([2]gachas!$A:$A),MATCH(C$1,[2]gachas!$1:$1,0)-MATCH($B$1,[2]gachas!$1:$1,0)+1),MATCH(C$1,[2]gachas!$1:$1,0)-MATCH($B$1,[2]gachas!$1:$1,0)+1,FALSE)</f>
        <v>レアガチャ（追加02）（大罪）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6">
        <v>2570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103</v>
      </c>
      <c r="C9" s="10" t="str">
        <f ca="1">VLOOKUP($B9,OFFSET([2]gachas!$A$2,0,0,COUNTA([2]gachas!$A:$A),MATCH(C$1,[2]gachas!$1:$1,0)-MATCH($B$1,[2]gachas!$1:$1,0)+1),MATCH(C$1,[2]gachas!$1:$1,0)-MATCH($B$1,[2]gachas!$1:$1,0)+1,FALSE)</f>
        <v>レアガチャ（追加02）（大罪）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6">
        <v>2570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103</v>
      </c>
      <c r="C10" s="10" t="str">
        <f ca="1">VLOOKUP($B10,OFFSET([2]gachas!$A$2,0,0,COUNTA([2]gachas!$A:$A),MATCH(C$1,[2]gachas!$1:$1,0)-MATCH($B$1,[2]gachas!$1:$1,0)+1),MATCH(C$1,[2]gachas!$1:$1,0)-MATCH($B$1,[2]gachas!$1:$1,0)+1,FALSE)</f>
        <v>レアガチャ（追加02）（大罪）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6">
        <v>2570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103</v>
      </c>
      <c r="C11" s="10" t="str">
        <f ca="1">VLOOKUP($B11,OFFSET([2]gachas!$A$2,0,0,COUNTA([2]gachas!$A:$A),MATCH(C$1,[2]gachas!$1:$1,0)-MATCH($B$1,[2]gachas!$1:$1,0)+1),MATCH(C$1,[2]gachas!$1:$1,0)-MATCH($B$1,[2]gachas!$1:$1,0)+1,FALSE)</f>
        <v>レアガチャ（追加02）（大罪）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6">
        <v>2570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103</v>
      </c>
      <c r="C12" s="10" t="str">
        <f ca="1">VLOOKUP($B12,OFFSET([2]gachas!$A$2,0,0,COUNTA([2]gachas!$A:$A),MATCH(C$1,[2]gachas!$1:$1,0)-MATCH($B$1,[2]gachas!$1:$1,0)+1),MATCH(C$1,[2]gachas!$1:$1,0)-MATCH($B$1,[2]gachas!$1:$1,0)+1,FALSE)</f>
        <v>レアガチャ（追加02）（大罪）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6">
        <v>2570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103</v>
      </c>
      <c r="C13" s="10" t="str">
        <f ca="1">VLOOKUP($B13,OFFSET([2]gachas!$A$2,0,0,COUNTA([2]gachas!$A:$A),MATCH(C$1,[2]gachas!$1:$1,0)-MATCH($B$1,[2]gachas!$1:$1,0)+1),MATCH(C$1,[2]gachas!$1:$1,0)-MATCH($B$1,[2]gachas!$1:$1,0)+1,FALSE)</f>
        <v>レアガチャ（追加02）（大罪）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6">
        <v>2570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103</v>
      </c>
      <c r="C14" s="10" t="str">
        <f ca="1">VLOOKUP($B14,OFFSET([2]gachas!$A$2,0,0,COUNTA([2]gachas!$A:$A),MATCH(C$1,[2]gachas!$1:$1,0)-MATCH($B$1,[2]gachas!$1:$1,0)+1),MATCH(C$1,[2]gachas!$1:$1,0)-MATCH($B$1,[2]gachas!$1:$1,0)+1,FALSE)</f>
        <v>レアガチャ（追加02）（大罪）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6">
        <v>2570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103</v>
      </c>
      <c r="C15" s="10" t="str">
        <f ca="1">VLOOKUP($B15,OFFSET([2]gachas!$A$2,0,0,COUNTA([2]gachas!$A:$A),MATCH(C$1,[2]gachas!$1:$1,0)-MATCH($B$1,[2]gachas!$1:$1,0)+1),MATCH(C$1,[2]gachas!$1:$1,0)-MATCH($B$1,[2]gachas!$1:$1,0)+1,FALSE)</f>
        <v>レアガチャ（追加02）（大罪）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6">
        <v>2570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103</v>
      </c>
      <c r="C16" s="10" t="str">
        <f ca="1">VLOOKUP($B16,OFFSET([2]gachas!$A$2,0,0,COUNTA([2]gachas!$A:$A),MATCH(C$1,[2]gachas!$1:$1,0)-MATCH($B$1,[2]gachas!$1:$1,0)+1),MATCH(C$1,[2]gachas!$1:$1,0)-MATCH($B$1,[2]gachas!$1:$1,0)+1,FALSE)</f>
        <v>レアガチャ（追加02）（大罪）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6">
        <v>2570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103</v>
      </c>
      <c r="C17" s="10" t="str">
        <f ca="1">VLOOKUP($B17,OFFSET([2]gachas!$A$2,0,0,COUNTA([2]gachas!$A:$A),MATCH(C$1,[2]gachas!$1:$1,0)-MATCH($B$1,[2]gachas!$1:$1,0)+1),MATCH(C$1,[2]gachas!$1:$1,0)-MATCH($B$1,[2]gachas!$1:$1,0)+1,FALSE)</f>
        <v>レアガチャ（追加02）（大罪）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6">
        <v>2570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103</v>
      </c>
      <c r="C18" s="10" t="str">
        <f ca="1">VLOOKUP($B18,OFFSET([2]gachas!$A$2,0,0,COUNTA([2]gachas!$A:$A),MATCH(C$1,[2]gachas!$1:$1,0)-MATCH($B$1,[2]gachas!$1:$1,0)+1),MATCH(C$1,[2]gachas!$1:$1,0)-MATCH($B$1,[2]gachas!$1:$1,0)+1,FALSE)</f>
        <v>レアガチャ（追加02）（大罪）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6">
        <v>2570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103</v>
      </c>
      <c r="C19" s="10" t="str">
        <f ca="1">VLOOKUP($B19,OFFSET([2]gachas!$A$2,0,0,COUNTA([2]gachas!$A:$A),MATCH(C$1,[2]gachas!$1:$1,0)-MATCH($B$1,[2]gachas!$1:$1,0)+1),MATCH(C$1,[2]gachas!$1:$1,0)-MATCH($B$1,[2]gachas!$1:$1,0)+1,FALSE)</f>
        <v>レアガチャ（追加02）（大罪）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6">
        <v>2570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103</v>
      </c>
      <c r="C20" s="10" t="str">
        <f ca="1">VLOOKUP($B20,OFFSET([2]gachas!$A$2,0,0,COUNTA([2]gachas!$A:$A),MATCH(C$1,[2]gachas!$1:$1,0)-MATCH($B$1,[2]gachas!$1:$1,0)+1),MATCH(C$1,[2]gachas!$1:$1,0)-MATCH($B$1,[2]gachas!$1:$1,0)+1,FALSE)</f>
        <v>レアガチャ（追加02）（大罪）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6">
        <v>2570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103</v>
      </c>
      <c r="C21" s="10" t="str">
        <f ca="1">VLOOKUP($B21,OFFSET([2]gachas!$A$2,0,0,COUNTA([2]gachas!$A:$A),MATCH(C$1,[2]gachas!$1:$1,0)-MATCH($B$1,[2]gachas!$1:$1,0)+1),MATCH(C$1,[2]gachas!$1:$1,0)-MATCH($B$1,[2]gachas!$1:$1,0)+1,FALSE)</f>
        <v>レアガチャ（追加02）（大罪）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6">
        <v>2570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103</v>
      </c>
      <c r="C22" s="10" t="str">
        <f ca="1">VLOOKUP($B22,OFFSET([2]gachas!$A$2,0,0,COUNTA([2]gachas!$A:$A),MATCH(C$1,[2]gachas!$1:$1,0)-MATCH($B$1,[2]gachas!$1:$1,0)+1),MATCH(C$1,[2]gachas!$1:$1,0)-MATCH($B$1,[2]gachas!$1:$1,0)+1,FALSE)</f>
        <v>レアガチャ（追加02）（大罪）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6">
        <v>2938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103</v>
      </c>
      <c r="C23" s="10" t="str">
        <f ca="1">VLOOKUP($B23,OFFSET([2]gachas!$A$2,0,0,COUNTA([2]gachas!$A:$A),MATCH(C$1,[2]gachas!$1:$1,0)-MATCH($B$1,[2]gachas!$1:$1,0)+1),MATCH(C$1,[2]gachas!$1:$1,0)-MATCH($B$1,[2]gachas!$1:$1,0)+1,FALSE)</f>
        <v>レアガチャ（追加02）（大罪）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6">
        <v>2938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103</v>
      </c>
      <c r="C24" s="10" t="str">
        <f ca="1">VLOOKUP($B24,OFFSET([2]gachas!$A$2,0,0,COUNTA([2]gachas!$A:$A),MATCH(C$1,[2]gachas!$1:$1,0)-MATCH($B$1,[2]gachas!$1:$1,0)+1),MATCH(C$1,[2]gachas!$1:$1,0)-MATCH($B$1,[2]gachas!$1:$1,0)+1,FALSE)</f>
        <v>レアガチャ（追加02）（大罪）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2938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103</v>
      </c>
      <c r="C25" s="10" t="str">
        <f ca="1">VLOOKUP($B25,OFFSET([2]gachas!$A$2,0,0,COUNTA([2]gachas!$A:$A),MATCH(C$1,[2]gachas!$1:$1,0)-MATCH($B$1,[2]gachas!$1:$1,0)+1),MATCH(C$1,[2]gachas!$1:$1,0)-MATCH($B$1,[2]gachas!$1:$1,0)+1,FALSE)</f>
        <v>レアガチャ（追加02）（大罪）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2938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103</v>
      </c>
      <c r="C26" s="10" t="str">
        <f ca="1">VLOOKUP($B26,OFFSET([2]gachas!$A$2,0,0,COUNTA([2]gachas!$A:$A),MATCH(C$1,[2]gachas!$1:$1,0)-MATCH($B$1,[2]gachas!$1:$1,0)+1),MATCH(C$1,[2]gachas!$1:$1,0)-MATCH($B$1,[2]gachas!$1:$1,0)+1,FALSE)</f>
        <v>レアガチャ（追加02）（大罪）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6">
        <v>2938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103</v>
      </c>
      <c r="C27" s="10" t="str">
        <f ca="1">VLOOKUP($B27,OFFSET([2]gachas!$A$2,0,0,COUNTA([2]gachas!$A:$A),MATCH(C$1,[2]gachas!$1:$1,0)-MATCH($B$1,[2]gachas!$1:$1,0)+1),MATCH(C$1,[2]gachas!$1:$1,0)-MATCH($B$1,[2]gachas!$1:$1,0)+1,FALSE)</f>
        <v>レアガチャ（追加02）（大罪）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2938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103</v>
      </c>
      <c r="C28" s="10" t="str">
        <f ca="1">VLOOKUP($B28,OFFSET([2]gachas!$A$2,0,0,COUNTA([2]gachas!$A:$A),MATCH(C$1,[2]gachas!$1:$1,0)-MATCH($B$1,[2]gachas!$1:$1,0)+1),MATCH(C$1,[2]gachas!$1:$1,0)-MATCH($B$1,[2]gachas!$1:$1,0)+1,FALSE)</f>
        <v>レアガチャ（追加02）（大罪）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2938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103</v>
      </c>
      <c r="C29" s="10" t="str">
        <f ca="1">VLOOKUP($B29,OFFSET([2]gachas!$A$2,0,0,COUNTA([2]gachas!$A:$A),MATCH(C$1,[2]gachas!$1:$1,0)-MATCH($B$1,[2]gachas!$1:$1,0)+1),MATCH(C$1,[2]gachas!$1:$1,0)-MATCH($B$1,[2]gachas!$1:$1,0)+1,FALSE)</f>
        <v>レアガチャ（追加02）（大罪）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2938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103</v>
      </c>
      <c r="C30" s="10" t="str">
        <f ca="1">VLOOKUP($B30,OFFSET([2]gachas!$A$2,0,0,COUNTA([2]gachas!$A:$A),MATCH(C$1,[2]gachas!$1:$1,0)-MATCH($B$1,[2]gachas!$1:$1,0)+1),MATCH(C$1,[2]gachas!$1:$1,0)-MATCH($B$1,[2]gachas!$1:$1,0)+1,FALSE)</f>
        <v>レアガチャ（追加02）（大罪）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6">
        <v>2938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103</v>
      </c>
      <c r="C31" s="10" t="str">
        <f ca="1">VLOOKUP($B31,OFFSET([2]gachas!$A$2,0,0,COUNTA([2]gachas!$A:$A),MATCH(C$1,[2]gachas!$1:$1,0)-MATCH($B$1,[2]gachas!$1:$1,0)+1),MATCH(C$1,[2]gachas!$1:$1,0)-MATCH($B$1,[2]gachas!$1:$1,0)+1,FALSE)</f>
        <v>レアガチャ（追加02）（大罪）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2938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103</v>
      </c>
      <c r="C32" s="10" t="str">
        <f ca="1">VLOOKUP($B32,OFFSET([2]gachas!$A$2,0,0,COUNTA([2]gachas!$A:$A),MATCH(C$1,[2]gachas!$1:$1,0)-MATCH($B$1,[2]gachas!$1:$1,0)+1),MATCH(C$1,[2]gachas!$1:$1,0)-MATCH($B$1,[2]gachas!$1:$1,0)+1,FALSE)</f>
        <v>レアガチャ（追加02）（大罪）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2938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103</v>
      </c>
      <c r="C33" s="10" t="str">
        <f ca="1">VLOOKUP($B33,OFFSET([2]gachas!$A$2,0,0,COUNTA([2]gachas!$A:$A),MATCH(C$1,[2]gachas!$1:$1,0)-MATCH($B$1,[2]gachas!$1:$1,0)+1),MATCH(C$1,[2]gachas!$1:$1,0)-MATCH($B$1,[2]gachas!$1:$1,0)+1,FALSE)</f>
        <v>レアガチャ（追加02）（大罪）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6">
        <v>2938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103</v>
      </c>
      <c r="C34" s="10" t="str">
        <f ca="1">VLOOKUP($B34,OFFSET([2]gachas!$A$2,0,0,COUNTA([2]gachas!$A:$A),MATCH(C$1,[2]gachas!$1:$1,0)-MATCH($B$1,[2]gachas!$1:$1,0)+1),MATCH(C$1,[2]gachas!$1:$1,0)-MATCH($B$1,[2]gachas!$1:$1,0)+1,FALSE)</f>
        <v>レアガチャ（追加02）（大罪）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6">
        <v>2938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103</v>
      </c>
      <c r="C35" s="10" t="str">
        <f ca="1">VLOOKUP($B35,OFFSET([2]gachas!$A$2,0,0,COUNTA([2]gachas!$A:$A),MATCH(C$1,[2]gachas!$1:$1,0)-MATCH($B$1,[2]gachas!$1:$1,0)+1),MATCH(C$1,[2]gachas!$1:$1,0)-MATCH($B$1,[2]gachas!$1:$1,0)+1,FALSE)</f>
        <v>レアガチャ（追加02）（大罪）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2938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103</v>
      </c>
      <c r="C36" s="10" t="str">
        <f ca="1">VLOOKUP($B36,OFFSET([2]gachas!$A$2,0,0,COUNTA([2]gachas!$A:$A),MATCH(C$1,[2]gachas!$1:$1,0)-MATCH($B$1,[2]gachas!$1:$1,0)+1),MATCH(C$1,[2]gachas!$1:$1,0)-MATCH($B$1,[2]gachas!$1:$1,0)+1,FALSE)</f>
        <v>レアガチャ（追加02）（大罪）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2938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103</v>
      </c>
      <c r="C37" s="10" t="str">
        <f ca="1">VLOOKUP($B37,OFFSET([2]gachas!$A$2,0,0,COUNTA([2]gachas!$A:$A),MATCH(C$1,[2]gachas!$1:$1,0)-MATCH($B$1,[2]gachas!$1:$1,0)+1),MATCH(C$1,[2]gachas!$1:$1,0)-MATCH($B$1,[2]gachas!$1:$1,0)+1,FALSE)</f>
        <v>レアガチャ（追加02）（大罪）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2938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103</v>
      </c>
      <c r="C38" s="10" t="str">
        <f ca="1">VLOOKUP($B38,OFFSET([2]gachas!$A$2,0,0,COUNTA([2]gachas!$A:$A),MATCH(C$1,[2]gachas!$1:$1,0)-MATCH($B$1,[2]gachas!$1:$1,0)+1),MATCH(C$1,[2]gachas!$1:$1,0)-MATCH($B$1,[2]gachas!$1:$1,0)+1,FALSE)</f>
        <v>レアガチャ（追加02）（大罪）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6">
        <v>2938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103</v>
      </c>
      <c r="C39" s="10" t="str">
        <f ca="1">VLOOKUP($B39,OFFSET([2]gachas!$A$2,0,0,COUNTA([2]gachas!$A:$A),MATCH(C$1,[2]gachas!$1:$1,0)-MATCH($B$1,[2]gachas!$1:$1,0)+1),MATCH(C$1,[2]gachas!$1:$1,0)-MATCH($B$1,[2]gachas!$1:$1,0)+1,FALSE)</f>
        <v>レアガチャ（追加02）（大罪）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2938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103</v>
      </c>
      <c r="C40" s="10" t="str">
        <f ca="1">VLOOKUP($B40,OFFSET([2]gachas!$A$2,0,0,COUNTA([2]gachas!$A:$A),MATCH(C$1,[2]gachas!$1:$1,0)-MATCH($B$1,[2]gachas!$1:$1,0)+1),MATCH(C$1,[2]gachas!$1:$1,0)-MATCH($B$1,[2]gachas!$1:$1,0)+1,FALSE)</f>
        <v>レアガチャ（追加02）（大罪）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2938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103</v>
      </c>
      <c r="C41" s="10" t="str">
        <f ca="1">VLOOKUP($B41,OFFSET([2]gachas!$A$2,0,0,COUNTA([2]gachas!$A:$A),MATCH(C$1,[2]gachas!$1:$1,0)-MATCH($B$1,[2]gachas!$1:$1,0)+1),MATCH(C$1,[2]gachas!$1:$1,0)-MATCH($B$1,[2]gachas!$1:$1,0)+1,FALSE)</f>
        <v>レアガチャ（追加02）（大罪）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2938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103</v>
      </c>
      <c r="C42" s="10" t="str">
        <f ca="1">VLOOKUP($B42,OFFSET([2]gachas!$A$2,0,0,COUNTA([2]gachas!$A:$A),MATCH(C$1,[2]gachas!$1:$1,0)-MATCH($B$1,[2]gachas!$1:$1,0)+1),MATCH(C$1,[2]gachas!$1:$1,0)-MATCH($B$1,[2]gachas!$1:$1,0)+1,FALSE)</f>
        <v>レアガチャ（追加02）（大罪）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6">
        <v>1020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103</v>
      </c>
      <c r="C43" s="10" t="str">
        <f ca="1">VLOOKUP($B43,OFFSET([2]gachas!$A$2,0,0,COUNTA([2]gachas!$A:$A),MATCH(C$1,[2]gachas!$1:$1,0)-MATCH($B$1,[2]gachas!$1:$1,0)+1),MATCH(C$1,[2]gachas!$1:$1,0)-MATCH($B$1,[2]gachas!$1:$1,0)+1,FALSE)</f>
        <v>レアガチャ（追加02）（大罪）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6">
        <v>1020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103</v>
      </c>
      <c r="C44" s="10" t="str">
        <f ca="1">VLOOKUP($B44,OFFSET([2]gachas!$A$2,0,0,COUNTA([2]gachas!$A:$A),MATCH(C$1,[2]gachas!$1:$1,0)-MATCH($B$1,[2]gachas!$1:$1,0)+1),MATCH(C$1,[2]gachas!$1:$1,0)-MATCH($B$1,[2]gachas!$1:$1,0)+1,FALSE)</f>
        <v>レアガチャ（追加02）（大罪）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1020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103</v>
      </c>
      <c r="C45" s="10" t="str">
        <f ca="1">VLOOKUP($B45,OFFSET([2]gachas!$A$2,0,0,COUNTA([2]gachas!$A:$A),MATCH(C$1,[2]gachas!$1:$1,0)-MATCH($B$1,[2]gachas!$1:$1,0)+1),MATCH(C$1,[2]gachas!$1:$1,0)-MATCH($B$1,[2]gachas!$1:$1,0)+1,FALSE)</f>
        <v>レアガチャ（追加02）（大罪）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6">
        <v>1020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v>103</v>
      </c>
      <c r="C46" s="10" t="str">
        <f ca="1">VLOOKUP($B46,OFFSET([2]gachas!$A$2,0,0,COUNTA([2]gachas!$A:$A),MATCH(C$1,[2]gachas!$1:$1,0)-MATCH($B$1,[2]gachas!$1:$1,0)+1),MATCH(C$1,[2]gachas!$1:$1,0)-MATCH($B$1,[2]gachas!$1:$1,0)+1,FALSE)</f>
        <v>レアガチャ（追加02）（大罪）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6">
        <v>612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v>103</v>
      </c>
      <c r="C47" s="10" t="str">
        <f ca="1">VLOOKUP($B47,OFFSET([2]gachas!$A$2,0,0,COUNTA([2]gachas!$A:$A),MATCH(C$1,[2]gachas!$1:$1,0)-MATCH($B$1,[2]gachas!$1:$1,0)+1),MATCH(C$1,[2]gachas!$1:$1,0)-MATCH($B$1,[2]gachas!$1:$1,0)+1,FALSE)</f>
        <v>レアガチャ（追加02）（大罪）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6">
        <v>612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v>103</v>
      </c>
      <c r="C48" s="10" t="str">
        <f ca="1">VLOOKUP($B48,OFFSET([2]gachas!$A$2,0,0,COUNTA([2]gachas!$A:$A),MATCH(C$1,[2]gachas!$1:$1,0)-MATCH($B$1,[2]gachas!$1:$1,0)+1),MATCH(C$1,[2]gachas!$1:$1,0)-MATCH($B$1,[2]gachas!$1:$1,0)+1,FALSE)</f>
        <v>レアガチャ（追加02）（大罪）</v>
      </c>
      <c r="D48" s="6">
        <v>1</v>
      </c>
      <c r="E48" s="7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6">
        <v>1</v>
      </c>
      <c r="M48" s="6">
        <v>612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v>103</v>
      </c>
      <c r="C49" s="10" t="str">
        <f ca="1">VLOOKUP($B49,OFFSET([2]gachas!$A$2,0,0,COUNTA([2]gachas!$A:$A),MATCH(C$1,[2]gachas!$1:$1,0)-MATCH($B$1,[2]gachas!$1:$1,0)+1),MATCH(C$1,[2]gachas!$1:$1,0)-MATCH($B$1,[2]gachas!$1:$1,0)+1,FALSE)</f>
        <v>レアガチャ（追加02）（大罪）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6">
        <v>612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v>103</v>
      </c>
      <c r="C50" s="10" t="str">
        <f ca="1">VLOOKUP($B50,OFFSET([2]gachas!$A$2,0,0,COUNTA([2]gachas!$A:$A),MATCH(C$1,[2]gachas!$1:$1,0)-MATCH($B$1,[2]gachas!$1:$1,0)+1),MATCH(C$1,[2]gachas!$1:$1,0)-MATCH($B$1,[2]gachas!$1:$1,0)+1,FALSE)</f>
        <v>レアガチャ（追加02）（大罪）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6">
        <v>612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v>103</v>
      </c>
      <c r="C51" s="10" t="str">
        <f ca="1">VLOOKUP($B51,OFFSET([2]gachas!$A$2,0,0,COUNTA([2]gachas!$A:$A),MATCH(C$1,[2]gachas!$1:$1,0)-MATCH($B$1,[2]gachas!$1:$1,0)+1),MATCH(C$1,[2]gachas!$1:$1,0)-MATCH($B$1,[2]gachas!$1:$1,0)+1,FALSE)</f>
        <v>レアガチャ（追加02）（大罪）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6">
        <v>612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v>103</v>
      </c>
      <c r="C52" s="10" t="str">
        <f ca="1">VLOOKUP($B52,OFFSET([2]gachas!$A$2,0,0,COUNTA([2]gachas!$A:$A),MATCH(C$1,[2]gachas!$1:$1,0)-MATCH($B$1,[2]gachas!$1:$1,0)+1),MATCH(C$1,[2]gachas!$1:$1,0)-MATCH($B$1,[2]gachas!$1:$1,0)+1,FALSE)</f>
        <v>レアガチャ（追加02）（大罪）</v>
      </c>
      <c r="D52" s="6">
        <v>1</v>
      </c>
      <c r="E52" s="7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6">
        <v>1</v>
      </c>
      <c r="M52" s="6">
        <v>612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v>103</v>
      </c>
      <c r="C53" s="10" t="str">
        <f ca="1">VLOOKUP($B53,OFFSET([2]gachas!$A$2,0,0,COUNTA([2]gachas!$A:$A),MATCH(C$1,[2]gachas!$1:$1,0)-MATCH($B$1,[2]gachas!$1:$1,0)+1),MATCH(C$1,[2]gachas!$1:$1,0)-MATCH($B$1,[2]gachas!$1:$1,0)+1,FALSE)</f>
        <v>レアガチャ（追加02）（大罪）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6">
        <v>612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v>103</v>
      </c>
      <c r="C54" s="10" t="str">
        <f ca="1">VLOOKUP($B54,OFFSET([2]gachas!$A$2,0,0,COUNTA([2]gachas!$A:$A),MATCH(C$1,[2]gachas!$1:$1,0)-MATCH($B$1,[2]gachas!$1:$1,0)+1),MATCH(C$1,[2]gachas!$1:$1,0)-MATCH($B$1,[2]gachas!$1:$1,0)+1,FALSE)</f>
        <v>レアガチャ（追加02）（大罪）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6">
        <v>612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v>103</v>
      </c>
      <c r="C55" s="10" t="str">
        <f ca="1">VLOOKUP($B55,OFFSET([2]gachas!$A$2,0,0,COUNTA([2]gachas!$A:$A),MATCH(C$1,[2]gachas!$1:$1,0)-MATCH($B$1,[2]gachas!$1:$1,0)+1),MATCH(C$1,[2]gachas!$1:$1,0)-MATCH($B$1,[2]gachas!$1:$1,0)+1,FALSE)</f>
        <v>レアガチャ（追加02）（大罪）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6">
        <v>612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v>103</v>
      </c>
      <c r="C56" s="10" t="str">
        <f ca="1">VLOOKUP($B56,OFFSET([2]gachas!$A$2,0,0,COUNTA([2]gachas!$A:$A),MATCH(C$1,[2]gachas!$1:$1,0)-MATCH($B$1,[2]gachas!$1:$1,0)+1),MATCH(C$1,[2]gachas!$1:$1,0)-MATCH($B$1,[2]gachas!$1:$1,0)+1,FALSE)</f>
        <v>レアガチャ（追加02）（大罪）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6">
        <v>612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v>103</v>
      </c>
      <c r="C57" s="10" t="str">
        <f ca="1">VLOOKUP($B57,OFFSET([2]gachas!$A$2,0,0,COUNTA([2]gachas!$A:$A),MATCH(C$1,[2]gachas!$1:$1,0)-MATCH($B$1,[2]gachas!$1:$1,0)+1),MATCH(C$1,[2]gachas!$1:$1,0)-MATCH($B$1,[2]gachas!$1:$1,0)+1,FALSE)</f>
        <v>レアガチャ（追加02）（大罪）</v>
      </c>
      <c r="D57" s="6">
        <v>1</v>
      </c>
      <c r="E57" s="7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6">
        <v>612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v>103</v>
      </c>
      <c r="C58" s="10" t="str">
        <f ca="1">VLOOKUP($B58,OFFSET([2]gachas!$A$2,0,0,COUNTA([2]gachas!$A:$A),MATCH(C$1,[2]gachas!$1:$1,0)-MATCH($B$1,[2]gachas!$1:$1,0)+1),MATCH(C$1,[2]gachas!$1:$1,0)-MATCH($B$1,[2]gachas!$1:$1,0)+1,FALSE)</f>
        <v>レアガチャ（追加02）（大罪）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6">
        <v>612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v>103</v>
      </c>
      <c r="C59" s="10" t="str">
        <f ca="1">VLOOKUP($B59,OFFSET([2]gachas!$A$2,0,0,COUNTA([2]gachas!$A:$A),MATCH(C$1,[2]gachas!$1:$1,0)-MATCH($B$1,[2]gachas!$1:$1,0)+1),MATCH(C$1,[2]gachas!$1:$1,0)-MATCH($B$1,[2]gachas!$1:$1,0)+1,FALSE)</f>
        <v>レアガチャ（追加02）（大罪）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6">
        <v>612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v>103</v>
      </c>
      <c r="C60" s="10" t="str">
        <f ca="1">VLOOKUP($B60,OFFSET([2]gachas!$A$2,0,0,COUNTA([2]gachas!$A:$A),MATCH(C$1,[2]gachas!$1:$1,0)-MATCH($B$1,[2]gachas!$1:$1,0)+1),MATCH(C$1,[2]gachas!$1:$1,0)-MATCH($B$1,[2]gachas!$1:$1,0)+1,FALSE)</f>
        <v>レアガチャ（追加02）（大罪）</v>
      </c>
      <c r="D60" s="6">
        <v>1</v>
      </c>
      <c r="E60" s="7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6">
        <v>1</v>
      </c>
      <c r="M60" s="6">
        <v>612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v>103</v>
      </c>
      <c r="C61" s="10" t="str">
        <f ca="1">VLOOKUP($B61,OFFSET([2]gachas!$A$2,0,0,COUNTA([2]gachas!$A:$A),MATCH(C$1,[2]gachas!$1:$1,0)-MATCH($B$1,[2]gachas!$1:$1,0)+1),MATCH(C$1,[2]gachas!$1:$1,0)-MATCH($B$1,[2]gachas!$1:$1,0)+1,FALSE)</f>
        <v>レアガチャ（追加02）（大罪）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6">
        <v>612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v>103</v>
      </c>
      <c r="C62" s="10" t="str">
        <f ca="1">VLOOKUP($B62,OFFSET([2]gachas!$A$2,0,0,COUNTA([2]gachas!$A:$A),MATCH(C$1,[2]gachas!$1:$1,0)-MATCH($B$1,[2]gachas!$1:$1,0)+1),MATCH(C$1,[2]gachas!$1:$1,0)-MATCH($B$1,[2]gachas!$1:$1,0)+1,FALSE)</f>
        <v>レアガチャ（追加02）（大罪）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6">
        <v>612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v>103</v>
      </c>
      <c r="C63" s="10" t="str">
        <f ca="1">VLOOKUP($B63,OFFSET([2]gachas!$A$2,0,0,COUNTA([2]gachas!$A:$A),MATCH(C$1,[2]gachas!$1:$1,0)-MATCH($B$1,[2]gachas!$1:$1,0)+1),MATCH(C$1,[2]gachas!$1:$1,0)-MATCH($B$1,[2]gachas!$1:$1,0)+1,FALSE)</f>
        <v>レアガチャ（追加02）（大罪）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6">
        <v>612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v>103</v>
      </c>
      <c r="C64" s="10" t="str">
        <f ca="1">VLOOKUP($B64,OFFSET([2]gachas!$A$2,0,0,COUNTA([2]gachas!$A:$A),MATCH(C$1,[2]gachas!$1:$1,0)-MATCH($B$1,[2]gachas!$1:$1,0)+1),MATCH(C$1,[2]gachas!$1:$1,0)-MATCH($B$1,[2]gachas!$1:$1,0)+1,FALSE)</f>
        <v>レアガチャ（追加02）（大罪）</v>
      </c>
      <c r="D64" s="6">
        <v>1</v>
      </c>
      <c r="E64" s="7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6">
        <v>1</v>
      </c>
      <c r="M64" s="6">
        <v>612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v>103</v>
      </c>
      <c r="C65" s="10" t="str">
        <f ca="1">VLOOKUP($B65,OFFSET([2]gachas!$A$2,0,0,COUNTA([2]gachas!$A:$A),MATCH(C$1,[2]gachas!$1:$1,0)-MATCH($B$1,[2]gachas!$1:$1,0)+1),MATCH(C$1,[2]gachas!$1:$1,0)-MATCH($B$1,[2]gachas!$1:$1,0)+1,FALSE)</f>
        <v>レアガチャ（追加02）（大罪）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6">
        <v>612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37" si="1">D66&amp;E66&amp;L66</f>
        <v>12281</v>
      </c>
      <c r="B66" s="2">
        <v>103</v>
      </c>
      <c r="C66" s="10" t="str">
        <f ca="1">VLOOKUP($B66,OFFSET([2]gachas!$A$2,0,0,COUNTA([2]gachas!$A:$A),MATCH(C$1,[2]gachas!$1:$1,0)-MATCH($B$1,[2]gachas!$1:$1,0)+1),MATCH(C$1,[2]gachas!$1:$1,0)-MATCH($B$1,[2]gachas!$1:$1,0)+1,FALSE)</f>
        <v>レアガチャ（追加02）（大罪）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6">
        <v>113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12311</v>
      </c>
      <c r="B67" s="2">
        <v>103</v>
      </c>
      <c r="C67" s="10" t="str">
        <f ca="1">VLOOKUP($B67,OFFSET([2]gachas!$A$2,0,0,COUNTA([2]gachas!$A:$A),MATCH(C$1,[2]gachas!$1:$1,0)-MATCH($B$1,[2]gachas!$1:$1,0)+1),MATCH(C$1,[2]gachas!$1:$1,0)-MATCH($B$1,[2]gachas!$1:$1,0)+1,FALSE)</f>
        <v>レアガチャ（追加02）（大罪）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6">
        <v>113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12341</v>
      </c>
      <c r="B68" s="2">
        <v>103</v>
      </c>
      <c r="C68" s="10" t="str">
        <f ca="1">VLOOKUP($B68,OFFSET([2]gachas!$A$2,0,0,COUNTA([2]gachas!$A:$A),MATCH(C$1,[2]gachas!$1:$1,0)-MATCH($B$1,[2]gachas!$1:$1,0)+1),MATCH(C$1,[2]gachas!$1:$1,0)-MATCH($B$1,[2]gachas!$1:$1,0)+1,FALSE)</f>
        <v>レアガチャ（追加02）（大罪）</v>
      </c>
      <c r="D68" s="6">
        <v>1</v>
      </c>
      <c r="E68" s="7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6">
        <v>113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1"/>
        <v>12371</v>
      </c>
      <c r="B69" s="2">
        <v>103</v>
      </c>
      <c r="C69" s="10" t="str">
        <f ca="1">VLOOKUP($B69,OFFSET([2]gachas!$A$2,0,0,COUNTA([2]gachas!$A:$A),MATCH(C$1,[2]gachas!$1:$1,0)-MATCH($B$1,[2]gachas!$1:$1,0)+1),MATCH(C$1,[2]gachas!$1:$1,0)-MATCH($B$1,[2]gachas!$1:$1,0)+1,FALSE)</f>
        <v>レアガチャ（追加02）（大罪）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6">
        <v>113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12391</v>
      </c>
      <c r="B70" s="2">
        <v>103</v>
      </c>
      <c r="C70" s="10" t="str">
        <f ca="1">VLOOKUP($B70,OFFSET([2]gachas!$A$2,0,0,COUNTA([2]gachas!$A:$A),MATCH(C$1,[2]gachas!$1:$1,0)-MATCH($B$1,[2]gachas!$1:$1,0)+1),MATCH(C$1,[2]gachas!$1:$1,0)-MATCH($B$1,[2]gachas!$1:$1,0)+1,FALSE)</f>
        <v>レアガチャ（追加02）（大罪）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6">
        <v>1020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12401</v>
      </c>
      <c r="B71" s="2">
        <v>103</v>
      </c>
      <c r="C71" s="10" t="str">
        <f ca="1">VLOOKUP($B71,OFFSET([2]gachas!$A$2,0,0,COUNTA([2]gachas!$A:$A),MATCH(C$1,[2]gachas!$1:$1,0)-MATCH($B$1,[2]gachas!$1:$1,0)+1),MATCH(C$1,[2]gachas!$1:$1,0)-MATCH($B$1,[2]gachas!$1:$1,0)+1,FALSE)</f>
        <v>レアガチャ（追加02）（大罪）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6">
        <v>113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12421</v>
      </c>
      <c r="B72" s="2">
        <v>103</v>
      </c>
      <c r="C72" s="10" t="str">
        <f ca="1">VLOOKUP($B72,OFFSET([2]gachas!$A$2,0,0,COUNTA([2]gachas!$A:$A),MATCH(C$1,[2]gachas!$1:$1,0)-MATCH($B$1,[2]gachas!$1:$1,0)+1),MATCH(C$1,[2]gachas!$1:$1,0)-MATCH($B$1,[2]gachas!$1:$1,0)+1,FALSE)</f>
        <v>レアガチャ（追加02）（大罪）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6">
        <v>1020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12431</v>
      </c>
      <c r="B73" s="2">
        <v>103</v>
      </c>
      <c r="C73" s="10" t="str">
        <f ca="1">VLOOKUP($B73,OFFSET([2]gachas!$A$2,0,0,COUNTA([2]gachas!$A:$A),MATCH(C$1,[2]gachas!$1:$1,0)-MATCH($B$1,[2]gachas!$1:$1,0)+1),MATCH(C$1,[2]gachas!$1:$1,0)-MATCH($B$1,[2]gachas!$1:$1,0)+1,FALSE)</f>
        <v>レアガチャ（追加02）（大罪）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6">
        <v>113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12451</v>
      </c>
      <c r="B74" s="2">
        <v>103</v>
      </c>
      <c r="C74" s="10" t="str">
        <f ca="1">VLOOKUP($B74,OFFSET([2]gachas!$A$2,0,0,COUNTA([2]gachas!$A:$A),MATCH(C$1,[2]gachas!$1:$1,0)-MATCH($B$1,[2]gachas!$1:$1,0)+1),MATCH(C$1,[2]gachas!$1:$1,0)-MATCH($B$1,[2]gachas!$1:$1,0)+1,FALSE)</f>
        <v>レアガチャ（追加02）（大罪）</v>
      </c>
      <c r="D74" s="6">
        <v>1</v>
      </c>
      <c r="E74" s="19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6">
        <v>1</v>
      </c>
      <c r="M74" s="6">
        <v>1020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12461</v>
      </c>
      <c r="B75" s="2">
        <v>103</v>
      </c>
      <c r="C75" s="10" t="str">
        <f ca="1">VLOOKUP($B75,OFFSET([2]gachas!$A$2,0,0,COUNTA([2]gachas!$A:$A),MATCH(C$1,[2]gachas!$1:$1,0)-MATCH($B$1,[2]gachas!$1:$1,0)+1),MATCH(C$1,[2]gachas!$1:$1,0)-MATCH($B$1,[2]gachas!$1:$1,0)+1,FALSE)</f>
        <v>レアガチャ（追加02）（大罪）</v>
      </c>
      <c r="D75" s="6">
        <v>1</v>
      </c>
      <c r="E75" s="19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6">
        <v>1</v>
      </c>
      <c r="M75" s="6">
        <v>113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12481</v>
      </c>
      <c r="B76" s="2">
        <v>103</v>
      </c>
      <c r="C76" s="10" t="str">
        <f ca="1">VLOOKUP($B76,OFFSET([2]gachas!$A$2,0,0,COUNTA([2]gachas!$A:$A),MATCH(C$1,[2]gachas!$1:$1,0)-MATCH($B$1,[2]gachas!$1:$1,0)+1),MATCH(C$1,[2]gachas!$1:$1,0)-MATCH($B$1,[2]gachas!$1:$1,0)+1,FALSE)</f>
        <v>レアガチャ（追加02）（大罪）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6">
        <v>1020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1"/>
        <v>12491</v>
      </c>
      <c r="B77" s="2">
        <v>103</v>
      </c>
      <c r="C77" s="10" t="str">
        <f ca="1">VLOOKUP($B77,OFFSET([2]gachas!$A$2,0,0,COUNTA([2]gachas!$A:$A),MATCH(C$1,[2]gachas!$1:$1,0)-MATCH($B$1,[2]gachas!$1:$1,0)+1),MATCH(C$1,[2]gachas!$1:$1,0)-MATCH($B$1,[2]gachas!$1:$1,0)+1,FALSE)</f>
        <v>レアガチャ（追加02）（大罪）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6">
        <v>113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1"/>
        <v>12511</v>
      </c>
      <c r="B78" s="2">
        <v>103</v>
      </c>
      <c r="C78" s="10" t="str">
        <f ca="1">VLOOKUP($B78,OFFSET([2]gachas!$A$2,0,0,COUNTA([2]gachas!$A:$A),MATCH(C$1,[2]gachas!$1:$1,0)-MATCH($B$1,[2]gachas!$1:$1,0)+1),MATCH(C$1,[2]gachas!$1:$1,0)-MATCH($B$1,[2]gachas!$1:$1,0)+1,FALSE)</f>
        <v>レアガチャ（追加02）（大罪）</v>
      </c>
      <c r="D78" s="29">
        <v>1</v>
      </c>
      <c r="E78" s="30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29">
        <v>1</v>
      </c>
      <c r="M78" s="29">
        <v>1020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1"/>
        <v>12521</v>
      </c>
      <c r="B79" s="2">
        <v>103</v>
      </c>
      <c r="C79" s="10" t="str">
        <f ca="1">VLOOKUP($B79,OFFSET([2]gachas!$A$2,0,0,COUNTA([2]gachas!$A:$A),MATCH(C$1,[2]gachas!$1:$1,0)-MATCH($B$1,[2]gachas!$1:$1,0)+1),MATCH(C$1,[2]gachas!$1:$1,0)-MATCH($B$1,[2]gachas!$1:$1,0)+1,FALSE)</f>
        <v>レアガチャ（追加02）（大罪）</v>
      </c>
      <c r="D79" s="29">
        <v>1</v>
      </c>
      <c r="E79" s="30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29">
        <v>1</v>
      </c>
      <c r="M79" s="29">
        <v>113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1"/>
        <v>12541</v>
      </c>
      <c r="B80" s="2">
        <v>103</v>
      </c>
      <c r="C80" s="10" t="str">
        <f ca="1">VLOOKUP($B80,OFFSET([2]gachas!$A$2,0,0,COUNTA([2]gachas!$A:$A),MATCH(C$1,[2]gachas!$1:$1,0)-MATCH($B$1,[2]gachas!$1:$1,0)+1),MATCH(C$1,[2]gachas!$1:$1,0)-MATCH($B$1,[2]gachas!$1:$1,0)+1,FALSE)</f>
        <v>レアガチャ（追加02）（大罪）</v>
      </c>
      <c r="D80" s="29">
        <v>1</v>
      </c>
      <c r="E80" s="30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29">
        <v>1</v>
      </c>
      <c r="M80" s="29">
        <v>1020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1"/>
        <v>12551</v>
      </c>
      <c r="B81" s="2">
        <v>103</v>
      </c>
      <c r="C81" s="10" t="str">
        <f ca="1">VLOOKUP($B81,OFFSET([2]gachas!$A$2,0,0,COUNTA([2]gachas!$A:$A),MATCH(C$1,[2]gachas!$1:$1,0)-MATCH($B$1,[2]gachas!$1:$1,0)+1),MATCH(C$1,[2]gachas!$1:$1,0)-MATCH($B$1,[2]gachas!$1:$1,0)+1,FALSE)</f>
        <v>レアガチャ（追加02）（大罪）</v>
      </c>
      <c r="D81" s="29">
        <v>1</v>
      </c>
      <c r="E81" s="30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29">
        <v>1</v>
      </c>
      <c r="M81" s="29">
        <v>113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1"/>
        <v>12571</v>
      </c>
      <c r="B82" s="2">
        <v>103</v>
      </c>
      <c r="C82" s="10" t="str">
        <f ca="1">VLOOKUP($B82,OFFSET([2]gachas!$A$2,0,0,COUNTA([2]gachas!$A:$A),MATCH(C$1,[2]gachas!$1:$1,0)-MATCH($B$1,[2]gachas!$1:$1,0)+1),MATCH(C$1,[2]gachas!$1:$1,0)-MATCH($B$1,[2]gachas!$1:$1,0)+1,FALSE)</f>
        <v>レアガチャ（追加02）（大罪）</v>
      </c>
      <c r="D82" s="29">
        <v>1</v>
      </c>
      <c r="E82" s="30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29">
        <v>1</v>
      </c>
      <c r="M82" s="29">
        <v>1020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1"/>
        <v>12581</v>
      </c>
      <c r="B83" s="2">
        <v>103</v>
      </c>
      <c r="C83" s="10" t="str">
        <f ca="1">VLOOKUP($B83,OFFSET([2]gachas!$A$2,0,0,COUNTA([2]gachas!$A:$A),MATCH(C$1,[2]gachas!$1:$1,0)-MATCH($B$1,[2]gachas!$1:$1,0)+1),MATCH(C$1,[2]gachas!$1:$1,0)-MATCH($B$1,[2]gachas!$1:$1,0)+1,FALSE)</f>
        <v>レアガチャ（追加02）（大罪）</v>
      </c>
      <c r="D83" s="29">
        <v>1</v>
      </c>
      <c r="E83" s="30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29">
        <v>1</v>
      </c>
      <c r="M83" s="29">
        <v>113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1"/>
        <v>12601</v>
      </c>
      <c r="B84" s="2">
        <v>103</v>
      </c>
      <c r="C84" s="10" t="str">
        <f ca="1">VLOOKUP($B84,OFFSET([2]gachas!$A$2,0,0,COUNTA([2]gachas!$A:$A),MATCH(C$1,[2]gachas!$1:$1,0)-MATCH($B$1,[2]gachas!$1:$1,0)+1),MATCH(C$1,[2]gachas!$1:$1,0)-MATCH($B$1,[2]gachas!$1:$1,0)+1,FALSE)</f>
        <v>レアガチャ（追加02）（大罪）</v>
      </c>
      <c r="D84" s="29">
        <v>1</v>
      </c>
      <c r="E84" s="30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29">
        <v>1</v>
      </c>
      <c r="M84" s="29">
        <v>1020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1"/>
        <v>12611</v>
      </c>
      <c r="B85" s="2">
        <v>103</v>
      </c>
      <c r="C85" s="10" t="str">
        <f ca="1">VLOOKUP($B85,OFFSET([2]gachas!$A$2,0,0,COUNTA([2]gachas!$A:$A),MATCH(C$1,[2]gachas!$1:$1,0)-MATCH($B$1,[2]gachas!$1:$1,0)+1),MATCH(C$1,[2]gachas!$1:$1,0)-MATCH($B$1,[2]gachas!$1:$1,0)+1,FALSE)</f>
        <v>レアガチャ（追加02）（大罪）</v>
      </c>
      <c r="D85" s="33">
        <v>1</v>
      </c>
      <c r="E85" s="34">
        <v>261</v>
      </c>
      <c r="F85" s="23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23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23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23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23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23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33">
        <v>1</v>
      </c>
      <c r="M85" s="29">
        <v>113</v>
      </c>
      <c r="N85" s="35">
        <v>0</v>
      </c>
      <c r="O85" s="35">
        <v>0</v>
      </c>
      <c r="P85" s="35">
        <v>0</v>
      </c>
      <c r="Q85" s="35">
        <v>0</v>
      </c>
      <c r="R85" s="35">
        <v>1</v>
      </c>
    </row>
    <row r="86" spans="1:18" ht="21" customHeight="1">
      <c r="A86" s="8" t="str">
        <f t="shared" si="1"/>
        <v>01281</v>
      </c>
      <c r="B86" s="2">
        <v>103</v>
      </c>
      <c r="C86" s="10" t="str">
        <f ca="1">VLOOKUP($B86,OFFSET([2]gachas!$A$2,0,0,COUNTA([2]gachas!$A:$A),MATCH(C$1,[2]gachas!$1:$1,0)-MATCH($B$1,[2]gachas!$1:$1,0)+1),MATCH(C$1,[2]gachas!$1:$1,0)-MATCH($B$1,[2]gachas!$1:$1,0)+1,FALSE)</f>
        <v>レアガチャ（追加02）（大罪）</v>
      </c>
      <c r="D86" s="21">
        <v>0</v>
      </c>
      <c r="E86" s="27">
        <v>128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野生児 アマラ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PremiumW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3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green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21">
        <v>1</v>
      </c>
      <c r="M86" s="21">
        <v>1924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>
      <c r="A87" s="8" t="str">
        <f t="shared" si="1"/>
        <v>01301</v>
      </c>
      <c r="B87" s="2">
        <v>103</v>
      </c>
      <c r="C87" s="10" t="str">
        <f ca="1">VLOOKUP($B87,OFFSET([2]gachas!$A$2,0,0,COUNTA([2]gachas!$A:$A),MATCH(C$1,[2]gachas!$1:$1,0)-MATCH($B$1,[2]gachas!$1:$1,0)+1),MATCH(C$1,[2]gachas!$1:$1,0)-MATCH($B$1,[2]gachas!$1:$1,0)+1,FALSE)</f>
        <v>レアガチャ（追加02）（大罪）</v>
      </c>
      <c r="D87" s="6">
        <v>0</v>
      </c>
      <c r="E87" s="7">
        <v>130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狼男 ローレンス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PremiumW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3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blue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アニマル</v>
      </c>
      <c r="L87" s="6">
        <v>1</v>
      </c>
      <c r="M87" s="21">
        <v>1924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>
      <c r="A88" s="8" t="str">
        <f t="shared" si="1"/>
        <v>01321</v>
      </c>
      <c r="B88" s="2">
        <v>103</v>
      </c>
      <c r="C88" s="10" t="str">
        <f ca="1">VLOOKUP($B88,OFFSET([2]gachas!$A$2,0,0,COUNTA([2]gachas!$A:$A),MATCH(C$1,[2]gachas!$1:$1,0)-MATCH($B$1,[2]gachas!$1:$1,0)+1),MATCH(C$1,[2]gachas!$1:$1,0)-MATCH($B$1,[2]gachas!$1:$1,0)+1,FALSE)</f>
        <v>レアガチャ（追加02）（大罪）</v>
      </c>
      <c r="D88" s="6">
        <v>0</v>
      </c>
      <c r="E88" s="7">
        <v>132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鳥人ハヤト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PremiumW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3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yellow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21">
        <v>1924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>
      <c r="A89" s="8" t="str">
        <f t="shared" si="1"/>
        <v>01341</v>
      </c>
      <c r="B89" s="2">
        <v>103</v>
      </c>
      <c r="C89" s="10" t="str">
        <f ca="1">VLOOKUP($B89,OFFSET([2]gachas!$A$2,0,0,COUNTA([2]gachas!$A:$A),MATCH(C$1,[2]gachas!$1:$1,0)-MATCH($B$1,[2]gachas!$1:$1,0)+1),MATCH(C$1,[2]gachas!$1:$1,0)-MATCH($B$1,[2]gachas!$1:$1,0)+1,FALSE)</f>
        <v>レアガチャ（追加02）（大罪）</v>
      </c>
      <c r="D89" s="6">
        <v>0</v>
      </c>
      <c r="E89" s="7">
        <v>134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妖炎の夕霧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PremiumW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3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red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21">
        <v>1924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>
      <c r="A90" s="8" t="str">
        <f t="shared" si="1"/>
        <v>01361</v>
      </c>
      <c r="B90" s="2">
        <v>103</v>
      </c>
      <c r="C90" s="10" t="str">
        <f ca="1">VLOOKUP($B90,OFFSET([2]gachas!$A$2,0,0,COUNTA([2]gachas!$A:$A),MATCH(C$1,[2]gachas!$1:$1,0)-MATCH($B$1,[2]gachas!$1:$1,0)+1),MATCH(C$1,[2]gachas!$1:$1,0)-MATCH($B$1,[2]gachas!$1:$1,0)+1,FALSE)</f>
        <v>レアガチャ（追加02）（大罪）</v>
      </c>
      <c r="D90" s="6">
        <v>0</v>
      </c>
      <c r="E90" s="7">
        <v>136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お針子チハヤ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PremiumW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3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green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21">
        <v>1924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>
      <c r="A91" s="8" t="str">
        <f t="shared" si="1"/>
        <v>01381</v>
      </c>
      <c r="B91" s="2">
        <v>103</v>
      </c>
      <c r="C91" s="10" t="str">
        <f ca="1">VLOOKUP($B91,OFFSET([2]gachas!$A$2,0,0,COUNTA([2]gachas!$A:$A),MATCH(C$1,[2]gachas!$1:$1,0)-MATCH($B$1,[2]gachas!$1:$1,0)+1),MATCH(C$1,[2]gachas!$1:$1,0)-MATCH($B$1,[2]gachas!$1:$1,0)+1,FALSE)</f>
        <v>レアガチャ（追加02）（大罪）</v>
      </c>
      <c r="D91" s="6">
        <v>0</v>
      </c>
      <c r="E91" s="7">
        <v>138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蒼薙のトモエ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PremiumW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3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21">
        <v>1924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>
      <c r="A92" s="8" t="str">
        <f t="shared" si="1"/>
        <v>01401</v>
      </c>
      <c r="B92" s="2">
        <v>103</v>
      </c>
      <c r="C92" s="10" t="str">
        <f ca="1">VLOOKUP($B92,OFFSET([2]gachas!$A$2,0,0,COUNTA([2]gachas!$A:$A),MATCH(C$1,[2]gachas!$1:$1,0)-MATCH($B$1,[2]gachas!$1:$1,0)+1),MATCH(C$1,[2]gachas!$1:$1,0)-MATCH($B$1,[2]gachas!$1:$1,0)+1,FALSE)</f>
        <v>レアガチャ（追加02）（大罪）</v>
      </c>
      <c r="D92" s="6">
        <v>0</v>
      </c>
      <c r="E92" s="7">
        <v>140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秋祭のタマモ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PremiumW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3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アニマル</v>
      </c>
      <c r="L92" s="6">
        <v>1</v>
      </c>
      <c r="M92" s="21">
        <v>1924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>
      <c r="A93" s="8" t="str">
        <f t="shared" si="1"/>
        <v>01421</v>
      </c>
      <c r="B93" s="2">
        <v>103</v>
      </c>
      <c r="C93" s="10" t="str">
        <f ca="1">VLOOKUP($B93,OFFSET([2]gachas!$A$2,0,0,COUNTA([2]gachas!$A:$A),MATCH(C$1,[2]gachas!$1:$1,0)-MATCH($B$1,[2]gachas!$1:$1,0)+1),MATCH(C$1,[2]gachas!$1:$1,0)-MATCH($B$1,[2]gachas!$1:$1,0)+1,FALSE)</f>
        <v>レアガチャ（追加02）（大罪）</v>
      </c>
      <c r="D93" s="6">
        <v>0</v>
      </c>
      <c r="E93" s="7">
        <v>142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赤ずきん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PremiumW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3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red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6">
        <v>1</v>
      </c>
      <c r="M93" s="21">
        <v>1924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>
      <c r="A94" s="8" t="str">
        <f t="shared" si="1"/>
        <v>01441</v>
      </c>
      <c r="B94" s="2">
        <v>103</v>
      </c>
      <c r="C94" s="10" t="str">
        <f ca="1">VLOOKUP($B94,OFFSET([2]gachas!$A$2,0,0,COUNTA([2]gachas!$A:$A),MATCH(C$1,[2]gachas!$1:$1,0)-MATCH($B$1,[2]gachas!$1:$1,0)+1),MATCH(C$1,[2]gachas!$1:$1,0)-MATCH($B$1,[2]gachas!$1:$1,0)+1,FALSE)</f>
        <v>レアガチャ（追加02）（大罪）</v>
      </c>
      <c r="D94" s="6">
        <v>0</v>
      </c>
      <c r="E94" s="7">
        <v>144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かぐや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PremiumW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green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ヒューマン</v>
      </c>
      <c r="L94" s="6">
        <v>1</v>
      </c>
      <c r="M94" s="21">
        <v>1924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>
      <c r="A95" s="8" t="str">
        <f t="shared" si="1"/>
        <v>01461</v>
      </c>
      <c r="B95" s="2">
        <v>103</v>
      </c>
      <c r="C95" s="10" t="str">
        <f ca="1">VLOOKUP($B95,OFFSET([2]gachas!$A$2,0,0,COUNTA([2]gachas!$A:$A),MATCH(C$1,[2]gachas!$1:$1,0)-MATCH($B$1,[2]gachas!$1:$1,0)+1),MATCH(C$1,[2]gachas!$1:$1,0)-MATCH($B$1,[2]gachas!$1:$1,0)+1,FALSE)</f>
        <v>レアガチャ（追加02）（大罪）</v>
      </c>
      <c r="D95" s="6">
        <v>0</v>
      </c>
      <c r="E95" s="7">
        <v>146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マーメイド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PremiumW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blue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ヒューマン</v>
      </c>
      <c r="L95" s="6">
        <v>1</v>
      </c>
      <c r="M95" s="21">
        <v>1924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>
      <c r="A96" s="8" t="str">
        <f t="shared" si="1"/>
        <v>01481</v>
      </c>
      <c r="B96" s="2">
        <v>103</v>
      </c>
      <c r="C96" s="10" t="str">
        <f ca="1">VLOOKUP($B96,OFFSET([2]gachas!$A$2,0,0,COUNTA([2]gachas!$A:$A),MATCH(C$1,[2]gachas!$1:$1,0)-MATCH($B$1,[2]gachas!$1:$1,0)+1),MATCH(C$1,[2]gachas!$1:$1,0)-MATCH($B$1,[2]gachas!$1:$1,0)+1,FALSE)</f>
        <v>レアガチャ（追加02）（大罪）</v>
      </c>
      <c r="D96" s="6">
        <v>0</v>
      </c>
      <c r="E96" s="7">
        <v>148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シンデレラ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PremiumW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yellow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ヒューマン</v>
      </c>
      <c r="L96" s="6">
        <v>1</v>
      </c>
      <c r="M96" s="21">
        <v>1924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01501</v>
      </c>
      <c r="B97" s="2">
        <v>103</v>
      </c>
      <c r="C97" s="10" t="str">
        <f ca="1">VLOOKUP($B97,OFFSET([2]gachas!$A$2,0,0,COUNTA([2]gachas!$A:$A),MATCH(C$1,[2]gachas!$1:$1,0)-MATCH($B$1,[2]gachas!$1:$1,0)+1),MATCH(C$1,[2]gachas!$1:$1,0)-MATCH($B$1,[2]gachas!$1:$1,0)+1,FALSE)</f>
        <v>レアガチャ（追加02）（大罪）</v>
      </c>
      <c r="D97" s="6">
        <v>0</v>
      </c>
      <c r="E97" s="7">
        <v>150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ポイズンマスターサキ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PremiumW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red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ヒューマン</v>
      </c>
      <c r="L97" s="6">
        <v>1</v>
      </c>
      <c r="M97" s="21">
        <v>1924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01521</v>
      </c>
      <c r="B98" s="2">
        <v>103</v>
      </c>
      <c r="C98" s="10" t="str">
        <f ca="1">VLOOKUP($B98,OFFSET([2]gachas!$A$2,0,0,COUNTA([2]gachas!$A:$A),MATCH(C$1,[2]gachas!$1:$1,0)-MATCH($B$1,[2]gachas!$1:$1,0)+1),MATCH(C$1,[2]gachas!$1:$1,0)-MATCH($B$1,[2]gachas!$1:$1,0)+1,FALSE)</f>
        <v>レアガチャ（追加02）（大罪）</v>
      </c>
      <c r="D98" s="6">
        <v>0</v>
      </c>
      <c r="E98" s="7">
        <v>152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功夫少女ランラン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PremiumW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3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green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6">
        <v>1</v>
      </c>
      <c r="M98" s="21">
        <v>1924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01541</v>
      </c>
      <c r="B99" s="2">
        <v>103</v>
      </c>
      <c r="C99" s="10" t="str">
        <f ca="1">VLOOKUP($B99,OFFSET([2]gachas!$A$2,0,0,COUNTA([2]gachas!$A:$A),MATCH(C$1,[2]gachas!$1:$1,0)-MATCH($B$1,[2]gachas!$1:$1,0)+1),MATCH(C$1,[2]gachas!$1:$1,0)-MATCH($B$1,[2]gachas!$1:$1,0)+1,FALSE)</f>
        <v>レアガチャ（追加02）（大罪）</v>
      </c>
      <c r="D99" s="6">
        <v>0</v>
      </c>
      <c r="E99" s="7">
        <v>154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始末屋 ハンナ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PremiumW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3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6">
        <v>1</v>
      </c>
      <c r="M99" s="21">
        <v>1924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01561</v>
      </c>
      <c r="B100" s="2">
        <v>103</v>
      </c>
      <c r="C100" s="10" t="str">
        <f ca="1">VLOOKUP($B100,OFFSET([2]gachas!$A$2,0,0,COUNTA([2]gachas!$A:$A),MATCH(C$1,[2]gachas!$1:$1,0)-MATCH($B$1,[2]gachas!$1:$1,0)+1),MATCH(C$1,[2]gachas!$1:$1,0)-MATCH($B$1,[2]gachas!$1:$1,0)+1,FALSE)</f>
        <v>レアガチャ（追加02）（大罪）</v>
      </c>
      <c r="D100" s="6">
        <v>0</v>
      </c>
      <c r="E100" s="7">
        <v>156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踊り子 エレナ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PremiumW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3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6">
        <v>1</v>
      </c>
      <c r="M100" s="21">
        <v>1924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01581</v>
      </c>
      <c r="B101" s="2">
        <v>103</v>
      </c>
      <c r="C101" s="10" t="str">
        <f ca="1">VLOOKUP($B101,OFFSET([2]gachas!$A$2,0,0,COUNTA([2]gachas!$A:$A),MATCH(C$1,[2]gachas!$1:$1,0)-MATCH($B$1,[2]gachas!$1:$1,0)+1),MATCH(C$1,[2]gachas!$1:$1,0)-MATCH($B$1,[2]gachas!$1:$1,0)+1,FALSE)</f>
        <v>レアガチャ（追加02）（大罪）</v>
      </c>
      <c r="D101" s="6">
        <v>0</v>
      </c>
      <c r="E101" s="7">
        <v>158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PremiumW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3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red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ヒューマン</v>
      </c>
      <c r="L101" s="6">
        <v>1</v>
      </c>
      <c r="M101" s="21">
        <v>1924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01601</v>
      </c>
      <c r="B102" s="2">
        <v>103</v>
      </c>
      <c r="C102" s="10" t="str">
        <f ca="1">VLOOKUP($B102,OFFSET([2]gachas!$A$2,0,0,COUNTA([2]gachas!$A:$A),MATCH(C$1,[2]gachas!$1:$1,0)-MATCH($B$1,[2]gachas!$1:$1,0)+1),MATCH(C$1,[2]gachas!$1:$1,0)-MATCH($B$1,[2]gachas!$1:$1,0)+1,FALSE)</f>
        <v>レアガチャ（追加02）（大罪）</v>
      </c>
      <c r="D102" s="6">
        <v>0</v>
      </c>
      <c r="E102" s="7">
        <v>160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反逆者 クリエ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green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6">
        <v>1</v>
      </c>
      <c r="M102" s="21">
        <v>1924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01621</v>
      </c>
      <c r="B103" s="2">
        <v>103</v>
      </c>
      <c r="C103" s="10" t="str">
        <f ca="1">VLOOKUP($B103,OFFSET([2]gachas!$A$2,0,0,COUNTA([2]gachas!$A:$A),MATCH(C$1,[2]gachas!$1:$1,0)-MATCH($B$1,[2]gachas!$1:$1,0)+1),MATCH(C$1,[2]gachas!$1:$1,0)-MATCH($B$1,[2]gachas!$1:$1,0)+1,FALSE)</f>
        <v>レアガチャ（追加02）（大罪）</v>
      </c>
      <c r="D103" s="6">
        <v>0</v>
      </c>
      <c r="E103" s="7">
        <v>162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狂女 クララ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blue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6">
        <v>1</v>
      </c>
      <c r="M103" s="21">
        <v>1924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01641</v>
      </c>
      <c r="B104" s="2">
        <v>103</v>
      </c>
      <c r="C104" s="10" t="str">
        <f ca="1">VLOOKUP($B104,OFFSET([2]gachas!$A$2,0,0,COUNTA([2]gachas!$A:$A),MATCH(C$1,[2]gachas!$1:$1,0)-MATCH($B$1,[2]gachas!$1:$1,0)+1),MATCH(C$1,[2]gachas!$1:$1,0)-MATCH($B$1,[2]gachas!$1:$1,0)+1,FALSE)</f>
        <v>レアガチャ（追加02）（大罪）</v>
      </c>
      <c r="D104" s="6">
        <v>0</v>
      </c>
      <c r="E104" s="7">
        <v>164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イブとトモダチ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yellow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21">
        <v>1924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01661</v>
      </c>
      <c r="B105" s="2">
        <v>103</v>
      </c>
      <c r="C105" s="10" t="str">
        <f ca="1">VLOOKUP($B105,OFFSET([2]gachas!$A$2,0,0,COUNTA([2]gachas!$A:$A),MATCH(C$1,[2]gachas!$1:$1,0)-MATCH($B$1,[2]gachas!$1:$1,0)+1),MATCH(C$1,[2]gachas!$1:$1,0)-MATCH($B$1,[2]gachas!$1:$1,0)+1,FALSE)</f>
        <v>レアガチャ（追加02）（大罪）</v>
      </c>
      <c r="D105" s="6">
        <v>0</v>
      </c>
      <c r="E105" s="7">
        <v>166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ベリアル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PremiumN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red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ゴッド</v>
      </c>
      <c r="L105" s="6">
        <v>1</v>
      </c>
      <c r="M105" s="6">
        <v>2018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01691</v>
      </c>
      <c r="B106" s="2">
        <v>103</v>
      </c>
      <c r="C106" s="10" t="str">
        <f ca="1">VLOOKUP($B106,OFFSET([2]gachas!$A$2,0,0,COUNTA([2]gachas!$A:$A),MATCH(C$1,[2]gachas!$1:$1,0)-MATCH($B$1,[2]gachas!$1:$1,0)+1),MATCH(C$1,[2]gachas!$1:$1,0)-MATCH($B$1,[2]gachas!$1:$1,0)+1,FALSE)</f>
        <v>レアガチャ（追加02）（大罪）</v>
      </c>
      <c r="D106" s="6">
        <v>0</v>
      </c>
      <c r="E106" s="7">
        <v>169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オセ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PremiumN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green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ゴッド</v>
      </c>
      <c r="L106" s="6">
        <v>1</v>
      </c>
      <c r="M106" s="6">
        <v>2018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01721</v>
      </c>
      <c r="B107" s="2">
        <v>103</v>
      </c>
      <c r="C107" s="10" t="str">
        <f ca="1">VLOOKUP($B107,OFFSET([2]gachas!$A$2,0,0,COUNTA([2]gachas!$A:$A),MATCH(C$1,[2]gachas!$1:$1,0)-MATCH($B$1,[2]gachas!$1:$1,0)+1),MATCH(C$1,[2]gachas!$1:$1,0)-MATCH($B$1,[2]gachas!$1:$1,0)+1,FALSE)</f>
        <v>レアガチャ（追加02）（大罪）</v>
      </c>
      <c r="D107" s="6">
        <v>0</v>
      </c>
      <c r="E107" s="7">
        <v>172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フォルネウス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PremiumN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blue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ゴッド</v>
      </c>
      <c r="L107" s="6">
        <v>1</v>
      </c>
      <c r="M107" s="6">
        <v>2018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01751</v>
      </c>
      <c r="B108" s="2">
        <v>103</v>
      </c>
      <c r="C108" s="10" t="str">
        <f ca="1">VLOOKUP($B108,OFFSET([2]gachas!$A$2,0,0,COUNTA([2]gachas!$A:$A),MATCH(C$1,[2]gachas!$1:$1,0)-MATCH($B$1,[2]gachas!$1:$1,0)+1),MATCH(C$1,[2]gachas!$1:$1,0)-MATCH($B$1,[2]gachas!$1:$1,0)+1,FALSE)</f>
        <v>レアガチャ（追加02）（大罪）</v>
      </c>
      <c r="D108" s="6">
        <v>0</v>
      </c>
      <c r="E108" s="7">
        <v>175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バフォメット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PremiumN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yellow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ゴッド</v>
      </c>
      <c r="L108" s="6">
        <v>1</v>
      </c>
      <c r="M108" s="6">
        <v>2018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01781</v>
      </c>
      <c r="B109" s="2">
        <v>103</v>
      </c>
      <c r="C109" s="10" t="str">
        <f ca="1">VLOOKUP($B109,OFFSET([2]gachas!$A$2,0,0,COUNTA([2]gachas!$A:$A),MATCH(C$1,[2]gachas!$1:$1,0)-MATCH($B$1,[2]gachas!$1:$1,0)+1),MATCH(C$1,[2]gachas!$1:$1,0)-MATCH($B$1,[2]gachas!$1:$1,0)+1,FALSE)</f>
        <v>レアガチャ（追加02）（大罪）</v>
      </c>
      <c r="D109" s="6">
        <v>0</v>
      </c>
      <c r="E109" s="7">
        <v>178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ケルベロス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PremiumN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red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アニマル</v>
      </c>
      <c r="L109" s="6">
        <v>1</v>
      </c>
      <c r="M109" s="6">
        <v>2018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01811</v>
      </c>
      <c r="B110" s="2">
        <v>103</v>
      </c>
      <c r="C110" s="10" t="str">
        <f ca="1">VLOOKUP($B110,OFFSET([2]gachas!$A$2,0,0,COUNTA([2]gachas!$A:$A),MATCH(C$1,[2]gachas!$1:$1,0)-MATCH($B$1,[2]gachas!$1:$1,0)+1),MATCH(C$1,[2]gachas!$1:$1,0)-MATCH($B$1,[2]gachas!$1:$1,0)+1,FALSE)</f>
        <v>レアガチャ（追加02）（大罪）</v>
      </c>
      <c r="D110" s="6">
        <v>0</v>
      </c>
      <c r="E110" s="7">
        <v>181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ベヒモス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PremiumN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green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アニマル</v>
      </c>
      <c r="L110" s="6">
        <v>1</v>
      </c>
      <c r="M110" s="6">
        <v>2018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01841</v>
      </c>
      <c r="B111" s="2">
        <v>103</v>
      </c>
      <c r="C111" s="10" t="str">
        <f ca="1">VLOOKUP($B111,OFFSET([2]gachas!$A$2,0,0,COUNTA([2]gachas!$A:$A),MATCH(C$1,[2]gachas!$1:$1,0)-MATCH($B$1,[2]gachas!$1:$1,0)+1),MATCH(C$1,[2]gachas!$1:$1,0)-MATCH($B$1,[2]gachas!$1:$1,0)+1,FALSE)</f>
        <v>レアガチャ（追加02）（大罪）</v>
      </c>
      <c r="D111" s="6">
        <v>0</v>
      </c>
      <c r="E111" s="7">
        <v>184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クラーケン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PremiumN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blue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アニマル</v>
      </c>
      <c r="L111" s="6">
        <v>1</v>
      </c>
      <c r="M111" s="6">
        <v>2018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01871</v>
      </c>
      <c r="B112" s="2">
        <v>103</v>
      </c>
      <c r="C112" s="10" t="str">
        <f ca="1">VLOOKUP($B112,OFFSET([2]gachas!$A$2,0,0,COUNTA([2]gachas!$A:$A),MATCH(C$1,[2]gachas!$1:$1,0)-MATCH($B$1,[2]gachas!$1:$1,0)+1),MATCH(C$1,[2]gachas!$1:$1,0)-MATCH($B$1,[2]gachas!$1:$1,0)+1,FALSE)</f>
        <v>レアガチャ（追加02）（大罪）</v>
      </c>
      <c r="D112" s="6">
        <v>0</v>
      </c>
      <c r="E112" s="7">
        <v>187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ホルス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PremiumN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yellow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アニマル</v>
      </c>
      <c r="L112" s="6">
        <v>1</v>
      </c>
      <c r="M112" s="6">
        <v>2018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1"/>
        <v>01901</v>
      </c>
      <c r="B113" s="2">
        <v>103</v>
      </c>
      <c r="C113" s="10" t="str">
        <f ca="1">VLOOKUP($B113,OFFSET([2]gachas!$A$2,0,0,COUNTA([2]gachas!$A:$A),MATCH(C$1,[2]gachas!$1:$1,0)-MATCH($B$1,[2]gachas!$1:$1,0)+1),MATCH(C$1,[2]gachas!$1:$1,0)-MATCH($B$1,[2]gachas!$1:$1,0)+1,FALSE)</f>
        <v>レアガチャ（追加02）（大罪）</v>
      </c>
      <c r="D113" s="6">
        <v>0</v>
      </c>
      <c r="E113" s="7">
        <v>190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卑弥呼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PremiumN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red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6">
        <v>2018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1"/>
        <v>01931</v>
      </c>
      <c r="B114" s="2">
        <v>103</v>
      </c>
      <c r="C114" s="10" t="str">
        <f ca="1">VLOOKUP($B114,OFFSET([2]gachas!$A$2,0,0,COUNTA([2]gachas!$A:$A),MATCH(C$1,[2]gachas!$1:$1,0)-MATCH($B$1,[2]gachas!$1:$1,0)+1),MATCH(C$1,[2]gachas!$1:$1,0)-MATCH($B$1,[2]gachas!$1:$1,0)+1,FALSE)</f>
        <v>レアガチャ（追加02）（大罪）</v>
      </c>
      <c r="D114" s="6">
        <v>0</v>
      </c>
      <c r="E114" s="7">
        <v>193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ロビンフッド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PremiumN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green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6">
        <v>2018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1"/>
        <v>01961</v>
      </c>
      <c r="B115" s="2">
        <v>103</v>
      </c>
      <c r="C115" s="10" t="str">
        <f ca="1">VLOOKUP($B115,OFFSET([2]gachas!$A$2,0,0,COUNTA([2]gachas!$A:$A),MATCH(C$1,[2]gachas!$1:$1,0)-MATCH($B$1,[2]gachas!$1:$1,0)+1),MATCH(C$1,[2]gachas!$1:$1,0)-MATCH($B$1,[2]gachas!$1:$1,0)+1,FALSE)</f>
        <v>レアガチャ（追加02）（大罪）</v>
      </c>
      <c r="D115" s="6">
        <v>0</v>
      </c>
      <c r="E115" s="7">
        <v>196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アキレス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PremiumN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yellow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6">
        <v>2018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1"/>
        <v>01991</v>
      </c>
      <c r="B116" s="2">
        <v>103</v>
      </c>
      <c r="C116" s="10" t="str">
        <f ca="1">VLOOKUP($B116,OFFSET([2]gachas!$A$2,0,0,COUNTA([2]gachas!$A:$A),MATCH(C$1,[2]gachas!$1:$1,0)-MATCH($B$1,[2]gachas!$1:$1,0)+1),MATCH(C$1,[2]gachas!$1:$1,0)-MATCH($B$1,[2]gachas!$1:$1,0)+1,FALSE)</f>
        <v>レアガチャ（追加02）（大罪）</v>
      </c>
      <c r="D116" s="6">
        <v>0</v>
      </c>
      <c r="E116" s="7">
        <v>199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ジークフリート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PremiumN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6">
        <v>2018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1"/>
        <v>02021</v>
      </c>
      <c r="B117" s="2">
        <v>103</v>
      </c>
      <c r="C117" s="10" t="str">
        <f ca="1">VLOOKUP($B117,OFFSET([2]gachas!$A$2,0,0,COUNTA([2]gachas!$A:$A),MATCH(C$1,[2]gachas!$1:$1,0)-MATCH($B$1,[2]gachas!$1:$1,0)+1),MATCH(C$1,[2]gachas!$1:$1,0)-MATCH($B$1,[2]gachas!$1:$1,0)+1,FALSE)</f>
        <v>レアガチャ（追加02）（大罪）</v>
      </c>
      <c r="D117" s="6">
        <v>0</v>
      </c>
      <c r="E117" s="7">
        <v>202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プロメテウス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PremiumN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red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ゴッド</v>
      </c>
      <c r="L117" s="6">
        <v>1</v>
      </c>
      <c r="M117" s="6">
        <v>2018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1"/>
        <v>02051</v>
      </c>
      <c r="B118" s="2">
        <v>103</v>
      </c>
      <c r="C118" s="10" t="str">
        <f ca="1">VLOOKUP($B118,OFFSET([2]gachas!$A$2,0,0,COUNTA([2]gachas!$A:$A),MATCH(C$1,[2]gachas!$1:$1,0)-MATCH($B$1,[2]gachas!$1:$1,0)+1),MATCH(C$1,[2]gachas!$1:$1,0)-MATCH($B$1,[2]gachas!$1:$1,0)+1,FALSE)</f>
        <v>レアガチャ（追加02）（大罪）</v>
      </c>
      <c r="D118" s="6">
        <v>0</v>
      </c>
      <c r="E118" s="7">
        <v>205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アフロディーテ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PremiumN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green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ゴッド</v>
      </c>
      <c r="L118" s="6">
        <v>1</v>
      </c>
      <c r="M118" s="6">
        <v>2018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1"/>
        <v>02081</v>
      </c>
      <c r="B119" s="2">
        <v>103</v>
      </c>
      <c r="C119" s="10" t="str">
        <f ca="1">VLOOKUP($B119,OFFSET([2]gachas!$A$2,0,0,COUNTA([2]gachas!$A:$A),MATCH(C$1,[2]gachas!$1:$1,0)-MATCH($B$1,[2]gachas!$1:$1,0)+1),MATCH(C$1,[2]gachas!$1:$1,0)-MATCH($B$1,[2]gachas!$1:$1,0)+1,FALSE)</f>
        <v>レアガチャ（追加02）（大罪）</v>
      </c>
      <c r="D119" s="6">
        <v>0</v>
      </c>
      <c r="E119" s="7">
        <v>208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テティス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PremiumN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blue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ゴッド</v>
      </c>
      <c r="L119" s="6">
        <v>1</v>
      </c>
      <c r="M119" s="6">
        <v>2018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1"/>
        <v>02111</v>
      </c>
      <c r="B120" s="2">
        <v>103</v>
      </c>
      <c r="C120" s="10" t="str">
        <f ca="1">VLOOKUP($B120,OFFSET([2]gachas!$A$2,0,0,COUNTA([2]gachas!$A:$A),MATCH(C$1,[2]gachas!$1:$1,0)-MATCH($B$1,[2]gachas!$1:$1,0)+1),MATCH(C$1,[2]gachas!$1:$1,0)-MATCH($B$1,[2]gachas!$1:$1,0)+1,FALSE)</f>
        <v>レアガチャ（追加02）（大罪）</v>
      </c>
      <c r="D120" s="6">
        <v>0</v>
      </c>
      <c r="E120" s="7">
        <v>211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アストライアー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PremiumN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yellow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ゴッド</v>
      </c>
      <c r="L120" s="6">
        <v>1</v>
      </c>
      <c r="M120" s="6">
        <v>2018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1"/>
        <v>02141</v>
      </c>
      <c r="B121" s="2">
        <v>103</v>
      </c>
      <c r="C121" s="10" t="str">
        <f ca="1">VLOOKUP($B121,OFFSET([2]gachas!$A$2,0,0,COUNTA([2]gachas!$A:$A),MATCH(C$1,[2]gachas!$1:$1,0)-MATCH($B$1,[2]gachas!$1:$1,0)+1),MATCH(C$1,[2]gachas!$1:$1,0)-MATCH($B$1,[2]gachas!$1:$1,0)+1,FALSE)</f>
        <v>レアガチャ（追加02）（大罪）</v>
      </c>
      <c r="D121" s="6">
        <v>0</v>
      </c>
      <c r="E121" s="7">
        <v>214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アズラエル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PremiumN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red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ゴッド</v>
      </c>
      <c r="L121" s="6">
        <v>1</v>
      </c>
      <c r="M121" s="6">
        <v>2018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1"/>
        <v>02171</v>
      </c>
      <c r="B122" s="2">
        <v>103</v>
      </c>
      <c r="C122" s="10" t="str">
        <f ca="1">VLOOKUP($B122,OFFSET([2]gachas!$A$2,0,0,COUNTA([2]gachas!$A:$A),MATCH(C$1,[2]gachas!$1:$1,0)-MATCH($B$1,[2]gachas!$1:$1,0)+1),MATCH(C$1,[2]gachas!$1:$1,0)-MATCH($B$1,[2]gachas!$1:$1,0)+1,FALSE)</f>
        <v>レアガチャ（追加02）（大罪）</v>
      </c>
      <c r="D122" s="6">
        <v>0</v>
      </c>
      <c r="E122" s="7">
        <v>217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ケツァクアトル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green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ドラゴン</v>
      </c>
      <c r="L122" s="6">
        <v>1</v>
      </c>
      <c r="M122" s="6">
        <v>2018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1"/>
        <v>02201</v>
      </c>
      <c r="B123" s="2">
        <v>103</v>
      </c>
      <c r="C123" s="10" t="str">
        <f ca="1">VLOOKUP($B123,OFFSET([2]gachas!$A$2,0,0,COUNTA([2]gachas!$A:$A),MATCH(C$1,[2]gachas!$1:$1,0)-MATCH($B$1,[2]gachas!$1:$1,0)+1),MATCH(C$1,[2]gachas!$1:$1,0)-MATCH($B$1,[2]gachas!$1:$1,0)+1,FALSE)</f>
        <v>レアガチャ（追加02）（大罪）</v>
      </c>
      <c r="D123" s="6">
        <v>0</v>
      </c>
      <c r="E123" s="7">
        <v>220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ルキフグス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blue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ゴッド</v>
      </c>
      <c r="L123" s="6">
        <v>1</v>
      </c>
      <c r="M123" s="6">
        <v>2018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1"/>
        <v>02231</v>
      </c>
      <c r="B124" s="2">
        <v>103</v>
      </c>
      <c r="C124" s="10" t="str">
        <f ca="1">VLOOKUP($B124,OFFSET([2]gachas!$A$2,0,0,COUNTA([2]gachas!$A:$A),MATCH(C$1,[2]gachas!$1:$1,0)-MATCH($B$1,[2]gachas!$1:$1,0)+1),MATCH(C$1,[2]gachas!$1:$1,0)-MATCH($B$1,[2]gachas!$1:$1,0)+1,FALSE)</f>
        <v>レアガチャ（追加02）（大罪）</v>
      </c>
      <c r="D124" s="6">
        <v>0</v>
      </c>
      <c r="E124" s="7">
        <v>223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ヘラクレス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ヒューマン</v>
      </c>
      <c r="L124" s="6">
        <v>1</v>
      </c>
      <c r="M124" s="6">
        <v>2018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1"/>
        <v>02261</v>
      </c>
      <c r="B125" s="2">
        <v>103</v>
      </c>
      <c r="C125" s="10" t="str">
        <f ca="1">VLOOKUP($B125,OFFSET([2]gachas!$A$2,0,0,COUNTA([2]gachas!$A:$A),MATCH(C$1,[2]gachas!$1:$1,0)-MATCH($B$1,[2]gachas!$1:$1,0)+1),MATCH(C$1,[2]gachas!$1:$1,0)-MATCH($B$1,[2]gachas!$1:$1,0)+1,FALSE)</f>
        <v>レアガチャ（追加02）（大罪）</v>
      </c>
      <c r="D125" s="6">
        <v>0</v>
      </c>
      <c r="E125" s="7">
        <v>226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アレス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PremiumS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red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6">
        <v>1251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1"/>
        <v>02291</v>
      </c>
      <c r="B126" s="2">
        <v>103</v>
      </c>
      <c r="C126" s="10" t="str">
        <f ca="1">VLOOKUP($B126,OFFSET([2]gachas!$A$2,0,0,COUNTA([2]gachas!$A:$A),MATCH(C$1,[2]gachas!$1:$1,0)-MATCH($B$1,[2]gachas!$1:$1,0)+1),MATCH(C$1,[2]gachas!$1:$1,0)-MATCH($B$1,[2]gachas!$1:$1,0)+1,FALSE)</f>
        <v>レアガチャ（追加02）（大罪）</v>
      </c>
      <c r="D126" s="6">
        <v>0</v>
      </c>
      <c r="E126" s="7">
        <v>229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ヨルムンガンド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PremiumS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green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ドラゴン</v>
      </c>
      <c r="L126" s="6">
        <v>1</v>
      </c>
      <c r="M126" s="6">
        <v>1251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1"/>
        <v>02321</v>
      </c>
      <c r="B127" s="2">
        <v>103</v>
      </c>
      <c r="C127" s="10" t="str">
        <f ca="1">VLOOKUP($B127,OFFSET([2]gachas!$A$2,0,0,COUNTA([2]gachas!$A:$A),MATCH(C$1,[2]gachas!$1:$1,0)-MATCH($B$1,[2]gachas!$1:$1,0)+1),MATCH(C$1,[2]gachas!$1:$1,0)-MATCH($B$1,[2]gachas!$1:$1,0)+1,FALSE)</f>
        <v>レアガチャ（追加02）（大罪）</v>
      </c>
      <c r="D127" s="6">
        <v>0</v>
      </c>
      <c r="E127" s="7">
        <v>232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パーシヴァル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PremiumS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blue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ヒューマン</v>
      </c>
      <c r="L127" s="6">
        <v>1</v>
      </c>
      <c r="M127" s="6">
        <v>1251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1"/>
        <v>02351</v>
      </c>
      <c r="B128" s="2">
        <v>103</v>
      </c>
      <c r="C128" s="10" t="str">
        <f ca="1">VLOOKUP($B128,OFFSET([2]gachas!$A$2,0,0,COUNTA([2]gachas!$A:$A),MATCH(C$1,[2]gachas!$1:$1,0)-MATCH($B$1,[2]gachas!$1:$1,0)+1),MATCH(C$1,[2]gachas!$1:$1,0)-MATCH($B$1,[2]gachas!$1:$1,0)+1,FALSE)</f>
        <v>レアガチャ（追加02）（大罪）</v>
      </c>
      <c r="D128" s="6">
        <v>0</v>
      </c>
      <c r="E128" s="7">
        <v>235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イザナミ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PremiumS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yellow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6">
        <v>1</v>
      </c>
      <c r="M128" s="6">
        <v>1251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1"/>
        <v>01271</v>
      </c>
      <c r="B129" s="2">
        <v>103</v>
      </c>
      <c r="C129" s="10" t="str">
        <f ca="1">VLOOKUP($B129,OFFSET([2]gachas!$A$2,0,0,COUNTA([2]gachas!$A:$A),MATCH(C$1,[2]gachas!$1:$1,0)-MATCH($B$1,[2]gachas!$1:$1,0)+1),MATCH(C$1,[2]gachas!$1:$1,0)-MATCH($B$1,[2]gachas!$1:$1,0)+1,FALSE)</f>
        <v>レアガチャ（追加02）（大罪）</v>
      </c>
      <c r="D129" s="6">
        <v>0</v>
      </c>
      <c r="E129" s="7">
        <v>127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狂喜の賢者 ユノ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PremiumW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4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red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ヒューマン</v>
      </c>
      <c r="L129" s="6">
        <v>1</v>
      </c>
      <c r="M129" s="6">
        <v>697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1"/>
        <v>01291</v>
      </c>
      <c r="B130" s="2">
        <v>103</v>
      </c>
      <c r="C130" s="10" t="str">
        <f ca="1">VLOOKUP($B130,OFFSET([2]gachas!$A$2,0,0,COUNTA([2]gachas!$A:$A),MATCH(C$1,[2]gachas!$1:$1,0)-MATCH($B$1,[2]gachas!$1:$1,0)+1),MATCH(C$1,[2]gachas!$1:$1,0)-MATCH($B$1,[2]gachas!$1:$1,0)+1,FALSE)</f>
        <v>レアガチャ（追加02）（大罪）</v>
      </c>
      <c r="D130" s="6">
        <v>0</v>
      </c>
      <c r="E130" s="7">
        <v>129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孤高の狼憑き アマラ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PremiumW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green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ヒューマン</v>
      </c>
      <c r="L130" s="6">
        <v>1</v>
      </c>
      <c r="M130" s="6">
        <v>697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1"/>
        <v>01311</v>
      </c>
      <c r="B131" s="2">
        <v>103</v>
      </c>
      <c r="C131" s="10" t="str">
        <f ca="1">VLOOKUP($B131,OFFSET([2]gachas!$A$2,0,0,COUNTA([2]gachas!$A:$A),MATCH(C$1,[2]gachas!$1:$1,0)-MATCH($B$1,[2]gachas!$1:$1,0)+1),MATCH(C$1,[2]gachas!$1:$1,0)-MATCH($B$1,[2]gachas!$1:$1,0)+1,FALSE)</f>
        <v>レアガチャ（追加02）（大罪）</v>
      </c>
      <c r="D131" s="6">
        <v>0</v>
      </c>
      <c r="E131" s="7">
        <v>131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PremiumW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4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blue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アニマル</v>
      </c>
      <c r="L131" s="6">
        <v>1</v>
      </c>
      <c r="M131" s="6">
        <v>697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1"/>
        <v>01331</v>
      </c>
      <c r="B132" s="2">
        <v>103</v>
      </c>
      <c r="C132" s="10" t="str">
        <f ca="1">VLOOKUP($B132,OFFSET([2]gachas!$A$2,0,0,COUNTA([2]gachas!$A:$A),MATCH(C$1,[2]gachas!$1:$1,0)-MATCH($B$1,[2]gachas!$1:$1,0)+1),MATCH(C$1,[2]gachas!$1:$1,0)-MATCH($B$1,[2]gachas!$1:$1,0)+1,FALSE)</f>
        <v>レアガチャ（追加02）（大罪）</v>
      </c>
      <c r="D132" s="6">
        <v>0</v>
      </c>
      <c r="E132" s="7">
        <v>133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迅雷の刀剣 ハヤト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PremiumW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4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yellow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6">
        <v>697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1"/>
        <v>01351</v>
      </c>
      <c r="B133" s="2">
        <v>103</v>
      </c>
      <c r="C133" s="10" t="str">
        <f ca="1">VLOOKUP($B133,OFFSET([2]gachas!$A$2,0,0,COUNTA([2]gachas!$A:$A),MATCH(C$1,[2]gachas!$1:$1,0)-MATCH($B$1,[2]gachas!$1:$1,0)+1),MATCH(C$1,[2]gachas!$1:$1,0)-MATCH($B$1,[2]gachas!$1:$1,0)+1,FALSE)</f>
        <v>レアガチャ（追加02）（大罪）</v>
      </c>
      <c r="D133" s="6">
        <v>0</v>
      </c>
      <c r="E133" s="7">
        <v>135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京の炎華夕霧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PremiumW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red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6">
        <v>697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1"/>
        <v>01371</v>
      </c>
      <c r="B134" s="2">
        <v>103</v>
      </c>
      <c r="C134" s="10" t="str">
        <f ca="1">VLOOKUP($B134,OFFSET([2]gachas!$A$2,0,0,COUNTA([2]gachas!$A:$A),MATCH(C$1,[2]gachas!$1:$1,0)-MATCH($B$1,[2]gachas!$1:$1,0)+1),MATCH(C$1,[2]gachas!$1:$1,0)-MATCH($B$1,[2]gachas!$1:$1,0)+1,FALSE)</f>
        <v>レアガチャ（追加02）（大罪）</v>
      </c>
      <c r="D134" s="6">
        <v>0</v>
      </c>
      <c r="E134" s="7">
        <v>137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清福の仕立屋 チハヤ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PremiumW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4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green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ヒューマン</v>
      </c>
      <c r="L134" s="6">
        <v>1</v>
      </c>
      <c r="M134" s="6">
        <v>697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1"/>
        <v>01391</v>
      </c>
      <c r="B135" s="2">
        <v>103</v>
      </c>
      <c r="C135" s="10" t="str">
        <f ca="1">VLOOKUP($B135,OFFSET([2]gachas!$A$2,0,0,COUNTA([2]gachas!$A:$A),MATCH(C$1,[2]gachas!$1:$1,0)-MATCH($B$1,[2]gachas!$1:$1,0)+1),MATCH(C$1,[2]gachas!$1:$1,0)-MATCH($B$1,[2]gachas!$1:$1,0)+1,FALSE)</f>
        <v>レアガチャ（追加02）（大罪）</v>
      </c>
      <c r="D135" s="6">
        <v>0</v>
      </c>
      <c r="E135" s="7">
        <v>139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蒼昇刃姫 トモエ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PremiumW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4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blue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ヒューマン</v>
      </c>
      <c r="L135" s="6">
        <v>1</v>
      </c>
      <c r="M135" s="6">
        <v>697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1"/>
        <v>01411</v>
      </c>
      <c r="B136" s="2">
        <v>103</v>
      </c>
      <c r="C136" s="10" t="str">
        <f ca="1">VLOOKUP($B136,OFFSET([2]gachas!$A$2,0,0,COUNTA([2]gachas!$A:$A),MATCH(C$1,[2]gachas!$1:$1,0)-MATCH($B$1,[2]gachas!$1:$1,0)+1),MATCH(C$1,[2]gachas!$1:$1,0)-MATCH($B$1,[2]gachas!$1:$1,0)+1,FALSE)</f>
        <v>レアガチャ（追加02）（大罪）</v>
      </c>
      <c r="D136" s="6">
        <v>0</v>
      </c>
      <c r="E136" s="7">
        <v>141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妖狐演舞 タマモ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PremiumW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yellow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アニマル</v>
      </c>
      <c r="L136" s="6">
        <v>1</v>
      </c>
      <c r="M136" s="6">
        <v>697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1"/>
        <v>01431</v>
      </c>
      <c r="B137" s="2">
        <v>103</v>
      </c>
      <c r="C137" s="10" t="str">
        <f ca="1">VLOOKUP($B137,OFFSET([2]gachas!$A$2,0,0,COUNTA([2]gachas!$A:$A),MATCH(C$1,[2]gachas!$1:$1,0)-MATCH($B$1,[2]gachas!$1:$1,0)+1),MATCH(C$1,[2]gachas!$1:$1,0)-MATCH($B$1,[2]gachas!$1:$1,0)+1,FALSE)</f>
        <v>レアガチャ（追加02）（大罪）</v>
      </c>
      <c r="D137" s="6">
        <v>0</v>
      </c>
      <c r="E137" s="7">
        <v>143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深紅の死神 赤ずきん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PremiumW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4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red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ヒューマン</v>
      </c>
      <c r="L137" s="6">
        <v>1</v>
      </c>
      <c r="M137" s="6">
        <v>697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ref="A138:A201" si="2">D138&amp;E138&amp;L138</f>
        <v>01451</v>
      </c>
      <c r="B138" s="2">
        <v>103</v>
      </c>
      <c r="C138" s="10" t="str">
        <f ca="1">VLOOKUP($B138,OFFSET([2]gachas!$A$2,0,0,COUNTA([2]gachas!$A:$A),MATCH(C$1,[2]gachas!$1:$1,0)-MATCH($B$1,[2]gachas!$1:$1,0)+1),MATCH(C$1,[2]gachas!$1:$1,0)-MATCH($B$1,[2]gachas!$1:$1,0)+1,FALSE)</f>
        <v>レアガチャ（追加02）（大罪）</v>
      </c>
      <c r="D138" s="6">
        <v>0</v>
      </c>
      <c r="E138" s="7">
        <v>145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魔性妖艶 かぐや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PremiumW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green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6">
        <v>1</v>
      </c>
      <c r="M138" s="6">
        <v>697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2"/>
        <v>01471</v>
      </c>
      <c r="B139" s="2">
        <v>103</v>
      </c>
      <c r="C139" s="10" t="str">
        <f ca="1">VLOOKUP($B139,OFFSET([2]gachas!$A$2,0,0,COUNTA([2]gachas!$A:$A),MATCH(C$1,[2]gachas!$1:$1,0)-MATCH($B$1,[2]gachas!$1:$1,0)+1),MATCH(C$1,[2]gachas!$1:$1,0)-MATCH($B$1,[2]gachas!$1:$1,0)+1,FALSE)</f>
        <v>レアガチャ（追加02）（大罪）</v>
      </c>
      <c r="D139" s="6">
        <v>0</v>
      </c>
      <c r="E139" s="7">
        <v>147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PremiumW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blue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6">
        <v>1</v>
      </c>
      <c r="M139" s="6">
        <v>697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2"/>
        <v>01491</v>
      </c>
      <c r="B140" s="2">
        <v>103</v>
      </c>
      <c r="C140" s="10" t="str">
        <f ca="1">VLOOKUP($B140,OFFSET([2]gachas!$A$2,0,0,COUNTA([2]gachas!$A:$A),MATCH(C$1,[2]gachas!$1:$1,0)-MATCH($B$1,[2]gachas!$1:$1,0)+1),MATCH(C$1,[2]gachas!$1:$1,0)-MATCH($B$1,[2]gachas!$1:$1,0)+1,FALSE)</f>
        <v>レアガチャ（追加02）（大罪）</v>
      </c>
      <c r="D140" s="6">
        <v>0</v>
      </c>
      <c r="E140" s="7">
        <v>149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PremiumW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yellow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ヒューマン</v>
      </c>
      <c r="L140" s="6">
        <v>1</v>
      </c>
      <c r="M140" s="6">
        <v>697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2"/>
        <v>01511</v>
      </c>
      <c r="B141" s="2">
        <v>103</v>
      </c>
      <c r="C141" s="10" t="str">
        <f ca="1">VLOOKUP($B141,OFFSET([2]gachas!$A$2,0,0,COUNTA([2]gachas!$A:$A),MATCH(C$1,[2]gachas!$1:$1,0)-MATCH($B$1,[2]gachas!$1:$1,0)+1),MATCH(C$1,[2]gachas!$1:$1,0)-MATCH($B$1,[2]gachas!$1:$1,0)+1,FALSE)</f>
        <v>レアガチャ（追加02）（大罪）</v>
      </c>
      <c r="D141" s="6">
        <v>0</v>
      </c>
      <c r="E141" s="7">
        <v>151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毒煙の処刑人サキ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PremiumW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red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6">
        <v>697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2"/>
        <v>01531</v>
      </c>
      <c r="B142" s="2">
        <v>103</v>
      </c>
      <c r="C142" s="10" t="str">
        <f ca="1">VLOOKUP($B142,OFFSET([2]gachas!$A$2,0,0,COUNTA([2]gachas!$A:$A),MATCH(C$1,[2]gachas!$1:$1,0)-MATCH($B$1,[2]gachas!$1:$1,0)+1),MATCH(C$1,[2]gachas!$1:$1,0)-MATCH($B$1,[2]gachas!$1:$1,0)+1,FALSE)</f>
        <v>レアガチャ（追加02）（大罪）</v>
      </c>
      <c r="D142" s="6">
        <v>0</v>
      </c>
      <c r="E142" s="7">
        <v>153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拳聖ランラン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PremiumW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green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6">
        <v>1</v>
      </c>
      <c r="M142" s="6">
        <v>697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2"/>
        <v>01551</v>
      </c>
      <c r="B143" s="2">
        <v>103</v>
      </c>
      <c r="C143" s="10" t="str">
        <f ca="1">VLOOKUP($B143,OFFSET([2]gachas!$A$2,0,0,COUNTA([2]gachas!$A:$A),MATCH(C$1,[2]gachas!$1:$1,0)-MATCH($B$1,[2]gachas!$1:$1,0)+1),MATCH(C$1,[2]gachas!$1:$1,0)-MATCH($B$1,[2]gachas!$1:$1,0)+1,FALSE)</f>
        <v>レアガチャ（追加02）（大罪）</v>
      </c>
      <c r="D143" s="6">
        <v>0</v>
      </c>
      <c r="E143" s="7">
        <v>155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隻眼の掃除屋 ハンナ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PremiumW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4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blue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6">
        <v>1</v>
      </c>
      <c r="M143" s="6">
        <v>697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2"/>
        <v>01571</v>
      </c>
      <c r="B144" s="2">
        <v>103</v>
      </c>
      <c r="C144" s="10" t="str">
        <f ca="1">VLOOKUP($B144,OFFSET([2]gachas!$A$2,0,0,COUNTA([2]gachas!$A:$A),MATCH(C$1,[2]gachas!$1:$1,0)-MATCH($B$1,[2]gachas!$1:$1,0)+1),MATCH(C$1,[2]gachas!$1:$1,0)-MATCH($B$1,[2]gachas!$1:$1,0)+1,FALSE)</f>
        <v>レアガチャ（追加02）（大罪）</v>
      </c>
      <c r="D144" s="6">
        <v>0</v>
      </c>
      <c r="E144" s="7">
        <v>157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雷光舞姫 エレナ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PremiumW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yellow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6">
        <v>1</v>
      </c>
      <c r="M144" s="6">
        <v>697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2"/>
        <v>01591</v>
      </c>
      <c r="B145" s="2">
        <v>103</v>
      </c>
      <c r="C145" s="10" t="str">
        <f ca="1">VLOOKUP($B145,OFFSET([2]gachas!$A$2,0,0,COUNTA([2]gachas!$A:$A),MATCH(C$1,[2]gachas!$1:$1,0)-MATCH($B$1,[2]gachas!$1:$1,0)+1),MATCH(C$1,[2]gachas!$1:$1,0)-MATCH($B$1,[2]gachas!$1:$1,0)+1,FALSE)</f>
        <v>レアガチャ（追加02）（大罪）</v>
      </c>
      <c r="D145" s="6">
        <v>0</v>
      </c>
      <c r="E145" s="7">
        <v>159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PremiumW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4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red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ヒューマン</v>
      </c>
      <c r="L145" s="6">
        <v>1</v>
      </c>
      <c r="M145" s="6">
        <v>697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2"/>
        <v>01611</v>
      </c>
      <c r="B146" s="2">
        <v>103</v>
      </c>
      <c r="C146" s="10" t="str">
        <f ca="1">VLOOKUP($B146,OFFSET([2]gachas!$A$2,0,0,COUNTA([2]gachas!$A:$A),MATCH(C$1,[2]gachas!$1:$1,0)-MATCH($B$1,[2]gachas!$1:$1,0)+1),MATCH(C$1,[2]gachas!$1:$1,0)-MATCH($B$1,[2]gachas!$1:$1,0)+1,FALSE)</f>
        <v>レアガチャ（追加02）（大罪）</v>
      </c>
      <c r="D146" s="6">
        <v>0</v>
      </c>
      <c r="E146" s="7">
        <v>161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咆哮の先導者 クリエ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green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6">
        <v>697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2"/>
        <v>01631</v>
      </c>
      <c r="B147" s="2">
        <v>103</v>
      </c>
      <c r="C147" s="10" t="str">
        <f ca="1">VLOOKUP($B147,OFFSET([2]gachas!$A$2,0,0,COUNTA([2]gachas!$A:$A),MATCH(C$1,[2]gachas!$1:$1,0)-MATCH($B$1,[2]gachas!$1:$1,0)+1),MATCH(C$1,[2]gachas!$1:$1,0)-MATCH($B$1,[2]gachas!$1:$1,0)+1,FALSE)</f>
        <v>レアガチャ（追加02）（大罪）</v>
      </c>
      <c r="D147" s="6">
        <v>0</v>
      </c>
      <c r="E147" s="7">
        <v>163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冷酷な狂嬢 クララ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blue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6">
        <v>697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01651</v>
      </c>
      <c r="B148" s="2">
        <v>103</v>
      </c>
      <c r="C148" s="10" t="str">
        <f ca="1">VLOOKUP($B148,OFFSET([2]gachas!$A$2,0,0,COUNTA([2]gachas!$A:$A),MATCH(C$1,[2]gachas!$1:$1,0)-MATCH($B$1,[2]gachas!$1:$1,0)+1),MATCH(C$1,[2]gachas!$1:$1,0)-MATCH($B$1,[2]gachas!$1:$1,0)+1,FALSE)</f>
        <v>レアガチャ（追加02）（大罪）</v>
      </c>
      <c r="D148" s="6">
        <v>0</v>
      </c>
      <c r="E148" s="7">
        <v>165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yellow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ヒューマン</v>
      </c>
      <c r="L148" s="6">
        <v>1</v>
      </c>
      <c r="M148" s="6">
        <v>697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01671</v>
      </c>
      <c r="B149" s="2">
        <v>103</v>
      </c>
      <c r="C149" s="10" t="str">
        <f ca="1">VLOOKUP($B149,OFFSET([2]gachas!$A$2,0,0,COUNTA([2]gachas!$A:$A),MATCH(C$1,[2]gachas!$1:$1,0)-MATCH($B$1,[2]gachas!$1:$1,0)+1),MATCH(C$1,[2]gachas!$1:$1,0)-MATCH($B$1,[2]gachas!$1:$1,0)+1,FALSE)</f>
        <v>レアガチャ（追加02）（大罪）</v>
      </c>
      <c r="D149" s="6">
        <v>0</v>
      </c>
      <c r="E149" s="7">
        <v>167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逆徒 ベリアル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PremiumN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red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ゴッド</v>
      </c>
      <c r="L149" s="6">
        <v>1</v>
      </c>
      <c r="M149" s="6">
        <v>731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01701</v>
      </c>
      <c r="B150" s="2">
        <v>103</v>
      </c>
      <c r="C150" s="10" t="str">
        <f ca="1">VLOOKUP($B150,OFFSET([2]gachas!$A$2,0,0,COUNTA([2]gachas!$A:$A),MATCH(C$1,[2]gachas!$1:$1,0)-MATCH($B$1,[2]gachas!$1:$1,0)+1),MATCH(C$1,[2]gachas!$1:$1,0)-MATCH($B$1,[2]gachas!$1:$1,0)+1,FALSE)</f>
        <v>レアガチャ（追加02）（大罪）</v>
      </c>
      <c r="D150" s="6">
        <v>0</v>
      </c>
      <c r="E150" s="7">
        <v>170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識徒 オセ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PremiumN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green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ゴッド</v>
      </c>
      <c r="L150" s="6">
        <v>1</v>
      </c>
      <c r="M150" s="6">
        <v>731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01731</v>
      </c>
      <c r="B151" s="2">
        <v>103</v>
      </c>
      <c r="C151" s="10" t="str">
        <f ca="1">VLOOKUP($B151,OFFSET([2]gachas!$A$2,0,0,COUNTA([2]gachas!$A:$A),MATCH(C$1,[2]gachas!$1:$1,0)-MATCH($B$1,[2]gachas!$1:$1,0)+1),MATCH(C$1,[2]gachas!$1:$1,0)-MATCH($B$1,[2]gachas!$1:$1,0)+1,FALSE)</f>
        <v>レアガチャ（追加02）（大罪）</v>
      </c>
      <c r="D151" s="6">
        <v>0</v>
      </c>
      <c r="E151" s="7">
        <v>173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公爵 フォルネウス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PremiumN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blue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ゴッド</v>
      </c>
      <c r="L151" s="6">
        <v>1</v>
      </c>
      <c r="M151" s="6">
        <v>731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01761</v>
      </c>
      <c r="B152" s="2">
        <v>103</v>
      </c>
      <c r="C152" s="10" t="str">
        <f ca="1">VLOOKUP($B152,OFFSET([2]gachas!$A$2,0,0,COUNTA([2]gachas!$A:$A),MATCH(C$1,[2]gachas!$1:$1,0)-MATCH($B$1,[2]gachas!$1:$1,0)+1),MATCH(C$1,[2]gachas!$1:$1,0)-MATCH($B$1,[2]gachas!$1:$1,0)+1,FALSE)</f>
        <v>レアガチャ（追加02）（大罪）</v>
      </c>
      <c r="D152" s="6">
        <v>0</v>
      </c>
      <c r="E152" s="7">
        <v>176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異教徒 バフォメット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PremiumN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yellow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ゴッド</v>
      </c>
      <c r="L152" s="6">
        <v>1</v>
      </c>
      <c r="M152" s="6">
        <v>731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01791</v>
      </c>
      <c r="B153" s="2">
        <v>103</v>
      </c>
      <c r="C153" s="10" t="str">
        <f ca="1">VLOOKUP($B153,OFFSET([2]gachas!$A$2,0,0,COUNTA([2]gachas!$A:$A),MATCH(C$1,[2]gachas!$1:$1,0)-MATCH($B$1,[2]gachas!$1:$1,0)+1),MATCH(C$1,[2]gachas!$1:$1,0)-MATCH($B$1,[2]gachas!$1:$1,0)+1,FALSE)</f>
        <v>レアガチャ（追加02）（大罪）</v>
      </c>
      <c r="D153" s="6">
        <v>0</v>
      </c>
      <c r="E153" s="7">
        <v>179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番犬 ケルベロス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PremiumN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red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アニマル</v>
      </c>
      <c r="L153" s="6">
        <v>1</v>
      </c>
      <c r="M153" s="6">
        <v>731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2"/>
        <v>01821</v>
      </c>
      <c r="B154" s="2">
        <v>103</v>
      </c>
      <c r="C154" s="10" t="str">
        <f ca="1">VLOOKUP($B154,OFFSET([2]gachas!$A$2,0,0,COUNTA([2]gachas!$A:$A),MATCH(C$1,[2]gachas!$1:$1,0)-MATCH($B$1,[2]gachas!$1:$1,0)+1),MATCH(C$1,[2]gachas!$1:$1,0)-MATCH($B$1,[2]gachas!$1:$1,0)+1,FALSE)</f>
        <v>レアガチャ（追加02）（大罪）</v>
      </c>
      <c r="D154" s="6">
        <v>0</v>
      </c>
      <c r="E154" s="7">
        <v>182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放蕩者 ベヒモス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PremiumN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green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アニマル</v>
      </c>
      <c r="L154" s="6">
        <v>1</v>
      </c>
      <c r="M154" s="6">
        <v>731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si="2"/>
        <v>01851</v>
      </c>
      <c r="B155" s="2">
        <v>103</v>
      </c>
      <c r="C155" s="10" t="str">
        <f ca="1">VLOOKUP($B155,OFFSET([2]gachas!$A$2,0,0,COUNTA([2]gachas!$A:$A),MATCH(C$1,[2]gachas!$1:$1,0)-MATCH($B$1,[2]gachas!$1:$1,0)+1),MATCH(C$1,[2]gachas!$1:$1,0)-MATCH($B$1,[2]gachas!$1:$1,0)+1,FALSE)</f>
        <v>レアガチャ（追加02）（大罪）</v>
      </c>
      <c r="D155" s="6">
        <v>0</v>
      </c>
      <c r="E155" s="7">
        <v>185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海姫 クラーケン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PremiumN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blue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アニマル</v>
      </c>
      <c r="L155" s="6">
        <v>1</v>
      </c>
      <c r="M155" s="6">
        <v>731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2"/>
        <v>01881</v>
      </c>
      <c r="B156" s="2">
        <v>103</v>
      </c>
      <c r="C156" s="10" t="str">
        <f ca="1">VLOOKUP($B156,OFFSET([2]gachas!$A$2,0,0,COUNTA([2]gachas!$A:$A),MATCH(C$1,[2]gachas!$1:$1,0)-MATCH($B$1,[2]gachas!$1:$1,0)+1),MATCH(C$1,[2]gachas!$1:$1,0)-MATCH($B$1,[2]gachas!$1:$1,0)+1,FALSE)</f>
        <v>レアガチャ（追加02）（大罪）</v>
      </c>
      <c r="D156" s="6">
        <v>0</v>
      </c>
      <c r="E156" s="7">
        <v>188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猛禽 ホルス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PremiumN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yellow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アニマル</v>
      </c>
      <c r="L156" s="6">
        <v>1</v>
      </c>
      <c r="M156" s="6">
        <v>731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2"/>
        <v>01911</v>
      </c>
      <c r="B157" s="2">
        <v>103</v>
      </c>
      <c r="C157" s="10" t="str">
        <f ca="1">VLOOKUP($B157,OFFSET([2]gachas!$A$2,0,0,COUNTA([2]gachas!$A:$A),MATCH(C$1,[2]gachas!$1:$1,0)-MATCH($B$1,[2]gachas!$1:$1,0)+1),MATCH(C$1,[2]gachas!$1:$1,0)-MATCH($B$1,[2]gachas!$1:$1,0)+1,FALSE)</f>
        <v>レアガチャ（追加02）（大罪）</v>
      </c>
      <c r="D157" s="6">
        <v>0</v>
      </c>
      <c r="E157" s="7">
        <v>191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始祖 卑弥呼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PremiumN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red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6">
        <v>731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2"/>
        <v>01941</v>
      </c>
      <c r="B158" s="2">
        <v>103</v>
      </c>
      <c r="C158" s="10" t="str">
        <f ca="1">VLOOKUP($B158,OFFSET([2]gachas!$A$2,0,0,COUNTA([2]gachas!$A:$A),MATCH(C$1,[2]gachas!$1:$1,0)-MATCH($B$1,[2]gachas!$1:$1,0)+1),MATCH(C$1,[2]gachas!$1:$1,0)-MATCH($B$1,[2]gachas!$1:$1,0)+1,FALSE)</f>
        <v>レアガチャ（追加02）（大罪）</v>
      </c>
      <c r="D158" s="6">
        <v>0</v>
      </c>
      <c r="E158" s="7">
        <v>194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PremiumN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green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ヒューマン</v>
      </c>
      <c r="L158" s="6">
        <v>1</v>
      </c>
      <c r="M158" s="6">
        <v>731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2"/>
        <v>01971</v>
      </c>
      <c r="B159" s="2">
        <v>103</v>
      </c>
      <c r="C159" s="10" t="str">
        <f ca="1">VLOOKUP($B159,OFFSET([2]gachas!$A$2,0,0,COUNTA([2]gachas!$A:$A),MATCH(C$1,[2]gachas!$1:$1,0)-MATCH($B$1,[2]gachas!$1:$1,0)+1),MATCH(C$1,[2]gachas!$1:$1,0)-MATCH($B$1,[2]gachas!$1:$1,0)+1,FALSE)</f>
        <v>レアガチャ（追加02）（大罪）</v>
      </c>
      <c r="D159" s="6">
        <v>0</v>
      </c>
      <c r="E159" s="7">
        <v>197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鉄腕 アキレス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PremiumN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yellow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ヒューマン</v>
      </c>
      <c r="L159" s="6">
        <v>1</v>
      </c>
      <c r="M159" s="6">
        <v>731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2"/>
        <v>02001</v>
      </c>
      <c r="B160" s="2">
        <v>103</v>
      </c>
      <c r="C160" s="10" t="str">
        <f ca="1">VLOOKUP($B160,OFFSET([2]gachas!$A$2,0,0,COUNTA([2]gachas!$A:$A),MATCH(C$1,[2]gachas!$1:$1,0)-MATCH($B$1,[2]gachas!$1:$1,0)+1),MATCH(C$1,[2]gachas!$1:$1,0)-MATCH($B$1,[2]gachas!$1:$1,0)+1,FALSE)</f>
        <v>レアガチャ（追加02）（大罪）</v>
      </c>
      <c r="D160" s="6">
        <v>0</v>
      </c>
      <c r="E160" s="7">
        <v>200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PremiumN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ヒューマン</v>
      </c>
      <c r="L160" s="6">
        <v>1</v>
      </c>
      <c r="M160" s="6">
        <v>731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2"/>
        <v>02031</v>
      </c>
      <c r="B161" s="2">
        <v>103</v>
      </c>
      <c r="C161" s="10" t="str">
        <f ca="1">VLOOKUP($B161,OFFSET([2]gachas!$A$2,0,0,COUNTA([2]gachas!$A:$A),MATCH(C$1,[2]gachas!$1:$1,0)-MATCH($B$1,[2]gachas!$1:$1,0)+1),MATCH(C$1,[2]gachas!$1:$1,0)-MATCH($B$1,[2]gachas!$1:$1,0)+1,FALSE)</f>
        <v>レアガチャ（追加02）（大罪）</v>
      </c>
      <c r="D161" s="6">
        <v>0</v>
      </c>
      <c r="E161" s="7">
        <v>203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焔神 プロメテウス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PremiumN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red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ゴッド</v>
      </c>
      <c r="L161" s="6">
        <v>1</v>
      </c>
      <c r="M161" s="6">
        <v>731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2"/>
        <v>02061</v>
      </c>
      <c r="B162" s="2">
        <v>103</v>
      </c>
      <c r="C162" s="10" t="str">
        <f ca="1">VLOOKUP($B162,OFFSET([2]gachas!$A$2,0,0,COUNTA([2]gachas!$A:$A),MATCH(C$1,[2]gachas!$1:$1,0)-MATCH($B$1,[2]gachas!$1:$1,0)+1),MATCH(C$1,[2]gachas!$1:$1,0)-MATCH($B$1,[2]gachas!$1:$1,0)+1,FALSE)</f>
        <v>レアガチャ（追加02）（大罪）</v>
      </c>
      <c r="D162" s="6">
        <v>0</v>
      </c>
      <c r="E162" s="7">
        <v>206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美神 アフロディーテ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PremiumN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green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ゴッド</v>
      </c>
      <c r="L162" s="6">
        <v>1</v>
      </c>
      <c r="M162" s="6">
        <v>731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2"/>
        <v>02091</v>
      </c>
      <c r="B163" s="2">
        <v>103</v>
      </c>
      <c r="C163" s="10" t="str">
        <f ca="1">VLOOKUP($B163,OFFSET([2]gachas!$A$2,0,0,COUNTA([2]gachas!$A:$A),MATCH(C$1,[2]gachas!$1:$1,0)-MATCH($B$1,[2]gachas!$1:$1,0)+1),MATCH(C$1,[2]gachas!$1:$1,0)-MATCH($B$1,[2]gachas!$1:$1,0)+1,FALSE)</f>
        <v>レアガチャ（追加02）（大罪）</v>
      </c>
      <c r="D163" s="6">
        <v>0</v>
      </c>
      <c r="E163" s="7">
        <v>209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孤神 テティス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PremiumN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blue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ゴッド</v>
      </c>
      <c r="L163" s="6">
        <v>1</v>
      </c>
      <c r="M163" s="6">
        <v>731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2"/>
        <v>02121</v>
      </c>
      <c r="B164" s="2">
        <v>103</v>
      </c>
      <c r="C164" s="10" t="str">
        <f ca="1">VLOOKUP($B164,OFFSET([2]gachas!$A$2,0,0,COUNTA([2]gachas!$A:$A),MATCH(C$1,[2]gachas!$1:$1,0)-MATCH($B$1,[2]gachas!$1:$1,0)+1),MATCH(C$1,[2]gachas!$1:$1,0)-MATCH($B$1,[2]gachas!$1:$1,0)+1,FALSE)</f>
        <v>レアガチャ（追加02）（大罪）</v>
      </c>
      <c r="D164" s="6">
        <v>0</v>
      </c>
      <c r="E164" s="7">
        <v>212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星神 アストライアー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PremiumN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yellow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ゴッド</v>
      </c>
      <c r="L164" s="6">
        <v>1</v>
      </c>
      <c r="M164" s="6">
        <v>731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2"/>
        <v>02151</v>
      </c>
      <c r="B165" s="2">
        <v>103</v>
      </c>
      <c r="C165" s="10" t="str">
        <f ca="1">VLOOKUP($B165,OFFSET([2]gachas!$A$2,0,0,COUNTA([2]gachas!$A:$A),MATCH(C$1,[2]gachas!$1:$1,0)-MATCH($B$1,[2]gachas!$1:$1,0)+1),MATCH(C$1,[2]gachas!$1:$1,0)-MATCH($B$1,[2]gachas!$1:$1,0)+1,FALSE)</f>
        <v>レアガチャ（追加02）（大罪）</v>
      </c>
      <c r="D165" s="6">
        <v>0</v>
      </c>
      <c r="E165" s="7">
        <v>215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死導者 アズラエル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PremiumN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red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ゴッド</v>
      </c>
      <c r="L165" s="6">
        <v>1</v>
      </c>
      <c r="M165" s="6">
        <v>731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2"/>
        <v>02181</v>
      </c>
      <c r="B166" s="2">
        <v>103</v>
      </c>
      <c r="C166" s="10" t="str">
        <f ca="1">VLOOKUP($B166,OFFSET([2]gachas!$A$2,0,0,COUNTA([2]gachas!$A:$A),MATCH(C$1,[2]gachas!$1:$1,0)-MATCH($B$1,[2]gachas!$1:$1,0)+1),MATCH(C$1,[2]gachas!$1:$1,0)-MATCH($B$1,[2]gachas!$1:$1,0)+1,FALSE)</f>
        <v>レアガチャ（追加02）（大罪）</v>
      </c>
      <c r="D166" s="6">
        <v>0</v>
      </c>
      <c r="E166" s="7">
        <v>218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聖蛇 ケツァクアトル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green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ドラゴン</v>
      </c>
      <c r="L166" s="6">
        <v>1</v>
      </c>
      <c r="M166" s="6">
        <v>731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2"/>
        <v>02211</v>
      </c>
      <c r="B167" s="2">
        <v>103</v>
      </c>
      <c r="C167" s="10" t="str">
        <f ca="1">VLOOKUP($B167,OFFSET([2]gachas!$A$2,0,0,COUNTA([2]gachas!$A:$A),MATCH(C$1,[2]gachas!$1:$1,0)-MATCH($B$1,[2]gachas!$1:$1,0)+1),MATCH(C$1,[2]gachas!$1:$1,0)-MATCH($B$1,[2]gachas!$1:$1,0)+1,FALSE)</f>
        <v>レアガチャ（追加02）（大罪）</v>
      </c>
      <c r="D167" s="6">
        <v>0</v>
      </c>
      <c r="E167" s="7">
        <v>221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宰相 ルキフグス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blue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ゴッド</v>
      </c>
      <c r="L167" s="6">
        <v>1</v>
      </c>
      <c r="M167" s="6">
        <v>731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2"/>
        <v>02241</v>
      </c>
      <c r="B168" s="2">
        <v>103</v>
      </c>
      <c r="C168" s="10" t="str">
        <f ca="1">VLOOKUP($B168,OFFSET([2]gachas!$A$2,0,0,COUNTA([2]gachas!$A:$A),MATCH(C$1,[2]gachas!$1:$1,0)-MATCH($B$1,[2]gachas!$1:$1,0)+1),MATCH(C$1,[2]gachas!$1:$1,0)-MATCH($B$1,[2]gachas!$1:$1,0)+1,FALSE)</f>
        <v>レアガチャ（追加02）（大罪）</v>
      </c>
      <c r="D168" s="6">
        <v>0</v>
      </c>
      <c r="E168" s="7">
        <v>224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巨腕 ヘラクレス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yellow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ヒューマン</v>
      </c>
      <c r="L168" s="6">
        <v>1</v>
      </c>
      <c r="M168" s="6">
        <v>731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2"/>
        <v>02271</v>
      </c>
      <c r="B169" s="2">
        <v>103</v>
      </c>
      <c r="C169" s="10" t="str">
        <f ca="1">VLOOKUP($B169,OFFSET([2]gachas!$A$2,0,0,COUNTA([2]gachas!$A:$A),MATCH(C$1,[2]gachas!$1:$1,0)-MATCH($B$1,[2]gachas!$1:$1,0)+1),MATCH(C$1,[2]gachas!$1:$1,0)-MATCH($B$1,[2]gachas!$1:$1,0)+1,FALSE)</f>
        <v>レアガチャ（追加02）（大罪）</v>
      </c>
      <c r="D169" s="6">
        <v>0</v>
      </c>
      <c r="E169" s="7">
        <v>227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滅弾 アレス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PremiumS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red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ゴッド</v>
      </c>
      <c r="L169" s="6">
        <v>1</v>
      </c>
      <c r="M169" s="6">
        <v>453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2"/>
        <v>02301</v>
      </c>
      <c r="B170" s="2">
        <v>103</v>
      </c>
      <c r="C170" s="10" t="str">
        <f ca="1">VLOOKUP($B170,OFFSET([2]gachas!$A$2,0,0,COUNTA([2]gachas!$A:$A),MATCH(C$1,[2]gachas!$1:$1,0)-MATCH($B$1,[2]gachas!$1:$1,0)+1),MATCH(C$1,[2]gachas!$1:$1,0)-MATCH($B$1,[2]gachas!$1:$1,0)+1,FALSE)</f>
        <v>レアガチャ（追加02）（大罪）</v>
      </c>
      <c r="D170" s="6">
        <v>0</v>
      </c>
      <c r="E170" s="7">
        <v>230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毒銃 ヨルムンガンド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PremiumS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green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ドラゴン</v>
      </c>
      <c r="L170" s="6">
        <v>1</v>
      </c>
      <c r="M170" s="6">
        <v>453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2"/>
        <v>02331</v>
      </c>
      <c r="B171" s="2">
        <v>103</v>
      </c>
      <c r="C171" s="10" t="str">
        <f ca="1">VLOOKUP($B171,OFFSET([2]gachas!$A$2,0,0,COUNTA([2]gachas!$A:$A),MATCH(C$1,[2]gachas!$1:$1,0)-MATCH($B$1,[2]gachas!$1:$1,0)+1),MATCH(C$1,[2]gachas!$1:$1,0)-MATCH($B$1,[2]gachas!$1:$1,0)+1,FALSE)</f>
        <v>レアガチャ（追加02）（大罪）</v>
      </c>
      <c r="D171" s="6">
        <v>0</v>
      </c>
      <c r="E171" s="7">
        <v>233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遂行 パーシヴァル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PremiumS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blue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ヒューマン</v>
      </c>
      <c r="L171" s="6">
        <v>1</v>
      </c>
      <c r="M171" s="6">
        <v>453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2"/>
        <v>02361</v>
      </c>
      <c r="B172" s="2">
        <v>103</v>
      </c>
      <c r="C172" s="10" t="str">
        <f ca="1">VLOOKUP($B172,OFFSET([2]gachas!$A$2,0,0,COUNTA([2]gachas!$A:$A),MATCH(C$1,[2]gachas!$1:$1,0)-MATCH($B$1,[2]gachas!$1:$1,0)+1),MATCH(C$1,[2]gachas!$1:$1,0)-MATCH($B$1,[2]gachas!$1:$1,0)+1,FALSE)</f>
        <v>レアガチャ（追加02）（大罪）</v>
      </c>
      <c r="D172" s="6">
        <v>0</v>
      </c>
      <c r="E172" s="7">
        <v>236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神産 イザナミ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PremiumS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yellow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ゴッド</v>
      </c>
      <c r="L172" s="6">
        <v>1</v>
      </c>
      <c r="M172" s="6">
        <v>453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2"/>
        <v>01681</v>
      </c>
      <c r="B173" s="2">
        <v>103</v>
      </c>
      <c r="C173" s="10" t="str">
        <f ca="1">VLOOKUP($B173,OFFSET([2]gachas!$A$2,0,0,COUNTA([2]gachas!$A:$A),MATCH(C$1,[2]gachas!$1:$1,0)-MATCH($B$1,[2]gachas!$1:$1,0)+1),MATCH(C$1,[2]gachas!$1:$1,0)-MATCH($B$1,[2]gachas!$1:$1,0)+1,FALSE)</f>
        <v>レアガチャ（追加02）（大罪）</v>
      </c>
      <c r="D173" s="6">
        <v>0</v>
      </c>
      <c r="E173" s="7">
        <v>168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5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red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ゴッド</v>
      </c>
      <c r="L173" s="6">
        <v>1</v>
      </c>
      <c r="M173" s="6">
        <v>343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2"/>
        <v>01711</v>
      </c>
      <c r="B174" s="2">
        <v>103</v>
      </c>
      <c r="C174" s="10" t="str">
        <f ca="1">VLOOKUP($B174,OFFSET([2]gachas!$A$2,0,0,COUNTA([2]gachas!$A:$A),MATCH(C$1,[2]gachas!$1:$1,0)-MATCH($B$1,[2]gachas!$1:$1,0)+1),MATCH(C$1,[2]gachas!$1:$1,0)-MATCH($B$1,[2]gachas!$1:$1,0)+1,FALSE)</f>
        <v>レアガチャ（追加02）（大罪）</v>
      </c>
      <c r="D174" s="6">
        <v>0</v>
      </c>
      <c r="E174" s="7">
        <v>171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精解の預知者 オセ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5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green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ゴッド</v>
      </c>
      <c r="L174" s="6">
        <v>1</v>
      </c>
      <c r="M174" s="6">
        <v>343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2"/>
        <v>01741</v>
      </c>
      <c r="B175" s="2">
        <v>103</v>
      </c>
      <c r="C175" s="10" t="str">
        <f ca="1">VLOOKUP($B175,OFFSET([2]gachas!$A$2,0,0,COUNTA([2]gachas!$A:$A),MATCH(C$1,[2]gachas!$1:$1,0)-MATCH($B$1,[2]gachas!$1:$1,0)+1),MATCH(C$1,[2]gachas!$1:$1,0)-MATCH($B$1,[2]gachas!$1:$1,0)+1,FALSE)</f>
        <v>レアガチャ（追加02）（大罪）</v>
      </c>
      <c r="D175" s="6">
        <v>0</v>
      </c>
      <c r="E175" s="7">
        <v>174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5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blue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ゴッド</v>
      </c>
      <c r="L175" s="6">
        <v>1</v>
      </c>
      <c r="M175" s="6">
        <v>343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2"/>
        <v>01771</v>
      </c>
      <c r="B176" s="2">
        <v>103</v>
      </c>
      <c r="C176" s="10" t="str">
        <f ca="1">VLOOKUP($B176,OFFSET([2]gachas!$A$2,0,0,COUNTA([2]gachas!$A:$A),MATCH(C$1,[2]gachas!$1:$1,0)-MATCH($B$1,[2]gachas!$1:$1,0)+1),MATCH(C$1,[2]gachas!$1:$1,0)-MATCH($B$1,[2]gachas!$1:$1,0)+1,FALSE)</f>
        <v>レアガチャ（追加02）（大罪）</v>
      </c>
      <c r="D176" s="6">
        <v>0</v>
      </c>
      <c r="E176" s="7">
        <v>177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5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yellow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ゴッド</v>
      </c>
      <c r="L176" s="6">
        <v>1</v>
      </c>
      <c r="M176" s="6">
        <v>343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2"/>
        <v>01801</v>
      </c>
      <c r="B177" s="2">
        <v>103</v>
      </c>
      <c r="C177" s="10" t="str">
        <f ca="1">VLOOKUP($B177,OFFSET([2]gachas!$A$2,0,0,COUNTA([2]gachas!$A:$A),MATCH(C$1,[2]gachas!$1:$1,0)-MATCH($B$1,[2]gachas!$1:$1,0)+1),MATCH(C$1,[2]gachas!$1:$1,0)-MATCH($B$1,[2]gachas!$1:$1,0)+1,FALSE)</f>
        <v>レアガチャ（追加02）（大罪）</v>
      </c>
      <c r="D177" s="6">
        <v>0</v>
      </c>
      <c r="E177" s="7">
        <v>180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5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red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アニマル</v>
      </c>
      <c r="L177" s="6">
        <v>1</v>
      </c>
      <c r="M177" s="6">
        <v>343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2"/>
        <v>01831</v>
      </c>
      <c r="B178" s="2">
        <v>103</v>
      </c>
      <c r="C178" s="10" t="str">
        <f ca="1">VLOOKUP($B178,OFFSET([2]gachas!$A$2,0,0,COUNTA([2]gachas!$A:$A),MATCH(C$1,[2]gachas!$1:$1,0)-MATCH($B$1,[2]gachas!$1:$1,0)+1),MATCH(C$1,[2]gachas!$1:$1,0)-MATCH($B$1,[2]gachas!$1:$1,0)+1,FALSE)</f>
        <v>レアガチャ（追加02）（大罪）</v>
      </c>
      <c r="D178" s="6">
        <v>0</v>
      </c>
      <c r="E178" s="7">
        <v>183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PremiumN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5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green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アニマル</v>
      </c>
      <c r="L178" s="6">
        <v>1</v>
      </c>
      <c r="M178" s="6">
        <v>343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2"/>
        <v>01861</v>
      </c>
      <c r="B179" s="2">
        <v>103</v>
      </c>
      <c r="C179" s="10" t="str">
        <f ca="1">VLOOKUP($B179,OFFSET([2]gachas!$A$2,0,0,COUNTA([2]gachas!$A:$A),MATCH(C$1,[2]gachas!$1:$1,0)-MATCH($B$1,[2]gachas!$1:$1,0)+1),MATCH(C$1,[2]gachas!$1:$1,0)-MATCH($B$1,[2]gachas!$1:$1,0)+1,FALSE)</f>
        <v>レアガチャ（追加02）（大罪）</v>
      </c>
      <c r="D179" s="6">
        <v>0</v>
      </c>
      <c r="E179" s="7">
        <v>186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PremiumN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5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blue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アニマル</v>
      </c>
      <c r="L179" s="6">
        <v>1</v>
      </c>
      <c r="M179" s="6">
        <v>343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2"/>
        <v>01891</v>
      </c>
      <c r="B180" s="2">
        <v>103</v>
      </c>
      <c r="C180" s="10" t="str">
        <f ca="1">VLOOKUP($B180,OFFSET([2]gachas!$A$2,0,0,COUNTA([2]gachas!$A:$A),MATCH(C$1,[2]gachas!$1:$1,0)-MATCH($B$1,[2]gachas!$1:$1,0)+1),MATCH(C$1,[2]gachas!$1:$1,0)-MATCH($B$1,[2]gachas!$1:$1,0)+1,FALSE)</f>
        <v>レアガチャ（追加02）（大罪）</v>
      </c>
      <c r="D180" s="6">
        <v>0</v>
      </c>
      <c r="E180" s="7">
        <v>189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迅雷の王禽 ホルス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PremiumN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5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yellow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アニマル</v>
      </c>
      <c r="L180" s="6">
        <v>1</v>
      </c>
      <c r="M180" s="6">
        <v>343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2"/>
        <v>01921</v>
      </c>
      <c r="B181" s="2">
        <v>103</v>
      </c>
      <c r="C181" s="10" t="str">
        <f ca="1">VLOOKUP($B181,OFFSET([2]gachas!$A$2,0,0,COUNTA([2]gachas!$A:$A),MATCH(C$1,[2]gachas!$1:$1,0)-MATCH($B$1,[2]gachas!$1:$1,0)+1),MATCH(C$1,[2]gachas!$1:$1,0)-MATCH($B$1,[2]gachas!$1:$1,0)+1,FALSE)</f>
        <v>レアガチャ（追加02）（大罪）</v>
      </c>
      <c r="D181" s="6">
        <v>0</v>
      </c>
      <c r="E181" s="7">
        <v>192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PremiumN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5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red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ヒューマン</v>
      </c>
      <c r="L181" s="6">
        <v>1</v>
      </c>
      <c r="M181" s="6">
        <v>343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2"/>
        <v>01951</v>
      </c>
      <c r="B182" s="2">
        <v>103</v>
      </c>
      <c r="C182" s="10" t="str">
        <f ca="1">VLOOKUP($B182,OFFSET([2]gachas!$A$2,0,0,COUNTA([2]gachas!$A:$A),MATCH(C$1,[2]gachas!$1:$1,0)-MATCH($B$1,[2]gachas!$1:$1,0)+1),MATCH(C$1,[2]gachas!$1:$1,0)-MATCH($B$1,[2]gachas!$1:$1,0)+1,FALSE)</f>
        <v>レアガチャ（追加02）（大罪）</v>
      </c>
      <c r="D182" s="6">
        <v>0</v>
      </c>
      <c r="E182" s="7">
        <v>195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5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green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ヒューマン</v>
      </c>
      <c r="L182" s="6">
        <v>1</v>
      </c>
      <c r="M182" s="6">
        <v>343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2"/>
        <v>01981</v>
      </c>
      <c r="B183" s="2">
        <v>103</v>
      </c>
      <c r="C183" s="10" t="str">
        <f ca="1">VLOOKUP($B183,OFFSET([2]gachas!$A$2,0,0,COUNTA([2]gachas!$A:$A),MATCH(C$1,[2]gachas!$1:$1,0)-MATCH($B$1,[2]gachas!$1:$1,0)+1),MATCH(C$1,[2]gachas!$1:$1,0)-MATCH($B$1,[2]gachas!$1:$1,0)+1,FALSE)</f>
        <v>レアガチャ（追加02）（大罪）</v>
      </c>
      <c r="D183" s="6">
        <v>0</v>
      </c>
      <c r="E183" s="7">
        <v>198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砕骨の剛腕 アキレス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5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yellow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ヒューマン</v>
      </c>
      <c r="L183" s="6">
        <v>1</v>
      </c>
      <c r="M183" s="6">
        <v>343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2"/>
        <v>02011</v>
      </c>
      <c r="B184" s="2">
        <v>103</v>
      </c>
      <c r="C184" s="10" t="str">
        <f ca="1">VLOOKUP($B184,OFFSET([2]gachas!$A$2,0,0,COUNTA([2]gachas!$A:$A),MATCH(C$1,[2]gachas!$1:$1,0)-MATCH($B$1,[2]gachas!$1:$1,0)+1),MATCH(C$1,[2]gachas!$1:$1,0)-MATCH($B$1,[2]gachas!$1:$1,0)+1,FALSE)</f>
        <v>レアガチャ（追加02）（大罪）</v>
      </c>
      <c r="D184" s="6">
        <v>0</v>
      </c>
      <c r="E184" s="7">
        <v>201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5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ヒューマン</v>
      </c>
      <c r="L184" s="6">
        <v>1</v>
      </c>
      <c r="M184" s="6">
        <v>343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2"/>
        <v>02041</v>
      </c>
      <c r="B185" s="2">
        <v>103</v>
      </c>
      <c r="C185" s="10" t="str">
        <f ca="1">VLOOKUP($B185,OFFSET([2]gachas!$A$2,0,0,COUNTA([2]gachas!$A:$A),MATCH(C$1,[2]gachas!$1:$1,0)-MATCH($B$1,[2]gachas!$1:$1,0)+1),MATCH(C$1,[2]gachas!$1:$1,0)-MATCH($B$1,[2]gachas!$1:$1,0)+1,FALSE)</f>
        <v>レアガチャ（追加02）（大罪）</v>
      </c>
      <c r="D185" s="6">
        <v>0</v>
      </c>
      <c r="E185" s="7">
        <v>204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5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red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ゴッド</v>
      </c>
      <c r="L185" s="6">
        <v>1</v>
      </c>
      <c r="M185" s="6">
        <v>343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2"/>
        <v>02071</v>
      </c>
      <c r="B186" s="2">
        <v>103</v>
      </c>
      <c r="C186" s="10" t="str">
        <f ca="1">VLOOKUP($B186,OFFSET([2]gachas!$A$2,0,0,COUNTA([2]gachas!$A:$A),MATCH(C$1,[2]gachas!$1:$1,0)-MATCH($B$1,[2]gachas!$1:$1,0)+1),MATCH(C$1,[2]gachas!$1:$1,0)-MATCH($B$1,[2]gachas!$1:$1,0)+1,FALSE)</f>
        <v>レアガチャ（追加02）（大罪）</v>
      </c>
      <c r="D186" s="6">
        <v>0</v>
      </c>
      <c r="E186" s="7">
        <v>207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PremiumN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5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green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ゴッド</v>
      </c>
      <c r="L186" s="6">
        <v>1</v>
      </c>
      <c r="M186" s="6">
        <v>343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2"/>
        <v>02101</v>
      </c>
      <c r="B187" s="2">
        <v>103</v>
      </c>
      <c r="C187" s="10" t="str">
        <f ca="1">VLOOKUP($B187,OFFSET([2]gachas!$A$2,0,0,COUNTA([2]gachas!$A:$A),MATCH(C$1,[2]gachas!$1:$1,0)-MATCH($B$1,[2]gachas!$1:$1,0)+1),MATCH(C$1,[2]gachas!$1:$1,0)-MATCH($B$1,[2]gachas!$1:$1,0)+1,FALSE)</f>
        <v>レアガチャ（追加02）（大罪）</v>
      </c>
      <c r="D187" s="6">
        <v>0</v>
      </c>
      <c r="E187" s="7">
        <v>210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PremiumN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5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blue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ゴッド</v>
      </c>
      <c r="L187" s="6">
        <v>1</v>
      </c>
      <c r="M187" s="6">
        <v>343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2"/>
        <v>02131</v>
      </c>
      <c r="B188" s="2">
        <v>103</v>
      </c>
      <c r="C188" s="10" t="str">
        <f ca="1">VLOOKUP($B188,OFFSET([2]gachas!$A$2,0,0,COUNTA([2]gachas!$A:$A),MATCH(C$1,[2]gachas!$1:$1,0)-MATCH($B$1,[2]gachas!$1:$1,0)+1),MATCH(C$1,[2]gachas!$1:$1,0)-MATCH($B$1,[2]gachas!$1:$1,0)+1,FALSE)</f>
        <v>レアガチャ（追加02）（大罪）</v>
      </c>
      <c r="D188" s="6">
        <v>0</v>
      </c>
      <c r="E188" s="7">
        <v>213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PremiumN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5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yellow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ゴッド</v>
      </c>
      <c r="L188" s="6">
        <v>1</v>
      </c>
      <c r="M188" s="6">
        <v>343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2"/>
        <v>02161</v>
      </c>
      <c r="B189" s="2">
        <v>103</v>
      </c>
      <c r="C189" s="10" t="str">
        <f ca="1">VLOOKUP($B189,OFFSET([2]gachas!$A$2,0,0,COUNTA([2]gachas!$A:$A),MATCH(C$1,[2]gachas!$1:$1,0)-MATCH($B$1,[2]gachas!$1:$1,0)+1),MATCH(C$1,[2]gachas!$1:$1,0)-MATCH($B$1,[2]gachas!$1:$1,0)+1,FALSE)</f>
        <v>レアガチャ（追加02）（大罪）</v>
      </c>
      <c r="D189" s="6">
        <v>0</v>
      </c>
      <c r="E189" s="7">
        <v>216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PremiumN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5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red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ゴッド</v>
      </c>
      <c r="L189" s="6">
        <v>1</v>
      </c>
      <c r="M189" s="6">
        <v>343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2"/>
        <v>02191</v>
      </c>
      <c r="B190" s="2">
        <v>103</v>
      </c>
      <c r="C190" s="10" t="str">
        <f ca="1">VLOOKUP($B190,OFFSET([2]gachas!$A$2,0,0,COUNTA([2]gachas!$A:$A),MATCH(C$1,[2]gachas!$1:$1,0)-MATCH($B$1,[2]gachas!$1:$1,0)+1),MATCH(C$1,[2]gachas!$1:$1,0)-MATCH($B$1,[2]gachas!$1:$1,0)+1,FALSE)</f>
        <v>レアガチャ（追加02）（大罪）</v>
      </c>
      <c r="D190" s="6">
        <v>0</v>
      </c>
      <c r="E190" s="7">
        <v>219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green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ドラゴン</v>
      </c>
      <c r="L190" s="6">
        <v>1</v>
      </c>
      <c r="M190" s="6">
        <v>343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2"/>
        <v>02221</v>
      </c>
      <c r="B191" s="2">
        <v>103</v>
      </c>
      <c r="C191" s="10" t="str">
        <f ca="1">VLOOKUP($B191,OFFSET([2]gachas!$A$2,0,0,COUNTA([2]gachas!$A:$A),MATCH(C$1,[2]gachas!$1:$1,0)-MATCH($B$1,[2]gachas!$1:$1,0)+1),MATCH(C$1,[2]gachas!$1:$1,0)-MATCH($B$1,[2]gachas!$1:$1,0)+1,FALSE)</f>
        <v>レアガチャ（追加02）（大罪）</v>
      </c>
      <c r="D191" s="6">
        <v>0</v>
      </c>
      <c r="E191" s="7">
        <v>222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blue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ゴッド</v>
      </c>
      <c r="L191" s="6">
        <v>1</v>
      </c>
      <c r="M191" s="6">
        <v>343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2"/>
        <v>02251</v>
      </c>
      <c r="B192" s="2">
        <v>103</v>
      </c>
      <c r="C192" s="10" t="str">
        <f ca="1">VLOOKUP($B192,OFFSET([2]gachas!$A$2,0,0,COUNTA([2]gachas!$A:$A),MATCH(C$1,[2]gachas!$1:$1,0)-MATCH($B$1,[2]gachas!$1:$1,0)+1),MATCH(C$1,[2]gachas!$1:$1,0)-MATCH($B$1,[2]gachas!$1:$1,0)+1,FALSE)</f>
        <v>レアガチャ（追加02）（大罪）</v>
      </c>
      <c r="D192" s="6">
        <v>0</v>
      </c>
      <c r="E192" s="7">
        <v>225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yellow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ヒューマン</v>
      </c>
      <c r="L192" s="6">
        <v>1</v>
      </c>
      <c r="M192" s="6">
        <v>343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2"/>
        <v>02281</v>
      </c>
      <c r="B193" s="2">
        <v>103</v>
      </c>
      <c r="C193" s="10" t="str">
        <f ca="1">VLOOKUP($B193,OFFSET([2]gachas!$A$2,0,0,COUNTA([2]gachas!$A:$A),MATCH(C$1,[2]gachas!$1:$1,0)-MATCH($B$1,[2]gachas!$1:$1,0)+1),MATCH(C$1,[2]gachas!$1:$1,0)-MATCH($B$1,[2]gachas!$1:$1,0)+1,FALSE)</f>
        <v>レアガチャ（追加02）（大罪）</v>
      </c>
      <c r="D193" s="6">
        <v>0</v>
      </c>
      <c r="E193" s="7">
        <v>228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殲滅の掃射砲 アレス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PremiumS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red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ゴッド</v>
      </c>
      <c r="L193" s="6">
        <v>1</v>
      </c>
      <c r="M193" s="6">
        <v>109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2"/>
        <v>02311</v>
      </c>
      <c r="B194" s="2">
        <v>103</v>
      </c>
      <c r="C194" s="10" t="str">
        <f ca="1">VLOOKUP($B194,OFFSET([2]gachas!$A$2,0,0,COUNTA([2]gachas!$A:$A),MATCH(C$1,[2]gachas!$1:$1,0)-MATCH($B$1,[2]gachas!$1:$1,0)+1),MATCH(C$1,[2]gachas!$1:$1,0)-MATCH($B$1,[2]gachas!$1:$1,0)+1,FALSE)</f>
        <v>レアガチャ（追加02）（大罪）</v>
      </c>
      <c r="D194" s="6">
        <v>0</v>
      </c>
      <c r="E194" s="7">
        <v>231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PremiumS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green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ドラゴン</v>
      </c>
      <c r="L194" s="6">
        <v>1</v>
      </c>
      <c r="M194" s="6">
        <v>109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2"/>
        <v>02341</v>
      </c>
      <c r="B195" s="2">
        <v>103</v>
      </c>
      <c r="C195" s="10" t="str">
        <f ca="1">VLOOKUP($B195,OFFSET([2]gachas!$A$2,0,0,COUNTA([2]gachas!$A:$A),MATCH(C$1,[2]gachas!$1:$1,0)-MATCH($B$1,[2]gachas!$1:$1,0)+1),MATCH(C$1,[2]gachas!$1:$1,0)-MATCH($B$1,[2]gachas!$1:$1,0)+1,FALSE)</f>
        <v>レアガチャ（追加02）（大罪）</v>
      </c>
      <c r="D195" s="6">
        <v>0</v>
      </c>
      <c r="E195" s="7">
        <v>234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PremiumS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blue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ヒューマン</v>
      </c>
      <c r="L195" s="6">
        <v>1</v>
      </c>
      <c r="M195" s="6">
        <v>109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s="26" customFormat="1" ht="21" customHeight="1" thickBot="1">
      <c r="A196" s="22" t="str">
        <f t="shared" si="2"/>
        <v>02371</v>
      </c>
      <c r="B196" s="2">
        <v>103</v>
      </c>
      <c r="C196" s="10" t="str">
        <f ca="1">VLOOKUP($B196,OFFSET([2]gachas!$A$2,0,0,COUNTA([2]gachas!$A:$A),MATCH(C$1,[2]gachas!$1:$1,0)-MATCH($B$1,[2]gachas!$1:$1,0)+1),MATCH(C$1,[2]gachas!$1:$1,0)-MATCH($B$1,[2]gachas!$1:$1,0)+1,FALSE)</f>
        <v>レアガチャ（追加02）（大罪）</v>
      </c>
      <c r="D196" s="6">
        <v>0</v>
      </c>
      <c r="E196" s="7">
        <v>237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PremiumS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yellow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ゴッド</v>
      </c>
      <c r="L196" s="6">
        <v>1</v>
      </c>
      <c r="M196" s="6">
        <v>109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2"/>
        <v>02381</v>
      </c>
      <c r="B197" s="2">
        <v>103</v>
      </c>
      <c r="C197" s="10" t="str">
        <f ca="1">VLOOKUP($B197,OFFSET([2]gachas!$A$2,0,0,COUNTA([2]gachas!$A:$A),MATCH(C$1,[2]gachas!$1:$1,0)-MATCH($B$1,[2]gachas!$1:$1,0)+1),MATCH(C$1,[2]gachas!$1:$1,0)-MATCH($B$1,[2]gachas!$1:$1,0)+1,FALSE)</f>
        <v>レアガチャ（追加02）（大罪）</v>
      </c>
      <c r="D197" s="6">
        <v>0</v>
      </c>
      <c r="E197" s="19">
        <v>238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ウリエル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PremiumS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3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red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マシン</v>
      </c>
      <c r="L197" s="6">
        <v>1</v>
      </c>
      <c r="M197" s="6">
        <v>1251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2"/>
        <v>02391</v>
      </c>
      <c r="B198" s="2">
        <v>103</v>
      </c>
      <c r="C198" s="10" t="str">
        <f ca="1">VLOOKUP($B198,OFFSET([2]gachas!$A$2,0,0,COUNTA([2]gachas!$A:$A),MATCH(C$1,[2]gachas!$1:$1,0)-MATCH($B$1,[2]gachas!$1:$1,0)+1),MATCH(C$1,[2]gachas!$1:$1,0)-MATCH($B$1,[2]gachas!$1:$1,0)+1,FALSE)</f>
        <v>レアガチャ（追加02）（大罪）</v>
      </c>
      <c r="D198" s="6">
        <v>0</v>
      </c>
      <c r="E198" s="19">
        <v>239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豪炎の天使 ウリエル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PremiumS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4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マシン</v>
      </c>
      <c r="L198" s="6">
        <v>1</v>
      </c>
      <c r="M198" s="6">
        <v>453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2"/>
        <v>02401</v>
      </c>
      <c r="B199" s="2">
        <v>103</v>
      </c>
      <c r="C199" s="10" t="str">
        <f ca="1">VLOOKUP($B199,OFFSET([2]gachas!$A$2,0,0,COUNTA([2]gachas!$A:$A),MATCH(C$1,[2]gachas!$1:$1,0)-MATCH($B$1,[2]gachas!$1:$1,0)+1),MATCH(C$1,[2]gachas!$1:$1,0)-MATCH($B$1,[2]gachas!$1:$1,0)+1,FALSE)</f>
        <v>レアガチャ（追加02）（大罪）</v>
      </c>
      <c r="D199" s="6">
        <v>0</v>
      </c>
      <c r="E199" s="19">
        <v>240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PremiumS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red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マシン</v>
      </c>
      <c r="L199" s="6">
        <v>1</v>
      </c>
      <c r="M199" s="6">
        <v>109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2"/>
        <v>02411</v>
      </c>
      <c r="B200" s="2">
        <v>103</v>
      </c>
      <c r="C200" s="10" t="str">
        <f ca="1">VLOOKUP($B200,OFFSET([2]gachas!$A$2,0,0,COUNTA([2]gachas!$A:$A),MATCH(C$1,[2]gachas!$1:$1,0)-MATCH($B$1,[2]gachas!$1:$1,0)+1),MATCH(C$1,[2]gachas!$1:$1,0)-MATCH($B$1,[2]gachas!$1:$1,0)+1,FALSE)</f>
        <v>レアガチャ（追加02）（大罪）</v>
      </c>
      <c r="D200" s="6">
        <v>0</v>
      </c>
      <c r="E200" s="19">
        <v>241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ガブリエル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PremiumS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3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green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マシン</v>
      </c>
      <c r="L200" s="6">
        <v>1</v>
      </c>
      <c r="M200" s="6">
        <v>1251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2"/>
        <v>02421</v>
      </c>
      <c r="B201" s="2">
        <v>103</v>
      </c>
      <c r="C201" s="10" t="str">
        <f ca="1">VLOOKUP($B201,OFFSET([2]gachas!$A$2,0,0,COUNTA([2]gachas!$A:$A),MATCH(C$1,[2]gachas!$1:$1,0)-MATCH($B$1,[2]gachas!$1:$1,0)+1),MATCH(C$1,[2]gachas!$1:$1,0)-MATCH($B$1,[2]gachas!$1:$1,0)+1,FALSE)</f>
        <v>レアガチャ（追加02）（大罪）</v>
      </c>
      <c r="D201" s="6">
        <v>0</v>
      </c>
      <c r="E201" s="19">
        <v>242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PremiumS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4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green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マシン</v>
      </c>
      <c r="L201" s="6">
        <v>1</v>
      </c>
      <c r="M201" s="6">
        <v>453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ref="A202:A220" si="3">D202&amp;E202&amp;L202</f>
        <v>02431</v>
      </c>
      <c r="B202" s="2">
        <v>103</v>
      </c>
      <c r="C202" s="10" t="str">
        <f ca="1">VLOOKUP($B202,OFFSET([2]gachas!$A$2,0,0,COUNTA([2]gachas!$A:$A),MATCH(C$1,[2]gachas!$1:$1,0)-MATCH($B$1,[2]gachas!$1:$1,0)+1),MATCH(C$1,[2]gachas!$1:$1,0)-MATCH($B$1,[2]gachas!$1:$1,0)+1,FALSE)</f>
        <v>レアガチャ（追加02）（大罪）</v>
      </c>
      <c r="D202" s="6">
        <v>0</v>
      </c>
      <c r="E202" s="19">
        <v>243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PremiumS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green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マシン</v>
      </c>
      <c r="L202" s="6">
        <v>1</v>
      </c>
      <c r="M202" s="6">
        <v>109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3"/>
        <v>02441</v>
      </c>
      <c r="B203" s="2">
        <v>103</v>
      </c>
      <c r="C203" s="10" t="str">
        <f ca="1">VLOOKUP($B203,OFFSET([2]gachas!$A$2,0,0,COUNTA([2]gachas!$A:$A),MATCH(C$1,[2]gachas!$1:$1,0)-MATCH($B$1,[2]gachas!$1:$1,0)+1),MATCH(C$1,[2]gachas!$1:$1,0)-MATCH($B$1,[2]gachas!$1:$1,0)+1,FALSE)</f>
        <v>レアガチャ（追加02）（大罪）</v>
      </c>
      <c r="D203" s="6">
        <v>0</v>
      </c>
      <c r="E203" s="19">
        <v>244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ラファエル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PremiumS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3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blue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マシン</v>
      </c>
      <c r="L203" s="6">
        <v>1</v>
      </c>
      <c r="M203" s="6">
        <v>1251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3"/>
        <v>02451</v>
      </c>
      <c r="B204" s="2">
        <v>103</v>
      </c>
      <c r="C204" s="10" t="str">
        <f ca="1">VLOOKUP($B204,OFFSET([2]gachas!$A$2,0,0,COUNTA([2]gachas!$A:$A),MATCH(C$1,[2]gachas!$1:$1,0)-MATCH($B$1,[2]gachas!$1:$1,0)+1),MATCH(C$1,[2]gachas!$1:$1,0)-MATCH($B$1,[2]gachas!$1:$1,0)+1,FALSE)</f>
        <v>レアガチャ（追加02）（大罪）</v>
      </c>
      <c r="D204" s="6">
        <v>0</v>
      </c>
      <c r="E204" s="19">
        <v>245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PremiumS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4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マシン</v>
      </c>
      <c r="L204" s="6">
        <v>1</v>
      </c>
      <c r="M204" s="6">
        <v>453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ht="21" customHeight="1">
      <c r="A205" s="8" t="str">
        <f t="shared" si="3"/>
        <v>02461</v>
      </c>
      <c r="B205" s="2">
        <v>103</v>
      </c>
      <c r="C205" s="10" t="str">
        <f ca="1">VLOOKUP($B205,OFFSET([2]gachas!$A$2,0,0,COUNTA([2]gachas!$A:$A),MATCH(C$1,[2]gachas!$1:$1,0)-MATCH($B$1,[2]gachas!$1:$1,0)+1),MATCH(C$1,[2]gachas!$1:$1,0)-MATCH($B$1,[2]gachas!$1:$1,0)+1,FALSE)</f>
        <v>レアガチャ（追加02）（大罪）</v>
      </c>
      <c r="D205" s="6">
        <v>0</v>
      </c>
      <c r="E205" s="19">
        <v>246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PremiumS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blue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マシン</v>
      </c>
      <c r="L205" s="6">
        <v>1</v>
      </c>
      <c r="M205" s="6">
        <v>109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3"/>
        <v>02471</v>
      </c>
      <c r="B206" s="2">
        <v>103</v>
      </c>
      <c r="C206" s="10" t="str">
        <f ca="1">VLOOKUP($B206,OFFSET([2]gachas!$A$2,0,0,COUNTA([2]gachas!$A:$A),MATCH(C$1,[2]gachas!$1:$1,0)-MATCH($B$1,[2]gachas!$1:$1,0)+1),MATCH(C$1,[2]gachas!$1:$1,0)-MATCH($B$1,[2]gachas!$1:$1,0)+1,FALSE)</f>
        <v>レアガチャ（追加02）（大罪）</v>
      </c>
      <c r="D206" s="6">
        <v>0</v>
      </c>
      <c r="E206" s="19">
        <v>247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ミカエル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PremiumS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3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yellow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マシン</v>
      </c>
      <c r="L206" s="6">
        <v>1</v>
      </c>
      <c r="M206" s="6">
        <v>1251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3"/>
        <v>02481</v>
      </c>
      <c r="B207" s="2">
        <v>103</v>
      </c>
      <c r="C207" s="10" t="str">
        <f ca="1">VLOOKUP($B207,OFFSET([2]gachas!$A$2,0,0,COUNTA([2]gachas!$A:$A),MATCH(C$1,[2]gachas!$1:$1,0)-MATCH($B$1,[2]gachas!$1:$1,0)+1),MATCH(C$1,[2]gachas!$1:$1,0)-MATCH($B$1,[2]gachas!$1:$1,0)+1,FALSE)</f>
        <v>レアガチャ（追加02）（大罪）</v>
      </c>
      <c r="D207" s="6">
        <v>0</v>
      </c>
      <c r="E207" s="19">
        <v>248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彩電の天使 ミカエル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PremiumS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4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yellow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マシン</v>
      </c>
      <c r="L207" s="6">
        <v>1</v>
      </c>
      <c r="M207" s="6">
        <v>453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s="26" customFormat="1" ht="21" customHeight="1" thickBot="1">
      <c r="A208" s="22" t="str">
        <f t="shared" si="3"/>
        <v>02491</v>
      </c>
      <c r="B208" s="2">
        <v>103</v>
      </c>
      <c r="C208" s="10" t="str">
        <f ca="1">VLOOKUP($B208,OFFSET([2]gachas!$A$2,0,0,COUNTA([2]gachas!$A:$A),MATCH(C$1,[2]gachas!$1:$1,0)-MATCH($B$1,[2]gachas!$1:$1,0)+1),MATCH(C$1,[2]gachas!$1:$1,0)-MATCH($B$1,[2]gachas!$1:$1,0)+1,FALSE)</f>
        <v>レアガチャ（追加02）（大罪）</v>
      </c>
      <c r="D208" s="6">
        <v>0</v>
      </c>
      <c r="E208" s="19">
        <v>249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PremiumS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yellow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マシン</v>
      </c>
      <c r="L208" s="6">
        <v>1</v>
      </c>
      <c r="M208" s="6">
        <v>109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s="26" customFormat="1" ht="21" customHeight="1" thickBot="1">
      <c r="A209" s="22" t="str">
        <f t="shared" si="3"/>
        <v>02501</v>
      </c>
      <c r="B209" s="2">
        <v>103</v>
      </c>
      <c r="C209" s="10" t="str">
        <f ca="1">VLOOKUP($B209,OFFSET([2]gachas!$A$2,0,0,COUNTA([2]gachas!$A:$A),MATCH(C$1,[2]gachas!$1:$1,0)-MATCH($B$1,[2]gachas!$1:$1,0)+1),MATCH(C$1,[2]gachas!$1:$1,0)-MATCH($B$1,[2]gachas!$1:$1,0)+1,FALSE)</f>
        <v>レアガチャ（追加02）（大罪）</v>
      </c>
      <c r="D209" s="29">
        <v>0</v>
      </c>
      <c r="E209" s="30">
        <v>250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マンモン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PremiumS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3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red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ゴッド</v>
      </c>
      <c r="L209" s="29">
        <v>1</v>
      </c>
      <c r="M209" s="29">
        <v>1251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 thickBot="1">
      <c r="A210" s="22" t="str">
        <f t="shared" si="3"/>
        <v>02511</v>
      </c>
      <c r="B210" s="2">
        <v>103</v>
      </c>
      <c r="C210" s="10" t="str">
        <f ca="1">VLOOKUP($B210,OFFSET([2]gachas!$A$2,0,0,COUNTA([2]gachas!$A:$A),MATCH(C$1,[2]gachas!$1:$1,0)-MATCH($B$1,[2]gachas!$1:$1,0)+1),MATCH(C$1,[2]gachas!$1:$1,0)-MATCH($B$1,[2]gachas!$1:$1,0)+1,FALSE)</f>
        <v>レアガチャ（追加02）（大罪）</v>
      </c>
      <c r="D210" s="29">
        <v>0</v>
      </c>
      <c r="E210" s="30">
        <v>251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強欲 マンモン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4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red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ゴッド</v>
      </c>
      <c r="L210" s="29">
        <v>1</v>
      </c>
      <c r="M210" s="29">
        <v>453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 thickBot="1">
      <c r="A211" s="22" t="str">
        <f t="shared" si="3"/>
        <v>02521</v>
      </c>
      <c r="B211" s="2">
        <v>103</v>
      </c>
      <c r="C211" s="10" t="str">
        <f ca="1">VLOOKUP($B211,OFFSET([2]gachas!$A$2,0,0,COUNTA([2]gachas!$A:$A),MATCH(C$1,[2]gachas!$1:$1,0)-MATCH($B$1,[2]gachas!$1:$1,0)+1),MATCH(C$1,[2]gachas!$1:$1,0)-MATCH($B$1,[2]gachas!$1:$1,0)+1,FALSE)</f>
        <v>レアガチャ（追加02）（大罪）</v>
      </c>
      <c r="D211" s="29">
        <v>0</v>
      </c>
      <c r="E211" s="30">
        <v>252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強欲の沸騰 マンモン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red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ゴッド</v>
      </c>
      <c r="L211" s="29">
        <v>1</v>
      </c>
      <c r="M211" s="29">
        <v>109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 thickBot="1">
      <c r="A212" s="22" t="str">
        <f t="shared" si="3"/>
        <v>02531</v>
      </c>
      <c r="B212" s="2">
        <v>103</v>
      </c>
      <c r="C212" s="10" t="str">
        <f ca="1">VLOOKUP($B212,OFFSET([2]gachas!$A$2,0,0,COUNTA([2]gachas!$A:$A),MATCH(C$1,[2]gachas!$1:$1,0)-MATCH($B$1,[2]gachas!$1:$1,0)+1),MATCH(C$1,[2]gachas!$1:$1,0)-MATCH($B$1,[2]gachas!$1:$1,0)+1,FALSE)</f>
        <v>レアガチャ（追加02）（大罪）</v>
      </c>
      <c r="D212" s="29">
        <v>0</v>
      </c>
      <c r="E212" s="30">
        <v>253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ベルフェゴール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3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green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ゴッド</v>
      </c>
      <c r="L212" s="29">
        <v>1</v>
      </c>
      <c r="M212" s="29">
        <v>1251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ht="21" customHeight="1" thickBot="1">
      <c r="A213" s="22" t="str">
        <f t="shared" si="3"/>
        <v>02541</v>
      </c>
      <c r="B213" s="2">
        <v>103</v>
      </c>
      <c r="C213" s="10" t="str">
        <f ca="1">VLOOKUP($B213,OFFSET([2]gachas!$A$2,0,0,COUNTA([2]gachas!$A:$A),MATCH(C$1,[2]gachas!$1:$1,0)-MATCH($B$1,[2]gachas!$1:$1,0)+1),MATCH(C$1,[2]gachas!$1:$1,0)-MATCH($B$1,[2]gachas!$1:$1,0)+1,FALSE)</f>
        <v>レアガチャ（追加02）（大罪）</v>
      </c>
      <c r="D213" s="29">
        <v>0</v>
      </c>
      <c r="E213" s="30">
        <v>254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怠惰 ベルフェゴール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4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green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ゴッド</v>
      </c>
      <c r="L213" s="29">
        <v>1</v>
      </c>
      <c r="M213" s="29">
        <v>453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 thickBot="1">
      <c r="A214" s="22" t="str">
        <f t="shared" si="3"/>
        <v>02551</v>
      </c>
      <c r="B214" s="2">
        <v>103</v>
      </c>
      <c r="C214" s="10" t="str">
        <f ca="1">VLOOKUP($B214,OFFSET([2]gachas!$A$2,0,0,COUNTA([2]gachas!$A:$A),MATCH(C$1,[2]gachas!$1:$1,0)-MATCH($B$1,[2]gachas!$1:$1,0)+1),MATCH(C$1,[2]gachas!$1:$1,0)-MATCH($B$1,[2]gachas!$1:$1,0)+1,FALSE)</f>
        <v>レアガチャ（追加02）（大罪）</v>
      </c>
      <c r="D214" s="29">
        <v>0</v>
      </c>
      <c r="E214" s="30">
        <v>255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5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green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ゴッド</v>
      </c>
      <c r="L214" s="29">
        <v>1</v>
      </c>
      <c r="M214" s="29">
        <v>109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 thickBot="1">
      <c r="A215" s="22" t="str">
        <f t="shared" si="3"/>
        <v>02561</v>
      </c>
      <c r="B215" s="2">
        <v>103</v>
      </c>
      <c r="C215" s="10" t="str">
        <f ca="1">VLOOKUP($B215,OFFSET([2]gachas!$A$2,0,0,COUNTA([2]gachas!$A:$A),MATCH(C$1,[2]gachas!$1:$1,0)-MATCH($B$1,[2]gachas!$1:$1,0)+1),MATCH(C$1,[2]gachas!$1:$1,0)-MATCH($B$1,[2]gachas!$1:$1,0)+1,FALSE)</f>
        <v>レアガチャ（追加02）（大罪）</v>
      </c>
      <c r="D215" s="29">
        <v>0</v>
      </c>
      <c r="E215" s="30">
        <v>256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アスモデウス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3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blue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ゴッド</v>
      </c>
      <c r="L215" s="29">
        <v>1</v>
      </c>
      <c r="M215" s="29">
        <v>1251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 thickBot="1">
      <c r="A216" s="22" t="str">
        <f t="shared" si="3"/>
        <v>02571</v>
      </c>
      <c r="B216" s="2">
        <v>103</v>
      </c>
      <c r="C216" s="10" t="str">
        <f ca="1">VLOOKUP($B216,OFFSET([2]gachas!$A$2,0,0,COUNTA([2]gachas!$A:$A),MATCH(C$1,[2]gachas!$1:$1,0)-MATCH($B$1,[2]gachas!$1:$1,0)+1),MATCH(C$1,[2]gachas!$1:$1,0)-MATCH($B$1,[2]gachas!$1:$1,0)+1,FALSE)</f>
        <v>レアガチャ（追加02）（大罪）</v>
      </c>
      <c r="D216" s="29">
        <v>0</v>
      </c>
      <c r="E216" s="30">
        <v>257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色欲 アスモデウス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4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blue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ゴッド</v>
      </c>
      <c r="L216" s="29">
        <v>1</v>
      </c>
      <c r="M216" s="29">
        <v>453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ht="21" customHeight="1" thickBot="1">
      <c r="A217" s="22" t="str">
        <f t="shared" si="3"/>
        <v>02581</v>
      </c>
      <c r="B217" s="2">
        <v>103</v>
      </c>
      <c r="C217" s="10" t="str">
        <f ca="1">VLOOKUP($B217,OFFSET([2]gachas!$A$2,0,0,COUNTA([2]gachas!$A:$A),MATCH(C$1,[2]gachas!$1:$1,0)-MATCH($B$1,[2]gachas!$1:$1,0)+1),MATCH(C$1,[2]gachas!$1:$1,0)-MATCH($B$1,[2]gachas!$1:$1,0)+1,FALSE)</f>
        <v>レアガチャ（追加02）（大罪）</v>
      </c>
      <c r="D217" s="29">
        <v>0</v>
      </c>
      <c r="E217" s="30">
        <v>258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5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blue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ゴッド</v>
      </c>
      <c r="L217" s="29">
        <v>1</v>
      </c>
      <c r="M217" s="29">
        <v>109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ht="21" customHeight="1" thickBot="1">
      <c r="A218" s="22" t="str">
        <f t="shared" si="3"/>
        <v>02591</v>
      </c>
      <c r="B218" s="2">
        <v>103</v>
      </c>
      <c r="C218" s="10" t="str">
        <f ca="1">VLOOKUP($B218,OFFSET([2]gachas!$A$2,0,0,COUNTA([2]gachas!$A:$A),MATCH(C$1,[2]gachas!$1:$1,0)-MATCH($B$1,[2]gachas!$1:$1,0)+1),MATCH(C$1,[2]gachas!$1:$1,0)-MATCH($B$1,[2]gachas!$1:$1,0)+1,FALSE)</f>
        <v>レアガチャ（追加02）（大罪）</v>
      </c>
      <c r="D218" s="29">
        <v>0</v>
      </c>
      <c r="E218" s="30">
        <v>259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ウロボロス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3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yellow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ドラゴン</v>
      </c>
      <c r="L218" s="29">
        <v>1</v>
      </c>
      <c r="M218" s="29">
        <v>1251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 thickBot="1">
      <c r="A219" s="22" t="str">
        <f t="shared" si="3"/>
        <v>02601</v>
      </c>
      <c r="B219" s="2">
        <v>103</v>
      </c>
      <c r="C219" s="10" t="str">
        <f ca="1">VLOOKUP($B219,OFFSET([2]gachas!$A$2,0,0,COUNTA([2]gachas!$A:$A),MATCH(C$1,[2]gachas!$1:$1,0)-MATCH($B$1,[2]gachas!$1:$1,0)+1),MATCH(C$1,[2]gachas!$1:$1,0)-MATCH($B$1,[2]gachas!$1:$1,0)+1,FALSE)</f>
        <v>レアガチャ（追加02）（大罪）</v>
      </c>
      <c r="D219" s="29">
        <v>0</v>
      </c>
      <c r="E219" s="30">
        <v>260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輪廻 ウロボロス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4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yellow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ドラゴン</v>
      </c>
      <c r="L219" s="29">
        <v>1</v>
      </c>
      <c r="M219" s="29">
        <v>453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 thickBot="1">
      <c r="A220" s="22" t="str">
        <f t="shared" si="3"/>
        <v>02611</v>
      </c>
      <c r="B220" s="2">
        <v>103</v>
      </c>
      <c r="C220" s="10" t="str">
        <f ca="1">VLOOKUP($B220,OFFSET([2]gachas!$A$2,0,0,COUNTA([2]gachas!$A:$A),MATCH(C$1,[2]gachas!$1:$1,0)-MATCH($B$1,[2]gachas!$1:$1,0)+1),MATCH(C$1,[2]gachas!$1:$1,0)-MATCH($B$1,[2]gachas!$1:$1,0)+1,FALSE)</f>
        <v>レアガチャ（追加02）（大罪）</v>
      </c>
      <c r="D220" s="29">
        <v>0</v>
      </c>
      <c r="E220" s="30">
        <v>261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5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yellow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ドラゴン</v>
      </c>
      <c r="L220" s="29">
        <v>1</v>
      </c>
      <c r="M220" s="29">
        <v>109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</sheetData>
  <autoFilter ref="B1:M220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 enableFormatConditionsCalculation="0">
    <tabColor rgb="FF0000FF"/>
    <outlinePr summaryBelow="0" summaryRight="0"/>
  </sheetPr>
  <dimension ref="A1:R161"/>
  <sheetViews>
    <sheetView showGridLines="0" workbookViewId="0">
      <pane ySplit="1" topLeftCell="A143" activePane="bottomLeft" state="frozen"/>
      <selection pane="bottomLeft" activeCell="C2" sqref="C2:C161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6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 thickBot="1">
      <c r="A1" s="8" t="s">
        <v>15</v>
      </c>
      <c r="B1" s="40" t="s">
        <v>2</v>
      </c>
      <c r="C1" s="41" t="s">
        <v>1</v>
      </c>
      <c r="D1" s="40" t="s">
        <v>3</v>
      </c>
      <c r="E1" s="40" t="s">
        <v>4</v>
      </c>
      <c r="F1" s="41" t="s">
        <v>9</v>
      </c>
      <c r="G1" s="41" t="s">
        <v>10</v>
      </c>
      <c r="H1" s="41" t="s">
        <v>7</v>
      </c>
      <c r="I1" s="41" t="s">
        <v>11</v>
      </c>
      <c r="J1" s="41" t="s">
        <v>12</v>
      </c>
      <c r="K1" s="41" t="s">
        <v>13</v>
      </c>
      <c r="L1" s="40" t="s">
        <v>5</v>
      </c>
      <c r="M1" s="40" t="s">
        <v>6</v>
      </c>
      <c r="N1" s="42" t="s">
        <v>19</v>
      </c>
      <c r="O1" s="42" t="s">
        <v>20</v>
      </c>
      <c r="P1" s="42" t="s">
        <v>21</v>
      </c>
      <c r="Q1" s="42" t="s">
        <v>22</v>
      </c>
      <c r="R1" s="42" t="s">
        <v>23</v>
      </c>
    </row>
    <row r="2" spans="1:18" ht="21" customHeight="1">
      <c r="A2" s="8" t="str">
        <f t="shared" ref="A2:A47" si="0">D2&amp;E2&amp;L2</f>
        <v>11271</v>
      </c>
      <c r="B2" s="31">
        <v>104</v>
      </c>
      <c r="C2" s="10" t="str">
        <f ca="1">VLOOKUP($B2,OFFSET([2]gachas!$A$2,0,0,COUNTA([2]gachas!$A:$A),MATCH(C$1,[2]gachas!$1:$1,0)-MATCH($B$1,[2]gachas!$1:$1,0)+1),MATCH(C$1,[2]gachas!$1:$1,0)-MATCH($B$1,[2]gachas!$1:$1,0)+1,FALSE)</f>
        <v>ピックアップ01　開始</v>
      </c>
      <c r="D2" s="21">
        <v>1</v>
      </c>
      <c r="E2" s="27">
        <v>127</v>
      </c>
      <c r="F2" s="2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2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2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2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2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2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1">
        <v>1</v>
      </c>
      <c r="M2" s="21">
        <v>1104</v>
      </c>
      <c r="N2" s="18">
        <v>0</v>
      </c>
      <c r="O2" s="18">
        <v>0</v>
      </c>
      <c r="P2" s="18">
        <v>0</v>
      </c>
      <c r="Q2" s="18">
        <v>0</v>
      </c>
      <c r="R2" s="18">
        <v>1</v>
      </c>
    </row>
    <row r="3" spans="1:18" ht="21" customHeight="1">
      <c r="A3" s="8" t="str">
        <f t="shared" si="0"/>
        <v>11291</v>
      </c>
      <c r="B3" s="31">
        <v>104</v>
      </c>
      <c r="C3" s="10" t="str">
        <f ca="1">VLOOKUP($B3,OFFSET([2]gachas!$A$2,0,0,COUNTA([2]gachas!$A:$A),MATCH(C$1,[2]gachas!$1:$1,0)-MATCH($B$1,[2]gachas!$1:$1,0)+1),MATCH(C$1,[2]gachas!$1:$1,0)-MATCH($B$1,[2]gachas!$1:$1,0)+1,FALSE)</f>
        <v>ピックアップ01　開始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21">
        <v>1104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31">
        <v>104</v>
      </c>
      <c r="C4" s="10" t="str">
        <f ca="1">VLOOKUP($B4,OFFSET([2]gachas!$A$2,0,0,COUNTA([2]gachas!$A:$A),MATCH(C$1,[2]gachas!$1:$1,0)-MATCH($B$1,[2]gachas!$1:$1,0)+1),MATCH(C$1,[2]gachas!$1:$1,0)-MATCH($B$1,[2]gachas!$1:$1,0)+1,FALSE)</f>
        <v>ピックアップ01　開始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21">
        <v>1104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31">
        <v>104</v>
      </c>
      <c r="C5" s="10" t="str">
        <f ca="1">VLOOKUP($B5,OFFSET([2]gachas!$A$2,0,0,COUNTA([2]gachas!$A:$A),MATCH(C$1,[2]gachas!$1:$1,0)-MATCH($B$1,[2]gachas!$1:$1,0)+1),MATCH(C$1,[2]gachas!$1:$1,0)-MATCH($B$1,[2]gachas!$1:$1,0)+1,FALSE)</f>
        <v>ピックアップ01　開始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21">
        <v>1104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31">
        <v>104</v>
      </c>
      <c r="C6" s="10" t="str">
        <f ca="1">VLOOKUP($B6,OFFSET([2]gachas!$A$2,0,0,COUNTA([2]gachas!$A:$A),MATCH(C$1,[2]gachas!$1:$1,0)-MATCH($B$1,[2]gachas!$1:$1,0)+1),MATCH(C$1,[2]gachas!$1:$1,0)-MATCH($B$1,[2]gachas!$1:$1,0)+1,FALSE)</f>
        <v>ピックアップ01　開始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21">
        <v>1104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31">
        <v>104</v>
      </c>
      <c r="C7" s="10" t="str">
        <f ca="1">VLOOKUP($B7,OFFSET([2]gachas!$A$2,0,0,COUNTA([2]gachas!$A:$A),MATCH(C$1,[2]gachas!$1:$1,0)-MATCH($B$1,[2]gachas!$1:$1,0)+1),MATCH(C$1,[2]gachas!$1:$1,0)-MATCH($B$1,[2]gachas!$1:$1,0)+1,FALSE)</f>
        <v>ピックアップ01　開始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21">
        <v>1104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31">
        <v>104</v>
      </c>
      <c r="C8" s="10" t="str">
        <f ca="1">VLOOKUP($B8,OFFSET([2]gachas!$A$2,0,0,COUNTA([2]gachas!$A:$A),MATCH(C$1,[2]gachas!$1:$1,0)-MATCH($B$1,[2]gachas!$1:$1,0)+1),MATCH(C$1,[2]gachas!$1:$1,0)-MATCH($B$1,[2]gachas!$1:$1,0)+1,FALSE)</f>
        <v>ピックアップ01　開始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21">
        <v>1104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31">
        <v>104</v>
      </c>
      <c r="C9" s="10" t="str">
        <f ca="1">VLOOKUP($B9,OFFSET([2]gachas!$A$2,0,0,COUNTA([2]gachas!$A:$A),MATCH(C$1,[2]gachas!$1:$1,0)-MATCH($B$1,[2]gachas!$1:$1,0)+1),MATCH(C$1,[2]gachas!$1:$1,0)-MATCH($B$1,[2]gachas!$1:$1,0)+1,FALSE)</f>
        <v>ピックアップ01　開始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21">
        <v>1104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31">
        <v>104</v>
      </c>
      <c r="C10" s="10" t="str">
        <f ca="1">VLOOKUP($B10,OFFSET([2]gachas!$A$2,0,0,COUNTA([2]gachas!$A:$A),MATCH(C$1,[2]gachas!$1:$1,0)-MATCH($B$1,[2]gachas!$1:$1,0)+1),MATCH(C$1,[2]gachas!$1:$1,0)-MATCH($B$1,[2]gachas!$1:$1,0)+1,FALSE)</f>
        <v>ピックアップ01　開始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21">
        <v>1104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31">
        <v>104</v>
      </c>
      <c r="C11" s="10" t="str">
        <f ca="1">VLOOKUP($B11,OFFSET([2]gachas!$A$2,0,0,COUNTA([2]gachas!$A:$A),MATCH(C$1,[2]gachas!$1:$1,0)-MATCH($B$1,[2]gachas!$1:$1,0)+1),MATCH(C$1,[2]gachas!$1:$1,0)-MATCH($B$1,[2]gachas!$1:$1,0)+1,FALSE)</f>
        <v>ピックアップ01　開始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21">
        <v>1104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31">
        <v>104</v>
      </c>
      <c r="C12" s="10" t="str">
        <f ca="1">VLOOKUP($B12,OFFSET([2]gachas!$A$2,0,0,COUNTA([2]gachas!$A:$A),MATCH(C$1,[2]gachas!$1:$1,0)-MATCH($B$1,[2]gachas!$1:$1,0)+1),MATCH(C$1,[2]gachas!$1:$1,0)-MATCH($B$1,[2]gachas!$1:$1,0)+1,FALSE)</f>
        <v>ピックアップ01　開始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21">
        <v>1104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31">
        <v>104</v>
      </c>
      <c r="C13" s="10" t="str">
        <f ca="1">VLOOKUP($B13,OFFSET([2]gachas!$A$2,0,0,COUNTA([2]gachas!$A:$A),MATCH(C$1,[2]gachas!$1:$1,0)-MATCH($B$1,[2]gachas!$1:$1,0)+1),MATCH(C$1,[2]gachas!$1:$1,0)-MATCH($B$1,[2]gachas!$1:$1,0)+1,FALSE)</f>
        <v>ピックアップ01　開始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21">
        <v>1104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31">
        <v>104</v>
      </c>
      <c r="C14" s="10" t="str">
        <f ca="1">VLOOKUP($B14,OFFSET([2]gachas!$A$2,0,0,COUNTA([2]gachas!$A:$A),MATCH(C$1,[2]gachas!$1:$1,0)-MATCH($B$1,[2]gachas!$1:$1,0)+1),MATCH(C$1,[2]gachas!$1:$1,0)-MATCH($B$1,[2]gachas!$1:$1,0)+1,FALSE)</f>
        <v>ピックアップ01　開始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21">
        <v>1104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31">
        <v>104</v>
      </c>
      <c r="C15" s="10" t="str">
        <f ca="1">VLOOKUP($B15,OFFSET([2]gachas!$A$2,0,0,COUNTA([2]gachas!$A:$A),MATCH(C$1,[2]gachas!$1:$1,0)-MATCH($B$1,[2]gachas!$1:$1,0)+1),MATCH(C$1,[2]gachas!$1:$1,0)-MATCH($B$1,[2]gachas!$1:$1,0)+1,FALSE)</f>
        <v>ピックアップ01　開始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21">
        <v>1104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31">
        <v>104</v>
      </c>
      <c r="C16" s="10" t="str">
        <f ca="1">VLOOKUP($B16,OFFSET([2]gachas!$A$2,0,0,COUNTA([2]gachas!$A:$A),MATCH(C$1,[2]gachas!$1:$1,0)-MATCH($B$1,[2]gachas!$1:$1,0)+1),MATCH(C$1,[2]gachas!$1:$1,0)-MATCH($B$1,[2]gachas!$1:$1,0)+1,FALSE)</f>
        <v>ピックアップ01　開始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21">
        <v>1104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31">
        <v>104</v>
      </c>
      <c r="C17" s="10" t="str">
        <f ca="1">VLOOKUP($B17,OFFSET([2]gachas!$A$2,0,0,COUNTA([2]gachas!$A:$A),MATCH(C$1,[2]gachas!$1:$1,0)-MATCH($B$1,[2]gachas!$1:$1,0)+1),MATCH(C$1,[2]gachas!$1:$1,0)-MATCH($B$1,[2]gachas!$1:$1,0)+1,FALSE)</f>
        <v>ピックアップ01　開始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21">
        <v>1104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31">
        <v>104</v>
      </c>
      <c r="C18" s="10" t="str">
        <f ca="1">VLOOKUP($B18,OFFSET([2]gachas!$A$2,0,0,COUNTA([2]gachas!$A:$A),MATCH(C$1,[2]gachas!$1:$1,0)-MATCH($B$1,[2]gachas!$1:$1,0)+1),MATCH(C$1,[2]gachas!$1:$1,0)-MATCH($B$1,[2]gachas!$1:$1,0)+1,FALSE)</f>
        <v>ピックアップ01　開始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21">
        <v>1104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31">
        <v>104</v>
      </c>
      <c r="C19" s="10" t="str">
        <f ca="1">VLOOKUP($B19,OFFSET([2]gachas!$A$2,0,0,COUNTA([2]gachas!$A:$A),MATCH(C$1,[2]gachas!$1:$1,0)-MATCH($B$1,[2]gachas!$1:$1,0)+1),MATCH(C$1,[2]gachas!$1:$1,0)-MATCH($B$1,[2]gachas!$1:$1,0)+1,FALSE)</f>
        <v>ピックアップ01　開始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21">
        <v>1104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31">
        <v>104</v>
      </c>
      <c r="C20" s="10" t="str">
        <f ca="1">VLOOKUP($B20,OFFSET([2]gachas!$A$2,0,0,COUNTA([2]gachas!$A:$A),MATCH(C$1,[2]gachas!$1:$1,0)-MATCH($B$1,[2]gachas!$1:$1,0)+1),MATCH(C$1,[2]gachas!$1:$1,0)-MATCH($B$1,[2]gachas!$1:$1,0)+1,FALSE)</f>
        <v>ピックアップ01　開始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21">
        <v>1104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31">
        <v>104</v>
      </c>
      <c r="C21" s="10" t="str">
        <f ca="1">VLOOKUP($B21,OFFSET([2]gachas!$A$2,0,0,COUNTA([2]gachas!$A:$A),MATCH(C$1,[2]gachas!$1:$1,0)-MATCH($B$1,[2]gachas!$1:$1,0)+1),MATCH(C$1,[2]gachas!$1:$1,0)-MATCH($B$1,[2]gachas!$1:$1,0)+1,FALSE)</f>
        <v>ピックアップ01　開始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21">
        <v>1104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31">
        <v>104</v>
      </c>
      <c r="C22" s="10" t="str">
        <f ca="1">VLOOKUP($B22,OFFSET([2]gachas!$A$2,0,0,COUNTA([2]gachas!$A:$A),MATCH(C$1,[2]gachas!$1:$1,0)-MATCH($B$1,[2]gachas!$1:$1,0)+1),MATCH(C$1,[2]gachas!$1:$1,0)-MATCH($B$1,[2]gachas!$1:$1,0)+1,FALSE)</f>
        <v>ピックアップ01　開始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6">
        <v>961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31">
        <v>104</v>
      </c>
      <c r="C23" s="10" t="str">
        <f ca="1">VLOOKUP($B23,OFFSET([2]gachas!$A$2,0,0,COUNTA([2]gachas!$A:$A),MATCH(C$1,[2]gachas!$1:$1,0)-MATCH($B$1,[2]gachas!$1:$1,0)+1),MATCH(C$1,[2]gachas!$1:$1,0)-MATCH($B$1,[2]gachas!$1:$1,0)+1,FALSE)</f>
        <v>ピックアップ01　開始</v>
      </c>
      <c r="D23" s="29">
        <v>1</v>
      </c>
      <c r="E23" s="30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29">
        <v>1</v>
      </c>
      <c r="M23" s="29">
        <v>2660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31">
        <v>104</v>
      </c>
      <c r="C24" s="10" t="str">
        <f ca="1">VLOOKUP($B24,OFFSET([2]gachas!$A$2,0,0,COUNTA([2]gachas!$A:$A),MATCH(C$1,[2]gachas!$1:$1,0)-MATCH($B$1,[2]gachas!$1:$1,0)+1),MATCH(C$1,[2]gachas!$1:$1,0)-MATCH($B$1,[2]gachas!$1:$1,0)+1,FALSE)</f>
        <v>ピックアップ01　開始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961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31">
        <v>104</v>
      </c>
      <c r="C25" s="10" t="str">
        <f ca="1">VLOOKUP($B25,OFFSET([2]gachas!$A$2,0,0,COUNTA([2]gachas!$A:$A),MATCH(C$1,[2]gachas!$1:$1,0)-MATCH($B$1,[2]gachas!$1:$1,0)+1),MATCH(C$1,[2]gachas!$1:$1,0)-MATCH($B$1,[2]gachas!$1:$1,0)+1,FALSE)</f>
        <v>ピックアップ01　開始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961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31">
        <v>104</v>
      </c>
      <c r="C26" s="10" t="str">
        <f ca="1">VLOOKUP($B26,OFFSET([2]gachas!$A$2,0,0,COUNTA([2]gachas!$A:$A),MATCH(C$1,[2]gachas!$1:$1,0)-MATCH($B$1,[2]gachas!$1:$1,0)+1),MATCH(C$1,[2]gachas!$1:$1,0)-MATCH($B$1,[2]gachas!$1:$1,0)+1,FALSE)</f>
        <v>ピックアップ01　開始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6">
        <v>961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31">
        <v>104</v>
      </c>
      <c r="C27" s="10" t="str">
        <f ca="1">VLOOKUP($B27,OFFSET([2]gachas!$A$2,0,0,COUNTA([2]gachas!$A:$A),MATCH(C$1,[2]gachas!$1:$1,0)-MATCH($B$1,[2]gachas!$1:$1,0)+1),MATCH(C$1,[2]gachas!$1:$1,0)-MATCH($B$1,[2]gachas!$1:$1,0)+1,FALSE)</f>
        <v>ピックアップ01　開始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961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31">
        <v>104</v>
      </c>
      <c r="C28" s="10" t="str">
        <f ca="1">VLOOKUP($B28,OFFSET([2]gachas!$A$2,0,0,COUNTA([2]gachas!$A:$A),MATCH(C$1,[2]gachas!$1:$1,0)-MATCH($B$1,[2]gachas!$1:$1,0)+1),MATCH(C$1,[2]gachas!$1:$1,0)-MATCH($B$1,[2]gachas!$1:$1,0)+1,FALSE)</f>
        <v>ピックアップ01　開始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961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31">
        <v>104</v>
      </c>
      <c r="C29" s="10" t="str">
        <f ca="1">VLOOKUP($B29,OFFSET([2]gachas!$A$2,0,0,COUNTA([2]gachas!$A:$A),MATCH(C$1,[2]gachas!$1:$1,0)-MATCH($B$1,[2]gachas!$1:$1,0)+1),MATCH(C$1,[2]gachas!$1:$1,0)-MATCH($B$1,[2]gachas!$1:$1,0)+1,FALSE)</f>
        <v>ピックアップ01　開始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961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31">
        <v>104</v>
      </c>
      <c r="C30" s="10" t="str">
        <f ca="1">VLOOKUP($B30,OFFSET([2]gachas!$A$2,0,0,COUNTA([2]gachas!$A:$A),MATCH(C$1,[2]gachas!$1:$1,0)-MATCH($B$1,[2]gachas!$1:$1,0)+1),MATCH(C$1,[2]gachas!$1:$1,0)-MATCH($B$1,[2]gachas!$1:$1,0)+1,FALSE)</f>
        <v>ピックアップ01　開始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6">
        <v>961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31">
        <v>104</v>
      </c>
      <c r="C31" s="10" t="str">
        <f ca="1">VLOOKUP($B31,OFFSET([2]gachas!$A$2,0,0,COUNTA([2]gachas!$A:$A),MATCH(C$1,[2]gachas!$1:$1,0)-MATCH($B$1,[2]gachas!$1:$1,0)+1),MATCH(C$1,[2]gachas!$1:$1,0)-MATCH($B$1,[2]gachas!$1:$1,0)+1,FALSE)</f>
        <v>ピックアップ01　開始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961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31">
        <v>104</v>
      </c>
      <c r="C32" s="10" t="str">
        <f ca="1">VLOOKUP($B32,OFFSET([2]gachas!$A$2,0,0,COUNTA([2]gachas!$A:$A),MATCH(C$1,[2]gachas!$1:$1,0)-MATCH($B$1,[2]gachas!$1:$1,0)+1),MATCH(C$1,[2]gachas!$1:$1,0)-MATCH($B$1,[2]gachas!$1:$1,0)+1,FALSE)</f>
        <v>ピックアップ01　開始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961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31">
        <v>104</v>
      </c>
      <c r="C33" s="10" t="str">
        <f ca="1">VLOOKUP($B33,OFFSET([2]gachas!$A$2,0,0,COUNTA([2]gachas!$A:$A),MATCH(C$1,[2]gachas!$1:$1,0)-MATCH($B$1,[2]gachas!$1:$1,0)+1),MATCH(C$1,[2]gachas!$1:$1,0)-MATCH($B$1,[2]gachas!$1:$1,0)+1,FALSE)</f>
        <v>ピックアップ01　開始</v>
      </c>
      <c r="D33" s="29">
        <v>1</v>
      </c>
      <c r="E33" s="30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29">
        <v>1</v>
      </c>
      <c r="M33" s="29">
        <v>2660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31">
        <v>104</v>
      </c>
      <c r="C34" s="10" t="str">
        <f ca="1">VLOOKUP($B34,OFFSET([2]gachas!$A$2,0,0,COUNTA([2]gachas!$A:$A),MATCH(C$1,[2]gachas!$1:$1,0)-MATCH($B$1,[2]gachas!$1:$1,0)+1),MATCH(C$1,[2]gachas!$1:$1,0)-MATCH($B$1,[2]gachas!$1:$1,0)+1,FALSE)</f>
        <v>ピックアップ01　開始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6">
        <v>961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31">
        <v>104</v>
      </c>
      <c r="C35" s="10" t="str">
        <f ca="1">VLOOKUP($B35,OFFSET([2]gachas!$A$2,0,0,COUNTA([2]gachas!$A:$A),MATCH(C$1,[2]gachas!$1:$1,0)-MATCH($B$1,[2]gachas!$1:$1,0)+1),MATCH(C$1,[2]gachas!$1:$1,0)-MATCH($B$1,[2]gachas!$1:$1,0)+1,FALSE)</f>
        <v>ピックアップ01　開始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961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31">
        <v>104</v>
      </c>
      <c r="C36" s="10" t="str">
        <f ca="1">VLOOKUP($B36,OFFSET([2]gachas!$A$2,0,0,COUNTA([2]gachas!$A:$A),MATCH(C$1,[2]gachas!$1:$1,0)-MATCH($B$1,[2]gachas!$1:$1,0)+1),MATCH(C$1,[2]gachas!$1:$1,0)-MATCH($B$1,[2]gachas!$1:$1,0)+1,FALSE)</f>
        <v>ピックアップ01　開始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961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31">
        <v>104</v>
      </c>
      <c r="C37" s="10" t="str">
        <f ca="1">VLOOKUP($B37,OFFSET([2]gachas!$A$2,0,0,COUNTA([2]gachas!$A:$A),MATCH(C$1,[2]gachas!$1:$1,0)-MATCH($B$1,[2]gachas!$1:$1,0)+1),MATCH(C$1,[2]gachas!$1:$1,0)-MATCH($B$1,[2]gachas!$1:$1,0)+1,FALSE)</f>
        <v>ピックアップ01　開始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961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31">
        <v>104</v>
      </c>
      <c r="C38" s="10" t="str">
        <f ca="1">VLOOKUP($B38,OFFSET([2]gachas!$A$2,0,0,COUNTA([2]gachas!$A:$A),MATCH(C$1,[2]gachas!$1:$1,0)-MATCH($B$1,[2]gachas!$1:$1,0)+1),MATCH(C$1,[2]gachas!$1:$1,0)-MATCH($B$1,[2]gachas!$1:$1,0)+1,FALSE)</f>
        <v>ピックアップ01　開始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6">
        <v>961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31">
        <v>104</v>
      </c>
      <c r="C39" s="10" t="str">
        <f ca="1">VLOOKUP($B39,OFFSET([2]gachas!$A$2,0,0,COUNTA([2]gachas!$A:$A),MATCH(C$1,[2]gachas!$1:$1,0)-MATCH($B$1,[2]gachas!$1:$1,0)+1),MATCH(C$1,[2]gachas!$1:$1,0)-MATCH($B$1,[2]gachas!$1:$1,0)+1,FALSE)</f>
        <v>ピックアップ01　開始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961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31">
        <v>104</v>
      </c>
      <c r="C40" s="10" t="str">
        <f ca="1">VLOOKUP($B40,OFFSET([2]gachas!$A$2,0,0,COUNTA([2]gachas!$A:$A),MATCH(C$1,[2]gachas!$1:$1,0)-MATCH($B$1,[2]gachas!$1:$1,0)+1),MATCH(C$1,[2]gachas!$1:$1,0)-MATCH($B$1,[2]gachas!$1:$1,0)+1,FALSE)</f>
        <v>ピックアップ01　開始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961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31">
        <v>104</v>
      </c>
      <c r="C41" s="10" t="str">
        <f ca="1">VLOOKUP($B41,OFFSET([2]gachas!$A$2,0,0,COUNTA([2]gachas!$A:$A),MATCH(C$1,[2]gachas!$1:$1,0)-MATCH($B$1,[2]gachas!$1:$1,0)+1),MATCH(C$1,[2]gachas!$1:$1,0)-MATCH($B$1,[2]gachas!$1:$1,0)+1,FALSE)</f>
        <v>ピックアップ01　開始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961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31">
        <v>104</v>
      </c>
      <c r="C42" s="10" t="str">
        <f ca="1">VLOOKUP($B42,OFFSET([2]gachas!$A$2,0,0,COUNTA([2]gachas!$A:$A),MATCH(C$1,[2]gachas!$1:$1,0)-MATCH($B$1,[2]gachas!$1:$1,0)+1),MATCH(C$1,[2]gachas!$1:$1,0)-MATCH($B$1,[2]gachas!$1:$1,0)+1,FALSE)</f>
        <v>ピックアップ01　開始</v>
      </c>
      <c r="D42" s="29">
        <v>1</v>
      </c>
      <c r="E42" s="30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29">
        <v>1</v>
      </c>
      <c r="M42" s="29">
        <v>2660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31">
        <v>104</v>
      </c>
      <c r="C43" s="10" t="str">
        <f ca="1">VLOOKUP($B43,OFFSET([2]gachas!$A$2,0,0,COUNTA([2]gachas!$A:$A),MATCH(C$1,[2]gachas!$1:$1,0)-MATCH($B$1,[2]gachas!$1:$1,0)+1),MATCH(C$1,[2]gachas!$1:$1,0)-MATCH($B$1,[2]gachas!$1:$1,0)+1,FALSE)</f>
        <v>ピックアップ01　開始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6">
        <v>319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31">
        <v>104</v>
      </c>
      <c r="C44" s="10" t="str">
        <f ca="1">VLOOKUP($B44,OFFSET([2]gachas!$A$2,0,0,COUNTA([2]gachas!$A:$A),MATCH(C$1,[2]gachas!$1:$1,0)-MATCH($B$1,[2]gachas!$1:$1,0)+1),MATCH(C$1,[2]gachas!$1:$1,0)-MATCH($B$1,[2]gachas!$1:$1,0)+1,FALSE)</f>
        <v>ピックアップ01　開始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319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31">
        <v>104</v>
      </c>
      <c r="C45" s="10" t="str">
        <f ca="1">VLOOKUP($B45,OFFSET([2]gachas!$A$2,0,0,COUNTA([2]gachas!$A:$A),MATCH(C$1,[2]gachas!$1:$1,0)-MATCH($B$1,[2]gachas!$1:$1,0)+1),MATCH(C$1,[2]gachas!$1:$1,0)-MATCH($B$1,[2]gachas!$1:$1,0)+1,FALSE)</f>
        <v>ピックアップ01　開始</v>
      </c>
      <c r="D45" s="29">
        <v>1</v>
      </c>
      <c r="E45" s="30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29">
        <v>1</v>
      </c>
      <c r="M45" s="29">
        <v>2660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11711</v>
      </c>
      <c r="B46" s="31">
        <v>104</v>
      </c>
      <c r="C46" s="10" t="str">
        <f ca="1">VLOOKUP($B46,OFFSET([2]gachas!$A$2,0,0,COUNTA([2]gachas!$A:$A),MATCH(C$1,[2]gachas!$1:$1,0)-MATCH($B$1,[2]gachas!$1:$1,0)+1),MATCH(C$1,[2]gachas!$1:$1,0)-MATCH($B$1,[2]gachas!$1:$1,0)+1,FALSE)</f>
        <v>ピックアップ01　開始</v>
      </c>
      <c r="D46" s="29">
        <v>1</v>
      </c>
      <c r="E46" s="30">
        <v>171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精解の預知者 オセ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green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29">
        <v>1</v>
      </c>
      <c r="M46" s="29">
        <v>1176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12011</v>
      </c>
      <c r="B47" s="31">
        <v>104</v>
      </c>
      <c r="C47" s="10" t="str">
        <f ca="1">VLOOKUP($B47,OFFSET([2]gachas!$A$2,0,0,COUNTA([2]gachas!$A:$A),MATCH(C$1,[2]gachas!$1:$1,0)-MATCH($B$1,[2]gachas!$1:$1,0)+1),MATCH(C$1,[2]gachas!$1:$1,0)-MATCH($B$1,[2]gachas!$1:$1,0)+1,FALSE)</f>
        <v>ピックアップ01　開始</v>
      </c>
      <c r="D47" s="29">
        <v>1</v>
      </c>
      <c r="E47" s="30">
        <v>201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blue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ヒューマン</v>
      </c>
      <c r="L47" s="29">
        <v>1</v>
      </c>
      <c r="M47" s="29">
        <v>1176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ref="A48:A106" si="1">D48&amp;E48&amp;L48</f>
        <v>12281</v>
      </c>
      <c r="B48" s="31">
        <v>104</v>
      </c>
      <c r="C48" s="10" t="str">
        <f ca="1">VLOOKUP($B48,OFFSET([2]gachas!$A$2,0,0,COUNTA([2]gachas!$A:$A),MATCH(C$1,[2]gachas!$1:$1,0)-MATCH($B$1,[2]gachas!$1:$1,0)+1),MATCH(C$1,[2]gachas!$1:$1,0)-MATCH($B$1,[2]gachas!$1:$1,0)+1,FALSE)</f>
        <v>ピックアップ01　開始</v>
      </c>
      <c r="D48" s="29">
        <v>1</v>
      </c>
      <c r="E48" s="30">
        <v>228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殲滅の掃射砲 アレス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PremiumS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red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29">
        <v>1</v>
      </c>
      <c r="M48" s="29">
        <v>224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s="26" customFormat="1" ht="21" customHeight="1" thickBot="1">
      <c r="A49" s="22" t="str">
        <f t="shared" si="1"/>
        <v>12371</v>
      </c>
      <c r="B49" s="31">
        <v>104</v>
      </c>
      <c r="C49" s="10" t="str">
        <f ca="1">VLOOKUP($B49,OFFSET([2]gachas!$A$2,0,0,COUNTA([2]gachas!$A:$A),MATCH(C$1,[2]gachas!$1:$1,0)-MATCH($B$1,[2]gachas!$1:$1,0)+1),MATCH(C$1,[2]gachas!$1:$1,0)-MATCH($B$1,[2]gachas!$1:$1,0)+1,FALSE)</f>
        <v>ピックアップ01　開始</v>
      </c>
      <c r="D49" s="33">
        <v>1</v>
      </c>
      <c r="E49" s="34">
        <v>237</v>
      </c>
      <c r="F49" s="23" t="str">
        <f ca="1">VLOOKUP($E49,OFFSET([1]characters!$A$2,0,0,COUNTA([1]characters!$A:$A),MATCH(F$1,[1]characters!$2:$2,0)-MATCH($E$1,[1]characters!$2:$2,0)+1),MATCH(F$1,[1]characters!$2:$2,0)-MATCH($E$1,[1]characters!$2:$2,0)+1,FALSE)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49" s="23" t="str">
        <f ca="1">VLOOKUP($E49,OFFSET([1]characters!$A$2,0,0,COUNTA([1]characters!$A:$A),MATCH(G$1,[1]characters!$2:$2,0)-MATCH($E$1,[1]characters!$2:$2,0)+1),MATCH(G$1,[1]characters!$2:$2,0)-MATCH($E$1,[1]characters!$2:$2,0)+1,FALSE)</f>
        <v>PremiumS</v>
      </c>
      <c r="H49" s="23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23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23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23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33">
        <v>1</v>
      </c>
      <c r="M49" s="33">
        <v>224</v>
      </c>
      <c r="N49" s="35">
        <v>0</v>
      </c>
      <c r="O49" s="35">
        <v>0</v>
      </c>
      <c r="P49" s="35">
        <v>0</v>
      </c>
      <c r="Q49" s="35">
        <v>0</v>
      </c>
      <c r="R49" s="35">
        <v>1</v>
      </c>
    </row>
    <row r="50" spans="1:18" ht="21" customHeight="1">
      <c r="A50" s="8" t="str">
        <f t="shared" si="1"/>
        <v>12391</v>
      </c>
      <c r="B50" s="31">
        <v>104</v>
      </c>
      <c r="C50" s="10" t="str">
        <f ca="1">VLOOKUP($B50,OFFSET([2]gachas!$A$2,0,0,COUNTA([2]gachas!$A:$A),MATCH(C$1,[2]gachas!$1:$1,0)-MATCH($B$1,[2]gachas!$1:$1,0)+1),MATCH(C$1,[2]gachas!$1:$1,0)-MATCH($B$1,[2]gachas!$1:$1,0)+1,FALSE)</f>
        <v>ピックアップ01　開始</v>
      </c>
      <c r="D50" s="21">
        <v>1</v>
      </c>
      <c r="E50" s="39">
        <v>239</v>
      </c>
      <c r="F50" s="20" t="str">
        <f ca="1">VLOOKUP($E50,OFFSET([1]characters!$A$2,0,0,COUNTA([1]characters!$A:$A),MATCH(F$1,[1]characters!$2:$2,0)-MATCH($E$1,[1]characters!$2:$2,0)+1),MATCH(F$1,[1]characters!$2:$2,0)-MATCH($E$1,[1]characters!$2:$2,0)+1,FALSE)</f>
        <v>豪炎の天使 ウリエル</v>
      </c>
      <c r="G50" s="20" t="str">
        <f ca="1">VLOOKUP($E50,OFFSET([1]characters!$A$2,0,0,COUNTA([1]characters!$A:$A),MATCH(G$1,[1]characters!$2:$2,0)-MATCH($E$1,[1]characters!$2:$2,0)+1),MATCH(G$1,[1]characters!$2:$2,0)-MATCH($E$1,[1]characters!$2:$2,0)+1,FALSE)</f>
        <v>PremiumS</v>
      </c>
      <c r="H50" s="20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2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20" t="str">
        <f ca="1">VLOOKUP($E50,OFFSET([1]characters!$A$2,0,0,COUNTA([1]characters!$A:$A),MATCH("タイプ",[1]characters!$1:$1,0)-MATCH($E$1,[1]characters!$2:$2,0)+2),MATCH("タイプ",[1]characters!$1:$1,0)-MATCH($E$1,[1]characters!$2:$2,0)+2,FALSE)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0" s="20" t="str">
        <f ca="1">VLOOKUP($E50,OFFSET([1]characters!$A$2,0,0,COUNTA([1]characters!$A:$A),MATCH($K$1,[1]characters!$1:$1,0)-MATCH($E$1,[1]characters!$2:$2,0)+2),MATCH($K$1,[1]characters!$1:$1,0)-MATCH($E$1,[1]characters!$2:$2,0)+2,FALSE)</f>
        <v>マシン</v>
      </c>
      <c r="L50" s="21">
        <v>1</v>
      </c>
      <c r="M50" s="21">
        <v>319</v>
      </c>
      <c r="N50" s="18">
        <v>0</v>
      </c>
      <c r="O50" s="18">
        <v>0</v>
      </c>
      <c r="P50" s="18">
        <v>0</v>
      </c>
      <c r="Q50" s="18">
        <v>0</v>
      </c>
      <c r="R50" s="18">
        <v>1</v>
      </c>
    </row>
    <row r="51" spans="1:18" ht="21" customHeight="1">
      <c r="A51" s="8" t="str">
        <f t="shared" si="1"/>
        <v>12421</v>
      </c>
      <c r="B51" s="31">
        <v>104</v>
      </c>
      <c r="C51" s="10" t="str">
        <f ca="1">VLOOKUP($B51,OFFSET([2]gachas!$A$2,0,0,COUNTA([2]gachas!$A:$A),MATCH(C$1,[2]gachas!$1:$1,0)-MATCH($B$1,[2]gachas!$1:$1,0)+1),MATCH(C$1,[2]gachas!$1:$1,0)-MATCH($B$1,[2]gachas!$1:$1,0)+1,FALSE)</f>
        <v>ピックアップ01　開始</v>
      </c>
      <c r="D51" s="6">
        <v>1</v>
      </c>
      <c r="E51" s="19">
        <v>242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PremiumS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4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マシン</v>
      </c>
      <c r="L51" s="6">
        <v>1</v>
      </c>
      <c r="M51" s="21">
        <v>319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1"/>
        <v>12451</v>
      </c>
      <c r="B52" s="31">
        <v>104</v>
      </c>
      <c r="C52" s="10" t="str">
        <f ca="1">VLOOKUP($B52,OFFSET([2]gachas!$A$2,0,0,COUNTA([2]gachas!$A:$A),MATCH(C$1,[2]gachas!$1:$1,0)-MATCH($B$1,[2]gachas!$1:$1,0)+1),MATCH(C$1,[2]gachas!$1:$1,0)-MATCH($B$1,[2]gachas!$1:$1,0)+1,FALSE)</f>
        <v>ピックアップ01　開始</v>
      </c>
      <c r="D52" s="6">
        <v>1</v>
      </c>
      <c r="E52" s="19">
        <v>245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PremiumS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マシン</v>
      </c>
      <c r="L52" s="6">
        <v>1</v>
      </c>
      <c r="M52" s="21">
        <v>319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1"/>
        <v>12481</v>
      </c>
      <c r="B53" s="31">
        <v>104</v>
      </c>
      <c r="C53" s="10" t="str">
        <f ca="1">VLOOKUP($B53,OFFSET([2]gachas!$A$2,0,0,COUNTA([2]gachas!$A:$A),MATCH(C$1,[2]gachas!$1:$1,0)-MATCH($B$1,[2]gachas!$1:$1,0)+1),MATCH(C$1,[2]gachas!$1:$1,0)-MATCH($B$1,[2]gachas!$1:$1,0)+1,FALSE)</f>
        <v>ピックアップ01　開始</v>
      </c>
      <c r="D53" s="6">
        <v>1</v>
      </c>
      <c r="E53" s="19">
        <v>248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彩電の天使 ミカエル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PremiumS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マシン</v>
      </c>
      <c r="L53" s="6">
        <v>1</v>
      </c>
      <c r="M53" s="21">
        <v>319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 thickBot="1">
      <c r="A54" s="22" t="str">
        <f t="shared" si="1"/>
        <v>12511</v>
      </c>
      <c r="B54" s="31">
        <v>104</v>
      </c>
      <c r="C54" s="10" t="str">
        <f ca="1">VLOOKUP($B54,OFFSET([2]gachas!$A$2,0,0,COUNTA([2]gachas!$A:$A),MATCH(C$1,[2]gachas!$1:$1,0)-MATCH($B$1,[2]gachas!$1:$1,0)+1),MATCH(C$1,[2]gachas!$1:$1,0)-MATCH($B$1,[2]gachas!$1:$1,0)+1,FALSE)</f>
        <v>ピックアップ01　開始</v>
      </c>
      <c r="D54" s="6">
        <v>1</v>
      </c>
      <c r="E54" s="7">
        <v>251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強欲 マンモン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PremiumS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ゴッド</v>
      </c>
      <c r="L54" s="6">
        <v>1</v>
      </c>
      <c r="M54" s="21">
        <v>319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 thickBot="1">
      <c r="A55" s="22" t="str">
        <f t="shared" si="1"/>
        <v>12541</v>
      </c>
      <c r="B55" s="31">
        <v>104</v>
      </c>
      <c r="C55" s="10" t="str">
        <f ca="1">VLOOKUP($B55,OFFSET([2]gachas!$A$2,0,0,COUNTA([2]gachas!$A:$A),MATCH(C$1,[2]gachas!$1:$1,0)-MATCH($B$1,[2]gachas!$1:$1,0)+1),MATCH(C$1,[2]gachas!$1:$1,0)-MATCH($B$1,[2]gachas!$1:$1,0)+1,FALSE)</f>
        <v>ピックアップ01　開始</v>
      </c>
      <c r="D55" s="6">
        <v>1</v>
      </c>
      <c r="E55" s="7">
        <v>254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怠惰 ベルフェゴール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PremiumS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ゴッド</v>
      </c>
      <c r="L55" s="6">
        <v>1</v>
      </c>
      <c r="M55" s="21">
        <v>319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 thickBot="1">
      <c r="A56" s="22" t="str">
        <f t="shared" si="1"/>
        <v>12571</v>
      </c>
      <c r="B56" s="31">
        <v>104</v>
      </c>
      <c r="C56" s="10" t="str">
        <f ca="1">VLOOKUP($B56,OFFSET([2]gachas!$A$2,0,0,COUNTA([2]gachas!$A:$A),MATCH(C$1,[2]gachas!$1:$1,0)-MATCH($B$1,[2]gachas!$1:$1,0)+1),MATCH(C$1,[2]gachas!$1:$1,0)-MATCH($B$1,[2]gachas!$1:$1,0)+1,FALSE)</f>
        <v>ピックアップ01　開始</v>
      </c>
      <c r="D56" s="6">
        <v>1</v>
      </c>
      <c r="E56" s="7">
        <v>257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色欲 アスモデウス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PremiumS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blue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ゴッド</v>
      </c>
      <c r="L56" s="6">
        <v>1</v>
      </c>
      <c r="M56" s="21">
        <v>319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 thickBot="1">
      <c r="A57" s="22" t="str">
        <f t="shared" si="1"/>
        <v>12601</v>
      </c>
      <c r="B57" s="31">
        <v>104</v>
      </c>
      <c r="C57" s="10" t="str">
        <f ca="1">VLOOKUP($B57,OFFSET([2]gachas!$A$2,0,0,COUNTA([2]gachas!$A:$A),MATCH(C$1,[2]gachas!$1:$1,0)-MATCH($B$1,[2]gachas!$1:$1,0)+1),MATCH(C$1,[2]gachas!$1:$1,0)-MATCH($B$1,[2]gachas!$1:$1,0)+1,FALSE)</f>
        <v>ピックアップ01　開始</v>
      </c>
      <c r="D57" s="6">
        <v>1</v>
      </c>
      <c r="E57" s="7">
        <v>260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輪廻 ウロボロス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PremiumS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yellow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ドラゴン</v>
      </c>
      <c r="L57" s="6">
        <v>1</v>
      </c>
      <c r="M57" s="21">
        <v>319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ref="A58" si="2">D58&amp;E58&amp;L58</f>
        <v>01261</v>
      </c>
      <c r="B58" s="31">
        <v>104</v>
      </c>
      <c r="C58" s="10" t="str">
        <f ca="1">VLOOKUP($B58,OFFSET([2]gachas!$A$2,0,0,COUNTA([2]gachas!$A:$A),MATCH(C$1,[2]gachas!$1:$1,0)-MATCH($B$1,[2]gachas!$1:$1,0)+1),MATCH(C$1,[2]gachas!$1:$1,0)-MATCH($B$1,[2]gachas!$1:$1,0)+1,FALSE)</f>
        <v>ピックアップ01　開始</v>
      </c>
      <c r="D58" s="6">
        <v>0</v>
      </c>
      <c r="E58" s="7">
        <v>126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骨器使い ユノ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PremiumW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3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6">
        <v>1</v>
      </c>
      <c r="M58" s="21">
        <v>1511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1"/>
        <v>01281</v>
      </c>
      <c r="B59" s="31">
        <v>104</v>
      </c>
      <c r="C59" s="10" t="str">
        <f ca="1">VLOOKUP($B59,OFFSET([2]gachas!$A$2,0,0,COUNTA([2]gachas!$A:$A),MATCH(C$1,[2]gachas!$1:$1,0)-MATCH($B$1,[2]gachas!$1:$1,0)+1),MATCH(C$1,[2]gachas!$1:$1,0)-MATCH($B$1,[2]gachas!$1:$1,0)+1,FALSE)</f>
        <v>ピックアップ01　開始</v>
      </c>
      <c r="D59" s="21">
        <v>0</v>
      </c>
      <c r="E59" s="27">
        <v>128</v>
      </c>
      <c r="F59" s="20" t="str">
        <f ca="1">VLOOKUP($E59,OFFSET([1]characters!$A$2,0,0,COUNTA([1]characters!$A:$A),MATCH(F$1,[1]characters!$2:$2,0)-MATCH($E$1,[1]characters!$2:$2,0)+1),MATCH(F$1,[1]characters!$2:$2,0)-MATCH($E$1,[1]characters!$2:$2,0)+1,FALSE)</f>
        <v>野生児 アマラ</v>
      </c>
      <c r="G59" s="20" t="str">
        <f ca="1">VLOOKUP($E59,OFFSET([1]characters!$A$2,0,0,COUNTA([1]characters!$A:$A),MATCH(G$1,[1]characters!$2:$2,0)-MATCH($E$1,[1]characters!$2:$2,0)+1),MATCH(G$1,[1]characters!$2:$2,0)-MATCH($E$1,[1]characters!$2:$2,0)+1,FALSE)</f>
        <v>PremiumW</v>
      </c>
      <c r="H59" s="20">
        <f ca="1">VLOOKUP($E59,OFFSET([1]characters!$A$2,0,0,COUNTA([1]characters!$A:$A),MATCH(H$1,[1]characters!$2:$2,0)-MATCH($E$1,[1]characters!$2:$2,0)+1),MATCH(H$1,[1]characters!$2:$2,0)-MATCH($E$1,[1]characters!$2:$2,0)+1,FALSE)</f>
        <v>3</v>
      </c>
      <c r="I59" s="2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20" t="str">
        <f ca="1">VLOOKUP($E59,OFFSET([1]characters!$A$2,0,0,COUNTA([1]characters!$A:$A),MATCH("タイプ",[1]characters!$1:$1,0)-MATCH($E$1,[1]characters!$2:$2,0)+2),MATCH("タイプ",[1]characters!$1:$1,0)-MATCH($E$1,[1]characters!$2:$2,0)+2,FALSE)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9" s="20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21">
        <v>1</v>
      </c>
      <c r="M59" s="21">
        <v>1511</v>
      </c>
      <c r="N59" s="18">
        <v>0</v>
      </c>
      <c r="O59" s="18">
        <v>0</v>
      </c>
      <c r="P59" s="18">
        <v>0</v>
      </c>
      <c r="Q59" s="18">
        <v>0</v>
      </c>
      <c r="R59" s="18">
        <v>1</v>
      </c>
    </row>
    <row r="60" spans="1:18" ht="21" customHeight="1">
      <c r="A60" s="8" t="str">
        <f t="shared" si="1"/>
        <v>01301</v>
      </c>
      <c r="B60" s="31">
        <v>104</v>
      </c>
      <c r="C60" s="10" t="str">
        <f ca="1">VLOOKUP($B60,OFFSET([2]gachas!$A$2,0,0,COUNTA([2]gachas!$A:$A),MATCH(C$1,[2]gachas!$1:$1,0)-MATCH($B$1,[2]gachas!$1:$1,0)+1),MATCH(C$1,[2]gachas!$1:$1,0)-MATCH($B$1,[2]gachas!$1:$1,0)+1,FALSE)</f>
        <v>ピックアップ01　開始</v>
      </c>
      <c r="D60" s="6">
        <v>0</v>
      </c>
      <c r="E60" s="7">
        <v>130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狼男 ローレンス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PremiumW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3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アニマル</v>
      </c>
      <c r="L60" s="6">
        <v>1</v>
      </c>
      <c r="M60" s="21">
        <v>1511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1"/>
        <v>01321</v>
      </c>
      <c r="B61" s="31">
        <v>104</v>
      </c>
      <c r="C61" s="10" t="str">
        <f ca="1">VLOOKUP($B61,OFFSET([2]gachas!$A$2,0,0,COUNTA([2]gachas!$A:$A),MATCH(C$1,[2]gachas!$1:$1,0)-MATCH($B$1,[2]gachas!$1:$1,0)+1),MATCH(C$1,[2]gachas!$1:$1,0)-MATCH($B$1,[2]gachas!$1:$1,0)+1,FALSE)</f>
        <v>ピックアップ01　開始</v>
      </c>
      <c r="D61" s="6">
        <v>0</v>
      </c>
      <c r="E61" s="7">
        <v>132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鳥人ハヤト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3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6">
        <v>1</v>
      </c>
      <c r="M61" s="21">
        <v>1511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1"/>
        <v>01341</v>
      </c>
      <c r="B62" s="31">
        <v>104</v>
      </c>
      <c r="C62" s="10" t="str">
        <f ca="1">VLOOKUP($B62,OFFSET([2]gachas!$A$2,0,0,COUNTA([2]gachas!$A:$A),MATCH(C$1,[2]gachas!$1:$1,0)-MATCH($B$1,[2]gachas!$1:$1,0)+1),MATCH(C$1,[2]gachas!$1:$1,0)-MATCH($B$1,[2]gachas!$1:$1,0)+1,FALSE)</f>
        <v>ピックアップ01　開始</v>
      </c>
      <c r="D62" s="6">
        <v>0</v>
      </c>
      <c r="E62" s="7">
        <v>134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妖炎の夕霧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3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6">
        <v>1</v>
      </c>
      <c r="M62" s="21">
        <v>1511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1"/>
        <v>01361</v>
      </c>
      <c r="B63" s="31">
        <v>104</v>
      </c>
      <c r="C63" s="10" t="str">
        <f ca="1">VLOOKUP($B63,OFFSET([2]gachas!$A$2,0,0,COUNTA([2]gachas!$A:$A),MATCH(C$1,[2]gachas!$1:$1,0)-MATCH($B$1,[2]gachas!$1:$1,0)+1),MATCH(C$1,[2]gachas!$1:$1,0)-MATCH($B$1,[2]gachas!$1:$1,0)+1,FALSE)</f>
        <v>ピックアップ01　開始</v>
      </c>
      <c r="D63" s="6">
        <v>0</v>
      </c>
      <c r="E63" s="7">
        <v>136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お針子チハヤ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3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ヒューマン</v>
      </c>
      <c r="L63" s="6">
        <v>1</v>
      </c>
      <c r="M63" s="21">
        <v>1511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1"/>
        <v>01381</v>
      </c>
      <c r="B64" s="31">
        <v>104</v>
      </c>
      <c r="C64" s="10" t="str">
        <f ca="1">VLOOKUP($B64,OFFSET([2]gachas!$A$2,0,0,COUNTA([2]gachas!$A:$A),MATCH(C$1,[2]gachas!$1:$1,0)-MATCH($B$1,[2]gachas!$1:$1,0)+1),MATCH(C$1,[2]gachas!$1:$1,0)-MATCH($B$1,[2]gachas!$1:$1,0)+1,FALSE)</f>
        <v>ピックアップ01　開始</v>
      </c>
      <c r="D64" s="6">
        <v>0</v>
      </c>
      <c r="E64" s="7">
        <v>138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蒼薙のトモエ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3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6">
        <v>1</v>
      </c>
      <c r="M64" s="21">
        <v>1511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1"/>
        <v>01401</v>
      </c>
      <c r="B65" s="31">
        <v>104</v>
      </c>
      <c r="C65" s="10" t="str">
        <f ca="1">VLOOKUP($B65,OFFSET([2]gachas!$A$2,0,0,COUNTA([2]gachas!$A:$A),MATCH(C$1,[2]gachas!$1:$1,0)-MATCH($B$1,[2]gachas!$1:$1,0)+1),MATCH(C$1,[2]gachas!$1:$1,0)-MATCH($B$1,[2]gachas!$1:$1,0)+1,FALSE)</f>
        <v>ピックアップ01　開始</v>
      </c>
      <c r="D65" s="6">
        <v>0</v>
      </c>
      <c r="E65" s="7">
        <v>140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秋祭のタマモ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3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アニマル</v>
      </c>
      <c r="L65" s="6">
        <v>1</v>
      </c>
      <c r="M65" s="21">
        <v>1511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si="1"/>
        <v>01421</v>
      </c>
      <c r="B66" s="31">
        <v>104</v>
      </c>
      <c r="C66" s="10" t="str">
        <f ca="1">VLOOKUP($B66,OFFSET([2]gachas!$A$2,0,0,COUNTA([2]gachas!$A:$A),MATCH(C$1,[2]gachas!$1:$1,0)-MATCH($B$1,[2]gachas!$1:$1,0)+1),MATCH(C$1,[2]gachas!$1:$1,0)-MATCH($B$1,[2]gachas!$1:$1,0)+1,FALSE)</f>
        <v>ピックアップ01　開始</v>
      </c>
      <c r="D66" s="6">
        <v>0</v>
      </c>
      <c r="E66" s="7">
        <v>142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赤ずきん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PremiumW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3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ヒューマン</v>
      </c>
      <c r="L66" s="6">
        <v>1</v>
      </c>
      <c r="M66" s="21">
        <v>1511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01441</v>
      </c>
      <c r="B67" s="31">
        <v>104</v>
      </c>
      <c r="C67" s="10" t="str">
        <f ca="1">VLOOKUP($B67,OFFSET([2]gachas!$A$2,0,0,COUNTA([2]gachas!$A:$A),MATCH(C$1,[2]gachas!$1:$1,0)-MATCH($B$1,[2]gachas!$1:$1,0)+1),MATCH(C$1,[2]gachas!$1:$1,0)-MATCH($B$1,[2]gachas!$1:$1,0)+1,FALSE)</f>
        <v>ピックアップ01　開始</v>
      </c>
      <c r="D67" s="6">
        <v>0</v>
      </c>
      <c r="E67" s="7">
        <v>144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かぐや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PremiumW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3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ヒューマン</v>
      </c>
      <c r="L67" s="6">
        <v>1</v>
      </c>
      <c r="M67" s="21">
        <v>1511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01461</v>
      </c>
      <c r="B68" s="31">
        <v>104</v>
      </c>
      <c r="C68" s="10" t="str">
        <f ca="1">VLOOKUP($B68,OFFSET([2]gachas!$A$2,0,0,COUNTA([2]gachas!$A:$A),MATCH(C$1,[2]gachas!$1:$1,0)-MATCH($B$1,[2]gachas!$1:$1,0)+1),MATCH(C$1,[2]gachas!$1:$1,0)-MATCH($B$1,[2]gachas!$1:$1,0)+1,FALSE)</f>
        <v>ピックアップ01　開始</v>
      </c>
      <c r="D68" s="6">
        <v>0</v>
      </c>
      <c r="E68" s="7">
        <v>146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マーメイド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PremiumW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3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21">
        <v>1511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ht="21" customHeight="1">
      <c r="A69" s="8" t="str">
        <f t="shared" si="1"/>
        <v>01481</v>
      </c>
      <c r="B69" s="31">
        <v>104</v>
      </c>
      <c r="C69" s="10" t="str">
        <f ca="1">VLOOKUP($B69,OFFSET([2]gachas!$A$2,0,0,COUNTA([2]gachas!$A:$A),MATCH(C$1,[2]gachas!$1:$1,0)-MATCH($B$1,[2]gachas!$1:$1,0)+1),MATCH(C$1,[2]gachas!$1:$1,0)-MATCH($B$1,[2]gachas!$1:$1,0)+1,FALSE)</f>
        <v>ピックアップ01　開始</v>
      </c>
      <c r="D69" s="6">
        <v>0</v>
      </c>
      <c r="E69" s="7">
        <v>148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シンデレラ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PremiumW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3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ヒューマン</v>
      </c>
      <c r="L69" s="6">
        <v>1</v>
      </c>
      <c r="M69" s="21">
        <v>1511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01501</v>
      </c>
      <c r="B70" s="31">
        <v>104</v>
      </c>
      <c r="C70" s="10" t="str">
        <f ca="1">VLOOKUP($B70,OFFSET([2]gachas!$A$2,0,0,COUNTA([2]gachas!$A:$A),MATCH(C$1,[2]gachas!$1:$1,0)-MATCH($B$1,[2]gachas!$1:$1,0)+1),MATCH(C$1,[2]gachas!$1:$1,0)-MATCH($B$1,[2]gachas!$1:$1,0)+1,FALSE)</f>
        <v>ピックアップ01　開始</v>
      </c>
      <c r="D70" s="6">
        <v>0</v>
      </c>
      <c r="E70" s="7">
        <v>150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ポイズンマスターサキ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PremiumW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3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ヒューマン</v>
      </c>
      <c r="L70" s="6">
        <v>1</v>
      </c>
      <c r="M70" s="21">
        <v>1511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01521</v>
      </c>
      <c r="B71" s="31">
        <v>104</v>
      </c>
      <c r="C71" s="10" t="str">
        <f ca="1">VLOOKUP($B71,OFFSET([2]gachas!$A$2,0,0,COUNTA([2]gachas!$A:$A),MATCH(C$1,[2]gachas!$1:$1,0)-MATCH($B$1,[2]gachas!$1:$1,0)+1),MATCH(C$1,[2]gachas!$1:$1,0)-MATCH($B$1,[2]gachas!$1:$1,0)+1,FALSE)</f>
        <v>ピックアップ01　開始</v>
      </c>
      <c r="D71" s="6">
        <v>0</v>
      </c>
      <c r="E71" s="7">
        <v>152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功夫少女ランラン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PremiumW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3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green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ヒューマン</v>
      </c>
      <c r="L71" s="6">
        <v>1</v>
      </c>
      <c r="M71" s="21">
        <v>1511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01541</v>
      </c>
      <c r="B72" s="31">
        <v>104</v>
      </c>
      <c r="C72" s="10" t="str">
        <f ca="1">VLOOKUP($B72,OFFSET([2]gachas!$A$2,0,0,COUNTA([2]gachas!$A:$A),MATCH(C$1,[2]gachas!$1:$1,0)-MATCH($B$1,[2]gachas!$1:$1,0)+1),MATCH(C$1,[2]gachas!$1:$1,0)-MATCH($B$1,[2]gachas!$1:$1,0)+1,FALSE)</f>
        <v>ピックアップ01　開始</v>
      </c>
      <c r="D72" s="6">
        <v>0</v>
      </c>
      <c r="E72" s="7">
        <v>154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始末屋 ハンナ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PremiumW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3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blue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ヒューマン</v>
      </c>
      <c r="L72" s="6">
        <v>1</v>
      </c>
      <c r="M72" s="21">
        <v>1511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01561</v>
      </c>
      <c r="B73" s="31">
        <v>104</v>
      </c>
      <c r="C73" s="10" t="str">
        <f ca="1">VLOOKUP($B73,OFFSET([2]gachas!$A$2,0,0,COUNTA([2]gachas!$A:$A),MATCH(C$1,[2]gachas!$1:$1,0)-MATCH($B$1,[2]gachas!$1:$1,0)+1),MATCH(C$1,[2]gachas!$1:$1,0)-MATCH($B$1,[2]gachas!$1:$1,0)+1,FALSE)</f>
        <v>ピックアップ01　開始</v>
      </c>
      <c r="D73" s="6">
        <v>0</v>
      </c>
      <c r="E73" s="7">
        <v>156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踊り子 エレナ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PremiumW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3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yellow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ヒューマン</v>
      </c>
      <c r="L73" s="6">
        <v>1</v>
      </c>
      <c r="M73" s="21">
        <v>1511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01581</v>
      </c>
      <c r="B74" s="31">
        <v>104</v>
      </c>
      <c r="C74" s="10" t="str">
        <f ca="1">VLOOKUP($B74,OFFSET([2]gachas!$A$2,0,0,COUNTA([2]gachas!$A:$A),MATCH(C$1,[2]gachas!$1:$1,0)-MATCH($B$1,[2]gachas!$1:$1,0)+1),MATCH(C$1,[2]gachas!$1:$1,0)-MATCH($B$1,[2]gachas!$1:$1,0)+1,FALSE)</f>
        <v>ピックアップ01　開始</v>
      </c>
      <c r="D74" s="6">
        <v>0</v>
      </c>
      <c r="E74" s="7">
        <v>158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PremiumW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3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red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6">
        <v>1</v>
      </c>
      <c r="M74" s="21">
        <v>1511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01601</v>
      </c>
      <c r="B75" s="31">
        <v>104</v>
      </c>
      <c r="C75" s="10" t="str">
        <f ca="1">VLOOKUP($B75,OFFSET([2]gachas!$A$2,0,0,COUNTA([2]gachas!$A:$A),MATCH(C$1,[2]gachas!$1:$1,0)-MATCH($B$1,[2]gachas!$1:$1,0)+1),MATCH(C$1,[2]gachas!$1:$1,0)-MATCH($B$1,[2]gachas!$1:$1,0)+1,FALSE)</f>
        <v>ピックアップ01　開始</v>
      </c>
      <c r="D75" s="6">
        <v>0</v>
      </c>
      <c r="E75" s="7">
        <v>160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反逆者 クリエ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PremiumW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3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green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6">
        <v>1</v>
      </c>
      <c r="M75" s="21">
        <v>1511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01621</v>
      </c>
      <c r="B76" s="31">
        <v>104</v>
      </c>
      <c r="C76" s="10" t="str">
        <f ca="1">VLOOKUP($B76,OFFSET([2]gachas!$A$2,0,0,COUNTA([2]gachas!$A:$A),MATCH(C$1,[2]gachas!$1:$1,0)-MATCH($B$1,[2]gachas!$1:$1,0)+1),MATCH(C$1,[2]gachas!$1:$1,0)-MATCH($B$1,[2]gachas!$1:$1,0)+1,FALSE)</f>
        <v>ピックアップ01　開始</v>
      </c>
      <c r="D76" s="6">
        <v>0</v>
      </c>
      <c r="E76" s="7">
        <v>162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狂女 クララ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PremiumW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3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blue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6">
        <v>1</v>
      </c>
      <c r="M76" s="21">
        <v>1511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ht="21" customHeight="1">
      <c r="A77" s="8" t="str">
        <f t="shared" si="1"/>
        <v>01641</v>
      </c>
      <c r="B77" s="31">
        <v>104</v>
      </c>
      <c r="C77" s="10" t="str">
        <f ca="1">VLOOKUP($B77,OFFSET([2]gachas!$A$2,0,0,COUNTA([2]gachas!$A:$A),MATCH(C$1,[2]gachas!$1:$1,0)-MATCH($B$1,[2]gachas!$1:$1,0)+1),MATCH(C$1,[2]gachas!$1:$1,0)-MATCH($B$1,[2]gachas!$1:$1,0)+1,FALSE)</f>
        <v>ピックアップ01　開始</v>
      </c>
      <c r="D77" s="6">
        <v>0</v>
      </c>
      <c r="E77" s="7">
        <v>164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イブとトモダチ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PremiumW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3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6">
        <v>1</v>
      </c>
      <c r="M77" s="21">
        <v>1511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>
      <c r="A78" s="8" t="str">
        <f t="shared" si="1"/>
        <v>01661</v>
      </c>
      <c r="B78" s="31">
        <v>104</v>
      </c>
      <c r="C78" s="10" t="str">
        <f ca="1">VLOOKUP($B78,OFFSET([2]gachas!$A$2,0,0,COUNTA([2]gachas!$A:$A),MATCH(C$1,[2]gachas!$1:$1,0)-MATCH($B$1,[2]gachas!$1:$1,0)+1),MATCH(C$1,[2]gachas!$1:$1,0)-MATCH($B$1,[2]gachas!$1:$1,0)+1,FALSE)</f>
        <v>ピックアップ01　開始</v>
      </c>
      <c r="D78" s="6">
        <v>0</v>
      </c>
      <c r="E78" s="7">
        <v>166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ベリアル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PremiumN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3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6">
        <v>1719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>
      <c r="A79" s="8" t="str">
        <f t="shared" si="1"/>
        <v>01721</v>
      </c>
      <c r="B79" s="31">
        <v>104</v>
      </c>
      <c r="C79" s="10" t="str">
        <f ca="1">VLOOKUP($B79,OFFSET([2]gachas!$A$2,0,0,COUNTA([2]gachas!$A:$A),MATCH(C$1,[2]gachas!$1:$1,0)-MATCH($B$1,[2]gachas!$1:$1,0)+1),MATCH(C$1,[2]gachas!$1:$1,0)-MATCH($B$1,[2]gachas!$1:$1,0)+1,FALSE)</f>
        <v>ピックアップ01　開始</v>
      </c>
      <c r="D79" s="6">
        <v>0</v>
      </c>
      <c r="E79" s="7">
        <v>172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フォルネウス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PremiumN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3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blue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6">
        <v>1719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>
      <c r="A80" s="8" t="str">
        <f t="shared" si="1"/>
        <v>01751</v>
      </c>
      <c r="B80" s="31">
        <v>104</v>
      </c>
      <c r="C80" s="10" t="str">
        <f ca="1">VLOOKUP($B80,OFFSET([2]gachas!$A$2,0,0,COUNTA([2]gachas!$A:$A),MATCH(C$1,[2]gachas!$1:$1,0)-MATCH($B$1,[2]gachas!$1:$1,0)+1),MATCH(C$1,[2]gachas!$1:$1,0)-MATCH($B$1,[2]gachas!$1:$1,0)+1,FALSE)</f>
        <v>ピックアップ01　開始</v>
      </c>
      <c r="D80" s="6">
        <v>0</v>
      </c>
      <c r="E80" s="7">
        <v>175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バフォメット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PremiumN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3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yellow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6">
        <v>1719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>
      <c r="A81" s="8" t="str">
        <f t="shared" si="1"/>
        <v>01781</v>
      </c>
      <c r="B81" s="31">
        <v>104</v>
      </c>
      <c r="C81" s="10" t="str">
        <f ca="1">VLOOKUP($B81,OFFSET([2]gachas!$A$2,0,0,COUNTA([2]gachas!$A:$A),MATCH(C$1,[2]gachas!$1:$1,0)-MATCH($B$1,[2]gachas!$1:$1,0)+1),MATCH(C$1,[2]gachas!$1:$1,0)-MATCH($B$1,[2]gachas!$1:$1,0)+1,FALSE)</f>
        <v>ピックアップ01　開始</v>
      </c>
      <c r="D81" s="6">
        <v>0</v>
      </c>
      <c r="E81" s="7">
        <v>178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ケルベロス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3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red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アニマル</v>
      </c>
      <c r="L81" s="6">
        <v>1</v>
      </c>
      <c r="M81" s="6">
        <v>1719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>
      <c r="A82" s="8" t="str">
        <f t="shared" si="1"/>
        <v>01811</v>
      </c>
      <c r="B82" s="31">
        <v>104</v>
      </c>
      <c r="C82" s="10" t="str">
        <f ca="1">VLOOKUP($B82,OFFSET([2]gachas!$A$2,0,0,COUNTA([2]gachas!$A:$A),MATCH(C$1,[2]gachas!$1:$1,0)-MATCH($B$1,[2]gachas!$1:$1,0)+1),MATCH(C$1,[2]gachas!$1:$1,0)-MATCH($B$1,[2]gachas!$1:$1,0)+1,FALSE)</f>
        <v>ピックアップ01　開始</v>
      </c>
      <c r="D82" s="6">
        <v>0</v>
      </c>
      <c r="E82" s="7">
        <v>181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ベヒモス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3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green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アニマル</v>
      </c>
      <c r="L82" s="6">
        <v>1</v>
      </c>
      <c r="M82" s="6">
        <v>1719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>
      <c r="A83" s="8" t="str">
        <f t="shared" si="1"/>
        <v>01841</v>
      </c>
      <c r="B83" s="31">
        <v>104</v>
      </c>
      <c r="C83" s="10" t="str">
        <f ca="1">VLOOKUP($B83,OFFSET([2]gachas!$A$2,0,0,COUNTA([2]gachas!$A:$A),MATCH(C$1,[2]gachas!$1:$1,0)-MATCH($B$1,[2]gachas!$1:$1,0)+1),MATCH(C$1,[2]gachas!$1:$1,0)-MATCH($B$1,[2]gachas!$1:$1,0)+1,FALSE)</f>
        <v>ピックアップ01　開始</v>
      </c>
      <c r="D83" s="6">
        <v>0</v>
      </c>
      <c r="E83" s="7">
        <v>184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クラーケン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3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アニマル</v>
      </c>
      <c r="L83" s="6">
        <v>1</v>
      </c>
      <c r="M83" s="6">
        <v>1719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>
      <c r="A84" s="8" t="str">
        <f t="shared" si="1"/>
        <v>01871</v>
      </c>
      <c r="B84" s="31">
        <v>104</v>
      </c>
      <c r="C84" s="10" t="str">
        <f ca="1">VLOOKUP($B84,OFFSET([2]gachas!$A$2,0,0,COUNTA([2]gachas!$A:$A),MATCH(C$1,[2]gachas!$1:$1,0)-MATCH($B$1,[2]gachas!$1:$1,0)+1),MATCH(C$1,[2]gachas!$1:$1,0)-MATCH($B$1,[2]gachas!$1:$1,0)+1,FALSE)</f>
        <v>ピックアップ01　開始</v>
      </c>
      <c r="D84" s="6">
        <v>0</v>
      </c>
      <c r="E84" s="7">
        <v>187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ホルス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3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アニマル</v>
      </c>
      <c r="L84" s="6">
        <v>1</v>
      </c>
      <c r="M84" s="6">
        <v>1719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>
      <c r="A85" s="8" t="str">
        <f t="shared" si="1"/>
        <v>01901</v>
      </c>
      <c r="B85" s="31">
        <v>104</v>
      </c>
      <c r="C85" s="10" t="str">
        <f ca="1">VLOOKUP($B85,OFFSET([2]gachas!$A$2,0,0,COUNTA([2]gachas!$A:$A),MATCH(C$1,[2]gachas!$1:$1,0)-MATCH($B$1,[2]gachas!$1:$1,0)+1),MATCH(C$1,[2]gachas!$1:$1,0)-MATCH($B$1,[2]gachas!$1:$1,0)+1,FALSE)</f>
        <v>ピックアップ01　開始</v>
      </c>
      <c r="D85" s="6">
        <v>0</v>
      </c>
      <c r="E85" s="7">
        <v>190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卑弥呼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3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red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ヒューマン</v>
      </c>
      <c r="L85" s="6">
        <v>1</v>
      </c>
      <c r="M85" s="6">
        <v>1719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>
      <c r="A86" s="8" t="str">
        <f t="shared" si="1"/>
        <v>01931</v>
      </c>
      <c r="B86" s="31">
        <v>104</v>
      </c>
      <c r="C86" s="10" t="str">
        <f ca="1">VLOOKUP($B86,OFFSET([2]gachas!$A$2,0,0,COUNTA([2]gachas!$A:$A),MATCH(C$1,[2]gachas!$1:$1,0)-MATCH($B$1,[2]gachas!$1:$1,0)+1),MATCH(C$1,[2]gachas!$1:$1,0)-MATCH($B$1,[2]gachas!$1:$1,0)+1,FALSE)</f>
        <v>ピックアップ01　開始</v>
      </c>
      <c r="D86" s="6">
        <v>0</v>
      </c>
      <c r="E86" s="7">
        <v>193</v>
      </c>
      <c r="F86" s="10" t="str">
        <f ca="1">VLOOKUP($E86,OFFSET([1]characters!$A$2,0,0,COUNTA([1]characters!$A:$A),MATCH(F$1,[1]characters!$2:$2,0)-MATCH($E$1,[1]characters!$2:$2,0)+1),MATCH(F$1,[1]characters!$2:$2,0)-MATCH($E$1,[1]characters!$2:$2,0)+1,FALSE)</f>
        <v>ロビンフッド</v>
      </c>
      <c r="G86" s="10" t="str">
        <f ca="1">VLOOKUP($E86,OFFSET([1]characters!$A$2,0,0,COUNTA([1]characters!$A:$A),MATCH(G$1,[1]characters!$2:$2,0)-MATCH($E$1,[1]characters!$2:$2,0)+1),MATCH(G$1,[1]characters!$2:$2,0)-MATCH($E$1,[1]characters!$2:$2,0)+1,FALSE)</f>
        <v>PremiumN</v>
      </c>
      <c r="H86" s="10">
        <f ca="1">VLOOKUP($E86,OFFSET([1]characters!$A$2,0,0,COUNTA([1]characters!$A:$A),MATCH(H$1,[1]characters!$2:$2,0)-MATCH($E$1,[1]characters!$2:$2,0)+1),MATCH(H$1,[1]characters!$2:$2,0)-MATCH($E$1,[1]characters!$2:$2,0)+1,FALSE)</f>
        <v>3</v>
      </c>
      <c r="I86" s="10" t="str">
        <f ca="1">VLOOKUP($E86,OFFSET([1]characters!$A$2,0,0,COUNTA([1]characters!$A:$A),MATCH(I$1,[1]characters!$2:$2,0)-MATCH($E$1,[1]characters!$2:$2,0)+1),MATCH(I$1,[1]characters!$2:$2,0)-MATCH($E$1,[1]characters!$2:$2,0)+1,FALSE)</f>
        <v>green</v>
      </c>
      <c r="J86" s="10" t="str">
        <f ca="1">VLOOKUP($E86,OFFSET([1]characters!$A$2,0,0,COUNTA([1]characters!$A:$A),MATCH("タイプ",[1]characters!$1:$1,0)-MATCH($E$1,[1]characters!$2:$2,0)+2),MATCH("タイプ",[1]characters!$1:$1,0)-MATCH($E$1,[1]characters!$2:$2,0)+2,FALSE)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6" s="1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6">
        <v>1</v>
      </c>
      <c r="M86" s="6">
        <v>1719</v>
      </c>
      <c r="N86" s="28">
        <v>0</v>
      </c>
      <c r="O86" s="28">
        <v>0</v>
      </c>
      <c r="P86" s="28">
        <v>0</v>
      </c>
      <c r="Q86" s="28">
        <v>0</v>
      </c>
      <c r="R86" s="28">
        <v>1</v>
      </c>
    </row>
    <row r="87" spans="1:18" ht="21" customHeight="1">
      <c r="A87" s="8" t="str">
        <f t="shared" si="1"/>
        <v>01961</v>
      </c>
      <c r="B87" s="31">
        <v>104</v>
      </c>
      <c r="C87" s="10" t="str">
        <f ca="1">VLOOKUP($B87,OFFSET([2]gachas!$A$2,0,0,COUNTA([2]gachas!$A:$A),MATCH(C$1,[2]gachas!$1:$1,0)-MATCH($B$1,[2]gachas!$1:$1,0)+1),MATCH(C$1,[2]gachas!$1:$1,0)-MATCH($B$1,[2]gachas!$1:$1,0)+1,FALSE)</f>
        <v>ピックアップ01　開始</v>
      </c>
      <c r="D87" s="6">
        <v>0</v>
      </c>
      <c r="E87" s="7">
        <v>196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アキレス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PremiumN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3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yellow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6">
        <v>1719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>
      <c r="A88" s="8" t="str">
        <f t="shared" si="1"/>
        <v>02021</v>
      </c>
      <c r="B88" s="31">
        <v>104</v>
      </c>
      <c r="C88" s="10" t="str">
        <f ca="1">VLOOKUP($B88,OFFSET([2]gachas!$A$2,0,0,COUNTA([2]gachas!$A:$A),MATCH(C$1,[2]gachas!$1:$1,0)-MATCH($B$1,[2]gachas!$1:$1,0)+1),MATCH(C$1,[2]gachas!$1:$1,0)-MATCH($B$1,[2]gachas!$1:$1,0)+1,FALSE)</f>
        <v>ピックアップ01　開始</v>
      </c>
      <c r="D88" s="6">
        <v>0</v>
      </c>
      <c r="E88" s="7">
        <v>202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プロメテウス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PremiumN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3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red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ゴッド</v>
      </c>
      <c r="L88" s="6">
        <v>1</v>
      </c>
      <c r="M88" s="6">
        <v>1719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>
      <c r="A89" s="8" t="str">
        <f t="shared" si="1"/>
        <v>02051</v>
      </c>
      <c r="B89" s="31">
        <v>104</v>
      </c>
      <c r="C89" s="10" t="str">
        <f ca="1">VLOOKUP($B89,OFFSET([2]gachas!$A$2,0,0,COUNTA([2]gachas!$A:$A),MATCH(C$1,[2]gachas!$1:$1,0)-MATCH($B$1,[2]gachas!$1:$1,0)+1),MATCH(C$1,[2]gachas!$1:$1,0)-MATCH($B$1,[2]gachas!$1:$1,0)+1,FALSE)</f>
        <v>ピックアップ01　開始</v>
      </c>
      <c r="D89" s="6">
        <v>0</v>
      </c>
      <c r="E89" s="7">
        <v>205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アフロディーテ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PremiumN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3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ゴッド</v>
      </c>
      <c r="L89" s="6">
        <v>1</v>
      </c>
      <c r="M89" s="6">
        <v>1719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>
      <c r="A90" s="8" t="str">
        <f t="shared" si="1"/>
        <v>02081</v>
      </c>
      <c r="B90" s="31">
        <v>104</v>
      </c>
      <c r="C90" s="10" t="str">
        <f ca="1">VLOOKUP($B90,OFFSET([2]gachas!$A$2,0,0,COUNTA([2]gachas!$A:$A),MATCH(C$1,[2]gachas!$1:$1,0)-MATCH($B$1,[2]gachas!$1:$1,0)+1),MATCH(C$1,[2]gachas!$1:$1,0)-MATCH($B$1,[2]gachas!$1:$1,0)+1,FALSE)</f>
        <v>ピックアップ01　開始</v>
      </c>
      <c r="D90" s="6">
        <v>0</v>
      </c>
      <c r="E90" s="7">
        <v>208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テティス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3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ゴッド</v>
      </c>
      <c r="L90" s="6">
        <v>1</v>
      </c>
      <c r="M90" s="6">
        <v>1719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>
      <c r="A91" s="8" t="str">
        <f t="shared" si="1"/>
        <v>02111</v>
      </c>
      <c r="B91" s="31">
        <v>104</v>
      </c>
      <c r="C91" s="10" t="str">
        <f ca="1">VLOOKUP($B91,OFFSET([2]gachas!$A$2,0,0,COUNTA([2]gachas!$A:$A),MATCH(C$1,[2]gachas!$1:$1,0)-MATCH($B$1,[2]gachas!$1:$1,0)+1),MATCH(C$1,[2]gachas!$1:$1,0)-MATCH($B$1,[2]gachas!$1:$1,0)+1,FALSE)</f>
        <v>ピックアップ01　開始</v>
      </c>
      <c r="D91" s="6">
        <v>0</v>
      </c>
      <c r="E91" s="7">
        <v>211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アストライアー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3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yellow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ゴッド</v>
      </c>
      <c r="L91" s="6">
        <v>1</v>
      </c>
      <c r="M91" s="6">
        <v>1719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>
      <c r="A92" s="8" t="str">
        <f t="shared" si="1"/>
        <v>02141</v>
      </c>
      <c r="B92" s="31">
        <v>104</v>
      </c>
      <c r="C92" s="10" t="str">
        <f ca="1">VLOOKUP($B92,OFFSET([2]gachas!$A$2,0,0,COUNTA([2]gachas!$A:$A),MATCH(C$1,[2]gachas!$1:$1,0)-MATCH($B$1,[2]gachas!$1:$1,0)+1),MATCH(C$1,[2]gachas!$1:$1,0)-MATCH($B$1,[2]gachas!$1:$1,0)+1,FALSE)</f>
        <v>ピックアップ01　開始</v>
      </c>
      <c r="D92" s="6">
        <v>0</v>
      </c>
      <c r="E92" s="7">
        <v>214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アズラエル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3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red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ゴッド</v>
      </c>
      <c r="L92" s="6">
        <v>1</v>
      </c>
      <c r="M92" s="6">
        <v>1719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>
      <c r="A93" s="8" t="str">
        <f t="shared" si="1"/>
        <v>02171</v>
      </c>
      <c r="B93" s="31">
        <v>104</v>
      </c>
      <c r="C93" s="10" t="str">
        <f ca="1">VLOOKUP($B93,OFFSET([2]gachas!$A$2,0,0,COUNTA([2]gachas!$A:$A),MATCH(C$1,[2]gachas!$1:$1,0)-MATCH($B$1,[2]gachas!$1:$1,0)+1),MATCH(C$1,[2]gachas!$1:$1,0)-MATCH($B$1,[2]gachas!$1:$1,0)+1,FALSE)</f>
        <v>ピックアップ01　開始</v>
      </c>
      <c r="D93" s="6">
        <v>0</v>
      </c>
      <c r="E93" s="7">
        <v>217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ケツァクアトル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3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green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ドラゴン</v>
      </c>
      <c r="L93" s="6">
        <v>1</v>
      </c>
      <c r="M93" s="6">
        <v>1719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>
      <c r="A94" s="8" t="str">
        <f t="shared" si="1"/>
        <v>02201</v>
      </c>
      <c r="B94" s="31">
        <v>104</v>
      </c>
      <c r="C94" s="10" t="str">
        <f ca="1">VLOOKUP($B94,OFFSET([2]gachas!$A$2,0,0,COUNTA([2]gachas!$A:$A),MATCH(C$1,[2]gachas!$1:$1,0)-MATCH($B$1,[2]gachas!$1:$1,0)+1),MATCH(C$1,[2]gachas!$1:$1,0)-MATCH($B$1,[2]gachas!$1:$1,0)+1,FALSE)</f>
        <v>ピックアップ01　開始</v>
      </c>
      <c r="D94" s="6">
        <v>0</v>
      </c>
      <c r="E94" s="7">
        <v>220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ルキフグス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blue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ゴッド</v>
      </c>
      <c r="L94" s="6">
        <v>1</v>
      </c>
      <c r="M94" s="6">
        <v>1719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>
      <c r="A95" s="8" t="str">
        <f t="shared" si="1"/>
        <v>02231</v>
      </c>
      <c r="B95" s="31">
        <v>104</v>
      </c>
      <c r="C95" s="10" t="str">
        <f ca="1">VLOOKUP($B95,OFFSET([2]gachas!$A$2,0,0,COUNTA([2]gachas!$A:$A),MATCH(C$1,[2]gachas!$1:$1,0)-MATCH($B$1,[2]gachas!$1:$1,0)+1),MATCH(C$1,[2]gachas!$1:$1,0)-MATCH($B$1,[2]gachas!$1:$1,0)+1,FALSE)</f>
        <v>ピックアップ01　開始</v>
      </c>
      <c r="D95" s="6">
        <v>0</v>
      </c>
      <c r="E95" s="7">
        <v>223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ヘラクレス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yellow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ヒューマン</v>
      </c>
      <c r="L95" s="6">
        <v>1</v>
      </c>
      <c r="M95" s="6">
        <v>1719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>
      <c r="A96" s="8" t="str">
        <f t="shared" si="1"/>
        <v>02291</v>
      </c>
      <c r="B96" s="31">
        <v>104</v>
      </c>
      <c r="C96" s="10" t="str">
        <f ca="1">VLOOKUP($B96,OFFSET([2]gachas!$A$2,0,0,COUNTA([2]gachas!$A:$A),MATCH(C$1,[2]gachas!$1:$1,0)-MATCH($B$1,[2]gachas!$1:$1,0)+1),MATCH(C$1,[2]gachas!$1:$1,0)-MATCH($B$1,[2]gachas!$1:$1,0)+1,FALSE)</f>
        <v>ピックアップ01　開始</v>
      </c>
      <c r="D96" s="6">
        <v>0</v>
      </c>
      <c r="E96" s="7">
        <v>229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ヨルムンガンド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6">
        <v>1</v>
      </c>
      <c r="M96" s="6">
        <v>1165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02321</v>
      </c>
      <c r="B97" s="31">
        <v>104</v>
      </c>
      <c r="C97" s="10" t="str">
        <f ca="1">VLOOKUP($B97,OFFSET([2]gachas!$A$2,0,0,COUNTA([2]gachas!$A:$A),MATCH(C$1,[2]gachas!$1:$1,0)-MATCH($B$1,[2]gachas!$1:$1,0)+1),MATCH(C$1,[2]gachas!$1:$1,0)-MATCH($B$1,[2]gachas!$1:$1,0)+1,FALSE)</f>
        <v>ピックアップ01　開始</v>
      </c>
      <c r="D97" s="6">
        <v>0</v>
      </c>
      <c r="E97" s="7">
        <v>232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パーシヴァル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blue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ヒューマン</v>
      </c>
      <c r="L97" s="6">
        <v>1</v>
      </c>
      <c r="M97" s="6">
        <v>1165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01271</v>
      </c>
      <c r="B98" s="31">
        <v>104</v>
      </c>
      <c r="C98" s="10" t="str">
        <f ca="1">VLOOKUP($B98,OFFSET([2]gachas!$A$2,0,0,COUNTA([2]gachas!$A:$A),MATCH(C$1,[2]gachas!$1:$1,0)-MATCH($B$1,[2]gachas!$1:$1,0)+1),MATCH(C$1,[2]gachas!$1:$1,0)-MATCH($B$1,[2]gachas!$1:$1,0)+1,FALSE)</f>
        <v>ピックアップ01　開始</v>
      </c>
      <c r="D98" s="6">
        <v>0</v>
      </c>
      <c r="E98" s="7">
        <v>127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狂喜の賢者 ユノ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PremiumW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6">
        <v>1</v>
      </c>
      <c r="M98" s="6">
        <v>540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01291</v>
      </c>
      <c r="B99" s="31">
        <v>104</v>
      </c>
      <c r="C99" s="10" t="str">
        <f ca="1">VLOOKUP($B99,OFFSET([2]gachas!$A$2,0,0,COUNTA([2]gachas!$A:$A),MATCH(C$1,[2]gachas!$1:$1,0)-MATCH($B$1,[2]gachas!$1:$1,0)+1),MATCH(C$1,[2]gachas!$1:$1,0)-MATCH($B$1,[2]gachas!$1:$1,0)+1,FALSE)</f>
        <v>ピックアップ01　開始</v>
      </c>
      <c r="D99" s="6">
        <v>0</v>
      </c>
      <c r="E99" s="7">
        <v>129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孤高の狼憑き アマラ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PremiumW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4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6">
        <v>1</v>
      </c>
      <c r="M99" s="6">
        <v>540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01311</v>
      </c>
      <c r="B100" s="31">
        <v>104</v>
      </c>
      <c r="C100" s="10" t="str">
        <f ca="1">VLOOKUP($B100,OFFSET([2]gachas!$A$2,0,0,COUNTA([2]gachas!$A:$A),MATCH(C$1,[2]gachas!$1:$1,0)-MATCH($B$1,[2]gachas!$1:$1,0)+1),MATCH(C$1,[2]gachas!$1:$1,0)-MATCH($B$1,[2]gachas!$1:$1,0)+1,FALSE)</f>
        <v>ピックアップ01　開始</v>
      </c>
      <c r="D100" s="6">
        <v>0</v>
      </c>
      <c r="E100" s="7">
        <v>131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PremiumW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blue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6">
        <v>1</v>
      </c>
      <c r="M100" s="6">
        <v>540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01331</v>
      </c>
      <c r="B101" s="31">
        <v>104</v>
      </c>
      <c r="C101" s="10" t="str">
        <f ca="1">VLOOKUP($B101,OFFSET([2]gachas!$A$2,0,0,COUNTA([2]gachas!$A:$A),MATCH(C$1,[2]gachas!$1:$1,0)-MATCH($B$1,[2]gachas!$1:$1,0)+1),MATCH(C$1,[2]gachas!$1:$1,0)-MATCH($B$1,[2]gachas!$1:$1,0)+1,FALSE)</f>
        <v>ピックアップ01　開始</v>
      </c>
      <c r="D101" s="6">
        <v>0</v>
      </c>
      <c r="E101" s="7">
        <v>133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迅雷の刀剣 ハヤト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PremiumW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4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ヒューマン</v>
      </c>
      <c r="L101" s="6">
        <v>1</v>
      </c>
      <c r="M101" s="6">
        <v>540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01351</v>
      </c>
      <c r="B102" s="31">
        <v>104</v>
      </c>
      <c r="C102" s="10" t="str">
        <f ca="1">VLOOKUP($B102,OFFSET([2]gachas!$A$2,0,0,COUNTA([2]gachas!$A:$A),MATCH(C$1,[2]gachas!$1:$1,0)-MATCH($B$1,[2]gachas!$1:$1,0)+1),MATCH(C$1,[2]gachas!$1:$1,0)-MATCH($B$1,[2]gachas!$1:$1,0)+1,FALSE)</f>
        <v>ピックアップ01　開始</v>
      </c>
      <c r="D102" s="6">
        <v>0</v>
      </c>
      <c r="E102" s="7">
        <v>135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京の炎華夕霧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4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6">
        <v>1</v>
      </c>
      <c r="M102" s="6">
        <v>540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01371</v>
      </c>
      <c r="B103" s="31">
        <v>104</v>
      </c>
      <c r="C103" s="10" t="str">
        <f ca="1">VLOOKUP($B103,OFFSET([2]gachas!$A$2,0,0,COUNTA([2]gachas!$A:$A),MATCH(C$1,[2]gachas!$1:$1,0)-MATCH($B$1,[2]gachas!$1:$1,0)+1),MATCH(C$1,[2]gachas!$1:$1,0)-MATCH($B$1,[2]gachas!$1:$1,0)+1,FALSE)</f>
        <v>ピックアップ01　開始</v>
      </c>
      <c r="D103" s="6">
        <v>0</v>
      </c>
      <c r="E103" s="7">
        <v>137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清福の仕立屋 チハヤ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4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6">
        <v>1</v>
      </c>
      <c r="M103" s="6">
        <v>540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01391</v>
      </c>
      <c r="B104" s="31">
        <v>104</v>
      </c>
      <c r="C104" s="10" t="str">
        <f ca="1">VLOOKUP($B104,OFFSET([2]gachas!$A$2,0,0,COUNTA([2]gachas!$A:$A),MATCH(C$1,[2]gachas!$1:$1,0)-MATCH($B$1,[2]gachas!$1:$1,0)+1),MATCH(C$1,[2]gachas!$1:$1,0)-MATCH($B$1,[2]gachas!$1:$1,0)+1,FALSE)</f>
        <v>ピックアップ01　開始</v>
      </c>
      <c r="D104" s="6">
        <v>0</v>
      </c>
      <c r="E104" s="7">
        <v>139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蒼昇刃姫 トモエ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4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6">
        <v>540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01411</v>
      </c>
      <c r="B105" s="31">
        <v>104</v>
      </c>
      <c r="C105" s="10" t="str">
        <f ca="1">VLOOKUP($B105,OFFSET([2]gachas!$A$2,0,0,COUNTA([2]gachas!$A:$A),MATCH(C$1,[2]gachas!$1:$1,0)-MATCH($B$1,[2]gachas!$1:$1,0)+1),MATCH(C$1,[2]gachas!$1:$1,0)-MATCH($B$1,[2]gachas!$1:$1,0)+1,FALSE)</f>
        <v>ピックアップ01　開始</v>
      </c>
      <c r="D105" s="6">
        <v>0</v>
      </c>
      <c r="E105" s="7">
        <v>141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妖狐演舞 タマモ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4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アニマル</v>
      </c>
      <c r="L105" s="6">
        <v>1</v>
      </c>
      <c r="M105" s="6">
        <v>540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01431</v>
      </c>
      <c r="B106" s="31">
        <v>104</v>
      </c>
      <c r="C106" s="10" t="str">
        <f ca="1">VLOOKUP($B106,OFFSET([2]gachas!$A$2,0,0,COUNTA([2]gachas!$A:$A),MATCH(C$1,[2]gachas!$1:$1,0)-MATCH($B$1,[2]gachas!$1:$1,0)+1),MATCH(C$1,[2]gachas!$1:$1,0)-MATCH($B$1,[2]gachas!$1:$1,0)+1,FALSE)</f>
        <v>ピックアップ01　開始</v>
      </c>
      <c r="D106" s="6">
        <v>0</v>
      </c>
      <c r="E106" s="7">
        <v>143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深紅の死神 赤ずきん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4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6">
        <v>540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ref="A107:A149" si="3">D107&amp;E107&amp;L107</f>
        <v>01451</v>
      </c>
      <c r="B107" s="31">
        <v>104</v>
      </c>
      <c r="C107" s="10" t="str">
        <f ca="1">VLOOKUP($B107,OFFSET([2]gachas!$A$2,0,0,COUNTA([2]gachas!$A:$A),MATCH(C$1,[2]gachas!$1:$1,0)-MATCH($B$1,[2]gachas!$1:$1,0)+1),MATCH(C$1,[2]gachas!$1:$1,0)-MATCH($B$1,[2]gachas!$1:$1,0)+1,FALSE)</f>
        <v>ピックアップ01　開始</v>
      </c>
      <c r="D107" s="6">
        <v>0</v>
      </c>
      <c r="E107" s="7">
        <v>145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魔性妖艶 かぐや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4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6">
        <v>540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3"/>
        <v>01471</v>
      </c>
      <c r="B108" s="31">
        <v>104</v>
      </c>
      <c r="C108" s="10" t="str">
        <f ca="1">VLOOKUP($B108,OFFSET([2]gachas!$A$2,0,0,COUNTA([2]gachas!$A:$A),MATCH(C$1,[2]gachas!$1:$1,0)-MATCH($B$1,[2]gachas!$1:$1,0)+1),MATCH(C$1,[2]gachas!$1:$1,0)-MATCH($B$1,[2]gachas!$1:$1,0)+1,FALSE)</f>
        <v>ピックアップ01　開始</v>
      </c>
      <c r="D108" s="6">
        <v>0</v>
      </c>
      <c r="E108" s="7">
        <v>147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4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6">
        <v>540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3"/>
        <v>01491</v>
      </c>
      <c r="B109" s="31">
        <v>104</v>
      </c>
      <c r="C109" s="10" t="str">
        <f ca="1">VLOOKUP($B109,OFFSET([2]gachas!$A$2,0,0,COUNTA([2]gachas!$A:$A),MATCH(C$1,[2]gachas!$1:$1,0)-MATCH($B$1,[2]gachas!$1:$1,0)+1),MATCH(C$1,[2]gachas!$1:$1,0)-MATCH($B$1,[2]gachas!$1:$1,0)+1,FALSE)</f>
        <v>ピックアップ01　開始</v>
      </c>
      <c r="D109" s="6">
        <v>0</v>
      </c>
      <c r="E109" s="7">
        <v>149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4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6">
        <v>1</v>
      </c>
      <c r="M109" s="6">
        <v>540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3"/>
        <v>01511</v>
      </c>
      <c r="B110" s="31">
        <v>104</v>
      </c>
      <c r="C110" s="10" t="str">
        <f ca="1">VLOOKUP($B110,OFFSET([2]gachas!$A$2,0,0,COUNTA([2]gachas!$A:$A),MATCH(C$1,[2]gachas!$1:$1,0)-MATCH($B$1,[2]gachas!$1:$1,0)+1),MATCH(C$1,[2]gachas!$1:$1,0)-MATCH($B$1,[2]gachas!$1:$1,0)+1,FALSE)</f>
        <v>ピックアップ01　開始</v>
      </c>
      <c r="D110" s="6">
        <v>0</v>
      </c>
      <c r="E110" s="7">
        <v>151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毒煙の処刑人サキ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4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6">
        <v>540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3"/>
        <v>01531</v>
      </c>
      <c r="B111" s="31">
        <v>104</v>
      </c>
      <c r="C111" s="10" t="str">
        <f ca="1">VLOOKUP($B111,OFFSET([2]gachas!$A$2,0,0,COUNTA([2]gachas!$A:$A),MATCH(C$1,[2]gachas!$1:$1,0)-MATCH($B$1,[2]gachas!$1:$1,0)+1),MATCH(C$1,[2]gachas!$1:$1,0)-MATCH($B$1,[2]gachas!$1:$1,0)+1,FALSE)</f>
        <v>ピックアップ01　開始</v>
      </c>
      <c r="D111" s="6">
        <v>0</v>
      </c>
      <c r="E111" s="7">
        <v>153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拳聖ランラン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4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6">
        <v>540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3"/>
        <v>01551</v>
      </c>
      <c r="B112" s="31">
        <v>104</v>
      </c>
      <c r="C112" s="10" t="str">
        <f ca="1">VLOOKUP($B112,OFFSET([2]gachas!$A$2,0,0,COUNTA([2]gachas!$A:$A),MATCH(C$1,[2]gachas!$1:$1,0)-MATCH($B$1,[2]gachas!$1:$1,0)+1),MATCH(C$1,[2]gachas!$1:$1,0)-MATCH($B$1,[2]gachas!$1:$1,0)+1,FALSE)</f>
        <v>ピックアップ01　開始</v>
      </c>
      <c r="D112" s="6">
        <v>0</v>
      </c>
      <c r="E112" s="7">
        <v>155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隻眼の掃除屋 ハンナ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4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6">
        <v>540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3"/>
        <v>01571</v>
      </c>
      <c r="B113" s="31">
        <v>104</v>
      </c>
      <c r="C113" s="10" t="str">
        <f ca="1">VLOOKUP($B113,OFFSET([2]gachas!$A$2,0,0,COUNTA([2]gachas!$A:$A),MATCH(C$1,[2]gachas!$1:$1,0)-MATCH($B$1,[2]gachas!$1:$1,0)+1),MATCH(C$1,[2]gachas!$1:$1,0)-MATCH($B$1,[2]gachas!$1:$1,0)+1,FALSE)</f>
        <v>ピックアップ01　開始</v>
      </c>
      <c r="D113" s="6">
        <v>0</v>
      </c>
      <c r="E113" s="7">
        <v>157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雷光舞姫 エレナ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4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6">
        <v>540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01591</v>
      </c>
      <c r="B114" s="31">
        <v>104</v>
      </c>
      <c r="C114" s="10" t="str">
        <f ca="1">VLOOKUP($B114,OFFSET([2]gachas!$A$2,0,0,COUNTA([2]gachas!$A:$A),MATCH(C$1,[2]gachas!$1:$1,0)-MATCH($B$1,[2]gachas!$1:$1,0)+1),MATCH(C$1,[2]gachas!$1:$1,0)-MATCH($B$1,[2]gachas!$1:$1,0)+1,FALSE)</f>
        <v>ピックアップ01　開始</v>
      </c>
      <c r="D114" s="6">
        <v>0</v>
      </c>
      <c r="E114" s="7">
        <v>159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4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6">
        <v>540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01611</v>
      </c>
      <c r="B115" s="31">
        <v>104</v>
      </c>
      <c r="C115" s="10" t="str">
        <f ca="1">VLOOKUP($B115,OFFSET([2]gachas!$A$2,0,0,COUNTA([2]gachas!$A:$A),MATCH(C$1,[2]gachas!$1:$1,0)-MATCH($B$1,[2]gachas!$1:$1,0)+1),MATCH(C$1,[2]gachas!$1:$1,0)-MATCH($B$1,[2]gachas!$1:$1,0)+1,FALSE)</f>
        <v>ピックアップ01　開始</v>
      </c>
      <c r="D115" s="6">
        <v>0</v>
      </c>
      <c r="E115" s="7">
        <v>161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咆哮の先導者 クリエ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6">
        <v>540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01631</v>
      </c>
      <c r="B116" s="31">
        <v>104</v>
      </c>
      <c r="C116" s="10" t="str">
        <f ca="1">VLOOKUP($B116,OFFSET([2]gachas!$A$2,0,0,COUNTA([2]gachas!$A:$A),MATCH(C$1,[2]gachas!$1:$1,0)-MATCH($B$1,[2]gachas!$1:$1,0)+1),MATCH(C$1,[2]gachas!$1:$1,0)-MATCH($B$1,[2]gachas!$1:$1,0)+1,FALSE)</f>
        <v>ピックアップ01　開始</v>
      </c>
      <c r="D116" s="6">
        <v>0</v>
      </c>
      <c r="E116" s="7">
        <v>163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冷酷な狂嬢 クララ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4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6">
        <v>540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01651</v>
      </c>
      <c r="B117" s="31">
        <v>104</v>
      </c>
      <c r="C117" s="10" t="str">
        <f ca="1">VLOOKUP($B117,OFFSET([2]gachas!$A$2,0,0,COUNTA([2]gachas!$A:$A),MATCH(C$1,[2]gachas!$1:$1,0)-MATCH($B$1,[2]gachas!$1:$1,0)+1),MATCH(C$1,[2]gachas!$1:$1,0)-MATCH($B$1,[2]gachas!$1:$1,0)+1,FALSE)</f>
        <v>ピックアップ01　開始</v>
      </c>
      <c r="D117" s="6">
        <v>0</v>
      </c>
      <c r="E117" s="7">
        <v>165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4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6">
        <v>540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01671</v>
      </c>
      <c r="B118" s="31">
        <v>104</v>
      </c>
      <c r="C118" s="10" t="str">
        <f ca="1">VLOOKUP($B118,OFFSET([2]gachas!$A$2,0,0,COUNTA([2]gachas!$A:$A),MATCH(C$1,[2]gachas!$1:$1,0)-MATCH($B$1,[2]gachas!$1:$1,0)+1),MATCH(C$1,[2]gachas!$1:$1,0)-MATCH($B$1,[2]gachas!$1:$1,0)+1,FALSE)</f>
        <v>ピックアップ01　開始</v>
      </c>
      <c r="D118" s="6">
        <v>0</v>
      </c>
      <c r="E118" s="7">
        <v>167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逆徒 ベリアル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PremiumN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ゴッド</v>
      </c>
      <c r="L118" s="6">
        <v>1</v>
      </c>
      <c r="M118" s="6">
        <v>469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01701</v>
      </c>
      <c r="B119" s="31">
        <v>104</v>
      </c>
      <c r="C119" s="10" t="str">
        <f ca="1">VLOOKUP($B119,OFFSET([2]gachas!$A$2,0,0,COUNTA([2]gachas!$A:$A),MATCH(C$1,[2]gachas!$1:$1,0)-MATCH($B$1,[2]gachas!$1:$1,0)+1),MATCH(C$1,[2]gachas!$1:$1,0)-MATCH($B$1,[2]gachas!$1:$1,0)+1,FALSE)</f>
        <v>ピックアップ01　開始</v>
      </c>
      <c r="D119" s="29">
        <v>0</v>
      </c>
      <c r="E119" s="30">
        <v>170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識徒 オセ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PremiumN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4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ゴッド</v>
      </c>
      <c r="L119" s="29">
        <v>1</v>
      </c>
      <c r="M119" s="29">
        <v>1300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01731</v>
      </c>
      <c r="B120" s="31">
        <v>104</v>
      </c>
      <c r="C120" s="10" t="str">
        <f ca="1">VLOOKUP($B120,OFFSET([2]gachas!$A$2,0,0,COUNTA([2]gachas!$A:$A),MATCH(C$1,[2]gachas!$1:$1,0)-MATCH($B$1,[2]gachas!$1:$1,0)+1),MATCH(C$1,[2]gachas!$1:$1,0)-MATCH($B$1,[2]gachas!$1:$1,0)+1,FALSE)</f>
        <v>ピックアップ01　開始</v>
      </c>
      <c r="D120" s="6">
        <v>0</v>
      </c>
      <c r="E120" s="7">
        <v>173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公爵 フォルネウス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PremiumN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4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ゴッド</v>
      </c>
      <c r="L120" s="6">
        <v>1</v>
      </c>
      <c r="M120" s="6">
        <v>469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01761</v>
      </c>
      <c r="B121" s="31">
        <v>104</v>
      </c>
      <c r="C121" s="10" t="str">
        <f ca="1">VLOOKUP($B121,OFFSET([2]gachas!$A$2,0,0,COUNTA([2]gachas!$A:$A),MATCH(C$1,[2]gachas!$1:$1,0)-MATCH($B$1,[2]gachas!$1:$1,0)+1),MATCH(C$1,[2]gachas!$1:$1,0)-MATCH($B$1,[2]gachas!$1:$1,0)+1,FALSE)</f>
        <v>ピックアップ01　開始</v>
      </c>
      <c r="D121" s="6">
        <v>0</v>
      </c>
      <c r="E121" s="7">
        <v>176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異教徒 バフォメット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PremiumN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ゴッド</v>
      </c>
      <c r="L121" s="6">
        <v>1</v>
      </c>
      <c r="M121" s="6">
        <v>469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01791</v>
      </c>
      <c r="B122" s="31">
        <v>104</v>
      </c>
      <c r="C122" s="10" t="str">
        <f ca="1">VLOOKUP($B122,OFFSET([2]gachas!$A$2,0,0,COUNTA([2]gachas!$A:$A),MATCH(C$1,[2]gachas!$1:$1,0)-MATCH($B$1,[2]gachas!$1:$1,0)+1),MATCH(C$1,[2]gachas!$1:$1,0)-MATCH($B$1,[2]gachas!$1:$1,0)+1,FALSE)</f>
        <v>ピックアップ01　開始</v>
      </c>
      <c r="D122" s="6">
        <v>0</v>
      </c>
      <c r="E122" s="7">
        <v>179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番犬 ケルベロス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4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アニマル</v>
      </c>
      <c r="L122" s="6">
        <v>1</v>
      </c>
      <c r="M122" s="6">
        <v>469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01821</v>
      </c>
      <c r="B123" s="31">
        <v>104</v>
      </c>
      <c r="C123" s="10" t="str">
        <f ca="1">VLOOKUP($B123,OFFSET([2]gachas!$A$2,0,0,COUNTA([2]gachas!$A:$A),MATCH(C$1,[2]gachas!$1:$1,0)-MATCH($B$1,[2]gachas!$1:$1,0)+1),MATCH(C$1,[2]gachas!$1:$1,0)-MATCH($B$1,[2]gachas!$1:$1,0)+1,FALSE)</f>
        <v>ピックアップ01　開始</v>
      </c>
      <c r="D123" s="6">
        <v>0</v>
      </c>
      <c r="E123" s="7">
        <v>182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放蕩者 ベヒモス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4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アニマル</v>
      </c>
      <c r="L123" s="6">
        <v>1</v>
      </c>
      <c r="M123" s="6">
        <v>469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01851</v>
      </c>
      <c r="B124" s="31">
        <v>104</v>
      </c>
      <c r="C124" s="10" t="str">
        <f ca="1">VLOOKUP($B124,OFFSET([2]gachas!$A$2,0,0,COUNTA([2]gachas!$A:$A),MATCH(C$1,[2]gachas!$1:$1,0)-MATCH($B$1,[2]gachas!$1:$1,0)+1),MATCH(C$1,[2]gachas!$1:$1,0)-MATCH($B$1,[2]gachas!$1:$1,0)+1,FALSE)</f>
        <v>ピックアップ01　開始</v>
      </c>
      <c r="D124" s="6">
        <v>0</v>
      </c>
      <c r="E124" s="7">
        <v>185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海姫 クラーケン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アニマル</v>
      </c>
      <c r="L124" s="6">
        <v>1</v>
      </c>
      <c r="M124" s="6">
        <v>469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01881</v>
      </c>
      <c r="B125" s="31">
        <v>104</v>
      </c>
      <c r="C125" s="10" t="str">
        <f ca="1">VLOOKUP($B125,OFFSET([2]gachas!$A$2,0,0,COUNTA([2]gachas!$A:$A),MATCH(C$1,[2]gachas!$1:$1,0)-MATCH($B$1,[2]gachas!$1:$1,0)+1),MATCH(C$1,[2]gachas!$1:$1,0)-MATCH($B$1,[2]gachas!$1:$1,0)+1,FALSE)</f>
        <v>ピックアップ01　開始</v>
      </c>
      <c r="D125" s="6">
        <v>0</v>
      </c>
      <c r="E125" s="7">
        <v>188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猛禽 ホルス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4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アニマル</v>
      </c>
      <c r="L125" s="6">
        <v>1</v>
      </c>
      <c r="M125" s="6">
        <v>469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01911</v>
      </c>
      <c r="B126" s="31">
        <v>104</v>
      </c>
      <c r="C126" s="10" t="str">
        <f ca="1">VLOOKUP($B126,OFFSET([2]gachas!$A$2,0,0,COUNTA([2]gachas!$A:$A),MATCH(C$1,[2]gachas!$1:$1,0)-MATCH($B$1,[2]gachas!$1:$1,0)+1),MATCH(C$1,[2]gachas!$1:$1,0)-MATCH($B$1,[2]gachas!$1:$1,0)+1,FALSE)</f>
        <v>ピックアップ01　開始</v>
      </c>
      <c r="D126" s="6">
        <v>0</v>
      </c>
      <c r="E126" s="7">
        <v>191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始祖 卑弥呼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4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ヒューマン</v>
      </c>
      <c r="L126" s="6">
        <v>1</v>
      </c>
      <c r="M126" s="6">
        <v>469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01941</v>
      </c>
      <c r="B127" s="31">
        <v>104</v>
      </c>
      <c r="C127" s="10" t="str">
        <f ca="1">VLOOKUP($B127,OFFSET([2]gachas!$A$2,0,0,COUNTA([2]gachas!$A:$A),MATCH(C$1,[2]gachas!$1:$1,0)-MATCH($B$1,[2]gachas!$1:$1,0)+1),MATCH(C$1,[2]gachas!$1:$1,0)-MATCH($B$1,[2]gachas!$1:$1,0)+1,FALSE)</f>
        <v>ピックアップ01　開始</v>
      </c>
      <c r="D127" s="6">
        <v>0</v>
      </c>
      <c r="E127" s="7">
        <v>194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ヒューマン</v>
      </c>
      <c r="L127" s="6">
        <v>1</v>
      </c>
      <c r="M127" s="6">
        <v>469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01971</v>
      </c>
      <c r="B128" s="31">
        <v>104</v>
      </c>
      <c r="C128" s="10" t="str">
        <f ca="1">VLOOKUP($B128,OFFSET([2]gachas!$A$2,0,0,COUNTA([2]gachas!$A:$A),MATCH(C$1,[2]gachas!$1:$1,0)-MATCH($B$1,[2]gachas!$1:$1,0)+1),MATCH(C$1,[2]gachas!$1:$1,0)-MATCH($B$1,[2]gachas!$1:$1,0)+1,FALSE)</f>
        <v>ピックアップ01　開始</v>
      </c>
      <c r="D128" s="6">
        <v>0</v>
      </c>
      <c r="E128" s="7">
        <v>197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鉄腕 アキレス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4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yellow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ヒューマン</v>
      </c>
      <c r="L128" s="6">
        <v>1</v>
      </c>
      <c r="M128" s="6">
        <v>469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02001</v>
      </c>
      <c r="B129" s="31">
        <v>104</v>
      </c>
      <c r="C129" s="10" t="str">
        <f ca="1">VLOOKUP($B129,OFFSET([2]gachas!$A$2,0,0,COUNTA([2]gachas!$A:$A),MATCH(C$1,[2]gachas!$1:$1,0)-MATCH($B$1,[2]gachas!$1:$1,0)+1),MATCH(C$1,[2]gachas!$1:$1,0)-MATCH($B$1,[2]gachas!$1:$1,0)+1,FALSE)</f>
        <v>ピックアップ01　開始</v>
      </c>
      <c r="D129" s="29">
        <v>0</v>
      </c>
      <c r="E129" s="30">
        <v>200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4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blue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ヒューマン</v>
      </c>
      <c r="L129" s="29">
        <v>1</v>
      </c>
      <c r="M129" s="29">
        <v>1300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02031</v>
      </c>
      <c r="B130" s="31">
        <v>104</v>
      </c>
      <c r="C130" s="10" t="str">
        <f ca="1">VLOOKUP($B130,OFFSET([2]gachas!$A$2,0,0,COUNTA([2]gachas!$A:$A),MATCH(C$1,[2]gachas!$1:$1,0)-MATCH($B$1,[2]gachas!$1:$1,0)+1),MATCH(C$1,[2]gachas!$1:$1,0)-MATCH($B$1,[2]gachas!$1:$1,0)+1,FALSE)</f>
        <v>ピックアップ01　開始</v>
      </c>
      <c r="D130" s="6">
        <v>0</v>
      </c>
      <c r="E130" s="7">
        <v>203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焔神 プロメテウス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6">
        <v>1</v>
      </c>
      <c r="M130" s="6">
        <v>469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02061</v>
      </c>
      <c r="B131" s="31">
        <v>104</v>
      </c>
      <c r="C131" s="10" t="str">
        <f ca="1">VLOOKUP($B131,OFFSET([2]gachas!$A$2,0,0,COUNTA([2]gachas!$A:$A),MATCH(C$1,[2]gachas!$1:$1,0)-MATCH($B$1,[2]gachas!$1:$1,0)+1),MATCH(C$1,[2]gachas!$1:$1,0)-MATCH($B$1,[2]gachas!$1:$1,0)+1,FALSE)</f>
        <v>ピックアップ01　開始</v>
      </c>
      <c r="D131" s="6">
        <v>0</v>
      </c>
      <c r="E131" s="7">
        <v>206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美神 アフロディーテ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4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ゴッド</v>
      </c>
      <c r="L131" s="6">
        <v>1</v>
      </c>
      <c r="M131" s="6">
        <v>469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02091</v>
      </c>
      <c r="B132" s="31">
        <v>104</v>
      </c>
      <c r="C132" s="10" t="str">
        <f ca="1">VLOOKUP($B132,OFFSET([2]gachas!$A$2,0,0,COUNTA([2]gachas!$A:$A),MATCH(C$1,[2]gachas!$1:$1,0)-MATCH($B$1,[2]gachas!$1:$1,0)+1),MATCH(C$1,[2]gachas!$1:$1,0)-MATCH($B$1,[2]gachas!$1:$1,0)+1,FALSE)</f>
        <v>ピックアップ01　開始</v>
      </c>
      <c r="D132" s="6">
        <v>0</v>
      </c>
      <c r="E132" s="7">
        <v>209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孤神 テティス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4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6">
        <v>1</v>
      </c>
      <c r="M132" s="6">
        <v>469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02121</v>
      </c>
      <c r="B133" s="31">
        <v>104</v>
      </c>
      <c r="C133" s="10" t="str">
        <f ca="1">VLOOKUP($B133,OFFSET([2]gachas!$A$2,0,0,COUNTA([2]gachas!$A:$A),MATCH(C$1,[2]gachas!$1:$1,0)-MATCH($B$1,[2]gachas!$1:$1,0)+1),MATCH(C$1,[2]gachas!$1:$1,0)-MATCH($B$1,[2]gachas!$1:$1,0)+1,FALSE)</f>
        <v>ピックアップ01　開始</v>
      </c>
      <c r="D133" s="6">
        <v>0</v>
      </c>
      <c r="E133" s="7">
        <v>212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星神 アストライアー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yellow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ゴッド</v>
      </c>
      <c r="L133" s="6">
        <v>1</v>
      </c>
      <c r="M133" s="6">
        <v>469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02151</v>
      </c>
      <c r="B134" s="31">
        <v>104</v>
      </c>
      <c r="C134" s="10" t="str">
        <f ca="1">VLOOKUP($B134,OFFSET([2]gachas!$A$2,0,0,COUNTA([2]gachas!$A:$A),MATCH(C$1,[2]gachas!$1:$1,0)-MATCH($B$1,[2]gachas!$1:$1,0)+1),MATCH(C$1,[2]gachas!$1:$1,0)-MATCH($B$1,[2]gachas!$1:$1,0)+1,FALSE)</f>
        <v>ピックアップ01　開始</v>
      </c>
      <c r="D134" s="6">
        <v>0</v>
      </c>
      <c r="E134" s="7">
        <v>215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死導者 アズラエル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4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6">
        <v>469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02181</v>
      </c>
      <c r="B135" s="31">
        <v>104</v>
      </c>
      <c r="C135" s="10" t="str">
        <f ca="1">VLOOKUP($B135,OFFSET([2]gachas!$A$2,0,0,COUNTA([2]gachas!$A:$A),MATCH(C$1,[2]gachas!$1:$1,0)-MATCH($B$1,[2]gachas!$1:$1,0)+1),MATCH(C$1,[2]gachas!$1:$1,0)-MATCH($B$1,[2]gachas!$1:$1,0)+1,FALSE)</f>
        <v>ピックアップ01　開始</v>
      </c>
      <c r="D135" s="6">
        <v>0</v>
      </c>
      <c r="E135" s="7">
        <v>218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聖蛇 ケツァクアトル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4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6">
        <v>1</v>
      </c>
      <c r="M135" s="6">
        <v>469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02211</v>
      </c>
      <c r="B136" s="31">
        <v>104</v>
      </c>
      <c r="C136" s="10" t="str">
        <f ca="1">VLOOKUP($B136,OFFSET([2]gachas!$A$2,0,0,COUNTA([2]gachas!$A:$A),MATCH(C$1,[2]gachas!$1:$1,0)-MATCH($B$1,[2]gachas!$1:$1,0)+1),MATCH(C$1,[2]gachas!$1:$1,0)-MATCH($B$1,[2]gachas!$1:$1,0)+1,FALSE)</f>
        <v>ピックアップ01　開始</v>
      </c>
      <c r="D136" s="6">
        <v>0</v>
      </c>
      <c r="E136" s="7">
        <v>221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宰相 ルキフグス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6">
        <v>1</v>
      </c>
      <c r="M136" s="6">
        <v>469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02241</v>
      </c>
      <c r="B137" s="31">
        <v>104</v>
      </c>
      <c r="C137" s="10" t="str">
        <f ca="1">VLOOKUP($B137,OFFSET([2]gachas!$A$2,0,0,COUNTA([2]gachas!$A:$A),MATCH(C$1,[2]gachas!$1:$1,0)-MATCH($B$1,[2]gachas!$1:$1,0)+1),MATCH(C$1,[2]gachas!$1:$1,0)-MATCH($B$1,[2]gachas!$1:$1,0)+1,FALSE)</f>
        <v>ピックアップ01　開始</v>
      </c>
      <c r="D137" s="6">
        <v>0</v>
      </c>
      <c r="E137" s="7">
        <v>224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巨腕 ヘラクレス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4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ヒューマン</v>
      </c>
      <c r="L137" s="6">
        <v>1</v>
      </c>
      <c r="M137" s="6">
        <v>469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02271</v>
      </c>
      <c r="B138" s="31">
        <v>104</v>
      </c>
      <c r="C138" s="10" t="str">
        <f ca="1">VLOOKUP($B138,OFFSET([2]gachas!$A$2,0,0,COUNTA([2]gachas!$A:$A),MATCH(C$1,[2]gachas!$1:$1,0)-MATCH($B$1,[2]gachas!$1:$1,0)+1),MATCH(C$1,[2]gachas!$1:$1,0)-MATCH($B$1,[2]gachas!$1:$1,0)+1,FALSE)</f>
        <v>ピックアップ01　開始</v>
      </c>
      <c r="D138" s="29">
        <v>0</v>
      </c>
      <c r="E138" s="30">
        <v>227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滅弾 アレス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PremiumS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29">
        <v>1</v>
      </c>
      <c r="M138" s="29">
        <v>1300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02301</v>
      </c>
      <c r="B139" s="31">
        <v>104</v>
      </c>
      <c r="C139" s="10" t="str">
        <f ca="1">VLOOKUP($B139,OFFSET([2]gachas!$A$2,0,0,COUNTA([2]gachas!$A:$A),MATCH(C$1,[2]gachas!$1:$1,0)-MATCH($B$1,[2]gachas!$1:$1,0)+1),MATCH(C$1,[2]gachas!$1:$1,0)-MATCH($B$1,[2]gachas!$1:$1,0)+1,FALSE)</f>
        <v>ピックアップ01　開始</v>
      </c>
      <c r="D139" s="6">
        <v>0</v>
      </c>
      <c r="E139" s="7">
        <v>230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毒銃 ヨルムンガンド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PremiumS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6">
        <v>1</v>
      </c>
      <c r="M139" s="6">
        <v>469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02331</v>
      </c>
      <c r="B140" s="31">
        <v>104</v>
      </c>
      <c r="C140" s="10" t="str">
        <f ca="1">VLOOKUP($B140,OFFSET([2]gachas!$A$2,0,0,COUNTA([2]gachas!$A:$A),MATCH(C$1,[2]gachas!$1:$1,0)-MATCH($B$1,[2]gachas!$1:$1,0)+1),MATCH(C$1,[2]gachas!$1:$1,0)-MATCH($B$1,[2]gachas!$1:$1,0)+1,FALSE)</f>
        <v>ピックアップ01　開始</v>
      </c>
      <c r="D140" s="6">
        <v>0</v>
      </c>
      <c r="E140" s="7">
        <v>233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遂行 パーシヴァル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PremiumS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ヒューマン</v>
      </c>
      <c r="L140" s="6">
        <v>1</v>
      </c>
      <c r="M140" s="6">
        <v>469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02361</v>
      </c>
      <c r="B141" s="31">
        <v>104</v>
      </c>
      <c r="C141" s="10" t="str">
        <f ca="1">VLOOKUP($B141,OFFSET([2]gachas!$A$2,0,0,COUNTA([2]gachas!$A:$A),MATCH(C$1,[2]gachas!$1:$1,0)-MATCH($B$1,[2]gachas!$1:$1,0)+1),MATCH(C$1,[2]gachas!$1:$1,0)-MATCH($B$1,[2]gachas!$1:$1,0)+1,FALSE)</f>
        <v>ピックアップ01　開始</v>
      </c>
      <c r="D141" s="29">
        <v>0</v>
      </c>
      <c r="E141" s="30">
        <v>236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神産 イザナミ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PremiumS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ゴッド</v>
      </c>
      <c r="L141" s="29">
        <v>1</v>
      </c>
      <c r="M141" s="29">
        <v>1300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01711</v>
      </c>
      <c r="B142" s="31">
        <v>104</v>
      </c>
      <c r="C142" s="10" t="str">
        <f ca="1">VLOOKUP($B142,OFFSET([2]gachas!$A$2,0,0,COUNTA([2]gachas!$A:$A),MATCH(C$1,[2]gachas!$1:$1,0)-MATCH($B$1,[2]gachas!$1:$1,0)+1),MATCH(C$1,[2]gachas!$1:$1,0)-MATCH($B$1,[2]gachas!$1:$1,0)+1,FALSE)</f>
        <v>ピックアップ01　開始</v>
      </c>
      <c r="D142" s="29">
        <v>0</v>
      </c>
      <c r="E142" s="30">
        <v>171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精解の預知者 オセ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PremiumN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5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green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29">
        <v>1</v>
      </c>
      <c r="M142" s="29">
        <v>2184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02011</v>
      </c>
      <c r="B143" s="31">
        <v>104</v>
      </c>
      <c r="C143" s="10" t="str">
        <f ca="1">VLOOKUP($B143,OFFSET([2]gachas!$A$2,0,0,COUNTA([2]gachas!$A:$A),MATCH(C$1,[2]gachas!$1:$1,0)-MATCH($B$1,[2]gachas!$1:$1,0)+1),MATCH(C$1,[2]gachas!$1:$1,0)-MATCH($B$1,[2]gachas!$1:$1,0)+1,FALSE)</f>
        <v>ピックアップ01　開始</v>
      </c>
      <c r="D143" s="37">
        <v>0</v>
      </c>
      <c r="E143" s="38">
        <v>201</v>
      </c>
      <c r="F143" s="20" t="str">
        <f ca="1">VLOOKUP($E143,OFFSET([1]characters!$A$2,0,0,COUNTA([1]characters!$A:$A),MATCH(F$1,[1]characters!$2:$2,0)-MATCH($E$1,[1]characters!$2:$2,0)+1),MATCH(F$1,[1]characters!$2:$2,0)-MATCH($E$1,[1]characters!$2:$2,0)+1,FALSE)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43" s="20" t="str">
        <f ca="1">VLOOKUP($E143,OFFSET([1]characters!$A$2,0,0,COUNTA([1]characters!$A:$A),MATCH(G$1,[1]characters!$2:$2,0)-MATCH($E$1,[1]characters!$2:$2,0)+1),MATCH(G$1,[1]characters!$2:$2,0)-MATCH($E$1,[1]characters!$2:$2,0)+1,FALSE)</f>
        <v>PremiumN</v>
      </c>
      <c r="H143" s="20">
        <f ca="1">VLOOKUP($E143,OFFSET([1]characters!$A$2,0,0,COUNTA([1]characters!$A:$A),MATCH(H$1,[1]characters!$2:$2,0)-MATCH($E$1,[1]characters!$2:$2,0)+1),MATCH(H$1,[1]characters!$2:$2,0)-MATCH($E$1,[1]characters!$2:$2,0)+1,FALSE)</f>
        <v>5</v>
      </c>
      <c r="I143" s="20" t="str">
        <f ca="1">VLOOKUP($E143,OFFSET([1]characters!$A$2,0,0,COUNTA([1]characters!$A:$A),MATCH(I$1,[1]characters!$2:$2,0)-MATCH($E$1,[1]characters!$2:$2,0)+1),MATCH(I$1,[1]characters!$2:$2,0)-MATCH($E$1,[1]characters!$2:$2,0)+1,FALSE)</f>
        <v>blue</v>
      </c>
      <c r="J143" s="2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2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37">
        <v>1</v>
      </c>
      <c r="M143" s="37">
        <v>2184</v>
      </c>
      <c r="N143" s="18">
        <v>0</v>
      </c>
      <c r="O143" s="18">
        <v>0</v>
      </c>
      <c r="P143" s="18">
        <v>0</v>
      </c>
      <c r="Q143" s="18">
        <v>0</v>
      </c>
      <c r="R143" s="18">
        <v>1</v>
      </c>
    </row>
    <row r="144" spans="1:18" ht="21" customHeight="1">
      <c r="A144" s="8" t="str">
        <f t="shared" si="3"/>
        <v>02281</v>
      </c>
      <c r="B144" s="31">
        <v>104</v>
      </c>
      <c r="C144" s="10" t="str">
        <f ca="1">VLOOKUP($B144,OFFSET([2]gachas!$A$2,0,0,COUNTA([2]gachas!$A:$A),MATCH(C$1,[2]gachas!$1:$1,0)-MATCH($B$1,[2]gachas!$1:$1,0)+1),MATCH(C$1,[2]gachas!$1:$1,0)-MATCH($B$1,[2]gachas!$1:$1,0)+1,FALSE)</f>
        <v>ピックアップ01　開始</v>
      </c>
      <c r="D144" s="29">
        <v>0</v>
      </c>
      <c r="E144" s="30">
        <v>228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殲滅の掃射砲 アレス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5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red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ゴッド</v>
      </c>
      <c r="L144" s="29">
        <v>1</v>
      </c>
      <c r="M144" s="29">
        <v>416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s="26" customFormat="1" ht="21" customHeight="1" thickBot="1">
      <c r="A145" s="22" t="str">
        <f t="shared" si="3"/>
        <v>02371</v>
      </c>
      <c r="B145" s="31">
        <v>104</v>
      </c>
      <c r="C145" s="10" t="str">
        <f ca="1">VLOOKUP($B145,OFFSET([2]gachas!$A$2,0,0,COUNTA([2]gachas!$A:$A),MATCH(C$1,[2]gachas!$1:$1,0)-MATCH($B$1,[2]gachas!$1:$1,0)+1),MATCH(C$1,[2]gachas!$1:$1,0)-MATCH($B$1,[2]gachas!$1:$1,0)+1,FALSE)</f>
        <v>ピックアップ01　開始</v>
      </c>
      <c r="D145" s="29">
        <v>0</v>
      </c>
      <c r="E145" s="30">
        <v>237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5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29">
        <v>1</v>
      </c>
      <c r="M145" s="29">
        <v>416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02381</v>
      </c>
      <c r="B146" s="31">
        <v>104</v>
      </c>
      <c r="C146" s="10" t="str">
        <f ca="1">VLOOKUP($B146,OFFSET([2]gachas!$A$2,0,0,COUNTA([2]gachas!$A:$A),MATCH(C$1,[2]gachas!$1:$1,0)-MATCH($B$1,[2]gachas!$1:$1,0)+1),MATCH(C$1,[2]gachas!$1:$1,0)-MATCH($B$1,[2]gachas!$1:$1,0)+1,FALSE)</f>
        <v>ピックアップ01　開始</v>
      </c>
      <c r="D146" s="6">
        <v>0</v>
      </c>
      <c r="E146" s="19">
        <v>238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ウリエル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3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マシン</v>
      </c>
      <c r="L146" s="6">
        <v>1</v>
      </c>
      <c r="M146" s="6">
        <v>1165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02391</v>
      </c>
      <c r="B147" s="31">
        <v>104</v>
      </c>
      <c r="C147" s="10" t="str">
        <f ca="1">VLOOKUP($B147,OFFSET([2]gachas!$A$2,0,0,COUNTA([2]gachas!$A:$A),MATCH(C$1,[2]gachas!$1:$1,0)-MATCH($B$1,[2]gachas!$1:$1,0)+1),MATCH(C$1,[2]gachas!$1:$1,0)-MATCH($B$1,[2]gachas!$1:$1,0)+1,FALSE)</f>
        <v>ピックアップ01　開始</v>
      </c>
      <c r="D147" s="6">
        <v>0</v>
      </c>
      <c r="E147" s="19">
        <v>239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豪炎の天使 ウリエル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red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マシン</v>
      </c>
      <c r="L147" s="6">
        <v>1</v>
      </c>
      <c r="M147" s="6">
        <v>469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02411</v>
      </c>
      <c r="B148" s="31">
        <v>104</v>
      </c>
      <c r="C148" s="10" t="str">
        <f ca="1">VLOOKUP($B148,OFFSET([2]gachas!$A$2,0,0,COUNTA([2]gachas!$A:$A),MATCH(C$1,[2]gachas!$1:$1,0)-MATCH($B$1,[2]gachas!$1:$1,0)+1),MATCH(C$1,[2]gachas!$1:$1,0)-MATCH($B$1,[2]gachas!$1:$1,0)+1,FALSE)</f>
        <v>ピックアップ01　開始</v>
      </c>
      <c r="D148" s="6">
        <v>0</v>
      </c>
      <c r="E148" s="19">
        <v>241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ガブリエル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3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green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マシン</v>
      </c>
      <c r="L148" s="6">
        <v>1</v>
      </c>
      <c r="M148" s="6">
        <v>1165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02421</v>
      </c>
      <c r="B149" s="31">
        <v>104</v>
      </c>
      <c r="C149" s="10" t="str">
        <f ca="1">VLOOKUP($B149,OFFSET([2]gachas!$A$2,0,0,COUNTA([2]gachas!$A:$A),MATCH(C$1,[2]gachas!$1:$1,0)-MATCH($B$1,[2]gachas!$1:$1,0)+1),MATCH(C$1,[2]gachas!$1:$1,0)-MATCH($B$1,[2]gachas!$1:$1,0)+1,FALSE)</f>
        <v>ピックアップ01　開始</v>
      </c>
      <c r="D149" s="6">
        <v>0</v>
      </c>
      <c r="E149" s="19">
        <v>242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PremiumS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green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マシン</v>
      </c>
      <c r="L149" s="6">
        <v>1</v>
      </c>
      <c r="M149" s="6">
        <v>469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ref="A150:A161" si="4">D150&amp;E150&amp;L150</f>
        <v>02441</v>
      </c>
      <c r="B150" s="31">
        <v>104</v>
      </c>
      <c r="C150" s="10" t="str">
        <f ca="1">VLOOKUP($B150,OFFSET([2]gachas!$A$2,0,0,COUNTA([2]gachas!$A:$A),MATCH(C$1,[2]gachas!$1:$1,0)-MATCH($B$1,[2]gachas!$1:$1,0)+1),MATCH(C$1,[2]gachas!$1:$1,0)-MATCH($B$1,[2]gachas!$1:$1,0)+1,FALSE)</f>
        <v>ピックアップ01　開始</v>
      </c>
      <c r="D150" s="6">
        <v>0</v>
      </c>
      <c r="E150" s="19">
        <v>244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ラファエル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PremiumS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3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blue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マシン</v>
      </c>
      <c r="L150" s="6">
        <v>1</v>
      </c>
      <c r="M150" s="6">
        <v>1165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4"/>
        <v>02451</v>
      </c>
      <c r="B151" s="31">
        <v>104</v>
      </c>
      <c r="C151" s="10" t="str">
        <f ca="1">VLOOKUP($B151,OFFSET([2]gachas!$A$2,0,0,COUNTA([2]gachas!$A:$A),MATCH(C$1,[2]gachas!$1:$1,0)-MATCH($B$1,[2]gachas!$1:$1,0)+1),MATCH(C$1,[2]gachas!$1:$1,0)-MATCH($B$1,[2]gachas!$1:$1,0)+1,FALSE)</f>
        <v>ピックアップ01　開始</v>
      </c>
      <c r="D151" s="6">
        <v>0</v>
      </c>
      <c r="E151" s="19">
        <v>245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PremiumS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blue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マシン</v>
      </c>
      <c r="L151" s="6">
        <v>1</v>
      </c>
      <c r="M151" s="6">
        <v>469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4"/>
        <v>02471</v>
      </c>
      <c r="B152" s="31">
        <v>104</v>
      </c>
      <c r="C152" s="10" t="str">
        <f ca="1">VLOOKUP($B152,OFFSET([2]gachas!$A$2,0,0,COUNTA([2]gachas!$A:$A),MATCH(C$1,[2]gachas!$1:$1,0)-MATCH($B$1,[2]gachas!$1:$1,0)+1),MATCH(C$1,[2]gachas!$1:$1,0)-MATCH($B$1,[2]gachas!$1:$1,0)+1,FALSE)</f>
        <v>ピックアップ01　開始</v>
      </c>
      <c r="D152" s="6">
        <v>0</v>
      </c>
      <c r="E152" s="19">
        <v>247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ミカエル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PremiumS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3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yellow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マシン</v>
      </c>
      <c r="L152" s="6">
        <v>1</v>
      </c>
      <c r="M152" s="6">
        <v>1165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4"/>
        <v>02481</v>
      </c>
      <c r="B153" s="31">
        <v>104</v>
      </c>
      <c r="C153" s="10" t="str">
        <f ca="1">VLOOKUP($B153,OFFSET([2]gachas!$A$2,0,0,COUNTA([2]gachas!$A:$A),MATCH(C$1,[2]gachas!$1:$1,0)-MATCH($B$1,[2]gachas!$1:$1,0)+1),MATCH(C$1,[2]gachas!$1:$1,0)-MATCH($B$1,[2]gachas!$1:$1,0)+1,FALSE)</f>
        <v>ピックアップ01　開始</v>
      </c>
      <c r="D153" s="6">
        <v>0</v>
      </c>
      <c r="E153" s="19">
        <v>248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彩電の天使 ミカエル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マシン</v>
      </c>
      <c r="L153" s="6">
        <v>1</v>
      </c>
      <c r="M153" s="6">
        <v>469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s="26" customFormat="1" ht="21" customHeight="1" thickBot="1">
      <c r="A154" s="22" t="str">
        <f t="shared" si="4"/>
        <v>02501</v>
      </c>
      <c r="B154" s="31">
        <v>104</v>
      </c>
      <c r="C154" s="10" t="str">
        <f ca="1">VLOOKUP($B154,OFFSET([2]gachas!$A$2,0,0,COUNTA([2]gachas!$A:$A),MATCH(C$1,[2]gachas!$1:$1,0)-MATCH($B$1,[2]gachas!$1:$1,0)+1),MATCH(C$1,[2]gachas!$1:$1,0)-MATCH($B$1,[2]gachas!$1:$1,0)+1,FALSE)</f>
        <v>ピックアップ01　開始</v>
      </c>
      <c r="D154" s="6">
        <v>0</v>
      </c>
      <c r="E154" s="7">
        <v>250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マンモン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3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ゴッド</v>
      </c>
      <c r="L154" s="6">
        <v>1</v>
      </c>
      <c r="M154" s="6">
        <v>1165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 thickBot="1">
      <c r="A155" s="22" t="str">
        <f t="shared" si="4"/>
        <v>02511</v>
      </c>
      <c r="B155" s="31">
        <v>104</v>
      </c>
      <c r="C155" s="10" t="str">
        <f ca="1">VLOOKUP($B155,OFFSET([2]gachas!$A$2,0,0,COUNTA([2]gachas!$A:$A),MATCH(C$1,[2]gachas!$1:$1,0)-MATCH($B$1,[2]gachas!$1:$1,0)+1),MATCH(C$1,[2]gachas!$1:$1,0)-MATCH($B$1,[2]gachas!$1:$1,0)+1,FALSE)</f>
        <v>ピックアップ01　開始</v>
      </c>
      <c r="D155" s="6">
        <v>0</v>
      </c>
      <c r="E155" s="7">
        <v>251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強欲 マンモン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red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ゴッド</v>
      </c>
      <c r="L155" s="6">
        <v>1</v>
      </c>
      <c r="M155" s="6">
        <v>469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 thickBot="1">
      <c r="A156" s="22" t="str">
        <f t="shared" si="4"/>
        <v>02531</v>
      </c>
      <c r="B156" s="31">
        <v>104</v>
      </c>
      <c r="C156" s="10" t="str">
        <f ca="1">VLOOKUP($B156,OFFSET([2]gachas!$A$2,0,0,COUNTA([2]gachas!$A:$A),MATCH(C$1,[2]gachas!$1:$1,0)-MATCH($B$1,[2]gachas!$1:$1,0)+1),MATCH(C$1,[2]gachas!$1:$1,0)-MATCH($B$1,[2]gachas!$1:$1,0)+1,FALSE)</f>
        <v>ピックアップ01　開始</v>
      </c>
      <c r="D156" s="6">
        <v>0</v>
      </c>
      <c r="E156" s="7">
        <v>253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ベルフェゴール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PremiumS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3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green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ゴッド</v>
      </c>
      <c r="L156" s="6">
        <v>1</v>
      </c>
      <c r="M156" s="6">
        <v>1165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 thickBot="1">
      <c r="A157" s="22" t="str">
        <f t="shared" si="4"/>
        <v>02541</v>
      </c>
      <c r="B157" s="31">
        <v>104</v>
      </c>
      <c r="C157" s="10" t="str">
        <f ca="1">VLOOKUP($B157,OFFSET([2]gachas!$A$2,0,0,COUNTA([2]gachas!$A:$A),MATCH(C$1,[2]gachas!$1:$1,0)-MATCH($B$1,[2]gachas!$1:$1,0)+1),MATCH(C$1,[2]gachas!$1:$1,0)-MATCH($B$1,[2]gachas!$1:$1,0)+1,FALSE)</f>
        <v>ピックアップ01　開始</v>
      </c>
      <c r="D157" s="6">
        <v>0</v>
      </c>
      <c r="E157" s="7">
        <v>254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怠惰 ベルフェゴール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PremiumS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green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ゴッド</v>
      </c>
      <c r="L157" s="6">
        <v>1</v>
      </c>
      <c r="M157" s="6">
        <v>469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 thickBot="1">
      <c r="A158" s="22" t="str">
        <f t="shared" si="4"/>
        <v>02561</v>
      </c>
      <c r="B158" s="31">
        <v>104</v>
      </c>
      <c r="C158" s="10" t="str">
        <f ca="1">VLOOKUP($B158,OFFSET([2]gachas!$A$2,0,0,COUNTA([2]gachas!$A:$A),MATCH(C$1,[2]gachas!$1:$1,0)-MATCH($B$1,[2]gachas!$1:$1,0)+1),MATCH(C$1,[2]gachas!$1:$1,0)-MATCH($B$1,[2]gachas!$1:$1,0)+1,FALSE)</f>
        <v>ピックアップ01　開始</v>
      </c>
      <c r="D158" s="6">
        <v>0</v>
      </c>
      <c r="E158" s="7">
        <v>256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アスモデウス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PremiumS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3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blue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ゴッド</v>
      </c>
      <c r="L158" s="6">
        <v>1</v>
      </c>
      <c r="M158" s="6">
        <v>1165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 thickBot="1">
      <c r="A159" s="22" t="str">
        <f t="shared" si="4"/>
        <v>02571</v>
      </c>
      <c r="B159" s="31">
        <v>104</v>
      </c>
      <c r="C159" s="10" t="str">
        <f ca="1">VLOOKUP($B159,OFFSET([2]gachas!$A$2,0,0,COUNTA([2]gachas!$A:$A),MATCH(C$1,[2]gachas!$1:$1,0)-MATCH($B$1,[2]gachas!$1:$1,0)+1),MATCH(C$1,[2]gachas!$1:$1,0)-MATCH($B$1,[2]gachas!$1:$1,0)+1,FALSE)</f>
        <v>ピックアップ01　開始</v>
      </c>
      <c r="D159" s="6">
        <v>0</v>
      </c>
      <c r="E159" s="7">
        <v>257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色欲 アスモデウス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PremiumS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blue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ゴッド</v>
      </c>
      <c r="L159" s="6">
        <v>1</v>
      </c>
      <c r="M159" s="6">
        <v>469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 thickBot="1">
      <c r="A160" s="22" t="str">
        <f t="shared" si="4"/>
        <v>02591</v>
      </c>
      <c r="B160" s="31">
        <v>104</v>
      </c>
      <c r="C160" s="10" t="str">
        <f ca="1">VLOOKUP($B160,OFFSET([2]gachas!$A$2,0,0,COUNTA([2]gachas!$A:$A),MATCH(C$1,[2]gachas!$1:$1,0)-MATCH($B$1,[2]gachas!$1:$1,0)+1),MATCH(C$1,[2]gachas!$1:$1,0)-MATCH($B$1,[2]gachas!$1:$1,0)+1,FALSE)</f>
        <v>ピックアップ01　開始</v>
      </c>
      <c r="D160" s="6">
        <v>0</v>
      </c>
      <c r="E160" s="7">
        <v>259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ウロボロス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PremiumS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3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yellow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ドラゴン</v>
      </c>
      <c r="L160" s="6">
        <v>1</v>
      </c>
      <c r="M160" s="6">
        <v>1165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 thickBot="1">
      <c r="A161" s="22" t="str">
        <f t="shared" si="4"/>
        <v>02601</v>
      </c>
      <c r="B161" s="31">
        <v>104</v>
      </c>
      <c r="C161" s="10" t="str">
        <f ca="1">VLOOKUP($B161,OFFSET([2]gachas!$A$2,0,0,COUNTA([2]gachas!$A:$A),MATCH(C$1,[2]gachas!$1:$1,0)-MATCH($B$1,[2]gachas!$1:$1,0)+1),MATCH(C$1,[2]gachas!$1:$1,0)-MATCH($B$1,[2]gachas!$1:$1,0)+1,FALSE)</f>
        <v>ピックアップ01　開始</v>
      </c>
      <c r="D161" s="6">
        <v>0</v>
      </c>
      <c r="E161" s="7">
        <v>260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輪廻 ウロボロス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PremiumS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ドラゴン</v>
      </c>
      <c r="L161" s="6">
        <v>1</v>
      </c>
      <c r="M161" s="6">
        <v>469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</sheetData>
  <autoFilter ref="B1:M161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 enableFormatConditionsCalculation="0">
    <tabColor rgb="FF0000FF"/>
    <outlinePr summaryBelow="0" summaryRight="0"/>
  </sheetPr>
  <dimension ref="A1:R161"/>
  <sheetViews>
    <sheetView showGridLines="0" workbookViewId="0">
      <pane ySplit="1" topLeftCell="A143" activePane="bottomLeft" state="frozen"/>
      <selection pane="bottomLeft" activeCell="C2" sqref="C2:C161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8.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 thickBot="1">
      <c r="A1" s="8" t="s">
        <v>15</v>
      </c>
      <c r="B1" s="40" t="s">
        <v>2</v>
      </c>
      <c r="C1" s="41" t="s">
        <v>1</v>
      </c>
      <c r="D1" s="40" t="s">
        <v>3</v>
      </c>
      <c r="E1" s="40" t="s">
        <v>4</v>
      </c>
      <c r="F1" s="41" t="s">
        <v>9</v>
      </c>
      <c r="G1" s="41" t="s">
        <v>10</v>
      </c>
      <c r="H1" s="41" t="s">
        <v>7</v>
      </c>
      <c r="I1" s="41" t="s">
        <v>11</v>
      </c>
      <c r="J1" s="41" t="s">
        <v>12</v>
      </c>
      <c r="K1" s="41" t="s">
        <v>13</v>
      </c>
      <c r="L1" s="40" t="s">
        <v>5</v>
      </c>
      <c r="M1" s="40" t="s">
        <v>6</v>
      </c>
      <c r="N1" s="42" t="s">
        <v>19</v>
      </c>
      <c r="O1" s="42" t="s">
        <v>20</v>
      </c>
      <c r="P1" s="42" t="s">
        <v>21</v>
      </c>
      <c r="Q1" s="42" t="s">
        <v>22</v>
      </c>
      <c r="R1" s="42" t="s">
        <v>23</v>
      </c>
    </row>
    <row r="2" spans="1:18" ht="21" customHeight="1">
      <c r="A2" s="8" t="str">
        <f t="shared" ref="A2:A65" si="0">D2&amp;E2&amp;L2</f>
        <v>11271</v>
      </c>
      <c r="B2" s="31">
        <v>105</v>
      </c>
      <c r="C2" s="10" t="str">
        <f ca="1">VLOOKUP($B2,OFFSET([2]gachas!$A$2,0,0,COUNTA([2]gachas!$A:$A),MATCH(C$1,[2]gachas!$1:$1,0)-MATCH($B$1,[2]gachas!$1:$1,0)+1),MATCH(C$1,[2]gachas!$1:$1,0)-MATCH($B$1,[2]gachas!$1:$1,0)+1,FALSE)</f>
        <v>ピックアップ01　あと少し</v>
      </c>
      <c r="D2" s="21">
        <v>1</v>
      </c>
      <c r="E2" s="27">
        <v>127</v>
      </c>
      <c r="F2" s="2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2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2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2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2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2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1">
        <v>1</v>
      </c>
      <c r="M2" s="21">
        <v>1104</v>
      </c>
      <c r="N2" s="18">
        <v>0</v>
      </c>
      <c r="O2" s="18">
        <v>0</v>
      </c>
      <c r="P2" s="18">
        <v>0</v>
      </c>
      <c r="Q2" s="18">
        <v>0</v>
      </c>
      <c r="R2" s="18">
        <v>1</v>
      </c>
    </row>
    <row r="3" spans="1:18" ht="21" customHeight="1">
      <c r="A3" s="8" t="str">
        <f t="shared" si="0"/>
        <v>11291</v>
      </c>
      <c r="B3" s="31">
        <v>105</v>
      </c>
      <c r="C3" s="10" t="str">
        <f ca="1">VLOOKUP($B3,OFFSET([2]gachas!$A$2,0,0,COUNTA([2]gachas!$A:$A),MATCH(C$1,[2]gachas!$1:$1,0)-MATCH($B$1,[2]gachas!$1:$1,0)+1),MATCH(C$1,[2]gachas!$1:$1,0)-MATCH($B$1,[2]gachas!$1:$1,0)+1,FALSE)</f>
        <v>ピックアップ01　あと少し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21">
        <v>1104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31">
        <v>105</v>
      </c>
      <c r="C4" s="10" t="str">
        <f ca="1">VLOOKUP($B4,OFFSET([2]gachas!$A$2,0,0,COUNTA([2]gachas!$A:$A),MATCH(C$1,[2]gachas!$1:$1,0)-MATCH($B$1,[2]gachas!$1:$1,0)+1),MATCH(C$1,[2]gachas!$1:$1,0)-MATCH($B$1,[2]gachas!$1:$1,0)+1,FALSE)</f>
        <v>ピックアップ01　あと少し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21">
        <v>1104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31">
        <v>105</v>
      </c>
      <c r="C5" s="10" t="str">
        <f ca="1">VLOOKUP($B5,OFFSET([2]gachas!$A$2,0,0,COUNTA([2]gachas!$A:$A),MATCH(C$1,[2]gachas!$1:$1,0)-MATCH($B$1,[2]gachas!$1:$1,0)+1),MATCH(C$1,[2]gachas!$1:$1,0)-MATCH($B$1,[2]gachas!$1:$1,0)+1,FALSE)</f>
        <v>ピックアップ01　あと少し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21">
        <v>1104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31">
        <v>105</v>
      </c>
      <c r="C6" s="10" t="str">
        <f ca="1">VLOOKUP($B6,OFFSET([2]gachas!$A$2,0,0,COUNTA([2]gachas!$A:$A),MATCH(C$1,[2]gachas!$1:$1,0)-MATCH($B$1,[2]gachas!$1:$1,0)+1),MATCH(C$1,[2]gachas!$1:$1,0)-MATCH($B$1,[2]gachas!$1:$1,0)+1,FALSE)</f>
        <v>ピックアップ01　あと少し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21">
        <v>1104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31">
        <v>105</v>
      </c>
      <c r="C7" s="10" t="str">
        <f ca="1">VLOOKUP($B7,OFFSET([2]gachas!$A$2,0,0,COUNTA([2]gachas!$A:$A),MATCH(C$1,[2]gachas!$1:$1,0)-MATCH($B$1,[2]gachas!$1:$1,0)+1),MATCH(C$1,[2]gachas!$1:$1,0)-MATCH($B$1,[2]gachas!$1:$1,0)+1,FALSE)</f>
        <v>ピックアップ01　あと少し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21">
        <v>1104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31">
        <v>105</v>
      </c>
      <c r="C8" s="10" t="str">
        <f ca="1">VLOOKUP($B8,OFFSET([2]gachas!$A$2,0,0,COUNTA([2]gachas!$A:$A),MATCH(C$1,[2]gachas!$1:$1,0)-MATCH($B$1,[2]gachas!$1:$1,0)+1),MATCH(C$1,[2]gachas!$1:$1,0)-MATCH($B$1,[2]gachas!$1:$1,0)+1,FALSE)</f>
        <v>ピックアップ01　あと少し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21">
        <v>1104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31">
        <v>105</v>
      </c>
      <c r="C9" s="10" t="str">
        <f ca="1">VLOOKUP($B9,OFFSET([2]gachas!$A$2,0,0,COUNTA([2]gachas!$A:$A),MATCH(C$1,[2]gachas!$1:$1,0)-MATCH($B$1,[2]gachas!$1:$1,0)+1),MATCH(C$1,[2]gachas!$1:$1,0)-MATCH($B$1,[2]gachas!$1:$1,0)+1,FALSE)</f>
        <v>ピックアップ01　あと少し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21">
        <v>1104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31">
        <v>105</v>
      </c>
      <c r="C10" s="10" t="str">
        <f ca="1">VLOOKUP($B10,OFFSET([2]gachas!$A$2,0,0,COUNTA([2]gachas!$A:$A),MATCH(C$1,[2]gachas!$1:$1,0)-MATCH($B$1,[2]gachas!$1:$1,0)+1),MATCH(C$1,[2]gachas!$1:$1,0)-MATCH($B$1,[2]gachas!$1:$1,0)+1,FALSE)</f>
        <v>ピックアップ01　あと少し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21">
        <v>1104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31">
        <v>105</v>
      </c>
      <c r="C11" s="10" t="str">
        <f ca="1">VLOOKUP($B11,OFFSET([2]gachas!$A$2,0,0,COUNTA([2]gachas!$A:$A),MATCH(C$1,[2]gachas!$1:$1,0)-MATCH($B$1,[2]gachas!$1:$1,0)+1),MATCH(C$1,[2]gachas!$1:$1,0)-MATCH($B$1,[2]gachas!$1:$1,0)+1,FALSE)</f>
        <v>ピックアップ01　あと少し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21">
        <v>1104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31">
        <v>105</v>
      </c>
      <c r="C12" s="10" t="str">
        <f ca="1">VLOOKUP($B12,OFFSET([2]gachas!$A$2,0,0,COUNTA([2]gachas!$A:$A),MATCH(C$1,[2]gachas!$1:$1,0)-MATCH($B$1,[2]gachas!$1:$1,0)+1),MATCH(C$1,[2]gachas!$1:$1,0)-MATCH($B$1,[2]gachas!$1:$1,0)+1,FALSE)</f>
        <v>ピックアップ01　あと少し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21">
        <v>1104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31">
        <v>105</v>
      </c>
      <c r="C13" s="10" t="str">
        <f ca="1">VLOOKUP($B13,OFFSET([2]gachas!$A$2,0,0,COUNTA([2]gachas!$A:$A),MATCH(C$1,[2]gachas!$1:$1,0)-MATCH($B$1,[2]gachas!$1:$1,0)+1),MATCH(C$1,[2]gachas!$1:$1,0)-MATCH($B$1,[2]gachas!$1:$1,0)+1,FALSE)</f>
        <v>ピックアップ01　あと少し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21">
        <v>1104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31">
        <v>105</v>
      </c>
      <c r="C14" s="10" t="str">
        <f ca="1">VLOOKUP($B14,OFFSET([2]gachas!$A$2,0,0,COUNTA([2]gachas!$A:$A),MATCH(C$1,[2]gachas!$1:$1,0)-MATCH($B$1,[2]gachas!$1:$1,0)+1),MATCH(C$1,[2]gachas!$1:$1,0)-MATCH($B$1,[2]gachas!$1:$1,0)+1,FALSE)</f>
        <v>ピックアップ01　あと少し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21">
        <v>1104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31">
        <v>105</v>
      </c>
      <c r="C15" s="10" t="str">
        <f ca="1">VLOOKUP($B15,OFFSET([2]gachas!$A$2,0,0,COUNTA([2]gachas!$A:$A),MATCH(C$1,[2]gachas!$1:$1,0)-MATCH($B$1,[2]gachas!$1:$1,0)+1),MATCH(C$1,[2]gachas!$1:$1,0)-MATCH($B$1,[2]gachas!$1:$1,0)+1,FALSE)</f>
        <v>ピックアップ01　あと少し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21">
        <v>1104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31">
        <v>105</v>
      </c>
      <c r="C16" s="10" t="str">
        <f ca="1">VLOOKUP($B16,OFFSET([2]gachas!$A$2,0,0,COUNTA([2]gachas!$A:$A),MATCH(C$1,[2]gachas!$1:$1,0)-MATCH($B$1,[2]gachas!$1:$1,0)+1),MATCH(C$1,[2]gachas!$1:$1,0)-MATCH($B$1,[2]gachas!$1:$1,0)+1,FALSE)</f>
        <v>ピックアップ01　あと少し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21">
        <v>1104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31">
        <v>105</v>
      </c>
      <c r="C17" s="10" t="str">
        <f ca="1">VLOOKUP($B17,OFFSET([2]gachas!$A$2,0,0,COUNTA([2]gachas!$A:$A),MATCH(C$1,[2]gachas!$1:$1,0)-MATCH($B$1,[2]gachas!$1:$1,0)+1),MATCH(C$1,[2]gachas!$1:$1,0)-MATCH($B$1,[2]gachas!$1:$1,0)+1,FALSE)</f>
        <v>ピックアップ01　あと少し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21">
        <v>1104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31">
        <v>105</v>
      </c>
      <c r="C18" s="10" t="str">
        <f ca="1">VLOOKUP($B18,OFFSET([2]gachas!$A$2,0,0,COUNTA([2]gachas!$A:$A),MATCH(C$1,[2]gachas!$1:$1,0)-MATCH($B$1,[2]gachas!$1:$1,0)+1),MATCH(C$1,[2]gachas!$1:$1,0)-MATCH($B$1,[2]gachas!$1:$1,0)+1,FALSE)</f>
        <v>ピックアップ01　あと少し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21">
        <v>1104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31">
        <v>105</v>
      </c>
      <c r="C19" s="10" t="str">
        <f ca="1">VLOOKUP($B19,OFFSET([2]gachas!$A$2,0,0,COUNTA([2]gachas!$A:$A),MATCH(C$1,[2]gachas!$1:$1,0)-MATCH($B$1,[2]gachas!$1:$1,0)+1),MATCH(C$1,[2]gachas!$1:$1,0)-MATCH($B$1,[2]gachas!$1:$1,0)+1,FALSE)</f>
        <v>ピックアップ01　あと少し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21">
        <v>1104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31">
        <v>105</v>
      </c>
      <c r="C20" s="10" t="str">
        <f ca="1">VLOOKUP($B20,OFFSET([2]gachas!$A$2,0,0,COUNTA([2]gachas!$A:$A),MATCH(C$1,[2]gachas!$1:$1,0)-MATCH($B$1,[2]gachas!$1:$1,0)+1),MATCH(C$1,[2]gachas!$1:$1,0)-MATCH($B$1,[2]gachas!$1:$1,0)+1,FALSE)</f>
        <v>ピックアップ01　あと少し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21">
        <v>1104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31">
        <v>105</v>
      </c>
      <c r="C21" s="10" t="str">
        <f ca="1">VLOOKUP($B21,OFFSET([2]gachas!$A$2,0,0,COUNTA([2]gachas!$A:$A),MATCH(C$1,[2]gachas!$1:$1,0)-MATCH($B$1,[2]gachas!$1:$1,0)+1),MATCH(C$1,[2]gachas!$1:$1,0)-MATCH($B$1,[2]gachas!$1:$1,0)+1,FALSE)</f>
        <v>ピックアップ01　あと少し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21">
        <v>1104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31">
        <v>105</v>
      </c>
      <c r="C22" s="10" t="str">
        <f ca="1">VLOOKUP($B22,OFFSET([2]gachas!$A$2,0,0,COUNTA([2]gachas!$A:$A),MATCH(C$1,[2]gachas!$1:$1,0)-MATCH($B$1,[2]gachas!$1:$1,0)+1),MATCH(C$1,[2]gachas!$1:$1,0)-MATCH($B$1,[2]gachas!$1:$1,0)+1,FALSE)</f>
        <v>ピックアップ01　あと少し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6">
        <v>961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31">
        <v>105</v>
      </c>
      <c r="C23" s="10" t="str">
        <f ca="1">VLOOKUP($B23,OFFSET([2]gachas!$A$2,0,0,COUNTA([2]gachas!$A:$A),MATCH(C$1,[2]gachas!$1:$1,0)-MATCH($B$1,[2]gachas!$1:$1,0)+1),MATCH(C$1,[2]gachas!$1:$1,0)-MATCH($B$1,[2]gachas!$1:$1,0)+1,FALSE)</f>
        <v>ピックアップ01　あと少し</v>
      </c>
      <c r="D23" s="29">
        <v>1</v>
      </c>
      <c r="E23" s="30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29">
        <v>1</v>
      </c>
      <c r="M23" s="29">
        <v>2660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31">
        <v>105</v>
      </c>
      <c r="C24" s="10" t="str">
        <f ca="1">VLOOKUP($B24,OFFSET([2]gachas!$A$2,0,0,COUNTA([2]gachas!$A:$A),MATCH(C$1,[2]gachas!$1:$1,0)-MATCH($B$1,[2]gachas!$1:$1,0)+1),MATCH(C$1,[2]gachas!$1:$1,0)-MATCH($B$1,[2]gachas!$1:$1,0)+1,FALSE)</f>
        <v>ピックアップ01　あと少し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961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31">
        <v>105</v>
      </c>
      <c r="C25" s="10" t="str">
        <f ca="1">VLOOKUP($B25,OFFSET([2]gachas!$A$2,0,0,COUNTA([2]gachas!$A:$A),MATCH(C$1,[2]gachas!$1:$1,0)-MATCH($B$1,[2]gachas!$1:$1,0)+1),MATCH(C$1,[2]gachas!$1:$1,0)-MATCH($B$1,[2]gachas!$1:$1,0)+1,FALSE)</f>
        <v>ピックアップ01　あと少し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961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31">
        <v>105</v>
      </c>
      <c r="C26" s="10" t="str">
        <f ca="1">VLOOKUP($B26,OFFSET([2]gachas!$A$2,0,0,COUNTA([2]gachas!$A:$A),MATCH(C$1,[2]gachas!$1:$1,0)-MATCH($B$1,[2]gachas!$1:$1,0)+1),MATCH(C$1,[2]gachas!$1:$1,0)-MATCH($B$1,[2]gachas!$1:$1,0)+1,FALSE)</f>
        <v>ピックアップ01　あと少し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6">
        <v>961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31">
        <v>105</v>
      </c>
      <c r="C27" s="10" t="str">
        <f ca="1">VLOOKUP($B27,OFFSET([2]gachas!$A$2,0,0,COUNTA([2]gachas!$A:$A),MATCH(C$1,[2]gachas!$1:$1,0)-MATCH($B$1,[2]gachas!$1:$1,0)+1),MATCH(C$1,[2]gachas!$1:$1,0)-MATCH($B$1,[2]gachas!$1:$1,0)+1,FALSE)</f>
        <v>ピックアップ01　あと少し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961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31">
        <v>105</v>
      </c>
      <c r="C28" s="10" t="str">
        <f ca="1">VLOOKUP($B28,OFFSET([2]gachas!$A$2,0,0,COUNTA([2]gachas!$A:$A),MATCH(C$1,[2]gachas!$1:$1,0)-MATCH($B$1,[2]gachas!$1:$1,0)+1),MATCH(C$1,[2]gachas!$1:$1,0)-MATCH($B$1,[2]gachas!$1:$1,0)+1,FALSE)</f>
        <v>ピックアップ01　あと少し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961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31">
        <v>105</v>
      </c>
      <c r="C29" s="10" t="str">
        <f ca="1">VLOOKUP($B29,OFFSET([2]gachas!$A$2,0,0,COUNTA([2]gachas!$A:$A),MATCH(C$1,[2]gachas!$1:$1,0)-MATCH($B$1,[2]gachas!$1:$1,0)+1),MATCH(C$1,[2]gachas!$1:$1,0)-MATCH($B$1,[2]gachas!$1:$1,0)+1,FALSE)</f>
        <v>ピックアップ01　あと少し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961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31">
        <v>105</v>
      </c>
      <c r="C30" s="10" t="str">
        <f ca="1">VLOOKUP($B30,OFFSET([2]gachas!$A$2,0,0,COUNTA([2]gachas!$A:$A),MATCH(C$1,[2]gachas!$1:$1,0)-MATCH($B$1,[2]gachas!$1:$1,0)+1),MATCH(C$1,[2]gachas!$1:$1,0)-MATCH($B$1,[2]gachas!$1:$1,0)+1,FALSE)</f>
        <v>ピックアップ01　あと少し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6">
        <v>961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31">
        <v>105</v>
      </c>
      <c r="C31" s="10" t="str">
        <f ca="1">VLOOKUP($B31,OFFSET([2]gachas!$A$2,0,0,COUNTA([2]gachas!$A:$A),MATCH(C$1,[2]gachas!$1:$1,0)-MATCH($B$1,[2]gachas!$1:$1,0)+1),MATCH(C$1,[2]gachas!$1:$1,0)-MATCH($B$1,[2]gachas!$1:$1,0)+1,FALSE)</f>
        <v>ピックアップ01　あと少し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961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31">
        <v>105</v>
      </c>
      <c r="C32" s="10" t="str">
        <f ca="1">VLOOKUP($B32,OFFSET([2]gachas!$A$2,0,0,COUNTA([2]gachas!$A:$A),MATCH(C$1,[2]gachas!$1:$1,0)-MATCH($B$1,[2]gachas!$1:$1,0)+1),MATCH(C$1,[2]gachas!$1:$1,0)-MATCH($B$1,[2]gachas!$1:$1,0)+1,FALSE)</f>
        <v>ピックアップ01　あと少し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961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31">
        <v>105</v>
      </c>
      <c r="C33" s="10" t="str">
        <f ca="1">VLOOKUP($B33,OFFSET([2]gachas!$A$2,0,0,COUNTA([2]gachas!$A:$A),MATCH(C$1,[2]gachas!$1:$1,0)-MATCH($B$1,[2]gachas!$1:$1,0)+1),MATCH(C$1,[2]gachas!$1:$1,0)-MATCH($B$1,[2]gachas!$1:$1,0)+1,FALSE)</f>
        <v>ピックアップ01　あと少し</v>
      </c>
      <c r="D33" s="29">
        <v>1</v>
      </c>
      <c r="E33" s="30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29">
        <v>1</v>
      </c>
      <c r="M33" s="29">
        <v>2660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31">
        <v>105</v>
      </c>
      <c r="C34" s="10" t="str">
        <f ca="1">VLOOKUP($B34,OFFSET([2]gachas!$A$2,0,0,COUNTA([2]gachas!$A:$A),MATCH(C$1,[2]gachas!$1:$1,0)-MATCH($B$1,[2]gachas!$1:$1,0)+1),MATCH(C$1,[2]gachas!$1:$1,0)-MATCH($B$1,[2]gachas!$1:$1,0)+1,FALSE)</f>
        <v>ピックアップ01　あと少し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6">
        <v>961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31">
        <v>105</v>
      </c>
      <c r="C35" s="10" t="str">
        <f ca="1">VLOOKUP($B35,OFFSET([2]gachas!$A$2,0,0,COUNTA([2]gachas!$A:$A),MATCH(C$1,[2]gachas!$1:$1,0)-MATCH($B$1,[2]gachas!$1:$1,0)+1),MATCH(C$1,[2]gachas!$1:$1,0)-MATCH($B$1,[2]gachas!$1:$1,0)+1,FALSE)</f>
        <v>ピックアップ01　あと少し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961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31">
        <v>105</v>
      </c>
      <c r="C36" s="10" t="str">
        <f ca="1">VLOOKUP($B36,OFFSET([2]gachas!$A$2,0,0,COUNTA([2]gachas!$A:$A),MATCH(C$1,[2]gachas!$1:$1,0)-MATCH($B$1,[2]gachas!$1:$1,0)+1),MATCH(C$1,[2]gachas!$1:$1,0)-MATCH($B$1,[2]gachas!$1:$1,0)+1,FALSE)</f>
        <v>ピックアップ01　あと少し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961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31">
        <v>105</v>
      </c>
      <c r="C37" s="10" t="str">
        <f ca="1">VLOOKUP($B37,OFFSET([2]gachas!$A$2,0,0,COUNTA([2]gachas!$A:$A),MATCH(C$1,[2]gachas!$1:$1,0)-MATCH($B$1,[2]gachas!$1:$1,0)+1),MATCH(C$1,[2]gachas!$1:$1,0)-MATCH($B$1,[2]gachas!$1:$1,0)+1,FALSE)</f>
        <v>ピックアップ01　あと少し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961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31">
        <v>105</v>
      </c>
      <c r="C38" s="10" t="str">
        <f ca="1">VLOOKUP($B38,OFFSET([2]gachas!$A$2,0,0,COUNTA([2]gachas!$A:$A),MATCH(C$1,[2]gachas!$1:$1,0)-MATCH($B$1,[2]gachas!$1:$1,0)+1),MATCH(C$1,[2]gachas!$1:$1,0)-MATCH($B$1,[2]gachas!$1:$1,0)+1,FALSE)</f>
        <v>ピックアップ01　あと少し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6">
        <v>961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31">
        <v>105</v>
      </c>
      <c r="C39" s="10" t="str">
        <f ca="1">VLOOKUP($B39,OFFSET([2]gachas!$A$2,0,0,COUNTA([2]gachas!$A:$A),MATCH(C$1,[2]gachas!$1:$1,0)-MATCH($B$1,[2]gachas!$1:$1,0)+1),MATCH(C$1,[2]gachas!$1:$1,0)-MATCH($B$1,[2]gachas!$1:$1,0)+1,FALSE)</f>
        <v>ピックアップ01　あと少し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961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31">
        <v>105</v>
      </c>
      <c r="C40" s="10" t="str">
        <f ca="1">VLOOKUP($B40,OFFSET([2]gachas!$A$2,0,0,COUNTA([2]gachas!$A:$A),MATCH(C$1,[2]gachas!$1:$1,0)-MATCH($B$1,[2]gachas!$1:$1,0)+1),MATCH(C$1,[2]gachas!$1:$1,0)-MATCH($B$1,[2]gachas!$1:$1,0)+1,FALSE)</f>
        <v>ピックアップ01　あと少し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961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31">
        <v>105</v>
      </c>
      <c r="C41" s="10" t="str">
        <f ca="1">VLOOKUP($B41,OFFSET([2]gachas!$A$2,0,0,COUNTA([2]gachas!$A:$A),MATCH(C$1,[2]gachas!$1:$1,0)-MATCH($B$1,[2]gachas!$1:$1,0)+1),MATCH(C$1,[2]gachas!$1:$1,0)-MATCH($B$1,[2]gachas!$1:$1,0)+1,FALSE)</f>
        <v>ピックアップ01　あと少し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961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31">
        <v>105</v>
      </c>
      <c r="C42" s="10" t="str">
        <f ca="1">VLOOKUP($B42,OFFSET([2]gachas!$A$2,0,0,COUNTA([2]gachas!$A:$A),MATCH(C$1,[2]gachas!$1:$1,0)-MATCH($B$1,[2]gachas!$1:$1,0)+1),MATCH(C$1,[2]gachas!$1:$1,0)-MATCH($B$1,[2]gachas!$1:$1,0)+1,FALSE)</f>
        <v>ピックアップ01　あと少し</v>
      </c>
      <c r="D42" s="29">
        <v>1</v>
      </c>
      <c r="E42" s="30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29">
        <v>1</v>
      </c>
      <c r="M42" s="29">
        <v>2660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31">
        <v>105</v>
      </c>
      <c r="C43" s="10" t="str">
        <f ca="1">VLOOKUP($B43,OFFSET([2]gachas!$A$2,0,0,COUNTA([2]gachas!$A:$A),MATCH(C$1,[2]gachas!$1:$1,0)-MATCH($B$1,[2]gachas!$1:$1,0)+1),MATCH(C$1,[2]gachas!$1:$1,0)-MATCH($B$1,[2]gachas!$1:$1,0)+1,FALSE)</f>
        <v>ピックアップ01　あと少し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6">
        <v>319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31">
        <v>105</v>
      </c>
      <c r="C44" s="10" t="str">
        <f ca="1">VLOOKUP($B44,OFFSET([2]gachas!$A$2,0,0,COUNTA([2]gachas!$A:$A),MATCH(C$1,[2]gachas!$1:$1,0)-MATCH($B$1,[2]gachas!$1:$1,0)+1),MATCH(C$1,[2]gachas!$1:$1,0)-MATCH($B$1,[2]gachas!$1:$1,0)+1,FALSE)</f>
        <v>ピックアップ01　あと少し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319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31">
        <v>105</v>
      </c>
      <c r="C45" s="10" t="str">
        <f ca="1">VLOOKUP($B45,OFFSET([2]gachas!$A$2,0,0,COUNTA([2]gachas!$A:$A),MATCH(C$1,[2]gachas!$1:$1,0)-MATCH($B$1,[2]gachas!$1:$1,0)+1),MATCH(C$1,[2]gachas!$1:$1,0)-MATCH($B$1,[2]gachas!$1:$1,0)+1,FALSE)</f>
        <v>ピックアップ01　あと少し</v>
      </c>
      <c r="D45" s="29">
        <v>1</v>
      </c>
      <c r="E45" s="30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29">
        <v>1</v>
      </c>
      <c r="M45" s="29">
        <v>2660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11711</v>
      </c>
      <c r="B46" s="31">
        <v>105</v>
      </c>
      <c r="C46" s="10" t="str">
        <f ca="1">VLOOKUP($B46,OFFSET([2]gachas!$A$2,0,0,COUNTA([2]gachas!$A:$A),MATCH(C$1,[2]gachas!$1:$1,0)-MATCH($B$1,[2]gachas!$1:$1,0)+1),MATCH(C$1,[2]gachas!$1:$1,0)-MATCH($B$1,[2]gachas!$1:$1,0)+1,FALSE)</f>
        <v>ピックアップ01　あと少し</v>
      </c>
      <c r="D46" s="29">
        <v>1</v>
      </c>
      <c r="E46" s="30">
        <v>171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精解の預知者 オセ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green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29">
        <v>1</v>
      </c>
      <c r="M46" s="29">
        <v>1176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12011</v>
      </c>
      <c r="B47" s="31">
        <v>105</v>
      </c>
      <c r="C47" s="10" t="str">
        <f ca="1">VLOOKUP($B47,OFFSET([2]gachas!$A$2,0,0,COUNTA([2]gachas!$A:$A),MATCH(C$1,[2]gachas!$1:$1,0)-MATCH($B$1,[2]gachas!$1:$1,0)+1),MATCH(C$1,[2]gachas!$1:$1,0)-MATCH($B$1,[2]gachas!$1:$1,0)+1,FALSE)</f>
        <v>ピックアップ01　あと少し</v>
      </c>
      <c r="D47" s="29">
        <v>1</v>
      </c>
      <c r="E47" s="30">
        <v>201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blue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ヒューマン</v>
      </c>
      <c r="L47" s="29">
        <v>1</v>
      </c>
      <c r="M47" s="29">
        <v>1176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12281</v>
      </c>
      <c r="B48" s="31">
        <v>105</v>
      </c>
      <c r="C48" s="10" t="str">
        <f ca="1">VLOOKUP($B48,OFFSET([2]gachas!$A$2,0,0,COUNTA([2]gachas!$A:$A),MATCH(C$1,[2]gachas!$1:$1,0)-MATCH($B$1,[2]gachas!$1:$1,0)+1),MATCH(C$1,[2]gachas!$1:$1,0)-MATCH($B$1,[2]gachas!$1:$1,0)+1,FALSE)</f>
        <v>ピックアップ01　あと少し</v>
      </c>
      <c r="D48" s="29">
        <v>1</v>
      </c>
      <c r="E48" s="30">
        <v>228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殲滅の掃射砲 アレス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PremiumS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red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29">
        <v>1</v>
      </c>
      <c r="M48" s="29">
        <v>224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s="26" customFormat="1" ht="21" customHeight="1" thickBot="1">
      <c r="A49" s="22" t="str">
        <f t="shared" si="0"/>
        <v>12371</v>
      </c>
      <c r="B49" s="31">
        <v>105</v>
      </c>
      <c r="C49" s="10" t="str">
        <f ca="1">VLOOKUP($B49,OFFSET([2]gachas!$A$2,0,0,COUNTA([2]gachas!$A:$A),MATCH(C$1,[2]gachas!$1:$1,0)-MATCH($B$1,[2]gachas!$1:$1,0)+1),MATCH(C$1,[2]gachas!$1:$1,0)-MATCH($B$1,[2]gachas!$1:$1,0)+1,FALSE)</f>
        <v>ピックアップ01　あと少し</v>
      </c>
      <c r="D49" s="33">
        <v>1</v>
      </c>
      <c r="E49" s="34">
        <v>237</v>
      </c>
      <c r="F49" s="23" t="str">
        <f ca="1">VLOOKUP($E49,OFFSET([1]characters!$A$2,0,0,COUNTA([1]characters!$A:$A),MATCH(F$1,[1]characters!$2:$2,0)-MATCH($E$1,[1]characters!$2:$2,0)+1),MATCH(F$1,[1]characters!$2:$2,0)-MATCH($E$1,[1]characters!$2:$2,0)+1,FALSE)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49" s="23" t="str">
        <f ca="1">VLOOKUP($E49,OFFSET([1]characters!$A$2,0,0,COUNTA([1]characters!$A:$A),MATCH(G$1,[1]characters!$2:$2,0)-MATCH($E$1,[1]characters!$2:$2,0)+1),MATCH(G$1,[1]characters!$2:$2,0)-MATCH($E$1,[1]characters!$2:$2,0)+1,FALSE)</f>
        <v>PremiumS</v>
      </c>
      <c r="H49" s="23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23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23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23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33">
        <v>1</v>
      </c>
      <c r="M49" s="33">
        <v>224</v>
      </c>
      <c r="N49" s="35">
        <v>0</v>
      </c>
      <c r="O49" s="35">
        <v>0</v>
      </c>
      <c r="P49" s="35">
        <v>0</v>
      </c>
      <c r="Q49" s="35">
        <v>0</v>
      </c>
      <c r="R49" s="35">
        <v>1</v>
      </c>
    </row>
    <row r="50" spans="1:18" ht="21" customHeight="1">
      <c r="A50" s="8" t="str">
        <f t="shared" si="0"/>
        <v>12391</v>
      </c>
      <c r="B50" s="31">
        <v>105</v>
      </c>
      <c r="C50" s="10" t="str">
        <f ca="1">VLOOKUP($B50,OFFSET([2]gachas!$A$2,0,0,COUNTA([2]gachas!$A:$A),MATCH(C$1,[2]gachas!$1:$1,0)-MATCH($B$1,[2]gachas!$1:$1,0)+1),MATCH(C$1,[2]gachas!$1:$1,0)-MATCH($B$1,[2]gachas!$1:$1,0)+1,FALSE)</f>
        <v>ピックアップ01　あと少し</v>
      </c>
      <c r="D50" s="21">
        <v>1</v>
      </c>
      <c r="E50" s="39">
        <v>239</v>
      </c>
      <c r="F50" s="20" t="str">
        <f ca="1">VLOOKUP($E50,OFFSET([1]characters!$A$2,0,0,COUNTA([1]characters!$A:$A),MATCH(F$1,[1]characters!$2:$2,0)-MATCH($E$1,[1]characters!$2:$2,0)+1),MATCH(F$1,[1]characters!$2:$2,0)-MATCH($E$1,[1]characters!$2:$2,0)+1,FALSE)</f>
        <v>豪炎の天使 ウリエル</v>
      </c>
      <c r="G50" s="20" t="str">
        <f ca="1">VLOOKUP($E50,OFFSET([1]characters!$A$2,0,0,COUNTA([1]characters!$A:$A),MATCH(G$1,[1]characters!$2:$2,0)-MATCH($E$1,[1]characters!$2:$2,0)+1),MATCH(G$1,[1]characters!$2:$2,0)-MATCH($E$1,[1]characters!$2:$2,0)+1,FALSE)</f>
        <v>PremiumS</v>
      </c>
      <c r="H50" s="20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2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20" t="str">
        <f ca="1">VLOOKUP($E50,OFFSET([1]characters!$A$2,0,0,COUNTA([1]characters!$A:$A),MATCH("タイプ",[1]characters!$1:$1,0)-MATCH($E$1,[1]characters!$2:$2,0)+2),MATCH("タイプ",[1]characters!$1:$1,0)-MATCH($E$1,[1]characters!$2:$2,0)+2,FALSE)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0" s="20" t="str">
        <f ca="1">VLOOKUP($E50,OFFSET([1]characters!$A$2,0,0,COUNTA([1]characters!$A:$A),MATCH($K$1,[1]characters!$1:$1,0)-MATCH($E$1,[1]characters!$2:$2,0)+2),MATCH($K$1,[1]characters!$1:$1,0)-MATCH($E$1,[1]characters!$2:$2,0)+2,FALSE)</f>
        <v>マシン</v>
      </c>
      <c r="L50" s="21">
        <v>1</v>
      </c>
      <c r="M50" s="21">
        <v>319</v>
      </c>
      <c r="N50" s="18">
        <v>0</v>
      </c>
      <c r="O50" s="18">
        <v>0</v>
      </c>
      <c r="P50" s="18">
        <v>0</v>
      </c>
      <c r="Q50" s="18">
        <v>0</v>
      </c>
      <c r="R50" s="18">
        <v>1</v>
      </c>
    </row>
    <row r="51" spans="1:18" ht="21" customHeight="1">
      <c r="A51" s="8" t="str">
        <f t="shared" si="0"/>
        <v>12421</v>
      </c>
      <c r="B51" s="31">
        <v>105</v>
      </c>
      <c r="C51" s="10" t="str">
        <f ca="1">VLOOKUP($B51,OFFSET([2]gachas!$A$2,0,0,COUNTA([2]gachas!$A:$A),MATCH(C$1,[2]gachas!$1:$1,0)-MATCH($B$1,[2]gachas!$1:$1,0)+1),MATCH(C$1,[2]gachas!$1:$1,0)-MATCH($B$1,[2]gachas!$1:$1,0)+1,FALSE)</f>
        <v>ピックアップ01　あと少し</v>
      </c>
      <c r="D51" s="6">
        <v>1</v>
      </c>
      <c r="E51" s="19">
        <v>242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PremiumS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4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マシン</v>
      </c>
      <c r="L51" s="6">
        <v>1</v>
      </c>
      <c r="M51" s="21">
        <v>319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12451</v>
      </c>
      <c r="B52" s="31">
        <v>105</v>
      </c>
      <c r="C52" s="10" t="str">
        <f ca="1">VLOOKUP($B52,OFFSET([2]gachas!$A$2,0,0,COUNTA([2]gachas!$A:$A),MATCH(C$1,[2]gachas!$1:$1,0)-MATCH($B$1,[2]gachas!$1:$1,0)+1),MATCH(C$1,[2]gachas!$1:$1,0)-MATCH($B$1,[2]gachas!$1:$1,0)+1,FALSE)</f>
        <v>ピックアップ01　あと少し</v>
      </c>
      <c r="D52" s="6">
        <v>1</v>
      </c>
      <c r="E52" s="19">
        <v>245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PremiumS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マシン</v>
      </c>
      <c r="L52" s="6">
        <v>1</v>
      </c>
      <c r="M52" s="21">
        <v>319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12481</v>
      </c>
      <c r="B53" s="31">
        <v>105</v>
      </c>
      <c r="C53" s="10" t="str">
        <f ca="1">VLOOKUP($B53,OFFSET([2]gachas!$A$2,0,0,COUNTA([2]gachas!$A:$A),MATCH(C$1,[2]gachas!$1:$1,0)-MATCH($B$1,[2]gachas!$1:$1,0)+1),MATCH(C$1,[2]gachas!$1:$1,0)-MATCH($B$1,[2]gachas!$1:$1,0)+1,FALSE)</f>
        <v>ピックアップ01　あと少し</v>
      </c>
      <c r="D53" s="6">
        <v>1</v>
      </c>
      <c r="E53" s="19">
        <v>248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彩電の天使 ミカエル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PremiumS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マシン</v>
      </c>
      <c r="L53" s="6">
        <v>1</v>
      </c>
      <c r="M53" s="21">
        <v>319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 thickBot="1">
      <c r="A54" s="22" t="str">
        <f t="shared" si="0"/>
        <v>12511</v>
      </c>
      <c r="B54" s="31">
        <v>105</v>
      </c>
      <c r="C54" s="10" t="str">
        <f ca="1">VLOOKUP($B54,OFFSET([2]gachas!$A$2,0,0,COUNTA([2]gachas!$A:$A),MATCH(C$1,[2]gachas!$1:$1,0)-MATCH($B$1,[2]gachas!$1:$1,0)+1),MATCH(C$1,[2]gachas!$1:$1,0)-MATCH($B$1,[2]gachas!$1:$1,0)+1,FALSE)</f>
        <v>ピックアップ01　あと少し</v>
      </c>
      <c r="D54" s="6">
        <v>1</v>
      </c>
      <c r="E54" s="7">
        <v>251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強欲 マンモン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PremiumS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ゴッド</v>
      </c>
      <c r="L54" s="6">
        <v>1</v>
      </c>
      <c r="M54" s="21">
        <v>319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 thickBot="1">
      <c r="A55" s="22" t="str">
        <f t="shared" si="0"/>
        <v>12541</v>
      </c>
      <c r="B55" s="31">
        <v>105</v>
      </c>
      <c r="C55" s="10" t="str">
        <f ca="1">VLOOKUP($B55,OFFSET([2]gachas!$A$2,0,0,COUNTA([2]gachas!$A:$A),MATCH(C$1,[2]gachas!$1:$1,0)-MATCH($B$1,[2]gachas!$1:$1,0)+1),MATCH(C$1,[2]gachas!$1:$1,0)-MATCH($B$1,[2]gachas!$1:$1,0)+1,FALSE)</f>
        <v>ピックアップ01　あと少し</v>
      </c>
      <c r="D55" s="6">
        <v>1</v>
      </c>
      <c r="E55" s="7">
        <v>254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怠惰 ベルフェゴール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PremiumS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ゴッド</v>
      </c>
      <c r="L55" s="6">
        <v>1</v>
      </c>
      <c r="M55" s="21">
        <v>319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 thickBot="1">
      <c r="A56" s="22" t="str">
        <f t="shared" si="0"/>
        <v>12571</v>
      </c>
      <c r="B56" s="31">
        <v>105</v>
      </c>
      <c r="C56" s="10" t="str">
        <f ca="1">VLOOKUP($B56,OFFSET([2]gachas!$A$2,0,0,COUNTA([2]gachas!$A:$A),MATCH(C$1,[2]gachas!$1:$1,0)-MATCH($B$1,[2]gachas!$1:$1,0)+1),MATCH(C$1,[2]gachas!$1:$1,0)-MATCH($B$1,[2]gachas!$1:$1,0)+1,FALSE)</f>
        <v>ピックアップ01　あと少し</v>
      </c>
      <c r="D56" s="6">
        <v>1</v>
      </c>
      <c r="E56" s="7">
        <v>257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色欲 アスモデウス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PremiumS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blue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ゴッド</v>
      </c>
      <c r="L56" s="6">
        <v>1</v>
      </c>
      <c r="M56" s="21">
        <v>319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 thickBot="1">
      <c r="A57" s="22" t="str">
        <f t="shared" si="0"/>
        <v>12601</v>
      </c>
      <c r="B57" s="31">
        <v>105</v>
      </c>
      <c r="C57" s="10" t="str">
        <f ca="1">VLOOKUP($B57,OFFSET([2]gachas!$A$2,0,0,COUNTA([2]gachas!$A:$A),MATCH(C$1,[2]gachas!$1:$1,0)-MATCH($B$1,[2]gachas!$1:$1,0)+1),MATCH(C$1,[2]gachas!$1:$1,0)-MATCH($B$1,[2]gachas!$1:$1,0)+1,FALSE)</f>
        <v>ピックアップ01　あと少し</v>
      </c>
      <c r="D57" s="6">
        <v>1</v>
      </c>
      <c r="E57" s="7">
        <v>260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輪廻 ウロボロス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PremiumS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yellow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ドラゴン</v>
      </c>
      <c r="L57" s="6">
        <v>1</v>
      </c>
      <c r="M57" s="21">
        <v>319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01261</v>
      </c>
      <c r="B58" s="31">
        <v>105</v>
      </c>
      <c r="C58" s="10" t="str">
        <f ca="1">VLOOKUP($B58,OFFSET([2]gachas!$A$2,0,0,COUNTA([2]gachas!$A:$A),MATCH(C$1,[2]gachas!$1:$1,0)-MATCH($B$1,[2]gachas!$1:$1,0)+1),MATCH(C$1,[2]gachas!$1:$1,0)-MATCH($B$1,[2]gachas!$1:$1,0)+1,FALSE)</f>
        <v>ピックアップ01　あと少し</v>
      </c>
      <c r="D58" s="6">
        <v>0</v>
      </c>
      <c r="E58" s="7">
        <v>126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骨器使い ユノ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PremiumW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3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6">
        <v>1</v>
      </c>
      <c r="M58" s="21">
        <v>1511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01281</v>
      </c>
      <c r="B59" s="31">
        <v>105</v>
      </c>
      <c r="C59" s="10" t="str">
        <f ca="1">VLOOKUP($B59,OFFSET([2]gachas!$A$2,0,0,COUNTA([2]gachas!$A:$A),MATCH(C$1,[2]gachas!$1:$1,0)-MATCH($B$1,[2]gachas!$1:$1,0)+1),MATCH(C$1,[2]gachas!$1:$1,0)-MATCH($B$1,[2]gachas!$1:$1,0)+1,FALSE)</f>
        <v>ピックアップ01　あと少し</v>
      </c>
      <c r="D59" s="21">
        <v>0</v>
      </c>
      <c r="E59" s="27">
        <v>128</v>
      </c>
      <c r="F59" s="20" t="str">
        <f ca="1">VLOOKUP($E59,OFFSET([1]characters!$A$2,0,0,COUNTA([1]characters!$A:$A),MATCH(F$1,[1]characters!$2:$2,0)-MATCH($E$1,[1]characters!$2:$2,0)+1),MATCH(F$1,[1]characters!$2:$2,0)-MATCH($E$1,[1]characters!$2:$2,0)+1,FALSE)</f>
        <v>野生児 アマラ</v>
      </c>
      <c r="G59" s="20" t="str">
        <f ca="1">VLOOKUP($E59,OFFSET([1]characters!$A$2,0,0,COUNTA([1]characters!$A:$A),MATCH(G$1,[1]characters!$2:$2,0)-MATCH($E$1,[1]characters!$2:$2,0)+1),MATCH(G$1,[1]characters!$2:$2,0)-MATCH($E$1,[1]characters!$2:$2,0)+1,FALSE)</f>
        <v>PremiumW</v>
      </c>
      <c r="H59" s="20">
        <f ca="1">VLOOKUP($E59,OFFSET([1]characters!$A$2,0,0,COUNTA([1]characters!$A:$A),MATCH(H$1,[1]characters!$2:$2,0)-MATCH($E$1,[1]characters!$2:$2,0)+1),MATCH(H$1,[1]characters!$2:$2,0)-MATCH($E$1,[1]characters!$2:$2,0)+1,FALSE)</f>
        <v>3</v>
      </c>
      <c r="I59" s="2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20" t="str">
        <f ca="1">VLOOKUP($E59,OFFSET([1]characters!$A$2,0,0,COUNTA([1]characters!$A:$A),MATCH("タイプ",[1]characters!$1:$1,0)-MATCH($E$1,[1]characters!$2:$2,0)+2),MATCH("タイプ",[1]characters!$1:$1,0)-MATCH($E$1,[1]characters!$2:$2,0)+2,FALSE)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9" s="20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21">
        <v>1</v>
      </c>
      <c r="M59" s="21">
        <v>1511</v>
      </c>
      <c r="N59" s="18">
        <v>0</v>
      </c>
      <c r="O59" s="18">
        <v>0</v>
      </c>
      <c r="P59" s="18">
        <v>0</v>
      </c>
      <c r="Q59" s="18">
        <v>0</v>
      </c>
      <c r="R59" s="18">
        <v>1</v>
      </c>
    </row>
    <row r="60" spans="1:18" ht="21" customHeight="1">
      <c r="A60" s="8" t="str">
        <f t="shared" si="0"/>
        <v>01301</v>
      </c>
      <c r="B60" s="31">
        <v>105</v>
      </c>
      <c r="C60" s="10" t="str">
        <f ca="1">VLOOKUP($B60,OFFSET([2]gachas!$A$2,0,0,COUNTA([2]gachas!$A:$A),MATCH(C$1,[2]gachas!$1:$1,0)-MATCH($B$1,[2]gachas!$1:$1,0)+1),MATCH(C$1,[2]gachas!$1:$1,0)-MATCH($B$1,[2]gachas!$1:$1,0)+1,FALSE)</f>
        <v>ピックアップ01　あと少し</v>
      </c>
      <c r="D60" s="6">
        <v>0</v>
      </c>
      <c r="E60" s="7">
        <v>130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狼男 ローレンス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PremiumW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3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アニマル</v>
      </c>
      <c r="L60" s="6">
        <v>1</v>
      </c>
      <c r="M60" s="21">
        <v>1511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01321</v>
      </c>
      <c r="B61" s="31">
        <v>105</v>
      </c>
      <c r="C61" s="10" t="str">
        <f ca="1">VLOOKUP($B61,OFFSET([2]gachas!$A$2,0,0,COUNTA([2]gachas!$A:$A),MATCH(C$1,[2]gachas!$1:$1,0)-MATCH($B$1,[2]gachas!$1:$1,0)+1),MATCH(C$1,[2]gachas!$1:$1,0)-MATCH($B$1,[2]gachas!$1:$1,0)+1,FALSE)</f>
        <v>ピックアップ01　あと少し</v>
      </c>
      <c r="D61" s="6">
        <v>0</v>
      </c>
      <c r="E61" s="7">
        <v>132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鳥人ハヤト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3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6">
        <v>1</v>
      </c>
      <c r="M61" s="21">
        <v>1511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01341</v>
      </c>
      <c r="B62" s="31">
        <v>105</v>
      </c>
      <c r="C62" s="10" t="str">
        <f ca="1">VLOOKUP($B62,OFFSET([2]gachas!$A$2,0,0,COUNTA([2]gachas!$A:$A),MATCH(C$1,[2]gachas!$1:$1,0)-MATCH($B$1,[2]gachas!$1:$1,0)+1),MATCH(C$1,[2]gachas!$1:$1,0)-MATCH($B$1,[2]gachas!$1:$1,0)+1,FALSE)</f>
        <v>ピックアップ01　あと少し</v>
      </c>
      <c r="D62" s="6">
        <v>0</v>
      </c>
      <c r="E62" s="7">
        <v>134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妖炎の夕霧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3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6">
        <v>1</v>
      </c>
      <c r="M62" s="21">
        <v>1511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01361</v>
      </c>
      <c r="B63" s="31">
        <v>105</v>
      </c>
      <c r="C63" s="10" t="str">
        <f ca="1">VLOOKUP($B63,OFFSET([2]gachas!$A$2,0,0,COUNTA([2]gachas!$A:$A),MATCH(C$1,[2]gachas!$1:$1,0)-MATCH($B$1,[2]gachas!$1:$1,0)+1),MATCH(C$1,[2]gachas!$1:$1,0)-MATCH($B$1,[2]gachas!$1:$1,0)+1,FALSE)</f>
        <v>ピックアップ01　あと少し</v>
      </c>
      <c r="D63" s="6">
        <v>0</v>
      </c>
      <c r="E63" s="7">
        <v>136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お針子チハヤ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3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ヒューマン</v>
      </c>
      <c r="L63" s="6">
        <v>1</v>
      </c>
      <c r="M63" s="21">
        <v>1511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01381</v>
      </c>
      <c r="B64" s="31">
        <v>105</v>
      </c>
      <c r="C64" s="10" t="str">
        <f ca="1">VLOOKUP($B64,OFFSET([2]gachas!$A$2,0,0,COUNTA([2]gachas!$A:$A),MATCH(C$1,[2]gachas!$1:$1,0)-MATCH($B$1,[2]gachas!$1:$1,0)+1),MATCH(C$1,[2]gachas!$1:$1,0)-MATCH($B$1,[2]gachas!$1:$1,0)+1,FALSE)</f>
        <v>ピックアップ01　あと少し</v>
      </c>
      <c r="D64" s="6">
        <v>0</v>
      </c>
      <c r="E64" s="7">
        <v>138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蒼薙のトモエ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3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6">
        <v>1</v>
      </c>
      <c r="M64" s="21">
        <v>1511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01401</v>
      </c>
      <c r="B65" s="31">
        <v>105</v>
      </c>
      <c r="C65" s="10" t="str">
        <f ca="1">VLOOKUP($B65,OFFSET([2]gachas!$A$2,0,0,COUNTA([2]gachas!$A:$A),MATCH(C$1,[2]gachas!$1:$1,0)-MATCH($B$1,[2]gachas!$1:$1,0)+1),MATCH(C$1,[2]gachas!$1:$1,0)-MATCH($B$1,[2]gachas!$1:$1,0)+1,FALSE)</f>
        <v>ピックアップ01　あと少し</v>
      </c>
      <c r="D65" s="6">
        <v>0</v>
      </c>
      <c r="E65" s="7">
        <v>140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秋祭のタマモ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3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アニマル</v>
      </c>
      <c r="L65" s="6">
        <v>1</v>
      </c>
      <c r="M65" s="21">
        <v>1511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29" si="1">D66&amp;E66&amp;L66</f>
        <v>01421</v>
      </c>
      <c r="B66" s="31">
        <v>105</v>
      </c>
      <c r="C66" s="10" t="str">
        <f ca="1">VLOOKUP($B66,OFFSET([2]gachas!$A$2,0,0,COUNTA([2]gachas!$A:$A),MATCH(C$1,[2]gachas!$1:$1,0)-MATCH($B$1,[2]gachas!$1:$1,0)+1),MATCH(C$1,[2]gachas!$1:$1,0)-MATCH($B$1,[2]gachas!$1:$1,0)+1,FALSE)</f>
        <v>ピックアップ01　あと少し</v>
      </c>
      <c r="D66" s="6">
        <v>0</v>
      </c>
      <c r="E66" s="7">
        <v>142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赤ずきん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PremiumW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3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ヒューマン</v>
      </c>
      <c r="L66" s="6">
        <v>1</v>
      </c>
      <c r="M66" s="21">
        <v>1511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01441</v>
      </c>
      <c r="B67" s="31">
        <v>105</v>
      </c>
      <c r="C67" s="10" t="str">
        <f ca="1">VLOOKUP($B67,OFFSET([2]gachas!$A$2,0,0,COUNTA([2]gachas!$A:$A),MATCH(C$1,[2]gachas!$1:$1,0)-MATCH($B$1,[2]gachas!$1:$1,0)+1),MATCH(C$1,[2]gachas!$1:$1,0)-MATCH($B$1,[2]gachas!$1:$1,0)+1,FALSE)</f>
        <v>ピックアップ01　あと少し</v>
      </c>
      <c r="D67" s="6">
        <v>0</v>
      </c>
      <c r="E67" s="7">
        <v>144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かぐや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PremiumW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3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ヒューマン</v>
      </c>
      <c r="L67" s="6">
        <v>1</v>
      </c>
      <c r="M67" s="21">
        <v>1511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01461</v>
      </c>
      <c r="B68" s="31">
        <v>105</v>
      </c>
      <c r="C68" s="10" t="str">
        <f ca="1">VLOOKUP($B68,OFFSET([2]gachas!$A$2,0,0,COUNTA([2]gachas!$A:$A),MATCH(C$1,[2]gachas!$1:$1,0)-MATCH($B$1,[2]gachas!$1:$1,0)+1),MATCH(C$1,[2]gachas!$1:$1,0)-MATCH($B$1,[2]gachas!$1:$1,0)+1,FALSE)</f>
        <v>ピックアップ01　あと少し</v>
      </c>
      <c r="D68" s="6">
        <v>0</v>
      </c>
      <c r="E68" s="7">
        <v>146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マーメイド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PremiumW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3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21">
        <v>1511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ht="21" customHeight="1">
      <c r="A69" s="8" t="str">
        <f t="shared" si="1"/>
        <v>01481</v>
      </c>
      <c r="B69" s="31">
        <v>105</v>
      </c>
      <c r="C69" s="10" t="str">
        <f ca="1">VLOOKUP($B69,OFFSET([2]gachas!$A$2,0,0,COUNTA([2]gachas!$A:$A),MATCH(C$1,[2]gachas!$1:$1,0)-MATCH($B$1,[2]gachas!$1:$1,0)+1),MATCH(C$1,[2]gachas!$1:$1,0)-MATCH($B$1,[2]gachas!$1:$1,0)+1,FALSE)</f>
        <v>ピックアップ01　あと少し</v>
      </c>
      <c r="D69" s="6">
        <v>0</v>
      </c>
      <c r="E69" s="7">
        <v>148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シンデレラ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PremiumW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3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ヒューマン</v>
      </c>
      <c r="L69" s="6">
        <v>1</v>
      </c>
      <c r="M69" s="21">
        <v>1511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01501</v>
      </c>
      <c r="B70" s="31">
        <v>105</v>
      </c>
      <c r="C70" s="10" t="str">
        <f ca="1">VLOOKUP($B70,OFFSET([2]gachas!$A$2,0,0,COUNTA([2]gachas!$A:$A),MATCH(C$1,[2]gachas!$1:$1,0)-MATCH($B$1,[2]gachas!$1:$1,0)+1),MATCH(C$1,[2]gachas!$1:$1,0)-MATCH($B$1,[2]gachas!$1:$1,0)+1,FALSE)</f>
        <v>ピックアップ01　あと少し</v>
      </c>
      <c r="D70" s="6">
        <v>0</v>
      </c>
      <c r="E70" s="7">
        <v>150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ポイズンマスターサキ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PremiumW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3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ヒューマン</v>
      </c>
      <c r="L70" s="6">
        <v>1</v>
      </c>
      <c r="M70" s="21">
        <v>1511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01521</v>
      </c>
      <c r="B71" s="31">
        <v>105</v>
      </c>
      <c r="C71" s="10" t="str">
        <f ca="1">VLOOKUP($B71,OFFSET([2]gachas!$A$2,0,0,COUNTA([2]gachas!$A:$A),MATCH(C$1,[2]gachas!$1:$1,0)-MATCH($B$1,[2]gachas!$1:$1,0)+1),MATCH(C$1,[2]gachas!$1:$1,0)-MATCH($B$1,[2]gachas!$1:$1,0)+1,FALSE)</f>
        <v>ピックアップ01　あと少し</v>
      </c>
      <c r="D71" s="6">
        <v>0</v>
      </c>
      <c r="E71" s="7">
        <v>152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功夫少女ランラン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PremiumW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3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green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ヒューマン</v>
      </c>
      <c r="L71" s="6">
        <v>1</v>
      </c>
      <c r="M71" s="21">
        <v>1511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01541</v>
      </c>
      <c r="B72" s="31">
        <v>105</v>
      </c>
      <c r="C72" s="10" t="str">
        <f ca="1">VLOOKUP($B72,OFFSET([2]gachas!$A$2,0,0,COUNTA([2]gachas!$A:$A),MATCH(C$1,[2]gachas!$1:$1,0)-MATCH($B$1,[2]gachas!$1:$1,0)+1),MATCH(C$1,[2]gachas!$1:$1,0)-MATCH($B$1,[2]gachas!$1:$1,0)+1,FALSE)</f>
        <v>ピックアップ01　あと少し</v>
      </c>
      <c r="D72" s="6">
        <v>0</v>
      </c>
      <c r="E72" s="7">
        <v>154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始末屋 ハンナ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PremiumW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3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blue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ヒューマン</v>
      </c>
      <c r="L72" s="6">
        <v>1</v>
      </c>
      <c r="M72" s="21">
        <v>1511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01561</v>
      </c>
      <c r="B73" s="31">
        <v>105</v>
      </c>
      <c r="C73" s="10" t="str">
        <f ca="1">VLOOKUP($B73,OFFSET([2]gachas!$A$2,0,0,COUNTA([2]gachas!$A:$A),MATCH(C$1,[2]gachas!$1:$1,0)-MATCH($B$1,[2]gachas!$1:$1,0)+1),MATCH(C$1,[2]gachas!$1:$1,0)-MATCH($B$1,[2]gachas!$1:$1,0)+1,FALSE)</f>
        <v>ピックアップ01　あと少し</v>
      </c>
      <c r="D73" s="6">
        <v>0</v>
      </c>
      <c r="E73" s="7">
        <v>156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踊り子 エレナ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PremiumW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3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yellow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ヒューマン</v>
      </c>
      <c r="L73" s="6">
        <v>1</v>
      </c>
      <c r="M73" s="21">
        <v>1511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01581</v>
      </c>
      <c r="B74" s="31">
        <v>105</v>
      </c>
      <c r="C74" s="10" t="str">
        <f ca="1">VLOOKUP($B74,OFFSET([2]gachas!$A$2,0,0,COUNTA([2]gachas!$A:$A),MATCH(C$1,[2]gachas!$1:$1,0)-MATCH($B$1,[2]gachas!$1:$1,0)+1),MATCH(C$1,[2]gachas!$1:$1,0)-MATCH($B$1,[2]gachas!$1:$1,0)+1,FALSE)</f>
        <v>ピックアップ01　あと少し</v>
      </c>
      <c r="D74" s="6">
        <v>0</v>
      </c>
      <c r="E74" s="7">
        <v>158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PremiumW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3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red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6">
        <v>1</v>
      </c>
      <c r="M74" s="21">
        <v>1511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01601</v>
      </c>
      <c r="B75" s="31">
        <v>105</v>
      </c>
      <c r="C75" s="10" t="str">
        <f ca="1">VLOOKUP($B75,OFFSET([2]gachas!$A$2,0,0,COUNTA([2]gachas!$A:$A),MATCH(C$1,[2]gachas!$1:$1,0)-MATCH($B$1,[2]gachas!$1:$1,0)+1),MATCH(C$1,[2]gachas!$1:$1,0)-MATCH($B$1,[2]gachas!$1:$1,0)+1,FALSE)</f>
        <v>ピックアップ01　あと少し</v>
      </c>
      <c r="D75" s="6">
        <v>0</v>
      </c>
      <c r="E75" s="7">
        <v>160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反逆者 クリエ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PremiumW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3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green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6">
        <v>1</v>
      </c>
      <c r="M75" s="21">
        <v>1511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01621</v>
      </c>
      <c r="B76" s="31">
        <v>105</v>
      </c>
      <c r="C76" s="10" t="str">
        <f ca="1">VLOOKUP($B76,OFFSET([2]gachas!$A$2,0,0,COUNTA([2]gachas!$A:$A),MATCH(C$1,[2]gachas!$1:$1,0)-MATCH($B$1,[2]gachas!$1:$1,0)+1),MATCH(C$1,[2]gachas!$1:$1,0)-MATCH($B$1,[2]gachas!$1:$1,0)+1,FALSE)</f>
        <v>ピックアップ01　あと少し</v>
      </c>
      <c r="D76" s="6">
        <v>0</v>
      </c>
      <c r="E76" s="7">
        <v>162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狂女 クララ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PremiumW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3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blue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6">
        <v>1</v>
      </c>
      <c r="M76" s="21">
        <v>1511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ht="21" customHeight="1">
      <c r="A77" s="8" t="str">
        <f t="shared" si="1"/>
        <v>01641</v>
      </c>
      <c r="B77" s="31">
        <v>105</v>
      </c>
      <c r="C77" s="10" t="str">
        <f ca="1">VLOOKUP($B77,OFFSET([2]gachas!$A$2,0,0,COUNTA([2]gachas!$A:$A),MATCH(C$1,[2]gachas!$1:$1,0)-MATCH($B$1,[2]gachas!$1:$1,0)+1),MATCH(C$1,[2]gachas!$1:$1,0)-MATCH($B$1,[2]gachas!$1:$1,0)+1,FALSE)</f>
        <v>ピックアップ01　あと少し</v>
      </c>
      <c r="D77" s="6">
        <v>0</v>
      </c>
      <c r="E77" s="7">
        <v>164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イブとトモダチ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PremiumW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3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6">
        <v>1</v>
      </c>
      <c r="M77" s="21">
        <v>1511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>
      <c r="A78" s="8" t="str">
        <f t="shared" si="1"/>
        <v>01661</v>
      </c>
      <c r="B78" s="31">
        <v>105</v>
      </c>
      <c r="C78" s="10" t="str">
        <f ca="1">VLOOKUP($B78,OFFSET([2]gachas!$A$2,0,0,COUNTA([2]gachas!$A:$A),MATCH(C$1,[2]gachas!$1:$1,0)-MATCH($B$1,[2]gachas!$1:$1,0)+1),MATCH(C$1,[2]gachas!$1:$1,0)-MATCH($B$1,[2]gachas!$1:$1,0)+1,FALSE)</f>
        <v>ピックアップ01　あと少し</v>
      </c>
      <c r="D78" s="6">
        <v>0</v>
      </c>
      <c r="E78" s="7">
        <v>166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ベリアル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PremiumN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3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6">
        <v>1719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>
      <c r="A79" s="8" t="str">
        <f t="shared" si="1"/>
        <v>01721</v>
      </c>
      <c r="B79" s="31">
        <v>105</v>
      </c>
      <c r="C79" s="10" t="str">
        <f ca="1">VLOOKUP($B79,OFFSET([2]gachas!$A$2,0,0,COUNTA([2]gachas!$A:$A),MATCH(C$1,[2]gachas!$1:$1,0)-MATCH($B$1,[2]gachas!$1:$1,0)+1),MATCH(C$1,[2]gachas!$1:$1,0)-MATCH($B$1,[2]gachas!$1:$1,0)+1,FALSE)</f>
        <v>ピックアップ01　あと少し</v>
      </c>
      <c r="D79" s="6">
        <v>0</v>
      </c>
      <c r="E79" s="7">
        <v>172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フォルネウス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PremiumN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3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blue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6">
        <v>1719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>
      <c r="A80" s="8" t="str">
        <f t="shared" si="1"/>
        <v>01751</v>
      </c>
      <c r="B80" s="31">
        <v>105</v>
      </c>
      <c r="C80" s="10" t="str">
        <f ca="1">VLOOKUP($B80,OFFSET([2]gachas!$A$2,0,0,COUNTA([2]gachas!$A:$A),MATCH(C$1,[2]gachas!$1:$1,0)-MATCH($B$1,[2]gachas!$1:$1,0)+1),MATCH(C$1,[2]gachas!$1:$1,0)-MATCH($B$1,[2]gachas!$1:$1,0)+1,FALSE)</f>
        <v>ピックアップ01　あと少し</v>
      </c>
      <c r="D80" s="6">
        <v>0</v>
      </c>
      <c r="E80" s="7">
        <v>175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バフォメット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PremiumN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3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yellow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6">
        <v>1719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>
      <c r="A81" s="8" t="str">
        <f t="shared" si="1"/>
        <v>01781</v>
      </c>
      <c r="B81" s="31">
        <v>105</v>
      </c>
      <c r="C81" s="10" t="str">
        <f ca="1">VLOOKUP($B81,OFFSET([2]gachas!$A$2,0,0,COUNTA([2]gachas!$A:$A),MATCH(C$1,[2]gachas!$1:$1,0)-MATCH($B$1,[2]gachas!$1:$1,0)+1),MATCH(C$1,[2]gachas!$1:$1,0)-MATCH($B$1,[2]gachas!$1:$1,0)+1,FALSE)</f>
        <v>ピックアップ01　あと少し</v>
      </c>
      <c r="D81" s="6">
        <v>0</v>
      </c>
      <c r="E81" s="7">
        <v>178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ケルベロス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3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red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アニマル</v>
      </c>
      <c r="L81" s="6">
        <v>1</v>
      </c>
      <c r="M81" s="6">
        <v>1719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>
      <c r="A82" s="8" t="str">
        <f t="shared" si="1"/>
        <v>01811</v>
      </c>
      <c r="B82" s="31">
        <v>105</v>
      </c>
      <c r="C82" s="10" t="str">
        <f ca="1">VLOOKUP($B82,OFFSET([2]gachas!$A$2,0,0,COUNTA([2]gachas!$A:$A),MATCH(C$1,[2]gachas!$1:$1,0)-MATCH($B$1,[2]gachas!$1:$1,0)+1),MATCH(C$1,[2]gachas!$1:$1,0)-MATCH($B$1,[2]gachas!$1:$1,0)+1,FALSE)</f>
        <v>ピックアップ01　あと少し</v>
      </c>
      <c r="D82" s="6">
        <v>0</v>
      </c>
      <c r="E82" s="7">
        <v>181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ベヒモス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3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green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アニマル</v>
      </c>
      <c r="L82" s="6">
        <v>1</v>
      </c>
      <c r="M82" s="6">
        <v>1719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>
      <c r="A83" s="8" t="str">
        <f t="shared" si="1"/>
        <v>01841</v>
      </c>
      <c r="B83" s="31">
        <v>105</v>
      </c>
      <c r="C83" s="10" t="str">
        <f ca="1">VLOOKUP($B83,OFFSET([2]gachas!$A$2,0,0,COUNTA([2]gachas!$A:$A),MATCH(C$1,[2]gachas!$1:$1,0)-MATCH($B$1,[2]gachas!$1:$1,0)+1),MATCH(C$1,[2]gachas!$1:$1,0)-MATCH($B$1,[2]gachas!$1:$1,0)+1,FALSE)</f>
        <v>ピックアップ01　あと少し</v>
      </c>
      <c r="D83" s="6">
        <v>0</v>
      </c>
      <c r="E83" s="7">
        <v>184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クラーケン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3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アニマル</v>
      </c>
      <c r="L83" s="6">
        <v>1</v>
      </c>
      <c r="M83" s="6">
        <v>1719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>
      <c r="A84" s="8" t="str">
        <f t="shared" si="1"/>
        <v>01871</v>
      </c>
      <c r="B84" s="31">
        <v>105</v>
      </c>
      <c r="C84" s="10" t="str">
        <f ca="1">VLOOKUP($B84,OFFSET([2]gachas!$A$2,0,0,COUNTA([2]gachas!$A:$A),MATCH(C$1,[2]gachas!$1:$1,0)-MATCH($B$1,[2]gachas!$1:$1,0)+1),MATCH(C$1,[2]gachas!$1:$1,0)-MATCH($B$1,[2]gachas!$1:$1,0)+1,FALSE)</f>
        <v>ピックアップ01　あと少し</v>
      </c>
      <c r="D84" s="6">
        <v>0</v>
      </c>
      <c r="E84" s="7">
        <v>187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ホルス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3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アニマル</v>
      </c>
      <c r="L84" s="6">
        <v>1</v>
      </c>
      <c r="M84" s="6">
        <v>1719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>
      <c r="A85" s="8" t="str">
        <f t="shared" si="1"/>
        <v>01901</v>
      </c>
      <c r="B85" s="31">
        <v>105</v>
      </c>
      <c r="C85" s="10" t="str">
        <f ca="1">VLOOKUP($B85,OFFSET([2]gachas!$A$2,0,0,COUNTA([2]gachas!$A:$A),MATCH(C$1,[2]gachas!$1:$1,0)-MATCH($B$1,[2]gachas!$1:$1,0)+1),MATCH(C$1,[2]gachas!$1:$1,0)-MATCH($B$1,[2]gachas!$1:$1,0)+1,FALSE)</f>
        <v>ピックアップ01　あと少し</v>
      </c>
      <c r="D85" s="6">
        <v>0</v>
      </c>
      <c r="E85" s="7">
        <v>190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卑弥呼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3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red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ヒューマン</v>
      </c>
      <c r="L85" s="6">
        <v>1</v>
      </c>
      <c r="M85" s="6">
        <v>1719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>
      <c r="A86" s="8" t="str">
        <f t="shared" si="1"/>
        <v>01931</v>
      </c>
      <c r="B86" s="31">
        <v>105</v>
      </c>
      <c r="C86" s="10" t="str">
        <f ca="1">VLOOKUP($B86,OFFSET([2]gachas!$A$2,0,0,COUNTA([2]gachas!$A:$A),MATCH(C$1,[2]gachas!$1:$1,0)-MATCH($B$1,[2]gachas!$1:$1,0)+1),MATCH(C$1,[2]gachas!$1:$1,0)-MATCH($B$1,[2]gachas!$1:$1,0)+1,FALSE)</f>
        <v>ピックアップ01　あと少し</v>
      </c>
      <c r="D86" s="6">
        <v>0</v>
      </c>
      <c r="E86" s="7">
        <v>193</v>
      </c>
      <c r="F86" s="10" t="str">
        <f ca="1">VLOOKUP($E86,OFFSET([1]characters!$A$2,0,0,COUNTA([1]characters!$A:$A),MATCH(F$1,[1]characters!$2:$2,0)-MATCH($E$1,[1]characters!$2:$2,0)+1),MATCH(F$1,[1]characters!$2:$2,0)-MATCH($E$1,[1]characters!$2:$2,0)+1,FALSE)</f>
        <v>ロビンフッド</v>
      </c>
      <c r="G86" s="10" t="str">
        <f ca="1">VLOOKUP($E86,OFFSET([1]characters!$A$2,0,0,COUNTA([1]characters!$A:$A),MATCH(G$1,[1]characters!$2:$2,0)-MATCH($E$1,[1]characters!$2:$2,0)+1),MATCH(G$1,[1]characters!$2:$2,0)-MATCH($E$1,[1]characters!$2:$2,0)+1,FALSE)</f>
        <v>PremiumN</v>
      </c>
      <c r="H86" s="10">
        <f ca="1">VLOOKUP($E86,OFFSET([1]characters!$A$2,0,0,COUNTA([1]characters!$A:$A),MATCH(H$1,[1]characters!$2:$2,0)-MATCH($E$1,[1]characters!$2:$2,0)+1),MATCH(H$1,[1]characters!$2:$2,0)-MATCH($E$1,[1]characters!$2:$2,0)+1,FALSE)</f>
        <v>3</v>
      </c>
      <c r="I86" s="10" t="str">
        <f ca="1">VLOOKUP($E86,OFFSET([1]characters!$A$2,0,0,COUNTA([1]characters!$A:$A),MATCH(I$1,[1]characters!$2:$2,0)-MATCH($E$1,[1]characters!$2:$2,0)+1),MATCH(I$1,[1]characters!$2:$2,0)-MATCH($E$1,[1]characters!$2:$2,0)+1,FALSE)</f>
        <v>green</v>
      </c>
      <c r="J86" s="10" t="str">
        <f ca="1">VLOOKUP($E86,OFFSET([1]characters!$A$2,0,0,COUNTA([1]characters!$A:$A),MATCH("タイプ",[1]characters!$1:$1,0)-MATCH($E$1,[1]characters!$2:$2,0)+2),MATCH("タイプ",[1]characters!$1:$1,0)-MATCH($E$1,[1]characters!$2:$2,0)+2,FALSE)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6" s="1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6">
        <v>1</v>
      </c>
      <c r="M86" s="6">
        <v>1719</v>
      </c>
      <c r="N86" s="28">
        <v>0</v>
      </c>
      <c r="O86" s="28">
        <v>0</v>
      </c>
      <c r="P86" s="28">
        <v>0</v>
      </c>
      <c r="Q86" s="28">
        <v>0</v>
      </c>
      <c r="R86" s="28">
        <v>1</v>
      </c>
    </row>
    <row r="87" spans="1:18" ht="21" customHeight="1">
      <c r="A87" s="8" t="str">
        <f t="shared" si="1"/>
        <v>01961</v>
      </c>
      <c r="B87" s="31">
        <v>105</v>
      </c>
      <c r="C87" s="10" t="str">
        <f ca="1">VLOOKUP($B87,OFFSET([2]gachas!$A$2,0,0,COUNTA([2]gachas!$A:$A),MATCH(C$1,[2]gachas!$1:$1,0)-MATCH($B$1,[2]gachas!$1:$1,0)+1),MATCH(C$1,[2]gachas!$1:$1,0)-MATCH($B$1,[2]gachas!$1:$1,0)+1,FALSE)</f>
        <v>ピックアップ01　あと少し</v>
      </c>
      <c r="D87" s="6">
        <v>0</v>
      </c>
      <c r="E87" s="7">
        <v>196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アキレス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PremiumN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3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yellow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6">
        <v>1719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>
      <c r="A88" s="8" t="str">
        <f t="shared" si="1"/>
        <v>02021</v>
      </c>
      <c r="B88" s="31">
        <v>105</v>
      </c>
      <c r="C88" s="10" t="str">
        <f ca="1">VLOOKUP($B88,OFFSET([2]gachas!$A$2,0,0,COUNTA([2]gachas!$A:$A),MATCH(C$1,[2]gachas!$1:$1,0)-MATCH($B$1,[2]gachas!$1:$1,0)+1),MATCH(C$1,[2]gachas!$1:$1,0)-MATCH($B$1,[2]gachas!$1:$1,0)+1,FALSE)</f>
        <v>ピックアップ01　あと少し</v>
      </c>
      <c r="D88" s="6">
        <v>0</v>
      </c>
      <c r="E88" s="7">
        <v>202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プロメテウス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PremiumN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3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red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ゴッド</v>
      </c>
      <c r="L88" s="6">
        <v>1</v>
      </c>
      <c r="M88" s="6">
        <v>1719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>
      <c r="A89" s="8" t="str">
        <f t="shared" si="1"/>
        <v>02051</v>
      </c>
      <c r="B89" s="31">
        <v>105</v>
      </c>
      <c r="C89" s="10" t="str">
        <f ca="1">VLOOKUP($B89,OFFSET([2]gachas!$A$2,0,0,COUNTA([2]gachas!$A:$A),MATCH(C$1,[2]gachas!$1:$1,0)-MATCH($B$1,[2]gachas!$1:$1,0)+1),MATCH(C$1,[2]gachas!$1:$1,0)-MATCH($B$1,[2]gachas!$1:$1,0)+1,FALSE)</f>
        <v>ピックアップ01　あと少し</v>
      </c>
      <c r="D89" s="6">
        <v>0</v>
      </c>
      <c r="E89" s="7">
        <v>205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アフロディーテ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PremiumN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3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ゴッド</v>
      </c>
      <c r="L89" s="6">
        <v>1</v>
      </c>
      <c r="M89" s="6">
        <v>1719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>
      <c r="A90" s="8" t="str">
        <f t="shared" si="1"/>
        <v>02081</v>
      </c>
      <c r="B90" s="31">
        <v>105</v>
      </c>
      <c r="C90" s="10" t="str">
        <f ca="1">VLOOKUP($B90,OFFSET([2]gachas!$A$2,0,0,COUNTA([2]gachas!$A:$A),MATCH(C$1,[2]gachas!$1:$1,0)-MATCH($B$1,[2]gachas!$1:$1,0)+1),MATCH(C$1,[2]gachas!$1:$1,0)-MATCH($B$1,[2]gachas!$1:$1,0)+1,FALSE)</f>
        <v>ピックアップ01　あと少し</v>
      </c>
      <c r="D90" s="6">
        <v>0</v>
      </c>
      <c r="E90" s="7">
        <v>208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テティス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3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ゴッド</v>
      </c>
      <c r="L90" s="6">
        <v>1</v>
      </c>
      <c r="M90" s="6">
        <v>1719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>
      <c r="A91" s="8" t="str">
        <f t="shared" si="1"/>
        <v>02111</v>
      </c>
      <c r="B91" s="31">
        <v>105</v>
      </c>
      <c r="C91" s="10" t="str">
        <f ca="1">VLOOKUP($B91,OFFSET([2]gachas!$A$2,0,0,COUNTA([2]gachas!$A:$A),MATCH(C$1,[2]gachas!$1:$1,0)-MATCH($B$1,[2]gachas!$1:$1,0)+1),MATCH(C$1,[2]gachas!$1:$1,0)-MATCH($B$1,[2]gachas!$1:$1,0)+1,FALSE)</f>
        <v>ピックアップ01　あと少し</v>
      </c>
      <c r="D91" s="6">
        <v>0</v>
      </c>
      <c r="E91" s="7">
        <v>211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アストライアー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3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yellow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ゴッド</v>
      </c>
      <c r="L91" s="6">
        <v>1</v>
      </c>
      <c r="M91" s="6">
        <v>1719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>
      <c r="A92" s="8" t="str">
        <f t="shared" si="1"/>
        <v>02141</v>
      </c>
      <c r="B92" s="31">
        <v>105</v>
      </c>
      <c r="C92" s="10" t="str">
        <f ca="1">VLOOKUP($B92,OFFSET([2]gachas!$A$2,0,0,COUNTA([2]gachas!$A:$A),MATCH(C$1,[2]gachas!$1:$1,0)-MATCH($B$1,[2]gachas!$1:$1,0)+1),MATCH(C$1,[2]gachas!$1:$1,0)-MATCH($B$1,[2]gachas!$1:$1,0)+1,FALSE)</f>
        <v>ピックアップ01　あと少し</v>
      </c>
      <c r="D92" s="6">
        <v>0</v>
      </c>
      <c r="E92" s="7">
        <v>214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アズラエル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3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red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ゴッド</v>
      </c>
      <c r="L92" s="6">
        <v>1</v>
      </c>
      <c r="M92" s="6">
        <v>1719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>
      <c r="A93" s="8" t="str">
        <f t="shared" si="1"/>
        <v>02171</v>
      </c>
      <c r="B93" s="31">
        <v>105</v>
      </c>
      <c r="C93" s="10" t="str">
        <f ca="1">VLOOKUP($B93,OFFSET([2]gachas!$A$2,0,0,COUNTA([2]gachas!$A:$A),MATCH(C$1,[2]gachas!$1:$1,0)-MATCH($B$1,[2]gachas!$1:$1,0)+1),MATCH(C$1,[2]gachas!$1:$1,0)-MATCH($B$1,[2]gachas!$1:$1,0)+1,FALSE)</f>
        <v>ピックアップ01　あと少し</v>
      </c>
      <c r="D93" s="6">
        <v>0</v>
      </c>
      <c r="E93" s="7">
        <v>217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ケツァクアトル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3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green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ドラゴン</v>
      </c>
      <c r="L93" s="6">
        <v>1</v>
      </c>
      <c r="M93" s="6">
        <v>1719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>
      <c r="A94" s="8" t="str">
        <f t="shared" si="1"/>
        <v>02201</v>
      </c>
      <c r="B94" s="31">
        <v>105</v>
      </c>
      <c r="C94" s="10" t="str">
        <f ca="1">VLOOKUP($B94,OFFSET([2]gachas!$A$2,0,0,COUNTA([2]gachas!$A:$A),MATCH(C$1,[2]gachas!$1:$1,0)-MATCH($B$1,[2]gachas!$1:$1,0)+1),MATCH(C$1,[2]gachas!$1:$1,0)-MATCH($B$1,[2]gachas!$1:$1,0)+1,FALSE)</f>
        <v>ピックアップ01　あと少し</v>
      </c>
      <c r="D94" s="6">
        <v>0</v>
      </c>
      <c r="E94" s="7">
        <v>220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ルキフグス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blue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ゴッド</v>
      </c>
      <c r="L94" s="6">
        <v>1</v>
      </c>
      <c r="M94" s="6">
        <v>1719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>
      <c r="A95" s="8" t="str">
        <f t="shared" si="1"/>
        <v>02231</v>
      </c>
      <c r="B95" s="31">
        <v>105</v>
      </c>
      <c r="C95" s="10" t="str">
        <f ca="1">VLOOKUP($B95,OFFSET([2]gachas!$A$2,0,0,COUNTA([2]gachas!$A:$A),MATCH(C$1,[2]gachas!$1:$1,0)-MATCH($B$1,[2]gachas!$1:$1,0)+1),MATCH(C$1,[2]gachas!$1:$1,0)-MATCH($B$1,[2]gachas!$1:$1,0)+1,FALSE)</f>
        <v>ピックアップ01　あと少し</v>
      </c>
      <c r="D95" s="6">
        <v>0</v>
      </c>
      <c r="E95" s="7">
        <v>223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ヘラクレス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yellow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ヒューマン</v>
      </c>
      <c r="L95" s="6">
        <v>1</v>
      </c>
      <c r="M95" s="6">
        <v>1719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>
      <c r="A96" s="8" t="str">
        <f t="shared" si="1"/>
        <v>02291</v>
      </c>
      <c r="B96" s="31">
        <v>105</v>
      </c>
      <c r="C96" s="10" t="str">
        <f ca="1">VLOOKUP($B96,OFFSET([2]gachas!$A$2,0,0,COUNTA([2]gachas!$A:$A),MATCH(C$1,[2]gachas!$1:$1,0)-MATCH($B$1,[2]gachas!$1:$1,0)+1),MATCH(C$1,[2]gachas!$1:$1,0)-MATCH($B$1,[2]gachas!$1:$1,0)+1,FALSE)</f>
        <v>ピックアップ01　あと少し</v>
      </c>
      <c r="D96" s="6">
        <v>0</v>
      </c>
      <c r="E96" s="7">
        <v>229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ヨルムンガンド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6">
        <v>1</v>
      </c>
      <c r="M96" s="6">
        <v>1165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02321</v>
      </c>
      <c r="B97" s="31">
        <v>105</v>
      </c>
      <c r="C97" s="10" t="str">
        <f ca="1">VLOOKUP($B97,OFFSET([2]gachas!$A$2,0,0,COUNTA([2]gachas!$A:$A),MATCH(C$1,[2]gachas!$1:$1,0)-MATCH($B$1,[2]gachas!$1:$1,0)+1),MATCH(C$1,[2]gachas!$1:$1,0)-MATCH($B$1,[2]gachas!$1:$1,0)+1,FALSE)</f>
        <v>ピックアップ01　あと少し</v>
      </c>
      <c r="D97" s="6">
        <v>0</v>
      </c>
      <c r="E97" s="7">
        <v>232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パーシヴァル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blue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ヒューマン</v>
      </c>
      <c r="L97" s="6">
        <v>1</v>
      </c>
      <c r="M97" s="6">
        <v>1165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01271</v>
      </c>
      <c r="B98" s="31">
        <v>105</v>
      </c>
      <c r="C98" s="10" t="str">
        <f ca="1">VLOOKUP($B98,OFFSET([2]gachas!$A$2,0,0,COUNTA([2]gachas!$A:$A),MATCH(C$1,[2]gachas!$1:$1,0)-MATCH($B$1,[2]gachas!$1:$1,0)+1),MATCH(C$1,[2]gachas!$1:$1,0)-MATCH($B$1,[2]gachas!$1:$1,0)+1,FALSE)</f>
        <v>ピックアップ01　あと少し</v>
      </c>
      <c r="D98" s="6">
        <v>0</v>
      </c>
      <c r="E98" s="7">
        <v>127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狂喜の賢者 ユノ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PremiumW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6">
        <v>1</v>
      </c>
      <c r="M98" s="6">
        <v>540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01291</v>
      </c>
      <c r="B99" s="31">
        <v>105</v>
      </c>
      <c r="C99" s="10" t="str">
        <f ca="1">VLOOKUP($B99,OFFSET([2]gachas!$A$2,0,0,COUNTA([2]gachas!$A:$A),MATCH(C$1,[2]gachas!$1:$1,0)-MATCH($B$1,[2]gachas!$1:$1,0)+1),MATCH(C$1,[2]gachas!$1:$1,0)-MATCH($B$1,[2]gachas!$1:$1,0)+1,FALSE)</f>
        <v>ピックアップ01　あと少し</v>
      </c>
      <c r="D99" s="6">
        <v>0</v>
      </c>
      <c r="E99" s="7">
        <v>129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孤高の狼憑き アマラ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PremiumW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4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6">
        <v>1</v>
      </c>
      <c r="M99" s="6">
        <v>540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01311</v>
      </c>
      <c r="B100" s="31">
        <v>105</v>
      </c>
      <c r="C100" s="10" t="str">
        <f ca="1">VLOOKUP($B100,OFFSET([2]gachas!$A$2,0,0,COUNTA([2]gachas!$A:$A),MATCH(C$1,[2]gachas!$1:$1,0)-MATCH($B$1,[2]gachas!$1:$1,0)+1),MATCH(C$1,[2]gachas!$1:$1,0)-MATCH($B$1,[2]gachas!$1:$1,0)+1,FALSE)</f>
        <v>ピックアップ01　あと少し</v>
      </c>
      <c r="D100" s="6">
        <v>0</v>
      </c>
      <c r="E100" s="7">
        <v>131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PremiumW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blue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6">
        <v>1</v>
      </c>
      <c r="M100" s="6">
        <v>540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01331</v>
      </c>
      <c r="B101" s="31">
        <v>105</v>
      </c>
      <c r="C101" s="10" t="str">
        <f ca="1">VLOOKUP($B101,OFFSET([2]gachas!$A$2,0,0,COUNTA([2]gachas!$A:$A),MATCH(C$1,[2]gachas!$1:$1,0)-MATCH($B$1,[2]gachas!$1:$1,0)+1),MATCH(C$1,[2]gachas!$1:$1,0)-MATCH($B$1,[2]gachas!$1:$1,0)+1,FALSE)</f>
        <v>ピックアップ01　あと少し</v>
      </c>
      <c r="D101" s="6">
        <v>0</v>
      </c>
      <c r="E101" s="7">
        <v>133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迅雷の刀剣 ハヤト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PremiumW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4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ヒューマン</v>
      </c>
      <c r="L101" s="6">
        <v>1</v>
      </c>
      <c r="M101" s="6">
        <v>540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01351</v>
      </c>
      <c r="B102" s="31">
        <v>105</v>
      </c>
      <c r="C102" s="10" t="str">
        <f ca="1">VLOOKUP($B102,OFFSET([2]gachas!$A$2,0,0,COUNTA([2]gachas!$A:$A),MATCH(C$1,[2]gachas!$1:$1,0)-MATCH($B$1,[2]gachas!$1:$1,0)+1),MATCH(C$1,[2]gachas!$1:$1,0)-MATCH($B$1,[2]gachas!$1:$1,0)+1,FALSE)</f>
        <v>ピックアップ01　あと少し</v>
      </c>
      <c r="D102" s="6">
        <v>0</v>
      </c>
      <c r="E102" s="7">
        <v>135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京の炎華夕霧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4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6">
        <v>1</v>
      </c>
      <c r="M102" s="6">
        <v>540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01371</v>
      </c>
      <c r="B103" s="31">
        <v>105</v>
      </c>
      <c r="C103" s="10" t="str">
        <f ca="1">VLOOKUP($B103,OFFSET([2]gachas!$A$2,0,0,COUNTA([2]gachas!$A:$A),MATCH(C$1,[2]gachas!$1:$1,0)-MATCH($B$1,[2]gachas!$1:$1,0)+1),MATCH(C$1,[2]gachas!$1:$1,0)-MATCH($B$1,[2]gachas!$1:$1,0)+1,FALSE)</f>
        <v>ピックアップ01　あと少し</v>
      </c>
      <c r="D103" s="6">
        <v>0</v>
      </c>
      <c r="E103" s="7">
        <v>137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清福の仕立屋 チハヤ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4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6">
        <v>1</v>
      </c>
      <c r="M103" s="6">
        <v>540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01391</v>
      </c>
      <c r="B104" s="31">
        <v>105</v>
      </c>
      <c r="C104" s="10" t="str">
        <f ca="1">VLOOKUP($B104,OFFSET([2]gachas!$A$2,0,0,COUNTA([2]gachas!$A:$A),MATCH(C$1,[2]gachas!$1:$1,0)-MATCH($B$1,[2]gachas!$1:$1,0)+1),MATCH(C$1,[2]gachas!$1:$1,0)-MATCH($B$1,[2]gachas!$1:$1,0)+1,FALSE)</f>
        <v>ピックアップ01　あと少し</v>
      </c>
      <c r="D104" s="6">
        <v>0</v>
      </c>
      <c r="E104" s="7">
        <v>139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蒼昇刃姫 トモエ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4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6">
        <v>540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01411</v>
      </c>
      <c r="B105" s="31">
        <v>105</v>
      </c>
      <c r="C105" s="10" t="str">
        <f ca="1">VLOOKUP($B105,OFFSET([2]gachas!$A$2,0,0,COUNTA([2]gachas!$A:$A),MATCH(C$1,[2]gachas!$1:$1,0)-MATCH($B$1,[2]gachas!$1:$1,0)+1),MATCH(C$1,[2]gachas!$1:$1,0)-MATCH($B$1,[2]gachas!$1:$1,0)+1,FALSE)</f>
        <v>ピックアップ01　あと少し</v>
      </c>
      <c r="D105" s="6">
        <v>0</v>
      </c>
      <c r="E105" s="7">
        <v>141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妖狐演舞 タマモ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4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アニマル</v>
      </c>
      <c r="L105" s="6">
        <v>1</v>
      </c>
      <c r="M105" s="6">
        <v>540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01431</v>
      </c>
      <c r="B106" s="31">
        <v>105</v>
      </c>
      <c r="C106" s="10" t="str">
        <f ca="1">VLOOKUP($B106,OFFSET([2]gachas!$A$2,0,0,COUNTA([2]gachas!$A:$A),MATCH(C$1,[2]gachas!$1:$1,0)-MATCH($B$1,[2]gachas!$1:$1,0)+1),MATCH(C$1,[2]gachas!$1:$1,0)-MATCH($B$1,[2]gachas!$1:$1,0)+1,FALSE)</f>
        <v>ピックアップ01　あと少し</v>
      </c>
      <c r="D106" s="6">
        <v>0</v>
      </c>
      <c r="E106" s="7">
        <v>143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深紅の死神 赤ずきん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4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6">
        <v>540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01451</v>
      </c>
      <c r="B107" s="31">
        <v>105</v>
      </c>
      <c r="C107" s="10" t="str">
        <f ca="1">VLOOKUP($B107,OFFSET([2]gachas!$A$2,0,0,COUNTA([2]gachas!$A:$A),MATCH(C$1,[2]gachas!$1:$1,0)-MATCH($B$1,[2]gachas!$1:$1,0)+1),MATCH(C$1,[2]gachas!$1:$1,0)-MATCH($B$1,[2]gachas!$1:$1,0)+1,FALSE)</f>
        <v>ピックアップ01　あと少し</v>
      </c>
      <c r="D107" s="6">
        <v>0</v>
      </c>
      <c r="E107" s="7">
        <v>145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魔性妖艶 かぐや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4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6">
        <v>540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01471</v>
      </c>
      <c r="B108" s="31">
        <v>105</v>
      </c>
      <c r="C108" s="10" t="str">
        <f ca="1">VLOOKUP($B108,OFFSET([2]gachas!$A$2,0,0,COUNTA([2]gachas!$A:$A),MATCH(C$1,[2]gachas!$1:$1,0)-MATCH($B$1,[2]gachas!$1:$1,0)+1),MATCH(C$1,[2]gachas!$1:$1,0)-MATCH($B$1,[2]gachas!$1:$1,0)+1,FALSE)</f>
        <v>ピックアップ01　あと少し</v>
      </c>
      <c r="D108" s="6">
        <v>0</v>
      </c>
      <c r="E108" s="7">
        <v>147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4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6">
        <v>540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01491</v>
      </c>
      <c r="B109" s="31">
        <v>105</v>
      </c>
      <c r="C109" s="10" t="str">
        <f ca="1">VLOOKUP($B109,OFFSET([2]gachas!$A$2,0,0,COUNTA([2]gachas!$A:$A),MATCH(C$1,[2]gachas!$1:$1,0)-MATCH($B$1,[2]gachas!$1:$1,0)+1),MATCH(C$1,[2]gachas!$1:$1,0)-MATCH($B$1,[2]gachas!$1:$1,0)+1,FALSE)</f>
        <v>ピックアップ01　あと少し</v>
      </c>
      <c r="D109" s="6">
        <v>0</v>
      </c>
      <c r="E109" s="7">
        <v>149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4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6">
        <v>1</v>
      </c>
      <c r="M109" s="6">
        <v>540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01511</v>
      </c>
      <c r="B110" s="31">
        <v>105</v>
      </c>
      <c r="C110" s="10" t="str">
        <f ca="1">VLOOKUP($B110,OFFSET([2]gachas!$A$2,0,0,COUNTA([2]gachas!$A:$A),MATCH(C$1,[2]gachas!$1:$1,0)-MATCH($B$1,[2]gachas!$1:$1,0)+1),MATCH(C$1,[2]gachas!$1:$1,0)-MATCH($B$1,[2]gachas!$1:$1,0)+1,FALSE)</f>
        <v>ピックアップ01　あと少し</v>
      </c>
      <c r="D110" s="6">
        <v>0</v>
      </c>
      <c r="E110" s="7">
        <v>151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毒煙の処刑人サキ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4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6">
        <v>540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01531</v>
      </c>
      <c r="B111" s="31">
        <v>105</v>
      </c>
      <c r="C111" s="10" t="str">
        <f ca="1">VLOOKUP($B111,OFFSET([2]gachas!$A$2,0,0,COUNTA([2]gachas!$A:$A),MATCH(C$1,[2]gachas!$1:$1,0)-MATCH($B$1,[2]gachas!$1:$1,0)+1),MATCH(C$1,[2]gachas!$1:$1,0)-MATCH($B$1,[2]gachas!$1:$1,0)+1,FALSE)</f>
        <v>ピックアップ01　あと少し</v>
      </c>
      <c r="D111" s="6">
        <v>0</v>
      </c>
      <c r="E111" s="7">
        <v>153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拳聖ランラン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4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6">
        <v>540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01551</v>
      </c>
      <c r="B112" s="31">
        <v>105</v>
      </c>
      <c r="C112" s="10" t="str">
        <f ca="1">VLOOKUP($B112,OFFSET([2]gachas!$A$2,0,0,COUNTA([2]gachas!$A:$A),MATCH(C$1,[2]gachas!$1:$1,0)-MATCH($B$1,[2]gachas!$1:$1,0)+1),MATCH(C$1,[2]gachas!$1:$1,0)-MATCH($B$1,[2]gachas!$1:$1,0)+1,FALSE)</f>
        <v>ピックアップ01　あと少し</v>
      </c>
      <c r="D112" s="6">
        <v>0</v>
      </c>
      <c r="E112" s="7">
        <v>155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隻眼の掃除屋 ハンナ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4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6">
        <v>540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1"/>
        <v>01571</v>
      </c>
      <c r="B113" s="31">
        <v>105</v>
      </c>
      <c r="C113" s="10" t="str">
        <f ca="1">VLOOKUP($B113,OFFSET([2]gachas!$A$2,0,0,COUNTA([2]gachas!$A:$A),MATCH(C$1,[2]gachas!$1:$1,0)-MATCH($B$1,[2]gachas!$1:$1,0)+1),MATCH(C$1,[2]gachas!$1:$1,0)-MATCH($B$1,[2]gachas!$1:$1,0)+1,FALSE)</f>
        <v>ピックアップ01　あと少し</v>
      </c>
      <c r="D113" s="6">
        <v>0</v>
      </c>
      <c r="E113" s="7">
        <v>157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雷光舞姫 エレナ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4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6">
        <v>540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1"/>
        <v>01591</v>
      </c>
      <c r="B114" s="31">
        <v>105</v>
      </c>
      <c r="C114" s="10" t="str">
        <f ca="1">VLOOKUP($B114,OFFSET([2]gachas!$A$2,0,0,COUNTA([2]gachas!$A:$A),MATCH(C$1,[2]gachas!$1:$1,0)-MATCH($B$1,[2]gachas!$1:$1,0)+1),MATCH(C$1,[2]gachas!$1:$1,0)-MATCH($B$1,[2]gachas!$1:$1,0)+1,FALSE)</f>
        <v>ピックアップ01　あと少し</v>
      </c>
      <c r="D114" s="6">
        <v>0</v>
      </c>
      <c r="E114" s="7">
        <v>159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4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6">
        <v>540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1"/>
        <v>01611</v>
      </c>
      <c r="B115" s="31">
        <v>105</v>
      </c>
      <c r="C115" s="10" t="str">
        <f ca="1">VLOOKUP($B115,OFFSET([2]gachas!$A$2,0,0,COUNTA([2]gachas!$A:$A),MATCH(C$1,[2]gachas!$1:$1,0)-MATCH($B$1,[2]gachas!$1:$1,0)+1),MATCH(C$1,[2]gachas!$1:$1,0)-MATCH($B$1,[2]gachas!$1:$1,0)+1,FALSE)</f>
        <v>ピックアップ01　あと少し</v>
      </c>
      <c r="D115" s="6">
        <v>0</v>
      </c>
      <c r="E115" s="7">
        <v>161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咆哮の先導者 クリエ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6">
        <v>540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1"/>
        <v>01631</v>
      </c>
      <c r="B116" s="31">
        <v>105</v>
      </c>
      <c r="C116" s="10" t="str">
        <f ca="1">VLOOKUP($B116,OFFSET([2]gachas!$A$2,0,0,COUNTA([2]gachas!$A:$A),MATCH(C$1,[2]gachas!$1:$1,0)-MATCH($B$1,[2]gachas!$1:$1,0)+1),MATCH(C$1,[2]gachas!$1:$1,0)-MATCH($B$1,[2]gachas!$1:$1,0)+1,FALSE)</f>
        <v>ピックアップ01　あと少し</v>
      </c>
      <c r="D116" s="6">
        <v>0</v>
      </c>
      <c r="E116" s="7">
        <v>163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冷酷な狂嬢 クララ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4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6">
        <v>540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1"/>
        <v>01651</v>
      </c>
      <c r="B117" s="31">
        <v>105</v>
      </c>
      <c r="C117" s="10" t="str">
        <f ca="1">VLOOKUP($B117,OFFSET([2]gachas!$A$2,0,0,COUNTA([2]gachas!$A:$A),MATCH(C$1,[2]gachas!$1:$1,0)-MATCH($B$1,[2]gachas!$1:$1,0)+1),MATCH(C$1,[2]gachas!$1:$1,0)-MATCH($B$1,[2]gachas!$1:$1,0)+1,FALSE)</f>
        <v>ピックアップ01　あと少し</v>
      </c>
      <c r="D117" s="6">
        <v>0</v>
      </c>
      <c r="E117" s="7">
        <v>165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4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6">
        <v>540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1"/>
        <v>01671</v>
      </c>
      <c r="B118" s="31">
        <v>105</v>
      </c>
      <c r="C118" s="10" t="str">
        <f ca="1">VLOOKUP($B118,OFFSET([2]gachas!$A$2,0,0,COUNTA([2]gachas!$A:$A),MATCH(C$1,[2]gachas!$1:$1,0)-MATCH($B$1,[2]gachas!$1:$1,0)+1),MATCH(C$1,[2]gachas!$1:$1,0)-MATCH($B$1,[2]gachas!$1:$1,0)+1,FALSE)</f>
        <v>ピックアップ01　あと少し</v>
      </c>
      <c r="D118" s="6">
        <v>0</v>
      </c>
      <c r="E118" s="7">
        <v>167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逆徒 ベリアル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PremiumN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ゴッド</v>
      </c>
      <c r="L118" s="6">
        <v>1</v>
      </c>
      <c r="M118" s="6">
        <v>469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1"/>
        <v>01701</v>
      </c>
      <c r="B119" s="31">
        <v>105</v>
      </c>
      <c r="C119" s="10" t="str">
        <f ca="1">VLOOKUP($B119,OFFSET([2]gachas!$A$2,0,0,COUNTA([2]gachas!$A:$A),MATCH(C$1,[2]gachas!$1:$1,0)-MATCH($B$1,[2]gachas!$1:$1,0)+1),MATCH(C$1,[2]gachas!$1:$1,0)-MATCH($B$1,[2]gachas!$1:$1,0)+1,FALSE)</f>
        <v>ピックアップ01　あと少し</v>
      </c>
      <c r="D119" s="29">
        <v>0</v>
      </c>
      <c r="E119" s="30">
        <v>170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識徒 オセ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PremiumN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4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ゴッド</v>
      </c>
      <c r="L119" s="29">
        <v>1</v>
      </c>
      <c r="M119" s="29">
        <v>1300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1"/>
        <v>01731</v>
      </c>
      <c r="B120" s="31">
        <v>105</v>
      </c>
      <c r="C120" s="10" t="str">
        <f ca="1">VLOOKUP($B120,OFFSET([2]gachas!$A$2,0,0,COUNTA([2]gachas!$A:$A),MATCH(C$1,[2]gachas!$1:$1,0)-MATCH($B$1,[2]gachas!$1:$1,0)+1),MATCH(C$1,[2]gachas!$1:$1,0)-MATCH($B$1,[2]gachas!$1:$1,0)+1,FALSE)</f>
        <v>ピックアップ01　あと少し</v>
      </c>
      <c r="D120" s="6">
        <v>0</v>
      </c>
      <c r="E120" s="7">
        <v>173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公爵 フォルネウス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PremiumN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4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ゴッド</v>
      </c>
      <c r="L120" s="6">
        <v>1</v>
      </c>
      <c r="M120" s="6">
        <v>469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1"/>
        <v>01761</v>
      </c>
      <c r="B121" s="31">
        <v>105</v>
      </c>
      <c r="C121" s="10" t="str">
        <f ca="1">VLOOKUP($B121,OFFSET([2]gachas!$A$2,0,0,COUNTA([2]gachas!$A:$A),MATCH(C$1,[2]gachas!$1:$1,0)-MATCH($B$1,[2]gachas!$1:$1,0)+1),MATCH(C$1,[2]gachas!$1:$1,0)-MATCH($B$1,[2]gachas!$1:$1,0)+1,FALSE)</f>
        <v>ピックアップ01　あと少し</v>
      </c>
      <c r="D121" s="6">
        <v>0</v>
      </c>
      <c r="E121" s="7">
        <v>176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異教徒 バフォメット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PremiumN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ゴッド</v>
      </c>
      <c r="L121" s="6">
        <v>1</v>
      </c>
      <c r="M121" s="6">
        <v>469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1"/>
        <v>01791</v>
      </c>
      <c r="B122" s="31">
        <v>105</v>
      </c>
      <c r="C122" s="10" t="str">
        <f ca="1">VLOOKUP($B122,OFFSET([2]gachas!$A$2,0,0,COUNTA([2]gachas!$A:$A),MATCH(C$1,[2]gachas!$1:$1,0)-MATCH($B$1,[2]gachas!$1:$1,0)+1),MATCH(C$1,[2]gachas!$1:$1,0)-MATCH($B$1,[2]gachas!$1:$1,0)+1,FALSE)</f>
        <v>ピックアップ01　あと少し</v>
      </c>
      <c r="D122" s="6">
        <v>0</v>
      </c>
      <c r="E122" s="7">
        <v>179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番犬 ケルベロス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4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アニマル</v>
      </c>
      <c r="L122" s="6">
        <v>1</v>
      </c>
      <c r="M122" s="6">
        <v>469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1"/>
        <v>01821</v>
      </c>
      <c r="B123" s="31">
        <v>105</v>
      </c>
      <c r="C123" s="10" t="str">
        <f ca="1">VLOOKUP($B123,OFFSET([2]gachas!$A$2,0,0,COUNTA([2]gachas!$A:$A),MATCH(C$1,[2]gachas!$1:$1,0)-MATCH($B$1,[2]gachas!$1:$1,0)+1),MATCH(C$1,[2]gachas!$1:$1,0)-MATCH($B$1,[2]gachas!$1:$1,0)+1,FALSE)</f>
        <v>ピックアップ01　あと少し</v>
      </c>
      <c r="D123" s="6">
        <v>0</v>
      </c>
      <c r="E123" s="7">
        <v>182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放蕩者 ベヒモス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4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アニマル</v>
      </c>
      <c r="L123" s="6">
        <v>1</v>
      </c>
      <c r="M123" s="6">
        <v>469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1"/>
        <v>01851</v>
      </c>
      <c r="B124" s="31">
        <v>105</v>
      </c>
      <c r="C124" s="10" t="str">
        <f ca="1">VLOOKUP($B124,OFFSET([2]gachas!$A$2,0,0,COUNTA([2]gachas!$A:$A),MATCH(C$1,[2]gachas!$1:$1,0)-MATCH($B$1,[2]gachas!$1:$1,0)+1),MATCH(C$1,[2]gachas!$1:$1,0)-MATCH($B$1,[2]gachas!$1:$1,0)+1,FALSE)</f>
        <v>ピックアップ01　あと少し</v>
      </c>
      <c r="D124" s="6">
        <v>0</v>
      </c>
      <c r="E124" s="7">
        <v>185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海姫 クラーケン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アニマル</v>
      </c>
      <c r="L124" s="6">
        <v>1</v>
      </c>
      <c r="M124" s="6">
        <v>469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1"/>
        <v>01881</v>
      </c>
      <c r="B125" s="31">
        <v>105</v>
      </c>
      <c r="C125" s="10" t="str">
        <f ca="1">VLOOKUP($B125,OFFSET([2]gachas!$A$2,0,0,COUNTA([2]gachas!$A:$A),MATCH(C$1,[2]gachas!$1:$1,0)-MATCH($B$1,[2]gachas!$1:$1,0)+1),MATCH(C$1,[2]gachas!$1:$1,0)-MATCH($B$1,[2]gachas!$1:$1,0)+1,FALSE)</f>
        <v>ピックアップ01　あと少し</v>
      </c>
      <c r="D125" s="6">
        <v>0</v>
      </c>
      <c r="E125" s="7">
        <v>188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猛禽 ホルス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4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アニマル</v>
      </c>
      <c r="L125" s="6">
        <v>1</v>
      </c>
      <c r="M125" s="6">
        <v>469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1"/>
        <v>01911</v>
      </c>
      <c r="B126" s="31">
        <v>105</v>
      </c>
      <c r="C126" s="10" t="str">
        <f ca="1">VLOOKUP($B126,OFFSET([2]gachas!$A$2,0,0,COUNTA([2]gachas!$A:$A),MATCH(C$1,[2]gachas!$1:$1,0)-MATCH($B$1,[2]gachas!$1:$1,0)+1),MATCH(C$1,[2]gachas!$1:$1,0)-MATCH($B$1,[2]gachas!$1:$1,0)+1,FALSE)</f>
        <v>ピックアップ01　あと少し</v>
      </c>
      <c r="D126" s="6">
        <v>0</v>
      </c>
      <c r="E126" s="7">
        <v>191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始祖 卑弥呼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4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ヒューマン</v>
      </c>
      <c r="L126" s="6">
        <v>1</v>
      </c>
      <c r="M126" s="6">
        <v>469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1"/>
        <v>01941</v>
      </c>
      <c r="B127" s="31">
        <v>105</v>
      </c>
      <c r="C127" s="10" t="str">
        <f ca="1">VLOOKUP($B127,OFFSET([2]gachas!$A$2,0,0,COUNTA([2]gachas!$A:$A),MATCH(C$1,[2]gachas!$1:$1,0)-MATCH($B$1,[2]gachas!$1:$1,0)+1),MATCH(C$1,[2]gachas!$1:$1,0)-MATCH($B$1,[2]gachas!$1:$1,0)+1,FALSE)</f>
        <v>ピックアップ01　あと少し</v>
      </c>
      <c r="D127" s="6">
        <v>0</v>
      </c>
      <c r="E127" s="7">
        <v>194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ヒューマン</v>
      </c>
      <c r="L127" s="6">
        <v>1</v>
      </c>
      <c r="M127" s="6">
        <v>469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1"/>
        <v>01971</v>
      </c>
      <c r="B128" s="31">
        <v>105</v>
      </c>
      <c r="C128" s="10" t="str">
        <f ca="1">VLOOKUP($B128,OFFSET([2]gachas!$A$2,0,0,COUNTA([2]gachas!$A:$A),MATCH(C$1,[2]gachas!$1:$1,0)-MATCH($B$1,[2]gachas!$1:$1,0)+1),MATCH(C$1,[2]gachas!$1:$1,0)-MATCH($B$1,[2]gachas!$1:$1,0)+1,FALSE)</f>
        <v>ピックアップ01　あと少し</v>
      </c>
      <c r="D128" s="6">
        <v>0</v>
      </c>
      <c r="E128" s="7">
        <v>197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鉄腕 アキレス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4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yellow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ヒューマン</v>
      </c>
      <c r="L128" s="6">
        <v>1</v>
      </c>
      <c r="M128" s="6">
        <v>469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1"/>
        <v>02001</v>
      </c>
      <c r="B129" s="31">
        <v>105</v>
      </c>
      <c r="C129" s="10" t="str">
        <f ca="1">VLOOKUP($B129,OFFSET([2]gachas!$A$2,0,0,COUNTA([2]gachas!$A:$A),MATCH(C$1,[2]gachas!$1:$1,0)-MATCH($B$1,[2]gachas!$1:$1,0)+1),MATCH(C$1,[2]gachas!$1:$1,0)-MATCH($B$1,[2]gachas!$1:$1,0)+1,FALSE)</f>
        <v>ピックアップ01　あと少し</v>
      </c>
      <c r="D129" s="29">
        <v>0</v>
      </c>
      <c r="E129" s="30">
        <v>200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4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blue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ヒューマン</v>
      </c>
      <c r="L129" s="29">
        <v>1</v>
      </c>
      <c r="M129" s="29">
        <v>1300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ref="A130:A161" si="2">D130&amp;E130&amp;L130</f>
        <v>02031</v>
      </c>
      <c r="B130" s="31">
        <v>105</v>
      </c>
      <c r="C130" s="10" t="str">
        <f ca="1">VLOOKUP($B130,OFFSET([2]gachas!$A$2,0,0,COUNTA([2]gachas!$A:$A),MATCH(C$1,[2]gachas!$1:$1,0)-MATCH($B$1,[2]gachas!$1:$1,0)+1),MATCH(C$1,[2]gachas!$1:$1,0)-MATCH($B$1,[2]gachas!$1:$1,0)+1,FALSE)</f>
        <v>ピックアップ01　あと少し</v>
      </c>
      <c r="D130" s="6">
        <v>0</v>
      </c>
      <c r="E130" s="7">
        <v>203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焔神 プロメテウス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6">
        <v>1</v>
      </c>
      <c r="M130" s="6">
        <v>469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2"/>
        <v>02061</v>
      </c>
      <c r="B131" s="31">
        <v>105</v>
      </c>
      <c r="C131" s="10" t="str">
        <f ca="1">VLOOKUP($B131,OFFSET([2]gachas!$A$2,0,0,COUNTA([2]gachas!$A:$A),MATCH(C$1,[2]gachas!$1:$1,0)-MATCH($B$1,[2]gachas!$1:$1,0)+1),MATCH(C$1,[2]gachas!$1:$1,0)-MATCH($B$1,[2]gachas!$1:$1,0)+1,FALSE)</f>
        <v>ピックアップ01　あと少し</v>
      </c>
      <c r="D131" s="6">
        <v>0</v>
      </c>
      <c r="E131" s="7">
        <v>206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美神 アフロディーテ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4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ゴッド</v>
      </c>
      <c r="L131" s="6">
        <v>1</v>
      </c>
      <c r="M131" s="6">
        <v>469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2"/>
        <v>02091</v>
      </c>
      <c r="B132" s="31">
        <v>105</v>
      </c>
      <c r="C132" s="10" t="str">
        <f ca="1">VLOOKUP($B132,OFFSET([2]gachas!$A$2,0,0,COUNTA([2]gachas!$A:$A),MATCH(C$1,[2]gachas!$1:$1,0)-MATCH($B$1,[2]gachas!$1:$1,0)+1),MATCH(C$1,[2]gachas!$1:$1,0)-MATCH($B$1,[2]gachas!$1:$1,0)+1,FALSE)</f>
        <v>ピックアップ01　あと少し</v>
      </c>
      <c r="D132" s="6">
        <v>0</v>
      </c>
      <c r="E132" s="7">
        <v>209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孤神 テティス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4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6">
        <v>1</v>
      </c>
      <c r="M132" s="6">
        <v>469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2"/>
        <v>02121</v>
      </c>
      <c r="B133" s="31">
        <v>105</v>
      </c>
      <c r="C133" s="10" t="str">
        <f ca="1">VLOOKUP($B133,OFFSET([2]gachas!$A$2,0,0,COUNTA([2]gachas!$A:$A),MATCH(C$1,[2]gachas!$1:$1,0)-MATCH($B$1,[2]gachas!$1:$1,0)+1),MATCH(C$1,[2]gachas!$1:$1,0)-MATCH($B$1,[2]gachas!$1:$1,0)+1,FALSE)</f>
        <v>ピックアップ01　あと少し</v>
      </c>
      <c r="D133" s="6">
        <v>0</v>
      </c>
      <c r="E133" s="7">
        <v>212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星神 アストライアー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yellow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ゴッド</v>
      </c>
      <c r="L133" s="6">
        <v>1</v>
      </c>
      <c r="M133" s="6">
        <v>469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2"/>
        <v>02151</v>
      </c>
      <c r="B134" s="31">
        <v>105</v>
      </c>
      <c r="C134" s="10" t="str">
        <f ca="1">VLOOKUP($B134,OFFSET([2]gachas!$A$2,0,0,COUNTA([2]gachas!$A:$A),MATCH(C$1,[2]gachas!$1:$1,0)-MATCH($B$1,[2]gachas!$1:$1,0)+1),MATCH(C$1,[2]gachas!$1:$1,0)-MATCH($B$1,[2]gachas!$1:$1,0)+1,FALSE)</f>
        <v>ピックアップ01　あと少し</v>
      </c>
      <c r="D134" s="6">
        <v>0</v>
      </c>
      <c r="E134" s="7">
        <v>215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死導者 アズラエル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4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6">
        <v>469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2"/>
        <v>02181</v>
      </c>
      <c r="B135" s="31">
        <v>105</v>
      </c>
      <c r="C135" s="10" t="str">
        <f ca="1">VLOOKUP($B135,OFFSET([2]gachas!$A$2,0,0,COUNTA([2]gachas!$A:$A),MATCH(C$1,[2]gachas!$1:$1,0)-MATCH($B$1,[2]gachas!$1:$1,0)+1),MATCH(C$1,[2]gachas!$1:$1,0)-MATCH($B$1,[2]gachas!$1:$1,0)+1,FALSE)</f>
        <v>ピックアップ01　あと少し</v>
      </c>
      <c r="D135" s="6">
        <v>0</v>
      </c>
      <c r="E135" s="7">
        <v>218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聖蛇 ケツァクアトル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4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6">
        <v>1</v>
      </c>
      <c r="M135" s="6">
        <v>469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2"/>
        <v>02211</v>
      </c>
      <c r="B136" s="31">
        <v>105</v>
      </c>
      <c r="C136" s="10" t="str">
        <f ca="1">VLOOKUP($B136,OFFSET([2]gachas!$A$2,0,0,COUNTA([2]gachas!$A:$A),MATCH(C$1,[2]gachas!$1:$1,0)-MATCH($B$1,[2]gachas!$1:$1,0)+1),MATCH(C$1,[2]gachas!$1:$1,0)-MATCH($B$1,[2]gachas!$1:$1,0)+1,FALSE)</f>
        <v>ピックアップ01　あと少し</v>
      </c>
      <c r="D136" s="6">
        <v>0</v>
      </c>
      <c r="E136" s="7">
        <v>221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宰相 ルキフグス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6">
        <v>1</v>
      </c>
      <c r="M136" s="6">
        <v>469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2"/>
        <v>02241</v>
      </c>
      <c r="B137" s="31">
        <v>105</v>
      </c>
      <c r="C137" s="10" t="str">
        <f ca="1">VLOOKUP($B137,OFFSET([2]gachas!$A$2,0,0,COUNTA([2]gachas!$A:$A),MATCH(C$1,[2]gachas!$1:$1,0)-MATCH($B$1,[2]gachas!$1:$1,0)+1),MATCH(C$1,[2]gachas!$1:$1,0)-MATCH($B$1,[2]gachas!$1:$1,0)+1,FALSE)</f>
        <v>ピックアップ01　あと少し</v>
      </c>
      <c r="D137" s="6">
        <v>0</v>
      </c>
      <c r="E137" s="7">
        <v>224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巨腕 ヘラクレス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4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ヒューマン</v>
      </c>
      <c r="L137" s="6">
        <v>1</v>
      </c>
      <c r="M137" s="6">
        <v>469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2"/>
        <v>02271</v>
      </c>
      <c r="B138" s="31">
        <v>105</v>
      </c>
      <c r="C138" s="10" t="str">
        <f ca="1">VLOOKUP($B138,OFFSET([2]gachas!$A$2,0,0,COUNTA([2]gachas!$A:$A),MATCH(C$1,[2]gachas!$1:$1,0)-MATCH($B$1,[2]gachas!$1:$1,0)+1),MATCH(C$1,[2]gachas!$1:$1,0)-MATCH($B$1,[2]gachas!$1:$1,0)+1,FALSE)</f>
        <v>ピックアップ01　あと少し</v>
      </c>
      <c r="D138" s="29">
        <v>0</v>
      </c>
      <c r="E138" s="30">
        <v>227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滅弾 アレス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PremiumS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29">
        <v>1</v>
      </c>
      <c r="M138" s="29">
        <v>1300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2"/>
        <v>02301</v>
      </c>
      <c r="B139" s="31">
        <v>105</v>
      </c>
      <c r="C139" s="10" t="str">
        <f ca="1">VLOOKUP($B139,OFFSET([2]gachas!$A$2,0,0,COUNTA([2]gachas!$A:$A),MATCH(C$1,[2]gachas!$1:$1,0)-MATCH($B$1,[2]gachas!$1:$1,0)+1),MATCH(C$1,[2]gachas!$1:$1,0)-MATCH($B$1,[2]gachas!$1:$1,0)+1,FALSE)</f>
        <v>ピックアップ01　あと少し</v>
      </c>
      <c r="D139" s="6">
        <v>0</v>
      </c>
      <c r="E139" s="7">
        <v>230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毒銃 ヨルムンガンド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PremiumS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6">
        <v>1</v>
      </c>
      <c r="M139" s="6">
        <v>469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2"/>
        <v>02331</v>
      </c>
      <c r="B140" s="31">
        <v>105</v>
      </c>
      <c r="C140" s="10" t="str">
        <f ca="1">VLOOKUP($B140,OFFSET([2]gachas!$A$2,0,0,COUNTA([2]gachas!$A:$A),MATCH(C$1,[2]gachas!$1:$1,0)-MATCH($B$1,[2]gachas!$1:$1,0)+1),MATCH(C$1,[2]gachas!$1:$1,0)-MATCH($B$1,[2]gachas!$1:$1,0)+1,FALSE)</f>
        <v>ピックアップ01　あと少し</v>
      </c>
      <c r="D140" s="6">
        <v>0</v>
      </c>
      <c r="E140" s="7">
        <v>233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遂行 パーシヴァル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PremiumS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ヒューマン</v>
      </c>
      <c r="L140" s="6">
        <v>1</v>
      </c>
      <c r="M140" s="6">
        <v>469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2"/>
        <v>02361</v>
      </c>
      <c r="B141" s="31">
        <v>105</v>
      </c>
      <c r="C141" s="10" t="str">
        <f ca="1">VLOOKUP($B141,OFFSET([2]gachas!$A$2,0,0,COUNTA([2]gachas!$A:$A),MATCH(C$1,[2]gachas!$1:$1,0)-MATCH($B$1,[2]gachas!$1:$1,0)+1),MATCH(C$1,[2]gachas!$1:$1,0)-MATCH($B$1,[2]gachas!$1:$1,0)+1,FALSE)</f>
        <v>ピックアップ01　あと少し</v>
      </c>
      <c r="D141" s="29">
        <v>0</v>
      </c>
      <c r="E141" s="30">
        <v>236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神産 イザナミ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PremiumS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ゴッド</v>
      </c>
      <c r="L141" s="29">
        <v>1</v>
      </c>
      <c r="M141" s="29">
        <v>1300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2"/>
        <v>01711</v>
      </c>
      <c r="B142" s="31">
        <v>105</v>
      </c>
      <c r="C142" s="10" t="str">
        <f ca="1">VLOOKUP($B142,OFFSET([2]gachas!$A$2,0,0,COUNTA([2]gachas!$A:$A),MATCH(C$1,[2]gachas!$1:$1,0)-MATCH($B$1,[2]gachas!$1:$1,0)+1),MATCH(C$1,[2]gachas!$1:$1,0)-MATCH($B$1,[2]gachas!$1:$1,0)+1,FALSE)</f>
        <v>ピックアップ01　あと少し</v>
      </c>
      <c r="D142" s="29">
        <v>0</v>
      </c>
      <c r="E142" s="30">
        <v>171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精解の預知者 オセ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PremiumN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5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green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29">
        <v>1</v>
      </c>
      <c r="M142" s="29">
        <v>2184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2"/>
        <v>02011</v>
      </c>
      <c r="B143" s="31">
        <v>105</v>
      </c>
      <c r="C143" s="10" t="str">
        <f ca="1">VLOOKUP($B143,OFFSET([2]gachas!$A$2,0,0,COUNTA([2]gachas!$A:$A),MATCH(C$1,[2]gachas!$1:$1,0)-MATCH($B$1,[2]gachas!$1:$1,0)+1),MATCH(C$1,[2]gachas!$1:$1,0)-MATCH($B$1,[2]gachas!$1:$1,0)+1,FALSE)</f>
        <v>ピックアップ01　あと少し</v>
      </c>
      <c r="D143" s="37">
        <v>0</v>
      </c>
      <c r="E143" s="38">
        <v>201</v>
      </c>
      <c r="F143" s="20" t="str">
        <f ca="1">VLOOKUP($E143,OFFSET([1]characters!$A$2,0,0,COUNTA([1]characters!$A:$A),MATCH(F$1,[1]characters!$2:$2,0)-MATCH($E$1,[1]characters!$2:$2,0)+1),MATCH(F$1,[1]characters!$2:$2,0)-MATCH($E$1,[1]characters!$2:$2,0)+1,FALSE)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43" s="20" t="str">
        <f ca="1">VLOOKUP($E143,OFFSET([1]characters!$A$2,0,0,COUNTA([1]characters!$A:$A),MATCH(G$1,[1]characters!$2:$2,0)-MATCH($E$1,[1]characters!$2:$2,0)+1),MATCH(G$1,[1]characters!$2:$2,0)-MATCH($E$1,[1]characters!$2:$2,0)+1,FALSE)</f>
        <v>PremiumN</v>
      </c>
      <c r="H143" s="20">
        <f ca="1">VLOOKUP($E143,OFFSET([1]characters!$A$2,0,0,COUNTA([1]characters!$A:$A),MATCH(H$1,[1]characters!$2:$2,0)-MATCH($E$1,[1]characters!$2:$2,0)+1),MATCH(H$1,[1]characters!$2:$2,0)-MATCH($E$1,[1]characters!$2:$2,0)+1,FALSE)</f>
        <v>5</v>
      </c>
      <c r="I143" s="20" t="str">
        <f ca="1">VLOOKUP($E143,OFFSET([1]characters!$A$2,0,0,COUNTA([1]characters!$A:$A),MATCH(I$1,[1]characters!$2:$2,0)-MATCH($E$1,[1]characters!$2:$2,0)+1),MATCH(I$1,[1]characters!$2:$2,0)-MATCH($E$1,[1]characters!$2:$2,0)+1,FALSE)</f>
        <v>blue</v>
      </c>
      <c r="J143" s="2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2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37">
        <v>1</v>
      </c>
      <c r="M143" s="37">
        <v>2184</v>
      </c>
      <c r="N143" s="18">
        <v>0</v>
      </c>
      <c r="O143" s="18">
        <v>0</v>
      </c>
      <c r="P143" s="18">
        <v>0</v>
      </c>
      <c r="Q143" s="18">
        <v>0</v>
      </c>
      <c r="R143" s="18">
        <v>1</v>
      </c>
    </row>
    <row r="144" spans="1:18" ht="21" customHeight="1">
      <c r="A144" s="8" t="str">
        <f t="shared" si="2"/>
        <v>02281</v>
      </c>
      <c r="B144" s="31">
        <v>105</v>
      </c>
      <c r="C144" s="10" t="str">
        <f ca="1">VLOOKUP($B144,OFFSET([2]gachas!$A$2,0,0,COUNTA([2]gachas!$A:$A),MATCH(C$1,[2]gachas!$1:$1,0)-MATCH($B$1,[2]gachas!$1:$1,0)+1),MATCH(C$1,[2]gachas!$1:$1,0)-MATCH($B$1,[2]gachas!$1:$1,0)+1,FALSE)</f>
        <v>ピックアップ01　あと少し</v>
      </c>
      <c r="D144" s="29">
        <v>0</v>
      </c>
      <c r="E144" s="30">
        <v>228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殲滅の掃射砲 アレス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5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red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ゴッド</v>
      </c>
      <c r="L144" s="29">
        <v>1</v>
      </c>
      <c r="M144" s="29">
        <v>416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s="26" customFormat="1" ht="21" customHeight="1" thickBot="1">
      <c r="A145" s="22" t="str">
        <f t="shared" si="2"/>
        <v>02371</v>
      </c>
      <c r="B145" s="31">
        <v>105</v>
      </c>
      <c r="C145" s="10" t="str">
        <f ca="1">VLOOKUP($B145,OFFSET([2]gachas!$A$2,0,0,COUNTA([2]gachas!$A:$A),MATCH(C$1,[2]gachas!$1:$1,0)-MATCH($B$1,[2]gachas!$1:$1,0)+1),MATCH(C$1,[2]gachas!$1:$1,0)-MATCH($B$1,[2]gachas!$1:$1,0)+1,FALSE)</f>
        <v>ピックアップ01　あと少し</v>
      </c>
      <c r="D145" s="29">
        <v>0</v>
      </c>
      <c r="E145" s="30">
        <v>237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5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29">
        <v>1</v>
      </c>
      <c r="M145" s="29">
        <v>416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2"/>
        <v>02381</v>
      </c>
      <c r="B146" s="31">
        <v>105</v>
      </c>
      <c r="C146" s="10" t="str">
        <f ca="1">VLOOKUP($B146,OFFSET([2]gachas!$A$2,0,0,COUNTA([2]gachas!$A:$A),MATCH(C$1,[2]gachas!$1:$1,0)-MATCH($B$1,[2]gachas!$1:$1,0)+1),MATCH(C$1,[2]gachas!$1:$1,0)-MATCH($B$1,[2]gachas!$1:$1,0)+1,FALSE)</f>
        <v>ピックアップ01　あと少し</v>
      </c>
      <c r="D146" s="6">
        <v>0</v>
      </c>
      <c r="E146" s="19">
        <v>238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ウリエル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3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マシン</v>
      </c>
      <c r="L146" s="6">
        <v>1</v>
      </c>
      <c r="M146" s="6">
        <v>1165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2"/>
        <v>02391</v>
      </c>
      <c r="B147" s="31">
        <v>105</v>
      </c>
      <c r="C147" s="10" t="str">
        <f ca="1">VLOOKUP($B147,OFFSET([2]gachas!$A$2,0,0,COUNTA([2]gachas!$A:$A),MATCH(C$1,[2]gachas!$1:$1,0)-MATCH($B$1,[2]gachas!$1:$1,0)+1),MATCH(C$1,[2]gachas!$1:$1,0)-MATCH($B$1,[2]gachas!$1:$1,0)+1,FALSE)</f>
        <v>ピックアップ01　あと少し</v>
      </c>
      <c r="D147" s="6">
        <v>0</v>
      </c>
      <c r="E147" s="19">
        <v>239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豪炎の天使 ウリエル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red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マシン</v>
      </c>
      <c r="L147" s="6">
        <v>1</v>
      </c>
      <c r="M147" s="6">
        <v>469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02411</v>
      </c>
      <c r="B148" s="31">
        <v>105</v>
      </c>
      <c r="C148" s="10" t="str">
        <f ca="1">VLOOKUP($B148,OFFSET([2]gachas!$A$2,0,0,COUNTA([2]gachas!$A:$A),MATCH(C$1,[2]gachas!$1:$1,0)-MATCH($B$1,[2]gachas!$1:$1,0)+1),MATCH(C$1,[2]gachas!$1:$1,0)-MATCH($B$1,[2]gachas!$1:$1,0)+1,FALSE)</f>
        <v>ピックアップ01　あと少し</v>
      </c>
      <c r="D148" s="6">
        <v>0</v>
      </c>
      <c r="E148" s="19">
        <v>241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ガブリエル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3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green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マシン</v>
      </c>
      <c r="L148" s="6">
        <v>1</v>
      </c>
      <c r="M148" s="6">
        <v>1165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02421</v>
      </c>
      <c r="B149" s="31">
        <v>105</v>
      </c>
      <c r="C149" s="10" t="str">
        <f ca="1">VLOOKUP($B149,OFFSET([2]gachas!$A$2,0,0,COUNTA([2]gachas!$A:$A),MATCH(C$1,[2]gachas!$1:$1,0)-MATCH($B$1,[2]gachas!$1:$1,0)+1),MATCH(C$1,[2]gachas!$1:$1,0)-MATCH($B$1,[2]gachas!$1:$1,0)+1,FALSE)</f>
        <v>ピックアップ01　あと少し</v>
      </c>
      <c r="D149" s="6">
        <v>0</v>
      </c>
      <c r="E149" s="19">
        <v>242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PremiumS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green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マシン</v>
      </c>
      <c r="L149" s="6">
        <v>1</v>
      </c>
      <c r="M149" s="6">
        <v>469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02441</v>
      </c>
      <c r="B150" s="31">
        <v>105</v>
      </c>
      <c r="C150" s="10" t="str">
        <f ca="1">VLOOKUP($B150,OFFSET([2]gachas!$A$2,0,0,COUNTA([2]gachas!$A:$A),MATCH(C$1,[2]gachas!$1:$1,0)-MATCH($B$1,[2]gachas!$1:$1,0)+1),MATCH(C$1,[2]gachas!$1:$1,0)-MATCH($B$1,[2]gachas!$1:$1,0)+1,FALSE)</f>
        <v>ピックアップ01　あと少し</v>
      </c>
      <c r="D150" s="6">
        <v>0</v>
      </c>
      <c r="E150" s="19">
        <v>244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ラファエル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PremiumS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3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blue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マシン</v>
      </c>
      <c r="L150" s="6">
        <v>1</v>
      </c>
      <c r="M150" s="6">
        <v>1165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02451</v>
      </c>
      <c r="B151" s="31">
        <v>105</v>
      </c>
      <c r="C151" s="10" t="str">
        <f ca="1">VLOOKUP($B151,OFFSET([2]gachas!$A$2,0,0,COUNTA([2]gachas!$A:$A),MATCH(C$1,[2]gachas!$1:$1,0)-MATCH($B$1,[2]gachas!$1:$1,0)+1),MATCH(C$1,[2]gachas!$1:$1,0)-MATCH($B$1,[2]gachas!$1:$1,0)+1,FALSE)</f>
        <v>ピックアップ01　あと少し</v>
      </c>
      <c r="D151" s="6">
        <v>0</v>
      </c>
      <c r="E151" s="19">
        <v>245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PremiumS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blue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マシン</v>
      </c>
      <c r="L151" s="6">
        <v>1</v>
      </c>
      <c r="M151" s="6">
        <v>469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02471</v>
      </c>
      <c r="B152" s="31">
        <v>105</v>
      </c>
      <c r="C152" s="10" t="str">
        <f ca="1">VLOOKUP($B152,OFFSET([2]gachas!$A$2,0,0,COUNTA([2]gachas!$A:$A),MATCH(C$1,[2]gachas!$1:$1,0)-MATCH($B$1,[2]gachas!$1:$1,0)+1),MATCH(C$1,[2]gachas!$1:$1,0)-MATCH($B$1,[2]gachas!$1:$1,0)+1,FALSE)</f>
        <v>ピックアップ01　あと少し</v>
      </c>
      <c r="D152" s="6">
        <v>0</v>
      </c>
      <c r="E152" s="19">
        <v>247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ミカエル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PremiumS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3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yellow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マシン</v>
      </c>
      <c r="L152" s="6">
        <v>1</v>
      </c>
      <c r="M152" s="6">
        <v>1165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02481</v>
      </c>
      <c r="B153" s="31">
        <v>105</v>
      </c>
      <c r="C153" s="10" t="str">
        <f ca="1">VLOOKUP($B153,OFFSET([2]gachas!$A$2,0,0,COUNTA([2]gachas!$A:$A),MATCH(C$1,[2]gachas!$1:$1,0)-MATCH($B$1,[2]gachas!$1:$1,0)+1),MATCH(C$1,[2]gachas!$1:$1,0)-MATCH($B$1,[2]gachas!$1:$1,0)+1,FALSE)</f>
        <v>ピックアップ01　あと少し</v>
      </c>
      <c r="D153" s="6">
        <v>0</v>
      </c>
      <c r="E153" s="19">
        <v>248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彩電の天使 ミカエル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マシン</v>
      </c>
      <c r="L153" s="6">
        <v>1</v>
      </c>
      <c r="M153" s="6">
        <v>469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s="26" customFormat="1" ht="21" customHeight="1" thickBot="1">
      <c r="A154" s="22" t="str">
        <f t="shared" si="2"/>
        <v>02501</v>
      </c>
      <c r="B154" s="31">
        <v>105</v>
      </c>
      <c r="C154" s="10" t="str">
        <f ca="1">VLOOKUP($B154,OFFSET([2]gachas!$A$2,0,0,COUNTA([2]gachas!$A:$A),MATCH(C$1,[2]gachas!$1:$1,0)-MATCH($B$1,[2]gachas!$1:$1,0)+1),MATCH(C$1,[2]gachas!$1:$1,0)-MATCH($B$1,[2]gachas!$1:$1,0)+1,FALSE)</f>
        <v>ピックアップ01　あと少し</v>
      </c>
      <c r="D154" s="6">
        <v>0</v>
      </c>
      <c r="E154" s="7">
        <v>250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マンモン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3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ゴッド</v>
      </c>
      <c r="L154" s="6">
        <v>1</v>
      </c>
      <c r="M154" s="6">
        <v>1165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 thickBot="1">
      <c r="A155" s="22" t="str">
        <f t="shared" si="2"/>
        <v>02511</v>
      </c>
      <c r="B155" s="31">
        <v>105</v>
      </c>
      <c r="C155" s="10" t="str">
        <f ca="1">VLOOKUP($B155,OFFSET([2]gachas!$A$2,0,0,COUNTA([2]gachas!$A:$A),MATCH(C$1,[2]gachas!$1:$1,0)-MATCH($B$1,[2]gachas!$1:$1,0)+1),MATCH(C$1,[2]gachas!$1:$1,0)-MATCH($B$1,[2]gachas!$1:$1,0)+1,FALSE)</f>
        <v>ピックアップ01　あと少し</v>
      </c>
      <c r="D155" s="6">
        <v>0</v>
      </c>
      <c r="E155" s="7">
        <v>251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強欲 マンモン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red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ゴッド</v>
      </c>
      <c r="L155" s="6">
        <v>1</v>
      </c>
      <c r="M155" s="6">
        <v>469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 thickBot="1">
      <c r="A156" s="22" t="str">
        <f t="shared" si="2"/>
        <v>02531</v>
      </c>
      <c r="B156" s="31">
        <v>105</v>
      </c>
      <c r="C156" s="10" t="str">
        <f ca="1">VLOOKUP($B156,OFFSET([2]gachas!$A$2,0,0,COUNTA([2]gachas!$A:$A),MATCH(C$1,[2]gachas!$1:$1,0)-MATCH($B$1,[2]gachas!$1:$1,0)+1),MATCH(C$1,[2]gachas!$1:$1,0)-MATCH($B$1,[2]gachas!$1:$1,0)+1,FALSE)</f>
        <v>ピックアップ01　あと少し</v>
      </c>
      <c r="D156" s="6">
        <v>0</v>
      </c>
      <c r="E156" s="7">
        <v>253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ベルフェゴール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PremiumS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3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green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ゴッド</v>
      </c>
      <c r="L156" s="6">
        <v>1</v>
      </c>
      <c r="M156" s="6">
        <v>1165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 thickBot="1">
      <c r="A157" s="22" t="str">
        <f t="shared" si="2"/>
        <v>02541</v>
      </c>
      <c r="B157" s="31">
        <v>105</v>
      </c>
      <c r="C157" s="10" t="str">
        <f ca="1">VLOOKUP($B157,OFFSET([2]gachas!$A$2,0,0,COUNTA([2]gachas!$A:$A),MATCH(C$1,[2]gachas!$1:$1,0)-MATCH($B$1,[2]gachas!$1:$1,0)+1),MATCH(C$1,[2]gachas!$1:$1,0)-MATCH($B$1,[2]gachas!$1:$1,0)+1,FALSE)</f>
        <v>ピックアップ01　あと少し</v>
      </c>
      <c r="D157" s="6">
        <v>0</v>
      </c>
      <c r="E157" s="7">
        <v>254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怠惰 ベルフェゴール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PremiumS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green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ゴッド</v>
      </c>
      <c r="L157" s="6">
        <v>1</v>
      </c>
      <c r="M157" s="6">
        <v>469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 thickBot="1">
      <c r="A158" s="22" t="str">
        <f t="shared" si="2"/>
        <v>02561</v>
      </c>
      <c r="B158" s="31">
        <v>105</v>
      </c>
      <c r="C158" s="10" t="str">
        <f ca="1">VLOOKUP($B158,OFFSET([2]gachas!$A$2,0,0,COUNTA([2]gachas!$A:$A),MATCH(C$1,[2]gachas!$1:$1,0)-MATCH($B$1,[2]gachas!$1:$1,0)+1),MATCH(C$1,[2]gachas!$1:$1,0)-MATCH($B$1,[2]gachas!$1:$1,0)+1,FALSE)</f>
        <v>ピックアップ01　あと少し</v>
      </c>
      <c r="D158" s="6">
        <v>0</v>
      </c>
      <c r="E158" s="7">
        <v>256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アスモデウス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PremiumS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3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blue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ゴッド</v>
      </c>
      <c r="L158" s="6">
        <v>1</v>
      </c>
      <c r="M158" s="6">
        <v>1165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 thickBot="1">
      <c r="A159" s="22" t="str">
        <f t="shared" si="2"/>
        <v>02571</v>
      </c>
      <c r="B159" s="31">
        <v>105</v>
      </c>
      <c r="C159" s="10" t="str">
        <f ca="1">VLOOKUP($B159,OFFSET([2]gachas!$A$2,0,0,COUNTA([2]gachas!$A:$A),MATCH(C$1,[2]gachas!$1:$1,0)-MATCH($B$1,[2]gachas!$1:$1,0)+1),MATCH(C$1,[2]gachas!$1:$1,0)-MATCH($B$1,[2]gachas!$1:$1,0)+1,FALSE)</f>
        <v>ピックアップ01　あと少し</v>
      </c>
      <c r="D159" s="6">
        <v>0</v>
      </c>
      <c r="E159" s="7">
        <v>257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色欲 アスモデウス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PremiumS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blue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ゴッド</v>
      </c>
      <c r="L159" s="6">
        <v>1</v>
      </c>
      <c r="M159" s="6">
        <v>469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 thickBot="1">
      <c r="A160" s="22" t="str">
        <f t="shared" si="2"/>
        <v>02591</v>
      </c>
      <c r="B160" s="31">
        <v>105</v>
      </c>
      <c r="C160" s="10" t="str">
        <f ca="1">VLOOKUP($B160,OFFSET([2]gachas!$A$2,0,0,COUNTA([2]gachas!$A:$A),MATCH(C$1,[2]gachas!$1:$1,0)-MATCH($B$1,[2]gachas!$1:$1,0)+1),MATCH(C$1,[2]gachas!$1:$1,0)-MATCH($B$1,[2]gachas!$1:$1,0)+1,FALSE)</f>
        <v>ピックアップ01　あと少し</v>
      </c>
      <c r="D160" s="6">
        <v>0</v>
      </c>
      <c r="E160" s="7">
        <v>259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ウロボロス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PremiumS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3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yellow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ドラゴン</v>
      </c>
      <c r="L160" s="6">
        <v>1</v>
      </c>
      <c r="M160" s="6">
        <v>1165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 thickBot="1">
      <c r="A161" s="22" t="str">
        <f t="shared" si="2"/>
        <v>02601</v>
      </c>
      <c r="B161" s="31">
        <v>105</v>
      </c>
      <c r="C161" s="10" t="str">
        <f ca="1">VLOOKUP($B161,OFFSET([2]gachas!$A$2,0,0,COUNTA([2]gachas!$A:$A),MATCH(C$1,[2]gachas!$1:$1,0)-MATCH($B$1,[2]gachas!$1:$1,0)+1),MATCH(C$1,[2]gachas!$1:$1,0)-MATCH($B$1,[2]gachas!$1:$1,0)+1,FALSE)</f>
        <v>ピックアップ01　あと少し</v>
      </c>
      <c r="D161" s="6">
        <v>0</v>
      </c>
      <c r="E161" s="7">
        <v>260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輪廻 ウロボロス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PremiumS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ドラゴン</v>
      </c>
      <c r="L161" s="6">
        <v>1</v>
      </c>
      <c r="M161" s="6">
        <v>469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</sheetData>
  <autoFilter ref="B1:M161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 enableFormatConditionsCalculation="0">
    <tabColor rgb="FF0000FF"/>
    <outlinePr summaryBelow="0" summaryRight="0"/>
  </sheetPr>
  <dimension ref="A1:R161"/>
  <sheetViews>
    <sheetView showGridLines="0" workbookViewId="0">
      <pane ySplit="1" topLeftCell="A143" activePane="bottomLeft" state="frozen"/>
      <selection pane="bottomLeft" activeCell="C2" sqref="C2:C161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 thickBot="1">
      <c r="A1" s="8" t="s">
        <v>15</v>
      </c>
      <c r="B1" s="40" t="s">
        <v>2</v>
      </c>
      <c r="C1" s="41" t="s">
        <v>1</v>
      </c>
      <c r="D1" s="40" t="s">
        <v>3</v>
      </c>
      <c r="E1" s="40" t="s">
        <v>4</v>
      </c>
      <c r="F1" s="41" t="s">
        <v>9</v>
      </c>
      <c r="G1" s="41" t="s">
        <v>10</v>
      </c>
      <c r="H1" s="41" t="s">
        <v>7</v>
      </c>
      <c r="I1" s="41" t="s">
        <v>11</v>
      </c>
      <c r="J1" s="41" t="s">
        <v>12</v>
      </c>
      <c r="K1" s="41" t="s">
        <v>13</v>
      </c>
      <c r="L1" s="40" t="s">
        <v>5</v>
      </c>
      <c r="M1" s="40" t="s">
        <v>6</v>
      </c>
      <c r="N1" s="42" t="s">
        <v>19</v>
      </c>
      <c r="O1" s="42" t="s">
        <v>20</v>
      </c>
      <c r="P1" s="42" t="s">
        <v>21</v>
      </c>
      <c r="Q1" s="42" t="s">
        <v>22</v>
      </c>
      <c r="R1" s="42" t="s">
        <v>23</v>
      </c>
    </row>
    <row r="2" spans="1:18" ht="21" customHeight="1">
      <c r="A2" s="8" t="str">
        <f t="shared" ref="A2:A65" si="0">D2&amp;E2&amp;L2</f>
        <v>11271</v>
      </c>
      <c r="B2" s="31">
        <v>106</v>
      </c>
      <c r="C2" s="10" t="str">
        <f ca="1">VLOOKUP($B2,OFFSET([2]gachas!$A$2,0,0,COUNTA([2]gachas!$A:$A),MATCH(C$1,[2]gachas!$1:$1,0)-MATCH($B$1,[2]gachas!$1:$1,0)+1),MATCH(C$1,[2]gachas!$1:$1,0)-MATCH($B$1,[2]gachas!$1:$1,0)+1,FALSE)</f>
        <v>ピックアップ01　最終日</v>
      </c>
      <c r="D2" s="21">
        <v>1</v>
      </c>
      <c r="E2" s="27">
        <v>127</v>
      </c>
      <c r="F2" s="2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2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2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2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2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2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1">
        <v>1</v>
      </c>
      <c r="M2" s="21">
        <v>1104</v>
      </c>
      <c r="N2" s="18">
        <v>0</v>
      </c>
      <c r="O2" s="18">
        <v>0</v>
      </c>
      <c r="P2" s="18">
        <v>0</v>
      </c>
      <c r="Q2" s="18">
        <v>0</v>
      </c>
      <c r="R2" s="18">
        <v>1</v>
      </c>
    </row>
    <row r="3" spans="1:18" ht="21" customHeight="1">
      <c r="A3" s="8" t="str">
        <f t="shared" si="0"/>
        <v>11291</v>
      </c>
      <c r="B3" s="31">
        <v>106</v>
      </c>
      <c r="C3" s="10" t="str">
        <f ca="1">VLOOKUP($B3,OFFSET([2]gachas!$A$2,0,0,COUNTA([2]gachas!$A:$A),MATCH(C$1,[2]gachas!$1:$1,0)-MATCH($B$1,[2]gachas!$1:$1,0)+1),MATCH(C$1,[2]gachas!$1:$1,0)-MATCH($B$1,[2]gachas!$1:$1,0)+1,FALSE)</f>
        <v>ピックアップ01　最終日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21">
        <v>1104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31">
        <v>106</v>
      </c>
      <c r="C4" s="10" t="str">
        <f ca="1">VLOOKUP($B4,OFFSET([2]gachas!$A$2,0,0,COUNTA([2]gachas!$A:$A),MATCH(C$1,[2]gachas!$1:$1,0)-MATCH($B$1,[2]gachas!$1:$1,0)+1),MATCH(C$1,[2]gachas!$1:$1,0)-MATCH($B$1,[2]gachas!$1:$1,0)+1,FALSE)</f>
        <v>ピックアップ01　最終日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21">
        <v>1104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31">
        <v>106</v>
      </c>
      <c r="C5" s="10" t="str">
        <f ca="1">VLOOKUP($B5,OFFSET([2]gachas!$A$2,0,0,COUNTA([2]gachas!$A:$A),MATCH(C$1,[2]gachas!$1:$1,0)-MATCH($B$1,[2]gachas!$1:$1,0)+1),MATCH(C$1,[2]gachas!$1:$1,0)-MATCH($B$1,[2]gachas!$1:$1,0)+1,FALSE)</f>
        <v>ピックアップ01　最終日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21">
        <v>1104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31">
        <v>106</v>
      </c>
      <c r="C6" s="10" t="str">
        <f ca="1">VLOOKUP($B6,OFFSET([2]gachas!$A$2,0,0,COUNTA([2]gachas!$A:$A),MATCH(C$1,[2]gachas!$1:$1,0)-MATCH($B$1,[2]gachas!$1:$1,0)+1),MATCH(C$1,[2]gachas!$1:$1,0)-MATCH($B$1,[2]gachas!$1:$1,0)+1,FALSE)</f>
        <v>ピックアップ01　最終日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21">
        <v>1104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31">
        <v>106</v>
      </c>
      <c r="C7" s="10" t="str">
        <f ca="1">VLOOKUP($B7,OFFSET([2]gachas!$A$2,0,0,COUNTA([2]gachas!$A:$A),MATCH(C$1,[2]gachas!$1:$1,0)-MATCH($B$1,[2]gachas!$1:$1,0)+1),MATCH(C$1,[2]gachas!$1:$1,0)-MATCH($B$1,[2]gachas!$1:$1,0)+1,FALSE)</f>
        <v>ピックアップ01　最終日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21">
        <v>1104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31">
        <v>106</v>
      </c>
      <c r="C8" s="10" t="str">
        <f ca="1">VLOOKUP($B8,OFFSET([2]gachas!$A$2,0,0,COUNTA([2]gachas!$A:$A),MATCH(C$1,[2]gachas!$1:$1,0)-MATCH($B$1,[2]gachas!$1:$1,0)+1),MATCH(C$1,[2]gachas!$1:$1,0)-MATCH($B$1,[2]gachas!$1:$1,0)+1,FALSE)</f>
        <v>ピックアップ01　最終日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21">
        <v>1104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31">
        <v>106</v>
      </c>
      <c r="C9" s="10" t="str">
        <f ca="1">VLOOKUP($B9,OFFSET([2]gachas!$A$2,0,0,COUNTA([2]gachas!$A:$A),MATCH(C$1,[2]gachas!$1:$1,0)-MATCH($B$1,[2]gachas!$1:$1,0)+1),MATCH(C$1,[2]gachas!$1:$1,0)-MATCH($B$1,[2]gachas!$1:$1,0)+1,FALSE)</f>
        <v>ピックアップ01　最終日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21">
        <v>1104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31">
        <v>106</v>
      </c>
      <c r="C10" s="10" t="str">
        <f ca="1">VLOOKUP($B10,OFFSET([2]gachas!$A$2,0,0,COUNTA([2]gachas!$A:$A),MATCH(C$1,[2]gachas!$1:$1,0)-MATCH($B$1,[2]gachas!$1:$1,0)+1),MATCH(C$1,[2]gachas!$1:$1,0)-MATCH($B$1,[2]gachas!$1:$1,0)+1,FALSE)</f>
        <v>ピックアップ01　最終日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21">
        <v>1104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31">
        <v>106</v>
      </c>
      <c r="C11" s="10" t="str">
        <f ca="1">VLOOKUP($B11,OFFSET([2]gachas!$A$2,0,0,COUNTA([2]gachas!$A:$A),MATCH(C$1,[2]gachas!$1:$1,0)-MATCH($B$1,[2]gachas!$1:$1,0)+1),MATCH(C$1,[2]gachas!$1:$1,0)-MATCH($B$1,[2]gachas!$1:$1,0)+1,FALSE)</f>
        <v>ピックアップ01　最終日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21">
        <v>1104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31">
        <v>106</v>
      </c>
      <c r="C12" s="10" t="str">
        <f ca="1">VLOOKUP($B12,OFFSET([2]gachas!$A$2,0,0,COUNTA([2]gachas!$A:$A),MATCH(C$1,[2]gachas!$1:$1,0)-MATCH($B$1,[2]gachas!$1:$1,0)+1),MATCH(C$1,[2]gachas!$1:$1,0)-MATCH($B$1,[2]gachas!$1:$1,0)+1,FALSE)</f>
        <v>ピックアップ01　最終日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21">
        <v>1104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31">
        <v>106</v>
      </c>
      <c r="C13" s="10" t="str">
        <f ca="1">VLOOKUP($B13,OFFSET([2]gachas!$A$2,0,0,COUNTA([2]gachas!$A:$A),MATCH(C$1,[2]gachas!$1:$1,0)-MATCH($B$1,[2]gachas!$1:$1,0)+1),MATCH(C$1,[2]gachas!$1:$1,0)-MATCH($B$1,[2]gachas!$1:$1,0)+1,FALSE)</f>
        <v>ピックアップ01　最終日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21">
        <v>1104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31">
        <v>106</v>
      </c>
      <c r="C14" s="10" t="str">
        <f ca="1">VLOOKUP($B14,OFFSET([2]gachas!$A$2,0,0,COUNTA([2]gachas!$A:$A),MATCH(C$1,[2]gachas!$1:$1,0)-MATCH($B$1,[2]gachas!$1:$1,0)+1),MATCH(C$1,[2]gachas!$1:$1,0)-MATCH($B$1,[2]gachas!$1:$1,0)+1,FALSE)</f>
        <v>ピックアップ01　最終日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21">
        <v>1104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31">
        <v>106</v>
      </c>
      <c r="C15" s="10" t="str">
        <f ca="1">VLOOKUP($B15,OFFSET([2]gachas!$A$2,0,0,COUNTA([2]gachas!$A:$A),MATCH(C$1,[2]gachas!$1:$1,0)-MATCH($B$1,[2]gachas!$1:$1,0)+1),MATCH(C$1,[2]gachas!$1:$1,0)-MATCH($B$1,[2]gachas!$1:$1,0)+1,FALSE)</f>
        <v>ピックアップ01　最終日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21">
        <v>1104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31">
        <v>106</v>
      </c>
      <c r="C16" s="10" t="str">
        <f ca="1">VLOOKUP($B16,OFFSET([2]gachas!$A$2,0,0,COUNTA([2]gachas!$A:$A),MATCH(C$1,[2]gachas!$1:$1,0)-MATCH($B$1,[2]gachas!$1:$1,0)+1),MATCH(C$1,[2]gachas!$1:$1,0)-MATCH($B$1,[2]gachas!$1:$1,0)+1,FALSE)</f>
        <v>ピックアップ01　最終日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21">
        <v>1104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31">
        <v>106</v>
      </c>
      <c r="C17" s="10" t="str">
        <f ca="1">VLOOKUP($B17,OFFSET([2]gachas!$A$2,0,0,COUNTA([2]gachas!$A:$A),MATCH(C$1,[2]gachas!$1:$1,0)-MATCH($B$1,[2]gachas!$1:$1,0)+1),MATCH(C$1,[2]gachas!$1:$1,0)-MATCH($B$1,[2]gachas!$1:$1,0)+1,FALSE)</f>
        <v>ピックアップ01　最終日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21">
        <v>1104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31">
        <v>106</v>
      </c>
      <c r="C18" s="10" t="str">
        <f ca="1">VLOOKUP($B18,OFFSET([2]gachas!$A$2,0,0,COUNTA([2]gachas!$A:$A),MATCH(C$1,[2]gachas!$1:$1,0)-MATCH($B$1,[2]gachas!$1:$1,0)+1),MATCH(C$1,[2]gachas!$1:$1,0)-MATCH($B$1,[2]gachas!$1:$1,0)+1,FALSE)</f>
        <v>ピックアップ01　最終日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21">
        <v>1104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31">
        <v>106</v>
      </c>
      <c r="C19" s="10" t="str">
        <f ca="1">VLOOKUP($B19,OFFSET([2]gachas!$A$2,0,0,COUNTA([2]gachas!$A:$A),MATCH(C$1,[2]gachas!$1:$1,0)-MATCH($B$1,[2]gachas!$1:$1,0)+1),MATCH(C$1,[2]gachas!$1:$1,0)-MATCH($B$1,[2]gachas!$1:$1,0)+1,FALSE)</f>
        <v>ピックアップ01　最終日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21">
        <v>1104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31">
        <v>106</v>
      </c>
      <c r="C20" s="10" t="str">
        <f ca="1">VLOOKUP($B20,OFFSET([2]gachas!$A$2,0,0,COUNTA([2]gachas!$A:$A),MATCH(C$1,[2]gachas!$1:$1,0)-MATCH($B$1,[2]gachas!$1:$1,0)+1),MATCH(C$1,[2]gachas!$1:$1,0)-MATCH($B$1,[2]gachas!$1:$1,0)+1,FALSE)</f>
        <v>ピックアップ01　最終日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21">
        <v>1104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31">
        <v>106</v>
      </c>
      <c r="C21" s="10" t="str">
        <f ca="1">VLOOKUP($B21,OFFSET([2]gachas!$A$2,0,0,COUNTA([2]gachas!$A:$A),MATCH(C$1,[2]gachas!$1:$1,0)-MATCH($B$1,[2]gachas!$1:$1,0)+1),MATCH(C$1,[2]gachas!$1:$1,0)-MATCH($B$1,[2]gachas!$1:$1,0)+1,FALSE)</f>
        <v>ピックアップ01　最終日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21">
        <v>1104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31">
        <v>106</v>
      </c>
      <c r="C22" s="10" t="str">
        <f ca="1">VLOOKUP($B22,OFFSET([2]gachas!$A$2,0,0,COUNTA([2]gachas!$A:$A),MATCH(C$1,[2]gachas!$1:$1,0)-MATCH($B$1,[2]gachas!$1:$1,0)+1),MATCH(C$1,[2]gachas!$1:$1,0)-MATCH($B$1,[2]gachas!$1:$1,0)+1,FALSE)</f>
        <v>ピックアップ01　最終日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6">
        <v>961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31">
        <v>106</v>
      </c>
      <c r="C23" s="10" t="str">
        <f ca="1">VLOOKUP($B23,OFFSET([2]gachas!$A$2,0,0,COUNTA([2]gachas!$A:$A),MATCH(C$1,[2]gachas!$1:$1,0)-MATCH($B$1,[2]gachas!$1:$1,0)+1),MATCH(C$1,[2]gachas!$1:$1,0)-MATCH($B$1,[2]gachas!$1:$1,0)+1,FALSE)</f>
        <v>ピックアップ01　最終日</v>
      </c>
      <c r="D23" s="29">
        <v>1</v>
      </c>
      <c r="E23" s="30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29">
        <v>1</v>
      </c>
      <c r="M23" s="29">
        <v>2660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31">
        <v>106</v>
      </c>
      <c r="C24" s="10" t="str">
        <f ca="1">VLOOKUP($B24,OFFSET([2]gachas!$A$2,0,0,COUNTA([2]gachas!$A:$A),MATCH(C$1,[2]gachas!$1:$1,0)-MATCH($B$1,[2]gachas!$1:$1,0)+1),MATCH(C$1,[2]gachas!$1:$1,0)-MATCH($B$1,[2]gachas!$1:$1,0)+1,FALSE)</f>
        <v>ピックアップ01　最終日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961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31">
        <v>106</v>
      </c>
      <c r="C25" s="10" t="str">
        <f ca="1">VLOOKUP($B25,OFFSET([2]gachas!$A$2,0,0,COUNTA([2]gachas!$A:$A),MATCH(C$1,[2]gachas!$1:$1,0)-MATCH($B$1,[2]gachas!$1:$1,0)+1),MATCH(C$1,[2]gachas!$1:$1,0)-MATCH($B$1,[2]gachas!$1:$1,0)+1,FALSE)</f>
        <v>ピックアップ01　最終日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961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31">
        <v>106</v>
      </c>
      <c r="C26" s="10" t="str">
        <f ca="1">VLOOKUP($B26,OFFSET([2]gachas!$A$2,0,0,COUNTA([2]gachas!$A:$A),MATCH(C$1,[2]gachas!$1:$1,0)-MATCH($B$1,[2]gachas!$1:$1,0)+1),MATCH(C$1,[2]gachas!$1:$1,0)-MATCH($B$1,[2]gachas!$1:$1,0)+1,FALSE)</f>
        <v>ピックアップ01　最終日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6">
        <v>961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31">
        <v>106</v>
      </c>
      <c r="C27" s="10" t="str">
        <f ca="1">VLOOKUP($B27,OFFSET([2]gachas!$A$2,0,0,COUNTA([2]gachas!$A:$A),MATCH(C$1,[2]gachas!$1:$1,0)-MATCH($B$1,[2]gachas!$1:$1,0)+1),MATCH(C$1,[2]gachas!$1:$1,0)-MATCH($B$1,[2]gachas!$1:$1,0)+1,FALSE)</f>
        <v>ピックアップ01　最終日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961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31">
        <v>106</v>
      </c>
      <c r="C28" s="10" t="str">
        <f ca="1">VLOOKUP($B28,OFFSET([2]gachas!$A$2,0,0,COUNTA([2]gachas!$A:$A),MATCH(C$1,[2]gachas!$1:$1,0)-MATCH($B$1,[2]gachas!$1:$1,0)+1),MATCH(C$1,[2]gachas!$1:$1,0)-MATCH($B$1,[2]gachas!$1:$1,0)+1,FALSE)</f>
        <v>ピックアップ01　最終日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961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31">
        <v>106</v>
      </c>
      <c r="C29" s="10" t="str">
        <f ca="1">VLOOKUP($B29,OFFSET([2]gachas!$A$2,0,0,COUNTA([2]gachas!$A:$A),MATCH(C$1,[2]gachas!$1:$1,0)-MATCH($B$1,[2]gachas!$1:$1,0)+1),MATCH(C$1,[2]gachas!$1:$1,0)-MATCH($B$1,[2]gachas!$1:$1,0)+1,FALSE)</f>
        <v>ピックアップ01　最終日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961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31">
        <v>106</v>
      </c>
      <c r="C30" s="10" t="str">
        <f ca="1">VLOOKUP($B30,OFFSET([2]gachas!$A$2,0,0,COUNTA([2]gachas!$A:$A),MATCH(C$1,[2]gachas!$1:$1,0)-MATCH($B$1,[2]gachas!$1:$1,0)+1),MATCH(C$1,[2]gachas!$1:$1,0)-MATCH($B$1,[2]gachas!$1:$1,0)+1,FALSE)</f>
        <v>ピックアップ01　最終日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6">
        <v>961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31">
        <v>106</v>
      </c>
      <c r="C31" s="10" t="str">
        <f ca="1">VLOOKUP($B31,OFFSET([2]gachas!$A$2,0,0,COUNTA([2]gachas!$A:$A),MATCH(C$1,[2]gachas!$1:$1,0)-MATCH($B$1,[2]gachas!$1:$1,0)+1),MATCH(C$1,[2]gachas!$1:$1,0)-MATCH($B$1,[2]gachas!$1:$1,0)+1,FALSE)</f>
        <v>ピックアップ01　最終日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961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31">
        <v>106</v>
      </c>
      <c r="C32" s="10" t="str">
        <f ca="1">VLOOKUP($B32,OFFSET([2]gachas!$A$2,0,0,COUNTA([2]gachas!$A:$A),MATCH(C$1,[2]gachas!$1:$1,0)-MATCH($B$1,[2]gachas!$1:$1,0)+1),MATCH(C$1,[2]gachas!$1:$1,0)-MATCH($B$1,[2]gachas!$1:$1,0)+1,FALSE)</f>
        <v>ピックアップ01　最終日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961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31">
        <v>106</v>
      </c>
      <c r="C33" s="10" t="str">
        <f ca="1">VLOOKUP($B33,OFFSET([2]gachas!$A$2,0,0,COUNTA([2]gachas!$A:$A),MATCH(C$1,[2]gachas!$1:$1,0)-MATCH($B$1,[2]gachas!$1:$1,0)+1),MATCH(C$1,[2]gachas!$1:$1,0)-MATCH($B$1,[2]gachas!$1:$1,0)+1,FALSE)</f>
        <v>ピックアップ01　最終日</v>
      </c>
      <c r="D33" s="29">
        <v>1</v>
      </c>
      <c r="E33" s="30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29">
        <v>1</v>
      </c>
      <c r="M33" s="29">
        <v>2660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31">
        <v>106</v>
      </c>
      <c r="C34" s="10" t="str">
        <f ca="1">VLOOKUP($B34,OFFSET([2]gachas!$A$2,0,0,COUNTA([2]gachas!$A:$A),MATCH(C$1,[2]gachas!$1:$1,0)-MATCH($B$1,[2]gachas!$1:$1,0)+1),MATCH(C$1,[2]gachas!$1:$1,0)-MATCH($B$1,[2]gachas!$1:$1,0)+1,FALSE)</f>
        <v>ピックアップ01　最終日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6">
        <v>961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31">
        <v>106</v>
      </c>
      <c r="C35" s="10" t="str">
        <f ca="1">VLOOKUP($B35,OFFSET([2]gachas!$A$2,0,0,COUNTA([2]gachas!$A:$A),MATCH(C$1,[2]gachas!$1:$1,0)-MATCH($B$1,[2]gachas!$1:$1,0)+1),MATCH(C$1,[2]gachas!$1:$1,0)-MATCH($B$1,[2]gachas!$1:$1,0)+1,FALSE)</f>
        <v>ピックアップ01　最終日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961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31">
        <v>106</v>
      </c>
      <c r="C36" s="10" t="str">
        <f ca="1">VLOOKUP($B36,OFFSET([2]gachas!$A$2,0,0,COUNTA([2]gachas!$A:$A),MATCH(C$1,[2]gachas!$1:$1,0)-MATCH($B$1,[2]gachas!$1:$1,0)+1),MATCH(C$1,[2]gachas!$1:$1,0)-MATCH($B$1,[2]gachas!$1:$1,0)+1,FALSE)</f>
        <v>ピックアップ01　最終日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961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31">
        <v>106</v>
      </c>
      <c r="C37" s="10" t="str">
        <f ca="1">VLOOKUP($B37,OFFSET([2]gachas!$A$2,0,0,COUNTA([2]gachas!$A:$A),MATCH(C$1,[2]gachas!$1:$1,0)-MATCH($B$1,[2]gachas!$1:$1,0)+1),MATCH(C$1,[2]gachas!$1:$1,0)-MATCH($B$1,[2]gachas!$1:$1,0)+1,FALSE)</f>
        <v>ピックアップ01　最終日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961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31">
        <v>106</v>
      </c>
      <c r="C38" s="10" t="str">
        <f ca="1">VLOOKUP($B38,OFFSET([2]gachas!$A$2,0,0,COUNTA([2]gachas!$A:$A),MATCH(C$1,[2]gachas!$1:$1,0)-MATCH($B$1,[2]gachas!$1:$1,0)+1),MATCH(C$1,[2]gachas!$1:$1,0)-MATCH($B$1,[2]gachas!$1:$1,0)+1,FALSE)</f>
        <v>ピックアップ01　最終日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6">
        <v>961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31">
        <v>106</v>
      </c>
      <c r="C39" s="10" t="str">
        <f ca="1">VLOOKUP($B39,OFFSET([2]gachas!$A$2,0,0,COUNTA([2]gachas!$A:$A),MATCH(C$1,[2]gachas!$1:$1,0)-MATCH($B$1,[2]gachas!$1:$1,0)+1),MATCH(C$1,[2]gachas!$1:$1,0)-MATCH($B$1,[2]gachas!$1:$1,0)+1,FALSE)</f>
        <v>ピックアップ01　最終日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961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31">
        <v>106</v>
      </c>
      <c r="C40" s="10" t="str">
        <f ca="1">VLOOKUP($B40,OFFSET([2]gachas!$A$2,0,0,COUNTA([2]gachas!$A:$A),MATCH(C$1,[2]gachas!$1:$1,0)-MATCH($B$1,[2]gachas!$1:$1,0)+1),MATCH(C$1,[2]gachas!$1:$1,0)-MATCH($B$1,[2]gachas!$1:$1,0)+1,FALSE)</f>
        <v>ピックアップ01　最終日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961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31">
        <v>106</v>
      </c>
      <c r="C41" s="10" t="str">
        <f ca="1">VLOOKUP($B41,OFFSET([2]gachas!$A$2,0,0,COUNTA([2]gachas!$A:$A),MATCH(C$1,[2]gachas!$1:$1,0)-MATCH($B$1,[2]gachas!$1:$1,0)+1),MATCH(C$1,[2]gachas!$1:$1,0)-MATCH($B$1,[2]gachas!$1:$1,0)+1,FALSE)</f>
        <v>ピックアップ01　最終日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961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31">
        <v>106</v>
      </c>
      <c r="C42" s="10" t="str">
        <f ca="1">VLOOKUP($B42,OFFSET([2]gachas!$A$2,0,0,COUNTA([2]gachas!$A:$A),MATCH(C$1,[2]gachas!$1:$1,0)-MATCH($B$1,[2]gachas!$1:$1,0)+1),MATCH(C$1,[2]gachas!$1:$1,0)-MATCH($B$1,[2]gachas!$1:$1,0)+1,FALSE)</f>
        <v>ピックアップ01　最終日</v>
      </c>
      <c r="D42" s="29">
        <v>1</v>
      </c>
      <c r="E42" s="30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29">
        <v>1</v>
      </c>
      <c r="M42" s="29">
        <v>2660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31">
        <v>106</v>
      </c>
      <c r="C43" s="10" t="str">
        <f ca="1">VLOOKUP($B43,OFFSET([2]gachas!$A$2,0,0,COUNTA([2]gachas!$A:$A),MATCH(C$1,[2]gachas!$1:$1,0)-MATCH($B$1,[2]gachas!$1:$1,0)+1),MATCH(C$1,[2]gachas!$1:$1,0)-MATCH($B$1,[2]gachas!$1:$1,0)+1,FALSE)</f>
        <v>ピックアップ01　最終日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6">
        <v>319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31">
        <v>106</v>
      </c>
      <c r="C44" s="10" t="str">
        <f ca="1">VLOOKUP($B44,OFFSET([2]gachas!$A$2,0,0,COUNTA([2]gachas!$A:$A),MATCH(C$1,[2]gachas!$1:$1,0)-MATCH($B$1,[2]gachas!$1:$1,0)+1),MATCH(C$1,[2]gachas!$1:$1,0)-MATCH($B$1,[2]gachas!$1:$1,0)+1,FALSE)</f>
        <v>ピックアップ01　最終日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319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31">
        <v>106</v>
      </c>
      <c r="C45" s="10" t="str">
        <f ca="1">VLOOKUP($B45,OFFSET([2]gachas!$A$2,0,0,COUNTA([2]gachas!$A:$A),MATCH(C$1,[2]gachas!$1:$1,0)-MATCH($B$1,[2]gachas!$1:$1,0)+1),MATCH(C$1,[2]gachas!$1:$1,0)-MATCH($B$1,[2]gachas!$1:$1,0)+1,FALSE)</f>
        <v>ピックアップ01　最終日</v>
      </c>
      <c r="D45" s="29">
        <v>1</v>
      </c>
      <c r="E45" s="30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29">
        <v>1</v>
      </c>
      <c r="M45" s="29">
        <v>2660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11711</v>
      </c>
      <c r="B46" s="31">
        <v>106</v>
      </c>
      <c r="C46" s="10" t="str">
        <f ca="1">VLOOKUP($B46,OFFSET([2]gachas!$A$2,0,0,COUNTA([2]gachas!$A:$A),MATCH(C$1,[2]gachas!$1:$1,0)-MATCH($B$1,[2]gachas!$1:$1,0)+1),MATCH(C$1,[2]gachas!$1:$1,0)-MATCH($B$1,[2]gachas!$1:$1,0)+1,FALSE)</f>
        <v>ピックアップ01　最終日</v>
      </c>
      <c r="D46" s="29">
        <v>1</v>
      </c>
      <c r="E46" s="30">
        <v>171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精解の預知者 オセ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green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29">
        <v>1</v>
      </c>
      <c r="M46" s="29">
        <v>1176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12011</v>
      </c>
      <c r="B47" s="31">
        <v>106</v>
      </c>
      <c r="C47" s="10" t="str">
        <f ca="1">VLOOKUP($B47,OFFSET([2]gachas!$A$2,0,0,COUNTA([2]gachas!$A:$A),MATCH(C$1,[2]gachas!$1:$1,0)-MATCH($B$1,[2]gachas!$1:$1,0)+1),MATCH(C$1,[2]gachas!$1:$1,0)-MATCH($B$1,[2]gachas!$1:$1,0)+1,FALSE)</f>
        <v>ピックアップ01　最終日</v>
      </c>
      <c r="D47" s="29">
        <v>1</v>
      </c>
      <c r="E47" s="30">
        <v>201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blue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ヒューマン</v>
      </c>
      <c r="L47" s="29">
        <v>1</v>
      </c>
      <c r="M47" s="29">
        <v>1176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12281</v>
      </c>
      <c r="B48" s="31">
        <v>106</v>
      </c>
      <c r="C48" s="10" t="str">
        <f ca="1">VLOOKUP($B48,OFFSET([2]gachas!$A$2,0,0,COUNTA([2]gachas!$A:$A),MATCH(C$1,[2]gachas!$1:$1,0)-MATCH($B$1,[2]gachas!$1:$1,0)+1),MATCH(C$1,[2]gachas!$1:$1,0)-MATCH($B$1,[2]gachas!$1:$1,0)+1,FALSE)</f>
        <v>ピックアップ01　最終日</v>
      </c>
      <c r="D48" s="29">
        <v>1</v>
      </c>
      <c r="E48" s="30">
        <v>228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殲滅の掃射砲 アレス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PremiumS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red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29">
        <v>1</v>
      </c>
      <c r="M48" s="29">
        <v>224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s="26" customFormat="1" ht="21" customHeight="1" thickBot="1">
      <c r="A49" s="22" t="str">
        <f t="shared" si="0"/>
        <v>12371</v>
      </c>
      <c r="B49" s="31">
        <v>106</v>
      </c>
      <c r="C49" s="10" t="str">
        <f ca="1">VLOOKUP($B49,OFFSET([2]gachas!$A$2,0,0,COUNTA([2]gachas!$A:$A),MATCH(C$1,[2]gachas!$1:$1,0)-MATCH($B$1,[2]gachas!$1:$1,0)+1),MATCH(C$1,[2]gachas!$1:$1,0)-MATCH($B$1,[2]gachas!$1:$1,0)+1,FALSE)</f>
        <v>ピックアップ01　最終日</v>
      </c>
      <c r="D49" s="33">
        <v>1</v>
      </c>
      <c r="E49" s="34">
        <v>237</v>
      </c>
      <c r="F49" s="23" t="str">
        <f ca="1">VLOOKUP($E49,OFFSET([1]characters!$A$2,0,0,COUNTA([1]characters!$A:$A),MATCH(F$1,[1]characters!$2:$2,0)-MATCH($E$1,[1]characters!$2:$2,0)+1),MATCH(F$1,[1]characters!$2:$2,0)-MATCH($E$1,[1]characters!$2:$2,0)+1,FALSE)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49" s="23" t="str">
        <f ca="1">VLOOKUP($E49,OFFSET([1]characters!$A$2,0,0,COUNTA([1]characters!$A:$A),MATCH(G$1,[1]characters!$2:$2,0)-MATCH($E$1,[1]characters!$2:$2,0)+1),MATCH(G$1,[1]characters!$2:$2,0)-MATCH($E$1,[1]characters!$2:$2,0)+1,FALSE)</f>
        <v>PremiumS</v>
      </c>
      <c r="H49" s="23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23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23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23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33">
        <v>1</v>
      </c>
      <c r="M49" s="33">
        <v>224</v>
      </c>
      <c r="N49" s="35">
        <v>0</v>
      </c>
      <c r="O49" s="35">
        <v>0</v>
      </c>
      <c r="P49" s="35">
        <v>0</v>
      </c>
      <c r="Q49" s="35">
        <v>0</v>
      </c>
      <c r="R49" s="35">
        <v>1</v>
      </c>
    </row>
    <row r="50" spans="1:18" ht="21" customHeight="1">
      <c r="A50" s="8" t="str">
        <f t="shared" si="0"/>
        <v>12391</v>
      </c>
      <c r="B50" s="31">
        <v>106</v>
      </c>
      <c r="C50" s="10" t="str">
        <f ca="1">VLOOKUP($B50,OFFSET([2]gachas!$A$2,0,0,COUNTA([2]gachas!$A:$A),MATCH(C$1,[2]gachas!$1:$1,0)-MATCH($B$1,[2]gachas!$1:$1,0)+1),MATCH(C$1,[2]gachas!$1:$1,0)-MATCH($B$1,[2]gachas!$1:$1,0)+1,FALSE)</f>
        <v>ピックアップ01　最終日</v>
      </c>
      <c r="D50" s="21">
        <v>1</v>
      </c>
      <c r="E50" s="39">
        <v>239</v>
      </c>
      <c r="F50" s="20" t="str">
        <f ca="1">VLOOKUP($E50,OFFSET([1]characters!$A$2,0,0,COUNTA([1]characters!$A:$A),MATCH(F$1,[1]characters!$2:$2,0)-MATCH($E$1,[1]characters!$2:$2,0)+1),MATCH(F$1,[1]characters!$2:$2,0)-MATCH($E$1,[1]characters!$2:$2,0)+1,FALSE)</f>
        <v>豪炎の天使 ウリエル</v>
      </c>
      <c r="G50" s="20" t="str">
        <f ca="1">VLOOKUP($E50,OFFSET([1]characters!$A$2,0,0,COUNTA([1]characters!$A:$A),MATCH(G$1,[1]characters!$2:$2,0)-MATCH($E$1,[1]characters!$2:$2,0)+1),MATCH(G$1,[1]characters!$2:$2,0)-MATCH($E$1,[1]characters!$2:$2,0)+1,FALSE)</f>
        <v>PremiumS</v>
      </c>
      <c r="H50" s="20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2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20" t="str">
        <f ca="1">VLOOKUP($E50,OFFSET([1]characters!$A$2,0,0,COUNTA([1]characters!$A:$A),MATCH("タイプ",[1]characters!$1:$1,0)-MATCH($E$1,[1]characters!$2:$2,0)+2),MATCH("タイプ",[1]characters!$1:$1,0)-MATCH($E$1,[1]characters!$2:$2,0)+2,FALSE)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0" s="20" t="str">
        <f ca="1">VLOOKUP($E50,OFFSET([1]characters!$A$2,0,0,COUNTA([1]characters!$A:$A),MATCH($K$1,[1]characters!$1:$1,0)-MATCH($E$1,[1]characters!$2:$2,0)+2),MATCH($K$1,[1]characters!$1:$1,0)-MATCH($E$1,[1]characters!$2:$2,0)+2,FALSE)</f>
        <v>マシン</v>
      </c>
      <c r="L50" s="21">
        <v>1</v>
      </c>
      <c r="M50" s="21">
        <v>319</v>
      </c>
      <c r="N50" s="18">
        <v>0</v>
      </c>
      <c r="O50" s="18">
        <v>0</v>
      </c>
      <c r="P50" s="18">
        <v>0</v>
      </c>
      <c r="Q50" s="18">
        <v>0</v>
      </c>
      <c r="R50" s="18">
        <v>1</v>
      </c>
    </row>
    <row r="51" spans="1:18" ht="21" customHeight="1">
      <c r="A51" s="8" t="str">
        <f t="shared" si="0"/>
        <v>12421</v>
      </c>
      <c r="B51" s="31">
        <v>106</v>
      </c>
      <c r="C51" s="10" t="str">
        <f ca="1">VLOOKUP($B51,OFFSET([2]gachas!$A$2,0,0,COUNTA([2]gachas!$A:$A),MATCH(C$1,[2]gachas!$1:$1,0)-MATCH($B$1,[2]gachas!$1:$1,0)+1),MATCH(C$1,[2]gachas!$1:$1,0)-MATCH($B$1,[2]gachas!$1:$1,0)+1,FALSE)</f>
        <v>ピックアップ01　最終日</v>
      </c>
      <c r="D51" s="6">
        <v>1</v>
      </c>
      <c r="E51" s="19">
        <v>242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PremiumS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4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マシン</v>
      </c>
      <c r="L51" s="6">
        <v>1</v>
      </c>
      <c r="M51" s="21">
        <v>319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12451</v>
      </c>
      <c r="B52" s="31">
        <v>106</v>
      </c>
      <c r="C52" s="10" t="str">
        <f ca="1">VLOOKUP($B52,OFFSET([2]gachas!$A$2,0,0,COUNTA([2]gachas!$A:$A),MATCH(C$1,[2]gachas!$1:$1,0)-MATCH($B$1,[2]gachas!$1:$1,0)+1),MATCH(C$1,[2]gachas!$1:$1,0)-MATCH($B$1,[2]gachas!$1:$1,0)+1,FALSE)</f>
        <v>ピックアップ01　最終日</v>
      </c>
      <c r="D52" s="6">
        <v>1</v>
      </c>
      <c r="E52" s="19">
        <v>245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PremiumS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マシン</v>
      </c>
      <c r="L52" s="6">
        <v>1</v>
      </c>
      <c r="M52" s="21">
        <v>319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12481</v>
      </c>
      <c r="B53" s="31">
        <v>106</v>
      </c>
      <c r="C53" s="10" t="str">
        <f ca="1">VLOOKUP($B53,OFFSET([2]gachas!$A$2,0,0,COUNTA([2]gachas!$A:$A),MATCH(C$1,[2]gachas!$1:$1,0)-MATCH($B$1,[2]gachas!$1:$1,0)+1),MATCH(C$1,[2]gachas!$1:$1,0)-MATCH($B$1,[2]gachas!$1:$1,0)+1,FALSE)</f>
        <v>ピックアップ01　最終日</v>
      </c>
      <c r="D53" s="6">
        <v>1</v>
      </c>
      <c r="E53" s="19">
        <v>248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彩電の天使 ミカエル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PremiumS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マシン</v>
      </c>
      <c r="L53" s="6">
        <v>1</v>
      </c>
      <c r="M53" s="21">
        <v>319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 thickBot="1">
      <c r="A54" s="22" t="str">
        <f t="shared" si="0"/>
        <v>12511</v>
      </c>
      <c r="B54" s="31">
        <v>106</v>
      </c>
      <c r="C54" s="10" t="str">
        <f ca="1">VLOOKUP($B54,OFFSET([2]gachas!$A$2,0,0,COUNTA([2]gachas!$A:$A),MATCH(C$1,[2]gachas!$1:$1,0)-MATCH($B$1,[2]gachas!$1:$1,0)+1),MATCH(C$1,[2]gachas!$1:$1,0)-MATCH($B$1,[2]gachas!$1:$1,0)+1,FALSE)</f>
        <v>ピックアップ01　最終日</v>
      </c>
      <c r="D54" s="6">
        <v>1</v>
      </c>
      <c r="E54" s="7">
        <v>251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強欲 マンモン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PremiumS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ゴッド</v>
      </c>
      <c r="L54" s="6">
        <v>1</v>
      </c>
      <c r="M54" s="21">
        <v>319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 thickBot="1">
      <c r="A55" s="22" t="str">
        <f t="shared" si="0"/>
        <v>12541</v>
      </c>
      <c r="B55" s="31">
        <v>106</v>
      </c>
      <c r="C55" s="10" t="str">
        <f ca="1">VLOOKUP($B55,OFFSET([2]gachas!$A$2,0,0,COUNTA([2]gachas!$A:$A),MATCH(C$1,[2]gachas!$1:$1,0)-MATCH($B$1,[2]gachas!$1:$1,0)+1),MATCH(C$1,[2]gachas!$1:$1,0)-MATCH($B$1,[2]gachas!$1:$1,0)+1,FALSE)</f>
        <v>ピックアップ01　最終日</v>
      </c>
      <c r="D55" s="6">
        <v>1</v>
      </c>
      <c r="E55" s="7">
        <v>254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怠惰 ベルフェゴール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PremiumS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ゴッド</v>
      </c>
      <c r="L55" s="6">
        <v>1</v>
      </c>
      <c r="M55" s="21">
        <v>319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 thickBot="1">
      <c r="A56" s="22" t="str">
        <f t="shared" si="0"/>
        <v>12571</v>
      </c>
      <c r="B56" s="31">
        <v>106</v>
      </c>
      <c r="C56" s="10" t="str">
        <f ca="1">VLOOKUP($B56,OFFSET([2]gachas!$A$2,0,0,COUNTA([2]gachas!$A:$A),MATCH(C$1,[2]gachas!$1:$1,0)-MATCH($B$1,[2]gachas!$1:$1,0)+1),MATCH(C$1,[2]gachas!$1:$1,0)-MATCH($B$1,[2]gachas!$1:$1,0)+1,FALSE)</f>
        <v>ピックアップ01　最終日</v>
      </c>
      <c r="D56" s="6">
        <v>1</v>
      </c>
      <c r="E56" s="7">
        <v>257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色欲 アスモデウス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PremiumS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blue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ゴッド</v>
      </c>
      <c r="L56" s="6">
        <v>1</v>
      </c>
      <c r="M56" s="21">
        <v>319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 thickBot="1">
      <c r="A57" s="22" t="str">
        <f t="shared" si="0"/>
        <v>12601</v>
      </c>
      <c r="B57" s="31">
        <v>106</v>
      </c>
      <c r="C57" s="10" t="str">
        <f ca="1">VLOOKUP($B57,OFFSET([2]gachas!$A$2,0,0,COUNTA([2]gachas!$A:$A),MATCH(C$1,[2]gachas!$1:$1,0)-MATCH($B$1,[2]gachas!$1:$1,0)+1),MATCH(C$1,[2]gachas!$1:$1,0)-MATCH($B$1,[2]gachas!$1:$1,0)+1,FALSE)</f>
        <v>ピックアップ01　最終日</v>
      </c>
      <c r="D57" s="6">
        <v>1</v>
      </c>
      <c r="E57" s="7">
        <v>260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輪廻 ウロボロス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PremiumS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yellow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ドラゴン</v>
      </c>
      <c r="L57" s="6">
        <v>1</v>
      </c>
      <c r="M57" s="21">
        <v>319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01261</v>
      </c>
      <c r="B58" s="31">
        <v>106</v>
      </c>
      <c r="C58" s="10" t="str">
        <f ca="1">VLOOKUP($B58,OFFSET([2]gachas!$A$2,0,0,COUNTA([2]gachas!$A:$A),MATCH(C$1,[2]gachas!$1:$1,0)-MATCH($B$1,[2]gachas!$1:$1,0)+1),MATCH(C$1,[2]gachas!$1:$1,0)-MATCH($B$1,[2]gachas!$1:$1,0)+1,FALSE)</f>
        <v>ピックアップ01　最終日</v>
      </c>
      <c r="D58" s="6">
        <v>0</v>
      </c>
      <c r="E58" s="7">
        <v>126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骨器使い ユノ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PremiumW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3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6">
        <v>1</v>
      </c>
      <c r="M58" s="21">
        <v>1511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01281</v>
      </c>
      <c r="B59" s="31">
        <v>106</v>
      </c>
      <c r="C59" s="10" t="str">
        <f ca="1">VLOOKUP($B59,OFFSET([2]gachas!$A$2,0,0,COUNTA([2]gachas!$A:$A),MATCH(C$1,[2]gachas!$1:$1,0)-MATCH($B$1,[2]gachas!$1:$1,0)+1),MATCH(C$1,[2]gachas!$1:$1,0)-MATCH($B$1,[2]gachas!$1:$1,0)+1,FALSE)</f>
        <v>ピックアップ01　最終日</v>
      </c>
      <c r="D59" s="21">
        <v>0</v>
      </c>
      <c r="E59" s="27">
        <v>128</v>
      </c>
      <c r="F59" s="20" t="str">
        <f ca="1">VLOOKUP($E59,OFFSET([1]characters!$A$2,0,0,COUNTA([1]characters!$A:$A),MATCH(F$1,[1]characters!$2:$2,0)-MATCH($E$1,[1]characters!$2:$2,0)+1),MATCH(F$1,[1]characters!$2:$2,0)-MATCH($E$1,[1]characters!$2:$2,0)+1,FALSE)</f>
        <v>野生児 アマラ</v>
      </c>
      <c r="G59" s="20" t="str">
        <f ca="1">VLOOKUP($E59,OFFSET([1]characters!$A$2,0,0,COUNTA([1]characters!$A:$A),MATCH(G$1,[1]characters!$2:$2,0)-MATCH($E$1,[1]characters!$2:$2,0)+1),MATCH(G$1,[1]characters!$2:$2,0)-MATCH($E$1,[1]characters!$2:$2,0)+1,FALSE)</f>
        <v>PremiumW</v>
      </c>
      <c r="H59" s="20">
        <f ca="1">VLOOKUP($E59,OFFSET([1]characters!$A$2,0,0,COUNTA([1]characters!$A:$A),MATCH(H$1,[1]characters!$2:$2,0)-MATCH($E$1,[1]characters!$2:$2,0)+1),MATCH(H$1,[1]characters!$2:$2,0)-MATCH($E$1,[1]characters!$2:$2,0)+1,FALSE)</f>
        <v>3</v>
      </c>
      <c r="I59" s="2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20" t="str">
        <f ca="1">VLOOKUP($E59,OFFSET([1]characters!$A$2,0,0,COUNTA([1]characters!$A:$A),MATCH("タイプ",[1]characters!$1:$1,0)-MATCH($E$1,[1]characters!$2:$2,0)+2),MATCH("タイプ",[1]characters!$1:$1,0)-MATCH($E$1,[1]characters!$2:$2,0)+2,FALSE)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9" s="20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21">
        <v>1</v>
      </c>
      <c r="M59" s="21">
        <v>1511</v>
      </c>
      <c r="N59" s="18">
        <v>0</v>
      </c>
      <c r="O59" s="18">
        <v>0</v>
      </c>
      <c r="P59" s="18">
        <v>0</v>
      </c>
      <c r="Q59" s="18">
        <v>0</v>
      </c>
      <c r="R59" s="18">
        <v>1</v>
      </c>
    </row>
    <row r="60" spans="1:18" ht="21" customHeight="1">
      <c r="A60" s="8" t="str">
        <f t="shared" si="0"/>
        <v>01301</v>
      </c>
      <c r="B60" s="31">
        <v>106</v>
      </c>
      <c r="C60" s="10" t="str">
        <f ca="1">VLOOKUP($B60,OFFSET([2]gachas!$A$2,0,0,COUNTA([2]gachas!$A:$A),MATCH(C$1,[2]gachas!$1:$1,0)-MATCH($B$1,[2]gachas!$1:$1,0)+1),MATCH(C$1,[2]gachas!$1:$1,0)-MATCH($B$1,[2]gachas!$1:$1,0)+1,FALSE)</f>
        <v>ピックアップ01　最終日</v>
      </c>
      <c r="D60" s="6">
        <v>0</v>
      </c>
      <c r="E60" s="7">
        <v>130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狼男 ローレンス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PremiumW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3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アニマル</v>
      </c>
      <c r="L60" s="6">
        <v>1</v>
      </c>
      <c r="M60" s="21">
        <v>1511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01321</v>
      </c>
      <c r="B61" s="31">
        <v>106</v>
      </c>
      <c r="C61" s="10" t="str">
        <f ca="1">VLOOKUP($B61,OFFSET([2]gachas!$A$2,0,0,COUNTA([2]gachas!$A:$A),MATCH(C$1,[2]gachas!$1:$1,0)-MATCH($B$1,[2]gachas!$1:$1,0)+1),MATCH(C$1,[2]gachas!$1:$1,0)-MATCH($B$1,[2]gachas!$1:$1,0)+1,FALSE)</f>
        <v>ピックアップ01　最終日</v>
      </c>
      <c r="D61" s="6">
        <v>0</v>
      </c>
      <c r="E61" s="7">
        <v>132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鳥人ハヤト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3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6">
        <v>1</v>
      </c>
      <c r="M61" s="21">
        <v>1511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01341</v>
      </c>
      <c r="B62" s="31">
        <v>106</v>
      </c>
      <c r="C62" s="10" t="str">
        <f ca="1">VLOOKUP($B62,OFFSET([2]gachas!$A$2,0,0,COUNTA([2]gachas!$A:$A),MATCH(C$1,[2]gachas!$1:$1,0)-MATCH($B$1,[2]gachas!$1:$1,0)+1),MATCH(C$1,[2]gachas!$1:$1,0)-MATCH($B$1,[2]gachas!$1:$1,0)+1,FALSE)</f>
        <v>ピックアップ01　最終日</v>
      </c>
      <c r="D62" s="6">
        <v>0</v>
      </c>
      <c r="E62" s="7">
        <v>134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妖炎の夕霧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3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6">
        <v>1</v>
      </c>
      <c r="M62" s="21">
        <v>1511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01361</v>
      </c>
      <c r="B63" s="31">
        <v>106</v>
      </c>
      <c r="C63" s="10" t="str">
        <f ca="1">VLOOKUP($B63,OFFSET([2]gachas!$A$2,0,0,COUNTA([2]gachas!$A:$A),MATCH(C$1,[2]gachas!$1:$1,0)-MATCH($B$1,[2]gachas!$1:$1,0)+1),MATCH(C$1,[2]gachas!$1:$1,0)-MATCH($B$1,[2]gachas!$1:$1,0)+1,FALSE)</f>
        <v>ピックアップ01　最終日</v>
      </c>
      <c r="D63" s="6">
        <v>0</v>
      </c>
      <c r="E63" s="7">
        <v>136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お針子チハヤ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3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ヒューマン</v>
      </c>
      <c r="L63" s="6">
        <v>1</v>
      </c>
      <c r="M63" s="21">
        <v>1511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01381</v>
      </c>
      <c r="B64" s="31">
        <v>106</v>
      </c>
      <c r="C64" s="10" t="str">
        <f ca="1">VLOOKUP($B64,OFFSET([2]gachas!$A$2,0,0,COUNTA([2]gachas!$A:$A),MATCH(C$1,[2]gachas!$1:$1,0)-MATCH($B$1,[2]gachas!$1:$1,0)+1),MATCH(C$1,[2]gachas!$1:$1,0)-MATCH($B$1,[2]gachas!$1:$1,0)+1,FALSE)</f>
        <v>ピックアップ01　最終日</v>
      </c>
      <c r="D64" s="6">
        <v>0</v>
      </c>
      <c r="E64" s="7">
        <v>138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蒼薙のトモエ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3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6">
        <v>1</v>
      </c>
      <c r="M64" s="21">
        <v>1511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01401</v>
      </c>
      <c r="B65" s="31">
        <v>106</v>
      </c>
      <c r="C65" s="10" t="str">
        <f ca="1">VLOOKUP($B65,OFFSET([2]gachas!$A$2,0,0,COUNTA([2]gachas!$A:$A),MATCH(C$1,[2]gachas!$1:$1,0)-MATCH($B$1,[2]gachas!$1:$1,0)+1),MATCH(C$1,[2]gachas!$1:$1,0)-MATCH($B$1,[2]gachas!$1:$1,0)+1,FALSE)</f>
        <v>ピックアップ01　最終日</v>
      </c>
      <c r="D65" s="6">
        <v>0</v>
      </c>
      <c r="E65" s="7">
        <v>140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秋祭のタマモ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3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アニマル</v>
      </c>
      <c r="L65" s="6">
        <v>1</v>
      </c>
      <c r="M65" s="21">
        <v>1511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29" si="1">D66&amp;E66&amp;L66</f>
        <v>01421</v>
      </c>
      <c r="B66" s="31">
        <v>106</v>
      </c>
      <c r="C66" s="10" t="str">
        <f ca="1">VLOOKUP($B66,OFFSET([2]gachas!$A$2,0,0,COUNTA([2]gachas!$A:$A),MATCH(C$1,[2]gachas!$1:$1,0)-MATCH($B$1,[2]gachas!$1:$1,0)+1),MATCH(C$1,[2]gachas!$1:$1,0)-MATCH($B$1,[2]gachas!$1:$1,0)+1,FALSE)</f>
        <v>ピックアップ01　最終日</v>
      </c>
      <c r="D66" s="6">
        <v>0</v>
      </c>
      <c r="E66" s="7">
        <v>142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赤ずきん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PremiumW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3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ヒューマン</v>
      </c>
      <c r="L66" s="6">
        <v>1</v>
      </c>
      <c r="M66" s="21">
        <v>1511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01441</v>
      </c>
      <c r="B67" s="31">
        <v>106</v>
      </c>
      <c r="C67" s="10" t="str">
        <f ca="1">VLOOKUP($B67,OFFSET([2]gachas!$A$2,0,0,COUNTA([2]gachas!$A:$A),MATCH(C$1,[2]gachas!$1:$1,0)-MATCH($B$1,[2]gachas!$1:$1,0)+1),MATCH(C$1,[2]gachas!$1:$1,0)-MATCH($B$1,[2]gachas!$1:$1,0)+1,FALSE)</f>
        <v>ピックアップ01　最終日</v>
      </c>
      <c r="D67" s="6">
        <v>0</v>
      </c>
      <c r="E67" s="7">
        <v>144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かぐや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PremiumW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3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ヒューマン</v>
      </c>
      <c r="L67" s="6">
        <v>1</v>
      </c>
      <c r="M67" s="21">
        <v>1511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01461</v>
      </c>
      <c r="B68" s="31">
        <v>106</v>
      </c>
      <c r="C68" s="10" t="str">
        <f ca="1">VLOOKUP($B68,OFFSET([2]gachas!$A$2,0,0,COUNTA([2]gachas!$A:$A),MATCH(C$1,[2]gachas!$1:$1,0)-MATCH($B$1,[2]gachas!$1:$1,0)+1),MATCH(C$1,[2]gachas!$1:$1,0)-MATCH($B$1,[2]gachas!$1:$1,0)+1,FALSE)</f>
        <v>ピックアップ01　最終日</v>
      </c>
      <c r="D68" s="6">
        <v>0</v>
      </c>
      <c r="E68" s="7">
        <v>146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マーメイド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PremiumW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3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21">
        <v>1511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ht="21" customHeight="1">
      <c r="A69" s="8" t="str">
        <f t="shared" si="1"/>
        <v>01481</v>
      </c>
      <c r="B69" s="31">
        <v>106</v>
      </c>
      <c r="C69" s="10" t="str">
        <f ca="1">VLOOKUP($B69,OFFSET([2]gachas!$A$2,0,0,COUNTA([2]gachas!$A:$A),MATCH(C$1,[2]gachas!$1:$1,0)-MATCH($B$1,[2]gachas!$1:$1,0)+1),MATCH(C$1,[2]gachas!$1:$1,0)-MATCH($B$1,[2]gachas!$1:$1,0)+1,FALSE)</f>
        <v>ピックアップ01　最終日</v>
      </c>
      <c r="D69" s="6">
        <v>0</v>
      </c>
      <c r="E69" s="7">
        <v>148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シンデレラ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PremiumW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3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ヒューマン</v>
      </c>
      <c r="L69" s="6">
        <v>1</v>
      </c>
      <c r="M69" s="21">
        <v>1511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01501</v>
      </c>
      <c r="B70" s="31">
        <v>106</v>
      </c>
      <c r="C70" s="10" t="str">
        <f ca="1">VLOOKUP($B70,OFFSET([2]gachas!$A$2,0,0,COUNTA([2]gachas!$A:$A),MATCH(C$1,[2]gachas!$1:$1,0)-MATCH($B$1,[2]gachas!$1:$1,0)+1),MATCH(C$1,[2]gachas!$1:$1,0)-MATCH($B$1,[2]gachas!$1:$1,0)+1,FALSE)</f>
        <v>ピックアップ01　最終日</v>
      </c>
      <c r="D70" s="6">
        <v>0</v>
      </c>
      <c r="E70" s="7">
        <v>150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ポイズンマスターサキ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PremiumW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3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ヒューマン</v>
      </c>
      <c r="L70" s="6">
        <v>1</v>
      </c>
      <c r="M70" s="21">
        <v>1511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01521</v>
      </c>
      <c r="B71" s="31">
        <v>106</v>
      </c>
      <c r="C71" s="10" t="str">
        <f ca="1">VLOOKUP($B71,OFFSET([2]gachas!$A$2,0,0,COUNTA([2]gachas!$A:$A),MATCH(C$1,[2]gachas!$1:$1,0)-MATCH($B$1,[2]gachas!$1:$1,0)+1),MATCH(C$1,[2]gachas!$1:$1,0)-MATCH($B$1,[2]gachas!$1:$1,0)+1,FALSE)</f>
        <v>ピックアップ01　最終日</v>
      </c>
      <c r="D71" s="6">
        <v>0</v>
      </c>
      <c r="E71" s="7">
        <v>152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功夫少女ランラン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PremiumW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3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green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ヒューマン</v>
      </c>
      <c r="L71" s="6">
        <v>1</v>
      </c>
      <c r="M71" s="21">
        <v>1511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01541</v>
      </c>
      <c r="B72" s="31">
        <v>106</v>
      </c>
      <c r="C72" s="10" t="str">
        <f ca="1">VLOOKUP($B72,OFFSET([2]gachas!$A$2,0,0,COUNTA([2]gachas!$A:$A),MATCH(C$1,[2]gachas!$1:$1,0)-MATCH($B$1,[2]gachas!$1:$1,0)+1),MATCH(C$1,[2]gachas!$1:$1,0)-MATCH($B$1,[2]gachas!$1:$1,0)+1,FALSE)</f>
        <v>ピックアップ01　最終日</v>
      </c>
      <c r="D72" s="6">
        <v>0</v>
      </c>
      <c r="E72" s="7">
        <v>154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始末屋 ハンナ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PremiumW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3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blue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ヒューマン</v>
      </c>
      <c r="L72" s="6">
        <v>1</v>
      </c>
      <c r="M72" s="21">
        <v>1511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01561</v>
      </c>
      <c r="B73" s="31">
        <v>106</v>
      </c>
      <c r="C73" s="10" t="str">
        <f ca="1">VLOOKUP($B73,OFFSET([2]gachas!$A$2,0,0,COUNTA([2]gachas!$A:$A),MATCH(C$1,[2]gachas!$1:$1,0)-MATCH($B$1,[2]gachas!$1:$1,0)+1),MATCH(C$1,[2]gachas!$1:$1,0)-MATCH($B$1,[2]gachas!$1:$1,0)+1,FALSE)</f>
        <v>ピックアップ01　最終日</v>
      </c>
      <c r="D73" s="6">
        <v>0</v>
      </c>
      <c r="E73" s="7">
        <v>156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踊り子 エレナ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PremiumW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3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yellow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ヒューマン</v>
      </c>
      <c r="L73" s="6">
        <v>1</v>
      </c>
      <c r="M73" s="21">
        <v>1511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01581</v>
      </c>
      <c r="B74" s="31">
        <v>106</v>
      </c>
      <c r="C74" s="10" t="str">
        <f ca="1">VLOOKUP($B74,OFFSET([2]gachas!$A$2,0,0,COUNTA([2]gachas!$A:$A),MATCH(C$1,[2]gachas!$1:$1,0)-MATCH($B$1,[2]gachas!$1:$1,0)+1),MATCH(C$1,[2]gachas!$1:$1,0)-MATCH($B$1,[2]gachas!$1:$1,0)+1,FALSE)</f>
        <v>ピックアップ01　最終日</v>
      </c>
      <c r="D74" s="6">
        <v>0</v>
      </c>
      <c r="E74" s="7">
        <v>158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PremiumW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3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red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6">
        <v>1</v>
      </c>
      <c r="M74" s="21">
        <v>1511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01601</v>
      </c>
      <c r="B75" s="31">
        <v>106</v>
      </c>
      <c r="C75" s="10" t="str">
        <f ca="1">VLOOKUP($B75,OFFSET([2]gachas!$A$2,0,0,COUNTA([2]gachas!$A:$A),MATCH(C$1,[2]gachas!$1:$1,0)-MATCH($B$1,[2]gachas!$1:$1,0)+1),MATCH(C$1,[2]gachas!$1:$1,0)-MATCH($B$1,[2]gachas!$1:$1,0)+1,FALSE)</f>
        <v>ピックアップ01　最終日</v>
      </c>
      <c r="D75" s="6">
        <v>0</v>
      </c>
      <c r="E75" s="7">
        <v>160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反逆者 クリエ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PremiumW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3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green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6">
        <v>1</v>
      </c>
      <c r="M75" s="21">
        <v>1511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01621</v>
      </c>
      <c r="B76" s="31">
        <v>106</v>
      </c>
      <c r="C76" s="10" t="str">
        <f ca="1">VLOOKUP($B76,OFFSET([2]gachas!$A$2,0,0,COUNTA([2]gachas!$A:$A),MATCH(C$1,[2]gachas!$1:$1,0)-MATCH($B$1,[2]gachas!$1:$1,0)+1),MATCH(C$1,[2]gachas!$1:$1,0)-MATCH($B$1,[2]gachas!$1:$1,0)+1,FALSE)</f>
        <v>ピックアップ01　最終日</v>
      </c>
      <c r="D76" s="6">
        <v>0</v>
      </c>
      <c r="E76" s="7">
        <v>162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狂女 クララ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PremiumW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3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blue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6">
        <v>1</v>
      </c>
      <c r="M76" s="21">
        <v>1511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ht="21" customHeight="1">
      <c r="A77" s="8" t="str">
        <f t="shared" si="1"/>
        <v>01641</v>
      </c>
      <c r="B77" s="31">
        <v>106</v>
      </c>
      <c r="C77" s="10" t="str">
        <f ca="1">VLOOKUP($B77,OFFSET([2]gachas!$A$2,0,0,COUNTA([2]gachas!$A:$A),MATCH(C$1,[2]gachas!$1:$1,0)-MATCH($B$1,[2]gachas!$1:$1,0)+1),MATCH(C$1,[2]gachas!$1:$1,0)-MATCH($B$1,[2]gachas!$1:$1,0)+1,FALSE)</f>
        <v>ピックアップ01　最終日</v>
      </c>
      <c r="D77" s="6">
        <v>0</v>
      </c>
      <c r="E77" s="7">
        <v>164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イブとトモダチ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PremiumW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3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6">
        <v>1</v>
      </c>
      <c r="M77" s="21">
        <v>1511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>
      <c r="A78" s="8" t="str">
        <f t="shared" si="1"/>
        <v>01661</v>
      </c>
      <c r="B78" s="31">
        <v>106</v>
      </c>
      <c r="C78" s="10" t="str">
        <f ca="1">VLOOKUP($B78,OFFSET([2]gachas!$A$2,0,0,COUNTA([2]gachas!$A:$A),MATCH(C$1,[2]gachas!$1:$1,0)-MATCH($B$1,[2]gachas!$1:$1,0)+1),MATCH(C$1,[2]gachas!$1:$1,0)-MATCH($B$1,[2]gachas!$1:$1,0)+1,FALSE)</f>
        <v>ピックアップ01　最終日</v>
      </c>
      <c r="D78" s="6">
        <v>0</v>
      </c>
      <c r="E78" s="7">
        <v>166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ベリアル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PremiumN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3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6">
        <v>1719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>
      <c r="A79" s="8" t="str">
        <f t="shared" si="1"/>
        <v>01721</v>
      </c>
      <c r="B79" s="31">
        <v>106</v>
      </c>
      <c r="C79" s="10" t="str">
        <f ca="1">VLOOKUP($B79,OFFSET([2]gachas!$A$2,0,0,COUNTA([2]gachas!$A:$A),MATCH(C$1,[2]gachas!$1:$1,0)-MATCH($B$1,[2]gachas!$1:$1,0)+1),MATCH(C$1,[2]gachas!$1:$1,0)-MATCH($B$1,[2]gachas!$1:$1,0)+1,FALSE)</f>
        <v>ピックアップ01　最終日</v>
      </c>
      <c r="D79" s="6">
        <v>0</v>
      </c>
      <c r="E79" s="7">
        <v>172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フォルネウス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PremiumN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3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blue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6">
        <v>1719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>
      <c r="A80" s="8" t="str">
        <f t="shared" si="1"/>
        <v>01751</v>
      </c>
      <c r="B80" s="31">
        <v>106</v>
      </c>
      <c r="C80" s="10" t="str">
        <f ca="1">VLOOKUP($B80,OFFSET([2]gachas!$A$2,0,0,COUNTA([2]gachas!$A:$A),MATCH(C$1,[2]gachas!$1:$1,0)-MATCH($B$1,[2]gachas!$1:$1,0)+1),MATCH(C$1,[2]gachas!$1:$1,0)-MATCH($B$1,[2]gachas!$1:$1,0)+1,FALSE)</f>
        <v>ピックアップ01　最終日</v>
      </c>
      <c r="D80" s="6">
        <v>0</v>
      </c>
      <c r="E80" s="7">
        <v>175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バフォメット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PremiumN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3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yellow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6">
        <v>1719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>
      <c r="A81" s="8" t="str">
        <f t="shared" si="1"/>
        <v>01781</v>
      </c>
      <c r="B81" s="31">
        <v>106</v>
      </c>
      <c r="C81" s="10" t="str">
        <f ca="1">VLOOKUP($B81,OFFSET([2]gachas!$A$2,0,0,COUNTA([2]gachas!$A:$A),MATCH(C$1,[2]gachas!$1:$1,0)-MATCH($B$1,[2]gachas!$1:$1,0)+1),MATCH(C$1,[2]gachas!$1:$1,0)-MATCH($B$1,[2]gachas!$1:$1,0)+1,FALSE)</f>
        <v>ピックアップ01　最終日</v>
      </c>
      <c r="D81" s="6">
        <v>0</v>
      </c>
      <c r="E81" s="7">
        <v>178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ケルベロス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3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red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アニマル</v>
      </c>
      <c r="L81" s="6">
        <v>1</v>
      </c>
      <c r="M81" s="6">
        <v>1719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>
      <c r="A82" s="8" t="str">
        <f t="shared" si="1"/>
        <v>01811</v>
      </c>
      <c r="B82" s="31">
        <v>106</v>
      </c>
      <c r="C82" s="10" t="str">
        <f ca="1">VLOOKUP($B82,OFFSET([2]gachas!$A$2,0,0,COUNTA([2]gachas!$A:$A),MATCH(C$1,[2]gachas!$1:$1,0)-MATCH($B$1,[2]gachas!$1:$1,0)+1),MATCH(C$1,[2]gachas!$1:$1,0)-MATCH($B$1,[2]gachas!$1:$1,0)+1,FALSE)</f>
        <v>ピックアップ01　最終日</v>
      </c>
      <c r="D82" s="6">
        <v>0</v>
      </c>
      <c r="E82" s="7">
        <v>181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ベヒモス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3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green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アニマル</v>
      </c>
      <c r="L82" s="6">
        <v>1</v>
      </c>
      <c r="M82" s="6">
        <v>1719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>
      <c r="A83" s="8" t="str">
        <f t="shared" si="1"/>
        <v>01841</v>
      </c>
      <c r="B83" s="31">
        <v>106</v>
      </c>
      <c r="C83" s="10" t="str">
        <f ca="1">VLOOKUP($B83,OFFSET([2]gachas!$A$2,0,0,COUNTA([2]gachas!$A:$A),MATCH(C$1,[2]gachas!$1:$1,0)-MATCH($B$1,[2]gachas!$1:$1,0)+1),MATCH(C$1,[2]gachas!$1:$1,0)-MATCH($B$1,[2]gachas!$1:$1,0)+1,FALSE)</f>
        <v>ピックアップ01　最終日</v>
      </c>
      <c r="D83" s="6">
        <v>0</v>
      </c>
      <c r="E83" s="7">
        <v>184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クラーケン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3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アニマル</v>
      </c>
      <c r="L83" s="6">
        <v>1</v>
      </c>
      <c r="M83" s="6">
        <v>1719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>
      <c r="A84" s="8" t="str">
        <f t="shared" si="1"/>
        <v>01871</v>
      </c>
      <c r="B84" s="31">
        <v>106</v>
      </c>
      <c r="C84" s="10" t="str">
        <f ca="1">VLOOKUP($B84,OFFSET([2]gachas!$A$2,0,0,COUNTA([2]gachas!$A:$A),MATCH(C$1,[2]gachas!$1:$1,0)-MATCH($B$1,[2]gachas!$1:$1,0)+1),MATCH(C$1,[2]gachas!$1:$1,0)-MATCH($B$1,[2]gachas!$1:$1,0)+1,FALSE)</f>
        <v>ピックアップ01　最終日</v>
      </c>
      <c r="D84" s="6">
        <v>0</v>
      </c>
      <c r="E84" s="7">
        <v>187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ホルス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3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アニマル</v>
      </c>
      <c r="L84" s="6">
        <v>1</v>
      </c>
      <c r="M84" s="6">
        <v>1719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>
      <c r="A85" s="8" t="str">
        <f t="shared" si="1"/>
        <v>01901</v>
      </c>
      <c r="B85" s="31">
        <v>106</v>
      </c>
      <c r="C85" s="10" t="str">
        <f ca="1">VLOOKUP($B85,OFFSET([2]gachas!$A$2,0,0,COUNTA([2]gachas!$A:$A),MATCH(C$1,[2]gachas!$1:$1,0)-MATCH($B$1,[2]gachas!$1:$1,0)+1),MATCH(C$1,[2]gachas!$1:$1,0)-MATCH($B$1,[2]gachas!$1:$1,0)+1,FALSE)</f>
        <v>ピックアップ01　最終日</v>
      </c>
      <c r="D85" s="6">
        <v>0</v>
      </c>
      <c r="E85" s="7">
        <v>190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卑弥呼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3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red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ヒューマン</v>
      </c>
      <c r="L85" s="6">
        <v>1</v>
      </c>
      <c r="M85" s="6">
        <v>1719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>
      <c r="A86" s="8" t="str">
        <f t="shared" si="1"/>
        <v>01931</v>
      </c>
      <c r="B86" s="31">
        <v>106</v>
      </c>
      <c r="C86" s="10" t="str">
        <f ca="1">VLOOKUP($B86,OFFSET([2]gachas!$A$2,0,0,COUNTA([2]gachas!$A:$A),MATCH(C$1,[2]gachas!$1:$1,0)-MATCH($B$1,[2]gachas!$1:$1,0)+1),MATCH(C$1,[2]gachas!$1:$1,0)-MATCH($B$1,[2]gachas!$1:$1,0)+1,FALSE)</f>
        <v>ピックアップ01　最終日</v>
      </c>
      <c r="D86" s="6">
        <v>0</v>
      </c>
      <c r="E86" s="7">
        <v>193</v>
      </c>
      <c r="F86" s="10" t="str">
        <f ca="1">VLOOKUP($E86,OFFSET([1]characters!$A$2,0,0,COUNTA([1]characters!$A:$A),MATCH(F$1,[1]characters!$2:$2,0)-MATCH($E$1,[1]characters!$2:$2,0)+1),MATCH(F$1,[1]characters!$2:$2,0)-MATCH($E$1,[1]characters!$2:$2,0)+1,FALSE)</f>
        <v>ロビンフッド</v>
      </c>
      <c r="G86" s="10" t="str">
        <f ca="1">VLOOKUP($E86,OFFSET([1]characters!$A$2,0,0,COUNTA([1]characters!$A:$A),MATCH(G$1,[1]characters!$2:$2,0)-MATCH($E$1,[1]characters!$2:$2,0)+1),MATCH(G$1,[1]characters!$2:$2,0)-MATCH($E$1,[1]characters!$2:$2,0)+1,FALSE)</f>
        <v>PremiumN</v>
      </c>
      <c r="H86" s="10">
        <f ca="1">VLOOKUP($E86,OFFSET([1]characters!$A$2,0,0,COUNTA([1]characters!$A:$A),MATCH(H$1,[1]characters!$2:$2,0)-MATCH($E$1,[1]characters!$2:$2,0)+1),MATCH(H$1,[1]characters!$2:$2,0)-MATCH($E$1,[1]characters!$2:$2,0)+1,FALSE)</f>
        <v>3</v>
      </c>
      <c r="I86" s="10" t="str">
        <f ca="1">VLOOKUP($E86,OFFSET([1]characters!$A$2,0,0,COUNTA([1]characters!$A:$A),MATCH(I$1,[1]characters!$2:$2,0)-MATCH($E$1,[1]characters!$2:$2,0)+1),MATCH(I$1,[1]characters!$2:$2,0)-MATCH($E$1,[1]characters!$2:$2,0)+1,FALSE)</f>
        <v>green</v>
      </c>
      <c r="J86" s="10" t="str">
        <f ca="1">VLOOKUP($E86,OFFSET([1]characters!$A$2,0,0,COUNTA([1]characters!$A:$A),MATCH("タイプ",[1]characters!$1:$1,0)-MATCH($E$1,[1]characters!$2:$2,0)+2),MATCH("タイプ",[1]characters!$1:$1,0)-MATCH($E$1,[1]characters!$2:$2,0)+2,FALSE)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6" s="1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6">
        <v>1</v>
      </c>
      <c r="M86" s="6">
        <v>1719</v>
      </c>
      <c r="N86" s="28">
        <v>0</v>
      </c>
      <c r="O86" s="28">
        <v>0</v>
      </c>
      <c r="P86" s="28">
        <v>0</v>
      </c>
      <c r="Q86" s="28">
        <v>0</v>
      </c>
      <c r="R86" s="28">
        <v>1</v>
      </c>
    </row>
    <row r="87" spans="1:18" ht="21" customHeight="1">
      <c r="A87" s="8" t="str">
        <f t="shared" si="1"/>
        <v>01961</v>
      </c>
      <c r="B87" s="31">
        <v>106</v>
      </c>
      <c r="C87" s="10" t="str">
        <f ca="1">VLOOKUP($B87,OFFSET([2]gachas!$A$2,0,0,COUNTA([2]gachas!$A:$A),MATCH(C$1,[2]gachas!$1:$1,0)-MATCH($B$1,[2]gachas!$1:$1,0)+1),MATCH(C$1,[2]gachas!$1:$1,0)-MATCH($B$1,[2]gachas!$1:$1,0)+1,FALSE)</f>
        <v>ピックアップ01　最終日</v>
      </c>
      <c r="D87" s="6">
        <v>0</v>
      </c>
      <c r="E87" s="7">
        <v>196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アキレス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PremiumN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3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yellow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6">
        <v>1</v>
      </c>
      <c r="M87" s="6">
        <v>1719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>
      <c r="A88" s="8" t="str">
        <f t="shared" si="1"/>
        <v>02021</v>
      </c>
      <c r="B88" s="31">
        <v>106</v>
      </c>
      <c r="C88" s="10" t="str">
        <f ca="1">VLOOKUP($B88,OFFSET([2]gachas!$A$2,0,0,COUNTA([2]gachas!$A:$A),MATCH(C$1,[2]gachas!$1:$1,0)-MATCH($B$1,[2]gachas!$1:$1,0)+1),MATCH(C$1,[2]gachas!$1:$1,0)-MATCH($B$1,[2]gachas!$1:$1,0)+1,FALSE)</f>
        <v>ピックアップ01　最終日</v>
      </c>
      <c r="D88" s="6">
        <v>0</v>
      </c>
      <c r="E88" s="7">
        <v>202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プロメテウス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PremiumN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3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red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ゴッド</v>
      </c>
      <c r="L88" s="6">
        <v>1</v>
      </c>
      <c r="M88" s="6">
        <v>1719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>
      <c r="A89" s="8" t="str">
        <f t="shared" si="1"/>
        <v>02051</v>
      </c>
      <c r="B89" s="31">
        <v>106</v>
      </c>
      <c r="C89" s="10" t="str">
        <f ca="1">VLOOKUP($B89,OFFSET([2]gachas!$A$2,0,0,COUNTA([2]gachas!$A:$A),MATCH(C$1,[2]gachas!$1:$1,0)-MATCH($B$1,[2]gachas!$1:$1,0)+1),MATCH(C$1,[2]gachas!$1:$1,0)-MATCH($B$1,[2]gachas!$1:$1,0)+1,FALSE)</f>
        <v>ピックアップ01　最終日</v>
      </c>
      <c r="D89" s="6">
        <v>0</v>
      </c>
      <c r="E89" s="7">
        <v>205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アフロディーテ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PremiumN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3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ゴッド</v>
      </c>
      <c r="L89" s="6">
        <v>1</v>
      </c>
      <c r="M89" s="6">
        <v>1719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>
      <c r="A90" s="8" t="str">
        <f t="shared" si="1"/>
        <v>02081</v>
      </c>
      <c r="B90" s="31">
        <v>106</v>
      </c>
      <c r="C90" s="10" t="str">
        <f ca="1">VLOOKUP($B90,OFFSET([2]gachas!$A$2,0,0,COUNTA([2]gachas!$A:$A),MATCH(C$1,[2]gachas!$1:$1,0)-MATCH($B$1,[2]gachas!$1:$1,0)+1),MATCH(C$1,[2]gachas!$1:$1,0)-MATCH($B$1,[2]gachas!$1:$1,0)+1,FALSE)</f>
        <v>ピックアップ01　最終日</v>
      </c>
      <c r="D90" s="6">
        <v>0</v>
      </c>
      <c r="E90" s="7">
        <v>208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テティス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3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ゴッド</v>
      </c>
      <c r="L90" s="6">
        <v>1</v>
      </c>
      <c r="M90" s="6">
        <v>1719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>
      <c r="A91" s="8" t="str">
        <f t="shared" si="1"/>
        <v>02111</v>
      </c>
      <c r="B91" s="31">
        <v>106</v>
      </c>
      <c r="C91" s="10" t="str">
        <f ca="1">VLOOKUP($B91,OFFSET([2]gachas!$A$2,0,0,COUNTA([2]gachas!$A:$A),MATCH(C$1,[2]gachas!$1:$1,0)-MATCH($B$1,[2]gachas!$1:$1,0)+1),MATCH(C$1,[2]gachas!$1:$1,0)-MATCH($B$1,[2]gachas!$1:$1,0)+1,FALSE)</f>
        <v>ピックアップ01　最終日</v>
      </c>
      <c r="D91" s="6">
        <v>0</v>
      </c>
      <c r="E91" s="7">
        <v>211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アストライアー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3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yellow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ゴッド</v>
      </c>
      <c r="L91" s="6">
        <v>1</v>
      </c>
      <c r="M91" s="6">
        <v>1719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>
      <c r="A92" s="8" t="str">
        <f t="shared" si="1"/>
        <v>02141</v>
      </c>
      <c r="B92" s="31">
        <v>106</v>
      </c>
      <c r="C92" s="10" t="str">
        <f ca="1">VLOOKUP($B92,OFFSET([2]gachas!$A$2,0,0,COUNTA([2]gachas!$A:$A),MATCH(C$1,[2]gachas!$1:$1,0)-MATCH($B$1,[2]gachas!$1:$1,0)+1),MATCH(C$1,[2]gachas!$1:$1,0)-MATCH($B$1,[2]gachas!$1:$1,0)+1,FALSE)</f>
        <v>ピックアップ01　最終日</v>
      </c>
      <c r="D92" s="6">
        <v>0</v>
      </c>
      <c r="E92" s="7">
        <v>214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アズラエル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3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red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ゴッド</v>
      </c>
      <c r="L92" s="6">
        <v>1</v>
      </c>
      <c r="M92" s="6">
        <v>1719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>
      <c r="A93" s="8" t="str">
        <f t="shared" si="1"/>
        <v>02171</v>
      </c>
      <c r="B93" s="31">
        <v>106</v>
      </c>
      <c r="C93" s="10" t="str">
        <f ca="1">VLOOKUP($B93,OFFSET([2]gachas!$A$2,0,0,COUNTA([2]gachas!$A:$A),MATCH(C$1,[2]gachas!$1:$1,0)-MATCH($B$1,[2]gachas!$1:$1,0)+1),MATCH(C$1,[2]gachas!$1:$1,0)-MATCH($B$1,[2]gachas!$1:$1,0)+1,FALSE)</f>
        <v>ピックアップ01　最終日</v>
      </c>
      <c r="D93" s="6">
        <v>0</v>
      </c>
      <c r="E93" s="7">
        <v>217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ケツァクアトル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3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green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ドラゴン</v>
      </c>
      <c r="L93" s="6">
        <v>1</v>
      </c>
      <c r="M93" s="6">
        <v>1719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>
      <c r="A94" s="8" t="str">
        <f t="shared" si="1"/>
        <v>02201</v>
      </c>
      <c r="B94" s="31">
        <v>106</v>
      </c>
      <c r="C94" s="10" t="str">
        <f ca="1">VLOOKUP($B94,OFFSET([2]gachas!$A$2,0,0,COUNTA([2]gachas!$A:$A),MATCH(C$1,[2]gachas!$1:$1,0)-MATCH($B$1,[2]gachas!$1:$1,0)+1),MATCH(C$1,[2]gachas!$1:$1,0)-MATCH($B$1,[2]gachas!$1:$1,0)+1,FALSE)</f>
        <v>ピックアップ01　最終日</v>
      </c>
      <c r="D94" s="6">
        <v>0</v>
      </c>
      <c r="E94" s="7">
        <v>220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ルキフグス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blue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ゴッド</v>
      </c>
      <c r="L94" s="6">
        <v>1</v>
      </c>
      <c r="M94" s="6">
        <v>1719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>
      <c r="A95" s="8" t="str">
        <f t="shared" si="1"/>
        <v>02231</v>
      </c>
      <c r="B95" s="31">
        <v>106</v>
      </c>
      <c r="C95" s="10" t="str">
        <f ca="1">VLOOKUP($B95,OFFSET([2]gachas!$A$2,0,0,COUNTA([2]gachas!$A:$A),MATCH(C$1,[2]gachas!$1:$1,0)-MATCH($B$1,[2]gachas!$1:$1,0)+1),MATCH(C$1,[2]gachas!$1:$1,0)-MATCH($B$1,[2]gachas!$1:$1,0)+1,FALSE)</f>
        <v>ピックアップ01　最終日</v>
      </c>
      <c r="D95" s="6">
        <v>0</v>
      </c>
      <c r="E95" s="7">
        <v>223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ヘラクレス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yellow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ヒューマン</v>
      </c>
      <c r="L95" s="6">
        <v>1</v>
      </c>
      <c r="M95" s="6">
        <v>1719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>
      <c r="A96" s="8" t="str">
        <f t="shared" si="1"/>
        <v>02291</v>
      </c>
      <c r="B96" s="31">
        <v>106</v>
      </c>
      <c r="C96" s="10" t="str">
        <f ca="1">VLOOKUP($B96,OFFSET([2]gachas!$A$2,0,0,COUNTA([2]gachas!$A:$A),MATCH(C$1,[2]gachas!$1:$1,0)-MATCH($B$1,[2]gachas!$1:$1,0)+1),MATCH(C$1,[2]gachas!$1:$1,0)-MATCH($B$1,[2]gachas!$1:$1,0)+1,FALSE)</f>
        <v>ピックアップ01　最終日</v>
      </c>
      <c r="D96" s="6">
        <v>0</v>
      </c>
      <c r="E96" s="7">
        <v>229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ヨルムンガンド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PremiumS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green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ドラゴン</v>
      </c>
      <c r="L96" s="6">
        <v>1</v>
      </c>
      <c r="M96" s="6">
        <v>1165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02321</v>
      </c>
      <c r="B97" s="31">
        <v>106</v>
      </c>
      <c r="C97" s="10" t="str">
        <f ca="1">VLOOKUP($B97,OFFSET([2]gachas!$A$2,0,0,COUNTA([2]gachas!$A:$A),MATCH(C$1,[2]gachas!$1:$1,0)-MATCH($B$1,[2]gachas!$1:$1,0)+1),MATCH(C$1,[2]gachas!$1:$1,0)-MATCH($B$1,[2]gachas!$1:$1,0)+1,FALSE)</f>
        <v>ピックアップ01　最終日</v>
      </c>
      <c r="D97" s="6">
        <v>0</v>
      </c>
      <c r="E97" s="7">
        <v>232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パーシヴァル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PremiumS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blue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ヒューマン</v>
      </c>
      <c r="L97" s="6">
        <v>1</v>
      </c>
      <c r="M97" s="6">
        <v>1165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01271</v>
      </c>
      <c r="B98" s="31">
        <v>106</v>
      </c>
      <c r="C98" s="10" t="str">
        <f ca="1">VLOOKUP($B98,OFFSET([2]gachas!$A$2,0,0,COUNTA([2]gachas!$A:$A),MATCH(C$1,[2]gachas!$1:$1,0)-MATCH($B$1,[2]gachas!$1:$1,0)+1),MATCH(C$1,[2]gachas!$1:$1,0)-MATCH($B$1,[2]gachas!$1:$1,0)+1,FALSE)</f>
        <v>ピックアップ01　最終日</v>
      </c>
      <c r="D98" s="6">
        <v>0</v>
      </c>
      <c r="E98" s="7">
        <v>127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狂喜の賢者 ユノ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PremiumW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4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6">
        <v>1</v>
      </c>
      <c r="M98" s="6">
        <v>540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01291</v>
      </c>
      <c r="B99" s="31">
        <v>106</v>
      </c>
      <c r="C99" s="10" t="str">
        <f ca="1">VLOOKUP($B99,OFFSET([2]gachas!$A$2,0,0,COUNTA([2]gachas!$A:$A),MATCH(C$1,[2]gachas!$1:$1,0)-MATCH($B$1,[2]gachas!$1:$1,0)+1),MATCH(C$1,[2]gachas!$1:$1,0)-MATCH($B$1,[2]gachas!$1:$1,0)+1,FALSE)</f>
        <v>ピックアップ01　最終日</v>
      </c>
      <c r="D99" s="6">
        <v>0</v>
      </c>
      <c r="E99" s="7">
        <v>129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孤高の狼憑き アマラ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PremiumW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4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6">
        <v>1</v>
      </c>
      <c r="M99" s="6">
        <v>540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01311</v>
      </c>
      <c r="B100" s="31">
        <v>106</v>
      </c>
      <c r="C100" s="10" t="str">
        <f ca="1">VLOOKUP($B100,OFFSET([2]gachas!$A$2,0,0,COUNTA([2]gachas!$A:$A),MATCH(C$1,[2]gachas!$1:$1,0)-MATCH($B$1,[2]gachas!$1:$1,0)+1),MATCH(C$1,[2]gachas!$1:$1,0)-MATCH($B$1,[2]gachas!$1:$1,0)+1,FALSE)</f>
        <v>ピックアップ01　最終日</v>
      </c>
      <c r="D100" s="6">
        <v>0</v>
      </c>
      <c r="E100" s="7">
        <v>131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PremiumW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4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blue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アニマル</v>
      </c>
      <c r="L100" s="6">
        <v>1</v>
      </c>
      <c r="M100" s="6">
        <v>540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01331</v>
      </c>
      <c r="B101" s="31">
        <v>106</v>
      </c>
      <c r="C101" s="10" t="str">
        <f ca="1">VLOOKUP($B101,OFFSET([2]gachas!$A$2,0,0,COUNTA([2]gachas!$A:$A),MATCH(C$1,[2]gachas!$1:$1,0)-MATCH($B$1,[2]gachas!$1:$1,0)+1),MATCH(C$1,[2]gachas!$1:$1,0)-MATCH($B$1,[2]gachas!$1:$1,0)+1,FALSE)</f>
        <v>ピックアップ01　最終日</v>
      </c>
      <c r="D101" s="6">
        <v>0</v>
      </c>
      <c r="E101" s="7">
        <v>133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迅雷の刀剣 ハヤト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PremiumW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4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ヒューマン</v>
      </c>
      <c r="L101" s="6">
        <v>1</v>
      </c>
      <c r="M101" s="6">
        <v>540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01351</v>
      </c>
      <c r="B102" s="31">
        <v>106</v>
      </c>
      <c r="C102" s="10" t="str">
        <f ca="1">VLOOKUP($B102,OFFSET([2]gachas!$A$2,0,0,COUNTA([2]gachas!$A:$A),MATCH(C$1,[2]gachas!$1:$1,0)-MATCH($B$1,[2]gachas!$1:$1,0)+1),MATCH(C$1,[2]gachas!$1:$1,0)-MATCH($B$1,[2]gachas!$1:$1,0)+1,FALSE)</f>
        <v>ピックアップ01　最終日</v>
      </c>
      <c r="D102" s="6">
        <v>0</v>
      </c>
      <c r="E102" s="7">
        <v>135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京の炎華夕霧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4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6">
        <v>1</v>
      </c>
      <c r="M102" s="6">
        <v>540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01371</v>
      </c>
      <c r="B103" s="31">
        <v>106</v>
      </c>
      <c r="C103" s="10" t="str">
        <f ca="1">VLOOKUP($B103,OFFSET([2]gachas!$A$2,0,0,COUNTA([2]gachas!$A:$A),MATCH(C$1,[2]gachas!$1:$1,0)-MATCH($B$1,[2]gachas!$1:$1,0)+1),MATCH(C$1,[2]gachas!$1:$1,0)-MATCH($B$1,[2]gachas!$1:$1,0)+1,FALSE)</f>
        <v>ピックアップ01　最終日</v>
      </c>
      <c r="D103" s="6">
        <v>0</v>
      </c>
      <c r="E103" s="7">
        <v>137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清福の仕立屋 チハヤ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4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6">
        <v>1</v>
      </c>
      <c r="M103" s="6">
        <v>540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01391</v>
      </c>
      <c r="B104" s="31">
        <v>106</v>
      </c>
      <c r="C104" s="10" t="str">
        <f ca="1">VLOOKUP($B104,OFFSET([2]gachas!$A$2,0,0,COUNTA([2]gachas!$A:$A),MATCH(C$1,[2]gachas!$1:$1,0)-MATCH($B$1,[2]gachas!$1:$1,0)+1),MATCH(C$1,[2]gachas!$1:$1,0)-MATCH($B$1,[2]gachas!$1:$1,0)+1,FALSE)</f>
        <v>ピックアップ01　最終日</v>
      </c>
      <c r="D104" s="6">
        <v>0</v>
      </c>
      <c r="E104" s="7">
        <v>139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蒼昇刃姫 トモエ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4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6">
        <v>540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01411</v>
      </c>
      <c r="B105" s="31">
        <v>106</v>
      </c>
      <c r="C105" s="10" t="str">
        <f ca="1">VLOOKUP($B105,OFFSET([2]gachas!$A$2,0,0,COUNTA([2]gachas!$A:$A),MATCH(C$1,[2]gachas!$1:$1,0)-MATCH($B$1,[2]gachas!$1:$1,0)+1),MATCH(C$1,[2]gachas!$1:$1,0)-MATCH($B$1,[2]gachas!$1:$1,0)+1,FALSE)</f>
        <v>ピックアップ01　最終日</v>
      </c>
      <c r="D105" s="6">
        <v>0</v>
      </c>
      <c r="E105" s="7">
        <v>141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妖狐演舞 タマモ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4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アニマル</v>
      </c>
      <c r="L105" s="6">
        <v>1</v>
      </c>
      <c r="M105" s="6">
        <v>540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01431</v>
      </c>
      <c r="B106" s="31">
        <v>106</v>
      </c>
      <c r="C106" s="10" t="str">
        <f ca="1">VLOOKUP($B106,OFFSET([2]gachas!$A$2,0,0,COUNTA([2]gachas!$A:$A),MATCH(C$1,[2]gachas!$1:$1,0)-MATCH($B$1,[2]gachas!$1:$1,0)+1),MATCH(C$1,[2]gachas!$1:$1,0)-MATCH($B$1,[2]gachas!$1:$1,0)+1,FALSE)</f>
        <v>ピックアップ01　最終日</v>
      </c>
      <c r="D106" s="6">
        <v>0</v>
      </c>
      <c r="E106" s="7">
        <v>143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深紅の死神 赤ずきん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4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6">
        <v>540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01451</v>
      </c>
      <c r="B107" s="31">
        <v>106</v>
      </c>
      <c r="C107" s="10" t="str">
        <f ca="1">VLOOKUP($B107,OFFSET([2]gachas!$A$2,0,0,COUNTA([2]gachas!$A:$A),MATCH(C$1,[2]gachas!$1:$1,0)-MATCH($B$1,[2]gachas!$1:$1,0)+1),MATCH(C$1,[2]gachas!$1:$1,0)-MATCH($B$1,[2]gachas!$1:$1,0)+1,FALSE)</f>
        <v>ピックアップ01　最終日</v>
      </c>
      <c r="D107" s="6">
        <v>0</v>
      </c>
      <c r="E107" s="7">
        <v>145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魔性妖艶 かぐや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4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6">
        <v>540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01471</v>
      </c>
      <c r="B108" s="31">
        <v>106</v>
      </c>
      <c r="C108" s="10" t="str">
        <f ca="1">VLOOKUP($B108,OFFSET([2]gachas!$A$2,0,0,COUNTA([2]gachas!$A:$A),MATCH(C$1,[2]gachas!$1:$1,0)-MATCH($B$1,[2]gachas!$1:$1,0)+1),MATCH(C$1,[2]gachas!$1:$1,0)-MATCH($B$1,[2]gachas!$1:$1,0)+1,FALSE)</f>
        <v>ピックアップ01　最終日</v>
      </c>
      <c r="D108" s="6">
        <v>0</v>
      </c>
      <c r="E108" s="7">
        <v>147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4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6">
        <v>540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01491</v>
      </c>
      <c r="B109" s="31">
        <v>106</v>
      </c>
      <c r="C109" s="10" t="str">
        <f ca="1">VLOOKUP($B109,OFFSET([2]gachas!$A$2,0,0,COUNTA([2]gachas!$A:$A),MATCH(C$1,[2]gachas!$1:$1,0)-MATCH($B$1,[2]gachas!$1:$1,0)+1),MATCH(C$1,[2]gachas!$1:$1,0)-MATCH($B$1,[2]gachas!$1:$1,0)+1,FALSE)</f>
        <v>ピックアップ01　最終日</v>
      </c>
      <c r="D109" s="6">
        <v>0</v>
      </c>
      <c r="E109" s="7">
        <v>149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4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6">
        <v>1</v>
      </c>
      <c r="M109" s="6">
        <v>540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01511</v>
      </c>
      <c r="B110" s="31">
        <v>106</v>
      </c>
      <c r="C110" s="10" t="str">
        <f ca="1">VLOOKUP($B110,OFFSET([2]gachas!$A$2,0,0,COUNTA([2]gachas!$A:$A),MATCH(C$1,[2]gachas!$1:$1,0)-MATCH($B$1,[2]gachas!$1:$1,0)+1),MATCH(C$1,[2]gachas!$1:$1,0)-MATCH($B$1,[2]gachas!$1:$1,0)+1,FALSE)</f>
        <v>ピックアップ01　最終日</v>
      </c>
      <c r="D110" s="6">
        <v>0</v>
      </c>
      <c r="E110" s="7">
        <v>151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毒煙の処刑人サキ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4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6">
        <v>540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01531</v>
      </c>
      <c r="B111" s="31">
        <v>106</v>
      </c>
      <c r="C111" s="10" t="str">
        <f ca="1">VLOOKUP($B111,OFFSET([2]gachas!$A$2,0,0,COUNTA([2]gachas!$A:$A),MATCH(C$1,[2]gachas!$1:$1,0)-MATCH($B$1,[2]gachas!$1:$1,0)+1),MATCH(C$1,[2]gachas!$1:$1,0)-MATCH($B$1,[2]gachas!$1:$1,0)+1,FALSE)</f>
        <v>ピックアップ01　最終日</v>
      </c>
      <c r="D111" s="6">
        <v>0</v>
      </c>
      <c r="E111" s="7">
        <v>153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拳聖ランラン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4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6">
        <v>540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01551</v>
      </c>
      <c r="B112" s="31">
        <v>106</v>
      </c>
      <c r="C112" s="10" t="str">
        <f ca="1">VLOOKUP($B112,OFFSET([2]gachas!$A$2,0,0,COUNTA([2]gachas!$A:$A),MATCH(C$1,[2]gachas!$1:$1,0)-MATCH($B$1,[2]gachas!$1:$1,0)+1),MATCH(C$1,[2]gachas!$1:$1,0)-MATCH($B$1,[2]gachas!$1:$1,0)+1,FALSE)</f>
        <v>ピックアップ01　最終日</v>
      </c>
      <c r="D112" s="6">
        <v>0</v>
      </c>
      <c r="E112" s="7">
        <v>155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隻眼の掃除屋 ハンナ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4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6">
        <v>540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1"/>
        <v>01571</v>
      </c>
      <c r="B113" s="31">
        <v>106</v>
      </c>
      <c r="C113" s="10" t="str">
        <f ca="1">VLOOKUP($B113,OFFSET([2]gachas!$A$2,0,0,COUNTA([2]gachas!$A:$A),MATCH(C$1,[2]gachas!$1:$1,0)-MATCH($B$1,[2]gachas!$1:$1,0)+1),MATCH(C$1,[2]gachas!$1:$1,0)-MATCH($B$1,[2]gachas!$1:$1,0)+1,FALSE)</f>
        <v>ピックアップ01　最終日</v>
      </c>
      <c r="D113" s="6">
        <v>0</v>
      </c>
      <c r="E113" s="7">
        <v>157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雷光舞姫 エレナ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4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6">
        <v>540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1"/>
        <v>01591</v>
      </c>
      <c r="B114" s="31">
        <v>106</v>
      </c>
      <c r="C114" s="10" t="str">
        <f ca="1">VLOOKUP($B114,OFFSET([2]gachas!$A$2,0,0,COUNTA([2]gachas!$A:$A),MATCH(C$1,[2]gachas!$1:$1,0)-MATCH($B$1,[2]gachas!$1:$1,0)+1),MATCH(C$1,[2]gachas!$1:$1,0)-MATCH($B$1,[2]gachas!$1:$1,0)+1,FALSE)</f>
        <v>ピックアップ01　最終日</v>
      </c>
      <c r="D114" s="6">
        <v>0</v>
      </c>
      <c r="E114" s="7">
        <v>159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4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6">
        <v>540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1"/>
        <v>01611</v>
      </c>
      <c r="B115" s="31">
        <v>106</v>
      </c>
      <c r="C115" s="10" t="str">
        <f ca="1">VLOOKUP($B115,OFFSET([2]gachas!$A$2,0,0,COUNTA([2]gachas!$A:$A),MATCH(C$1,[2]gachas!$1:$1,0)-MATCH($B$1,[2]gachas!$1:$1,0)+1),MATCH(C$1,[2]gachas!$1:$1,0)-MATCH($B$1,[2]gachas!$1:$1,0)+1,FALSE)</f>
        <v>ピックアップ01　最終日</v>
      </c>
      <c r="D115" s="6">
        <v>0</v>
      </c>
      <c r="E115" s="7">
        <v>161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咆哮の先導者 クリエ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6">
        <v>540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1"/>
        <v>01631</v>
      </c>
      <c r="B116" s="31">
        <v>106</v>
      </c>
      <c r="C116" s="10" t="str">
        <f ca="1">VLOOKUP($B116,OFFSET([2]gachas!$A$2,0,0,COUNTA([2]gachas!$A:$A),MATCH(C$1,[2]gachas!$1:$1,0)-MATCH($B$1,[2]gachas!$1:$1,0)+1),MATCH(C$1,[2]gachas!$1:$1,0)-MATCH($B$1,[2]gachas!$1:$1,0)+1,FALSE)</f>
        <v>ピックアップ01　最終日</v>
      </c>
      <c r="D116" s="6">
        <v>0</v>
      </c>
      <c r="E116" s="7">
        <v>163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冷酷な狂嬢 クララ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4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6">
        <v>540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1"/>
        <v>01651</v>
      </c>
      <c r="B117" s="31">
        <v>106</v>
      </c>
      <c r="C117" s="10" t="str">
        <f ca="1">VLOOKUP($B117,OFFSET([2]gachas!$A$2,0,0,COUNTA([2]gachas!$A:$A),MATCH(C$1,[2]gachas!$1:$1,0)-MATCH($B$1,[2]gachas!$1:$1,0)+1),MATCH(C$1,[2]gachas!$1:$1,0)-MATCH($B$1,[2]gachas!$1:$1,0)+1,FALSE)</f>
        <v>ピックアップ01　最終日</v>
      </c>
      <c r="D117" s="6">
        <v>0</v>
      </c>
      <c r="E117" s="7">
        <v>165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4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6">
        <v>540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1"/>
        <v>01671</v>
      </c>
      <c r="B118" s="31">
        <v>106</v>
      </c>
      <c r="C118" s="10" t="str">
        <f ca="1">VLOOKUP($B118,OFFSET([2]gachas!$A$2,0,0,COUNTA([2]gachas!$A:$A),MATCH(C$1,[2]gachas!$1:$1,0)-MATCH($B$1,[2]gachas!$1:$1,0)+1),MATCH(C$1,[2]gachas!$1:$1,0)-MATCH($B$1,[2]gachas!$1:$1,0)+1,FALSE)</f>
        <v>ピックアップ01　最終日</v>
      </c>
      <c r="D118" s="6">
        <v>0</v>
      </c>
      <c r="E118" s="7">
        <v>167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逆徒 ベリアル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PremiumN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ゴッド</v>
      </c>
      <c r="L118" s="6">
        <v>1</v>
      </c>
      <c r="M118" s="6">
        <v>469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1"/>
        <v>01701</v>
      </c>
      <c r="B119" s="31">
        <v>106</v>
      </c>
      <c r="C119" s="10" t="str">
        <f ca="1">VLOOKUP($B119,OFFSET([2]gachas!$A$2,0,0,COUNTA([2]gachas!$A:$A),MATCH(C$1,[2]gachas!$1:$1,0)-MATCH($B$1,[2]gachas!$1:$1,0)+1),MATCH(C$1,[2]gachas!$1:$1,0)-MATCH($B$1,[2]gachas!$1:$1,0)+1,FALSE)</f>
        <v>ピックアップ01　最終日</v>
      </c>
      <c r="D119" s="29">
        <v>0</v>
      </c>
      <c r="E119" s="30">
        <v>170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識徒 オセ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PremiumN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4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ゴッド</v>
      </c>
      <c r="L119" s="29">
        <v>1</v>
      </c>
      <c r="M119" s="29">
        <v>1300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1"/>
        <v>01731</v>
      </c>
      <c r="B120" s="31">
        <v>106</v>
      </c>
      <c r="C120" s="10" t="str">
        <f ca="1">VLOOKUP($B120,OFFSET([2]gachas!$A$2,0,0,COUNTA([2]gachas!$A:$A),MATCH(C$1,[2]gachas!$1:$1,0)-MATCH($B$1,[2]gachas!$1:$1,0)+1),MATCH(C$1,[2]gachas!$1:$1,0)-MATCH($B$1,[2]gachas!$1:$1,0)+1,FALSE)</f>
        <v>ピックアップ01　最終日</v>
      </c>
      <c r="D120" s="6">
        <v>0</v>
      </c>
      <c r="E120" s="7">
        <v>173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公爵 フォルネウス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PremiumN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4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ゴッド</v>
      </c>
      <c r="L120" s="6">
        <v>1</v>
      </c>
      <c r="M120" s="6">
        <v>469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1"/>
        <v>01761</v>
      </c>
      <c r="B121" s="31">
        <v>106</v>
      </c>
      <c r="C121" s="10" t="str">
        <f ca="1">VLOOKUP($B121,OFFSET([2]gachas!$A$2,0,0,COUNTA([2]gachas!$A:$A),MATCH(C$1,[2]gachas!$1:$1,0)-MATCH($B$1,[2]gachas!$1:$1,0)+1),MATCH(C$1,[2]gachas!$1:$1,0)-MATCH($B$1,[2]gachas!$1:$1,0)+1,FALSE)</f>
        <v>ピックアップ01　最終日</v>
      </c>
      <c r="D121" s="6">
        <v>0</v>
      </c>
      <c r="E121" s="7">
        <v>176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異教徒 バフォメット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PremiumN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ゴッド</v>
      </c>
      <c r="L121" s="6">
        <v>1</v>
      </c>
      <c r="M121" s="6">
        <v>469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1"/>
        <v>01791</v>
      </c>
      <c r="B122" s="31">
        <v>106</v>
      </c>
      <c r="C122" s="10" t="str">
        <f ca="1">VLOOKUP($B122,OFFSET([2]gachas!$A$2,0,0,COUNTA([2]gachas!$A:$A),MATCH(C$1,[2]gachas!$1:$1,0)-MATCH($B$1,[2]gachas!$1:$1,0)+1),MATCH(C$1,[2]gachas!$1:$1,0)-MATCH($B$1,[2]gachas!$1:$1,0)+1,FALSE)</f>
        <v>ピックアップ01　最終日</v>
      </c>
      <c r="D122" s="6">
        <v>0</v>
      </c>
      <c r="E122" s="7">
        <v>179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番犬 ケルベロス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4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アニマル</v>
      </c>
      <c r="L122" s="6">
        <v>1</v>
      </c>
      <c r="M122" s="6">
        <v>469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1"/>
        <v>01821</v>
      </c>
      <c r="B123" s="31">
        <v>106</v>
      </c>
      <c r="C123" s="10" t="str">
        <f ca="1">VLOOKUP($B123,OFFSET([2]gachas!$A$2,0,0,COUNTA([2]gachas!$A:$A),MATCH(C$1,[2]gachas!$1:$1,0)-MATCH($B$1,[2]gachas!$1:$1,0)+1),MATCH(C$1,[2]gachas!$1:$1,0)-MATCH($B$1,[2]gachas!$1:$1,0)+1,FALSE)</f>
        <v>ピックアップ01　最終日</v>
      </c>
      <c r="D123" s="6">
        <v>0</v>
      </c>
      <c r="E123" s="7">
        <v>182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放蕩者 ベヒモス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4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アニマル</v>
      </c>
      <c r="L123" s="6">
        <v>1</v>
      </c>
      <c r="M123" s="6">
        <v>469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1"/>
        <v>01851</v>
      </c>
      <c r="B124" s="31">
        <v>106</v>
      </c>
      <c r="C124" s="10" t="str">
        <f ca="1">VLOOKUP($B124,OFFSET([2]gachas!$A$2,0,0,COUNTA([2]gachas!$A:$A),MATCH(C$1,[2]gachas!$1:$1,0)-MATCH($B$1,[2]gachas!$1:$1,0)+1),MATCH(C$1,[2]gachas!$1:$1,0)-MATCH($B$1,[2]gachas!$1:$1,0)+1,FALSE)</f>
        <v>ピックアップ01　最終日</v>
      </c>
      <c r="D124" s="6">
        <v>0</v>
      </c>
      <c r="E124" s="7">
        <v>185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海姫 クラーケン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blue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アニマル</v>
      </c>
      <c r="L124" s="6">
        <v>1</v>
      </c>
      <c r="M124" s="6">
        <v>469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1"/>
        <v>01881</v>
      </c>
      <c r="B125" s="31">
        <v>106</v>
      </c>
      <c r="C125" s="10" t="str">
        <f ca="1">VLOOKUP($B125,OFFSET([2]gachas!$A$2,0,0,COUNTA([2]gachas!$A:$A),MATCH(C$1,[2]gachas!$1:$1,0)-MATCH($B$1,[2]gachas!$1:$1,0)+1),MATCH(C$1,[2]gachas!$1:$1,0)-MATCH($B$1,[2]gachas!$1:$1,0)+1,FALSE)</f>
        <v>ピックアップ01　最終日</v>
      </c>
      <c r="D125" s="6">
        <v>0</v>
      </c>
      <c r="E125" s="7">
        <v>188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猛禽 ホルス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4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yellow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アニマル</v>
      </c>
      <c r="L125" s="6">
        <v>1</v>
      </c>
      <c r="M125" s="6">
        <v>469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1"/>
        <v>01911</v>
      </c>
      <c r="B126" s="31">
        <v>106</v>
      </c>
      <c r="C126" s="10" t="str">
        <f ca="1">VLOOKUP($B126,OFFSET([2]gachas!$A$2,0,0,COUNTA([2]gachas!$A:$A),MATCH(C$1,[2]gachas!$1:$1,0)-MATCH($B$1,[2]gachas!$1:$1,0)+1),MATCH(C$1,[2]gachas!$1:$1,0)-MATCH($B$1,[2]gachas!$1:$1,0)+1,FALSE)</f>
        <v>ピックアップ01　最終日</v>
      </c>
      <c r="D126" s="6">
        <v>0</v>
      </c>
      <c r="E126" s="7">
        <v>191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始祖 卑弥呼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4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ヒューマン</v>
      </c>
      <c r="L126" s="6">
        <v>1</v>
      </c>
      <c r="M126" s="6">
        <v>469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1"/>
        <v>01941</v>
      </c>
      <c r="B127" s="31">
        <v>106</v>
      </c>
      <c r="C127" s="10" t="str">
        <f ca="1">VLOOKUP($B127,OFFSET([2]gachas!$A$2,0,0,COUNTA([2]gachas!$A:$A),MATCH(C$1,[2]gachas!$1:$1,0)-MATCH($B$1,[2]gachas!$1:$1,0)+1),MATCH(C$1,[2]gachas!$1:$1,0)-MATCH($B$1,[2]gachas!$1:$1,0)+1,FALSE)</f>
        <v>ピックアップ01　最終日</v>
      </c>
      <c r="D127" s="6">
        <v>0</v>
      </c>
      <c r="E127" s="7">
        <v>194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ヒューマン</v>
      </c>
      <c r="L127" s="6">
        <v>1</v>
      </c>
      <c r="M127" s="6">
        <v>469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1"/>
        <v>01971</v>
      </c>
      <c r="B128" s="31">
        <v>106</v>
      </c>
      <c r="C128" s="10" t="str">
        <f ca="1">VLOOKUP($B128,OFFSET([2]gachas!$A$2,0,0,COUNTA([2]gachas!$A:$A),MATCH(C$1,[2]gachas!$1:$1,0)-MATCH($B$1,[2]gachas!$1:$1,0)+1),MATCH(C$1,[2]gachas!$1:$1,0)-MATCH($B$1,[2]gachas!$1:$1,0)+1,FALSE)</f>
        <v>ピックアップ01　最終日</v>
      </c>
      <c r="D128" s="6">
        <v>0</v>
      </c>
      <c r="E128" s="7">
        <v>197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鉄腕 アキレス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4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yellow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ヒューマン</v>
      </c>
      <c r="L128" s="6">
        <v>1</v>
      </c>
      <c r="M128" s="6">
        <v>469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1"/>
        <v>02001</v>
      </c>
      <c r="B129" s="31">
        <v>106</v>
      </c>
      <c r="C129" s="10" t="str">
        <f ca="1">VLOOKUP($B129,OFFSET([2]gachas!$A$2,0,0,COUNTA([2]gachas!$A:$A),MATCH(C$1,[2]gachas!$1:$1,0)-MATCH($B$1,[2]gachas!$1:$1,0)+1),MATCH(C$1,[2]gachas!$1:$1,0)-MATCH($B$1,[2]gachas!$1:$1,0)+1,FALSE)</f>
        <v>ピックアップ01　最終日</v>
      </c>
      <c r="D129" s="29">
        <v>0</v>
      </c>
      <c r="E129" s="30">
        <v>200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4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blue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ヒューマン</v>
      </c>
      <c r="L129" s="29">
        <v>1</v>
      </c>
      <c r="M129" s="29">
        <v>1300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ref="A130:A161" si="2">D130&amp;E130&amp;L130</f>
        <v>02031</v>
      </c>
      <c r="B130" s="31">
        <v>106</v>
      </c>
      <c r="C130" s="10" t="str">
        <f ca="1">VLOOKUP($B130,OFFSET([2]gachas!$A$2,0,0,COUNTA([2]gachas!$A:$A),MATCH(C$1,[2]gachas!$1:$1,0)-MATCH($B$1,[2]gachas!$1:$1,0)+1),MATCH(C$1,[2]gachas!$1:$1,0)-MATCH($B$1,[2]gachas!$1:$1,0)+1,FALSE)</f>
        <v>ピックアップ01　最終日</v>
      </c>
      <c r="D130" s="6">
        <v>0</v>
      </c>
      <c r="E130" s="7">
        <v>203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焔神 プロメテウス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6">
        <v>1</v>
      </c>
      <c r="M130" s="6">
        <v>469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2"/>
        <v>02061</v>
      </c>
      <c r="B131" s="31">
        <v>106</v>
      </c>
      <c r="C131" s="10" t="str">
        <f ca="1">VLOOKUP($B131,OFFSET([2]gachas!$A$2,0,0,COUNTA([2]gachas!$A:$A),MATCH(C$1,[2]gachas!$1:$1,0)-MATCH($B$1,[2]gachas!$1:$1,0)+1),MATCH(C$1,[2]gachas!$1:$1,0)-MATCH($B$1,[2]gachas!$1:$1,0)+1,FALSE)</f>
        <v>ピックアップ01　最終日</v>
      </c>
      <c r="D131" s="6">
        <v>0</v>
      </c>
      <c r="E131" s="7">
        <v>206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美神 アフロディーテ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4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ゴッド</v>
      </c>
      <c r="L131" s="6">
        <v>1</v>
      </c>
      <c r="M131" s="6">
        <v>469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2"/>
        <v>02091</v>
      </c>
      <c r="B132" s="31">
        <v>106</v>
      </c>
      <c r="C132" s="10" t="str">
        <f ca="1">VLOOKUP($B132,OFFSET([2]gachas!$A$2,0,0,COUNTA([2]gachas!$A:$A),MATCH(C$1,[2]gachas!$1:$1,0)-MATCH($B$1,[2]gachas!$1:$1,0)+1),MATCH(C$1,[2]gachas!$1:$1,0)-MATCH($B$1,[2]gachas!$1:$1,0)+1,FALSE)</f>
        <v>ピックアップ01　最終日</v>
      </c>
      <c r="D132" s="6">
        <v>0</v>
      </c>
      <c r="E132" s="7">
        <v>209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孤神 テティス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4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6">
        <v>1</v>
      </c>
      <c r="M132" s="6">
        <v>469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2"/>
        <v>02121</v>
      </c>
      <c r="B133" s="31">
        <v>106</v>
      </c>
      <c r="C133" s="10" t="str">
        <f ca="1">VLOOKUP($B133,OFFSET([2]gachas!$A$2,0,0,COUNTA([2]gachas!$A:$A),MATCH(C$1,[2]gachas!$1:$1,0)-MATCH($B$1,[2]gachas!$1:$1,0)+1),MATCH(C$1,[2]gachas!$1:$1,0)-MATCH($B$1,[2]gachas!$1:$1,0)+1,FALSE)</f>
        <v>ピックアップ01　最終日</v>
      </c>
      <c r="D133" s="6">
        <v>0</v>
      </c>
      <c r="E133" s="7">
        <v>212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星神 アストライアー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yellow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ゴッド</v>
      </c>
      <c r="L133" s="6">
        <v>1</v>
      </c>
      <c r="M133" s="6">
        <v>469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2"/>
        <v>02151</v>
      </c>
      <c r="B134" s="31">
        <v>106</v>
      </c>
      <c r="C134" s="10" t="str">
        <f ca="1">VLOOKUP($B134,OFFSET([2]gachas!$A$2,0,0,COUNTA([2]gachas!$A:$A),MATCH(C$1,[2]gachas!$1:$1,0)-MATCH($B$1,[2]gachas!$1:$1,0)+1),MATCH(C$1,[2]gachas!$1:$1,0)-MATCH($B$1,[2]gachas!$1:$1,0)+1,FALSE)</f>
        <v>ピックアップ01　最終日</v>
      </c>
      <c r="D134" s="6">
        <v>0</v>
      </c>
      <c r="E134" s="7">
        <v>215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死導者 アズラエル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4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6">
        <v>469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2"/>
        <v>02181</v>
      </c>
      <c r="B135" s="31">
        <v>106</v>
      </c>
      <c r="C135" s="10" t="str">
        <f ca="1">VLOOKUP($B135,OFFSET([2]gachas!$A$2,0,0,COUNTA([2]gachas!$A:$A),MATCH(C$1,[2]gachas!$1:$1,0)-MATCH($B$1,[2]gachas!$1:$1,0)+1),MATCH(C$1,[2]gachas!$1:$1,0)-MATCH($B$1,[2]gachas!$1:$1,0)+1,FALSE)</f>
        <v>ピックアップ01　最終日</v>
      </c>
      <c r="D135" s="6">
        <v>0</v>
      </c>
      <c r="E135" s="7">
        <v>218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聖蛇 ケツァクアトル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4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6">
        <v>1</v>
      </c>
      <c r="M135" s="6">
        <v>469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2"/>
        <v>02211</v>
      </c>
      <c r="B136" s="31">
        <v>106</v>
      </c>
      <c r="C136" s="10" t="str">
        <f ca="1">VLOOKUP($B136,OFFSET([2]gachas!$A$2,0,0,COUNTA([2]gachas!$A:$A),MATCH(C$1,[2]gachas!$1:$1,0)-MATCH($B$1,[2]gachas!$1:$1,0)+1),MATCH(C$1,[2]gachas!$1:$1,0)-MATCH($B$1,[2]gachas!$1:$1,0)+1,FALSE)</f>
        <v>ピックアップ01　最終日</v>
      </c>
      <c r="D136" s="6">
        <v>0</v>
      </c>
      <c r="E136" s="7">
        <v>221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宰相 ルキフグス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6">
        <v>1</v>
      </c>
      <c r="M136" s="6">
        <v>469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2"/>
        <v>02241</v>
      </c>
      <c r="B137" s="31">
        <v>106</v>
      </c>
      <c r="C137" s="10" t="str">
        <f ca="1">VLOOKUP($B137,OFFSET([2]gachas!$A$2,0,0,COUNTA([2]gachas!$A:$A),MATCH(C$1,[2]gachas!$1:$1,0)-MATCH($B$1,[2]gachas!$1:$1,0)+1),MATCH(C$1,[2]gachas!$1:$1,0)-MATCH($B$1,[2]gachas!$1:$1,0)+1,FALSE)</f>
        <v>ピックアップ01　最終日</v>
      </c>
      <c r="D137" s="6">
        <v>0</v>
      </c>
      <c r="E137" s="7">
        <v>224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巨腕 ヘラクレス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4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ヒューマン</v>
      </c>
      <c r="L137" s="6">
        <v>1</v>
      </c>
      <c r="M137" s="6">
        <v>469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2"/>
        <v>02271</v>
      </c>
      <c r="B138" s="31">
        <v>106</v>
      </c>
      <c r="C138" s="10" t="str">
        <f ca="1">VLOOKUP($B138,OFFSET([2]gachas!$A$2,0,0,COUNTA([2]gachas!$A:$A),MATCH(C$1,[2]gachas!$1:$1,0)-MATCH($B$1,[2]gachas!$1:$1,0)+1),MATCH(C$1,[2]gachas!$1:$1,0)-MATCH($B$1,[2]gachas!$1:$1,0)+1,FALSE)</f>
        <v>ピックアップ01　最終日</v>
      </c>
      <c r="D138" s="29">
        <v>0</v>
      </c>
      <c r="E138" s="30">
        <v>227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滅弾 アレス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PremiumS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29">
        <v>1</v>
      </c>
      <c r="M138" s="29">
        <v>1300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2"/>
        <v>02301</v>
      </c>
      <c r="B139" s="31">
        <v>106</v>
      </c>
      <c r="C139" s="10" t="str">
        <f ca="1">VLOOKUP($B139,OFFSET([2]gachas!$A$2,0,0,COUNTA([2]gachas!$A:$A),MATCH(C$1,[2]gachas!$1:$1,0)-MATCH($B$1,[2]gachas!$1:$1,0)+1),MATCH(C$1,[2]gachas!$1:$1,0)-MATCH($B$1,[2]gachas!$1:$1,0)+1,FALSE)</f>
        <v>ピックアップ01　最終日</v>
      </c>
      <c r="D139" s="6">
        <v>0</v>
      </c>
      <c r="E139" s="7">
        <v>230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毒銃 ヨルムンガンド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PremiumS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ドラゴン</v>
      </c>
      <c r="L139" s="6">
        <v>1</v>
      </c>
      <c r="M139" s="6">
        <v>469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2"/>
        <v>02331</v>
      </c>
      <c r="B140" s="31">
        <v>106</v>
      </c>
      <c r="C140" s="10" t="str">
        <f ca="1">VLOOKUP($B140,OFFSET([2]gachas!$A$2,0,0,COUNTA([2]gachas!$A:$A),MATCH(C$1,[2]gachas!$1:$1,0)-MATCH($B$1,[2]gachas!$1:$1,0)+1),MATCH(C$1,[2]gachas!$1:$1,0)-MATCH($B$1,[2]gachas!$1:$1,0)+1,FALSE)</f>
        <v>ピックアップ01　最終日</v>
      </c>
      <c r="D140" s="6">
        <v>0</v>
      </c>
      <c r="E140" s="7">
        <v>233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遂行 パーシヴァル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PremiumS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ヒューマン</v>
      </c>
      <c r="L140" s="6">
        <v>1</v>
      </c>
      <c r="M140" s="6">
        <v>469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2"/>
        <v>02361</v>
      </c>
      <c r="B141" s="31">
        <v>106</v>
      </c>
      <c r="C141" s="10" t="str">
        <f ca="1">VLOOKUP($B141,OFFSET([2]gachas!$A$2,0,0,COUNTA([2]gachas!$A:$A),MATCH(C$1,[2]gachas!$1:$1,0)-MATCH($B$1,[2]gachas!$1:$1,0)+1),MATCH(C$1,[2]gachas!$1:$1,0)-MATCH($B$1,[2]gachas!$1:$1,0)+1,FALSE)</f>
        <v>ピックアップ01　最終日</v>
      </c>
      <c r="D141" s="29">
        <v>0</v>
      </c>
      <c r="E141" s="30">
        <v>236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神産 イザナミ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PremiumS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ゴッド</v>
      </c>
      <c r="L141" s="29">
        <v>1</v>
      </c>
      <c r="M141" s="29">
        <v>1300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2"/>
        <v>01711</v>
      </c>
      <c r="B142" s="31">
        <v>106</v>
      </c>
      <c r="C142" s="10" t="str">
        <f ca="1">VLOOKUP($B142,OFFSET([2]gachas!$A$2,0,0,COUNTA([2]gachas!$A:$A),MATCH(C$1,[2]gachas!$1:$1,0)-MATCH($B$1,[2]gachas!$1:$1,0)+1),MATCH(C$1,[2]gachas!$1:$1,0)-MATCH($B$1,[2]gachas!$1:$1,0)+1,FALSE)</f>
        <v>ピックアップ01　最終日</v>
      </c>
      <c r="D142" s="29">
        <v>0</v>
      </c>
      <c r="E142" s="30">
        <v>171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精解の預知者 オセ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PremiumN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5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green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29">
        <v>1</v>
      </c>
      <c r="M142" s="29">
        <v>2184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2"/>
        <v>02011</v>
      </c>
      <c r="B143" s="31">
        <v>106</v>
      </c>
      <c r="C143" s="10" t="str">
        <f ca="1">VLOOKUP($B143,OFFSET([2]gachas!$A$2,0,0,COUNTA([2]gachas!$A:$A),MATCH(C$1,[2]gachas!$1:$1,0)-MATCH($B$1,[2]gachas!$1:$1,0)+1),MATCH(C$1,[2]gachas!$1:$1,0)-MATCH($B$1,[2]gachas!$1:$1,0)+1,FALSE)</f>
        <v>ピックアップ01　最終日</v>
      </c>
      <c r="D143" s="37">
        <v>0</v>
      </c>
      <c r="E143" s="38">
        <v>201</v>
      </c>
      <c r="F143" s="20" t="str">
        <f ca="1">VLOOKUP($E143,OFFSET([1]characters!$A$2,0,0,COUNTA([1]characters!$A:$A),MATCH(F$1,[1]characters!$2:$2,0)-MATCH($E$1,[1]characters!$2:$2,0)+1),MATCH(F$1,[1]characters!$2:$2,0)-MATCH($E$1,[1]characters!$2:$2,0)+1,FALSE)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43" s="20" t="str">
        <f ca="1">VLOOKUP($E143,OFFSET([1]characters!$A$2,0,0,COUNTA([1]characters!$A:$A),MATCH(G$1,[1]characters!$2:$2,0)-MATCH($E$1,[1]characters!$2:$2,0)+1),MATCH(G$1,[1]characters!$2:$2,0)-MATCH($E$1,[1]characters!$2:$2,0)+1,FALSE)</f>
        <v>PremiumN</v>
      </c>
      <c r="H143" s="20">
        <f ca="1">VLOOKUP($E143,OFFSET([1]characters!$A$2,0,0,COUNTA([1]characters!$A:$A),MATCH(H$1,[1]characters!$2:$2,0)-MATCH($E$1,[1]characters!$2:$2,0)+1),MATCH(H$1,[1]characters!$2:$2,0)-MATCH($E$1,[1]characters!$2:$2,0)+1,FALSE)</f>
        <v>5</v>
      </c>
      <c r="I143" s="20" t="str">
        <f ca="1">VLOOKUP($E143,OFFSET([1]characters!$A$2,0,0,COUNTA([1]characters!$A:$A),MATCH(I$1,[1]characters!$2:$2,0)-MATCH($E$1,[1]characters!$2:$2,0)+1),MATCH(I$1,[1]characters!$2:$2,0)-MATCH($E$1,[1]characters!$2:$2,0)+1,FALSE)</f>
        <v>blue</v>
      </c>
      <c r="J143" s="2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2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37">
        <v>1</v>
      </c>
      <c r="M143" s="37">
        <v>2184</v>
      </c>
      <c r="N143" s="18">
        <v>0</v>
      </c>
      <c r="O143" s="18">
        <v>0</v>
      </c>
      <c r="P143" s="18">
        <v>0</v>
      </c>
      <c r="Q143" s="18">
        <v>0</v>
      </c>
      <c r="R143" s="18">
        <v>1</v>
      </c>
    </row>
    <row r="144" spans="1:18" ht="21" customHeight="1">
      <c r="A144" s="8" t="str">
        <f t="shared" si="2"/>
        <v>02281</v>
      </c>
      <c r="B144" s="31">
        <v>106</v>
      </c>
      <c r="C144" s="10" t="str">
        <f ca="1">VLOOKUP($B144,OFFSET([2]gachas!$A$2,0,0,COUNTA([2]gachas!$A:$A),MATCH(C$1,[2]gachas!$1:$1,0)-MATCH($B$1,[2]gachas!$1:$1,0)+1),MATCH(C$1,[2]gachas!$1:$1,0)-MATCH($B$1,[2]gachas!$1:$1,0)+1,FALSE)</f>
        <v>ピックアップ01　最終日</v>
      </c>
      <c r="D144" s="29">
        <v>0</v>
      </c>
      <c r="E144" s="30">
        <v>228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殲滅の掃射砲 アレス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5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red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ゴッド</v>
      </c>
      <c r="L144" s="29">
        <v>1</v>
      </c>
      <c r="M144" s="29">
        <v>416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s="26" customFormat="1" ht="21" customHeight="1" thickBot="1">
      <c r="A145" s="22" t="str">
        <f t="shared" si="2"/>
        <v>02371</v>
      </c>
      <c r="B145" s="31">
        <v>106</v>
      </c>
      <c r="C145" s="10" t="str">
        <f ca="1">VLOOKUP($B145,OFFSET([2]gachas!$A$2,0,0,COUNTA([2]gachas!$A:$A),MATCH(C$1,[2]gachas!$1:$1,0)-MATCH($B$1,[2]gachas!$1:$1,0)+1),MATCH(C$1,[2]gachas!$1:$1,0)-MATCH($B$1,[2]gachas!$1:$1,0)+1,FALSE)</f>
        <v>ピックアップ01　最終日</v>
      </c>
      <c r="D145" s="29">
        <v>0</v>
      </c>
      <c r="E145" s="30">
        <v>237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5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ゴッド</v>
      </c>
      <c r="L145" s="29">
        <v>1</v>
      </c>
      <c r="M145" s="29">
        <v>416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2"/>
        <v>02381</v>
      </c>
      <c r="B146" s="31">
        <v>106</v>
      </c>
      <c r="C146" s="10" t="str">
        <f ca="1">VLOOKUP($B146,OFFSET([2]gachas!$A$2,0,0,COUNTA([2]gachas!$A:$A),MATCH(C$1,[2]gachas!$1:$1,0)-MATCH($B$1,[2]gachas!$1:$1,0)+1),MATCH(C$1,[2]gachas!$1:$1,0)-MATCH($B$1,[2]gachas!$1:$1,0)+1,FALSE)</f>
        <v>ピックアップ01　最終日</v>
      </c>
      <c r="D146" s="6">
        <v>0</v>
      </c>
      <c r="E146" s="19">
        <v>238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ウリエル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3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マシン</v>
      </c>
      <c r="L146" s="6">
        <v>1</v>
      </c>
      <c r="M146" s="6">
        <v>1165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2"/>
        <v>02391</v>
      </c>
      <c r="B147" s="31">
        <v>106</v>
      </c>
      <c r="C147" s="10" t="str">
        <f ca="1">VLOOKUP($B147,OFFSET([2]gachas!$A$2,0,0,COUNTA([2]gachas!$A:$A),MATCH(C$1,[2]gachas!$1:$1,0)-MATCH($B$1,[2]gachas!$1:$1,0)+1),MATCH(C$1,[2]gachas!$1:$1,0)-MATCH($B$1,[2]gachas!$1:$1,0)+1,FALSE)</f>
        <v>ピックアップ01　最終日</v>
      </c>
      <c r="D147" s="6">
        <v>0</v>
      </c>
      <c r="E147" s="19">
        <v>239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豪炎の天使 ウリエル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red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マシン</v>
      </c>
      <c r="L147" s="6">
        <v>1</v>
      </c>
      <c r="M147" s="6">
        <v>469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02411</v>
      </c>
      <c r="B148" s="31">
        <v>106</v>
      </c>
      <c r="C148" s="10" t="str">
        <f ca="1">VLOOKUP($B148,OFFSET([2]gachas!$A$2,0,0,COUNTA([2]gachas!$A:$A),MATCH(C$1,[2]gachas!$1:$1,0)-MATCH($B$1,[2]gachas!$1:$1,0)+1),MATCH(C$1,[2]gachas!$1:$1,0)-MATCH($B$1,[2]gachas!$1:$1,0)+1,FALSE)</f>
        <v>ピックアップ01　最終日</v>
      </c>
      <c r="D148" s="6">
        <v>0</v>
      </c>
      <c r="E148" s="19">
        <v>241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ガブリエル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3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green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マシン</v>
      </c>
      <c r="L148" s="6">
        <v>1</v>
      </c>
      <c r="M148" s="6">
        <v>1165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02421</v>
      </c>
      <c r="B149" s="31">
        <v>106</v>
      </c>
      <c r="C149" s="10" t="str">
        <f ca="1">VLOOKUP($B149,OFFSET([2]gachas!$A$2,0,0,COUNTA([2]gachas!$A:$A),MATCH(C$1,[2]gachas!$1:$1,0)-MATCH($B$1,[2]gachas!$1:$1,0)+1),MATCH(C$1,[2]gachas!$1:$1,0)-MATCH($B$1,[2]gachas!$1:$1,0)+1,FALSE)</f>
        <v>ピックアップ01　最終日</v>
      </c>
      <c r="D149" s="6">
        <v>0</v>
      </c>
      <c r="E149" s="19">
        <v>242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PremiumS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green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マシン</v>
      </c>
      <c r="L149" s="6">
        <v>1</v>
      </c>
      <c r="M149" s="6">
        <v>469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02441</v>
      </c>
      <c r="B150" s="31">
        <v>106</v>
      </c>
      <c r="C150" s="10" t="str">
        <f ca="1">VLOOKUP($B150,OFFSET([2]gachas!$A$2,0,0,COUNTA([2]gachas!$A:$A),MATCH(C$1,[2]gachas!$1:$1,0)-MATCH($B$1,[2]gachas!$1:$1,0)+1),MATCH(C$1,[2]gachas!$1:$1,0)-MATCH($B$1,[2]gachas!$1:$1,0)+1,FALSE)</f>
        <v>ピックアップ01　最終日</v>
      </c>
      <c r="D150" s="6">
        <v>0</v>
      </c>
      <c r="E150" s="19">
        <v>244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ラファエル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PremiumS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3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blue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マシン</v>
      </c>
      <c r="L150" s="6">
        <v>1</v>
      </c>
      <c r="M150" s="6">
        <v>1165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02451</v>
      </c>
      <c r="B151" s="31">
        <v>106</v>
      </c>
      <c r="C151" s="10" t="str">
        <f ca="1">VLOOKUP($B151,OFFSET([2]gachas!$A$2,0,0,COUNTA([2]gachas!$A:$A),MATCH(C$1,[2]gachas!$1:$1,0)-MATCH($B$1,[2]gachas!$1:$1,0)+1),MATCH(C$1,[2]gachas!$1:$1,0)-MATCH($B$1,[2]gachas!$1:$1,0)+1,FALSE)</f>
        <v>ピックアップ01　最終日</v>
      </c>
      <c r="D151" s="6">
        <v>0</v>
      </c>
      <c r="E151" s="19">
        <v>245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PremiumS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blue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マシン</v>
      </c>
      <c r="L151" s="6">
        <v>1</v>
      </c>
      <c r="M151" s="6">
        <v>469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02471</v>
      </c>
      <c r="B152" s="31">
        <v>106</v>
      </c>
      <c r="C152" s="10" t="str">
        <f ca="1">VLOOKUP($B152,OFFSET([2]gachas!$A$2,0,0,COUNTA([2]gachas!$A:$A),MATCH(C$1,[2]gachas!$1:$1,0)-MATCH($B$1,[2]gachas!$1:$1,0)+1),MATCH(C$1,[2]gachas!$1:$1,0)-MATCH($B$1,[2]gachas!$1:$1,0)+1,FALSE)</f>
        <v>ピックアップ01　最終日</v>
      </c>
      <c r="D152" s="6">
        <v>0</v>
      </c>
      <c r="E152" s="19">
        <v>247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ミカエル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PremiumS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3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yellow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マシン</v>
      </c>
      <c r="L152" s="6">
        <v>1</v>
      </c>
      <c r="M152" s="6">
        <v>1165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02481</v>
      </c>
      <c r="B153" s="31">
        <v>106</v>
      </c>
      <c r="C153" s="10" t="str">
        <f ca="1">VLOOKUP($B153,OFFSET([2]gachas!$A$2,0,0,COUNTA([2]gachas!$A:$A),MATCH(C$1,[2]gachas!$1:$1,0)-MATCH($B$1,[2]gachas!$1:$1,0)+1),MATCH(C$1,[2]gachas!$1:$1,0)-MATCH($B$1,[2]gachas!$1:$1,0)+1,FALSE)</f>
        <v>ピックアップ01　最終日</v>
      </c>
      <c r="D153" s="6">
        <v>0</v>
      </c>
      <c r="E153" s="19">
        <v>248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彩電の天使 ミカエル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マシン</v>
      </c>
      <c r="L153" s="6">
        <v>1</v>
      </c>
      <c r="M153" s="6">
        <v>469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s="26" customFormat="1" ht="21" customHeight="1" thickBot="1">
      <c r="A154" s="22" t="str">
        <f t="shared" si="2"/>
        <v>02501</v>
      </c>
      <c r="B154" s="31">
        <v>106</v>
      </c>
      <c r="C154" s="10" t="str">
        <f ca="1">VLOOKUP($B154,OFFSET([2]gachas!$A$2,0,0,COUNTA([2]gachas!$A:$A),MATCH(C$1,[2]gachas!$1:$1,0)-MATCH($B$1,[2]gachas!$1:$1,0)+1),MATCH(C$1,[2]gachas!$1:$1,0)-MATCH($B$1,[2]gachas!$1:$1,0)+1,FALSE)</f>
        <v>ピックアップ01　最終日</v>
      </c>
      <c r="D154" s="6">
        <v>0</v>
      </c>
      <c r="E154" s="7">
        <v>250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マンモン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3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ゴッド</v>
      </c>
      <c r="L154" s="6">
        <v>1</v>
      </c>
      <c r="M154" s="6">
        <v>1165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 thickBot="1">
      <c r="A155" s="22" t="str">
        <f t="shared" si="2"/>
        <v>02511</v>
      </c>
      <c r="B155" s="31">
        <v>106</v>
      </c>
      <c r="C155" s="10" t="str">
        <f ca="1">VLOOKUP($B155,OFFSET([2]gachas!$A$2,0,0,COUNTA([2]gachas!$A:$A),MATCH(C$1,[2]gachas!$1:$1,0)-MATCH($B$1,[2]gachas!$1:$1,0)+1),MATCH(C$1,[2]gachas!$1:$1,0)-MATCH($B$1,[2]gachas!$1:$1,0)+1,FALSE)</f>
        <v>ピックアップ01　最終日</v>
      </c>
      <c r="D155" s="6">
        <v>0</v>
      </c>
      <c r="E155" s="7">
        <v>251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強欲 マンモン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red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ゴッド</v>
      </c>
      <c r="L155" s="6">
        <v>1</v>
      </c>
      <c r="M155" s="6">
        <v>469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 thickBot="1">
      <c r="A156" s="22" t="str">
        <f t="shared" si="2"/>
        <v>02531</v>
      </c>
      <c r="B156" s="31">
        <v>106</v>
      </c>
      <c r="C156" s="10" t="str">
        <f ca="1">VLOOKUP($B156,OFFSET([2]gachas!$A$2,0,0,COUNTA([2]gachas!$A:$A),MATCH(C$1,[2]gachas!$1:$1,0)-MATCH($B$1,[2]gachas!$1:$1,0)+1),MATCH(C$1,[2]gachas!$1:$1,0)-MATCH($B$1,[2]gachas!$1:$1,0)+1,FALSE)</f>
        <v>ピックアップ01　最終日</v>
      </c>
      <c r="D156" s="6">
        <v>0</v>
      </c>
      <c r="E156" s="7">
        <v>253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ベルフェゴール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PremiumS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3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green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ゴッド</v>
      </c>
      <c r="L156" s="6">
        <v>1</v>
      </c>
      <c r="M156" s="6">
        <v>1165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 thickBot="1">
      <c r="A157" s="22" t="str">
        <f t="shared" si="2"/>
        <v>02541</v>
      </c>
      <c r="B157" s="31">
        <v>106</v>
      </c>
      <c r="C157" s="10" t="str">
        <f ca="1">VLOOKUP($B157,OFFSET([2]gachas!$A$2,0,0,COUNTA([2]gachas!$A:$A),MATCH(C$1,[2]gachas!$1:$1,0)-MATCH($B$1,[2]gachas!$1:$1,0)+1),MATCH(C$1,[2]gachas!$1:$1,0)-MATCH($B$1,[2]gachas!$1:$1,0)+1,FALSE)</f>
        <v>ピックアップ01　最終日</v>
      </c>
      <c r="D157" s="6">
        <v>0</v>
      </c>
      <c r="E157" s="7">
        <v>254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怠惰 ベルフェゴール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PremiumS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green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ゴッド</v>
      </c>
      <c r="L157" s="6">
        <v>1</v>
      </c>
      <c r="M157" s="6">
        <v>469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 thickBot="1">
      <c r="A158" s="22" t="str">
        <f t="shared" si="2"/>
        <v>02561</v>
      </c>
      <c r="B158" s="31">
        <v>106</v>
      </c>
      <c r="C158" s="10" t="str">
        <f ca="1">VLOOKUP($B158,OFFSET([2]gachas!$A$2,0,0,COUNTA([2]gachas!$A:$A),MATCH(C$1,[2]gachas!$1:$1,0)-MATCH($B$1,[2]gachas!$1:$1,0)+1),MATCH(C$1,[2]gachas!$1:$1,0)-MATCH($B$1,[2]gachas!$1:$1,0)+1,FALSE)</f>
        <v>ピックアップ01　最終日</v>
      </c>
      <c r="D158" s="6">
        <v>0</v>
      </c>
      <c r="E158" s="7">
        <v>256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アスモデウス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PremiumS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3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blue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ゴッド</v>
      </c>
      <c r="L158" s="6">
        <v>1</v>
      </c>
      <c r="M158" s="6">
        <v>1165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 thickBot="1">
      <c r="A159" s="22" t="str">
        <f t="shared" si="2"/>
        <v>02571</v>
      </c>
      <c r="B159" s="31">
        <v>106</v>
      </c>
      <c r="C159" s="10" t="str">
        <f ca="1">VLOOKUP($B159,OFFSET([2]gachas!$A$2,0,0,COUNTA([2]gachas!$A:$A),MATCH(C$1,[2]gachas!$1:$1,0)-MATCH($B$1,[2]gachas!$1:$1,0)+1),MATCH(C$1,[2]gachas!$1:$1,0)-MATCH($B$1,[2]gachas!$1:$1,0)+1,FALSE)</f>
        <v>ピックアップ01　最終日</v>
      </c>
      <c r="D159" s="6">
        <v>0</v>
      </c>
      <c r="E159" s="7">
        <v>257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色欲 アスモデウス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PremiumS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blue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ゴッド</v>
      </c>
      <c r="L159" s="6">
        <v>1</v>
      </c>
      <c r="M159" s="6">
        <v>469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 thickBot="1">
      <c r="A160" s="22" t="str">
        <f t="shared" si="2"/>
        <v>02591</v>
      </c>
      <c r="B160" s="31">
        <v>106</v>
      </c>
      <c r="C160" s="10" t="str">
        <f ca="1">VLOOKUP($B160,OFFSET([2]gachas!$A$2,0,0,COUNTA([2]gachas!$A:$A),MATCH(C$1,[2]gachas!$1:$1,0)-MATCH($B$1,[2]gachas!$1:$1,0)+1),MATCH(C$1,[2]gachas!$1:$1,0)-MATCH($B$1,[2]gachas!$1:$1,0)+1,FALSE)</f>
        <v>ピックアップ01　最終日</v>
      </c>
      <c r="D160" s="6">
        <v>0</v>
      </c>
      <c r="E160" s="7">
        <v>259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ウロボロス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PremiumS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3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yellow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ドラゴン</v>
      </c>
      <c r="L160" s="6">
        <v>1</v>
      </c>
      <c r="M160" s="6">
        <v>1165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 thickBot="1">
      <c r="A161" s="22" t="str">
        <f t="shared" si="2"/>
        <v>02601</v>
      </c>
      <c r="B161" s="31">
        <v>106</v>
      </c>
      <c r="C161" s="10" t="str">
        <f ca="1">VLOOKUP($B161,OFFSET([2]gachas!$A$2,0,0,COUNTA([2]gachas!$A:$A),MATCH(C$1,[2]gachas!$1:$1,0)-MATCH($B$1,[2]gachas!$1:$1,0)+1),MATCH(C$1,[2]gachas!$1:$1,0)-MATCH($B$1,[2]gachas!$1:$1,0)+1,FALSE)</f>
        <v>ピックアップ01　最終日</v>
      </c>
      <c r="D161" s="6">
        <v>0</v>
      </c>
      <c r="E161" s="7">
        <v>260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輪廻 ウロボロス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PremiumS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ドラゴン</v>
      </c>
      <c r="L161" s="6">
        <v>1</v>
      </c>
      <c r="M161" s="6">
        <v>469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</sheetData>
  <autoFilter ref="B1:M161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 enableFormatConditionsCalculation="0">
    <tabColor rgb="FF0000FF"/>
    <outlinePr summaryBelow="0" summaryRight="0"/>
  </sheetPr>
  <dimension ref="A1:R237"/>
  <sheetViews>
    <sheetView showGridLines="0" workbookViewId="0">
      <pane ySplit="1" topLeftCell="A219" activePane="bottomLeft" state="frozen"/>
      <selection pane="bottomLeft" activeCell="C2" sqref="C2:C237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7.5" style="1" customWidth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107</v>
      </c>
      <c r="C2" s="10" t="str">
        <f ca="1">VLOOKUP($B2,OFFSET([2]gachas!$A$2,0,0,COUNTA([2]gachas!$A:$A),MATCH(C$1,[2]gachas!$1:$1,0)-MATCH($B$1,[2]gachas!$1:$1,0)+1),MATCH(C$1,[2]gachas!$1:$1,0)-MATCH($B$1,[2]gachas!$1:$1,0)+1,FALSE)</f>
        <v>新キャラ追加03（新撰組）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6">
        <v>1879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107</v>
      </c>
      <c r="C3" s="10" t="str">
        <f ca="1">VLOOKUP($B3,OFFSET([2]gachas!$A$2,0,0,COUNTA([2]gachas!$A:$A),MATCH(C$1,[2]gachas!$1:$1,0)-MATCH($B$1,[2]gachas!$1:$1,0)+1),MATCH(C$1,[2]gachas!$1:$1,0)-MATCH($B$1,[2]gachas!$1:$1,0)+1,FALSE)</f>
        <v>新キャラ追加03（新撰組）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6">
        <v>1879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107</v>
      </c>
      <c r="C4" s="10" t="str">
        <f ca="1">VLOOKUP($B4,OFFSET([2]gachas!$A$2,0,0,COUNTA([2]gachas!$A:$A),MATCH(C$1,[2]gachas!$1:$1,0)-MATCH($B$1,[2]gachas!$1:$1,0)+1),MATCH(C$1,[2]gachas!$1:$1,0)-MATCH($B$1,[2]gachas!$1:$1,0)+1,FALSE)</f>
        <v>新キャラ追加03（新撰組）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6">
        <v>1879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107</v>
      </c>
      <c r="C5" s="10" t="str">
        <f ca="1">VLOOKUP($B5,OFFSET([2]gachas!$A$2,0,0,COUNTA([2]gachas!$A:$A),MATCH(C$1,[2]gachas!$1:$1,0)-MATCH($B$1,[2]gachas!$1:$1,0)+1),MATCH(C$1,[2]gachas!$1:$1,0)-MATCH($B$1,[2]gachas!$1:$1,0)+1,FALSE)</f>
        <v>新キャラ追加03（新撰組）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6">
        <v>1879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107</v>
      </c>
      <c r="C6" s="10" t="str">
        <f ca="1">VLOOKUP($B6,OFFSET([2]gachas!$A$2,0,0,COUNTA([2]gachas!$A:$A),MATCH(C$1,[2]gachas!$1:$1,0)-MATCH($B$1,[2]gachas!$1:$1,0)+1),MATCH(C$1,[2]gachas!$1:$1,0)-MATCH($B$1,[2]gachas!$1:$1,0)+1,FALSE)</f>
        <v>新キャラ追加03（新撰組）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6">
        <v>1879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107</v>
      </c>
      <c r="C7" s="10" t="str">
        <f ca="1">VLOOKUP($B7,OFFSET([2]gachas!$A$2,0,0,COUNTA([2]gachas!$A:$A),MATCH(C$1,[2]gachas!$1:$1,0)-MATCH($B$1,[2]gachas!$1:$1,0)+1),MATCH(C$1,[2]gachas!$1:$1,0)-MATCH($B$1,[2]gachas!$1:$1,0)+1,FALSE)</f>
        <v>新キャラ追加03（新撰組）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6">
        <v>1879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107</v>
      </c>
      <c r="C8" s="10" t="str">
        <f ca="1">VLOOKUP($B8,OFFSET([2]gachas!$A$2,0,0,COUNTA([2]gachas!$A:$A),MATCH(C$1,[2]gachas!$1:$1,0)-MATCH($B$1,[2]gachas!$1:$1,0)+1),MATCH(C$1,[2]gachas!$1:$1,0)-MATCH($B$1,[2]gachas!$1:$1,0)+1,FALSE)</f>
        <v>新キャラ追加03（新撰組）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6">
        <v>1879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107</v>
      </c>
      <c r="C9" s="10" t="str">
        <f ca="1">VLOOKUP($B9,OFFSET([2]gachas!$A$2,0,0,COUNTA([2]gachas!$A:$A),MATCH(C$1,[2]gachas!$1:$1,0)-MATCH($B$1,[2]gachas!$1:$1,0)+1),MATCH(C$1,[2]gachas!$1:$1,0)-MATCH($B$1,[2]gachas!$1:$1,0)+1,FALSE)</f>
        <v>新キャラ追加03（新撰組）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6">
        <v>1879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107</v>
      </c>
      <c r="C10" s="10" t="str">
        <f ca="1">VLOOKUP($B10,OFFSET([2]gachas!$A$2,0,0,COUNTA([2]gachas!$A:$A),MATCH(C$1,[2]gachas!$1:$1,0)-MATCH($B$1,[2]gachas!$1:$1,0)+1),MATCH(C$1,[2]gachas!$1:$1,0)-MATCH($B$1,[2]gachas!$1:$1,0)+1,FALSE)</f>
        <v>新キャラ追加03（新撰組）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6">
        <v>1879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107</v>
      </c>
      <c r="C11" s="10" t="str">
        <f ca="1">VLOOKUP($B11,OFFSET([2]gachas!$A$2,0,0,COUNTA([2]gachas!$A:$A),MATCH(C$1,[2]gachas!$1:$1,0)-MATCH($B$1,[2]gachas!$1:$1,0)+1),MATCH(C$1,[2]gachas!$1:$1,0)-MATCH($B$1,[2]gachas!$1:$1,0)+1,FALSE)</f>
        <v>新キャラ追加03（新撰組）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6">
        <v>1879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107</v>
      </c>
      <c r="C12" s="10" t="str">
        <f ca="1">VLOOKUP($B12,OFFSET([2]gachas!$A$2,0,0,COUNTA([2]gachas!$A:$A),MATCH(C$1,[2]gachas!$1:$1,0)-MATCH($B$1,[2]gachas!$1:$1,0)+1),MATCH(C$1,[2]gachas!$1:$1,0)-MATCH($B$1,[2]gachas!$1:$1,0)+1,FALSE)</f>
        <v>新キャラ追加03（新撰組）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6">
        <v>1879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107</v>
      </c>
      <c r="C13" s="10" t="str">
        <f ca="1">VLOOKUP($B13,OFFSET([2]gachas!$A$2,0,0,COUNTA([2]gachas!$A:$A),MATCH(C$1,[2]gachas!$1:$1,0)-MATCH($B$1,[2]gachas!$1:$1,0)+1),MATCH(C$1,[2]gachas!$1:$1,0)-MATCH($B$1,[2]gachas!$1:$1,0)+1,FALSE)</f>
        <v>新キャラ追加03（新撰組）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6">
        <v>1879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107</v>
      </c>
      <c r="C14" s="10" t="str">
        <f ca="1">VLOOKUP($B14,OFFSET([2]gachas!$A$2,0,0,COUNTA([2]gachas!$A:$A),MATCH(C$1,[2]gachas!$1:$1,0)-MATCH($B$1,[2]gachas!$1:$1,0)+1),MATCH(C$1,[2]gachas!$1:$1,0)-MATCH($B$1,[2]gachas!$1:$1,0)+1,FALSE)</f>
        <v>新キャラ追加03（新撰組）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6">
        <v>1879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107</v>
      </c>
      <c r="C15" s="10" t="str">
        <f ca="1">VLOOKUP($B15,OFFSET([2]gachas!$A$2,0,0,COUNTA([2]gachas!$A:$A),MATCH(C$1,[2]gachas!$1:$1,0)-MATCH($B$1,[2]gachas!$1:$1,0)+1),MATCH(C$1,[2]gachas!$1:$1,0)-MATCH($B$1,[2]gachas!$1:$1,0)+1,FALSE)</f>
        <v>新キャラ追加03（新撰組）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6">
        <v>1879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107</v>
      </c>
      <c r="C16" s="10" t="str">
        <f ca="1">VLOOKUP($B16,OFFSET([2]gachas!$A$2,0,0,COUNTA([2]gachas!$A:$A),MATCH(C$1,[2]gachas!$1:$1,0)-MATCH($B$1,[2]gachas!$1:$1,0)+1),MATCH(C$1,[2]gachas!$1:$1,0)-MATCH($B$1,[2]gachas!$1:$1,0)+1,FALSE)</f>
        <v>新キャラ追加03（新撰組）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6">
        <v>1879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107</v>
      </c>
      <c r="C17" s="10" t="str">
        <f ca="1">VLOOKUP($B17,OFFSET([2]gachas!$A$2,0,0,COUNTA([2]gachas!$A:$A),MATCH(C$1,[2]gachas!$1:$1,0)-MATCH($B$1,[2]gachas!$1:$1,0)+1),MATCH(C$1,[2]gachas!$1:$1,0)-MATCH($B$1,[2]gachas!$1:$1,0)+1,FALSE)</f>
        <v>新キャラ追加03（新撰組）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6">
        <v>1879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107</v>
      </c>
      <c r="C18" s="10" t="str">
        <f ca="1">VLOOKUP($B18,OFFSET([2]gachas!$A$2,0,0,COUNTA([2]gachas!$A:$A),MATCH(C$1,[2]gachas!$1:$1,0)-MATCH($B$1,[2]gachas!$1:$1,0)+1),MATCH(C$1,[2]gachas!$1:$1,0)-MATCH($B$1,[2]gachas!$1:$1,0)+1,FALSE)</f>
        <v>新キャラ追加03（新撰組）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6">
        <v>1879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107</v>
      </c>
      <c r="C19" s="10" t="str">
        <f ca="1">VLOOKUP($B19,OFFSET([2]gachas!$A$2,0,0,COUNTA([2]gachas!$A:$A),MATCH(C$1,[2]gachas!$1:$1,0)-MATCH($B$1,[2]gachas!$1:$1,0)+1),MATCH(C$1,[2]gachas!$1:$1,0)-MATCH($B$1,[2]gachas!$1:$1,0)+1,FALSE)</f>
        <v>新キャラ追加03（新撰組）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6">
        <v>1879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107</v>
      </c>
      <c r="C20" s="10" t="str">
        <f ca="1">VLOOKUP($B20,OFFSET([2]gachas!$A$2,0,0,COUNTA([2]gachas!$A:$A),MATCH(C$1,[2]gachas!$1:$1,0)-MATCH($B$1,[2]gachas!$1:$1,0)+1),MATCH(C$1,[2]gachas!$1:$1,0)-MATCH($B$1,[2]gachas!$1:$1,0)+1,FALSE)</f>
        <v>新キャラ追加03（新撰組）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6">
        <v>1879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107</v>
      </c>
      <c r="C21" s="10" t="str">
        <f ca="1">VLOOKUP($B21,OFFSET([2]gachas!$A$2,0,0,COUNTA([2]gachas!$A:$A),MATCH(C$1,[2]gachas!$1:$1,0)-MATCH($B$1,[2]gachas!$1:$1,0)+1),MATCH(C$1,[2]gachas!$1:$1,0)-MATCH($B$1,[2]gachas!$1:$1,0)+1,FALSE)</f>
        <v>新キャラ追加03（新撰組）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6">
        <v>1879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107</v>
      </c>
      <c r="C22" s="10" t="str">
        <f ca="1">VLOOKUP($B22,OFFSET([2]gachas!$A$2,0,0,COUNTA([2]gachas!$A:$A),MATCH(C$1,[2]gachas!$1:$1,0)-MATCH($B$1,[2]gachas!$1:$1,0)+1),MATCH(C$1,[2]gachas!$1:$1,0)-MATCH($B$1,[2]gachas!$1:$1,0)+1,FALSE)</f>
        <v>新キャラ追加03（新撰組）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6">
        <v>2141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107</v>
      </c>
      <c r="C23" s="10" t="str">
        <f ca="1">VLOOKUP($B23,OFFSET([2]gachas!$A$2,0,0,COUNTA([2]gachas!$A:$A),MATCH(C$1,[2]gachas!$1:$1,0)-MATCH($B$1,[2]gachas!$1:$1,0)+1),MATCH(C$1,[2]gachas!$1:$1,0)-MATCH($B$1,[2]gachas!$1:$1,0)+1,FALSE)</f>
        <v>新キャラ追加03（新撰組）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6">
        <v>2141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107</v>
      </c>
      <c r="C24" s="10" t="str">
        <f ca="1">VLOOKUP($B24,OFFSET([2]gachas!$A$2,0,0,COUNTA([2]gachas!$A:$A),MATCH(C$1,[2]gachas!$1:$1,0)-MATCH($B$1,[2]gachas!$1:$1,0)+1),MATCH(C$1,[2]gachas!$1:$1,0)-MATCH($B$1,[2]gachas!$1:$1,0)+1,FALSE)</f>
        <v>新キャラ追加03（新撰組）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2141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107</v>
      </c>
      <c r="C25" s="10" t="str">
        <f ca="1">VLOOKUP($B25,OFFSET([2]gachas!$A$2,0,0,COUNTA([2]gachas!$A:$A),MATCH(C$1,[2]gachas!$1:$1,0)-MATCH($B$1,[2]gachas!$1:$1,0)+1),MATCH(C$1,[2]gachas!$1:$1,0)-MATCH($B$1,[2]gachas!$1:$1,0)+1,FALSE)</f>
        <v>新キャラ追加03（新撰組）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2141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107</v>
      </c>
      <c r="C26" s="10" t="str">
        <f ca="1">VLOOKUP($B26,OFFSET([2]gachas!$A$2,0,0,COUNTA([2]gachas!$A:$A),MATCH(C$1,[2]gachas!$1:$1,0)-MATCH($B$1,[2]gachas!$1:$1,0)+1),MATCH(C$1,[2]gachas!$1:$1,0)-MATCH($B$1,[2]gachas!$1:$1,0)+1,FALSE)</f>
        <v>新キャラ追加03（新撰組）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6">
        <v>2141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107</v>
      </c>
      <c r="C27" s="10" t="str">
        <f ca="1">VLOOKUP($B27,OFFSET([2]gachas!$A$2,0,0,COUNTA([2]gachas!$A:$A),MATCH(C$1,[2]gachas!$1:$1,0)-MATCH($B$1,[2]gachas!$1:$1,0)+1),MATCH(C$1,[2]gachas!$1:$1,0)-MATCH($B$1,[2]gachas!$1:$1,0)+1,FALSE)</f>
        <v>新キャラ追加03（新撰組）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2141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107</v>
      </c>
      <c r="C28" s="10" t="str">
        <f ca="1">VLOOKUP($B28,OFFSET([2]gachas!$A$2,0,0,COUNTA([2]gachas!$A:$A),MATCH(C$1,[2]gachas!$1:$1,0)-MATCH($B$1,[2]gachas!$1:$1,0)+1),MATCH(C$1,[2]gachas!$1:$1,0)-MATCH($B$1,[2]gachas!$1:$1,0)+1,FALSE)</f>
        <v>新キャラ追加03（新撰組）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2141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107</v>
      </c>
      <c r="C29" s="10" t="str">
        <f ca="1">VLOOKUP($B29,OFFSET([2]gachas!$A$2,0,0,COUNTA([2]gachas!$A:$A),MATCH(C$1,[2]gachas!$1:$1,0)-MATCH($B$1,[2]gachas!$1:$1,0)+1),MATCH(C$1,[2]gachas!$1:$1,0)-MATCH($B$1,[2]gachas!$1:$1,0)+1,FALSE)</f>
        <v>新キャラ追加03（新撰組）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2141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107</v>
      </c>
      <c r="C30" s="10" t="str">
        <f ca="1">VLOOKUP($B30,OFFSET([2]gachas!$A$2,0,0,COUNTA([2]gachas!$A:$A),MATCH(C$1,[2]gachas!$1:$1,0)-MATCH($B$1,[2]gachas!$1:$1,0)+1),MATCH(C$1,[2]gachas!$1:$1,0)-MATCH($B$1,[2]gachas!$1:$1,0)+1,FALSE)</f>
        <v>新キャラ追加03（新撰組）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6">
        <v>2141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107</v>
      </c>
      <c r="C31" s="10" t="str">
        <f ca="1">VLOOKUP($B31,OFFSET([2]gachas!$A$2,0,0,COUNTA([2]gachas!$A:$A),MATCH(C$1,[2]gachas!$1:$1,0)-MATCH($B$1,[2]gachas!$1:$1,0)+1),MATCH(C$1,[2]gachas!$1:$1,0)-MATCH($B$1,[2]gachas!$1:$1,0)+1,FALSE)</f>
        <v>新キャラ追加03（新撰組）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2141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107</v>
      </c>
      <c r="C32" s="10" t="str">
        <f ca="1">VLOOKUP($B32,OFFSET([2]gachas!$A$2,0,0,COUNTA([2]gachas!$A:$A),MATCH(C$1,[2]gachas!$1:$1,0)-MATCH($B$1,[2]gachas!$1:$1,0)+1),MATCH(C$1,[2]gachas!$1:$1,0)-MATCH($B$1,[2]gachas!$1:$1,0)+1,FALSE)</f>
        <v>新キャラ追加03（新撰組）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2141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107</v>
      </c>
      <c r="C33" s="10" t="str">
        <f ca="1">VLOOKUP($B33,OFFSET([2]gachas!$A$2,0,0,COUNTA([2]gachas!$A:$A),MATCH(C$1,[2]gachas!$1:$1,0)-MATCH($B$1,[2]gachas!$1:$1,0)+1),MATCH(C$1,[2]gachas!$1:$1,0)-MATCH($B$1,[2]gachas!$1:$1,0)+1,FALSE)</f>
        <v>新キャラ追加03（新撰組）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6">
        <v>2141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107</v>
      </c>
      <c r="C34" s="10" t="str">
        <f ca="1">VLOOKUP($B34,OFFSET([2]gachas!$A$2,0,0,COUNTA([2]gachas!$A:$A),MATCH(C$1,[2]gachas!$1:$1,0)-MATCH($B$1,[2]gachas!$1:$1,0)+1),MATCH(C$1,[2]gachas!$1:$1,0)-MATCH($B$1,[2]gachas!$1:$1,0)+1,FALSE)</f>
        <v>新キャラ追加03（新撰組）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6">
        <v>2141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107</v>
      </c>
      <c r="C35" s="10" t="str">
        <f ca="1">VLOOKUP($B35,OFFSET([2]gachas!$A$2,0,0,COUNTA([2]gachas!$A:$A),MATCH(C$1,[2]gachas!$1:$1,0)-MATCH($B$1,[2]gachas!$1:$1,0)+1),MATCH(C$1,[2]gachas!$1:$1,0)-MATCH($B$1,[2]gachas!$1:$1,0)+1,FALSE)</f>
        <v>新キャラ追加03（新撰組）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2141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107</v>
      </c>
      <c r="C36" s="10" t="str">
        <f ca="1">VLOOKUP($B36,OFFSET([2]gachas!$A$2,0,0,COUNTA([2]gachas!$A:$A),MATCH(C$1,[2]gachas!$1:$1,0)-MATCH($B$1,[2]gachas!$1:$1,0)+1),MATCH(C$1,[2]gachas!$1:$1,0)-MATCH($B$1,[2]gachas!$1:$1,0)+1,FALSE)</f>
        <v>新キャラ追加03（新撰組）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2141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107</v>
      </c>
      <c r="C37" s="10" t="str">
        <f ca="1">VLOOKUP($B37,OFFSET([2]gachas!$A$2,0,0,COUNTA([2]gachas!$A:$A),MATCH(C$1,[2]gachas!$1:$1,0)-MATCH($B$1,[2]gachas!$1:$1,0)+1),MATCH(C$1,[2]gachas!$1:$1,0)-MATCH($B$1,[2]gachas!$1:$1,0)+1,FALSE)</f>
        <v>新キャラ追加03（新撰組）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2141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107</v>
      </c>
      <c r="C38" s="10" t="str">
        <f ca="1">VLOOKUP($B38,OFFSET([2]gachas!$A$2,0,0,COUNTA([2]gachas!$A:$A),MATCH(C$1,[2]gachas!$1:$1,0)-MATCH($B$1,[2]gachas!$1:$1,0)+1),MATCH(C$1,[2]gachas!$1:$1,0)-MATCH($B$1,[2]gachas!$1:$1,0)+1,FALSE)</f>
        <v>新キャラ追加03（新撰組）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6">
        <v>2141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107</v>
      </c>
      <c r="C39" s="10" t="str">
        <f ca="1">VLOOKUP($B39,OFFSET([2]gachas!$A$2,0,0,COUNTA([2]gachas!$A:$A),MATCH(C$1,[2]gachas!$1:$1,0)-MATCH($B$1,[2]gachas!$1:$1,0)+1),MATCH(C$1,[2]gachas!$1:$1,0)-MATCH($B$1,[2]gachas!$1:$1,0)+1,FALSE)</f>
        <v>新キャラ追加03（新撰組）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2141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107</v>
      </c>
      <c r="C40" s="10" t="str">
        <f ca="1">VLOOKUP($B40,OFFSET([2]gachas!$A$2,0,0,COUNTA([2]gachas!$A:$A),MATCH(C$1,[2]gachas!$1:$1,0)-MATCH($B$1,[2]gachas!$1:$1,0)+1),MATCH(C$1,[2]gachas!$1:$1,0)-MATCH($B$1,[2]gachas!$1:$1,0)+1,FALSE)</f>
        <v>新キャラ追加03（新撰組）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2141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107</v>
      </c>
      <c r="C41" s="10" t="str">
        <f ca="1">VLOOKUP($B41,OFFSET([2]gachas!$A$2,0,0,COUNTA([2]gachas!$A:$A),MATCH(C$1,[2]gachas!$1:$1,0)-MATCH($B$1,[2]gachas!$1:$1,0)+1),MATCH(C$1,[2]gachas!$1:$1,0)-MATCH($B$1,[2]gachas!$1:$1,0)+1,FALSE)</f>
        <v>新キャラ追加03（新撰組）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2141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107</v>
      </c>
      <c r="C42" s="10" t="str">
        <f ca="1">VLOOKUP($B42,OFFSET([2]gachas!$A$2,0,0,COUNTA([2]gachas!$A:$A),MATCH(C$1,[2]gachas!$1:$1,0)-MATCH($B$1,[2]gachas!$1:$1,0)+1),MATCH(C$1,[2]gachas!$1:$1,0)-MATCH($B$1,[2]gachas!$1:$1,0)+1,FALSE)</f>
        <v>新キャラ追加03（新撰組）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6">
        <v>437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107</v>
      </c>
      <c r="C43" s="10" t="str">
        <f ca="1">VLOOKUP($B43,OFFSET([2]gachas!$A$2,0,0,COUNTA([2]gachas!$A:$A),MATCH(C$1,[2]gachas!$1:$1,0)-MATCH($B$1,[2]gachas!$1:$1,0)+1),MATCH(C$1,[2]gachas!$1:$1,0)-MATCH($B$1,[2]gachas!$1:$1,0)+1,FALSE)</f>
        <v>新キャラ追加03（新撰組）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6">
        <v>437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107</v>
      </c>
      <c r="C44" s="10" t="str">
        <f ca="1">VLOOKUP($B44,OFFSET([2]gachas!$A$2,0,0,COUNTA([2]gachas!$A:$A),MATCH(C$1,[2]gachas!$1:$1,0)-MATCH($B$1,[2]gachas!$1:$1,0)+1),MATCH(C$1,[2]gachas!$1:$1,0)-MATCH($B$1,[2]gachas!$1:$1,0)+1,FALSE)</f>
        <v>新キャラ追加03（新撰組）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437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107</v>
      </c>
      <c r="C45" s="10" t="str">
        <f ca="1">VLOOKUP($B45,OFFSET([2]gachas!$A$2,0,0,COUNTA([2]gachas!$A:$A),MATCH(C$1,[2]gachas!$1:$1,0)-MATCH($B$1,[2]gachas!$1:$1,0)+1),MATCH(C$1,[2]gachas!$1:$1,0)-MATCH($B$1,[2]gachas!$1:$1,0)+1,FALSE)</f>
        <v>新キャラ追加03（新撰組）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6">
        <v>437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v>107</v>
      </c>
      <c r="C46" s="10" t="str">
        <f ca="1">VLOOKUP($B46,OFFSET([2]gachas!$A$2,0,0,COUNTA([2]gachas!$A:$A),MATCH(C$1,[2]gachas!$1:$1,0)-MATCH($B$1,[2]gachas!$1:$1,0)+1),MATCH(C$1,[2]gachas!$1:$1,0)-MATCH($B$1,[2]gachas!$1:$1,0)+1,FALSE)</f>
        <v>新キャラ追加03（新撰組）</v>
      </c>
      <c r="D46" s="6">
        <v>1</v>
      </c>
      <c r="E46" s="7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6">
        <v>1</v>
      </c>
      <c r="M46" s="6">
        <v>212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v>107</v>
      </c>
      <c r="C47" s="10" t="str">
        <f ca="1">VLOOKUP($B47,OFFSET([2]gachas!$A$2,0,0,COUNTA([2]gachas!$A:$A),MATCH(C$1,[2]gachas!$1:$1,0)-MATCH($B$1,[2]gachas!$1:$1,0)+1),MATCH(C$1,[2]gachas!$1:$1,0)-MATCH($B$1,[2]gachas!$1:$1,0)+1,FALSE)</f>
        <v>新キャラ追加03（新撰組）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6">
        <v>212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v>107</v>
      </c>
      <c r="C48" s="10" t="str">
        <f ca="1">VLOOKUP($B48,OFFSET([2]gachas!$A$2,0,0,COUNTA([2]gachas!$A:$A),MATCH(C$1,[2]gachas!$1:$1,0)-MATCH($B$1,[2]gachas!$1:$1,0)+1),MATCH(C$1,[2]gachas!$1:$1,0)-MATCH($B$1,[2]gachas!$1:$1,0)+1,FALSE)</f>
        <v>新キャラ追加03（新撰組）</v>
      </c>
      <c r="D48" s="6">
        <v>1</v>
      </c>
      <c r="E48" s="7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6">
        <v>1</v>
      </c>
      <c r="M48" s="6">
        <v>212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v>107</v>
      </c>
      <c r="C49" s="10" t="str">
        <f ca="1">VLOOKUP($B49,OFFSET([2]gachas!$A$2,0,0,COUNTA([2]gachas!$A:$A),MATCH(C$1,[2]gachas!$1:$1,0)-MATCH($B$1,[2]gachas!$1:$1,0)+1),MATCH(C$1,[2]gachas!$1:$1,0)-MATCH($B$1,[2]gachas!$1:$1,0)+1,FALSE)</f>
        <v>新キャラ追加03（新撰組）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6">
        <v>212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v>107</v>
      </c>
      <c r="C50" s="10" t="str">
        <f ca="1">VLOOKUP($B50,OFFSET([2]gachas!$A$2,0,0,COUNTA([2]gachas!$A:$A),MATCH(C$1,[2]gachas!$1:$1,0)-MATCH($B$1,[2]gachas!$1:$1,0)+1),MATCH(C$1,[2]gachas!$1:$1,0)-MATCH($B$1,[2]gachas!$1:$1,0)+1,FALSE)</f>
        <v>新キャラ追加03（新撰組）</v>
      </c>
      <c r="D50" s="6">
        <v>1</v>
      </c>
      <c r="E50" s="7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6">
        <v>1</v>
      </c>
      <c r="M50" s="6">
        <v>212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v>107</v>
      </c>
      <c r="C51" s="10" t="str">
        <f ca="1">VLOOKUP($B51,OFFSET([2]gachas!$A$2,0,0,COUNTA([2]gachas!$A:$A),MATCH(C$1,[2]gachas!$1:$1,0)-MATCH($B$1,[2]gachas!$1:$1,0)+1),MATCH(C$1,[2]gachas!$1:$1,0)-MATCH($B$1,[2]gachas!$1:$1,0)+1,FALSE)</f>
        <v>新キャラ追加03（新撰組）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6">
        <v>212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v>107</v>
      </c>
      <c r="C52" s="10" t="str">
        <f ca="1">VLOOKUP($B52,OFFSET([2]gachas!$A$2,0,0,COUNTA([2]gachas!$A:$A),MATCH(C$1,[2]gachas!$1:$1,0)-MATCH($B$1,[2]gachas!$1:$1,0)+1),MATCH(C$1,[2]gachas!$1:$1,0)-MATCH($B$1,[2]gachas!$1:$1,0)+1,FALSE)</f>
        <v>新キャラ追加03（新撰組）</v>
      </c>
      <c r="D52" s="6">
        <v>1</v>
      </c>
      <c r="E52" s="7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6">
        <v>1</v>
      </c>
      <c r="M52" s="6">
        <v>212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v>107</v>
      </c>
      <c r="C53" s="10" t="str">
        <f ca="1">VLOOKUP($B53,OFFSET([2]gachas!$A$2,0,0,COUNTA([2]gachas!$A:$A),MATCH(C$1,[2]gachas!$1:$1,0)-MATCH($B$1,[2]gachas!$1:$1,0)+1),MATCH(C$1,[2]gachas!$1:$1,0)-MATCH($B$1,[2]gachas!$1:$1,0)+1,FALSE)</f>
        <v>新キャラ追加03（新撰組）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6">
        <v>212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v>107</v>
      </c>
      <c r="C54" s="10" t="str">
        <f ca="1">VLOOKUP($B54,OFFSET([2]gachas!$A$2,0,0,COUNTA([2]gachas!$A:$A),MATCH(C$1,[2]gachas!$1:$1,0)-MATCH($B$1,[2]gachas!$1:$1,0)+1),MATCH(C$1,[2]gachas!$1:$1,0)-MATCH($B$1,[2]gachas!$1:$1,0)+1,FALSE)</f>
        <v>新キャラ追加03（新撰組）</v>
      </c>
      <c r="D54" s="6">
        <v>1</v>
      </c>
      <c r="E54" s="7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6">
        <v>1</v>
      </c>
      <c r="M54" s="6">
        <v>212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v>107</v>
      </c>
      <c r="C55" s="10" t="str">
        <f ca="1">VLOOKUP($B55,OFFSET([2]gachas!$A$2,0,0,COUNTA([2]gachas!$A:$A),MATCH(C$1,[2]gachas!$1:$1,0)-MATCH($B$1,[2]gachas!$1:$1,0)+1),MATCH(C$1,[2]gachas!$1:$1,0)-MATCH($B$1,[2]gachas!$1:$1,0)+1,FALSE)</f>
        <v>新キャラ追加03（新撰組）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6">
        <v>212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v>107</v>
      </c>
      <c r="C56" s="10" t="str">
        <f ca="1">VLOOKUP($B56,OFFSET([2]gachas!$A$2,0,0,COUNTA([2]gachas!$A:$A),MATCH(C$1,[2]gachas!$1:$1,0)-MATCH($B$1,[2]gachas!$1:$1,0)+1),MATCH(C$1,[2]gachas!$1:$1,0)-MATCH($B$1,[2]gachas!$1:$1,0)+1,FALSE)</f>
        <v>新キャラ追加03（新撰組）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6">
        <v>212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v>107</v>
      </c>
      <c r="C57" s="10" t="str">
        <f ca="1">VLOOKUP($B57,OFFSET([2]gachas!$A$2,0,0,COUNTA([2]gachas!$A:$A),MATCH(C$1,[2]gachas!$1:$1,0)-MATCH($B$1,[2]gachas!$1:$1,0)+1),MATCH(C$1,[2]gachas!$1:$1,0)-MATCH($B$1,[2]gachas!$1:$1,0)+1,FALSE)</f>
        <v>新キャラ追加03（新撰組）</v>
      </c>
      <c r="D57" s="6">
        <v>1</v>
      </c>
      <c r="E57" s="7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6">
        <v>212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v>107</v>
      </c>
      <c r="C58" s="10" t="str">
        <f ca="1">VLOOKUP($B58,OFFSET([2]gachas!$A$2,0,0,COUNTA([2]gachas!$A:$A),MATCH(C$1,[2]gachas!$1:$1,0)-MATCH($B$1,[2]gachas!$1:$1,0)+1),MATCH(C$1,[2]gachas!$1:$1,0)-MATCH($B$1,[2]gachas!$1:$1,0)+1,FALSE)</f>
        <v>新キャラ追加03（新撰組）</v>
      </c>
      <c r="D58" s="6">
        <v>1</v>
      </c>
      <c r="E58" s="7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6">
        <v>1</v>
      </c>
      <c r="M58" s="6">
        <v>212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v>107</v>
      </c>
      <c r="C59" s="10" t="str">
        <f ca="1">VLOOKUP($B59,OFFSET([2]gachas!$A$2,0,0,COUNTA([2]gachas!$A:$A),MATCH(C$1,[2]gachas!$1:$1,0)-MATCH($B$1,[2]gachas!$1:$1,0)+1),MATCH(C$1,[2]gachas!$1:$1,0)-MATCH($B$1,[2]gachas!$1:$1,0)+1,FALSE)</f>
        <v>新キャラ追加03（新撰組）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6">
        <v>212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v>107</v>
      </c>
      <c r="C60" s="10" t="str">
        <f ca="1">VLOOKUP($B60,OFFSET([2]gachas!$A$2,0,0,COUNTA([2]gachas!$A:$A),MATCH(C$1,[2]gachas!$1:$1,0)-MATCH($B$1,[2]gachas!$1:$1,0)+1),MATCH(C$1,[2]gachas!$1:$1,0)-MATCH($B$1,[2]gachas!$1:$1,0)+1,FALSE)</f>
        <v>新キャラ追加03（新撰組）</v>
      </c>
      <c r="D60" s="6">
        <v>1</v>
      </c>
      <c r="E60" s="7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6">
        <v>1</v>
      </c>
      <c r="M60" s="6">
        <v>212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v>107</v>
      </c>
      <c r="C61" s="10" t="str">
        <f ca="1">VLOOKUP($B61,OFFSET([2]gachas!$A$2,0,0,COUNTA([2]gachas!$A:$A),MATCH(C$1,[2]gachas!$1:$1,0)-MATCH($B$1,[2]gachas!$1:$1,0)+1),MATCH(C$1,[2]gachas!$1:$1,0)-MATCH($B$1,[2]gachas!$1:$1,0)+1,FALSE)</f>
        <v>新キャラ追加03（新撰組）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6">
        <v>212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v>107</v>
      </c>
      <c r="C62" s="10" t="str">
        <f ca="1">VLOOKUP($B62,OFFSET([2]gachas!$A$2,0,0,COUNTA([2]gachas!$A:$A),MATCH(C$1,[2]gachas!$1:$1,0)-MATCH($B$1,[2]gachas!$1:$1,0)+1),MATCH(C$1,[2]gachas!$1:$1,0)-MATCH($B$1,[2]gachas!$1:$1,0)+1,FALSE)</f>
        <v>新キャラ追加03（新撰組）</v>
      </c>
      <c r="D62" s="6">
        <v>1</v>
      </c>
      <c r="E62" s="7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6">
        <v>1</v>
      </c>
      <c r="M62" s="6">
        <v>212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v>107</v>
      </c>
      <c r="C63" s="10" t="str">
        <f ca="1">VLOOKUP($B63,OFFSET([2]gachas!$A$2,0,0,COUNTA([2]gachas!$A:$A),MATCH(C$1,[2]gachas!$1:$1,0)-MATCH($B$1,[2]gachas!$1:$1,0)+1),MATCH(C$1,[2]gachas!$1:$1,0)-MATCH($B$1,[2]gachas!$1:$1,0)+1,FALSE)</f>
        <v>新キャラ追加03（新撰組）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6">
        <v>212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v>107</v>
      </c>
      <c r="C64" s="10" t="str">
        <f ca="1">VLOOKUP($B64,OFFSET([2]gachas!$A$2,0,0,COUNTA([2]gachas!$A:$A),MATCH(C$1,[2]gachas!$1:$1,0)-MATCH($B$1,[2]gachas!$1:$1,0)+1),MATCH(C$1,[2]gachas!$1:$1,0)-MATCH($B$1,[2]gachas!$1:$1,0)+1,FALSE)</f>
        <v>新キャラ追加03（新撰組）</v>
      </c>
      <c r="D64" s="6">
        <v>1</v>
      </c>
      <c r="E64" s="7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6">
        <v>1</v>
      </c>
      <c r="M64" s="6">
        <v>212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v>107</v>
      </c>
      <c r="C65" s="10" t="str">
        <f ca="1">VLOOKUP($B65,OFFSET([2]gachas!$A$2,0,0,COUNTA([2]gachas!$A:$A),MATCH(C$1,[2]gachas!$1:$1,0)-MATCH($B$1,[2]gachas!$1:$1,0)+1),MATCH(C$1,[2]gachas!$1:$1,0)-MATCH($B$1,[2]gachas!$1:$1,0)+1,FALSE)</f>
        <v>新キャラ追加03（新撰組）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6">
        <v>212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46" si="1">D66&amp;E66&amp;L66</f>
        <v>12281</v>
      </c>
      <c r="B66" s="2">
        <v>107</v>
      </c>
      <c r="C66" s="10" t="str">
        <f ca="1">VLOOKUP($B66,OFFSET([2]gachas!$A$2,0,0,COUNTA([2]gachas!$A:$A),MATCH(C$1,[2]gachas!$1:$1,0)-MATCH($B$1,[2]gachas!$1:$1,0)+1),MATCH(C$1,[2]gachas!$1:$1,0)-MATCH($B$1,[2]gachas!$1:$1,0)+1,FALSE)</f>
        <v>新キャラ追加03（新撰組）</v>
      </c>
      <c r="D66" s="6">
        <v>1</v>
      </c>
      <c r="E66" s="7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6">
        <v>1</v>
      </c>
      <c r="M66" s="6">
        <v>23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12311</v>
      </c>
      <c r="B67" s="2">
        <v>107</v>
      </c>
      <c r="C67" s="10" t="str">
        <f ca="1">VLOOKUP($B67,OFFSET([2]gachas!$A$2,0,0,COUNTA([2]gachas!$A:$A),MATCH(C$1,[2]gachas!$1:$1,0)-MATCH($B$1,[2]gachas!$1:$1,0)+1),MATCH(C$1,[2]gachas!$1:$1,0)-MATCH($B$1,[2]gachas!$1:$1,0)+1,FALSE)</f>
        <v>新キャラ追加03（新撰組）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6">
        <v>23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12341</v>
      </c>
      <c r="B68" s="2">
        <v>107</v>
      </c>
      <c r="C68" s="10" t="str">
        <f ca="1">VLOOKUP($B68,OFFSET([2]gachas!$A$2,0,0,COUNTA([2]gachas!$A:$A),MATCH(C$1,[2]gachas!$1:$1,0)-MATCH($B$1,[2]gachas!$1:$1,0)+1),MATCH(C$1,[2]gachas!$1:$1,0)-MATCH($B$1,[2]gachas!$1:$1,0)+1,FALSE)</f>
        <v>新キャラ追加03（新撰組）</v>
      </c>
      <c r="D68" s="6">
        <v>1</v>
      </c>
      <c r="E68" s="7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6">
        <v>23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1"/>
        <v>12371</v>
      </c>
      <c r="B69" s="2">
        <v>107</v>
      </c>
      <c r="C69" s="10" t="str">
        <f ca="1">VLOOKUP($B69,OFFSET([2]gachas!$A$2,0,0,COUNTA([2]gachas!$A:$A),MATCH(C$1,[2]gachas!$1:$1,0)-MATCH($B$1,[2]gachas!$1:$1,0)+1),MATCH(C$1,[2]gachas!$1:$1,0)-MATCH($B$1,[2]gachas!$1:$1,0)+1,FALSE)</f>
        <v>新キャラ追加03（新撰組）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6">
        <v>23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12391</v>
      </c>
      <c r="B70" s="2">
        <v>107</v>
      </c>
      <c r="C70" s="10" t="str">
        <f ca="1">VLOOKUP($B70,OFFSET([2]gachas!$A$2,0,0,COUNTA([2]gachas!$A:$A),MATCH(C$1,[2]gachas!$1:$1,0)-MATCH($B$1,[2]gachas!$1:$1,0)+1),MATCH(C$1,[2]gachas!$1:$1,0)-MATCH($B$1,[2]gachas!$1:$1,0)+1,FALSE)</f>
        <v>新キャラ追加03（新撰組）</v>
      </c>
      <c r="D70" s="6">
        <v>1</v>
      </c>
      <c r="E70" s="19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6">
        <v>1</v>
      </c>
      <c r="M70" s="6">
        <v>437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12401</v>
      </c>
      <c r="B71" s="2">
        <v>107</v>
      </c>
      <c r="C71" s="10" t="str">
        <f ca="1">VLOOKUP($B71,OFFSET([2]gachas!$A$2,0,0,COUNTA([2]gachas!$A:$A),MATCH(C$1,[2]gachas!$1:$1,0)-MATCH($B$1,[2]gachas!$1:$1,0)+1),MATCH(C$1,[2]gachas!$1:$1,0)-MATCH($B$1,[2]gachas!$1:$1,0)+1,FALSE)</f>
        <v>新キャラ追加03（新撰組）</v>
      </c>
      <c r="D71" s="6">
        <v>1</v>
      </c>
      <c r="E71" s="19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6">
        <v>1</v>
      </c>
      <c r="M71" s="6">
        <v>23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12421</v>
      </c>
      <c r="B72" s="2">
        <v>107</v>
      </c>
      <c r="C72" s="10" t="str">
        <f ca="1">VLOOKUP($B72,OFFSET([2]gachas!$A$2,0,0,COUNTA([2]gachas!$A:$A),MATCH(C$1,[2]gachas!$1:$1,0)-MATCH($B$1,[2]gachas!$1:$1,0)+1),MATCH(C$1,[2]gachas!$1:$1,0)-MATCH($B$1,[2]gachas!$1:$1,0)+1,FALSE)</f>
        <v>新キャラ追加03（新撰組）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6">
        <v>437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12431</v>
      </c>
      <c r="B73" s="2">
        <v>107</v>
      </c>
      <c r="C73" s="10" t="str">
        <f ca="1">VLOOKUP($B73,OFFSET([2]gachas!$A$2,0,0,COUNTA([2]gachas!$A:$A),MATCH(C$1,[2]gachas!$1:$1,0)-MATCH($B$1,[2]gachas!$1:$1,0)+1),MATCH(C$1,[2]gachas!$1:$1,0)-MATCH($B$1,[2]gachas!$1:$1,0)+1,FALSE)</f>
        <v>新キャラ追加03（新撰組）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6">
        <v>23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12451</v>
      </c>
      <c r="B74" s="2">
        <v>107</v>
      </c>
      <c r="C74" s="10" t="str">
        <f ca="1">VLOOKUP($B74,OFFSET([2]gachas!$A$2,0,0,COUNTA([2]gachas!$A:$A),MATCH(C$1,[2]gachas!$1:$1,0)-MATCH($B$1,[2]gachas!$1:$1,0)+1),MATCH(C$1,[2]gachas!$1:$1,0)-MATCH($B$1,[2]gachas!$1:$1,0)+1,FALSE)</f>
        <v>新キャラ追加03（新撰組）</v>
      </c>
      <c r="D74" s="6">
        <v>1</v>
      </c>
      <c r="E74" s="19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6">
        <v>1</v>
      </c>
      <c r="M74" s="6">
        <v>437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12461</v>
      </c>
      <c r="B75" s="2">
        <v>107</v>
      </c>
      <c r="C75" s="10" t="str">
        <f ca="1">VLOOKUP($B75,OFFSET([2]gachas!$A$2,0,0,COUNTA([2]gachas!$A:$A),MATCH(C$1,[2]gachas!$1:$1,0)-MATCH($B$1,[2]gachas!$1:$1,0)+1),MATCH(C$1,[2]gachas!$1:$1,0)-MATCH($B$1,[2]gachas!$1:$1,0)+1,FALSE)</f>
        <v>新キャラ追加03（新撰組）</v>
      </c>
      <c r="D75" s="6">
        <v>1</v>
      </c>
      <c r="E75" s="19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6">
        <v>1</v>
      </c>
      <c r="M75" s="6">
        <v>23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12481</v>
      </c>
      <c r="B76" s="2">
        <v>107</v>
      </c>
      <c r="C76" s="10" t="str">
        <f ca="1">VLOOKUP($B76,OFFSET([2]gachas!$A$2,0,0,COUNTA([2]gachas!$A:$A),MATCH(C$1,[2]gachas!$1:$1,0)-MATCH($B$1,[2]gachas!$1:$1,0)+1),MATCH(C$1,[2]gachas!$1:$1,0)-MATCH($B$1,[2]gachas!$1:$1,0)+1,FALSE)</f>
        <v>新キャラ追加03（新撰組）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6">
        <v>437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1"/>
        <v>12491</v>
      </c>
      <c r="B77" s="2">
        <v>107</v>
      </c>
      <c r="C77" s="10" t="str">
        <f ca="1">VLOOKUP($B77,OFFSET([2]gachas!$A$2,0,0,COUNTA([2]gachas!$A:$A),MATCH(C$1,[2]gachas!$1:$1,0)-MATCH($B$1,[2]gachas!$1:$1,0)+1),MATCH(C$1,[2]gachas!$1:$1,0)-MATCH($B$1,[2]gachas!$1:$1,0)+1,FALSE)</f>
        <v>新キャラ追加03（新撰組）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6">
        <v>23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1"/>
        <v>12511</v>
      </c>
      <c r="B78" s="2">
        <v>107</v>
      </c>
      <c r="C78" s="10" t="str">
        <f ca="1">VLOOKUP($B78,OFFSET([2]gachas!$A$2,0,0,COUNTA([2]gachas!$A:$A),MATCH(C$1,[2]gachas!$1:$1,0)-MATCH($B$1,[2]gachas!$1:$1,0)+1),MATCH(C$1,[2]gachas!$1:$1,0)-MATCH($B$1,[2]gachas!$1:$1,0)+1,FALSE)</f>
        <v>新キャラ追加03（新撰組）</v>
      </c>
      <c r="D78" s="6">
        <v>1</v>
      </c>
      <c r="E78" s="7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6">
        <v>1</v>
      </c>
      <c r="M78" s="6">
        <v>437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1"/>
        <v>12521</v>
      </c>
      <c r="B79" s="2">
        <v>107</v>
      </c>
      <c r="C79" s="10" t="str">
        <f ca="1">VLOOKUP($B79,OFFSET([2]gachas!$A$2,0,0,COUNTA([2]gachas!$A:$A),MATCH(C$1,[2]gachas!$1:$1,0)-MATCH($B$1,[2]gachas!$1:$1,0)+1),MATCH(C$1,[2]gachas!$1:$1,0)-MATCH($B$1,[2]gachas!$1:$1,0)+1,FALSE)</f>
        <v>新キャラ追加03（新撰組）</v>
      </c>
      <c r="D79" s="6">
        <v>1</v>
      </c>
      <c r="E79" s="7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6">
        <v>1</v>
      </c>
      <c r="M79" s="6">
        <v>23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1"/>
        <v>12541</v>
      </c>
      <c r="B80" s="2">
        <v>107</v>
      </c>
      <c r="C80" s="10" t="str">
        <f ca="1">VLOOKUP($B80,OFFSET([2]gachas!$A$2,0,0,COUNTA([2]gachas!$A:$A),MATCH(C$1,[2]gachas!$1:$1,0)-MATCH($B$1,[2]gachas!$1:$1,0)+1),MATCH(C$1,[2]gachas!$1:$1,0)-MATCH($B$1,[2]gachas!$1:$1,0)+1,FALSE)</f>
        <v>新キャラ追加03（新撰組）</v>
      </c>
      <c r="D80" s="6">
        <v>1</v>
      </c>
      <c r="E80" s="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6">
        <v>437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1"/>
        <v>12551</v>
      </c>
      <c r="B81" s="2">
        <v>107</v>
      </c>
      <c r="C81" s="10" t="str">
        <f ca="1">VLOOKUP($B81,OFFSET([2]gachas!$A$2,0,0,COUNTA([2]gachas!$A:$A),MATCH(C$1,[2]gachas!$1:$1,0)-MATCH($B$1,[2]gachas!$1:$1,0)+1),MATCH(C$1,[2]gachas!$1:$1,0)-MATCH($B$1,[2]gachas!$1:$1,0)+1,FALSE)</f>
        <v>新キャラ追加03（新撰組）</v>
      </c>
      <c r="D81" s="6">
        <v>1</v>
      </c>
      <c r="E81" s="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6">
        <v>23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1"/>
        <v>12571</v>
      </c>
      <c r="B82" s="2">
        <v>107</v>
      </c>
      <c r="C82" s="10" t="str">
        <f ca="1">VLOOKUP($B82,OFFSET([2]gachas!$A$2,0,0,COUNTA([2]gachas!$A:$A),MATCH(C$1,[2]gachas!$1:$1,0)-MATCH($B$1,[2]gachas!$1:$1,0)+1),MATCH(C$1,[2]gachas!$1:$1,0)-MATCH($B$1,[2]gachas!$1:$1,0)+1,FALSE)</f>
        <v>新キャラ追加03（新撰組）</v>
      </c>
      <c r="D82" s="6">
        <v>1</v>
      </c>
      <c r="E82" s="7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6">
        <v>1</v>
      </c>
      <c r="M82" s="6">
        <v>437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1"/>
        <v>12581</v>
      </c>
      <c r="B83" s="2">
        <v>107</v>
      </c>
      <c r="C83" s="10" t="str">
        <f ca="1">VLOOKUP($B83,OFFSET([2]gachas!$A$2,0,0,COUNTA([2]gachas!$A:$A),MATCH(C$1,[2]gachas!$1:$1,0)-MATCH($B$1,[2]gachas!$1:$1,0)+1),MATCH(C$1,[2]gachas!$1:$1,0)-MATCH($B$1,[2]gachas!$1:$1,0)+1,FALSE)</f>
        <v>新キャラ追加03（新撰組）</v>
      </c>
      <c r="D83" s="6">
        <v>1</v>
      </c>
      <c r="E83" s="7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6">
        <v>1</v>
      </c>
      <c r="M83" s="6">
        <v>23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1"/>
        <v>12601</v>
      </c>
      <c r="B84" s="2">
        <v>107</v>
      </c>
      <c r="C84" s="10" t="str">
        <f ca="1">VLOOKUP($B84,OFFSET([2]gachas!$A$2,0,0,COUNTA([2]gachas!$A:$A),MATCH(C$1,[2]gachas!$1:$1,0)-MATCH($B$1,[2]gachas!$1:$1,0)+1),MATCH(C$1,[2]gachas!$1:$1,0)-MATCH($B$1,[2]gachas!$1:$1,0)+1,FALSE)</f>
        <v>新キャラ追加03（新撰組）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6">
        <v>437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1"/>
        <v>12611</v>
      </c>
      <c r="B85" s="2">
        <v>107</v>
      </c>
      <c r="C85" s="10" t="str">
        <f ca="1">VLOOKUP($B85,OFFSET([2]gachas!$A$2,0,0,COUNTA([2]gachas!$A:$A),MATCH(C$1,[2]gachas!$1:$1,0)-MATCH($B$1,[2]gachas!$1:$1,0)+1),MATCH(C$1,[2]gachas!$1:$1,0)-MATCH($B$1,[2]gachas!$1:$1,0)+1,FALSE)</f>
        <v>新キャラ追加03（新撰組）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6">
        <v>23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ref="A86:A94" si="2">D86&amp;E86&amp;L86</f>
        <v>13201</v>
      </c>
      <c r="B86" s="2">
        <v>107</v>
      </c>
      <c r="C86" s="10" t="str">
        <f ca="1">VLOOKUP($B86,OFFSET([2]gachas!$A$2,0,0,COUNTA([2]gachas!$A:$A),MATCH(C$1,[2]gachas!$1:$1,0)-MATCH($B$1,[2]gachas!$1:$1,0)+1),MATCH(C$1,[2]gachas!$1:$1,0)-MATCH($B$1,[2]gachas!$1:$1,0)+1,FALSE)</f>
        <v>新キャラ追加03（新撰組）</v>
      </c>
      <c r="D86" s="37">
        <v>1</v>
      </c>
      <c r="E86" s="38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37">
        <v>1</v>
      </c>
      <c r="M86" s="37">
        <v>437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2"/>
        <v>13211</v>
      </c>
      <c r="B87" s="2">
        <v>107</v>
      </c>
      <c r="C87" s="10" t="str">
        <f ca="1">VLOOKUP($B87,OFFSET([2]gachas!$A$2,0,0,COUNTA([2]gachas!$A:$A),MATCH(C$1,[2]gachas!$1:$1,0)-MATCH($B$1,[2]gachas!$1:$1,0)+1),MATCH(C$1,[2]gachas!$1:$1,0)-MATCH($B$1,[2]gachas!$1:$1,0)+1,FALSE)</f>
        <v>新キャラ追加03（新撰組）</v>
      </c>
      <c r="D87" s="29">
        <v>1</v>
      </c>
      <c r="E87" s="30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29">
        <v>1</v>
      </c>
      <c r="M87" s="29">
        <v>23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2"/>
        <v>13221</v>
      </c>
      <c r="B88" s="2">
        <v>107</v>
      </c>
      <c r="C88" s="10" t="str">
        <f ca="1">VLOOKUP($B88,OFFSET([2]gachas!$A$2,0,0,COUNTA([2]gachas!$A:$A),MATCH(C$1,[2]gachas!$1:$1,0)-MATCH($B$1,[2]gachas!$1:$1,0)+1),MATCH(C$1,[2]gachas!$1:$1,0)-MATCH($B$1,[2]gachas!$1:$1,0)+1,FALSE)</f>
        <v>新キャラ追加03（新撰組）</v>
      </c>
      <c r="D88" s="29">
        <v>1</v>
      </c>
      <c r="E88" s="30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29">
        <v>1</v>
      </c>
      <c r="M88" s="37">
        <v>437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2"/>
        <v>13231</v>
      </c>
      <c r="B89" s="2">
        <v>107</v>
      </c>
      <c r="C89" s="10" t="str">
        <f ca="1">VLOOKUP($B89,OFFSET([2]gachas!$A$2,0,0,COUNTA([2]gachas!$A:$A),MATCH(C$1,[2]gachas!$1:$1,0)-MATCH($B$1,[2]gachas!$1:$1,0)+1),MATCH(C$1,[2]gachas!$1:$1,0)-MATCH($B$1,[2]gachas!$1:$1,0)+1,FALSE)</f>
        <v>新キャラ追加03（新撰組）</v>
      </c>
      <c r="D89" s="29">
        <v>1</v>
      </c>
      <c r="E89" s="30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29">
        <v>1</v>
      </c>
      <c r="M89" s="29">
        <v>23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2"/>
        <v>13241</v>
      </c>
      <c r="B90" s="2">
        <v>107</v>
      </c>
      <c r="C90" s="10" t="str">
        <f ca="1">VLOOKUP($B90,OFFSET([2]gachas!$A$2,0,0,COUNTA([2]gachas!$A:$A),MATCH(C$1,[2]gachas!$1:$1,0)-MATCH($B$1,[2]gachas!$1:$1,0)+1),MATCH(C$1,[2]gachas!$1:$1,0)-MATCH($B$1,[2]gachas!$1:$1,0)+1,FALSE)</f>
        <v>新キャラ追加03（新撰組）</v>
      </c>
      <c r="D90" s="29">
        <v>1</v>
      </c>
      <c r="E90" s="30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29">
        <v>1</v>
      </c>
      <c r="M90" s="37">
        <v>437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2"/>
        <v>13251</v>
      </c>
      <c r="B91" s="2">
        <v>107</v>
      </c>
      <c r="C91" s="10" t="str">
        <f ca="1">VLOOKUP($B91,OFFSET([2]gachas!$A$2,0,0,COUNTA([2]gachas!$A:$A),MATCH(C$1,[2]gachas!$1:$1,0)-MATCH($B$1,[2]gachas!$1:$1,0)+1),MATCH(C$1,[2]gachas!$1:$1,0)-MATCH($B$1,[2]gachas!$1:$1,0)+1,FALSE)</f>
        <v>新キャラ追加03（新撰組）</v>
      </c>
      <c r="D91" s="29">
        <v>1</v>
      </c>
      <c r="E91" s="30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29">
        <v>1</v>
      </c>
      <c r="M91" s="29">
        <v>23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2"/>
        <v>13261</v>
      </c>
      <c r="B92" s="2">
        <v>107</v>
      </c>
      <c r="C92" s="10" t="str">
        <f ca="1">VLOOKUP($B92,OFFSET([2]gachas!$A$2,0,0,COUNTA([2]gachas!$A:$A),MATCH(C$1,[2]gachas!$1:$1,0)-MATCH($B$1,[2]gachas!$1:$1,0)+1),MATCH(C$1,[2]gachas!$1:$1,0)-MATCH($B$1,[2]gachas!$1:$1,0)+1,FALSE)</f>
        <v>新キャラ追加03（新撰組）</v>
      </c>
      <c r="D92" s="29">
        <v>1</v>
      </c>
      <c r="E92" s="30">
        <v>326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29">
        <v>1</v>
      </c>
      <c r="M92" s="37">
        <v>437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 thickBot="1">
      <c r="A93" s="22" t="str">
        <f t="shared" si="2"/>
        <v>13271</v>
      </c>
      <c r="B93" s="2">
        <v>107</v>
      </c>
      <c r="C93" s="10" t="str">
        <f ca="1">VLOOKUP($B93,OFFSET([2]gachas!$A$2,0,0,COUNTA([2]gachas!$A:$A),MATCH(C$1,[2]gachas!$1:$1,0)-MATCH($B$1,[2]gachas!$1:$1,0)+1),MATCH(C$1,[2]gachas!$1:$1,0)-MATCH($B$1,[2]gachas!$1:$1,0)+1,FALSE)</f>
        <v>新キャラ追加03（新撰組）</v>
      </c>
      <c r="D93" s="33">
        <v>1</v>
      </c>
      <c r="E93" s="34">
        <v>327</v>
      </c>
      <c r="F93" s="23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23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23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23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23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23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33">
        <v>1</v>
      </c>
      <c r="M93" s="29">
        <v>23</v>
      </c>
      <c r="N93" s="35">
        <v>0</v>
      </c>
      <c r="O93" s="35">
        <v>0</v>
      </c>
      <c r="P93" s="35">
        <v>0</v>
      </c>
      <c r="Q93" s="35">
        <v>0</v>
      </c>
      <c r="R93" s="35">
        <v>1</v>
      </c>
    </row>
    <row r="94" spans="1:18" ht="21" customHeight="1">
      <c r="A94" s="8" t="str">
        <f t="shared" si="2"/>
        <v>01261</v>
      </c>
      <c r="B94" s="2">
        <v>107</v>
      </c>
      <c r="C94" s="10" t="str">
        <f ca="1">VLOOKUP($B94,OFFSET([2]gachas!$A$2,0,0,COUNTA([2]gachas!$A:$A),MATCH(C$1,[2]gachas!$1:$1,0)-MATCH($B$1,[2]gachas!$1:$1,0)+1),MATCH(C$1,[2]gachas!$1:$1,0)-MATCH($B$1,[2]gachas!$1:$1,0)+1,FALSE)</f>
        <v>新キャラ追加03（新撰組）</v>
      </c>
      <c r="D94" s="21">
        <v>0</v>
      </c>
      <c r="E94" s="27">
        <v>126</v>
      </c>
      <c r="F94" s="20" t="str">
        <f ca="1">VLOOKUP($E94,OFFSET([1]characters!$A$2,0,0,COUNTA([1]characters!$A:$A),MATCH(F$1,[1]characters!$2:$2,0)-MATCH($E$1,[1]characters!$2:$2,0)+1),MATCH(F$1,[1]characters!$2:$2,0)-MATCH($E$1,[1]characters!$2:$2,0)+1,FALSE)</f>
        <v>骨器使い ユノ</v>
      </c>
      <c r="G94" s="20" t="str">
        <f ca="1">VLOOKUP($E94,OFFSET([1]characters!$A$2,0,0,COUNTA([1]characters!$A:$A),MATCH(G$1,[1]characters!$2:$2,0)-MATCH($E$1,[1]characters!$2:$2,0)+1),MATCH(G$1,[1]characters!$2:$2,0)-MATCH($E$1,[1]characters!$2:$2,0)+1,FALSE)</f>
        <v>PremiumW</v>
      </c>
      <c r="H94" s="2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2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20" t="str">
        <f ca="1">VLOOKUP($E94,OFFSET([1]characters!$A$2,0,0,COUNTA([1]characters!$A:$A),MATCH("タイプ",[1]characters!$1:$1,0)-MATCH($E$1,[1]characters!$2:$2,0)+2),MATCH("タイプ",[1]characters!$1:$1,0)-MATCH($E$1,[1]characters!$2:$2,0)+2,FALSE)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4" s="20" t="str">
        <f ca="1">VLOOKUP($E94,OFFSET([1]characters!$A$2,0,0,COUNTA([1]characters!$A:$A),MATCH($K$1,[1]characters!$1:$1,0)-MATCH($E$1,[1]characters!$2:$2,0)+2),MATCH($K$1,[1]characters!$1:$1,0)-MATCH($E$1,[1]characters!$2:$2,0)+2,FALSE)</f>
        <v>ヒューマン</v>
      </c>
      <c r="L94" s="21">
        <v>1</v>
      </c>
      <c r="M94" s="21">
        <v>2268</v>
      </c>
      <c r="N94" s="18">
        <v>0</v>
      </c>
      <c r="O94" s="18">
        <v>0</v>
      </c>
      <c r="P94" s="18">
        <v>0</v>
      </c>
      <c r="Q94" s="18">
        <v>0</v>
      </c>
      <c r="R94" s="18">
        <v>1</v>
      </c>
    </row>
    <row r="95" spans="1:18" ht="21" customHeight="1">
      <c r="A95" s="8" t="str">
        <f t="shared" si="1"/>
        <v>01281</v>
      </c>
      <c r="B95" s="2">
        <v>107</v>
      </c>
      <c r="C95" s="10" t="str">
        <f ca="1">VLOOKUP($B95,OFFSET([2]gachas!$A$2,0,0,COUNTA([2]gachas!$A:$A),MATCH(C$1,[2]gachas!$1:$1,0)-MATCH($B$1,[2]gachas!$1:$1,0)+1),MATCH(C$1,[2]gachas!$1:$1,0)-MATCH($B$1,[2]gachas!$1:$1,0)+1,FALSE)</f>
        <v>新キャラ追加03（新撰組）</v>
      </c>
      <c r="D95" s="21">
        <v>0</v>
      </c>
      <c r="E95" s="27">
        <v>128</v>
      </c>
      <c r="F95" s="20" t="str">
        <f ca="1">VLOOKUP($E95,OFFSET([1]characters!$A$2,0,0,COUNTA([1]characters!$A:$A),MATCH(F$1,[1]characters!$2:$2,0)-MATCH($E$1,[1]characters!$2:$2,0)+1),MATCH(F$1,[1]characters!$2:$2,0)-MATCH($E$1,[1]characters!$2:$2,0)+1,FALSE)</f>
        <v>野生児 アマラ</v>
      </c>
      <c r="G95" s="20" t="str">
        <f ca="1">VLOOKUP($E95,OFFSET([1]characters!$A$2,0,0,COUNTA([1]characters!$A:$A),MATCH(G$1,[1]characters!$2:$2,0)-MATCH($E$1,[1]characters!$2:$2,0)+1),MATCH(G$1,[1]characters!$2:$2,0)-MATCH($E$1,[1]characters!$2:$2,0)+1,FALSE)</f>
        <v>PremiumW</v>
      </c>
      <c r="H95" s="2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20" t="str">
        <f ca="1">VLOOKUP($E95,OFFSET([1]characters!$A$2,0,0,COUNTA([1]characters!$A:$A),MATCH(I$1,[1]characters!$2:$2,0)-MATCH($E$1,[1]characters!$2:$2,0)+1),MATCH(I$1,[1]characters!$2:$2,0)-MATCH($E$1,[1]characters!$2:$2,0)+1,FALSE)</f>
        <v>green</v>
      </c>
      <c r="J95" s="20" t="str">
        <f ca="1">VLOOKUP($E95,OFFSET([1]characters!$A$2,0,0,COUNTA([1]characters!$A:$A),MATCH("タイプ",[1]characters!$1:$1,0)-MATCH($E$1,[1]characters!$2:$2,0)+2),MATCH("タイプ",[1]characters!$1:$1,0)-MATCH($E$1,[1]characters!$2:$2,0)+2,FALSE)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5" s="20" t="str">
        <f ca="1">VLOOKUP($E95,OFFSET([1]characters!$A$2,0,0,COUNTA([1]characters!$A:$A),MATCH($K$1,[1]characters!$1:$1,0)-MATCH($E$1,[1]characters!$2:$2,0)+2),MATCH($K$1,[1]characters!$1:$1,0)-MATCH($E$1,[1]characters!$2:$2,0)+2,FALSE)</f>
        <v>ヒューマン</v>
      </c>
      <c r="L95" s="21">
        <v>1</v>
      </c>
      <c r="M95" s="21">
        <v>2268</v>
      </c>
      <c r="N95" s="18">
        <v>0</v>
      </c>
      <c r="O95" s="18">
        <v>0</v>
      </c>
      <c r="P95" s="18">
        <v>0</v>
      </c>
      <c r="Q95" s="18">
        <v>0</v>
      </c>
      <c r="R95" s="18">
        <v>1</v>
      </c>
    </row>
    <row r="96" spans="1:18" ht="21" customHeight="1">
      <c r="A96" s="8" t="str">
        <f t="shared" si="1"/>
        <v>01301</v>
      </c>
      <c r="B96" s="2">
        <v>107</v>
      </c>
      <c r="C96" s="10" t="str">
        <f ca="1">VLOOKUP($B96,OFFSET([2]gachas!$A$2,0,0,COUNTA([2]gachas!$A:$A),MATCH(C$1,[2]gachas!$1:$1,0)-MATCH($B$1,[2]gachas!$1:$1,0)+1),MATCH(C$1,[2]gachas!$1:$1,0)-MATCH($B$1,[2]gachas!$1:$1,0)+1,FALSE)</f>
        <v>新キャラ追加03（新撰組）</v>
      </c>
      <c r="D96" s="6">
        <v>0</v>
      </c>
      <c r="E96" s="7">
        <v>130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狼男 ローレンス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PremiumW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blue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アニマル</v>
      </c>
      <c r="L96" s="6">
        <v>1</v>
      </c>
      <c r="M96" s="21">
        <v>2268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01321</v>
      </c>
      <c r="B97" s="2">
        <v>107</v>
      </c>
      <c r="C97" s="10" t="str">
        <f ca="1">VLOOKUP($B97,OFFSET([2]gachas!$A$2,0,0,COUNTA([2]gachas!$A:$A),MATCH(C$1,[2]gachas!$1:$1,0)-MATCH($B$1,[2]gachas!$1:$1,0)+1),MATCH(C$1,[2]gachas!$1:$1,0)-MATCH($B$1,[2]gachas!$1:$1,0)+1,FALSE)</f>
        <v>新キャラ追加03（新撰組）</v>
      </c>
      <c r="D97" s="6">
        <v>0</v>
      </c>
      <c r="E97" s="7">
        <v>132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鳥人ハヤト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PremiumW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yellow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ヒューマン</v>
      </c>
      <c r="L97" s="6">
        <v>1</v>
      </c>
      <c r="M97" s="21">
        <v>2268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01341</v>
      </c>
      <c r="B98" s="2">
        <v>107</v>
      </c>
      <c r="C98" s="10" t="str">
        <f ca="1">VLOOKUP($B98,OFFSET([2]gachas!$A$2,0,0,COUNTA([2]gachas!$A:$A),MATCH(C$1,[2]gachas!$1:$1,0)-MATCH($B$1,[2]gachas!$1:$1,0)+1),MATCH(C$1,[2]gachas!$1:$1,0)-MATCH($B$1,[2]gachas!$1:$1,0)+1,FALSE)</f>
        <v>新キャラ追加03（新撰組）</v>
      </c>
      <c r="D98" s="6">
        <v>0</v>
      </c>
      <c r="E98" s="7">
        <v>134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妖炎の夕霧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PremiumW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3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6">
        <v>1</v>
      </c>
      <c r="M98" s="21">
        <v>2268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01361</v>
      </c>
      <c r="B99" s="2">
        <v>107</v>
      </c>
      <c r="C99" s="10" t="str">
        <f ca="1">VLOOKUP($B99,OFFSET([2]gachas!$A$2,0,0,COUNTA([2]gachas!$A:$A),MATCH(C$1,[2]gachas!$1:$1,0)-MATCH($B$1,[2]gachas!$1:$1,0)+1),MATCH(C$1,[2]gachas!$1:$1,0)-MATCH($B$1,[2]gachas!$1:$1,0)+1,FALSE)</f>
        <v>新キャラ追加03（新撰組）</v>
      </c>
      <c r="D99" s="6">
        <v>0</v>
      </c>
      <c r="E99" s="7">
        <v>136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お針子チハヤ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PremiumW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3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6">
        <v>1</v>
      </c>
      <c r="M99" s="21">
        <v>2268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01381</v>
      </c>
      <c r="B100" s="2">
        <v>107</v>
      </c>
      <c r="C100" s="10" t="str">
        <f ca="1">VLOOKUP($B100,OFFSET([2]gachas!$A$2,0,0,COUNTA([2]gachas!$A:$A),MATCH(C$1,[2]gachas!$1:$1,0)-MATCH($B$1,[2]gachas!$1:$1,0)+1),MATCH(C$1,[2]gachas!$1:$1,0)-MATCH($B$1,[2]gachas!$1:$1,0)+1,FALSE)</f>
        <v>新キャラ追加03（新撰組）</v>
      </c>
      <c r="D100" s="6">
        <v>0</v>
      </c>
      <c r="E100" s="7">
        <v>138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蒼薙のトモエ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PremiumW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3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blue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6">
        <v>1</v>
      </c>
      <c r="M100" s="21">
        <v>2268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01401</v>
      </c>
      <c r="B101" s="2">
        <v>107</v>
      </c>
      <c r="C101" s="10" t="str">
        <f ca="1">VLOOKUP($B101,OFFSET([2]gachas!$A$2,0,0,COUNTA([2]gachas!$A:$A),MATCH(C$1,[2]gachas!$1:$1,0)-MATCH($B$1,[2]gachas!$1:$1,0)+1),MATCH(C$1,[2]gachas!$1:$1,0)-MATCH($B$1,[2]gachas!$1:$1,0)+1,FALSE)</f>
        <v>新キャラ追加03（新撰組）</v>
      </c>
      <c r="D101" s="6">
        <v>0</v>
      </c>
      <c r="E101" s="7">
        <v>140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秋祭のタマモ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PremiumW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3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6">
        <v>1</v>
      </c>
      <c r="M101" s="21">
        <v>2268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01421</v>
      </c>
      <c r="B102" s="2">
        <v>107</v>
      </c>
      <c r="C102" s="10" t="str">
        <f ca="1">VLOOKUP($B102,OFFSET([2]gachas!$A$2,0,0,COUNTA([2]gachas!$A:$A),MATCH(C$1,[2]gachas!$1:$1,0)-MATCH($B$1,[2]gachas!$1:$1,0)+1),MATCH(C$1,[2]gachas!$1:$1,0)-MATCH($B$1,[2]gachas!$1:$1,0)+1,FALSE)</f>
        <v>新キャラ追加03（新撰組）</v>
      </c>
      <c r="D102" s="6">
        <v>0</v>
      </c>
      <c r="E102" s="7">
        <v>142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赤ずきん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6">
        <v>1</v>
      </c>
      <c r="M102" s="21">
        <v>2268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01441</v>
      </c>
      <c r="B103" s="2">
        <v>107</v>
      </c>
      <c r="C103" s="10" t="str">
        <f ca="1">VLOOKUP($B103,OFFSET([2]gachas!$A$2,0,0,COUNTA([2]gachas!$A:$A),MATCH(C$1,[2]gachas!$1:$1,0)-MATCH($B$1,[2]gachas!$1:$1,0)+1),MATCH(C$1,[2]gachas!$1:$1,0)-MATCH($B$1,[2]gachas!$1:$1,0)+1,FALSE)</f>
        <v>新キャラ追加03（新撰組）</v>
      </c>
      <c r="D103" s="6">
        <v>0</v>
      </c>
      <c r="E103" s="7">
        <v>144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かぐや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6">
        <v>1</v>
      </c>
      <c r="M103" s="21">
        <v>2268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01461</v>
      </c>
      <c r="B104" s="2">
        <v>107</v>
      </c>
      <c r="C104" s="10" t="str">
        <f ca="1">VLOOKUP($B104,OFFSET([2]gachas!$A$2,0,0,COUNTA([2]gachas!$A:$A),MATCH(C$1,[2]gachas!$1:$1,0)-MATCH($B$1,[2]gachas!$1:$1,0)+1),MATCH(C$1,[2]gachas!$1:$1,0)-MATCH($B$1,[2]gachas!$1:$1,0)+1,FALSE)</f>
        <v>新キャラ追加03（新撰組）</v>
      </c>
      <c r="D104" s="6">
        <v>0</v>
      </c>
      <c r="E104" s="7">
        <v>146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マーメイド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21">
        <v>2268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01481</v>
      </c>
      <c r="B105" s="2">
        <v>107</v>
      </c>
      <c r="C105" s="10" t="str">
        <f ca="1">VLOOKUP($B105,OFFSET([2]gachas!$A$2,0,0,COUNTA([2]gachas!$A:$A),MATCH(C$1,[2]gachas!$1:$1,0)-MATCH($B$1,[2]gachas!$1:$1,0)+1),MATCH(C$1,[2]gachas!$1:$1,0)-MATCH($B$1,[2]gachas!$1:$1,0)+1,FALSE)</f>
        <v>新キャラ追加03（新撰組）</v>
      </c>
      <c r="D105" s="6">
        <v>0</v>
      </c>
      <c r="E105" s="7">
        <v>148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シンデレラ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21">
        <v>2268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01501</v>
      </c>
      <c r="B106" s="2">
        <v>107</v>
      </c>
      <c r="C106" s="10" t="str">
        <f ca="1">VLOOKUP($B106,OFFSET([2]gachas!$A$2,0,0,COUNTA([2]gachas!$A:$A),MATCH(C$1,[2]gachas!$1:$1,0)-MATCH($B$1,[2]gachas!$1:$1,0)+1),MATCH(C$1,[2]gachas!$1:$1,0)-MATCH($B$1,[2]gachas!$1:$1,0)+1,FALSE)</f>
        <v>新キャラ追加03（新撰組）</v>
      </c>
      <c r="D106" s="6">
        <v>0</v>
      </c>
      <c r="E106" s="7">
        <v>150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6">
        <v>1</v>
      </c>
      <c r="M106" s="21">
        <v>2268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01521</v>
      </c>
      <c r="B107" s="2">
        <v>107</v>
      </c>
      <c r="C107" s="10" t="str">
        <f ca="1">VLOOKUP($B107,OFFSET([2]gachas!$A$2,0,0,COUNTA([2]gachas!$A:$A),MATCH(C$1,[2]gachas!$1:$1,0)-MATCH($B$1,[2]gachas!$1:$1,0)+1),MATCH(C$1,[2]gachas!$1:$1,0)-MATCH($B$1,[2]gachas!$1:$1,0)+1,FALSE)</f>
        <v>新キャラ追加03（新撰組）</v>
      </c>
      <c r="D107" s="6">
        <v>0</v>
      </c>
      <c r="E107" s="7">
        <v>152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功夫少女ランラン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21">
        <v>2268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01541</v>
      </c>
      <c r="B108" s="2">
        <v>107</v>
      </c>
      <c r="C108" s="10" t="str">
        <f ca="1">VLOOKUP($B108,OFFSET([2]gachas!$A$2,0,0,COUNTA([2]gachas!$A:$A),MATCH(C$1,[2]gachas!$1:$1,0)-MATCH($B$1,[2]gachas!$1:$1,0)+1),MATCH(C$1,[2]gachas!$1:$1,0)-MATCH($B$1,[2]gachas!$1:$1,0)+1,FALSE)</f>
        <v>新キャラ追加03（新撰組）</v>
      </c>
      <c r="D108" s="6">
        <v>0</v>
      </c>
      <c r="E108" s="7">
        <v>154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始末屋 ハンナ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21">
        <v>2268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01561</v>
      </c>
      <c r="B109" s="2">
        <v>107</v>
      </c>
      <c r="C109" s="10" t="str">
        <f ca="1">VLOOKUP($B109,OFFSET([2]gachas!$A$2,0,0,COUNTA([2]gachas!$A:$A),MATCH(C$1,[2]gachas!$1:$1,0)-MATCH($B$1,[2]gachas!$1:$1,0)+1),MATCH(C$1,[2]gachas!$1:$1,0)-MATCH($B$1,[2]gachas!$1:$1,0)+1,FALSE)</f>
        <v>新キャラ追加03（新撰組）</v>
      </c>
      <c r="D109" s="6">
        <v>0</v>
      </c>
      <c r="E109" s="7">
        <v>156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踊り子 エレナ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6">
        <v>1</v>
      </c>
      <c r="M109" s="21">
        <v>2268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01581</v>
      </c>
      <c r="B110" s="2">
        <v>107</v>
      </c>
      <c r="C110" s="10" t="str">
        <f ca="1">VLOOKUP($B110,OFFSET([2]gachas!$A$2,0,0,COUNTA([2]gachas!$A:$A),MATCH(C$1,[2]gachas!$1:$1,0)-MATCH($B$1,[2]gachas!$1:$1,0)+1),MATCH(C$1,[2]gachas!$1:$1,0)-MATCH($B$1,[2]gachas!$1:$1,0)+1,FALSE)</f>
        <v>新キャラ追加03（新撰組）</v>
      </c>
      <c r="D110" s="6">
        <v>0</v>
      </c>
      <c r="E110" s="7">
        <v>158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21">
        <v>2268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01601</v>
      </c>
      <c r="B111" s="2">
        <v>107</v>
      </c>
      <c r="C111" s="10" t="str">
        <f ca="1">VLOOKUP($B111,OFFSET([2]gachas!$A$2,0,0,COUNTA([2]gachas!$A:$A),MATCH(C$1,[2]gachas!$1:$1,0)-MATCH($B$1,[2]gachas!$1:$1,0)+1),MATCH(C$1,[2]gachas!$1:$1,0)-MATCH($B$1,[2]gachas!$1:$1,0)+1,FALSE)</f>
        <v>新キャラ追加03（新撰組）</v>
      </c>
      <c r="D111" s="6">
        <v>0</v>
      </c>
      <c r="E111" s="7">
        <v>160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反逆者 クリエ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21">
        <v>2268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01621</v>
      </c>
      <c r="B112" s="2">
        <v>107</v>
      </c>
      <c r="C112" s="10" t="str">
        <f ca="1">VLOOKUP($B112,OFFSET([2]gachas!$A$2,0,0,COUNTA([2]gachas!$A:$A),MATCH(C$1,[2]gachas!$1:$1,0)-MATCH($B$1,[2]gachas!$1:$1,0)+1),MATCH(C$1,[2]gachas!$1:$1,0)-MATCH($B$1,[2]gachas!$1:$1,0)+1,FALSE)</f>
        <v>新キャラ追加03（新撰組）</v>
      </c>
      <c r="D112" s="6">
        <v>0</v>
      </c>
      <c r="E112" s="7">
        <v>162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狂女 クララ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21">
        <v>2268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1"/>
        <v>01641</v>
      </c>
      <c r="B113" s="2">
        <v>107</v>
      </c>
      <c r="C113" s="10" t="str">
        <f ca="1">VLOOKUP($B113,OFFSET([2]gachas!$A$2,0,0,COUNTA([2]gachas!$A:$A),MATCH(C$1,[2]gachas!$1:$1,0)-MATCH($B$1,[2]gachas!$1:$1,0)+1),MATCH(C$1,[2]gachas!$1:$1,0)-MATCH($B$1,[2]gachas!$1:$1,0)+1,FALSE)</f>
        <v>新キャラ追加03（新撰組）</v>
      </c>
      <c r="D113" s="6">
        <v>0</v>
      </c>
      <c r="E113" s="7">
        <v>164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イブとトモダチ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21">
        <v>2268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1"/>
        <v>01661</v>
      </c>
      <c r="B114" s="2">
        <v>107</v>
      </c>
      <c r="C114" s="10" t="str">
        <f ca="1">VLOOKUP($B114,OFFSET([2]gachas!$A$2,0,0,COUNTA([2]gachas!$A:$A),MATCH(C$1,[2]gachas!$1:$1,0)-MATCH($B$1,[2]gachas!$1:$1,0)+1),MATCH(C$1,[2]gachas!$1:$1,0)-MATCH($B$1,[2]gachas!$1:$1,0)+1,FALSE)</f>
        <v>新キャラ追加03（新撰組）</v>
      </c>
      <c r="D114" s="6">
        <v>0</v>
      </c>
      <c r="E114" s="7">
        <v>166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ベリアル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PremiumN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ゴッド</v>
      </c>
      <c r="L114" s="6">
        <v>1</v>
      </c>
      <c r="M114" s="6">
        <v>2470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1"/>
        <v>01691</v>
      </c>
      <c r="B115" s="2">
        <v>107</v>
      </c>
      <c r="C115" s="10" t="str">
        <f ca="1">VLOOKUP($B115,OFFSET([2]gachas!$A$2,0,0,COUNTA([2]gachas!$A:$A),MATCH(C$1,[2]gachas!$1:$1,0)-MATCH($B$1,[2]gachas!$1:$1,0)+1),MATCH(C$1,[2]gachas!$1:$1,0)-MATCH($B$1,[2]gachas!$1:$1,0)+1,FALSE)</f>
        <v>新キャラ追加03（新撰組）</v>
      </c>
      <c r="D115" s="6">
        <v>0</v>
      </c>
      <c r="E115" s="7">
        <v>169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オセ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PremiumN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ゴッド</v>
      </c>
      <c r="L115" s="6">
        <v>1</v>
      </c>
      <c r="M115" s="6">
        <v>2470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1"/>
        <v>01721</v>
      </c>
      <c r="B116" s="2">
        <v>107</v>
      </c>
      <c r="C116" s="10" t="str">
        <f ca="1">VLOOKUP($B116,OFFSET([2]gachas!$A$2,0,0,COUNTA([2]gachas!$A:$A),MATCH(C$1,[2]gachas!$1:$1,0)-MATCH($B$1,[2]gachas!$1:$1,0)+1),MATCH(C$1,[2]gachas!$1:$1,0)-MATCH($B$1,[2]gachas!$1:$1,0)+1,FALSE)</f>
        <v>新キャラ追加03（新撰組）</v>
      </c>
      <c r="D116" s="6">
        <v>0</v>
      </c>
      <c r="E116" s="7">
        <v>172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フォルネウス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PremiumN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ゴッド</v>
      </c>
      <c r="L116" s="6">
        <v>1</v>
      </c>
      <c r="M116" s="6">
        <v>2470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1"/>
        <v>01751</v>
      </c>
      <c r="B117" s="2">
        <v>107</v>
      </c>
      <c r="C117" s="10" t="str">
        <f ca="1">VLOOKUP($B117,OFFSET([2]gachas!$A$2,0,0,COUNTA([2]gachas!$A:$A),MATCH(C$1,[2]gachas!$1:$1,0)-MATCH($B$1,[2]gachas!$1:$1,0)+1),MATCH(C$1,[2]gachas!$1:$1,0)-MATCH($B$1,[2]gachas!$1:$1,0)+1,FALSE)</f>
        <v>新キャラ追加03（新撰組）</v>
      </c>
      <c r="D117" s="6">
        <v>0</v>
      </c>
      <c r="E117" s="7">
        <v>175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バフォメット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PremiumN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ゴッド</v>
      </c>
      <c r="L117" s="6">
        <v>1</v>
      </c>
      <c r="M117" s="6">
        <v>2470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1"/>
        <v>01781</v>
      </c>
      <c r="B118" s="2">
        <v>107</v>
      </c>
      <c r="C118" s="10" t="str">
        <f ca="1">VLOOKUP($B118,OFFSET([2]gachas!$A$2,0,0,COUNTA([2]gachas!$A:$A),MATCH(C$1,[2]gachas!$1:$1,0)-MATCH($B$1,[2]gachas!$1:$1,0)+1),MATCH(C$1,[2]gachas!$1:$1,0)-MATCH($B$1,[2]gachas!$1:$1,0)+1,FALSE)</f>
        <v>新キャラ追加03（新撰組）</v>
      </c>
      <c r="D118" s="6">
        <v>0</v>
      </c>
      <c r="E118" s="7">
        <v>178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ケルベロス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PremiumN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アニマル</v>
      </c>
      <c r="L118" s="6">
        <v>1</v>
      </c>
      <c r="M118" s="6">
        <v>2470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1"/>
        <v>01811</v>
      </c>
      <c r="B119" s="2">
        <v>107</v>
      </c>
      <c r="C119" s="10" t="str">
        <f ca="1">VLOOKUP($B119,OFFSET([2]gachas!$A$2,0,0,COUNTA([2]gachas!$A:$A),MATCH(C$1,[2]gachas!$1:$1,0)-MATCH($B$1,[2]gachas!$1:$1,0)+1),MATCH(C$1,[2]gachas!$1:$1,0)-MATCH($B$1,[2]gachas!$1:$1,0)+1,FALSE)</f>
        <v>新キャラ追加03（新撰組）</v>
      </c>
      <c r="D119" s="6">
        <v>0</v>
      </c>
      <c r="E119" s="7">
        <v>181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ベヒモス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PremiumN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アニマル</v>
      </c>
      <c r="L119" s="6">
        <v>1</v>
      </c>
      <c r="M119" s="6">
        <v>2470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1"/>
        <v>01841</v>
      </c>
      <c r="B120" s="2">
        <v>107</v>
      </c>
      <c r="C120" s="10" t="str">
        <f ca="1">VLOOKUP($B120,OFFSET([2]gachas!$A$2,0,0,COUNTA([2]gachas!$A:$A),MATCH(C$1,[2]gachas!$1:$1,0)-MATCH($B$1,[2]gachas!$1:$1,0)+1),MATCH(C$1,[2]gachas!$1:$1,0)-MATCH($B$1,[2]gachas!$1:$1,0)+1,FALSE)</f>
        <v>新キャラ追加03（新撰組）</v>
      </c>
      <c r="D120" s="6">
        <v>0</v>
      </c>
      <c r="E120" s="7">
        <v>184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クラーケン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PremiumN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アニマル</v>
      </c>
      <c r="L120" s="6">
        <v>1</v>
      </c>
      <c r="M120" s="6">
        <v>2470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1"/>
        <v>01871</v>
      </c>
      <c r="B121" s="2">
        <v>107</v>
      </c>
      <c r="C121" s="10" t="str">
        <f ca="1">VLOOKUP($B121,OFFSET([2]gachas!$A$2,0,0,COUNTA([2]gachas!$A:$A),MATCH(C$1,[2]gachas!$1:$1,0)-MATCH($B$1,[2]gachas!$1:$1,0)+1),MATCH(C$1,[2]gachas!$1:$1,0)-MATCH($B$1,[2]gachas!$1:$1,0)+1,FALSE)</f>
        <v>新キャラ追加03（新撰組）</v>
      </c>
      <c r="D121" s="6">
        <v>0</v>
      </c>
      <c r="E121" s="7">
        <v>187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ホルス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PremiumN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アニマル</v>
      </c>
      <c r="L121" s="6">
        <v>1</v>
      </c>
      <c r="M121" s="6">
        <v>2470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1"/>
        <v>01901</v>
      </c>
      <c r="B122" s="2">
        <v>107</v>
      </c>
      <c r="C122" s="10" t="str">
        <f ca="1">VLOOKUP($B122,OFFSET([2]gachas!$A$2,0,0,COUNTA([2]gachas!$A:$A),MATCH(C$1,[2]gachas!$1:$1,0)-MATCH($B$1,[2]gachas!$1:$1,0)+1),MATCH(C$1,[2]gachas!$1:$1,0)-MATCH($B$1,[2]gachas!$1:$1,0)+1,FALSE)</f>
        <v>新キャラ追加03（新撰組）</v>
      </c>
      <c r="D122" s="6">
        <v>0</v>
      </c>
      <c r="E122" s="7">
        <v>190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卑弥呼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ヒューマン</v>
      </c>
      <c r="L122" s="6">
        <v>1</v>
      </c>
      <c r="M122" s="6">
        <v>2470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1"/>
        <v>01931</v>
      </c>
      <c r="B123" s="2">
        <v>107</v>
      </c>
      <c r="C123" s="10" t="str">
        <f ca="1">VLOOKUP($B123,OFFSET([2]gachas!$A$2,0,0,COUNTA([2]gachas!$A:$A),MATCH(C$1,[2]gachas!$1:$1,0)-MATCH($B$1,[2]gachas!$1:$1,0)+1),MATCH(C$1,[2]gachas!$1:$1,0)-MATCH($B$1,[2]gachas!$1:$1,0)+1,FALSE)</f>
        <v>新キャラ追加03（新撰組）</v>
      </c>
      <c r="D123" s="6">
        <v>0</v>
      </c>
      <c r="E123" s="7">
        <v>193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ロビンフッド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ヒューマン</v>
      </c>
      <c r="L123" s="6">
        <v>1</v>
      </c>
      <c r="M123" s="6">
        <v>2470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1"/>
        <v>01961</v>
      </c>
      <c r="B124" s="2">
        <v>107</v>
      </c>
      <c r="C124" s="10" t="str">
        <f ca="1">VLOOKUP($B124,OFFSET([2]gachas!$A$2,0,0,COUNTA([2]gachas!$A:$A),MATCH(C$1,[2]gachas!$1:$1,0)-MATCH($B$1,[2]gachas!$1:$1,0)+1),MATCH(C$1,[2]gachas!$1:$1,0)-MATCH($B$1,[2]gachas!$1:$1,0)+1,FALSE)</f>
        <v>新キャラ追加03（新撰組）</v>
      </c>
      <c r="D124" s="6">
        <v>0</v>
      </c>
      <c r="E124" s="7">
        <v>196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アキレス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ヒューマン</v>
      </c>
      <c r="L124" s="6">
        <v>1</v>
      </c>
      <c r="M124" s="6">
        <v>2470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1"/>
        <v>01991</v>
      </c>
      <c r="B125" s="2">
        <v>107</v>
      </c>
      <c r="C125" s="10" t="str">
        <f ca="1">VLOOKUP($B125,OFFSET([2]gachas!$A$2,0,0,COUNTA([2]gachas!$A:$A),MATCH(C$1,[2]gachas!$1:$1,0)-MATCH($B$1,[2]gachas!$1:$1,0)+1),MATCH(C$1,[2]gachas!$1:$1,0)-MATCH($B$1,[2]gachas!$1:$1,0)+1,FALSE)</f>
        <v>新キャラ追加03（新撰組）</v>
      </c>
      <c r="D125" s="6">
        <v>0</v>
      </c>
      <c r="E125" s="7">
        <v>199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ジークフリート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blue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ヒューマン</v>
      </c>
      <c r="L125" s="6">
        <v>1</v>
      </c>
      <c r="M125" s="6">
        <v>2470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1"/>
        <v>02021</v>
      </c>
      <c r="B126" s="2">
        <v>107</v>
      </c>
      <c r="C126" s="10" t="str">
        <f ca="1">VLOOKUP($B126,OFFSET([2]gachas!$A$2,0,0,COUNTA([2]gachas!$A:$A),MATCH(C$1,[2]gachas!$1:$1,0)-MATCH($B$1,[2]gachas!$1:$1,0)+1),MATCH(C$1,[2]gachas!$1:$1,0)-MATCH($B$1,[2]gachas!$1:$1,0)+1,FALSE)</f>
        <v>新キャラ追加03（新撰組）</v>
      </c>
      <c r="D126" s="6">
        <v>0</v>
      </c>
      <c r="E126" s="7">
        <v>202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プロメテウス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6">
        <v>1</v>
      </c>
      <c r="M126" s="6">
        <v>2470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1"/>
        <v>02051</v>
      </c>
      <c r="B127" s="2">
        <v>107</v>
      </c>
      <c r="C127" s="10" t="str">
        <f ca="1">VLOOKUP($B127,OFFSET([2]gachas!$A$2,0,0,COUNTA([2]gachas!$A:$A),MATCH(C$1,[2]gachas!$1:$1,0)-MATCH($B$1,[2]gachas!$1:$1,0)+1),MATCH(C$1,[2]gachas!$1:$1,0)-MATCH($B$1,[2]gachas!$1:$1,0)+1,FALSE)</f>
        <v>新キャラ追加03（新撰組）</v>
      </c>
      <c r="D127" s="6">
        <v>0</v>
      </c>
      <c r="E127" s="7">
        <v>205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アフロディーテ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6">
        <v>1</v>
      </c>
      <c r="M127" s="6">
        <v>2470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1"/>
        <v>02081</v>
      </c>
      <c r="B128" s="2">
        <v>107</v>
      </c>
      <c r="C128" s="10" t="str">
        <f ca="1">VLOOKUP($B128,OFFSET([2]gachas!$A$2,0,0,COUNTA([2]gachas!$A:$A),MATCH(C$1,[2]gachas!$1:$1,0)-MATCH($B$1,[2]gachas!$1:$1,0)+1),MATCH(C$1,[2]gachas!$1:$1,0)-MATCH($B$1,[2]gachas!$1:$1,0)+1,FALSE)</f>
        <v>新キャラ追加03（新撰組）</v>
      </c>
      <c r="D128" s="6">
        <v>0</v>
      </c>
      <c r="E128" s="7">
        <v>208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テティス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6">
        <v>1</v>
      </c>
      <c r="M128" s="6">
        <v>2470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1"/>
        <v>02111</v>
      </c>
      <c r="B129" s="2">
        <v>107</v>
      </c>
      <c r="C129" s="10" t="str">
        <f ca="1">VLOOKUP($B129,OFFSET([2]gachas!$A$2,0,0,COUNTA([2]gachas!$A:$A),MATCH(C$1,[2]gachas!$1:$1,0)-MATCH($B$1,[2]gachas!$1:$1,0)+1),MATCH(C$1,[2]gachas!$1:$1,0)-MATCH($B$1,[2]gachas!$1:$1,0)+1,FALSE)</f>
        <v>新キャラ追加03（新撰組）</v>
      </c>
      <c r="D129" s="6">
        <v>0</v>
      </c>
      <c r="E129" s="7">
        <v>211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アストライアー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ゴッド</v>
      </c>
      <c r="L129" s="6">
        <v>1</v>
      </c>
      <c r="M129" s="6">
        <v>2470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1"/>
        <v>02141</v>
      </c>
      <c r="B130" s="2">
        <v>107</v>
      </c>
      <c r="C130" s="10" t="str">
        <f ca="1">VLOOKUP($B130,OFFSET([2]gachas!$A$2,0,0,COUNTA([2]gachas!$A:$A),MATCH(C$1,[2]gachas!$1:$1,0)-MATCH($B$1,[2]gachas!$1:$1,0)+1),MATCH(C$1,[2]gachas!$1:$1,0)-MATCH($B$1,[2]gachas!$1:$1,0)+1,FALSE)</f>
        <v>新キャラ追加03（新撰組）</v>
      </c>
      <c r="D130" s="6">
        <v>0</v>
      </c>
      <c r="E130" s="7">
        <v>214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アズラエル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6">
        <v>1</v>
      </c>
      <c r="M130" s="6">
        <v>2470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1"/>
        <v>02171</v>
      </c>
      <c r="B131" s="2">
        <v>107</v>
      </c>
      <c r="C131" s="10" t="str">
        <f ca="1">VLOOKUP($B131,OFFSET([2]gachas!$A$2,0,0,COUNTA([2]gachas!$A:$A),MATCH(C$1,[2]gachas!$1:$1,0)-MATCH($B$1,[2]gachas!$1:$1,0)+1),MATCH(C$1,[2]gachas!$1:$1,0)-MATCH($B$1,[2]gachas!$1:$1,0)+1,FALSE)</f>
        <v>新キャラ追加03（新撰組）</v>
      </c>
      <c r="D131" s="6">
        <v>0</v>
      </c>
      <c r="E131" s="7">
        <v>217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ケツァクアトル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ドラゴン</v>
      </c>
      <c r="L131" s="6">
        <v>1</v>
      </c>
      <c r="M131" s="6">
        <v>2470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1"/>
        <v>02201</v>
      </c>
      <c r="B132" s="2">
        <v>107</v>
      </c>
      <c r="C132" s="10" t="str">
        <f ca="1">VLOOKUP($B132,OFFSET([2]gachas!$A$2,0,0,COUNTA([2]gachas!$A:$A),MATCH(C$1,[2]gachas!$1:$1,0)-MATCH($B$1,[2]gachas!$1:$1,0)+1),MATCH(C$1,[2]gachas!$1:$1,0)-MATCH($B$1,[2]gachas!$1:$1,0)+1,FALSE)</f>
        <v>新キャラ追加03（新撰組）</v>
      </c>
      <c r="D132" s="6">
        <v>0</v>
      </c>
      <c r="E132" s="7">
        <v>220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ルキフグス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6">
        <v>1</v>
      </c>
      <c r="M132" s="6">
        <v>2470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1"/>
        <v>02231</v>
      </c>
      <c r="B133" s="2">
        <v>107</v>
      </c>
      <c r="C133" s="10" t="str">
        <f ca="1">VLOOKUP($B133,OFFSET([2]gachas!$A$2,0,0,COUNTA([2]gachas!$A:$A),MATCH(C$1,[2]gachas!$1:$1,0)-MATCH($B$1,[2]gachas!$1:$1,0)+1),MATCH(C$1,[2]gachas!$1:$1,0)-MATCH($B$1,[2]gachas!$1:$1,0)+1,FALSE)</f>
        <v>新キャラ追加03（新撰組）</v>
      </c>
      <c r="D133" s="6">
        <v>0</v>
      </c>
      <c r="E133" s="7">
        <v>223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ヘラクレス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yellow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6">
        <v>2470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1"/>
        <v>02261</v>
      </c>
      <c r="B134" s="2">
        <v>107</v>
      </c>
      <c r="C134" s="10" t="str">
        <f ca="1">VLOOKUP($B134,OFFSET([2]gachas!$A$2,0,0,COUNTA([2]gachas!$A:$A),MATCH(C$1,[2]gachas!$1:$1,0)-MATCH($B$1,[2]gachas!$1:$1,0)+1),MATCH(C$1,[2]gachas!$1:$1,0)-MATCH($B$1,[2]gachas!$1:$1,0)+1,FALSE)</f>
        <v>新キャラ追加03（新撰組）</v>
      </c>
      <c r="D134" s="6">
        <v>0</v>
      </c>
      <c r="E134" s="7">
        <v>226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アレス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PremiumS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6">
        <v>1</v>
      </c>
      <c r="M134" s="6">
        <v>504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1"/>
        <v>02291</v>
      </c>
      <c r="B135" s="2">
        <v>107</v>
      </c>
      <c r="C135" s="10" t="str">
        <f ca="1">VLOOKUP($B135,OFFSET([2]gachas!$A$2,0,0,COUNTA([2]gachas!$A:$A),MATCH(C$1,[2]gachas!$1:$1,0)-MATCH($B$1,[2]gachas!$1:$1,0)+1),MATCH(C$1,[2]gachas!$1:$1,0)-MATCH($B$1,[2]gachas!$1:$1,0)+1,FALSE)</f>
        <v>新キャラ追加03（新撰組）</v>
      </c>
      <c r="D135" s="6">
        <v>0</v>
      </c>
      <c r="E135" s="7">
        <v>229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ヨルムンガンド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PremiumS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6">
        <v>1</v>
      </c>
      <c r="M135" s="6">
        <v>504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1"/>
        <v>02321</v>
      </c>
      <c r="B136" s="2">
        <v>107</v>
      </c>
      <c r="C136" s="10" t="str">
        <f ca="1">VLOOKUP($B136,OFFSET([2]gachas!$A$2,0,0,COUNTA([2]gachas!$A:$A),MATCH(C$1,[2]gachas!$1:$1,0)-MATCH($B$1,[2]gachas!$1:$1,0)+1),MATCH(C$1,[2]gachas!$1:$1,0)-MATCH($B$1,[2]gachas!$1:$1,0)+1,FALSE)</f>
        <v>新キャラ追加03（新撰組）</v>
      </c>
      <c r="D136" s="6">
        <v>0</v>
      </c>
      <c r="E136" s="7">
        <v>232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パーシヴァル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PremiumS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ヒューマン</v>
      </c>
      <c r="L136" s="6">
        <v>1</v>
      </c>
      <c r="M136" s="6">
        <v>504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1"/>
        <v>02351</v>
      </c>
      <c r="B137" s="2">
        <v>107</v>
      </c>
      <c r="C137" s="10" t="str">
        <f ca="1">VLOOKUP($B137,OFFSET([2]gachas!$A$2,0,0,COUNTA([2]gachas!$A:$A),MATCH(C$1,[2]gachas!$1:$1,0)-MATCH($B$1,[2]gachas!$1:$1,0)+1),MATCH(C$1,[2]gachas!$1:$1,0)-MATCH($B$1,[2]gachas!$1:$1,0)+1,FALSE)</f>
        <v>新キャラ追加03（新撰組）</v>
      </c>
      <c r="D137" s="6">
        <v>0</v>
      </c>
      <c r="E137" s="7">
        <v>235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イザナミ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PremiumS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6">
        <v>504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1"/>
        <v>01271</v>
      </c>
      <c r="B138" s="2">
        <v>107</v>
      </c>
      <c r="C138" s="10" t="str">
        <f ca="1">VLOOKUP($B138,OFFSET([2]gachas!$A$2,0,0,COUNTA([2]gachas!$A:$A),MATCH(C$1,[2]gachas!$1:$1,0)-MATCH($B$1,[2]gachas!$1:$1,0)+1),MATCH(C$1,[2]gachas!$1:$1,0)-MATCH($B$1,[2]gachas!$1:$1,0)+1,FALSE)</f>
        <v>新キャラ追加03（新撰組）</v>
      </c>
      <c r="D138" s="6">
        <v>0</v>
      </c>
      <c r="E138" s="7">
        <v>127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狂喜の賢者 ユノ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PremiumW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6">
        <v>1</v>
      </c>
      <c r="M138" s="6">
        <v>774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1"/>
        <v>01291</v>
      </c>
      <c r="B139" s="2">
        <v>107</v>
      </c>
      <c r="C139" s="10" t="str">
        <f ca="1">VLOOKUP($B139,OFFSET([2]gachas!$A$2,0,0,COUNTA([2]gachas!$A:$A),MATCH(C$1,[2]gachas!$1:$1,0)-MATCH($B$1,[2]gachas!$1:$1,0)+1),MATCH(C$1,[2]gachas!$1:$1,0)-MATCH($B$1,[2]gachas!$1:$1,0)+1,FALSE)</f>
        <v>新キャラ追加03（新撰組）</v>
      </c>
      <c r="D139" s="6">
        <v>0</v>
      </c>
      <c r="E139" s="7">
        <v>129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孤高の狼憑き アマラ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PremiumW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6">
        <v>1</v>
      </c>
      <c r="M139" s="6">
        <v>774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1"/>
        <v>01311</v>
      </c>
      <c r="B140" s="2">
        <v>107</v>
      </c>
      <c r="C140" s="10" t="str">
        <f ca="1">VLOOKUP($B140,OFFSET([2]gachas!$A$2,0,0,COUNTA([2]gachas!$A:$A),MATCH(C$1,[2]gachas!$1:$1,0)-MATCH($B$1,[2]gachas!$1:$1,0)+1),MATCH(C$1,[2]gachas!$1:$1,0)-MATCH($B$1,[2]gachas!$1:$1,0)+1,FALSE)</f>
        <v>新キャラ追加03（新撰組）</v>
      </c>
      <c r="D140" s="6">
        <v>0</v>
      </c>
      <c r="E140" s="7">
        <v>131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PremiumW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アニマル</v>
      </c>
      <c r="L140" s="6">
        <v>1</v>
      </c>
      <c r="M140" s="6">
        <v>774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1"/>
        <v>01331</v>
      </c>
      <c r="B141" s="2">
        <v>107</v>
      </c>
      <c r="C141" s="10" t="str">
        <f ca="1">VLOOKUP($B141,OFFSET([2]gachas!$A$2,0,0,COUNTA([2]gachas!$A:$A),MATCH(C$1,[2]gachas!$1:$1,0)-MATCH($B$1,[2]gachas!$1:$1,0)+1),MATCH(C$1,[2]gachas!$1:$1,0)-MATCH($B$1,[2]gachas!$1:$1,0)+1,FALSE)</f>
        <v>新キャラ追加03（新撰組）</v>
      </c>
      <c r="D141" s="6">
        <v>0</v>
      </c>
      <c r="E141" s="7">
        <v>133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迅雷の刀剣 ハヤト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PremiumW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6">
        <v>774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1"/>
        <v>01351</v>
      </c>
      <c r="B142" s="2">
        <v>107</v>
      </c>
      <c r="C142" s="10" t="str">
        <f ca="1">VLOOKUP($B142,OFFSET([2]gachas!$A$2,0,0,COUNTA([2]gachas!$A:$A),MATCH(C$1,[2]gachas!$1:$1,0)-MATCH($B$1,[2]gachas!$1:$1,0)+1),MATCH(C$1,[2]gachas!$1:$1,0)-MATCH($B$1,[2]gachas!$1:$1,0)+1,FALSE)</f>
        <v>新キャラ追加03（新撰組）</v>
      </c>
      <c r="D142" s="6">
        <v>0</v>
      </c>
      <c r="E142" s="7">
        <v>135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京の炎華夕霧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PremiumW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6">
        <v>1</v>
      </c>
      <c r="M142" s="6">
        <v>774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1"/>
        <v>01371</v>
      </c>
      <c r="B143" s="2">
        <v>107</v>
      </c>
      <c r="C143" s="10" t="str">
        <f ca="1">VLOOKUP($B143,OFFSET([2]gachas!$A$2,0,0,COUNTA([2]gachas!$A:$A),MATCH(C$1,[2]gachas!$1:$1,0)-MATCH($B$1,[2]gachas!$1:$1,0)+1),MATCH(C$1,[2]gachas!$1:$1,0)-MATCH($B$1,[2]gachas!$1:$1,0)+1,FALSE)</f>
        <v>新キャラ追加03（新撰組）</v>
      </c>
      <c r="D143" s="6">
        <v>0</v>
      </c>
      <c r="E143" s="7">
        <v>137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清福の仕立屋 チハヤ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PremiumW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4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6">
        <v>1</v>
      </c>
      <c r="M143" s="6">
        <v>774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1"/>
        <v>01391</v>
      </c>
      <c r="B144" s="2">
        <v>107</v>
      </c>
      <c r="C144" s="10" t="str">
        <f ca="1">VLOOKUP($B144,OFFSET([2]gachas!$A$2,0,0,COUNTA([2]gachas!$A:$A),MATCH(C$1,[2]gachas!$1:$1,0)-MATCH($B$1,[2]gachas!$1:$1,0)+1),MATCH(C$1,[2]gachas!$1:$1,0)-MATCH($B$1,[2]gachas!$1:$1,0)+1,FALSE)</f>
        <v>新キャラ追加03（新撰組）</v>
      </c>
      <c r="D144" s="6">
        <v>0</v>
      </c>
      <c r="E144" s="7">
        <v>139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蒼昇刃姫 トモエ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PremiumW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6">
        <v>1</v>
      </c>
      <c r="M144" s="6">
        <v>774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1"/>
        <v>01411</v>
      </c>
      <c r="B145" s="2">
        <v>107</v>
      </c>
      <c r="C145" s="10" t="str">
        <f ca="1">VLOOKUP($B145,OFFSET([2]gachas!$A$2,0,0,COUNTA([2]gachas!$A:$A),MATCH(C$1,[2]gachas!$1:$1,0)-MATCH($B$1,[2]gachas!$1:$1,0)+1),MATCH(C$1,[2]gachas!$1:$1,0)-MATCH($B$1,[2]gachas!$1:$1,0)+1,FALSE)</f>
        <v>新キャラ追加03（新撰組）</v>
      </c>
      <c r="D145" s="6">
        <v>0</v>
      </c>
      <c r="E145" s="7">
        <v>141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妖狐演舞 タマモ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PremiumW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4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アニマル</v>
      </c>
      <c r="L145" s="6">
        <v>1</v>
      </c>
      <c r="M145" s="6">
        <v>774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1"/>
        <v>01431</v>
      </c>
      <c r="B146" s="2">
        <v>107</v>
      </c>
      <c r="C146" s="10" t="str">
        <f ca="1">VLOOKUP($B146,OFFSET([2]gachas!$A$2,0,0,COUNTA([2]gachas!$A:$A),MATCH(C$1,[2]gachas!$1:$1,0)-MATCH($B$1,[2]gachas!$1:$1,0)+1),MATCH(C$1,[2]gachas!$1:$1,0)-MATCH($B$1,[2]gachas!$1:$1,0)+1,FALSE)</f>
        <v>新キャラ追加03（新撰組）</v>
      </c>
      <c r="D146" s="6">
        <v>0</v>
      </c>
      <c r="E146" s="7">
        <v>143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深紅の死神 赤ずきん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6">
        <v>774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ref="A147:A210" si="3">D147&amp;E147&amp;L147</f>
        <v>01451</v>
      </c>
      <c r="B147" s="2">
        <v>107</v>
      </c>
      <c r="C147" s="10" t="str">
        <f ca="1">VLOOKUP($B147,OFFSET([2]gachas!$A$2,0,0,COUNTA([2]gachas!$A:$A),MATCH(C$1,[2]gachas!$1:$1,0)-MATCH($B$1,[2]gachas!$1:$1,0)+1),MATCH(C$1,[2]gachas!$1:$1,0)-MATCH($B$1,[2]gachas!$1:$1,0)+1,FALSE)</f>
        <v>新キャラ追加03（新撰組）</v>
      </c>
      <c r="D147" s="6">
        <v>0</v>
      </c>
      <c r="E147" s="7">
        <v>145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魔性妖艶 かぐや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6">
        <v>774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01471</v>
      </c>
      <c r="B148" s="2">
        <v>107</v>
      </c>
      <c r="C148" s="10" t="str">
        <f ca="1">VLOOKUP($B148,OFFSET([2]gachas!$A$2,0,0,COUNTA([2]gachas!$A:$A),MATCH(C$1,[2]gachas!$1:$1,0)-MATCH($B$1,[2]gachas!$1:$1,0)+1),MATCH(C$1,[2]gachas!$1:$1,0)-MATCH($B$1,[2]gachas!$1:$1,0)+1,FALSE)</f>
        <v>新キャラ追加03（新撰組）</v>
      </c>
      <c r="D148" s="6">
        <v>0</v>
      </c>
      <c r="E148" s="7">
        <v>147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ヒューマン</v>
      </c>
      <c r="L148" s="6">
        <v>1</v>
      </c>
      <c r="M148" s="6">
        <v>774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01491</v>
      </c>
      <c r="B149" s="2">
        <v>107</v>
      </c>
      <c r="C149" s="10" t="str">
        <f ca="1">VLOOKUP($B149,OFFSET([2]gachas!$A$2,0,0,COUNTA([2]gachas!$A:$A),MATCH(C$1,[2]gachas!$1:$1,0)-MATCH($B$1,[2]gachas!$1:$1,0)+1),MATCH(C$1,[2]gachas!$1:$1,0)-MATCH($B$1,[2]gachas!$1:$1,0)+1,FALSE)</f>
        <v>新キャラ追加03（新撰組）</v>
      </c>
      <c r="D149" s="6">
        <v>0</v>
      </c>
      <c r="E149" s="7">
        <v>149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6">
        <v>774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01511</v>
      </c>
      <c r="B150" s="2">
        <v>107</v>
      </c>
      <c r="C150" s="10" t="str">
        <f ca="1">VLOOKUP($B150,OFFSET([2]gachas!$A$2,0,0,COUNTA([2]gachas!$A:$A),MATCH(C$1,[2]gachas!$1:$1,0)-MATCH($B$1,[2]gachas!$1:$1,0)+1),MATCH(C$1,[2]gachas!$1:$1,0)-MATCH($B$1,[2]gachas!$1:$1,0)+1,FALSE)</f>
        <v>新キャラ追加03（新撰組）</v>
      </c>
      <c r="D150" s="6">
        <v>0</v>
      </c>
      <c r="E150" s="7">
        <v>151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毒煙の処刑人サキ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6">
        <v>1</v>
      </c>
      <c r="M150" s="6">
        <v>774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01531</v>
      </c>
      <c r="B151" s="2">
        <v>107</v>
      </c>
      <c r="C151" s="10" t="str">
        <f ca="1">VLOOKUP($B151,OFFSET([2]gachas!$A$2,0,0,COUNTA([2]gachas!$A:$A),MATCH(C$1,[2]gachas!$1:$1,0)-MATCH($B$1,[2]gachas!$1:$1,0)+1),MATCH(C$1,[2]gachas!$1:$1,0)-MATCH($B$1,[2]gachas!$1:$1,0)+1,FALSE)</f>
        <v>新キャラ追加03（新撰組）</v>
      </c>
      <c r="D151" s="6">
        <v>0</v>
      </c>
      <c r="E151" s="7">
        <v>153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拳聖ランラン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6">
        <v>1</v>
      </c>
      <c r="M151" s="6">
        <v>774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01551</v>
      </c>
      <c r="B152" s="2">
        <v>107</v>
      </c>
      <c r="C152" s="10" t="str">
        <f ca="1">VLOOKUP($B152,OFFSET([2]gachas!$A$2,0,0,COUNTA([2]gachas!$A:$A),MATCH(C$1,[2]gachas!$1:$1,0)-MATCH($B$1,[2]gachas!$1:$1,0)+1),MATCH(C$1,[2]gachas!$1:$1,0)-MATCH($B$1,[2]gachas!$1:$1,0)+1,FALSE)</f>
        <v>新キャラ追加03（新撰組）</v>
      </c>
      <c r="D152" s="6">
        <v>0</v>
      </c>
      <c r="E152" s="7">
        <v>155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隻眼の掃除屋 ハンナ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6">
        <v>1</v>
      </c>
      <c r="M152" s="6">
        <v>774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01571</v>
      </c>
      <c r="B153" s="2">
        <v>107</v>
      </c>
      <c r="C153" s="10" t="str">
        <f ca="1">VLOOKUP($B153,OFFSET([2]gachas!$A$2,0,0,COUNTA([2]gachas!$A:$A),MATCH(C$1,[2]gachas!$1:$1,0)-MATCH($B$1,[2]gachas!$1:$1,0)+1),MATCH(C$1,[2]gachas!$1:$1,0)-MATCH($B$1,[2]gachas!$1:$1,0)+1,FALSE)</f>
        <v>新キャラ追加03（新撰組）</v>
      </c>
      <c r="D153" s="6">
        <v>0</v>
      </c>
      <c r="E153" s="7">
        <v>157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雷光舞姫 エレナ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ヒューマン</v>
      </c>
      <c r="L153" s="6">
        <v>1</v>
      </c>
      <c r="M153" s="6">
        <v>774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01591</v>
      </c>
      <c r="B154" s="2">
        <v>107</v>
      </c>
      <c r="C154" s="10" t="str">
        <f ca="1">VLOOKUP($B154,OFFSET([2]gachas!$A$2,0,0,COUNTA([2]gachas!$A:$A),MATCH(C$1,[2]gachas!$1:$1,0)-MATCH($B$1,[2]gachas!$1:$1,0)+1),MATCH(C$1,[2]gachas!$1:$1,0)-MATCH($B$1,[2]gachas!$1:$1,0)+1,FALSE)</f>
        <v>新キャラ追加03（新撰組）</v>
      </c>
      <c r="D154" s="6">
        <v>0</v>
      </c>
      <c r="E154" s="7">
        <v>159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6">
        <v>1</v>
      </c>
      <c r="M154" s="6">
        <v>774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si="3"/>
        <v>01611</v>
      </c>
      <c r="B155" s="2">
        <v>107</v>
      </c>
      <c r="C155" s="10" t="str">
        <f ca="1">VLOOKUP($B155,OFFSET([2]gachas!$A$2,0,0,COUNTA([2]gachas!$A:$A),MATCH(C$1,[2]gachas!$1:$1,0)-MATCH($B$1,[2]gachas!$1:$1,0)+1),MATCH(C$1,[2]gachas!$1:$1,0)-MATCH($B$1,[2]gachas!$1:$1,0)+1,FALSE)</f>
        <v>新キャラ追加03（新撰組）</v>
      </c>
      <c r="D155" s="6">
        <v>0</v>
      </c>
      <c r="E155" s="7">
        <v>161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咆哮の先導者 クリエ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6">
        <v>1</v>
      </c>
      <c r="M155" s="6">
        <v>774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3"/>
        <v>01631</v>
      </c>
      <c r="B156" s="2">
        <v>107</v>
      </c>
      <c r="C156" s="10" t="str">
        <f ca="1">VLOOKUP($B156,OFFSET([2]gachas!$A$2,0,0,COUNTA([2]gachas!$A:$A),MATCH(C$1,[2]gachas!$1:$1,0)-MATCH($B$1,[2]gachas!$1:$1,0)+1),MATCH(C$1,[2]gachas!$1:$1,0)-MATCH($B$1,[2]gachas!$1:$1,0)+1,FALSE)</f>
        <v>新キャラ追加03（新撰組）</v>
      </c>
      <c r="D156" s="6">
        <v>0</v>
      </c>
      <c r="E156" s="7">
        <v>163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冷酷な狂嬢 クララ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6">
        <v>1</v>
      </c>
      <c r="M156" s="6">
        <v>774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3"/>
        <v>01651</v>
      </c>
      <c r="B157" s="2">
        <v>107</v>
      </c>
      <c r="C157" s="10" t="str">
        <f ca="1">VLOOKUP($B157,OFFSET([2]gachas!$A$2,0,0,COUNTA([2]gachas!$A:$A),MATCH(C$1,[2]gachas!$1:$1,0)-MATCH($B$1,[2]gachas!$1:$1,0)+1),MATCH(C$1,[2]gachas!$1:$1,0)-MATCH($B$1,[2]gachas!$1:$1,0)+1,FALSE)</f>
        <v>新キャラ追加03（新撰組）</v>
      </c>
      <c r="D157" s="6">
        <v>0</v>
      </c>
      <c r="E157" s="7">
        <v>165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6">
        <v>774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3"/>
        <v>01671</v>
      </c>
      <c r="B158" s="2">
        <v>107</v>
      </c>
      <c r="C158" s="10" t="str">
        <f ca="1">VLOOKUP($B158,OFFSET([2]gachas!$A$2,0,0,COUNTA([2]gachas!$A:$A),MATCH(C$1,[2]gachas!$1:$1,0)-MATCH($B$1,[2]gachas!$1:$1,0)+1),MATCH(C$1,[2]gachas!$1:$1,0)-MATCH($B$1,[2]gachas!$1:$1,0)+1,FALSE)</f>
        <v>新キャラ追加03（新撰組）</v>
      </c>
      <c r="D158" s="6">
        <v>0</v>
      </c>
      <c r="E158" s="7">
        <v>167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逆徒 ベリアル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PremiumN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ゴッド</v>
      </c>
      <c r="L158" s="6">
        <v>1</v>
      </c>
      <c r="M158" s="6">
        <v>792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3"/>
        <v>01701</v>
      </c>
      <c r="B159" s="2">
        <v>107</v>
      </c>
      <c r="C159" s="10" t="str">
        <f ca="1">VLOOKUP($B159,OFFSET([2]gachas!$A$2,0,0,COUNTA([2]gachas!$A:$A),MATCH(C$1,[2]gachas!$1:$1,0)-MATCH($B$1,[2]gachas!$1:$1,0)+1),MATCH(C$1,[2]gachas!$1:$1,0)-MATCH($B$1,[2]gachas!$1:$1,0)+1,FALSE)</f>
        <v>新キャラ追加03（新撰組）</v>
      </c>
      <c r="D159" s="6">
        <v>0</v>
      </c>
      <c r="E159" s="7">
        <v>170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識徒 オセ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PremiumN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ゴッド</v>
      </c>
      <c r="L159" s="6">
        <v>1</v>
      </c>
      <c r="M159" s="6">
        <v>792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3"/>
        <v>01731</v>
      </c>
      <c r="B160" s="2">
        <v>107</v>
      </c>
      <c r="C160" s="10" t="str">
        <f ca="1">VLOOKUP($B160,OFFSET([2]gachas!$A$2,0,0,COUNTA([2]gachas!$A:$A),MATCH(C$1,[2]gachas!$1:$1,0)-MATCH($B$1,[2]gachas!$1:$1,0)+1),MATCH(C$1,[2]gachas!$1:$1,0)-MATCH($B$1,[2]gachas!$1:$1,0)+1,FALSE)</f>
        <v>新キャラ追加03（新撰組）</v>
      </c>
      <c r="D160" s="6">
        <v>0</v>
      </c>
      <c r="E160" s="7">
        <v>173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公爵 フォルネウス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PremiumN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ゴッド</v>
      </c>
      <c r="L160" s="6">
        <v>1</v>
      </c>
      <c r="M160" s="6">
        <v>792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3"/>
        <v>01761</v>
      </c>
      <c r="B161" s="2">
        <v>107</v>
      </c>
      <c r="C161" s="10" t="str">
        <f ca="1">VLOOKUP($B161,OFFSET([2]gachas!$A$2,0,0,COUNTA([2]gachas!$A:$A),MATCH(C$1,[2]gachas!$1:$1,0)-MATCH($B$1,[2]gachas!$1:$1,0)+1),MATCH(C$1,[2]gachas!$1:$1,0)-MATCH($B$1,[2]gachas!$1:$1,0)+1,FALSE)</f>
        <v>新キャラ追加03（新撰組）</v>
      </c>
      <c r="D161" s="6">
        <v>0</v>
      </c>
      <c r="E161" s="7">
        <v>176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異教徒 バフォメット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PremiumN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ゴッド</v>
      </c>
      <c r="L161" s="6">
        <v>1</v>
      </c>
      <c r="M161" s="6">
        <v>792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3"/>
        <v>01791</v>
      </c>
      <c r="B162" s="2">
        <v>107</v>
      </c>
      <c r="C162" s="10" t="str">
        <f ca="1">VLOOKUP($B162,OFFSET([2]gachas!$A$2,0,0,COUNTA([2]gachas!$A:$A),MATCH(C$1,[2]gachas!$1:$1,0)-MATCH($B$1,[2]gachas!$1:$1,0)+1),MATCH(C$1,[2]gachas!$1:$1,0)-MATCH($B$1,[2]gachas!$1:$1,0)+1,FALSE)</f>
        <v>新キャラ追加03（新撰組）</v>
      </c>
      <c r="D162" s="6">
        <v>0</v>
      </c>
      <c r="E162" s="7">
        <v>179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番犬 ケルベロス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PremiumN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アニマル</v>
      </c>
      <c r="L162" s="6">
        <v>1</v>
      </c>
      <c r="M162" s="6">
        <v>792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3"/>
        <v>01821</v>
      </c>
      <c r="B163" s="2">
        <v>107</v>
      </c>
      <c r="C163" s="10" t="str">
        <f ca="1">VLOOKUP($B163,OFFSET([2]gachas!$A$2,0,0,COUNTA([2]gachas!$A:$A),MATCH(C$1,[2]gachas!$1:$1,0)-MATCH($B$1,[2]gachas!$1:$1,0)+1),MATCH(C$1,[2]gachas!$1:$1,0)-MATCH($B$1,[2]gachas!$1:$1,0)+1,FALSE)</f>
        <v>新キャラ追加03（新撰組）</v>
      </c>
      <c r="D163" s="6">
        <v>0</v>
      </c>
      <c r="E163" s="7">
        <v>182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放蕩者 ベヒモス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PremiumN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アニマル</v>
      </c>
      <c r="L163" s="6">
        <v>1</v>
      </c>
      <c r="M163" s="6">
        <v>792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3"/>
        <v>01851</v>
      </c>
      <c r="B164" s="2">
        <v>107</v>
      </c>
      <c r="C164" s="10" t="str">
        <f ca="1">VLOOKUP($B164,OFFSET([2]gachas!$A$2,0,0,COUNTA([2]gachas!$A:$A),MATCH(C$1,[2]gachas!$1:$1,0)-MATCH($B$1,[2]gachas!$1:$1,0)+1),MATCH(C$1,[2]gachas!$1:$1,0)-MATCH($B$1,[2]gachas!$1:$1,0)+1,FALSE)</f>
        <v>新キャラ追加03（新撰組）</v>
      </c>
      <c r="D164" s="6">
        <v>0</v>
      </c>
      <c r="E164" s="7">
        <v>185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海姫 クラーケン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PremiumN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アニマル</v>
      </c>
      <c r="L164" s="6">
        <v>1</v>
      </c>
      <c r="M164" s="6">
        <v>792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3"/>
        <v>01881</v>
      </c>
      <c r="B165" s="2">
        <v>107</v>
      </c>
      <c r="C165" s="10" t="str">
        <f ca="1">VLOOKUP($B165,OFFSET([2]gachas!$A$2,0,0,COUNTA([2]gachas!$A:$A),MATCH(C$1,[2]gachas!$1:$1,0)-MATCH($B$1,[2]gachas!$1:$1,0)+1),MATCH(C$1,[2]gachas!$1:$1,0)-MATCH($B$1,[2]gachas!$1:$1,0)+1,FALSE)</f>
        <v>新キャラ追加03（新撰組）</v>
      </c>
      <c r="D165" s="6">
        <v>0</v>
      </c>
      <c r="E165" s="7">
        <v>188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猛禽 ホルス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PremiumN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アニマル</v>
      </c>
      <c r="L165" s="6">
        <v>1</v>
      </c>
      <c r="M165" s="6">
        <v>792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3"/>
        <v>01911</v>
      </c>
      <c r="B166" s="2">
        <v>107</v>
      </c>
      <c r="C166" s="10" t="str">
        <f ca="1">VLOOKUP($B166,OFFSET([2]gachas!$A$2,0,0,COUNTA([2]gachas!$A:$A),MATCH(C$1,[2]gachas!$1:$1,0)-MATCH($B$1,[2]gachas!$1:$1,0)+1),MATCH(C$1,[2]gachas!$1:$1,0)-MATCH($B$1,[2]gachas!$1:$1,0)+1,FALSE)</f>
        <v>新キャラ追加03（新撰組）</v>
      </c>
      <c r="D166" s="6">
        <v>0</v>
      </c>
      <c r="E166" s="7">
        <v>191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始祖 卑弥呼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ヒューマン</v>
      </c>
      <c r="L166" s="6">
        <v>1</v>
      </c>
      <c r="M166" s="6">
        <v>792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3"/>
        <v>01941</v>
      </c>
      <c r="B167" s="2">
        <v>107</v>
      </c>
      <c r="C167" s="10" t="str">
        <f ca="1">VLOOKUP($B167,OFFSET([2]gachas!$A$2,0,0,COUNTA([2]gachas!$A:$A),MATCH(C$1,[2]gachas!$1:$1,0)-MATCH($B$1,[2]gachas!$1:$1,0)+1),MATCH(C$1,[2]gachas!$1:$1,0)-MATCH($B$1,[2]gachas!$1:$1,0)+1,FALSE)</f>
        <v>新キャラ追加03（新撰組）</v>
      </c>
      <c r="D167" s="6">
        <v>0</v>
      </c>
      <c r="E167" s="7">
        <v>194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ヒューマン</v>
      </c>
      <c r="L167" s="6">
        <v>1</v>
      </c>
      <c r="M167" s="6">
        <v>792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3"/>
        <v>01971</v>
      </c>
      <c r="B168" s="2">
        <v>107</v>
      </c>
      <c r="C168" s="10" t="str">
        <f ca="1">VLOOKUP($B168,OFFSET([2]gachas!$A$2,0,0,COUNTA([2]gachas!$A:$A),MATCH(C$1,[2]gachas!$1:$1,0)-MATCH($B$1,[2]gachas!$1:$1,0)+1),MATCH(C$1,[2]gachas!$1:$1,0)-MATCH($B$1,[2]gachas!$1:$1,0)+1,FALSE)</f>
        <v>新キャラ追加03（新撰組）</v>
      </c>
      <c r="D168" s="6">
        <v>0</v>
      </c>
      <c r="E168" s="7">
        <v>197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鉄腕 アキレス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yellow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ヒューマン</v>
      </c>
      <c r="L168" s="6">
        <v>1</v>
      </c>
      <c r="M168" s="6">
        <v>792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3"/>
        <v>02001</v>
      </c>
      <c r="B169" s="2">
        <v>107</v>
      </c>
      <c r="C169" s="10" t="str">
        <f ca="1">VLOOKUP($B169,OFFSET([2]gachas!$A$2,0,0,COUNTA([2]gachas!$A:$A),MATCH(C$1,[2]gachas!$1:$1,0)-MATCH($B$1,[2]gachas!$1:$1,0)+1),MATCH(C$1,[2]gachas!$1:$1,0)-MATCH($B$1,[2]gachas!$1:$1,0)+1,FALSE)</f>
        <v>新キャラ追加03（新撰組）</v>
      </c>
      <c r="D169" s="6">
        <v>0</v>
      </c>
      <c r="E169" s="7">
        <v>200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blue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ヒューマン</v>
      </c>
      <c r="L169" s="6">
        <v>1</v>
      </c>
      <c r="M169" s="6">
        <v>792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3"/>
        <v>02031</v>
      </c>
      <c r="B170" s="2">
        <v>107</v>
      </c>
      <c r="C170" s="10" t="str">
        <f ca="1">VLOOKUP($B170,OFFSET([2]gachas!$A$2,0,0,COUNTA([2]gachas!$A:$A),MATCH(C$1,[2]gachas!$1:$1,0)-MATCH($B$1,[2]gachas!$1:$1,0)+1),MATCH(C$1,[2]gachas!$1:$1,0)-MATCH($B$1,[2]gachas!$1:$1,0)+1,FALSE)</f>
        <v>新キャラ追加03（新撰組）</v>
      </c>
      <c r="D170" s="6">
        <v>0</v>
      </c>
      <c r="E170" s="7">
        <v>203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焔神 プロメテウス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ゴッド</v>
      </c>
      <c r="L170" s="6">
        <v>1</v>
      </c>
      <c r="M170" s="6">
        <v>792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3"/>
        <v>02061</v>
      </c>
      <c r="B171" s="2">
        <v>107</v>
      </c>
      <c r="C171" s="10" t="str">
        <f ca="1">VLOOKUP($B171,OFFSET([2]gachas!$A$2,0,0,COUNTA([2]gachas!$A:$A),MATCH(C$1,[2]gachas!$1:$1,0)-MATCH($B$1,[2]gachas!$1:$1,0)+1),MATCH(C$1,[2]gachas!$1:$1,0)-MATCH($B$1,[2]gachas!$1:$1,0)+1,FALSE)</f>
        <v>新キャラ追加03（新撰組）</v>
      </c>
      <c r="D171" s="6">
        <v>0</v>
      </c>
      <c r="E171" s="7">
        <v>206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美神 アフロディーテ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ゴッド</v>
      </c>
      <c r="L171" s="6">
        <v>1</v>
      </c>
      <c r="M171" s="6">
        <v>792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3"/>
        <v>02091</v>
      </c>
      <c r="B172" s="2">
        <v>107</v>
      </c>
      <c r="C172" s="10" t="str">
        <f ca="1">VLOOKUP($B172,OFFSET([2]gachas!$A$2,0,0,COUNTA([2]gachas!$A:$A),MATCH(C$1,[2]gachas!$1:$1,0)-MATCH($B$1,[2]gachas!$1:$1,0)+1),MATCH(C$1,[2]gachas!$1:$1,0)-MATCH($B$1,[2]gachas!$1:$1,0)+1,FALSE)</f>
        <v>新キャラ追加03（新撰組）</v>
      </c>
      <c r="D172" s="6">
        <v>0</v>
      </c>
      <c r="E172" s="7">
        <v>209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孤神 テティス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ゴッド</v>
      </c>
      <c r="L172" s="6">
        <v>1</v>
      </c>
      <c r="M172" s="6">
        <v>792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3"/>
        <v>02121</v>
      </c>
      <c r="B173" s="2">
        <v>107</v>
      </c>
      <c r="C173" s="10" t="str">
        <f ca="1">VLOOKUP($B173,OFFSET([2]gachas!$A$2,0,0,COUNTA([2]gachas!$A:$A),MATCH(C$1,[2]gachas!$1:$1,0)-MATCH($B$1,[2]gachas!$1:$1,0)+1),MATCH(C$1,[2]gachas!$1:$1,0)-MATCH($B$1,[2]gachas!$1:$1,0)+1,FALSE)</f>
        <v>新キャラ追加03（新撰組）</v>
      </c>
      <c r="D173" s="6">
        <v>0</v>
      </c>
      <c r="E173" s="7">
        <v>212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星神 アストライアー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ゴッド</v>
      </c>
      <c r="L173" s="6">
        <v>1</v>
      </c>
      <c r="M173" s="6">
        <v>792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3"/>
        <v>02151</v>
      </c>
      <c r="B174" s="2">
        <v>107</v>
      </c>
      <c r="C174" s="10" t="str">
        <f ca="1">VLOOKUP($B174,OFFSET([2]gachas!$A$2,0,0,COUNTA([2]gachas!$A:$A),MATCH(C$1,[2]gachas!$1:$1,0)-MATCH($B$1,[2]gachas!$1:$1,0)+1),MATCH(C$1,[2]gachas!$1:$1,0)-MATCH($B$1,[2]gachas!$1:$1,0)+1,FALSE)</f>
        <v>新キャラ追加03（新撰組）</v>
      </c>
      <c r="D174" s="6">
        <v>0</v>
      </c>
      <c r="E174" s="7">
        <v>215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死導者 アズラエル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ゴッド</v>
      </c>
      <c r="L174" s="6">
        <v>1</v>
      </c>
      <c r="M174" s="6">
        <v>792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3"/>
        <v>02181</v>
      </c>
      <c r="B175" s="2">
        <v>107</v>
      </c>
      <c r="C175" s="10" t="str">
        <f ca="1">VLOOKUP($B175,OFFSET([2]gachas!$A$2,0,0,COUNTA([2]gachas!$A:$A),MATCH(C$1,[2]gachas!$1:$1,0)-MATCH($B$1,[2]gachas!$1:$1,0)+1),MATCH(C$1,[2]gachas!$1:$1,0)-MATCH($B$1,[2]gachas!$1:$1,0)+1,FALSE)</f>
        <v>新キャラ追加03（新撰組）</v>
      </c>
      <c r="D175" s="6">
        <v>0</v>
      </c>
      <c r="E175" s="7">
        <v>218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聖蛇 ケツァクアトル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ドラゴン</v>
      </c>
      <c r="L175" s="6">
        <v>1</v>
      </c>
      <c r="M175" s="6">
        <v>792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3"/>
        <v>02211</v>
      </c>
      <c r="B176" s="2">
        <v>107</v>
      </c>
      <c r="C176" s="10" t="str">
        <f ca="1">VLOOKUP($B176,OFFSET([2]gachas!$A$2,0,0,COUNTA([2]gachas!$A:$A),MATCH(C$1,[2]gachas!$1:$1,0)-MATCH($B$1,[2]gachas!$1:$1,0)+1),MATCH(C$1,[2]gachas!$1:$1,0)-MATCH($B$1,[2]gachas!$1:$1,0)+1,FALSE)</f>
        <v>新キャラ追加03（新撰組）</v>
      </c>
      <c r="D176" s="6">
        <v>0</v>
      </c>
      <c r="E176" s="7">
        <v>221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宰相 ルキフグス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blue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ゴッド</v>
      </c>
      <c r="L176" s="6">
        <v>1</v>
      </c>
      <c r="M176" s="6">
        <v>792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3"/>
        <v>02241</v>
      </c>
      <c r="B177" s="2">
        <v>107</v>
      </c>
      <c r="C177" s="10" t="str">
        <f ca="1">VLOOKUP($B177,OFFSET([2]gachas!$A$2,0,0,COUNTA([2]gachas!$A:$A),MATCH(C$1,[2]gachas!$1:$1,0)-MATCH($B$1,[2]gachas!$1:$1,0)+1),MATCH(C$1,[2]gachas!$1:$1,0)-MATCH($B$1,[2]gachas!$1:$1,0)+1,FALSE)</f>
        <v>新キャラ追加03（新撰組）</v>
      </c>
      <c r="D177" s="6">
        <v>0</v>
      </c>
      <c r="E177" s="7">
        <v>224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巨腕 ヘラクレス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yellow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6">
        <v>1</v>
      </c>
      <c r="M177" s="6">
        <v>792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3"/>
        <v>02271</v>
      </c>
      <c r="B178" s="2">
        <v>107</v>
      </c>
      <c r="C178" s="10" t="str">
        <f ca="1">VLOOKUP($B178,OFFSET([2]gachas!$A$2,0,0,COUNTA([2]gachas!$A:$A),MATCH(C$1,[2]gachas!$1:$1,0)-MATCH($B$1,[2]gachas!$1:$1,0)+1),MATCH(C$1,[2]gachas!$1:$1,0)-MATCH($B$1,[2]gachas!$1:$1,0)+1,FALSE)</f>
        <v>新キャラ追加03（新撰組）</v>
      </c>
      <c r="D178" s="6">
        <v>0</v>
      </c>
      <c r="E178" s="7">
        <v>227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滅弾 アレス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PremiumS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6">
        <v>1</v>
      </c>
      <c r="M178" s="6">
        <v>180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3"/>
        <v>02301</v>
      </c>
      <c r="B179" s="2">
        <v>107</v>
      </c>
      <c r="C179" s="10" t="str">
        <f ca="1">VLOOKUP($B179,OFFSET([2]gachas!$A$2,0,0,COUNTA([2]gachas!$A:$A),MATCH(C$1,[2]gachas!$1:$1,0)-MATCH($B$1,[2]gachas!$1:$1,0)+1),MATCH(C$1,[2]gachas!$1:$1,0)-MATCH($B$1,[2]gachas!$1:$1,0)+1,FALSE)</f>
        <v>新キャラ追加03（新撰組）</v>
      </c>
      <c r="D179" s="6">
        <v>0</v>
      </c>
      <c r="E179" s="7">
        <v>230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毒銃 ヨルムンガンド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PremiumS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ドラゴン</v>
      </c>
      <c r="L179" s="6">
        <v>1</v>
      </c>
      <c r="M179" s="6">
        <v>180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3"/>
        <v>02331</v>
      </c>
      <c r="B180" s="2">
        <v>107</v>
      </c>
      <c r="C180" s="10" t="str">
        <f ca="1">VLOOKUP($B180,OFFSET([2]gachas!$A$2,0,0,COUNTA([2]gachas!$A:$A),MATCH(C$1,[2]gachas!$1:$1,0)-MATCH($B$1,[2]gachas!$1:$1,0)+1),MATCH(C$1,[2]gachas!$1:$1,0)-MATCH($B$1,[2]gachas!$1:$1,0)+1,FALSE)</f>
        <v>新キャラ追加03（新撰組）</v>
      </c>
      <c r="D180" s="6">
        <v>0</v>
      </c>
      <c r="E180" s="7">
        <v>233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遂行 パーシヴァル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PremiumS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ヒューマン</v>
      </c>
      <c r="L180" s="6">
        <v>1</v>
      </c>
      <c r="M180" s="6">
        <v>180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3"/>
        <v>02361</v>
      </c>
      <c r="B181" s="2">
        <v>107</v>
      </c>
      <c r="C181" s="10" t="str">
        <f ca="1">VLOOKUP($B181,OFFSET([2]gachas!$A$2,0,0,COUNTA([2]gachas!$A:$A),MATCH(C$1,[2]gachas!$1:$1,0)-MATCH($B$1,[2]gachas!$1:$1,0)+1),MATCH(C$1,[2]gachas!$1:$1,0)-MATCH($B$1,[2]gachas!$1:$1,0)+1,FALSE)</f>
        <v>新キャラ追加03（新撰組）</v>
      </c>
      <c r="D181" s="6">
        <v>0</v>
      </c>
      <c r="E181" s="7">
        <v>236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神産 イザナミ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PremiumS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6">
        <v>180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3"/>
        <v>01681</v>
      </c>
      <c r="B182" s="2">
        <v>107</v>
      </c>
      <c r="C182" s="10" t="str">
        <f ca="1">VLOOKUP($B182,OFFSET([2]gachas!$A$2,0,0,COUNTA([2]gachas!$A:$A),MATCH(C$1,[2]gachas!$1:$1,0)-MATCH($B$1,[2]gachas!$1:$1,0)+1),MATCH(C$1,[2]gachas!$1:$1,0)-MATCH($B$1,[2]gachas!$1:$1,0)+1,FALSE)</f>
        <v>新キャラ追加03（新撰組）</v>
      </c>
      <c r="D182" s="6">
        <v>0</v>
      </c>
      <c r="E182" s="7">
        <v>168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5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6">
        <v>1</v>
      </c>
      <c r="M182" s="6">
        <v>320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3"/>
        <v>01711</v>
      </c>
      <c r="B183" s="2">
        <v>107</v>
      </c>
      <c r="C183" s="10" t="str">
        <f ca="1">VLOOKUP($B183,OFFSET([2]gachas!$A$2,0,0,COUNTA([2]gachas!$A:$A),MATCH(C$1,[2]gachas!$1:$1,0)-MATCH($B$1,[2]gachas!$1:$1,0)+1),MATCH(C$1,[2]gachas!$1:$1,0)-MATCH($B$1,[2]gachas!$1:$1,0)+1,FALSE)</f>
        <v>新キャラ追加03（新撰組）</v>
      </c>
      <c r="D183" s="6">
        <v>0</v>
      </c>
      <c r="E183" s="7">
        <v>171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精解の預知者 オセ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5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ゴッド</v>
      </c>
      <c r="L183" s="6">
        <v>1</v>
      </c>
      <c r="M183" s="6">
        <v>320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3"/>
        <v>01741</v>
      </c>
      <c r="B184" s="2">
        <v>107</v>
      </c>
      <c r="C184" s="10" t="str">
        <f ca="1">VLOOKUP($B184,OFFSET([2]gachas!$A$2,0,0,COUNTA([2]gachas!$A:$A),MATCH(C$1,[2]gachas!$1:$1,0)-MATCH($B$1,[2]gachas!$1:$1,0)+1),MATCH(C$1,[2]gachas!$1:$1,0)-MATCH($B$1,[2]gachas!$1:$1,0)+1,FALSE)</f>
        <v>新キャラ追加03（新撰組）</v>
      </c>
      <c r="D184" s="6">
        <v>0</v>
      </c>
      <c r="E184" s="7">
        <v>174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5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6">
        <v>1</v>
      </c>
      <c r="M184" s="6">
        <v>320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3"/>
        <v>01771</v>
      </c>
      <c r="B185" s="2">
        <v>107</v>
      </c>
      <c r="C185" s="10" t="str">
        <f ca="1">VLOOKUP($B185,OFFSET([2]gachas!$A$2,0,0,COUNTA([2]gachas!$A:$A),MATCH(C$1,[2]gachas!$1:$1,0)-MATCH($B$1,[2]gachas!$1:$1,0)+1),MATCH(C$1,[2]gachas!$1:$1,0)-MATCH($B$1,[2]gachas!$1:$1,0)+1,FALSE)</f>
        <v>新キャラ追加03（新撰組）</v>
      </c>
      <c r="D185" s="6">
        <v>0</v>
      </c>
      <c r="E185" s="7">
        <v>177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5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ゴッド</v>
      </c>
      <c r="L185" s="6">
        <v>1</v>
      </c>
      <c r="M185" s="6">
        <v>320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3"/>
        <v>01801</v>
      </c>
      <c r="B186" s="2">
        <v>107</v>
      </c>
      <c r="C186" s="10" t="str">
        <f ca="1">VLOOKUP($B186,OFFSET([2]gachas!$A$2,0,0,COUNTA([2]gachas!$A:$A),MATCH(C$1,[2]gachas!$1:$1,0)-MATCH($B$1,[2]gachas!$1:$1,0)+1),MATCH(C$1,[2]gachas!$1:$1,0)-MATCH($B$1,[2]gachas!$1:$1,0)+1,FALSE)</f>
        <v>新キャラ追加03（新撰組）</v>
      </c>
      <c r="D186" s="6">
        <v>0</v>
      </c>
      <c r="E186" s="7">
        <v>180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PremiumN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5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アニマル</v>
      </c>
      <c r="L186" s="6">
        <v>1</v>
      </c>
      <c r="M186" s="6">
        <v>320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3"/>
        <v>01831</v>
      </c>
      <c r="B187" s="2">
        <v>107</v>
      </c>
      <c r="C187" s="10" t="str">
        <f ca="1">VLOOKUP($B187,OFFSET([2]gachas!$A$2,0,0,COUNTA([2]gachas!$A:$A),MATCH(C$1,[2]gachas!$1:$1,0)-MATCH($B$1,[2]gachas!$1:$1,0)+1),MATCH(C$1,[2]gachas!$1:$1,0)-MATCH($B$1,[2]gachas!$1:$1,0)+1,FALSE)</f>
        <v>新キャラ追加03（新撰組）</v>
      </c>
      <c r="D187" s="6">
        <v>0</v>
      </c>
      <c r="E187" s="7">
        <v>183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PremiumN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5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アニマル</v>
      </c>
      <c r="L187" s="6">
        <v>1</v>
      </c>
      <c r="M187" s="6">
        <v>320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3"/>
        <v>01861</v>
      </c>
      <c r="B188" s="2">
        <v>107</v>
      </c>
      <c r="C188" s="10" t="str">
        <f ca="1">VLOOKUP($B188,OFFSET([2]gachas!$A$2,0,0,COUNTA([2]gachas!$A:$A),MATCH(C$1,[2]gachas!$1:$1,0)-MATCH($B$1,[2]gachas!$1:$1,0)+1),MATCH(C$1,[2]gachas!$1:$1,0)-MATCH($B$1,[2]gachas!$1:$1,0)+1,FALSE)</f>
        <v>新キャラ追加03（新撰組）</v>
      </c>
      <c r="D188" s="6">
        <v>0</v>
      </c>
      <c r="E188" s="7">
        <v>186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PremiumN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5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アニマル</v>
      </c>
      <c r="L188" s="6">
        <v>1</v>
      </c>
      <c r="M188" s="6">
        <v>320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3"/>
        <v>01891</v>
      </c>
      <c r="B189" s="2">
        <v>107</v>
      </c>
      <c r="C189" s="10" t="str">
        <f ca="1">VLOOKUP($B189,OFFSET([2]gachas!$A$2,0,0,COUNTA([2]gachas!$A:$A),MATCH(C$1,[2]gachas!$1:$1,0)-MATCH($B$1,[2]gachas!$1:$1,0)+1),MATCH(C$1,[2]gachas!$1:$1,0)-MATCH($B$1,[2]gachas!$1:$1,0)+1,FALSE)</f>
        <v>新キャラ追加03（新撰組）</v>
      </c>
      <c r="D189" s="6">
        <v>0</v>
      </c>
      <c r="E189" s="7">
        <v>189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迅雷の王禽 ホルス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PremiumN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5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アニマル</v>
      </c>
      <c r="L189" s="6">
        <v>1</v>
      </c>
      <c r="M189" s="6">
        <v>320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3"/>
        <v>01921</v>
      </c>
      <c r="B190" s="2">
        <v>107</v>
      </c>
      <c r="C190" s="10" t="str">
        <f ca="1">VLOOKUP($B190,OFFSET([2]gachas!$A$2,0,0,COUNTA([2]gachas!$A:$A),MATCH(C$1,[2]gachas!$1:$1,0)-MATCH($B$1,[2]gachas!$1:$1,0)+1),MATCH(C$1,[2]gachas!$1:$1,0)-MATCH($B$1,[2]gachas!$1:$1,0)+1,FALSE)</f>
        <v>新キャラ追加03（新撰組）</v>
      </c>
      <c r="D190" s="6">
        <v>0</v>
      </c>
      <c r="E190" s="7">
        <v>192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ヒューマン</v>
      </c>
      <c r="L190" s="6">
        <v>1</v>
      </c>
      <c r="M190" s="6">
        <v>320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3"/>
        <v>01951</v>
      </c>
      <c r="B191" s="2">
        <v>107</v>
      </c>
      <c r="C191" s="10" t="str">
        <f ca="1">VLOOKUP($B191,OFFSET([2]gachas!$A$2,0,0,COUNTA([2]gachas!$A:$A),MATCH(C$1,[2]gachas!$1:$1,0)-MATCH($B$1,[2]gachas!$1:$1,0)+1),MATCH(C$1,[2]gachas!$1:$1,0)-MATCH($B$1,[2]gachas!$1:$1,0)+1,FALSE)</f>
        <v>新キャラ追加03（新撰組）</v>
      </c>
      <c r="D191" s="6">
        <v>0</v>
      </c>
      <c r="E191" s="7">
        <v>195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ヒューマン</v>
      </c>
      <c r="L191" s="6">
        <v>1</v>
      </c>
      <c r="M191" s="6">
        <v>320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3"/>
        <v>01981</v>
      </c>
      <c r="B192" s="2">
        <v>107</v>
      </c>
      <c r="C192" s="10" t="str">
        <f ca="1">VLOOKUP($B192,OFFSET([2]gachas!$A$2,0,0,COUNTA([2]gachas!$A:$A),MATCH(C$1,[2]gachas!$1:$1,0)-MATCH($B$1,[2]gachas!$1:$1,0)+1),MATCH(C$1,[2]gachas!$1:$1,0)-MATCH($B$1,[2]gachas!$1:$1,0)+1,FALSE)</f>
        <v>新キャラ追加03（新撰組）</v>
      </c>
      <c r="D192" s="6">
        <v>0</v>
      </c>
      <c r="E192" s="7">
        <v>198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砕骨の剛腕 アキレス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yellow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ヒューマン</v>
      </c>
      <c r="L192" s="6">
        <v>1</v>
      </c>
      <c r="M192" s="6">
        <v>320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3"/>
        <v>02011</v>
      </c>
      <c r="B193" s="2">
        <v>107</v>
      </c>
      <c r="C193" s="10" t="str">
        <f ca="1">VLOOKUP($B193,OFFSET([2]gachas!$A$2,0,0,COUNTA([2]gachas!$A:$A),MATCH(C$1,[2]gachas!$1:$1,0)-MATCH($B$1,[2]gachas!$1:$1,0)+1),MATCH(C$1,[2]gachas!$1:$1,0)-MATCH($B$1,[2]gachas!$1:$1,0)+1,FALSE)</f>
        <v>新キャラ追加03（新撰組）</v>
      </c>
      <c r="D193" s="6">
        <v>0</v>
      </c>
      <c r="E193" s="7">
        <v>201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blue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ヒューマン</v>
      </c>
      <c r="L193" s="6">
        <v>1</v>
      </c>
      <c r="M193" s="6">
        <v>320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3"/>
        <v>02041</v>
      </c>
      <c r="B194" s="2">
        <v>107</v>
      </c>
      <c r="C194" s="10" t="str">
        <f ca="1">VLOOKUP($B194,OFFSET([2]gachas!$A$2,0,0,COUNTA([2]gachas!$A:$A),MATCH(C$1,[2]gachas!$1:$1,0)-MATCH($B$1,[2]gachas!$1:$1,0)+1),MATCH(C$1,[2]gachas!$1:$1,0)-MATCH($B$1,[2]gachas!$1:$1,0)+1,FALSE)</f>
        <v>新キャラ追加03（新撰組）</v>
      </c>
      <c r="D194" s="6">
        <v>0</v>
      </c>
      <c r="E194" s="7">
        <v>204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ゴッド</v>
      </c>
      <c r="L194" s="6">
        <v>1</v>
      </c>
      <c r="M194" s="6">
        <v>320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3"/>
        <v>02071</v>
      </c>
      <c r="B195" s="2">
        <v>107</v>
      </c>
      <c r="C195" s="10" t="str">
        <f ca="1">VLOOKUP($B195,OFFSET([2]gachas!$A$2,0,0,COUNTA([2]gachas!$A:$A),MATCH(C$1,[2]gachas!$1:$1,0)-MATCH($B$1,[2]gachas!$1:$1,0)+1),MATCH(C$1,[2]gachas!$1:$1,0)-MATCH($B$1,[2]gachas!$1:$1,0)+1,FALSE)</f>
        <v>新キャラ追加03（新撰組）</v>
      </c>
      <c r="D195" s="6">
        <v>0</v>
      </c>
      <c r="E195" s="7">
        <v>207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ゴッド</v>
      </c>
      <c r="L195" s="6">
        <v>1</v>
      </c>
      <c r="M195" s="6">
        <v>320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3"/>
        <v>02101</v>
      </c>
      <c r="B196" s="2">
        <v>107</v>
      </c>
      <c r="C196" s="10" t="str">
        <f ca="1">VLOOKUP($B196,OFFSET([2]gachas!$A$2,0,0,COUNTA([2]gachas!$A:$A),MATCH(C$1,[2]gachas!$1:$1,0)-MATCH($B$1,[2]gachas!$1:$1,0)+1),MATCH(C$1,[2]gachas!$1:$1,0)-MATCH($B$1,[2]gachas!$1:$1,0)+1,FALSE)</f>
        <v>新キャラ追加03（新撰組）</v>
      </c>
      <c r="D196" s="6">
        <v>0</v>
      </c>
      <c r="E196" s="7">
        <v>210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ゴッド</v>
      </c>
      <c r="L196" s="6">
        <v>1</v>
      </c>
      <c r="M196" s="6">
        <v>320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3"/>
        <v>02131</v>
      </c>
      <c r="B197" s="2">
        <v>107</v>
      </c>
      <c r="C197" s="10" t="str">
        <f ca="1">VLOOKUP($B197,OFFSET([2]gachas!$A$2,0,0,COUNTA([2]gachas!$A:$A),MATCH(C$1,[2]gachas!$1:$1,0)-MATCH($B$1,[2]gachas!$1:$1,0)+1),MATCH(C$1,[2]gachas!$1:$1,0)-MATCH($B$1,[2]gachas!$1:$1,0)+1,FALSE)</f>
        <v>新キャラ追加03（新撰組）</v>
      </c>
      <c r="D197" s="6">
        <v>0</v>
      </c>
      <c r="E197" s="7">
        <v>213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ゴッド</v>
      </c>
      <c r="L197" s="6">
        <v>1</v>
      </c>
      <c r="M197" s="6">
        <v>320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3"/>
        <v>02161</v>
      </c>
      <c r="B198" s="2">
        <v>107</v>
      </c>
      <c r="C198" s="10" t="str">
        <f ca="1">VLOOKUP($B198,OFFSET([2]gachas!$A$2,0,0,COUNTA([2]gachas!$A:$A),MATCH(C$1,[2]gachas!$1:$1,0)-MATCH($B$1,[2]gachas!$1:$1,0)+1),MATCH(C$1,[2]gachas!$1:$1,0)-MATCH($B$1,[2]gachas!$1:$1,0)+1,FALSE)</f>
        <v>新キャラ追加03（新撰組）</v>
      </c>
      <c r="D198" s="6">
        <v>0</v>
      </c>
      <c r="E198" s="7">
        <v>216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ゴッド</v>
      </c>
      <c r="L198" s="6">
        <v>1</v>
      </c>
      <c r="M198" s="6">
        <v>320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3"/>
        <v>02191</v>
      </c>
      <c r="B199" s="2">
        <v>107</v>
      </c>
      <c r="C199" s="10" t="str">
        <f ca="1">VLOOKUP($B199,OFFSET([2]gachas!$A$2,0,0,COUNTA([2]gachas!$A:$A),MATCH(C$1,[2]gachas!$1:$1,0)-MATCH($B$1,[2]gachas!$1:$1,0)+1),MATCH(C$1,[2]gachas!$1:$1,0)-MATCH($B$1,[2]gachas!$1:$1,0)+1,FALSE)</f>
        <v>新キャラ追加03（新撰組）</v>
      </c>
      <c r="D199" s="6">
        <v>0</v>
      </c>
      <c r="E199" s="7">
        <v>219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ドラゴン</v>
      </c>
      <c r="L199" s="6">
        <v>1</v>
      </c>
      <c r="M199" s="6">
        <v>320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3"/>
        <v>02221</v>
      </c>
      <c r="B200" s="2">
        <v>107</v>
      </c>
      <c r="C200" s="10" t="str">
        <f ca="1">VLOOKUP($B200,OFFSET([2]gachas!$A$2,0,0,COUNTA([2]gachas!$A:$A),MATCH(C$1,[2]gachas!$1:$1,0)-MATCH($B$1,[2]gachas!$1:$1,0)+1),MATCH(C$1,[2]gachas!$1:$1,0)-MATCH($B$1,[2]gachas!$1:$1,0)+1,FALSE)</f>
        <v>新キャラ追加03（新撰組）</v>
      </c>
      <c r="D200" s="6">
        <v>0</v>
      </c>
      <c r="E200" s="7">
        <v>222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blue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ゴッド</v>
      </c>
      <c r="L200" s="6">
        <v>1</v>
      </c>
      <c r="M200" s="6">
        <v>320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3"/>
        <v>02251</v>
      </c>
      <c r="B201" s="2">
        <v>107</v>
      </c>
      <c r="C201" s="10" t="str">
        <f ca="1">VLOOKUP($B201,OFFSET([2]gachas!$A$2,0,0,COUNTA([2]gachas!$A:$A),MATCH(C$1,[2]gachas!$1:$1,0)-MATCH($B$1,[2]gachas!$1:$1,0)+1),MATCH(C$1,[2]gachas!$1:$1,0)-MATCH($B$1,[2]gachas!$1:$1,0)+1,FALSE)</f>
        <v>新キャラ追加03（新撰組）</v>
      </c>
      <c r="D201" s="6">
        <v>0</v>
      </c>
      <c r="E201" s="7">
        <v>225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yellow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6">
        <v>1</v>
      </c>
      <c r="M201" s="6">
        <v>320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3"/>
        <v>02281</v>
      </c>
      <c r="B202" s="2">
        <v>107</v>
      </c>
      <c r="C202" s="10" t="str">
        <f ca="1">VLOOKUP($B202,OFFSET([2]gachas!$A$2,0,0,COUNTA([2]gachas!$A:$A),MATCH(C$1,[2]gachas!$1:$1,0)-MATCH($B$1,[2]gachas!$1:$1,0)+1),MATCH(C$1,[2]gachas!$1:$1,0)-MATCH($B$1,[2]gachas!$1:$1,0)+1,FALSE)</f>
        <v>新キャラ追加03（新撰組）</v>
      </c>
      <c r="D202" s="6">
        <v>0</v>
      </c>
      <c r="E202" s="7">
        <v>228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殲滅の掃射砲 アレス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PremiumS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6">
        <v>1</v>
      </c>
      <c r="M202" s="6">
        <v>36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3"/>
        <v>02311</v>
      </c>
      <c r="B203" s="2">
        <v>107</v>
      </c>
      <c r="C203" s="10" t="str">
        <f ca="1">VLOOKUP($B203,OFFSET([2]gachas!$A$2,0,0,COUNTA([2]gachas!$A:$A),MATCH(C$1,[2]gachas!$1:$1,0)-MATCH($B$1,[2]gachas!$1:$1,0)+1),MATCH(C$1,[2]gachas!$1:$1,0)-MATCH($B$1,[2]gachas!$1:$1,0)+1,FALSE)</f>
        <v>新キャラ追加03（新撰組）</v>
      </c>
      <c r="D203" s="6">
        <v>0</v>
      </c>
      <c r="E203" s="7">
        <v>231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PremiumS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ドラゴン</v>
      </c>
      <c r="L203" s="6">
        <v>1</v>
      </c>
      <c r="M203" s="6">
        <v>36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3"/>
        <v>02341</v>
      </c>
      <c r="B204" s="2">
        <v>107</v>
      </c>
      <c r="C204" s="10" t="str">
        <f ca="1">VLOOKUP($B204,OFFSET([2]gachas!$A$2,0,0,COUNTA([2]gachas!$A:$A),MATCH(C$1,[2]gachas!$1:$1,0)-MATCH($B$1,[2]gachas!$1:$1,0)+1),MATCH(C$1,[2]gachas!$1:$1,0)-MATCH($B$1,[2]gachas!$1:$1,0)+1,FALSE)</f>
        <v>新キャラ追加03（新撰組）</v>
      </c>
      <c r="D204" s="6">
        <v>0</v>
      </c>
      <c r="E204" s="7">
        <v>234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PremiumS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ヒューマン</v>
      </c>
      <c r="L204" s="6">
        <v>1</v>
      </c>
      <c r="M204" s="6">
        <v>36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s="26" customFormat="1" ht="21" customHeight="1" thickBot="1">
      <c r="A205" s="22" t="str">
        <f t="shared" si="3"/>
        <v>02371</v>
      </c>
      <c r="B205" s="2">
        <v>107</v>
      </c>
      <c r="C205" s="10" t="str">
        <f ca="1">VLOOKUP($B205,OFFSET([2]gachas!$A$2,0,0,COUNTA([2]gachas!$A:$A),MATCH(C$1,[2]gachas!$1:$1,0)-MATCH($B$1,[2]gachas!$1:$1,0)+1),MATCH(C$1,[2]gachas!$1:$1,0)-MATCH($B$1,[2]gachas!$1:$1,0)+1,FALSE)</f>
        <v>新キャラ追加03（新撰組）</v>
      </c>
      <c r="D205" s="6">
        <v>0</v>
      </c>
      <c r="E205" s="7">
        <v>237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PremiumS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6">
        <v>36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3"/>
        <v>02381</v>
      </c>
      <c r="B206" s="2">
        <v>107</v>
      </c>
      <c r="C206" s="10" t="str">
        <f ca="1">VLOOKUP($B206,OFFSET([2]gachas!$A$2,0,0,COUNTA([2]gachas!$A:$A),MATCH(C$1,[2]gachas!$1:$1,0)-MATCH($B$1,[2]gachas!$1:$1,0)+1),MATCH(C$1,[2]gachas!$1:$1,0)-MATCH($B$1,[2]gachas!$1:$1,0)+1,FALSE)</f>
        <v>新キャラ追加03（新撰組）</v>
      </c>
      <c r="D206" s="6">
        <v>0</v>
      </c>
      <c r="E206" s="19">
        <v>238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ウリエル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PremiumS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3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マシン</v>
      </c>
      <c r="L206" s="6">
        <v>1</v>
      </c>
      <c r="M206" s="6">
        <v>504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3"/>
        <v>02391</v>
      </c>
      <c r="B207" s="2">
        <v>107</v>
      </c>
      <c r="C207" s="10" t="str">
        <f ca="1">VLOOKUP($B207,OFFSET([2]gachas!$A$2,0,0,COUNTA([2]gachas!$A:$A),MATCH(C$1,[2]gachas!$1:$1,0)-MATCH($B$1,[2]gachas!$1:$1,0)+1),MATCH(C$1,[2]gachas!$1:$1,0)-MATCH($B$1,[2]gachas!$1:$1,0)+1,FALSE)</f>
        <v>新キャラ追加03（新撰組）</v>
      </c>
      <c r="D207" s="6">
        <v>0</v>
      </c>
      <c r="E207" s="19">
        <v>239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豪炎の天使 ウリエル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PremiumS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4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red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マシン</v>
      </c>
      <c r="L207" s="6">
        <v>1</v>
      </c>
      <c r="M207" s="6">
        <v>180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3"/>
        <v>02401</v>
      </c>
      <c r="B208" s="2">
        <v>107</v>
      </c>
      <c r="C208" s="10" t="str">
        <f ca="1">VLOOKUP($B208,OFFSET([2]gachas!$A$2,0,0,COUNTA([2]gachas!$A:$A),MATCH(C$1,[2]gachas!$1:$1,0)-MATCH($B$1,[2]gachas!$1:$1,0)+1),MATCH(C$1,[2]gachas!$1:$1,0)-MATCH($B$1,[2]gachas!$1:$1,0)+1,FALSE)</f>
        <v>新キャラ追加03（新撰組）</v>
      </c>
      <c r="D208" s="6">
        <v>0</v>
      </c>
      <c r="E208" s="19">
        <v>240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PremiumS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red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マシン</v>
      </c>
      <c r="L208" s="6">
        <v>1</v>
      </c>
      <c r="M208" s="6">
        <v>36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3"/>
        <v>02411</v>
      </c>
      <c r="B209" s="2">
        <v>107</v>
      </c>
      <c r="C209" s="10" t="str">
        <f ca="1">VLOOKUP($B209,OFFSET([2]gachas!$A$2,0,0,COUNTA([2]gachas!$A:$A),MATCH(C$1,[2]gachas!$1:$1,0)-MATCH($B$1,[2]gachas!$1:$1,0)+1),MATCH(C$1,[2]gachas!$1:$1,0)-MATCH($B$1,[2]gachas!$1:$1,0)+1,FALSE)</f>
        <v>新キャラ追加03（新撰組）</v>
      </c>
      <c r="D209" s="6">
        <v>0</v>
      </c>
      <c r="E209" s="19">
        <v>241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ガブリエル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PremiumS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3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green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マシン</v>
      </c>
      <c r="L209" s="6">
        <v>1</v>
      </c>
      <c r="M209" s="6">
        <v>504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3"/>
        <v>02421</v>
      </c>
      <c r="B210" s="2">
        <v>107</v>
      </c>
      <c r="C210" s="10" t="str">
        <f ca="1">VLOOKUP($B210,OFFSET([2]gachas!$A$2,0,0,COUNTA([2]gachas!$A:$A),MATCH(C$1,[2]gachas!$1:$1,0)-MATCH($B$1,[2]gachas!$1:$1,0)+1),MATCH(C$1,[2]gachas!$1:$1,0)-MATCH($B$1,[2]gachas!$1:$1,0)+1,FALSE)</f>
        <v>新キャラ追加03（新撰組）</v>
      </c>
      <c r="D210" s="6">
        <v>0</v>
      </c>
      <c r="E210" s="19">
        <v>242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4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green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マシン</v>
      </c>
      <c r="L210" s="6">
        <v>1</v>
      </c>
      <c r="M210" s="6">
        <v>180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ref="A211:A237" si="4">D211&amp;E211&amp;L211</f>
        <v>02431</v>
      </c>
      <c r="B211" s="2">
        <v>107</v>
      </c>
      <c r="C211" s="10" t="str">
        <f ca="1">VLOOKUP($B211,OFFSET([2]gachas!$A$2,0,0,COUNTA([2]gachas!$A:$A),MATCH(C$1,[2]gachas!$1:$1,0)-MATCH($B$1,[2]gachas!$1:$1,0)+1),MATCH(C$1,[2]gachas!$1:$1,0)-MATCH($B$1,[2]gachas!$1:$1,0)+1,FALSE)</f>
        <v>新キャラ追加03（新撰組）</v>
      </c>
      <c r="D211" s="6">
        <v>0</v>
      </c>
      <c r="E211" s="19">
        <v>243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マシン</v>
      </c>
      <c r="L211" s="6">
        <v>1</v>
      </c>
      <c r="M211" s="6">
        <v>36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4"/>
        <v>02441</v>
      </c>
      <c r="B212" s="2">
        <v>107</v>
      </c>
      <c r="C212" s="10" t="str">
        <f ca="1">VLOOKUP($B212,OFFSET([2]gachas!$A$2,0,0,COUNTA([2]gachas!$A:$A),MATCH(C$1,[2]gachas!$1:$1,0)-MATCH($B$1,[2]gachas!$1:$1,0)+1),MATCH(C$1,[2]gachas!$1:$1,0)-MATCH($B$1,[2]gachas!$1:$1,0)+1,FALSE)</f>
        <v>新キャラ追加03（新撰組）</v>
      </c>
      <c r="D212" s="6">
        <v>0</v>
      </c>
      <c r="E212" s="19">
        <v>244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ラファエル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3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マシン</v>
      </c>
      <c r="L212" s="6">
        <v>1</v>
      </c>
      <c r="M212" s="6">
        <v>504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ht="21" customHeight="1">
      <c r="A213" s="8" t="str">
        <f t="shared" si="4"/>
        <v>02451</v>
      </c>
      <c r="B213" s="2">
        <v>107</v>
      </c>
      <c r="C213" s="10" t="str">
        <f ca="1">VLOOKUP($B213,OFFSET([2]gachas!$A$2,0,0,COUNTA([2]gachas!$A:$A),MATCH(C$1,[2]gachas!$1:$1,0)-MATCH($B$1,[2]gachas!$1:$1,0)+1),MATCH(C$1,[2]gachas!$1:$1,0)-MATCH($B$1,[2]gachas!$1:$1,0)+1,FALSE)</f>
        <v>新キャラ追加03（新撰組）</v>
      </c>
      <c r="D213" s="6">
        <v>0</v>
      </c>
      <c r="E213" s="19">
        <v>245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4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blue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マシン</v>
      </c>
      <c r="L213" s="6">
        <v>1</v>
      </c>
      <c r="M213" s="6">
        <v>180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4"/>
        <v>02461</v>
      </c>
      <c r="B214" s="2">
        <v>107</v>
      </c>
      <c r="C214" s="10" t="str">
        <f ca="1">VLOOKUP($B214,OFFSET([2]gachas!$A$2,0,0,COUNTA([2]gachas!$A:$A),MATCH(C$1,[2]gachas!$1:$1,0)-MATCH($B$1,[2]gachas!$1:$1,0)+1),MATCH(C$1,[2]gachas!$1:$1,0)-MATCH($B$1,[2]gachas!$1:$1,0)+1,FALSE)</f>
        <v>新キャラ追加03（新撰組）</v>
      </c>
      <c r="D214" s="6">
        <v>0</v>
      </c>
      <c r="E214" s="19">
        <v>246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5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blue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6">
        <v>36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4"/>
        <v>02471</v>
      </c>
      <c r="B215" s="2">
        <v>107</v>
      </c>
      <c r="C215" s="10" t="str">
        <f ca="1">VLOOKUP($B215,OFFSET([2]gachas!$A$2,0,0,COUNTA([2]gachas!$A:$A),MATCH(C$1,[2]gachas!$1:$1,0)-MATCH($B$1,[2]gachas!$1:$1,0)+1),MATCH(C$1,[2]gachas!$1:$1,0)-MATCH($B$1,[2]gachas!$1:$1,0)+1,FALSE)</f>
        <v>新キャラ追加03（新撰組）</v>
      </c>
      <c r="D215" s="6">
        <v>0</v>
      </c>
      <c r="E215" s="19">
        <v>247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ミカエル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3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yellow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6">
        <v>504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4"/>
        <v>02481</v>
      </c>
      <c r="B216" s="2">
        <v>107</v>
      </c>
      <c r="C216" s="10" t="str">
        <f ca="1">VLOOKUP($B216,OFFSET([2]gachas!$A$2,0,0,COUNTA([2]gachas!$A:$A),MATCH(C$1,[2]gachas!$1:$1,0)-MATCH($B$1,[2]gachas!$1:$1,0)+1),MATCH(C$1,[2]gachas!$1:$1,0)-MATCH($B$1,[2]gachas!$1:$1,0)+1,FALSE)</f>
        <v>新キャラ追加03（新撰組）</v>
      </c>
      <c r="D216" s="6">
        <v>0</v>
      </c>
      <c r="E216" s="19">
        <v>248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彩電の天使 ミカエル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4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yellow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6">
        <v>180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s="26" customFormat="1" ht="21" customHeight="1" thickBot="1">
      <c r="A217" s="22" t="str">
        <f t="shared" si="4"/>
        <v>02491</v>
      </c>
      <c r="B217" s="2">
        <v>107</v>
      </c>
      <c r="C217" s="10" t="str">
        <f ca="1">VLOOKUP($B217,OFFSET([2]gachas!$A$2,0,0,COUNTA([2]gachas!$A:$A),MATCH(C$1,[2]gachas!$1:$1,0)-MATCH($B$1,[2]gachas!$1:$1,0)+1),MATCH(C$1,[2]gachas!$1:$1,0)-MATCH($B$1,[2]gachas!$1:$1,0)+1,FALSE)</f>
        <v>新キャラ追加03（新撰組）</v>
      </c>
      <c r="D217" s="6">
        <v>0</v>
      </c>
      <c r="E217" s="19">
        <v>249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5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yellow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6">
        <v>1</v>
      </c>
      <c r="M217" s="6">
        <v>36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s="26" customFormat="1" ht="21" customHeight="1" thickBot="1">
      <c r="A218" s="22" t="str">
        <f t="shared" si="4"/>
        <v>02501</v>
      </c>
      <c r="B218" s="2">
        <v>107</v>
      </c>
      <c r="C218" s="10" t="str">
        <f ca="1">VLOOKUP($B218,OFFSET([2]gachas!$A$2,0,0,COUNTA([2]gachas!$A:$A),MATCH(C$1,[2]gachas!$1:$1,0)-MATCH($B$1,[2]gachas!$1:$1,0)+1),MATCH(C$1,[2]gachas!$1:$1,0)-MATCH($B$1,[2]gachas!$1:$1,0)+1,FALSE)</f>
        <v>新キャラ追加03（新撰組）</v>
      </c>
      <c r="D218" s="6">
        <v>0</v>
      </c>
      <c r="E218" s="7">
        <v>250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マンモン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3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red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ゴッド</v>
      </c>
      <c r="L218" s="6">
        <v>1</v>
      </c>
      <c r="M218" s="6">
        <v>504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 thickBot="1">
      <c r="A219" s="22" t="str">
        <f t="shared" si="4"/>
        <v>02511</v>
      </c>
      <c r="B219" s="2">
        <v>107</v>
      </c>
      <c r="C219" s="10" t="str">
        <f ca="1">VLOOKUP($B219,OFFSET([2]gachas!$A$2,0,0,COUNTA([2]gachas!$A:$A),MATCH(C$1,[2]gachas!$1:$1,0)-MATCH($B$1,[2]gachas!$1:$1,0)+1),MATCH(C$1,[2]gachas!$1:$1,0)-MATCH($B$1,[2]gachas!$1:$1,0)+1,FALSE)</f>
        <v>新キャラ追加03（新撰組）</v>
      </c>
      <c r="D219" s="6">
        <v>0</v>
      </c>
      <c r="E219" s="7">
        <v>251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強欲 マンモン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4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red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ゴッド</v>
      </c>
      <c r="L219" s="6">
        <v>1</v>
      </c>
      <c r="M219" s="6">
        <v>180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 thickBot="1">
      <c r="A220" s="22" t="str">
        <f t="shared" si="4"/>
        <v>02521</v>
      </c>
      <c r="B220" s="2">
        <v>107</v>
      </c>
      <c r="C220" s="10" t="str">
        <f ca="1">VLOOKUP($B220,OFFSET([2]gachas!$A$2,0,0,COUNTA([2]gachas!$A:$A),MATCH(C$1,[2]gachas!$1:$1,0)-MATCH($B$1,[2]gachas!$1:$1,0)+1),MATCH(C$1,[2]gachas!$1:$1,0)-MATCH($B$1,[2]gachas!$1:$1,0)+1,FALSE)</f>
        <v>新キャラ追加03（新撰組）</v>
      </c>
      <c r="D220" s="6">
        <v>0</v>
      </c>
      <c r="E220" s="7">
        <v>252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強欲の沸騰 マンモン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5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red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ゴッド</v>
      </c>
      <c r="L220" s="6">
        <v>1</v>
      </c>
      <c r="M220" s="6">
        <v>36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 thickBot="1">
      <c r="A221" s="22" t="str">
        <f t="shared" si="4"/>
        <v>02531</v>
      </c>
      <c r="B221" s="2">
        <v>107</v>
      </c>
      <c r="C221" s="10" t="str">
        <f ca="1">VLOOKUP($B221,OFFSET([2]gachas!$A$2,0,0,COUNTA([2]gachas!$A:$A),MATCH(C$1,[2]gachas!$1:$1,0)-MATCH($B$1,[2]gachas!$1:$1,0)+1),MATCH(C$1,[2]gachas!$1:$1,0)-MATCH($B$1,[2]gachas!$1:$1,0)+1,FALSE)</f>
        <v>新キャラ追加03（新撰組）</v>
      </c>
      <c r="D221" s="6">
        <v>0</v>
      </c>
      <c r="E221" s="7">
        <v>253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ベルフェゴール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3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green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ゴッド</v>
      </c>
      <c r="L221" s="6">
        <v>1</v>
      </c>
      <c r="M221" s="6">
        <v>504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 thickBot="1">
      <c r="A222" s="22" t="str">
        <f t="shared" si="4"/>
        <v>02541</v>
      </c>
      <c r="B222" s="2">
        <v>107</v>
      </c>
      <c r="C222" s="10" t="str">
        <f ca="1">VLOOKUP($B222,OFFSET([2]gachas!$A$2,0,0,COUNTA([2]gachas!$A:$A),MATCH(C$1,[2]gachas!$1:$1,0)-MATCH($B$1,[2]gachas!$1:$1,0)+1),MATCH(C$1,[2]gachas!$1:$1,0)-MATCH($B$1,[2]gachas!$1:$1,0)+1,FALSE)</f>
        <v>新キャラ追加03（新撰組）</v>
      </c>
      <c r="D222" s="6">
        <v>0</v>
      </c>
      <c r="E222" s="7">
        <v>254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怠惰 ベルフェゴール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4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green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ゴッド</v>
      </c>
      <c r="L222" s="6">
        <v>1</v>
      </c>
      <c r="M222" s="6">
        <v>180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 thickBot="1">
      <c r="A223" s="22" t="str">
        <f t="shared" si="4"/>
        <v>02551</v>
      </c>
      <c r="B223" s="2">
        <v>107</v>
      </c>
      <c r="C223" s="10" t="str">
        <f ca="1">VLOOKUP($B223,OFFSET([2]gachas!$A$2,0,0,COUNTA([2]gachas!$A:$A),MATCH(C$1,[2]gachas!$1:$1,0)-MATCH($B$1,[2]gachas!$1:$1,0)+1),MATCH(C$1,[2]gachas!$1:$1,0)-MATCH($B$1,[2]gachas!$1:$1,0)+1,FALSE)</f>
        <v>新キャラ追加03（新撰組）</v>
      </c>
      <c r="D223" s="6">
        <v>0</v>
      </c>
      <c r="E223" s="7">
        <v>255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5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green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ゴッド</v>
      </c>
      <c r="L223" s="6">
        <v>1</v>
      </c>
      <c r="M223" s="6">
        <v>36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 thickBot="1">
      <c r="A224" s="22" t="str">
        <f t="shared" si="4"/>
        <v>02561</v>
      </c>
      <c r="B224" s="2">
        <v>107</v>
      </c>
      <c r="C224" s="10" t="str">
        <f ca="1">VLOOKUP($B224,OFFSET([2]gachas!$A$2,0,0,COUNTA([2]gachas!$A:$A),MATCH(C$1,[2]gachas!$1:$1,0)-MATCH($B$1,[2]gachas!$1:$1,0)+1),MATCH(C$1,[2]gachas!$1:$1,0)-MATCH($B$1,[2]gachas!$1:$1,0)+1,FALSE)</f>
        <v>新キャラ追加03（新撰組）</v>
      </c>
      <c r="D224" s="6">
        <v>0</v>
      </c>
      <c r="E224" s="7">
        <v>256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アスモデウス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3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blue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ゴッド</v>
      </c>
      <c r="L224" s="6">
        <v>1</v>
      </c>
      <c r="M224" s="6">
        <v>504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ht="21" customHeight="1" thickBot="1">
      <c r="A225" s="22" t="str">
        <f t="shared" si="4"/>
        <v>02571</v>
      </c>
      <c r="B225" s="2">
        <v>107</v>
      </c>
      <c r="C225" s="10" t="str">
        <f ca="1">VLOOKUP($B225,OFFSET([2]gachas!$A$2,0,0,COUNTA([2]gachas!$A:$A),MATCH(C$1,[2]gachas!$1:$1,0)-MATCH($B$1,[2]gachas!$1:$1,0)+1),MATCH(C$1,[2]gachas!$1:$1,0)-MATCH($B$1,[2]gachas!$1:$1,0)+1,FALSE)</f>
        <v>新キャラ追加03（新撰組）</v>
      </c>
      <c r="D225" s="6">
        <v>0</v>
      </c>
      <c r="E225" s="7">
        <v>257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色欲 アスモデウス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4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blue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ゴッド</v>
      </c>
      <c r="L225" s="6">
        <v>1</v>
      </c>
      <c r="M225" s="6">
        <v>180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ht="21" customHeight="1" thickBot="1">
      <c r="A226" s="22" t="str">
        <f t="shared" si="4"/>
        <v>02581</v>
      </c>
      <c r="B226" s="2">
        <v>107</v>
      </c>
      <c r="C226" s="10" t="str">
        <f ca="1">VLOOKUP($B226,OFFSET([2]gachas!$A$2,0,0,COUNTA([2]gachas!$A:$A),MATCH(C$1,[2]gachas!$1:$1,0)-MATCH($B$1,[2]gachas!$1:$1,0)+1),MATCH(C$1,[2]gachas!$1:$1,0)-MATCH($B$1,[2]gachas!$1:$1,0)+1,FALSE)</f>
        <v>新キャラ追加03（新撰組）</v>
      </c>
      <c r="D226" s="6">
        <v>0</v>
      </c>
      <c r="E226" s="7">
        <v>258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5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blue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6">
        <v>36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4"/>
        <v>02591</v>
      </c>
      <c r="B227" s="2">
        <v>107</v>
      </c>
      <c r="C227" s="10" t="str">
        <f ca="1">VLOOKUP($B227,OFFSET([2]gachas!$A$2,0,0,COUNTA([2]gachas!$A:$A),MATCH(C$1,[2]gachas!$1:$1,0)-MATCH($B$1,[2]gachas!$1:$1,0)+1),MATCH(C$1,[2]gachas!$1:$1,0)-MATCH($B$1,[2]gachas!$1:$1,0)+1,FALSE)</f>
        <v>新キャラ追加03（新撰組）</v>
      </c>
      <c r="D227" s="6">
        <v>0</v>
      </c>
      <c r="E227" s="7">
        <v>259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ウロボロス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3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yellow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ドラゴン</v>
      </c>
      <c r="L227" s="6">
        <v>1</v>
      </c>
      <c r="M227" s="6">
        <v>504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4"/>
        <v>02601</v>
      </c>
      <c r="B228" s="2">
        <v>107</v>
      </c>
      <c r="C228" s="10" t="str">
        <f ca="1">VLOOKUP($B228,OFFSET([2]gachas!$A$2,0,0,COUNTA([2]gachas!$A:$A),MATCH(C$1,[2]gachas!$1:$1,0)-MATCH($B$1,[2]gachas!$1:$1,0)+1),MATCH(C$1,[2]gachas!$1:$1,0)-MATCH($B$1,[2]gachas!$1:$1,0)+1,FALSE)</f>
        <v>新キャラ追加03（新撰組）</v>
      </c>
      <c r="D228" s="6">
        <v>0</v>
      </c>
      <c r="E228" s="7">
        <v>260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輪廻 ウロボロス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4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yellow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ドラゴン</v>
      </c>
      <c r="L228" s="6">
        <v>1</v>
      </c>
      <c r="M228" s="6">
        <v>180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4"/>
        <v>02611</v>
      </c>
      <c r="B229" s="2">
        <v>107</v>
      </c>
      <c r="C229" s="10" t="str">
        <f ca="1">VLOOKUP($B229,OFFSET([2]gachas!$A$2,0,0,COUNTA([2]gachas!$A:$A),MATCH(C$1,[2]gachas!$1:$1,0)-MATCH($B$1,[2]gachas!$1:$1,0)+1),MATCH(C$1,[2]gachas!$1:$1,0)-MATCH($B$1,[2]gachas!$1:$1,0)+1,FALSE)</f>
        <v>新キャラ追加03（新撰組）</v>
      </c>
      <c r="D229" s="6">
        <v>0</v>
      </c>
      <c r="E229" s="7">
        <v>261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5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yellow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ドラゴン</v>
      </c>
      <c r="L229" s="6">
        <v>1</v>
      </c>
      <c r="M229" s="6">
        <v>36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4"/>
        <v>03201</v>
      </c>
      <c r="B230" s="2">
        <v>107</v>
      </c>
      <c r="C230" s="10" t="str">
        <f ca="1">VLOOKUP($B230,OFFSET([2]gachas!$A$2,0,0,COUNTA([2]gachas!$A:$A),MATCH(C$1,[2]gachas!$1:$1,0)-MATCH($B$1,[2]gachas!$1:$1,0)+1),MATCH(C$1,[2]gachas!$1:$1,0)-MATCH($B$1,[2]gachas!$1:$1,0)+1,FALSE)</f>
        <v>新キャラ追加03（新撰組）</v>
      </c>
      <c r="D230" s="37">
        <v>0</v>
      </c>
      <c r="E230" s="38">
        <v>320</v>
      </c>
      <c r="F230" s="20" t="str">
        <f ca="1">VLOOKUP($E230,OFFSET([1]characters!$A$2,0,0,COUNTA([1]characters!$A:$A),MATCH(F$1,[1]characters!$2:$2,0)-MATCH($E$1,[1]characters!$2:$2,0)+1),MATCH(F$1,[1]characters!$2:$2,0)-MATCH($E$1,[1]characters!$2:$2,0)+1,FALSE)</f>
        <v>烈志士 近藤勇</v>
      </c>
      <c r="G230" s="20" t="str">
        <f ca="1">VLOOKUP($E230,OFFSET([1]characters!$A$2,0,0,COUNTA([1]characters!$A:$A),MATCH(G$1,[1]characters!$2:$2,0)-MATCH($E$1,[1]characters!$2:$2,0)+1),MATCH(G$1,[1]characters!$2:$2,0)-MATCH($E$1,[1]characters!$2:$2,0)+1,FALSE)</f>
        <v>PremiumSS</v>
      </c>
      <c r="H230" s="2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20" t="str">
        <f ca="1">VLOOKUP($E230,OFFSET([1]characters!$A$2,0,0,COUNTA([1]characters!$A:$A),MATCH(I$1,[1]characters!$2:$2,0)-MATCH($E$1,[1]characters!$2:$2,0)+1),MATCH(I$1,[1]characters!$2:$2,0)-MATCH($E$1,[1]characters!$2:$2,0)+1,FALSE)</f>
        <v>red</v>
      </c>
      <c r="J230" s="20" t="str">
        <f ca="1">VLOOKUP($E230,OFFSET([1]characters!$A$2,0,0,COUNTA([1]characters!$A:$A),MATCH("タイプ",[1]characters!$1:$1,0)-MATCH($E$1,[1]characters!$2:$2,0)+2),MATCH("タイプ",[1]characters!$1:$1,0)-MATCH($E$1,[1]characters!$2:$2,0)+2,FALSE)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0" s="20" t="str">
        <f ca="1">VLOOKUP($E230,OFFSET([1]characters!$A$2,0,0,COUNTA([1]characters!$A:$A),MATCH($K$1,[1]characters!$1:$1,0)-MATCH($E$1,[1]characters!$2:$2,0)+2),MATCH($K$1,[1]characters!$1:$1,0)-MATCH($E$1,[1]characters!$2:$2,0)+2,FALSE)</f>
        <v>ヒューマン</v>
      </c>
      <c r="L230" s="37">
        <v>1</v>
      </c>
      <c r="M230" s="37">
        <v>630</v>
      </c>
      <c r="N230" s="18">
        <v>0</v>
      </c>
      <c r="O230" s="18">
        <v>0</v>
      </c>
      <c r="P230" s="18">
        <v>0</v>
      </c>
      <c r="Q230" s="18">
        <v>0</v>
      </c>
      <c r="R230" s="18">
        <v>1</v>
      </c>
    </row>
    <row r="231" spans="1:18" ht="21" customHeight="1" thickBot="1">
      <c r="A231" s="22" t="str">
        <f t="shared" si="4"/>
        <v>03211</v>
      </c>
      <c r="B231" s="2">
        <v>107</v>
      </c>
      <c r="C231" s="10" t="str">
        <f ca="1">VLOOKUP($B231,OFFSET([2]gachas!$A$2,0,0,COUNTA([2]gachas!$A:$A),MATCH(C$1,[2]gachas!$1:$1,0)-MATCH($B$1,[2]gachas!$1:$1,0)+1),MATCH(C$1,[2]gachas!$1:$1,0)-MATCH($B$1,[2]gachas!$1:$1,0)+1,FALSE)</f>
        <v>新キャラ追加03（新撰組）</v>
      </c>
      <c r="D231" s="37">
        <v>0</v>
      </c>
      <c r="E231" s="30">
        <v>321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巌鉄の烈志士 近藤勇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red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ヒューマン</v>
      </c>
      <c r="L231" s="29">
        <v>1</v>
      </c>
      <c r="M231" s="29">
        <v>90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4"/>
        <v>03221</v>
      </c>
      <c r="B232" s="2">
        <v>107</v>
      </c>
      <c r="C232" s="10" t="str">
        <f ca="1">VLOOKUP($B232,OFFSET([2]gachas!$A$2,0,0,COUNTA([2]gachas!$A:$A),MATCH(C$1,[2]gachas!$1:$1,0)-MATCH($B$1,[2]gachas!$1:$1,0)+1),MATCH(C$1,[2]gachas!$1:$1,0)-MATCH($B$1,[2]gachas!$1:$1,0)+1,FALSE)</f>
        <v>新キャラ追加03（新撰組）</v>
      </c>
      <c r="D232" s="37">
        <v>0</v>
      </c>
      <c r="E232" s="30">
        <v>322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愛志士 土方歳三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4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green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ヒューマン</v>
      </c>
      <c r="L232" s="29">
        <v>1</v>
      </c>
      <c r="M232" s="37">
        <v>630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4"/>
        <v>03231</v>
      </c>
      <c r="B233" s="2">
        <v>107</v>
      </c>
      <c r="C233" s="10" t="str">
        <f ca="1">VLOOKUP($B233,OFFSET([2]gachas!$A$2,0,0,COUNTA([2]gachas!$A:$A),MATCH(C$1,[2]gachas!$1:$1,0)-MATCH($B$1,[2]gachas!$1:$1,0)+1),MATCH(C$1,[2]gachas!$1:$1,0)-MATCH($B$1,[2]gachas!$1:$1,0)+1,FALSE)</f>
        <v>新キャラ追加03（新撰組）</v>
      </c>
      <c r="D233" s="37">
        <v>0</v>
      </c>
      <c r="E233" s="30">
        <v>323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5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green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ヒューマン</v>
      </c>
      <c r="L233" s="29">
        <v>1</v>
      </c>
      <c r="M233" s="29">
        <v>90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4"/>
        <v>03241</v>
      </c>
      <c r="B234" s="2">
        <v>107</v>
      </c>
      <c r="C234" s="10" t="str">
        <f ca="1">VLOOKUP($B234,OFFSET([2]gachas!$A$2,0,0,COUNTA([2]gachas!$A:$A),MATCH(C$1,[2]gachas!$1:$1,0)-MATCH($B$1,[2]gachas!$1:$1,0)+1),MATCH(C$1,[2]gachas!$1:$1,0)-MATCH($B$1,[2]gachas!$1:$1,0)+1,FALSE)</f>
        <v>新キャラ追加03（新撰組）</v>
      </c>
      <c r="D234" s="37">
        <v>0</v>
      </c>
      <c r="E234" s="30">
        <v>324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凛志士 沖田総司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4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ヒューマン</v>
      </c>
      <c r="L234" s="29">
        <v>1</v>
      </c>
      <c r="M234" s="37">
        <v>630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4"/>
        <v>03251</v>
      </c>
      <c r="B235" s="2">
        <v>107</v>
      </c>
      <c r="C235" s="10" t="str">
        <f ca="1">VLOOKUP($B235,OFFSET([2]gachas!$A$2,0,0,COUNTA([2]gachas!$A:$A),MATCH(C$1,[2]gachas!$1:$1,0)-MATCH($B$1,[2]gachas!$1:$1,0)+1),MATCH(C$1,[2]gachas!$1:$1,0)-MATCH($B$1,[2]gachas!$1:$1,0)+1,FALSE)</f>
        <v>新キャラ追加03（新撰組）</v>
      </c>
      <c r="D235" s="37">
        <v>0</v>
      </c>
      <c r="E235" s="30">
        <v>325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5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blue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ヒューマン</v>
      </c>
      <c r="L235" s="29">
        <v>1</v>
      </c>
      <c r="M235" s="29">
        <v>90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4"/>
        <v>03261</v>
      </c>
      <c r="B236" s="2">
        <v>107</v>
      </c>
      <c r="C236" s="10" t="str">
        <f ca="1">VLOOKUP($B236,OFFSET([2]gachas!$A$2,0,0,COUNTA([2]gachas!$A:$A),MATCH(C$1,[2]gachas!$1:$1,0)-MATCH($B$1,[2]gachas!$1:$1,0)+1),MATCH(C$1,[2]gachas!$1:$1,0)-MATCH($B$1,[2]gachas!$1:$1,0)+1,FALSE)</f>
        <v>新キャラ追加03（新撰組）</v>
      </c>
      <c r="D236" s="37">
        <v>0</v>
      </c>
      <c r="E236" s="30">
        <v>326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妖志士 斎藤一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ヒューマン</v>
      </c>
      <c r="L236" s="29">
        <v>1</v>
      </c>
      <c r="M236" s="37">
        <v>630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4"/>
        <v>03271</v>
      </c>
      <c r="B237" s="2">
        <v>107</v>
      </c>
      <c r="C237" s="10" t="str">
        <f ca="1">VLOOKUP($B237,OFFSET([2]gachas!$A$2,0,0,COUNTA([2]gachas!$A:$A),MATCH(C$1,[2]gachas!$1:$1,0)-MATCH($B$1,[2]gachas!$1:$1,0)+1),MATCH(C$1,[2]gachas!$1:$1,0)-MATCH($B$1,[2]gachas!$1:$1,0)+1,FALSE)</f>
        <v>新キャラ追加03（新撰組）</v>
      </c>
      <c r="D237" s="37">
        <v>0</v>
      </c>
      <c r="E237" s="34">
        <v>327</v>
      </c>
      <c r="F237" s="23" t="str">
        <f ca="1">VLOOKUP($E237,OFFSET([1]characters!$A$2,0,0,COUNTA([1]characters!$A:$A),MATCH(F$1,[1]characters!$2:$2,0)-MATCH($E$1,[1]characters!$2:$2,0)+1),MATCH(F$1,[1]characters!$2:$2,0)-MATCH($E$1,[1]characters!$2:$2,0)+1,FALSE)</f>
        <v>千殺の妖志士 斎藤一</v>
      </c>
      <c r="G237" s="23" t="str">
        <f ca="1">VLOOKUP($E237,OFFSET([1]characters!$A$2,0,0,COUNTA([1]characters!$A:$A),MATCH(G$1,[1]characters!$2:$2,0)-MATCH($E$1,[1]characters!$2:$2,0)+1),MATCH(G$1,[1]characters!$2:$2,0)-MATCH($E$1,[1]characters!$2:$2,0)+1,FALSE)</f>
        <v>PremiumSS</v>
      </c>
      <c r="H237" s="23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23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23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7" s="23" t="str">
        <f ca="1">VLOOKUP($E237,OFFSET([1]characters!$A$2,0,0,COUNTA([1]characters!$A:$A),MATCH($K$1,[1]characters!$1:$1,0)-MATCH($E$1,[1]characters!$2:$2,0)+2),MATCH($K$1,[1]characters!$1:$1,0)-MATCH($E$1,[1]characters!$2:$2,0)+2,FALSE)</f>
        <v>ヒューマン</v>
      </c>
      <c r="L237" s="33">
        <v>1</v>
      </c>
      <c r="M237" s="29">
        <v>90</v>
      </c>
      <c r="N237" s="35">
        <v>0</v>
      </c>
      <c r="O237" s="35">
        <v>0</v>
      </c>
      <c r="P237" s="35">
        <v>0</v>
      </c>
      <c r="Q237" s="35">
        <v>0</v>
      </c>
      <c r="R237" s="35">
        <v>1</v>
      </c>
    </row>
  </sheetData>
  <autoFilter ref="B1:M237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 enableFormatConditionsCalculation="0">
    <tabColor rgb="FF0000FF"/>
    <outlinePr summaryBelow="0" summaryRight="0"/>
  </sheetPr>
  <dimension ref="A1:R237"/>
  <sheetViews>
    <sheetView showGridLines="0" workbookViewId="0">
      <pane ySplit="1" topLeftCell="A219" activePane="bottomLeft" state="frozen"/>
      <selection pane="bottomLeft" activeCell="C2" sqref="C2:C237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3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24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108</v>
      </c>
      <c r="C2" s="10" t="str">
        <f ca="1">VLOOKUP($B2,OFFSET([2]gachas!$A$2,0,0,COUNTA([2]gachas!$A:$A),MATCH(C$1,[2]gachas!$1:$1,0)-MATCH($B$1,[2]gachas!$1:$1,0)+1),MATCH(C$1,[2]gachas!$1:$1,0)-MATCH($B$1,[2]gachas!$1:$1,0)+1,FALSE)</f>
        <v>赤アップ01　開始</v>
      </c>
      <c r="D2" s="29">
        <v>1</v>
      </c>
      <c r="E2" s="30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9">
        <v>1</v>
      </c>
      <c r="M2" s="29">
        <v>4178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108</v>
      </c>
      <c r="C3" s="10" t="str">
        <f ca="1">VLOOKUP($B3,OFFSET([2]gachas!$A$2,0,0,COUNTA([2]gachas!$A:$A),MATCH(C$1,[2]gachas!$1:$1,0)-MATCH($B$1,[2]gachas!$1:$1,0)+1),MATCH(C$1,[2]gachas!$1:$1,0)-MATCH($B$1,[2]gachas!$1:$1,0)+1,FALSE)</f>
        <v>赤アップ01　開始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6">
        <v>1139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108</v>
      </c>
      <c r="C4" s="10" t="str">
        <f ca="1">VLOOKUP($B4,OFFSET([2]gachas!$A$2,0,0,COUNTA([2]gachas!$A:$A),MATCH(C$1,[2]gachas!$1:$1,0)-MATCH($B$1,[2]gachas!$1:$1,0)+1),MATCH(C$1,[2]gachas!$1:$1,0)-MATCH($B$1,[2]gachas!$1:$1,0)+1,FALSE)</f>
        <v>赤アップ01　開始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6">
        <v>1139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108</v>
      </c>
      <c r="C5" s="10" t="str">
        <f ca="1">VLOOKUP($B5,OFFSET([2]gachas!$A$2,0,0,COUNTA([2]gachas!$A:$A),MATCH(C$1,[2]gachas!$1:$1,0)-MATCH($B$1,[2]gachas!$1:$1,0)+1),MATCH(C$1,[2]gachas!$1:$1,0)-MATCH($B$1,[2]gachas!$1:$1,0)+1,FALSE)</f>
        <v>赤アップ01　開始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6">
        <v>1139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108</v>
      </c>
      <c r="C6" s="10" t="str">
        <f ca="1">VLOOKUP($B6,OFFSET([2]gachas!$A$2,0,0,COUNTA([2]gachas!$A:$A),MATCH(C$1,[2]gachas!$1:$1,0)-MATCH($B$1,[2]gachas!$1:$1,0)+1),MATCH(C$1,[2]gachas!$1:$1,0)-MATCH($B$1,[2]gachas!$1:$1,0)+1,FALSE)</f>
        <v>赤アップ01　開始</v>
      </c>
      <c r="D6" s="29">
        <v>1</v>
      </c>
      <c r="E6" s="30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29">
        <v>1</v>
      </c>
      <c r="M6" s="29">
        <v>4178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108</v>
      </c>
      <c r="C7" s="10" t="str">
        <f ca="1">VLOOKUP($B7,OFFSET([2]gachas!$A$2,0,0,COUNTA([2]gachas!$A:$A),MATCH(C$1,[2]gachas!$1:$1,0)-MATCH($B$1,[2]gachas!$1:$1,0)+1),MATCH(C$1,[2]gachas!$1:$1,0)-MATCH($B$1,[2]gachas!$1:$1,0)+1,FALSE)</f>
        <v>赤アップ01　開始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6">
        <v>1139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108</v>
      </c>
      <c r="C8" s="10" t="str">
        <f ca="1">VLOOKUP($B8,OFFSET([2]gachas!$A$2,0,0,COUNTA([2]gachas!$A:$A),MATCH(C$1,[2]gachas!$1:$1,0)-MATCH($B$1,[2]gachas!$1:$1,0)+1),MATCH(C$1,[2]gachas!$1:$1,0)-MATCH($B$1,[2]gachas!$1:$1,0)+1,FALSE)</f>
        <v>赤アップ01　開始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6">
        <v>1139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108</v>
      </c>
      <c r="C9" s="10" t="str">
        <f ca="1">VLOOKUP($B9,OFFSET([2]gachas!$A$2,0,0,COUNTA([2]gachas!$A:$A),MATCH(C$1,[2]gachas!$1:$1,0)-MATCH($B$1,[2]gachas!$1:$1,0)+1),MATCH(C$1,[2]gachas!$1:$1,0)-MATCH($B$1,[2]gachas!$1:$1,0)+1,FALSE)</f>
        <v>赤アップ01　開始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6">
        <v>1139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108</v>
      </c>
      <c r="C10" s="10" t="str">
        <f ca="1">VLOOKUP($B10,OFFSET([2]gachas!$A$2,0,0,COUNTA([2]gachas!$A:$A),MATCH(C$1,[2]gachas!$1:$1,0)-MATCH($B$1,[2]gachas!$1:$1,0)+1),MATCH(C$1,[2]gachas!$1:$1,0)-MATCH($B$1,[2]gachas!$1:$1,0)+1,FALSE)</f>
        <v>赤アップ01　開始</v>
      </c>
      <c r="D10" s="29">
        <v>1</v>
      </c>
      <c r="E10" s="30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29">
        <v>1</v>
      </c>
      <c r="M10" s="29">
        <v>4178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108</v>
      </c>
      <c r="C11" s="10" t="str">
        <f ca="1">VLOOKUP($B11,OFFSET([2]gachas!$A$2,0,0,COUNTA([2]gachas!$A:$A),MATCH(C$1,[2]gachas!$1:$1,0)-MATCH($B$1,[2]gachas!$1:$1,0)+1),MATCH(C$1,[2]gachas!$1:$1,0)-MATCH($B$1,[2]gachas!$1:$1,0)+1,FALSE)</f>
        <v>赤アップ01　開始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6">
        <v>1139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108</v>
      </c>
      <c r="C12" s="10" t="str">
        <f ca="1">VLOOKUP($B12,OFFSET([2]gachas!$A$2,0,0,COUNTA([2]gachas!$A:$A),MATCH(C$1,[2]gachas!$1:$1,0)-MATCH($B$1,[2]gachas!$1:$1,0)+1),MATCH(C$1,[2]gachas!$1:$1,0)-MATCH($B$1,[2]gachas!$1:$1,0)+1,FALSE)</f>
        <v>赤アップ01　開始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6">
        <v>1139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108</v>
      </c>
      <c r="C13" s="10" t="str">
        <f ca="1">VLOOKUP($B13,OFFSET([2]gachas!$A$2,0,0,COUNTA([2]gachas!$A:$A),MATCH(C$1,[2]gachas!$1:$1,0)-MATCH($B$1,[2]gachas!$1:$1,0)+1),MATCH(C$1,[2]gachas!$1:$1,0)-MATCH($B$1,[2]gachas!$1:$1,0)+1,FALSE)</f>
        <v>赤アップ01　開始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6">
        <v>1139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108</v>
      </c>
      <c r="C14" s="10" t="str">
        <f ca="1">VLOOKUP($B14,OFFSET([2]gachas!$A$2,0,0,COUNTA([2]gachas!$A:$A),MATCH(C$1,[2]gachas!$1:$1,0)-MATCH($B$1,[2]gachas!$1:$1,0)+1),MATCH(C$1,[2]gachas!$1:$1,0)-MATCH($B$1,[2]gachas!$1:$1,0)+1,FALSE)</f>
        <v>赤アップ01　開始</v>
      </c>
      <c r="D14" s="29">
        <v>1</v>
      </c>
      <c r="E14" s="30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29">
        <v>1</v>
      </c>
      <c r="M14" s="29">
        <v>4178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108</v>
      </c>
      <c r="C15" s="10" t="str">
        <f ca="1">VLOOKUP($B15,OFFSET([2]gachas!$A$2,0,0,COUNTA([2]gachas!$A:$A),MATCH(C$1,[2]gachas!$1:$1,0)-MATCH($B$1,[2]gachas!$1:$1,0)+1),MATCH(C$1,[2]gachas!$1:$1,0)-MATCH($B$1,[2]gachas!$1:$1,0)+1,FALSE)</f>
        <v>赤アップ01　開始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6">
        <v>1139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108</v>
      </c>
      <c r="C16" s="10" t="str">
        <f ca="1">VLOOKUP($B16,OFFSET([2]gachas!$A$2,0,0,COUNTA([2]gachas!$A:$A),MATCH(C$1,[2]gachas!$1:$1,0)-MATCH($B$1,[2]gachas!$1:$1,0)+1),MATCH(C$1,[2]gachas!$1:$1,0)-MATCH($B$1,[2]gachas!$1:$1,0)+1,FALSE)</f>
        <v>赤アップ01　開始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6">
        <v>1139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108</v>
      </c>
      <c r="C17" s="10" t="str">
        <f ca="1">VLOOKUP($B17,OFFSET([2]gachas!$A$2,0,0,COUNTA([2]gachas!$A:$A),MATCH(C$1,[2]gachas!$1:$1,0)-MATCH($B$1,[2]gachas!$1:$1,0)+1),MATCH(C$1,[2]gachas!$1:$1,0)-MATCH($B$1,[2]gachas!$1:$1,0)+1,FALSE)</f>
        <v>赤アップ01　開始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6">
        <v>1139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108</v>
      </c>
      <c r="C18" s="10" t="str">
        <f ca="1">VLOOKUP($B18,OFFSET([2]gachas!$A$2,0,0,COUNTA([2]gachas!$A:$A),MATCH(C$1,[2]gachas!$1:$1,0)-MATCH($B$1,[2]gachas!$1:$1,0)+1),MATCH(C$1,[2]gachas!$1:$1,0)-MATCH($B$1,[2]gachas!$1:$1,0)+1,FALSE)</f>
        <v>赤アップ01　開始</v>
      </c>
      <c r="D18" s="29">
        <v>1</v>
      </c>
      <c r="E18" s="30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29">
        <v>1</v>
      </c>
      <c r="M18" s="29">
        <v>4178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108</v>
      </c>
      <c r="C19" s="10" t="str">
        <f ca="1">VLOOKUP($B19,OFFSET([2]gachas!$A$2,0,0,COUNTA([2]gachas!$A:$A),MATCH(C$1,[2]gachas!$1:$1,0)-MATCH($B$1,[2]gachas!$1:$1,0)+1),MATCH(C$1,[2]gachas!$1:$1,0)-MATCH($B$1,[2]gachas!$1:$1,0)+1,FALSE)</f>
        <v>赤アップ01　開始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6">
        <v>1139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108</v>
      </c>
      <c r="C20" s="10" t="str">
        <f ca="1">VLOOKUP($B20,OFFSET([2]gachas!$A$2,0,0,COUNTA([2]gachas!$A:$A),MATCH(C$1,[2]gachas!$1:$1,0)-MATCH($B$1,[2]gachas!$1:$1,0)+1),MATCH(C$1,[2]gachas!$1:$1,0)-MATCH($B$1,[2]gachas!$1:$1,0)+1,FALSE)</f>
        <v>赤アップ01　開始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6">
        <v>1139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108</v>
      </c>
      <c r="C21" s="10" t="str">
        <f ca="1">VLOOKUP($B21,OFFSET([2]gachas!$A$2,0,0,COUNTA([2]gachas!$A:$A),MATCH(C$1,[2]gachas!$1:$1,0)-MATCH($B$1,[2]gachas!$1:$1,0)+1),MATCH(C$1,[2]gachas!$1:$1,0)-MATCH($B$1,[2]gachas!$1:$1,0)+1,FALSE)</f>
        <v>赤アップ01　開始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6">
        <v>1139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108</v>
      </c>
      <c r="C22" s="10" t="str">
        <f ca="1">VLOOKUP($B22,OFFSET([2]gachas!$A$2,0,0,COUNTA([2]gachas!$A:$A),MATCH(C$1,[2]gachas!$1:$1,0)-MATCH($B$1,[2]gachas!$1:$1,0)+1),MATCH(C$1,[2]gachas!$1:$1,0)-MATCH($B$1,[2]gachas!$1:$1,0)+1,FALSE)</f>
        <v>赤アップ01　開始</v>
      </c>
      <c r="D22" s="29">
        <v>1</v>
      </c>
      <c r="E22" s="30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29">
        <v>1</v>
      </c>
      <c r="M22" s="29">
        <v>4760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108</v>
      </c>
      <c r="C23" s="10" t="str">
        <f ca="1">VLOOKUP($B23,OFFSET([2]gachas!$A$2,0,0,COUNTA([2]gachas!$A:$A),MATCH(C$1,[2]gachas!$1:$1,0)-MATCH($B$1,[2]gachas!$1:$1,0)+1),MATCH(C$1,[2]gachas!$1:$1,0)-MATCH($B$1,[2]gachas!$1:$1,0)+1,FALSE)</f>
        <v>赤アップ01　開始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6">
        <v>1298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108</v>
      </c>
      <c r="C24" s="10" t="str">
        <f ca="1">VLOOKUP($B24,OFFSET([2]gachas!$A$2,0,0,COUNTA([2]gachas!$A:$A),MATCH(C$1,[2]gachas!$1:$1,0)-MATCH($B$1,[2]gachas!$1:$1,0)+1),MATCH(C$1,[2]gachas!$1:$1,0)-MATCH($B$1,[2]gachas!$1:$1,0)+1,FALSE)</f>
        <v>赤アップ01　開始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1298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108</v>
      </c>
      <c r="C25" s="10" t="str">
        <f ca="1">VLOOKUP($B25,OFFSET([2]gachas!$A$2,0,0,COUNTA([2]gachas!$A:$A),MATCH(C$1,[2]gachas!$1:$1,0)-MATCH($B$1,[2]gachas!$1:$1,0)+1),MATCH(C$1,[2]gachas!$1:$1,0)-MATCH($B$1,[2]gachas!$1:$1,0)+1,FALSE)</f>
        <v>赤アップ01　開始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1298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108</v>
      </c>
      <c r="C26" s="10" t="str">
        <f ca="1">VLOOKUP($B26,OFFSET([2]gachas!$A$2,0,0,COUNTA([2]gachas!$A:$A),MATCH(C$1,[2]gachas!$1:$1,0)-MATCH($B$1,[2]gachas!$1:$1,0)+1),MATCH(C$1,[2]gachas!$1:$1,0)-MATCH($B$1,[2]gachas!$1:$1,0)+1,FALSE)</f>
        <v>赤アップ01　開始</v>
      </c>
      <c r="D26" s="29">
        <v>1</v>
      </c>
      <c r="E26" s="30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29">
        <v>1</v>
      </c>
      <c r="M26" s="29">
        <v>4760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108</v>
      </c>
      <c r="C27" s="10" t="str">
        <f ca="1">VLOOKUP($B27,OFFSET([2]gachas!$A$2,0,0,COUNTA([2]gachas!$A:$A),MATCH(C$1,[2]gachas!$1:$1,0)-MATCH($B$1,[2]gachas!$1:$1,0)+1),MATCH(C$1,[2]gachas!$1:$1,0)-MATCH($B$1,[2]gachas!$1:$1,0)+1,FALSE)</f>
        <v>赤アップ01　開始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1298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108</v>
      </c>
      <c r="C28" s="10" t="str">
        <f ca="1">VLOOKUP($B28,OFFSET([2]gachas!$A$2,0,0,COUNTA([2]gachas!$A:$A),MATCH(C$1,[2]gachas!$1:$1,0)-MATCH($B$1,[2]gachas!$1:$1,0)+1),MATCH(C$1,[2]gachas!$1:$1,0)-MATCH($B$1,[2]gachas!$1:$1,0)+1,FALSE)</f>
        <v>赤アップ01　開始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1298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108</v>
      </c>
      <c r="C29" s="10" t="str">
        <f ca="1">VLOOKUP($B29,OFFSET([2]gachas!$A$2,0,0,COUNTA([2]gachas!$A:$A),MATCH(C$1,[2]gachas!$1:$1,0)-MATCH($B$1,[2]gachas!$1:$1,0)+1),MATCH(C$1,[2]gachas!$1:$1,0)-MATCH($B$1,[2]gachas!$1:$1,0)+1,FALSE)</f>
        <v>赤アップ01　開始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1298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108</v>
      </c>
      <c r="C30" s="10" t="str">
        <f ca="1">VLOOKUP($B30,OFFSET([2]gachas!$A$2,0,0,COUNTA([2]gachas!$A:$A),MATCH(C$1,[2]gachas!$1:$1,0)-MATCH($B$1,[2]gachas!$1:$1,0)+1),MATCH(C$1,[2]gachas!$1:$1,0)-MATCH($B$1,[2]gachas!$1:$1,0)+1,FALSE)</f>
        <v>赤アップ01　開始</v>
      </c>
      <c r="D30" s="29">
        <v>1</v>
      </c>
      <c r="E30" s="30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29">
        <v>1</v>
      </c>
      <c r="M30" s="29">
        <v>4760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108</v>
      </c>
      <c r="C31" s="10" t="str">
        <f ca="1">VLOOKUP($B31,OFFSET([2]gachas!$A$2,0,0,COUNTA([2]gachas!$A:$A),MATCH(C$1,[2]gachas!$1:$1,0)-MATCH($B$1,[2]gachas!$1:$1,0)+1),MATCH(C$1,[2]gachas!$1:$1,0)-MATCH($B$1,[2]gachas!$1:$1,0)+1,FALSE)</f>
        <v>赤アップ01　開始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1298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108</v>
      </c>
      <c r="C32" s="10" t="str">
        <f ca="1">VLOOKUP($B32,OFFSET([2]gachas!$A$2,0,0,COUNTA([2]gachas!$A:$A),MATCH(C$1,[2]gachas!$1:$1,0)-MATCH($B$1,[2]gachas!$1:$1,0)+1),MATCH(C$1,[2]gachas!$1:$1,0)-MATCH($B$1,[2]gachas!$1:$1,0)+1,FALSE)</f>
        <v>赤アップ01　開始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1298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108</v>
      </c>
      <c r="C33" s="10" t="str">
        <f ca="1">VLOOKUP($B33,OFFSET([2]gachas!$A$2,0,0,COUNTA([2]gachas!$A:$A),MATCH(C$1,[2]gachas!$1:$1,0)-MATCH($B$1,[2]gachas!$1:$1,0)+1),MATCH(C$1,[2]gachas!$1:$1,0)-MATCH($B$1,[2]gachas!$1:$1,0)+1,FALSE)</f>
        <v>赤アップ01　開始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6">
        <v>1298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108</v>
      </c>
      <c r="C34" s="10" t="str">
        <f ca="1">VLOOKUP($B34,OFFSET([2]gachas!$A$2,0,0,COUNTA([2]gachas!$A:$A),MATCH(C$1,[2]gachas!$1:$1,0)-MATCH($B$1,[2]gachas!$1:$1,0)+1),MATCH(C$1,[2]gachas!$1:$1,0)-MATCH($B$1,[2]gachas!$1:$1,0)+1,FALSE)</f>
        <v>赤アップ01　開始</v>
      </c>
      <c r="D34" s="29">
        <v>1</v>
      </c>
      <c r="E34" s="30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29">
        <v>1</v>
      </c>
      <c r="M34" s="29">
        <v>4760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108</v>
      </c>
      <c r="C35" s="10" t="str">
        <f ca="1">VLOOKUP($B35,OFFSET([2]gachas!$A$2,0,0,COUNTA([2]gachas!$A:$A),MATCH(C$1,[2]gachas!$1:$1,0)-MATCH($B$1,[2]gachas!$1:$1,0)+1),MATCH(C$1,[2]gachas!$1:$1,0)-MATCH($B$1,[2]gachas!$1:$1,0)+1,FALSE)</f>
        <v>赤アップ01　開始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1298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108</v>
      </c>
      <c r="C36" s="10" t="str">
        <f ca="1">VLOOKUP($B36,OFFSET([2]gachas!$A$2,0,0,COUNTA([2]gachas!$A:$A),MATCH(C$1,[2]gachas!$1:$1,0)-MATCH($B$1,[2]gachas!$1:$1,0)+1),MATCH(C$1,[2]gachas!$1:$1,0)-MATCH($B$1,[2]gachas!$1:$1,0)+1,FALSE)</f>
        <v>赤アップ01　開始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1298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108</v>
      </c>
      <c r="C37" s="10" t="str">
        <f ca="1">VLOOKUP($B37,OFFSET([2]gachas!$A$2,0,0,COUNTA([2]gachas!$A:$A),MATCH(C$1,[2]gachas!$1:$1,0)-MATCH($B$1,[2]gachas!$1:$1,0)+1),MATCH(C$1,[2]gachas!$1:$1,0)-MATCH($B$1,[2]gachas!$1:$1,0)+1,FALSE)</f>
        <v>赤アップ01　開始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1298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108</v>
      </c>
      <c r="C38" s="10" t="str">
        <f ca="1">VLOOKUP($B38,OFFSET([2]gachas!$A$2,0,0,COUNTA([2]gachas!$A:$A),MATCH(C$1,[2]gachas!$1:$1,0)-MATCH($B$1,[2]gachas!$1:$1,0)+1),MATCH(C$1,[2]gachas!$1:$1,0)-MATCH($B$1,[2]gachas!$1:$1,0)+1,FALSE)</f>
        <v>赤アップ01　開始</v>
      </c>
      <c r="D38" s="29">
        <v>1</v>
      </c>
      <c r="E38" s="30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29">
        <v>1</v>
      </c>
      <c r="M38" s="29">
        <v>4760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108</v>
      </c>
      <c r="C39" s="10" t="str">
        <f ca="1">VLOOKUP($B39,OFFSET([2]gachas!$A$2,0,0,COUNTA([2]gachas!$A:$A),MATCH(C$1,[2]gachas!$1:$1,0)-MATCH($B$1,[2]gachas!$1:$1,0)+1),MATCH(C$1,[2]gachas!$1:$1,0)-MATCH($B$1,[2]gachas!$1:$1,0)+1,FALSE)</f>
        <v>赤アップ01　開始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1298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108</v>
      </c>
      <c r="C40" s="10" t="str">
        <f ca="1">VLOOKUP($B40,OFFSET([2]gachas!$A$2,0,0,COUNTA([2]gachas!$A:$A),MATCH(C$1,[2]gachas!$1:$1,0)-MATCH($B$1,[2]gachas!$1:$1,0)+1),MATCH(C$1,[2]gachas!$1:$1,0)-MATCH($B$1,[2]gachas!$1:$1,0)+1,FALSE)</f>
        <v>赤アップ01　開始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1298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108</v>
      </c>
      <c r="C41" s="10" t="str">
        <f ca="1">VLOOKUP($B41,OFFSET([2]gachas!$A$2,0,0,COUNTA([2]gachas!$A:$A),MATCH(C$1,[2]gachas!$1:$1,0)-MATCH($B$1,[2]gachas!$1:$1,0)+1),MATCH(C$1,[2]gachas!$1:$1,0)-MATCH($B$1,[2]gachas!$1:$1,0)+1,FALSE)</f>
        <v>赤アップ01　開始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1298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108</v>
      </c>
      <c r="C42" s="10" t="str">
        <f ca="1">VLOOKUP($B42,OFFSET([2]gachas!$A$2,0,0,COUNTA([2]gachas!$A:$A),MATCH(C$1,[2]gachas!$1:$1,0)-MATCH($B$1,[2]gachas!$1:$1,0)+1),MATCH(C$1,[2]gachas!$1:$1,0)-MATCH($B$1,[2]gachas!$1:$1,0)+1,FALSE)</f>
        <v>赤アップ01　開始</v>
      </c>
      <c r="D42" s="29">
        <v>1</v>
      </c>
      <c r="E42" s="30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29">
        <v>1</v>
      </c>
      <c r="M42" s="29">
        <v>972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108</v>
      </c>
      <c r="C43" s="10" t="str">
        <f ca="1">VLOOKUP($B43,OFFSET([2]gachas!$A$2,0,0,COUNTA([2]gachas!$A:$A),MATCH(C$1,[2]gachas!$1:$1,0)-MATCH($B$1,[2]gachas!$1:$1,0)+1),MATCH(C$1,[2]gachas!$1:$1,0)-MATCH($B$1,[2]gachas!$1:$1,0)+1,FALSE)</f>
        <v>赤アップ01　開始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6">
        <v>265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108</v>
      </c>
      <c r="C44" s="10" t="str">
        <f ca="1">VLOOKUP($B44,OFFSET([2]gachas!$A$2,0,0,COUNTA([2]gachas!$A:$A),MATCH(C$1,[2]gachas!$1:$1,0)-MATCH($B$1,[2]gachas!$1:$1,0)+1),MATCH(C$1,[2]gachas!$1:$1,0)-MATCH($B$1,[2]gachas!$1:$1,0)+1,FALSE)</f>
        <v>赤アップ01　開始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265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108</v>
      </c>
      <c r="C45" s="10" t="str">
        <f ca="1">VLOOKUP($B45,OFFSET([2]gachas!$A$2,0,0,COUNTA([2]gachas!$A:$A),MATCH(C$1,[2]gachas!$1:$1,0)-MATCH($B$1,[2]gachas!$1:$1,0)+1),MATCH(C$1,[2]gachas!$1:$1,0)-MATCH($B$1,[2]gachas!$1:$1,0)+1,FALSE)</f>
        <v>赤アップ01　開始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6">
        <v>265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v>108</v>
      </c>
      <c r="C46" s="10" t="str">
        <f ca="1">VLOOKUP($B46,OFFSET([2]gachas!$A$2,0,0,COUNTA([2]gachas!$A:$A),MATCH(C$1,[2]gachas!$1:$1,0)-MATCH($B$1,[2]gachas!$1:$1,0)+1),MATCH(C$1,[2]gachas!$1:$1,0)-MATCH($B$1,[2]gachas!$1:$1,0)+1,FALSE)</f>
        <v>赤アップ01　開始</v>
      </c>
      <c r="D46" s="29">
        <v>1</v>
      </c>
      <c r="E46" s="30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29">
        <v>1</v>
      </c>
      <c r="M46" s="29">
        <v>372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v>108</v>
      </c>
      <c r="C47" s="10" t="str">
        <f ca="1">VLOOKUP($B47,OFFSET([2]gachas!$A$2,0,0,COUNTA([2]gachas!$A:$A),MATCH(C$1,[2]gachas!$1:$1,0)-MATCH($B$1,[2]gachas!$1:$1,0)+1),MATCH(C$1,[2]gachas!$1:$1,0)-MATCH($B$1,[2]gachas!$1:$1,0)+1,FALSE)</f>
        <v>赤アップ01　開始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6">
        <v>102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v>108</v>
      </c>
      <c r="C48" s="10" t="str">
        <f ca="1">VLOOKUP($B48,OFFSET([2]gachas!$A$2,0,0,COUNTA([2]gachas!$A:$A),MATCH(C$1,[2]gachas!$1:$1,0)-MATCH($B$1,[2]gachas!$1:$1,0)+1),MATCH(C$1,[2]gachas!$1:$1,0)-MATCH($B$1,[2]gachas!$1:$1,0)+1,FALSE)</f>
        <v>赤アップ01　開始</v>
      </c>
      <c r="D48" s="6">
        <v>1</v>
      </c>
      <c r="E48" s="7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6">
        <v>1</v>
      </c>
      <c r="M48" s="6">
        <v>102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v>108</v>
      </c>
      <c r="C49" s="10" t="str">
        <f ca="1">VLOOKUP($B49,OFFSET([2]gachas!$A$2,0,0,COUNTA([2]gachas!$A:$A),MATCH(C$1,[2]gachas!$1:$1,0)-MATCH($B$1,[2]gachas!$1:$1,0)+1),MATCH(C$1,[2]gachas!$1:$1,0)-MATCH($B$1,[2]gachas!$1:$1,0)+1,FALSE)</f>
        <v>赤アップ01　開始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6">
        <v>102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v>108</v>
      </c>
      <c r="C50" s="10" t="str">
        <f ca="1">VLOOKUP($B50,OFFSET([2]gachas!$A$2,0,0,COUNTA([2]gachas!$A:$A),MATCH(C$1,[2]gachas!$1:$1,0)-MATCH($B$1,[2]gachas!$1:$1,0)+1),MATCH(C$1,[2]gachas!$1:$1,0)-MATCH($B$1,[2]gachas!$1:$1,0)+1,FALSE)</f>
        <v>赤アップ01　開始</v>
      </c>
      <c r="D50" s="29">
        <v>1</v>
      </c>
      <c r="E50" s="30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29">
        <v>1</v>
      </c>
      <c r="M50" s="29">
        <v>372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v>108</v>
      </c>
      <c r="C51" s="10" t="str">
        <f ca="1">VLOOKUP($B51,OFFSET([2]gachas!$A$2,0,0,COUNTA([2]gachas!$A:$A),MATCH(C$1,[2]gachas!$1:$1,0)-MATCH($B$1,[2]gachas!$1:$1,0)+1),MATCH(C$1,[2]gachas!$1:$1,0)-MATCH($B$1,[2]gachas!$1:$1,0)+1,FALSE)</f>
        <v>赤アップ01　開始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6">
        <v>102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v>108</v>
      </c>
      <c r="C52" s="10" t="str">
        <f ca="1">VLOOKUP($B52,OFFSET([2]gachas!$A$2,0,0,COUNTA([2]gachas!$A:$A),MATCH(C$1,[2]gachas!$1:$1,0)-MATCH($B$1,[2]gachas!$1:$1,0)+1),MATCH(C$1,[2]gachas!$1:$1,0)-MATCH($B$1,[2]gachas!$1:$1,0)+1,FALSE)</f>
        <v>赤アップ01　開始</v>
      </c>
      <c r="D52" s="6">
        <v>1</v>
      </c>
      <c r="E52" s="7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6">
        <v>1</v>
      </c>
      <c r="M52" s="6">
        <v>102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v>108</v>
      </c>
      <c r="C53" s="10" t="str">
        <f ca="1">VLOOKUP($B53,OFFSET([2]gachas!$A$2,0,0,COUNTA([2]gachas!$A:$A),MATCH(C$1,[2]gachas!$1:$1,0)-MATCH($B$1,[2]gachas!$1:$1,0)+1),MATCH(C$1,[2]gachas!$1:$1,0)-MATCH($B$1,[2]gachas!$1:$1,0)+1,FALSE)</f>
        <v>赤アップ01　開始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6">
        <v>102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v>108</v>
      </c>
      <c r="C54" s="10" t="str">
        <f ca="1">VLOOKUP($B54,OFFSET([2]gachas!$A$2,0,0,COUNTA([2]gachas!$A:$A),MATCH(C$1,[2]gachas!$1:$1,0)-MATCH($B$1,[2]gachas!$1:$1,0)+1),MATCH(C$1,[2]gachas!$1:$1,0)-MATCH($B$1,[2]gachas!$1:$1,0)+1,FALSE)</f>
        <v>赤アップ01　開始</v>
      </c>
      <c r="D54" s="29">
        <v>1</v>
      </c>
      <c r="E54" s="30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29">
        <v>1</v>
      </c>
      <c r="M54" s="29">
        <v>372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v>108</v>
      </c>
      <c r="C55" s="10" t="str">
        <f ca="1">VLOOKUP($B55,OFFSET([2]gachas!$A$2,0,0,COUNTA([2]gachas!$A:$A),MATCH(C$1,[2]gachas!$1:$1,0)-MATCH($B$1,[2]gachas!$1:$1,0)+1),MATCH(C$1,[2]gachas!$1:$1,0)-MATCH($B$1,[2]gachas!$1:$1,0)+1,FALSE)</f>
        <v>赤アップ01　開始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6">
        <v>102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v>108</v>
      </c>
      <c r="C56" s="10" t="str">
        <f ca="1">VLOOKUP($B56,OFFSET([2]gachas!$A$2,0,0,COUNTA([2]gachas!$A:$A),MATCH(C$1,[2]gachas!$1:$1,0)-MATCH($B$1,[2]gachas!$1:$1,0)+1),MATCH(C$1,[2]gachas!$1:$1,0)-MATCH($B$1,[2]gachas!$1:$1,0)+1,FALSE)</f>
        <v>赤アップ01　開始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6">
        <v>102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v>108</v>
      </c>
      <c r="C57" s="10" t="str">
        <f ca="1">VLOOKUP($B57,OFFSET([2]gachas!$A$2,0,0,COUNTA([2]gachas!$A:$A),MATCH(C$1,[2]gachas!$1:$1,0)-MATCH($B$1,[2]gachas!$1:$1,0)+1),MATCH(C$1,[2]gachas!$1:$1,0)-MATCH($B$1,[2]gachas!$1:$1,0)+1,FALSE)</f>
        <v>赤アップ01　開始</v>
      </c>
      <c r="D57" s="6">
        <v>1</v>
      </c>
      <c r="E57" s="7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6">
        <v>102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v>108</v>
      </c>
      <c r="C58" s="10" t="str">
        <f ca="1">VLOOKUP($B58,OFFSET([2]gachas!$A$2,0,0,COUNTA([2]gachas!$A:$A),MATCH(C$1,[2]gachas!$1:$1,0)-MATCH($B$1,[2]gachas!$1:$1,0)+1),MATCH(C$1,[2]gachas!$1:$1,0)-MATCH($B$1,[2]gachas!$1:$1,0)+1,FALSE)</f>
        <v>赤アップ01　開始</v>
      </c>
      <c r="D58" s="29">
        <v>1</v>
      </c>
      <c r="E58" s="30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29">
        <v>1</v>
      </c>
      <c r="M58" s="29">
        <v>372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v>108</v>
      </c>
      <c r="C59" s="10" t="str">
        <f ca="1">VLOOKUP($B59,OFFSET([2]gachas!$A$2,0,0,COUNTA([2]gachas!$A:$A),MATCH(C$1,[2]gachas!$1:$1,0)-MATCH($B$1,[2]gachas!$1:$1,0)+1),MATCH(C$1,[2]gachas!$1:$1,0)-MATCH($B$1,[2]gachas!$1:$1,0)+1,FALSE)</f>
        <v>赤アップ01　開始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6">
        <v>102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v>108</v>
      </c>
      <c r="C60" s="10" t="str">
        <f ca="1">VLOOKUP($B60,OFFSET([2]gachas!$A$2,0,0,COUNTA([2]gachas!$A:$A),MATCH(C$1,[2]gachas!$1:$1,0)-MATCH($B$1,[2]gachas!$1:$1,0)+1),MATCH(C$1,[2]gachas!$1:$1,0)-MATCH($B$1,[2]gachas!$1:$1,0)+1,FALSE)</f>
        <v>赤アップ01　開始</v>
      </c>
      <c r="D60" s="6">
        <v>1</v>
      </c>
      <c r="E60" s="7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6">
        <v>1</v>
      </c>
      <c r="M60" s="6">
        <v>102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v>108</v>
      </c>
      <c r="C61" s="10" t="str">
        <f ca="1">VLOOKUP($B61,OFFSET([2]gachas!$A$2,0,0,COUNTA([2]gachas!$A:$A),MATCH(C$1,[2]gachas!$1:$1,0)-MATCH($B$1,[2]gachas!$1:$1,0)+1),MATCH(C$1,[2]gachas!$1:$1,0)-MATCH($B$1,[2]gachas!$1:$1,0)+1,FALSE)</f>
        <v>赤アップ01　開始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6">
        <v>102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v>108</v>
      </c>
      <c r="C62" s="10" t="str">
        <f ca="1">VLOOKUP($B62,OFFSET([2]gachas!$A$2,0,0,COUNTA([2]gachas!$A:$A),MATCH(C$1,[2]gachas!$1:$1,0)-MATCH($B$1,[2]gachas!$1:$1,0)+1),MATCH(C$1,[2]gachas!$1:$1,0)-MATCH($B$1,[2]gachas!$1:$1,0)+1,FALSE)</f>
        <v>赤アップ01　開始</v>
      </c>
      <c r="D62" s="29">
        <v>1</v>
      </c>
      <c r="E62" s="30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29">
        <v>1</v>
      </c>
      <c r="M62" s="29">
        <v>372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v>108</v>
      </c>
      <c r="C63" s="10" t="str">
        <f ca="1">VLOOKUP($B63,OFFSET([2]gachas!$A$2,0,0,COUNTA([2]gachas!$A:$A),MATCH(C$1,[2]gachas!$1:$1,0)-MATCH($B$1,[2]gachas!$1:$1,0)+1),MATCH(C$1,[2]gachas!$1:$1,0)-MATCH($B$1,[2]gachas!$1:$1,0)+1,FALSE)</f>
        <v>赤アップ01　開始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6">
        <v>102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v>108</v>
      </c>
      <c r="C64" s="10" t="str">
        <f ca="1">VLOOKUP($B64,OFFSET([2]gachas!$A$2,0,0,COUNTA([2]gachas!$A:$A),MATCH(C$1,[2]gachas!$1:$1,0)-MATCH($B$1,[2]gachas!$1:$1,0)+1),MATCH(C$1,[2]gachas!$1:$1,0)-MATCH($B$1,[2]gachas!$1:$1,0)+1,FALSE)</f>
        <v>赤アップ01　開始</v>
      </c>
      <c r="D64" s="6">
        <v>1</v>
      </c>
      <c r="E64" s="7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6">
        <v>1</v>
      </c>
      <c r="M64" s="6">
        <v>102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v>108</v>
      </c>
      <c r="C65" s="10" t="str">
        <f ca="1">VLOOKUP($B65,OFFSET([2]gachas!$A$2,0,0,COUNTA([2]gachas!$A:$A),MATCH(C$1,[2]gachas!$1:$1,0)-MATCH($B$1,[2]gachas!$1:$1,0)+1),MATCH(C$1,[2]gachas!$1:$1,0)-MATCH($B$1,[2]gachas!$1:$1,0)+1,FALSE)</f>
        <v>赤アップ01　開始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6">
        <v>102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46" si="1">D66&amp;E66&amp;L66</f>
        <v>12281</v>
      </c>
      <c r="B66" s="2">
        <v>108</v>
      </c>
      <c r="C66" s="10" t="str">
        <f ca="1">VLOOKUP($B66,OFFSET([2]gachas!$A$2,0,0,COUNTA([2]gachas!$A:$A),MATCH(C$1,[2]gachas!$1:$1,0)-MATCH($B$1,[2]gachas!$1:$1,0)+1),MATCH(C$1,[2]gachas!$1:$1,0)-MATCH($B$1,[2]gachas!$1:$1,0)+1,FALSE)</f>
        <v>赤アップ01　開始</v>
      </c>
      <c r="D66" s="29">
        <v>1</v>
      </c>
      <c r="E66" s="30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29">
        <v>1</v>
      </c>
      <c r="M66" s="29">
        <v>40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12311</v>
      </c>
      <c r="B67" s="2">
        <v>108</v>
      </c>
      <c r="C67" s="10" t="str">
        <f ca="1">VLOOKUP($B67,OFFSET([2]gachas!$A$2,0,0,COUNTA([2]gachas!$A:$A),MATCH(C$1,[2]gachas!$1:$1,0)-MATCH($B$1,[2]gachas!$1:$1,0)+1),MATCH(C$1,[2]gachas!$1:$1,0)-MATCH($B$1,[2]gachas!$1:$1,0)+1,FALSE)</f>
        <v>赤アップ01　開始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6">
        <v>11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12341</v>
      </c>
      <c r="B68" s="2">
        <v>108</v>
      </c>
      <c r="C68" s="10" t="str">
        <f ca="1">VLOOKUP($B68,OFFSET([2]gachas!$A$2,0,0,COUNTA([2]gachas!$A:$A),MATCH(C$1,[2]gachas!$1:$1,0)-MATCH($B$1,[2]gachas!$1:$1,0)+1),MATCH(C$1,[2]gachas!$1:$1,0)-MATCH($B$1,[2]gachas!$1:$1,0)+1,FALSE)</f>
        <v>赤アップ01　開始</v>
      </c>
      <c r="D68" s="6">
        <v>1</v>
      </c>
      <c r="E68" s="7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6">
        <v>11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1"/>
        <v>12371</v>
      </c>
      <c r="B69" s="2">
        <v>108</v>
      </c>
      <c r="C69" s="10" t="str">
        <f ca="1">VLOOKUP($B69,OFFSET([2]gachas!$A$2,0,0,COUNTA([2]gachas!$A:$A),MATCH(C$1,[2]gachas!$1:$1,0)-MATCH($B$1,[2]gachas!$1:$1,0)+1),MATCH(C$1,[2]gachas!$1:$1,0)-MATCH($B$1,[2]gachas!$1:$1,0)+1,FALSE)</f>
        <v>赤アップ01　開始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6">
        <v>11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12391</v>
      </c>
      <c r="B70" s="2">
        <v>108</v>
      </c>
      <c r="C70" s="10" t="str">
        <f ca="1">VLOOKUP($B70,OFFSET([2]gachas!$A$2,0,0,COUNTA([2]gachas!$A:$A),MATCH(C$1,[2]gachas!$1:$1,0)-MATCH($B$1,[2]gachas!$1:$1,0)+1),MATCH(C$1,[2]gachas!$1:$1,0)-MATCH($B$1,[2]gachas!$1:$1,0)+1,FALSE)</f>
        <v>赤アップ01　開始</v>
      </c>
      <c r="D70" s="29">
        <v>1</v>
      </c>
      <c r="E70" s="36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29">
        <v>1</v>
      </c>
      <c r="M70" s="29">
        <v>972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12401</v>
      </c>
      <c r="B71" s="2">
        <v>108</v>
      </c>
      <c r="C71" s="10" t="str">
        <f ca="1">VLOOKUP($B71,OFFSET([2]gachas!$A$2,0,0,COUNTA([2]gachas!$A:$A),MATCH(C$1,[2]gachas!$1:$1,0)-MATCH($B$1,[2]gachas!$1:$1,0)+1),MATCH(C$1,[2]gachas!$1:$1,0)-MATCH($B$1,[2]gachas!$1:$1,0)+1,FALSE)</f>
        <v>赤アップ01　開始</v>
      </c>
      <c r="D71" s="29">
        <v>1</v>
      </c>
      <c r="E71" s="36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29">
        <v>1</v>
      </c>
      <c r="M71" s="29">
        <v>40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12421</v>
      </c>
      <c r="B72" s="2">
        <v>108</v>
      </c>
      <c r="C72" s="10" t="str">
        <f ca="1">VLOOKUP($B72,OFFSET([2]gachas!$A$2,0,0,COUNTA([2]gachas!$A:$A),MATCH(C$1,[2]gachas!$1:$1,0)-MATCH($B$1,[2]gachas!$1:$1,0)+1),MATCH(C$1,[2]gachas!$1:$1,0)-MATCH($B$1,[2]gachas!$1:$1,0)+1,FALSE)</f>
        <v>赤アップ01　開始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6">
        <v>265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12431</v>
      </c>
      <c r="B73" s="2">
        <v>108</v>
      </c>
      <c r="C73" s="10" t="str">
        <f ca="1">VLOOKUP($B73,OFFSET([2]gachas!$A$2,0,0,COUNTA([2]gachas!$A:$A),MATCH(C$1,[2]gachas!$1:$1,0)-MATCH($B$1,[2]gachas!$1:$1,0)+1),MATCH(C$1,[2]gachas!$1:$1,0)-MATCH($B$1,[2]gachas!$1:$1,0)+1,FALSE)</f>
        <v>赤アップ01　開始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6">
        <v>11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12451</v>
      </c>
      <c r="B74" s="2">
        <v>108</v>
      </c>
      <c r="C74" s="10" t="str">
        <f ca="1">VLOOKUP($B74,OFFSET([2]gachas!$A$2,0,0,COUNTA([2]gachas!$A:$A),MATCH(C$1,[2]gachas!$1:$1,0)-MATCH($B$1,[2]gachas!$1:$1,0)+1),MATCH(C$1,[2]gachas!$1:$1,0)-MATCH($B$1,[2]gachas!$1:$1,0)+1,FALSE)</f>
        <v>赤アップ01　開始</v>
      </c>
      <c r="D74" s="6">
        <v>1</v>
      </c>
      <c r="E74" s="19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6">
        <v>1</v>
      </c>
      <c r="M74" s="6">
        <v>265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12461</v>
      </c>
      <c r="B75" s="2">
        <v>108</v>
      </c>
      <c r="C75" s="10" t="str">
        <f ca="1">VLOOKUP($B75,OFFSET([2]gachas!$A$2,0,0,COUNTA([2]gachas!$A:$A),MATCH(C$1,[2]gachas!$1:$1,0)-MATCH($B$1,[2]gachas!$1:$1,0)+1),MATCH(C$1,[2]gachas!$1:$1,0)-MATCH($B$1,[2]gachas!$1:$1,0)+1,FALSE)</f>
        <v>赤アップ01　開始</v>
      </c>
      <c r="D75" s="6">
        <v>1</v>
      </c>
      <c r="E75" s="19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6">
        <v>1</v>
      </c>
      <c r="M75" s="6">
        <v>11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12481</v>
      </c>
      <c r="B76" s="2">
        <v>108</v>
      </c>
      <c r="C76" s="10" t="str">
        <f ca="1">VLOOKUP($B76,OFFSET([2]gachas!$A$2,0,0,COUNTA([2]gachas!$A:$A),MATCH(C$1,[2]gachas!$1:$1,0)-MATCH($B$1,[2]gachas!$1:$1,0)+1),MATCH(C$1,[2]gachas!$1:$1,0)-MATCH($B$1,[2]gachas!$1:$1,0)+1,FALSE)</f>
        <v>赤アップ01　開始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6">
        <v>265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1"/>
        <v>12491</v>
      </c>
      <c r="B77" s="2">
        <v>108</v>
      </c>
      <c r="C77" s="10" t="str">
        <f ca="1">VLOOKUP($B77,OFFSET([2]gachas!$A$2,0,0,COUNTA([2]gachas!$A:$A),MATCH(C$1,[2]gachas!$1:$1,0)-MATCH($B$1,[2]gachas!$1:$1,0)+1),MATCH(C$1,[2]gachas!$1:$1,0)-MATCH($B$1,[2]gachas!$1:$1,0)+1,FALSE)</f>
        <v>赤アップ01　開始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6">
        <v>11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1"/>
        <v>12511</v>
      </c>
      <c r="B78" s="2">
        <v>108</v>
      </c>
      <c r="C78" s="10" t="str">
        <f ca="1">VLOOKUP($B78,OFFSET([2]gachas!$A$2,0,0,COUNTA([2]gachas!$A:$A),MATCH(C$1,[2]gachas!$1:$1,0)-MATCH($B$1,[2]gachas!$1:$1,0)+1),MATCH(C$1,[2]gachas!$1:$1,0)-MATCH($B$1,[2]gachas!$1:$1,0)+1,FALSE)</f>
        <v>赤アップ01　開始</v>
      </c>
      <c r="D78" s="29">
        <v>1</v>
      </c>
      <c r="E78" s="30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29">
        <v>1</v>
      </c>
      <c r="M78" s="29">
        <v>972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1"/>
        <v>12521</v>
      </c>
      <c r="B79" s="2">
        <v>108</v>
      </c>
      <c r="C79" s="10" t="str">
        <f ca="1">VLOOKUP($B79,OFFSET([2]gachas!$A$2,0,0,COUNTA([2]gachas!$A:$A),MATCH(C$1,[2]gachas!$1:$1,0)-MATCH($B$1,[2]gachas!$1:$1,0)+1),MATCH(C$1,[2]gachas!$1:$1,0)-MATCH($B$1,[2]gachas!$1:$1,0)+1,FALSE)</f>
        <v>赤アップ01　開始</v>
      </c>
      <c r="D79" s="29">
        <v>1</v>
      </c>
      <c r="E79" s="30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29">
        <v>1</v>
      </c>
      <c r="M79" s="29">
        <v>40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1"/>
        <v>12541</v>
      </c>
      <c r="B80" s="2">
        <v>108</v>
      </c>
      <c r="C80" s="10" t="str">
        <f ca="1">VLOOKUP($B80,OFFSET([2]gachas!$A$2,0,0,COUNTA([2]gachas!$A:$A),MATCH(C$1,[2]gachas!$1:$1,0)-MATCH($B$1,[2]gachas!$1:$1,0)+1),MATCH(C$1,[2]gachas!$1:$1,0)-MATCH($B$1,[2]gachas!$1:$1,0)+1,FALSE)</f>
        <v>赤アップ01　開始</v>
      </c>
      <c r="D80" s="6">
        <v>1</v>
      </c>
      <c r="E80" s="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6">
        <v>265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1"/>
        <v>12551</v>
      </c>
      <c r="B81" s="2">
        <v>108</v>
      </c>
      <c r="C81" s="10" t="str">
        <f ca="1">VLOOKUP($B81,OFFSET([2]gachas!$A$2,0,0,COUNTA([2]gachas!$A:$A),MATCH(C$1,[2]gachas!$1:$1,0)-MATCH($B$1,[2]gachas!$1:$1,0)+1),MATCH(C$1,[2]gachas!$1:$1,0)-MATCH($B$1,[2]gachas!$1:$1,0)+1,FALSE)</f>
        <v>赤アップ01　開始</v>
      </c>
      <c r="D81" s="6">
        <v>1</v>
      </c>
      <c r="E81" s="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6">
        <v>11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1"/>
        <v>12571</v>
      </c>
      <c r="B82" s="2">
        <v>108</v>
      </c>
      <c r="C82" s="10" t="str">
        <f ca="1">VLOOKUP($B82,OFFSET([2]gachas!$A$2,0,0,COUNTA([2]gachas!$A:$A),MATCH(C$1,[2]gachas!$1:$1,0)-MATCH($B$1,[2]gachas!$1:$1,0)+1),MATCH(C$1,[2]gachas!$1:$1,0)-MATCH($B$1,[2]gachas!$1:$1,0)+1,FALSE)</f>
        <v>赤アップ01　開始</v>
      </c>
      <c r="D82" s="6">
        <v>1</v>
      </c>
      <c r="E82" s="7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6">
        <v>1</v>
      </c>
      <c r="M82" s="6">
        <v>265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1"/>
        <v>12581</v>
      </c>
      <c r="B83" s="2">
        <v>108</v>
      </c>
      <c r="C83" s="10" t="str">
        <f ca="1">VLOOKUP($B83,OFFSET([2]gachas!$A$2,0,0,COUNTA([2]gachas!$A:$A),MATCH(C$1,[2]gachas!$1:$1,0)-MATCH($B$1,[2]gachas!$1:$1,0)+1),MATCH(C$1,[2]gachas!$1:$1,0)-MATCH($B$1,[2]gachas!$1:$1,0)+1,FALSE)</f>
        <v>赤アップ01　開始</v>
      </c>
      <c r="D83" s="6">
        <v>1</v>
      </c>
      <c r="E83" s="7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6">
        <v>1</v>
      </c>
      <c r="M83" s="6">
        <v>11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1"/>
        <v>12601</v>
      </c>
      <c r="B84" s="2">
        <v>108</v>
      </c>
      <c r="C84" s="10" t="str">
        <f ca="1">VLOOKUP($B84,OFFSET([2]gachas!$A$2,0,0,COUNTA([2]gachas!$A:$A),MATCH(C$1,[2]gachas!$1:$1,0)-MATCH($B$1,[2]gachas!$1:$1,0)+1),MATCH(C$1,[2]gachas!$1:$1,0)-MATCH($B$1,[2]gachas!$1:$1,0)+1,FALSE)</f>
        <v>赤アップ01　開始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6">
        <v>265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1"/>
        <v>12611</v>
      </c>
      <c r="B85" s="2">
        <v>108</v>
      </c>
      <c r="C85" s="10" t="str">
        <f ca="1">VLOOKUP($B85,OFFSET([2]gachas!$A$2,0,0,COUNTA([2]gachas!$A:$A),MATCH(C$1,[2]gachas!$1:$1,0)-MATCH($B$1,[2]gachas!$1:$1,0)+1),MATCH(C$1,[2]gachas!$1:$1,0)-MATCH($B$1,[2]gachas!$1:$1,0)+1,FALSE)</f>
        <v>赤アップ01　開始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6">
        <v>11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1"/>
        <v>13201</v>
      </c>
      <c r="B86" s="2">
        <v>108</v>
      </c>
      <c r="C86" s="10" t="str">
        <f ca="1">VLOOKUP($B86,OFFSET([2]gachas!$A$2,0,0,COUNTA([2]gachas!$A:$A),MATCH(C$1,[2]gachas!$1:$1,0)-MATCH($B$1,[2]gachas!$1:$1,0)+1),MATCH(C$1,[2]gachas!$1:$1,0)-MATCH($B$1,[2]gachas!$1:$1,0)+1,FALSE)</f>
        <v>赤アップ01　開始</v>
      </c>
      <c r="D86" s="37">
        <v>1</v>
      </c>
      <c r="E86" s="38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37">
        <v>1</v>
      </c>
      <c r="M86" s="29">
        <v>972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1"/>
        <v>13211</v>
      </c>
      <c r="B87" s="2">
        <v>108</v>
      </c>
      <c r="C87" s="10" t="str">
        <f ca="1">VLOOKUP($B87,OFFSET([2]gachas!$A$2,0,0,COUNTA([2]gachas!$A:$A),MATCH(C$1,[2]gachas!$1:$1,0)-MATCH($B$1,[2]gachas!$1:$1,0)+1),MATCH(C$1,[2]gachas!$1:$1,0)-MATCH($B$1,[2]gachas!$1:$1,0)+1,FALSE)</f>
        <v>赤アップ01　開始</v>
      </c>
      <c r="D87" s="29">
        <v>1</v>
      </c>
      <c r="E87" s="30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29">
        <v>1</v>
      </c>
      <c r="M87" s="29">
        <v>40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1"/>
        <v>13221</v>
      </c>
      <c r="B88" s="2">
        <v>108</v>
      </c>
      <c r="C88" s="10" t="str">
        <f ca="1">VLOOKUP($B88,OFFSET([2]gachas!$A$2,0,0,COUNTA([2]gachas!$A:$A),MATCH(C$1,[2]gachas!$1:$1,0)-MATCH($B$1,[2]gachas!$1:$1,0)+1),MATCH(C$1,[2]gachas!$1:$1,0)-MATCH($B$1,[2]gachas!$1:$1,0)+1,FALSE)</f>
        <v>赤アップ01　開始</v>
      </c>
      <c r="D88" s="6">
        <v>1</v>
      </c>
      <c r="E88" s="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6">
        <v>265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1"/>
        <v>13231</v>
      </c>
      <c r="B89" s="2">
        <v>108</v>
      </c>
      <c r="C89" s="10" t="str">
        <f ca="1">VLOOKUP($B89,OFFSET([2]gachas!$A$2,0,0,COUNTA([2]gachas!$A:$A),MATCH(C$1,[2]gachas!$1:$1,0)-MATCH($B$1,[2]gachas!$1:$1,0)+1),MATCH(C$1,[2]gachas!$1:$1,0)-MATCH($B$1,[2]gachas!$1:$1,0)+1,FALSE)</f>
        <v>赤アップ01　開始</v>
      </c>
      <c r="D89" s="6">
        <v>1</v>
      </c>
      <c r="E89" s="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6">
        <v>11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1"/>
        <v>13241</v>
      </c>
      <c r="B90" s="2">
        <v>108</v>
      </c>
      <c r="C90" s="10" t="str">
        <f ca="1">VLOOKUP($B90,OFFSET([2]gachas!$A$2,0,0,COUNTA([2]gachas!$A:$A),MATCH(C$1,[2]gachas!$1:$1,0)-MATCH($B$1,[2]gachas!$1:$1,0)+1),MATCH(C$1,[2]gachas!$1:$1,0)-MATCH($B$1,[2]gachas!$1:$1,0)+1,FALSE)</f>
        <v>赤アップ01　開始</v>
      </c>
      <c r="D90" s="6">
        <v>1</v>
      </c>
      <c r="E90" s="7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6">
        <v>265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1"/>
        <v>13251</v>
      </c>
      <c r="B91" s="2">
        <v>108</v>
      </c>
      <c r="C91" s="10" t="str">
        <f ca="1">VLOOKUP($B91,OFFSET([2]gachas!$A$2,0,0,COUNTA([2]gachas!$A:$A),MATCH(C$1,[2]gachas!$1:$1,0)-MATCH($B$1,[2]gachas!$1:$1,0)+1),MATCH(C$1,[2]gachas!$1:$1,0)-MATCH($B$1,[2]gachas!$1:$1,0)+1,FALSE)</f>
        <v>赤アップ01　開始</v>
      </c>
      <c r="D91" s="6">
        <v>1</v>
      </c>
      <c r="E91" s="7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6">
        <v>11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1"/>
        <v>13261</v>
      </c>
      <c r="B92" s="2">
        <v>108</v>
      </c>
      <c r="C92" s="10" t="str">
        <f ca="1">VLOOKUP($B92,OFFSET([2]gachas!$A$2,0,0,COUNTA([2]gachas!$A:$A),MATCH(C$1,[2]gachas!$1:$1,0)-MATCH($B$1,[2]gachas!$1:$1,0)+1),MATCH(C$1,[2]gachas!$1:$1,0)-MATCH($B$1,[2]gachas!$1:$1,0)+1,FALSE)</f>
        <v>赤アップ01　開始</v>
      </c>
      <c r="D92" s="6">
        <v>1</v>
      </c>
      <c r="E92" s="7">
        <v>326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6">
        <v>1</v>
      </c>
      <c r="M92" s="6">
        <v>265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 thickBot="1">
      <c r="A93" s="22" t="str">
        <f t="shared" si="1"/>
        <v>13271</v>
      </c>
      <c r="B93" s="2">
        <v>108</v>
      </c>
      <c r="C93" s="10" t="str">
        <f ca="1">VLOOKUP($B93,OFFSET([2]gachas!$A$2,0,0,COUNTA([2]gachas!$A:$A),MATCH(C$1,[2]gachas!$1:$1,0)-MATCH($B$1,[2]gachas!$1:$1,0)+1),MATCH(C$1,[2]gachas!$1:$1,0)-MATCH($B$1,[2]gachas!$1:$1,0)+1,FALSE)</f>
        <v>赤アップ01　開始</v>
      </c>
      <c r="D93" s="24">
        <v>1</v>
      </c>
      <c r="E93" s="25">
        <v>327</v>
      </c>
      <c r="F93" s="23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23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23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23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23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23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24">
        <v>1</v>
      </c>
      <c r="M93" s="6">
        <v>11</v>
      </c>
      <c r="N93" s="35">
        <v>0</v>
      </c>
      <c r="O93" s="35">
        <v>0</v>
      </c>
      <c r="P93" s="35">
        <v>0</v>
      </c>
      <c r="Q93" s="35">
        <v>0</v>
      </c>
      <c r="R93" s="35">
        <v>1</v>
      </c>
    </row>
    <row r="94" spans="1:18" ht="21" customHeight="1">
      <c r="A94" s="8" t="str">
        <f t="shared" ref="A94" si="2">D94&amp;E94&amp;L94</f>
        <v>01261</v>
      </c>
      <c r="B94" s="2">
        <v>108</v>
      </c>
      <c r="C94" s="10" t="str">
        <f ca="1">VLOOKUP($B94,OFFSET([2]gachas!$A$2,0,0,COUNTA([2]gachas!$A:$A),MATCH(C$1,[2]gachas!$1:$1,0)-MATCH($B$1,[2]gachas!$1:$1,0)+1),MATCH(C$1,[2]gachas!$1:$1,0)-MATCH($B$1,[2]gachas!$1:$1,0)+1,FALSE)</f>
        <v>赤アップ01　開始</v>
      </c>
      <c r="D94" s="37">
        <v>0</v>
      </c>
      <c r="E94" s="38">
        <v>126</v>
      </c>
      <c r="F94" s="20" t="str">
        <f ca="1">VLOOKUP($E94,OFFSET([1]characters!$A$2,0,0,COUNTA([1]characters!$A:$A),MATCH(F$1,[1]characters!$2:$2,0)-MATCH($E$1,[1]characters!$2:$2,0)+1),MATCH(F$1,[1]characters!$2:$2,0)-MATCH($E$1,[1]characters!$2:$2,0)+1,FALSE)</f>
        <v>骨器使い ユノ</v>
      </c>
      <c r="G94" s="20" t="str">
        <f ca="1">VLOOKUP($E94,OFFSET([1]characters!$A$2,0,0,COUNTA([1]characters!$A:$A),MATCH(G$1,[1]characters!$2:$2,0)-MATCH($E$1,[1]characters!$2:$2,0)+1),MATCH(G$1,[1]characters!$2:$2,0)-MATCH($E$1,[1]characters!$2:$2,0)+1,FALSE)</f>
        <v>PremiumW</v>
      </c>
      <c r="H94" s="2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2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20" t="str">
        <f ca="1">VLOOKUP($E94,OFFSET([1]characters!$A$2,0,0,COUNTA([1]characters!$A:$A),MATCH("タイプ",[1]characters!$1:$1,0)-MATCH($E$1,[1]characters!$2:$2,0)+2),MATCH("タイプ",[1]characters!$1:$1,0)-MATCH($E$1,[1]characters!$2:$2,0)+2,FALSE)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4" s="20" t="str">
        <f ca="1">VLOOKUP($E94,OFFSET([1]characters!$A$2,0,0,COUNTA([1]characters!$A:$A),MATCH($K$1,[1]characters!$1:$1,0)-MATCH($E$1,[1]characters!$2:$2,0)+2),MATCH($K$1,[1]characters!$1:$1,0)-MATCH($E$1,[1]characters!$2:$2,0)+2,FALSE)</f>
        <v>ヒューマン</v>
      </c>
      <c r="L94" s="37">
        <v>1</v>
      </c>
      <c r="M94" s="37">
        <v>5061</v>
      </c>
      <c r="N94" s="18">
        <v>0</v>
      </c>
      <c r="O94" s="18">
        <v>0</v>
      </c>
      <c r="P94" s="18">
        <v>0</v>
      </c>
      <c r="Q94" s="18">
        <v>0</v>
      </c>
      <c r="R94" s="18">
        <v>1</v>
      </c>
    </row>
    <row r="95" spans="1:18" ht="21" customHeight="1">
      <c r="A95" s="8" t="str">
        <f t="shared" si="1"/>
        <v>01281</v>
      </c>
      <c r="B95" s="2">
        <v>108</v>
      </c>
      <c r="C95" s="10" t="str">
        <f ca="1">VLOOKUP($B95,OFFSET([2]gachas!$A$2,0,0,COUNTA([2]gachas!$A:$A),MATCH(C$1,[2]gachas!$1:$1,0)-MATCH($B$1,[2]gachas!$1:$1,0)+1),MATCH(C$1,[2]gachas!$1:$1,0)-MATCH($B$1,[2]gachas!$1:$1,0)+1,FALSE)</f>
        <v>赤アップ01　開始</v>
      </c>
      <c r="D95" s="21">
        <v>0</v>
      </c>
      <c r="E95" s="27">
        <v>128</v>
      </c>
      <c r="F95" s="20" t="str">
        <f ca="1">VLOOKUP($E95,OFFSET([1]characters!$A$2,0,0,COUNTA([1]characters!$A:$A),MATCH(F$1,[1]characters!$2:$2,0)-MATCH($E$1,[1]characters!$2:$2,0)+1),MATCH(F$1,[1]characters!$2:$2,0)-MATCH($E$1,[1]characters!$2:$2,0)+1,FALSE)</f>
        <v>野生児 アマラ</v>
      </c>
      <c r="G95" s="20" t="str">
        <f ca="1">VLOOKUP($E95,OFFSET([1]characters!$A$2,0,0,COUNTA([1]characters!$A:$A),MATCH(G$1,[1]characters!$2:$2,0)-MATCH($E$1,[1]characters!$2:$2,0)+1),MATCH(G$1,[1]characters!$2:$2,0)-MATCH($E$1,[1]characters!$2:$2,0)+1,FALSE)</f>
        <v>PremiumW</v>
      </c>
      <c r="H95" s="2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20" t="str">
        <f ca="1">VLOOKUP($E95,OFFSET([1]characters!$A$2,0,0,COUNTA([1]characters!$A:$A),MATCH(I$1,[1]characters!$2:$2,0)-MATCH($E$1,[1]characters!$2:$2,0)+1),MATCH(I$1,[1]characters!$2:$2,0)-MATCH($E$1,[1]characters!$2:$2,0)+1,FALSE)</f>
        <v>green</v>
      </c>
      <c r="J95" s="20" t="str">
        <f ca="1">VLOOKUP($E95,OFFSET([1]characters!$A$2,0,0,COUNTA([1]characters!$A:$A),MATCH("タイプ",[1]characters!$1:$1,0)-MATCH($E$1,[1]characters!$2:$2,0)+2),MATCH("タイプ",[1]characters!$1:$1,0)-MATCH($E$1,[1]characters!$2:$2,0)+2,FALSE)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5" s="20" t="str">
        <f ca="1">VLOOKUP($E95,OFFSET([1]characters!$A$2,0,0,COUNTA([1]characters!$A:$A),MATCH($K$1,[1]characters!$1:$1,0)-MATCH($E$1,[1]characters!$2:$2,0)+2),MATCH($K$1,[1]characters!$1:$1,0)-MATCH($E$1,[1]characters!$2:$2,0)+2,FALSE)</f>
        <v>ヒューマン</v>
      </c>
      <c r="L95" s="21">
        <v>1</v>
      </c>
      <c r="M95" s="21">
        <v>1380</v>
      </c>
      <c r="N95" s="18">
        <v>0</v>
      </c>
      <c r="O95" s="18">
        <v>0</v>
      </c>
      <c r="P95" s="18">
        <v>0</v>
      </c>
      <c r="Q95" s="18">
        <v>0</v>
      </c>
      <c r="R95" s="18">
        <v>1</v>
      </c>
    </row>
    <row r="96" spans="1:18" ht="21" customHeight="1">
      <c r="A96" s="8" t="str">
        <f t="shared" si="1"/>
        <v>01301</v>
      </c>
      <c r="B96" s="2">
        <v>108</v>
      </c>
      <c r="C96" s="10" t="str">
        <f ca="1">VLOOKUP($B96,OFFSET([2]gachas!$A$2,0,0,COUNTA([2]gachas!$A:$A),MATCH(C$1,[2]gachas!$1:$1,0)-MATCH($B$1,[2]gachas!$1:$1,0)+1),MATCH(C$1,[2]gachas!$1:$1,0)-MATCH($B$1,[2]gachas!$1:$1,0)+1,FALSE)</f>
        <v>赤アップ01　開始</v>
      </c>
      <c r="D96" s="6">
        <v>0</v>
      </c>
      <c r="E96" s="7">
        <v>130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狼男 ローレンス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PremiumW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blue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アニマル</v>
      </c>
      <c r="L96" s="6">
        <v>1</v>
      </c>
      <c r="M96" s="21">
        <v>1380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01321</v>
      </c>
      <c r="B97" s="2">
        <v>108</v>
      </c>
      <c r="C97" s="10" t="str">
        <f ca="1">VLOOKUP($B97,OFFSET([2]gachas!$A$2,0,0,COUNTA([2]gachas!$A:$A),MATCH(C$1,[2]gachas!$1:$1,0)-MATCH($B$1,[2]gachas!$1:$1,0)+1),MATCH(C$1,[2]gachas!$1:$1,0)-MATCH($B$1,[2]gachas!$1:$1,0)+1,FALSE)</f>
        <v>赤アップ01　開始</v>
      </c>
      <c r="D97" s="6">
        <v>0</v>
      </c>
      <c r="E97" s="7">
        <v>132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鳥人ハヤト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PremiumW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yellow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ヒューマン</v>
      </c>
      <c r="L97" s="6">
        <v>1</v>
      </c>
      <c r="M97" s="21">
        <v>1380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01341</v>
      </c>
      <c r="B98" s="2">
        <v>108</v>
      </c>
      <c r="C98" s="10" t="str">
        <f ca="1">VLOOKUP($B98,OFFSET([2]gachas!$A$2,0,0,COUNTA([2]gachas!$A:$A),MATCH(C$1,[2]gachas!$1:$1,0)-MATCH($B$1,[2]gachas!$1:$1,0)+1),MATCH(C$1,[2]gachas!$1:$1,0)-MATCH($B$1,[2]gachas!$1:$1,0)+1,FALSE)</f>
        <v>赤アップ01　開始</v>
      </c>
      <c r="D98" s="29">
        <v>0</v>
      </c>
      <c r="E98" s="30">
        <v>134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妖炎の夕霧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PremiumW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3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29">
        <v>1</v>
      </c>
      <c r="M98" s="37">
        <v>5061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01361</v>
      </c>
      <c r="B99" s="2">
        <v>108</v>
      </c>
      <c r="C99" s="10" t="str">
        <f ca="1">VLOOKUP($B99,OFFSET([2]gachas!$A$2,0,0,COUNTA([2]gachas!$A:$A),MATCH(C$1,[2]gachas!$1:$1,0)-MATCH($B$1,[2]gachas!$1:$1,0)+1),MATCH(C$1,[2]gachas!$1:$1,0)-MATCH($B$1,[2]gachas!$1:$1,0)+1,FALSE)</f>
        <v>赤アップ01　開始</v>
      </c>
      <c r="D99" s="6">
        <v>0</v>
      </c>
      <c r="E99" s="7">
        <v>136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お針子チハヤ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PremiumW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3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6">
        <v>1</v>
      </c>
      <c r="M99" s="21">
        <v>1380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01381</v>
      </c>
      <c r="B100" s="2">
        <v>108</v>
      </c>
      <c r="C100" s="10" t="str">
        <f ca="1">VLOOKUP($B100,OFFSET([2]gachas!$A$2,0,0,COUNTA([2]gachas!$A:$A),MATCH(C$1,[2]gachas!$1:$1,0)-MATCH($B$1,[2]gachas!$1:$1,0)+1),MATCH(C$1,[2]gachas!$1:$1,0)-MATCH($B$1,[2]gachas!$1:$1,0)+1,FALSE)</f>
        <v>赤アップ01　開始</v>
      </c>
      <c r="D100" s="6">
        <v>0</v>
      </c>
      <c r="E100" s="7">
        <v>138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蒼薙のトモエ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PremiumW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3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blue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6">
        <v>1</v>
      </c>
      <c r="M100" s="21">
        <v>1380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01401</v>
      </c>
      <c r="B101" s="2">
        <v>108</v>
      </c>
      <c r="C101" s="10" t="str">
        <f ca="1">VLOOKUP($B101,OFFSET([2]gachas!$A$2,0,0,COUNTA([2]gachas!$A:$A),MATCH(C$1,[2]gachas!$1:$1,0)-MATCH($B$1,[2]gachas!$1:$1,0)+1),MATCH(C$1,[2]gachas!$1:$1,0)-MATCH($B$1,[2]gachas!$1:$1,0)+1,FALSE)</f>
        <v>赤アップ01　開始</v>
      </c>
      <c r="D101" s="6">
        <v>0</v>
      </c>
      <c r="E101" s="7">
        <v>140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秋祭のタマモ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PremiumW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3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6">
        <v>1</v>
      </c>
      <c r="M101" s="21">
        <v>1380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01421</v>
      </c>
      <c r="B102" s="2">
        <v>108</v>
      </c>
      <c r="C102" s="10" t="str">
        <f ca="1">VLOOKUP($B102,OFFSET([2]gachas!$A$2,0,0,COUNTA([2]gachas!$A:$A),MATCH(C$1,[2]gachas!$1:$1,0)-MATCH($B$1,[2]gachas!$1:$1,0)+1),MATCH(C$1,[2]gachas!$1:$1,0)-MATCH($B$1,[2]gachas!$1:$1,0)+1,FALSE)</f>
        <v>赤アップ01　開始</v>
      </c>
      <c r="D102" s="29">
        <v>0</v>
      </c>
      <c r="E102" s="30">
        <v>142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赤ずきん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9">
        <v>1</v>
      </c>
      <c r="M102" s="37">
        <v>5061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01441</v>
      </c>
      <c r="B103" s="2">
        <v>108</v>
      </c>
      <c r="C103" s="10" t="str">
        <f ca="1">VLOOKUP($B103,OFFSET([2]gachas!$A$2,0,0,COUNTA([2]gachas!$A:$A),MATCH(C$1,[2]gachas!$1:$1,0)-MATCH($B$1,[2]gachas!$1:$1,0)+1),MATCH(C$1,[2]gachas!$1:$1,0)-MATCH($B$1,[2]gachas!$1:$1,0)+1,FALSE)</f>
        <v>赤アップ01　開始</v>
      </c>
      <c r="D103" s="6">
        <v>0</v>
      </c>
      <c r="E103" s="7">
        <v>144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かぐや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6">
        <v>1</v>
      </c>
      <c r="M103" s="21">
        <v>1380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01461</v>
      </c>
      <c r="B104" s="2">
        <v>108</v>
      </c>
      <c r="C104" s="10" t="str">
        <f ca="1">VLOOKUP($B104,OFFSET([2]gachas!$A$2,0,0,COUNTA([2]gachas!$A:$A),MATCH(C$1,[2]gachas!$1:$1,0)-MATCH($B$1,[2]gachas!$1:$1,0)+1),MATCH(C$1,[2]gachas!$1:$1,0)-MATCH($B$1,[2]gachas!$1:$1,0)+1,FALSE)</f>
        <v>赤アップ01　開始</v>
      </c>
      <c r="D104" s="6">
        <v>0</v>
      </c>
      <c r="E104" s="7">
        <v>146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マーメイド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21">
        <v>1380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01481</v>
      </c>
      <c r="B105" s="2">
        <v>108</v>
      </c>
      <c r="C105" s="10" t="str">
        <f ca="1">VLOOKUP($B105,OFFSET([2]gachas!$A$2,0,0,COUNTA([2]gachas!$A:$A),MATCH(C$1,[2]gachas!$1:$1,0)-MATCH($B$1,[2]gachas!$1:$1,0)+1),MATCH(C$1,[2]gachas!$1:$1,0)-MATCH($B$1,[2]gachas!$1:$1,0)+1,FALSE)</f>
        <v>赤アップ01　開始</v>
      </c>
      <c r="D105" s="6">
        <v>0</v>
      </c>
      <c r="E105" s="7">
        <v>148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シンデレラ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21">
        <v>1380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01501</v>
      </c>
      <c r="B106" s="2">
        <v>108</v>
      </c>
      <c r="C106" s="10" t="str">
        <f ca="1">VLOOKUP($B106,OFFSET([2]gachas!$A$2,0,0,COUNTA([2]gachas!$A:$A),MATCH(C$1,[2]gachas!$1:$1,0)-MATCH($B$1,[2]gachas!$1:$1,0)+1),MATCH(C$1,[2]gachas!$1:$1,0)-MATCH($B$1,[2]gachas!$1:$1,0)+1,FALSE)</f>
        <v>赤アップ01　開始</v>
      </c>
      <c r="D106" s="29">
        <v>0</v>
      </c>
      <c r="E106" s="30">
        <v>150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29">
        <v>1</v>
      </c>
      <c r="M106" s="37">
        <v>5061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01521</v>
      </c>
      <c r="B107" s="2">
        <v>108</v>
      </c>
      <c r="C107" s="10" t="str">
        <f ca="1">VLOOKUP($B107,OFFSET([2]gachas!$A$2,0,0,COUNTA([2]gachas!$A:$A),MATCH(C$1,[2]gachas!$1:$1,0)-MATCH($B$1,[2]gachas!$1:$1,0)+1),MATCH(C$1,[2]gachas!$1:$1,0)-MATCH($B$1,[2]gachas!$1:$1,0)+1,FALSE)</f>
        <v>赤アップ01　開始</v>
      </c>
      <c r="D107" s="6">
        <v>0</v>
      </c>
      <c r="E107" s="7">
        <v>152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功夫少女ランラン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21">
        <v>1380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01541</v>
      </c>
      <c r="B108" s="2">
        <v>108</v>
      </c>
      <c r="C108" s="10" t="str">
        <f ca="1">VLOOKUP($B108,OFFSET([2]gachas!$A$2,0,0,COUNTA([2]gachas!$A:$A),MATCH(C$1,[2]gachas!$1:$1,0)-MATCH($B$1,[2]gachas!$1:$1,0)+1),MATCH(C$1,[2]gachas!$1:$1,0)-MATCH($B$1,[2]gachas!$1:$1,0)+1,FALSE)</f>
        <v>赤アップ01　開始</v>
      </c>
      <c r="D108" s="6">
        <v>0</v>
      </c>
      <c r="E108" s="7">
        <v>154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始末屋 ハンナ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21">
        <v>1380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01561</v>
      </c>
      <c r="B109" s="2">
        <v>108</v>
      </c>
      <c r="C109" s="10" t="str">
        <f ca="1">VLOOKUP($B109,OFFSET([2]gachas!$A$2,0,0,COUNTA([2]gachas!$A:$A),MATCH(C$1,[2]gachas!$1:$1,0)-MATCH($B$1,[2]gachas!$1:$1,0)+1),MATCH(C$1,[2]gachas!$1:$1,0)-MATCH($B$1,[2]gachas!$1:$1,0)+1,FALSE)</f>
        <v>赤アップ01　開始</v>
      </c>
      <c r="D109" s="6">
        <v>0</v>
      </c>
      <c r="E109" s="7">
        <v>156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踊り子 エレナ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6">
        <v>1</v>
      </c>
      <c r="M109" s="21">
        <v>1380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01581</v>
      </c>
      <c r="B110" s="2">
        <v>108</v>
      </c>
      <c r="C110" s="10" t="str">
        <f ca="1">VLOOKUP($B110,OFFSET([2]gachas!$A$2,0,0,COUNTA([2]gachas!$A:$A),MATCH(C$1,[2]gachas!$1:$1,0)-MATCH($B$1,[2]gachas!$1:$1,0)+1),MATCH(C$1,[2]gachas!$1:$1,0)-MATCH($B$1,[2]gachas!$1:$1,0)+1,FALSE)</f>
        <v>赤アップ01　開始</v>
      </c>
      <c r="D110" s="29">
        <v>0</v>
      </c>
      <c r="E110" s="30">
        <v>158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29">
        <v>1</v>
      </c>
      <c r="M110" s="37">
        <v>5061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01601</v>
      </c>
      <c r="B111" s="2">
        <v>108</v>
      </c>
      <c r="C111" s="10" t="str">
        <f ca="1">VLOOKUP($B111,OFFSET([2]gachas!$A$2,0,0,COUNTA([2]gachas!$A:$A),MATCH(C$1,[2]gachas!$1:$1,0)-MATCH($B$1,[2]gachas!$1:$1,0)+1),MATCH(C$1,[2]gachas!$1:$1,0)-MATCH($B$1,[2]gachas!$1:$1,0)+1,FALSE)</f>
        <v>赤アップ01　開始</v>
      </c>
      <c r="D111" s="6">
        <v>0</v>
      </c>
      <c r="E111" s="7">
        <v>160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反逆者 クリエ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21">
        <v>1380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01621</v>
      </c>
      <c r="B112" s="2">
        <v>108</v>
      </c>
      <c r="C112" s="10" t="str">
        <f ca="1">VLOOKUP($B112,OFFSET([2]gachas!$A$2,0,0,COUNTA([2]gachas!$A:$A),MATCH(C$1,[2]gachas!$1:$1,0)-MATCH($B$1,[2]gachas!$1:$1,0)+1),MATCH(C$1,[2]gachas!$1:$1,0)-MATCH($B$1,[2]gachas!$1:$1,0)+1,FALSE)</f>
        <v>赤アップ01　開始</v>
      </c>
      <c r="D112" s="6">
        <v>0</v>
      </c>
      <c r="E112" s="7">
        <v>162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狂女 クララ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21">
        <v>1380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1"/>
        <v>01641</v>
      </c>
      <c r="B113" s="2">
        <v>108</v>
      </c>
      <c r="C113" s="10" t="str">
        <f ca="1">VLOOKUP($B113,OFFSET([2]gachas!$A$2,0,0,COUNTA([2]gachas!$A:$A),MATCH(C$1,[2]gachas!$1:$1,0)-MATCH($B$1,[2]gachas!$1:$1,0)+1),MATCH(C$1,[2]gachas!$1:$1,0)-MATCH($B$1,[2]gachas!$1:$1,0)+1,FALSE)</f>
        <v>赤アップ01　開始</v>
      </c>
      <c r="D113" s="6">
        <v>0</v>
      </c>
      <c r="E113" s="7">
        <v>164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イブとトモダチ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21">
        <v>1380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1"/>
        <v>01661</v>
      </c>
      <c r="B114" s="2">
        <v>108</v>
      </c>
      <c r="C114" s="10" t="str">
        <f ca="1">VLOOKUP($B114,OFFSET([2]gachas!$A$2,0,0,COUNTA([2]gachas!$A:$A),MATCH(C$1,[2]gachas!$1:$1,0)-MATCH($B$1,[2]gachas!$1:$1,0)+1),MATCH(C$1,[2]gachas!$1:$1,0)-MATCH($B$1,[2]gachas!$1:$1,0)+1,FALSE)</f>
        <v>赤アップ01　開始</v>
      </c>
      <c r="D114" s="29">
        <v>0</v>
      </c>
      <c r="E114" s="30">
        <v>166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ベリアル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PremiumN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ゴッド</v>
      </c>
      <c r="L114" s="29">
        <v>1</v>
      </c>
      <c r="M114" s="29">
        <v>5511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1"/>
        <v>01691</v>
      </c>
      <c r="B115" s="2">
        <v>108</v>
      </c>
      <c r="C115" s="10" t="str">
        <f ca="1">VLOOKUP($B115,OFFSET([2]gachas!$A$2,0,0,COUNTA([2]gachas!$A:$A),MATCH(C$1,[2]gachas!$1:$1,0)-MATCH($B$1,[2]gachas!$1:$1,0)+1),MATCH(C$1,[2]gachas!$1:$1,0)-MATCH($B$1,[2]gachas!$1:$1,0)+1,FALSE)</f>
        <v>赤アップ01　開始</v>
      </c>
      <c r="D115" s="6">
        <v>0</v>
      </c>
      <c r="E115" s="7">
        <v>169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オセ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PremiumN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ゴッド</v>
      </c>
      <c r="L115" s="6">
        <v>1</v>
      </c>
      <c r="M115" s="6">
        <v>1503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1"/>
        <v>01721</v>
      </c>
      <c r="B116" s="2">
        <v>108</v>
      </c>
      <c r="C116" s="10" t="str">
        <f ca="1">VLOOKUP($B116,OFFSET([2]gachas!$A$2,0,0,COUNTA([2]gachas!$A:$A),MATCH(C$1,[2]gachas!$1:$1,0)-MATCH($B$1,[2]gachas!$1:$1,0)+1),MATCH(C$1,[2]gachas!$1:$1,0)-MATCH($B$1,[2]gachas!$1:$1,0)+1,FALSE)</f>
        <v>赤アップ01　開始</v>
      </c>
      <c r="D116" s="6">
        <v>0</v>
      </c>
      <c r="E116" s="7">
        <v>172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フォルネウス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PremiumN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ゴッド</v>
      </c>
      <c r="L116" s="6">
        <v>1</v>
      </c>
      <c r="M116" s="6">
        <v>1503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1"/>
        <v>01751</v>
      </c>
      <c r="B117" s="2">
        <v>108</v>
      </c>
      <c r="C117" s="10" t="str">
        <f ca="1">VLOOKUP($B117,OFFSET([2]gachas!$A$2,0,0,COUNTA([2]gachas!$A:$A),MATCH(C$1,[2]gachas!$1:$1,0)-MATCH($B$1,[2]gachas!$1:$1,0)+1),MATCH(C$1,[2]gachas!$1:$1,0)-MATCH($B$1,[2]gachas!$1:$1,0)+1,FALSE)</f>
        <v>赤アップ01　開始</v>
      </c>
      <c r="D117" s="6">
        <v>0</v>
      </c>
      <c r="E117" s="7">
        <v>175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バフォメット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PremiumN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ゴッド</v>
      </c>
      <c r="L117" s="6">
        <v>1</v>
      </c>
      <c r="M117" s="6">
        <v>1503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1"/>
        <v>01781</v>
      </c>
      <c r="B118" s="2">
        <v>108</v>
      </c>
      <c r="C118" s="10" t="str">
        <f ca="1">VLOOKUP($B118,OFFSET([2]gachas!$A$2,0,0,COUNTA([2]gachas!$A:$A),MATCH(C$1,[2]gachas!$1:$1,0)-MATCH($B$1,[2]gachas!$1:$1,0)+1),MATCH(C$1,[2]gachas!$1:$1,0)-MATCH($B$1,[2]gachas!$1:$1,0)+1,FALSE)</f>
        <v>赤アップ01　開始</v>
      </c>
      <c r="D118" s="29">
        <v>0</v>
      </c>
      <c r="E118" s="30">
        <v>178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ケルベロス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PremiumN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アニマル</v>
      </c>
      <c r="L118" s="29">
        <v>1</v>
      </c>
      <c r="M118" s="29">
        <v>5511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1"/>
        <v>01811</v>
      </c>
      <c r="B119" s="2">
        <v>108</v>
      </c>
      <c r="C119" s="10" t="str">
        <f ca="1">VLOOKUP($B119,OFFSET([2]gachas!$A$2,0,0,COUNTA([2]gachas!$A:$A),MATCH(C$1,[2]gachas!$1:$1,0)-MATCH($B$1,[2]gachas!$1:$1,0)+1),MATCH(C$1,[2]gachas!$1:$1,0)-MATCH($B$1,[2]gachas!$1:$1,0)+1,FALSE)</f>
        <v>赤アップ01　開始</v>
      </c>
      <c r="D119" s="6">
        <v>0</v>
      </c>
      <c r="E119" s="7">
        <v>181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ベヒモス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PremiumN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アニマル</v>
      </c>
      <c r="L119" s="6">
        <v>1</v>
      </c>
      <c r="M119" s="6">
        <v>1503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1"/>
        <v>01841</v>
      </c>
      <c r="B120" s="2">
        <v>108</v>
      </c>
      <c r="C120" s="10" t="str">
        <f ca="1">VLOOKUP($B120,OFFSET([2]gachas!$A$2,0,0,COUNTA([2]gachas!$A:$A),MATCH(C$1,[2]gachas!$1:$1,0)-MATCH($B$1,[2]gachas!$1:$1,0)+1),MATCH(C$1,[2]gachas!$1:$1,0)-MATCH($B$1,[2]gachas!$1:$1,0)+1,FALSE)</f>
        <v>赤アップ01　開始</v>
      </c>
      <c r="D120" s="6">
        <v>0</v>
      </c>
      <c r="E120" s="7">
        <v>184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クラーケン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PremiumN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アニマル</v>
      </c>
      <c r="L120" s="6">
        <v>1</v>
      </c>
      <c r="M120" s="6">
        <v>1503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1"/>
        <v>01871</v>
      </c>
      <c r="B121" s="2">
        <v>108</v>
      </c>
      <c r="C121" s="10" t="str">
        <f ca="1">VLOOKUP($B121,OFFSET([2]gachas!$A$2,0,0,COUNTA([2]gachas!$A:$A),MATCH(C$1,[2]gachas!$1:$1,0)-MATCH($B$1,[2]gachas!$1:$1,0)+1),MATCH(C$1,[2]gachas!$1:$1,0)-MATCH($B$1,[2]gachas!$1:$1,0)+1,FALSE)</f>
        <v>赤アップ01　開始</v>
      </c>
      <c r="D121" s="6">
        <v>0</v>
      </c>
      <c r="E121" s="7">
        <v>187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ホルス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PremiumN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アニマル</v>
      </c>
      <c r="L121" s="6">
        <v>1</v>
      </c>
      <c r="M121" s="6">
        <v>1503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1"/>
        <v>01901</v>
      </c>
      <c r="B122" s="2">
        <v>108</v>
      </c>
      <c r="C122" s="10" t="str">
        <f ca="1">VLOOKUP($B122,OFFSET([2]gachas!$A$2,0,0,COUNTA([2]gachas!$A:$A),MATCH(C$1,[2]gachas!$1:$1,0)-MATCH($B$1,[2]gachas!$1:$1,0)+1),MATCH(C$1,[2]gachas!$1:$1,0)-MATCH($B$1,[2]gachas!$1:$1,0)+1,FALSE)</f>
        <v>赤アップ01　開始</v>
      </c>
      <c r="D122" s="29">
        <v>0</v>
      </c>
      <c r="E122" s="30">
        <v>190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卑弥呼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ヒューマン</v>
      </c>
      <c r="L122" s="29">
        <v>1</v>
      </c>
      <c r="M122" s="29">
        <v>5511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1"/>
        <v>01931</v>
      </c>
      <c r="B123" s="2">
        <v>108</v>
      </c>
      <c r="C123" s="10" t="str">
        <f ca="1">VLOOKUP($B123,OFFSET([2]gachas!$A$2,0,0,COUNTA([2]gachas!$A:$A),MATCH(C$1,[2]gachas!$1:$1,0)-MATCH($B$1,[2]gachas!$1:$1,0)+1),MATCH(C$1,[2]gachas!$1:$1,0)-MATCH($B$1,[2]gachas!$1:$1,0)+1,FALSE)</f>
        <v>赤アップ01　開始</v>
      </c>
      <c r="D123" s="6">
        <v>0</v>
      </c>
      <c r="E123" s="7">
        <v>193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ロビンフッド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ヒューマン</v>
      </c>
      <c r="L123" s="6">
        <v>1</v>
      </c>
      <c r="M123" s="6">
        <v>1503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1"/>
        <v>01961</v>
      </c>
      <c r="B124" s="2">
        <v>108</v>
      </c>
      <c r="C124" s="10" t="str">
        <f ca="1">VLOOKUP($B124,OFFSET([2]gachas!$A$2,0,0,COUNTA([2]gachas!$A:$A),MATCH(C$1,[2]gachas!$1:$1,0)-MATCH($B$1,[2]gachas!$1:$1,0)+1),MATCH(C$1,[2]gachas!$1:$1,0)-MATCH($B$1,[2]gachas!$1:$1,0)+1,FALSE)</f>
        <v>赤アップ01　開始</v>
      </c>
      <c r="D124" s="6">
        <v>0</v>
      </c>
      <c r="E124" s="7">
        <v>196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アキレス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ヒューマン</v>
      </c>
      <c r="L124" s="6">
        <v>1</v>
      </c>
      <c r="M124" s="6">
        <v>1503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1"/>
        <v>01991</v>
      </c>
      <c r="B125" s="2">
        <v>108</v>
      </c>
      <c r="C125" s="10" t="str">
        <f ca="1">VLOOKUP($B125,OFFSET([2]gachas!$A$2,0,0,COUNTA([2]gachas!$A:$A),MATCH(C$1,[2]gachas!$1:$1,0)-MATCH($B$1,[2]gachas!$1:$1,0)+1),MATCH(C$1,[2]gachas!$1:$1,0)-MATCH($B$1,[2]gachas!$1:$1,0)+1,FALSE)</f>
        <v>赤アップ01　開始</v>
      </c>
      <c r="D125" s="6">
        <v>0</v>
      </c>
      <c r="E125" s="7">
        <v>199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ジークフリート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blue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ヒューマン</v>
      </c>
      <c r="L125" s="6">
        <v>1</v>
      </c>
      <c r="M125" s="6">
        <v>1503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1"/>
        <v>02021</v>
      </c>
      <c r="B126" s="2">
        <v>108</v>
      </c>
      <c r="C126" s="10" t="str">
        <f ca="1">VLOOKUP($B126,OFFSET([2]gachas!$A$2,0,0,COUNTA([2]gachas!$A:$A),MATCH(C$1,[2]gachas!$1:$1,0)-MATCH($B$1,[2]gachas!$1:$1,0)+1),MATCH(C$1,[2]gachas!$1:$1,0)-MATCH($B$1,[2]gachas!$1:$1,0)+1,FALSE)</f>
        <v>赤アップ01　開始</v>
      </c>
      <c r="D126" s="29">
        <v>0</v>
      </c>
      <c r="E126" s="30">
        <v>202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プロメテウス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29">
        <v>1</v>
      </c>
      <c r="M126" s="29">
        <v>5511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1"/>
        <v>02051</v>
      </c>
      <c r="B127" s="2">
        <v>108</v>
      </c>
      <c r="C127" s="10" t="str">
        <f ca="1">VLOOKUP($B127,OFFSET([2]gachas!$A$2,0,0,COUNTA([2]gachas!$A:$A),MATCH(C$1,[2]gachas!$1:$1,0)-MATCH($B$1,[2]gachas!$1:$1,0)+1),MATCH(C$1,[2]gachas!$1:$1,0)-MATCH($B$1,[2]gachas!$1:$1,0)+1,FALSE)</f>
        <v>赤アップ01　開始</v>
      </c>
      <c r="D127" s="6">
        <v>0</v>
      </c>
      <c r="E127" s="7">
        <v>205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アフロディーテ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6">
        <v>1</v>
      </c>
      <c r="M127" s="6">
        <v>1503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1"/>
        <v>02081</v>
      </c>
      <c r="B128" s="2">
        <v>108</v>
      </c>
      <c r="C128" s="10" t="str">
        <f ca="1">VLOOKUP($B128,OFFSET([2]gachas!$A$2,0,0,COUNTA([2]gachas!$A:$A),MATCH(C$1,[2]gachas!$1:$1,0)-MATCH($B$1,[2]gachas!$1:$1,0)+1),MATCH(C$1,[2]gachas!$1:$1,0)-MATCH($B$1,[2]gachas!$1:$1,0)+1,FALSE)</f>
        <v>赤アップ01　開始</v>
      </c>
      <c r="D128" s="6">
        <v>0</v>
      </c>
      <c r="E128" s="7">
        <v>208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テティス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6">
        <v>1</v>
      </c>
      <c r="M128" s="6">
        <v>1503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1"/>
        <v>02111</v>
      </c>
      <c r="B129" s="2">
        <v>108</v>
      </c>
      <c r="C129" s="10" t="str">
        <f ca="1">VLOOKUP($B129,OFFSET([2]gachas!$A$2,0,0,COUNTA([2]gachas!$A:$A),MATCH(C$1,[2]gachas!$1:$1,0)-MATCH($B$1,[2]gachas!$1:$1,0)+1),MATCH(C$1,[2]gachas!$1:$1,0)-MATCH($B$1,[2]gachas!$1:$1,0)+1,FALSE)</f>
        <v>赤アップ01　開始</v>
      </c>
      <c r="D129" s="6">
        <v>0</v>
      </c>
      <c r="E129" s="7">
        <v>211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アストライアー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ゴッド</v>
      </c>
      <c r="L129" s="6">
        <v>1</v>
      </c>
      <c r="M129" s="6">
        <v>1503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1"/>
        <v>02141</v>
      </c>
      <c r="B130" s="2">
        <v>108</v>
      </c>
      <c r="C130" s="10" t="str">
        <f ca="1">VLOOKUP($B130,OFFSET([2]gachas!$A$2,0,0,COUNTA([2]gachas!$A:$A),MATCH(C$1,[2]gachas!$1:$1,0)-MATCH($B$1,[2]gachas!$1:$1,0)+1),MATCH(C$1,[2]gachas!$1:$1,0)-MATCH($B$1,[2]gachas!$1:$1,0)+1,FALSE)</f>
        <v>赤アップ01　開始</v>
      </c>
      <c r="D130" s="29">
        <v>0</v>
      </c>
      <c r="E130" s="30">
        <v>214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アズラエル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29">
        <v>1</v>
      </c>
      <c r="M130" s="29">
        <v>5511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1"/>
        <v>02171</v>
      </c>
      <c r="B131" s="2">
        <v>108</v>
      </c>
      <c r="C131" s="10" t="str">
        <f ca="1">VLOOKUP($B131,OFFSET([2]gachas!$A$2,0,0,COUNTA([2]gachas!$A:$A),MATCH(C$1,[2]gachas!$1:$1,0)-MATCH($B$1,[2]gachas!$1:$1,0)+1),MATCH(C$1,[2]gachas!$1:$1,0)-MATCH($B$1,[2]gachas!$1:$1,0)+1,FALSE)</f>
        <v>赤アップ01　開始</v>
      </c>
      <c r="D131" s="6">
        <v>0</v>
      </c>
      <c r="E131" s="7">
        <v>217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ケツァクアトル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ドラゴン</v>
      </c>
      <c r="L131" s="6">
        <v>1</v>
      </c>
      <c r="M131" s="6">
        <v>1503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1"/>
        <v>02201</v>
      </c>
      <c r="B132" s="2">
        <v>108</v>
      </c>
      <c r="C132" s="10" t="str">
        <f ca="1">VLOOKUP($B132,OFFSET([2]gachas!$A$2,0,0,COUNTA([2]gachas!$A:$A),MATCH(C$1,[2]gachas!$1:$1,0)-MATCH($B$1,[2]gachas!$1:$1,0)+1),MATCH(C$1,[2]gachas!$1:$1,0)-MATCH($B$1,[2]gachas!$1:$1,0)+1,FALSE)</f>
        <v>赤アップ01　開始</v>
      </c>
      <c r="D132" s="6">
        <v>0</v>
      </c>
      <c r="E132" s="7">
        <v>220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ルキフグス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6">
        <v>1</v>
      </c>
      <c r="M132" s="6">
        <v>1503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1"/>
        <v>02231</v>
      </c>
      <c r="B133" s="2">
        <v>108</v>
      </c>
      <c r="C133" s="10" t="str">
        <f ca="1">VLOOKUP($B133,OFFSET([2]gachas!$A$2,0,0,COUNTA([2]gachas!$A:$A),MATCH(C$1,[2]gachas!$1:$1,0)-MATCH($B$1,[2]gachas!$1:$1,0)+1),MATCH(C$1,[2]gachas!$1:$1,0)-MATCH($B$1,[2]gachas!$1:$1,0)+1,FALSE)</f>
        <v>赤アップ01　開始</v>
      </c>
      <c r="D133" s="6">
        <v>0</v>
      </c>
      <c r="E133" s="7">
        <v>223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ヘラクレス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yellow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6">
        <v>1503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1"/>
        <v>02261</v>
      </c>
      <c r="B134" s="2">
        <v>108</v>
      </c>
      <c r="C134" s="10" t="str">
        <f ca="1">VLOOKUP($B134,OFFSET([2]gachas!$A$2,0,0,COUNTA([2]gachas!$A:$A),MATCH(C$1,[2]gachas!$1:$1,0)-MATCH($B$1,[2]gachas!$1:$1,0)+1),MATCH(C$1,[2]gachas!$1:$1,0)-MATCH($B$1,[2]gachas!$1:$1,0)+1,FALSE)</f>
        <v>赤アップ01　開始</v>
      </c>
      <c r="D134" s="29">
        <v>0</v>
      </c>
      <c r="E134" s="30">
        <v>226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アレス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PremiumS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29">
        <v>1</v>
      </c>
      <c r="M134" s="29">
        <v>1125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1"/>
        <v>02291</v>
      </c>
      <c r="B135" s="2">
        <v>108</v>
      </c>
      <c r="C135" s="10" t="str">
        <f ca="1">VLOOKUP($B135,OFFSET([2]gachas!$A$2,0,0,COUNTA([2]gachas!$A:$A),MATCH(C$1,[2]gachas!$1:$1,0)-MATCH($B$1,[2]gachas!$1:$1,0)+1),MATCH(C$1,[2]gachas!$1:$1,0)-MATCH($B$1,[2]gachas!$1:$1,0)+1,FALSE)</f>
        <v>赤アップ01　開始</v>
      </c>
      <c r="D135" s="6">
        <v>0</v>
      </c>
      <c r="E135" s="7">
        <v>229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ヨルムンガンド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PremiumS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6">
        <v>1</v>
      </c>
      <c r="M135" s="6">
        <v>307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1"/>
        <v>02321</v>
      </c>
      <c r="B136" s="2">
        <v>108</v>
      </c>
      <c r="C136" s="10" t="str">
        <f ca="1">VLOOKUP($B136,OFFSET([2]gachas!$A$2,0,0,COUNTA([2]gachas!$A:$A),MATCH(C$1,[2]gachas!$1:$1,0)-MATCH($B$1,[2]gachas!$1:$1,0)+1),MATCH(C$1,[2]gachas!$1:$1,0)-MATCH($B$1,[2]gachas!$1:$1,0)+1,FALSE)</f>
        <v>赤アップ01　開始</v>
      </c>
      <c r="D136" s="6">
        <v>0</v>
      </c>
      <c r="E136" s="7">
        <v>232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パーシヴァル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PremiumS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ヒューマン</v>
      </c>
      <c r="L136" s="6">
        <v>1</v>
      </c>
      <c r="M136" s="6">
        <v>307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1"/>
        <v>02351</v>
      </c>
      <c r="B137" s="2">
        <v>108</v>
      </c>
      <c r="C137" s="10" t="str">
        <f ca="1">VLOOKUP($B137,OFFSET([2]gachas!$A$2,0,0,COUNTA([2]gachas!$A:$A),MATCH(C$1,[2]gachas!$1:$1,0)-MATCH($B$1,[2]gachas!$1:$1,0)+1),MATCH(C$1,[2]gachas!$1:$1,0)-MATCH($B$1,[2]gachas!$1:$1,0)+1,FALSE)</f>
        <v>赤アップ01　開始</v>
      </c>
      <c r="D137" s="6">
        <v>0</v>
      </c>
      <c r="E137" s="7">
        <v>235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イザナミ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PremiumS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6">
        <v>307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1"/>
        <v>01271</v>
      </c>
      <c r="B138" s="2">
        <v>108</v>
      </c>
      <c r="C138" s="10" t="str">
        <f ca="1">VLOOKUP($B138,OFFSET([2]gachas!$A$2,0,0,COUNTA([2]gachas!$A:$A),MATCH(C$1,[2]gachas!$1:$1,0)-MATCH($B$1,[2]gachas!$1:$1,0)+1),MATCH(C$1,[2]gachas!$1:$1,0)-MATCH($B$1,[2]gachas!$1:$1,0)+1,FALSE)</f>
        <v>赤アップ01　開始</v>
      </c>
      <c r="D138" s="29">
        <v>0</v>
      </c>
      <c r="E138" s="30">
        <v>127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狂喜の賢者 ユノ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PremiumW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29">
        <v>1</v>
      </c>
      <c r="M138" s="29">
        <v>1703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1"/>
        <v>01291</v>
      </c>
      <c r="B139" s="2">
        <v>108</v>
      </c>
      <c r="C139" s="10" t="str">
        <f ca="1">VLOOKUP($B139,OFFSET([2]gachas!$A$2,0,0,COUNTA([2]gachas!$A:$A),MATCH(C$1,[2]gachas!$1:$1,0)-MATCH($B$1,[2]gachas!$1:$1,0)+1),MATCH(C$1,[2]gachas!$1:$1,0)-MATCH($B$1,[2]gachas!$1:$1,0)+1,FALSE)</f>
        <v>赤アップ01　開始</v>
      </c>
      <c r="D139" s="6">
        <v>0</v>
      </c>
      <c r="E139" s="7">
        <v>129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孤高の狼憑き アマラ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PremiumW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6">
        <v>1</v>
      </c>
      <c r="M139" s="6">
        <v>464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1"/>
        <v>01311</v>
      </c>
      <c r="B140" s="2">
        <v>108</v>
      </c>
      <c r="C140" s="10" t="str">
        <f ca="1">VLOOKUP($B140,OFFSET([2]gachas!$A$2,0,0,COUNTA([2]gachas!$A:$A),MATCH(C$1,[2]gachas!$1:$1,0)-MATCH($B$1,[2]gachas!$1:$1,0)+1),MATCH(C$1,[2]gachas!$1:$1,0)-MATCH($B$1,[2]gachas!$1:$1,0)+1,FALSE)</f>
        <v>赤アップ01　開始</v>
      </c>
      <c r="D140" s="6">
        <v>0</v>
      </c>
      <c r="E140" s="7">
        <v>131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PremiumW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アニマル</v>
      </c>
      <c r="L140" s="6">
        <v>1</v>
      </c>
      <c r="M140" s="6">
        <v>464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1"/>
        <v>01331</v>
      </c>
      <c r="B141" s="2">
        <v>108</v>
      </c>
      <c r="C141" s="10" t="str">
        <f ca="1">VLOOKUP($B141,OFFSET([2]gachas!$A$2,0,0,COUNTA([2]gachas!$A:$A),MATCH(C$1,[2]gachas!$1:$1,0)-MATCH($B$1,[2]gachas!$1:$1,0)+1),MATCH(C$1,[2]gachas!$1:$1,0)-MATCH($B$1,[2]gachas!$1:$1,0)+1,FALSE)</f>
        <v>赤アップ01　開始</v>
      </c>
      <c r="D141" s="6">
        <v>0</v>
      </c>
      <c r="E141" s="7">
        <v>133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迅雷の刀剣 ハヤト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PremiumW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6">
        <v>464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1"/>
        <v>01351</v>
      </c>
      <c r="B142" s="2">
        <v>108</v>
      </c>
      <c r="C142" s="10" t="str">
        <f ca="1">VLOOKUP($B142,OFFSET([2]gachas!$A$2,0,0,COUNTA([2]gachas!$A:$A),MATCH(C$1,[2]gachas!$1:$1,0)-MATCH($B$1,[2]gachas!$1:$1,0)+1),MATCH(C$1,[2]gachas!$1:$1,0)-MATCH($B$1,[2]gachas!$1:$1,0)+1,FALSE)</f>
        <v>赤アップ01　開始</v>
      </c>
      <c r="D142" s="29">
        <v>0</v>
      </c>
      <c r="E142" s="30">
        <v>135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京の炎華夕霧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PremiumW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29">
        <v>1</v>
      </c>
      <c r="M142" s="29">
        <v>1703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1"/>
        <v>01371</v>
      </c>
      <c r="B143" s="2">
        <v>108</v>
      </c>
      <c r="C143" s="10" t="str">
        <f ca="1">VLOOKUP($B143,OFFSET([2]gachas!$A$2,0,0,COUNTA([2]gachas!$A:$A),MATCH(C$1,[2]gachas!$1:$1,0)-MATCH($B$1,[2]gachas!$1:$1,0)+1),MATCH(C$1,[2]gachas!$1:$1,0)-MATCH($B$1,[2]gachas!$1:$1,0)+1,FALSE)</f>
        <v>赤アップ01　開始</v>
      </c>
      <c r="D143" s="6">
        <v>0</v>
      </c>
      <c r="E143" s="7">
        <v>137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清福の仕立屋 チハヤ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PremiumW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4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6">
        <v>1</v>
      </c>
      <c r="M143" s="6">
        <v>464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1"/>
        <v>01391</v>
      </c>
      <c r="B144" s="2">
        <v>108</v>
      </c>
      <c r="C144" s="10" t="str">
        <f ca="1">VLOOKUP($B144,OFFSET([2]gachas!$A$2,0,0,COUNTA([2]gachas!$A:$A),MATCH(C$1,[2]gachas!$1:$1,0)-MATCH($B$1,[2]gachas!$1:$1,0)+1),MATCH(C$1,[2]gachas!$1:$1,0)-MATCH($B$1,[2]gachas!$1:$1,0)+1,FALSE)</f>
        <v>赤アップ01　開始</v>
      </c>
      <c r="D144" s="6">
        <v>0</v>
      </c>
      <c r="E144" s="7">
        <v>139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蒼昇刃姫 トモエ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PremiumW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6">
        <v>1</v>
      </c>
      <c r="M144" s="6">
        <v>464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1"/>
        <v>01411</v>
      </c>
      <c r="B145" s="2">
        <v>108</v>
      </c>
      <c r="C145" s="10" t="str">
        <f ca="1">VLOOKUP($B145,OFFSET([2]gachas!$A$2,0,0,COUNTA([2]gachas!$A:$A),MATCH(C$1,[2]gachas!$1:$1,0)-MATCH($B$1,[2]gachas!$1:$1,0)+1),MATCH(C$1,[2]gachas!$1:$1,0)-MATCH($B$1,[2]gachas!$1:$1,0)+1,FALSE)</f>
        <v>赤アップ01　開始</v>
      </c>
      <c r="D145" s="6">
        <v>0</v>
      </c>
      <c r="E145" s="7">
        <v>141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妖狐演舞 タマモ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PremiumW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4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アニマル</v>
      </c>
      <c r="L145" s="6">
        <v>1</v>
      </c>
      <c r="M145" s="6">
        <v>464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1"/>
        <v>01431</v>
      </c>
      <c r="B146" s="2">
        <v>108</v>
      </c>
      <c r="C146" s="10" t="str">
        <f ca="1">VLOOKUP($B146,OFFSET([2]gachas!$A$2,0,0,COUNTA([2]gachas!$A:$A),MATCH(C$1,[2]gachas!$1:$1,0)-MATCH($B$1,[2]gachas!$1:$1,0)+1),MATCH(C$1,[2]gachas!$1:$1,0)-MATCH($B$1,[2]gachas!$1:$1,0)+1,FALSE)</f>
        <v>赤アップ01　開始</v>
      </c>
      <c r="D146" s="29">
        <v>0</v>
      </c>
      <c r="E146" s="30">
        <v>143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深紅の死神 赤ずきん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29">
        <v>1</v>
      </c>
      <c r="M146" s="29">
        <v>1703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ref="A147:A210" si="3">D147&amp;E147&amp;L147</f>
        <v>01451</v>
      </c>
      <c r="B147" s="2">
        <v>108</v>
      </c>
      <c r="C147" s="10" t="str">
        <f ca="1">VLOOKUP($B147,OFFSET([2]gachas!$A$2,0,0,COUNTA([2]gachas!$A:$A),MATCH(C$1,[2]gachas!$1:$1,0)-MATCH($B$1,[2]gachas!$1:$1,0)+1),MATCH(C$1,[2]gachas!$1:$1,0)-MATCH($B$1,[2]gachas!$1:$1,0)+1,FALSE)</f>
        <v>赤アップ01　開始</v>
      </c>
      <c r="D147" s="6">
        <v>0</v>
      </c>
      <c r="E147" s="7">
        <v>145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魔性妖艶 かぐや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6">
        <v>464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01471</v>
      </c>
      <c r="B148" s="2">
        <v>108</v>
      </c>
      <c r="C148" s="10" t="str">
        <f ca="1">VLOOKUP($B148,OFFSET([2]gachas!$A$2,0,0,COUNTA([2]gachas!$A:$A),MATCH(C$1,[2]gachas!$1:$1,0)-MATCH($B$1,[2]gachas!$1:$1,0)+1),MATCH(C$1,[2]gachas!$1:$1,0)-MATCH($B$1,[2]gachas!$1:$1,0)+1,FALSE)</f>
        <v>赤アップ01　開始</v>
      </c>
      <c r="D148" s="6">
        <v>0</v>
      </c>
      <c r="E148" s="7">
        <v>147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ヒューマン</v>
      </c>
      <c r="L148" s="6">
        <v>1</v>
      </c>
      <c r="M148" s="6">
        <v>464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01491</v>
      </c>
      <c r="B149" s="2">
        <v>108</v>
      </c>
      <c r="C149" s="10" t="str">
        <f ca="1">VLOOKUP($B149,OFFSET([2]gachas!$A$2,0,0,COUNTA([2]gachas!$A:$A),MATCH(C$1,[2]gachas!$1:$1,0)-MATCH($B$1,[2]gachas!$1:$1,0)+1),MATCH(C$1,[2]gachas!$1:$1,0)-MATCH($B$1,[2]gachas!$1:$1,0)+1,FALSE)</f>
        <v>赤アップ01　開始</v>
      </c>
      <c r="D149" s="6">
        <v>0</v>
      </c>
      <c r="E149" s="7">
        <v>149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6">
        <v>464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01511</v>
      </c>
      <c r="B150" s="2">
        <v>108</v>
      </c>
      <c r="C150" s="10" t="str">
        <f ca="1">VLOOKUP($B150,OFFSET([2]gachas!$A$2,0,0,COUNTA([2]gachas!$A:$A),MATCH(C$1,[2]gachas!$1:$1,0)-MATCH($B$1,[2]gachas!$1:$1,0)+1),MATCH(C$1,[2]gachas!$1:$1,0)-MATCH($B$1,[2]gachas!$1:$1,0)+1,FALSE)</f>
        <v>赤アップ01　開始</v>
      </c>
      <c r="D150" s="29">
        <v>0</v>
      </c>
      <c r="E150" s="30">
        <v>151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毒煙の処刑人サキ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29">
        <v>1</v>
      </c>
      <c r="M150" s="29">
        <v>1703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01531</v>
      </c>
      <c r="B151" s="2">
        <v>108</v>
      </c>
      <c r="C151" s="10" t="str">
        <f ca="1">VLOOKUP($B151,OFFSET([2]gachas!$A$2,0,0,COUNTA([2]gachas!$A:$A),MATCH(C$1,[2]gachas!$1:$1,0)-MATCH($B$1,[2]gachas!$1:$1,0)+1),MATCH(C$1,[2]gachas!$1:$1,0)-MATCH($B$1,[2]gachas!$1:$1,0)+1,FALSE)</f>
        <v>赤アップ01　開始</v>
      </c>
      <c r="D151" s="6">
        <v>0</v>
      </c>
      <c r="E151" s="7">
        <v>153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拳聖ランラン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6">
        <v>1</v>
      </c>
      <c r="M151" s="6">
        <v>464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01551</v>
      </c>
      <c r="B152" s="2">
        <v>108</v>
      </c>
      <c r="C152" s="10" t="str">
        <f ca="1">VLOOKUP($B152,OFFSET([2]gachas!$A$2,0,0,COUNTA([2]gachas!$A:$A),MATCH(C$1,[2]gachas!$1:$1,0)-MATCH($B$1,[2]gachas!$1:$1,0)+1),MATCH(C$1,[2]gachas!$1:$1,0)-MATCH($B$1,[2]gachas!$1:$1,0)+1,FALSE)</f>
        <v>赤アップ01　開始</v>
      </c>
      <c r="D152" s="6">
        <v>0</v>
      </c>
      <c r="E152" s="7">
        <v>155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隻眼の掃除屋 ハンナ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6">
        <v>1</v>
      </c>
      <c r="M152" s="6">
        <v>464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3"/>
        <v>01571</v>
      </c>
      <c r="B153" s="2">
        <v>108</v>
      </c>
      <c r="C153" s="10" t="str">
        <f ca="1">VLOOKUP($B153,OFFSET([2]gachas!$A$2,0,0,COUNTA([2]gachas!$A:$A),MATCH(C$1,[2]gachas!$1:$1,0)-MATCH($B$1,[2]gachas!$1:$1,0)+1),MATCH(C$1,[2]gachas!$1:$1,0)-MATCH($B$1,[2]gachas!$1:$1,0)+1,FALSE)</f>
        <v>赤アップ01　開始</v>
      </c>
      <c r="D153" s="6">
        <v>0</v>
      </c>
      <c r="E153" s="7">
        <v>157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雷光舞姫 エレナ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ヒューマン</v>
      </c>
      <c r="L153" s="6">
        <v>1</v>
      </c>
      <c r="M153" s="6">
        <v>464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3"/>
        <v>01591</v>
      </c>
      <c r="B154" s="2">
        <v>108</v>
      </c>
      <c r="C154" s="10" t="str">
        <f ca="1">VLOOKUP($B154,OFFSET([2]gachas!$A$2,0,0,COUNTA([2]gachas!$A:$A),MATCH(C$1,[2]gachas!$1:$1,0)-MATCH($B$1,[2]gachas!$1:$1,0)+1),MATCH(C$1,[2]gachas!$1:$1,0)-MATCH($B$1,[2]gachas!$1:$1,0)+1,FALSE)</f>
        <v>赤アップ01　開始</v>
      </c>
      <c r="D154" s="29">
        <v>0</v>
      </c>
      <c r="E154" s="30">
        <v>159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29">
        <v>1</v>
      </c>
      <c r="M154" s="29">
        <v>1703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si="3"/>
        <v>01611</v>
      </c>
      <c r="B155" s="2">
        <v>108</v>
      </c>
      <c r="C155" s="10" t="str">
        <f ca="1">VLOOKUP($B155,OFFSET([2]gachas!$A$2,0,0,COUNTA([2]gachas!$A:$A),MATCH(C$1,[2]gachas!$1:$1,0)-MATCH($B$1,[2]gachas!$1:$1,0)+1),MATCH(C$1,[2]gachas!$1:$1,0)-MATCH($B$1,[2]gachas!$1:$1,0)+1,FALSE)</f>
        <v>赤アップ01　開始</v>
      </c>
      <c r="D155" s="6">
        <v>0</v>
      </c>
      <c r="E155" s="7">
        <v>161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咆哮の先導者 クリエ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6">
        <v>1</v>
      </c>
      <c r="M155" s="6">
        <v>464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3"/>
        <v>01631</v>
      </c>
      <c r="B156" s="2">
        <v>108</v>
      </c>
      <c r="C156" s="10" t="str">
        <f ca="1">VLOOKUP($B156,OFFSET([2]gachas!$A$2,0,0,COUNTA([2]gachas!$A:$A),MATCH(C$1,[2]gachas!$1:$1,0)-MATCH($B$1,[2]gachas!$1:$1,0)+1),MATCH(C$1,[2]gachas!$1:$1,0)-MATCH($B$1,[2]gachas!$1:$1,0)+1,FALSE)</f>
        <v>赤アップ01　開始</v>
      </c>
      <c r="D156" s="6">
        <v>0</v>
      </c>
      <c r="E156" s="7">
        <v>163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冷酷な狂嬢 クララ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6">
        <v>1</v>
      </c>
      <c r="M156" s="6">
        <v>464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3"/>
        <v>01651</v>
      </c>
      <c r="B157" s="2">
        <v>108</v>
      </c>
      <c r="C157" s="10" t="str">
        <f ca="1">VLOOKUP($B157,OFFSET([2]gachas!$A$2,0,0,COUNTA([2]gachas!$A:$A),MATCH(C$1,[2]gachas!$1:$1,0)-MATCH($B$1,[2]gachas!$1:$1,0)+1),MATCH(C$1,[2]gachas!$1:$1,0)-MATCH($B$1,[2]gachas!$1:$1,0)+1,FALSE)</f>
        <v>赤アップ01　開始</v>
      </c>
      <c r="D157" s="6">
        <v>0</v>
      </c>
      <c r="E157" s="7">
        <v>165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6">
        <v>464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3"/>
        <v>01671</v>
      </c>
      <c r="B158" s="2">
        <v>108</v>
      </c>
      <c r="C158" s="10" t="str">
        <f ca="1">VLOOKUP($B158,OFFSET([2]gachas!$A$2,0,0,COUNTA([2]gachas!$A:$A),MATCH(C$1,[2]gachas!$1:$1,0)-MATCH($B$1,[2]gachas!$1:$1,0)+1),MATCH(C$1,[2]gachas!$1:$1,0)-MATCH($B$1,[2]gachas!$1:$1,0)+1,FALSE)</f>
        <v>赤アップ01　開始</v>
      </c>
      <c r="D158" s="29">
        <v>0</v>
      </c>
      <c r="E158" s="30">
        <v>167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逆徒 ベリアル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PremiumN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ゴッド</v>
      </c>
      <c r="L158" s="29">
        <v>1</v>
      </c>
      <c r="M158" s="29">
        <v>1742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3"/>
        <v>01701</v>
      </c>
      <c r="B159" s="2">
        <v>108</v>
      </c>
      <c r="C159" s="10" t="str">
        <f ca="1">VLOOKUP($B159,OFFSET([2]gachas!$A$2,0,0,COUNTA([2]gachas!$A:$A),MATCH(C$1,[2]gachas!$1:$1,0)-MATCH($B$1,[2]gachas!$1:$1,0)+1),MATCH(C$1,[2]gachas!$1:$1,0)-MATCH($B$1,[2]gachas!$1:$1,0)+1,FALSE)</f>
        <v>赤アップ01　開始</v>
      </c>
      <c r="D159" s="6">
        <v>0</v>
      </c>
      <c r="E159" s="7">
        <v>170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識徒 オセ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PremiumN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ゴッド</v>
      </c>
      <c r="L159" s="6">
        <v>1</v>
      </c>
      <c r="M159" s="6">
        <v>475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3"/>
        <v>01731</v>
      </c>
      <c r="B160" s="2">
        <v>108</v>
      </c>
      <c r="C160" s="10" t="str">
        <f ca="1">VLOOKUP($B160,OFFSET([2]gachas!$A$2,0,0,COUNTA([2]gachas!$A:$A),MATCH(C$1,[2]gachas!$1:$1,0)-MATCH($B$1,[2]gachas!$1:$1,0)+1),MATCH(C$1,[2]gachas!$1:$1,0)-MATCH($B$1,[2]gachas!$1:$1,0)+1,FALSE)</f>
        <v>赤アップ01　開始</v>
      </c>
      <c r="D160" s="6">
        <v>0</v>
      </c>
      <c r="E160" s="7">
        <v>173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公爵 フォルネウス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PremiumN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ゴッド</v>
      </c>
      <c r="L160" s="6">
        <v>1</v>
      </c>
      <c r="M160" s="6">
        <v>475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3"/>
        <v>01761</v>
      </c>
      <c r="B161" s="2">
        <v>108</v>
      </c>
      <c r="C161" s="10" t="str">
        <f ca="1">VLOOKUP($B161,OFFSET([2]gachas!$A$2,0,0,COUNTA([2]gachas!$A:$A),MATCH(C$1,[2]gachas!$1:$1,0)-MATCH($B$1,[2]gachas!$1:$1,0)+1),MATCH(C$1,[2]gachas!$1:$1,0)-MATCH($B$1,[2]gachas!$1:$1,0)+1,FALSE)</f>
        <v>赤アップ01　開始</v>
      </c>
      <c r="D161" s="6">
        <v>0</v>
      </c>
      <c r="E161" s="7">
        <v>176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異教徒 バフォメット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PremiumN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ゴッド</v>
      </c>
      <c r="L161" s="6">
        <v>1</v>
      </c>
      <c r="M161" s="6">
        <v>475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3"/>
        <v>01791</v>
      </c>
      <c r="B162" s="2">
        <v>108</v>
      </c>
      <c r="C162" s="10" t="str">
        <f ca="1">VLOOKUP($B162,OFFSET([2]gachas!$A$2,0,0,COUNTA([2]gachas!$A:$A),MATCH(C$1,[2]gachas!$1:$1,0)-MATCH($B$1,[2]gachas!$1:$1,0)+1),MATCH(C$1,[2]gachas!$1:$1,0)-MATCH($B$1,[2]gachas!$1:$1,0)+1,FALSE)</f>
        <v>赤アップ01　開始</v>
      </c>
      <c r="D162" s="29">
        <v>0</v>
      </c>
      <c r="E162" s="30">
        <v>179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番犬 ケルベロス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PremiumN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アニマル</v>
      </c>
      <c r="L162" s="29">
        <v>1</v>
      </c>
      <c r="M162" s="29">
        <v>1742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3"/>
        <v>01821</v>
      </c>
      <c r="B163" s="2">
        <v>108</v>
      </c>
      <c r="C163" s="10" t="str">
        <f ca="1">VLOOKUP($B163,OFFSET([2]gachas!$A$2,0,0,COUNTA([2]gachas!$A:$A),MATCH(C$1,[2]gachas!$1:$1,0)-MATCH($B$1,[2]gachas!$1:$1,0)+1),MATCH(C$1,[2]gachas!$1:$1,0)-MATCH($B$1,[2]gachas!$1:$1,0)+1,FALSE)</f>
        <v>赤アップ01　開始</v>
      </c>
      <c r="D163" s="6">
        <v>0</v>
      </c>
      <c r="E163" s="7">
        <v>182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放蕩者 ベヒモス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PremiumN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アニマル</v>
      </c>
      <c r="L163" s="6">
        <v>1</v>
      </c>
      <c r="M163" s="6">
        <v>475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3"/>
        <v>01851</v>
      </c>
      <c r="B164" s="2">
        <v>108</v>
      </c>
      <c r="C164" s="10" t="str">
        <f ca="1">VLOOKUP($B164,OFFSET([2]gachas!$A$2,0,0,COUNTA([2]gachas!$A:$A),MATCH(C$1,[2]gachas!$1:$1,0)-MATCH($B$1,[2]gachas!$1:$1,0)+1),MATCH(C$1,[2]gachas!$1:$1,0)-MATCH($B$1,[2]gachas!$1:$1,0)+1,FALSE)</f>
        <v>赤アップ01　開始</v>
      </c>
      <c r="D164" s="6">
        <v>0</v>
      </c>
      <c r="E164" s="7">
        <v>185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海姫 クラーケン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PremiumN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アニマル</v>
      </c>
      <c r="L164" s="6">
        <v>1</v>
      </c>
      <c r="M164" s="6">
        <v>475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3"/>
        <v>01881</v>
      </c>
      <c r="B165" s="2">
        <v>108</v>
      </c>
      <c r="C165" s="10" t="str">
        <f ca="1">VLOOKUP($B165,OFFSET([2]gachas!$A$2,0,0,COUNTA([2]gachas!$A:$A),MATCH(C$1,[2]gachas!$1:$1,0)-MATCH($B$1,[2]gachas!$1:$1,0)+1),MATCH(C$1,[2]gachas!$1:$1,0)-MATCH($B$1,[2]gachas!$1:$1,0)+1,FALSE)</f>
        <v>赤アップ01　開始</v>
      </c>
      <c r="D165" s="6">
        <v>0</v>
      </c>
      <c r="E165" s="7">
        <v>188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猛禽 ホルス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PremiumN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アニマル</v>
      </c>
      <c r="L165" s="6">
        <v>1</v>
      </c>
      <c r="M165" s="6">
        <v>475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3"/>
        <v>01911</v>
      </c>
      <c r="B166" s="2">
        <v>108</v>
      </c>
      <c r="C166" s="10" t="str">
        <f ca="1">VLOOKUP($B166,OFFSET([2]gachas!$A$2,0,0,COUNTA([2]gachas!$A:$A),MATCH(C$1,[2]gachas!$1:$1,0)-MATCH($B$1,[2]gachas!$1:$1,0)+1),MATCH(C$1,[2]gachas!$1:$1,0)-MATCH($B$1,[2]gachas!$1:$1,0)+1,FALSE)</f>
        <v>赤アップ01　開始</v>
      </c>
      <c r="D166" s="29">
        <v>0</v>
      </c>
      <c r="E166" s="30">
        <v>191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始祖 卑弥呼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ヒューマン</v>
      </c>
      <c r="L166" s="29">
        <v>1</v>
      </c>
      <c r="M166" s="29">
        <v>1742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3"/>
        <v>01941</v>
      </c>
      <c r="B167" s="2">
        <v>108</v>
      </c>
      <c r="C167" s="10" t="str">
        <f ca="1">VLOOKUP($B167,OFFSET([2]gachas!$A$2,0,0,COUNTA([2]gachas!$A:$A),MATCH(C$1,[2]gachas!$1:$1,0)-MATCH($B$1,[2]gachas!$1:$1,0)+1),MATCH(C$1,[2]gachas!$1:$1,0)-MATCH($B$1,[2]gachas!$1:$1,0)+1,FALSE)</f>
        <v>赤アップ01　開始</v>
      </c>
      <c r="D167" s="6">
        <v>0</v>
      </c>
      <c r="E167" s="7">
        <v>194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ヒューマン</v>
      </c>
      <c r="L167" s="6">
        <v>1</v>
      </c>
      <c r="M167" s="6">
        <v>475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3"/>
        <v>01971</v>
      </c>
      <c r="B168" s="2">
        <v>108</v>
      </c>
      <c r="C168" s="10" t="str">
        <f ca="1">VLOOKUP($B168,OFFSET([2]gachas!$A$2,0,0,COUNTA([2]gachas!$A:$A),MATCH(C$1,[2]gachas!$1:$1,0)-MATCH($B$1,[2]gachas!$1:$1,0)+1),MATCH(C$1,[2]gachas!$1:$1,0)-MATCH($B$1,[2]gachas!$1:$1,0)+1,FALSE)</f>
        <v>赤アップ01　開始</v>
      </c>
      <c r="D168" s="6">
        <v>0</v>
      </c>
      <c r="E168" s="7">
        <v>197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鉄腕 アキレス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yellow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ヒューマン</v>
      </c>
      <c r="L168" s="6">
        <v>1</v>
      </c>
      <c r="M168" s="6">
        <v>475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3"/>
        <v>02001</v>
      </c>
      <c r="B169" s="2">
        <v>108</v>
      </c>
      <c r="C169" s="10" t="str">
        <f ca="1">VLOOKUP($B169,OFFSET([2]gachas!$A$2,0,0,COUNTA([2]gachas!$A:$A),MATCH(C$1,[2]gachas!$1:$1,0)-MATCH($B$1,[2]gachas!$1:$1,0)+1),MATCH(C$1,[2]gachas!$1:$1,0)-MATCH($B$1,[2]gachas!$1:$1,0)+1,FALSE)</f>
        <v>赤アップ01　開始</v>
      </c>
      <c r="D169" s="6">
        <v>0</v>
      </c>
      <c r="E169" s="7">
        <v>200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blue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ヒューマン</v>
      </c>
      <c r="L169" s="6">
        <v>1</v>
      </c>
      <c r="M169" s="6">
        <v>475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3"/>
        <v>02031</v>
      </c>
      <c r="B170" s="2">
        <v>108</v>
      </c>
      <c r="C170" s="10" t="str">
        <f ca="1">VLOOKUP($B170,OFFSET([2]gachas!$A$2,0,0,COUNTA([2]gachas!$A:$A),MATCH(C$1,[2]gachas!$1:$1,0)-MATCH($B$1,[2]gachas!$1:$1,0)+1),MATCH(C$1,[2]gachas!$1:$1,0)-MATCH($B$1,[2]gachas!$1:$1,0)+1,FALSE)</f>
        <v>赤アップ01　開始</v>
      </c>
      <c r="D170" s="29">
        <v>0</v>
      </c>
      <c r="E170" s="30">
        <v>203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焔神 プロメテウス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ゴッド</v>
      </c>
      <c r="L170" s="29">
        <v>1</v>
      </c>
      <c r="M170" s="29">
        <v>1742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3"/>
        <v>02061</v>
      </c>
      <c r="B171" s="2">
        <v>108</v>
      </c>
      <c r="C171" s="10" t="str">
        <f ca="1">VLOOKUP($B171,OFFSET([2]gachas!$A$2,0,0,COUNTA([2]gachas!$A:$A),MATCH(C$1,[2]gachas!$1:$1,0)-MATCH($B$1,[2]gachas!$1:$1,0)+1),MATCH(C$1,[2]gachas!$1:$1,0)-MATCH($B$1,[2]gachas!$1:$1,0)+1,FALSE)</f>
        <v>赤アップ01　開始</v>
      </c>
      <c r="D171" s="6">
        <v>0</v>
      </c>
      <c r="E171" s="7">
        <v>206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美神 アフロディーテ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ゴッド</v>
      </c>
      <c r="L171" s="6">
        <v>1</v>
      </c>
      <c r="M171" s="6">
        <v>475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3"/>
        <v>02091</v>
      </c>
      <c r="B172" s="2">
        <v>108</v>
      </c>
      <c r="C172" s="10" t="str">
        <f ca="1">VLOOKUP($B172,OFFSET([2]gachas!$A$2,0,0,COUNTA([2]gachas!$A:$A),MATCH(C$1,[2]gachas!$1:$1,0)-MATCH($B$1,[2]gachas!$1:$1,0)+1),MATCH(C$1,[2]gachas!$1:$1,0)-MATCH($B$1,[2]gachas!$1:$1,0)+1,FALSE)</f>
        <v>赤アップ01　開始</v>
      </c>
      <c r="D172" s="6">
        <v>0</v>
      </c>
      <c r="E172" s="7">
        <v>209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孤神 テティス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ゴッド</v>
      </c>
      <c r="L172" s="6">
        <v>1</v>
      </c>
      <c r="M172" s="6">
        <v>475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3"/>
        <v>02121</v>
      </c>
      <c r="B173" s="2">
        <v>108</v>
      </c>
      <c r="C173" s="10" t="str">
        <f ca="1">VLOOKUP($B173,OFFSET([2]gachas!$A$2,0,0,COUNTA([2]gachas!$A:$A),MATCH(C$1,[2]gachas!$1:$1,0)-MATCH($B$1,[2]gachas!$1:$1,0)+1),MATCH(C$1,[2]gachas!$1:$1,0)-MATCH($B$1,[2]gachas!$1:$1,0)+1,FALSE)</f>
        <v>赤アップ01　開始</v>
      </c>
      <c r="D173" s="6">
        <v>0</v>
      </c>
      <c r="E173" s="7">
        <v>212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星神 アストライアー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ゴッド</v>
      </c>
      <c r="L173" s="6">
        <v>1</v>
      </c>
      <c r="M173" s="6">
        <v>475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3"/>
        <v>02151</v>
      </c>
      <c r="B174" s="2">
        <v>108</v>
      </c>
      <c r="C174" s="10" t="str">
        <f ca="1">VLOOKUP($B174,OFFSET([2]gachas!$A$2,0,0,COUNTA([2]gachas!$A:$A),MATCH(C$1,[2]gachas!$1:$1,0)-MATCH($B$1,[2]gachas!$1:$1,0)+1),MATCH(C$1,[2]gachas!$1:$1,0)-MATCH($B$1,[2]gachas!$1:$1,0)+1,FALSE)</f>
        <v>赤アップ01　開始</v>
      </c>
      <c r="D174" s="29">
        <v>0</v>
      </c>
      <c r="E174" s="30">
        <v>215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死導者 アズラエル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ゴッド</v>
      </c>
      <c r="L174" s="29">
        <v>1</v>
      </c>
      <c r="M174" s="29">
        <v>1742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3"/>
        <v>02181</v>
      </c>
      <c r="B175" s="2">
        <v>108</v>
      </c>
      <c r="C175" s="10" t="str">
        <f ca="1">VLOOKUP($B175,OFFSET([2]gachas!$A$2,0,0,COUNTA([2]gachas!$A:$A),MATCH(C$1,[2]gachas!$1:$1,0)-MATCH($B$1,[2]gachas!$1:$1,0)+1),MATCH(C$1,[2]gachas!$1:$1,0)-MATCH($B$1,[2]gachas!$1:$1,0)+1,FALSE)</f>
        <v>赤アップ01　開始</v>
      </c>
      <c r="D175" s="6">
        <v>0</v>
      </c>
      <c r="E175" s="7">
        <v>218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聖蛇 ケツァクアトル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ドラゴン</v>
      </c>
      <c r="L175" s="6">
        <v>1</v>
      </c>
      <c r="M175" s="6">
        <v>475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3"/>
        <v>02211</v>
      </c>
      <c r="B176" s="2">
        <v>108</v>
      </c>
      <c r="C176" s="10" t="str">
        <f ca="1">VLOOKUP($B176,OFFSET([2]gachas!$A$2,0,0,COUNTA([2]gachas!$A:$A),MATCH(C$1,[2]gachas!$1:$1,0)-MATCH($B$1,[2]gachas!$1:$1,0)+1),MATCH(C$1,[2]gachas!$1:$1,0)-MATCH($B$1,[2]gachas!$1:$1,0)+1,FALSE)</f>
        <v>赤アップ01　開始</v>
      </c>
      <c r="D176" s="6">
        <v>0</v>
      </c>
      <c r="E176" s="7">
        <v>221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宰相 ルキフグス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blue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ゴッド</v>
      </c>
      <c r="L176" s="6">
        <v>1</v>
      </c>
      <c r="M176" s="6">
        <v>475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3"/>
        <v>02241</v>
      </c>
      <c r="B177" s="2">
        <v>108</v>
      </c>
      <c r="C177" s="10" t="str">
        <f ca="1">VLOOKUP($B177,OFFSET([2]gachas!$A$2,0,0,COUNTA([2]gachas!$A:$A),MATCH(C$1,[2]gachas!$1:$1,0)-MATCH($B$1,[2]gachas!$1:$1,0)+1),MATCH(C$1,[2]gachas!$1:$1,0)-MATCH($B$1,[2]gachas!$1:$1,0)+1,FALSE)</f>
        <v>赤アップ01　開始</v>
      </c>
      <c r="D177" s="6">
        <v>0</v>
      </c>
      <c r="E177" s="7">
        <v>224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巨腕 ヘラクレス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yellow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6">
        <v>1</v>
      </c>
      <c r="M177" s="6">
        <v>475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3"/>
        <v>02271</v>
      </c>
      <c r="B178" s="2">
        <v>108</v>
      </c>
      <c r="C178" s="10" t="str">
        <f ca="1">VLOOKUP($B178,OFFSET([2]gachas!$A$2,0,0,COUNTA([2]gachas!$A:$A),MATCH(C$1,[2]gachas!$1:$1,0)-MATCH($B$1,[2]gachas!$1:$1,0)+1),MATCH(C$1,[2]gachas!$1:$1,0)-MATCH($B$1,[2]gachas!$1:$1,0)+1,FALSE)</f>
        <v>赤アップ01　開始</v>
      </c>
      <c r="D178" s="29">
        <v>0</v>
      </c>
      <c r="E178" s="30">
        <v>227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滅弾 アレス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PremiumS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29">
        <v>1</v>
      </c>
      <c r="M178" s="29">
        <v>396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3"/>
        <v>02301</v>
      </c>
      <c r="B179" s="2">
        <v>108</v>
      </c>
      <c r="C179" s="10" t="str">
        <f ca="1">VLOOKUP($B179,OFFSET([2]gachas!$A$2,0,0,COUNTA([2]gachas!$A:$A),MATCH(C$1,[2]gachas!$1:$1,0)-MATCH($B$1,[2]gachas!$1:$1,0)+1),MATCH(C$1,[2]gachas!$1:$1,0)-MATCH($B$1,[2]gachas!$1:$1,0)+1,FALSE)</f>
        <v>赤アップ01　開始</v>
      </c>
      <c r="D179" s="6">
        <v>0</v>
      </c>
      <c r="E179" s="7">
        <v>230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毒銃 ヨルムンガンド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PremiumS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ドラゴン</v>
      </c>
      <c r="L179" s="6">
        <v>1</v>
      </c>
      <c r="M179" s="6">
        <v>108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3"/>
        <v>02331</v>
      </c>
      <c r="B180" s="2">
        <v>108</v>
      </c>
      <c r="C180" s="10" t="str">
        <f ca="1">VLOOKUP($B180,OFFSET([2]gachas!$A$2,0,0,COUNTA([2]gachas!$A:$A),MATCH(C$1,[2]gachas!$1:$1,0)-MATCH($B$1,[2]gachas!$1:$1,0)+1),MATCH(C$1,[2]gachas!$1:$1,0)-MATCH($B$1,[2]gachas!$1:$1,0)+1,FALSE)</f>
        <v>赤アップ01　開始</v>
      </c>
      <c r="D180" s="6">
        <v>0</v>
      </c>
      <c r="E180" s="7">
        <v>233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遂行 パーシヴァル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PremiumS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ヒューマン</v>
      </c>
      <c r="L180" s="6">
        <v>1</v>
      </c>
      <c r="M180" s="6">
        <v>108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3"/>
        <v>02361</v>
      </c>
      <c r="B181" s="2">
        <v>108</v>
      </c>
      <c r="C181" s="10" t="str">
        <f ca="1">VLOOKUP($B181,OFFSET([2]gachas!$A$2,0,0,COUNTA([2]gachas!$A:$A),MATCH(C$1,[2]gachas!$1:$1,0)-MATCH($B$1,[2]gachas!$1:$1,0)+1),MATCH(C$1,[2]gachas!$1:$1,0)-MATCH($B$1,[2]gachas!$1:$1,0)+1,FALSE)</f>
        <v>赤アップ01　開始</v>
      </c>
      <c r="D181" s="6">
        <v>0</v>
      </c>
      <c r="E181" s="7">
        <v>236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神産 イザナミ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PremiumS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6">
        <v>108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3"/>
        <v>01681</v>
      </c>
      <c r="B182" s="2">
        <v>108</v>
      </c>
      <c r="C182" s="10" t="str">
        <f ca="1">VLOOKUP($B182,OFFSET([2]gachas!$A$2,0,0,COUNTA([2]gachas!$A:$A),MATCH(C$1,[2]gachas!$1:$1,0)-MATCH($B$1,[2]gachas!$1:$1,0)+1),MATCH(C$1,[2]gachas!$1:$1,0)-MATCH($B$1,[2]gachas!$1:$1,0)+1,FALSE)</f>
        <v>赤アップ01　開始</v>
      </c>
      <c r="D182" s="29">
        <v>0</v>
      </c>
      <c r="E182" s="30">
        <v>168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5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29">
        <v>1</v>
      </c>
      <c r="M182" s="29">
        <v>564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3"/>
        <v>01711</v>
      </c>
      <c r="B183" s="2">
        <v>108</v>
      </c>
      <c r="C183" s="10" t="str">
        <f ca="1">VLOOKUP($B183,OFFSET([2]gachas!$A$2,0,0,COUNTA([2]gachas!$A:$A),MATCH(C$1,[2]gachas!$1:$1,0)-MATCH($B$1,[2]gachas!$1:$1,0)+1),MATCH(C$1,[2]gachas!$1:$1,0)-MATCH($B$1,[2]gachas!$1:$1,0)+1,FALSE)</f>
        <v>赤アップ01　開始</v>
      </c>
      <c r="D183" s="6">
        <v>0</v>
      </c>
      <c r="E183" s="7">
        <v>171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精解の預知者 オセ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5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ゴッド</v>
      </c>
      <c r="L183" s="6">
        <v>1</v>
      </c>
      <c r="M183" s="6">
        <v>154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3"/>
        <v>01741</v>
      </c>
      <c r="B184" s="2">
        <v>108</v>
      </c>
      <c r="C184" s="10" t="str">
        <f ca="1">VLOOKUP($B184,OFFSET([2]gachas!$A$2,0,0,COUNTA([2]gachas!$A:$A),MATCH(C$1,[2]gachas!$1:$1,0)-MATCH($B$1,[2]gachas!$1:$1,0)+1),MATCH(C$1,[2]gachas!$1:$1,0)-MATCH($B$1,[2]gachas!$1:$1,0)+1,FALSE)</f>
        <v>赤アップ01　開始</v>
      </c>
      <c r="D184" s="6">
        <v>0</v>
      </c>
      <c r="E184" s="7">
        <v>174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5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6">
        <v>1</v>
      </c>
      <c r="M184" s="6">
        <v>154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3"/>
        <v>01771</v>
      </c>
      <c r="B185" s="2">
        <v>108</v>
      </c>
      <c r="C185" s="10" t="str">
        <f ca="1">VLOOKUP($B185,OFFSET([2]gachas!$A$2,0,0,COUNTA([2]gachas!$A:$A),MATCH(C$1,[2]gachas!$1:$1,0)-MATCH($B$1,[2]gachas!$1:$1,0)+1),MATCH(C$1,[2]gachas!$1:$1,0)-MATCH($B$1,[2]gachas!$1:$1,0)+1,FALSE)</f>
        <v>赤アップ01　開始</v>
      </c>
      <c r="D185" s="6">
        <v>0</v>
      </c>
      <c r="E185" s="7">
        <v>177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5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ゴッド</v>
      </c>
      <c r="L185" s="6">
        <v>1</v>
      </c>
      <c r="M185" s="6">
        <v>154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3"/>
        <v>01801</v>
      </c>
      <c r="B186" s="2">
        <v>108</v>
      </c>
      <c r="C186" s="10" t="str">
        <f ca="1">VLOOKUP($B186,OFFSET([2]gachas!$A$2,0,0,COUNTA([2]gachas!$A:$A),MATCH(C$1,[2]gachas!$1:$1,0)-MATCH($B$1,[2]gachas!$1:$1,0)+1),MATCH(C$1,[2]gachas!$1:$1,0)-MATCH($B$1,[2]gachas!$1:$1,0)+1,FALSE)</f>
        <v>赤アップ01　開始</v>
      </c>
      <c r="D186" s="29">
        <v>0</v>
      </c>
      <c r="E186" s="30">
        <v>180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PremiumN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5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アニマル</v>
      </c>
      <c r="L186" s="29">
        <v>1</v>
      </c>
      <c r="M186" s="29">
        <v>564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3"/>
        <v>01831</v>
      </c>
      <c r="B187" s="2">
        <v>108</v>
      </c>
      <c r="C187" s="10" t="str">
        <f ca="1">VLOOKUP($B187,OFFSET([2]gachas!$A$2,0,0,COUNTA([2]gachas!$A:$A),MATCH(C$1,[2]gachas!$1:$1,0)-MATCH($B$1,[2]gachas!$1:$1,0)+1),MATCH(C$1,[2]gachas!$1:$1,0)-MATCH($B$1,[2]gachas!$1:$1,0)+1,FALSE)</f>
        <v>赤アップ01　開始</v>
      </c>
      <c r="D187" s="6">
        <v>0</v>
      </c>
      <c r="E187" s="7">
        <v>183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PremiumN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5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アニマル</v>
      </c>
      <c r="L187" s="6">
        <v>1</v>
      </c>
      <c r="M187" s="6">
        <v>154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3"/>
        <v>01861</v>
      </c>
      <c r="B188" s="2">
        <v>108</v>
      </c>
      <c r="C188" s="10" t="str">
        <f ca="1">VLOOKUP($B188,OFFSET([2]gachas!$A$2,0,0,COUNTA([2]gachas!$A:$A),MATCH(C$1,[2]gachas!$1:$1,0)-MATCH($B$1,[2]gachas!$1:$1,0)+1),MATCH(C$1,[2]gachas!$1:$1,0)-MATCH($B$1,[2]gachas!$1:$1,0)+1,FALSE)</f>
        <v>赤アップ01　開始</v>
      </c>
      <c r="D188" s="6">
        <v>0</v>
      </c>
      <c r="E188" s="7">
        <v>186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PremiumN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5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アニマル</v>
      </c>
      <c r="L188" s="6">
        <v>1</v>
      </c>
      <c r="M188" s="6">
        <v>154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3"/>
        <v>01891</v>
      </c>
      <c r="B189" s="2">
        <v>108</v>
      </c>
      <c r="C189" s="10" t="str">
        <f ca="1">VLOOKUP($B189,OFFSET([2]gachas!$A$2,0,0,COUNTA([2]gachas!$A:$A),MATCH(C$1,[2]gachas!$1:$1,0)-MATCH($B$1,[2]gachas!$1:$1,0)+1),MATCH(C$1,[2]gachas!$1:$1,0)-MATCH($B$1,[2]gachas!$1:$1,0)+1,FALSE)</f>
        <v>赤アップ01　開始</v>
      </c>
      <c r="D189" s="6">
        <v>0</v>
      </c>
      <c r="E189" s="7">
        <v>189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迅雷の王禽 ホルス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PremiumN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5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アニマル</v>
      </c>
      <c r="L189" s="6">
        <v>1</v>
      </c>
      <c r="M189" s="6">
        <v>154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3"/>
        <v>01921</v>
      </c>
      <c r="B190" s="2">
        <v>108</v>
      </c>
      <c r="C190" s="10" t="str">
        <f ca="1">VLOOKUP($B190,OFFSET([2]gachas!$A$2,0,0,COUNTA([2]gachas!$A:$A),MATCH(C$1,[2]gachas!$1:$1,0)-MATCH($B$1,[2]gachas!$1:$1,0)+1),MATCH(C$1,[2]gachas!$1:$1,0)-MATCH($B$1,[2]gachas!$1:$1,0)+1,FALSE)</f>
        <v>赤アップ01　開始</v>
      </c>
      <c r="D190" s="29">
        <v>0</v>
      </c>
      <c r="E190" s="30">
        <v>192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ヒューマン</v>
      </c>
      <c r="L190" s="29">
        <v>1</v>
      </c>
      <c r="M190" s="29">
        <v>564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3"/>
        <v>01951</v>
      </c>
      <c r="B191" s="2">
        <v>108</v>
      </c>
      <c r="C191" s="10" t="str">
        <f ca="1">VLOOKUP($B191,OFFSET([2]gachas!$A$2,0,0,COUNTA([2]gachas!$A:$A),MATCH(C$1,[2]gachas!$1:$1,0)-MATCH($B$1,[2]gachas!$1:$1,0)+1),MATCH(C$1,[2]gachas!$1:$1,0)-MATCH($B$1,[2]gachas!$1:$1,0)+1,FALSE)</f>
        <v>赤アップ01　開始</v>
      </c>
      <c r="D191" s="6">
        <v>0</v>
      </c>
      <c r="E191" s="7">
        <v>195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ヒューマン</v>
      </c>
      <c r="L191" s="6">
        <v>1</v>
      </c>
      <c r="M191" s="6">
        <v>154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3"/>
        <v>01981</v>
      </c>
      <c r="B192" s="2">
        <v>108</v>
      </c>
      <c r="C192" s="10" t="str">
        <f ca="1">VLOOKUP($B192,OFFSET([2]gachas!$A$2,0,0,COUNTA([2]gachas!$A:$A),MATCH(C$1,[2]gachas!$1:$1,0)-MATCH($B$1,[2]gachas!$1:$1,0)+1),MATCH(C$1,[2]gachas!$1:$1,0)-MATCH($B$1,[2]gachas!$1:$1,0)+1,FALSE)</f>
        <v>赤アップ01　開始</v>
      </c>
      <c r="D192" s="6">
        <v>0</v>
      </c>
      <c r="E192" s="7">
        <v>198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砕骨の剛腕 アキレス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yellow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ヒューマン</v>
      </c>
      <c r="L192" s="6">
        <v>1</v>
      </c>
      <c r="M192" s="6">
        <v>154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3"/>
        <v>02011</v>
      </c>
      <c r="B193" s="2">
        <v>108</v>
      </c>
      <c r="C193" s="10" t="str">
        <f ca="1">VLOOKUP($B193,OFFSET([2]gachas!$A$2,0,0,COUNTA([2]gachas!$A:$A),MATCH(C$1,[2]gachas!$1:$1,0)-MATCH($B$1,[2]gachas!$1:$1,0)+1),MATCH(C$1,[2]gachas!$1:$1,0)-MATCH($B$1,[2]gachas!$1:$1,0)+1,FALSE)</f>
        <v>赤アップ01　開始</v>
      </c>
      <c r="D193" s="6">
        <v>0</v>
      </c>
      <c r="E193" s="7">
        <v>201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blue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ヒューマン</v>
      </c>
      <c r="L193" s="6">
        <v>1</v>
      </c>
      <c r="M193" s="6">
        <v>154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3"/>
        <v>02041</v>
      </c>
      <c r="B194" s="2">
        <v>108</v>
      </c>
      <c r="C194" s="10" t="str">
        <f ca="1">VLOOKUP($B194,OFFSET([2]gachas!$A$2,0,0,COUNTA([2]gachas!$A:$A),MATCH(C$1,[2]gachas!$1:$1,0)-MATCH($B$1,[2]gachas!$1:$1,0)+1),MATCH(C$1,[2]gachas!$1:$1,0)-MATCH($B$1,[2]gachas!$1:$1,0)+1,FALSE)</f>
        <v>赤アップ01　開始</v>
      </c>
      <c r="D194" s="29">
        <v>0</v>
      </c>
      <c r="E194" s="30">
        <v>204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ゴッド</v>
      </c>
      <c r="L194" s="29">
        <v>1</v>
      </c>
      <c r="M194" s="29">
        <v>564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3"/>
        <v>02071</v>
      </c>
      <c r="B195" s="2">
        <v>108</v>
      </c>
      <c r="C195" s="10" t="str">
        <f ca="1">VLOOKUP($B195,OFFSET([2]gachas!$A$2,0,0,COUNTA([2]gachas!$A:$A),MATCH(C$1,[2]gachas!$1:$1,0)-MATCH($B$1,[2]gachas!$1:$1,0)+1),MATCH(C$1,[2]gachas!$1:$1,0)-MATCH($B$1,[2]gachas!$1:$1,0)+1,FALSE)</f>
        <v>赤アップ01　開始</v>
      </c>
      <c r="D195" s="6">
        <v>0</v>
      </c>
      <c r="E195" s="7">
        <v>207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ゴッド</v>
      </c>
      <c r="L195" s="6">
        <v>1</v>
      </c>
      <c r="M195" s="6">
        <v>154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3"/>
        <v>02101</v>
      </c>
      <c r="B196" s="2">
        <v>108</v>
      </c>
      <c r="C196" s="10" t="str">
        <f ca="1">VLOOKUP($B196,OFFSET([2]gachas!$A$2,0,0,COUNTA([2]gachas!$A:$A),MATCH(C$1,[2]gachas!$1:$1,0)-MATCH($B$1,[2]gachas!$1:$1,0)+1),MATCH(C$1,[2]gachas!$1:$1,0)-MATCH($B$1,[2]gachas!$1:$1,0)+1,FALSE)</f>
        <v>赤アップ01　開始</v>
      </c>
      <c r="D196" s="6">
        <v>0</v>
      </c>
      <c r="E196" s="7">
        <v>210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ゴッド</v>
      </c>
      <c r="L196" s="6">
        <v>1</v>
      </c>
      <c r="M196" s="6">
        <v>154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3"/>
        <v>02131</v>
      </c>
      <c r="B197" s="2">
        <v>108</v>
      </c>
      <c r="C197" s="10" t="str">
        <f ca="1">VLOOKUP($B197,OFFSET([2]gachas!$A$2,0,0,COUNTA([2]gachas!$A:$A),MATCH(C$1,[2]gachas!$1:$1,0)-MATCH($B$1,[2]gachas!$1:$1,0)+1),MATCH(C$1,[2]gachas!$1:$1,0)-MATCH($B$1,[2]gachas!$1:$1,0)+1,FALSE)</f>
        <v>赤アップ01　開始</v>
      </c>
      <c r="D197" s="6">
        <v>0</v>
      </c>
      <c r="E197" s="7">
        <v>213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ゴッド</v>
      </c>
      <c r="L197" s="6">
        <v>1</v>
      </c>
      <c r="M197" s="6">
        <v>154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3"/>
        <v>02161</v>
      </c>
      <c r="B198" s="2">
        <v>108</v>
      </c>
      <c r="C198" s="10" t="str">
        <f ca="1">VLOOKUP($B198,OFFSET([2]gachas!$A$2,0,0,COUNTA([2]gachas!$A:$A),MATCH(C$1,[2]gachas!$1:$1,0)-MATCH($B$1,[2]gachas!$1:$1,0)+1),MATCH(C$1,[2]gachas!$1:$1,0)-MATCH($B$1,[2]gachas!$1:$1,0)+1,FALSE)</f>
        <v>赤アップ01　開始</v>
      </c>
      <c r="D198" s="29">
        <v>0</v>
      </c>
      <c r="E198" s="30">
        <v>216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ゴッド</v>
      </c>
      <c r="L198" s="29">
        <v>1</v>
      </c>
      <c r="M198" s="29">
        <v>564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3"/>
        <v>02191</v>
      </c>
      <c r="B199" s="2">
        <v>108</v>
      </c>
      <c r="C199" s="10" t="str">
        <f ca="1">VLOOKUP($B199,OFFSET([2]gachas!$A$2,0,0,COUNTA([2]gachas!$A:$A),MATCH(C$1,[2]gachas!$1:$1,0)-MATCH($B$1,[2]gachas!$1:$1,0)+1),MATCH(C$1,[2]gachas!$1:$1,0)-MATCH($B$1,[2]gachas!$1:$1,0)+1,FALSE)</f>
        <v>赤アップ01　開始</v>
      </c>
      <c r="D199" s="6">
        <v>0</v>
      </c>
      <c r="E199" s="7">
        <v>219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ドラゴン</v>
      </c>
      <c r="L199" s="6">
        <v>1</v>
      </c>
      <c r="M199" s="6">
        <v>154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3"/>
        <v>02221</v>
      </c>
      <c r="B200" s="2">
        <v>108</v>
      </c>
      <c r="C200" s="10" t="str">
        <f ca="1">VLOOKUP($B200,OFFSET([2]gachas!$A$2,0,0,COUNTA([2]gachas!$A:$A),MATCH(C$1,[2]gachas!$1:$1,0)-MATCH($B$1,[2]gachas!$1:$1,0)+1),MATCH(C$1,[2]gachas!$1:$1,0)-MATCH($B$1,[2]gachas!$1:$1,0)+1,FALSE)</f>
        <v>赤アップ01　開始</v>
      </c>
      <c r="D200" s="6">
        <v>0</v>
      </c>
      <c r="E200" s="7">
        <v>222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blue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ゴッド</v>
      </c>
      <c r="L200" s="6">
        <v>1</v>
      </c>
      <c r="M200" s="6">
        <v>154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3"/>
        <v>02251</v>
      </c>
      <c r="B201" s="2">
        <v>108</v>
      </c>
      <c r="C201" s="10" t="str">
        <f ca="1">VLOOKUP($B201,OFFSET([2]gachas!$A$2,0,0,COUNTA([2]gachas!$A:$A),MATCH(C$1,[2]gachas!$1:$1,0)-MATCH($B$1,[2]gachas!$1:$1,0)+1),MATCH(C$1,[2]gachas!$1:$1,0)-MATCH($B$1,[2]gachas!$1:$1,0)+1,FALSE)</f>
        <v>赤アップ01　開始</v>
      </c>
      <c r="D201" s="6">
        <v>0</v>
      </c>
      <c r="E201" s="7">
        <v>225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yellow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6">
        <v>1</v>
      </c>
      <c r="M201" s="6">
        <v>154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3"/>
        <v>02281</v>
      </c>
      <c r="B202" s="2">
        <v>108</v>
      </c>
      <c r="C202" s="10" t="str">
        <f ca="1">VLOOKUP($B202,OFFSET([2]gachas!$A$2,0,0,COUNTA([2]gachas!$A:$A),MATCH(C$1,[2]gachas!$1:$1,0)-MATCH($B$1,[2]gachas!$1:$1,0)+1),MATCH(C$1,[2]gachas!$1:$1,0)-MATCH($B$1,[2]gachas!$1:$1,0)+1,FALSE)</f>
        <v>赤アップ01　開始</v>
      </c>
      <c r="D202" s="29">
        <v>0</v>
      </c>
      <c r="E202" s="30">
        <v>228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殲滅の掃射砲 アレス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PremiumS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29">
        <v>1</v>
      </c>
      <c r="M202" s="29">
        <v>63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3"/>
        <v>02311</v>
      </c>
      <c r="B203" s="2">
        <v>108</v>
      </c>
      <c r="C203" s="10" t="str">
        <f ca="1">VLOOKUP($B203,OFFSET([2]gachas!$A$2,0,0,COUNTA([2]gachas!$A:$A),MATCH(C$1,[2]gachas!$1:$1,0)-MATCH($B$1,[2]gachas!$1:$1,0)+1),MATCH(C$1,[2]gachas!$1:$1,0)-MATCH($B$1,[2]gachas!$1:$1,0)+1,FALSE)</f>
        <v>赤アップ01　開始</v>
      </c>
      <c r="D203" s="6">
        <v>0</v>
      </c>
      <c r="E203" s="7">
        <v>231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PremiumS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ドラゴン</v>
      </c>
      <c r="L203" s="6">
        <v>1</v>
      </c>
      <c r="M203" s="6">
        <v>17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3"/>
        <v>02341</v>
      </c>
      <c r="B204" s="2">
        <v>108</v>
      </c>
      <c r="C204" s="10" t="str">
        <f ca="1">VLOOKUP($B204,OFFSET([2]gachas!$A$2,0,0,COUNTA([2]gachas!$A:$A),MATCH(C$1,[2]gachas!$1:$1,0)-MATCH($B$1,[2]gachas!$1:$1,0)+1),MATCH(C$1,[2]gachas!$1:$1,0)-MATCH($B$1,[2]gachas!$1:$1,0)+1,FALSE)</f>
        <v>赤アップ01　開始</v>
      </c>
      <c r="D204" s="6">
        <v>0</v>
      </c>
      <c r="E204" s="7">
        <v>234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PremiumS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ヒューマン</v>
      </c>
      <c r="L204" s="6">
        <v>1</v>
      </c>
      <c r="M204" s="6">
        <v>17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s="26" customFormat="1" ht="21" customHeight="1" thickBot="1">
      <c r="A205" s="22" t="str">
        <f t="shared" si="3"/>
        <v>02371</v>
      </c>
      <c r="B205" s="2">
        <v>108</v>
      </c>
      <c r="C205" s="10" t="str">
        <f ca="1">VLOOKUP($B205,OFFSET([2]gachas!$A$2,0,0,COUNTA([2]gachas!$A:$A),MATCH(C$1,[2]gachas!$1:$1,0)-MATCH($B$1,[2]gachas!$1:$1,0)+1),MATCH(C$1,[2]gachas!$1:$1,0)-MATCH($B$1,[2]gachas!$1:$1,0)+1,FALSE)</f>
        <v>赤アップ01　開始</v>
      </c>
      <c r="D205" s="6">
        <v>0</v>
      </c>
      <c r="E205" s="7">
        <v>237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PremiumS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6">
        <v>17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3"/>
        <v>02381</v>
      </c>
      <c r="B206" s="2">
        <v>108</v>
      </c>
      <c r="C206" s="10" t="str">
        <f ca="1">VLOOKUP($B206,OFFSET([2]gachas!$A$2,0,0,COUNTA([2]gachas!$A:$A),MATCH(C$1,[2]gachas!$1:$1,0)-MATCH($B$1,[2]gachas!$1:$1,0)+1),MATCH(C$1,[2]gachas!$1:$1,0)-MATCH($B$1,[2]gachas!$1:$1,0)+1,FALSE)</f>
        <v>赤アップ01　開始</v>
      </c>
      <c r="D206" s="29">
        <v>0</v>
      </c>
      <c r="E206" s="36">
        <v>238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ウリエル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PremiumS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3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マシン</v>
      </c>
      <c r="L206" s="29">
        <v>1</v>
      </c>
      <c r="M206" s="29">
        <v>1125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3"/>
        <v>02391</v>
      </c>
      <c r="B207" s="2">
        <v>108</v>
      </c>
      <c r="C207" s="10" t="str">
        <f ca="1">VLOOKUP($B207,OFFSET([2]gachas!$A$2,0,0,COUNTA([2]gachas!$A:$A),MATCH(C$1,[2]gachas!$1:$1,0)-MATCH($B$1,[2]gachas!$1:$1,0)+1),MATCH(C$1,[2]gachas!$1:$1,0)-MATCH($B$1,[2]gachas!$1:$1,0)+1,FALSE)</f>
        <v>赤アップ01　開始</v>
      </c>
      <c r="D207" s="29">
        <v>0</v>
      </c>
      <c r="E207" s="36">
        <v>239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豪炎の天使 ウリエル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PremiumS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4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red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マシン</v>
      </c>
      <c r="L207" s="29">
        <v>1</v>
      </c>
      <c r="M207" s="29">
        <v>396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3"/>
        <v>02401</v>
      </c>
      <c r="B208" s="2">
        <v>108</v>
      </c>
      <c r="C208" s="10" t="str">
        <f ca="1">VLOOKUP($B208,OFFSET([2]gachas!$A$2,0,0,COUNTA([2]gachas!$A:$A),MATCH(C$1,[2]gachas!$1:$1,0)-MATCH($B$1,[2]gachas!$1:$1,0)+1),MATCH(C$1,[2]gachas!$1:$1,0)-MATCH($B$1,[2]gachas!$1:$1,0)+1,FALSE)</f>
        <v>赤アップ01　開始</v>
      </c>
      <c r="D208" s="29">
        <v>0</v>
      </c>
      <c r="E208" s="36">
        <v>240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PremiumS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red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マシン</v>
      </c>
      <c r="L208" s="29">
        <v>1</v>
      </c>
      <c r="M208" s="29">
        <v>63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3"/>
        <v>02411</v>
      </c>
      <c r="B209" s="2">
        <v>108</v>
      </c>
      <c r="C209" s="10" t="str">
        <f ca="1">VLOOKUP($B209,OFFSET([2]gachas!$A$2,0,0,COUNTA([2]gachas!$A:$A),MATCH(C$1,[2]gachas!$1:$1,0)-MATCH($B$1,[2]gachas!$1:$1,0)+1),MATCH(C$1,[2]gachas!$1:$1,0)-MATCH($B$1,[2]gachas!$1:$1,0)+1,FALSE)</f>
        <v>赤アップ01　開始</v>
      </c>
      <c r="D209" s="6">
        <v>0</v>
      </c>
      <c r="E209" s="19">
        <v>241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ガブリエル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PremiumS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3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green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マシン</v>
      </c>
      <c r="L209" s="6">
        <v>1</v>
      </c>
      <c r="M209" s="6">
        <v>307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3"/>
        <v>02421</v>
      </c>
      <c r="B210" s="2">
        <v>108</v>
      </c>
      <c r="C210" s="10" t="str">
        <f ca="1">VLOOKUP($B210,OFFSET([2]gachas!$A$2,0,0,COUNTA([2]gachas!$A:$A),MATCH(C$1,[2]gachas!$1:$1,0)-MATCH($B$1,[2]gachas!$1:$1,0)+1),MATCH(C$1,[2]gachas!$1:$1,0)-MATCH($B$1,[2]gachas!$1:$1,0)+1,FALSE)</f>
        <v>赤アップ01　開始</v>
      </c>
      <c r="D210" s="6">
        <v>0</v>
      </c>
      <c r="E210" s="19">
        <v>242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4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green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マシン</v>
      </c>
      <c r="L210" s="6">
        <v>1</v>
      </c>
      <c r="M210" s="6">
        <v>108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ref="A211:A237" si="4">D211&amp;E211&amp;L211</f>
        <v>02431</v>
      </c>
      <c r="B211" s="2">
        <v>108</v>
      </c>
      <c r="C211" s="10" t="str">
        <f ca="1">VLOOKUP($B211,OFFSET([2]gachas!$A$2,0,0,COUNTA([2]gachas!$A:$A),MATCH(C$1,[2]gachas!$1:$1,0)-MATCH($B$1,[2]gachas!$1:$1,0)+1),MATCH(C$1,[2]gachas!$1:$1,0)-MATCH($B$1,[2]gachas!$1:$1,0)+1,FALSE)</f>
        <v>赤アップ01　開始</v>
      </c>
      <c r="D211" s="6">
        <v>0</v>
      </c>
      <c r="E211" s="19">
        <v>243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マシン</v>
      </c>
      <c r="L211" s="6">
        <v>1</v>
      </c>
      <c r="M211" s="6">
        <v>17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4"/>
        <v>02441</v>
      </c>
      <c r="B212" s="2">
        <v>108</v>
      </c>
      <c r="C212" s="10" t="str">
        <f ca="1">VLOOKUP($B212,OFFSET([2]gachas!$A$2,0,0,COUNTA([2]gachas!$A:$A),MATCH(C$1,[2]gachas!$1:$1,0)-MATCH($B$1,[2]gachas!$1:$1,0)+1),MATCH(C$1,[2]gachas!$1:$1,0)-MATCH($B$1,[2]gachas!$1:$1,0)+1,FALSE)</f>
        <v>赤アップ01　開始</v>
      </c>
      <c r="D212" s="6">
        <v>0</v>
      </c>
      <c r="E212" s="19">
        <v>244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ラファエル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3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マシン</v>
      </c>
      <c r="L212" s="6">
        <v>1</v>
      </c>
      <c r="M212" s="6">
        <v>307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ht="21" customHeight="1">
      <c r="A213" s="8" t="str">
        <f t="shared" si="4"/>
        <v>02451</v>
      </c>
      <c r="B213" s="2">
        <v>108</v>
      </c>
      <c r="C213" s="10" t="str">
        <f ca="1">VLOOKUP($B213,OFFSET([2]gachas!$A$2,0,0,COUNTA([2]gachas!$A:$A),MATCH(C$1,[2]gachas!$1:$1,0)-MATCH($B$1,[2]gachas!$1:$1,0)+1),MATCH(C$1,[2]gachas!$1:$1,0)-MATCH($B$1,[2]gachas!$1:$1,0)+1,FALSE)</f>
        <v>赤アップ01　開始</v>
      </c>
      <c r="D213" s="6">
        <v>0</v>
      </c>
      <c r="E213" s="19">
        <v>245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4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blue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マシン</v>
      </c>
      <c r="L213" s="6">
        <v>1</v>
      </c>
      <c r="M213" s="6">
        <v>108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4"/>
        <v>02461</v>
      </c>
      <c r="B214" s="2">
        <v>108</v>
      </c>
      <c r="C214" s="10" t="str">
        <f ca="1">VLOOKUP($B214,OFFSET([2]gachas!$A$2,0,0,COUNTA([2]gachas!$A:$A),MATCH(C$1,[2]gachas!$1:$1,0)-MATCH($B$1,[2]gachas!$1:$1,0)+1),MATCH(C$1,[2]gachas!$1:$1,0)-MATCH($B$1,[2]gachas!$1:$1,0)+1,FALSE)</f>
        <v>赤アップ01　開始</v>
      </c>
      <c r="D214" s="6">
        <v>0</v>
      </c>
      <c r="E214" s="19">
        <v>246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5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blue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6">
        <v>17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4"/>
        <v>02471</v>
      </c>
      <c r="B215" s="2">
        <v>108</v>
      </c>
      <c r="C215" s="10" t="str">
        <f ca="1">VLOOKUP($B215,OFFSET([2]gachas!$A$2,0,0,COUNTA([2]gachas!$A:$A),MATCH(C$1,[2]gachas!$1:$1,0)-MATCH($B$1,[2]gachas!$1:$1,0)+1),MATCH(C$1,[2]gachas!$1:$1,0)-MATCH($B$1,[2]gachas!$1:$1,0)+1,FALSE)</f>
        <v>赤アップ01　開始</v>
      </c>
      <c r="D215" s="6">
        <v>0</v>
      </c>
      <c r="E215" s="19">
        <v>247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ミカエル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3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yellow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6">
        <v>307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4"/>
        <v>02481</v>
      </c>
      <c r="B216" s="2">
        <v>108</v>
      </c>
      <c r="C216" s="10" t="str">
        <f ca="1">VLOOKUP($B216,OFFSET([2]gachas!$A$2,0,0,COUNTA([2]gachas!$A:$A),MATCH(C$1,[2]gachas!$1:$1,0)-MATCH($B$1,[2]gachas!$1:$1,0)+1),MATCH(C$1,[2]gachas!$1:$1,0)-MATCH($B$1,[2]gachas!$1:$1,0)+1,FALSE)</f>
        <v>赤アップ01　開始</v>
      </c>
      <c r="D216" s="6">
        <v>0</v>
      </c>
      <c r="E216" s="19">
        <v>248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彩電の天使 ミカエル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4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yellow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6">
        <v>108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s="26" customFormat="1" ht="21" customHeight="1" thickBot="1">
      <c r="A217" s="22" t="str">
        <f t="shared" si="4"/>
        <v>02491</v>
      </c>
      <c r="B217" s="2">
        <v>108</v>
      </c>
      <c r="C217" s="10" t="str">
        <f ca="1">VLOOKUP($B217,OFFSET([2]gachas!$A$2,0,0,COUNTA([2]gachas!$A:$A),MATCH(C$1,[2]gachas!$1:$1,0)-MATCH($B$1,[2]gachas!$1:$1,0)+1),MATCH(C$1,[2]gachas!$1:$1,0)-MATCH($B$1,[2]gachas!$1:$1,0)+1,FALSE)</f>
        <v>赤アップ01　開始</v>
      </c>
      <c r="D217" s="6">
        <v>0</v>
      </c>
      <c r="E217" s="19">
        <v>249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5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yellow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6">
        <v>1</v>
      </c>
      <c r="M217" s="6">
        <v>17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s="26" customFormat="1" ht="21" customHeight="1" thickBot="1">
      <c r="A218" s="22" t="str">
        <f t="shared" si="4"/>
        <v>02501</v>
      </c>
      <c r="B218" s="2">
        <v>108</v>
      </c>
      <c r="C218" s="10" t="str">
        <f ca="1">VLOOKUP($B218,OFFSET([2]gachas!$A$2,0,0,COUNTA([2]gachas!$A:$A),MATCH(C$1,[2]gachas!$1:$1,0)-MATCH($B$1,[2]gachas!$1:$1,0)+1),MATCH(C$1,[2]gachas!$1:$1,0)-MATCH($B$1,[2]gachas!$1:$1,0)+1,FALSE)</f>
        <v>赤アップ01　開始</v>
      </c>
      <c r="D218" s="29">
        <v>0</v>
      </c>
      <c r="E218" s="30">
        <v>250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マンモン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3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red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ゴッド</v>
      </c>
      <c r="L218" s="29">
        <v>1</v>
      </c>
      <c r="M218" s="29">
        <v>1125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 thickBot="1">
      <c r="A219" s="22" t="str">
        <f t="shared" si="4"/>
        <v>02511</v>
      </c>
      <c r="B219" s="2">
        <v>108</v>
      </c>
      <c r="C219" s="10" t="str">
        <f ca="1">VLOOKUP($B219,OFFSET([2]gachas!$A$2,0,0,COUNTA([2]gachas!$A:$A),MATCH(C$1,[2]gachas!$1:$1,0)-MATCH($B$1,[2]gachas!$1:$1,0)+1),MATCH(C$1,[2]gachas!$1:$1,0)-MATCH($B$1,[2]gachas!$1:$1,0)+1,FALSE)</f>
        <v>赤アップ01　開始</v>
      </c>
      <c r="D219" s="29">
        <v>0</v>
      </c>
      <c r="E219" s="30">
        <v>251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強欲 マンモン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4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red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ゴッド</v>
      </c>
      <c r="L219" s="29">
        <v>1</v>
      </c>
      <c r="M219" s="29">
        <v>396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 thickBot="1">
      <c r="A220" s="22" t="str">
        <f t="shared" si="4"/>
        <v>02521</v>
      </c>
      <c r="B220" s="2">
        <v>108</v>
      </c>
      <c r="C220" s="10" t="str">
        <f ca="1">VLOOKUP($B220,OFFSET([2]gachas!$A$2,0,0,COUNTA([2]gachas!$A:$A),MATCH(C$1,[2]gachas!$1:$1,0)-MATCH($B$1,[2]gachas!$1:$1,0)+1),MATCH(C$1,[2]gachas!$1:$1,0)-MATCH($B$1,[2]gachas!$1:$1,0)+1,FALSE)</f>
        <v>赤アップ01　開始</v>
      </c>
      <c r="D220" s="29">
        <v>0</v>
      </c>
      <c r="E220" s="30">
        <v>252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強欲の沸騰 マンモン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5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red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ゴッド</v>
      </c>
      <c r="L220" s="29">
        <v>1</v>
      </c>
      <c r="M220" s="29">
        <v>63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 thickBot="1">
      <c r="A221" s="22" t="str">
        <f t="shared" si="4"/>
        <v>02531</v>
      </c>
      <c r="B221" s="2">
        <v>108</v>
      </c>
      <c r="C221" s="10" t="str">
        <f ca="1">VLOOKUP($B221,OFFSET([2]gachas!$A$2,0,0,COUNTA([2]gachas!$A:$A),MATCH(C$1,[2]gachas!$1:$1,0)-MATCH($B$1,[2]gachas!$1:$1,0)+1),MATCH(C$1,[2]gachas!$1:$1,0)-MATCH($B$1,[2]gachas!$1:$1,0)+1,FALSE)</f>
        <v>赤アップ01　開始</v>
      </c>
      <c r="D221" s="6">
        <v>0</v>
      </c>
      <c r="E221" s="7">
        <v>253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ベルフェゴール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3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green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ゴッド</v>
      </c>
      <c r="L221" s="6">
        <v>1</v>
      </c>
      <c r="M221" s="45">
        <v>307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 thickBot="1">
      <c r="A222" s="22" t="str">
        <f t="shared" si="4"/>
        <v>02541</v>
      </c>
      <c r="B222" s="2">
        <v>108</v>
      </c>
      <c r="C222" s="10" t="str">
        <f ca="1">VLOOKUP($B222,OFFSET([2]gachas!$A$2,0,0,COUNTA([2]gachas!$A:$A),MATCH(C$1,[2]gachas!$1:$1,0)-MATCH($B$1,[2]gachas!$1:$1,0)+1),MATCH(C$1,[2]gachas!$1:$1,0)-MATCH($B$1,[2]gachas!$1:$1,0)+1,FALSE)</f>
        <v>赤アップ01　開始</v>
      </c>
      <c r="D222" s="6">
        <v>0</v>
      </c>
      <c r="E222" s="7">
        <v>254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怠惰 ベルフェゴール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4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green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ゴッド</v>
      </c>
      <c r="L222" s="6">
        <v>1</v>
      </c>
      <c r="M222" s="6">
        <v>108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 thickBot="1">
      <c r="A223" s="22" t="str">
        <f t="shared" si="4"/>
        <v>02551</v>
      </c>
      <c r="B223" s="2">
        <v>108</v>
      </c>
      <c r="C223" s="10" t="str">
        <f ca="1">VLOOKUP($B223,OFFSET([2]gachas!$A$2,0,0,COUNTA([2]gachas!$A:$A),MATCH(C$1,[2]gachas!$1:$1,0)-MATCH($B$1,[2]gachas!$1:$1,0)+1),MATCH(C$1,[2]gachas!$1:$1,0)-MATCH($B$1,[2]gachas!$1:$1,0)+1,FALSE)</f>
        <v>赤アップ01　開始</v>
      </c>
      <c r="D223" s="6">
        <v>0</v>
      </c>
      <c r="E223" s="7">
        <v>255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5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green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ゴッド</v>
      </c>
      <c r="L223" s="6">
        <v>1</v>
      </c>
      <c r="M223" s="6">
        <v>17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 thickBot="1">
      <c r="A224" s="22" t="str">
        <f t="shared" si="4"/>
        <v>02561</v>
      </c>
      <c r="B224" s="2">
        <v>108</v>
      </c>
      <c r="C224" s="10" t="str">
        <f ca="1">VLOOKUP($B224,OFFSET([2]gachas!$A$2,0,0,COUNTA([2]gachas!$A:$A),MATCH(C$1,[2]gachas!$1:$1,0)-MATCH($B$1,[2]gachas!$1:$1,0)+1),MATCH(C$1,[2]gachas!$1:$1,0)-MATCH($B$1,[2]gachas!$1:$1,0)+1,FALSE)</f>
        <v>赤アップ01　開始</v>
      </c>
      <c r="D224" s="6">
        <v>0</v>
      </c>
      <c r="E224" s="7">
        <v>256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アスモデウス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3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blue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ゴッド</v>
      </c>
      <c r="L224" s="6">
        <v>1</v>
      </c>
      <c r="M224" s="45">
        <v>307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ht="21" customHeight="1" thickBot="1">
      <c r="A225" s="22" t="str">
        <f t="shared" si="4"/>
        <v>02571</v>
      </c>
      <c r="B225" s="2">
        <v>108</v>
      </c>
      <c r="C225" s="10" t="str">
        <f ca="1">VLOOKUP($B225,OFFSET([2]gachas!$A$2,0,0,COUNTA([2]gachas!$A:$A),MATCH(C$1,[2]gachas!$1:$1,0)-MATCH($B$1,[2]gachas!$1:$1,0)+1),MATCH(C$1,[2]gachas!$1:$1,0)-MATCH($B$1,[2]gachas!$1:$1,0)+1,FALSE)</f>
        <v>赤アップ01　開始</v>
      </c>
      <c r="D225" s="6">
        <v>0</v>
      </c>
      <c r="E225" s="7">
        <v>257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色欲 アスモデウス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4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blue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ゴッド</v>
      </c>
      <c r="L225" s="6">
        <v>1</v>
      </c>
      <c r="M225" s="6">
        <v>108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ht="21" customHeight="1" thickBot="1">
      <c r="A226" s="22" t="str">
        <f t="shared" si="4"/>
        <v>02581</v>
      </c>
      <c r="B226" s="2">
        <v>108</v>
      </c>
      <c r="C226" s="10" t="str">
        <f ca="1">VLOOKUP($B226,OFFSET([2]gachas!$A$2,0,0,COUNTA([2]gachas!$A:$A),MATCH(C$1,[2]gachas!$1:$1,0)-MATCH($B$1,[2]gachas!$1:$1,0)+1),MATCH(C$1,[2]gachas!$1:$1,0)-MATCH($B$1,[2]gachas!$1:$1,0)+1,FALSE)</f>
        <v>赤アップ01　開始</v>
      </c>
      <c r="D226" s="6">
        <v>0</v>
      </c>
      <c r="E226" s="7">
        <v>258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5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blue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6">
        <v>17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4"/>
        <v>02591</v>
      </c>
      <c r="B227" s="2">
        <v>108</v>
      </c>
      <c r="C227" s="10" t="str">
        <f ca="1">VLOOKUP($B227,OFFSET([2]gachas!$A$2,0,0,COUNTA([2]gachas!$A:$A),MATCH(C$1,[2]gachas!$1:$1,0)-MATCH($B$1,[2]gachas!$1:$1,0)+1),MATCH(C$1,[2]gachas!$1:$1,0)-MATCH($B$1,[2]gachas!$1:$1,0)+1,FALSE)</f>
        <v>赤アップ01　開始</v>
      </c>
      <c r="D227" s="6">
        <v>0</v>
      </c>
      <c r="E227" s="7">
        <v>259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ウロボロス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3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yellow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ドラゴン</v>
      </c>
      <c r="L227" s="6">
        <v>1</v>
      </c>
      <c r="M227" s="45">
        <v>307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4"/>
        <v>02601</v>
      </c>
      <c r="B228" s="2">
        <v>108</v>
      </c>
      <c r="C228" s="10" t="str">
        <f ca="1">VLOOKUP($B228,OFFSET([2]gachas!$A$2,0,0,COUNTA([2]gachas!$A:$A),MATCH(C$1,[2]gachas!$1:$1,0)-MATCH($B$1,[2]gachas!$1:$1,0)+1),MATCH(C$1,[2]gachas!$1:$1,0)-MATCH($B$1,[2]gachas!$1:$1,0)+1,FALSE)</f>
        <v>赤アップ01　開始</v>
      </c>
      <c r="D228" s="6">
        <v>0</v>
      </c>
      <c r="E228" s="7">
        <v>260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輪廻 ウロボロス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4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yellow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ドラゴン</v>
      </c>
      <c r="L228" s="6">
        <v>1</v>
      </c>
      <c r="M228" s="6">
        <v>108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4"/>
        <v>02611</v>
      </c>
      <c r="B229" s="2">
        <v>108</v>
      </c>
      <c r="C229" s="10" t="str">
        <f ca="1">VLOOKUP($B229,OFFSET([2]gachas!$A$2,0,0,COUNTA([2]gachas!$A:$A),MATCH(C$1,[2]gachas!$1:$1,0)-MATCH($B$1,[2]gachas!$1:$1,0)+1),MATCH(C$1,[2]gachas!$1:$1,0)-MATCH($B$1,[2]gachas!$1:$1,0)+1,FALSE)</f>
        <v>赤アップ01　開始</v>
      </c>
      <c r="D229" s="6">
        <v>0</v>
      </c>
      <c r="E229" s="7">
        <v>261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5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yellow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ドラゴン</v>
      </c>
      <c r="L229" s="6">
        <v>1</v>
      </c>
      <c r="M229" s="6">
        <v>17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4"/>
        <v>03201</v>
      </c>
      <c r="B230" s="2">
        <v>108</v>
      </c>
      <c r="C230" s="10" t="str">
        <f ca="1">VLOOKUP($B230,OFFSET([2]gachas!$A$2,0,0,COUNTA([2]gachas!$A:$A),MATCH(C$1,[2]gachas!$1:$1,0)-MATCH($B$1,[2]gachas!$1:$1,0)+1),MATCH(C$1,[2]gachas!$1:$1,0)-MATCH($B$1,[2]gachas!$1:$1,0)+1,FALSE)</f>
        <v>赤アップ01　開始</v>
      </c>
      <c r="D230" s="37">
        <v>0</v>
      </c>
      <c r="E230" s="38">
        <v>320</v>
      </c>
      <c r="F230" s="20" t="str">
        <f ca="1">VLOOKUP($E230,OFFSET([1]characters!$A$2,0,0,COUNTA([1]characters!$A:$A),MATCH(F$1,[1]characters!$2:$2,0)-MATCH($E$1,[1]characters!$2:$2,0)+1),MATCH(F$1,[1]characters!$2:$2,0)-MATCH($E$1,[1]characters!$2:$2,0)+1,FALSE)</f>
        <v>烈志士 近藤勇</v>
      </c>
      <c r="G230" s="20" t="str">
        <f ca="1">VLOOKUP($E230,OFFSET([1]characters!$A$2,0,0,COUNTA([1]characters!$A:$A),MATCH(G$1,[1]characters!$2:$2,0)-MATCH($E$1,[1]characters!$2:$2,0)+1),MATCH(G$1,[1]characters!$2:$2,0)-MATCH($E$1,[1]characters!$2:$2,0)+1,FALSE)</f>
        <v>PremiumSS</v>
      </c>
      <c r="H230" s="2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20" t="str">
        <f ca="1">VLOOKUP($E230,OFFSET([1]characters!$A$2,0,0,COUNTA([1]characters!$A:$A),MATCH(I$1,[1]characters!$2:$2,0)-MATCH($E$1,[1]characters!$2:$2,0)+1),MATCH(I$1,[1]characters!$2:$2,0)-MATCH($E$1,[1]characters!$2:$2,0)+1,FALSE)</f>
        <v>red</v>
      </c>
      <c r="J230" s="20" t="str">
        <f ca="1">VLOOKUP($E230,OFFSET([1]characters!$A$2,0,0,COUNTA([1]characters!$A:$A),MATCH("タイプ",[1]characters!$1:$1,0)-MATCH($E$1,[1]characters!$2:$2,0)+2),MATCH("タイプ",[1]characters!$1:$1,0)-MATCH($E$1,[1]characters!$2:$2,0)+2,FALSE)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0" s="20" t="str">
        <f ca="1">VLOOKUP($E230,OFFSET([1]characters!$A$2,0,0,COUNTA([1]characters!$A:$A),MATCH($K$1,[1]characters!$1:$1,0)-MATCH($E$1,[1]characters!$2:$2,0)+2),MATCH($K$1,[1]characters!$1:$1,0)-MATCH($E$1,[1]characters!$2:$2,0)+2,FALSE)</f>
        <v>ヒューマン</v>
      </c>
      <c r="L230" s="37">
        <v>1</v>
      </c>
      <c r="M230" s="29">
        <v>1386</v>
      </c>
      <c r="N230" s="18">
        <v>0</v>
      </c>
      <c r="O230" s="18">
        <v>0</v>
      </c>
      <c r="P230" s="18">
        <v>0</v>
      </c>
      <c r="Q230" s="18">
        <v>0</v>
      </c>
      <c r="R230" s="18">
        <v>1</v>
      </c>
    </row>
    <row r="231" spans="1:18" ht="21" customHeight="1" thickBot="1">
      <c r="A231" s="22" t="str">
        <f t="shared" si="4"/>
        <v>03211</v>
      </c>
      <c r="B231" s="2">
        <v>108</v>
      </c>
      <c r="C231" s="10" t="str">
        <f ca="1">VLOOKUP($B231,OFFSET([2]gachas!$A$2,0,0,COUNTA([2]gachas!$A:$A),MATCH(C$1,[2]gachas!$1:$1,0)-MATCH($B$1,[2]gachas!$1:$1,0)+1),MATCH(C$1,[2]gachas!$1:$1,0)-MATCH($B$1,[2]gachas!$1:$1,0)+1,FALSE)</f>
        <v>赤アップ01　開始</v>
      </c>
      <c r="D231" s="37">
        <v>0</v>
      </c>
      <c r="E231" s="30">
        <v>321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巌鉄の烈志士 近藤勇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red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ヒューマン</v>
      </c>
      <c r="L231" s="29">
        <v>1</v>
      </c>
      <c r="M231" s="29">
        <v>158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4"/>
        <v>03221</v>
      </c>
      <c r="B232" s="2">
        <v>108</v>
      </c>
      <c r="C232" s="10" t="str">
        <f ca="1">VLOOKUP($B232,OFFSET([2]gachas!$A$2,0,0,COUNTA([2]gachas!$A:$A),MATCH(C$1,[2]gachas!$1:$1,0)-MATCH($B$1,[2]gachas!$1:$1,0)+1),MATCH(C$1,[2]gachas!$1:$1,0)-MATCH($B$1,[2]gachas!$1:$1,0)+1,FALSE)</f>
        <v>赤アップ01　開始</v>
      </c>
      <c r="D232" s="21">
        <v>0</v>
      </c>
      <c r="E232" s="7">
        <v>322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愛志士 土方歳三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4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green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ヒューマン</v>
      </c>
      <c r="L232" s="6">
        <v>1</v>
      </c>
      <c r="M232" s="6">
        <v>378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4"/>
        <v>03231</v>
      </c>
      <c r="B233" s="2">
        <v>108</v>
      </c>
      <c r="C233" s="10" t="str">
        <f ca="1">VLOOKUP($B233,OFFSET([2]gachas!$A$2,0,0,COUNTA([2]gachas!$A:$A),MATCH(C$1,[2]gachas!$1:$1,0)-MATCH($B$1,[2]gachas!$1:$1,0)+1),MATCH(C$1,[2]gachas!$1:$1,0)-MATCH($B$1,[2]gachas!$1:$1,0)+1,FALSE)</f>
        <v>赤アップ01　開始</v>
      </c>
      <c r="D233" s="21">
        <v>0</v>
      </c>
      <c r="E233" s="7">
        <v>323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5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green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ヒューマン</v>
      </c>
      <c r="L233" s="6">
        <v>1</v>
      </c>
      <c r="M233" s="6">
        <v>43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4"/>
        <v>03241</v>
      </c>
      <c r="B234" s="2">
        <v>108</v>
      </c>
      <c r="C234" s="10" t="str">
        <f ca="1">VLOOKUP($B234,OFFSET([2]gachas!$A$2,0,0,COUNTA([2]gachas!$A:$A),MATCH(C$1,[2]gachas!$1:$1,0)-MATCH($B$1,[2]gachas!$1:$1,0)+1),MATCH(C$1,[2]gachas!$1:$1,0)-MATCH($B$1,[2]gachas!$1:$1,0)+1,FALSE)</f>
        <v>赤アップ01　開始</v>
      </c>
      <c r="D234" s="21">
        <v>0</v>
      </c>
      <c r="E234" s="7">
        <v>324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凛志士 沖田総司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4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ヒューマン</v>
      </c>
      <c r="L234" s="6">
        <v>1</v>
      </c>
      <c r="M234" s="6">
        <v>378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4"/>
        <v>03251</v>
      </c>
      <c r="B235" s="2">
        <v>108</v>
      </c>
      <c r="C235" s="10" t="str">
        <f ca="1">VLOOKUP($B235,OFFSET([2]gachas!$A$2,0,0,COUNTA([2]gachas!$A:$A),MATCH(C$1,[2]gachas!$1:$1,0)-MATCH($B$1,[2]gachas!$1:$1,0)+1),MATCH(C$1,[2]gachas!$1:$1,0)-MATCH($B$1,[2]gachas!$1:$1,0)+1,FALSE)</f>
        <v>赤アップ01　開始</v>
      </c>
      <c r="D235" s="21">
        <v>0</v>
      </c>
      <c r="E235" s="7">
        <v>325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5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blue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ヒューマン</v>
      </c>
      <c r="L235" s="6">
        <v>1</v>
      </c>
      <c r="M235" s="6">
        <v>43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4"/>
        <v>03261</v>
      </c>
      <c r="B236" s="2">
        <v>108</v>
      </c>
      <c r="C236" s="10" t="str">
        <f ca="1">VLOOKUP($B236,OFFSET([2]gachas!$A$2,0,0,COUNTA([2]gachas!$A:$A),MATCH(C$1,[2]gachas!$1:$1,0)-MATCH($B$1,[2]gachas!$1:$1,0)+1),MATCH(C$1,[2]gachas!$1:$1,0)-MATCH($B$1,[2]gachas!$1:$1,0)+1,FALSE)</f>
        <v>赤アップ01　開始</v>
      </c>
      <c r="D236" s="21">
        <v>0</v>
      </c>
      <c r="E236" s="7">
        <v>326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妖志士 斎藤一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ヒューマン</v>
      </c>
      <c r="L236" s="6">
        <v>1</v>
      </c>
      <c r="M236" s="6">
        <v>378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4"/>
        <v>03271</v>
      </c>
      <c r="B237" s="2">
        <v>108</v>
      </c>
      <c r="C237" s="10" t="str">
        <f ca="1">VLOOKUP($B237,OFFSET([2]gachas!$A$2,0,0,COUNTA([2]gachas!$A:$A),MATCH(C$1,[2]gachas!$1:$1,0)-MATCH($B$1,[2]gachas!$1:$1,0)+1),MATCH(C$1,[2]gachas!$1:$1,0)-MATCH($B$1,[2]gachas!$1:$1,0)+1,FALSE)</f>
        <v>赤アップ01　開始</v>
      </c>
      <c r="D237" s="21">
        <v>0</v>
      </c>
      <c r="E237" s="25">
        <v>327</v>
      </c>
      <c r="F237" s="23" t="str">
        <f ca="1">VLOOKUP($E237,OFFSET([1]characters!$A$2,0,0,COUNTA([1]characters!$A:$A),MATCH(F$1,[1]characters!$2:$2,0)-MATCH($E$1,[1]characters!$2:$2,0)+1),MATCH(F$1,[1]characters!$2:$2,0)-MATCH($E$1,[1]characters!$2:$2,0)+1,FALSE)</f>
        <v>千殺の妖志士 斎藤一</v>
      </c>
      <c r="G237" s="23" t="str">
        <f ca="1">VLOOKUP($E237,OFFSET([1]characters!$A$2,0,0,COUNTA([1]characters!$A:$A),MATCH(G$1,[1]characters!$2:$2,0)-MATCH($E$1,[1]characters!$2:$2,0)+1),MATCH(G$1,[1]characters!$2:$2,0)-MATCH($E$1,[1]characters!$2:$2,0)+1,FALSE)</f>
        <v>PremiumSS</v>
      </c>
      <c r="H237" s="23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23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23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7" s="23" t="str">
        <f ca="1">VLOOKUP($E237,OFFSET([1]characters!$A$2,0,0,COUNTA([1]characters!$A:$A),MATCH($K$1,[1]characters!$1:$1,0)-MATCH($E$1,[1]characters!$2:$2,0)+2),MATCH($K$1,[1]characters!$1:$1,0)-MATCH($E$1,[1]characters!$2:$2,0)+2,FALSE)</f>
        <v>ヒューマン</v>
      </c>
      <c r="L237" s="24">
        <v>1</v>
      </c>
      <c r="M237" s="6">
        <v>43</v>
      </c>
      <c r="N237" s="35">
        <v>0</v>
      </c>
      <c r="O237" s="35">
        <v>0</v>
      </c>
      <c r="P237" s="35">
        <v>0</v>
      </c>
      <c r="Q237" s="35">
        <v>0</v>
      </c>
      <c r="R237" s="35">
        <v>1</v>
      </c>
    </row>
  </sheetData>
  <autoFilter ref="B1:M237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 enableFormatConditionsCalculation="0">
    <tabColor rgb="FF0000FF"/>
    <outlinePr summaryBelow="0" summaryRight="0"/>
  </sheetPr>
  <dimension ref="A1:R237"/>
  <sheetViews>
    <sheetView showGridLines="0" workbookViewId="0">
      <pane ySplit="1" topLeftCell="A219" activePane="bottomLeft" state="frozen"/>
      <selection pane="bottomLeft" activeCell="C2" sqref="C2:C237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3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24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109</v>
      </c>
      <c r="C2" s="10" t="str">
        <f ca="1">VLOOKUP($B2,OFFSET([2]gachas!$A$2,0,0,COUNTA([2]gachas!$A:$A),MATCH(C$1,[2]gachas!$1:$1,0)-MATCH($B$1,[2]gachas!$1:$1,0)+1),MATCH(C$1,[2]gachas!$1:$1,0)-MATCH($B$1,[2]gachas!$1:$1,0)+1,FALSE)</f>
        <v>赤アップ0１　あと少し</v>
      </c>
      <c r="D2" s="29">
        <v>1</v>
      </c>
      <c r="E2" s="30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9">
        <v>1</v>
      </c>
      <c r="M2" s="29">
        <v>4178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109</v>
      </c>
      <c r="C3" s="10" t="str">
        <f ca="1">VLOOKUP($B3,OFFSET([2]gachas!$A$2,0,0,COUNTA([2]gachas!$A:$A),MATCH(C$1,[2]gachas!$1:$1,0)-MATCH($B$1,[2]gachas!$1:$1,0)+1),MATCH(C$1,[2]gachas!$1:$1,0)-MATCH($B$1,[2]gachas!$1:$1,0)+1,FALSE)</f>
        <v>赤アップ0１　あと少し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6">
        <v>1139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109</v>
      </c>
      <c r="C4" s="10" t="str">
        <f ca="1">VLOOKUP($B4,OFFSET([2]gachas!$A$2,0,0,COUNTA([2]gachas!$A:$A),MATCH(C$1,[2]gachas!$1:$1,0)-MATCH($B$1,[2]gachas!$1:$1,0)+1),MATCH(C$1,[2]gachas!$1:$1,0)-MATCH($B$1,[2]gachas!$1:$1,0)+1,FALSE)</f>
        <v>赤アップ0１　あと少し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6">
        <v>1139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109</v>
      </c>
      <c r="C5" s="10" t="str">
        <f ca="1">VLOOKUP($B5,OFFSET([2]gachas!$A$2,0,0,COUNTA([2]gachas!$A:$A),MATCH(C$1,[2]gachas!$1:$1,0)-MATCH($B$1,[2]gachas!$1:$1,0)+1),MATCH(C$1,[2]gachas!$1:$1,0)-MATCH($B$1,[2]gachas!$1:$1,0)+1,FALSE)</f>
        <v>赤アップ0１　あと少し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6">
        <v>1139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109</v>
      </c>
      <c r="C6" s="10" t="str">
        <f ca="1">VLOOKUP($B6,OFFSET([2]gachas!$A$2,0,0,COUNTA([2]gachas!$A:$A),MATCH(C$1,[2]gachas!$1:$1,0)-MATCH($B$1,[2]gachas!$1:$1,0)+1),MATCH(C$1,[2]gachas!$1:$1,0)-MATCH($B$1,[2]gachas!$1:$1,0)+1,FALSE)</f>
        <v>赤アップ0１　あと少し</v>
      </c>
      <c r="D6" s="29">
        <v>1</v>
      </c>
      <c r="E6" s="30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29">
        <v>1</v>
      </c>
      <c r="M6" s="29">
        <v>4178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109</v>
      </c>
      <c r="C7" s="10" t="str">
        <f ca="1">VLOOKUP($B7,OFFSET([2]gachas!$A$2,0,0,COUNTA([2]gachas!$A:$A),MATCH(C$1,[2]gachas!$1:$1,0)-MATCH($B$1,[2]gachas!$1:$1,0)+1),MATCH(C$1,[2]gachas!$1:$1,0)-MATCH($B$1,[2]gachas!$1:$1,0)+1,FALSE)</f>
        <v>赤アップ0１　あと少し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6">
        <v>1139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109</v>
      </c>
      <c r="C8" s="10" t="str">
        <f ca="1">VLOOKUP($B8,OFFSET([2]gachas!$A$2,0,0,COUNTA([2]gachas!$A:$A),MATCH(C$1,[2]gachas!$1:$1,0)-MATCH($B$1,[2]gachas!$1:$1,0)+1),MATCH(C$1,[2]gachas!$1:$1,0)-MATCH($B$1,[2]gachas!$1:$1,0)+1,FALSE)</f>
        <v>赤アップ0１　あと少し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6">
        <v>1139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109</v>
      </c>
      <c r="C9" s="10" t="str">
        <f ca="1">VLOOKUP($B9,OFFSET([2]gachas!$A$2,0,0,COUNTA([2]gachas!$A:$A),MATCH(C$1,[2]gachas!$1:$1,0)-MATCH($B$1,[2]gachas!$1:$1,0)+1),MATCH(C$1,[2]gachas!$1:$1,0)-MATCH($B$1,[2]gachas!$1:$1,0)+1,FALSE)</f>
        <v>赤アップ0１　あと少し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6">
        <v>1139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109</v>
      </c>
      <c r="C10" s="10" t="str">
        <f ca="1">VLOOKUP($B10,OFFSET([2]gachas!$A$2,0,0,COUNTA([2]gachas!$A:$A),MATCH(C$1,[2]gachas!$1:$1,0)-MATCH($B$1,[2]gachas!$1:$1,0)+1),MATCH(C$1,[2]gachas!$1:$1,0)-MATCH($B$1,[2]gachas!$1:$1,0)+1,FALSE)</f>
        <v>赤アップ0１　あと少し</v>
      </c>
      <c r="D10" s="29">
        <v>1</v>
      </c>
      <c r="E10" s="30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29">
        <v>1</v>
      </c>
      <c r="M10" s="29">
        <v>4178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109</v>
      </c>
      <c r="C11" s="10" t="str">
        <f ca="1">VLOOKUP($B11,OFFSET([2]gachas!$A$2,0,0,COUNTA([2]gachas!$A:$A),MATCH(C$1,[2]gachas!$1:$1,0)-MATCH($B$1,[2]gachas!$1:$1,0)+1),MATCH(C$1,[2]gachas!$1:$1,0)-MATCH($B$1,[2]gachas!$1:$1,0)+1,FALSE)</f>
        <v>赤アップ0１　あと少し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6">
        <v>1139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109</v>
      </c>
      <c r="C12" s="10" t="str">
        <f ca="1">VLOOKUP($B12,OFFSET([2]gachas!$A$2,0,0,COUNTA([2]gachas!$A:$A),MATCH(C$1,[2]gachas!$1:$1,0)-MATCH($B$1,[2]gachas!$1:$1,0)+1),MATCH(C$1,[2]gachas!$1:$1,0)-MATCH($B$1,[2]gachas!$1:$1,0)+1,FALSE)</f>
        <v>赤アップ0１　あと少し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6">
        <v>1139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109</v>
      </c>
      <c r="C13" s="10" t="str">
        <f ca="1">VLOOKUP($B13,OFFSET([2]gachas!$A$2,0,0,COUNTA([2]gachas!$A:$A),MATCH(C$1,[2]gachas!$1:$1,0)-MATCH($B$1,[2]gachas!$1:$1,0)+1),MATCH(C$1,[2]gachas!$1:$1,0)-MATCH($B$1,[2]gachas!$1:$1,0)+1,FALSE)</f>
        <v>赤アップ0１　あと少し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6">
        <v>1139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109</v>
      </c>
      <c r="C14" s="10" t="str">
        <f ca="1">VLOOKUP($B14,OFFSET([2]gachas!$A$2,0,0,COUNTA([2]gachas!$A:$A),MATCH(C$1,[2]gachas!$1:$1,0)-MATCH($B$1,[2]gachas!$1:$1,0)+1),MATCH(C$1,[2]gachas!$1:$1,0)-MATCH($B$1,[2]gachas!$1:$1,0)+1,FALSE)</f>
        <v>赤アップ0１　あと少し</v>
      </c>
      <c r="D14" s="29">
        <v>1</v>
      </c>
      <c r="E14" s="30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29">
        <v>1</v>
      </c>
      <c r="M14" s="29">
        <v>4178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109</v>
      </c>
      <c r="C15" s="10" t="str">
        <f ca="1">VLOOKUP($B15,OFFSET([2]gachas!$A$2,0,0,COUNTA([2]gachas!$A:$A),MATCH(C$1,[2]gachas!$1:$1,0)-MATCH($B$1,[2]gachas!$1:$1,0)+1),MATCH(C$1,[2]gachas!$1:$1,0)-MATCH($B$1,[2]gachas!$1:$1,0)+1,FALSE)</f>
        <v>赤アップ0１　あと少し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6">
        <v>1139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109</v>
      </c>
      <c r="C16" s="10" t="str">
        <f ca="1">VLOOKUP($B16,OFFSET([2]gachas!$A$2,0,0,COUNTA([2]gachas!$A:$A),MATCH(C$1,[2]gachas!$1:$1,0)-MATCH($B$1,[2]gachas!$1:$1,0)+1),MATCH(C$1,[2]gachas!$1:$1,0)-MATCH($B$1,[2]gachas!$1:$1,0)+1,FALSE)</f>
        <v>赤アップ0１　あと少し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6">
        <v>1139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109</v>
      </c>
      <c r="C17" s="10" t="str">
        <f ca="1">VLOOKUP($B17,OFFSET([2]gachas!$A$2,0,0,COUNTA([2]gachas!$A:$A),MATCH(C$1,[2]gachas!$1:$1,0)-MATCH($B$1,[2]gachas!$1:$1,0)+1),MATCH(C$1,[2]gachas!$1:$1,0)-MATCH($B$1,[2]gachas!$1:$1,0)+1,FALSE)</f>
        <v>赤アップ0１　あと少し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6">
        <v>1139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109</v>
      </c>
      <c r="C18" s="10" t="str">
        <f ca="1">VLOOKUP($B18,OFFSET([2]gachas!$A$2,0,0,COUNTA([2]gachas!$A:$A),MATCH(C$1,[2]gachas!$1:$1,0)-MATCH($B$1,[2]gachas!$1:$1,0)+1),MATCH(C$1,[2]gachas!$1:$1,0)-MATCH($B$1,[2]gachas!$1:$1,0)+1,FALSE)</f>
        <v>赤アップ0１　あと少し</v>
      </c>
      <c r="D18" s="29">
        <v>1</v>
      </c>
      <c r="E18" s="30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29">
        <v>1</v>
      </c>
      <c r="M18" s="29">
        <v>4178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109</v>
      </c>
      <c r="C19" s="10" t="str">
        <f ca="1">VLOOKUP($B19,OFFSET([2]gachas!$A$2,0,0,COUNTA([2]gachas!$A:$A),MATCH(C$1,[2]gachas!$1:$1,0)-MATCH($B$1,[2]gachas!$1:$1,0)+1),MATCH(C$1,[2]gachas!$1:$1,0)-MATCH($B$1,[2]gachas!$1:$1,0)+1,FALSE)</f>
        <v>赤アップ0１　あと少し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6">
        <v>1139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109</v>
      </c>
      <c r="C20" s="10" t="str">
        <f ca="1">VLOOKUP($B20,OFFSET([2]gachas!$A$2,0,0,COUNTA([2]gachas!$A:$A),MATCH(C$1,[2]gachas!$1:$1,0)-MATCH($B$1,[2]gachas!$1:$1,0)+1),MATCH(C$1,[2]gachas!$1:$1,0)-MATCH($B$1,[2]gachas!$1:$1,0)+1,FALSE)</f>
        <v>赤アップ0１　あと少し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6">
        <v>1139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109</v>
      </c>
      <c r="C21" s="10" t="str">
        <f ca="1">VLOOKUP($B21,OFFSET([2]gachas!$A$2,0,0,COUNTA([2]gachas!$A:$A),MATCH(C$1,[2]gachas!$1:$1,0)-MATCH($B$1,[2]gachas!$1:$1,0)+1),MATCH(C$1,[2]gachas!$1:$1,0)-MATCH($B$1,[2]gachas!$1:$1,0)+1,FALSE)</f>
        <v>赤アップ0１　あと少し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6">
        <v>1139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109</v>
      </c>
      <c r="C22" s="10" t="str">
        <f ca="1">VLOOKUP($B22,OFFSET([2]gachas!$A$2,0,0,COUNTA([2]gachas!$A:$A),MATCH(C$1,[2]gachas!$1:$1,0)-MATCH($B$1,[2]gachas!$1:$1,0)+1),MATCH(C$1,[2]gachas!$1:$1,0)-MATCH($B$1,[2]gachas!$1:$1,0)+1,FALSE)</f>
        <v>赤アップ0１　あと少し</v>
      </c>
      <c r="D22" s="29">
        <v>1</v>
      </c>
      <c r="E22" s="30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29">
        <v>1</v>
      </c>
      <c r="M22" s="29">
        <v>4760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109</v>
      </c>
      <c r="C23" s="10" t="str">
        <f ca="1">VLOOKUP($B23,OFFSET([2]gachas!$A$2,0,0,COUNTA([2]gachas!$A:$A),MATCH(C$1,[2]gachas!$1:$1,0)-MATCH($B$1,[2]gachas!$1:$1,0)+1),MATCH(C$1,[2]gachas!$1:$1,0)-MATCH($B$1,[2]gachas!$1:$1,0)+1,FALSE)</f>
        <v>赤アップ0１　あと少し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6">
        <v>1298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109</v>
      </c>
      <c r="C24" s="10" t="str">
        <f ca="1">VLOOKUP($B24,OFFSET([2]gachas!$A$2,0,0,COUNTA([2]gachas!$A:$A),MATCH(C$1,[2]gachas!$1:$1,0)-MATCH($B$1,[2]gachas!$1:$1,0)+1),MATCH(C$1,[2]gachas!$1:$1,0)-MATCH($B$1,[2]gachas!$1:$1,0)+1,FALSE)</f>
        <v>赤アップ0１　あと少し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1298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109</v>
      </c>
      <c r="C25" s="10" t="str">
        <f ca="1">VLOOKUP($B25,OFFSET([2]gachas!$A$2,0,0,COUNTA([2]gachas!$A:$A),MATCH(C$1,[2]gachas!$1:$1,0)-MATCH($B$1,[2]gachas!$1:$1,0)+1),MATCH(C$1,[2]gachas!$1:$1,0)-MATCH($B$1,[2]gachas!$1:$1,0)+1,FALSE)</f>
        <v>赤アップ0１　あと少し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1298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109</v>
      </c>
      <c r="C26" s="10" t="str">
        <f ca="1">VLOOKUP($B26,OFFSET([2]gachas!$A$2,0,0,COUNTA([2]gachas!$A:$A),MATCH(C$1,[2]gachas!$1:$1,0)-MATCH($B$1,[2]gachas!$1:$1,0)+1),MATCH(C$1,[2]gachas!$1:$1,0)-MATCH($B$1,[2]gachas!$1:$1,0)+1,FALSE)</f>
        <v>赤アップ0１　あと少し</v>
      </c>
      <c r="D26" s="29">
        <v>1</v>
      </c>
      <c r="E26" s="30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29">
        <v>1</v>
      </c>
      <c r="M26" s="29">
        <v>4760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109</v>
      </c>
      <c r="C27" s="10" t="str">
        <f ca="1">VLOOKUP($B27,OFFSET([2]gachas!$A$2,0,0,COUNTA([2]gachas!$A:$A),MATCH(C$1,[2]gachas!$1:$1,0)-MATCH($B$1,[2]gachas!$1:$1,0)+1),MATCH(C$1,[2]gachas!$1:$1,0)-MATCH($B$1,[2]gachas!$1:$1,0)+1,FALSE)</f>
        <v>赤アップ0１　あと少し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1298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109</v>
      </c>
      <c r="C28" s="10" t="str">
        <f ca="1">VLOOKUP($B28,OFFSET([2]gachas!$A$2,0,0,COUNTA([2]gachas!$A:$A),MATCH(C$1,[2]gachas!$1:$1,0)-MATCH($B$1,[2]gachas!$1:$1,0)+1),MATCH(C$1,[2]gachas!$1:$1,0)-MATCH($B$1,[2]gachas!$1:$1,0)+1,FALSE)</f>
        <v>赤アップ0１　あと少し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1298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109</v>
      </c>
      <c r="C29" s="10" t="str">
        <f ca="1">VLOOKUP($B29,OFFSET([2]gachas!$A$2,0,0,COUNTA([2]gachas!$A:$A),MATCH(C$1,[2]gachas!$1:$1,0)-MATCH($B$1,[2]gachas!$1:$1,0)+1),MATCH(C$1,[2]gachas!$1:$1,0)-MATCH($B$1,[2]gachas!$1:$1,0)+1,FALSE)</f>
        <v>赤アップ0１　あと少し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1298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109</v>
      </c>
      <c r="C30" s="10" t="str">
        <f ca="1">VLOOKUP($B30,OFFSET([2]gachas!$A$2,0,0,COUNTA([2]gachas!$A:$A),MATCH(C$1,[2]gachas!$1:$1,0)-MATCH($B$1,[2]gachas!$1:$1,0)+1),MATCH(C$1,[2]gachas!$1:$1,0)-MATCH($B$1,[2]gachas!$1:$1,0)+1,FALSE)</f>
        <v>赤アップ0１　あと少し</v>
      </c>
      <c r="D30" s="29">
        <v>1</v>
      </c>
      <c r="E30" s="30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29">
        <v>1</v>
      </c>
      <c r="M30" s="29">
        <v>4760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109</v>
      </c>
      <c r="C31" s="10" t="str">
        <f ca="1">VLOOKUP($B31,OFFSET([2]gachas!$A$2,0,0,COUNTA([2]gachas!$A:$A),MATCH(C$1,[2]gachas!$1:$1,0)-MATCH($B$1,[2]gachas!$1:$1,0)+1),MATCH(C$1,[2]gachas!$1:$1,0)-MATCH($B$1,[2]gachas!$1:$1,0)+1,FALSE)</f>
        <v>赤アップ0１　あと少し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1298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109</v>
      </c>
      <c r="C32" s="10" t="str">
        <f ca="1">VLOOKUP($B32,OFFSET([2]gachas!$A$2,0,0,COUNTA([2]gachas!$A:$A),MATCH(C$1,[2]gachas!$1:$1,0)-MATCH($B$1,[2]gachas!$1:$1,0)+1),MATCH(C$1,[2]gachas!$1:$1,0)-MATCH($B$1,[2]gachas!$1:$1,0)+1,FALSE)</f>
        <v>赤アップ0１　あと少し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1298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109</v>
      </c>
      <c r="C33" s="10" t="str">
        <f ca="1">VLOOKUP($B33,OFFSET([2]gachas!$A$2,0,0,COUNTA([2]gachas!$A:$A),MATCH(C$1,[2]gachas!$1:$1,0)-MATCH($B$1,[2]gachas!$1:$1,0)+1),MATCH(C$1,[2]gachas!$1:$1,0)-MATCH($B$1,[2]gachas!$1:$1,0)+1,FALSE)</f>
        <v>赤アップ0１　あと少し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6">
        <v>1298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109</v>
      </c>
      <c r="C34" s="10" t="str">
        <f ca="1">VLOOKUP($B34,OFFSET([2]gachas!$A$2,0,0,COUNTA([2]gachas!$A:$A),MATCH(C$1,[2]gachas!$1:$1,0)-MATCH($B$1,[2]gachas!$1:$1,0)+1),MATCH(C$1,[2]gachas!$1:$1,0)-MATCH($B$1,[2]gachas!$1:$1,0)+1,FALSE)</f>
        <v>赤アップ0１　あと少し</v>
      </c>
      <c r="D34" s="29">
        <v>1</v>
      </c>
      <c r="E34" s="30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29">
        <v>1</v>
      </c>
      <c r="M34" s="29">
        <v>4760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109</v>
      </c>
      <c r="C35" s="10" t="str">
        <f ca="1">VLOOKUP($B35,OFFSET([2]gachas!$A$2,0,0,COUNTA([2]gachas!$A:$A),MATCH(C$1,[2]gachas!$1:$1,0)-MATCH($B$1,[2]gachas!$1:$1,0)+1),MATCH(C$1,[2]gachas!$1:$1,0)-MATCH($B$1,[2]gachas!$1:$1,0)+1,FALSE)</f>
        <v>赤アップ0１　あと少し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1298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109</v>
      </c>
      <c r="C36" s="10" t="str">
        <f ca="1">VLOOKUP($B36,OFFSET([2]gachas!$A$2,0,0,COUNTA([2]gachas!$A:$A),MATCH(C$1,[2]gachas!$1:$1,0)-MATCH($B$1,[2]gachas!$1:$1,0)+1),MATCH(C$1,[2]gachas!$1:$1,0)-MATCH($B$1,[2]gachas!$1:$1,0)+1,FALSE)</f>
        <v>赤アップ0１　あと少し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1298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109</v>
      </c>
      <c r="C37" s="10" t="str">
        <f ca="1">VLOOKUP($B37,OFFSET([2]gachas!$A$2,0,0,COUNTA([2]gachas!$A:$A),MATCH(C$1,[2]gachas!$1:$1,0)-MATCH($B$1,[2]gachas!$1:$1,0)+1),MATCH(C$1,[2]gachas!$1:$1,0)-MATCH($B$1,[2]gachas!$1:$1,0)+1,FALSE)</f>
        <v>赤アップ0１　あと少し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1298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109</v>
      </c>
      <c r="C38" s="10" t="str">
        <f ca="1">VLOOKUP($B38,OFFSET([2]gachas!$A$2,0,0,COUNTA([2]gachas!$A:$A),MATCH(C$1,[2]gachas!$1:$1,0)-MATCH($B$1,[2]gachas!$1:$1,0)+1),MATCH(C$1,[2]gachas!$1:$1,0)-MATCH($B$1,[2]gachas!$1:$1,0)+1,FALSE)</f>
        <v>赤アップ0１　あと少し</v>
      </c>
      <c r="D38" s="29">
        <v>1</v>
      </c>
      <c r="E38" s="30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29">
        <v>1</v>
      </c>
      <c r="M38" s="29">
        <v>4760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109</v>
      </c>
      <c r="C39" s="10" t="str">
        <f ca="1">VLOOKUP($B39,OFFSET([2]gachas!$A$2,0,0,COUNTA([2]gachas!$A:$A),MATCH(C$1,[2]gachas!$1:$1,0)-MATCH($B$1,[2]gachas!$1:$1,0)+1),MATCH(C$1,[2]gachas!$1:$1,0)-MATCH($B$1,[2]gachas!$1:$1,0)+1,FALSE)</f>
        <v>赤アップ0１　あと少し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1298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109</v>
      </c>
      <c r="C40" s="10" t="str">
        <f ca="1">VLOOKUP($B40,OFFSET([2]gachas!$A$2,0,0,COUNTA([2]gachas!$A:$A),MATCH(C$1,[2]gachas!$1:$1,0)-MATCH($B$1,[2]gachas!$1:$1,0)+1),MATCH(C$1,[2]gachas!$1:$1,0)-MATCH($B$1,[2]gachas!$1:$1,0)+1,FALSE)</f>
        <v>赤アップ0１　あと少し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1298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109</v>
      </c>
      <c r="C41" s="10" t="str">
        <f ca="1">VLOOKUP($B41,OFFSET([2]gachas!$A$2,0,0,COUNTA([2]gachas!$A:$A),MATCH(C$1,[2]gachas!$1:$1,0)-MATCH($B$1,[2]gachas!$1:$1,0)+1),MATCH(C$1,[2]gachas!$1:$1,0)-MATCH($B$1,[2]gachas!$1:$1,0)+1,FALSE)</f>
        <v>赤アップ0１　あと少し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1298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109</v>
      </c>
      <c r="C42" s="10" t="str">
        <f ca="1">VLOOKUP($B42,OFFSET([2]gachas!$A$2,0,0,COUNTA([2]gachas!$A:$A),MATCH(C$1,[2]gachas!$1:$1,0)-MATCH($B$1,[2]gachas!$1:$1,0)+1),MATCH(C$1,[2]gachas!$1:$1,0)-MATCH($B$1,[2]gachas!$1:$1,0)+1,FALSE)</f>
        <v>赤アップ0１　あと少し</v>
      </c>
      <c r="D42" s="29">
        <v>1</v>
      </c>
      <c r="E42" s="30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29">
        <v>1</v>
      </c>
      <c r="M42" s="29">
        <v>972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109</v>
      </c>
      <c r="C43" s="10" t="str">
        <f ca="1">VLOOKUP($B43,OFFSET([2]gachas!$A$2,0,0,COUNTA([2]gachas!$A:$A),MATCH(C$1,[2]gachas!$1:$1,0)-MATCH($B$1,[2]gachas!$1:$1,0)+1),MATCH(C$1,[2]gachas!$1:$1,0)-MATCH($B$1,[2]gachas!$1:$1,0)+1,FALSE)</f>
        <v>赤アップ0１　あと少し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6">
        <v>265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109</v>
      </c>
      <c r="C44" s="10" t="str">
        <f ca="1">VLOOKUP($B44,OFFSET([2]gachas!$A$2,0,0,COUNTA([2]gachas!$A:$A),MATCH(C$1,[2]gachas!$1:$1,0)-MATCH($B$1,[2]gachas!$1:$1,0)+1),MATCH(C$1,[2]gachas!$1:$1,0)-MATCH($B$1,[2]gachas!$1:$1,0)+1,FALSE)</f>
        <v>赤アップ0１　あと少し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265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109</v>
      </c>
      <c r="C45" s="10" t="str">
        <f ca="1">VLOOKUP($B45,OFFSET([2]gachas!$A$2,0,0,COUNTA([2]gachas!$A:$A),MATCH(C$1,[2]gachas!$1:$1,0)-MATCH($B$1,[2]gachas!$1:$1,0)+1),MATCH(C$1,[2]gachas!$1:$1,0)-MATCH($B$1,[2]gachas!$1:$1,0)+1,FALSE)</f>
        <v>赤アップ0１　あと少し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6">
        <v>265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v>109</v>
      </c>
      <c r="C46" s="10" t="str">
        <f ca="1">VLOOKUP($B46,OFFSET([2]gachas!$A$2,0,0,COUNTA([2]gachas!$A:$A),MATCH(C$1,[2]gachas!$1:$1,0)-MATCH($B$1,[2]gachas!$1:$1,0)+1),MATCH(C$1,[2]gachas!$1:$1,0)-MATCH($B$1,[2]gachas!$1:$1,0)+1,FALSE)</f>
        <v>赤アップ0１　あと少し</v>
      </c>
      <c r="D46" s="29">
        <v>1</v>
      </c>
      <c r="E46" s="30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29">
        <v>1</v>
      </c>
      <c r="M46" s="29">
        <v>372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v>109</v>
      </c>
      <c r="C47" s="10" t="str">
        <f ca="1">VLOOKUP($B47,OFFSET([2]gachas!$A$2,0,0,COUNTA([2]gachas!$A:$A),MATCH(C$1,[2]gachas!$1:$1,0)-MATCH($B$1,[2]gachas!$1:$1,0)+1),MATCH(C$1,[2]gachas!$1:$1,0)-MATCH($B$1,[2]gachas!$1:$1,0)+1,FALSE)</f>
        <v>赤アップ0１　あと少し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6">
        <v>102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v>109</v>
      </c>
      <c r="C48" s="10" t="str">
        <f ca="1">VLOOKUP($B48,OFFSET([2]gachas!$A$2,0,0,COUNTA([2]gachas!$A:$A),MATCH(C$1,[2]gachas!$1:$1,0)-MATCH($B$1,[2]gachas!$1:$1,0)+1),MATCH(C$1,[2]gachas!$1:$1,0)-MATCH($B$1,[2]gachas!$1:$1,0)+1,FALSE)</f>
        <v>赤アップ0１　あと少し</v>
      </c>
      <c r="D48" s="6">
        <v>1</v>
      </c>
      <c r="E48" s="7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6">
        <v>1</v>
      </c>
      <c r="M48" s="6">
        <v>102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v>109</v>
      </c>
      <c r="C49" s="10" t="str">
        <f ca="1">VLOOKUP($B49,OFFSET([2]gachas!$A$2,0,0,COUNTA([2]gachas!$A:$A),MATCH(C$1,[2]gachas!$1:$1,0)-MATCH($B$1,[2]gachas!$1:$1,0)+1),MATCH(C$1,[2]gachas!$1:$1,0)-MATCH($B$1,[2]gachas!$1:$1,0)+1,FALSE)</f>
        <v>赤アップ0１　あと少し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6">
        <v>102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v>109</v>
      </c>
      <c r="C50" s="10" t="str">
        <f ca="1">VLOOKUP($B50,OFFSET([2]gachas!$A$2,0,0,COUNTA([2]gachas!$A:$A),MATCH(C$1,[2]gachas!$1:$1,0)-MATCH($B$1,[2]gachas!$1:$1,0)+1),MATCH(C$1,[2]gachas!$1:$1,0)-MATCH($B$1,[2]gachas!$1:$1,0)+1,FALSE)</f>
        <v>赤アップ0１　あと少し</v>
      </c>
      <c r="D50" s="29">
        <v>1</v>
      </c>
      <c r="E50" s="30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29">
        <v>1</v>
      </c>
      <c r="M50" s="29">
        <v>372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v>109</v>
      </c>
      <c r="C51" s="10" t="str">
        <f ca="1">VLOOKUP($B51,OFFSET([2]gachas!$A$2,0,0,COUNTA([2]gachas!$A:$A),MATCH(C$1,[2]gachas!$1:$1,0)-MATCH($B$1,[2]gachas!$1:$1,0)+1),MATCH(C$1,[2]gachas!$1:$1,0)-MATCH($B$1,[2]gachas!$1:$1,0)+1,FALSE)</f>
        <v>赤アップ0１　あと少し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6">
        <v>102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v>109</v>
      </c>
      <c r="C52" s="10" t="str">
        <f ca="1">VLOOKUP($B52,OFFSET([2]gachas!$A$2,0,0,COUNTA([2]gachas!$A:$A),MATCH(C$1,[2]gachas!$1:$1,0)-MATCH($B$1,[2]gachas!$1:$1,0)+1),MATCH(C$1,[2]gachas!$1:$1,0)-MATCH($B$1,[2]gachas!$1:$1,0)+1,FALSE)</f>
        <v>赤アップ0１　あと少し</v>
      </c>
      <c r="D52" s="6">
        <v>1</v>
      </c>
      <c r="E52" s="7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6">
        <v>1</v>
      </c>
      <c r="M52" s="6">
        <v>102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v>109</v>
      </c>
      <c r="C53" s="10" t="str">
        <f ca="1">VLOOKUP($B53,OFFSET([2]gachas!$A$2,0,0,COUNTA([2]gachas!$A:$A),MATCH(C$1,[2]gachas!$1:$1,0)-MATCH($B$1,[2]gachas!$1:$1,0)+1),MATCH(C$1,[2]gachas!$1:$1,0)-MATCH($B$1,[2]gachas!$1:$1,0)+1,FALSE)</f>
        <v>赤アップ0１　あと少し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6">
        <v>102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v>109</v>
      </c>
      <c r="C54" s="10" t="str">
        <f ca="1">VLOOKUP($B54,OFFSET([2]gachas!$A$2,0,0,COUNTA([2]gachas!$A:$A),MATCH(C$1,[2]gachas!$1:$1,0)-MATCH($B$1,[2]gachas!$1:$1,0)+1),MATCH(C$1,[2]gachas!$1:$1,0)-MATCH($B$1,[2]gachas!$1:$1,0)+1,FALSE)</f>
        <v>赤アップ0１　あと少し</v>
      </c>
      <c r="D54" s="29">
        <v>1</v>
      </c>
      <c r="E54" s="30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29">
        <v>1</v>
      </c>
      <c r="M54" s="29">
        <v>372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v>109</v>
      </c>
      <c r="C55" s="10" t="str">
        <f ca="1">VLOOKUP($B55,OFFSET([2]gachas!$A$2,0,0,COUNTA([2]gachas!$A:$A),MATCH(C$1,[2]gachas!$1:$1,0)-MATCH($B$1,[2]gachas!$1:$1,0)+1),MATCH(C$1,[2]gachas!$1:$1,0)-MATCH($B$1,[2]gachas!$1:$1,0)+1,FALSE)</f>
        <v>赤アップ0１　あと少し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6">
        <v>102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v>109</v>
      </c>
      <c r="C56" s="10" t="str">
        <f ca="1">VLOOKUP($B56,OFFSET([2]gachas!$A$2,0,0,COUNTA([2]gachas!$A:$A),MATCH(C$1,[2]gachas!$1:$1,0)-MATCH($B$1,[2]gachas!$1:$1,0)+1),MATCH(C$1,[2]gachas!$1:$1,0)-MATCH($B$1,[2]gachas!$1:$1,0)+1,FALSE)</f>
        <v>赤アップ0１　あと少し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6">
        <v>102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v>109</v>
      </c>
      <c r="C57" s="10" t="str">
        <f ca="1">VLOOKUP($B57,OFFSET([2]gachas!$A$2,0,0,COUNTA([2]gachas!$A:$A),MATCH(C$1,[2]gachas!$1:$1,0)-MATCH($B$1,[2]gachas!$1:$1,0)+1),MATCH(C$1,[2]gachas!$1:$1,0)-MATCH($B$1,[2]gachas!$1:$1,0)+1,FALSE)</f>
        <v>赤アップ0１　あと少し</v>
      </c>
      <c r="D57" s="6">
        <v>1</v>
      </c>
      <c r="E57" s="7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6">
        <v>102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v>109</v>
      </c>
      <c r="C58" s="10" t="str">
        <f ca="1">VLOOKUP($B58,OFFSET([2]gachas!$A$2,0,0,COUNTA([2]gachas!$A:$A),MATCH(C$1,[2]gachas!$1:$1,0)-MATCH($B$1,[2]gachas!$1:$1,0)+1),MATCH(C$1,[2]gachas!$1:$1,0)-MATCH($B$1,[2]gachas!$1:$1,0)+1,FALSE)</f>
        <v>赤アップ0１　あと少し</v>
      </c>
      <c r="D58" s="29">
        <v>1</v>
      </c>
      <c r="E58" s="30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29">
        <v>1</v>
      </c>
      <c r="M58" s="29">
        <v>372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v>109</v>
      </c>
      <c r="C59" s="10" t="str">
        <f ca="1">VLOOKUP($B59,OFFSET([2]gachas!$A$2,0,0,COUNTA([2]gachas!$A:$A),MATCH(C$1,[2]gachas!$1:$1,0)-MATCH($B$1,[2]gachas!$1:$1,0)+1),MATCH(C$1,[2]gachas!$1:$1,0)-MATCH($B$1,[2]gachas!$1:$1,0)+1,FALSE)</f>
        <v>赤アップ0１　あと少し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6">
        <v>102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v>109</v>
      </c>
      <c r="C60" s="10" t="str">
        <f ca="1">VLOOKUP($B60,OFFSET([2]gachas!$A$2,0,0,COUNTA([2]gachas!$A:$A),MATCH(C$1,[2]gachas!$1:$1,0)-MATCH($B$1,[2]gachas!$1:$1,0)+1),MATCH(C$1,[2]gachas!$1:$1,0)-MATCH($B$1,[2]gachas!$1:$1,0)+1,FALSE)</f>
        <v>赤アップ0１　あと少し</v>
      </c>
      <c r="D60" s="6">
        <v>1</v>
      </c>
      <c r="E60" s="7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6">
        <v>1</v>
      </c>
      <c r="M60" s="6">
        <v>102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v>109</v>
      </c>
      <c r="C61" s="10" t="str">
        <f ca="1">VLOOKUP($B61,OFFSET([2]gachas!$A$2,0,0,COUNTA([2]gachas!$A:$A),MATCH(C$1,[2]gachas!$1:$1,0)-MATCH($B$1,[2]gachas!$1:$1,0)+1),MATCH(C$1,[2]gachas!$1:$1,0)-MATCH($B$1,[2]gachas!$1:$1,0)+1,FALSE)</f>
        <v>赤アップ0１　あと少し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6">
        <v>102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v>109</v>
      </c>
      <c r="C62" s="10" t="str">
        <f ca="1">VLOOKUP($B62,OFFSET([2]gachas!$A$2,0,0,COUNTA([2]gachas!$A:$A),MATCH(C$1,[2]gachas!$1:$1,0)-MATCH($B$1,[2]gachas!$1:$1,0)+1),MATCH(C$1,[2]gachas!$1:$1,0)-MATCH($B$1,[2]gachas!$1:$1,0)+1,FALSE)</f>
        <v>赤アップ0１　あと少し</v>
      </c>
      <c r="D62" s="29">
        <v>1</v>
      </c>
      <c r="E62" s="30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29">
        <v>1</v>
      </c>
      <c r="M62" s="29">
        <v>372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v>109</v>
      </c>
      <c r="C63" s="10" t="str">
        <f ca="1">VLOOKUP($B63,OFFSET([2]gachas!$A$2,0,0,COUNTA([2]gachas!$A:$A),MATCH(C$1,[2]gachas!$1:$1,0)-MATCH($B$1,[2]gachas!$1:$1,0)+1),MATCH(C$1,[2]gachas!$1:$1,0)-MATCH($B$1,[2]gachas!$1:$1,0)+1,FALSE)</f>
        <v>赤アップ0１　あと少し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6">
        <v>102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v>109</v>
      </c>
      <c r="C64" s="10" t="str">
        <f ca="1">VLOOKUP($B64,OFFSET([2]gachas!$A$2,0,0,COUNTA([2]gachas!$A:$A),MATCH(C$1,[2]gachas!$1:$1,0)-MATCH($B$1,[2]gachas!$1:$1,0)+1),MATCH(C$1,[2]gachas!$1:$1,0)-MATCH($B$1,[2]gachas!$1:$1,0)+1,FALSE)</f>
        <v>赤アップ0１　あと少し</v>
      </c>
      <c r="D64" s="6">
        <v>1</v>
      </c>
      <c r="E64" s="7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6">
        <v>1</v>
      </c>
      <c r="M64" s="6">
        <v>102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v>109</v>
      </c>
      <c r="C65" s="10" t="str">
        <f ca="1">VLOOKUP($B65,OFFSET([2]gachas!$A$2,0,0,COUNTA([2]gachas!$A:$A),MATCH(C$1,[2]gachas!$1:$1,0)-MATCH($B$1,[2]gachas!$1:$1,0)+1),MATCH(C$1,[2]gachas!$1:$1,0)-MATCH($B$1,[2]gachas!$1:$1,0)+1,FALSE)</f>
        <v>赤アップ0１　あと少し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6">
        <v>102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46" si="1">D66&amp;E66&amp;L66</f>
        <v>12281</v>
      </c>
      <c r="B66" s="2">
        <v>109</v>
      </c>
      <c r="C66" s="10" t="str">
        <f ca="1">VLOOKUP($B66,OFFSET([2]gachas!$A$2,0,0,COUNTA([2]gachas!$A:$A),MATCH(C$1,[2]gachas!$1:$1,0)-MATCH($B$1,[2]gachas!$1:$1,0)+1),MATCH(C$1,[2]gachas!$1:$1,0)-MATCH($B$1,[2]gachas!$1:$1,0)+1,FALSE)</f>
        <v>赤アップ0１　あと少し</v>
      </c>
      <c r="D66" s="29">
        <v>1</v>
      </c>
      <c r="E66" s="30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29">
        <v>1</v>
      </c>
      <c r="M66" s="29">
        <v>40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12311</v>
      </c>
      <c r="B67" s="2">
        <v>109</v>
      </c>
      <c r="C67" s="10" t="str">
        <f ca="1">VLOOKUP($B67,OFFSET([2]gachas!$A$2,0,0,COUNTA([2]gachas!$A:$A),MATCH(C$1,[2]gachas!$1:$1,0)-MATCH($B$1,[2]gachas!$1:$1,0)+1),MATCH(C$1,[2]gachas!$1:$1,0)-MATCH($B$1,[2]gachas!$1:$1,0)+1,FALSE)</f>
        <v>赤アップ0１　あと少し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6">
        <v>11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12341</v>
      </c>
      <c r="B68" s="2">
        <v>109</v>
      </c>
      <c r="C68" s="10" t="str">
        <f ca="1">VLOOKUP($B68,OFFSET([2]gachas!$A$2,0,0,COUNTA([2]gachas!$A:$A),MATCH(C$1,[2]gachas!$1:$1,0)-MATCH($B$1,[2]gachas!$1:$1,0)+1),MATCH(C$1,[2]gachas!$1:$1,0)-MATCH($B$1,[2]gachas!$1:$1,0)+1,FALSE)</f>
        <v>赤アップ0１　あと少し</v>
      </c>
      <c r="D68" s="6">
        <v>1</v>
      </c>
      <c r="E68" s="7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6">
        <v>11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1"/>
        <v>12371</v>
      </c>
      <c r="B69" s="2">
        <v>109</v>
      </c>
      <c r="C69" s="10" t="str">
        <f ca="1">VLOOKUP($B69,OFFSET([2]gachas!$A$2,0,0,COUNTA([2]gachas!$A:$A),MATCH(C$1,[2]gachas!$1:$1,0)-MATCH($B$1,[2]gachas!$1:$1,0)+1),MATCH(C$1,[2]gachas!$1:$1,0)-MATCH($B$1,[2]gachas!$1:$1,0)+1,FALSE)</f>
        <v>赤アップ0１　あと少し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6">
        <v>11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12391</v>
      </c>
      <c r="B70" s="2">
        <v>109</v>
      </c>
      <c r="C70" s="10" t="str">
        <f ca="1">VLOOKUP($B70,OFFSET([2]gachas!$A$2,0,0,COUNTA([2]gachas!$A:$A),MATCH(C$1,[2]gachas!$1:$1,0)-MATCH($B$1,[2]gachas!$1:$1,0)+1),MATCH(C$1,[2]gachas!$1:$1,0)-MATCH($B$1,[2]gachas!$1:$1,0)+1,FALSE)</f>
        <v>赤アップ0１　あと少し</v>
      </c>
      <c r="D70" s="29">
        <v>1</v>
      </c>
      <c r="E70" s="36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29">
        <v>1</v>
      </c>
      <c r="M70" s="29">
        <v>972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12401</v>
      </c>
      <c r="B71" s="2">
        <v>109</v>
      </c>
      <c r="C71" s="10" t="str">
        <f ca="1">VLOOKUP($B71,OFFSET([2]gachas!$A$2,0,0,COUNTA([2]gachas!$A:$A),MATCH(C$1,[2]gachas!$1:$1,0)-MATCH($B$1,[2]gachas!$1:$1,0)+1),MATCH(C$1,[2]gachas!$1:$1,0)-MATCH($B$1,[2]gachas!$1:$1,0)+1,FALSE)</f>
        <v>赤アップ0１　あと少し</v>
      </c>
      <c r="D71" s="29">
        <v>1</v>
      </c>
      <c r="E71" s="36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29">
        <v>1</v>
      </c>
      <c r="M71" s="29">
        <v>40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12421</v>
      </c>
      <c r="B72" s="2">
        <v>109</v>
      </c>
      <c r="C72" s="10" t="str">
        <f ca="1">VLOOKUP($B72,OFFSET([2]gachas!$A$2,0,0,COUNTA([2]gachas!$A:$A),MATCH(C$1,[2]gachas!$1:$1,0)-MATCH($B$1,[2]gachas!$1:$1,0)+1),MATCH(C$1,[2]gachas!$1:$1,0)-MATCH($B$1,[2]gachas!$1:$1,0)+1,FALSE)</f>
        <v>赤アップ0１　あと少し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6">
        <v>265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12431</v>
      </c>
      <c r="B73" s="2">
        <v>109</v>
      </c>
      <c r="C73" s="10" t="str">
        <f ca="1">VLOOKUP($B73,OFFSET([2]gachas!$A$2,0,0,COUNTA([2]gachas!$A:$A),MATCH(C$1,[2]gachas!$1:$1,0)-MATCH($B$1,[2]gachas!$1:$1,0)+1),MATCH(C$1,[2]gachas!$1:$1,0)-MATCH($B$1,[2]gachas!$1:$1,0)+1,FALSE)</f>
        <v>赤アップ0１　あと少し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6">
        <v>11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12451</v>
      </c>
      <c r="B74" s="2">
        <v>109</v>
      </c>
      <c r="C74" s="10" t="str">
        <f ca="1">VLOOKUP($B74,OFFSET([2]gachas!$A$2,0,0,COUNTA([2]gachas!$A:$A),MATCH(C$1,[2]gachas!$1:$1,0)-MATCH($B$1,[2]gachas!$1:$1,0)+1),MATCH(C$1,[2]gachas!$1:$1,0)-MATCH($B$1,[2]gachas!$1:$1,0)+1,FALSE)</f>
        <v>赤アップ0１　あと少し</v>
      </c>
      <c r="D74" s="6">
        <v>1</v>
      </c>
      <c r="E74" s="19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6">
        <v>1</v>
      </c>
      <c r="M74" s="6">
        <v>265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12461</v>
      </c>
      <c r="B75" s="2">
        <v>109</v>
      </c>
      <c r="C75" s="10" t="str">
        <f ca="1">VLOOKUP($B75,OFFSET([2]gachas!$A$2,0,0,COUNTA([2]gachas!$A:$A),MATCH(C$1,[2]gachas!$1:$1,0)-MATCH($B$1,[2]gachas!$1:$1,0)+1),MATCH(C$1,[2]gachas!$1:$1,0)-MATCH($B$1,[2]gachas!$1:$1,0)+1,FALSE)</f>
        <v>赤アップ0１　あと少し</v>
      </c>
      <c r="D75" s="6">
        <v>1</v>
      </c>
      <c r="E75" s="19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6">
        <v>1</v>
      </c>
      <c r="M75" s="6">
        <v>11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12481</v>
      </c>
      <c r="B76" s="2">
        <v>109</v>
      </c>
      <c r="C76" s="10" t="str">
        <f ca="1">VLOOKUP($B76,OFFSET([2]gachas!$A$2,0,0,COUNTA([2]gachas!$A:$A),MATCH(C$1,[2]gachas!$1:$1,0)-MATCH($B$1,[2]gachas!$1:$1,0)+1),MATCH(C$1,[2]gachas!$1:$1,0)-MATCH($B$1,[2]gachas!$1:$1,0)+1,FALSE)</f>
        <v>赤アップ0１　あと少し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6">
        <v>265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1"/>
        <v>12491</v>
      </c>
      <c r="B77" s="2">
        <v>109</v>
      </c>
      <c r="C77" s="10" t="str">
        <f ca="1">VLOOKUP($B77,OFFSET([2]gachas!$A$2,0,0,COUNTA([2]gachas!$A:$A),MATCH(C$1,[2]gachas!$1:$1,0)-MATCH($B$1,[2]gachas!$1:$1,0)+1),MATCH(C$1,[2]gachas!$1:$1,0)-MATCH($B$1,[2]gachas!$1:$1,0)+1,FALSE)</f>
        <v>赤アップ0１　あと少し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6">
        <v>11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1"/>
        <v>12511</v>
      </c>
      <c r="B78" s="2">
        <v>109</v>
      </c>
      <c r="C78" s="10" t="str">
        <f ca="1">VLOOKUP($B78,OFFSET([2]gachas!$A$2,0,0,COUNTA([2]gachas!$A:$A),MATCH(C$1,[2]gachas!$1:$1,0)-MATCH($B$1,[2]gachas!$1:$1,0)+1),MATCH(C$1,[2]gachas!$1:$1,0)-MATCH($B$1,[2]gachas!$1:$1,0)+1,FALSE)</f>
        <v>赤アップ0１　あと少し</v>
      </c>
      <c r="D78" s="29">
        <v>1</v>
      </c>
      <c r="E78" s="30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29">
        <v>1</v>
      </c>
      <c r="M78" s="29">
        <v>972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1"/>
        <v>12521</v>
      </c>
      <c r="B79" s="2">
        <v>109</v>
      </c>
      <c r="C79" s="10" t="str">
        <f ca="1">VLOOKUP($B79,OFFSET([2]gachas!$A$2,0,0,COUNTA([2]gachas!$A:$A),MATCH(C$1,[2]gachas!$1:$1,0)-MATCH($B$1,[2]gachas!$1:$1,0)+1),MATCH(C$1,[2]gachas!$1:$1,0)-MATCH($B$1,[2]gachas!$1:$1,0)+1,FALSE)</f>
        <v>赤アップ0１　あと少し</v>
      </c>
      <c r="D79" s="29">
        <v>1</v>
      </c>
      <c r="E79" s="30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29">
        <v>1</v>
      </c>
      <c r="M79" s="29">
        <v>40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1"/>
        <v>12541</v>
      </c>
      <c r="B80" s="2">
        <v>109</v>
      </c>
      <c r="C80" s="10" t="str">
        <f ca="1">VLOOKUP($B80,OFFSET([2]gachas!$A$2,0,0,COUNTA([2]gachas!$A:$A),MATCH(C$1,[2]gachas!$1:$1,0)-MATCH($B$1,[2]gachas!$1:$1,0)+1),MATCH(C$1,[2]gachas!$1:$1,0)-MATCH($B$1,[2]gachas!$1:$1,0)+1,FALSE)</f>
        <v>赤アップ0１　あと少し</v>
      </c>
      <c r="D80" s="6">
        <v>1</v>
      </c>
      <c r="E80" s="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6">
        <v>265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1"/>
        <v>12551</v>
      </c>
      <c r="B81" s="2">
        <v>109</v>
      </c>
      <c r="C81" s="10" t="str">
        <f ca="1">VLOOKUP($B81,OFFSET([2]gachas!$A$2,0,0,COUNTA([2]gachas!$A:$A),MATCH(C$1,[2]gachas!$1:$1,0)-MATCH($B$1,[2]gachas!$1:$1,0)+1),MATCH(C$1,[2]gachas!$1:$1,0)-MATCH($B$1,[2]gachas!$1:$1,0)+1,FALSE)</f>
        <v>赤アップ0１　あと少し</v>
      </c>
      <c r="D81" s="6">
        <v>1</v>
      </c>
      <c r="E81" s="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6">
        <v>11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1"/>
        <v>12571</v>
      </c>
      <c r="B82" s="2">
        <v>109</v>
      </c>
      <c r="C82" s="10" t="str">
        <f ca="1">VLOOKUP($B82,OFFSET([2]gachas!$A$2,0,0,COUNTA([2]gachas!$A:$A),MATCH(C$1,[2]gachas!$1:$1,0)-MATCH($B$1,[2]gachas!$1:$1,0)+1),MATCH(C$1,[2]gachas!$1:$1,0)-MATCH($B$1,[2]gachas!$1:$1,0)+1,FALSE)</f>
        <v>赤アップ0１　あと少し</v>
      </c>
      <c r="D82" s="6">
        <v>1</v>
      </c>
      <c r="E82" s="7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6">
        <v>1</v>
      </c>
      <c r="M82" s="6">
        <v>265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1"/>
        <v>12581</v>
      </c>
      <c r="B83" s="2">
        <v>109</v>
      </c>
      <c r="C83" s="10" t="str">
        <f ca="1">VLOOKUP($B83,OFFSET([2]gachas!$A$2,0,0,COUNTA([2]gachas!$A:$A),MATCH(C$1,[2]gachas!$1:$1,0)-MATCH($B$1,[2]gachas!$1:$1,0)+1),MATCH(C$1,[2]gachas!$1:$1,0)-MATCH($B$1,[2]gachas!$1:$1,0)+1,FALSE)</f>
        <v>赤アップ0１　あと少し</v>
      </c>
      <c r="D83" s="6">
        <v>1</v>
      </c>
      <c r="E83" s="7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6">
        <v>1</v>
      </c>
      <c r="M83" s="6">
        <v>11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1"/>
        <v>12601</v>
      </c>
      <c r="B84" s="2">
        <v>109</v>
      </c>
      <c r="C84" s="10" t="str">
        <f ca="1">VLOOKUP($B84,OFFSET([2]gachas!$A$2,0,0,COUNTA([2]gachas!$A:$A),MATCH(C$1,[2]gachas!$1:$1,0)-MATCH($B$1,[2]gachas!$1:$1,0)+1),MATCH(C$1,[2]gachas!$1:$1,0)-MATCH($B$1,[2]gachas!$1:$1,0)+1,FALSE)</f>
        <v>赤アップ0１　あと少し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6">
        <v>265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1"/>
        <v>12611</v>
      </c>
      <c r="B85" s="2">
        <v>109</v>
      </c>
      <c r="C85" s="10" t="str">
        <f ca="1">VLOOKUP($B85,OFFSET([2]gachas!$A$2,0,0,COUNTA([2]gachas!$A:$A),MATCH(C$1,[2]gachas!$1:$1,0)-MATCH($B$1,[2]gachas!$1:$1,0)+1),MATCH(C$1,[2]gachas!$1:$1,0)-MATCH($B$1,[2]gachas!$1:$1,0)+1,FALSE)</f>
        <v>赤アップ0１　あと少し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6">
        <v>11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1"/>
        <v>13201</v>
      </c>
      <c r="B86" s="2">
        <v>109</v>
      </c>
      <c r="C86" s="10" t="str">
        <f ca="1">VLOOKUP($B86,OFFSET([2]gachas!$A$2,0,0,COUNTA([2]gachas!$A:$A),MATCH(C$1,[2]gachas!$1:$1,0)-MATCH($B$1,[2]gachas!$1:$1,0)+1),MATCH(C$1,[2]gachas!$1:$1,0)-MATCH($B$1,[2]gachas!$1:$1,0)+1,FALSE)</f>
        <v>赤アップ0１　あと少し</v>
      </c>
      <c r="D86" s="37">
        <v>1</v>
      </c>
      <c r="E86" s="38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37">
        <v>1</v>
      </c>
      <c r="M86" s="29">
        <v>972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1"/>
        <v>13211</v>
      </c>
      <c r="B87" s="2">
        <v>109</v>
      </c>
      <c r="C87" s="10" t="str">
        <f ca="1">VLOOKUP($B87,OFFSET([2]gachas!$A$2,0,0,COUNTA([2]gachas!$A:$A),MATCH(C$1,[2]gachas!$1:$1,0)-MATCH($B$1,[2]gachas!$1:$1,0)+1),MATCH(C$1,[2]gachas!$1:$1,0)-MATCH($B$1,[2]gachas!$1:$1,0)+1,FALSE)</f>
        <v>赤アップ0１　あと少し</v>
      </c>
      <c r="D87" s="29">
        <v>1</v>
      </c>
      <c r="E87" s="30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29">
        <v>1</v>
      </c>
      <c r="M87" s="29">
        <v>40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1"/>
        <v>13221</v>
      </c>
      <c r="B88" s="2">
        <v>109</v>
      </c>
      <c r="C88" s="10" t="str">
        <f ca="1">VLOOKUP($B88,OFFSET([2]gachas!$A$2,0,0,COUNTA([2]gachas!$A:$A),MATCH(C$1,[2]gachas!$1:$1,0)-MATCH($B$1,[2]gachas!$1:$1,0)+1),MATCH(C$1,[2]gachas!$1:$1,0)-MATCH($B$1,[2]gachas!$1:$1,0)+1,FALSE)</f>
        <v>赤アップ0１　あと少し</v>
      </c>
      <c r="D88" s="6">
        <v>1</v>
      </c>
      <c r="E88" s="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6">
        <v>265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1"/>
        <v>13231</v>
      </c>
      <c r="B89" s="2">
        <v>109</v>
      </c>
      <c r="C89" s="10" t="str">
        <f ca="1">VLOOKUP($B89,OFFSET([2]gachas!$A$2,0,0,COUNTA([2]gachas!$A:$A),MATCH(C$1,[2]gachas!$1:$1,0)-MATCH($B$1,[2]gachas!$1:$1,0)+1),MATCH(C$1,[2]gachas!$1:$1,0)-MATCH($B$1,[2]gachas!$1:$1,0)+1,FALSE)</f>
        <v>赤アップ0１　あと少し</v>
      </c>
      <c r="D89" s="6">
        <v>1</v>
      </c>
      <c r="E89" s="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6">
        <v>11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1"/>
        <v>13241</v>
      </c>
      <c r="B90" s="2">
        <v>109</v>
      </c>
      <c r="C90" s="10" t="str">
        <f ca="1">VLOOKUP($B90,OFFSET([2]gachas!$A$2,0,0,COUNTA([2]gachas!$A:$A),MATCH(C$1,[2]gachas!$1:$1,0)-MATCH($B$1,[2]gachas!$1:$1,0)+1),MATCH(C$1,[2]gachas!$1:$1,0)-MATCH($B$1,[2]gachas!$1:$1,0)+1,FALSE)</f>
        <v>赤アップ0１　あと少し</v>
      </c>
      <c r="D90" s="6">
        <v>1</v>
      </c>
      <c r="E90" s="7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6">
        <v>265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1"/>
        <v>13251</v>
      </c>
      <c r="B91" s="2">
        <v>109</v>
      </c>
      <c r="C91" s="10" t="str">
        <f ca="1">VLOOKUP($B91,OFFSET([2]gachas!$A$2,0,0,COUNTA([2]gachas!$A:$A),MATCH(C$1,[2]gachas!$1:$1,0)-MATCH($B$1,[2]gachas!$1:$1,0)+1),MATCH(C$1,[2]gachas!$1:$1,0)-MATCH($B$1,[2]gachas!$1:$1,0)+1,FALSE)</f>
        <v>赤アップ0１　あと少し</v>
      </c>
      <c r="D91" s="6">
        <v>1</v>
      </c>
      <c r="E91" s="7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6">
        <v>11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1"/>
        <v>13261</v>
      </c>
      <c r="B92" s="2">
        <v>109</v>
      </c>
      <c r="C92" s="10" t="str">
        <f ca="1">VLOOKUP($B92,OFFSET([2]gachas!$A$2,0,0,COUNTA([2]gachas!$A:$A),MATCH(C$1,[2]gachas!$1:$1,0)-MATCH($B$1,[2]gachas!$1:$1,0)+1),MATCH(C$1,[2]gachas!$1:$1,0)-MATCH($B$1,[2]gachas!$1:$1,0)+1,FALSE)</f>
        <v>赤アップ0１　あと少し</v>
      </c>
      <c r="D92" s="6">
        <v>1</v>
      </c>
      <c r="E92" s="7">
        <v>326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6">
        <v>1</v>
      </c>
      <c r="M92" s="6">
        <v>265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 thickBot="1">
      <c r="A93" s="22" t="str">
        <f t="shared" si="1"/>
        <v>13271</v>
      </c>
      <c r="B93" s="2">
        <v>109</v>
      </c>
      <c r="C93" s="10" t="str">
        <f ca="1">VLOOKUP($B93,OFFSET([2]gachas!$A$2,0,0,COUNTA([2]gachas!$A:$A),MATCH(C$1,[2]gachas!$1:$1,0)-MATCH($B$1,[2]gachas!$1:$1,0)+1),MATCH(C$1,[2]gachas!$1:$1,0)-MATCH($B$1,[2]gachas!$1:$1,0)+1,FALSE)</f>
        <v>赤アップ0１　あと少し</v>
      </c>
      <c r="D93" s="24">
        <v>1</v>
      </c>
      <c r="E93" s="25">
        <v>327</v>
      </c>
      <c r="F93" s="23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23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23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23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23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23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24">
        <v>1</v>
      </c>
      <c r="M93" s="6">
        <v>11</v>
      </c>
      <c r="N93" s="35">
        <v>0</v>
      </c>
      <c r="O93" s="35">
        <v>0</v>
      </c>
      <c r="P93" s="35">
        <v>0</v>
      </c>
      <c r="Q93" s="35">
        <v>0</v>
      </c>
      <c r="R93" s="35">
        <v>1</v>
      </c>
    </row>
    <row r="94" spans="1:18" ht="21" customHeight="1">
      <c r="A94" s="8" t="str">
        <f t="shared" si="1"/>
        <v>01261</v>
      </c>
      <c r="B94" s="2">
        <v>109</v>
      </c>
      <c r="C94" s="10" t="str">
        <f ca="1">VLOOKUP($B94,OFFSET([2]gachas!$A$2,0,0,COUNTA([2]gachas!$A:$A),MATCH(C$1,[2]gachas!$1:$1,0)-MATCH($B$1,[2]gachas!$1:$1,0)+1),MATCH(C$1,[2]gachas!$1:$1,0)-MATCH($B$1,[2]gachas!$1:$1,0)+1,FALSE)</f>
        <v>赤アップ0１　あと少し</v>
      </c>
      <c r="D94" s="37">
        <v>0</v>
      </c>
      <c r="E94" s="38">
        <v>126</v>
      </c>
      <c r="F94" s="20" t="str">
        <f ca="1">VLOOKUP($E94,OFFSET([1]characters!$A$2,0,0,COUNTA([1]characters!$A:$A),MATCH(F$1,[1]characters!$2:$2,0)-MATCH($E$1,[1]characters!$2:$2,0)+1),MATCH(F$1,[1]characters!$2:$2,0)-MATCH($E$1,[1]characters!$2:$2,0)+1,FALSE)</f>
        <v>骨器使い ユノ</v>
      </c>
      <c r="G94" s="20" t="str">
        <f ca="1">VLOOKUP($E94,OFFSET([1]characters!$A$2,0,0,COUNTA([1]characters!$A:$A),MATCH(G$1,[1]characters!$2:$2,0)-MATCH($E$1,[1]characters!$2:$2,0)+1),MATCH(G$1,[1]characters!$2:$2,0)-MATCH($E$1,[1]characters!$2:$2,0)+1,FALSE)</f>
        <v>PremiumW</v>
      </c>
      <c r="H94" s="2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2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20" t="str">
        <f ca="1">VLOOKUP($E94,OFFSET([1]characters!$A$2,0,0,COUNTA([1]characters!$A:$A),MATCH("タイプ",[1]characters!$1:$1,0)-MATCH($E$1,[1]characters!$2:$2,0)+2),MATCH("タイプ",[1]characters!$1:$1,0)-MATCH($E$1,[1]characters!$2:$2,0)+2,FALSE)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4" s="20" t="str">
        <f ca="1">VLOOKUP($E94,OFFSET([1]characters!$A$2,0,0,COUNTA([1]characters!$A:$A),MATCH($K$1,[1]characters!$1:$1,0)-MATCH($E$1,[1]characters!$2:$2,0)+2),MATCH($K$1,[1]characters!$1:$1,0)-MATCH($E$1,[1]characters!$2:$2,0)+2,FALSE)</f>
        <v>ヒューマン</v>
      </c>
      <c r="L94" s="37">
        <v>1</v>
      </c>
      <c r="M94" s="37">
        <v>5061</v>
      </c>
      <c r="N94" s="18">
        <v>0</v>
      </c>
      <c r="O94" s="18">
        <v>0</v>
      </c>
      <c r="P94" s="18">
        <v>0</v>
      </c>
      <c r="Q94" s="18">
        <v>0</v>
      </c>
      <c r="R94" s="18">
        <v>1</v>
      </c>
    </row>
    <row r="95" spans="1:18" ht="21" customHeight="1">
      <c r="A95" s="8" t="str">
        <f t="shared" si="1"/>
        <v>01281</v>
      </c>
      <c r="B95" s="2">
        <v>109</v>
      </c>
      <c r="C95" s="10" t="str">
        <f ca="1">VLOOKUP($B95,OFFSET([2]gachas!$A$2,0,0,COUNTA([2]gachas!$A:$A),MATCH(C$1,[2]gachas!$1:$1,0)-MATCH($B$1,[2]gachas!$1:$1,0)+1),MATCH(C$1,[2]gachas!$1:$1,0)-MATCH($B$1,[2]gachas!$1:$1,0)+1,FALSE)</f>
        <v>赤アップ0１　あと少し</v>
      </c>
      <c r="D95" s="21">
        <v>0</v>
      </c>
      <c r="E95" s="27">
        <v>128</v>
      </c>
      <c r="F95" s="20" t="str">
        <f ca="1">VLOOKUP($E95,OFFSET([1]characters!$A$2,0,0,COUNTA([1]characters!$A:$A),MATCH(F$1,[1]characters!$2:$2,0)-MATCH($E$1,[1]characters!$2:$2,0)+1),MATCH(F$1,[1]characters!$2:$2,0)-MATCH($E$1,[1]characters!$2:$2,0)+1,FALSE)</f>
        <v>野生児 アマラ</v>
      </c>
      <c r="G95" s="20" t="str">
        <f ca="1">VLOOKUP($E95,OFFSET([1]characters!$A$2,0,0,COUNTA([1]characters!$A:$A),MATCH(G$1,[1]characters!$2:$2,0)-MATCH($E$1,[1]characters!$2:$2,0)+1),MATCH(G$1,[1]characters!$2:$2,0)-MATCH($E$1,[1]characters!$2:$2,0)+1,FALSE)</f>
        <v>PremiumW</v>
      </c>
      <c r="H95" s="2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20" t="str">
        <f ca="1">VLOOKUP($E95,OFFSET([1]characters!$A$2,0,0,COUNTA([1]characters!$A:$A),MATCH(I$1,[1]characters!$2:$2,0)-MATCH($E$1,[1]characters!$2:$2,0)+1),MATCH(I$1,[1]characters!$2:$2,0)-MATCH($E$1,[1]characters!$2:$2,0)+1,FALSE)</f>
        <v>green</v>
      </c>
      <c r="J95" s="20" t="str">
        <f ca="1">VLOOKUP($E95,OFFSET([1]characters!$A$2,0,0,COUNTA([1]characters!$A:$A),MATCH("タイプ",[1]characters!$1:$1,0)-MATCH($E$1,[1]characters!$2:$2,0)+2),MATCH("タイプ",[1]characters!$1:$1,0)-MATCH($E$1,[1]characters!$2:$2,0)+2,FALSE)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5" s="20" t="str">
        <f ca="1">VLOOKUP($E95,OFFSET([1]characters!$A$2,0,0,COUNTA([1]characters!$A:$A),MATCH($K$1,[1]characters!$1:$1,0)-MATCH($E$1,[1]characters!$2:$2,0)+2),MATCH($K$1,[1]characters!$1:$1,0)-MATCH($E$1,[1]characters!$2:$2,0)+2,FALSE)</f>
        <v>ヒューマン</v>
      </c>
      <c r="L95" s="21">
        <v>1</v>
      </c>
      <c r="M95" s="21">
        <v>1380</v>
      </c>
      <c r="N95" s="18">
        <v>0</v>
      </c>
      <c r="O95" s="18">
        <v>0</v>
      </c>
      <c r="P95" s="18">
        <v>0</v>
      </c>
      <c r="Q95" s="18">
        <v>0</v>
      </c>
      <c r="R95" s="18">
        <v>1</v>
      </c>
    </row>
    <row r="96" spans="1:18" ht="21" customHeight="1">
      <c r="A96" s="8" t="str">
        <f t="shared" si="1"/>
        <v>01301</v>
      </c>
      <c r="B96" s="2">
        <v>109</v>
      </c>
      <c r="C96" s="10" t="str">
        <f ca="1">VLOOKUP($B96,OFFSET([2]gachas!$A$2,0,0,COUNTA([2]gachas!$A:$A),MATCH(C$1,[2]gachas!$1:$1,0)-MATCH($B$1,[2]gachas!$1:$1,0)+1),MATCH(C$1,[2]gachas!$1:$1,0)-MATCH($B$1,[2]gachas!$1:$1,0)+1,FALSE)</f>
        <v>赤アップ0１　あと少し</v>
      </c>
      <c r="D96" s="6">
        <v>0</v>
      </c>
      <c r="E96" s="7">
        <v>130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狼男 ローレンス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PremiumW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blue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アニマル</v>
      </c>
      <c r="L96" s="6">
        <v>1</v>
      </c>
      <c r="M96" s="21">
        <v>1380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01321</v>
      </c>
      <c r="B97" s="2">
        <v>109</v>
      </c>
      <c r="C97" s="10" t="str">
        <f ca="1">VLOOKUP($B97,OFFSET([2]gachas!$A$2,0,0,COUNTA([2]gachas!$A:$A),MATCH(C$1,[2]gachas!$1:$1,0)-MATCH($B$1,[2]gachas!$1:$1,0)+1),MATCH(C$1,[2]gachas!$1:$1,0)-MATCH($B$1,[2]gachas!$1:$1,0)+1,FALSE)</f>
        <v>赤アップ0１　あと少し</v>
      </c>
      <c r="D97" s="6">
        <v>0</v>
      </c>
      <c r="E97" s="7">
        <v>132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鳥人ハヤト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PremiumW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yellow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ヒューマン</v>
      </c>
      <c r="L97" s="6">
        <v>1</v>
      </c>
      <c r="M97" s="21">
        <v>1380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01341</v>
      </c>
      <c r="B98" s="2">
        <v>109</v>
      </c>
      <c r="C98" s="10" t="str">
        <f ca="1">VLOOKUP($B98,OFFSET([2]gachas!$A$2,0,0,COUNTA([2]gachas!$A:$A),MATCH(C$1,[2]gachas!$1:$1,0)-MATCH($B$1,[2]gachas!$1:$1,0)+1),MATCH(C$1,[2]gachas!$1:$1,0)-MATCH($B$1,[2]gachas!$1:$1,0)+1,FALSE)</f>
        <v>赤アップ0１　あと少し</v>
      </c>
      <c r="D98" s="29">
        <v>0</v>
      </c>
      <c r="E98" s="30">
        <v>134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妖炎の夕霧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PremiumW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3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29">
        <v>1</v>
      </c>
      <c r="M98" s="37">
        <v>5061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01361</v>
      </c>
      <c r="B99" s="2">
        <v>109</v>
      </c>
      <c r="C99" s="10" t="str">
        <f ca="1">VLOOKUP($B99,OFFSET([2]gachas!$A$2,0,0,COUNTA([2]gachas!$A:$A),MATCH(C$1,[2]gachas!$1:$1,0)-MATCH($B$1,[2]gachas!$1:$1,0)+1),MATCH(C$1,[2]gachas!$1:$1,0)-MATCH($B$1,[2]gachas!$1:$1,0)+1,FALSE)</f>
        <v>赤アップ0１　あと少し</v>
      </c>
      <c r="D99" s="6">
        <v>0</v>
      </c>
      <c r="E99" s="7">
        <v>136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お針子チハヤ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PremiumW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3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6">
        <v>1</v>
      </c>
      <c r="M99" s="21">
        <v>1380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01381</v>
      </c>
      <c r="B100" s="2">
        <v>109</v>
      </c>
      <c r="C100" s="10" t="str">
        <f ca="1">VLOOKUP($B100,OFFSET([2]gachas!$A$2,0,0,COUNTA([2]gachas!$A:$A),MATCH(C$1,[2]gachas!$1:$1,0)-MATCH($B$1,[2]gachas!$1:$1,0)+1),MATCH(C$1,[2]gachas!$1:$1,0)-MATCH($B$1,[2]gachas!$1:$1,0)+1,FALSE)</f>
        <v>赤アップ0１　あと少し</v>
      </c>
      <c r="D100" s="6">
        <v>0</v>
      </c>
      <c r="E100" s="7">
        <v>138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蒼薙のトモエ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PremiumW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3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blue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6">
        <v>1</v>
      </c>
      <c r="M100" s="21">
        <v>1380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01401</v>
      </c>
      <c r="B101" s="2">
        <v>109</v>
      </c>
      <c r="C101" s="10" t="str">
        <f ca="1">VLOOKUP($B101,OFFSET([2]gachas!$A$2,0,0,COUNTA([2]gachas!$A:$A),MATCH(C$1,[2]gachas!$1:$1,0)-MATCH($B$1,[2]gachas!$1:$1,0)+1),MATCH(C$1,[2]gachas!$1:$1,0)-MATCH($B$1,[2]gachas!$1:$1,0)+1,FALSE)</f>
        <v>赤アップ0１　あと少し</v>
      </c>
      <c r="D101" s="6">
        <v>0</v>
      </c>
      <c r="E101" s="7">
        <v>140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秋祭のタマモ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PremiumW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3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6">
        <v>1</v>
      </c>
      <c r="M101" s="21">
        <v>1380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01421</v>
      </c>
      <c r="B102" s="2">
        <v>109</v>
      </c>
      <c r="C102" s="10" t="str">
        <f ca="1">VLOOKUP($B102,OFFSET([2]gachas!$A$2,0,0,COUNTA([2]gachas!$A:$A),MATCH(C$1,[2]gachas!$1:$1,0)-MATCH($B$1,[2]gachas!$1:$1,0)+1),MATCH(C$1,[2]gachas!$1:$1,0)-MATCH($B$1,[2]gachas!$1:$1,0)+1,FALSE)</f>
        <v>赤アップ0１　あと少し</v>
      </c>
      <c r="D102" s="29">
        <v>0</v>
      </c>
      <c r="E102" s="30">
        <v>142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赤ずきん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9">
        <v>1</v>
      </c>
      <c r="M102" s="37">
        <v>5061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01441</v>
      </c>
      <c r="B103" s="2">
        <v>109</v>
      </c>
      <c r="C103" s="10" t="str">
        <f ca="1">VLOOKUP($B103,OFFSET([2]gachas!$A$2,0,0,COUNTA([2]gachas!$A:$A),MATCH(C$1,[2]gachas!$1:$1,0)-MATCH($B$1,[2]gachas!$1:$1,0)+1),MATCH(C$1,[2]gachas!$1:$1,0)-MATCH($B$1,[2]gachas!$1:$1,0)+1,FALSE)</f>
        <v>赤アップ0１　あと少し</v>
      </c>
      <c r="D103" s="6">
        <v>0</v>
      </c>
      <c r="E103" s="7">
        <v>144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かぐや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6">
        <v>1</v>
      </c>
      <c r="M103" s="21">
        <v>1380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01461</v>
      </c>
      <c r="B104" s="2">
        <v>109</v>
      </c>
      <c r="C104" s="10" t="str">
        <f ca="1">VLOOKUP($B104,OFFSET([2]gachas!$A$2,0,0,COUNTA([2]gachas!$A:$A),MATCH(C$1,[2]gachas!$1:$1,0)-MATCH($B$1,[2]gachas!$1:$1,0)+1),MATCH(C$1,[2]gachas!$1:$1,0)-MATCH($B$1,[2]gachas!$1:$1,0)+1,FALSE)</f>
        <v>赤アップ0１　あと少し</v>
      </c>
      <c r="D104" s="6">
        <v>0</v>
      </c>
      <c r="E104" s="7">
        <v>146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マーメイド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21">
        <v>1380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01481</v>
      </c>
      <c r="B105" s="2">
        <v>109</v>
      </c>
      <c r="C105" s="10" t="str">
        <f ca="1">VLOOKUP($B105,OFFSET([2]gachas!$A$2,0,0,COUNTA([2]gachas!$A:$A),MATCH(C$1,[2]gachas!$1:$1,0)-MATCH($B$1,[2]gachas!$1:$1,0)+1),MATCH(C$1,[2]gachas!$1:$1,0)-MATCH($B$1,[2]gachas!$1:$1,0)+1,FALSE)</f>
        <v>赤アップ0１　あと少し</v>
      </c>
      <c r="D105" s="6">
        <v>0</v>
      </c>
      <c r="E105" s="7">
        <v>148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シンデレラ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21">
        <v>1380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01501</v>
      </c>
      <c r="B106" s="2">
        <v>109</v>
      </c>
      <c r="C106" s="10" t="str">
        <f ca="1">VLOOKUP($B106,OFFSET([2]gachas!$A$2,0,0,COUNTA([2]gachas!$A:$A),MATCH(C$1,[2]gachas!$1:$1,0)-MATCH($B$1,[2]gachas!$1:$1,0)+1),MATCH(C$1,[2]gachas!$1:$1,0)-MATCH($B$1,[2]gachas!$1:$1,0)+1,FALSE)</f>
        <v>赤アップ0１　あと少し</v>
      </c>
      <c r="D106" s="29">
        <v>0</v>
      </c>
      <c r="E106" s="30">
        <v>150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29">
        <v>1</v>
      </c>
      <c r="M106" s="37">
        <v>5061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01521</v>
      </c>
      <c r="B107" s="2">
        <v>109</v>
      </c>
      <c r="C107" s="10" t="str">
        <f ca="1">VLOOKUP($B107,OFFSET([2]gachas!$A$2,0,0,COUNTA([2]gachas!$A:$A),MATCH(C$1,[2]gachas!$1:$1,0)-MATCH($B$1,[2]gachas!$1:$1,0)+1),MATCH(C$1,[2]gachas!$1:$1,0)-MATCH($B$1,[2]gachas!$1:$1,0)+1,FALSE)</f>
        <v>赤アップ0１　あと少し</v>
      </c>
      <c r="D107" s="6">
        <v>0</v>
      </c>
      <c r="E107" s="7">
        <v>152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功夫少女ランラン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21">
        <v>1380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01541</v>
      </c>
      <c r="B108" s="2">
        <v>109</v>
      </c>
      <c r="C108" s="10" t="str">
        <f ca="1">VLOOKUP($B108,OFFSET([2]gachas!$A$2,0,0,COUNTA([2]gachas!$A:$A),MATCH(C$1,[2]gachas!$1:$1,0)-MATCH($B$1,[2]gachas!$1:$1,0)+1),MATCH(C$1,[2]gachas!$1:$1,0)-MATCH($B$1,[2]gachas!$1:$1,0)+1,FALSE)</f>
        <v>赤アップ0１　あと少し</v>
      </c>
      <c r="D108" s="6">
        <v>0</v>
      </c>
      <c r="E108" s="7">
        <v>154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始末屋 ハンナ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21">
        <v>1380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01561</v>
      </c>
      <c r="B109" s="2">
        <v>109</v>
      </c>
      <c r="C109" s="10" t="str">
        <f ca="1">VLOOKUP($B109,OFFSET([2]gachas!$A$2,0,0,COUNTA([2]gachas!$A:$A),MATCH(C$1,[2]gachas!$1:$1,0)-MATCH($B$1,[2]gachas!$1:$1,0)+1),MATCH(C$1,[2]gachas!$1:$1,0)-MATCH($B$1,[2]gachas!$1:$1,0)+1,FALSE)</f>
        <v>赤アップ0１　あと少し</v>
      </c>
      <c r="D109" s="6">
        <v>0</v>
      </c>
      <c r="E109" s="7">
        <v>156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踊り子 エレナ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6">
        <v>1</v>
      </c>
      <c r="M109" s="21">
        <v>1380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01581</v>
      </c>
      <c r="B110" s="2">
        <v>109</v>
      </c>
      <c r="C110" s="10" t="str">
        <f ca="1">VLOOKUP($B110,OFFSET([2]gachas!$A$2,0,0,COUNTA([2]gachas!$A:$A),MATCH(C$1,[2]gachas!$1:$1,0)-MATCH($B$1,[2]gachas!$1:$1,0)+1),MATCH(C$1,[2]gachas!$1:$1,0)-MATCH($B$1,[2]gachas!$1:$1,0)+1,FALSE)</f>
        <v>赤アップ0１　あと少し</v>
      </c>
      <c r="D110" s="29">
        <v>0</v>
      </c>
      <c r="E110" s="30">
        <v>158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29">
        <v>1</v>
      </c>
      <c r="M110" s="37">
        <v>5061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01601</v>
      </c>
      <c r="B111" s="2">
        <v>109</v>
      </c>
      <c r="C111" s="10" t="str">
        <f ca="1">VLOOKUP($B111,OFFSET([2]gachas!$A$2,0,0,COUNTA([2]gachas!$A:$A),MATCH(C$1,[2]gachas!$1:$1,0)-MATCH($B$1,[2]gachas!$1:$1,0)+1),MATCH(C$1,[2]gachas!$1:$1,0)-MATCH($B$1,[2]gachas!$1:$1,0)+1,FALSE)</f>
        <v>赤アップ0１　あと少し</v>
      </c>
      <c r="D111" s="6">
        <v>0</v>
      </c>
      <c r="E111" s="7">
        <v>160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反逆者 クリエ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21">
        <v>1380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01621</v>
      </c>
      <c r="B112" s="2">
        <v>109</v>
      </c>
      <c r="C112" s="10" t="str">
        <f ca="1">VLOOKUP($B112,OFFSET([2]gachas!$A$2,0,0,COUNTA([2]gachas!$A:$A),MATCH(C$1,[2]gachas!$1:$1,0)-MATCH($B$1,[2]gachas!$1:$1,0)+1),MATCH(C$1,[2]gachas!$1:$1,0)-MATCH($B$1,[2]gachas!$1:$1,0)+1,FALSE)</f>
        <v>赤アップ0１　あと少し</v>
      </c>
      <c r="D112" s="6">
        <v>0</v>
      </c>
      <c r="E112" s="7">
        <v>162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狂女 クララ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21">
        <v>1380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1"/>
        <v>01641</v>
      </c>
      <c r="B113" s="2">
        <v>109</v>
      </c>
      <c r="C113" s="10" t="str">
        <f ca="1">VLOOKUP($B113,OFFSET([2]gachas!$A$2,0,0,COUNTA([2]gachas!$A:$A),MATCH(C$1,[2]gachas!$1:$1,0)-MATCH($B$1,[2]gachas!$1:$1,0)+1),MATCH(C$1,[2]gachas!$1:$1,0)-MATCH($B$1,[2]gachas!$1:$1,0)+1,FALSE)</f>
        <v>赤アップ0１　あと少し</v>
      </c>
      <c r="D113" s="6">
        <v>0</v>
      </c>
      <c r="E113" s="7">
        <v>164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イブとトモダチ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21">
        <v>1380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1"/>
        <v>01661</v>
      </c>
      <c r="B114" s="2">
        <v>109</v>
      </c>
      <c r="C114" s="10" t="str">
        <f ca="1">VLOOKUP($B114,OFFSET([2]gachas!$A$2,0,0,COUNTA([2]gachas!$A:$A),MATCH(C$1,[2]gachas!$1:$1,0)-MATCH($B$1,[2]gachas!$1:$1,0)+1),MATCH(C$1,[2]gachas!$1:$1,0)-MATCH($B$1,[2]gachas!$1:$1,0)+1,FALSE)</f>
        <v>赤アップ0１　あと少し</v>
      </c>
      <c r="D114" s="29">
        <v>0</v>
      </c>
      <c r="E114" s="30">
        <v>166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ベリアル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PremiumN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ゴッド</v>
      </c>
      <c r="L114" s="29">
        <v>1</v>
      </c>
      <c r="M114" s="29">
        <v>5511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1"/>
        <v>01691</v>
      </c>
      <c r="B115" s="2">
        <v>109</v>
      </c>
      <c r="C115" s="10" t="str">
        <f ca="1">VLOOKUP($B115,OFFSET([2]gachas!$A$2,0,0,COUNTA([2]gachas!$A:$A),MATCH(C$1,[2]gachas!$1:$1,0)-MATCH($B$1,[2]gachas!$1:$1,0)+1),MATCH(C$1,[2]gachas!$1:$1,0)-MATCH($B$1,[2]gachas!$1:$1,0)+1,FALSE)</f>
        <v>赤アップ0１　あと少し</v>
      </c>
      <c r="D115" s="6">
        <v>0</v>
      </c>
      <c r="E115" s="7">
        <v>169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オセ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PremiumN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ゴッド</v>
      </c>
      <c r="L115" s="6">
        <v>1</v>
      </c>
      <c r="M115" s="6">
        <v>1503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1"/>
        <v>01721</v>
      </c>
      <c r="B116" s="2">
        <v>109</v>
      </c>
      <c r="C116" s="10" t="str">
        <f ca="1">VLOOKUP($B116,OFFSET([2]gachas!$A$2,0,0,COUNTA([2]gachas!$A:$A),MATCH(C$1,[2]gachas!$1:$1,0)-MATCH($B$1,[2]gachas!$1:$1,0)+1),MATCH(C$1,[2]gachas!$1:$1,0)-MATCH($B$1,[2]gachas!$1:$1,0)+1,FALSE)</f>
        <v>赤アップ0１　あと少し</v>
      </c>
      <c r="D116" s="6">
        <v>0</v>
      </c>
      <c r="E116" s="7">
        <v>172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フォルネウス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PremiumN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ゴッド</v>
      </c>
      <c r="L116" s="6">
        <v>1</v>
      </c>
      <c r="M116" s="6">
        <v>1503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1"/>
        <v>01751</v>
      </c>
      <c r="B117" s="2">
        <v>109</v>
      </c>
      <c r="C117" s="10" t="str">
        <f ca="1">VLOOKUP($B117,OFFSET([2]gachas!$A$2,0,0,COUNTA([2]gachas!$A:$A),MATCH(C$1,[2]gachas!$1:$1,0)-MATCH($B$1,[2]gachas!$1:$1,0)+1),MATCH(C$1,[2]gachas!$1:$1,0)-MATCH($B$1,[2]gachas!$1:$1,0)+1,FALSE)</f>
        <v>赤アップ0１　あと少し</v>
      </c>
      <c r="D117" s="6">
        <v>0</v>
      </c>
      <c r="E117" s="7">
        <v>175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バフォメット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PremiumN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ゴッド</v>
      </c>
      <c r="L117" s="6">
        <v>1</v>
      </c>
      <c r="M117" s="6">
        <v>1503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1"/>
        <v>01781</v>
      </c>
      <c r="B118" s="2">
        <v>109</v>
      </c>
      <c r="C118" s="10" t="str">
        <f ca="1">VLOOKUP($B118,OFFSET([2]gachas!$A$2,0,0,COUNTA([2]gachas!$A:$A),MATCH(C$1,[2]gachas!$1:$1,0)-MATCH($B$1,[2]gachas!$1:$1,0)+1),MATCH(C$1,[2]gachas!$1:$1,0)-MATCH($B$1,[2]gachas!$1:$1,0)+1,FALSE)</f>
        <v>赤アップ0１　あと少し</v>
      </c>
      <c r="D118" s="29">
        <v>0</v>
      </c>
      <c r="E118" s="30">
        <v>178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ケルベロス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PremiumN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アニマル</v>
      </c>
      <c r="L118" s="29">
        <v>1</v>
      </c>
      <c r="M118" s="29">
        <v>5511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1"/>
        <v>01811</v>
      </c>
      <c r="B119" s="2">
        <v>109</v>
      </c>
      <c r="C119" s="10" t="str">
        <f ca="1">VLOOKUP($B119,OFFSET([2]gachas!$A$2,0,0,COUNTA([2]gachas!$A:$A),MATCH(C$1,[2]gachas!$1:$1,0)-MATCH($B$1,[2]gachas!$1:$1,0)+1),MATCH(C$1,[2]gachas!$1:$1,0)-MATCH($B$1,[2]gachas!$1:$1,0)+1,FALSE)</f>
        <v>赤アップ0１　あと少し</v>
      </c>
      <c r="D119" s="6">
        <v>0</v>
      </c>
      <c r="E119" s="7">
        <v>181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ベヒモス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PremiumN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アニマル</v>
      </c>
      <c r="L119" s="6">
        <v>1</v>
      </c>
      <c r="M119" s="6">
        <v>1503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1"/>
        <v>01841</v>
      </c>
      <c r="B120" s="2">
        <v>109</v>
      </c>
      <c r="C120" s="10" t="str">
        <f ca="1">VLOOKUP($B120,OFFSET([2]gachas!$A$2,0,0,COUNTA([2]gachas!$A:$A),MATCH(C$1,[2]gachas!$1:$1,0)-MATCH($B$1,[2]gachas!$1:$1,0)+1),MATCH(C$1,[2]gachas!$1:$1,0)-MATCH($B$1,[2]gachas!$1:$1,0)+1,FALSE)</f>
        <v>赤アップ0１　あと少し</v>
      </c>
      <c r="D120" s="6">
        <v>0</v>
      </c>
      <c r="E120" s="7">
        <v>184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クラーケン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PremiumN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アニマル</v>
      </c>
      <c r="L120" s="6">
        <v>1</v>
      </c>
      <c r="M120" s="6">
        <v>1503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1"/>
        <v>01871</v>
      </c>
      <c r="B121" s="2">
        <v>109</v>
      </c>
      <c r="C121" s="10" t="str">
        <f ca="1">VLOOKUP($B121,OFFSET([2]gachas!$A$2,0,0,COUNTA([2]gachas!$A:$A),MATCH(C$1,[2]gachas!$1:$1,0)-MATCH($B$1,[2]gachas!$1:$1,0)+1),MATCH(C$1,[2]gachas!$1:$1,0)-MATCH($B$1,[2]gachas!$1:$1,0)+1,FALSE)</f>
        <v>赤アップ0１　あと少し</v>
      </c>
      <c r="D121" s="6">
        <v>0</v>
      </c>
      <c r="E121" s="7">
        <v>187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ホルス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PremiumN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アニマル</v>
      </c>
      <c r="L121" s="6">
        <v>1</v>
      </c>
      <c r="M121" s="6">
        <v>1503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1"/>
        <v>01901</v>
      </c>
      <c r="B122" s="2">
        <v>109</v>
      </c>
      <c r="C122" s="10" t="str">
        <f ca="1">VLOOKUP($B122,OFFSET([2]gachas!$A$2,0,0,COUNTA([2]gachas!$A:$A),MATCH(C$1,[2]gachas!$1:$1,0)-MATCH($B$1,[2]gachas!$1:$1,0)+1),MATCH(C$1,[2]gachas!$1:$1,0)-MATCH($B$1,[2]gachas!$1:$1,0)+1,FALSE)</f>
        <v>赤アップ0１　あと少し</v>
      </c>
      <c r="D122" s="29">
        <v>0</v>
      </c>
      <c r="E122" s="30">
        <v>190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卑弥呼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ヒューマン</v>
      </c>
      <c r="L122" s="29">
        <v>1</v>
      </c>
      <c r="M122" s="29">
        <v>5511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1"/>
        <v>01931</v>
      </c>
      <c r="B123" s="2">
        <v>109</v>
      </c>
      <c r="C123" s="10" t="str">
        <f ca="1">VLOOKUP($B123,OFFSET([2]gachas!$A$2,0,0,COUNTA([2]gachas!$A:$A),MATCH(C$1,[2]gachas!$1:$1,0)-MATCH($B$1,[2]gachas!$1:$1,0)+1),MATCH(C$1,[2]gachas!$1:$1,0)-MATCH($B$1,[2]gachas!$1:$1,0)+1,FALSE)</f>
        <v>赤アップ0１　あと少し</v>
      </c>
      <c r="D123" s="6">
        <v>0</v>
      </c>
      <c r="E123" s="7">
        <v>193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ロビンフッド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ヒューマン</v>
      </c>
      <c r="L123" s="6">
        <v>1</v>
      </c>
      <c r="M123" s="6">
        <v>1503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1"/>
        <v>01961</v>
      </c>
      <c r="B124" s="2">
        <v>109</v>
      </c>
      <c r="C124" s="10" t="str">
        <f ca="1">VLOOKUP($B124,OFFSET([2]gachas!$A$2,0,0,COUNTA([2]gachas!$A:$A),MATCH(C$1,[2]gachas!$1:$1,0)-MATCH($B$1,[2]gachas!$1:$1,0)+1),MATCH(C$1,[2]gachas!$1:$1,0)-MATCH($B$1,[2]gachas!$1:$1,0)+1,FALSE)</f>
        <v>赤アップ0１　あと少し</v>
      </c>
      <c r="D124" s="6">
        <v>0</v>
      </c>
      <c r="E124" s="7">
        <v>196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アキレス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ヒューマン</v>
      </c>
      <c r="L124" s="6">
        <v>1</v>
      </c>
      <c r="M124" s="6">
        <v>1503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1"/>
        <v>01991</v>
      </c>
      <c r="B125" s="2">
        <v>109</v>
      </c>
      <c r="C125" s="10" t="str">
        <f ca="1">VLOOKUP($B125,OFFSET([2]gachas!$A$2,0,0,COUNTA([2]gachas!$A:$A),MATCH(C$1,[2]gachas!$1:$1,0)-MATCH($B$1,[2]gachas!$1:$1,0)+1),MATCH(C$1,[2]gachas!$1:$1,0)-MATCH($B$1,[2]gachas!$1:$1,0)+1,FALSE)</f>
        <v>赤アップ0１　あと少し</v>
      </c>
      <c r="D125" s="6">
        <v>0</v>
      </c>
      <c r="E125" s="7">
        <v>199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ジークフリート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blue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ヒューマン</v>
      </c>
      <c r="L125" s="6">
        <v>1</v>
      </c>
      <c r="M125" s="6">
        <v>1503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1"/>
        <v>02021</v>
      </c>
      <c r="B126" s="2">
        <v>109</v>
      </c>
      <c r="C126" s="10" t="str">
        <f ca="1">VLOOKUP($B126,OFFSET([2]gachas!$A$2,0,0,COUNTA([2]gachas!$A:$A),MATCH(C$1,[2]gachas!$1:$1,0)-MATCH($B$1,[2]gachas!$1:$1,0)+1),MATCH(C$1,[2]gachas!$1:$1,0)-MATCH($B$1,[2]gachas!$1:$1,0)+1,FALSE)</f>
        <v>赤アップ0１　あと少し</v>
      </c>
      <c r="D126" s="29">
        <v>0</v>
      </c>
      <c r="E126" s="30">
        <v>202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プロメテウス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29">
        <v>1</v>
      </c>
      <c r="M126" s="29">
        <v>5511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1"/>
        <v>02051</v>
      </c>
      <c r="B127" s="2">
        <v>109</v>
      </c>
      <c r="C127" s="10" t="str">
        <f ca="1">VLOOKUP($B127,OFFSET([2]gachas!$A$2,0,0,COUNTA([2]gachas!$A:$A),MATCH(C$1,[2]gachas!$1:$1,0)-MATCH($B$1,[2]gachas!$1:$1,0)+1),MATCH(C$1,[2]gachas!$1:$1,0)-MATCH($B$1,[2]gachas!$1:$1,0)+1,FALSE)</f>
        <v>赤アップ0１　あと少し</v>
      </c>
      <c r="D127" s="6">
        <v>0</v>
      </c>
      <c r="E127" s="7">
        <v>205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アフロディーテ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6">
        <v>1</v>
      </c>
      <c r="M127" s="6">
        <v>1503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1"/>
        <v>02081</v>
      </c>
      <c r="B128" s="2">
        <v>109</v>
      </c>
      <c r="C128" s="10" t="str">
        <f ca="1">VLOOKUP($B128,OFFSET([2]gachas!$A$2,0,0,COUNTA([2]gachas!$A:$A),MATCH(C$1,[2]gachas!$1:$1,0)-MATCH($B$1,[2]gachas!$1:$1,0)+1),MATCH(C$1,[2]gachas!$1:$1,0)-MATCH($B$1,[2]gachas!$1:$1,0)+1,FALSE)</f>
        <v>赤アップ0１　あと少し</v>
      </c>
      <c r="D128" s="6">
        <v>0</v>
      </c>
      <c r="E128" s="7">
        <v>208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テティス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6">
        <v>1</v>
      </c>
      <c r="M128" s="6">
        <v>1503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1"/>
        <v>02111</v>
      </c>
      <c r="B129" s="2">
        <v>109</v>
      </c>
      <c r="C129" s="10" t="str">
        <f ca="1">VLOOKUP($B129,OFFSET([2]gachas!$A$2,0,0,COUNTA([2]gachas!$A:$A),MATCH(C$1,[2]gachas!$1:$1,0)-MATCH($B$1,[2]gachas!$1:$1,0)+1),MATCH(C$1,[2]gachas!$1:$1,0)-MATCH($B$1,[2]gachas!$1:$1,0)+1,FALSE)</f>
        <v>赤アップ0１　あと少し</v>
      </c>
      <c r="D129" s="6">
        <v>0</v>
      </c>
      <c r="E129" s="7">
        <v>211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アストライアー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ゴッド</v>
      </c>
      <c r="L129" s="6">
        <v>1</v>
      </c>
      <c r="M129" s="6">
        <v>1503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1"/>
        <v>02141</v>
      </c>
      <c r="B130" s="2">
        <v>109</v>
      </c>
      <c r="C130" s="10" t="str">
        <f ca="1">VLOOKUP($B130,OFFSET([2]gachas!$A$2,0,0,COUNTA([2]gachas!$A:$A),MATCH(C$1,[2]gachas!$1:$1,0)-MATCH($B$1,[2]gachas!$1:$1,0)+1),MATCH(C$1,[2]gachas!$1:$1,0)-MATCH($B$1,[2]gachas!$1:$1,0)+1,FALSE)</f>
        <v>赤アップ0１　あと少し</v>
      </c>
      <c r="D130" s="29">
        <v>0</v>
      </c>
      <c r="E130" s="30">
        <v>214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アズラエル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29">
        <v>1</v>
      </c>
      <c r="M130" s="29">
        <v>5511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1"/>
        <v>02171</v>
      </c>
      <c r="B131" s="2">
        <v>109</v>
      </c>
      <c r="C131" s="10" t="str">
        <f ca="1">VLOOKUP($B131,OFFSET([2]gachas!$A$2,0,0,COUNTA([2]gachas!$A:$A),MATCH(C$1,[2]gachas!$1:$1,0)-MATCH($B$1,[2]gachas!$1:$1,0)+1),MATCH(C$1,[2]gachas!$1:$1,0)-MATCH($B$1,[2]gachas!$1:$1,0)+1,FALSE)</f>
        <v>赤アップ0１　あと少し</v>
      </c>
      <c r="D131" s="6">
        <v>0</v>
      </c>
      <c r="E131" s="7">
        <v>217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ケツァクアトル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ドラゴン</v>
      </c>
      <c r="L131" s="6">
        <v>1</v>
      </c>
      <c r="M131" s="6">
        <v>1503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1"/>
        <v>02201</v>
      </c>
      <c r="B132" s="2">
        <v>109</v>
      </c>
      <c r="C132" s="10" t="str">
        <f ca="1">VLOOKUP($B132,OFFSET([2]gachas!$A$2,0,0,COUNTA([2]gachas!$A:$A),MATCH(C$1,[2]gachas!$1:$1,0)-MATCH($B$1,[2]gachas!$1:$1,0)+1),MATCH(C$1,[2]gachas!$1:$1,0)-MATCH($B$1,[2]gachas!$1:$1,0)+1,FALSE)</f>
        <v>赤アップ0１　あと少し</v>
      </c>
      <c r="D132" s="6">
        <v>0</v>
      </c>
      <c r="E132" s="7">
        <v>220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ルキフグス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6">
        <v>1</v>
      </c>
      <c r="M132" s="6">
        <v>1503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1"/>
        <v>02231</v>
      </c>
      <c r="B133" s="2">
        <v>109</v>
      </c>
      <c r="C133" s="10" t="str">
        <f ca="1">VLOOKUP($B133,OFFSET([2]gachas!$A$2,0,0,COUNTA([2]gachas!$A:$A),MATCH(C$1,[2]gachas!$1:$1,0)-MATCH($B$1,[2]gachas!$1:$1,0)+1),MATCH(C$1,[2]gachas!$1:$1,0)-MATCH($B$1,[2]gachas!$1:$1,0)+1,FALSE)</f>
        <v>赤アップ0１　あと少し</v>
      </c>
      <c r="D133" s="6">
        <v>0</v>
      </c>
      <c r="E133" s="7">
        <v>223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ヘラクレス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yellow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6">
        <v>1503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1"/>
        <v>02261</v>
      </c>
      <c r="B134" s="2">
        <v>109</v>
      </c>
      <c r="C134" s="10" t="str">
        <f ca="1">VLOOKUP($B134,OFFSET([2]gachas!$A$2,0,0,COUNTA([2]gachas!$A:$A),MATCH(C$1,[2]gachas!$1:$1,0)-MATCH($B$1,[2]gachas!$1:$1,0)+1),MATCH(C$1,[2]gachas!$1:$1,0)-MATCH($B$1,[2]gachas!$1:$1,0)+1,FALSE)</f>
        <v>赤アップ0１　あと少し</v>
      </c>
      <c r="D134" s="29">
        <v>0</v>
      </c>
      <c r="E134" s="30">
        <v>226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アレス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PremiumS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29">
        <v>1</v>
      </c>
      <c r="M134" s="29">
        <v>1125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1"/>
        <v>02291</v>
      </c>
      <c r="B135" s="2">
        <v>109</v>
      </c>
      <c r="C135" s="10" t="str">
        <f ca="1">VLOOKUP($B135,OFFSET([2]gachas!$A$2,0,0,COUNTA([2]gachas!$A:$A),MATCH(C$1,[2]gachas!$1:$1,0)-MATCH($B$1,[2]gachas!$1:$1,0)+1),MATCH(C$1,[2]gachas!$1:$1,0)-MATCH($B$1,[2]gachas!$1:$1,0)+1,FALSE)</f>
        <v>赤アップ0１　あと少し</v>
      </c>
      <c r="D135" s="6">
        <v>0</v>
      </c>
      <c r="E135" s="7">
        <v>229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ヨルムンガンド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PremiumS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6">
        <v>1</v>
      </c>
      <c r="M135" s="6">
        <v>307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1"/>
        <v>02321</v>
      </c>
      <c r="B136" s="2">
        <v>109</v>
      </c>
      <c r="C136" s="10" t="str">
        <f ca="1">VLOOKUP($B136,OFFSET([2]gachas!$A$2,0,0,COUNTA([2]gachas!$A:$A),MATCH(C$1,[2]gachas!$1:$1,0)-MATCH($B$1,[2]gachas!$1:$1,0)+1),MATCH(C$1,[2]gachas!$1:$1,0)-MATCH($B$1,[2]gachas!$1:$1,0)+1,FALSE)</f>
        <v>赤アップ0１　あと少し</v>
      </c>
      <c r="D136" s="6">
        <v>0</v>
      </c>
      <c r="E136" s="7">
        <v>232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パーシヴァル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PremiumS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ヒューマン</v>
      </c>
      <c r="L136" s="6">
        <v>1</v>
      </c>
      <c r="M136" s="6">
        <v>307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1"/>
        <v>02351</v>
      </c>
      <c r="B137" s="2">
        <v>109</v>
      </c>
      <c r="C137" s="10" t="str">
        <f ca="1">VLOOKUP($B137,OFFSET([2]gachas!$A$2,0,0,COUNTA([2]gachas!$A:$A),MATCH(C$1,[2]gachas!$1:$1,0)-MATCH($B$1,[2]gachas!$1:$1,0)+1),MATCH(C$1,[2]gachas!$1:$1,0)-MATCH($B$1,[2]gachas!$1:$1,0)+1,FALSE)</f>
        <v>赤アップ0１　あと少し</v>
      </c>
      <c r="D137" s="6">
        <v>0</v>
      </c>
      <c r="E137" s="7">
        <v>235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イザナミ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PremiumS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6">
        <v>307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1"/>
        <v>01271</v>
      </c>
      <c r="B138" s="2">
        <v>109</v>
      </c>
      <c r="C138" s="10" t="str">
        <f ca="1">VLOOKUP($B138,OFFSET([2]gachas!$A$2,0,0,COUNTA([2]gachas!$A:$A),MATCH(C$1,[2]gachas!$1:$1,0)-MATCH($B$1,[2]gachas!$1:$1,0)+1),MATCH(C$1,[2]gachas!$1:$1,0)-MATCH($B$1,[2]gachas!$1:$1,0)+1,FALSE)</f>
        <v>赤アップ0１　あと少し</v>
      </c>
      <c r="D138" s="29">
        <v>0</v>
      </c>
      <c r="E138" s="30">
        <v>127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狂喜の賢者 ユノ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PremiumW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29">
        <v>1</v>
      </c>
      <c r="M138" s="29">
        <v>1703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1"/>
        <v>01291</v>
      </c>
      <c r="B139" s="2">
        <v>109</v>
      </c>
      <c r="C139" s="10" t="str">
        <f ca="1">VLOOKUP($B139,OFFSET([2]gachas!$A$2,0,0,COUNTA([2]gachas!$A:$A),MATCH(C$1,[2]gachas!$1:$1,0)-MATCH($B$1,[2]gachas!$1:$1,0)+1),MATCH(C$1,[2]gachas!$1:$1,0)-MATCH($B$1,[2]gachas!$1:$1,0)+1,FALSE)</f>
        <v>赤アップ0１　あと少し</v>
      </c>
      <c r="D139" s="6">
        <v>0</v>
      </c>
      <c r="E139" s="7">
        <v>129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孤高の狼憑き アマラ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PremiumW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6">
        <v>1</v>
      </c>
      <c r="M139" s="6">
        <v>464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1"/>
        <v>01311</v>
      </c>
      <c r="B140" s="2">
        <v>109</v>
      </c>
      <c r="C140" s="10" t="str">
        <f ca="1">VLOOKUP($B140,OFFSET([2]gachas!$A$2,0,0,COUNTA([2]gachas!$A:$A),MATCH(C$1,[2]gachas!$1:$1,0)-MATCH($B$1,[2]gachas!$1:$1,0)+1),MATCH(C$1,[2]gachas!$1:$1,0)-MATCH($B$1,[2]gachas!$1:$1,0)+1,FALSE)</f>
        <v>赤アップ0１　あと少し</v>
      </c>
      <c r="D140" s="6">
        <v>0</v>
      </c>
      <c r="E140" s="7">
        <v>131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PremiumW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アニマル</v>
      </c>
      <c r="L140" s="6">
        <v>1</v>
      </c>
      <c r="M140" s="6">
        <v>464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1"/>
        <v>01331</v>
      </c>
      <c r="B141" s="2">
        <v>109</v>
      </c>
      <c r="C141" s="10" t="str">
        <f ca="1">VLOOKUP($B141,OFFSET([2]gachas!$A$2,0,0,COUNTA([2]gachas!$A:$A),MATCH(C$1,[2]gachas!$1:$1,0)-MATCH($B$1,[2]gachas!$1:$1,0)+1),MATCH(C$1,[2]gachas!$1:$1,0)-MATCH($B$1,[2]gachas!$1:$1,0)+1,FALSE)</f>
        <v>赤アップ0１　あと少し</v>
      </c>
      <c r="D141" s="6">
        <v>0</v>
      </c>
      <c r="E141" s="7">
        <v>133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迅雷の刀剣 ハヤト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PremiumW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6">
        <v>464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1"/>
        <v>01351</v>
      </c>
      <c r="B142" s="2">
        <v>109</v>
      </c>
      <c r="C142" s="10" t="str">
        <f ca="1">VLOOKUP($B142,OFFSET([2]gachas!$A$2,0,0,COUNTA([2]gachas!$A:$A),MATCH(C$1,[2]gachas!$1:$1,0)-MATCH($B$1,[2]gachas!$1:$1,0)+1),MATCH(C$1,[2]gachas!$1:$1,0)-MATCH($B$1,[2]gachas!$1:$1,0)+1,FALSE)</f>
        <v>赤アップ0１　あと少し</v>
      </c>
      <c r="D142" s="29">
        <v>0</v>
      </c>
      <c r="E142" s="30">
        <v>135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京の炎華夕霧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PremiumW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29">
        <v>1</v>
      </c>
      <c r="M142" s="29">
        <v>1703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1"/>
        <v>01371</v>
      </c>
      <c r="B143" s="2">
        <v>109</v>
      </c>
      <c r="C143" s="10" t="str">
        <f ca="1">VLOOKUP($B143,OFFSET([2]gachas!$A$2,0,0,COUNTA([2]gachas!$A:$A),MATCH(C$1,[2]gachas!$1:$1,0)-MATCH($B$1,[2]gachas!$1:$1,0)+1),MATCH(C$1,[2]gachas!$1:$1,0)-MATCH($B$1,[2]gachas!$1:$1,0)+1,FALSE)</f>
        <v>赤アップ0１　あと少し</v>
      </c>
      <c r="D143" s="6">
        <v>0</v>
      </c>
      <c r="E143" s="7">
        <v>137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清福の仕立屋 チハヤ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PremiumW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4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6">
        <v>1</v>
      </c>
      <c r="M143" s="6">
        <v>464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1"/>
        <v>01391</v>
      </c>
      <c r="B144" s="2">
        <v>109</v>
      </c>
      <c r="C144" s="10" t="str">
        <f ca="1">VLOOKUP($B144,OFFSET([2]gachas!$A$2,0,0,COUNTA([2]gachas!$A:$A),MATCH(C$1,[2]gachas!$1:$1,0)-MATCH($B$1,[2]gachas!$1:$1,0)+1),MATCH(C$1,[2]gachas!$1:$1,0)-MATCH($B$1,[2]gachas!$1:$1,0)+1,FALSE)</f>
        <v>赤アップ0１　あと少し</v>
      </c>
      <c r="D144" s="6">
        <v>0</v>
      </c>
      <c r="E144" s="7">
        <v>139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蒼昇刃姫 トモエ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PremiumW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6">
        <v>1</v>
      </c>
      <c r="M144" s="6">
        <v>464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1"/>
        <v>01411</v>
      </c>
      <c r="B145" s="2">
        <v>109</v>
      </c>
      <c r="C145" s="10" t="str">
        <f ca="1">VLOOKUP($B145,OFFSET([2]gachas!$A$2,0,0,COUNTA([2]gachas!$A:$A),MATCH(C$1,[2]gachas!$1:$1,0)-MATCH($B$1,[2]gachas!$1:$1,0)+1),MATCH(C$1,[2]gachas!$1:$1,0)-MATCH($B$1,[2]gachas!$1:$1,0)+1,FALSE)</f>
        <v>赤アップ0１　あと少し</v>
      </c>
      <c r="D145" s="6">
        <v>0</v>
      </c>
      <c r="E145" s="7">
        <v>141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妖狐演舞 タマモ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PremiumW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4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アニマル</v>
      </c>
      <c r="L145" s="6">
        <v>1</v>
      </c>
      <c r="M145" s="6">
        <v>464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1"/>
        <v>01431</v>
      </c>
      <c r="B146" s="2">
        <v>109</v>
      </c>
      <c r="C146" s="10" t="str">
        <f ca="1">VLOOKUP($B146,OFFSET([2]gachas!$A$2,0,0,COUNTA([2]gachas!$A:$A),MATCH(C$1,[2]gachas!$1:$1,0)-MATCH($B$1,[2]gachas!$1:$1,0)+1),MATCH(C$1,[2]gachas!$1:$1,0)-MATCH($B$1,[2]gachas!$1:$1,0)+1,FALSE)</f>
        <v>赤アップ0１　あと少し</v>
      </c>
      <c r="D146" s="29">
        <v>0</v>
      </c>
      <c r="E146" s="30">
        <v>143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深紅の死神 赤ずきん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29">
        <v>1</v>
      </c>
      <c r="M146" s="29">
        <v>1703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ref="A147:A210" si="2">D147&amp;E147&amp;L147</f>
        <v>01451</v>
      </c>
      <c r="B147" s="2">
        <v>109</v>
      </c>
      <c r="C147" s="10" t="str">
        <f ca="1">VLOOKUP($B147,OFFSET([2]gachas!$A$2,0,0,COUNTA([2]gachas!$A:$A),MATCH(C$1,[2]gachas!$1:$1,0)-MATCH($B$1,[2]gachas!$1:$1,0)+1),MATCH(C$1,[2]gachas!$1:$1,0)-MATCH($B$1,[2]gachas!$1:$1,0)+1,FALSE)</f>
        <v>赤アップ0１　あと少し</v>
      </c>
      <c r="D147" s="6">
        <v>0</v>
      </c>
      <c r="E147" s="7">
        <v>145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魔性妖艶 かぐや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6">
        <v>464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01471</v>
      </c>
      <c r="B148" s="2">
        <v>109</v>
      </c>
      <c r="C148" s="10" t="str">
        <f ca="1">VLOOKUP($B148,OFFSET([2]gachas!$A$2,0,0,COUNTA([2]gachas!$A:$A),MATCH(C$1,[2]gachas!$1:$1,0)-MATCH($B$1,[2]gachas!$1:$1,0)+1),MATCH(C$1,[2]gachas!$1:$1,0)-MATCH($B$1,[2]gachas!$1:$1,0)+1,FALSE)</f>
        <v>赤アップ0１　あと少し</v>
      </c>
      <c r="D148" s="6">
        <v>0</v>
      </c>
      <c r="E148" s="7">
        <v>147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ヒューマン</v>
      </c>
      <c r="L148" s="6">
        <v>1</v>
      </c>
      <c r="M148" s="6">
        <v>464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01491</v>
      </c>
      <c r="B149" s="2">
        <v>109</v>
      </c>
      <c r="C149" s="10" t="str">
        <f ca="1">VLOOKUP($B149,OFFSET([2]gachas!$A$2,0,0,COUNTA([2]gachas!$A:$A),MATCH(C$1,[2]gachas!$1:$1,0)-MATCH($B$1,[2]gachas!$1:$1,0)+1),MATCH(C$1,[2]gachas!$1:$1,0)-MATCH($B$1,[2]gachas!$1:$1,0)+1,FALSE)</f>
        <v>赤アップ0１　あと少し</v>
      </c>
      <c r="D149" s="6">
        <v>0</v>
      </c>
      <c r="E149" s="7">
        <v>149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6">
        <v>464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01511</v>
      </c>
      <c r="B150" s="2">
        <v>109</v>
      </c>
      <c r="C150" s="10" t="str">
        <f ca="1">VLOOKUP($B150,OFFSET([2]gachas!$A$2,0,0,COUNTA([2]gachas!$A:$A),MATCH(C$1,[2]gachas!$1:$1,0)-MATCH($B$1,[2]gachas!$1:$1,0)+1),MATCH(C$1,[2]gachas!$1:$1,0)-MATCH($B$1,[2]gachas!$1:$1,0)+1,FALSE)</f>
        <v>赤アップ0１　あと少し</v>
      </c>
      <c r="D150" s="29">
        <v>0</v>
      </c>
      <c r="E150" s="30">
        <v>151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毒煙の処刑人サキ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29">
        <v>1</v>
      </c>
      <c r="M150" s="29">
        <v>1703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01531</v>
      </c>
      <c r="B151" s="2">
        <v>109</v>
      </c>
      <c r="C151" s="10" t="str">
        <f ca="1">VLOOKUP($B151,OFFSET([2]gachas!$A$2,0,0,COUNTA([2]gachas!$A:$A),MATCH(C$1,[2]gachas!$1:$1,0)-MATCH($B$1,[2]gachas!$1:$1,0)+1),MATCH(C$1,[2]gachas!$1:$1,0)-MATCH($B$1,[2]gachas!$1:$1,0)+1,FALSE)</f>
        <v>赤アップ0１　あと少し</v>
      </c>
      <c r="D151" s="6">
        <v>0</v>
      </c>
      <c r="E151" s="7">
        <v>153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拳聖ランラン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6">
        <v>1</v>
      </c>
      <c r="M151" s="6">
        <v>464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01551</v>
      </c>
      <c r="B152" s="2">
        <v>109</v>
      </c>
      <c r="C152" s="10" t="str">
        <f ca="1">VLOOKUP($B152,OFFSET([2]gachas!$A$2,0,0,COUNTA([2]gachas!$A:$A),MATCH(C$1,[2]gachas!$1:$1,0)-MATCH($B$1,[2]gachas!$1:$1,0)+1),MATCH(C$1,[2]gachas!$1:$1,0)-MATCH($B$1,[2]gachas!$1:$1,0)+1,FALSE)</f>
        <v>赤アップ0１　あと少し</v>
      </c>
      <c r="D152" s="6">
        <v>0</v>
      </c>
      <c r="E152" s="7">
        <v>155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隻眼の掃除屋 ハンナ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6">
        <v>1</v>
      </c>
      <c r="M152" s="6">
        <v>464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01571</v>
      </c>
      <c r="B153" s="2">
        <v>109</v>
      </c>
      <c r="C153" s="10" t="str">
        <f ca="1">VLOOKUP($B153,OFFSET([2]gachas!$A$2,0,0,COUNTA([2]gachas!$A:$A),MATCH(C$1,[2]gachas!$1:$1,0)-MATCH($B$1,[2]gachas!$1:$1,0)+1),MATCH(C$1,[2]gachas!$1:$1,0)-MATCH($B$1,[2]gachas!$1:$1,0)+1,FALSE)</f>
        <v>赤アップ0１　あと少し</v>
      </c>
      <c r="D153" s="6">
        <v>0</v>
      </c>
      <c r="E153" s="7">
        <v>157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雷光舞姫 エレナ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ヒューマン</v>
      </c>
      <c r="L153" s="6">
        <v>1</v>
      </c>
      <c r="M153" s="6">
        <v>464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2"/>
        <v>01591</v>
      </c>
      <c r="B154" s="2">
        <v>109</v>
      </c>
      <c r="C154" s="10" t="str">
        <f ca="1">VLOOKUP($B154,OFFSET([2]gachas!$A$2,0,0,COUNTA([2]gachas!$A:$A),MATCH(C$1,[2]gachas!$1:$1,0)-MATCH($B$1,[2]gachas!$1:$1,0)+1),MATCH(C$1,[2]gachas!$1:$1,0)-MATCH($B$1,[2]gachas!$1:$1,0)+1,FALSE)</f>
        <v>赤アップ0１　あと少し</v>
      </c>
      <c r="D154" s="29">
        <v>0</v>
      </c>
      <c r="E154" s="30">
        <v>159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29">
        <v>1</v>
      </c>
      <c r="M154" s="29">
        <v>1703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si="2"/>
        <v>01611</v>
      </c>
      <c r="B155" s="2">
        <v>109</v>
      </c>
      <c r="C155" s="10" t="str">
        <f ca="1">VLOOKUP($B155,OFFSET([2]gachas!$A$2,0,0,COUNTA([2]gachas!$A:$A),MATCH(C$1,[2]gachas!$1:$1,0)-MATCH($B$1,[2]gachas!$1:$1,0)+1),MATCH(C$1,[2]gachas!$1:$1,0)-MATCH($B$1,[2]gachas!$1:$1,0)+1,FALSE)</f>
        <v>赤アップ0１　あと少し</v>
      </c>
      <c r="D155" s="6">
        <v>0</v>
      </c>
      <c r="E155" s="7">
        <v>161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咆哮の先導者 クリエ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6">
        <v>1</v>
      </c>
      <c r="M155" s="6">
        <v>464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2"/>
        <v>01631</v>
      </c>
      <c r="B156" s="2">
        <v>109</v>
      </c>
      <c r="C156" s="10" t="str">
        <f ca="1">VLOOKUP($B156,OFFSET([2]gachas!$A$2,0,0,COUNTA([2]gachas!$A:$A),MATCH(C$1,[2]gachas!$1:$1,0)-MATCH($B$1,[2]gachas!$1:$1,0)+1),MATCH(C$1,[2]gachas!$1:$1,0)-MATCH($B$1,[2]gachas!$1:$1,0)+1,FALSE)</f>
        <v>赤アップ0１　あと少し</v>
      </c>
      <c r="D156" s="6">
        <v>0</v>
      </c>
      <c r="E156" s="7">
        <v>163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冷酷な狂嬢 クララ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6">
        <v>1</v>
      </c>
      <c r="M156" s="6">
        <v>464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2"/>
        <v>01651</v>
      </c>
      <c r="B157" s="2">
        <v>109</v>
      </c>
      <c r="C157" s="10" t="str">
        <f ca="1">VLOOKUP($B157,OFFSET([2]gachas!$A$2,0,0,COUNTA([2]gachas!$A:$A),MATCH(C$1,[2]gachas!$1:$1,0)-MATCH($B$1,[2]gachas!$1:$1,0)+1),MATCH(C$1,[2]gachas!$1:$1,0)-MATCH($B$1,[2]gachas!$1:$1,0)+1,FALSE)</f>
        <v>赤アップ0１　あと少し</v>
      </c>
      <c r="D157" s="6">
        <v>0</v>
      </c>
      <c r="E157" s="7">
        <v>165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6">
        <v>464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2"/>
        <v>01671</v>
      </c>
      <c r="B158" s="2">
        <v>109</v>
      </c>
      <c r="C158" s="10" t="str">
        <f ca="1">VLOOKUP($B158,OFFSET([2]gachas!$A$2,0,0,COUNTA([2]gachas!$A:$A),MATCH(C$1,[2]gachas!$1:$1,0)-MATCH($B$1,[2]gachas!$1:$1,0)+1),MATCH(C$1,[2]gachas!$1:$1,0)-MATCH($B$1,[2]gachas!$1:$1,0)+1,FALSE)</f>
        <v>赤アップ0１　あと少し</v>
      </c>
      <c r="D158" s="29">
        <v>0</v>
      </c>
      <c r="E158" s="30">
        <v>167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逆徒 ベリアル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PremiumN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ゴッド</v>
      </c>
      <c r="L158" s="29">
        <v>1</v>
      </c>
      <c r="M158" s="29">
        <v>1742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2"/>
        <v>01701</v>
      </c>
      <c r="B159" s="2">
        <v>109</v>
      </c>
      <c r="C159" s="10" t="str">
        <f ca="1">VLOOKUP($B159,OFFSET([2]gachas!$A$2,0,0,COUNTA([2]gachas!$A:$A),MATCH(C$1,[2]gachas!$1:$1,0)-MATCH($B$1,[2]gachas!$1:$1,0)+1),MATCH(C$1,[2]gachas!$1:$1,0)-MATCH($B$1,[2]gachas!$1:$1,0)+1,FALSE)</f>
        <v>赤アップ0１　あと少し</v>
      </c>
      <c r="D159" s="6">
        <v>0</v>
      </c>
      <c r="E159" s="7">
        <v>170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識徒 オセ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PremiumN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ゴッド</v>
      </c>
      <c r="L159" s="6">
        <v>1</v>
      </c>
      <c r="M159" s="6">
        <v>475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2"/>
        <v>01731</v>
      </c>
      <c r="B160" s="2">
        <v>109</v>
      </c>
      <c r="C160" s="10" t="str">
        <f ca="1">VLOOKUP($B160,OFFSET([2]gachas!$A$2,0,0,COUNTA([2]gachas!$A:$A),MATCH(C$1,[2]gachas!$1:$1,0)-MATCH($B$1,[2]gachas!$1:$1,0)+1),MATCH(C$1,[2]gachas!$1:$1,0)-MATCH($B$1,[2]gachas!$1:$1,0)+1,FALSE)</f>
        <v>赤アップ0１　あと少し</v>
      </c>
      <c r="D160" s="6">
        <v>0</v>
      </c>
      <c r="E160" s="7">
        <v>173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公爵 フォルネウス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PremiumN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ゴッド</v>
      </c>
      <c r="L160" s="6">
        <v>1</v>
      </c>
      <c r="M160" s="6">
        <v>475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2"/>
        <v>01761</v>
      </c>
      <c r="B161" s="2">
        <v>109</v>
      </c>
      <c r="C161" s="10" t="str">
        <f ca="1">VLOOKUP($B161,OFFSET([2]gachas!$A$2,0,0,COUNTA([2]gachas!$A:$A),MATCH(C$1,[2]gachas!$1:$1,0)-MATCH($B$1,[2]gachas!$1:$1,0)+1),MATCH(C$1,[2]gachas!$1:$1,0)-MATCH($B$1,[2]gachas!$1:$1,0)+1,FALSE)</f>
        <v>赤アップ0１　あと少し</v>
      </c>
      <c r="D161" s="6">
        <v>0</v>
      </c>
      <c r="E161" s="7">
        <v>176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異教徒 バフォメット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PremiumN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ゴッド</v>
      </c>
      <c r="L161" s="6">
        <v>1</v>
      </c>
      <c r="M161" s="6">
        <v>475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2"/>
        <v>01791</v>
      </c>
      <c r="B162" s="2">
        <v>109</v>
      </c>
      <c r="C162" s="10" t="str">
        <f ca="1">VLOOKUP($B162,OFFSET([2]gachas!$A$2,0,0,COUNTA([2]gachas!$A:$A),MATCH(C$1,[2]gachas!$1:$1,0)-MATCH($B$1,[2]gachas!$1:$1,0)+1),MATCH(C$1,[2]gachas!$1:$1,0)-MATCH($B$1,[2]gachas!$1:$1,0)+1,FALSE)</f>
        <v>赤アップ0１　あと少し</v>
      </c>
      <c r="D162" s="29">
        <v>0</v>
      </c>
      <c r="E162" s="30">
        <v>179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番犬 ケルベロス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PremiumN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アニマル</v>
      </c>
      <c r="L162" s="29">
        <v>1</v>
      </c>
      <c r="M162" s="29">
        <v>1742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2"/>
        <v>01821</v>
      </c>
      <c r="B163" s="2">
        <v>109</v>
      </c>
      <c r="C163" s="10" t="str">
        <f ca="1">VLOOKUP($B163,OFFSET([2]gachas!$A$2,0,0,COUNTA([2]gachas!$A:$A),MATCH(C$1,[2]gachas!$1:$1,0)-MATCH($B$1,[2]gachas!$1:$1,0)+1),MATCH(C$1,[2]gachas!$1:$1,0)-MATCH($B$1,[2]gachas!$1:$1,0)+1,FALSE)</f>
        <v>赤アップ0１　あと少し</v>
      </c>
      <c r="D163" s="6">
        <v>0</v>
      </c>
      <c r="E163" s="7">
        <v>182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放蕩者 ベヒモス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PremiumN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アニマル</v>
      </c>
      <c r="L163" s="6">
        <v>1</v>
      </c>
      <c r="M163" s="6">
        <v>475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2"/>
        <v>01851</v>
      </c>
      <c r="B164" s="2">
        <v>109</v>
      </c>
      <c r="C164" s="10" t="str">
        <f ca="1">VLOOKUP($B164,OFFSET([2]gachas!$A$2,0,0,COUNTA([2]gachas!$A:$A),MATCH(C$1,[2]gachas!$1:$1,0)-MATCH($B$1,[2]gachas!$1:$1,0)+1),MATCH(C$1,[2]gachas!$1:$1,0)-MATCH($B$1,[2]gachas!$1:$1,0)+1,FALSE)</f>
        <v>赤アップ0１　あと少し</v>
      </c>
      <c r="D164" s="6">
        <v>0</v>
      </c>
      <c r="E164" s="7">
        <v>185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海姫 クラーケン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PremiumN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アニマル</v>
      </c>
      <c r="L164" s="6">
        <v>1</v>
      </c>
      <c r="M164" s="6">
        <v>475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2"/>
        <v>01881</v>
      </c>
      <c r="B165" s="2">
        <v>109</v>
      </c>
      <c r="C165" s="10" t="str">
        <f ca="1">VLOOKUP($B165,OFFSET([2]gachas!$A$2,0,0,COUNTA([2]gachas!$A:$A),MATCH(C$1,[2]gachas!$1:$1,0)-MATCH($B$1,[2]gachas!$1:$1,0)+1),MATCH(C$1,[2]gachas!$1:$1,0)-MATCH($B$1,[2]gachas!$1:$1,0)+1,FALSE)</f>
        <v>赤アップ0１　あと少し</v>
      </c>
      <c r="D165" s="6">
        <v>0</v>
      </c>
      <c r="E165" s="7">
        <v>188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猛禽 ホルス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PremiumN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アニマル</v>
      </c>
      <c r="L165" s="6">
        <v>1</v>
      </c>
      <c r="M165" s="6">
        <v>475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2"/>
        <v>01911</v>
      </c>
      <c r="B166" s="2">
        <v>109</v>
      </c>
      <c r="C166" s="10" t="str">
        <f ca="1">VLOOKUP($B166,OFFSET([2]gachas!$A$2,0,0,COUNTA([2]gachas!$A:$A),MATCH(C$1,[2]gachas!$1:$1,0)-MATCH($B$1,[2]gachas!$1:$1,0)+1),MATCH(C$1,[2]gachas!$1:$1,0)-MATCH($B$1,[2]gachas!$1:$1,0)+1,FALSE)</f>
        <v>赤アップ0１　あと少し</v>
      </c>
      <c r="D166" s="29">
        <v>0</v>
      </c>
      <c r="E166" s="30">
        <v>191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始祖 卑弥呼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ヒューマン</v>
      </c>
      <c r="L166" s="29">
        <v>1</v>
      </c>
      <c r="M166" s="29">
        <v>1742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2"/>
        <v>01941</v>
      </c>
      <c r="B167" s="2">
        <v>109</v>
      </c>
      <c r="C167" s="10" t="str">
        <f ca="1">VLOOKUP($B167,OFFSET([2]gachas!$A$2,0,0,COUNTA([2]gachas!$A:$A),MATCH(C$1,[2]gachas!$1:$1,0)-MATCH($B$1,[2]gachas!$1:$1,0)+1),MATCH(C$1,[2]gachas!$1:$1,0)-MATCH($B$1,[2]gachas!$1:$1,0)+1,FALSE)</f>
        <v>赤アップ0１　あと少し</v>
      </c>
      <c r="D167" s="6">
        <v>0</v>
      </c>
      <c r="E167" s="7">
        <v>194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ヒューマン</v>
      </c>
      <c r="L167" s="6">
        <v>1</v>
      </c>
      <c r="M167" s="6">
        <v>475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2"/>
        <v>01971</v>
      </c>
      <c r="B168" s="2">
        <v>109</v>
      </c>
      <c r="C168" s="10" t="str">
        <f ca="1">VLOOKUP($B168,OFFSET([2]gachas!$A$2,0,0,COUNTA([2]gachas!$A:$A),MATCH(C$1,[2]gachas!$1:$1,0)-MATCH($B$1,[2]gachas!$1:$1,0)+1),MATCH(C$1,[2]gachas!$1:$1,0)-MATCH($B$1,[2]gachas!$1:$1,0)+1,FALSE)</f>
        <v>赤アップ0１　あと少し</v>
      </c>
      <c r="D168" s="6">
        <v>0</v>
      </c>
      <c r="E168" s="7">
        <v>197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鉄腕 アキレス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yellow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ヒューマン</v>
      </c>
      <c r="L168" s="6">
        <v>1</v>
      </c>
      <c r="M168" s="6">
        <v>475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2"/>
        <v>02001</v>
      </c>
      <c r="B169" s="2">
        <v>109</v>
      </c>
      <c r="C169" s="10" t="str">
        <f ca="1">VLOOKUP($B169,OFFSET([2]gachas!$A$2,0,0,COUNTA([2]gachas!$A:$A),MATCH(C$1,[2]gachas!$1:$1,0)-MATCH($B$1,[2]gachas!$1:$1,0)+1),MATCH(C$1,[2]gachas!$1:$1,0)-MATCH($B$1,[2]gachas!$1:$1,0)+1,FALSE)</f>
        <v>赤アップ0１　あと少し</v>
      </c>
      <c r="D169" s="6">
        <v>0</v>
      </c>
      <c r="E169" s="7">
        <v>200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blue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ヒューマン</v>
      </c>
      <c r="L169" s="6">
        <v>1</v>
      </c>
      <c r="M169" s="6">
        <v>475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2"/>
        <v>02031</v>
      </c>
      <c r="B170" s="2">
        <v>109</v>
      </c>
      <c r="C170" s="10" t="str">
        <f ca="1">VLOOKUP($B170,OFFSET([2]gachas!$A$2,0,0,COUNTA([2]gachas!$A:$A),MATCH(C$1,[2]gachas!$1:$1,0)-MATCH($B$1,[2]gachas!$1:$1,0)+1),MATCH(C$1,[2]gachas!$1:$1,0)-MATCH($B$1,[2]gachas!$1:$1,0)+1,FALSE)</f>
        <v>赤アップ0１　あと少し</v>
      </c>
      <c r="D170" s="29">
        <v>0</v>
      </c>
      <c r="E170" s="30">
        <v>203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焔神 プロメテウス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ゴッド</v>
      </c>
      <c r="L170" s="29">
        <v>1</v>
      </c>
      <c r="M170" s="29">
        <v>1742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2"/>
        <v>02061</v>
      </c>
      <c r="B171" s="2">
        <v>109</v>
      </c>
      <c r="C171" s="10" t="str">
        <f ca="1">VLOOKUP($B171,OFFSET([2]gachas!$A$2,0,0,COUNTA([2]gachas!$A:$A),MATCH(C$1,[2]gachas!$1:$1,0)-MATCH($B$1,[2]gachas!$1:$1,0)+1),MATCH(C$1,[2]gachas!$1:$1,0)-MATCH($B$1,[2]gachas!$1:$1,0)+1,FALSE)</f>
        <v>赤アップ0１　あと少し</v>
      </c>
      <c r="D171" s="6">
        <v>0</v>
      </c>
      <c r="E171" s="7">
        <v>206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美神 アフロディーテ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ゴッド</v>
      </c>
      <c r="L171" s="6">
        <v>1</v>
      </c>
      <c r="M171" s="6">
        <v>475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2"/>
        <v>02091</v>
      </c>
      <c r="B172" s="2">
        <v>109</v>
      </c>
      <c r="C172" s="10" t="str">
        <f ca="1">VLOOKUP($B172,OFFSET([2]gachas!$A$2,0,0,COUNTA([2]gachas!$A:$A),MATCH(C$1,[2]gachas!$1:$1,0)-MATCH($B$1,[2]gachas!$1:$1,0)+1),MATCH(C$1,[2]gachas!$1:$1,0)-MATCH($B$1,[2]gachas!$1:$1,0)+1,FALSE)</f>
        <v>赤アップ0１　あと少し</v>
      </c>
      <c r="D172" s="6">
        <v>0</v>
      </c>
      <c r="E172" s="7">
        <v>209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孤神 テティス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ゴッド</v>
      </c>
      <c r="L172" s="6">
        <v>1</v>
      </c>
      <c r="M172" s="6">
        <v>475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2"/>
        <v>02121</v>
      </c>
      <c r="B173" s="2">
        <v>109</v>
      </c>
      <c r="C173" s="10" t="str">
        <f ca="1">VLOOKUP($B173,OFFSET([2]gachas!$A$2,0,0,COUNTA([2]gachas!$A:$A),MATCH(C$1,[2]gachas!$1:$1,0)-MATCH($B$1,[2]gachas!$1:$1,0)+1),MATCH(C$1,[2]gachas!$1:$1,0)-MATCH($B$1,[2]gachas!$1:$1,0)+1,FALSE)</f>
        <v>赤アップ0１　あと少し</v>
      </c>
      <c r="D173" s="6">
        <v>0</v>
      </c>
      <c r="E173" s="7">
        <v>212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星神 アストライアー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ゴッド</v>
      </c>
      <c r="L173" s="6">
        <v>1</v>
      </c>
      <c r="M173" s="6">
        <v>475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2"/>
        <v>02151</v>
      </c>
      <c r="B174" s="2">
        <v>109</v>
      </c>
      <c r="C174" s="10" t="str">
        <f ca="1">VLOOKUP($B174,OFFSET([2]gachas!$A$2,0,0,COUNTA([2]gachas!$A:$A),MATCH(C$1,[2]gachas!$1:$1,0)-MATCH($B$1,[2]gachas!$1:$1,0)+1),MATCH(C$1,[2]gachas!$1:$1,0)-MATCH($B$1,[2]gachas!$1:$1,0)+1,FALSE)</f>
        <v>赤アップ0１　あと少し</v>
      </c>
      <c r="D174" s="29">
        <v>0</v>
      </c>
      <c r="E174" s="30">
        <v>215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死導者 アズラエル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ゴッド</v>
      </c>
      <c r="L174" s="29">
        <v>1</v>
      </c>
      <c r="M174" s="29">
        <v>1742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2"/>
        <v>02181</v>
      </c>
      <c r="B175" s="2">
        <v>109</v>
      </c>
      <c r="C175" s="10" t="str">
        <f ca="1">VLOOKUP($B175,OFFSET([2]gachas!$A$2,0,0,COUNTA([2]gachas!$A:$A),MATCH(C$1,[2]gachas!$1:$1,0)-MATCH($B$1,[2]gachas!$1:$1,0)+1),MATCH(C$1,[2]gachas!$1:$1,0)-MATCH($B$1,[2]gachas!$1:$1,0)+1,FALSE)</f>
        <v>赤アップ0１　あと少し</v>
      </c>
      <c r="D175" s="6">
        <v>0</v>
      </c>
      <c r="E175" s="7">
        <v>218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聖蛇 ケツァクアトル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ドラゴン</v>
      </c>
      <c r="L175" s="6">
        <v>1</v>
      </c>
      <c r="M175" s="6">
        <v>475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2"/>
        <v>02211</v>
      </c>
      <c r="B176" s="2">
        <v>109</v>
      </c>
      <c r="C176" s="10" t="str">
        <f ca="1">VLOOKUP($B176,OFFSET([2]gachas!$A$2,0,0,COUNTA([2]gachas!$A:$A),MATCH(C$1,[2]gachas!$1:$1,0)-MATCH($B$1,[2]gachas!$1:$1,0)+1),MATCH(C$1,[2]gachas!$1:$1,0)-MATCH($B$1,[2]gachas!$1:$1,0)+1,FALSE)</f>
        <v>赤アップ0１　あと少し</v>
      </c>
      <c r="D176" s="6">
        <v>0</v>
      </c>
      <c r="E176" s="7">
        <v>221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宰相 ルキフグス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blue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ゴッド</v>
      </c>
      <c r="L176" s="6">
        <v>1</v>
      </c>
      <c r="M176" s="6">
        <v>475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2"/>
        <v>02241</v>
      </c>
      <c r="B177" s="2">
        <v>109</v>
      </c>
      <c r="C177" s="10" t="str">
        <f ca="1">VLOOKUP($B177,OFFSET([2]gachas!$A$2,0,0,COUNTA([2]gachas!$A:$A),MATCH(C$1,[2]gachas!$1:$1,0)-MATCH($B$1,[2]gachas!$1:$1,0)+1),MATCH(C$1,[2]gachas!$1:$1,0)-MATCH($B$1,[2]gachas!$1:$1,0)+1,FALSE)</f>
        <v>赤アップ0１　あと少し</v>
      </c>
      <c r="D177" s="6">
        <v>0</v>
      </c>
      <c r="E177" s="7">
        <v>224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巨腕 ヘラクレス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yellow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6">
        <v>1</v>
      </c>
      <c r="M177" s="6">
        <v>475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2"/>
        <v>02271</v>
      </c>
      <c r="B178" s="2">
        <v>109</v>
      </c>
      <c r="C178" s="10" t="str">
        <f ca="1">VLOOKUP($B178,OFFSET([2]gachas!$A$2,0,0,COUNTA([2]gachas!$A:$A),MATCH(C$1,[2]gachas!$1:$1,0)-MATCH($B$1,[2]gachas!$1:$1,0)+1),MATCH(C$1,[2]gachas!$1:$1,0)-MATCH($B$1,[2]gachas!$1:$1,0)+1,FALSE)</f>
        <v>赤アップ0１　あと少し</v>
      </c>
      <c r="D178" s="29">
        <v>0</v>
      </c>
      <c r="E178" s="30">
        <v>227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滅弾 アレス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PremiumS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29">
        <v>1</v>
      </c>
      <c r="M178" s="29">
        <v>396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2"/>
        <v>02301</v>
      </c>
      <c r="B179" s="2">
        <v>109</v>
      </c>
      <c r="C179" s="10" t="str">
        <f ca="1">VLOOKUP($B179,OFFSET([2]gachas!$A$2,0,0,COUNTA([2]gachas!$A:$A),MATCH(C$1,[2]gachas!$1:$1,0)-MATCH($B$1,[2]gachas!$1:$1,0)+1),MATCH(C$1,[2]gachas!$1:$1,0)-MATCH($B$1,[2]gachas!$1:$1,0)+1,FALSE)</f>
        <v>赤アップ0１　あと少し</v>
      </c>
      <c r="D179" s="6">
        <v>0</v>
      </c>
      <c r="E179" s="7">
        <v>230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毒銃 ヨルムンガンド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PremiumS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ドラゴン</v>
      </c>
      <c r="L179" s="6">
        <v>1</v>
      </c>
      <c r="M179" s="6">
        <v>108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2"/>
        <v>02331</v>
      </c>
      <c r="B180" s="2">
        <v>109</v>
      </c>
      <c r="C180" s="10" t="str">
        <f ca="1">VLOOKUP($B180,OFFSET([2]gachas!$A$2,0,0,COUNTA([2]gachas!$A:$A),MATCH(C$1,[2]gachas!$1:$1,0)-MATCH($B$1,[2]gachas!$1:$1,0)+1),MATCH(C$1,[2]gachas!$1:$1,0)-MATCH($B$1,[2]gachas!$1:$1,0)+1,FALSE)</f>
        <v>赤アップ0１　あと少し</v>
      </c>
      <c r="D180" s="6">
        <v>0</v>
      </c>
      <c r="E180" s="7">
        <v>233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遂行 パーシヴァル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PremiumS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ヒューマン</v>
      </c>
      <c r="L180" s="6">
        <v>1</v>
      </c>
      <c r="M180" s="6">
        <v>108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2"/>
        <v>02361</v>
      </c>
      <c r="B181" s="2">
        <v>109</v>
      </c>
      <c r="C181" s="10" t="str">
        <f ca="1">VLOOKUP($B181,OFFSET([2]gachas!$A$2,0,0,COUNTA([2]gachas!$A:$A),MATCH(C$1,[2]gachas!$1:$1,0)-MATCH($B$1,[2]gachas!$1:$1,0)+1),MATCH(C$1,[2]gachas!$1:$1,0)-MATCH($B$1,[2]gachas!$1:$1,0)+1,FALSE)</f>
        <v>赤アップ0１　あと少し</v>
      </c>
      <c r="D181" s="6">
        <v>0</v>
      </c>
      <c r="E181" s="7">
        <v>236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神産 イザナミ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PremiumS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6">
        <v>108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2"/>
        <v>01681</v>
      </c>
      <c r="B182" s="2">
        <v>109</v>
      </c>
      <c r="C182" s="10" t="str">
        <f ca="1">VLOOKUP($B182,OFFSET([2]gachas!$A$2,0,0,COUNTA([2]gachas!$A:$A),MATCH(C$1,[2]gachas!$1:$1,0)-MATCH($B$1,[2]gachas!$1:$1,0)+1),MATCH(C$1,[2]gachas!$1:$1,0)-MATCH($B$1,[2]gachas!$1:$1,0)+1,FALSE)</f>
        <v>赤アップ0１　あと少し</v>
      </c>
      <c r="D182" s="29">
        <v>0</v>
      </c>
      <c r="E182" s="30">
        <v>168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5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29">
        <v>1</v>
      </c>
      <c r="M182" s="29">
        <v>564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2"/>
        <v>01711</v>
      </c>
      <c r="B183" s="2">
        <v>109</v>
      </c>
      <c r="C183" s="10" t="str">
        <f ca="1">VLOOKUP($B183,OFFSET([2]gachas!$A$2,0,0,COUNTA([2]gachas!$A:$A),MATCH(C$1,[2]gachas!$1:$1,0)-MATCH($B$1,[2]gachas!$1:$1,0)+1),MATCH(C$1,[2]gachas!$1:$1,0)-MATCH($B$1,[2]gachas!$1:$1,0)+1,FALSE)</f>
        <v>赤アップ0１　あと少し</v>
      </c>
      <c r="D183" s="6">
        <v>0</v>
      </c>
      <c r="E183" s="7">
        <v>171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精解の預知者 オセ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5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ゴッド</v>
      </c>
      <c r="L183" s="6">
        <v>1</v>
      </c>
      <c r="M183" s="6">
        <v>154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2"/>
        <v>01741</v>
      </c>
      <c r="B184" s="2">
        <v>109</v>
      </c>
      <c r="C184" s="10" t="str">
        <f ca="1">VLOOKUP($B184,OFFSET([2]gachas!$A$2,0,0,COUNTA([2]gachas!$A:$A),MATCH(C$1,[2]gachas!$1:$1,0)-MATCH($B$1,[2]gachas!$1:$1,0)+1),MATCH(C$1,[2]gachas!$1:$1,0)-MATCH($B$1,[2]gachas!$1:$1,0)+1,FALSE)</f>
        <v>赤アップ0１　あと少し</v>
      </c>
      <c r="D184" s="6">
        <v>0</v>
      </c>
      <c r="E184" s="7">
        <v>174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5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6">
        <v>1</v>
      </c>
      <c r="M184" s="6">
        <v>154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2"/>
        <v>01771</v>
      </c>
      <c r="B185" s="2">
        <v>109</v>
      </c>
      <c r="C185" s="10" t="str">
        <f ca="1">VLOOKUP($B185,OFFSET([2]gachas!$A$2,0,0,COUNTA([2]gachas!$A:$A),MATCH(C$1,[2]gachas!$1:$1,0)-MATCH($B$1,[2]gachas!$1:$1,0)+1),MATCH(C$1,[2]gachas!$1:$1,0)-MATCH($B$1,[2]gachas!$1:$1,0)+1,FALSE)</f>
        <v>赤アップ0１　あと少し</v>
      </c>
      <c r="D185" s="6">
        <v>0</v>
      </c>
      <c r="E185" s="7">
        <v>177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5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ゴッド</v>
      </c>
      <c r="L185" s="6">
        <v>1</v>
      </c>
      <c r="M185" s="6">
        <v>154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2"/>
        <v>01801</v>
      </c>
      <c r="B186" s="2">
        <v>109</v>
      </c>
      <c r="C186" s="10" t="str">
        <f ca="1">VLOOKUP($B186,OFFSET([2]gachas!$A$2,0,0,COUNTA([2]gachas!$A:$A),MATCH(C$1,[2]gachas!$1:$1,0)-MATCH($B$1,[2]gachas!$1:$1,0)+1),MATCH(C$1,[2]gachas!$1:$1,0)-MATCH($B$1,[2]gachas!$1:$1,0)+1,FALSE)</f>
        <v>赤アップ0１　あと少し</v>
      </c>
      <c r="D186" s="29">
        <v>0</v>
      </c>
      <c r="E186" s="30">
        <v>180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PremiumN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5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アニマル</v>
      </c>
      <c r="L186" s="29">
        <v>1</v>
      </c>
      <c r="M186" s="29">
        <v>564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2"/>
        <v>01831</v>
      </c>
      <c r="B187" s="2">
        <v>109</v>
      </c>
      <c r="C187" s="10" t="str">
        <f ca="1">VLOOKUP($B187,OFFSET([2]gachas!$A$2,0,0,COUNTA([2]gachas!$A:$A),MATCH(C$1,[2]gachas!$1:$1,0)-MATCH($B$1,[2]gachas!$1:$1,0)+1),MATCH(C$1,[2]gachas!$1:$1,0)-MATCH($B$1,[2]gachas!$1:$1,0)+1,FALSE)</f>
        <v>赤アップ0１　あと少し</v>
      </c>
      <c r="D187" s="6">
        <v>0</v>
      </c>
      <c r="E187" s="7">
        <v>183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PremiumN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5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アニマル</v>
      </c>
      <c r="L187" s="6">
        <v>1</v>
      </c>
      <c r="M187" s="6">
        <v>154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2"/>
        <v>01861</v>
      </c>
      <c r="B188" s="2">
        <v>109</v>
      </c>
      <c r="C188" s="10" t="str">
        <f ca="1">VLOOKUP($B188,OFFSET([2]gachas!$A$2,0,0,COUNTA([2]gachas!$A:$A),MATCH(C$1,[2]gachas!$1:$1,0)-MATCH($B$1,[2]gachas!$1:$1,0)+1),MATCH(C$1,[2]gachas!$1:$1,0)-MATCH($B$1,[2]gachas!$1:$1,0)+1,FALSE)</f>
        <v>赤アップ0１　あと少し</v>
      </c>
      <c r="D188" s="6">
        <v>0</v>
      </c>
      <c r="E188" s="7">
        <v>186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PremiumN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5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アニマル</v>
      </c>
      <c r="L188" s="6">
        <v>1</v>
      </c>
      <c r="M188" s="6">
        <v>154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2"/>
        <v>01891</v>
      </c>
      <c r="B189" s="2">
        <v>109</v>
      </c>
      <c r="C189" s="10" t="str">
        <f ca="1">VLOOKUP($B189,OFFSET([2]gachas!$A$2,0,0,COUNTA([2]gachas!$A:$A),MATCH(C$1,[2]gachas!$1:$1,0)-MATCH($B$1,[2]gachas!$1:$1,0)+1),MATCH(C$1,[2]gachas!$1:$1,0)-MATCH($B$1,[2]gachas!$1:$1,0)+1,FALSE)</f>
        <v>赤アップ0１　あと少し</v>
      </c>
      <c r="D189" s="6">
        <v>0</v>
      </c>
      <c r="E189" s="7">
        <v>189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迅雷の王禽 ホルス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PremiumN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5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アニマル</v>
      </c>
      <c r="L189" s="6">
        <v>1</v>
      </c>
      <c r="M189" s="6">
        <v>154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2"/>
        <v>01921</v>
      </c>
      <c r="B190" s="2">
        <v>109</v>
      </c>
      <c r="C190" s="10" t="str">
        <f ca="1">VLOOKUP($B190,OFFSET([2]gachas!$A$2,0,0,COUNTA([2]gachas!$A:$A),MATCH(C$1,[2]gachas!$1:$1,0)-MATCH($B$1,[2]gachas!$1:$1,0)+1),MATCH(C$1,[2]gachas!$1:$1,0)-MATCH($B$1,[2]gachas!$1:$1,0)+1,FALSE)</f>
        <v>赤アップ0１　あと少し</v>
      </c>
      <c r="D190" s="29">
        <v>0</v>
      </c>
      <c r="E190" s="30">
        <v>192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ヒューマン</v>
      </c>
      <c r="L190" s="29">
        <v>1</v>
      </c>
      <c r="M190" s="29">
        <v>564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2"/>
        <v>01951</v>
      </c>
      <c r="B191" s="2">
        <v>109</v>
      </c>
      <c r="C191" s="10" t="str">
        <f ca="1">VLOOKUP($B191,OFFSET([2]gachas!$A$2,0,0,COUNTA([2]gachas!$A:$A),MATCH(C$1,[2]gachas!$1:$1,0)-MATCH($B$1,[2]gachas!$1:$1,0)+1),MATCH(C$1,[2]gachas!$1:$1,0)-MATCH($B$1,[2]gachas!$1:$1,0)+1,FALSE)</f>
        <v>赤アップ0１　あと少し</v>
      </c>
      <c r="D191" s="6">
        <v>0</v>
      </c>
      <c r="E191" s="7">
        <v>195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ヒューマン</v>
      </c>
      <c r="L191" s="6">
        <v>1</v>
      </c>
      <c r="M191" s="6">
        <v>154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2"/>
        <v>01981</v>
      </c>
      <c r="B192" s="2">
        <v>109</v>
      </c>
      <c r="C192" s="10" t="str">
        <f ca="1">VLOOKUP($B192,OFFSET([2]gachas!$A$2,0,0,COUNTA([2]gachas!$A:$A),MATCH(C$1,[2]gachas!$1:$1,0)-MATCH($B$1,[2]gachas!$1:$1,0)+1),MATCH(C$1,[2]gachas!$1:$1,0)-MATCH($B$1,[2]gachas!$1:$1,0)+1,FALSE)</f>
        <v>赤アップ0１　あと少し</v>
      </c>
      <c r="D192" s="6">
        <v>0</v>
      </c>
      <c r="E192" s="7">
        <v>198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砕骨の剛腕 アキレス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yellow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ヒューマン</v>
      </c>
      <c r="L192" s="6">
        <v>1</v>
      </c>
      <c r="M192" s="6">
        <v>154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2"/>
        <v>02011</v>
      </c>
      <c r="B193" s="2">
        <v>109</v>
      </c>
      <c r="C193" s="10" t="str">
        <f ca="1">VLOOKUP($B193,OFFSET([2]gachas!$A$2,0,0,COUNTA([2]gachas!$A:$A),MATCH(C$1,[2]gachas!$1:$1,0)-MATCH($B$1,[2]gachas!$1:$1,0)+1),MATCH(C$1,[2]gachas!$1:$1,0)-MATCH($B$1,[2]gachas!$1:$1,0)+1,FALSE)</f>
        <v>赤アップ0１　あと少し</v>
      </c>
      <c r="D193" s="6">
        <v>0</v>
      </c>
      <c r="E193" s="7">
        <v>201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blue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ヒューマン</v>
      </c>
      <c r="L193" s="6">
        <v>1</v>
      </c>
      <c r="M193" s="6">
        <v>154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2"/>
        <v>02041</v>
      </c>
      <c r="B194" s="2">
        <v>109</v>
      </c>
      <c r="C194" s="10" t="str">
        <f ca="1">VLOOKUP($B194,OFFSET([2]gachas!$A$2,0,0,COUNTA([2]gachas!$A:$A),MATCH(C$1,[2]gachas!$1:$1,0)-MATCH($B$1,[2]gachas!$1:$1,0)+1),MATCH(C$1,[2]gachas!$1:$1,0)-MATCH($B$1,[2]gachas!$1:$1,0)+1,FALSE)</f>
        <v>赤アップ0１　あと少し</v>
      </c>
      <c r="D194" s="29">
        <v>0</v>
      </c>
      <c r="E194" s="30">
        <v>204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ゴッド</v>
      </c>
      <c r="L194" s="29">
        <v>1</v>
      </c>
      <c r="M194" s="29">
        <v>564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2"/>
        <v>02071</v>
      </c>
      <c r="B195" s="2">
        <v>109</v>
      </c>
      <c r="C195" s="10" t="str">
        <f ca="1">VLOOKUP($B195,OFFSET([2]gachas!$A$2,0,0,COUNTA([2]gachas!$A:$A),MATCH(C$1,[2]gachas!$1:$1,0)-MATCH($B$1,[2]gachas!$1:$1,0)+1),MATCH(C$1,[2]gachas!$1:$1,0)-MATCH($B$1,[2]gachas!$1:$1,0)+1,FALSE)</f>
        <v>赤アップ0１　あと少し</v>
      </c>
      <c r="D195" s="6">
        <v>0</v>
      </c>
      <c r="E195" s="7">
        <v>207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ゴッド</v>
      </c>
      <c r="L195" s="6">
        <v>1</v>
      </c>
      <c r="M195" s="6">
        <v>154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2"/>
        <v>02101</v>
      </c>
      <c r="B196" s="2">
        <v>109</v>
      </c>
      <c r="C196" s="10" t="str">
        <f ca="1">VLOOKUP($B196,OFFSET([2]gachas!$A$2,0,0,COUNTA([2]gachas!$A:$A),MATCH(C$1,[2]gachas!$1:$1,0)-MATCH($B$1,[2]gachas!$1:$1,0)+1),MATCH(C$1,[2]gachas!$1:$1,0)-MATCH($B$1,[2]gachas!$1:$1,0)+1,FALSE)</f>
        <v>赤アップ0１　あと少し</v>
      </c>
      <c r="D196" s="6">
        <v>0</v>
      </c>
      <c r="E196" s="7">
        <v>210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ゴッド</v>
      </c>
      <c r="L196" s="6">
        <v>1</v>
      </c>
      <c r="M196" s="6">
        <v>154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2"/>
        <v>02131</v>
      </c>
      <c r="B197" s="2">
        <v>109</v>
      </c>
      <c r="C197" s="10" t="str">
        <f ca="1">VLOOKUP($B197,OFFSET([2]gachas!$A$2,0,0,COUNTA([2]gachas!$A:$A),MATCH(C$1,[2]gachas!$1:$1,0)-MATCH($B$1,[2]gachas!$1:$1,0)+1),MATCH(C$1,[2]gachas!$1:$1,0)-MATCH($B$1,[2]gachas!$1:$1,0)+1,FALSE)</f>
        <v>赤アップ0１　あと少し</v>
      </c>
      <c r="D197" s="6">
        <v>0</v>
      </c>
      <c r="E197" s="7">
        <v>213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ゴッド</v>
      </c>
      <c r="L197" s="6">
        <v>1</v>
      </c>
      <c r="M197" s="6">
        <v>154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2"/>
        <v>02161</v>
      </c>
      <c r="B198" s="2">
        <v>109</v>
      </c>
      <c r="C198" s="10" t="str">
        <f ca="1">VLOOKUP($B198,OFFSET([2]gachas!$A$2,0,0,COUNTA([2]gachas!$A:$A),MATCH(C$1,[2]gachas!$1:$1,0)-MATCH($B$1,[2]gachas!$1:$1,0)+1),MATCH(C$1,[2]gachas!$1:$1,0)-MATCH($B$1,[2]gachas!$1:$1,0)+1,FALSE)</f>
        <v>赤アップ0１　あと少し</v>
      </c>
      <c r="D198" s="29">
        <v>0</v>
      </c>
      <c r="E198" s="30">
        <v>216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ゴッド</v>
      </c>
      <c r="L198" s="29">
        <v>1</v>
      </c>
      <c r="M198" s="29">
        <v>564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2"/>
        <v>02191</v>
      </c>
      <c r="B199" s="2">
        <v>109</v>
      </c>
      <c r="C199" s="10" t="str">
        <f ca="1">VLOOKUP($B199,OFFSET([2]gachas!$A$2,0,0,COUNTA([2]gachas!$A:$A),MATCH(C$1,[2]gachas!$1:$1,0)-MATCH($B$1,[2]gachas!$1:$1,0)+1),MATCH(C$1,[2]gachas!$1:$1,0)-MATCH($B$1,[2]gachas!$1:$1,0)+1,FALSE)</f>
        <v>赤アップ0１　あと少し</v>
      </c>
      <c r="D199" s="6">
        <v>0</v>
      </c>
      <c r="E199" s="7">
        <v>219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ドラゴン</v>
      </c>
      <c r="L199" s="6">
        <v>1</v>
      </c>
      <c r="M199" s="6">
        <v>154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2"/>
        <v>02221</v>
      </c>
      <c r="B200" s="2">
        <v>109</v>
      </c>
      <c r="C200" s="10" t="str">
        <f ca="1">VLOOKUP($B200,OFFSET([2]gachas!$A$2,0,0,COUNTA([2]gachas!$A:$A),MATCH(C$1,[2]gachas!$1:$1,0)-MATCH($B$1,[2]gachas!$1:$1,0)+1),MATCH(C$1,[2]gachas!$1:$1,0)-MATCH($B$1,[2]gachas!$1:$1,0)+1,FALSE)</f>
        <v>赤アップ0１　あと少し</v>
      </c>
      <c r="D200" s="6">
        <v>0</v>
      </c>
      <c r="E200" s="7">
        <v>222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blue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ゴッド</v>
      </c>
      <c r="L200" s="6">
        <v>1</v>
      </c>
      <c r="M200" s="6">
        <v>154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2"/>
        <v>02251</v>
      </c>
      <c r="B201" s="2">
        <v>109</v>
      </c>
      <c r="C201" s="10" t="str">
        <f ca="1">VLOOKUP($B201,OFFSET([2]gachas!$A$2,0,0,COUNTA([2]gachas!$A:$A),MATCH(C$1,[2]gachas!$1:$1,0)-MATCH($B$1,[2]gachas!$1:$1,0)+1),MATCH(C$1,[2]gachas!$1:$1,0)-MATCH($B$1,[2]gachas!$1:$1,0)+1,FALSE)</f>
        <v>赤アップ0１　あと少し</v>
      </c>
      <c r="D201" s="6">
        <v>0</v>
      </c>
      <c r="E201" s="7">
        <v>225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yellow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6">
        <v>1</v>
      </c>
      <c r="M201" s="6">
        <v>154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2"/>
        <v>02281</v>
      </c>
      <c r="B202" s="2">
        <v>109</v>
      </c>
      <c r="C202" s="10" t="str">
        <f ca="1">VLOOKUP($B202,OFFSET([2]gachas!$A$2,0,0,COUNTA([2]gachas!$A:$A),MATCH(C$1,[2]gachas!$1:$1,0)-MATCH($B$1,[2]gachas!$1:$1,0)+1),MATCH(C$1,[2]gachas!$1:$1,0)-MATCH($B$1,[2]gachas!$1:$1,0)+1,FALSE)</f>
        <v>赤アップ0１　あと少し</v>
      </c>
      <c r="D202" s="29">
        <v>0</v>
      </c>
      <c r="E202" s="30">
        <v>228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殲滅の掃射砲 アレス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PremiumS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29">
        <v>1</v>
      </c>
      <c r="M202" s="29">
        <v>63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2"/>
        <v>02311</v>
      </c>
      <c r="B203" s="2">
        <v>109</v>
      </c>
      <c r="C203" s="10" t="str">
        <f ca="1">VLOOKUP($B203,OFFSET([2]gachas!$A$2,0,0,COUNTA([2]gachas!$A:$A),MATCH(C$1,[2]gachas!$1:$1,0)-MATCH($B$1,[2]gachas!$1:$1,0)+1),MATCH(C$1,[2]gachas!$1:$1,0)-MATCH($B$1,[2]gachas!$1:$1,0)+1,FALSE)</f>
        <v>赤アップ0１　あと少し</v>
      </c>
      <c r="D203" s="6">
        <v>0</v>
      </c>
      <c r="E203" s="7">
        <v>231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PremiumS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ドラゴン</v>
      </c>
      <c r="L203" s="6">
        <v>1</v>
      </c>
      <c r="M203" s="6">
        <v>17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2"/>
        <v>02341</v>
      </c>
      <c r="B204" s="2">
        <v>109</v>
      </c>
      <c r="C204" s="10" t="str">
        <f ca="1">VLOOKUP($B204,OFFSET([2]gachas!$A$2,0,0,COUNTA([2]gachas!$A:$A),MATCH(C$1,[2]gachas!$1:$1,0)-MATCH($B$1,[2]gachas!$1:$1,0)+1),MATCH(C$1,[2]gachas!$1:$1,0)-MATCH($B$1,[2]gachas!$1:$1,0)+1,FALSE)</f>
        <v>赤アップ0１　あと少し</v>
      </c>
      <c r="D204" s="6">
        <v>0</v>
      </c>
      <c r="E204" s="7">
        <v>234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PremiumS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ヒューマン</v>
      </c>
      <c r="L204" s="6">
        <v>1</v>
      </c>
      <c r="M204" s="6">
        <v>17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s="26" customFormat="1" ht="21" customHeight="1" thickBot="1">
      <c r="A205" s="22" t="str">
        <f t="shared" si="2"/>
        <v>02371</v>
      </c>
      <c r="B205" s="2">
        <v>109</v>
      </c>
      <c r="C205" s="10" t="str">
        <f ca="1">VLOOKUP($B205,OFFSET([2]gachas!$A$2,0,0,COUNTA([2]gachas!$A:$A),MATCH(C$1,[2]gachas!$1:$1,0)-MATCH($B$1,[2]gachas!$1:$1,0)+1),MATCH(C$1,[2]gachas!$1:$1,0)-MATCH($B$1,[2]gachas!$1:$1,0)+1,FALSE)</f>
        <v>赤アップ0１　あと少し</v>
      </c>
      <c r="D205" s="6">
        <v>0</v>
      </c>
      <c r="E205" s="7">
        <v>237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PremiumS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6">
        <v>17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2"/>
        <v>02381</v>
      </c>
      <c r="B206" s="2">
        <v>109</v>
      </c>
      <c r="C206" s="10" t="str">
        <f ca="1">VLOOKUP($B206,OFFSET([2]gachas!$A$2,0,0,COUNTA([2]gachas!$A:$A),MATCH(C$1,[2]gachas!$1:$1,0)-MATCH($B$1,[2]gachas!$1:$1,0)+1),MATCH(C$1,[2]gachas!$1:$1,0)-MATCH($B$1,[2]gachas!$1:$1,0)+1,FALSE)</f>
        <v>赤アップ0１　あと少し</v>
      </c>
      <c r="D206" s="29">
        <v>0</v>
      </c>
      <c r="E206" s="36">
        <v>238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ウリエル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PremiumS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3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マシン</v>
      </c>
      <c r="L206" s="29">
        <v>1</v>
      </c>
      <c r="M206" s="29">
        <v>1125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2"/>
        <v>02391</v>
      </c>
      <c r="B207" s="2">
        <v>109</v>
      </c>
      <c r="C207" s="10" t="str">
        <f ca="1">VLOOKUP($B207,OFFSET([2]gachas!$A$2,0,0,COUNTA([2]gachas!$A:$A),MATCH(C$1,[2]gachas!$1:$1,0)-MATCH($B$1,[2]gachas!$1:$1,0)+1),MATCH(C$1,[2]gachas!$1:$1,0)-MATCH($B$1,[2]gachas!$1:$1,0)+1,FALSE)</f>
        <v>赤アップ0１　あと少し</v>
      </c>
      <c r="D207" s="29">
        <v>0</v>
      </c>
      <c r="E207" s="36">
        <v>239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豪炎の天使 ウリエル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PremiumS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4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red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マシン</v>
      </c>
      <c r="L207" s="29">
        <v>1</v>
      </c>
      <c r="M207" s="29">
        <v>396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2"/>
        <v>02401</v>
      </c>
      <c r="B208" s="2">
        <v>109</v>
      </c>
      <c r="C208" s="10" t="str">
        <f ca="1">VLOOKUP($B208,OFFSET([2]gachas!$A$2,0,0,COUNTA([2]gachas!$A:$A),MATCH(C$1,[2]gachas!$1:$1,0)-MATCH($B$1,[2]gachas!$1:$1,0)+1),MATCH(C$1,[2]gachas!$1:$1,0)-MATCH($B$1,[2]gachas!$1:$1,0)+1,FALSE)</f>
        <v>赤アップ0１　あと少し</v>
      </c>
      <c r="D208" s="29">
        <v>0</v>
      </c>
      <c r="E208" s="36">
        <v>240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PremiumS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red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マシン</v>
      </c>
      <c r="L208" s="29">
        <v>1</v>
      </c>
      <c r="M208" s="29">
        <v>63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2"/>
        <v>02411</v>
      </c>
      <c r="B209" s="2">
        <v>109</v>
      </c>
      <c r="C209" s="10" t="str">
        <f ca="1">VLOOKUP($B209,OFFSET([2]gachas!$A$2,0,0,COUNTA([2]gachas!$A:$A),MATCH(C$1,[2]gachas!$1:$1,0)-MATCH($B$1,[2]gachas!$1:$1,0)+1),MATCH(C$1,[2]gachas!$1:$1,0)-MATCH($B$1,[2]gachas!$1:$1,0)+1,FALSE)</f>
        <v>赤アップ0１　あと少し</v>
      </c>
      <c r="D209" s="6">
        <v>0</v>
      </c>
      <c r="E209" s="19">
        <v>241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ガブリエル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PremiumS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3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green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マシン</v>
      </c>
      <c r="L209" s="6">
        <v>1</v>
      </c>
      <c r="M209" s="6">
        <v>307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2"/>
        <v>02421</v>
      </c>
      <c r="B210" s="2">
        <v>109</v>
      </c>
      <c r="C210" s="10" t="str">
        <f ca="1">VLOOKUP($B210,OFFSET([2]gachas!$A$2,0,0,COUNTA([2]gachas!$A:$A),MATCH(C$1,[2]gachas!$1:$1,0)-MATCH($B$1,[2]gachas!$1:$1,0)+1),MATCH(C$1,[2]gachas!$1:$1,0)-MATCH($B$1,[2]gachas!$1:$1,0)+1,FALSE)</f>
        <v>赤アップ0１　あと少し</v>
      </c>
      <c r="D210" s="6">
        <v>0</v>
      </c>
      <c r="E210" s="19">
        <v>242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4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green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マシン</v>
      </c>
      <c r="L210" s="6">
        <v>1</v>
      </c>
      <c r="M210" s="6">
        <v>108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ref="A211:A237" si="3">D211&amp;E211&amp;L211</f>
        <v>02431</v>
      </c>
      <c r="B211" s="2">
        <v>109</v>
      </c>
      <c r="C211" s="10" t="str">
        <f ca="1">VLOOKUP($B211,OFFSET([2]gachas!$A$2,0,0,COUNTA([2]gachas!$A:$A),MATCH(C$1,[2]gachas!$1:$1,0)-MATCH($B$1,[2]gachas!$1:$1,0)+1),MATCH(C$1,[2]gachas!$1:$1,0)-MATCH($B$1,[2]gachas!$1:$1,0)+1,FALSE)</f>
        <v>赤アップ0１　あと少し</v>
      </c>
      <c r="D211" s="6">
        <v>0</v>
      </c>
      <c r="E211" s="19">
        <v>243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マシン</v>
      </c>
      <c r="L211" s="6">
        <v>1</v>
      </c>
      <c r="M211" s="6">
        <v>17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3"/>
        <v>02441</v>
      </c>
      <c r="B212" s="2">
        <v>109</v>
      </c>
      <c r="C212" s="10" t="str">
        <f ca="1">VLOOKUP($B212,OFFSET([2]gachas!$A$2,0,0,COUNTA([2]gachas!$A:$A),MATCH(C$1,[2]gachas!$1:$1,0)-MATCH($B$1,[2]gachas!$1:$1,0)+1),MATCH(C$1,[2]gachas!$1:$1,0)-MATCH($B$1,[2]gachas!$1:$1,0)+1,FALSE)</f>
        <v>赤アップ0１　あと少し</v>
      </c>
      <c r="D212" s="6">
        <v>0</v>
      </c>
      <c r="E212" s="19">
        <v>244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ラファエル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3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マシン</v>
      </c>
      <c r="L212" s="6">
        <v>1</v>
      </c>
      <c r="M212" s="6">
        <v>307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ht="21" customHeight="1">
      <c r="A213" s="8" t="str">
        <f t="shared" si="3"/>
        <v>02451</v>
      </c>
      <c r="B213" s="2">
        <v>109</v>
      </c>
      <c r="C213" s="10" t="str">
        <f ca="1">VLOOKUP($B213,OFFSET([2]gachas!$A$2,0,0,COUNTA([2]gachas!$A:$A),MATCH(C$1,[2]gachas!$1:$1,0)-MATCH($B$1,[2]gachas!$1:$1,0)+1),MATCH(C$1,[2]gachas!$1:$1,0)-MATCH($B$1,[2]gachas!$1:$1,0)+1,FALSE)</f>
        <v>赤アップ0１　あと少し</v>
      </c>
      <c r="D213" s="6">
        <v>0</v>
      </c>
      <c r="E213" s="19">
        <v>245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4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blue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マシン</v>
      </c>
      <c r="L213" s="6">
        <v>1</v>
      </c>
      <c r="M213" s="6">
        <v>108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3"/>
        <v>02461</v>
      </c>
      <c r="B214" s="2">
        <v>109</v>
      </c>
      <c r="C214" s="10" t="str">
        <f ca="1">VLOOKUP($B214,OFFSET([2]gachas!$A$2,0,0,COUNTA([2]gachas!$A:$A),MATCH(C$1,[2]gachas!$1:$1,0)-MATCH($B$1,[2]gachas!$1:$1,0)+1),MATCH(C$1,[2]gachas!$1:$1,0)-MATCH($B$1,[2]gachas!$1:$1,0)+1,FALSE)</f>
        <v>赤アップ0１　あと少し</v>
      </c>
      <c r="D214" s="6">
        <v>0</v>
      </c>
      <c r="E214" s="19">
        <v>246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5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blue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6">
        <v>17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3"/>
        <v>02471</v>
      </c>
      <c r="B215" s="2">
        <v>109</v>
      </c>
      <c r="C215" s="10" t="str">
        <f ca="1">VLOOKUP($B215,OFFSET([2]gachas!$A$2,0,0,COUNTA([2]gachas!$A:$A),MATCH(C$1,[2]gachas!$1:$1,0)-MATCH($B$1,[2]gachas!$1:$1,0)+1),MATCH(C$1,[2]gachas!$1:$1,0)-MATCH($B$1,[2]gachas!$1:$1,0)+1,FALSE)</f>
        <v>赤アップ0１　あと少し</v>
      </c>
      <c r="D215" s="6">
        <v>0</v>
      </c>
      <c r="E215" s="19">
        <v>247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ミカエル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3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yellow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6">
        <v>307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3"/>
        <v>02481</v>
      </c>
      <c r="B216" s="2">
        <v>109</v>
      </c>
      <c r="C216" s="10" t="str">
        <f ca="1">VLOOKUP($B216,OFFSET([2]gachas!$A$2,0,0,COUNTA([2]gachas!$A:$A),MATCH(C$1,[2]gachas!$1:$1,0)-MATCH($B$1,[2]gachas!$1:$1,0)+1),MATCH(C$1,[2]gachas!$1:$1,0)-MATCH($B$1,[2]gachas!$1:$1,0)+1,FALSE)</f>
        <v>赤アップ0１　あと少し</v>
      </c>
      <c r="D216" s="6">
        <v>0</v>
      </c>
      <c r="E216" s="19">
        <v>248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彩電の天使 ミカエル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4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yellow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6">
        <v>108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s="26" customFormat="1" ht="21" customHeight="1" thickBot="1">
      <c r="A217" s="22" t="str">
        <f t="shared" si="3"/>
        <v>02491</v>
      </c>
      <c r="B217" s="2">
        <v>109</v>
      </c>
      <c r="C217" s="10" t="str">
        <f ca="1">VLOOKUP($B217,OFFSET([2]gachas!$A$2,0,0,COUNTA([2]gachas!$A:$A),MATCH(C$1,[2]gachas!$1:$1,0)-MATCH($B$1,[2]gachas!$1:$1,0)+1),MATCH(C$1,[2]gachas!$1:$1,0)-MATCH($B$1,[2]gachas!$1:$1,0)+1,FALSE)</f>
        <v>赤アップ0１　あと少し</v>
      </c>
      <c r="D217" s="6">
        <v>0</v>
      </c>
      <c r="E217" s="19">
        <v>249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5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yellow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6">
        <v>1</v>
      </c>
      <c r="M217" s="6">
        <v>17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s="26" customFormat="1" ht="21" customHeight="1" thickBot="1">
      <c r="A218" s="22" t="str">
        <f t="shared" si="3"/>
        <v>02501</v>
      </c>
      <c r="B218" s="2">
        <v>109</v>
      </c>
      <c r="C218" s="10" t="str">
        <f ca="1">VLOOKUP($B218,OFFSET([2]gachas!$A$2,0,0,COUNTA([2]gachas!$A:$A),MATCH(C$1,[2]gachas!$1:$1,0)-MATCH($B$1,[2]gachas!$1:$1,0)+1),MATCH(C$1,[2]gachas!$1:$1,0)-MATCH($B$1,[2]gachas!$1:$1,0)+1,FALSE)</f>
        <v>赤アップ0１　あと少し</v>
      </c>
      <c r="D218" s="29">
        <v>0</v>
      </c>
      <c r="E218" s="30">
        <v>250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マンモン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3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red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ゴッド</v>
      </c>
      <c r="L218" s="29">
        <v>1</v>
      </c>
      <c r="M218" s="29">
        <v>1125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 thickBot="1">
      <c r="A219" s="22" t="str">
        <f t="shared" si="3"/>
        <v>02511</v>
      </c>
      <c r="B219" s="2">
        <v>109</v>
      </c>
      <c r="C219" s="10" t="str">
        <f ca="1">VLOOKUP($B219,OFFSET([2]gachas!$A$2,0,0,COUNTA([2]gachas!$A:$A),MATCH(C$1,[2]gachas!$1:$1,0)-MATCH($B$1,[2]gachas!$1:$1,0)+1),MATCH(C$1,[2]gachas!$1:$1,0)-MATCH($B$1,[2]gachas!$1:$1,0)+1,FALSE)</f>
        <v>赤アップ0１　あと少し</v>
      </c>
      <c r="D219" s="29">
        <v>0</v>
      </c>
      <c r="E219" s="30">
        <v>251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強欲 マンモン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4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red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ゴッド</v>
      </c>
      <c r="L219" s="29">
        <v>1</v>
      </c>
      <c r="M219" s="29">
        <v>396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 thickBot="1">
      <c r="A220" s="22" t="str">
        <f t="shared" si="3"/>
        <v>02521</v>
      </c>
      <c r="B220" s="2">
        <v>109</v>
      </c>
      <c r="C220" s="10" t="str">
        <f ca="1">VLOOKUP($B220,OFFSET([2]gachas!$A$2,0,0,COUNTA([2]gachas!$A:$A),MATCH(C$1,[2]gachas!$1:$1,0)-MATCH($B$1,[2]gachas!$1:$1,0)+1),MATCH(C$1,[2]gachas!$1:$1,0)-MATCH($B$1,[2]gachas!$1:$1,0)+1,FALSE)</f>
        <v>赤アップ0１　あと少し</v>
      </c>
      <c r="D220" s="29">
        <v>0</v>
      </c>
      <c r="E220" s="30">
        <v>252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強欲の沸騰 マンモン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5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red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ゴッド</v>
      </c>
      <c r="L220" s="29">
        <v>1</v>
      </c>
      <c r="M220" s="29">
        <v>63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 thickBot="1">
      <c r="A221" s="22" t="str">
        <f t="shared" si="3"/>
        <v>02531</v>
      </c>
      <c r="B221" s="2">
        <v>109</v>
      </c>
      <c r="C221" s="10" t="str">
        <f ca="1">VLOOKUP($B221,OFFSET([2]gachas!$A$2,0,0,COUNTA([2]gachas!$A:$A),MATCH(C$1,[2]gachas!$1:$1,0)-MATCH($B$1,[2]gachas!$1:$1,0)+1),MATCH(C$1,[2]gachas!$1:$1,0)-MATCH($B$1,[2]gachas!$1:$1,0)+1,FALSE)</f>
        <v>赤アップ0１　あと少し</v>
      </c>
      <c r="D221" s="6">
        <v>0</v>
      </c>
      <c r="E221" s="7">
        <v>253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ベルフェゴール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3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green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ゴッド</v>
      </c>
      <c r="L221" s="6">
        <v>1</v>
      </c>
      <c r="M221" s="45">
        <v>307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 thickBot="1">
      <c r="A222" s="22" t="str">
        <f t="shared" si="3"/>
        <v>02541</v>
      </c>
      <c r="B222" s="2">
        <v>109</v>
      </c>
      <c r="C222" s="10" t="str">
        <f ca="1">VLOOKUP($B222,OFFSET([2]gachas!$A$2,0,0,COUNTA([2]gachas!$A:$A),MATCH(C$1,[2]gachas!$1:$1,0)-MATCH($B$1,[2]gachas!$1:$1,0)+1),MATCH(C$1,[2]gachas!$1:$1,0)-MATCH($B$1,[2]gachas!$1:$1,0)+1,FALSE)</f>
        <v>赤アップ0１　あと少し</v>
      </c>
      <c r="D222" s="6">
        <v>0</v>
      </c>
      <c r="E222" s="7">
        <v>254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怠惰 ベルフェゴール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4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green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ゴッド</v>
      </c>
      <c r="L222" s="6">
        <v>1</v>
      </c>
      <c r="M222" s="6">
        <v>108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 thickBot="1">
      <c r="A223" s="22" t="str">
        <f t="shared" si="3"/>
        <v>02551</v>
      </c>
      <c r="B223" s="2">
        <v>109</v>
      </c>
      <c r="C223" s="10" t="str">
        <f ca="1">VLOOKUP($B223,OFFSET([2]gachas!$A$2,0,0,COUNTA([2]gachas!$A:$A),MATCH(C$1,[2]gachas!$1:$1,0)-MATCH($B$1,[2]gachas!$1:$1,0)+1),MATCH(C$1,[2]gachas!$1:$1,0)-MATCH($B$1,[2]gachas!$1:$1,0)+1,FALSE)</f>
        <v>赤アップ0１　あと少し</v>
      </c>
      <c r="D223" s="6">
        <v>0</v>
      </c>
      <c r="E223" s="7">
        <v>255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5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green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ゴッド</v>
      </c>
      <c r="L223" s="6">
        <v>1</v>
      </c>
      <c r="M223" s="6">
        <v>17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 thickBot="1">
      <c r="A224" s="22" t="str">
        <f t="shared" si="3"/>
        <v>02561</v>
      </c>
      <c r="B224" s="2">
        <v>109</v>
      </c>
      <c r="C224" s="10" t="str">
        <f ca="1">VLOOKUP($B224,OFFSET([2]gachas!$A$2,0,0,COUNTA([2]gachas!$A:$A),MATCH(C$1,[2]gachas!$1:$1,0)-MATCH($B$1,[2]gachas!$1:$1,0)+1),MATCH(C$1,[2]gachas!$1:$1,0)-MATCH($B$1,[2]gachas!$1:$1,0)+1,FALSE)</f>
        <v>赤アップ0１　あと少し</v>
      </c>
      <c r="D224" s="6">
        <v>0</v>
      </c>
      <c r="E224" s="7">
        <v>256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アスモデウス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3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blue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ゴッド</v>
      </c>
      <c r="L224" s="6">
        <v>1</v>
      </c>
      <c r="M224" s="45">
        <v>307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ht="21" customHeight="1" thickBot="1">
      <c r="A225" s="22" t="str">
        <f t="shared" si="3"/>
        <v>02571</v>
      </c>
      <c r="B225" s="2">
        <v>109</v>
      </c>
      <c r="C225" s="10" t="str">
        <f ca="1">VLOOKUP($B225,OFFSET([2]gachas!$A$2,0,0,COUNTA([2]gachas!$A:$A),MATCH(C$1,[2]gachas!$1:$1,0)-MATCH($B$1,[2]gachas!$1:$1,0)+1),MATCH(C$1,[2]gachas!$1:$1,0)-MATCH($B$1,[2]gachas!$1:$1,0)+1,FALSE)</f>
        <v>赤アップ0１　あと少し</v>
      </c>
      <c r="D225" s="6">
        <v>0</v>
      </c>
      <c r="E225" s="7">
        <v>257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色欲 アスモデウス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4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blue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ゴッド</v>
      </c>
      <c r="L225" s="6">
        <v>1</v>
      </c>
      <c r="M225" s="6">
        <v>108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ht="21" customHeight="1" thickBot="1">
      <c r="A226" s="22" t="str">
        <f t="shared" si="3"/>
        <v>02581</v>
      </c>
      <c r="B226" s="2">
        <v>109</v>
      </c>
      <c r="C226" s="10" t="str">
        <f ca="1">VLOOKUP($B226,OFFSET([2]gachas!$A$2,0,0,COUNTA([2]gachas!$A:$A),MATCH(C$1,[2]gachas!$1:$1,0)-MATCH($B$1,[2]gachas!$1:$1,0)+1),MATCH(C$1,[2]gachas!$1:$1,0)-MATCH($B$1,[2]gachas!$1:$1,0)+1,FALSE)</f>
        <v>赤アップ0１　あと少し</v>
      </c>
      <c r="D226" s="6">
        <v>0</v>
      </c>
      <c r="E226" s="7">
        <v>258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5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blue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6">
        <v>17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3"/>
        <v>02591</v>
      </c>
      <c r="B227" s="2">
        <v>109</v>
      </c>
      <c r="C227" s="10" t="str">
        <f ca="1">VLOOKUP($B227,OFFSET([2]gachas!$A$2,0,0,COUNTA([2]gachas!$A:$A),MATCH(C$1,[2]gachas!$1:$1,0)-MATCH($B$1,[2]gachas!$1:$1,0)+1),MATCH(C$1,[2]gachas!$1:$1,0)-MATCH($B$1,[2]gachas!$1:$1,0)+1,FALSE)</f>
        <v>赤アップ0１　あと少し</v>
      </c>
      <c r="D227" s="6">
        <v>0</v>
      </c>
      <c r="E227" s="7">
        <v>259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ウロボロス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3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yellow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ドラゴン</v>
      </c>
      <c r="L227" s="6">
        <v>1</v>
      </c>
      <c r="M227" s="45">
        <v>307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3"/>
        <v>02601</v>
      </c>
      <c r="B228" s="2">
        <v>109</v>
      </c>
      <c r="C228" s="10" t="str">
        <f ca="1">VLOOKUP($B228,OFFSET([2]gachas!$A$2,0,0,COUNTA([2]gachas!$A:$A),MATCH(C$1,[2]gachas!$1:$1,0)-MATCH($B$1,[2]gachas!$1:$1,0)+1),MATCH(C$1,[2]gachas!$1:$1,0)-MATCH($B$1,[2]gachas!$1:$1,0)+1,FALSE)</f>
        <v>赤アップ0１　あと少し</v>
      </c>
      <c r="D228" s="6">
        <v>0</v>
      </c>
      <c r="E228" s="7">
        <v>260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輪廻 ウロボロス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4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yellow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ドラゴン</v>
      </c>
      <c r="L228" s="6">
        <v>1</v>
      </c>
      <c r="M228" s="6">
        <v>108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3"/>
        <v>02611</v>
      </c>
      <c r="B229" s="2">
        <v>109</v>
      </c>
      <c r="C229" s="10" t="str">
        <f ca="1">VLOOKUP($B229,OFFSET([2]gachas!$A$2,0,0,COUNTA([2]gachas!$A:$A),MATCH(C$1,[2]gachas!$1:$1,0)-MATCH($B$1,[2]gachas!$1:$1,0)+1),MATCH(C$1,[2]gachas!$1:$1,0)-MATCH($B$1,[2]gachas!$1:$1,0)+1,FALSE)</f>
        <v>赤アップ0１　あと少し</v>
      </c>
      <c r="D229" s="6">
        <v>0</v>
      </c>
      <c r="E229" s="7">
        <v>261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5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yellow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ドラゴン</v>
      </c>
      <c r="L229" s="6">
        <v>1</v>
      </c>
      <c r="M229" s="6">
        <v>17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3"/>
        <v>03201</v>
      </c>
      <c r="B230" s="2">
        <v>109</v>
      </c>
      <c r="C230" s="10" t="str">
        <f ca="1">VLOOKUP($B230,OFFSET([2]gachas!$A$2,0,0,COUNTA([2]gachas!$A:$A),MATCH(C$1,[2]gachas!$1:$1,0)-MATCH($B$1,[2]gachas!$1:$1,0)+1),MATCH(C$1,[2]gachas!$1:$1,0)-MATCH($B$1,[2]gachas!$1:$1,0)+1,FALSE)</f>
        <v>赤アップ0１　あと少し</v>
      </c>
      <c r="D230" s="37">
        <v>0</v>
      </c>
      <c r="E230" s="38">
        <v>320</v>
      </c>
      <c r="F230" s="20" t="str">
        <f ca="1">VLOOKUP($E230,OFFSET([1]characters!$A$2,0,0,COUNTA([1]characters!$A:$A),MATCH(F$1,[1]characters!$2:$2,0)-MATCH($E$1,[1]characters!$2:$2,0)+1),MATCH(F$1,[1]characters!$2:$2,0)-MATCH($E$1,[1]characters!$2:$2,0)+1,FALSE)</f>
        <v>烈志士 近藤勇</v>
      </c>
      <c r="G230" s="20" t="str">
        <f ca="1">VLOOKUP($E230,OFFSET([1]characters!$A$2,0,0,COUNTA([1]characters!$A:$A),MATCH(G$1,[1]characters!$2:$2,0)-MATCH($E$1,[1]characters!$2:$2,0)+1),MATCH(G$1,[1]characters!$2:$2,0)-MATCH($E$1,[1]characters!$2:$2,0)+1,FALSE)</f>
        <v>PremiumSS</v>
      </c>
      <c r="H230" s="2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20" t="str">
        <f ca="1">VLOOKUP($E230,OFFSET([1]characters!$A$2,0,0,COUNTA([1]characters!$A:$A),MATCH(I$1,[1]characters!$2:$2,0)-MATCH($E$1,[1]characters!$2:$2,0)+1),MATCH(I$1,[1]characters!$2:$2,0)-MATCH($E$1,[1]characters!$2:$2,0)+1,FALSE)</f>
        <v>red</v>
      </c>
      <c r="J230" s="20" t="str">
        <f ca="1">VLOOKUP($E230,OFFSET([1]characters!$A$2,0,0,COUNTA([1]characters!$A:$A),MATCH("タイプ",[1]characters!$1:$1,0)-MATCH($E$1,[1]characters!$2:$2,0)+2),MATCH("タイプ",[1]characters!$1:$1,0)-MATCH($E$1,[1]characters!$2:$2,0)+2,FALSE)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0" s="20" t="str">
        <f ca="1">VLOOKUP($E230,OFFSET([1]characters!$A$2,0,0,COUNTA([1]characters!$A:$A),MATCH($K$1,[1]characters!$1:$1,0)-MATCH($E$1,[1]characters!$2:$2,0)+2),MATCH($K$1,[1]characters!$1:$1,0)-MATCH($E$1,[1]characters!$2:$2,0)+2,FALSE)</f>
        <v>ヒューマン</v>
      </c>
      <c r="L230" s="37">
        <v>1</v>
      </c>
      <c r="M230" s="29">
        <v>1386</v>
      </c>
      <c r="N230" s="18">
        <v>0</v>
      </c>
      <c r="O230" s="18">
        <v>0</v>
      </c>
      <c r="P230" s="18">
        <v>0</v>
      </c>
      <c r="Q230" s="18">
        <v>0</v>
      </c>
      <c r="R230" s="18">
        <v>1</v>
      </c>
    </row>
    <row r="231" spans="1:18" ht="21" customHeight="1" thickBot="1">
      <c r="A231" s="22" t="str">
        <f t="shared" si="3"/>
        <v>03211</v>
      </c>
      <c r="B231" s="2">
        <v>109</v>
      </c>
      <c r="C231" s="10" t="str">
        <f ca="1">VLOOKUP($B231,OFFSET([2]gachas!$A$2,0,0,COUNTA([2]gachas!$A:$A),MATCH(C$1,[2]gachas!$1:$1,0)-MATCH($B$1,[2]gachas!$1:$1,0)+1),MATCH(C$1,[2]gachas!$1:$1,0)-MATCH($B$1,[2]gachas!$1:$1,0)+1,FALSE)</f>
        <v>赤アップ0１　あと少し</v>
      </c>
      <c r="D231" s="37">
        <v>0</v>
      </c>
      <c r="E231" s="30">
        <v>321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巌鉄の烈志士 近藤勇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red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ヒューマン</v>
      </c>
      <c r="L231" s="29">
        <v>1</v>
      </c>
      <c r="M231" s="29">
        <v>158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3"/>
        <v>03221</v>
      </c>
      <c r="B232" s="2">
        <v>109</v>
      </c>
      <c r="C232" s="10" t="str">
        <f ca="1">VLOOKUP($B232,OFFSET([2]gachas!$A$2,0,0,COUNTA([2]gachas!$A:$A),MATCH(C$1,[2]gachas!$1:$1,0)-MATCH($B$1,[2]gachas!$1:$1,0)+1),MATCH(C$1,[2]gachas!$1:$1,0)-MATCH($B$1,[2]gachas!$1:$1,0)+1,FALSE)</f>
        <v>赤アップ0１　あと少し</v>
      </c>
      <c r="D232" s="21">
        <v>0</v>
      </c>
      <c r="E232" s="7">
        <v>322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愛志士 土方歳三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4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green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ヒューマン</v>
      </c>
      <c r="L232" s="6">
        <v>1</v>
      </c>
      <c r="M232" s="6">
        <v>378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3"/>
        <v>03231</v>
      </c>
      <c r="B233" s="2">
        <v>109</v>
      </c>
      <c r="C233" s="10" t="str">
        <f ca="1">VLOOKUP($B233,OFFSET([2]gachas!$A$2,0,0,COUNTA([2]gachas!$A:$A),MATCH(C$1,[2]gachas!$1:$1,0)-MATCH($B$1,[2]gachas!$1:$1,0)+1),MATCH(C$1,[2]gachas!$1:$1,0)-MATCH($B$1,[2]gachas!$1:$1,0)+1,FALSE)</f>
        <v>赤アップ0１　あと少し</v>
      </c>
      <c r="D233" s="21">
        <v>0</v>
      </c>
      <c r="E233" s="7">
        <v>323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5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green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ヒューマン</v>
      </c>
      <c r="L233" s="6">
        <v>1</v>
      </c>
      <c r="M233" s="6">
        <v>43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3"/>
        <v>03241</v>
      </c>
      <c r="B234" s="2">
        <v>109</v>
      </c>
      <c r="C234" s="10" t="str">
        <f ca="1">VLOOKUP($B234,OFFSET([2]gachas!$A$2,0,0,COUNTA([2]gachas!$A:$A),MATCH(C$1,[2]gachas!$1:$1,0)-MATCH($B$1,[2]gachas!$1:$1,0)+1),MATCH(C$1,[2]gachas!$1:$1,0)-MATCH($B$1,[2]gachas!$1:$1,0)+1,FALSE)</f>
        <v>赤アップ0１　あと少し</v>
      </c>
      <c r="D234" s="21">
        <v>0</v>
      </c>
      <c r="E234" s="7">
        <v>324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凛志士 沖田総司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4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ヒューマン</v>
      </c>
      <c r="L234" s="6">
        <v>1</v>
      </c>
      <c r="M234" s="6">
        <v>378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3"/>
        <v>03251</v>
      </c>
      <c r="B235" s="2">
        <v>109</v>
      </c>
      <c r="C235" s="10" t="str">
        <f ca="1">VLOOKUP($B235,OFFSET([2]gachas!$A$2,0,0,COUNTA([2]gachas!$A:$A),MATCH(C$1,[2]gachas!$1:$1,0)-MATCH($B$1,[2]gachas!$1:$1,0)+1),MATCH(C$1,[2]gachas!$1:$1,0)-MATCH($B$1,[2]gachas!$1:$1,0)+1,FALSE)</f>
        <v>赤アップ0１　あと少し</v>
      </c>
      <c r="D235" s="21">
        <v>0</v>
      </c>
      <c r="E235" s="7">
        <v>325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5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blue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ヒューマン</v>
      </c>
      <c r="L235" s="6">
        <v>1</v>
      </c>
      <c r="M235" s="6">
        <v>43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3"/>
        <v>03261</v>
      </c>
      <c r="B236" s="2">
        <v>109</v>
      </c>
      <c r="C236" s="10" t="str">
        <f ca="1">VLOOKUP($B236,OFFSET([2]gachas!$A$2,0,0,COUNTA([2]gachas!$A:$A),MATCH(C$1,[2]gachas!$1:$1,0)-MATCH($B$1,[2]gachas!$1:$1,0)+1),MATCH(C$1,[2]gachas!$1:$1,0)-MATCH($B$1,[2]gachas!$1:$1,0)+1,FALSE)</f>
        <v>赤アップ0１　あと少し</v>
      </c>
      <c r="D236" s="21">
        <v>0</v>
      </c>
      <c r="E236" s="7">
        <v>326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妖志士 斎藤一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ヒューマン</v>
      </c>
      <c r="L236" s="6">
        <v>1</v>
      </c>
      <c r="M236" s="6">
        <v>378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3"/>
        <v>03271</v>
      </c>
      <c r="B237" s="2">
        <v>109</v>
      </c>
      <c r="C237" s="10" t="str">
        <f ca="1">VLOOKUP($B237,OFFSET([2]gachas!$A$2,0,0,COUNTA([2]gachas!$A:$A),MATCH(C$1,[2]gachas!$1:$1,0)-MATCH($B$1,[2]gachas!$1:$1,0)+1),MATCH(C$1,[2]gachas!$1:$1,0)-MATCH($B$1,[2]gachas!$1:$1,0)+1,FALSE)</f>
        <v>赤アップ0１　あと少し</v>
      </c>
      <c r="D237" s="21">
        <v>0</v>
      </c>
      <c r="E237" s="25">
        <v>327</v>
      </c>
      <c r="F237" s="23" t="str">
        <f ca="1">VLOOKUP($E237,OFFSET([1]characters!$A$2,0,0,COUNTA([1]characters!$A:$A),MATCH(F$1,[1]characters!$2:$2,0)-MATCH($E$1,[1]characters!$2:$2,0)+1),MATCH(F$1,[1]characters!$2:$2,0)-MATCH($E$1,[1]characters!$2:$2,0)+1,FALSE)</f>
        <v>千殺の妖志士 斎藤一</v>
      </c>
      <c r="G237" s="23" t="str">
        <f ca="1">VLOOKUP($E237,OFFSET([1]characters!$A$2,0,0,COUNTA([1]characters!$A:$A),MATCH(G$1,[1]characters!$2:$2,0)-MATCH($E$1,[1]characters!$2:$2,0)+1),MATCH(G$1,[1]characters!$2:$2,0)-MATCH($E$1,[1]characters!$2:$2,0)+1,FALSE)</f>
        <v>PremiumSS</v>
      </c>
      <c r="H237" s="23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23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23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7" s="23" t="str">
        <f ca="1">VLOOKUP($E237,OFFSET([1]characters!$A$2,0,0,COUNTA([1]characters!$A:$A),MATCH($K$1,[1]characters!$1:$1,0)-MATCH($E$1,[1]characters!$2:$2,0)+2),MATCH($K$1,[1]characters!$1:$1,0)-MATCH($E$1,[1]characters!$2:$2,0)+2,FALSE)</f>
        <v>ヒューマン</v>
      </c>
      <c r="L237" s="24">
        <v>1</v>
      </c>
      <c r="M237" s="6">
        <v>43</v>
      </c>
      <c r="N237" s="35">
        <v>0</v>
      </c>
      <c r="O237" s="35">
        <v>0</v>
      </c>
      <c r="P237" s="35">
        <v>0</v>
      </c>
      <c r="Q237" s="35">
        <v>0</v>
      </c>
      <c r="R237" s="35">
        <v>1</v>
      </c>
    </row>
  </sheetData>
  <autoFilter ref="B1:M236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0000FF"/>
  </sheetPr>
  <dimension ref="A1:R237"/>
  <sheetViews>
    <sheetView workbookViewId="0">
      <selection activeCell="C2" sqref="C2:C237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3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24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110</v>
      </c>
      <c r="C2" s="10" t="str">
        <f ca="1">VLOOKUP($B2,OFFSET([2]gachas!$A$2,0,0,COUNTA([2]gachas!$A:$A),MATCH(C$1,[2]gachas!$1:$1,0)-MATCH($B$1,[2]gachas!$1:$1,0)+1),MATCH(C$1,[2]gachas!$1:$1,0)-MATCH($B$1,[2]gachas!$1:$1,0)+1,FALSE)</f>
        <v>赤アップ0１　最終日</v>
      </c>
      <c r="D2" s="29">
        <v>1</v>
      </c>
      <c r="E2" s="30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29">
        <v>1</v>
      </c>
      <c r="M2" s="29">
        <v>4178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110</v>
      </c>
      <c r="C3" s="10" t="str">
        <f ca="1">VLOOKUP($B3,OFFSET([2]gachas!$A$2,0,0,COUNTA([2]gachas!$A:$A),MATCH(C$1,[2]gachas!$1:$1,0)-MATCH($B$1,[2]gachas!$1:$1,0)+1),MATCH(C$1,[2]gachas!$1:$1,0)-MATCH($B$1,[2]gachas!$1:$1,0)+1,FALSE)</f>
        <v>赤アップ0１　最終日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6">
        <v>1139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110</v>
      </c>
      <c r="C4" s="10" t="str">
        <f ca="1">VLOOKUP($B4,OFFSET([2]gachas!$A$2,0,0,COUNTA([2]gachas!$A:$A),MATCH(C$1,[2]gachas!$1:$1,0)-MATCH($B$1,[2]gachas!$1:$1,0)+1),MATCH(C$1,[2]gachas!$1:$1,0)-MATCH($B$1,[2]gachas!$1:$1,0)+1,FALSE)</f>
        <v>赤アップ0１　最終日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6">
        <v>1139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110</v>
      </c>
      <c r="C5" s="10" t="str">
        <f ca="1">VLOOKUP($B5,OFFSET([2]gachas!$A$2,0,0,COUNTA([2]gachas!$A:$A),MATCH(C$1,[2]gachas!$1:$1,0)-MATCH($B$1,[2]gachas!$1:$1,0)+1),MATCH(C$1,[2]gachas!$1:$1,0)-MATCH($B$1,[2]gachas!$1:$1,0)+1,FALSE)</f>
        <v>赤アップ0１　最終日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6">
        <v>1139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110</v>
      </c>
      <c r="C6" s="10" t="str">
        <f ca="1">VLOOKUP($B6,OFFSET([2]gachas!$A$2,0,0,COUNTA([2]gachas!$A:$A),MATCH(C$1,[2]gachas!$1:$1,0)-MATCH($B$1,[2]gachas!$1:$1,0)+1),MATCH(C$1,[2]gachas!$1:$1,0)-MATCH($B$1,[2]gachas!$1:$1,0)+1,FALSE)</f>
        <v>赤アップ0１　最終日</v>
      </c>
      <c r="D6" s="29">
        <v>1</v>
      </c>
      <c r="E6" s="30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29">
        <v>1</v>
      </c>
      <c r="M6" s="29">
        <v>4178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110</v>
      </c>
      <c r="C7" s="10" t="str">
        <f ca="1">VLOOKUP($B7,OFFSET([2]gachas!$A$2,0,0,COUNTA([2]gachas!$A:$A),MATCH(C$1,[2]gachas!$1:$1,0)-MATCH($B$1,[2]gachas!$1:$1,0)+1),MATCH(C$1,[2]gachas!$1:$1,0)-MATCH($B$1,[2]gachas!$1:$1,0)+1,FALSE)</f>
        <v>赤アップ0１　最終日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6">
        <v>1139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110</v>
      </c>
      <c r="C8" s="10" t="str">
        <f ca="1">VLOOKUP($B8,OFFSET([2]gachas!$A$2,0,0,COUNTA([2]gachas!$A:$A),MATCH(C$1,[2]gachas!$1:$1,0)-MATCH($B$1,[2]gachas!$1:$1,0)+1),MATCH(C$1,[2]gachas!$1:$1,0)-MATCH($B$1,[2]gachas!$1:$1,0)+1,FALSE)</f>
        <v>赤アップ0１　最終日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6">
        <v>1139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110</v>
      </c>
      <c r="C9" s="10" t="str">
        <f ca="1">VLOOKUP($B9,OFFSET([2]gachas!$A$2,0,0,COUNTA([2]gachas!$A:$A),MATCH(C$1,[2]gachas!$1:$1,0)-MATCH($B$1,[2]gachas!$1:$1,0)+1),MATCH(C$1,[2]gachas!$1:$1,0)-MATCH($B$1,[2]gachas!$1:$1,0)+1,FALSE)</f>
        <v>赤アップ0１　最終日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6">
        <v>1139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110</v>
      </c>
      <c r="C10" s="10" t="str">
        <f ca="1">VLOOKUP($B10,OFFSET([2]gachas!$A$2,0,0,COUNTA([2]gachas!$A:$A),MATCH(C$1,[2]gachas!$1:$1,0)-MATCH($B$1,[2]gachas!$1:$1,0)+1),MATCH(C$1,[2]gachas!$1:$1,0)-MATCH($B$1,[2]gachas!$1:$1,0)+1,FALSE)</f>
        <v>赤アップ0１　最終日</v>
      </c>
      <c r="D10" s="29">
        <v>1</v>
      </c>
      <c r="E10" s="30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29">
        <v>1</v>
      </c>
      <c r="M10" s="29">
        <v>4178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110</v>
      </c>
      <c r="C11" s="10" t="str">
        <f ca="1">VLOOKUP($B11,OFFSET([2]gachas!$A$2,0,0,COUNTA([2]gachas!$A:$A),MATCH(C$1,[2]gachas!$1:$1,0)-MATCH($B$1,[2]gachas!$1:$1,0)+1),MATCH(C$1,[2]gachas!$1:$1,0)-MATCH($B$1,[2]gachas!$1:$1,0)+1,FALSE)</f>
        <v>赤アップ0１　最終日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6">
        <v>1139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110</v>
      </c>
      <c r="C12" s="10" t="str">
        <f ca="1">VLOOKUP($B12,OFFSET([2]gachas!$A$2,0,0,COUNTA([2]gachas!$A:$A),MATCH(C$1,[2]gachas!$1:$1,0)-MATCH($B$1,[2]gachas!$1:$1,0)+1),MATCH(C$1,[2]gachas!$1:$1,0)-MATCH($B$1,[2]gachas!$1:$1,0)+1,FALSE)</f>
        <v>赤アップ0１　最終日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6">
        <v>1139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110</v>
      </c>
      <c r="C13" s="10" t="str">
        <f ca="1">VLOOKUP($B13,OFFSET([2]gachas!$A$2,0,0,COUNTA([2]gachas!$A:$A),MATCH(C$1,[2]gachas!$1:$1,0)-MATCH($B$1,[2]gachas!$1:$1,0)+1),MATCH(C$1,[2]gachas!$1:$1,0)-MATCH($B$1,[2]gachas!$1:$1,0)+1,FALSE)</f>
        <v>赤アップ0１　最終日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6">
        <v>1139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110</v>
      </c>
      <c r="C14" s="10" t="str">
        <f ca="1">VLOOKUP($B14,OFFSET([2]gachas!$A$2,0,0,COUNTA([2]gachas!$A:$A),MATCH(C$1,[2]gachas!$1:$1,0)-MATCH($B$1,[2]gachas!$1:$1,0)+1),MATCH(C$1,[2]gachas!$1:$1,0)-MATCH($B$1,[2]gachas!$1:$1,0)+1,FALSE)</f>
        <v>赤アップ0１　最終日</v>
      </c>
      <c r="D14" s="29">
        <v>1</v>
      </c>
      <c r="E14" s="30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29">
        <v>1</v>
      </c>
      <c r="M14" s="29">
        <v>4178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110</v>
      </c>
      <c r="C15" s="10" t="str">
        <f ca="1">VLOOKUP($B15,OFFSET([2]gachas!$A$2,0,0,COUNTA([2]gachas!$A:$A),MATCH(C$1,[2]gachas!$1:$1,0)-MATCH($B$1,[2]gachas!$1:$1,0)+1),MATCH(C$1,[2]gachas!$1:$1,0)-MATCH($B$1,[2]gachas!$1:$1,0)+1,FALSE)</f>
        <v>赤アップ0１　最終日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6">
        <v>1139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110</v>
      </c>
      <c r="C16" s="10" t="str">
        <f ca="1">VLOOKUP($B16,OFFSET([2]gachas!$A$2,0,0,COUNTA([2]gachas!$A:$A),MATCH(C$1,[2]gachas!$1:$1,0)-MATCH($B$1,[2]gachas!$1:$1,0)+1),MATCH(C$1,[2]gachas!$1:$1,0)-MATCH($B$1,[2]gachas!$1:$1,0)+1,FALSE)</f>
        <v>赤アップ0１　最終日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6">
        <v>1139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110</v>
      </c>
      <c r="C17" s="10" t="str">
        <f ca="1">VLOOKUP($B17,OFFSET([2]gachas!$A$2,0,0,COUNTA([2]gachas!$A:$A),MATCH(C$1,[2]gachas!$1:$1,0)-MATCH($B$1,[2]gachas!$1:$1,0)+1),MATCH(C$1,[2]gachas!$1:$1,0)-MATCH($B$1,[2]gachas!$1:$1,0)+1,FALSE)</f>
        <v>赤アップ0１　最終日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6">
        <v>1139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110</v>
      </c>
      <c r="C18" s="10" t="str">
        <f ca="1">VLOOKUP($B18,OFFSET([2]gachas!$A$2,0,0,COUNTA([2]gachas!$A:$A),MATCH(C$1,[2]gachas!$1:$1,0)-MATCH($B$1,[2]gachas!$1:$1,0)+1),MATCH(C$1,[2]gachas!$1:$1,0)-MATCH($B$1,[2]gachas!$1:$1,0)+1,FALSE)</f>
        <v>赤アップ0１　最終日</v>
      </c>
      <c r="D18" s="29">
        <v>1</v>
      </c>
      <c r="E18" s="30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29">
        <v>1</v>
      </c>
      <c r="M18" s="29">
        <v>4178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110</v>
      </c>
      <c r="C19" s="10" t="str">
        <f ca="1">VLOOKUP($B19,OFFSET([2]gachas!$A$2,0,0,COUNTA([2]gachas!$A:$A),MATCH(C$1,[2]gachas!$1:$1,0)-MATCH($B$1,[2]gachas!$1:$1,0)+1),MATCH(C$1,[2]gachas!$1:$1,0)-MATCH($B$1,[2]gachas!$1:$1,0)+1,FALSE)</f>
        <v>赤アップ0１　最終日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6">
        <v>1139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110</v>
      </c>
      <c r="C20" s="10" t="str">
        <f ca="1">VLOOKUP($B20,OFFSET([2]gachas!$A$2,0,0,COUNTA([2]gachas!$A:$A),MATCH(C$1,[2]gachas!$1:$1,0)-MATCH($B$1,[2]gachas!$1:$1,0)+1),MATCH(C$1,[2]gachas!$1:$1,0)-MATCH($B$1,[2]gachas!$1:$1,0)+1,FALSE)</f>
        <v>赤アップ0１　最終日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6">
        <v>1139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110</v>
      </c>
      <c r="C21" s="10" t="str">
        <f ca="1">VLOOKUP($B21,OFFSET([2]gachas!$A$2,0,0,COUNTA([2]gachas!$A:$A),MATCH(C$1,[2]gachas!$1:$1,0)-MATCH($B$1,[2]gachas!$1:$1,0)+1),MATCH(C$1,[2]gachas!$1:$1,0)-MATCH($B$1,[2]gachas!$1:$1,0)+1,FALSE)</f>
        <v>赤アップ0１　最終日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6">
        <v>1139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110</v>
      </c>
      <c r="C22" s="10" t="str">
        <f ca="1">VLOOKUP($B22,OFFSET([2]gachas!$A$2,0,0,COUNTA([2]gachas!$A:$A),MATCH(C$1,[2]gachas!$1:$1,0)-MATCH($B$1,[2]gachas!$1:$1,0)+1),MATCH(C$1,[2]gachas!$1:$1,0)-MATCH($B$1,[2]gachas!$1:$1,0)+1,FALSE)</f>
        <v>赤アップ0１　最終日</v>
      </c>
      <c r="D22" s="29">
        <v>1</v>
      </c>
      <c r="E22" s="30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29">
        <v>1</v>
      </c>
      <c r="M22" s="29">
        <v>4760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110</v>
      </c>
      <c r="C23" s="10" t="str">
        <f ca="1">VLOOKUP($B23,OFFSET([2]gachas!$A$2,0,0,COUNTA([2]gachas!$A:$A),MATCH(C$1,[2]gachas!$1:$1,0)-MATCH($B$1,[2]gachas!$1:$1,0)+1),MATCH(C$1,[2]gachas!$1:$1,0)-MATCH($B$1,[2]gachas!$1:$1,0)+1,FALSE)</f>
        <v>赤アップ0１　最終日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6">
        <v>1298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110</v>
      </c>
      <c r="C24" s="10" t="str">
        <f ca="1">VLOOKUP($B24,OFFSET([2]gachas!$A$2,0,0,COUNTA([2]gachas!$A:$A),MATCH(C$1,[2]gachas!$1:$1,0)-MATCH($B$1,[2]gachas!$1:$1,0)+1),MATCH(C$1,[2]gachas!$1:$1,0)-MATCH($B$1,[2]gachas!$1:$1,0)+1,FALSE)</f>
        <v>赤アップ0１　最終日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1298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110</v>
      </c>
      <c r="C25" s="10" t="str">
        <f ca="1">VLOOKUP($B25,OFFSET([2]gachas!$A$2,0,0,COUNTA([2]gachas!$A:$A),MATCH(C$1,[2]gachas!$1:$1,0)-MATCH($B$1,[2]gachas!$1:$1,0)+1),MATCH(C$1,[2]gachas!$1:$1,0)-MATCH($B$1,[2]gachas!$1:$1,0)+1,FALSE)</f>
        <v>赤アップ0１　最終日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1298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110</v>
      </c>
      <c r="C26" s="10" t="str">
        <f ca="1">VLOOKUP($B26,OFFSET([2]gachas!$A$2,0,0,COUNTA([2]gachas!$A:$A),MATCH(C$1,[2]gachas!$1:$1,0)-MATCH($B$1,[2]gachas!$1:$1,0)+1),MATCH(C$1,[2]gachas!$1:$1,0)-MATCH($B$1,[2]gachas!$1:$1,0)+1,FALSE)</f>
        <v>赤アップ0１　最終日</v>
      </c>
      <c r="D26" s="29">
        <v>1</v>
      </c>
      <c r="E26" s="30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29">
        <v>1</v>
      </c>
      <c r="M26" s="29">
        <v>4760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110</v>
      </c>
      <c r="C27" s="10" t="str">
        <f ca="1">VLOOKUP($B27,OFFSET([2]gachas!$A$2,0,0,COUNTA([2]gachas!$A:$A),MATCH(C$1,[2]gachas!$1:$1,0)-MATCH($B$1,[2]gachas!$1:$1,0)+1),MATCH(C$1,[2]gachas!$1:$1,0)-MATCH($B$1,[2]gachas!$1:$1,0)+1,FALSE)</f>
        <v>赤アップ0１　最終日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1298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110</v>
      </c>
      <c r="C28" s="10" t="str">
        <f ca="1">VLOOKUP($B28,OFFSET([2]gachas!$A$2,0,0,COUNTA([2]gachas!$A:$A),MATCH(C$1,[2]gachas!$1:$1,0)-MATCH($B$1,[2]gachas!$1:$1,0)+1),MATCH(C$1,[2]gachas!$1:$1,0)-MATCH($B$1,[2]gachas!$1:$1,0)+1,FALSE)</f>
        <v>赤アップ0１　最終日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1298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110</v>
      </c>
      <c r="C29" s="10" t="str">
        <f ca="1">VLOOKUP($B29,OFFSET([2]gachas!$A$2,0,0,COUNTA([2]gachas!$A:$A),MATCH(C$1,[2]gachas!$1:$1,0)-MATCH($B$1,[2]gachas!$1:$1,0)+1),MATCH(C$1,[2]gachas!$1:$1,0)-MATCH($B$1,[2]gachas!$1:$1,0)+1,FALSE)</f>
        <v>赤アップ0１　最終日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1298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110</v>
      </c>
      <c r="C30" s="10" t="str">
        <f ca="1">VLOOKUP($B30,OFFSET([2]gachas!$A$2,0,0,COUNTA([2]gachas!$A:$A),MATCH(C$1,[2]gachas!$1:$1,0)-MATCH($B$1,[2]gachas!$1:$1,0)+1),MATCH(C$1,[2]gachas!$1:$1,0)-MATCH($B$1,[2]gachas!$1:$1,0)+1,FALSE)</f>
        <v>赤アップ0１　最終日</v>
      </c>
      <c r="D30" s="29">
        <v>1</v>
      </c>
      <c r="E30" s="30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29">
        <v>1</v>
      </c>
      <c r="M30" s="29">
        <v>4760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110</v>
      </c>
      <c r="C31" s="10" t="str">
        <f ca="1">VLOOKUP($B31,OFFSET([2]gachas!$A$2,0,0,COUNTA([2]gachas!$A:$A),MATCH(C$1,[2]gachas!$1:$1,0)-MATCH($B$1,[2]gachas!$1:$1,0)+1),MATCH(C$1,[2]gachas!$1:$1,0)-MATCH($B$1,[2]gachas!$1:$1,0)+1,FALSE)</f>
        <v>赤アップ0１　最終日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1298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110</v>
      </c>
      <c r="C32" s="10" t="str">
        <f ca="1">VLOOKUP($B32,OFFSET([2]gachas!$A$2,0,0,COUNTA([2]gachas!$A:$A),MATCH(C$1,[2]gachas!$1:$1,0)-MATCH($B$1,[2]gachas!$1:$1,0)+1),MATCH(C$1,[2]gachas!$1:$1,0)-MATCH($B$1,[2]gachas!$1:$1,0)+1,FALSE)</f>
        <v>赤アップ0１　最終日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1298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110</v>
      </c>
      <c r="C33" s="10" t="str">
        <f ca="1">VLOOKUP($B33,OFFSET([2]gachas!$A$2,0,0,COUNTA([2]gachas!$A:$A),MATCH(C$1,[2]gachas!$1:$1,0)-MATCH($B$1,[2]gachas!$1:$1,0)+1),MATCH(C$1,[2]gachas!$1:$1,0)-MATCH($B$1,[2]gachas!$1:$1,0)+1,FALSE)</f>
        <v>赤アップ0１　最終日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6">
        <v>1298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110</v>
      </c>
      <c r="C34" s="10" t="str">
        <f ca="1">VLOOKUP($B34,OFFSET([2]gachas!$A$2,0,0,COUNTA([2]gachas!$A:$A),MATCH(C$1,[2]gachas!$1:$1,0)-MATCH($B$1,[2]gachas!$1:$1,0)+1),MATCH(C$1,[2]gachas!$1:$1,0)-MATCH($B$1,[2]gachas!$1:$1,0)+1,FALSE)</f>
        <v>赤アップ0１　最終日</v>
      </c>
      <c r="D34" s="29">
        <v>1</v>
      </c>
      <c r="E34" s="30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29">
        <v>1</v>
      </c>
      <c r="M34" s="29">
        <v>4760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110</v>
      </c>
      <c r="C35" s="10" t="str">
        <f ca="1">VLOOKUP($B35,OFFSET([2]gachas!$A$2,0,0,COUNTA([2]gachas!$A:$A),MATCH(C$1,[2]gachas!$1:$1,0)-MATCH($B$1,[2]gachas!$1:$1,0)+1),MATCH(C$1,[2]gachas!$1:$1,0)-MATCH($B$1,[2]gachas!$1:$1,0)+1,FALSE)</f>
        <v>赤アップ0１　最終日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1298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110</v>
      </c>
      <c r="C36" s="10" t="str">
        <f ca="1">VLOOKUP($B36,OFFSET([2]gachas!$A$2,0,0,COUNTA([2]gachas!$A:$A),MATCH(C$1,[2]gachas!$1:$1,0)-MATCH($B$1,[2]gachas!$1:$1,0)+1),MATCH(C$1,[2]gachas!$1:$1,0)-MATCH($B$1,[2]gachas!$1:$1,0)+1,FALSE)</f>
        <v>赤アップ0１　最終日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1298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110</v>
      </c>
      <c r="C37" s="10" t="str">
        <f ca="1">VLOOKUP($B37,OFFSET([2]gachas!$A$2,0,0,COUNTA([2]gachas!$A:$A),MATCH(C$1,[2]gachas!$1:$1,0)-MATCH($B$1,[2]gachas!$1:$1,0)+1),MATCH(C$1,[2]gachas!$1:$1,0)-MATCH($B$1,[2]gachas!$1:$1,0)+1,FALSE)</f>
        <v>赤アップ0１　最終日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1298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110</v>
      </c>
      <c r="C38" s="10" t="str">
        <f ca="1">VLOOKUP($B38,OFFSET([2]gachas!$A$2,0,0,COUNTA([2]gachas!$A:$A),MATCH(C$1,[2]gachas!$1:$1,0)-MATCH($B$1,[2]gachas!$1:$1,0)+1),MATCH(C$1,[2]gachas!$1:$1,0)-MATCH($B$1,[2]gachas!$1:$1,0)+1,FALSE)</f>
        <v>赤アップ0１　最終日</v>
      </c>
      <c r="D38" s="29">
        <v>1</v>
      </c>
      <c r="E38" s="30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29">
        <v>1</v>
      </c>
      <c r="M38" s="29">
        <v>4760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110</v>
      </c>
      <c r="C39" s="10" t="str">
        <f ca="1">VLOOKUP($B39,OFFSET([2]gachas!$A$2,0,0,COUNTA([2]gachas!$A:$A),MATCH(C$1,[2]gachas!$1:$1,0)-MATCH($B$1,[2]gachas!$1:$1,0)+1),MATCH(C$1,[2]gachas!$1:$1,0)-MATCH($B$1,[2]gachas!$1:$1,0)+1,FALSE)</f>
        <v>赤アップ0１　最終日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1298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110</v>
      </c>
      <c r="C40" s="10" t="str">
        <f ca="1">VLOOKUP($B40,OFFSET([2]gachas!$A$2,0,0,COUNTA([2]gachas!$A:$A),MATCH(C$1,[2]gachas!$1:$1,0)-MATCH($B$1,[2]gachas!$1:$1,0)+1),MATCH(C$1,[2]gachas!$1:$1,0)-MATCH($B$1,[2]gachas!$1:$1,0)+1,FALSE)</f>
        <v>赤アップ0１　最終日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1298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110</v>
      </c>
      <c r="C41" s="10" t="str">
        <f ca="1">VLOOKUP($B41,OFFSET([2]gachas!$A$2,0,0,COUNTA([2]gachas!$A:$A),MATCH(C$1,[2]gachas!$1:$1,0)-MATCH($B$1,[2]gachas!$1:$1,0)+1),MATCH(C$1,[2]gachas!$1:$1,0)-MATCH($B$1,[2]gachas!$1:$1,0)+1,FALSE)</f>
        <v>赤アップ0１　最終日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1298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110</v>
      </c>
      <c r="C42" s="10" t="str">
        <f ca="1">VLOOKUP($B42,OFFSET([2]gachas!$A$2,0,0,COUNTA([2]gachas!$A:$A),MATCH(C$1,[2]gachas!$1:$1,0)-MATCH($B$1,[2]gachas!$1:$1,0)+1),MATCH(C$1,[2]gachas!$1:$1,0)-MATCH($B$1,[2]gachas!$1:$1,0)+1,FALSE)</f>
        <v>赤アップ0１　最終日</v>
      </c>
      <c r="D42" s="29">
        <v>1</v>
      </c>
      <c r="E42" s="30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29">
        <v>1</v>
      </c>
      <c r="M42" s="29">
        <v>972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110</v>
      </c>
      <c r="C43" s="10" t="str">
        <f ca="1">VLOOKUP($B43,OFFSET([2]gachas!$A$2,0,0,COUNTA([2]gachas!$A:$A),MATCH(C$1,[2]gachas!$1:$1,0)-MATCH($B$1,[2]gachas!$1:$1,0)+1),MATCH(C$1,[2]gachas!$1:$1,0)-MATCH($B$1,[2]gachas!$1:$1,0)+1,FALSE)</f>
        <v>赤アップ0１　最終日</v>
      </c>
      <c r="D43" s="6">
        <v>1</v>
      </c>
      <c r="E43" s="7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6">
        <v>1</v>
      </c>
      <c r="M43" s="6">
        <v>265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110</v>
      </c>
      <c r="C44" s="10" t="str">
        <f ca="1">VLOOKUP($B44,OFFSET([2]gachas!$A$2,0,0,COUNTA([2]gachas!$A:$A),MATCH(C$1,[2]gachas!$1:$1,0)-MATCH($B$1,[2]gachas!$1:$1,0)+1),MATCH(C$1,[2]gachas!$1:$1,0)-MATCH($B$1,[2]gachas!$1:$1,0)+1,FALSE)</f>
        <v>赤アップ0１　最終日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265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110</v>
      </c>
      <c r="C45" s="10" t="str">
        <f ca="1">VLOOKUP($B45,OFFSET([2]gachas!$A$2,0,0,COUNTA([2]gachas!$A:$A),MATCH(C$1,[2]gachas!$1:$1,0)-MATCH($B$1,[2]gachas!$1:$1,0)+1),MATCH(C$1,[2]gachas!$1:$1,0)-MATCH($B$1,[2]gachas!$1:$1,0)+1,FALSE)</f>
        <v>赤アップ0１　最終日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6">
        <v>265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11681</v>
      </c>
      <c r="B46" s="2">
        <v>110</v>
      </c>
      <c r="C46" s="10" t="str">
        <f ca="1">VLOOKUP($B46,OFFSET([2]gachas!$A$2,0,0,COUNTA([2]gachas!$A:$A),MATCH(C$1,[2]gachas!$1:$1,0)-MATCH($B$1,[2]gachas!$1:$1,0)+1),MATCH(C$1,[2]gachas!$1:$1,0)-MATCH($B$1,[2]gachas!$1:$1,0)+1,FALSE)</f>
        <v>赤アップ0１　最終日</v>
      </c>
      <c r="D46" s="29">
        <v>1</v>
      </c>
      <c r="E46" s="30">
        <v>168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PremiumN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red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ゴッド</v>
      </c>
      <c r="L46" s="29">
        <v>1</v>
      </c>
      <c r="M46" s="29">
        <v>372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11711</v>
      </c>
      <c r="B47" s="2">
        <v>110</v>
      </c>
      <c r="C47" s="10" t="str">
        <f ca="1">VLOOKUP($B47,OFFSET([2]gachas!$A$2,0,0,COUNTA([2]gachas!$A:$A),MATCH(C$1,[2]gachas!$1:$1,0)-MATCH($B$1,[2]gachas!$1:$1,0)+1),MATCH(C$1,[2]gachas!$1:$1,0)-MATCH($B$1,[2]gachas!$1:$1,0)+1,FALSE)</f>
        <v>赤アップ0１　最終日</v>
      </c>
      <c r="D47" s="6">
        <v>1</v>
      </c>
      <c r="E47" s="7">
        <v>171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精解の預知者 オセ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PremiumN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5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green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ゴッド</v>
      </c>
      <c r="L47" s="6">
        <v>1</v>
      </c>
      <c r="M47" s="6">
        <v>102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11741</v>
      </c>
      <c r="B48" s="2">
        <v>110</v>
      </c>
      <c r="C48" s="10" t="str">
        <f ca="1">VLOOKUP($B48,OFFSET([2]gachas!$A$2,0,0,COUNTA([2]gachas!$A:$A),MATCH(C$1,[2]gachas!$1:$1,0)-MATCH($B$1,[2]gachas!$1:$1,0)+1),MATCH(C$1,[2]gachas!$1:$1,0)-MATCH($B$1,[2]gachas!$1:$1,0)+1,FALSE)</f>
        <v>赤アップ0１　最終日</v>
      </c>
      <c r="D48" s="6">
        <v>1</v>
      </c>
      <c r="E48" s="7">
        <v>174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PremiumN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5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blue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ゴッド</v>
      </c>
      <c r="L48" s="6">
        <v>1</v>
      </c>
      <c r="M48" s="6">
        <v>102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11771</v>
      </c>
      <c r="B49" s="2">
        <v>110</v>
      </c>
      <c r="C49" s="10" t="str">
        <f ca="1">VLOOKUP($B49,OFFSET([2]gachas!$A$2,0,0,COUNTA([2]gachas!$A:$A),MATCH(C$1,[2]gachas!$1:$1,0)-MATCH($B$1,[2]gachas!$1:$1,0)+1),MATCH(C$1,[2]gachas!$1:$1,0)-MATCH($B$1,[2]gachas!$1:$1,0)+1,FALSE)</f>
        <v>赤アップ0１　最終日</v>
      </c>
      <c r="D49" s="6">
        <v>1</v>
      </c>
      <c r="E49" s="7">
        <v>177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PremiumN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5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yellow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ゴッド</v>
      </c>
      <c r="L49" s="6">
        <v>1</v>
      </c>
      <c r="M49" s="6">
        <v>102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11801</v>
      </c>
      <c r="B50" s="2">
        <v>110</v>
      </c>
      <c r="C50" s="10" t="str">
        <f ca="1">VLOOKUP($B50,OFFSET([2]gachas!$A$2,0,0,COUNTA([2]gachas!$A:$A),MATCH(C$1,[2]gachas!$1:$1,0)-MATCH($B$1,[2]gachas!$1:$1,0)+1),MATCH(C$1,[2]gachas!$1:$1,0)-MATCH($B$1,[2]gachas!$1:$1,0)+1,FALSE)</f>
        <v>赤アップ0１　最終日</v>
      </c>
      <c r="D50" s="29">
        <v>1</v>
      </c>
      <c r="E50" s="30">
        <v>180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PremiumN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5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red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アニマル</v>
      </c>
      <c r="L50" s="29">
        <v>1</v>
      </c>
      <c r="M50" s="29">
        <v>372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ht="21" customHeight="1">
      <c r="A51" s="8" t="str">
        <f t="shared" si="0"/>
        <v>11831</v>
      </c>
      <c r="B51" s="2">
        <v>110</v>
      </c>
      <c r="C51" s="10" t="str">
        <f ca="1">VLOOKUP($B51,OFFSET([2]gachas!$A$2,0,0,COUNTA([2]gachas!$A:$A),MATCH(C$1,[2]gachas!$1:$1,0)-MATCH($B$1,[2]gachas!$1:$1,0)+1),MATCH(C$1,[2]gachas!$1:$1,0)-MATCH($B$1,[2]gachas!$1:$1,0)+1,FALSE)</f>
        <v>赤アップ0１　最終日</v>
      </c>
      <c r="D51" s="6">
        <v>1</v>
      </c>
      <c r="E51" s="7">
        <v>183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PremiumN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green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アニマル</v>
      </c>
      <c r="L51" s="6">
        <v>1</v>
      </c>
      <c r="M51" s="6">
        <v>102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>
      <c r="A52" s="8" t="str">
        <f t="shared" si="0"/>
        <v>11861</v>
      </c>
      <c r="B52" s="2">
        <v>110</v>
      </c>
      <c r="C52" s="10" t="str">
        <f ca="1">VLOOKUP($B52,OFFSET([2]gachas!$A$2,0,0,COUNTA([2]gachas!$A:$A),MATCH(C$1,[2]gachas!$1:$1,0)-MATCH($B$1,[2]gachas!$1:$1,0)+1),MATCH(C$1,[2]gachas!$1:$1,0)-MATCH($B$1,[2]gachas!$1:$1,0)+1,FALSE)</f>
        <v>赤アップ0１　最終日</v>
      </c>
      <c r="D52" s="6">
        <v>1</v>
      </c>
      <c r="E52" s="7">
        <v>186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PremiumN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5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blue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アニマル</v>
      </c>
      <c r="L52" s="6">
        <v>1</v>
      </c>
      <c r="M52" s="6">
        <v>102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>
      <c r="A53" s="8" t="str">
        <f t="shared" si="0"/>
        <v>11891</v>
      </c>
      <c r="B53" s="2">
        <v>110</v>
      </c>
      <c r="C53" s="10" t="str">
        <f ca="1">VLOOKUP($B53,OFFSET([2]gachas!$A$2,0,0,COUNTA([2]gachas!$A:$A),MATCH(C$1,[2]gachas!$1:$1,0)-MATCH($B$1,[2]gachas!$1:$1,0)+1),MATCH(C$1,[2]gachas!$1:$1,0)-MATCH($B$1,[2]gachas!$1:$1,0)+1,FALSE)</f>
        <v>赤アップ0１　最終日</v>
      </c>
      <c r="D53" s="6">
        <v>1</v>
      </c>
      <c r="E53" s="7">
        <v>189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迅雷の王禽 ホルス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PremiumN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5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yellow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アニマル</v>
      </c>
      <c r="L53" s="6">
        <v>1</v>
      </c>
      <c r="M53" s="6">
        <v>102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>
      <c r="A54" s="8" t="str">
        <f t="shared" si="0"/>
        <v>11921</v>
      </c>
      <c r="B54" s="2">
        <v>110</v>
      </c>
      <c r="C54" s="10" t="str">
        <f ca="1">VLOOKUP($B54,OFFSET([2]gachas!$A$2,0,0,COUNTA([2]gachas!$A:$A),MATCH(C$1,[2]gachas!$1:$1,0)-MATCH($B$1,[2]gachas!$1:$1,0)+1),MATCH(C$1,[2]gachas!$1:$1,0)-MATCH($B$1,[2]gachas!$1:$1,0)+1,FALSE)</f>
        <v>赤アップ0１　最終日</v>
      </c>
      <c r="D54" s="29">
        <v>1</v>
      </c>
      <c r="E54" s="30">
        <v>192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PremiumN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5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red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ヒューマン</v>
      </c>
      <c r="L54" s="29">
        <v>1</v>
      </c>
      <c r="M54" s="29">
        <v>372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>
      <c r="A55" s="8" t="str">
        <f t="shared" si="0"/>
        <v>11951</v>
      </c>
      <c r="B55" s="2">
        <v>110</v>
      </c>
      <c r="C55" s="10" t="str">
        <f ca="1">VLOOKUP($B55,OFFSET([2]gachas!$A$2,0,0,COUNTA([2]gachas!$A:$A),MATCH(C$1,[2]gachas!$1:$1,0)-MATCH($B$1,[2]gachas!$1:$1,0)+1),MATCH(C$1,[2]gachas!$1:$1,0)-MATCH($B$1,[2]gachas!$1:$1,0)+1,FALSE)</f>
        <v>赤アップ0１　最終日</v>
      </c>
      <c r="D55" s="6">
        <v>1</v>
      </c>
      <c r="E55" s="7">
        <v>195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PremiumN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5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green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ヒューマン</v>
      </c>
      <c r="L55" s="6">
        <v>1</v>
      </c>
      <c r="M55" s="6">
        <v>102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>
      <c r="A56" s="8" t="str">
        <f t="shared" si="0"/>
        <v>11981</v>
      </c>
      <c r="B56" s="2">
        <v>110</v>
      </c>
      <c r="C56" s="10" t="str">
        <f ca="1">VLOOKUP($B56,OFFSET([2]gachas!$A$2,0,0,COUNTA([2]gachas!$A:$A),MATCH(C$1,[2]gachas!$1:$1,0)-MATCH($B$1,[2]gachas!$1:$1,0)+1),MATCH(C$1,[2]gachas!$1:$1,0)-MATCH($B$1,[2]gachas!$1:$1,0)+1,FALSE)</f>
        <v>赤アップ0１　最終日</v>
      </c>
      <c r="D56" s="6">
        <v>1</v>
      </c>
      <c r="E56" s="7">
        <v>198</v>
      </c>
      <c r="F56" s="10" t="str">
        <f ca="1">VLOOKUP($E56,OFFSET([1]characters!$A$2,0,0,COUNTA([1]characters!$A:$A),MATCH(F$1,[1]characters!$2:$2,0)-MATCH($E$1,[1]characters!$2:$2,0)+1),MATCH(F$1,[1]characters!$2:$2,0)-MATCH($E$1,[1]characters!$2:$2,0)+1,FALSE)</f>
        <v>砕骨の剛腕 アキレス</v>
      </c>
      <c r="G56" s="10" t="str">
        <f ca="1">VLOOKUP($E56,OFFSET([1]characters!$A$2,0,0,COUNTA([1]characters!$A:$A),MATCH(G$1,[1]characters!$2:$2,0)-MATCH($E$1,[1]characters!$2:$2,0)+1),MATCH(G$1,[1]characters!$2:$2,0)-MATCH($E$1,[1]characters!$2:$2,0)+1,FALSE)</f>
        <v>PremiumN</v>
      </c>
      <c r="H56" s="10">
        <f ca="1">VLOOKUP($E56,OFFSET([1]characters!$A$2,0,0,COUNTA([1]characters!$A:$A),MATCH(H$1,[1]characters!$2:$2,0)-MATCH($E$1,[1]characters!$2:$2,0)+1),MATCH(H$1,[1]characters!$2:$2,0)-MATCH($E$1,[1]characters!$2:$2,0)+1,FALSE)</f>
        <v>5</v>
      </c>
      <c r="I56" s="10" t="str">
        <f ca="1">VLOOKUP($E56,OFFSET([1]characters!$A$2,0,0,COUNTA([1]characters!$A:$A),MATCH(I$1,[1]characters!$2:$2,0)-MATCH($E$1,[1]characters!$2:$2,0)+1),MATCH(I$1,[1]characters!$2:$2,0)-MATCH($E$1,[1]characters!$2:$2,0)+1,FALSE)</f>
        <v>yellow</v>
      </c>
      <c r="J56" s="10" t="str">
        <f ca="1">VLOOKUP($E56,OFFSET([1]characters!$A$2,0,0,COUNTA([1]characters!$A:$A),MATCH("タイプ",[1]characters!$1:$1,0)-MATCH($E$1,[1]characters!$2:$2,0)+2),MATCH("タイプ",[1]characters!$1:$1,0)-MATCH($E$1,[1]characters!$2:$2,0)+2,FALSE)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6" s="1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6">
        <v>1</v>
      </c>
      <c r="M56" s="6">
        <v>102</v>
      </c>
      <c r="N56" s="28">
        <v>0</v>
      </c>
      <c r="O56" s="28">
        <v>0</v>
      </c>
      <c r="P56" s="28">
        <v>0</v>
      </c>
      <c r="Q56" s="28">
        <v>0</v>
      </c>
      <c r="R56" s="28">
        <v>1</v>
      </c>
    </row>
    <row r="57" spans="1:18" ht="21" customHeight="1">
      <c r="A57" s="8" t="str">
        <f t="shared" si="0"/>
        <v>12011</v>
      </c>
      <c r="B57" s="2">
        <v>110</v>
      </c>
      <c r="C57" s="10" t="str">
        <f ca="1">VLOOKUP($B57,OFFSET([2]gachas!$A$2,0,0,COUNTA([2]gachas!$A:$A),MATCH(C$1,[2]gachas!$1:$1,0)-MATCH($B$1,[2]gachas!$1:$1,0)+1),MATCH(C$1,[2]gachas!$1:$1,0)-MATCH($B$1,[2]gachas!$1:$1,0)+1,FALSE)</f>
        <v>赤アップ0１　最終日</v>
      </c>
      <c r="D57" s="6">
        <v>1</v>
      </c>
      <c r="E57" s="7">
        <v>201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PremiumN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5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blue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6">
        <v>102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>
      <c r="A58" s="8" t="str">
        <f t="shared" si="0"/>
        <v>12041</v>
      </c>
      <c r="B58" s="2">
        <v>110</v>
      </c>
      <c r="C58" s="10" t="str">
        <f ca="1">VLOOKUP($B58,OFFSET([2]gachas!$A$2,0,0,COUNTA([2]gachas!$A:$A),MATCH(C$1,[2]gachas!$1:$1,0)-MATCH($B$1,[2]gachas!$1:$1,0)+1),MATCH(C$1,[2]gachas!$1:$1,0)-MATCH($B$1,[2]gachas!$1:$1,0)+1,FALSE)</f>
        <v>赤アップ0１　最終日</v>
      </c>
      <c r="D58" s="29">
        <v>1</v>
      </c>
      <c r="E58" s="30">
        <v>204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PremiumN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5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red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ゴッド</v>
      </c>
      <c r="L58" s="29">
        <v>1</v>
      </c>
      <c r="M58" s="29">
        <v>372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>
      <c r="A59" s="8" t="str">
        <f t="shared" si="0"/>
        <v>12071</v>
      </c>
      <c r="B59" s="2">
        <v>110</v>
      </c>
      <c r="C59" s="10" t="str">
        <f ca="1">VLOOKUP($B59,OFFSET([2]gachas!$A$2,0,0,COUNTA([2]gachas!$A:$A),MATCH(C$1,[2]gachas!$1:$1,0)-MATCH($B$1,[2]gachas!$1:$1,0)+1),MATCH(C$1,[2]gachas!$1:$1,0)-MATCH($B$1,[2]gachas!$1:$1,0)+1,FALSE)</f>
        <v>赤アップ0１　最終日</v>
      </c>
      <c r="D59" s="6">
        <v>1</v>
      </c>
      <c r="E59" s="7">
        <v>207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PremiumN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green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ゴッド</v>
      </c>
      <c r="L59" s="6">
        <v>1</v>
      </c>
      <c r="M59" s="6">
        <v>102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ht="21" customHeight="1">
      <c r="A60" s="8" t="str">
        <f t="shared" si="0"/>
        <v>12101</v>
      </c>
      <c r="B60" s="2">
        <v>110</v>
      </c>
      <c r="C60" s="10" t="str">
        <f ca="1">VLOOKUP($B60,OFFSET([2]gachas!$A$2,0,0,COUNTA([2]gachas!$A:$A),MATCH(C$1,[2]gachas!$1:$1,0)-MATCH($B$1,[2]gachas!$1:$1,0)+1),MATCH(C$1,[2]gachas!$1:$1,0)-MATCH($B$1,[2]gachas!$1:$1,0)+1,FALSE)</f>
        <v>赤アップ0１　最終日</v>
      </c>
      <c r="D60" s="6">
        <v>1</v>
      </c>
      <c r="E60" s="7">
        <v>210</v>
      </c>
      <c r="F60" s="10" t="str">
        <f ca="1">VLOOKUP($E60,OFFSET([1]characters!$A$2,0,0,COUNTA([1]characters!$A:$A),MATCH(F$1,[1]characters!$2:$2,0)-MATCH($E$1,[1]characters!$2:$2,0)+1),MATCH(F$1,[1]characters!$2:$2,0)-MATCH($E$1,[1]characters!$2:$2,0)+1,FALSE)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60" s="10" t="str">
        <f ca="1">VLOOKUP($E60,OFFSET([1]characters!$A$2,0,0,COUNTA([1]characters!$A:$A),MATCH(G$1,[1]characters!$2:$2,0)-MATCH($E$1,[1]characters!$2:$2,0)+1),MATCH(G$1,[1]characters!$2:$2,0)-MATCH($E$1,[1]characters!$2:$2,0)+1,FALSE)</f>
        <v>PremiumN</v>
      </c>
      <c r="H60" s="10">
        <f ca="1">VLOOKUP($E60,OFFSET([1]characters!$A$2,0,0,COUNTA([1]characters!$A:$A),MATCH(H$1,[1]characters!$2:$2,0)-MATCH($E$1,[1]characters!$2:$2,0)+1),MATCH(H$1,[1]characters!$2:$2,0)-MATCH($E$1,[1]characters!$2:$2,0)+1,FALSE)</f>
        <v>5</v>
      </c>
      <c r="I60" s="10" t="str">
        <f ca="1">VLOOKUP($E60,OFFSET([1]characters!$A$2,0,0,COUNTA([1]characters!$A:$A),MATCH(I$1,[1]characters!$2:$2,0)-MATCH($E$1,[1]characters!$2:$2,0)+1),MATCH(I$1,[1]characters!$2:$2,0)-MATCH($E$1,[1]characters!$2:$2,0)+1,FALSE)</f>
        <v>blue</v>
      </c>
      <c r="J60" s="10" t="str">
        <f ca="1">VLOOKUP($E60,OFFSET([1]characters!$A$2,0,0,COUNTA([1]characters!$A:$A),MATCH("タイプ",[1]characters!$1:$1,0)-MATCH($E$1,[1]characters!$2:$2,0)+2),MATCH("タイプ",[1]characters!$1:$1,0)-MATCH($E$1,[1]characters!$2:$2,0)+2,FALSE)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0" s="10" t="str">
        <f ca="1">VLOOKUP($E60,OFFSET([1]characters!$A$2,0,0,COUNTA([1]characters!$A:$A),MATCH($K$1,[1]characters!$1:$1,0)-MATCH($E$1,[1]characters!$2:$2,0)+2),MATCH($K$1,[1]characters!$1:$1,0)-MATCH($E$1,[1]characters!$2:$2,0)+2,FALSE)</f>
        <v>ゴッド</v>
      </c>
      <c r="L60" s="6">
        <v>1</v>
      </c>
      <c r="M60" s="6">
        <v>102</v>
      </c>
      <c r="N60" s="28">
        <v>0</v>
      </c>
      <c r="O60" s="28">
        <v>0</v>
      </c>
      <c r="P60" s="28">
        <v>0</v>
      </c>
      <c r="Q60" s="28">
        <v>0</v>
      </c>
      <c r="R60" s="28">
        <v>1</v>
      </c>
    </row>
    <row r="61" spans="1:18" ht="21" customHeight="1">
      <c r="A61" s="8" t="str">
        <f t="shared" si="0"/>
        <v>12131</v>
      </c>
      <c r="B61" s="2">
        <v>110</v>
      </c>
      <c r="C61" s="10" t="str">
        <f ca="1">VLOOKUP($B61,OFFSET([2]gachas!$A$2,0,0,COUNTA([2]gachas!$A:$A),MATCH(C$1,[2]gachas!$1:$1,0)-MATCH($B$1,[2]gachas!$1:$1,0)+1),MATCH(C$1,[2]gachas!$1:$1,0)-MATCH($B$1,[2]gachas!$1:$1,0)+1,FALSE)</f>
        <v>赤アップ0１　最終日</v>
      </c>
      <c r="D61" s="6">
        <v>1</v>
      </c>
      <c r="E61" s="7">
        <v>213</v>
      </c>
      <c r="F61" s="10" t="str">
        <f ca="1">VLOOKUP($E61,OFFSET([1]characters!$A$2,0,0,COUNTA([1]characters!$A:$A),MATCH(F$1,[1]characters!$2:$2,0)-MATCH($E$1,[1]characters!$2:$2,0)+1),MATCH(F$1,[1]characters!$2:$2,0)-MATCH($E$1,[1]characters!$2:$2,0)+1,FALSE)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61" s="10" t="str">
        <f ca="1">VLOOKUP($E61,OFFSET([1]characters!$A$2,0,0,COUNTA([1]characters!$A:$A),MATCH(G$1,[1]characters!$2:$2,0)-MATCH($E$1,[1]characters!$2:$2,0)+1),MATCH(G$1,[1]characters!$2:$2,0)-MATCH($E$1,[1]characters!$2:$2,0)+1,FALSE)</f>
        <v>PremiumN</v>
      </c>
      <c r="H61" s="10">
        <f ca="1">VLOOKUP($E61,OFFSET([1]characters!$A$2,0,0,COUNTA([1]characters!$A:$A),MATCH(H$1,[1]characters!$2:$2,0)-MATCH($E$1,[1]characters!$2:$2,0)+1),MATCH(H$1,[1]characters!$2:$2,0)-MATCH($E$1,[1]characters!$2:$2,0)+1,FALSE)</f>
        <v>5</v>
      </c>
      <c r="I61" s="10" t="str">
        <f ca="1">VLOOKUP($E61,OFFSET([1]characters!$A$2,0,0,COUNTA([1]characters!$A:$A),MATCH(I$1,[1]characters!$2:$2,0)-MATCH($E$1,[1]characters!$2:$2,0)+1),MATCH(I$1,[1]characters!$2:$2,0)-MATCH($E$1,[1]characters!$2:$2,0)+1,FALSE)</f>
        <v>yellow</v>
      </c>
      <c r="J61" s="10" t="str">
        <f ca="1">VLOOKUP($E61,OFFSET([1]characters!$A$2,0,0,COUNTA([1]characters!$A:$A),MATCH("タイプ",[1]characters!$1:$1,0)-MATCH($E$1,[1]characters!$2:$2,0)+2),MATCH("タイプ",[1]characters!$1:$1,0)-MATCH($E$1,[1]characters!$2:$2,0)+2,FALSE)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1" s="10" t="str">
        <f ca="1">VLOOKUP($E61,OFFSET([1]characters!$A$2,0,0,COUNTA([1]characters!$A:$A),MATCH($K$1,[1]characters!$1:$1,0)-MATCH($E$1,[1]characters!$2:$2,0)+2),MATCH($K$1,[1]characters!$1:$1,0)-MATCH($E$1,[1]characters!$2:$2,0)+2,FALSE)</f>
        <v>ゴッド</v>
      </c>
      <c r="L61" s="6">
        <v>1</v>
      </c>
      <c r="M61" s="6">
        <v>102</v>
      </c>
      <c r="N61" s="28">
        <v>0</v>
      </c>
      <c r="O61" s="28">
        <v>0</v>
      </c>
      <c r="P61" s="28">
        <v>0</v>
      </c>
      <c r="Q61" s="28">
        <v>0</v>
      </c>
      <c r="R61" s="28">
        <v>1</v>
      </c>
    </row>
    <row r="62" spans="1:18" ht="21" customHeight="1">
      <c r="A62" s="8" t="str">
        <f t="shared" si="0"/>
        <v>12161</v>
      </c>
      <c r="B62" s="2">
        <v>110</v>
      </c>
      <c r="C62" s="10" t="str">
        <f ca="1">VLOOKUP($B62,OFFSET([2]gachas!$A$2,0,0,COUNTA([2]gachas!$A:$A),MATCH(C$1,[2]gachas!$1:$1,0)-MATCH($B$1,[2]gachas!$1:$1,0)+1),MATCH(C$1,[2]gachas!$1:$1,0)-MATCH($B$1,[2]gachas!$1:$1,0)+1,FALSE)</f>
        <v>赤アップ0１　最終日</v>
      </c>
      <c r="D62" s="29">
        <v>1</v>
      </c>
      <c r="E62" s="30">
        <v>216</v>
      </c>
      <c r="F62" s="10" t="str">
        <f ca="1">VLOOKUP($E62,OFFSET([1]characters!$A$2,0,0,COUNTA([1]characters!$A:$A),MATCH(F$1,[1]characters!$2:$2,0)-MATCH($E$1,[1]characters!$2:$2,0)+1),MATCH(F$1,[1]characters!$2:$2,0)-MATCH($E$1,[1]characters!$2:$2,0)+1,FALSE)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62" s="10" t="str">
        <f ca="1">VLOOKUP($E62,OFFSET([1]characters!$A$2,0,0,COUNTA([1]characters!$A:$A),MATCH(G$1,[1]characters!$2:$2,0)-MATCH($E$1,[1]characters!$2:$2,0)+1),MATCH(G$1,[1]characters!$2:$2,0)-MATCH($E$1,[1]characters!$2:$2,0)+1,FALSE)</f>
        <v>PremiumN</v>
      </c>
      <c r="H62" s="10">
        <f ca="1">VLOOKUP($E62,OFFSET([1]characters!$A$2,0,0,COUNTA([1]characters!$A:$A),MATCH(H$1,[1]characters!$2:$2,0)-MATCH($E$1,[1]characters!$2:$2,0)+1),MATCH(H$1,[1]characters!$2:$2,0)-MATCH($E$1,[1]characters!$2:$2,0)+1,FALSE)</f>
        <v>5</v>
      </c>
      <c r="I62" s="10" t="str">
        <f ca="1">VLOOKUP($E62,OFFSET([1]characters!$A$2,0,0,COUNTA([1]characters!$A:$A),MATCH(I$1,[1]characters!$2:$2,0)-MATCH($E$1,[1]characters!$2:$2,0)+1),MATCH(I$1,[1]characters!$2:$2,0)-MATCH($E$1,[1]characters!$2:$2,0)+1,FALSE)</f>
        <v>red</v>
      </c>
      <c r="J62" s="10" t="str">
        <f ca="1">VLOOKUP($E62,OFFSET([1]characters!$A$2,0,0,COUNTA([1]characters!$A:$A),MATCH("タイプ",[1]characters!$1:$1,0)-MATCH($E$1,[1]characters!$2:$2,0)+2),MATCH("タイプ",[1]characters!$1:$1,0)-MATCH($E$1,[1]characters!$2:$2,0)+2,FALSE)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2" s="10" t="str">
        <f ca="1">VLOOKUP($E62,OFFSET([1]characters!$A$2,0,0,COUNTA([1]characters!$A:$A),MATCH($K$1,[1]characters!$1:$1,0)-MATCH($E$1,[1]characters!$2:$2,0)+2),MATCH($K$1,[1]characters!$1:$1,0)-MATCH($E$1,[1]characters!$2:$2,0)+2,FALSE)</f>
        <v>ゴッド</v>
      </c>
      <c r="L62" s="29">
        <v>1</v>
      </c>
      <c r="M62" s="29">
        <v>372</v>
      </c>
      <c r="N62" s="28">
        <v>0</v>
      </c>
      <c r="O62" s="28">
        <v>0</v>
      </c>
      <c r="P62" s="28">
        <v>0</v>
      </c>
      <c r="Q62" s="28">
        <v>0</v>
      </c>
      <c r="R62" s="28">
        <v>1</v>
      </c>
    </row>
    <row r="63" spans="1:18" ht="21" customHeight="1">
      <c r="A63" s="8" t="str">
        <f t="shared" si="0"/>
        <v>12191</v>
      </c>
      <c r="B63" s="2">
        <v>110</v>
      </c>
      <c r="C63" s="10" t="str">
        <f ca="1">VLOOKUP($B63,OFFSET([2]gachas!$A$2,0,0,COUNTA([2]gachas!$A:$A),MATCH(C$1,[2]gachas!$1:$1,0)-MATCH($B$1,[2]gachas!$1:$1,0)+1),MATCH(C$1,[2]gachas!$1:$1,0)-MATCH($B$1,[2]gachas!$1:$1,0)+1,FALSE)</f>
        <v>赤アップ0１　最終日</v>
      </c>
      <c r="D63" s="6">
        <v>1</v>
      </c>
      <c r="E63" s="7">
        <v>219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PremiumN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5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green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ドラゴン</v>
      </c>
      <c r="L63" s="6">
        <v>1</v>
      </c>
      <c r="M63" s="6">
        <v>102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12221</v>
      </c>
      <c r="B64" s="2">
        <v>110</v>
      </c>
      <c r="C64" s="10" t="str">
        <f ca="1">VLOOKUP($B64,OFFSET([2]gachas!$A$2,0,0,COUNTA([2]gachas!$A:$A),MATCH(C$1,[2]gachas!$1:$1,0)-MATCH($B$1,[2]gachas!$1:$1,0)+1),MATCH(C$1,[2]gachas!$1:$1,0)-MATCH($B$1,[2]gachas!$1:$1,0)+1,FALSE)</f>
        <v>赤アップ0１　最終日</v>
      </c>
      <c r="D64" s="6">
        <v>1</v>
      </c>
      <c r="E64" s="7">
        <v>222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PremiumN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5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blue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ゴッド</v>
      </c>
      <c r="L64" s="6">
        <v>1</v>
      </c>
      <c r="M64" s="6">
        <v>102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12251</v>
      </c>
      <c r="B65" s="2">
        <v>110</v>
      </c>
      <c r="C65" s="10" t="str">
        <f ca="1">VLOOKUP($B65,OFFSET([2]gachas!$A$2,0,0,COUNTA([2]gachas!$A:$A),MATCH(C$1,[2]gachas!$1:$1,0)-MATCH($B$1,[2]gachas!$1:$1,0)+1),MATCH(C$1,[2]gachas!$1:$1,0)-MATCH($B$1,[2]gachas!$1:$1,0)+1,FALSE)</f>
        <v>赤アップ0１　最終日</v>
      </c>
      <c r="D65" s="6">
        <v>1</v>
      </c>
      <c r="E65" s="7">
        <v>225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PremiumN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5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yellow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6">
        <v>102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46" si="1">D66&amp;E66&amp;L66</f>
        <v>12281</v>
      </c>
      <c r="B66" s="2">
        <v>110</v>
      </c>
      <c r="C66" s="10" t="str">
        <f ca="1">VLOOKUP($B66,OFFSET([2]gachas!$A$2,0,0,COUNTA([2]gachas!$A:$A),MATCH(C$1,[2]gachas!$1:$1,0)-MATCH($B$1,[2]gachas!$1:$1,0)+1),MATCH(C$1,[2]gachas!$1:$1,0)-MATCH($B$1,[2]gachas!$1:$1,0)+1,FALSE)</f>
        <v>赤アップ0１　最終日</v>
      </c>
      <c r="D66" s="29">
        <v>1</v>
      </c>
      <c r="E66" s="30">
        <v>228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殲滅の掃射砲 アレス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PremiumS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5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red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ゴッド</v>
      </c>
      <c r="L66" s="29">
        <v>1</v>
      </c>
      <c r="M66" s="29">
        <v>40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12311</v>
      </c>
      <c r="B67" s="2">
        <v>110</v>
      </c>
      <c r="C67" s="10" t="str">
        <f ca="1">VLOOKUP($B67,OFFSET([2]gachas!$A$2,0,0,COUNTA([2]gachas!$A:$A),MATCH(C$1,[2]gachas!$1:$1,0)-MATCH($B$1,[2]gachas!$1:$1,0)+1),MATCH(C$1,[2]gachas!$1:$1,0)-MATCH($B$1,[2]gachas!$1:$1,0)+1,FALSE)</f>
        <v>赤アップ0１　最終日</v>
      </c>
      <c r="D67" s="6">
        <v>1</v>
      </c>
      <c r="E67" s="7">
        <v>231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PremiumS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5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green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ドラゴン</v>
      </c>
      <c r="L67" s="6">
        <v>1</v>
      </c>
      <c r="M67" s="6">
        <v>11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12341</v>
      </c>
      <c r="B68" s="2">
        <v>110</v>
      </c>
      <c r="C68" s="10" t="str">
        <f ca="1">VLOOKUP($B68,OFFSET([2]gachas!$A$2,0,0,COUNTA([2]gachas!$A:$A),MATCH(C$1,[2]gachas!$1:$1,0)-MATCH($B$1,[2]gachas!$1:$1,0)+1),MATCH(C$1,[2]gachas!$1:$1,0)-MATCH($B$1,[2]gachas!$1:$1,0)+1,FALSE)</f>
        <v>赤アップ0１　最終日</v>
      </c>
      <c r="D68" s="6">
        <v>1</v>
      </c>
      <c r="E68" s="7">
        <v>234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PremiumS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5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blue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ヒューマン</v>
      </c>
      <c r="L68" s="6">
        <v>1</v>
      </c>
      <c r="M68" s="6">
        <v>11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s="26" customFormat="1" ht="21" customHeight="1" thickBot="1">
      <c r="A69" s="22" t="str">
        <f t="shared" si="1"/>
        <v>12371</v>
      </c>
      <c r="B69" s="2">
        <v>110</v>
      </c>
      <c r="C69" s="10" t="str">
        <f ca="1">VLOOKUP($B69,OFFSET([2]gachas!$A$2,0,0,COUNTA([2]gachas!$A:$A),MATCH(C$1,[2]gachas!$1:$1,0)-MATCH($B$1,[2]gachas!$1:$1,0)+1),MATCH(C$1,[2]gachas!$1:$1,0)-MATCH($B$1,[2]gachas!$1:$1,0)+1,FALSE)</f>
        <v>赤アップ0１　最終日</v>
      </c>
      <c r="D69" s="6">
        <v>1</v>
      </c>
      <c r="E69" s="7">
        <v>237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PremiumS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5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yellow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ゴッド</v>
      </c>
      <c r="L69" s="6">
        <v>1</v>
      </c>
      <c r="M69" s="6">
        <v>11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12391</v>
      </c>
      <c r="B70" s="2">
        <v>110</v>
      </c>
      <c r="C70" s="10" t="str">
        <f ca="1">VLOOKUP($B70,OFFSET([2]gachas!$A$2,0,0,COUNTA([2]gachas!$A:$A),MATCH(C$1,[2]gachas!$1:$1,0)-MATCH($B$1,[2]gachas!$1:$1,0)+1),MATCH(C$1,[2]gachas!$1:$1,0)-MATCH($B$1,[2]gachas!$1:$1,0)+1,FALSE)</f>
        <v>赤アップ0１　最終日</v>
      </c>
      <c r="D70" s="29">
        <v>1</v>
      </c>
      <c r="E70" s="36">
        <v>239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豪炎の天使 ウリエル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PremiumS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4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red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マシン</v>
      </c>
      <c r="L70" s="29">
        <v>1</v>
      </c>
      <c r="M70" s="29">
        <v>972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12401</v>
      </c>
      <c r="B71" s="2">
        <v>110</v>
      </c>
      <c r="C71" s="10" t="str">
        <f ca="1">VLOOKUP($B71,OFFSET([2]gachas!$A$2,0,0,COUNTA([2]gachas!$A:$A),MATCH(C$1,[2]gachas!$1:$1,0)-MATCH($B$1,[2]gachas!$1:$1,0)+1),MATCH(C$1,[2]gachas!$1:$1,0)-MATCH($B$1,[2]gachas!$1:$1,0)+1,FALSE)</f>
        <v>赤アップ0１　最終日</v>
      </c>
      <c r="D71" s="29">
        <v>1</v>
      </c>
      <c r="E71" s="36">
        <v>240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PremiumS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5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red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マシン</v>
      </c>
      <c r="L71" s="29">
        <v>1</v>
      </c>
      <c r="M71" s="29">
        <v>40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12421</v>
      </c>
      <c r="B72" s="2">
        <v>110</v>
      </c>
      <c r="C72" s="10" t="str">
        <f ca="1">VLOOKUP($B72,OFFSET([2]gachas!$A$2,0,0,COUNTA([2]gachas!$A:$A),MATCH(C$1,[2]gachas!$1:$1,0)-MATCH($B$1,[2]gachas!$1:$1,0)+1),MATCH(C$1,[2]gachas!$1:$1,0)-MATCH($B$1,[2]gachas!$1:$1,0)+1,FALSE)</f>
        <v>赤アップ0１　最終日</v>
      </c>
      <c r="D72" s="6">
        <v>1</v>
      </c>
      <c r="E72" s="19">
        <v>242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PremiumS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4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green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マシン</v>
      </c>
      <c r="L72" s="6">
        <v>1</v>
      </c>
      <c r="M72" s="6">
        <v>265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12431</v>
      </c>
      <c r="B73" s="2">
        <v>110</v>
      </c>
      <c r="C73" s="10" t="str">
        <f ca="1">VLOOKUP($B73,OFFSET([2]gachas!$A$2,0,0,COUNTA([2]gachas!$A:$A),MATCH(C$1,[2]gachas!$1:$1,0)-MATCH($B$1,[2]gachas!$1:$1,0)+1),MATCH(C$1,[2]gachas!$1:$1,0)-MATCH($B$1,[2]gachas!$1:$1,0)+1,FALSE)</f>
        <v>赤アップ0１　最終日</v>
      </c>
      <c r="D73" s="6">
        <v>1</v>
      </c>
      <c r="E73" s="19">
        <v>243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PremiumS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5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green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マシン</v>
      </c>
      <c r="L73" s="6">
        <v>1</v>
      </c>
      <c r="M73" s="6">
        <v>11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12451</v>
      </c>
      <c r="B74" s="2">
        <v>110</v>
      </c>
      <c r="C74" s="10" t="str">
        <f ca="1">VLOOKUP($B74,OFFSET([2]gachas!$A$2,0,0,COUNTA([2]gachas!$A:$A),MATCH(C$1,[2]gachas!$1:$1,0)-MATCH($B$1,[2]gachas!$1:$1,0)+1),MATCH(C$1,[2]gachas!$1:$1,0)-MATCH($B$1,[2]gachas!$1:$1,0)+1,FALSE)</f>
        <v>赤アップ0１　最終日</v>
      </c>
      <c r="D74" s="6">
        <v>1</v>
      </c>
      <c r="E74" s="19">
        <v>245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PremiumS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4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blue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マシン</v>
      </c>
      <c r="L74" s="6">
        <v>1</v>
      </c>
      <c r="M74" s="6">
        <v>265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12461</v>
      </c>
      <c r="B75" s="2">
        <v>110</v>
      </c>
      <c r="C75" s="10" t="str">
        <f ca="1">VLOOKUP($B75,OFFSET([2]gachas!$A$2,0,0,COUNTA([2]gachas!$A:$A),MATCH(C$1,[2]gachas!$1:$1,0)-MATCH($B$1,[2]gachas!$1:$1,0)+1),MATCH(C$1,[2]gachas!$1:$1,0)-MATCH($B$1,[2]gachas!$1:$1,0)+1,FALSE)</f>
        <v>赤アップ0１　最終日</v>
      </c>
      <c r="D75" s="6">
        <v>1</v>
      </c>
      <c r="E75" s="19">
        <v>246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PremiumS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5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マシン</v>
      </c>
      <c r="L75" s="6">
        <v>1</v>
      </c>
      <c r="M75" s="6">
        <v>11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12481</v>
      </c>
      <c r="B76" s="2">
        <v>110</v>
      </c>
      <c r="C76" s="10" t="str">
        <f ca="1">VLOOKUP($B76,OFFSET([2]gachas!$A$2,0,0,COUNTA([2]gachas!$A:$A),MATCH(C$1,[2]gachas!$1:$1,0)-MATCH($B$1,[2]gachas!$1:$1,0)+1),MATCH(C$1,[2]gachas!$1:$1,0)-MATCH($B$1,[2]gachas!$1:$1,0)+1,FALSE)</f>
        <v>赤アップ0１　最終日</v>
      </c>
      <c r="D76" s="6">
        <v>1</v>
      </c>
      <c r="E76" s="19">
        <v>248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彩電の天使 ミカエル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PremiumS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4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マシン</v>
      </c>
      <c r="L76" s="6">
        <v>1</v>
      </c>
      <c r="M76" s="6">
        <v>265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s="26" customFormat="1" ht="21" customHeight="1" thickBot="1">
      <c r="A77" s="22" t="str">
        <f t="shared" si="1"/>
        <v>12491</v>
      </c>
      <c r="B77" s="2">
        <v>110</v>
      </c>
      <c r="C77" s="10" t="str">
        <f ca="1">VLOOKUP($B77,OFFSET([2]gachas!$A$2,0,0,COUNTA([2]gachas!$A:$A),MATCH(C$1,[2]gachas!$1:$1,0)-MATCH($B$1,[2]gachas!$1:$1,0)+1),MATCH(C$1,[2]gachas!$1:$1,0)-MATCH($B$1,[2]gachas!$1:$1,0)+1,FALSE)</f>
        <v>赤アップ0１　最終日</v>
      </c>
      <c r="D77" s="6">
        <v>1</v>
      </c>
      <c r="E77" s="19">
        <v>249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PremiumS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5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yellow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マシン</v>
      </c>
      <c r="L77" s="6">
        <v>1</v>
      </c>
      <c r="M77" s="6">
        <v>11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 thickBot="1">
      <c r="A78" s="22" t="str">
        <f t="shared" si="1"/>
        <v>12511</v>
      </c>
      <c r="B78" s="2">
        <v>110</v>
      </c>
      <c r="C78" s="10" t="str">
        <f ca="1">VLOOKUP($B78,OFFSET([2]gachas!$A$2,0,0,COUNTA([2]gachas!$A:$A),MATCH(C$1,[2]gachas!$1:$1,0)-MATCH($B$1,[2]gachas!$1:$1,0)+1),MATCH(C$1,[2]gachas!$1:$1,0)-MATCH($B$1,[2]gachas!$1:$1,0)+1,FALSE)</f>
        <v>赤アップ0１　最終日</v>
      </c>
      <c r="D78" s="29">
        <v>1</v>
      </c>
      <c r="E78" s="30">
        <v>251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強欲 マンモン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PremiumS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4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red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ゴッド</v>
      </c>
      <c r="L78" s="29">
        <v>1</v>
      </c>
      <c r="M78" s="29">
        <v>972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 thickBot="1">
      <c r="A79" s="22" t="str">
        <f t="shared" si="1"/>
        <v>12521</v>
      </c>
      <c r="B79" s="2">
        <v>110</v>
      </c>
      <c r="C79" s="10" t="str">
        <f ca="1">VLOOKUP($B79,OFFSET([2]gachas!$A$2,0,0,COUNTA([2]gachas!$A:$A),MATCH(C$1,[2]gachas!$1:$1,0)-MATCH($B$1,[2]gachas!$1:$1,0)+1),MATCH(C$1,[2]gachas!$1:$1,0)-MATCH($B$1,[2]gachas!$1:$1,0)+1,FALSE)</f>
        <v>赤アップ0１　最終日</v>
      </c>
      <c r="D79" s="29">
        <v>1</v>
      </c>
      <c r="E79" s="30">
        <v>252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強欲の沸騰 マンモン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PremiumS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5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red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ゴッド</v>
      </c>
      <c r="L79" s="29">
        <v>1</v>
      </c>
      <c r="M79" s="29">
        <v>40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 thickBot="1">
      <c r="A80" s="22" t="str">
        <f t="shared" si="1"/>
        <v>12541</v>
      </c>
      <c r="B80" s="2">
        <v>110</v>
      </c>
      <c r="C80" s="10" t="str">
        <f ca="1">VLOOKUP($B80,OFFSET([2]gachas!$A$2,0,0,COUNTA([2]gachas!$A:$A),MATCH(C$1,[2]gachas!$1:$1,0)-MATCH($B$1,[2]gachas!$1:$1,0)+1),MATCH(C$1,[2]gachas!$1:$1,0)-MATCH($B$1,[2]gachas!$1:$1,0)+1,FALSE)</f>
        <v>赤アップ0１　最終日</v>
      </c>
      <c r="D80" s="6">
        <v>1</v>
      </c>
      <c r="E80" s="7">
        <v>254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怠惰 ベルフェゴール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PremiumS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4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green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ゴッド</v>
      </c>
      <c r="L80" s="6">
        <v>1</v>
      </c>
      <c r="M80" s="6">
        <v>265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 thickBot="1">
      <c r="A81" s="22" t="str">
        <f t="shared" si="1"/>
        <v>12551</v>
      </c>
      <c r="B81" s="2">
        <v>110</v>
      </c>
      <c r="C81" s="10" t="str">
        <f ca="1">VLOOKUP($B81,OFFSET([2]gachas!$A$2,0,0,COUNTA([2]gachas!$A:$A),MATCH(C$1,[2]gachas!$1:$1,0)-MATCH($B$1,[2]gachas!$1:$1,0)+1),MATCH(C$1,[2]gachas!$1:$1,0)-MATCH($B$1,[2]gachas!$1:$1,0)+1,FALSE)</f>
        <v>赤アップ0１　最終日</v>
      </c>
      <c r="D81" s="6">
        <v>1</v>
      </c>
      <c r="E81" s="7">
        <v>255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PremiumS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5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green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6">
        <v>11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 thickBot="1">
      <c r="A82" s="22" t="str">
        <f t="shared" si="1"/>
        <v>12571</v>
      </c>
      <c r="B82" s="2">
        <v>110</v>
      </c>
      <c r="C82" s="10" t="str">
        <f ca="1">VLOOKUP($B82,OFFSET([2]gachas!$A$2,0,0,COUNTA([2]gachas!$A:$A),MATCH(C$1,[2]gachas!$1:$1,0)-MATCH($B$1,[2]gachas!$1:$1,0)+1),MATCH(C$1,[2]gachas!$1:$1,0)-MATCH($B$1,[2]gachas!$1:$1,0)+1,FALSE)</f>
        <v>赤アップ0１　最終日</v>
      </c>
      <c r="D82" s="6">
        <v>1</v>
      </c>
      <c r="E82" s="7">
        <v>257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色欲 アスモデウス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PremiumS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4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blue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6">
        <v>1</v>
      </c>
      <c r="M82" s="6">
        <v>265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 thickBot="1">
      <c r="A83" s="22" t="str">
        <f t="shared" si="1"/>
        <v>12581</v>
      </c>
      <c r="B83" s="2">
        <v>110</v>
      </c>
      <c r="C83" s="10" t="str">
        <f ca="1">VLOOKUP($B83,OFFSET([2]gachas!$A$2,0,0,COUNTA([2]gachas!$A:$A),MATCH(C$1,[2]gachas!$1:$1,0)-MATCH($B$1,[2]gachas!$1:$1,0)+1),MATCH(C$1,[2]gachas!$1:$1,0)-MATCH($B$1,[2]gachas!$1:$1,0)+1,FALSE)</f>
        <v>赤アップ0１　最終日</v>
      </c>
      <c r="D83" s="6">
        <v>1</v>
      </c>
      <c r="E83" s="7">
        <v>258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PremiumS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5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6">
        <v>1</v>
      </c>
      <c r="M83" s="6">
        <v>11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 thickBot="1">
      <c r="A84" s="22" t="str">
        <f t="shared" si="1"/>
        <v>12601</v>
      </c>
      <c r="B84" s="2">
        <v>110</v>
      </c>
      <c r="C84" s="10" t="str">
        <f ca="1">VLOOKUP($B84,OFFSET([2]gachas!$A$2,0,0,COUNTA([2]gachas!$A:$A),MATCH(C$1,[2]gachas!$1:$1,0)-MATCH($B$1,[2]gachas!$1:$1,0)+1),MATCH(C$1,[2]gachas!$1:$1,0)-MATCH($B$1,[2]gachas!$1:$1,0)+1,FALSE)</f>
        <v>赤アップ0１　最終日</v>
      </c>
      <c r="D84" s="6">
        <v>1</v>
      </c>
      <c r="E84" s="7">
        <v>260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輪廻 ウロボロス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PremiumS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4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ドラゴン</v>
      </c>
      <c r="L84" s="6">
        <v>1</v>
      </c>
      <c r="M84" s="6">
        <v>265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 thickBot="1">
      <c r="A85" s="22" t="str">
        <f t="shared" si="1"/>
        <v>12611</v>
      </c>
      <c r="B85" s="2">
        <v>110</v>
      </c>
      <c r="C85" s="10" t="str">
        <f ca="1">VLOOKUP($B85,OFFSET([2]gachas!$A$2,0,0,COUNTA([2]gachas!$A:$A),MATCH(C$1,[2]gachas!$1:$1,0)-MATCH($B$1,[2]gachas!$1:$1,0)+1),MATCH(C$1,[2]gachas!$1:$1,0)-MATCH($B$1,[2]gachas!$1:$1,0)+1,FALSE)</f>
        <v>赤アップ0１　最終日</v>
      </c>
      <c r="D85" s="6">
        <v>1</v>
      </c>
      <c r="E85" s="7">
        <v>261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PremiumS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5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yellow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ドラゴン</v>
      </c>
      <c r="L85" s="6">
        <v>1</v>
      </c>
      <c r="M85" s="6">
        <v>11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 thickBot="1">
      <c r="A86" s="22" t="str">
        <f t="shared" si="1"/>
        <v>13201</v>
      </c>
      <c r="B86" s="2">
        <v>110</v>
      </c>
      <c r="C86" s="10" t="str">
        <f ca="1">VLOOKUP($B86,OFFSET([2]gachas!$A$2,0,0,COUNTA([2]gachas!$A:$A),MATCH(C$1,[2]gachas!$1:$1,0)-MATCH($B$1,[2]gachas!$1:$1,0)+1),MATCH(C$1,[2]gachas!$1:$1,0)-MATCH($B$1,[2]gachas!$1:$1,0)+1,FALSE)</f>
        <v>赤アップ0１　最終日</v>
      </c>
      <c r="D86" s="37">
        <v>1</v>
      </c>
      <c r="E86" s="38">
        <v>320</v>
      </c>
      <c r="F86" s="20" t="str">
        <f ca="1">VLOOKUP($E86,OFFSET([1]characters!$A$2,0,0,COUNTA([1]characters!$A:$A),MATCH(F$1,[1]characters!$2:$2,0)-MATCH($E$1,[1]characters!$2:$2,0)+1),MATCH(F$1,[1]characters!$2:$2,0)-MATCH($E$1,[1]characters!$2:$2,0)+1,FALSE)</f>
        <v>烈志士 近藤勇</v>
      </c>
      <c r="G86" s="20" t="str">
        <f ca="1">VLOOKUP($E86,OFFSET([1]characters!$A$2,0,0,COUNTA([1]characters!$A:$A),MATCH(G$1,[1]characters!$2:$2,0)-MATCH($E$1,[1]characters!$2:$2,0)+1),MATCH(G$1,[1]characters!$2:$2,0)-MATCH($E$1,[1]characters!$2:$2,0)+1,FALSE)</f>
        <v>PremiumSS</v>
      </c>
      <c r="H86" s="20">
        <f ca="1">VLOOKUP($E86,OFFSET([1]characters!$A$2,0,0,COUNTA([1]characters!$A:$A),MATCH(H$1,[1]characters!$2:$2,0)-MATCH($E$1,[1]characters!$2:$2,0)+1),MATCH(H$1,[1]characters!$2:$2,0)-MATCH($E$1,[1]characters!$2:$2,0)+1,FALSE)</f>
        <v>4</v>
      </c>
      <c r="I86" s="20" t="str">
        <f ca="1">VLOOKUP($E86,OFFSET([1]characters!$A$2,0,0,COUNTA([1]characters!$A:$A),MATCH(I$1,[1]characters!$2:$2,0)-MATCH($E$1,[1]characters!$2:$2,0)+1),MATCH(I$1,[1]characters!$2:$2,0)-MATCH($E$1,[1]characters!$2:$2,0)+1,FALSE)</f>
        <v>red</v>
      </c>
      <c r="J86" s="2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20" t="str">
        <f ca="1">VLOOKUP($E86,OFFSET([1]characters!$A$2,0,0,COUNTA([1]characters!$A:$A),MATCH($K$1,[1]characters!$1:$1,0)-MATCH($E$1,[1]characters!$2:$2,0)+2),MATCH($K$1,[1]characters!$1:$1,0)-MATCH($E$1,[1]characters!$2:$2,0)+2,FALSE)</f>
        <v>ヒューマン</v>
      </c>
      <c r="L86" s="37">
        <v>1</v>
      </c>
      <c r="M86" s="29">
        <v>972</v>
      </c>
      <c r="N86" s="18">
        <v>0</v>
      </c>
      <c r="O86" s="18">
        <v>0</v>
      </c>
      <c r="P86" s="18">
        <v>0</v>
      </c>
      <c r="Q86" s="18">
        <v>0</v>
      </c>
      <c r="R86" s="18">
        <v>1</v>
      </c>
    </row>
    <row r="87" spans="1:18" ht="21" customHeight="1" thickBot="1">
      <c r="A87" s="22" t="str">
        <f t="shared" si="1"/>
        <v>13211</v>
      </c>
      <c r="B87" s="2">
        <v>110</v>
      </c>
      <c r="C87" s="10" t="str">
        <f ca="1">VLOOKUP($B87,OFFSET([2]gachas!$A$2,0,0,COUNTA([2]gachas!$A:$A),MATCH(C$1,[2]gachas!$1:$1,0)-MATCH($B$1,[2]gachas!$1:$1,0)+1),MATCH(C$1,[2]gachas!$1:$1,0)-MATCH($B$1,[2]gachas!$1:$1,0)+1,FALSE)</f>
        <v>赤アップ0１　最終日</v>
      </c>
      <c r="D87" s="29">
        <v>1</v>
      </c>
      <c r="E87" s="30">
        <v>321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巌鉄の烈志士 近藤勇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PremiumSS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5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red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ヒューマン</v>
      </c>
      <c r="L87" s="29">
        <v>1</v>
      </c>
      <c r="M87" s="29">
        <v>40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 thickBot="1">
      <c r="A88" s="22" t="str">
        <f t="shared" si="1"/>
        <v>13221</v>
      </c>
      <c r="B88" s="2">
        <v>110</v>
      </c>
      <c r="C88" s="10" t="str">
        <f ca="1">VLOOKUP($B88,OFFSET([2]gachas!$A$2,0,0,COUNTA([2]gachas!$A:$A),MATCH(C$1,[2]gachas!$1:$1,0)-MATCH($B$1,[2]gachas!$1:$1,0)+1),MATCH(C$1,[2]gachas!$1:$1,0)-MATCH($B$1,[2]gachas!$1:$1,0)+1,FALSE)</f>
        <v>赤アップ0１　最終日</v>
      </c>
      <c r="D88" s="6">
        <v>1</v>
      </c>
      <c r="E88" s="7">
        <v>322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愛志士 土方歳三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PremiumSS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4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green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ヒューマン</v>
      </c>
      <c r="L88" s="6">
        <v>1</v>
      </c>
      <c r="M88" s="6">
        <v>265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 thickBot="1">
      <c r="A89" s="22" t="str">
        <f t="shared" si="1"/>
        <v>13231</v>
      </c>
      <c r="B89" s="2">
        <v>110</v>
      </c>
      <c r="C89" s="10" t="str">
        <f ca="1">VLOOKUP($B89,OFFSET([2]gachas!$A$2,0,0,COUNTA([2]gachas!$A:$A),MATCH(C$1,[2]gachas!$1:$1,0)-MATCH($B$1,[2]gachas!$1:$1,0)+1),MATCH(C$1,[2]gachas!$1:$1,0)-MATCH($B$1,[2]gachas!$1:$1,0)+1,FALSE)</f>
        <v>赤アップ0１　最終日</v>
      </c>
      <c r="D89" s="6">
        <v>1</v>
      </c>
      <c r="E89" s="7">
        <v>323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PremiumSS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5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green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6">
        <v>11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 thickBot="1">
      <c r="A90" s="22" t="str">
        <f t="shared" si="1"/>
        <v>13241</v>
      </c>
      <c r="B90" s="2">
        <v>110</v>
      </c>
      <c r="C90" s="10" t="str">
        <f ca="1">VLOOKUP($B90,OFFSET([2]gachas!$A$2,0,0,COUNTA([2]gachas!$A:$A),MATCH(C$1,[2]gachas!$1:$1,0)-MATCH($B$1,[2]gachas!$1:$1,0)+1),MATCH(C$1,[2]gachas!$1:$1,0)-MATCH($B$1,[2]gachas!$1:$1,0)+1,FALSE)</f>
        <v>赤アップ0１　最終日</v>
      </c>
      <c r="D90" s="6">
        <v>1</v>
      </c>
      <c r="E90" s="7">
        <v>324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凛志士 沖田総司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PremiumSS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4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blue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6">
        <v>265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 thickBot="1">
      <c r="A91" s="22" t="str">
        <f t="shared" si="1"/>
        <v>13251</v>
      </c>
      <c r="B91" s="2">
        <v>110</v>
      </c>
      <c r="C91" s="10" t="str">
        <f ca="1">VLOOKUP($B91,OFFSET([2]gachas!$A$2,0,0,COUNTA([2]gachas!$A:$A),MATCH(C$1,[2]gachas!$1:$1,0)-MATCH($B$1,[2]gachas!$1:$1,0)+1),MATCH(C$1,[2]gachas!$1:$1,0)-MATCH($B$1,[2]gachas!$1:$1,0)+1,FALSE)</f>
        <v>赤アップ0１　最終日</v>
      </c>
      <c r="D91" s="6">
        <v>1</v>
      </c>
      <c r="E91" s="7">
        <v>325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PremiumSS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5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blue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6">
        <v>11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 thickBot="1">
      <c r="A92" s="22" t="str">
        <f t="shared" si="1"/>
        <v>13261</v>
      </c>
      <c r="B92" s="2">
        <v>110</v>
      </c>
      <c r="C92" s="10" t="str">
        <f ca="1">VLOOKUP($B92,OFFSET([2]gachas!$A$2,0,0,COUNTA([2]gachas!$A:$A),MATCH(C$1,[2]gachas!$1:$1,0)-MATCH($B$1,[2]gachas!$1:$1,0)+1),MATCH(C$1,[2]gachas!$1:$1,0)-MATCH($B$1,[2]gachas!$1:$1,0)+1,FALSE)</f>
        <v>赤アップ0１　最終日</v>
      </c>
      <c r="D92" s="6">
        <v>1</v>
      </c>
      <c r="E92" s="7">
        <v>326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妖志士 斎藤一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PremiumSS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4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yellow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6">
        <v>1</v>
      </c>
      <c r="M92" s="6">
        <v>265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 thickBot="1">
      <c r="A93" s="22" t="str">
        <f t="shared" si="1"/>
        <v>13271</v>
      </c>
      <c r="B93" s="2">
        <v>110</v>
      </c>
      <c r="C93" s="10" t="str">
        <f ca="1">VLOOKUP($B93,OFFSET([2]gachas!$A$2,0,0,COUNTA([2]gachas!$A:$A),MATCH(C$1,[2]gachas!$1:$1,0)-MATCH($B$1,[2]gachas!$1:$1,0)+1),MATCH(C$1,[2]gachas!$1:$1,0)-MATCH($B$1,[2]gachas!$1:$1,0)+1,FALSE)</f>
        <v>赤アップ0１　最終日</v>
      </c>
      <c r="D93" s="24">
        <v>1</v>
      </c>
      <c r="E93" s="25">
        <v>327</v>
      </c>
      <c r="F93" s="23" t="str">
        <f ca="1">VLOOKUP($E93,OFFSET([1]characters!$A$2,0,0,COUNTA([1]characters!$A:$A),MATCH(F$1,[1]characters!$2:$2,0)-MATCH($E$1,[1]characters!$2:$2,0)+1),MATCH(F$1,[1]characters!$2:$2,0)-MATCH($E$1,[1]characters!$2:$2,0)+1,FALSE)</f>
        <v>千殺の妖志士 斎藤一</v>
      </c>
      <c r="G93" s="23" t="str">
        <f ca="1">VLOOKUP($E93,OFFSET([1]characters!$A$2,0,0,COUNTA([1]characters!$A:$A),MATCH(G$1,[1]characters!$2:$2,0)-MATCH($E$1,[1]characters!$2:$2,0)+1),MATCH(G$1,[1]characters!$2:$2,0)-MATCH($E$1,[1]characters!$2:$2,0)+1,FALSE)</f>
        <v>PremiumSS</v>
      </c>
      <c r="H93" s="23">
        <f ca="1">VLOOKUP($E93,OFFSET([1]characters!$A$2,0,0,COUNTA([1]characters!$A:$A),MATCH(H$1,[1]characters!$2:$2,0)-MATCH($E$1,[1]characters!$2:$2,0)+1),MATCH(H$1,[1]characters!$2:$2,0)-MATCH($E$1,[1]characters!$2:$2,0)+1,FALSE)</f>
        <v>5</v>
      </c>
      <c r="I93" s="23" t="str">
        <f ca="1">VLOOKUP($E93,OFFSET([1]characters!$A$2,0,0,COUNTA([1]characters!$A:$A),MATCH(I$1,[1]characters!$2:$2,0)-MATCH($E$1,[1]characters!$2:$2,0)+1),MATCH(I$1,[1]characters!$2:$2,0)-MATCH($E$1,[1]characters!$2:$2,0)+1,FALSE)</f>
        <v>yellow</v>
      </c>
      <c r="J93" s="23" t="str">
        <f ca="1">VLOOKUP($E93,OFFSET([1]characters!$A$2,0,0,COUNTA([1]characters!$A:$A),MATCH("タイプ",[1]characters!$1:$1,0)-MATCH($E$1,[1]characters!$2:$2,0)+2),MATCH("タイプ",[1]characters!$1:$1,0)-MATCH($E$1,[1]characters!$2:$2,0)+2,FALSE)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93" s="23" t="str">
        <f ca="1">VLOOKUP($E93,OFFSET([1]characters!$A$2,0,0,COUNTA([1]characters!$A:$A),MATCH($K$1,[1]characters!$1:$1,0)-MATCH($E$1,[1]characters!$2:$2,0)+2),MATCH($K$1,[1]characters!$1:$1,0)-MATCH($E$1,[1]characters!$2:$2,0)+2,FALSE)</f>
        <v>ヒューマン</v>
      </c>
      <c r="L93" s="24">
        <v>1</v>
      </c>
      <c r="M93" s="6">
        <v>11</v>
      </c>
      <c r="N93" s="35">
        <v>0</v>
      </c>
      <c r="O93" s="35">
        <v>0</v>
      </c>
      <c r="P93" s="35">
        <v>0</v>
      </c>
      <c r="Q93" s="35">
        <v>0</v>
      </c>
      <c r="R93" s="35">
        <v>1</v>
      </c>
    </row>
    <row r="94" spans="1:18" ht="21" customHeight="1">
      <c r="A94" s="8" t="str">
        <f t="shared" si="1"/>
        <v>01261</v>
      </c>
      <c r="B94" s="2">
        <v>110</v>
      </c>
      <c r="C94" s="10" t="str">
        <f ca="1">VLOOKUP($B94,OFFSET([2]gachas!$A$2,0,0,COUNTA([2]gachas!$A:$A),MATCH(C$1,[2]gachas!$1:$1,0)-MATCH($B$1,[2]gachas!$1:$1,0)+1),MATCH(C$1,[2]gachas!$1:$1,0)-MATCH($B$1,[2]gachas!$1:$1,0)+1,FALSE)</f>
        <v>赤アップ0１　最終日</v>
      </c>
      <c r="D94" s="37">
        <v>0</v>
      </c>
      <c r="E94" s="38">
        <v>126</v>
      </c>
      <c r="F94" s="20" t="str">
        <f ca="1">VLOOKUP($E94,OFFSET([1]characters!$A$2,0,0,COUNTA([1]characters!$A:$A),MATCH(F$1,[1]characters!$2:$2,0)-MATCH($E$1,[1]characters!$2:$2,0)+1),MATCH(F$1,[1]characters!$2:$2,0)-MATCH($E$1,[1]characters!$2:$2,0)+1,FALSE)</f>
        <v>骨器使い ユノ</v>
      </c>
      <c r="G94" s="20" t="str">
        <f ca="1">VLOOKUP($E94,OFFSET([1]characters!$A$2,0,0,COUNTA([1]characters!$A:$A),MATCH(G$1,[1]characters!$2:$2,0)-MATCH($E$1,[1]characters!$2:$2,0)+1),MATCH(G$1,[1]characters!$2:$2,0)-MATCH($E$1,[1]characters!$2:$2,0)+1,FALSE)</f>
        <v>PremiumW</v>
      </c>
      <c r="H94" s="2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20" t="str">
        <f ca="1">VLOOKUP($E94,OFFSET([1]characters!$A$2,0,0,COUNTA([1]characters!$A:$A),MATCH(I$1,[1]characters!$2:$2,0)-MATCH($E$1,[1]characters!$2:$2,0)+1),MATCH(I$1,[1]characters!$2:$2,0)-MATCH($E$1,[1]characters!$2:$2,0)+1,FALSE)</f>
        <v>red</v>
      </c>
      <c r="J94" s="20" t="str">
        <f ca="1">VLOOKUP($E94,OFFSET([1]characters!$A$2,0,0,COUNTA([1]characters!$A:$A),MATCH("タイプ",[1]characters!$1:$1,0)-MATCH($E$1,[1]characters!$2:$2,0)+2),MATCH("タイプ",[1]characters!$1:$1,0)-MATCH($E$1,[1]characters!$2:$2,0)+2,FALSE)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4" s="20" t="str">
        <f ca="1">VLOOKUP($E94,OFFSET([1]characters!$A$2,0,0,COUNTA([1]characters!$A:$A),MATCH($K$1,[1]characters!$1:$1,0)-MATCH($E$1,[1]characters!$2:$2,0)+2),MATCH($K$1,[1]characters!$1:$1,0)-MATCH($E$1,[1]characters!$2:$2,0)+2,FALSE)</f>
        <v>ヒューマン</v>
      </c>
      <c r="L94" s="37">
        <v>1</v>
      </c>
      <c r="M94" s="37">
        <v>5061</v>
      </c>
      <c r="N94" s="18">
        <v>0</v>
      </c>
      <c r="O94" s="18">
        <v>0</v>
      </c>
      <c r="P94" s="18">
        <v>0</v>
      </c>
      <c r="Q94" s="18">
        <v>0</v>
      </c>
      <c r="R94" s="18">
        <v>1</v>
      </c>
    </row>
    <row r="95" spans="1:18" ht="21" customHeight="1">
      <c r="A95" s="8" t="str">
        <f t="shared" si="1"/>
        <v>01281</v>
      </c>
      <c r="B95" s="2">
        <v>110</v>
      </c>
      <c r="C95" s="10" t="str">
        <f ca="1">VLOOKUP($B95,OFFSET([2]gachas!$A$2,0,0,COUNTA([2]gachas!$A:$A),MATCH(C$1,[2]gachas!$1:$1,0)-MATCH($B$1,[2]gachas!$1:$1,0)+1),MATCH(C$1,[2]gachas!$1:$1,0)-MATCH($B$1,[2]gachas!$1:$1,0)+1,FALSE)</f>
        <v>赤アップ0１　最終日</v>
      </c>
      <c r="D95" s="21">
        <v>0</v>
      </c>
      <c r="E95" s="27">
        <v>128</v>
      </c>
      <c r="F95" s="20" t="str">
        <f ca="1">VLOOKUP($E95,OFFSET([1]characters!$A$2,0,0,COUNTA([1]characters!$A:$A),MATCH(F$1,[1]characters!$2:$2,0)-MATCH($E$1,[1]characters!$2:$2,0)+1),MATCH(F$1,[1]characters!$2:$2,0)-MATCH($E$1,[1]characters!$2:$2,0)+1,FALSE)</f>
        <v>野生児 アマラ</v>
      </c>
      <c r="G95" s="20" t="str">
        <f ca="1">VLOOKUP($E95,OFFSET([1]characters!$A$2,0,0,COUNTA([1]characters!$A:$A),MATCH(G$1,[1]characters!$2:$2,0)-MATCH($E$1,[1]characters!$2:$2,0)+1),MATCH(G$1,[1]characters!$2:$2,0)-MATCH($E$1,[1]characters!$2:$2,0)+1,FALSE)</f>
        <v>PremiumW</v>
      </c>
      <c r="H95" s="2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20" t="str">
        <f ca="1">VLOOKUP($E95,OFFSET([1]characters!$A$2,0,0,COUNTA([1]characters!$A:$A),MATCH(I$1,[1]characters!$2:$2,0)-MATCH($E$1,[1]characters!$2:$2,0)+1),MATCH(I$1,[1]characters!$2:$2,0)-MATCH($E$1,[1]characters!$2:$2,0)+1,FALSE)</f>
        <v>green</v>
      </c>
      <c r="J95" s="20" t="str">
        <f ca="1">VLOOKUP($E95,OFFSET([1]characters!$A$2,0,0,COUNTA([1]characters!$A:$A),MATCH("タイプ",[1]characters!$1:$1,0)-MATCH($E$1,[1]characters!$2:$2,0)+2),MATCH("タイプ",[1]characters!$1:$1,0)-MATCH($E$1,[1]characters!$2:$2,0)+2,FALSE)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5" s="20" t="str">
        <f ca="1">VLOOKUP($E95,OFFSET([1]characters!$A$2,0,0,COUNTA([1]characters!$A:$A),MATCH($K$1,[1]characters!$1:$1,0)-MATCH($E$1,[1]characters!$2:$2,0)+2),MATCH($K$1,[1]characters!$1:$1,0)-MATCH($E$1,[1]characters!$2:$2,0)+2,FALSE)</f>
        <v>ヒューマン</v>
      </c>
      <c r="L95" s="21">
        <v>1</v>
      </c>
      <c r="M95" s="21">
        <v>1380</v>
      </c>
      <c r="N95" s="18">
        <v>0</v>
      </c>
      <c r="O95" s="18">
        <v>0</v>
      </c>
      <c r="P95" s="18">
        <v>0</v>
      </c>
      <c r="Q95" s="18">
        <v>0</v>
      </c>
      <c r="R95" s="18">
        <v>1</v>
      </c>
    </row>
    <row r="96" spans="1:18" ht="21" customHeight="1">
      <c r="A96" s="8" t="str">
        <f t="shared" si="1"/>
        <v>01301</v>
      </c>
      <c r="B96" s="2">
        <v>110</v>
      </c>
      <c r="C96" s="10" t="str">
        <f ca="1">VLOOKUP($B96,OFFSET([2]gachas!$A$2,0,0,COUNTA([2]gachas!$A:$A),MATCH(C$1,[2]gachas!$1:$1,0)-MATCH($B$1,[2]gachas!$1:$1,0)+1),MATCH(C$1,[2]gachas!$1:$1,0)-MATCH($B$1,[2]gachas!$1:$1,0)+1,FALSE)</f>
        <v>赤アップ0１　最終日</v>
      </c>
      <c r="D96" s="6">
        <v>0</v>
      </c>
      <c r="E96" s="7">
        <v>130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狼男 ローレンス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PremiumW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blue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アニマル</v>
      </c>
      <c r="L96" s="6">
        <v>1</v>
      </c>
      <c r="M96" s="21">
        <v>1380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01321</v>
      </c>
      <c r="B97" s="2">
        <v>110</v>
      </c>
      <c r="C97" s="10" t="str">
        <f ca="1">VLOOKUP($B97,OFFSET([2]gachas!$A$2,0,0,COUNTA([2]gachas!$A:$A),MATCH(C$1,[2]gachas!$1:$1,0)-MATCH($B$1,[2]gachas!$1:$1,0)+1),MATCH(C$1,[2]gachas!$1:$1,0)-MATCH($B$1,[2]gachas!$1:$1,0)+1,FALSE)</f>
        <v>赤アップ0１　最終日</v>
      </c>
      <c r="D97" s="6">
        <v>0</v>
      </c>
      <c r="E97" s="7">
        <v>132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鳥人ハヤト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PremiumW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yellow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ヒューマン</v>
      </c>
      <c r="L97" s="6">
        <v>1</v>
      </c>
      <c r="M97" s="21">
        <v>1380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01341</v>
      </c>
      <c r="B98" s="2">
        <v>110</v>
      </c>
      <c r="C98" s="10" t="str">
        <f ca="1">VLOOKUP($B98,OFFSET([2]gachas!$A$2,0,0,COUNTA([2]gachas!$A:$A),MATCH(C$1,[2]gachas!$1:$1,0)-MATCH($B$1,[2]gachas!$1:$1,0)+1),MATCH(C$1,[2]gachas!$1:$1,0)-MATCH($B$1,[2]gachas!$1:$1,0)+1,FALSE)</f>
        <v>赤アップ0１　最終日</v>
      </c>
      <c r="D98" s="29">
        <v>0</v>
      </c>
      <c r="E98" s="30">
        <v>134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妖炎の夕霧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PremiumW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3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red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ヒューマン</v>
      </c>
      <c r="L98" s="29">
        <v>1</v>
      </c>
      <c r="M98" s="37">
        <v>5061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01361</v>
      </c>
      <c r="B99" s="2">
        <v>110</v>
      </c>
      <c r="C99" s="10" t="str">
        <f ca="1">VLOOKUP($B99,OFFSET([2]gachas!$A$2,0,0,COUNTA([2]gachas!$A:$A),MATCH(C$1,[2]gachas!$1:$1,0)-MATCH($B$1,[2]gachas!$1:$1,0)+1),MATCH(C$1,[2]gachas!$1:$1,0)-MATCH($B$1,[2]gachas!$1:$1,0)+1,FALSE)</f>
        <v>赤アップ0１　最終日</v>
      </c>
      <c r="D99" s="6">
        <v>0</v>
      </c>
      <c r="E99" s="7">
        <v>136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お針子チハヤ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PremiumW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3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green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ヒューマン</v>
      </c>
      <c r="L99" s="6">
        <v>1</v>
      </c>
      <c r="M99" s="21">
        <v>1380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01381</v>
      </c>
      <c r="B100" s="2">
        <v>110</v>
      </c>
      <c r="C100" s="10" t="str">
        <f ca="1">VLOOKUP($B100,OFFSET([2]gachas!$A$2,0,0,COUNTA([2]gachas!$A:$A),MATCH(C$1,[2]gachas!$1:$1,0)-MATCH($B$1,[2]gachas!$1:$1,0)+1),MATCH(C$1,[2]gachas!$1:$1,0)-MATCH($B$1,[2]gachas!$1:$1,0)+1,FALSE)</f>
        <v>赤アップ0１　最終日</v>
      </c>
      <c r="D100" s="6">
        <v>0</v>
      </c>
      <c r="E100" s="7">
        <v>138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蒼薙のトモエ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PremiumW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3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blue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6">
        <v>1</v>
      </c>
      <c r="M100" s="21">
        <v>1380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01401</v>
      </c>
      <c r="B101" s="2">
        <v>110</v>
      </c>
      <c r="C101" s="10" t="str">
        <f ca="1">VLOOKUP($B101,OFFSET([2]gachas!$A$2,0,0,COUNTA([2]gachas!$A:$A),MATCH(C$1,[2]gachas!$1:$1,0)-MATCH($B$1,[2]gachas!$1:$1,0)+1),MATCH(C$1,[2]gachas!$1:$1,0)-MATCH($B$1,[2]gachas!$1:$1,0)+1,FALSE)</f>
        <v>赤アップ0１　最終日</v>
      </c>
      <c r="D101" s="6">
        <v>0</v>
      </c>
      <c r="E101" s="7">
        <v>140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秋祭のタマモ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PremiumW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3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yellow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アニマル</v>
      </c>
      <c r="L101" s="6">
        <v>1</v>
      </c>
      <c r="M101" s="21">
        <v>1380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01421</v>
      </c>
      <c r="B102" s="2">
        <v>110</v>
      </c>
      <c r="C102" s="10" t="str">
        <f ca="1">VLOOKUP($B102,OFFSET([2]gachas!$A$2,0,0,COUNTA([2]gachas!$A:$A),MATCH(C$1,[2]gachas!$1:$1,0)-MATCH($B$1,[2]gachas!$1:$1,0)+1),MATCH(C$1,[2]gachas!$1:$1,0)-MATCH($B$1,[2]gachas!$1:$1,0)+1,FALSE)</f>
        <v>赤アップ0１　最終日</v>
      </c>
      <c r="D102" s="29">
        <v>0</v>
      </c>
      <c r="E102" s="30">
        <v>142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赤ずきん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PremiumW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red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29">
        <v>1</v>
      </c>
      <c r="M102" s="37">
        <v>5061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01441</v>
      </c>
      <c r="B103" s="2">
        <v>110</v>
      </c>
      <c r="C103" s="10" t="str">
        <f ca="1">VLOOKUP($B103,OFFSET([2]gachas!$A$2,0,0,COUNTA([2]gachas!$A:$A),MATCH(C$1,[2]gachas!$1:$1,0)-MATCH($B$1,[2]gachas!$1:$1,0)+1),MATCH(C$1,[2]gachas!$1:$1,0)-MATCH($B$1,[2]gachas!$1:$1,0)+1,FALSE)</f>
        <v>赤アップ0１　最終日</v>
      </c>
      <c r="D103" s="6">
        <v>0</v>
      </c>
      <c r="E103" s="7">
        <v>144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かぐや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PremiumW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green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ヒューマン</v>
      </c>
      <c r="L103" s="6">
        <v>1</v>
      </c>
      <c r="M103" s="21">
        <v>1380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01461</v>
      </c>
      <c r="B104" s="2">
        <v>110</v>
      </c>
      <c r="C104" s="10" t="str">
        <f ca="1">VLOOKUP($B104,OFFSET([2]gachas!$A$2,0,0,COUNTA([2]gachas!$A:$A),MATCH(C$1,[2]gachas!$1:$1,0)-MATCH($B$1,[2]gachas!$1:$1,0)+1),MATCH(C$1,[2]gachas!$1:$1,0)-MATCH($B$1,[2]gachas!$1:$1,0)+1,FALSE)</f>
        <v>赤アップ0１　最終日</v>
      </c>
      <c r="D104" s="6">
        <v>0</v>
      </c>
      <c r="E104" s="7">
        <v>146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マーメイド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3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blue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21">
        <v>1380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01481</v>
      </c>
      <c r="B105" s="2">
        <v>110</v>
      </c>
      <c r="C105" s="10" t="str">
        <f ca="1">VLOOKUP($B105,OFFSET([2]gachas!$A$2,0,0,COUNTA([2]gachas!$A:$A),MATCH(C$1,[2]gachas!$1:$1,0)-MATCH($B$1,[2]gachas!$1:$1,0)+1),MATCH(C$1,[2]gachas!$1:$1,0)-MATCH($B$1,[2]gachas!$1:$1,0)+1,FALSE)</f>
        <v>赤アップ0１　最終日</v>
      </c>
      <c r="D105" s="6">
        <v>0</v>
      </c>
      <c r="E105" s="7">
        <v>148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シンデレラ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3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yellow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21">
        <v>1380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01501</v>
      </c>
      <c r="B106" s="2">
        <v>110</v>
      </c>
      <c r="C106" s="10" t="str">
        <f ca="1">VLOOKUP($B106,OFFSET([2]gachas!$A$2,0,0,COUNTA([2]gachas!$A:$A),MATCH(C$1,[2]gachas!$1:$1,0)-MATCH($B$1,[2]gachas!$1:$1,0)+1),MATCH(C$1,[2]gachas!$1:$1,0)-MATCH($B$1,[2]gachas!$1:$1,0)+1,FALSE)</f>
        <v>赤アップ0１　最終日</v>
      </c>
      <c r="D106" s="29">
        <v>0</v>
      </c>
      <c r="E106" s="30">
        <v>150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ポイズンマスターサキ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3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red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ヒューマン</v>
      </c>
      <c r="L106" s="29">
        <v>1</v>
      </c>
      <c r="M106" s="37">
        <v>5061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01521</v>
      </c>
      <c r="B107" s="2">
        <v>110</v>
      </c>
      <c r="C107" s="10" t="str">
        <f ca="1">VLOOKUP($B107,OFFSET([2]gachas!$A$2,0,0,COUNTA([2]gachas!$A:$A),MATCH(C$1,[2]gachas!$1:$1,0)-MATCH($B$1,[2]gachas!$1:$1,0)+1),MATCH(C$1,[2]gachas!$1:$1,0)-MATCH($B$1,[2]gachas!$1:$1,0)+1,FALSE)</f>
        <v>赤アップ0１　最終日</v>
      </c>
      <c r="D107" s="6">
        <v>0</v>
      </c>
      <c r="E107" s="7">
        <v>152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功夫少女ランラン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3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green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21">
        <v>1380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01541</v>
      </c>
      <c r="B108" s="2">
        <v>110</v>
      </c>
      <c r="C108" s="10" t="str">
        <f ca="1">VLOOKUP($B108,OFFSET([2]gachas!$A$2,0,0,COUNTA([2]gachas!$A:$A),MATCH(C$1,[2]gachas!$1:$1,0)-MATCH($B$1,[2]gachas!$1:$1,0)+1),MATCH(C$1,[2]gachas!$1:$1,0)-MATCH($B$1,[2]gachas!$1:$1,0)+1,FALSE)</f>
        <v>赤アップ0１　最終日</v>
      </c>
      <c r="D108" s="6">
        <v>0</v>
      </c>
      <c r="E108" s="7">
        <v>154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始末屋 ハンナ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3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blue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21">
        <v>1380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01561</v>
      </c>
      <c r="B109" s="2">
        <v>110</v>
      </c>
      <c r="C109" s="10" t="str">
        <f ca="1">VLOOKUP($B109,OFFSET([2]gachas!$A$2,0,0,COUNTA([2]gachas!$A:$A),MATCH(C$1,[2]gachas!$1:$1,0)-MATCH($B$1,[2]gachas!$1:$1,0)+1),MATCH(C$1,[2]gachas!$1:$1,0)-MATCH($B$1,[2]gachas!$1:$1,0)+1,FALSE)</f>
        <v>赤アップ0１　最終日</v>
      </c>
      <c r="D109" s="6">
        <v>0</v>
      </c>
      <c r="E109" s="7">
        <v>156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踊り子 エレナ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3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yellow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6">
        <v>1</v>
      </c>
      <c r="M109" s="21">
        <v>1380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01581</v>
      </c>
      <c r="B110" s="2">
        <v>110</v>
      </c>
      <c r="C110" s="10" t="str">
        <f ca="1">VLOOKUP($B110,OFFSET([2]gachas!$A$2,0,0,COUNTA([2]gachas!$A:$A),MATCH(C$1,[2]gachas!$1:$1,0)-MATCH($B$1,[2]gachas!$1:$1,0)+1),MATCH(C$1,[2]gachas!$1:$1,0)-MATCH($B$1,[2]gachas!$1:$1,0)+1,FALSE)</f>
        <v>赤アップ0１　最終日</v>
      </c>
      <c r="D110" s="29">
        <v>0</v>
      </c>
      <c r="E110" s="30">
        <v>158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3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red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29">
        <v>1</v>
      </c>
      <c r="M110" s="37">
        <v>5061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01601</v>
      </c>
      <c r="B111" s="2">
        <v>110</v>
      </c>
      <c r="C111" s="10" t="str">
        <f ca="1">VLOOKUP($B111,OFFSET([2]gachas!$A$2,0,0,COUNTA([2]gachas!$A:$A),MATCH(C$1,[2]gachas!$1:$1,0)-MATCH($B$1,[2]gachas!$1:$1,0)+1),MATCH(C$1,[2]gachas!$1:$1,0)-MATCH($B$1,[2]gachas!$1:$1,0)+1,FALSE)</f>
        <v>赤アップ0１　最終日</v>
      </c>
      <c r="D111" s="6">
        <v>0</v>
      </c>
      <c r="E111" s="7">
        <v>160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反逆者 クリエ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3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green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ヒューマン</v>
      </c>
      <c r="L111" s="6">
        <v>1</v>
      </c>
      <c r="M111" s="21">
        <v>1380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01621</v>
      </c>
      <c r="B112" s="2">
        <v>110</v>
      </c>
      <c r="C112" s="10" t="str">
        <f ca="1">VLOOKUP($B112,OFFSET([2]gachas!$A$2,0,0,COUNTA([2]gachas!$A:$A),MATCH(C$1,[2]gachas!$1:$1,0)-MATCH($B$1,[2]gachas!$1:$1,0)+1),MATCH(C$1,[2]gachas!$1:$1,0)-MATCH($B$1,[2]gachas!$1:$1,0)+1,FALSE)</f>
        <v>赤アップ0１　最終日</v>
      </c>
      <c r="D112" s="6">
        <v>0</v>
      </c>
      <c r="E112" s="7">
        <v>162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狂女 クララ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3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blue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21">
        <v>1380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1"/>
        <v>01641</v>
      </c>
      <c r="B113" s="2">
        <v>110</v>
      </c>
      <c r="C113" s="10" t="str">
        <f ca="1">VLOOKUP($B113,OFFSET([2]gachas!$A$2,0,0,COUNTA([2]gachas!$A:$A),MATCH(C$1,[2]gachas!$1:$1,0)-MATCH($B$1,[2]gachas!$1:$1,0)+1),MATCH(C$1,[2]gachas!$1:$1,0)-MATCH($B$1,[2]gachas!$1:$1,0)+1,FALSE)</f>
        <v>赤アップ0１　最終日</v>
      </c>
      <c r="D113" s="6">
        <v>0</v>
      </c>
      <c r="E113" s="7">
        <v>164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イブとトモダチ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3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yellow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21">
        <v>1380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1"/>
        <v>01661</v>
      </c>
      <c r="B114" s="2">
        <v>110</v>
      </c>
      <c r="C114" s="10" t="str">
        <f ca="1">VLOOKUP($B114,OFFSET([2]gachas!$A$2,0,0,COUNTA([2]gachas!$A:$A),MATCH(C$1,[2]gachas!$1:$1,0)-MATCH($B$1,[2]gachas!$1:$1,0)+1),MATCH(C$1,[2]gachas!$1:$1,0)-MATCH($B$1,[2]gachas!$1:$1,0)+1,FALSE)</f>
        <v>赤アップ0１　最終日</v>
      </c>
      <c r="D114" s="29">
        <v>0</v>
      </c>
      <c r="E114" s="30">
        <v>166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ベリアル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PremiumN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3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red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ゴッド</v>
      </c>
      <c r="L114" s="29">
        <v>1</v>
      </c>
      <c r="M114" s="29">
        <v>5511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1"/>
        <v>01691</v>
      </c>
      <c r="B115" s="2">
        <v>110</v>
      </c>
      <c r="C115" s="10" t="str">
        <f ca="1">VLOOKUP($B115,OFFSET([2]gachas!$A$2,0,0,COUNTA([2]gachas!$A:$A),MATCH(C$1,[2]gachas!$1:$1,0)-MATCH($B$1,[2]gachas!$1:$1,0)+1),MATCH(C$1,[2]gachas!$1:$1,0)-MATCH($B$1,[2]gachas!$1:$1,0)+1,FALSE)</f>
        <v>赤アップ0１　最終日</v>
      </c>
      <c r="D115" s="6">
        <v>0</v>
      </c>
      <c r="E115" s="7">
        <v>169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オセ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PremiumN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3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green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ゴッド</v>
      </c>
      <c r="L115" s="6">
        <v>1</v>
      </c>
      <c r="M115" s="6">
        <v>1503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1"/>
        <v>01721</v>
      </c>
      <c r="B116" s="2">
        <v>110</v>
      </c>
      <c r="C116" s="10" t="str">
        <f ca="1">VLOOKUP($B116,OFFSET([2]gachas!$A$2,0,0,COUNTA([2]gachas!$A:$A),MATCH(C$1,[2]gachas!$1:$1,0)-MATCH($B$1,[2]gachas!$1:$1,0)+1),MATCH(C$1,[2]gachas!$1:$1,0)-MATCH($B$1,[2]gachas!$1:$1,0)+1,FALSE)</f>
        <v>赤アップ0１　最終日</v>
      </c>
      <c r="D116" s="6">
        <v>0</v>
      </c>
      <c r="E116" s="7">
        <v>172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フォルネウス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PremiumN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3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blue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ゴッド</v>
      </c>
      <c r="L116" s="6">
        <v>1</v>
      </c>
      <c r="M116" s="6">
        <v>1503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1"/>
        <v>01751</v>
      </c>
      <c r="B117" s="2">
        <v>110</v>
      </c>
      <c r="C117" s="10" t="str">
        <f ca="1">VLOOKUP($B117,OFFSET([2]gachas!$A$2,0,0,COUNTA([2]gachas!$A:$A),MATCH(C$1,[2]gachas!$1:$1,0)-MATCH($B$1,[2]gachas!$1:$1,0)+1),MATCH(C$1,[2]gachas!$1:$1,0)-MATCH($B$1,[2]gachas!$1:$1,0)+1,FALSE)</f>
        <v>赤アップ0１　最終日</v>
      </c>
      <c r="D117" s="6">
        <v>0</v>
      </c>
      <c r="E117" s="7">
        <v>175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バフォメット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PremiumN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3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yellow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ゴッド</v>
      </c>
      <c r="L117" s="6">
        <v>1</v>
      </c>
      <c r="M117" s="6">
        <v>1503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1"/>
        <v>01781</v>
      </c>
      <c r="B118" s="2">
        <v>110</v>
      </c>
      <c r="C118" s="10" t="str">
        <f ca="1">VLOOKUP($B118,OFFSET([2]gachas!$A$2,0,0,COUNTA([2]gachas!$A:$A),MATCH(C$1,[2]gachas!$1:$1,0)-MATCH($B$1,[2]gachas!$1:$1,0)+1),MATCH(C$1,[2]gachas!$1:$1,0)-MATCH($B$1,[2]gachas!$1:$1,0)+1,FALSE)</f>
        <v>赤アップ0１　最終日</v>
      </c>
      <c r="D118" s="29">
        <v>0</v>
      </c>
      <c r="E118" s="30">
        <v>178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ケルベロス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PremiumN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3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red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アニマル</v>
      </c>
      <c r="L118" s="29">
        <v>1</v>
      </c>
      <c r="M118" s="29">
        <v>5511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1"/>
        <v>01811</v>
      </c>
      <c r="B119" s="2">
        <v>110</v>
      </c>
      <c r="C119" s="10" t="str">
        <f ca="1">VLOOKUP($B119,OFFSET([2]gachas!$A$2,0,0,COUNTA([2]gachas!$A:$A),MATCH(C$1,[2]gachas!$1:$1,0)-MATCH($B$1,[2]gachas!$1:$1,0)+1),MATCH(C$1,[2]gachas!$1:$1,0)-MATCH($B$1,[2]gachas!$1:$1,0)+1,FALSE)</f>
        <v>赤アップ0１　最終日</v>
      </c>
      <c r="D119" s="6">
        <v>0</v>
      </c>
      <c r="E119" s="7">
        <v>181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ベヒモス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PremiumN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3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green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アニマル</v>
      </c>
      <c r="L119" s="6">
        <v>1</v>
      </c>
      <c r="M119" s="6">
        <v>1503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1"/>
        <v>01841</v>
      </c>
      <c r="B120" s="2">
        <v>110</v>
      </c>
      <c r="C120" s="10" t="str">
        <f ca="1">VLOOKUP($B120,OFFSET([2]gachas!$A$2,0,0,COUNTA([2]gachas!$A:$A),MATCH(C$1,[2]gachas!$1:$1,0)-MATCH($B$1,[2]gachas!$1:$1,0)+1),MATCH(C$1,[2]gachas!$1:$1,0)-MATCH($B$1,[2]gachas!$1:$1,0)+1,FALSE)</f>
        <v>赤アップ0１　最終日</v>
      </c>
      <c r="D120" s="6">
        <v>0</v>
      </c>
      <c r="E120" s="7">
        <v>184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クラーケン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PremiumN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3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blue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アニマル</v>
      </c>
      <c r="L120" s="6">
        <v>1</v>
      </c>
      <c r="M120" s="6">
        <v>1503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1"/>
        <v>01871</v>
      </c>
      <c r="B121" s="2">
        <v>110</v>
      </c>
      <c r="C121" s="10" t="str">
        <f ca="1">VLOOKUP($B121,OFFSET([2]gachas!$A$2,0,0,COUNTA([2]gachas!$A:$A),MATCH(C$1,[2]gachas!$1:$1,0)-MATCH($B$1,[2]gachas!$1:$1,0)+1),MATCH(C$1,[2]gachas!$1:$1,0)-MATCH($B$1,[2]gachas!$1:$1,0)+1,FALSE)</f>
        <v>赤アップ0１　最終日</v>
      </c>
      <c r="D121" s="6">
        <v>0</v>
      </c>
      <c r="E121" s="7">
        <v>187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ホルス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PremiumN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3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yellow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アニマル</v>
      </c>
      <c r="L121" s="6">
        <v>1</v>
      </c>
      <c r="M121" s="6">
        <v>1503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1"/>
        <v>01901</v>
      </c>
      <c r="B122" s="2">
        <v>110</v>
      </c>
      <c r="C122" s="10" t="str">
        <f ca="1">VLOOKUP($B122,OFFSET([2]gachas!$A$2,0,0,COUNTA([2]gachas!$A:$A),MATCH(C$1,[2]gachas!$1:$1,0)-MATCH($B$1,[2]gachas!$1:$1,0)+1),MATCH(C$1,[2]gachas!$1:$1,0)-MATCH($B$1,[2]gachas!$1:$1,0)+1,FALSE)</f>
        <v>赤アップ0１　最終日</v>
      </c>
      <c r="D122" s="29">
        <v>0</v>
      </c>
      <c r="E122" s="30">
        <v>190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卑弥呼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PremiumN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3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red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ヒューマン</v>
      </c>
      <c r="L122" s="29">
        <v>1</v>
      </c>
      <c r="M122" s="29">
        <v>5511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1"/>
        <v>01931</v>
      </c>
      <c r="B123" s="2">
        <v>110</v>
      </c>
      <c r="C123" s="10" t="str">
        <f ca="1">VLOOKUP($B123,OFFSET([2]gachas!$A$2,0,0,COUNTA([2]gachas!$A:$A),MATCH(C$1,[2]gachas!$1:$1,0)-MATCH($B$1,[2]gachas!$1:$1,0)+1),MATCH(C$1,[2]gachas!$1:$1,0)-MATCH($B$1,[2]gachas!$1:$1,0)+1,FALSE)</f>
        <v>赤アップ0１　最終日</v>
      </c>
      <c r="D123" s="6">
        <v>0</v>
      </c>
      <c r="E123" s="7">
        <v>193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ロビンフッド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PremiumN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3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green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ヒューマン</v>
      </c>
      <c r="L123" s="6">
        <v>1</v>
      </c>
      <c r="M123" s="6">
        <v>1503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1"/>
        <v>01961</v>
      </c>
      <c r="B124" s="2">
        <v>110</v>
      </c>
      <c r="C124" s="10" t="str">
        <f ca="1">VLOOKUP($B124,OFFSET([2]gachas!$A$2,0,0,COUNTA([2]gachas!$A:$A),MATCH(C$1,[2]gachas!$1:$1,0)-MATCH($B$1,[2]gachas!$1:$1,0)+1),MATCH(C$1,[2]gachas!$1:$1,0)-MATCH($B$1,[2]gachas!$1:$1,0)+1,FALSE)</f>
        <v>赤アップ0１　最終日</v>
      </c>
      <c r="D124" s="6">
        <v>0</v>
      </c>
      <c r="E124" s="7">
        <v>196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アキレス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3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yellow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ヒューマン</v>
      </c>
      <c r="L124" s="6">
        <v>1</v>
      </c>
      <c r="M124" s="6">
        <v>1503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1"/>
        <v>01991</v>
      </c>
      <c r="B125" s="2">
        <v>110</v>
      </c>
      <c r="C125" s="10" t="str">
        <f ca="1">VLOOKUP($B125,OFFSET([2]gachas!$A$2,0,0,COUNTA([2]gachas!$A:$A),MATCH(C$1,[2]gachas!$1:$1,0)-MATCH($B$1,[2]gachas!$1:$1,0)+1),MATCH(C$1,[2]gachas!$1:$1,0)-MATCH($B$1,[2]gachas!$1:$1,0)+1,FALSE)</f>
        <v>赤アップ0１　最終日</v>
      </c>
      <c r="D125" s="6">
        <v>0</v>
      </c>
      <c r="E125" s="7">
        <v>199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ジークフリート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3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blue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ヒューマン</v>
      </c>
      <c r="L125" s="6">
        <v>1</v>
      </c>
      <c r="M125" s="6">
        <v>1503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1"/>
        <v>02021</v>
      </c>
      <c r="B126" s="2">
        <v>110</v>
      </c>
      <c r="C126" s="10" t="str">
        <f ca="1">VLOOKUP($B126,OFFSET([2]gachas!$A$2,0,0,COUNTA([2]gachas!$A:$A),MATCH(C$1,[2]gachas!$1:$1,0)-MATCH($B$1,[2]gachas!$1:$1,0)+1),MATCH(C$1,[2]gachas!$1:$1,0)-MATCH($B$1,[2]gachas!$1:$1,0)+1,FALSE)</f>
        <v>赤アップ0１　最終日</v>
      </c>
      <c r="D126" s="29">
        <v>0</v>
      </c>
      <c r="E126" s="30">
        <v>202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プロメテウス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3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red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29">
        <v>1</v>
      </c>
      <c r="M126" s="29">
        <v>5511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1"/>
        <v>02051</v>
      </c>
      <c r="B127" s="2">
        <v>110</v>
      </c>
      <c r="C127" s="10" t="str">
        <f ca="1">VLOOKUP($B127,OFFSET([2]gachas!$A$2,0,0,COUNTA([2]gachas!$A:$A),MATCH(C$1,[2]gachas!$1:$1,0)-MATCH($B$1,[2]gachas!$1:$1,0)+1),MATCH(C$1,[2]gachas!$1:$1,0)-MATCH($B$1,[2]gachas!$1:$1,0)+1,FALSE)</f>
        <v>赤アップ0１　最終日</v>
      </c>
      <c r="D127" s="6">
        <v>0</v>
      </c>
      <c r="E127" s="7">
        <v>205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アフロディーテ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3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green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6">
        <v>1</v>
      </c>
      <c r="M127" s="6">
        <v>1503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1"/>
        <v>02081</v>
      </c>
      <c r="B128" s="2">
        <v>110</v>
      </c>
      <c r="C128" s="10" t="str">
        <f ca="1">VLOOKUP($B128,OFFSET([2]gachas!$A$2,0,0,COUNTA([2]gachas!$A:$A),MATCH(C$1,[2]gachas!$1:$1,0)-MATCH($B$1,[2]gachas!$1:$1,0)+1),MATCH(C$1,[2]gachas!$1:$1,0)-MATCH($B$1,[2]gachas!$1:$1,0)+1,FALSE)</f>
        <v>赤アップ0１　最終日</v>
      </c>
      <c r="D128" s="6">
        <v>0</v>
      </c>
      <c r="E128" s="7">
        <v>208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テティス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3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blue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ゴッド</v>
      </c>
      <c r="L128" s="6">
        <v>1</v>
      </c>
      <c r="M128" s="6">
        <v>1503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1"/>
        <v>02111</v>
      </c>
      <c r="B129" s="2">
        <v>110</v>
      </c>
      <c r="C129" s="10" t="str">
        <f ca="1">VLOOKUP($B129,OFFSET([2]gachas!$A$2,0,0,COUNTA([2]gachas!$A:$A),MATCH(C$1,[2]gachas!$1:$1,0)-MATCH($B$1,[2]gachas!$1:$1,0)+1),MATCH(C$1,[2]gachas!$1:$1,0)-MATCH($B$1,[2]gachas!$1:$1,0)+1,FALSE)</f>
        <v>赤アップ0１　最終日</v>
      </c>
      <c r="D129" s="6">
        <v>0</v>
      </c>
      <c r="E129" s="7">
        <v>211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アストライアー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3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yellow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ゴッド</v>
      </c>
      <c r="L129" s="6">
        <v>1</v>
      </c>
      <c r="M129" s="6">
        <v>1503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1"/>
        <v>02141</v>
      </c>
      <c r="B130" s="2">
        <v>110</v>
      </c>
      <c r="C130" s="10" t="str">
        <f ca="1">VLOOKUP($B130,OFFSET([2]gachas!$A$2,0,0,COUNTA([2]gachas!$A:$A),MATCH(C$1,[2]gachas!$1:$1,0)-MATCH($B$1,[2]gachas!$1:$1,0)+1),MATCH(C$1,[2]gachas!$1:$1,0)-MATCH($B$1,[2]gachas!$1:$1,0)+1,FALSE)</f>
        <v>赤アップ0１　最終日</v>
      </c>
      <c r="D130" s="29">
        <v>0</v>
      </c>
      <c r="E130" s="30">
        <v>214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アズラエル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3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red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ゴッド</v>
      </c>
      <c r="L130" s="29">
        <v>1</v>
      </c>
      <c r="M130" s="29">
        <v>5511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1"/>
        <v>02171</v>
      </c>
      <c r="B131" s="2">
        <v>110</v>
      </c>
      <c r="C131" s="10" t="str">
        <f ca="1">VLOOKUP($B131,OFFSET([2]gachas!$A$2,0,0,COUNTA([2]gachas!$A:$A),MATCH(C$1,[2]gachas!$1:$1,0)-MATCH($B$1,[2]gachas!$1:$1,0)+1),MATCH(C$1,[2]gachas!$1:$1,0)-MATCH($B$1,[2]gachas!$1:$1,0)+1,FALSE)</f>
        <v>赤アップ0１　最終日</v>
      </c>
      <c r="D131" s="6">
        <v>0</v>
      </c>
      <c r="E131" s="7">
        <v>217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ケツァクアトル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3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green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ドラゴン</v>
      </c>
      <c r="L131" s="6">
        <v>1</v>
      </c>
      <c r="M131" s="6">
        <v>1503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1"/>
        <v>02201</v>
      </c>
      <c r="B132" s="2">
        <v>110</v>
      </c>
      <c r="C132" s="10" t="str">
        <f ca="1">VLOOKUP($B132,OFFSET([2]gachas!$A$2,0,0,COUNTA([2]gachas!$A:$A),MATCH(C$1,[2]gachas!$1:$1,0)-MATCH($B$1,[2]gachas!$1:$1,0)+1),MATCH(C$1,[2]gachas!$1:$1,0)-MATCH($B$1,[2]gachas!$1:$1,0)+1,FALSE)</f>
        <v>赤アップ0１　最終日</v>
      </c>
      <c r="D132" s="6">
        <v>0</v>
      </c>
      <c r="E132" s="7">
        <v>220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ルキフグス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3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blue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ゴッド</v>
      </c>
      <c r="L132" s="6">
        <v>1</v>
      </c>
      <c r="M132" s="6">
        <v>1503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1"/>
        <v>02231</v>
      </c>
      <c r="B133" s="2">
        <v>110</v>
      </c>
      <c r="C133" s="10" t="str">
        <f ca="1">VLOOKUP($B133,OFFSET([2]gachas!$A$2,0,0,COUNTA([2]gachas!$A:$A),MATCH(C$1,[2]gachas!$1:$1,0)-MATCH($B$1,[2]gachas!$1:$1,0)+1),MATCH(C$1,[2]gachas!$1:$1,0)-MATCH($B$1,[2]gachas!$1:$1,0)+1,FALSE)</f>
        <v>赤アップ0１　最終日</v>
      </c>
      <c r="D133" s="6">
        <v>0</v>
      </c>
      <c r="E133" s="7">
        <v>223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ヘラクレス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3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yellow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6">
        <v>1503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1"/>
        <v>02261</v>
      </c>
      <c r="B134" s="2">
        <v>110</v>
      </c>
      <c r="C134" s="10" t="str">
        <f ca="1">VLOOKUP($B134,OFFSET([2]gachas!$A$2,0,0,COUNTA([2]gachas!$A:$A),MATCH(C$1,[2]gachas!$1:$1,0)-MATCH($B$1,[2]gachas!$1:$1,0)+1),MATCH(C$1,[2]gachas!$1:$1,0)-MATCH($B$1,[2]gachas!$1:$1,0)+1,FALSE)</f>
        <v>赤アップ0１　最終日</v>
      </c>
      <c r="D134" s="29">
        <v>0</v>
      </c>
      <c r="E134" s="30">
        <v>226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アレス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PremiumS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3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red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ゴッド</v>
      </c>
      <c r="L134" s="29">
        <v>1</v>
      </c>
      <c r="M134" s="29">
        <v>1125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1"/>
        <v>02291</v>
      </c>
      <c r="B135" s="2">
        <v>110</v>
      </c>
      <c r="C135" s="10" t="str">
        <f ca="1">VLOOKUP($B135,OFFSET([2]gachas!$A$2,0,0,COUNTA([2]gachas!$A:$A),MATCH(C$1,[2]gachas!$1:$1,0)-MATCH($B$1,[2]gachas!$1:$1,0)+1),MATCH(C$1,[2]gachas!$1:$1,0)-MATCH($B$1,[2]gachas!$1:$1,0)+1,FALSE)</f>
        <v>赤アップ0１　最終日</v>
      </c>
      <c r="D135" s="6">
        <v>0</v>
      </c>
      <c r="E135" s="7">
        <v>229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ヨルムンガンド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PremiumS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3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green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ドラゴン</v>
      </c>
      <c r="L135" s="6">
        <v>1</v>
      </c>
      <c r="M135" s="6">
        <v>307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1"/>
        <v>02321</v>
      </c>
      <c r="B136" s="2">
        <v>110</v>
      </c>
      <c r="C136" s="10" t="str">
        <f ca="1">VLOOKUP($B136,OFFSET([2]gachas!$A$2,0,0,COUNTA([2]gachas!$A:$A),MATCH(C$1,[2]gachas!$1:$1,0)-MATCH($B$1,[2]gachas!$1:$1,0)+1),MATCH(C$1,[2]gachas!$1:$1,0)-MATCH($B$1,[2]gachas!$1:$1,0)+1,FALSE)</f>
        <v>赤アップ0１　最終日</v>
      </c>
      <c r="D136" s="6">
        <v>0</v>
      </c>
      <c r="E136" s="7">
        <v>232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パーシヴァル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PremiumS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3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blue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ヒューマン</v>
      </c>
      <c r="L136" s="6">
        <v>1</v>
      </c>
      <c r="M136" s="6">
        <v>307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1"/>
        <v>02351</v>
      </c>
      <c r="B137" s="2">
        <v>110</v>
      </c>
      <c r="C137" s="10" t="str">
        <f ca="1">VLOOKUP($B137,OFFSET([2]gachas!$A$2,0,0,COUNTA([2]gachas!$A:$A),MATCH(C$1,[2]gachas!$1:$1,0)-MATCH($B$1,[2]gachas!$1:$1,0)+1),MATCH(C$1,[2]gachas!$1:$1,0)-MATCH($B$1,[2]gachas!$1:$1,0)+1,FALSE)</f>
        <v>赤アップ0１　最終日</v>
      </c>
      <c r="D137" s="6">
        <v>0</v>
      </c>
      <c r="E137" s="7">
        <v>235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イザナミ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PremiumS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3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yellow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6">
        <v>307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1"/>
        <v>01271</v>
      </c>
      <c r="B138" s="2">
        <v>110</v>
      </c>
      <c r="C138" s="10" t="str">
        <f ca="1">VLOOKUP($B138,OFFSET([2]gachas!$A$2,0,0,COUNTA([2]gachas!$A:$A),MATCH(C$1,[2]gachas!$1:$1,0)-MATCH($B$1,[2]gachas!$1:$1,0)+1),MATCH(C$1,[2]gachas!$1:$1,0)-MATCH($B$1,[2]gachas!$1:$1,0)+1,FALSE)</f>
        <v>赤アップ0１　最終日</v>
      </c>
      <c r="D138" s="29">
        <v>0</v>
      </c>
      <c r="E138" s="30">
        <v>127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狂喜の賢者 ユノ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PremiumW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red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ヒューマン</v>
      </c>
      <c r="L138" s="29">
        <v>1</v>
      </c>
      <c r="M138" s="29">
        <v>1703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1"/>
        <v>01291</v>
      </c>
      <c r="B139" s="2">
        <v>110</v>
      </c>
      <c r="C139" s="10" t="str">
        <f ca="1">VLOOKUP($B139,OFFSET([2]gachas!$A$2,0,0,COUNTA([2]gachas!$A:$A),MATCH(C$1,[2]gachas!$1:$1,0)-MATCH($B$1,[2]gachas!$1:$1,0)+1),MATCH(C$1,[2]gachas!$1:$1,0)-MATCH($B$1,[2]gachas!$1:$1,0)+1,FALSE)</f>
        <v>赤アップ0１　最終日</v>
      </c>
      <c r="D139" s="6">
        <v>0</v>
      </c>
      <c r="E139" s="7">
        <v>129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孤高の狼憑き アマラ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PremiumW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green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ヒューマン</v>
      </c>
      <c r="L139" s="6">
        <v>1</v>
      </c>
      <c r="M139" s="6">
        <v>464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1"/>
        <v>01311</v>
      </c>
      <c r="B140" s="2">
        <v>110</v>
      </c>
      <c r="C140" s="10" t="str">
        <f ca="1">VLOOKUP($B140,OFFSET([2]gachas!$A$2,0,0,COUNTA([2]gachas!$A:$A),MATCH(C$1,[2]gachas!$1:$1,0)-MATCH($B$1,[2]gachas!$1:$1,0)+1),MATCH(C$1,[2]gachas!$1:$1,0)-MATCH($B$1,[2]gachas!$1:$1,0)+1,FALSE)</f>
        <v>赤アップ0１　最終日</v>
      </c>
      <c r="D140" s="6">
        <v>0</v>
      </c>
      <c r="E140" s="7">
        <v>131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PremiumW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blue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アニマル</v>
      </c>
      <c r="L140" s="6">
        <v>1</v>
      </c>
      <c r="M140" s="6">
        <v>464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1"/>
        <v>01331</v>
      </c>
      <c r="B141" s="2">
        <v>110</v>
      </c>
      <c r="C141" s="10" t="str">
        <f ca="1">VLOOKUP($B141,OFFSET([2]gachas!$A$2,0,0,COUNTA([2]gachas!$A:$A),MATCH(C$1,[2]gachas!$1:$1,0)-MATCH($B$1,[2]gachas!$1:$1,0)+1),MATCH(C$1,[2]gachas!$1:$1,0)-MATCH($B$1,[2]gachas!$1:$1,0)+1,FALSE)</f>
        <v>赤アップ0１　最終日</v>
      </c>
      <c r="D141" s="6">
        <v>0</v>
      </c>
      <c r="E141" s="7">
        <v>133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迅雷の刀剣 ハヤト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PremiumW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yellow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ヒューマン</v>
      </c>
      <c r="L141" s="6">
        <v>1</v>
      </c>
      <c r="M141" s="6">
        <v>464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1"/>
        <v>01351</v>
      </c>
      <c r="B142" s="2">
        <v>110</v>
      </c>
      <c r="C142" s="10" t="str">
        <f ca="1">VLOOKUP($B142,OFFSET([2]gachas!$A$2,0,0,COUNTA([2]gachas!$A:$A),MATCH(C$1,[2]gachas!$1:$1,0)-MATCH($B$1,[2]gachas!$1:$1,0)+1),MATCH(C$1,[2]gachas!$1:$1,0)-MATCH($B$1,[2]gachas!$1:$1,0)+1,FALSE)</f>
        <v>赤アップ0１　最終日</v>
      </c>
      <c r="D142" s="29">
        <v>0</v>
      </c>
      <c r="E142" s="30">
        <v>135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京の炎華夕霧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PremiumW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red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ヒューマン</v>
      </c>
      <c r="L142" s="29">
        <v>1</v>
      </c>
      <c r="M142" s="29">
        <v>1703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1"/>
        <v>01371</v>
      </c>
      <c r="B143" s="2">
        <v>110</v>
      </c>
      <c r="C143" s="10" t="str">
        <f ca="1">VLOOKUP($B143,OFFSET([2]gachas!$A$2,0,0,COUNTA([2]gachas!$A:$A),MATCH(C$1,[2]gachas!$1:$1,0)-MATCH($B$1,[2]gachas!$1:$1,0)+1),MATCH(C$1,[2]gachas!$1:$1,0)-MATCH($B$1,[2]gachas!$1:$1,0)+1,FALSE)</f>
        <v>赤アップ0１　最終日</v>
      </c>
      <c r="D143" s="6">
        <v>0</v>
      </c>
      <c r="E143" s="7">
        <v>137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清福の仕立屋 チハヤ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PremiumW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4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green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6">
        <v>1</v>
      </c>
      <c r="M143" s="6">
        <v>464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1"/>
        <v>01391</v>
      </c>
      <c r="B144" s="2">
        <v>110</v>
      </c>
      <c r="C144" s="10" t="str">
        <f ca="1">VLOOKUP($B144,OFFSET([2]gachas!$A$2,0,0,COUNTA([2]gachas!$A:$A),MATCH(C$1,[2]gachas!$1:$1,0)-MATCH($B$1,[2]gachas!$1:$1,0)+1),MATCH(C$1,[2]gachas!$1:$1,0)-MATCH($B$1,[2]gachas!$1:$1,0)+1,FALSE)</f>
        <v>赤アップ0１　最終日</v>
      </c>
      <c r="D144" s="6">
        <v>0</v>
      </c>
      <c r="E144" s="7">
        <v>139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蒼昇刃姫 トモエ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PremiumW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blue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ヒューマン</v>
      </c>
      <c r="L144" s="6">
        <v>1</v>
      </c>
      <c r="M144" s="6">
        <v>464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1"/>
        <v>01411</v>
      </c>
      <c r="B145" s="2">
        <v>110</v>
      </c>
      <c r="C145" s="10" t="str">
        <f ca="1">VLOOKUP($B145,OFFSET([2]gachas!$A$2,0,0,COUNTA([2]gachas!$A:$A),MATCH(C$1,[2]gachas!$1:$1,0)-MATCH($B$1,[2]gachas!$1:$1,0)+1),MATCH(C$1,[2]gachas!$1:$1,0)-MATCH($B$1,[2]gachas!$1:$1,0)+1,FALSE)</f>
        <v>赤アップ0１　最終日</v>
      </c>
      <c r="D145" s="6">
        <v>0</v>
      </c>
      <c r="E145" s="7">
        <v>141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妖狐演舞 タマモ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PremiumW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4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yellow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アニマル</v>
      </c>
      <c r="L145" s="6">
        <v>1</v>
      </c>
      <c r="M145" s="6">
        <v>464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1"/>
        <v>01431</v>
      </c>
      <c r="B146" s="2">
        <v>110</v>
      </c>
      <c r="C146" s="10" t="str">
        <f ca="1">VLOOKUP($B146,OFFSET([2]gachas!$A$2,0,0,COUNTA([2]gachas!$A:$A),MATCH(C$1,[2]gachas!$1:$1,0)-MATCH($B$1,[2]gachas!$1:$1,0)+1),MATCH(C$1,[2]gachas!$1:$1,0)-MATCH($B$1,[2]gachas!$1:$1,0)+1,FALSE)</f>
        <v>赤アップ0１　最終日</v>
      </c>
      <c r="D146" s="29">
        <v>0</v>
      </c>
      <c r="E146" s="30">
        <v>143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深紅の死神 赤ずきん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PremiumW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red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29">
        <v>1</v>
      </c>
      <c r="M146" s="29">
        <v>1703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ref="A147:A210" si="2">D147&amp;E147&amp;L147</f>
        <v>01451</v>
      </c>
      <c r="B147" s="2">
        <v>110</v>
      </c>
      <c r="C147" s="10" t="str">
        <f ca="1">VLOOKUP($B147,OFFSET([2]gachas!$A$2,0,0,COUNTA([2]gachas!$A:$A),MATCH(C$1,[2]gachas!$1:$1,0)-MATCH($B$1,[2]gachas!$1:$1,0)+1),MATCH(C$1,[2]gachas!$1:$1,0)-MATCH($B$1,[2]gachas!$1:$1,0)+1,FALSE)</f>
        <v>赤アップ0１　最終日</v>
      </c>
      <c r="D147" s="6">
        <v>0</v>
      </c>
      <c r="E147" s="7">
        <v>145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魔性妖艶 かぐや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PremiumW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green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ヒューマン</v>
      </c>
      <c r="L147" s="6">
        <v>1</v>
      </c>
      <c r="M147" s="6">
        <v>464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01471</v>
      </c>
      <c r="B148" s="2">
        <v>110</v>
      </c>
      <c r="C148" s="10" t="str">
        <f ca="1">VLOOKUP($B148,OFFSET([2]gachas!$A$2,0,0,COUNTA([2]gachas!$A:$A),MATCH(C$1,[2]gachas!$1:$1,0)-MATCH($B$1,[2]gachas!$1:$1,0)+1),MATCH(C$1,[2]gachas!$1:$1,0)-MATCH($B$1,[2]gachas!$1:$1,0)+1,FALSE)</f>
        <v>赤アップ0１　最終日</v>
      </c>
      <c r="D148" s="6">
        <v>0</v>
      </c>
      <c r="E148" s="7">
        <v>147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PremiumW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4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blue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ヒューマン</v>
      </c>
      <c r="L148" s="6">
        <v>1</v>
      </c>
      <c r="M148" s="6">
        <v>464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01491</v>
      </c>
      <c r="B149" s="2">
        <v>110</v>
      </c>
      <c r="C149" s="10" t="str">
        <f ca="1">VLOOKUP($B149,OFFSET([2]gachas!$A$2,0,0,COUNTA([2]gachas!$A:$A),MATCH(C$1,[2]gachas!$1:$1,0)-MATCH($B$1,[2]gachas!$1:$1,0)+1),MATCH(C$1,[2]gachas!$1:$1,0)-MATCH($B$1,[2]gachas!$1:$1,0)+1,FALSE)</f>
        <v>赤アップ0１　最終日</v>
      </c>
      <c r="D149" s="6">
        <v>0</v>
      </c>
      <c r="E149" s="7">
        <v>149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PremiumW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4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yellow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ヒューマン</v>
      </c>
      <c r="L149" s="6">
        <v>1</v>
      </c>
      <c r="M149" s="6">
        <v>464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01511</v>
      </c>
      <c r="B150" s="2">
        <v>110</v>
      </c>
      <c r="C150" s="10" t="str">
        <f ca="1">VLOOKUP($B150,OFFSET([2]gachas!$A$2,0,0,COUNTA([2]gachas!$A:$A),MATCH(C$1,[2]gachas!$1:$1,0)-MATCH($B$1,[2]gachas!$1:$1,0)+1),MATCH(C$1,[2]gachas!$1:$1,0)-MATCH($B$1,[2]gachas!$1:$1,0)+1,FALSE)</f>
        <v>赤アップ0１　最終日</v>
      </c>
      <c r="D150" s="29">
        <v>0</v>
      </c>
      <c r="E150" s="30">
        <v>151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毒煙の処刑人サキ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PremiumW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ヒューマン</v>
      </c>
      <c r="L150" s="29">
        <v>1</v>
      </c>
      <c r="M150" s="29">
        <v>1703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01531</v>
      </c>
      <c r="B151" s="2">
        <v>110</v>
      </c>
      <c r="C151" s="10" t="str">
        <f ca="1">VLOOKUP($B151,OFFSET([2]gachas!$A$2,0,0,COUNTA([2]gachas!$A:$A),MATCH(C$1,[2]gachas!$1:$1,0)-MATCH($B$1,[2]gachas!$1:$1,0)+1),MATCH(C$1,[2]gachas!$1:$1,0)-MATCH($B$1,[2]gachas!$1:$1,0)+1,FALSE)</f>
        <v>赤アップ0１　最終日</v>
      </c>
      <c r="D151" s="6">
        <v>0</v>
      </c>
      <c r="E151" s="7">
        <v>153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拳聖ランラン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PremiumW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4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ヒューマン</v>
      </c>
      <c r="L151" s="6">
        <v>1</v>
      </c>
      <c r="M151" s="6">
        <v>464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01551</v>
      </c>
      <c r="B152" s="2">
        <v>110</v>
      </c>
      <c r="C152" s="10" t="str">
        <f ca="1">VLOOKUP($B152,OFFSET([2]gachas!$A$2,0,0,COUNTA([2]gachas!$A:$A),MATCH(C$1,[2]gachas!$1:$1,0)-MATCH($B$1,[2]gachas!$1:$1,0)+1),MATCH(C$1,[2]gachas!$1:$1,0)-MATCH($B$1,[2]gachas!$1:$1,0)+1,FALSE)</f>
        <v>赤アップ0１　最終日</v>
      </c>
      <c r="D152" s="6">
        <v>0</v>
      </c>
      <c r="E152" s="7">
        <v>155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隻眼の掃除屋 ハンナ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PremiumW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blue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ヒューマン</v>
      </c>
      <c r="L152" s="6">
        <v>1</v>
      </c>
      <c r="M152" s="6">
        <v>464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01571</v>
      </c>
      <c r="B153" s="2">
        <v>110</v>
      </c>
      <c r="C153" s="10" t="str">
        <f ca="1">VLOOKUP($B153,OFFSET([2]gachas!$A$2,0,0,COUNTA([2]gachas!$A:$A),MATCH(C$1,[2]gachas!$1:$1,0)-MATCH($B$1,[2]gachas!$1:$1,0)+1),MATCH(C$1,[2]gachas!$1:$1,0)-MATCH($B$1,[2]gachas!$1:$1,0)+1,FALSE)</f>
        <v>赤アップ0１　最終日</v>
      </c>
      <c r="D153" s="6">
        <v>0</v>
      </c>
      <c r="E153" s="7">
        <v>157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雷光舞姫 エレナ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PremiumW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4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yellow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ヒューマン</v>
      </c>
      <c r="L153" s="6">
        <v>1</v>
      </c>
      <c r="M153" s="6">
        <v>464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2"/>
        <v>01591</v>
      </c>
      <c r="B154" s="2">
        <v>110</v>
      </c>
      <c r="C154" s="10" t="str">
        <f ca="1">VLOOKUP($B154,OFFSET([2]gachas!$A$2,0,0,COUNTA([2]gachas!$A:$A),MATCH(C$1,[2]gachas!$1:$1,0)-MATCH($B$1,[2]gachas!$1:$1,0)+1),MATCH(C$1,[2]gachas!$1:$1,0)-MATCH($B$1,[2]gachas!$1:$1,0)+1,FALSE)</f>
        <v>赤アップ0１　最終日</v>
      </c>
      <c r="D154" s="29">
        <v>0</v>
      </c>
      <c r="E154" s="30">
        <v>159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PremiumW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red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ヒューマン</v>
      </c>
      <c r="L154" s="29">
        <v>1</v>
      </c>
      <c r="M154" s="29">
        <v>1703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si="2"/>
        <v>01611</v>
      </c>
      <c r="B155" s="2">
        <v>110</v>
      </c>
      <c r="C155" s="10" t="str">
        <f ca="1">VLOOKUP($B155,OFFSET([2]gachas!$A$2,0,0,COUNTA([2]gachas!$A:$A),MATCH(C$1,[2]gachas!$1:$1,0)-MATCH($B$1,[2]gachas!$1:$1,0)+1),MATCH(C$1,[2]gachas!$1:$1,0)-MATCH($B$1,[2]gachas!$1:$1,0)+1,FALSE)</f>
        <v>赤アップ0１　最終日</v>
      </c>
      <c r="D155" s="6">
        <v>0</v>
      </c>
      <c r="E155" s="7">
        <v>161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咆哮の先導者 クリエ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PremiumW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green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ヒューマン</v>
      </c>
      <c r="L155" s="6">
        <v>1</v>
      </c>
      <c r="M155" s="6">
        <v>464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ht="21" customHeight="1">
      <c r="A156" s="8" t="str">
        <f t="shared" si="2"/>
        <v>01631</v>
      </c>
      <c r="B156" s="2">
        <v>110</v>
      </c>
      <c r="C156" s="10" t="str">
        <f ca="1">VLOOKUP($B156,OFFSET([2]gachas!$A$2,0,0,COUNTA([2]gachas!$A:$A),MATCH(C$1,[2]gachas!$1:$1,0)-MATCH($B$1,[2]gachas!$1:$1,0)+1),MATCH(C$1,[2]gachas!$1:$1,0)-MATCH($B$1,[2]gachas!$1:$1,0)+1,FALSE)</f>
        <v>赤アップ0１　最終日</v>
      </c>
      <c r="D156" s="6">
        <v>0</v>
      </c>
      <c r="E156" s="7">
        <v>163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冷酷な狂嬢 クララ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PremiumW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4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blue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ヒューマン</v>
      </c>
      <c r="L156" s="6">
        <v>1</v>
      </c>
      <c r="M156" s="6">
        <v>464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ht="21" customHeight="1">
      <c r="A157" s="8" t="str">
        <f t="shared" si="2"/>
        <v>01651</v>
      </c>
      <c r="B157" s="2">
        <v>110</v>
      </c>
      <c r="C157" s="10" t="str">
        <f ca="1">VLOOKUP($B157,OFFSET([2]gachas!$A$2,0,0,COUNTA([2]gachas!$A:$A),MATCH(C$1,[2]gachas!$1:$1,0)-MATCH($B$1,[2]gachas!$1:$1,0)+1),MATCH(C$1,[2]gachas!$1:$1,0)-MATCH($B$1,[2]gachas!$1:$1,0)+1,FALSE)</f>
        <v>赤アップ0１　最終日</v>
      </c>
      <c r="D157" s="6">
        <v>0</v>
      </c>
      <c r="E157" s="7">
        <v>165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PremiumW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4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yellow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ヒューマン</v>
      </c>
      <c r="L157" s="6">
        <v>1</v>
      </c>
      <c r="M157" s="6">
        <v>464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>
      <c r="A158" s="8" t="str">
        <f t="shared" si="2"/>
        <v>01671</v>
      </c>
      <c r="B158" s="2">
        <v>110</v>
      </c>
      <c r="C158" s="10" t="str">
        <f ca="1">VLOOKUP($B158,OFFSET([2]gachas!$A$2,0,0,COUNTA([2]gachas!$A:$A),MATCH(C$1,[2]gachas!$1:$1,0)-MATCH($B$1,[2]gachas!$1:$1,0)+1),MATCH(C$1,[2]gachas!$1:$1,0)-MATCH($B$1,[2]gachas!$1:$1,0)+1,FALSE)</f>
        <v>赤アップ0１　最終日</v>
      </c>
      <c r="D158" s="29">
        <v>0</v>
      </c>
      <c r="E158" s="30">
        <v>167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逆徒 ベリアル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PremiumN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ゴッド</v>
      </c>
      <c r="L158" s="29">
        <v>1</v>
      </c>
      <c r="M158" s="29">
        <v>1742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>
      <c r="A159" s="8" t="str">
        <f t="shared" si="2"/>
        <v>01701</v>
      </c>
      <c r="B159" s="2">
        <v>110</v>
      </c>
      <c r="C159" s="10" t="str">
        <f ca="1">VLOOKUP($B159,OFFSET([2]gachas!$A$2,0,0,COUNTA([2]gachas!$A:$A),MATCH(C$1,[2]gachas!$1:$1,0)-MATCH($B$1,[2]gachas!$1:$1,0)+1),MATCH(C$1,[2]gachas!$1:$1,0)-MATCH($B$1,[2]gachas!$1:$1,0)+1,FALSE)</f>
        <v>赤アップ0１　最終日</v>
      </c>
      <c r="D159" s="6">
        <v>0</v>
      </c>
      <c r="E159" s="7">
        <v>170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識徒 オセ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PremiumN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4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ゴッド</v>
      </c>
      <c r="L159" s="6">
        <v>1</v>
      </c>
      <c r="M159" s="6">
        <v>475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>
      <c r="A160" s="8" t="str">
        <f t="shared" si="2"/>
        <v>01731</v>
      </c>
      <c r="B160" s="2">
        <v>110</v>
      </c>
      <c r="C160" s="10" t="str">
        <f ca="1">VLOOKUP($B160,OFFSET([2]gachas!$A$2,0,0,COUNTA([2]gachas!$A:$A),MATCH(C$1,[2]gachas!$1:$1,0)-MATCH($B$1,[2]gachas!$1:$1,0)+1),MATCH(C$1,[2]gachas!$1:$1,0)-MATCH($B$1,[2]gachas!$1:$1,0)+1,FALSE)</f>
        <v>赤アップ0１　最終日</v>
      </c>
      <c r="D160" s="6">
        <v>0</v>
      </c>
      <c r="E160" s="7">
        <v>173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公爵 フォルネウス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PremiumN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blue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ゴッド</v>
      </c>
      <c r="L160" s="6">
        <v>1</v>
      </c>
      <c r="M160" s="6">
        <v>475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>
      <c r="A161" s="8" t="str">
        <f t="shared" si="2"/>
        <v>01761</v>
      </c>
      <c r="B161" s="2">
        <v>110</v>
      </c>
      <c r="C161" s="10" t="str">
        <f ca="1">VLOOKUP($B161,OFFSET([2]gachas!$A$2,0,0,COUNTA([2]gachas!$A:$A),MATCH(C$1,[2]gachas!$1:$1,0)-MATCH($B$1,[2]gachas!$1:$1,0)+1),MATCH(C$1,[2]gachas!$1:$1,0)-MATCH($B$1,[2]gachas!$1:$1,0)+1,FALSE)</f>
        <v>赤アップ0１　最終日</v>
      </c>
      <c r="D161" s="6">
        <v>0</v>
      </c>
      <c r="E161" s="7">
        <v>176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異教徒 バフォメット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PremiumN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4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yellow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ゴッド</v>
      </c>
      <c r="L161" s="6">
        <v>1</v>
      </c>
      <c r="M161" s="6">
        <v>475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>
      <c r="A162" s="8" t="str">
        <f t="shared" si="2"/>
        <v>01791</v>
      </c>
      <c r="B162" s="2">
        <v>110</v>
      </c>
      <c r="C162" s="10" t="str">
        <f ca="1">VLOOKUP($B162,OFFSET([2]gachas!$A$2,0,0,COUNTA([2]gachas!$A:$A),MATCH(C$1,[2]gachas!$1:$1,0)-MATCH($B$1,[2]gachas!$1:$1,0)+1),MATCH(C$1,[2]gachas!$1:$1,0)-MATCH($B$1,[2]gachas!$1:$1,0)+1,FALSE)</f>
        <v>赤アップ0１　最終日</v>
      </c>
      <c r="D162" s="29">
        <v>0</v>
      </c>
      <c r="E162" s="30">
        <v>179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番犬 ケルベロス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PremiumN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red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アニマル</v>
      </c>
      <c r="L162" s="29">
        <v>1</v>
      </c>
      <c r="M162" s="29">
        <v>1742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>
      <c r="A163" s="8" t="str">
        <f t="shared" si="2"/>
        <v>01821</v>
      </c>
      <c r="B163" s="2">
        <v>110</v>
      </c>
      <c r="C163" s="10" t="str">
        <f ca="1">VLOOKUP($B163,OFFSET([2]gachas!$A$2,0,0,COUNTA([2]gachas!$A:$A),MATCH(C$1,[2]gachas!$1:$1,0)-MATCH($B$1,[2]gachas!$1:$1,0)+1),MATCH(C$1,[2]gachas!$1:$1,0)-MATCH($B$1,[2]gachas!$1:$1,0)+1,FALSE)</f>
        <v>赤アップ0１　最終日</v>
      </c>
      <c r="D163" s="6">
        <v>0</v>
      </c>
      <c r="E163" s="7">
        <v>182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放蕩者 ベヒモス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PremiumN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4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green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アニマル</v>
      </c>
      <c r="L163" s="6">
        <v>1</v>
      </c>
      <c r="M163" s="6">
        <v>475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>
      <c r="A164" s="8" t="str">
        <f t="shared" si="2"/>
        <v>01851</v>
      </c>
      <c r="B164" s="2">
        <v>110</v>
      </c>
      <c r="C164" s="10" t="str">
        <f ca="1">VLOOKUP($B164,OFFSET([2]gachas!$A$2,0,0,COUNTA([2]gachas!$A:$A),MATCH(C$1,[2]gachas!$1:$1,0)-MATCH($B$1,[2]gachas!$1:$1,0)+1),MATCH(C$1,[2]gachas!$1:$1,0)-MATCH($B$1,[2]gachas!$1:$1,0)+1,FALSE)</f>
        <v>赤アップ0１　最終日</v>
      </c>
      <c r="D164" s="6">
        <v>0</v>
      </c>
      <c r="E164" s="7">
        <v>185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海姫 クラーケン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PremiumN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blue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アニマル</v>
      </c>
      <c r="L164" s="6">
        <v>1</v>
      </c>
      <c r="M164" s="6">
        <v>475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>
      <c r="A165" s="8" t="str">
        <f t="shared" si="2"/>
        <v>01881</v>
      </c>
      <c r="B165" s="2">
        <v>110</v>
      </c>
      <c r="C165" s="10" t="str">
        <f ca="1">VLOOKUP($B165,OFFSET([2]gachas!$A$2,0,0,COUNTA([2]gachas!$A:$A),MATCH(C$1,[2]gachas!$1:$1,0)-MATCH($B$1,[2]gachas!$1:$1,0)+1),MATCH(C$1,[2]gachas!$1:$1,0)-MATCH($B$1,[2]gachas!$1:$1,0)+1,FALSE)</f>
        <v>赤アップ0１　最終日</v>
      </c>
      <c r="D165" s="6">
        <v>0</v>
      </c>
      <c r="E165" s="7">
        <v>188</v>
      </c>
      <c r="F165" s="10" t="str">
        <f ca="1">VLOOKUP($E165,OFFSET([1]characters!$A$2,0,0,COUNTA([1]characters!$A:$A),MATCH(F$1,[1]characters!$2:$2,0)-MATCH($E$1,[1]characters!$2:$2,0)+1),MATCH(F$1,[1]characters!$2:$2,0)-MATCH($E$1,[1]characters!$2:$2,0)+1,FALSE)</f>
        <v>猛禽 ホルス</v>
      </c>
      <c r="G165" s="10" t="str">
        <f ca="1">VLOOKUP($E165,OFFSET([1]characters!$A$2,0,0,COUNTA([1]characters!$A:$A),MATCH(G$1,[1]characters!$2:$2,0)-MATCH($E$1,[1]characters!$2:$2,0)+1),MATCH(G$1,[1]characters!$2:$2,0)-MATCH($E$1,[1]characters!$2:$2,0)+1,FALSE)</f>
        <v>PremiumN</v>
      </c>
      <c r="H165" s="1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10" t="str">
        <f ca="1">VLOOKUP($E165,OFFSET([1]characters!$A$2,0,0,COUNTA([1]characters!$A:$A),MATCH(I$1,[1]characters!$2:$2,0)-MATCH($E$1,[1]characters!$2:$2,0)+1),MATCH(I$1,[1]characters!$2:$2,0)-MATCH($E$1,[1]characters!$2:$2,0)+1,FALSE)</f>
        <v>yellow</v>
      </c>
      <c r="J165" s="10" t="str">
        <f ca="1">VLOOKUP($E165,OFFSET([1]characters!$A$2,0,0,COUNTA([1]characters!$A:$A),MATCH("タイプ",[1]characters!$1:$1,0)-MATCH($E$1,[1]characters!$2:$2,0)+2),MATCH("タイプ",[1]characters!$1:$1,0)-MATCH($E$1,[1]characters!$2:$2,0)+2,FALSE)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5" s="10" t="str">
        <f ca="1">VLOOKUP($E165,OFFSET([1]characters!$A$2,0,0,COUNTA([1]characters!$A:$A),MATCH($K$1,[1]characters!$1:$1,0)-MATCH($E$1,[1]characters!$2:$2,0)+2),MATCH($K$1,[1]characters!$1:$1,0)-MATCH($E$1,[1]characters!$2:$2,0)+2,FALSE)</f>
        <v>アニマル</v>
      </c>
      <c r="L165" s="6">
        <v>1</v>
      </c>
      <c r="M165" s="6">
        <v>475</v>
      </c>
      <c r="N165" s="28">
        <v>0</v>
      </c>
      <c r="O165" s="28">
        <v>0</v>
      </c>
      <c r="P165" s="28">
        <v>0</v>
      </c>
      <c r="Q165" s="28">
        <v>0</v>
      </c>
      <c r="R165" s="28">
        <v>1</v>
      </c>
    </row>
    <row r="166" spans="1:18" ht="21" customHeight="1">
      <c r="A166" s="8" t="str">
        <f t="shared" si="2"/>
        <v>01911</v>
      </c>
      <c r="B166" s="2">
        <v>110</v>
      </c>
      <c r="C166" s="10" t="str">
        <f ca="1">VLOOKUP($B166,OFFSET([2]gachas!$A$2,0,0,COUNTA([2]gachas!$A:$A),MATCH(C$1,[2]gachas!$1:$1,0)-MATCH($B$1,[2]gachas!$1:$1,0)+1),MATCH(C$1,[2]gachas!$1:$1,0)-MATCH($B$1,[2]gachas!$1:$1,0)+1,FALSE)</f>
        <v>赤アップ0１　最終日</v>
      </c>
      <c r="D166" s="29">
        <v>0</v>
      </c>
      <c r="E166" s="30">
        <v>191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始祖 卑弥呼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PremiumN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red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ヒューマン</v>
      </c>
      <c r="L166" s="29">
        <v>1</v>
      </c>
      <c r="M166" s="29">
        <v>1742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>
      <c r="A167" s="8" t="str">
        <f t="shared" si="2"/>
        <v>01941</v>
      </c>
      <c r="B167" s="2">
        <v>110</v>
      </c>
      <c r="C167" s="10" t="str">
        <f ca="1">VLOOKUP($B167,OFFSET([2]gachas!$A$2,0,0,COUNTA([2]gachas!$A:$A),MATCH(C$1,[2]gachas!$1:$1,0)-MATCH($B$1,[2]gachas!$1:$1,0)+1),MATCH(C$1,[2]gachas!$1:$1,0)-MATCH($B$1,[2]gachas!$1:$1,0)+1,FALSE)</f>
        <v>赤アップ0１　最終日</v>
      </c>
      <c r="D167" s="6">
        <v>0</v>
      </c>
      <c r="E167" s="7">
        <v>194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PremiumN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green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ヒューマン</v>
      </c>
      <c r="L167" s="6">
        <v>1</v>
      </c>
      <c r="M167" s="6">
        <v>475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>
      <c r="A168" s="8" t="str">
        <f t="shared" si="2"/>
        <v>01971</v>
      </c>
      <c r="B168" s="2">
        <v>110</v>
      </c>
      <c r="C168" s="10" t="str">
        <f ca="1">VLOOKUP($B168,OFFSET([2]gachas!$A$2,0,0,COUNTA([2]gachas!$A:$A),MATCH(C$1,[2]gachas!$1:$1,0)-MATCH($B$1,[2]gachas!$1:$1,0)+1),MATCH(C$1,[2]gachas!$1:$1,0)-MATCH($B$1,[2]gachas!$1:$1,0)+1,FALSE)</f>
        <v>赤アップ0１　最終日</v>
      </c>
      <c r="D168" s="6">
        <v>0</v>
      </c>
      <c r="E168" s="7">
        <v>197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鉄腕 アキレス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PremiumN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4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yellow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ヒューマン</v>
      </c>
      <c r="L168" s="6">
        <v>1</v>
      </c>
      <c r="M168" s="6">
        <v>475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>
      <c r="A169" s="8" t="str">
        <f t="shared" si="2"/>
        <v>02001</v>
      </c>
      <c r="B169" s="2">
        <v>110</v>
      </c>
      <c r="C169" s="10" t="str">
        <f ca="1">VLOOKUP($B169,OFFSET([2]gachas!$A$2,0,0,COUNTA([2]gachas!$A:$A),MATCH(C$1,[2]gachas!$1:$1,0)-MATCH($B$1,[2]gachas!$1:$1,0)+1),MATCH(C$1,[2]gachas!$1:$1,0)-MATCH($B$1,[2]gachas!$1:$1,0)+1,FALSE)</f>
        <v>赤アップ0１　最終日</v>
      </c>
      <c r="D169" s="6">
        <v>0</v>
      </c>
      <c r="E169" s="7">
        <v>200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PremiumN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blue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ヒューマン</v>
      </c>
      <c r="L169" s="6">
        <v>1</v>
      </c>
      <c r="M169" s="6">
        <v>475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  <row r="170" spans="1:18" ht="21" customHeight="1">
      <c r="A170" s="8" t="str">
        <f t="shared" si="2"/>
        <v>02031</v>
      </c>
      <c r="B170" s="2">
        <v>110</v>
      </c>
      <c r="C170" s="10" t="str">
        <f ca="1">VLOOKUP($B170,OFFSET([2]gachas!$A$2,0,0,COUNTA([2]gachas!$A:$A),MATCH(C$1,[2]gachas!$1:$1,0)-MATCH($B$1,[2]gachas!$1:$1,0)+1),MATCH(C$1,[2]gachas!$1:$1,0)-MATCH($B$1,[2]gachas!$1:$1,0)+1,FALSE)</f>
        <v>赤アップ0１　最終日</v>
      </c>
      <c r="D170" s="29">
        <v>0</v>
      </c>
      <c r="E170" s="30">
        <v>203</v>
      </c>
      <c r="F170" s="10" t="str">
        <f ca="1">VLOOKUP($E170,OFFSET([1]characters!$A$2,0,0,COUNTA([1]characters!$A:$A),MATCH(F$1,[1]characters!$2:$2,0)-MATCH($E$1,[1]characters!$2:$2,0)+1),MATCH(F$1,[1]characters!$2:$2,0)-MATCH($E$1,[1]characters!$2:$2,0)+1,FALSE)</f>
        <v>焔神 プロメテウス</v>
      </c>
      <c r="G170" s="10" t="str">
        <f ca="1">VLOOKUP($E170,OFFSET([1]characters!$A$2,0,0,COUNTA([1]characters!$A:$A),MATCH(G$1,[1]characters!$2:$2,0)-MATCH($E$1,[1]characters!$2:$2,0)+1),MATCH(G$1,[1]characters!$2:$2,0)-MATCH($E$1,[1]characters!$2:$2,0)+1,FALSE)</f>
        <v>PremiumN</v>
      </c>
      <c r="H170" s="10">
        <f ca="1">VLOOKUP($E170,OFFSET([1]characters!$A$2,0,0,COUNTA([1]characters!$A:$A),MATCH(H$1,[1]characters!$2:$2,0)-MATCH($E$1,[1]characters!$2:$2,0)+1),MATCH(H$1,[1]characters!$2:$2,0)-MATCH($E$1,[1]characters!$2:$2,0)+1,FALSE)</f>
        <v>4</v>
      </c>
      <c r="I170" s="10" t="str">
        <f ca="1">VLOOKUP($E170,OFFSET([1]characters!$A$2,0,0,COUNTA([1]characters!$A:$A),MATCH(I$1,[1]characters!$2:$2,0)-MATCH($E$1,[1]characters!$2:$2,0)+1),MATCH(I$1,[1]characters!$2:$2,0)-MATCH($E$1,[1]characters!$2:$2,0)+1,FALSE)</f>
        <v>red</v>
      </c>
      <c r="J170" s="10" t="str">
        <f ca="1">VLOOKUP($E170,OFFSET([1]characters!$A$2,0,0,COUNTA([1]characters!$A:$A),MATCH("タイプ",[1]characters!$1:$1,0)-MATCH($E$1,[1]characters!$2:$2,0)+2),MATCH("タイプ",[1]characters!$1:$1,0)-MATCH($E$1,[1]characters!$2:$2,0)+2,FALSE)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0" s="10" t="str">
        <f ca="1">VLOOKUP($E170,OFFSET([1]characters!$A$2,0,0,COUNTA([1]characters!$A:$A),MATCH($K$1,[1]characters!$1:$1,0)-MATCH($E$1,[1]characters!$2:$2,0)+2),MATCH($K$1,[1]characters!$1:$1,0)-MATCH($E$1,[1]characters!$2:$2,0)+2,FALSE)</f>
        <v>ゴッド</v>
      </c>
      <c r="L170" s="29">
        <v>1</v>
      </c>
      <c r="M170" s="29">
        <v>1742</v>
      </c>
      <c r="N170" s="28">
        <v>0</v>
      </c>
      <c r="O170" s="28">
        <v>0</v>
      </c>
      <c r="P170" s="28">
        <v>0</v>
      </c>
      <c r="Q170" s="28">
        <v>0</v>
      </c>
      <c r="R170" s="28">
        <v>1</v>
      </c>
    </row>
    <row r="171" spans="1:18" ht="21" customHeight="1">
      <c r="A171" s="8" t="str">
        <f t="shared" si="2"/>
        <v>02061</v>
      </c>
      <c r="B171" s="2">
        <v>110</v>
      </c>
      <c r="C171" s="10" t="str">
        <f ca="1">VLOOKUP($B171,OFFSET([2]gachas!$A$2,0,0,COUNTA([2]gachas!$A:$A),MATCH(C$1,[2]gachas!$1:$1,0)-MATCH($B$1,[2]gachas!$1:$1,0)+1),MATCH(C$1,[2]gachas!$1:$1,0)-MATCH($B$1,[2]gachas!$1:$1,0)+1,FALSE)</f>
        <v>赤アップ0１　最終日</v>
      </c>
      <c r="D171" s="6">
        <v>0</v>
      </c>
      <c r="E171" s="7">
        <v>206</v>
      </c>
      <c r="F171" s="10" t="str">
        <f ca="1">VLOOKUP($E171,OFFSET([1]characters!$A$2,0,0,COUNTA([1]characters!$A:$A),MATCH(F$1,[1]characters!$2:$2,0)-MATCH($E$1,[1]characters!$2:$2,0)+1),MATCH(F$1,[1]characters!$2:$2,0)-MATCH($E$1,[1]characters!$2:$2,0)+1,FALSE)</f>
        <v>美神 アフロディーテ</v>
      </c>
      <c r="G171" s="10" t="str">
        <f ca="1">VLOOKUP($E171,OFFSET([1]characters!$A$2,0,0,COUNTA([1]characters!$A:$A),MATCH(G$1,[1]characters!$2:$2,0)-MATCH($E$1,[1]characters!$2:$2,0)+1),MATCH(G$1,[1]characters!$2:$2,0)-MATCH($E$1,[1]characters!$2:$2,0)+1,FALSE)</f>
        <v>PremiumN</v>
      </c>
      <c r="H171" s="10">
        <f ca="1">VLOOKUP($E171,OFFSET([1]characters!$A$2,0,0,COUNTA([1]characters!$A:$A),MATCH(H$1,[1]characters!$2:$2,0)-MATCH($E$1,[1]characters!$2:$2,0)+1),MATCH(H$1,[1]characters!$2:$2,0)-MATCH($E$1,[1]characters!$2:$2,0)+1,FALSE)</f>
        <v>4</v>
      </c>
      <c r="I171" s="10" t="str">
        <f ca="1">VLOOKUP($E171,OFFSET([1]characters!$A$2,0,0,COUNTA([1]characters!$A:$A),MATCH(I$1,[1]characters!$2:$2,0)-MATCH($E$1,[1]characters!$2:$2,0)+1),MATCH(I$1,[1]characters!$2:$2,0)-MATCH($E$1,[1]characters!$2:$2,0)+1,FALSE)</f>
        <v>green</v>
      </c>
      <c r="J171" s="10" t="str">
        <f ca="1">VLOOKUP($E171,OFFSET([1]characters!$A$2,0,0,COUNTA([1]characters!$A:$A),MATCH("タイプ",[1]characters!$1:$1,0)-MATCH($E$1,[1]characters!$2:$2,0)+2),MATCH("タイプ",[1]characters!$1:$1,0)-MATCH($E$1,[1]characters!$2:$2,0)+2,FALSE)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1" s="10" t="str">
        <f ca="1">VLOOKUP($E171,OFFSET([1]characters!$A$2,0,0,COUNTA([1]characters!$A:$A),MATCH($K$1,[1]characters!$1:$1,0)-MATCH($E$1,[1]characters!$2:$2,0)+2),MATCH($K$1,[1]characters!$1:$1,0)-MATCH($E$1,[1]characters!$2:$2,0)+2,FALSE)</f>
        <v>ゴッド</v>
      </c>
      <c r="L171" s="6">
        <v>1</v>
      </c>
      <c r="M171" s="6">
        <v>475</v>
      </c>
      <c r="N171" s="28">
        <v>0</v>
      </c>
      <c r="O171" s="28">
        <v>0</v>
      </c>
      <c r="P171" s="28">
        <v>0</v>
      </c>
      <c r="Q171" s="28">
        <v>0</v>
      </c>
      <c r="R171" s="28">
        <v>1</v>
      </c>
    </row>
    <row r="172" spans="1:18" ht="21" customHeight="1">
      <c r="A172" s="8" t="str">
        <f t="shared" si="2"/>
        <v>02091</v>
      </c>
      <c r="B172" s="2">
        <v>110</v>
      </c>
      <c r="C172" s="10" t="str">
        <f ca="1">VLOOKUP($B172,OFFSET([2]gachas!$A$2,0,0,COUNTA([2]gachas!$A:$A),MATCH(C$1,[2]gachas!$1:$1,0)-MATCH($B$1,[2]gachas!$1:$1,0)+1),MATCH(C$1,[2]gachas!$1:$1,0)-MATCH($B$1,[2]gachas!$1:$1,0)+1,FALSE)</f>
        <v>赤アップ0１　最終日</v>
      </c>
      <c r="D172" s="6">
        <v>0</v>
      </c>
      <c r="E172" s="7">
        <v>209</v>
      </c>
      <c r="F172" s="10" t="str">
        <f ca="1">VLOOKUP($E172,OFFSET([1]characters!$A$2,0,0,COUNTA([1]characters!$A:$A),MATCH(F$1,[1]characters!$2:$2,0)-MATCH($E$1,[1]characters!$2:$2,0)+1),MATCH(F$1,[1]characters!$2:$2,0)-MATCH($E$1,[1]characters!$2:$2,0)+1,FALSE)</f>
        <v>孤神 テティス</v>
      </c>
      <c r="G172" s="10" t="str">
        <f ca="1">VLOOKUP($E172,OFFSET([1]characters!$A$2,0,0,COUNTA([1]characters!$A:$A),MATCH(G$1,[1]characters!$2:$2,0)-MATCH($E$1,[1]characters!$2:$2,0)+1),MATCH(G$1,[1]characters!$2:$2,0)-MATCH($E$1,[1]characters!$2:$2,0)+1,FALSE)</f>
        <v>PremiumN</v>
      </c>
      <c r="H172" s="10">
        <f ca="1">VLOOKUP($E172,OFFSET([1]characters!$A$2,0,0,COUNTA([1]characters!$A:$A),MATCH(H$1,[1]characters!$2:$2,0)-MATCH($E$1,[1]characters!$2:$2,0)+1),MATCH(H$1,[1]characters!$2:$2,0)-MATCH($E$1,[1]characters!$2:$2,0)+1,FALSE)</f>
        <v>4</v>
      </c>
      <c r="I172" s="10" t="str">
        <f ca="1">VLOOKUP($E172,OFFSET([1]characters!$A$2,0,0,COUNTA([1]characters!$A:$A),MATCH(I$1,[1]characters!$2:$2,0)-MATCH($E$1,[1]characters!$2:$2,0)+1),MATCH(I$1,[1]characters!$2:$2,0)-MATCH($E$1,[1]characters!$2:$2,0)+1,FALSE)</f>
        <v>blue</v>
      </c>
      <c r="J172" s="10" t="str">
        <f ca="1">VLOOKUP($E172,OFFSET([1]characters!$A$2,0,0,COUNTA([1]characters!$A:$A),MATCH("タイプ",[1]characters!$1:$1,0)-MATCH($E$1,[1]characters!$2:$2,0)+2),MATCH("タイプ",[1]characters!$1:$1,0)-MATCH($E$1,[1]characters!$2:$2,0)+2,FALSE)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2" s="10" t="str">
        <f ca="1">VLOOKUP($E172,OFFSET([1]characters!$A$2,0,0,COUNTA([1]characters!$A:$A),MATCH($K$1,[1]characters!$1:$1,0)-MATCH($E$1,[1]characters!$2:$2,0)+2),MATCH($K$1,[1]characters!$1:$1,0)-MATCH($E$1,[1]characters!$2:$2,0)+2,FALSE)</f>
        <v>ゴッド</v>
      </c>
      <c r="L172" s="6">
        <v>1</v>
      </c>
      <c r="M172" s="6">
        <v>475</v>
      </c>
      <c r="N172" s="28">
        <v>0</v>
      </c>
      <c r="O172" s="28">
        <v>0</v>
      </c>
      <c r="P172" s="28">
        <v>0</v>
      </c>
      <c r="Q172" s="28">
        <v>0</v>
      </c>
      <c r="R172" s="28">
        <v>1</v>
      </c>
    </row>
    <row r="173" spans="1:18" ht="21" customHeight="1">
      <c r="A173" s="8" t="str">
        <f t="shared" si="2"/>
        <v>02121</v>
      </c>
      <c r="B173" s="2">
        <v>110</v>
      </c>
      <c r="C173" s="10" t="str">
        <f ca="1">VLOOKUP($B173,OFFSET([2]gachas!$A$2,0,0,COUNTA([2]gachas!$A:$A),MATCH(C$1,[2]gachas!$1:$1,0)-MATCH($B$1,[2]gachas!$1:$1,0)+1),MATCH(C$1,[2]gachas!$1:$1,0)-MATCH($B$1,[2]gachas!$1:$1,0)+1,FALSE)</f>
        <v>赤アップ0１　最終日</v>
      </c>
      <c r="D173" s="6">
        <v>0</v>
      </c>
      <c r="E173" s="7">
        <v>212</v>
      </c>
      <c r="F173" s="10" t="str">
        <f ca="1">VLOOKUP($E173,OFFSET([1]characters!$A$2,0,0,COUNTA([1]characters!$A:$A),MATCH(F$1,[1]characters!$2:$2,0)-MATCH($E$1,[1]characters!$2:$2,0)+1),MATCH(F$1,[1]characters!$2:$2,0)-MATCH($E$1,[1]characters!$2:$2,0)+1,FALSE)</f>
        <v>星神 アストライアー</v>
      </c>
      <c r="G173" s="10" t="str">
        <f ca="1">VLOOKUP($E173,OFFSET([1]characters!$A$2,0,0,COUNTA([1]characters!$A:$A),MATCH(G$1,[1]characters!$2:$2,0)-MATCH($E$1,[1]characters!$2:$2,0)+1),MATCH(G$1,[1]characters!$2:$2,0)-MATCH($E$1,[1]characters!$2:$2,0)+1,FALSE)</f>
        <v>PremiumN</v>
      </c>
      <c r="H173" s="10">
        <f ca="1">VLOOKUP($E173,OFFSET([1]characters!$A$2,0,0,COUNTA([1]characters!$A:$A),MATCH(H$1,[1]characters!$2:$2,0)-MATCH($E$1,[1]characters!$2:$2,0)+1),MATCH(H$1,[1]characters!$2:$2,0)-MATCH($E$1,[1]characters!$2:$2,0)+1,FALSE)</f>
        <v>4</v>
      </c>
      <c r="I173" s="10" t="str">
        <f ca="1">VLOOKUP($E173,OFFSET([1]characters!$A$2,0,0,COUNTA([1]characters!$A:$A),MATCH(I$1,[1]characters!$2:$2,0)-MATCH($E$1,[1]characters!$2:$2,0)+1),MATCH(I$1,[1]characters!$2:$2,0)-MATCH($E$1,[1]characters!$2:$2,0)+1,FALSE)</f>
        <v>yellow</v>
      </c>
      <c r="J173" s="10" t="str">
        <f ca="1">VLOOKUP($E173,OFFSET([1]characters!$A$2,0,0,COUNTA([1]characters!$A:$A),MATCH("タイプ",[1]characters!$1:$1,0)-MATCH($E$1,[1]characters!$2:$2,0)+2),MATCH("タイプ",[1]characters!$1:$1,0)-MATCH($E$1,[1]characters!$2:$2,0)+2,FALSE)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3" s="10" t="str">
        <f ca="1">VLOOKUP($E173,OFFSET([1]characters!$A$2,0,0,COUNTA([1]characters!$A:$A),MATCH($K$1,[1]characters!$1:$1,0)-MATCH($E$1,[1]characters!$2:$2,0)+2),MATCH($K$1,[1]characters!$1:$1,0)-MATCH($E$1,[1]characters!$2:$2,0)+2,FALSE)</f>
        <v>ゴッド</v>
      </c>
      <c r="L173" s="6">
        <v>1</v>
      </c>
      <c r="M173" s="6">
        <v>475</v>
      </c>
      <c r="N173" s="28">
        <v>0</v>
      </c>
      <c r="O173" s="28">
        <v>0</v>
      </c>
      <c r="P173" s="28">
        <v>0</v>
      </c>
      <c r="Q173" s="28">
        <v>0</v>
      </c>
      <c r="R173" s="28">
        <v>1</v>
      </c>
    </row>
    <row r="174" spans="1:18" ht="21" customHeight="1">
      <c r="A174" s="8" t="str">
        <f t="shared" si="2"/>
        <v>02151</v>
      </c>
      <c r="B174" s="2">
        <v>110</v>
      </c>
      <c r="C174" s="10" t="str">
        <f ca="1">VLOOKUP($B174,OFFSET([2]gachas!$A$2,0,0,COUNTA([2]gachas!$A:$A),MATCH(C$1,[2]gachas!$1:$1,0)-MATCH($B$1,[2]gachas!$1:$1,0)+1),MATCH(C$1,[2]gachas!$1:$1,0)-MATCH($B$1,[2]gachas!$1:$1,0)+1,FALSE)</f>
        <v>赤アップ0１　最終日</v>
      </c>
      <c r="D174" s="29">
        <v>0</v>
      </c>
      <c r="E174" s="30">
        <v>215</v>
      </c>
      <c r="F174" s="10" t="str">
        <f ca="1">VLOOKUP($E174,OFFSET([1]characters!$A$2,0,0,COUNTA([1]characters!$A:$A),MATCH(F$1,[1]characters!$2:$2,0)-MATCH($E$1,[1]characters!$2:$2,0)+1),MATCH(F$1,[1]characters!$2:$2,0)-MATCH($E$1,[1]characters!$2:$2,0)+1,FALSE)</f>
        <v>死導者 アズラエル</v>
      </c>
      <c r="G174" s="10" t="str">
        <f ca="1">VLOOKUP($E174,OFFSET([1]characters!$A$2,0,0,COUNTA([1]characters!$A:$A),MATCH(G$1,[1]characters!$2:$2,0)-MATCH($E$1,[1]characters!$2:$2,0)+1),MATCH(G$1,[1]characters!$2:$2,0)-MATCH($E$1,[1]characters!$2:$2,0)+1,FALSE)</f>
        <v>PremiumN</v>
      </c>
      <c r="H174" s="10">
        <f ca="1">VLOOKUP($E174,OFFSET([1]characters!$A$2,0,0,COUNTA([1]characters!$A:$A),MATCH(H$1,[1]characters!$2:$2,0)-MATCH($E$1,[1]characters!$2:$2,0)+1),MATCH(H$1,[1]characters!$2:$2,0)-MATCH($E$1,[1]characters!$2:$2,0)+1,FALSE)</f>
        <v>4</v>
      </c>
      <c r="I174" s="10" t="str">
        <f ca="1">VLOOKUP($E174,OFFSET([1]characters!$A$2,0,0,COUNTA([1]characters!$A:$A),MATCH(I$1,[1]characters!$2:$2,0)-MATCH($E$1,[1]characters!$2:$2,0)+1),MATCH(I$1,[1]characters!$2:$2,0)-MATCH($E$1,[1]characters!$2:$2,0)+1,FALSE)</f>
        <v>red</v>
      </c>
      <c r="J174" s="10" t="str">
        <f ca="1">VLOOKUP($E174,OFFSET([1]characters!$A$2,0,0,COUNTA([1]characters!$A:$A),MATCH("タイプ",[1]characters!$1:$1,0)-MATCH($E$1,[1]characters!$2:$2,0)+2),MATCH("タイプ",[1]characters!$1:$1,0)-MATCH($E$1,[1]characters!$2:$2,0)+2,FALSE)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4" s="10" t="str">
        <f ca="1">VLOOKUP($E174,OFFSET([1]characters!$A$2,0,0,COUNTA([1]characters!$A:$A),MATCH($K$1,[1]characters!$1:$1,0)-MATCH($E$1,[1]characters!$2:$2,0)+2),MATCH($K$1,[1]characters!$1:$1,0)-MATCH($E$1,[1]characters!$2:$2,0)+2,FALSE)</f>
        <v>ゴッド</v>
      </c>
      <c r="L174" s="29">
        <v>1</v>
      </c>
      <c r="M174" s="29">
        <v>1742</v>
      </c>
      <c r="N174" s="28">
        <v>0</v>
      </c>
      <c r="O174" s="28">
        <v>0</v>
      </c>
      <c r="P174" s="28">
        <v>0</v>
      </c>
      <c r="Q174" s="28">
        <v>0</v>
      </c>
      <c r="R174" s="28">
        <v>1</v>
      </c>
    </row>
    <row r="175" spans="1:18" ht="21" customHeight="1">
      <c r="A175" s="8" t="str">
        <f t="shared" si="2"/>
        <v>02181</v>
      </c>
      <c r="B175" s="2">
        <v>110</v>
      </c>
      <c r="C175" s="10" t="str">
        <f ca="1">VLOOKUP($B175,OFFSET([2]gachas!$A$2,0,0,COUNTA([2]gachas!$A:$A),MATCH(C$1,[2]gachas!$1:$1,0)-MATCH($B$1,[2]gachas!$1:$1,0)+1),MATCH(C$1,[2]gachas!$1:$1,0)-MATCH($B$1,[2]gachas!$1:$1,0)+1,FALSE)</f>
        <v>赤アップ0１　最終日</v>
      </c>
      <c r="D175" s="6">
        <v>0</v>
      </c>
      <c r="E175" s="7">
        <v>218</v>
      </c>
      <c r="F175" s="10" t="str">
        <f ca="1">VLOOKUP($E175,OFFSET([1]characters!$A$2,0,0,COUNTA([1]characters!$A:$A),MATCH(F$1,[1]characters!$2:$2,0)-MATCH($E$1,[1]characters!$2:$2,0)+1),MATCH(F$1,[1]characters!$2:$2,0)-MATCH($E$1,[1]characters!$2:$2,0)+1,FALSE)</f>
        <v>聖蛇 ケツァクアトル</v>
      </c>
      <c r="G175" s="10" t="str">
        <f ca="1">VLOOKUP($E175,OFFSET([1]characters!$A$2,0,0,COUNTA([1]characters!$A:$A),MATCH(G$1,[1]characters!$2:$2,0)-MATCH($E$1,[1]characters!$2:$2,0)+1),MATCH(G$1,[1]characters!$2:$2,0)-MATCH($E$1,[1]characters!$2:$2,0)+1,FALSE)</f>
        <v>PremiumN</v>
      </c>
      <c r="H175" s="10">
        <f ca="1">VLOOKUP($E175,OFFSET([1]characters!$A$2,0,0,COUNTA([1]characters!$A:$A),MATCH(H$1,[1]characters!$2:$2,0)-MATCH($E$1,[1]characters!$2:$2,0)+1),MATCH(H$1,[1]characters!$2:$2,0)-MATCH($E$1,[1]characters!$2:$2,0)+1,FALSE)</f>
        <v>4</v>
      </c>
      <c r="I175" s="10" t="str">
        <f ca="1">VLOOKUP($E175,OFFSET([1]characters!$A$2,0,0,COUNTA([1]characters!$A:$A),MATCH(I$1,[1]characters!$2:$2,0)-MATCH($E$1,[1]characters!$2:$2,0)+1),MATCH(I$1,[1]characters!$2:$2,0)-MATCH($E$1,[1]characters!$2:$2,0)+1,FALSE)</f>
        <v>green</v>
      </c>
      <c r="J175" s="10" t="str">
        <f ca="1">VLOOKUP($E175,OFFSET([1]characters!$A$2,0,0,COUNTA([1]characters!$A:$A),MATCH("タイプ",[1]characters!$1:$1,0)-MATCH($E$1,[1]characters!$2:$2,0)+2),MATCH("タイプ",[1]characters!$1:$1,0)-MATCH($E$1,[1]characters!$2:$2,0)+2,FALSE)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75" s="10" t="str">
        <f ca="1">VLOOKUP($E175,OFFSET([1]characters!$A$2,0,0,COUNTA([1]characters!$A:$A),MATCH($K$1,[1]characters!$1:$1,0)-MATCH($E$1,[1]characters!$2:$2,0)+2),MATCH($K$1,[1]characters!$1:$1,0)-MATCH($E$1,[1]characters!$2:$2,0)+2,FALSE)</f>
        <v>ドラゴン</v>
      </c>
      <c r="L175" s="6">
        <v>1</v>
      </c>
      <c r="M175" s="6">
        <v>475</v>
      </c>
      <c r="N175" s="28">
        <v>0</v>
      </c>
      <c r="O175" s="28">
        <v>0</v>
      </c>
      <c r="P175" s="28">
        <v>0</v>
      </c>
      <c r="Q175" s="28">
        <v>0</v>
      </c>
      <c r="R175" s="28">
        <v>1</v>
      </c>
    </row>
    <row r="176" spans="1:18" ht="21" customHeight="1">
      <c r="A176" s="8" t="str">
        <f t="shared" si="2"/>
        <v>02211</v>
      </c>
      <c r="B176" s="2">
        <v>110</v>
      </c>
      <c r="C176" s="10" t="str">
        <f ca="1">VLOOKUP($B176,OFFSET([2]gachas!$A$2,0,0,COUNTA([2]gachas!$A:$A),MATCH(C$1,[2]gachas!$1:$1,0)-MATCH($B$1,[2]gachas!$1:$1,0)+1),MATCH(C$1,[2]gachas!$1:$1,0)-MATCH($B$1,[2]gachas!$1:$1,0)+1,FALSE)</f>
        <v>赤アップ0１　最終日</v>
      </c>
      <c r="D176" s="6">
        <v>0</v>
      </c>
      <c r="E176" s="7">
        <v>221</v>
      </c>
      <c r="F176" s="10" t="str">
        <f ca="1">VLOOKUP($E176,OFFSET([1]characters!$A$2,0,0,COUNTA([1]characters!$A:$A),MATCH(F$1,[1]characters!$2:$2,0)-MATCH($E$1,[1]characters!$2:$2,0)+1),MATCH(F$1,[1]characters!$2:$2,0)-MATCH($E$1,[1]characters!$2:$2,0)+1,FALSE)</f>
        <v>宰相 ルキフグス</v>
      </c>
      <c r="G176" s="10" t="str">
        <f ca="1">VLOOKUP($E176,OFFSET([1]characters!$A$2,0,0,COUNTA([1]characters!$A:$A),MATCH(G$1,[1]characters!$2:$2,0)-MATCH($E$1,[1]characters!$2:$2,0)+1),MATCH(G$1,[1]characters!$2:$2,0)-MATCH($E$1,[1]characters!$2:$2,0)+1,FALSE)</f>
        <v>PremiumN</v>
      </c>
      <c r="H176" s="10">
        <f ca="1">VLOOKUP($E176,OFFSET([1]characters!$A$2,0,0,COUNTA([1]characters!$A:$A),MATCH(H$1,[1]characters!$2:$2,0)-MATCH($E$1,[1]characters!$2:$2,0)+1),MATCH(H$1,[1]characters!$2:$2,0)-MATCH($E$1,[1]characters!$2:$2,0)+1,FALSE)</f>
        <v>4</v>
      </c>
      <c r="I176" s="10" t="str">
        <f ca="1">VLOOKUP($E176,OFFSET([1]characters!$A$2,0,0,COUNTA([1]characters!$A:$A),MATCH(I$1,[1]characters!$2:$2,0)-MATCH($E$1,[1]characters!$2:$2,0)+1),MATCH(I$1,[1]characters!$2:$2,0)-MATCH($E$1,[1]characters!$2:$2,0)+1,FALSE)</f>
        <v>blue</v>
      </c>
      <c r="J176" s="10" t="str">
        <f ca="1">VLOOKUP($E176,OFFSET([1]characters!$A$2,0,0,COUNTA([1]characters!$A:$A),MATCH("タイプ",[1]characters!$1:$1,0)-MATCH($E$1,[1]characters!$2:$2,0)+2),MATCH("タイプ",[1]characters!$1:$1,0)-MATCH($E$1,[1]characters!$2:$2,0)+2,FALSE)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6" s="10" t="str">
        <f ca="1">VLOOKUP($E176,OFFSET([1]characters!$A$2,0,0,COUNTA([1]characters!$A:$A),MATCH($K$1,[1]characters!$1:$1,0)-MATCH($E$1,[1]characters!$2:$2,0)+2),MATCH($K$1,[1]characters!$1:$1,0)-MATCH($E$1,[1]characters!$2:$2,0)+2,FALSE)</f>
        <v>ゴッド</v>
      </c>
      <c r="L176" s="6">
        <v>1</v>
      </c>
      <c r="M176" s="6">
        <v>475</v>
      </c>
      <c r="N176" s="28">
        <v>0</v>
      </c>
      <c r="O176" s="28">
        <v>0</v>
      </c>
      <c r="P176" s="28">
        <v>0</v>
      </c>
      <c r="Q176" s="28">
        <v>0</v>
      </c>
      <c r="R176" s="28">
        <v>1</v>
      </c>
    </row>
    <row r="177" spans="1:18" ht="21" customHeight="1">
      <c r="A177" s="8" t="str">
        <f t="shared" si="2"/>
        <v>02241</v>
      </c>
      <c r="B177" s="2">
        <v>110</v>
      </c>
      <c r="C177" s="10" t="str">
        <f ca="1">VLOOKUP($B177,OFFSET([2]gachas!$A$2,0,0,COUNTA([2]gachas!$A:$A),MATCH(C$1,[2]gachas!$1:$1,0)-MATCH($B$1,[2]gachas!$1:$1,0)+1),MATCH(C$1,[2]gachas!$1:$1,0)-MATCH($B$1,[2]gachas!$1:$1,0)+1,FALSE)</f>
        <v>赤アップ0１　最終日</v>
      </c>
      <c r="D177" s="6">
        <v>0</v>
      </c>
      <c r="E177" s="7">
        <v>224</v>
      </c>
      <c r="F177" s="10" t="str">
        <f ca="1">VLOOKUP($E177,OFFSET([1]characters!$A$2,0,0,COUNTA([1]characters!$A:$A),MATCH(F$1,[1]characters!$2:$2,0)-MATCH($E$1,[1]characters!$2:$2,0)+1),MATCH(F$1,[1]characters!$2:$2,0)-MATCH($E$1,[1]characters!$2:$2,0)+1,FALSE)</f>
        <v>巨腕 ヘラクレス</v>
      </c>
      <c r="G177" s="10" t="str">
        <f ca="1">VLOOKUP($E177,OFFSET([1]characters!$A$2,0,0,COUNTA([1]characters!$A:$A),MATCH(G$1,[1]characters!$2:$2,0)-MATCH($E$1,[1]characters!$2:$2,0)+1),MATCH(G$1,[1]characters!$2:$2,0)-MATCH($E$1,[1]characters!$2:$2,0)+1,FALSE)</f>
        <v>PremiumN</v>
      </c>
      <c r="H177" s="10">
        <f ca="1">VLOOKUP($E177,OFFSET([1]characters!$A$2,0,0,COUNTA([1]characters!$A:$A),MATCH(H$1,[1]characters!$2:$2,0)-MATCH($E$1,[1]characters!$2:$2,0)+1),MATCH(H$1,[1]characters!$2:$2,0)-MATCH($E$1,[1]characters!$2:$2,0)+1,FALSE)</f>
        <v>4</v>
      </c>
      <c r="I177" s="10" t="str">
        <f ca="1">VLOOKUP($E177,OFFSET([1]characters!$A$2,0,0,COUNTA([1]characters!$A:$A),MATCH(I$1,[1]characters!$2:$2,0)-MATCH($E$1,[1]characters!$2:$2,0)+1),MATCH(I$1,[1]characters!$2:$2,0)-MATCH($E$1,[1]characters!$2:$2,0)+1,FALSE)</f>
        <v>yellow</v>
      </c>
      <c r="J177" s="10" t="str">
        <f ca="1">VLOOKUP($E177,OFFSET([1]characters!$A$2,0,0,COUNTA([1]characters!$A:$A),MATCH("タイプ",[1]characters!$1:$1,0)-MATCH($E$1,[1]characters!$2:$2,0)+2),MATCH("タイプ",[1]characters!$1:$1,0)-MATCH($E$1,[1]characters!$2:$2,0)+2,FALSE)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77" s="10" t="str">
        <f ca="1">VLOOKUP($E177,OFFSET([1]characters!$A$2,0,0,COUNTA([1]characters!$A:$A),MATCH($K$1,[1]characters!$1:$1,0)-MATCH($E$1,[1]characters!$2:$2,0)+2),MATCH($K$1,[1]characters!$1:$1,0)-MATCH($E$1,[1]characters!$2:$2,0)+2,FALSE)</f>
        <v>ヒューマン</v>
      </c>
      <c r="L177" s="6">
        <v>1</v>
      </c>
      <c r="M177" s="6">
        <v>475</v>
      </c>
      <c r="N177" s="28">
        <v>0</v>
      </c>
      <c r="O177" s="28">
        <v>0</v>
      </c>
      <c r="P177" s="28">
        <v>0</v>
      </c>
      <c r="Q177" s="28">
        <v>0</v>
      </c>
      <c r="R177" s="28">
        <v>1</v>
      </c>
    </row>
    <row r="178" spans="1:18" ht="21" customHeight="1">
      <c r="A178" s="8" t="str">
        <f t="shared" si="2"/>
        <v>02271</v>
      </c>
      <c r="B178" s="2">
        <v>110</v>
      </c>
      <c r="C178" s="10" t="str">
        <f ca="1">VLOOKUP($B178,OFFSET([2]gachas!$A$2,0,0,COUNTA([2]gachas!$A:$A),MATCH(C$1,[2]gachas!$1:$1,0)-MATCH($B$1,[2]gachas!$1:$1,0)+1),MATCH(C$1,[2]gachas!$1:$1,0)-MATCH($B$1,[2]gachas!$1:$1,0)+1,FALSE)</f>
        <v>赤アップ0１　最終日</v>
      </c>
      <c r="D178" s="29">
        <v>0</v>
      </c>
      <c r="E178" s="30">
        <v>227</v>
      </c>
      <c r="F178" s="10" t="str">
        <f ca="1">VLOOKUP($E178,OFFSET([1]characters!$A$2,0,0,COUNTA([1]characters!$A:$A),MATCH(F$1,[1]characters!$2:$2,0)-MATCH($E$1,[1]characters!$2:$2,0)+1),MATCH(F$1,[1]characters!$2:$2,0)-MATCH($E$1,[1]characters!$2:$2,0)+1,FALSE)</f>
        <v>滅弾 アレス</v>
      </c>
      <c r="G178" s="10" t="str">
        <f ca="1">VLOOKUP($E178,OFFSET([1]characters!$A$2,0,0,COUNTA([1]characters!$A:$A),MATCH(G$1,[1]characters!$2:$2,0)-MATCH($E$1,[1]characters!$2:$2,0)+1),MATCH(G$1,[1]characters!$2:$2,0)-MATCH($E$1,[1]characters!$2:$2,0)+1,FALSE)</f>
        <v>PremiumS</v>
      </c>
      <c r="H178" s="10">
        <f ca="1">VLOOKUP($E178,OFFSET([1]characters!$A$2,0,0,COUNTA([1]characters!$A:$A),MATCH(H$1,[1]characters!$2:$2,0)-MATCH($E$1,[1]characters!$2:$2,0)+1),MATCH(H$1,[1]characters!$2:$2,0)-MATCH($E$1,[1]characters!$2:$2,0)+1,FALSE)</f>
        <v>4</v>
      </c>
      <c r="I178" s="10" t="str">
        <f ca="1">VLOOKUP($E178,OFFSET([1]characters!$A$2,0,0,COUNTA([1]characters!$A:$A),MATCH(I$1,[1]characters!$2:$2,0)-MATCH($E$1,[1]characters!$2:$2,0)+1),MATCH(I$1,[1]characters!$2:$2,0)-MATCH($E$1,[1]characters!$2:$2,0)+1,FALSE)</f>
        <v>red</v>
      </c>
      <c r="J178" s="10" t="str">
        <f ca="1">VLOOKUP($E178,OFFSET([1]characters!$A$2,0,0,COUNTA([1]characters!$A:$A),MATCH("タイプ",[1]characters!$1:$1,0)-MATCH($E$1,[1]characters!$2:$2,0)+2),MATCH("タイプ",[1]characters!$1:$1,0)-MATCH($E$1,[1]characters!$2:$2,0)+2,FALSE)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78" s="10" t="str">
        <f ca="1">VLOOKUP($E178,OFFSET([1]characters!$A$2,0,0,COUNTA([1]characters!$A:$A),MATCH($K$1,[1]characters!$1:$1,0)-MATCH($E$1,[1]characters!$2:$2,0)+2),MATCH($K$1,[1]characters!$1:$1,0)-MATCH($E$1,[1]characters!$2:$2,0)+2,FALSE)</f>
        <v>ゴッド</v>
      </c>
      <c r="L178" s="29">
        <v>1</v>
      </c>
      <c r="M178" s="29">
        <v>396</v>
      </c>
      <c r="N178" s="28">
        <v>0</v>
      </c>
      <c r="O178" s="28">
        <v>0</v>
      </c>
      <c r="P178" s="28">
        <v>0</v>
      </c>
      <c r="Q178" s="28">
        <v>0</v>
      </c>
      <c r="R178" s="28">
        <v>1</v>
      </c>
    </row>
    <row r="179" spans="1:18" ht="21" customHeight="1">
      <c r="A179" s="8" t="str">
        <f t="shared" si="2"/>
        <v>02301</v>
      </c>
      <c r="B179" s="2">
        <v>110</v>
      </c>
      <c r="C179" s="10" t="str">
        <f ca="1">VLOOKUP($B179,OFFSET([2]gachas!$A$2,0,0,COUNTA([2]gachas!$A:$A),MATCH(C$1,[2]gachas!$1:$1,0)-MATCH($B$1,[2]gachas!$1:$1,0)+1),MATCH(C$1,[2]gachas!$1:$1,0)-MATCH($B$1,[2]gachas!$1:$1,0)+1,FALSE)</f>
        <v>赤アップ0１　最終日</v>
      </c>
      <c r="D179" s="6">
        <v>0</v>
      </c>
      <c r="E179" s="7">
        <v>230</v>
      </c>
      <c r="F179" s="10" t="str">
        <f ca="1">VLOOKUP($E179,OFFSET([1]characters!$A$2,0,0,COUNTA([1]characters!$A:$A),MATCH(F$1,[1]characters!$2:$2,0)-MATCH($E$1,[1]characters!$2:$2,0)+1),MATCH(F$1,[1]characters!$2:$2,0)-MATCH($E$1,[1]characters!$2:$2,0)+1,FALSE)</f>
        <v>毒銃 ヨルムンガンド</v>
      </c>
      <c r="G179" s="10" t="str">
        <f ca="1">VLOOKUP($E179,OFFSET([1]characters!$A$2,0,0,COUNTA([1]characters!$A:$A),MATCH(G$1,[1]characters!$2:$2,0)-MATCH($E$1,[1]characters!$2:$2,0)+1),MATCH(G$1,[1]characters!$2:$2,0)-MATCH($E$1,[1]characters!$2:$2,0)+1,FALSE)</f>
        <v>PremiumS</v>
      </c>
      <c r="H179" s="10">
        <f ca="1">VLOOKUP($E179,OFFSET([1]characters!$A$2,0,0,COUNTA([1]characters!$A:$A),MATCH(H$1,[1]characters!$2:$2,0)-MATCH($E$1,[1]characters!$2:$2,0)+1),MATCH(H$1,[1]characters!$2:$2,0)-MATCH($E$1,[1]characters!$2:$2,0)+1,FALSE)</f>
        <v>4</v>
      </c>
      <c r="I179" s="10" t="str">
        <f ca="1">VLOOKUP($E179,OFFSET([1]characters!$A$2,0,0,COUNTA([1]characters!$A:$A),MATCH(I$1,[1]characters!$2:$2,0)-MATCH($E$1,[1]characters!$2:$2,0)+1),MATCH(I$1,[1]characters!$2:$2,0)-MATCH($E$1,[1]characters!$2:$2,0)+1,FALSE)</f>
        <v>green</v>
      </c>
      <c r="J179" s="10" t="str">
        <f ca="1">VLOOKUP($E179,OFFSET([1]characters!$A$2,0,0,COUNTA([1]characters!$A:$A),MATCH("タイプ",[1]characters!$1:$1,0)-MATCH($E$1,[1]characters!$2:$2,0)+2),MATCH("タイプ",[1]characters!$1:$1,0)-MATCH($E$1,[1]characters!$2:$2,0)+2,FALSE)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79" s="10" t="str">
        <f ca="1">VLOOKUP($E179,OFFSET([1]characters!$A$2,0,0,COUNTA([1]characters!$A:$A),MATCH($K$1,[1]characters!$1:$1,0)-MATCH($E$1,[1]characters!$2:$2,0)+2),MATCH($K$1,[1]characters!$1:$1,0)-MATCH($E$1,[1]characters!$2:$2,0)+2,FALSE)</f>
        <v>ドラゴン</v>
      </c>
      <c r="L179" s="6">
        <v>1</v>
      </c>
      <c r="M179" s="6">
        <v>108</v>
      </c>
      <c r="N179" s="28">
        <v>0</v>
      </c>
      <c r="O179" s="28">
        <v>0</v>
      </c>
      <c r="P179" s="28">
        <v>0</v>
      </c>
      <c r="Q179" s="28">
        <v>0</v>
      </c>
      <c r="R179" s="28">
        <v>1</v>
      </c>
    </row>
    <row r="180" spans="1:18" ht="21" customHeight="1">
      <c r="A180" s="8" t="str">
        <f t="shared" si="2"/>
        <v>02331</v>
      </c>
      <c r="B180" s="2">
        <v>110</v>
      </c>
      <c r="C180" s="10" t="str">
        <f ca="1">VLOOKUP($B180,OFFSET([2]gachas!$A$2,0,0,COUNTA([2]gachas!$A:$A),MATCH(C$1,[2]gachas!$1:$1,0)-MATCH($B$1,[2]gachas!$1:$1,0)+1),MATCH(C$1,[2]gachas!$1:$1,0)-MATCH($B$1,[2]gachas!$1:$1,0)+1,FALSE)</f>
        <v>赤アップ0１　最終日</v>
      </c>
      <c r="D180" s="6">
        <v>0</v>
      </c>
      <c r="E180" s="7">
        <v>233</v>
      </c>
      <c r="F180" s="10" t="str">
        <f ca="1">VLOOKUP($E180,OFFSET([1]characters!$A$2,0,0,COUNTA([1]characters!$A:$A),MATCH(F$1,[1]characters!$2:$2,0)-MATCH($E$1,[1]characters!$2:$2,0)+1),MATCH(F$1,[1]characters!$2:$2,0)-MATCH($E$1,[1]characters!$2:$2,0)+1,FALSE)</f>
        <v>遂行 パーシヴァル</v>
      </c>
      <c r="G180" s="10" t="str">
        <f ca="1">VLOOKUP($E180,OFFSET([1]characters!$A$2,0,0,COUNTA([1]characters!$A:$A),MATCH(G$1,[1]characters!$2:$2,0)-MATCH($E$1,[1]characters!$2:$2,0)+1),MATCH(G$1,[1]characters!$2:$2,0)-MATCH($E$1,[1]characters!$2:$2,0)+1,FALSE)</f>
        <v>PremiumS</v>
      </c>
      <c r="H180" s="10">
        <f ca="1">VLOOKUP($E180,OFFSET([1]characters!$A$2,0,0,COUNTA([1]characters!$A:$A),MATCH(H$1,[1]characters!$2:$2,0)-MATCH($E$1,[1]characters!$2:$2,0)+1),MATCH(H$1,[1]characters!$2:$2,0)-MATCH($E$1,[1]characters!$2:$2,0)+1,FALSE)</f>
        <v>4</v>
      </c>
      <c r="I180" s="10" t="str">
        <f ca="1">VLOOKUP($E180,OFFSET([1]characters!$A$2,0,0,COUNTA([1]characters!$A:$A),MATCH(I$1,[1]characters!$2:$2,0)-MATCH($E$1,[1]characters!$2:$2,0)+1),MATCH(I$1,[1]characters!$2:$2,0)-MATCH($E$1,[1]characters!$2:$2,0)+1,FALSE)</f>
        <v>blue</v>
      </c>
      <c r="J180" s="10" t="str">
        <f ca="1">VLOOKUP($E180,OFFSET([1]characters!$A$2,0,0,COUNTA([1]characters!$A:$A),MATCH("タイプ",[1]characters!$1:$1,0)-MATCH($E$1,[1]characters!$2:$2,0)+2),MATCH("タイプ",[1]characters!$1:$1,0)-MATCH($E$1,[1]characters!$2:$2,0)+2,FALSE)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80" s="10" t="str">
        <f ca="1">VLOOKUP($E180,OFFSET([1]characters!$A$2,0,0,COUNTA([1]characters!$A:$A),MATCH($K$1,[1]characters!$1:$1,0)-MATCH($E$1,[1]characters!$2:$2,0)+2),MATCH($K$1,[1]characters!$1:$1,0)-MATCH($E$1,[1]characters!$2:$2,0)+2,FALSE)</f>
        <v>ヒューマン</v>
      </c>
      <c r="L180" s="6">
        <v>1</v>
      </c>
      <c r="M180" s="6">
        <v>108</v>
      </c>
      <c r="N180" s="28">
        <v>0</v>
      </c>
      <c r="O180" s="28">
        <v>0</v>
      </c>
      <c r="P180" s="28">
        <v>0</v>
      </c>
      <c r="Q180" s="28">
        <v>0</v>
      </c>
      <c r="R180" s="28">
        <v>1</v>
      </c>
    </row>
    <row r="181" spans="1:18" ht="21" customHeight="1">
      <c r="A181" s="8" t="str">
        <f t="shared" si="2"/>
        <v>02361</v>
      </c>
      <c r="B181" s="2">
        <v>110</v>
      </c>
      <c r="C181" s="10" t="str">
        <f ca="1">VLOOKUP($B181,OFFSET([2]gachas!$A$2,0,0,COUNTA([2]gachas!$A:$A),MATCH(C$1,[2]gachas!$1:$1,0)-MATCH($B$1,[2]gachas!$1:$1,0)+1),MATCH(C$1,[2]gachas!$1:$1,0)-MATCH($B$1,[2]gachas!$1:$1,0)+1,FALSE)</f>
        <v>赤アップ0１　最終日</v>
      </c>
      <c r="D181" s="6">
        <v>0</v>
      </c>
      <c r="E181" s="7">
        <v>236</v>
      </c>
      <c r="F181" s="10" t="str">
        <f ca="1">VLOOKUP($E181,OFFSET([1]characters!$A$2,0,0,COUNTA([1]characters!$A:$A),MATCH(F$1,[1]characters!$2:$2,0)-MATCH($E$1,[1]characters!$2:$2,0)+1),MATCH(F$1,[1]characters!$2:$2,0)-MATCH($E$1,[1]characters!$2:$2,0)+1,FALSE)</f>
        <v>神産 イザナミ</v>
      </c>
      <c r="G181" s="10" t="str">
        <f ca="1">VLOOKUP($E181,OFFSET([1]characters!$A$2,0,0,COUNTA([1]characters!$A:$A),MATCH(G$1,[1]characters!$2:$2,0)-MATCH($E$1,[1]characters!$2:$2,0)+1),MATCH(G$1,[1]characters!$2:$2,0)-MATCH($E$1,[1]characters!$2:$2,0)+1,FALSE)</f>
        <v>PremiumS</v>
      </c>
      <c r="H181" s="10">
        <f ca="1">VLOOKUP($E181,OFFSET([1]characters!$A$2,0,0,COUNTA([1]characters!$A:$A),MATCH(H$1,[1]characters!$2:$2,0)-MATCH($E$1,[1]characters!$2:$2,0)+1),MATCH(H$1,[1]characters!$2:$2,0)-MATCH($E$1,[1]characters!$2:$2,0)+1,FALSE)</f>
        <v>4</v>
      </c>
      <c r="I181" s="10" t="str">
        <f ca="1">VLOOKUP($E181,OFFSET([1]characters!$A$2,0,0,COUNTA([1]characters!$A:$A),MATCH(I$1,[1]characters!$2:$2,0)-MATCH($E$1,[1]characters!$2:$2,0)+1),MATCH(I$1,[1]characters!$2:$2,0)-MATCH($E$1,[1]characters!$2:$2,0)+1,FALSE)</f>
        <v>yellow</v>
      </c>
      <c r="J181" s="10" t="str">
        <f ca="1">VLOOKUP($E181,OFFSET([1]characters!$A$2,0,0,COUNTA([1]characters!$A:$A),MATCH("タイプ",[1]characters!$1:$1,0)-MATCH($E$1,[1]characters!$2:$2,0)+2),MATCH("タイプ",[1]characters!$1:$1,0)-MATCH($E$1,[1]characters!$2:$2,0)+2,FALSE)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1" s="10" t="str">
        <f ca="1">VLOOKUP($E181,OFFSET([1]characters!$A$2,0,0,COUNTA([1]characters!$A:$A),MATCH($K$1,[1]characters!$1:$1,0)-MATCH($E$1,[1]characters!$2:$2,0)+2),MATCH($K$1,[1]characters!$1:$1,0)-MATCH($E$1,[1]characters!$2:$2,0)+2,FALSE)</f>
        <v>ゴッド</v>
      </c>
      <c r="L181" s="6">
        <v>1</v>
      </c>
      <c r="M181" s="6">
        <v>108</v>
      </c>
      <c r="N181" s="28">
        <v>0</v>
      </c>
      <c r="O181" s="28">
        <v>0</v>
      </c>
      <c r="P181" s="28">
        <v>0</v>
      </c>
      <c r="Q181" s="28">
        <v>0</v>
      </c>
      <c r="R181" s="28">
        <v>1</v>
      </c>
    </row>
    <row r="182" spans="1:18" ht="21" customHeight="1">
      <c r="A182" s="8" t="str">
        <f t="shared" si="2"/>
        <v>01681</v>
      </c>
      <c r="B182" s="2">
        <v>110</v>
      </c>
      <c r="C182" s="10" t="str">
        <f ca="1">VLOOKUP($B182,OFFSET([2]gachas!$A$2,0,0,COUNTA([2]gachas!$A:$A),MATCH(C$1,[2]gachas!$1:$1,0)-MATCH($B$1,[2]gachas!$1:$1,0)+1),MATCH(C$1,[2]gachas!$1:$1,0)-MATCH($B$1,[2]gachas!$1:$1,0)+1,FALSE)</f>
        <v>赤アップ0１　最終日</v>
      </c>
      <c r="D182" s="29">
        <v>0</v>
      </c>
      <c r="E182" s="30">
        <v>168</v>
      </c>
      <c r="F182" s="10" t="str">
        <f ca="1">VLOOKUP($E182,OFFSET([1]characters!$A$2,0,0,COUNTA([1]characters!$A:$A),MATCH(F$1,[1]characters!$2:$2,0)-MATCH($E$1,[1]characters!$2:$2,0)+1),MATCH(F$1,[1]characters!$2:$2,0)-MATCH($E$1,[1]characters!$2:$2,0)+1,FALSE)</f>
        <v>猛進の大逆者 ベリアル</v>
      </c>
      <c r="G182" s="10" t="str">
        <f ca="1">VLOOKUP($E182,OFFSET([1]characters!$A$2,0,0,COUNTA([1]characters!$A:$A),MATCH(G$1,[1]characters!$2:$2,0)-MATCH($E$1,[1]characters!$2:$2,0)+1),MATCH(G$1,[1]characters!$2:$2,0)-MATCH($E$1,[1]characters!$2:$2,0)+1,FALSE)</f>
        <v>PremiumN</v>
      </c>
      <c r="H182" s="10">
        <f ca="1">VLOOKUP($E182,OFFSET([1]characters!$A$2,0,0,COUNTA([1]characters!$A:$A),MATCH(H$1,[1]characters!$2:$2,0)-MATCH($E$1,[1]characters!$2:$2,0)+1),MATCH(H$1,[1]characters!$2:$2,0)-MATCH($E$1,[1]characters!$2:$2,0)+1,FALSE)</f>
        <v>5</v>
      </c>
      <c r="I182" s="10" t="str">
        <f ca="1">VLOOKUP($E182,OFFSET([1]characters!$A$2,0,0,COUNTA([1]characters!$A:$A),MATCH(I$1,[1]characters!$2:$2,0)-MATCH($E$1,[1]characters!$2:$2,0)+1),MATCH(I$1,[1]characters!$2:$2,0)-MATCH($E$1,[1]characters!$2:$2,0)+1,FALSE)</f>
        <v>red</v>
      </c>
      <c r="J182" s="10" t="str">
        <f ca="1">VLOOKUP($E182,OFFSET([1]characters!$A$2,0,0,COUNTA([1]characters!$A:$A),MATCH("タイプ",[1]characters!$1:$1,0)-MATCH($E$1,[1]characters!$2:$2,0)+2),MATCH("タイプ",[1]characters!$1:$1,0)-MATCH($E$1,[1]characters!$2:$2,0)+2,FALSE)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2" s="10" t="str">
        <f ca="1">VLOOKUP($E182,OFFSET([1]characters!$A$2,0,0,COUNTA([1]characters!$A:$A),MATCH($K$1,[1]characters!$1:$1,0)-MATCH($E$1,[1]characters!$2:$2,0)+2),MATCH($K$1,[1]characters!$1:$1,0)-MATCH($E$1,[1]characters!$2:$2,0)+2,FALSE)</f>
        <v>ゴッド</v>
      </c>
      <c r="L182" s="29">
        <v>1</v>
      </c>
      <c r="M182" s="29">
        <v>564</v>
      </c>
      <c r="N182" s="28">
        <v>0</v>
      </c>
      <c r="O182" s="28">
        <v>0</v>
      </c>
      <c r="P182" s="28">
        <v>0</v>
      </c>
      <c r="Q182" s="28">
        <v>0</v>
      </c>
      <c r="R182" s="28">
        <v>1</v>
      </c>
    </row>
    <row r="183" spans="1:18" ht="21" customHeight="1">
      <c r="A183" s="8" t="str">
        <f t="shared" si="2"/>
        <v>01711</v>
      </c>
      <c r="B183" s="2">
        <v>110</v>
      </c>
      <c r="C183" s="10" t="str">
        <f ca="1">VLOOKUP($B183,OFFSET([2]gachas!$A$2,0,0,COUNTA([2]gachas!$A:$A),MATCH(C$1,[2]gachas!$1:$1,0)-MATCH($B$1,[2]gachas!$1:$1,0)+1),MATCH(C$1,[2]gachas!$1:$1,0)-MATCH($B$1,[2]gachas!$1:$1,0)+1,FALSE)</f>
        <v>赤アップ0１　最終日</v>
      </c>
      <c r="D183" s="6">
        <v>0</v>
      </c>
      <c r="E183" s="7">
        <v>171</v>
      </c>
      <c r="F183" s="10" t="str">
        <f ca="1">VLOOKUP($E183,OFFSET([1]characters!$A$2,0,0,COUNTA([1]characters!$A:$A),MATCH(F$1,[1]characters!$2:$2,0)-MATCH($E$1,[1]characters!$2:$2,0)+1),MATCH(F$1,[1]characters!$2:$2,0)-MATCH($E$1,[1]characters!$2:$2,0)+1,FALSE)</f>
        <v>精解の預知者 オセ</v>
      </c>
      <c r="G183" s="10" t="str">
        <f ca="1">VLOOKUP($E183,OFFSET([1]characters!$A$2,0,0,COUNTA([1]characters!$A:$A),MATCH(G$1,[1]characters!$2:$2,0)-MATCH($E$1,[1]characters!$2:$2,0)+1),MATCH(G$1,[1]characters!$2:$2,0)-MATCH($E$1,[1]characters!$2:$2,0)+1,FALSE)</f>
        <v>PremiumN</v>
      </c>
      <c r="H183" s="10">
        <f ca="1">VLOOKUP($E183,OFFSET([1]characters!$A$2,0,0,COUNTA([1]characters!$A:$A),MATCH(H$1,[1]characters!$2:$2,0)-MATCH($E$1,[1]characters!$2:$2,0)+1),MATCH(H$1,[1]characters!$2:$2,0)-MATCH($E$1,[1]characters!$2:$2,0)+1,FALSE)</f>
        <v>5</v>
      </c>
      <c r="I183" s="10" t="str">
        <f ca="1">VLOOKUP($E183,OFFSET([1]characters!$A$2,0,0,COUNTA([1]characters!$A:$A),MATCH(I$1,[1]characters!$2:$2,0)-MATCH($E$1,[1]characters!$2:$2,0)+1),MATCH(I$1,[1]characters!$2:$2,0)-MATCH($E$1,[1]characters!$2:$2,0)+1,FALSE)</f>
        <v>green</v>
      </c>
      <c r="J183" s="10" t="str">
        <f ca="1">VLOOKUP($E183,OFFSET([1]characters!$A$2,0,0,COUNTA([1]characters!$A:$A),MATCH("タイプ",[1]characters!$1:$1,0)-MATCH($E$1,[1]characters!$2:$2,0)+2),MATCH("タイプ",[1]characters!$1:$1,0)-MATCH($E$1,[1]characters!$2:$2,0)+2,FALSE)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3" s="10" t="str">
        <f ca="1">VLOOKUP($E183,OFFSET([1]characters!$A$2,0,0,COUNTA([1]characters!$A:$A),MATCH($K$1,[1]characters!$1:$1,0)-MATCH($E$1,[1]characters!$2:$2,0)+2),MATCH($K$1,[1]characters!$1:$1,0)-MATCH($E$1,[1]characters!$2:$2,0)+2,FALSE)</f>
        <v>ゴッド</v>
      </c>
      <c r="L183" s="6">
        <v>1</v>
      </c>
      <c r="M183" s="6">
        <v>154</v>
      </c>
      <c r="N183" s="28">
        <v>0</v>
      </c>
      <c r="O183" s="28">
        <v>0</v>
      </c>
      <c r="P183" s="28">
        <v>0</v>
      </c>
      <c r="Q183" s="28">
        <v>0</v>
      </c>
      <c r="R183" s="28">
        <v>1</v>
      </c>
    </row>
    <row r="184" spans="1:18" ht="21" customHeight="1">
      <c r="A184" s="8" t="str">
        <f t="shared" si="2"/>
        <v>01741</v>
      </c>
      <c r="B184" s="2">
        <v>110</v>
      </c>
      <c r="C184" s="10" t="str">
        <f ca="1">VLOOKUP($B184,OFFSET([2]gachas!$A$2,0,0,COUNTA([2]gachas!$A:$A),MATCH(C$1,[2]gachas!$1:$1,0)-MATCH($B$1,[2]gachas!$1:$1,0)+1),MATCH(C$1,[2]gachas!$1:$1,0)-MATCH($B$1,[2]gachas!$1:$1,0)+1,FALSE)</f>
        <v>赤アップ0１　最終日</v>
      </c>
      <c r="D184" s="6">
        <v>0</v>
      </c>
      <c r="E184" s="7">
        <v>174</v>
      </c>
      <c r="F184" s="10" t="str">
        <f ca="1">VLOOKUP($E184,OFFSET([1]characters!$A$2,0,0,COUNTA([1]characters!$A:$A),MATCH(F$1,[1]characters!$2:$2,0)-MATCH($E$1,[1]characters!$2:$2,0)+1),MATCH(F$1,[1]characters!$2:$2,0)-MATCH($E$1,[1]characters!$2:$2,0)+1,FALSE)</f>
        <v>偽愛の大公爵 フォルネウス</v>
      </c>
      <c r="G184" s="10" t="str">
        <f ca="1">VLOOKUP($E184,OFFSET([1]characters!$A$2,0,0,COUNTA([1]characters!$A:$A),MATCH(G$1,[1]characters!$2:$2,0)-MATCH($E$1,[1]characters!$2:$2,0)+1),MATCH(G$1,[1]characters!$2:$2,0)-MATCH($E$1,[1]characters!$2:$2,0)+1,FALSE)</f>
        <v>PremiumN</v>
      </c>
      <c r="H184" s="10">
        <f ca="1">VLOOKUP($E184,OFFSET([1]characters!$A$2,0,0,COUNTA([1]characters!$A:$A),MATCH(H$1,[1]characters!$2:$2,0)-MATCH($E$1,[1]characters!$2:$2,0)+1),MATCH(H$1,[1]characters!$2:$2,0)-MATCH($E$1,[1]characters!$2:$2,0)+1,FALSE)</f>
        <v>5</v>
      </c>
      <c r="I184" s="10" t="str">
        <f ca="1">VLOOKUP($E184,OFFSET([1]characters!$A$2,0,0,COUNTA([1]characters!$A:$A),MATCH(I$1,[1]characters!$2:$2,0)-MATCH($E$1,[1]characters!$2:$2,0)+1),MATCH(I$1,[1]characters!$2:$2,0)-MATCH($E$1,[1]characters!$2:$2,0)+1,FALSE)</f>
        <v>blue</v>
      </c>
      <c r="J184" s="10" t="str">
        <f ca="1">VLOOKUP($E184,OFFSET([1]characters!$A$2,0,0,COUNTA([1]characters!$A:$A),MATCH("タイプ",[1]characters!$1:$1,0)-MATCH($E$1,[1]characters!$2:$2,0)+2),MATCH("タイプ",[1]characters!$1:$1,0)-MATCH($E$1,[1]characters!$2:$2,0)+2,FALSE)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4" s="10" t="str">
        <f ca="1">VLOOKUP($E184,OFFSET([1]characters!$A$2,0,0,COUNTA([1]characters!$A:$A),MATCH($K$1,[1]characters!$1:$1,0)-MATCH($E$1,[1]characters!$2:$2,0)+2),MATCH($K$1,[1]characters!$1:$1,0)-MATCH($E$1,[1]characters!$2:$2,0)+2,FALSE)</f>
        <v>ゴッド</v>
      </c>
      <c r="L184" s="6">
        <v>1</v>
      </c>
      <c r="M184" s="6">
        <v>154</v>
      </c>
      <c r="N184" s="28">
        <v>0</v>
      </c>
      <c r="O184" s="28">
        <v>0</v>
      </c>
      <c r="P184" s="28">
        <v>0</v>
      </c>
      <c r="Q184" s="28">
        <v>0</v>
      </c>
      <c r="R184" s="28">
        <v>1</v>
      </c>
    </row>
    <row r="185" spans="1:18" ht="21" customHeight="1">
      <c r="A185" s="8" t="str">
        <f t="shared" si="2"/>
        <v>01771</v>
      </c>
      <c r="B185" s="2">
        <v>110</v>
      </c>
      <c r="C185" s="10" t="str">
        <f ca="1">VLOOKUP($B185,OFFSET([2]gachas!$A$2,0,0,COUNTA([2]gachas!$A:$A),MATCH(C$1,[2]gachas!$1:$1,0)-MATCH($B$1,[2]gachas!$1:$1,0)+1),MATCH(C$1,[2]gachas!$1:$1,0)-MATCH($B$1,[2]gachas!$1:$1,0)+1,FALSE)</f>
        <v>赤アップ0１　最終日</v>
      </c>
      <c r="D185" s="6">
        <v>0</v>
      </c>
      <c r="E185" s="7">
        <v>177</v>
      </c>
      <c r="F185" s="10" t="str">
        <f ca="1">VLOOKUP($E185,OFFSET([1]characters!$A$2,0,0,COUNTA([1]characters!$A:$A),MATCH(F$1,[1]characters!$2:$2,0)-MATCH($E$1,[1]characters!$2:$2,0)+1),MATCH(F$1,[1]characters!$2:$2,0)-MATCH($E$1,[1]characters!$2:$2,0)+1,FALSE)</f>
        <v>黒魔の異端師 バフォメット</v>
      </c>
      <c r="G185" s="10" t="str">
        <f ca="1">VLOOKUP($E185,OFFSET([1]characters!$A$2,0,0,COUNTA([1]characters!$A:$A),MATCH(G$1,[1]characters!$2:$2,0)-MATCH($E$1,[1]characters!$2:$2,0)+1),MATCH(G$1,[1]characters!$2:$2,0)-MATCH($E$1,[1]characters!$2:$2,0)+1,FALSE)</f>
        <v>PremiumN</v>
      </c>
      <c r="H185" s="10">
        <f ca="1">VLOOKUP($E185,OFFSET([1]characters!$A$2,0,0,COUNTA([1]characters!$A:$A),MATCH(H$1,[1]characters!$2:$2,0)-MATCH($E$1,[1]characters!$2:$2,0)+1),MATCH(H$1,[1]characters!$2:$2,0)-MATCH($E$1,[1]characters!$2:$2,0)+1,FALSE)</f>
        <v>5</v>
      </c>
      <c r="I185" s="10" t="str">
        <f ca="1">VLOOKUP($E185,OFFSET([1]characters!$A$2,0,0,COUNTA([1]characters!$A:$A),MATCH(I$1,[1]characters!$2:$2,0)-MATCH($E$1,[1]characters!$2:$2,0)+1),MATCH(I$1,[1]characters!$2:$2,0)-MATCH($E$1,[1]characters!$2:$2,0)+1,FALSE)</f>
        <v>yellow</v>
      </c>
      <c r="J185" s="10" t="str">
        <f ca="1">VLOOKUP($E185,OFFSET([1]characters!$A$2,0,0,COUNTA([1]characters!$A:$A),MATCH("タイプ",[1]characters!$1:$1,0)-MATCH($E$1,[1]characters!$2:$2,0)+2),MATCH("タイプ",[1]characters!$1:$1,0)-MATCH($E$1,[1]characters!$2:$2,0)+2,FALSE)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5" s="10" t="str">
        <f ca="1">VLOOKUP($E185,OFFSET([1]characters!$A$2,0,0,COUNTA([1]characters!$A:$A),MATCH($K$1,[1]characters!$1:$1,0)-MATCH($E$1,[1]characters!$2:$2,0)+2),MATCH($K$1,[1]characters!$1:$1,0)-MATCH($E$1,[1]characters!$2:$2,0)+2,FALSE)</f>
        <v>ゴッド</v>
      </c>
      <c r="L185" s="6">
        <v>1</v>
      </c>
      <c r="M185" s="6">
        <v>154</v>
      </c>
      <c r="N185" s="28">
        <v>0</v>
      </c>
      <c r="O185" s="28">
        <v>0</v>
      </c>
      <c r="P185" s="28">
        <v>0</v>
      </c>
      <c r="Q185" s="28">
        <v>0</v>
      </c>
      <c r="R185" s="28">
        <v>1</v>
      </c>
    </row>
    <row r="186" spans="1:18" ht="21" customHeight="1">
      <c r="A186" s="8" t="str">
        <f t="shared" si="2"/>
        <v>01801</v>
      </c>
      <c r="B186" s="2">
        <v>110</v>
      </c>
      <c r="C186" s="10" t="str">
        <f ca="1">VLOOKUP($B186,OFFSET([2]gachas!$A$2,0,0,COUNTA([2]gachas!$A:$A),MATCH(C$1,[2]gachas!$1:$1,0)-MATCH($B$1,[2]gachas!$1:$1,0)+1),MATCH(C$1,[2]gachas!$1:$1,0)-MATCH($B$1,[2]gachas!$1:$1,0)+1,FALSE)</f>
        <v>赤アップ0１　最終日</v>
      </c>
      <c r="D186" s="29">
        <v>0</v>
      </c>
      <c r="E186" s="30">
        <v>180</v>
      </c>
      <c r="F186" s="10" t="str">
        <f ca="1">VLOOKUP($E186,OFFSET([1]characters!$A$2,0,0,COUNTA([1]characters!$A:$A),MATCH(F$1,[1]characters!$2:$2,0)-MATCH($E$1,[1]characters!$2:$2,0)+1),MATCH(F$1,[1]characters!$2:$2,0)-MATCH($E$1,[1]characters!$2:$2,0)+1,FALSE)</f>
        <v>地獄の大門番 ケルベロス</v>
      </c>
      <c r="G186" s="10" t="str">
        <f ca="1">VLOOKUP($E186,OFFSET([1]characters!$A$2,0,0,COUNTA([1]characters!$A:$A),MATCH(G$1,[1]characters!$2:$2,0)-MATCH($E$1,[1]characters!$2:$2,0)+1),MATCH(G$1,[1]characters!$2:$2,0)-MATCH($E$1,[1]characters!$2:$2,0)+1,FALSE)</f>
        <v>PremiumN</v>
      </c>
      <c r="H186" s="10">
        <f ca="1">VLOOKUP($E186,OFFSET([1]characters!$A$2,0,0,COUNTA([1]characters!$A:$A),MATCH(H$1,[1]characters!$2:$2,0)-MATCH($E$1,[1]characters!$2:$2,0)+1),MATCH(H$1,[1]characters!$2:$2,0)-MATCH($E$1,[1]characters!$2:$2,0)+1,FALSE)</f>
        <v>5</v>
      </c>
      <c r="I186" s="10" t="str">
        <f ca="1">VLOOKUP($E186,OFFSET([1]characters!$A$2,0,0,COUNTA([1]characters!$A:$A),MATCH(I$1,[1]characters!$2:$2,0)-MATCH($E$1,[1]characters!$2:$2,0)+1),MATCH(I$1,[1]characters!$2:$2,0)-MATCH($E$1,[1]characters!$2:$2,0)+1,FALSE)</f>
        <v>red</v>
      </c>
      <c r="J186" s="10" t="str">
        <f ca="1">VLOOKUP($E186,OFFSET([1]characters!$A$2,0,0,COUNTA([1]characters!$A:$A),MATCH("タイプ",[1]characters!$1:$1,0)-MATCH($E$1,[1]characters!$2:$2,0)+2),MATCH("タイプ",[1]characters!$1:$1,0)-MATCH($E$1,[1]characters!$2:$2,0)+2,FALSE)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86" s="10" t="str">
        <f ca="1">VLOOKUP($E186,OFFSET([1]characters!$A$2,0,0,COUNTA([1]characters!$A:$A),MATCH($K$1,[1]characters!$1:$1,0)-MATCH($E$1,[1]characters!$2:$2,0)+2),MATCH($K$1,[1]characters!$1:$1,0)-MATCH($E$1,[1]characters!$2:$2,0)+2,FALSE)</f>
        <v>アニマル</v>
      </c>
      <c r="L186" s="29">
        <v>1</v>
      </c>
      <c r="M186" s="29">
        <v>564</v>
      </c>
      <c r="N186" s="28">
        <v>0</v>
      </c>
      <c r="O186" s="28">
        <v>0</v>
      </c>
      <c r="P186" s="28">
        <v>0</v>
      </c>
      <c r="Q186" s="28">
        <v>0</v>
      </c>
      <c r="R186" s="28">
        <v>1</v>
      </c>
    </row>
    <row r="187" spans="1:18" ht="21" customHeight="1">
      <c r="A187" s="8" t="str">
        <f t="shared" si="2"/>
        <v>01831</v>
      </c>
      <c r="B187" s="2">
        <v>110</v>
      </c>
      <c r="C187" s="10" t="str">
        <f ca="1">VLOOKUP($B187,OFFSET([2]gachas!$A$2,0,0,COUNTA([2]gachas!$A:$A),MATCH(C$1,[2]gachas!$1:$1,0)-MATCH($B$1,[2]gachas!$1:$1,0)+1),MATCH(C$1,[2]gachas!$1:$1,0)-MATCH($B$1,[2]gachas!$1:$1,0)+1,FALSE)</f>
        <v>赤アップ0１　最終日</v>
      </c>
      <c r="D187" s="6">
        <v>0</v>
      </c>
      <c r="E187" s="7">
        <v>183</v>
      </c>
      <c r="F187" s="10" t="str">
        <f ca="1">VLOOKUP($E187,OFFSET([1]characters!$A$2,0,0,COUNTA([1]characters!$A:$A),MATCH(F$1,[1]characters!$2:$2,0)-MATCH($E$1,[1]characters!$2:$2,0)+1),MATCH(F$1,[1]characters!$2:$2,0)-MATCH($E$1,[1]characters!$2:$2,0)+1,FALSE)</f>
        <v>鈍重な彷徨者 ベヒモス</v>
      </c>
      <c r="G187" s="10" t="str">
        <f ca="1">VLOOKUP($E187,OFFSET([1]characters!$A$2,0,0,COUNTA([1]characters!$A:$A),MATCH(G$1,[1]characters!$2:$2,0)-MATCH($E$1,[1]characters!$2:$2,0)+1),MATCH(G$1,[1]characters!$2:$2,0)-MATCH($E$1,[1]characters!$2:$2,0)+1,FALSE)</f>
        <v>PremiumN</v>
      </c>
      <c r="H187" s="10">
        <f ca="1">VLOOKUP($E187,OFFSET([1]characters!$A$2,0,0,COUNTA([1]characters!$A:$A),MATCH(H$1,[1]characters!$2:$2,0)-MATCH($E$1,[1]characters!$2:$2,0)+1),MATCH(H$1,[1]characters!$2:$2,0)-MATCH($E$1,[1]characters!$2:$2,0)+1,FALSE)</f>
        <v>5</v>
      </c>
      <c r="I187" s="10" t="str">
        <f ca="1">VLOOKUP($E187,OFFSET([1]characters!$A$2,0,0,COUNTA([1]characters!$A:$A),MATCH(I$1,[1]characters!$2:$2,0)-MATCH($E$1,[1]characters!$2:$2,0)+1),MATCH(I$1,[1]characters!$2:$2,0)-MATCH($E$1,[1]characters!$2:$2,0)+1,FALSE)</f>
        <v>green</v>
      </c>
      <c r="J187" s="10" t="str">
        <f ca="1">VLOOKUP($E187,OFFSET([1]characters!$A$2,0,0,COUNTA([1]characters!$A:$A),MATCH("タイプ",[1]characters!$1:$1,0)-MATCH($E$1,[1]characters!$2:$2,0)+2),MATCH("タイプ",[1]characters!$1:$1,0)-MATCH($E$1,[1]characters!$2:$2,0)+2,FALSE)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87" s="10" t="str">
        <f ca="1">VLOOKUP($E187,OFFSET([1]characters!$A$2,0,0,COUNTA([1]characters!$A:$A),MATCH($K$1,[1]characters!$1:$1,0)-MATCH($E$1,[1]characters!$2:$2,0)+2),MATCH($K$1,[1]characters!$1:$1,0)-MATCH($E$1,[1]characters!$2:$2,0)+2,FALSE)</f>
        <v>アニマル</v>
      </c>
      <c r="L187" s="6">
        <v>1</v>
      </c>
      <c r="M187" s="6">
        <v>154</v>
      </c>
      <c r="N187" s="28">
        <v>0</v>
      </c>
      <c r="O187" s="28">
        <v>0</v>
      </c>
      <c r="P187" s="28">
        <v>0</v>
      </c>
      <c r="Q187" s="28">
        <v>0</v>
      </c>
      <c r="R187" s="28">
        <v>1</v>
      </c>
    </row>
    <row r="188" spans="1:18" ht="21" customHeight="1">
      <c r="A188" s="8" t="str">
        <f t="shared" si="2"/>
        <v>01861</v>
      </c>
      <c r="B188" s="2">
        <v>110</v>
      </c>
      <c r="C188" s="10" t="str">
        <f ca="1">VLOOKUP($B188,OFFSET([2]gachas!$A$2,0,0,COUNTA([2]gachas!$A:$A),MATCH(C$1,[2]gachas!$1:$1,0)-MATCH($B$1,[2]gachas!$1:$1,0)+1),MATCH(C$1,[2]gachas!$1:$1,0)-MATCH($B$1,[2]gachas!$1:$1,0)+1,FALSE)</f>
        <v>赤アップ0１　最終日</v>
      </c>
      <c r="D188" s="6">
        <v>0</v>
      </c>
      <c r="E188" s="7">
        <v>186</v>
      </c>
      <c r="F188" s="10" t="str">
        <f ca="1">VLOOKUP($E188,OFFSET([1]characters!$A$2,0,0,COUNTA([1]characters!$A:$A),MATCH(F$1,[1]characters!$2:$2,0)-MATCH($E$1,[1]characters!$2:$2,0)+1),MATCH(F$1,[1]characters!$2:$2,0)-MATCH($E$1,[1]characters!$2:$2,0)+1,FALSE)</f>
        <v>誇り高き多触姫・クラーケン</v>
      </c>
      <c r="G188" s="10" t="str">
        <f ca="1">VLOOKUP($E188,OFFSET([1]characters!$A$2,0,0,COUNTA([1]characters!$A:$A),MATCH(G$1,[1]characters!$2:$2,0)-MATCH($E$1,[1]characters!$2:$2,0)+1),MATCH(G$1,[1]characters!$2:$2,0)-MATCH($E$1,[1]characters!$2:$2,0)+1,FALSE)</f>
        <v>PremiumN</v>
      </c>
      <c r="H188" s="10">
        <f ca="1">VLOOKUP($E188,OFFSET([1]characters!$A$2,0,0,COUNTA([1]characters!$A:$A),MATCH(H$1,[1]characters!$2:$2,0)-MATCH($E$1,[1]characters!$2:$2,0)+1),MATCH(H$1,[1]characters!$2:$2,0)-MATCH($E$1,[1]characters!$2:$2,0)+1,FALSE)</f>
        <v>5</v>
      </c>
      <c r="I188" s="10" t="str">
        <f ca="1">VLOOKUP($E188,OFFSET([1]characters!$A$2,0,0,COUNTA([1]characters!$A:$A),MATCH(I$1,[1]characters!$2:$2,0)-MATCH($E$1,[1]characters!$2:$2,0)+1),MATCH(I$1,[1]characters!$2:$2,0)-MATCH($E$1,[1]characters!$2:$2,0)+1,FALSE)</f>
        <v>blue</v>
      </c>
      <c r="J188" s="10" t="str">
        <f ca="1">VLOOKUP($E188,OFFSET([1]characters!$A$2,0,0,COUNTA([1]characters!$A:$A),MATCH("タイプ",[1]characters!$1:$1,0)-MATCH($E$1,[1]characters!$2:$2,0)+2),MATCH("タイプ",[1]characters!$1:$1,0)-MATCH($E$1,[1]characters!$2:$2,0)+2,FALSE)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8" s="10" t="str">
        <f ca="1">VLOOKUP($E188,OFFSET([1]characters!$A$2,0,0,COUNTA([1]characters!$A:$A),MATCH($K$1,[1]characters!$1:$1,0)-MATCH($E$1,[1]characters!$2:$2,0)+2),MATCH($K$1,[1]characters!$1:$1,0)-MATCH($E$1,[1]characters!$2:$2,0)+2,FALSE)</f>
        <v>アニマル</v>
      </c>
      <c r="L188" s="6">
        <v>1</v>
      </c>
      <c r="M188" s="6">
        <v>154</v>
      </c>
      <c r="N188" s="28">
        <v>0</v>
      </c>
      <c r="O188" s="28">
        <v>0</v>
      </c>
      <c r="P188" s="28">
        <v>0</v>
      </c>
      <c r="Q188" s="28">
        <v>0</v>
      </c>
      <c r="R188" s="28">
        <v>1</v>
      </c>
    </row>
    <row r="189" spans="1:18" ht="21" customHeight="1">
      <c r="A189" s="8" t="str">
        <f t="shared" si="2"/>
        <v>01891</v>
      </c>
      <c r="B189" s="2">
        <v>110</v>
      </c>
      <c r="C189" s="10" t="str">
        <f ca="1">VLOOKUP($B189,OFFSET([2]gachas!$A$2,0,0,COUNTA([2]gachas!$A:$A),MATCH(C$1,[2]gachas!$1:$1,0)-MATCH($B$1,[2]gachas!$1:$1,0)+1),MATCH(C$1,[2]gachas!$1:$1,0)-MATCH($B$1,[2]gachas!$1:$1,0)+1,FALSE)</f>
        <v>赤アップ0１　最終日</v>
      </c>
      <c r="D189" s="6">
        <v>0</v>
      </c>
      <c r="E189" s="7">
        <v>189</v>
      </c>
      <c r="F189" s="10" t="str">
        <f ca="1">VLOOKUP($E189,OFFSET([1]characters!$A$2,0,0,COUNTA([1]characters!$A:$A),MATCH(F$1,[1]characters!$2:$2,0)-MATCH($E$1,[1]characters!$2:$2,0)+1),MATCH(F$1,[1]characters!$2:$2,0)-MATCH($E$1,[1]characters!$2:$2,0)+1,FALSE)</f>
        <v>迅雷の王禽 ホルス</v>
      </c>
      <c r="G189" s="10" t="str">
        <f ca="1">VLOOKUP($E189,OFFSET([1]characters!$A$2,0,0,COUNTA([1]characters!$A:$A),MATCH(G$1,[1]characters!$2:$2,0)-MATCH($E$1,[1]characters!$2:$2,0)+1),MATCH(G$1,[1]characters!$2:$2,0)-MATCH($E$1,[1]characters!$2:$2,0)+1,FALSE)</f>
        <v>PremiumN</v>
      </c>
      <c r="H189" s="10">
        <f ca="1">VLOOKUP($E189,OFFSET([1]characters!$A$2,0,0,COUNTA([1]characters!$A:$A),MATCH(H$1,[1]characters!$2:$2,0)-MATCH($E$1,[1]characters!$2:$2,0)+1),MATCH(H$1,[1]characters!$2:$2,0)-MATCH($E$1,[1]characters!$2:$2,0)+1,FALSE)</f>
        <v>5</v>
      </c>
      <c r="I189" s="10" t="str">
        <f ca="1">VLOOKUP($E189,OFFSET([1]characters!$A$2,0,0,COUNTA([1]characters!$A:$A),MATCH(I$1,[1]characters!$2:$2,0)-MATCH($E$1,[1]characters!$2:$2,0)+1),MATCH(I$1,[1]characters!$2:$2,0)-MATCH($E$1,[1]characters!$2:$2,0)+1,FALSE)</f>
        <v>yellow</v>
      </c>
      <c r="J189" s="10" t="str">
        <f ca="1">VLOOKUP($E189,OFFSET([1]characters!$A$2,0,0,COUNTA([1]characters!$A:$A),MATCH("タイプ",[1]characters!$1:$1,0)-MATCH($E$1,[1]characters!$2:$2,0)+2),MATCH("タイプ",[1]characters!$1:$1,0)-MATCH($E$1,[1]characters!$2:$2,0)+2,FALSE)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89" s="10" t="str">
        <f ca="1">VLOOKUP($E189,OFFSET([1]characters!$A$2,0,0,COUNTA([1]characters!$A:$A),MATCH($K$1,[1]characters!$1:$1,0)-MATCH($E$1,[1]characters!$2:$2,0)+2),MATCH($K$1,[1]characters!$1:$1,0)-MATCH($E$1,[1]characters!$2:$2,0)+2,FALSE)</f>
        <v>アニマル</v>
      </c>
      <c r="L189" s="6">
        <v>1</v>
      </c>
      <c r="M189" s="6">
        <v>154</v>
      </c>
      <c r="N189" s="28">
        <v>0</v>
      </c>
      <c r="O189" s="28">
        <v>0</v>
      </c>
      <c r="P189" s="28">
        <v>0</v>
      </c>
      <c r="Q189" s="28">
        <v>0</v>
      </c>
      <c r="R189" s="28">
        <v>1</v>
      </c>
    </row>
    <row r="190" spans="1:18" ht="21" customHeight="1">
      <c r="A190" s="8" t="str">
        <f t="shared" si="2"/>
        <v>01921</v>
      </c>
      <c r="B190" s="2">
        <v>110</v>
      </c>
      <c r="C190" s="10" t="str">
        <f ca="1">VLOOKUP($B190,OFFSET([2]gachas!$A$2,0,0,COUNTA([2]gachas!$A:$A),MATCH(C$1,[2]gachas!$1:$1,0)-MATCH($B$1,[2]gachas!$1:$1,0)+1),MATCH(C$1,[2]gachas!$1:$1,0)-MATCH($B$1,[2]gachas!$1:$1,0)+1,FALSE)</f>
        <v>赤アップ0１　最終日</v>
      </c>
      <c r="D190" s="29">
        <v>0</v>
      </c>
      <c r="E190" s="30">
        <v>192</v>
      </c>
      <c r="F190" s="10" t="str">
        <f ca="1">VLOOKUP($E190,OFFSET([1]characters!$A$2,0,0,COUNTA([1]characters!$A:$A),MATCH(F$1,[1]characters!$2:$2,0)-MATCH($E$1,[1]characters!$2:$2,0)+1),MATCH(F$1,[1]characters!$2:$2,0)-MATCH($E$1,[1]characters!$2:$2,0)+1,FALSE)</f>
        <v>荘厳なる始祖帝 卑弥呼</v>
      </c>
      <c r="G190" s="10" t="str">
        <f ca="1">VLOOKUP($E190,OFFSET([1]characters!$A$2,0,0,COUNTA([1]characters!$A:$A),MATCH(G$1,[1]characters!$2:$2,0)-MATCH($E$1,[1]characters!$2:$2,0)+1),MATCH(G$1,[1]characters!$2:$2,0)-MATCH($E$1,[1]characters!$2:$2,0)+1,FALSE)</f>
        <v>PremiumN</v>
      </c>
      <c r="H190" s="10">
        <f ca="1">VLOOKUP($E190,OFFSET([1]characters!$A$2,0,0,COUNTA([1]characters!$A:$A),MATCH(H$1,[1]characters!$2:$2,0)-MATCH($E$1,[1]characters!$2:$2,0)+1),MATCH(H$1,[1]characters!$2:$2,0)-MATCH($E$1,[1]characters!$2:$2,0)+1,FALSE)</f>
        <v>5</v>
      </c>
      <c r="I190" s="10" t="str">
        <f ca="1">VLOOKUP($E190,OFFSET([1]characters!$A$2,0,0,COUNTA([1]characters!$A:$A),MATCH(I$1,[1]characters!$2:$2,0)-MATCH($E$1,[1]characters!$2:$2,0)+1),MATCH(I$1,[1]characters!$2:$2,0)-MATCH($E$1,[1]characters!$2:$2,0)+1,FALSE)</f>
        <v>red</v>
      </c>
      <c r="J190" s="10" t="str">
        <f ca="1">VLOOKUP($E190,OFFSET([1]characters!$A$2,0,0,COUNTA([1]characters!$A:$A),MATCH("タイプ",[1]characters!$1:$1,0)-MATCH($E$1,[1]characters!$2:$2,0)+2),MATCH("タイプ",[1]characters!$1:$1,0)-MATCH($E$1,[1]characters!$2:$2,0)+2,FALSE)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0" s="10" t="str">
        <f ca="1">VLOOKUP($E190,OFFSET([1]characters!$A$2,0,0,COUNTA([1]characters!$A:$A),MATCH($K$1,[1]characters!$1:$1,0)-MATCH($E$1,[1]characters!$2:$2,0)+2),MATCH($K$1,[1]characters!$1:$1,0)-MATCH($E$1,[1]characters!$2:$2,0)+2,FALSE)</f>
        <v>ヒューマン</v>
      </c>
      <c r="L190" s="29">
        <v>1</v>
      </c>
      <c r="M190" s="29">
        <v>564</v>
      </c>
      <c r="N190" s="28">
        <v>0</v>
      </c>
      <c r="O190" s="28">
        <v>0</v>
      </c>
      <c r="P190" s="28">
        <v>0</v>
      </c>
      <c r="Q190" s="28">
        <v>0</v>
      </c>
      <c r="R190" s="28">
        <v>1</v>
      </c>
    </row>
    <row r="191" spans="1:18" ht="21" customHeight="1">
      <c r="A191" s="8" t="str">
        <f t="shared" si="2"/>
        <v>01951</v>
      </c>
      <c r="B191" s="2">
        <v>110</v>
      </c>
      <c r="C191" s="10" t="str">
        <f ca="1">VLOOKUP($B191,OFFSET([2]gachas!$A$2,0,0,COUNTA([2]gachas!$A:$A),MATCH(C$1,[2]gachas!$1:$1,0)-MATCH($B$1,[2]gachas!$1:$1,0)+1),MATCH(C$1,[2]gachas!$1:$1,0)-MATCH($B$1,[2]gachas!$1:$1,0)+1,FALSE)</f>
        <v>赤アップ0１　最終日</v>
      </c>
      <c r="D191" s="6">
        <v>0</v>
      </c>
      <c r="E191" s="7">
        <v>195</v>
      </c>
      <c r="F191" s="10" t="str">
        <f ca="1">VLOOKUP($E191,OFFSET([1]characters!$A$2,0,0,COUNTA([1]characters!$A:$A),MATCH(F$1,[1]characters!$2:$2,0)-MATCH($E$1,[1]characters!$2:$2,0)+1),MATCH(F$1,[1]characters!$2:$2,0)-MATCH($E$1,[1]characters!$2:$2,0)+1,FALSE)</f>
        <v>グランドハンター ロビンフッド</v>
      </c>
      <c r="G191" s="10" t="str">
        <f ca="1">VLOOKUP($E191,OFFSET([1]characters!$A$2,0,0,COUNTA([1]characters!$A:$A),MATCH(G$1,[1]characters!$2:$2,0)-MATCH($E$1,[1]characters!$2:$2,0)+1),MATCH(G$1,[1]characters!$2:$2,0)-MATCH($E$1,[1]characters!$2:$2,0)+1,FALSE)</f>
        <v>PremiumN</v>
      </c>
      <c r="H191" s="10">
        <f ca="1">VLOOKUP($E191,OFFSET([1]characters!$A$2,0,0,COUNTA([1]characters!$A:$A),MATCH(H$1,[1]characters!$2:$2,0)-MATCH($E$1,[1]characters!$2:$2,0)+1),MATCH(H$1,[1]characters!$2:$2,0)-MATCH($E$1,[1]characters!$2:$2,0)+1,FALSE)</f>
        <v>5</v>
      </c>
      <c r="I191" s="10" t="str">
        <f ca="1">VLOOKUP($E191,OFFSET([1]characters!$A$2,0,0,COUNTA([1]characters!$A:$A),MATCH(I$1,[1]characters!$2:$2,0)-MATCH($E$1,[1]characters!$2:$2,0)+1),MATCH(I$1,[1]characters!$2:$2,0)-MATCH($E$1,[1]characters!$2:$2,0)+1,FALSE)</f>
        <v>green</v>
      </c>
      <c r="J191" s="10" t="str">
        <f ca="1">VLOOKUP($E191,OFFSET([1]characters!$A$2,0,0,COUNTA([1]characters!$A:$A),MATCH("タイプ",[1]characters!$1:$1,0)-MATCH($E$1,[1]characters!$2:$2,0)+2),MATCH("タイプ",[1]characters!$1:$1,0)-MATCH($E$1,[1]characters!$2:$2,0)+2,FALSE)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1" s="10" t="str">
        <f ca="1">VLOOKUP($E191,OFFSET([1]characters!$A$2,0,0,COUNTA([1]characters!$A:$A),MATCH($K$1,[1]characters!$1:$1,0)-MATCH($E$1,[1]characters!$2:$2,0)+2),MATCH($K$1,[1]characters!$1:$1,0)-MATCH($E$1,[1]characters!$2:$2,0)+2,FALSE)</f>
        <v>ヒューマン</v>
      </c>
      <c r="L191" s="6">
        <v>1</v>
      </c>
      <c r="M191" s="6">
        <v>154</v>
      </c>
      <c r="N191" s="28">
        <v>0</v>
      </c>
      <c r="O191" s="28">
        <v>0</v>
      </c>
      <c r="P191" s="28">
        <v>0</v>
      </c>
      <c r="Q191" s="28">
        <v>0</v>
      </c>
      <c r="R191" s="28">
        <v>1</v>
      </c>
    </row>
    <row r="192" spans="1:18" ht="21" customHeight="1">
      <c r="A192" s="8" t="str">
        <f t="shared" si="2"/>
        <v>01981</v>
      </c>
      <c r="B192" s="2">
        <v>110</v>
      </c>
      <c r="C192" s="10" t="str">
        <f ca="1">VLOOKUP($B192,OFFSET([2]gachas!$A$2,0,0,COUNTA([2]gachas!$A:$A),MATCH(C$1,[2]gachas!$1:$1,0)-MATCH($B$1,[2]gachas!$1:$1,0)+1),MATCH(C$1,[2]gachas!$1:$1,0)-MATCH($B$1,[2]gachas!$1:$1,0)+1,FALSE)</f>
        <v>赤アップ0１　最終日</v>
      </c>
      <c r="D192" s="6">
        <v>0</v>
      </c>
      <c r="E192" s="7">
        <v>198</v>
      </c>
      <c r="F192" s="10" t="str">
        <f ca="1">VLOOKUP($E192,OFFSET([1]characters!$A$2,0,0,COUNTA([1]characters!$A:$A),MATCH(F$1,[1]characters!$2:$2,0)-MATCH($E$1,[1]characters!$2:$2,0)+1),MATCH(F$1,[1]characters!$2:$2,0)-MATCH($E$1,[1]characters!$2:$2,0)+1,FALSE)</f>
        <v>砕骨の剛腕 アキレス</v>
      </c>
      <c r="G192" s="10" t="str">
        <f ca="1">VLOOKUP($E192,OFFSET([1]characters!$A$2,0,0,COUNTA([1]characters!$A:$A),MATCH(G$1,[1]characters!$2:$2,0)-MATCH($E$1,[1]characters!$2:$2,0)+1),MATCH(G$1,[1]characters!$2:$2,0)-MATCH($E$1,[1]characters!$2:$2,0)+1,FALSE)</f>
        <v>PremiumN</v>
      </c>
      <c r="H192" s="10">
        <f ca="1">VLOOKUP($E192,OFFSET([1]characters!$A$2,0,0,COUNTA([1]characters!$A:$A),MATCH(H$1,[1]characters!$2:$2,0)-MATCH($E$1,[1]characters!$2:$2,0)+1),MATCH(H$1,[1]characters!$2:$2,0)-MATCH($E$1,[1]characters!$2:$2,0)+1,FALSE)</f>
        <v>5</v>
      </c>
      <c r="I192" s="10" t="str">
        <f ca="1">VLOOKUP($E192,OFFSET([1]characters!$A$2,0,0,COUNTA([1]characters!$A:$A),MATCH(I$1,[1]characters!$2:$2,0)-MATCH($E$1,[1]characters!$2:$2,0)+1),MATCH(I$1,[1]characters!$2:$2,0)-MATCH($E$1,[1]characters!$2:$2,0)+1,FALSE)</f>
        <v>yellow</v>
      </c>
      <c r="J192" s="10" t="str">
        <f ca="1">VLOOKUP($E192,OFFSET([1]characters!$A$2,0,0,COUNTA([1]characters!$A:$A),MATCH("タイプ",[1]characters!$1:$1,0)-MATCH($E$1,[1]characters!$2:$2,0)+2),MATCH("タイプ",[1]characters!$1:$1,0)-MATCH($E$1,[1]characters!$2:$2,0)+2,FALSE)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2" s="10" t="str">
        <f ca="1">VLOOKUP($E192,OFFSET([1]characters!$A$2,0,0,COUNTA([1]characters!$A:$A),MATCH($K$1,[1]characters!$1:$1,0)-MATCH($E$1,[1]characters!$2:$2,0)+2),MATCH($K$1,[1]characters!$1:$1,0)-MATCH($E$1,[1]characters!$2:$2,0)+2,FALSE)</f>
        <v>ヒューマン</v>
      </c>
      <c r="L192" s="6">
        <v>1</v>
      </c>
      <c r="M192" s="6">
        <v>154</v>
      </c>
      <c r="N192" s="28">
        <v>0</v>
      </c>
      <c r="O192" s="28">
        <v>0</v>
      </c>
      <c r="P192" s="28">
        <v>0</v>
      </c>
      <c r="Q192" s="28">
        <v>0</v>
      </c>
      <c r="R192" s="28">
        <v>1</v>
      </c>
    </row>
    <row r="193" spans="1:18" ht="21" customHeight="1">
      <c r="A193" s="8" t="str">
        <f t="shared" si="2"/>
        <v>02011</v>
      </c>
      <c r="B193" s="2">
        <v>110</v>
      </c>
      <c r="C193" s="10" t="str">
        <f ca="1">VLOOKUP($B193,OFFSET([2]gachas!$A$2,0,0,COUNTA([2]gachas!$A:$A),MATCH(C$1,[2]gachas!$1:$1,0)-MATCH($B$1,[2]gachas!$1:$1,0)+1),MATCH(C$1,[2]gachas!$1:$1,0)-MATCH($B$1,[2]gachas!$1:$1,0)+1,FALSE)</f>
        <v>赤アップ0１　最終日</v>
      </c>
      <c r="D193" s="6">
        <v>0</v>
      </c>
      <c r="E193" s="7">
        <v>201</v>
      </c>
      <c r="F193" s="10" t="str">
        <f ca="1">VLOOKUP($E193,OFFSET([1]characters!$A$2,0,0,COUNTA([1]characters!$A:$A),MATCH(F$1,[1]characters!$2:$2,0)-MATCH($E$1,[1]characters!$2:$2,0)+1),MATCH(F$1,[1]characters!$2:$2,0)-MATCH($E$1,[1]characters!$2:$2,0)+1,FALSE)</f>
        <v>斬空の大破剣 ジークフリート</v>
      </c>
      <c r="G193" s="10" t="str">
        <f ca="1">VLOOKUP($E193,OFFSET([1]characters!$A$2,0,0,COUNTA([1]characters!$A:$A),MATCH(G$1,[1]characters!$2:$2,0)-MATCH($E$1,[1]characters!$2:$2,0)+1),MATCH(G$1,[1]characters!$2:$2,0)-MATCH($E$1,[1]characters!$2:$2,0)+1,FALSE)</f>
        <v>PremiumN</v>
      </c>
      <c r="H193" s="10">
        <f ca="1">VLOOKUP($E193,OFFSET([1]characters!$A$2,0,0,COUNTA([1]characters!$A:$A),MATCH(H$1,[1]characters!$2:$2,0)-MATCH($E$1,[1]characters!$2:$2,0)+1),MATCH(H$1,[1]characters!$2:$2,0)-MATCH($E$1,[1]characters!$2:$2,0)+1,FALSE)</f>
        <v>5</v>
      </c>
      <c r="I193" s="10" t="str">
        <f ca="1">VLOOKUP($E193,OFFSET([1]characters!$A$2,0,0,COUNTA([1]characters!$A:$A),MATCH(I$1,[1]characters!$2:$2,0)-MATCH($E$1,[1]characters!$2:$2,0)+1),MATCH(I$1,[1]characters!$2:$2,0)-MATCH($E$1,[1]characters!$2:$2,0)+1,FALSE)</f>
        <v>blue</v>
      </c>
      <c r="J193" s="10" t="str">
        <f ca="1">VLOOKUP($E193,OFFSET([1]characters!$A$2,0,0,COUNTA([1]characters!$A:$A),MATCH("タイプ",[1]characters!$1:$1,0)-MATCH($E$1,[1]characters!$2:$2,0)+2),MATCH("タイプ",[1]characters!$1:$1,0)-MATCH($E$1,[1]characters!$2:$2,0)+2,FALSE)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3" s="10" t="str">
        <f ca="1">VLOOKUP($E193,OFFSET([1]characters!$A$2,0,0,COUNTA([1]characters!$A:$A),MATCH($K$1,[1]characters!$1:$1,0)-MATCH($E$1,[1]characters!$2:$2,0)+2),MATCH($K$1,[1]characters!$1:$1,0)-MATCH($E$1,[1]characters!$2:$2,0)+2,FALSE)</f>
        <v>ヒューマン</v>
      </c>
      <c r="L193" s="6">
        <v>1</v>
      </c>
      <c r="M193" s="6">
        <v>154</v>
      </c>
      <c r="N193" s="28">
        <v>0</v>
      </c>
      <c r="O193" s="28">
        <v>0</v>
      </c>
      <c r="P193" s="28">
        <v>0</v>
      </c>
      <c r="Q193" s="28">
        <v>0</v>
      </c>
      <c r="R193" s="28">
        <v>1</v>
      </c>
    </row>
    <row r="194" spans="1:18" ht="21" customHeight="1">
      <c r="A194" s="8" t="str">
        <f t="shared" si="2"/>
        <v>02041</v>
      </c>
      <c r="B194" s="2">
        <v>110</v>
      </c>
      <c r="C194" s="10" t="str">
        <f ca="1">VLOOKUP($B194,OFFSET([2]gachas!$A$2,0,0,COUNTA([2]gachas!$A:$A),MATCH(C$1,[2]gachas!$1:$1,0)-MATCH($B$1,[2]gachas!$1:$1,0)+1),MATCH(C$1,[2]gachas!$1:$1,0)-MATCH($B$1,[2]gachas!$1:$1,0)+1,FALSE)</f>
        <v>赤アップ0１　最終日</v>
      </c>
      <c r="D194" s="29">
        <v>0</v>
      </c>
      <c r="E194" s="30">
        <v>204</v>
      </c>
      <c r="F194" s="10" t="str">
        <f ca="1">VLOOKUP($E194,OFFSET([1]characters!$A$2,0,0,COUNTA([1]characters!$A:$A),MATCH(F$1,[1]characters!$2:$2,0)-MATCH($E$1,[1]characters!$2:$2,0)+1),MATCH(F$1,[1]characters!$2:$2,0)-MATCH($E$1,[1]characters!$2:$2,0)+1,FALSE)</f>
        <v>慟哭の巨焔 プロメテウス</v>
      </c>
      <c r="G194" s="10" t="str">
        <f ca="1">VLOOKUP($E194,OFFSET([1]characters!$A$2,0,0,COUNTA([1]characters!$A:$A),MATCH(G$1,[1]characters!$2:$2,0)-MATCH($E$1,[1]characters!$2:$2,0)+1),MATCH(G$1,[1]characters!$2:$2,0)-MATCH($E$1,[1]characters!$2:$2,0)+1,FALSE)</f>
        <v>PremiumN</v>
      </c>
      <c r="H194" s="10">
        <f ca="1">VLOOKUP($E194,OFFSET([1]characters!$A$2,0,0,COUNTA([1]characters!$A:$A),MATCH(H$1,[1]characters!$2:$2,0)-MATCH($E$1,[1]characters!$2:$2,0)+1),MATCH(H$1,[1]characters!$2:$2,0)-MATCH($E$1,[1]characters!$2:$2,0)+1,FALSE)</f>
        <v>5</v>
      </c>
      <c r="I194" s="10" t="str">
        <f ca="1">VLOOKUP($E194,OFFSET([1]characters!$A$2,0,0,COUNTA([1]characters!$A:$A),MATCH(I$1,[1]characters!$2:$2,0)-MATCH($E$1,[1]characters!$2:$2,0)+1),MATCH(I$1,[1]characters!$2:$2,0)-MATCH($E$1,[1]characters!$2:$2,0)+1,FALSE)</f>
        <v>red</v>
      </c>
      <c r="J194" s="10" t="str">
        <f ca="1">VLOOKUP($E194,OFFSET([1]characters!$A$2,0,0,COUNTA([1]characters!$A:$A),MATCH("タイプ",[1]characters!$1:$1,0)-MATCH($E$1,[1]characters!$2:$2,0)+2),MATCH("タイプ",[1]characters!$1:$1,0)-MATCH($E$1,[1]characters!$2:$2,0)+2,FALSE)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4" s="10" t="str">
        <f ca="1">VLOOKUP($E194,OFFSET([1]characters!$A$2,0,0,COUNTA([1]characters!$A:$A),MATCH($K$1,[1]characters!$1:$1,0)-MATCH($E$1,[1]characters!$2:$2,0)+2),MATCH($K$1,[1]characters!$1:$1,0)-MATCH($E$1,[1]characters!$2:$2,0)+2,FALSE)</f>
        <v>ゴッド</v>
      </c>
      <c r="L194" s="29">
        <v>1</v>
      </c>
      <c r="M194" s="29">
        <v>564</v>
      </c>
      <c r="N194" s="28">
        <v>0</v>
      </c>
      <c r="O194" s="28">
        <v>0</v>
      </c>
      <c r="P194" s="28">
        <v>0</v>
      </c>
      <c r="Q194" s="28">
        <v>0</v>
      </c>
      <c r="R194" s="28">
        <v>1</v>
      </c>
    </row>
    <row r="195" spans="1:18" ht="21" customHeight="1">
      <c r="A195" s="8" t="str">
        <f t="shared" si="2"/>
        <v>02071</v>
      </c>
      <c r="B195" s="2">
        <v>110</v>
      </c>
      <c r="C195" s="10" t="str">
        <f ca="1">VLOOKUP($B195,OFFSET([2]gachas!$A$2,0,0,COUNTA([2]gachas!$A:$A),MATCH(C$1,[2]gachas!$1:$1,0)-MATCH($B$1,[2]gachas!$1:$1,0)+1),MATCH(C$1,[2]gachas!$1:$1,0)-MATCH($B$1,[2]gachas!$1:$1,0)+1,FALSE)</f>
        <v>赤アップ0１　最終日</v>
      </c>
      <c r="D195" s="6">
        <v>0</v>
      </c>
      <c r="E195" s="7">
        <v>207</v>
      </c>
      <c r="F195" s="10" t="str">
        <f ca="1">VLOOKUP($E195,OFFSET([1]characters!$A$2,0,0,COUNTA([1]characters!$A:$A),MATCH(F$1,[1]characters!$2:$2,0)-MATCH($E$1,[1]characters!$2:$2,0)+1),MATCH(F$1,[1]characters!$2:$2,0)-MATCH($E$1,[1]characters!$2:$2,0)+1,FALSE)</f>
        <v>豊穣の麗神・アフロディーテ</v>
      </c>
      <c r="G195" s="10" t="str">
        <f ca="1">VLOOKUP($E195,OFFSET([1]characters!$A$2,0,0,COUNTA([1]characters!$A:$A),MATCH(G$1,[1]characters!$2:$2,0)-MATCH($E$1,[1]characters!$2:$2,0)+1),MATCH(G$1,[1]characters!$2:$2,0)-MATCH($E$1,[1]characters!$2:$2,0)+1,FALSE)</f>
        <v>PremiumN</v>
      </c>
      <c r="H195" s="10">
        <f ca="1">VLOOKUP($E195,OFFSET([1]characters!$A$2,0,0,COUNTA([1]characters!$A:$A),MATCH(H$1,[1]characters!$2:$2,0)-MATCH($E$1,[1]characters!$2:$2,0)+1),MATCH(H$1,[1]characters!$2:$2,0)-MATCH($E$1,[1]characters!$2:$2,0)+1,FALSE)</f>
        <v>5</v>
      </c>
      <c r="I195" s="10" t="str">
        <f ca="1">VLOOKUP($E195,OFFSET([1]characters!$A$2,0,0,COUNTA([1]characters!$A:$A),MATCH(I$1,[1]characters!$2:$2,0)-MATCH($E$1,[1]characters!$2:$2,0)+1),MATCH(I$1,[1]characters!$2:$2,0)-MATCH($E$1,[1]characters!$2:$2,0)+1,FALSE)</f>
        <v>green</v>
      </c>
      <c r="J195" s="10" t="str">
        <f ca="1">VLOOKUP($E195,OFFSET([1]characters!$A$2,0,0,COUNTA([1]characters!$A:$A),MATCH("タイプ",[1]characters!$1:$1,0)-MATCH($E$1,[1]characters!$2:$2,0)+2),MATCH("タイプ",[1]characters!$1:$1,0)-MATCH($E$1,[1]characters!$2:$2,0)+2,FALSE)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5" s="10" t="str">
        <f ca="1">VLOOKUP($E195,OFFSET([1]characters!$A$2,0,0,COUNTA([1]characters!$A:$A),MATCH($K$1,[1]characters!$1:$1,0)-MATCH($E$1,[1]characters!$2:$2,0)+2),MATCH($K$1,[1]characters!$1:$1,0)-MATCH($E$1,[1]characters!$2:$2,0)+2,FALSE)</f>
        <v>ゴッド</v>
      </c>
      <c r="L195" s="6">
        <v>1</v>
      </c>
      <c r="M195" s="6">
        <v>154</v>
      </c>
      <c r="N195" s="28">
        <v>0</v>
      </c>
      <c r="O195" s="28">
        <v>0</v>
      </c>
      <c r="P195" s="28">
        <v>0</v>
      </c>
      <c r="Q195" s="28">
        <v>0</v>
      </c>
      <c r="R195" s="28">
        <v>1</v>
      </c>
    </row>
    <row r="196" spans="1:18" ht="21" customHeight="1">
      <c r="A196" s="8" t="str">
        <f t="shared" si="2"/>
        <v>02101</v>
      </c>
      <c r="B196" s="2">
        <v>110</v>
      </c>
      <c r="C196" s="10" t="str">
        <f ca="1">VLOOKUP($B196,OFFSET([2]gachas!$A$2,0,0,COUNTA([2]gachas!$A:$A),MATCH(C$1,[2]gachas!$1:$1,0)-MATCH($B$1,[2]gachas!$1:$1,0)+1),MATCH(C$1,[2]gachas!$1:$1,0)-MATCH($B$1,[2]gachas!$1:$1,0)+1,FALSE)</f>
        <v>赤アップ0１　最終日</v>
      </c>
      <c r="D196" s="6">
        <v>0</v>
      </c>
      <c r="E196" s="7">
        <v>210</v>
      </c>
      <c r="F196" s="10" t="str">
        <f ca="1">VLOOKUP($E196,OFFSET([1]characters!$A$2,0,0,COUNTA([1]characters!$A:$A),MATCH(F$1,[1]characters!$2:$2,0)-MATCH($E$1,[1]characters!$2:$2,0)+1),MATCH(F$1,[1]characters!$2:$2,0)-MATCH($E$1,[1]characters!$2:$2,0)+1,FALSE)</f>
        <v>海底の孤高神 テティス</v>
      </c>
      <c r="G196" s="10" t="str">
        <f ca="1">VLOOKUP($E196,OFFSET([1]characters!$A$2,0,0,COUNTA([1]characters!$A:$A),MATCH(G$1,[1]characters!$2:$2,0)-MATCH($E$1,[1]characters!$2:$2,0)+1),MATCH(G$1,[1]characters!$2:$2,0)-MATCH($E$1,[1]characters!$2:$2,0)+1,FALSE)</f>
        <v>PremiumN</v>
      </c>
      <c r="H196" s="10">
        <f ca="1">VLOOKUP($E196,OFFSET([1]characters!$A$2,0,0,COUNTA([1]characters!$A:$A),MATCH(H$1,[1]characters!$2:$2,0)-MATCH($E$1,[1]characters!$2:$2,0)+1),MATCH(H$1,[1]characters!$2:$2,0)-MATCH($E$1,[1]characters!$2:$2,0)+1,FALSE)</f>
        <v>5</v>
      </c>
      <c r="I196" s="10" t="str">
        <f ca="1">VLOOKUP($E196,OFFSET([1]characters!$A$2,0,0,COUNTA([1]characters!$A:$A),MATCH(I$1,[1]characters!$2:$2,0)-MATCH($E$1,[1]characters!$2:$2,0)+1),MATCH(I$1,[1]characters!$2:$2,0)-MATCH($E$1,[1]characters!$2:$2,0)+1,FALSE)</f>
        <v>blue</v>
      </c>
      <c r="J196" s="10" t="str">
        <f ca="1">VLOOKUP($E196,OFFSET([1]characters!$A$2,0,0,COUNTA([1]characters!$A:$A),MATCH("タイプ",[1]characters!$1:$1,0)-MATCH($E$1,[1]characters!$2:$2,0)+2),MATCH("タイプ",[1]characters!$1:$1,0)-MATCH($E$1,[1]characters!$2:$2,0)+2,FALSE)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6" s="10" t="str">
        <f ca="1">VLOOKUP($E196,OFFSET([1]characters!$A$2,0,0,COUNTA([1]characters!$A:$A),MATCH($K$1,[1]characters!$1:$1,0)-MATCH($E$1,[1]characters!$2:$2,0)+2),MATCH($K$1,[1]characters!$1:$1,0)-MATCH($E$1,[1]characters!$2:$2,0)+2,FALSE)</f>
        <v>ゴッド</v>
      </c>
      <c r="L196" s="6">
        <v>1</v>
      </c>
      <c r="M196" s="6">
        <v>154</v>
      </c>
      <c r="N196" s="28">
        <v>0</v>
      </c>
      <c r="O196" s="28">
        <v>0</v>
      </c>
      <c r="P196" s="28">
        <v>0</v>
      </c>
      <c r="Q196" s="28">
        <v>0</v>
      </c>
      <c r="R196" s="28">
        <v>1</v>
      </c>
    </row>
    <row r="197" spans="1:18" ht="21" customHeight="1">
      <c r="A197" s="8" t="str">
        <f t="shared" si="2"/>
        <v>02131</v>
      </c>
      <c r="B197" s="2">
        <v>110</v>
      </c>
      <c r="C197" s="10" t="str">
        <f ca="1">VLOOKUP($B197,OFFSET([2]gachas!$A$2,0,0,COUNTA([2]gachas!$A:$A),MATCH(C$1,[2]gachas!$1:$1,0)-MATCH($B$1,[2]gachas!$1:$1,0)+1),MATCH(C$1,[2]gachas!$1:$1,0)-MATCH($B$1,[2]gachas!$1:$1,0)+1,FALSE)</f>
        <v>赤アップ0１　最終日</v>
      </c>
      <c r="D197" s="6">
        <v>0</v>
      </c>
      <c r="E197" s="7">
        <v>213</v>
      </c>
      <c r="F197" s="10" t="str">
        <f ca="1">VLOOKUP($E197,OFFSET([1]characters!$A$2,0,0,COUNTA([1]characters!$A:$A),MATCH(F$1,[1]characters!$2:$2,0)-MATCH($E$1,[1]characters!$2:$2,0)+1),MATCH(F$1,[1]characters!$2:$2,0)-MATCH($E$1,[1]characters!$2:$2,0)+1,FALSE)</f>
        <v>満天の星降神 アストライアー</v>
      </c>
      <c r="G197" s="10" t="str">
        <f ca="1">VLOOKUP($E197,OFFSET([1]characters!$A$2,0,0,COUNTA([1]characters!$A:$A),MATCH(G$1,[1]characters!$2:$2,0)-MATCH($E$1,[1]characters!$2:$2,0)+1),MATCH(G$1,[1]characters!$2:$2,0)-MATCH($E$1,[1]characters!$2:$2,0)+1,FALSE)</f>
        <v>PremiumN</v>
      </c>
      <c r="H197" s="10">
        <f ca="1">VLOOKUP($E197,OFFSET([1]characters!$A$2,0,0,COUNTA([1]characters!$A:$A),MATCH(H$1,[1]characters!$2:$2,0)-MATCH($E$1,[1]characters!$2:$2,0)+1),MATCH(H$1,[1]characters!$2:$2,0)-MATCH($E$1,[1]characters!$2:$2,0)+1,FALSE)</f>
        <v>5</v>
      </c>
      <c r="I197" s="10" t="str">
        <f ca="1">VLOOKUP($E197,OFFSET([1]characters!$A$2,0,0,COUNTA([1]characters!$A:$A),MATCH(I$1,[1]characters!$2:$2,0)-MATCH($E$1,[1]characters!$2:$2,0)+1),MATCH(I$1,[1]characters!$2:$2,0)-MATCH($E$1,[1]characters!$2:$2,0)+1,FALSE)</f>
        <v>yellow</v>
      </c>
      <c r="J197" s="10" t="str">
        <f ca="1">VLOOKUP($E197,OFFSET([1]characters!$A$2,0,0,COUNTA([1]characters!$A:$A),MATCH("タイプ",[1]characters!$1:$1,0)-MATCH($E$1,[1]characters!$2:$2,0)+2),MATCH("タイプ",[1]characters!$1:$1,0)-MATCH($E$1,[1]characters!$2:$2,0)+2,FALSE)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7" s="10" t="str">
        <f ca="1">VLOOKUP($E197,OFFSET([1]characters!$A$2,0,0,COUNTA([1]characters!$A:$A),MATCH($K$1,[1]characters!$1:$1,0)-MATCH($E$1,[1]characters!$2:$2,0)+2),MATCH($K$1,[1]characters!$1:$1,0)-MATCH($E$1,[1]characters!$2:$2,0)+2,FALSE)</f>
        <v>ゴッド</v>
      </c>
      <c r="L197" s="6">
        <v>1</v>
      </c>
      <c r="M197" s="6">
        <v>154</v>
      </c>
      <c r="N197" s="28">
        <v>0</v>
      </c>
      <c r="O197" s="28">
        <v>0</v>
      </c>
      <c r="P197" s="28">
        <v>0</v>
      </c>
      <c r="Q197" s="28">
        <v>0</v>
      </c>
      <c r="R197" s="28">
        <v>1</v>
      </c>
    </row>
    <row r="198" spans="1:18" ht="21" customHeight="1">
      <c r="A198" s="8" t="str">
        <f t="shared" si="2"/>
        <v>02161</v>
      </c>
      <c r="B198" s="2">
        <v>110</v>
      </c>
      <c r="C198" s="10" t="str">
        <f ca="1">VLOOKUP($B198,OFFSET([2]gachas!$A$2,0,0,COUNTA([2]gachas!$A:$A),MATCH(C$1,[2]gachas!$1:$1,0)-MATCH($B$1,[2]gachas!$1:$1,0)+1),MATCH(C$1,[2]gachas!$1:$1,0)-MATCH($B$1,[2]gachas!$1:$1,0)+1,FALSE)</f>
        <v>赤アップ0１　最終日</v>
      </c>
      <c r="D198" s="29">
        <v>0</v>
      </c>
      <c r="E198" s="30">
        <v>216</v>
      </c>
      <c r="F198" s="10" t="str">
        <f ca="1">VLOOKUP($E198,OFFSET([1]characters!$A$2,0,0,COUNTA([1]characters!$A:$A),MATCH(F$1,[1]characters!$2:$2,0)-MATCH($E$1,[1]characters!$2:$2,0)+1),MATCH(F$1,[1]characters!$2:$2,0)-MATCH($E$1,[1]characters!$2:$2,0)+1,FALSE)</f>
        <v>百読の死導司書 アズラエル</v>
      </c>
      <c r="G198" s="10" t="str">
        <f ca="1">VLOOKUP($E198,OFFSET([1]characters!$A$2,0,0,COUNTA([1]characters!$A:$A),MATCH(G$1,[1]characters!$2:$2,0)-MATCH($E$1,[1]characters!$2:$2,0)+1),MATCH(G$1,[1]characters!$2:$2,0)-MATCH($E$1,[1]characters!$2:$2,0)+1,FALSE)</f>
        <v>PremiumN</v>
      </c>
      <c r="H198" s="10">
        <f ca="1">VLOOKUP($E198,OFFSET([1]characters!$A$2,0,0,COUNTA([1]characters!$A:$A),MATCH(H$1,[1]characters!$2:$2,0)-MATCH($E$1,[1]characters!$2:$2,0)+1),MATCH(H$1,[1]characters!$2:$2,0)-MATCH($E$1,[1]characters!$2:$2,0)+1,FALSE)</f>
        <v>5</v>
      </c>
      <c r="I198" s="10" t="str">
        <f ca="1">VLOOKUP($E198,OFFSET([1]characters!$A$2,0,0,COUNTA([1]characters!$A:$A),MATCH(I$1,[1]characters!$2:$2,0)-MATCH($E$1,[1]characters!$2:$2,0)+1),MATCH(I$1,[1]characters!$2:$2,0)-MATCH($E$1,[1]characters!$2:$2,0)+1,FALSE)</f>
        <v>red</v>
      </c>
      <c r="J198" s="10" t="str">
        <f ca="1">VLOOKUP($E198,OFFSET([1]characters!$A$2,0,0,COUNTA([1]characters!$A:$A),MATCH("タイプ",[1]characters!$1:$1,0)-MATCH($E$1,[1]characters!$2:$2,0)+2),MATCH("タイプ",[1]characters!$1:$1,0)-MATCH($E$1,[1]characters!$2:$2,0)+2,FALSE)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8" s="10" t="str">
        <f ca="1">VLOOKUP($E198,OFFSET([1]characters!$A$2,0,0,COUNTA([1]characters!$A:$A),MATCH($K$1,[1]characters!$1:$1,0)-MATCH($E$1,[1]characters!$2:$2,0)+2),MATCH($K$1,[1]characters!$1:$1,0)-MATCH($E$1,[1]characters!$2:$2,0)+2,FALSE)</f>
        <v>ゴッド</v>
      </c>
      <c r="L198" s="29">
        <v>1</v>
      </c>
      <c r="M198" s="29">
        <v>564</v>
      </c>
      <c r="N198" s="28">
        <v>0</v>
      </c>
      <c r="O198" s="28">
        <v>0</v>
      </c>
      <c r="P198" s="28">
        <v>0</v>
      </c>
      <c r="Q198" s="28">
        <v>0</v>
      </c>
      <c r="R198" s="28">
        <v>1</v>
      </c>
    </row>
    <row r="199" spans="1:18" ht="21" customHeight="1">
      <c r="A199" s="8" t="str">
        <f t="shared" si="2"/>
        <v>02191</v>
      </c>
      <c r="B199" s="2">
        <v>110</v>
      </c>
      <c r="C199" s="10" t="str">
        <f ca="1">VLOOKUP($B199,OFFSET([2]gachas!$A$2,0,0,COUNTA([2]gachas!$A:$A),MATCH(C$1,[2]gachas!$1:$1,0)-MATCH($B$1,[2]gachas!$1:$1,0)+1),MATCH(C$1,[2]gachas!$1:$1,0)-MATCH($B$1,[2]gachas!$1:$1,0)+1,FALSE)</f>
        <v>赤アップ0１　最終日</v>
      </c>
      <c r="D199" s="6">
        <v>0</v>
      </c>
      <c r="E199" s="7">
        <v>219</v>
      </c>
      <c r="F199" s="10" t="str">
        <f ca="1">VLOOKUP($E199,OFFSET([1]characters!$A$2,0,0,COUNTA([1]characters!$A:$A),MATCH(F$1,[1]characters!$2:$2,0)-MATCH($E$1,[1]characters!$2:$2,0)+1),MATCH(F$1,[1]characters!$2:$2,0)-MATCH($E$1,[1]characters!$2:$2,0)+1,FALSE)</f>
        <v>覇翼の聖蛇竜 ケツァクアトル</v>
      </c>
      <c r="G199" s="10" t="str">
        <f ca="1">VLOOKUP($E199,OFFSET([1]characters!$A$2,0,0,COUNTA([1]characters!$A:$A),MATCH(G$1,[1]characters!$2:$2,0)-MATCH($E$1,[1]characters!$2:$2,0)+1),MATCH(G$1,[1]characters!$2:$2,0)-MATCH($E$1,[1]characters!$2:$2,0)+1,FALSE)</f>
        <v>PremiumN</v>
      </c>
      <c r="H199" s="10">
        <f ca="1">VLOOKUP($E199,OFFSET([1]characters!$A$2,0,0,COUNTA([1]characters!$A:$A),MATCH(H$1,[1]characters!$2:$2,0)-MATCH($E$1,[1]characters!$2:$2,0)+1),MATCH(H$1,[1]characters!$2:$2,0)-MATCH($E$1,[1]characters!$2:$2,0)+1,FALSE)</f>
        <v>5</v>
      </c>
      <c r="I199" s="10" t="str">
        <f ca="1">VLOOKUP($E199,OFFSET([1]characters!$A$2,0,0,COUNTA([1]characters!$A:$A),MATCH(I$1,[1]characters!$2:$2,0)-MATCH($E$1,[1]characters!$2:$2,0)+1),MATCH(I$1,[1]characters!$2:$2,0)-MATCH($E$1,[1]characters!$2:$2,0)+1,FALSE)</f>
        <v>green</v>
      </c>
      <c r="J199" s="10" t="str">
        <f ca="1">VLOOKUP($E199,OFFSET([1]characters!$A$2,0,0,COUNTA([1]characters!$A:$A),MATCH("タイプ",[1]characters!$1:$1,0)-MATCH($E$1,[1]characters!$2:$2,0)+2),MATCH("タイプ",[1]characters!$1:$1,0)-MATCH($E$1,[1]characters!$2:$2,0)+2,FALSE)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99" s="10" t="str">
        <f ca="1">VLOOKUP($E199,OFFSET([1]characters!$A$2,0,0,COUNTA([1]characters!$A:$A),MATCH($K$1,[1]characters!$1:$1,0)-MATCH($E$1,[1]characters!$2:$2,0)+2),MATCH($K$1,[1]characters!$1:$1,0)-MATCH($E$1,[1]characters!$2:$2,0)+2,FALSE)</f>
        <v>ドラゴン</v>
      </c>
      <c r="L199" s="6">
        <v>1</v>
      </c>
      <c r="M199" s="6">
        <v>154</v>
      </c>
      <c r="N199" s="28">
        <v>0</v>
      </c>
      <c r="O199" s="28">
        <v>0</v>
      </c>
      <c r="P199" s="28">
        <v>0</v>
      </c>
      <c r="Q199" s="28">
        <v>0</v>
      </c>
      <c r="R199" s="28">
        <v>1</v>
      </c>
    </row>
    <row r="200" spans="1:18" ht="21" customHeight="1">
      <c r="A200" s="8" t="str">
        <f t="shared" si="2"/>
        <v>02221</v>
      </c>
      <c r="B200" s="2">
        <v>110</v>
      </c>
      <c r="C200" s="10" t="str">
        <f ca="1">VLOOKUP($B200,OFFSET([2]gachas!$A$2,0,0,COUNTA([2]gachas!$A:$A),MATCH(C$1,[2]gachas!$1:$1,0)-MATCH($B$1,[2]gachas!$1:$1,0)+1),MATCH(C$1,[2]gachas!$1:$1,0)-MATCH($B$1,[2]gachas!$1:$1,0)+1,FALSE)</f>
        <v>赤アップ0１　最終日</v>
      </c>
      <c r="D200" s="6">
        <v>0</v>
      </c>
      <c r="E200" s="7">
        <v>222</v>
      </c>
      <c r="F200" s="10" t="str">
        <f ca="1">VLOOKUP($E200,OFFSET([1]characters!$A$2,0,0,COUNTA([1]characters!$A:$A),MATCH(F$1,[1]characters!$2:$2,0)-MATCH($E$1,[1]characters!$2:$2,0)+1),MATCH(F$1,[1]characters!$2:$2,0)-MATCH($E$1,[1]characters!$2:$2,0)+1,FALSE)</f>
        <v>避光の鉄鎖宰相 ルキフグス</v>
      </c>
      <c r="G200" s="10" t="str">
        <f ca="1">VLOOKUP($E200,OFFSET([1]characters!$A$2,0,0,COUNTA([1]characters!$A:$A),MATCH(G$1,[1]characters!$2:$2,0)-MATCH($E$1,[1]characters!$2:$2,0)+1),MATCH(G$1,[1]characters!$2:$2,0)-MATCH($E$1,[1]characters!$2:$2,0)+1,FALSE)</f>
        <v>PremiumN</v>
      </c>
      <c r="H200" s="10">
        <f ca="1">VLOOKUP($E200,OFFSET([1]characters!$A$2,0,0,COUNTA([1]characters!$A:$A),MATCH(H$1,[1]characters!$2:$2,0)-MATCH($E$1,[1]characters!$2:$2,0)+1),MATCH(H$1,[1]characters!$2:$2,0)-MATCH($E$1,[1]characters!$2:$2,0)+1,FALSE)</f>
        <v>5</v>
      </c>
      <c r="I200" s="10" t="str">
        <f ca="1">VLOOKUP($E200,OFFSET([1]characters!$A$2,0,0,COUNTA([1]characters!$A:$A),MATCH(I$1,[1]characters!$2:$2,0)-MATCH($E$1,[1]characters!$2:$2,0)+1),MATCH(I$1,[1]characters!$2:$2,0)-MATCH($E$1,[1]characters!$2:$2,0)+1,FALSE)</f>
        <v>blue</v>
      </c>
      <c r="J200" s="10" t="str">
        <f ca="1">VLOOKUP($E200,OFFSET([1]characters!$A$2,0,0,COUNTA([1]characters!$A:$A),MATCH("タイプ",[1]characters!$1:$1,0)-MATCH($E$1,[1]characters!$2:$2,0)+2),MATCH("タイプ",[1]characters!$1:$1,0)-MATCH($E$1,[1]characters!$2:$2,0)+2,FALSE)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0" s="10" t="str">
        <f ca="1">VLOOKUP($E200,OFFSET([1]characters!$A$2,0,0,COUNTA([1]characters!$A:$A),MATCH($K$1,[1]characters!$1:$1,0)-MATCH($E$1,[1]characters!$2:$2,0)+2),MATCH($K$1,[1]characters!$1:$1,0)-MATCH($E$1,[1]characters!$2:$2,0)+2,FALSE)</f>
        <v>ゴッド</v>
      </c>
      <c r="L200" s="6">
        <v>1</v>
      </c>
      <c r="M200" s="6">
        <v>154</v>
      </c>
      <c r="N200" s="28">
        <v>0</v>
      </c>
      <c r="O200" s="28">
        <v>0</v>
      </c>
      <c r="P200" s="28">
        <v>0</v>
      </c>
      <c r="Q200" s="28">
        <v>0</v>
      </c>
      <c r="R200" s="28">
        <v>1</v>
      </c>
    </row>
    <row r="201" spans="1:18" ht="21" customHeight="1">
      <c r="A201" s="8" t="str">
        <f t="shared" si="2"/>
        <v>02251</v>
      </c>
      <c r="B201" s="2">
        <v>110</v>
      </c>
      <c r="C201" s="10" t="str">
        <f ca="1">VLOOKUP($B201,OFFSET([2]gachas!$A$2,0,0,COUNTA([2]gachas!$A:$A),MATCH(C$1,[2]gachas!$1:$1,0)-MATCH($B$1,[2]gachas!$1:$1,0)+1),MATCH(C$1,[2]gachas!$1:$1,0)-MATCH($B$1,[2]gachas!$1:$1,0)+1,FALSE)</f>
        <v>赤アップ0１　最終日</v>
      </c>
      <c r="D201" s="6">
        <v>0</v>
      </c>
      <c r="E201" s="7">
        <v>225</v>
      </c>
      <c r="F201" s="10" t="str">
        <f ca="1">VLOOKUP($E201,OFFSET([1]characters!$A$2,0,0,COUNTA([1]characters!$A:$A),MATCH(F$1,[1]characters!$2:$2,0)-MATCH($E$1,[1]characters!$2:$2,0)+1),MATCH(F$1,[1]characters!$2:$2,0)-MATCH($E$1,[1]characters!$2:$2,0)+1,FALSE)</f>
        <v>咆哮の巨獅腕 ヘラクレス</v>
      </c>
      <c r="G201" s="10" t="str">
        <f ca="1">VLOOKUP($E201,OFFSET([1]characters!$A$2,0,0,COUNTA([1]characters!$A:$A),MATCH(G$1,[1]characters!$2:$2,0)-MATCH($E$1,[1]characters!$2:$2,0)+1),MATCH(G$1,[1]characters!$2:$2,0)-MATCH($E$1,[1]characters!$2:$2,0)+1,FALSE)</f>
        <v>PremiumN</v>
      </c>
      <c r="H201" s="10">
        <f ca="1">VLOOKUP($E201,OFFSET([1]characters!$A$2,0,0,COUNTA([1]characters!$A:$A),MATCH(H$1,[1]characters!$2:$2,0)-MATCH($E$1,[1]characters!$2:$2,0)+1),MATCH(H$1,[1]characters!$2:$2,0)-MATCH($E$1,[1]characters!$2:$2,0)+1,FALSE)</f>
        <v>5</v>
      </c>
      <c r="I201" s="10" t="str">
        <f ca="1">VLOOKUP($E201,OFFSET([1]characters!$A$2,0,0,COUNTA([1]characters!$A:$A),MATCH(I$1,[1]characters!$2:$2,0)-MATCH($E$1,[1]characters!$2:$2,0)+1),MATCH(I$1,[1]characters!$2:$2,0)-MATCH($E$1,[1]characters!$2:$2,0)+1,FALSE)</f>
        <v>yellow</v>
      </c>
      <c r="J201" s="10" t="str">
        <f ca="1">VLOOKUP($E201,OFFSET([1]characters!$A$2,0,0,COUNTA([1]characters!$A:$A),MATCH("タイプ",[1]characters!$1:$1,0)-MATCH($E$1,[1]characters!$2:$2,0)+2),MATCH("タイプ",[1]characters!$1:$1,0)-MATCH($E$1,[1]characters!$2:$2,0)+2,FALSE)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1" s="10" t="str">
        <f ca="1">VLOOKUP($E201,OFFSET([1]characters!$A$2,0,0,COUNTA([1]characters!$A:$A),MATCH($K$1,[1]characters!$1:$1,0)-MATCH($E$1,[1]characters!$2:$2,0)+2),MATCH($K$1,[1]characters!$1:$1,0)-MATCH($E$1,[1]characters!$2:$2,0)+2,FALSE)</f>
        <v>ヒューマン</v>
      </c>
      <c r="L201" s="6">
        <v>1</v>
      </c>
      <c r="M201" s="6">
        <v>154</v>
      </c>
      <c r="N201" s="28">
        <v>0</v>
      </c>
      <c r="O201" s="28">
        <v>0</v>
      </c>
      <c r="P201" s="28">
        <v>0</v>
      </c>
      <c r="Q201" s="28">
        <v>0</v>
      </c>
      <c r="R201" s="28">
        <v>1</v>
      </c>
    </row>
    <row r="202" spans="1:18" ht="21" customHeight="1">
      <c r="A202" s="8" t="str">
        <f t="shared" si="2"/>
        <v>02281</v>
      </c>
      <c r="B202" s="2">
        <v>110</v>
      </c>
      <c r="C202" s="10" t="str">
        <f ca="1">VLOOKUP($B202,OFFSET([2]gachas!$A$2,0,0,COUNTA([2]gachas!$A:$A),MATCH(C$1,[2]gachas!$1:$1,0)-MATCH($B$1,[2]gachas!$1:$1,0)+1),MATCH(C$1,[2]gachas!$1:$1,0)-MATCH($B$1,[2]gachas!$1:$1,0)+1,FALSE)</f>
        <v>赤アップ0１　最終日</v>
      </c>
      <c r="D202" s="29">
        <v>0</v>
      </c>
      <c r="E202" s="30">
        <v>228</v>
      </c>
      <c r="F202" s="10" t="str">
        <f ca="1">VLOOKUP($E202,OFFSET([1]characters!$A$2,0,0,COUNTA([1]characters!$A:$A),MATCH(F$1,[1]characters!$2:$2,0)-MATCH($E$1,[1]characters!$2:$2,0)+1),MATCH(F$1,[1]characters!$2:$2,0)-MATCH($E$1,[1]characters!$2:$2,0)+1,FALSE)</f>
        <v>殲滅の掃射砲 アレス</v>
      </c>
      <c r="G202" s="10" t="str">
        <f ca="1">VLOOKUP($E202,OFFSET([1]characters!$A$2,0,0,COUNTA([1]characters!$A:$A),MATCH(G$1,[1]characters!$2:$2,0)-MATCH($E$1,[1]characters!$2:$2,0)+1),MATCH(G$1,[1]characters!$2:$2,0)-MATCH($E$1,[1]characters!$2:$2,0)+1,FALSE)</f>
        <v>PremiumS</v>
      </c>
      <c r="H202" s="10">
        <f ca="1">VLOOKUP($E202,OFFSET([1]characters!$A$2,0,0,COUNTA([1]characters!$A:$A),MATCH(H$1,[1]characters!$2:$2,0)-MATCH($E$1,[1]characters!$2:$2,0)+1),MATCH(H$1,[1]characters!$2:$2,0)-MATCH($E$1,[1]characters!$2:$2,0)+1,FALSE)</f>
        <v>5</v>
      </c>
      <c r="I202" s="10" t="str">
        <f ca="1">VLOOKUP($E202,OFFSET([1]characters!$A$2,0,0,COUNTA([1]characters!$A:$A),MATCH(I$1,[1]characters!$2:$2,0)-MATCH($E$1,[1]characters!$2:$2,0)+1),MATCH(I$1,[1]characters!$2:$2,0)-MATCH($E$1,[1]characters!$2:$2,0)+1,FALSE)</f>
        <v>red</v>
      </c>
      <c r="J202" s="10" t="str">
        <f ca="1">VLOOKUP($E202,OFFSET([1]characters!$A$2,0,0,COUNTA([1]characters!$A:$A),MATCH("タイプ",[1]characters!$1:$1,0)-MATCH($E$1,[1]characters!$2:$2,0)+2),MATCH("タイプ",[1]characters!$1:$1,0)-MATCH($E$1,[1]characters!$2:$2,0)+2,FALSE)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2" s="10" t="str">
        <f ca="1">VLOOKUP($E202,OFFSET([1]characters!$A$2,0,0,COUNTA([1]characters!$A:$A),MATCH($K$1,[1]characters!$1:$1,0)-MATCH($E$1,[1]characters!$2:$2,0)+2),MATCH($K$1,[1]characters!$1:$1,0)-MATCH($E$1,[1]characters!$2:$2,0)+2,FALSE)</f>
        <v>ゴッド</v>
      </c>
      <c r="L202" s="29">
        <v>1</v>
      </c>
      <c r="M202" s="29">
        <v>63</v>
      </c>
      <c r="N202" s="28">
        <v>0</v>
      </c>
      <c r="O202" s="28">
        <v>0</v>
      </c>
      <c r="P202" s="28">
        <v>0</v>
      </c>
      <c r="Q202" s="28">
        <v>0</v>
      </c>
      <c r="R202" s="28">
        <v>1</v>
      </c>
    </row>
    <row r="203" spans="1:18" ht="21" customHeight="1">
      <c r="A203" s="8" t="str">
        <f t="shared" si="2"/>
        <v>02311</v>
      </c>
      <c r="B203" s="2">
        <v>110</v>
      </c>
      <c r="C203" s="10" t="str">
        <f ca="1">VLOOKUP($B203,OFFSET([2]gachas!$A$2,0,0,COUNTA([2]gachas!$A:$A),MATCH(C$1,[2]gachas!$1:$1,0)-MATCH($B$1,[2]gachas!$1:$1,0)+1),MATCH(C$1,[2]gachas!$1:$1,0)-MATCH($B$1,[2]gachas!$1:$1,0)+1,FALSE)</f>
        <v>赤アップ0１　最終日</v>
      </c>
      <c r="D203" s="6">
        <v>0</v>
      </c>
      <c r="E203" s="7">
        <v>231</v>
      </c>
      <c r="F203" s="10" t="str">
        <f ca="1">VLOOKUP($E203,OFFSET([1]characters!$A$2,0,0,COUNTA([1]characters!$A:$A),MATCH(F$1,[1]characters!$2:$2,0)-MATCH($E$1,[1]characters!$2:$2,0)+1),MATCH(F$1,[1]characters!$2:$2,0)-MATCH($E$1,[1]characters!$2:$2,0)+1,FALSE)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203" s="10" t="str">
        <f ca="1">VLOOKUP($E203,OFFSET([1]characters!$A$2,0,0,COUNTA([1]characters!$A:$A),MATCH(G$1,[1]characters!$2:$2,0)-MATCH($E$1,[1]characters!$2:$2,0)+1),MATCH(G$1,[1]characters!$2:$2,0)-MATCH($E$1,[1]characters!$2:$2,0)+1,FALSE)</f>
        <v>PremiumS</v>
      </c>
      <c r="H203" s="10">
        <f ca="1">VLOOKUP($E203,OFFSET([1]characters!$A$2,0,0,COUNTA([1]characters!$A:$A),MATCH(H$1,[1]characters!$2:$2,0)-MATCH($E$1,[1]characters!$2:$2,0)+1),MATCH(H$1,[1]characters!$2:$2,0)-MATCH($E$1,[1]characters!$2:$2,0)+1,FALSE)</f>
        <v>5</v>
      </c>
      <c r="I203" s="10" t="str">
        <f ca="1">VLOOKUP($E203,OFFSET([1]characters!$A$2,0,0,COUNTA([1]characters!$A:$A),MATCH(I$1,[1]characters!$2:$2,0)-MATCH($E$1,[1]characters!$2:$2,0)+1),MATCH(I$1,[1]characters!$2:$2,0)-MATCH($E$1,[1]characters!$2:$2,0)+1,FALSE)</f>
        <v>green</v>
      </c>
      <c r="J203" s="10" t="str">
        <f ca="1">VLOOKUP($E203,OFFSET([1]characters!$A$2,0,0,COUNTA([1]characters!$A:$A),MATCH("タイプ",[1]characters!$1:$1,0)-MATCH($E$1,[1]characters!$2:$2,0)+2),MATCH("タイプ",[1]characters!$1:$1,0)-MATCH($E$1,[1]characters!$2:$2,0)+2,FALSE)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03" s="10" t="str">
        <f ca="1">VLOOKUP($E203,OFFSET([1]characters!$A$2,0,0,COUNTA([1]characters!$A:$A),MATCH($K$1,[1]characters!$1:$1,0)-MATCH($E$1,[1]characters!$2:$2,0)+2),MATCH($K$1,[1]characters!$1:$1,0)-MATCH($E$1,[1]characters!$2:$2,0)+2,FALSE)</f>
        <v>ドラゴン</v>
      </c>
      <c r="L203" s="6">
        <v>1</v>
      </c>
      <c r="M203" s="6">
        <v>17</v>
      </c>
      <c r="N203" s="28">
        <v>0</v>
      </c>
      <c r="O203" s="28">
        <v>0</v>
      </c>
      <c r="P203" s="28">
        <v>0</v>
      </c>
      <c r="Q203" s="28">
        <v>0</v>
      </c>
      <c r="R203" s="28">
        <v>1</v>
      </c>
    </row>
    <row r="204" spans="1:18" ht="21" customHeight="1">
      <c r="A204" s="8" t="str">
        <f t="shared" si="2"/>
        <v>02341</v>
      </c>
      <c r="B204" s="2">
        <v>110</v>
      </c>
      <c r="C204" s="10" t="str">
        <f ca="1">VLOOKUP($B204,OFFSET([2]gachas!$A$2,0,0,COUNTA([2]gachas!$A:$A),MATCH(C$1,[2]gachas!$1:$1,0)-MATCH($B$1,[2]gachas!$1:$1,0)+1),MATCH(C$1,[2]gachas!$1:$1,0)-MATCH($B$1,[2]gachas!$1:$1,0)+1,FALSE)</f>
        <v>赤アップ0１　最終日</v>
      </c>
      <c r="D204" s="6">
        <v>0</v>
      </c>
      <c r="E204" s="7">
        <v>234</v>
      </c>
      <c r="F204" s="10" t="str">
        <f ca="1">VLOOKUP($E204,OFFSET([1]characters!$A$2,0,0,COUNTA([1]characters!$A:$A),MATCH(F$1,[1]characters!$2:$2,0)-MATCH($E$1,[1]characters!$2:$2,0)+1),MATCH(F$1,[1]characters!$2:$2,0)-MATCH($E$1,[1]characters!$2:$2,0)+1,FALSE)</f>
        <v>精密なる照準 パーシヴァル</v>
      </c>
      <c r="G204" s="10" t="str">
        <f ca="1">VLOOKUP($E204,OFFSET([1]characters!$A$2,0,0,COUNTA([1]characters!$A:$A),MATCH(G$1,[1]characters!$2:$2,0)-MATCH($E$1,[1]characters!$2:$2,0)+1),MATCH(G$1,[1]characters!$2:$2,0)-MATCH($E$1,[1]characters!$2:$2,0)+1,FALSE)</f>
        <v>PremiumS</v>
      </c>
      <c r="H204" s="10">
        <f ca="1">VLOOKUP($E204,OFFSET([1]characters!$A$2,0,0,COUNTA([1]characters!$A:$A),MATCH(H$1,[1]characters!$2:$2,0)-MATCH($E$1,[1]characters!$2:$2,0)+1),MATCH(H$1,[1]characters!$2:$2,0)-MATCH($E$1,[1]characters!$2:$2,0)+1,FALSE)</f>
        <v>5</v>
      </c>
      <c r="I204" s="10" t="str">
        <f ca="1">VLOOKUP($E204,OFFSET([1]characters!$A$2,0,0,COUNTA([1]characters!$A:$A),MATCH(I$1,[1]characters!$2:$2,0)-MATCH($E$1,[1]characters!$2:$2,0)+1),MATCH(I$1,[1]characters!$2:$2,0)-MATCH($E$1,[1]characters!$2:$2,0)+1,FALSE)</f>
        <v>blue</v>
      </c>
      <c r="J204" s="10" t="str">
        <f ca="1">VLOOKUP($E204,OFFSET([1]characters!$A$2,0,0,COUNTA([1]characters!$A:$A),MATCH("タイプ",[1]characters!$1:$1,0)-MATCH($E$1,[1]characters!$2:$2,0)+2),MATCH("タイプ",[1]characters!$1:$1,0)-MATCH($E$1,[1]characters!$2:$2,0)+2,FALSE)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04" s="10" t="str">
        <f ca="1">VLOOKUP($E204,OFFSET([1]characters!$A$2,0,0,COUNTA([1]characters!$A:$A),MATCH($K$1,[1]characters!$1:$1,0)-MATCH($E$1,[1]characters!$2:$2,0)+2),MATCH($K$1,[1]characters!$1:$1,0)-MATCH($E$1,[1]characters!$2:$2,0)+2,FALSE)</f>
        <v>ヒューマン</v>
      </c>
      <c r="L204" s="6">
        <v>1</v>
      </c>
      <c r="M204" s="6">
        <v>17</v>
      </c>
      <c r="N204" s="28">
        <v>0</v>
      </c>
      <c r="O204" s="28">
        <v>0</v>
      </c>
      <c r="P204" s="28">
        <v>0</v>
      </c>
      <c r="Q204" s="28">
        <v>0</v>
      </c>
      <c r="R204" s="28">
        <v>1</v>
      </c>
    </row>
    <row r="205" spans="1:18" s="26" customFormat="1" ht="21" customHeight="1" thickBot="1">
      <c r="A205" s="22" t="str">
        <f t="shared" si="2"/>
        <v>02371</v>
      </c>
      <c r="B205" s="2">
        <v>110</v>
      </c>
      <c r="C205" s="10" t="str">
        <f ca="1">VLOOKUP($B205,OFFSET([2]gachas!$A$2,0,0,COUNTA([2]gachas!$A:$A),MATCH(C$1,[2]gachas!$1:$1,0)-MATCH($B$1,[2]gachas!$1:$1,0)+1),MATCH(C$1,[2]gachas!$1:$1,0)-MATCH($B$1,[2]gachas!$1:$1,0)+1,FALSE)</f>
        <v>赤アップ0１　最終日</v>
      </c>
      <c r="D205" s="6">
        <v>0</v>
      </c>
      <c r="E205" s="7">
        <v>237</v>
      </c>
      <c r="F205" s="10" t="str">
        <f ca="1">VLOOKUP($E205,OFFSET([1]characters!$A$2,0,0,COUNTA([1]characters!$A:$A),MATCH(F$1,[1]characters!$2:$2,0)-MATCH($E$1,[1]characters!$2:$2,0)+1),MATCH(F$1,[1]characters!$2:$2,0)-MATCH($E$1,[1]characters!$2:$2,0)+1,FALSE)</f>
        <v>森羅万象の神母 イザナミ</v>
      </c>
      <c r="G205" s="10" t="str">
        <f ca="1">VLOOKUP($E205,OFFSET([1]characters!$A$2,0,0,COUNTA([1]characters!$A:$A),MATCH(G$1,[1]characters!$2:$2,0)-MATCH($E$1,[1]characters!$2:$2,0)+1),MATCH(G$1,[1]characters!$2:$2,0)-MATCH($E$1,[1]characters!$2:$2,0)+1,FALSE)</f>
        <v>PremiumS</v>
      </c>
      <c r="H205" s="10">
        <f ca="1">VLOOKUP($E205,OFFSET([1]characters!$A$2,0,0,COUNTA([1]characters!$A:$A),MATCH(H$1,[1]characters!$2:$2,0)-MATCH($E$1,[1]characters!$2:$2,0)+1),MATCH(H$1,[1]characters!$2:$2,0)-MATCH($E$1,[1]characters!$2:$2,0)+1,FALSE)</f>
        <v>5</v>
      </c>
      <c r="I205" s="10" t="str">
        <f ca="1">VLOOKUP($E205,OFFSET([1]characters!$A$2,0,0,COUNTA([1]characters!$A:$A),MATCH(I$1,[1]characters!$2:$2,0)-MATCH($E$1,[1]characters!$2:$2,0)+1),MATCH(I$1,[1]characters!$2:$2,0)-MATCH($E$1,[1]characters!$2:$2,0)+1,FALSE)</f>
        <v>yellow</v>
      </c>
      <c r="J205" s="10" t="str">
        <f ca="1">VLOOKUP($E205,OFFSET([1]characters!$A$2,0,0,COUNTA([1]characters!$A:$A),MATCH("タイプ",[1]characters!$1:$1,0)-MATCH($E$1,[1]characters!$2:$2,0)+2),MATCH("タイプ",[1]characters!$1:$1,0)-MATCH($E$1,[1]characters!$2:$2,0)+2,FALSE)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5" s="10" t="str">
        <f ca="1">VLOOKUP($E205,OFFSET([1]characters!$A$2,0,0,COUNTA([1]characters!$A:$A),MATCH($K$1,[1]characters!$1:$1,0)-MATCH($E$1,[1]characters!$2:$2,0)+2),MATCH($K$1,[1]characters!$1:$1,0)-MATCH($E$1,[1]characters!$2:$2,0)+2,FALSE)</f>
        <v>ゴッド</v>
      </c>
      <c r="L205" s="6">
        <v>1</v>
      </c>
      <c r="M205" s="6">
        <v>17</v>
      </c>
      <c r="N205" s="28">
        <v>0</v>
      </c>
      <c r="O205" s="28">
        <v>0</v>
      </c>
      <c r="P205" s="28">
        <v>0</v>
      </c>
      <c r="Q205" s="28">
        <v>0</v>
      </c>
      <c r="R205" s="28">
        <v>1</v>
      </c>
    </row>
    <row r="206" spans="1:18" ht="21" customHeight="1">
      <c r="A206" s="8" t="str">
        <f t="shared" si="2"/>
        <v>02381</v>
      </c>
      <c r="B206" s="2">
        <v>110</v>
      </c>
      <c r="C206" s="10" t="str">
        <f ca="1">VLOOKUP($B206,OFFSET([2]gachas!$A$2,0,0,COUNTA([2]gachas!$A:$A),MATCH(C$1,[2]gachas!$1:$1,0)-MATCH($B$1,[2]gachas!$1:$1,0)+1),MATCH(C$1,[2]gachas!$1:$1,0)-MATCH($B$1,[2]gachas!$1:$1,0)+1,FALSE)</f>
        <v>赤アップ0１　最終日</v>
      </c>
      <c r="D206" s="29">
        <v>0</v>
      </c>
      <c r="E206" s="36">
        <v>238</v>
      </c>
      <c r="F206" s="10" t="str">
        <f ca="1">VLOOKUP($E206,OFFSET([1]characters!$A$2,0,0,COUNTA([1]characters!$A:$A),MATCH(F$1,[1]characters!$2:$2,0)-MATCH($E$1,[1]characters!$2:$2,0)+1),MATCH(F$1,[1]characters!$2:$2,0)-MATCH($E$1,[1]characters!$2:$2,0)+1,FALSE)</f>
        <v>ウリエル</v>
      </c>
      <c r="G206" s="10" t="str">
        <f ca="1">VLOOKUP($E206,OFFSET([1]characters!$A$2,0,0,COUNTA([1]characters!$A:$A),MATCH(G$1,[1]characters!$2:$2,0)-MATCH($E$1,[1]characters!$2:$2,0)+1),MATCH(G$1,[1]characters!$2:$2,0)-MATCH($E$1,[1]characters!$2:$2,0)+1,FALSE)</f>
        <v>PremiumS</v>
      </c>
      <c r="H206" s="10">
        <f ca="1">VLOOKUP($E206,OFFSET([1]characters!$A$2,0,0,COUNTA([1]characters!$A:$A),MATCH(H$1,[1]characters!$2:$2,0)-MATCH($E$1,[1]characters!$2:$2,0)+1),MATCH(H$1,[1]characters!$2:$2,0)-MATCH($E$1,[1]characters!$2:$2,0)+1,FALSE)</f>
        <v>3</v>
      </c>
      <c r="I206" s="10" t="str">
        <f ca="1">VLOOKUP($E206,OFFSET([1]characters!$A$2,0,0,COUNTA([1]characters!$A:$A),MATCH(I$1,[1]characters!$2:$2,0)-MATCH($E$1,[1]characters!$2:$2,0)+1),MATCH(I$1,[1]characters!$2:$2,0)-MATCH($E$1,[1]characters!$2:$2,0)+1,FALSE)</f>
        <v>red</v>
      </c>
      <c r="J206" s="10" t="str">
        <f ca="1">VLOOKUP($E206,OFFSET([1]characters!$A$2,0,0,COUNTA([1]characters!$A:$A),MATCH("タイプ",[1]characters!$1:$1,0)-MATCH($E$1,[1]characters!$2:$2,0)+2),MATCH("タイプ",[1]characters!$1:$1,0)-MATCH($E$1,[1]characters!$2:$2,0)+2,FALSE)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6" s="10" t="str">
        <f ca="1">VLOOKUP($E206,OFFSET([1]characters!$A$2,0,0,COUNTA([1]characters!$A:$A),MATCH($K$1,[1]characters!$1:$1,0)-MATCH($E$1,[1]characters!$2:$2,0)+2),MATCH($K$1,[1]characters!$1:$1,0)-MATCH($E$1,[1]characters!$2:$2,0)+2,FALSE)</f>
        <v>マシン</v>
      </c>
      <c r="L206" s="29">
        <v>1</v>
      </c>
      <c r="M206" s="29">
        <v>1125</v>
      </c>
      <c r="N206" s="28">
        <v>0</v>
      </c>
      <c r="O206" s="28">
        <v>0</v>
      </c>
      <c r="P206" s="28">
        <v>0</v>
      </c>
      <c r="Q206" s="28">
        <v>0</v>
      </c>
      <c r="R206" s="28">
        <v>1</v>
      </c>
    </row>
    <row r="207" spans="1:18" ht="21" customHeight="1">
      <c r="A207" s="8" t="str">
        <f t="shared" si="2"/>
        <v>02391</v>
      </c>
      <c r="B207" s="2">
        <v>110</v>
      </c>
      <c r="C207" s="10" t="str">
        <f ca="1">VLOOKUP($B207,OFFSET([2]gachas!$A$2,0,0,COUNTA([2]gachas!$A:$A),MATCH(C$1,[2]gachas!$1:$1,0)-MATCH($B$1,[2]gachas!$1:$1,0)+1),MATCH(C$1,[2]gachas!$1:$1,0)-MATCH($B$1,[2]gachas!$1:$1,0)+1,FALSE)</f>
        <v>赤アップ0１　最終日</v>
      </c>
      <c r="D207" s="29">
        <v>0</v>
      </c>
      <c r="E207" s="36">
        <v>239</v>
      </c>
      <c r="F207" s="10" t="str">
        <f ca="1">VLOOKUP($E207,OFFSET([1]characters!$A$2,0,0,COUNTA([1]characters!$A:$A),MATCH(F$1,[1]characters!$2:$2,0)-MATCH($E$1,[1]characters!$2:$2,0)+1),MATCH(F$1,[1]characters!$2:$2,0)-MATCH($E$1,[1]characters!$2:$2,0)+1,FALSE)</f>
        <v>豪炎の天使 ウリエル</v>
      </c>
      <c r="G207" s="10" t="str">
        <f ca="1">VLOOKUP($E207,OFFSET([1]characters!$A$2,0,0,COUNTA([1]characters!$A:$A),MATCH(G$1,[1]characters!$2:$2,0)-MATCH($E$1,[1]characters!$2:$2,0)+1),MATCH(G$1,[1]characters!$2:$2,0)-MATCH($E$1,[1]characters!$2:$2,0)+1,FALSE)</f>
        <v>PremiumS</v>
      </c>
      <c r="H207" s="10">
        <f ca="1">VLOOKUP($E207,OFFSET([1]characters!$A$2,0,0,COUNTA([1]characters!$A:$A),MATCH(H$1,[1]characters!$2:$2,0)-MATCH($E$1,[1]characters!$2:$2,0)+1),MATCH(H$1,[1]characters!$2:$2,0)-MATCH($E$1,[1]characters!$2:$2,0)+1,FALSE)</f>
        <v>4</v>
      </c>
      <c r="I207" s="10" t="str">
        <f ca="1">VLOOKUP($E207,OFFSET([1]characters!$A$2,0,0,COUNTA([1]characters!$A:$A),MATCH(I$1,[1]characters!$2:$2,0)-MATCH($E$1,[1]characters!$2:$2,0)+1),MATCH(I$1,[1]characters!$2:$2,0)-MATCH($E$1,[1]characters!$2:$2,0)+1,FALSE)</f>
        <v>red</v>
      </c>
      <c r="J207" s="10" t="str">
        <f ca="1">VLOOKUP($E207,OFFSET([1]characters!$A$2,0,0,COUNTA([1]characters!$A:$A),MATCH("タイプ",[1]characters!$1:$1,0)-MATCH($E$1,[1]characters!$2:$2,0)+2),MATCH("タイプ",[1]characters!$1:$1,0)-MATCH($E$1,[1]characters!$2:$2,0)+2,FALSE)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7" s="10" t="str">
        <f ca="1">VLOOKUP($E207,OFFSET([1]characters!$A$2,0,0,COUNTA([1]characters!$A:$A),MATCH($K$1,[1]characters!$1:$1,0)-MATCH($E$1,[1]characters!$2:$2,0)+2),MATCH($K$1,[1]characters!$1:$1,0)-MATCH($E$1,[1]characters!$2:$2,0)+2,FALSE)</f>
        <v>マシン</v>
      </c>
      <c r="L207" s="29">
        <v>1</v>
      </c>
      <c r="M207" s="29">
        <v>396</v>
      </c>
      <c r="N207" s="28">
        <v>0</v>
      </c>
      <c r="O207" s="28">
        <v>0</v>
      </c>
      <c r="P207" s="28">
        <v>0</v>
      </c>
      <c r="Q207" s="28">
        <v>0</v>
      </c>
      <c r="R207" s="28">
        <v>1</v>
      </c>
    </row>
    <row r="208" spans="1:18" ht="21" customHeight="1">
      <c r="A208" s="8" t="str">
        <f t="shared" si="2"/>
        <v>02401</v>
      </c>
      <c r="B208" s="2">
        <v>110</v>
      </c>
      <c r="C208" s="10" t="str">
        <f ca="1">VLOOKUP($B208,OFFSET([2]gachas!$A$2,0,0,COUNTA([2]gachas!$A:$A),MATCH(C$1,[2]gachas!$1:$1,0)-MATCH($B$1,[2]gachas!$1:$1,0)+1),MATCH(C$1,[2]gachas!$1:$1,0)-MATCH($B$1,[2]gachas!$1:$1,0)+1,FALSE)</f>
        <v>赤アップ0１　最終日</v>
      </c>
      <c r="D208" s="29">
        <v>0</v>
      </c>
      <c r="E208" s="36">
        <v>240</v>
      </c>
      <c r="F208" s="10" t="str">
        <f ca="1">VLOOKUP($E208,OFFSET([1]characters!$A$2,0,0,COUNTA([1]characters!$A:$A),MATCH(F$1,[1]characters!$2:$2,0)-MATCH($E$1,[1]characters!$2:$2,0)+1),MATCH(F$1,[1]characters!$2:$2,0)-MATCH($E$1,[1]characters!$2:$2,0)+1,FALSE)</f>
        <v>轟炎の天使 ウリエル・スレイヤー</v>
      </c>
      <c r="G208" s="10" t="str">
        <f ca="1">VLOOKUP($E208,OFFSET([1]characters!$A$2,0,0,COUNTA([1]characters!$A:$A),MATCH(G$1,[1]characters!$2:$2,0)-MATCH($E$1,[1]characters!$2:$2,0)+1),MATCH(G$1,[1]characters!$2:$2,0)-MATCH($E$1,[1]characters!$2:$2,0)+1,FALSE)</f>
        <v>PremiumS</v>
      </c>
      <c r="H208" s="10">
        <f ca="1">VLOOKUP($E208,OFFSET([1]characters!$A$2,0,0,COUNTA([1]characters!$A:$A),MATCH(H$1,[1]characters!$2:$2,0)-MATCH($E$1,[1]characters!$2:$2,0)+1),MATCH(H$1,[1]characters!$2:$2,0)-MATCH($E$1,[1]characters!$2:$2,0)+1,FALSE)</f>
        <v>5</v>
      </c>
      <c r="I208" s="10" t="str">
        <f ca="1">VLOOKUP($E208,OFFSET([1]characters!$A$2,0,0,COUNTA([1]characters!$A:$A),MATCH(I$1,[1]characters!$2:$2,0)-MATCH($E$1,[1]characters!$2:$2,0)+1),MATCH(I$1,[1]characters!$2:$2,0)-MATCH($E$1,[1]characters!$2:$2,0)+1,FALSE)</f>
        <v>red</v>
      </c>
      <c r="J208" s="10" t="str">
        <f ca="1">VLOOKUP($E208,OFFSET([1]characters!$A$2,0,0,COUNTA([1]characters!$A:$A),MATCH("タイプ",[1]characters!$1:$1,0)-MATCH($E$1,[1]characters!$2:$2,0)+2),MATCH("タイプ",[1]characters!$1:$1,0)-MATCH($E$1,[1]characters!$2:$2,0)+2,FALSE)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08" s="10" t="str">
        <f ca="1">VLOOKUP($E208,OFFSET([1]characters!$A$2,0,0,COUNTA([1]characters!$A:$A),MATCH($K$1,[1]characters!$1:$1,0)-MATCH($E$1,[1]characters!$2:$2,0)+2),MATCH($K$1,[1]characters!$1:$1,0)-MATCH($E$1,[1]characters!$2:$2,0)+2,FALSE)</f>
        <v>マシン</v>
      </c>
      <c r="L208" s="29">
        <v>1</v>
      </c>
      <c r="M208" s="29">
        <v>63</v>
      </c>
      <c r="N208" s="28">
        <v>0</v>
      </c>
      <c r="O208" s="28">
        <v>0</v>
      </c>
      <c r="P208" s="28">
        <v>0</v>
      </c>
      <c r="Q208" s="28">
        <v>0</v>
      </c>
      <c r="R208" s="28">
        <v>1</v>
      </c>
    </row>
    <row r="209" spans="1:18" ht="21" customHeight="1">
      <c r="A209" s="8" t="str">
        <f t="shared" si="2"/>
        <v>02411</v>
      </c>
      <c r="B209" s="2">
        <v>110</v>
      </c>
      <c r="C209" s="10" t="str">
        <f ca="1">VLOOKUP($B209,OFFSET([2]gachas!$A$2,0,0,COUNTA([2]gachas!$A:$A),MATCH(C$1,[2]gachas!$1:$1,0)-MATCH($B$1,[2]gachas!$1:$1,0)+1),MATCH(C$1,[2]gachas!$1:$1,0)-MATCH($B$1,[2]gachas!$1:$1,0)+1,FALSE)</f>
        <v>赤アップ0１　最終日</v>
      </c>
      <c r="D209" s="6">
        <v>0</v>
      </c>
      <c r="E209" s="19">
        <v>241</v>
      </c>
      <c r="F209" s="10" t="str">
        <f ca="1">VLOOKUP($E209,OFFSET([1]characters!$A$2,0,0,COUNTA([1]characters!$A:$A),MATCH(F$1,[1]characters!$2:$2,0)-MATCH($E$1,[1]characters!$2:$2,0)+1),MATCH(F$1,[1]characters!$2:$2,0)-MATCH($E$1,[1]characters!$2:$2,0)+1,FALSE)</f>
        <v>ガブリエル</v>
      </c>
      <c r="G209" s="10" t="str">
        <f ca="1">VLOOKUP($E209,OFFSET([1]characters!$A$2,0,0,COUNTA([1]characters!$A:$A),MATCH(G$1,[1]characters!$2:$2,0)-MATCH($E$1,[1]characters!$2:$2,0)+1),MATCH(G$1,[1]characters!$2:$2,0)-MATCH($E$1,[1]characters!$2:$2,0)+1,FALSE)</f>
        <v>PremiumS</v>
      </c>
      <c r="H209" s="10">
        <f ca="1">VLOOKUP($E209,OFFSET([1]characters!$A$2,0,0,COUNTA([1]characters!$A:$A),MATCH(H$1,[1]characters!$2:$2,0)-MATCH($E$1,[1]characters!$2:$2,0)+1),MATCH(H$1,[1]characters!$2:$2,0)-MATCH($E$1,[1]characters!$2:$2,0)+1,FALSE)</f>
        <v>3</v>
      </c>
      <c r="I209" s="10" t="str">
        <f ca="1">VLOOKUP($E209,OFFSET([1]characters!$A$2,0,0,COUNTA([1]characters!$A:$A),MATCH(I$1,[1]characters!$2:$2,0)-MATCH($E$1,[1]characters!$2:$2,0)+1),MATCH(I$1,[1]characters!$2:$2,0)-MATCH($E$1,[1]characters!$2:$2,0)+1,FALSE)</f>
        <v>green</v>
      </c>
      <c r="J209" s="10" t="str">
        <f ca="1">VLOOKUP($E209,OFFSET([1]characters!$A$2,0,0,COUNTA([1]characters!$A:$A),MATCH("タイプ",[1]characters!$1:$1,0)-MATCH($E$1,[1]characters!$2:$2,0)+2),MATCH("タイプ",[1]characters!$1:$1,0)-MATCH($E$1,[1]characters!$2:$2,0)+2,FALSE)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09" s="10" t="str">
        <f ca="1">VLOOKUP($E209,OFFSET([1]characters!$A$2,0,0,COUNTA([1]characters!$A:$A),MATCH($K$1,[1]characters!$1:$1,0)-MATCH($E$1,[1]characters!$2:$2,0)+2),MATCH($K$1,[1]characters!$1:$1,0)-MATCH($E$1,[1]characters!$2:$2,0)+2,FALSE)</f>
        <v>マシン</v>
      </c>
      <c r="L209" s="6">
        <v>1</v>
      </c>
      <c r="M209" s="6">
        <v>307</v>
      </c>
      <c r="N209" s="28">
        <v>0</v>
      </c>
      <c r="O209" s="28">
        <v>0</v>
      </c>
      <c r="P209" s="28">
        <v>0</v>
      </c>
      <c r="Q209" s="28">
        <v>0</v>
      </c>
      <c r="R209" s="28">
        <v>1</v>
      </c>
    </row>
    <row r="210" spans="1:18" ht="21" customHeight="1">
      <c r="A210" s="8" t="str">
        <f t="shared" si="2"/>
        <v>02421</v>
      </c>
      <c r="B210" s="2">
        <v>110</v>
      </c>
      <c r="C210" s="10" t="str">
        <f ca="1">VLOOKUP($B210,OFFSET([2]gachas!$A$2,0,0,COUNTA([2]gachas!$A:$A),MATCH(C$1,[2]gachas!$1:$1,0)-MATCH($B$1,[2]gachas!$1:$1,0)+1),MATCH(C$1,[2]gachas!$1:$1,0)-MATCH($B$1,[2]gachas!$1:$1,0)+1,FALSE)</f>
        <v>赤アップ0１　最終日</v>
      </c>
      <c r="D210" s="6">
        <v>0</v>
      </c>
      <c r="E210" s="19">
        <v>242</v>
      </c>
      <c r="F210" s="10" t="str">
        <f ca="1">VLOOKUP($E210,OFFSET([1]characters!$A$2,0,0,COUNTA([1]characters!$A:$A),MATCH(F$1,[1]characters!$2:$2,0)-MATCH($E$1,[1]characters!$2:$2,0)+1),MATCH(F$1,[1]characters!$2:$2,0)-MATCH($E$1,[1]characters!$2:$2,0)+1,FALSE)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210" s="10" t="str">
        <f ca="1">VLOOKUP($E210,OFFSET([1]characters!$A$2,0,0,COUNTA([1]characters!$A:$A),MATCH(G$1,[1]characters!$2:$2,0)-MATCH($E$1,[1]characters!$2:$2,0)+1),MATCH(G$1,[1]characters!$2:$2,0)-MATCH($E$1,[1]characters!$2:$2,0)+1,FALSE)</f>
        <v>PremiumS</v>
      </c>
      <c r="H210" s="10">
        <f ca="1">VLOOKUP($E210,OFFSET([1]characters!$A$2,0,0,COUNTA([1]characters!$A:$A),MATCH(H$1,[1]characters!$2:$2,0)-MATCH($E$1,[1]characters!$2:$2,0)+1),MATCH(H$1,[1]characters!$2:$2,0)-MATCH($E$1,[1]characters!$2:$2,0)+1,FALSE)</f>
        <v>4</v>
      </c>
      <c r="I210" s="10" t="str">
        <f ca="1">VLOOKUP($E210,OFFSET([1]characters!$A$2,0,0,COUNTA([1]characters!$A:$A),MATCH(I$1,[1]characters!$2:$2,0)-MATCH($E$1,[1]characters!$2:$2,0)+1),MATCH(I$1,[1]characters!$2:$2,0)-MATCH($E$1,[1]characters!$2:$2,0)+1,FALSE)</f>
        <v>green</v>
      </c>
      <c r="J210" s="10" t="str">
        <f ca="1">VLOOKUP($E210,OFFSET([1]characters!$A$2,0,0,COUNTA([1]characters!$A:$A),MATCH("タイプ",[1]characters!$1:$1,0)-MATCH($E$1,[1]characters!$2:$2,0)+2),MATCH("タイプ",[1]characters!$1:$1,0)-MATCH($E$1,[1]characters!$2:$2,0)+2,FALSE)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0" s="10" t="str">
        <f ca="1">VLOOKUP($E210,OFFSET([1]characters!$A$2,0,0,COUNTA([1]characters!$A:$A),MATCH($K$1,[1]characters!$1:$1,0)-MATCH($E$1,[1]characters!$2:$2,0)+2),MATCH($K$1,[1]characters!$1:$1,0)-MATCH($E$1,[1]characters!$2:$2,0)+2,FALSE)</f>
        <v>マシン</v>
      </c>
      <c r="L210" s="6">
        <v>1</v>
      </c>
      <c r="M210" s="6">
        <v>108</v>
      </c>
      <c r="N210" s="28">
        <v>0</v>
      </c>
      <c r="O210" s="28">
        <v>0</v>
      </c>
      <c r="P210" s="28">
        <v>0</v>
      </c>
      <c r="Q210" s="28">
        <v>0</v>
      </c>
      <c r="R210" s="28">
        <v>1</v>
      </c>
    </row>
    <row r="211" spans="1:18" ht="21" customHeight="1">
      <c r="A211" s="8" t="str">
        <f t="shared" ref="A211:A237" si="3">D211&amp;E211&amp;L211</f>
        <v>02431</v>
      </c>
      <c r="B211" s="2">
        <v>110</v>
      </c>
      <c r="C211" s="10" t="str">
        <f ca="1">VLOOKUP($B211,OFFSET([2]gachas!$A$2,0,0,COUNTA([2]gachas!$A:$A),MATCH(C$1,[2]gachas!$1:$1,0)-MATCH($B$1,[2]gachas!$1:$1,0)+1),MATCH(C$1,[2]gachas!$1:$1,0)-MATCH($B$1,[2]gachas!$1:$1,0)+1,FALSE)</f>
        <v>赤アップ0１　最終日</v>
      </c>
      <c r="D211" s="6">
        <v>0</v>
      </c>
      <c r="E211" s="19">
        <v>243</v>
      </c>
      <c r="F211" s="10" t="str">
        <f ca="1">VLOOKUP($E211,OFFSET([1]characters!$A$2,0,0,COUNTA([1]characters!$A:$A),MATCH(F$1,[1]characters!$2:$2,0)-MATCH($E$1,[1]characters!$2:$2,0)+1),MATCH(F$1,[1]characters!$2:$2,0)-MATCH($E$1,[1]characters!$2:$2,0)+1,FALSE)</f>
        <v>万花の天使 ガブリエル・ブルーム</v>
      </c>
      <c r="G211" s="10" t="str">
        <f ca="1">VLOOKUP($E211,OFFSET([1]characters!$A$2,0,0,COUNTA([1]characters!$A:$A),MATCH(G$1,[1]characters!$2:$2,0)-MATCH($E$1,[1]characters!$2:$2,0)+1),MATCH(G$1,[1]characters!$2:$2,0)-MATCH($E$1,[1]characters!$2:$2,0)+1,FALSE)</f>
        <v>PremiumS</v>
      </c>
      <c r="H211" s="10">
        <f ca="1">VLOOKUP($E211,OFFSET([1]characters!$A$2,0,0,COUNTA([1]characters!$A:$A),MATCH(H$1,[1]characters!$2:$2,0)-MATCH($E$1,[1]characters!$2:$2,0)+1),MATCH(H$1,[1]characters!$2:$2,0)-MATCH($E$1,[1]characters!$2:$2,0)+1,FALSE)</f>
        <v>5</v>
      </c>
      <c r="I211" s="10" t="str">
        <f ca="1">VLOOKUP($E211,OFFSET([1]characters!$A$2,0,0,COUNTA([1]characters!$A:$A),MATCH(I$1,[1]characters!$2:$2,0)-MATCH($E$1,[1]characters!$2:$2,0)+1),MATCH(I$1,[1]characters!$2:$2,0)-MATCH($E$1,[1]characters!$2:$2,0)+1,FALSE)</f>
        <v>green</v>
      </c>
      <c r="J211" s="10" t="str">
        <f ca="1">VLOOKUP($E211,OFFSET([1]characters!$A$2,0,0,COUNTA([1]characters!$A:$A),MATCH("タイプ",[1]characters!$1:$1,0)-MATCH($E$1,[1]characters!$2:$2,0)+2),MATCH("タイプ",[1]characters!$1:$1,0)-MATCH($E$1,[1]characters!$2:$2,0)+2,FALSE)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1" s="10" t="str">
        <f ca="1">VLOOKUP($E211,OFFSET([1]characters!$A$2,0,0,COUNTA([1]characters!$A:$A),MATCH($K$1,[1]characters!$1:$1,0)-MATCH($E$1,[1]characters!$2:$2,0)+2),MATCH($K$1,[1]characters!$1:$1,0)-MATCH($E$1,[1]characters!$2:$2,0)+2,FALSE)</f>
        <v>マシン</v>
      </c>
      <c r="L211" s="6">
        <v>1</v>
      </c>
      <c r="M211" s="6">
        <v>17</v>
      </c>
      <c r="N211" s="28">
        <v>0</v>
      </c>
      <c r="O211" s="28">
        <v>0</v>
      </c>
      <c r="P211" s="28">
        <v>0</v>
      </c>
      <c r="Q211" s="28">
        <v>0</v>
      </c>
      <c r="R211" s="28">
        <v>1</v>
      </c>
    </row>
    <row r="212" spans="1:18" ht="21" customHeight="1">
      <c r="A212" s="8" t="str">
        <f t="shared" si="3"/>
        <v>02441</v>
      </c>
      <c r="B212" s="2">
        <v>110</v>
      </c>
      <c r="C212" s="10" t="str">
        <f ca="1">VLOOKUP($B212,OFFSET([2]gachas!$A$2,0,0,COUNTA([2]gachas!$A:$A),MATCH(C$1,[2]gachas!$1:$1,0)-MATCH($B$1,[2]gachas!$1:$1,0)+1),MATCH(C$1,[2]gachas!$1:$1,0)-MATCH($B$1,[2]gachas!$1:$1,0)+1,FALSE)</f>
        <v>赤アップ0１　最終日</v>
      </c>
      <c r="D212" s="6">
        <v>0</v>
      </c>
      <c r="E212" s="19">
        <v>244</v>
      </c>
      <c r="F212" s="10" t="str">
        <f ca="1">VLOOKUP($E212,OFFSET([1]characters!$A$2,0,0,COUNTA([1]characters!$A:$A),MATCH(F$1,[1]characters!$2:$2,0)-MATCH($E$1,[1]characters!$2:$2,0)+1),MATCH(F$1,[1]characters!$2:$2,0)-MATCH($E$1,[1]characters!$2:$2,0)+1,FALSE)</f>
        <v>ラファエル</v>
      </c>
      <c r="G212" s="10" t="str">
        <f ca="1">VLOOKUP($E212,OFFSET([1]characters!$A$2,0,0,COUNTA([1]characters!$A:$A),MATCH(G$1,[1]characters!$2:$2,0)-MATCH($E$1,[1]characters!$2:$2,0)+1),MATCH(G$1,[1]characters!$2:$2,0)-MATCH($E$1,[1]characters!$2:$2,0)+1,FALSE)</f>
        <v>PremiumS</v>
      </c>
      <c r="H212" s="10">
        <f ca="1">VLOOKUP($E212,OFFSET([1]characters!$A$2,0,0,COUNTA([1]characters!$A:$A),MATCH(H$1,[1]characters!$2:$2,0)-MATCH($E$1,[1]characters!$2:$2,0)+1),MATCH(H$1,[1]characters!$2:$2,0)-MATCH($E$1,[1]characters!$2:$2,0)+1,FALSE)</f>
        <v>3</v>
      </c>
      <c r="I212" s="10" t="str">
        <f ca="1">VLOOKUP($E212,OFFSET([1]characters!$A$2,0,0,COUNTA([1]characters!$A:$A),MATCH(I$1,[1]characters!$2:$2,0)-MATCH($E$1,[1]characters!$2:$2,0)+1),MATCH(I$1,[1]characters!$2:$2,0)-MATCH($E$1,[1]characters!$2:$2,0)+1,FALSE)</f>
        <v>blue</v>
      </c>
      <c r="J212" s="10" t="str">
        <f ca="1">VLOOKUP($E212,OFFSET([1]characters!$A$2,0,0,COUNTA([1]characters!$A:$A),MATCH("タイプ",[1]characters!$1:$1,0)-MATCH($E$1,[1]characters!$2:$2,0)+2),MATCH("タイプ",[1]characters!$1:$1,0)-MATCH($E$1,[1]characters!$2:$2,0)+2,FALSE)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2" s="10" t="str">
        <f ca="1">VLOOKUP($E212,OFFSET([1]characters!$A$2,0,0,COUNTA([1]characters!$A:$A),MATCH($K$1,[1]characters!$1:$1,0)-MATCH($E$1,[1]characters!$2:$2,0)+2),MATCH($K$1,[1]characters!$1:$1,0)-MATCH($E$1,[1]characters!$2:$2,0)+2,FALSE)</f>
        <v>マシン</v>
      </c>
      <c r="L212" s="6">
        <v>1</v>
      </c>
      <c r="M212" s="6">
        <v>307</v>
      </c>
      <c r="N212" s="28">
        <v>0</v>
      </c>
      <c r="O212" s="28">
        <v>0</v>
      </c>
      <c r="P212" s="28">
        <v>0</v>
      </c>
      <c r="Q212" s="28">
        <v>0</v>
      </c>
      <c r="R212" s="28">
        <v>1</v>
      </c>
    </row>
    <row r="213" spans="1:18" ht="21" customHeight="1">
      <c r="A213" s="8" t="str">
        <f t="shared" si="3"/>
        <v>02451</v>
      </c>
      <c r="B213" s="2">
        <v>110</v>
      </c>
      <c r="C213" s="10" t="str">
        <f ca="1">VLOOKUP($B213,OFFSET([2]gachas!$A$2,0,0,COUNTA([2]gachas!$A:$A),MATCH(C$1,[2]gachas!$1:$1,0)-MATCH($B$1,[2]gachas!$1:$1,0)+1),MATCH(C$1,[2]gachas!$1:$1,0)-MATCH($B$1,[2]gachas!$1:$1,0)+1,FALSE)</f>
        <v>赤アップ0１　最終日</v>
      </c>
      <c r="D213" s="6">
        <v>0</v>
      </c>
      <c r="E213" s="19">
        <v>245</v>
      </c>
      <c r="F213" s="10" t="str">
        <f ca="1">VLOOKUP($E213,OFFSET([1]characters!$A$2,0,0,COUNTA([1]characters!$A:$A),MATCH(F$1,[1]characters!$2:$2,0)-MATCH($E$1,[1]characters!$2:$2,0)+1),MATCH(F$1,[1]characters!$2:$2,0)-MATCH($E$1,[1]characters!$2:$2,0)+1,FALSE)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213" s="10" t="str">
        <f ca="1">VLOOKUP($E213,OFFSET([1]characters!$A$2,0,0,COUNTA([1]characters!$A:$A),MATCH(G$1,[1]characters!$2:$2,0)-MATCH($E$1,[1]characters!$2:$2,0)+1),MATCH(G$1,[1]characters!$2:$2,0)-MATCH($E$1,[1]characters!$2:$2,0)+1,FALSE)</f>
        <v>PremiumS</v>
      </c>
      <c r="H213" s="10">
        <f ca="1">VLOOKUP($E213,OFFSET([1]characters!$A$2,0,0,COUNTA([1]characters!$A:$A),MATCH(H$1,[1]characters!$2:$2,0)-MATCH($E$1,[1]characters!$2:$2,0)+1),MATCH(H$1,[1]characters!$2:$2,0)-MATCH($E$1,[1]characters!$2:$2,0)+1,FALSE)</f>
        <v>4</v>
      </c>
      <c r="I213" s="10" t="str">
        <f ca="1">VLOOKUP($E213,OFFSET([1]characters!$A$2,0,0,COUNTA([1]characters!$A:$A),MATCH(I$1,[1]characters!$2:$2,0)-MATCH($E$1,[1]characters!$2:$2,0)+1),MATCH(I$1,[1]characters!$2:$2,0)-MATCH($E$1,[1]characters!$2:$2,0)+1,FALSE)</f>
        <v>blue</v>
      </c>
      <c r="J213" s="10" t="str">
        <f ca="1">VLOOKUP($E213,OFFSET([1]characters!$A$2,0,0,COUNTA([1]characters!$A:$A),MATCH("タイプ",[1]characters!$1:$1,0)-MATCH($E$1,[1]characters!$2:$2,0)+2),MATCH("タイプ",[1]characters!$1:$1,0)-MATCH($E$1,[1]characters!$2:$2,0)+2,FALSE)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3" s="10" t="str">
        <f ca="1">VLOOKUP($E213,OFFSET([1]characters!$A$2,0,0,COUNTA([1]characters!$A:$A),MATCH($K$1,[1]characters!$1:$1,0)-MATCH($E$1,[1]characters!$2:$2,0)+2),MATCH($K$1,[1]characters!$1:$1,0)-MATCH($E$1,[1]characters!$2:$2,0)+2,FALSE)</f>
        <v>マシン</v>
      </c>
      <c r="L213" s="6">
        <v>1</v>
      </c>
      <c r="M213" s="6">
        <v>108</v>
      </c>
      <c r="N213" s="28">
        <v>0</v>
      </c>
      <c r="O213" s="28">
        <v>0</v>
      </c>
      <c r="P213" s="28">
        <v>0</v>
      </c>
      <c r="Q213" s="28">
        <v>0</v>
      </c>
      <c r="R213" s="28">
        <v>1</v>
      </c>
    </row>
    <row r="214" spans="1:18" ht="21" customHeight="1">
      <c r="A214" s="8" t="str">
        <f t="shared" si="3"/>
        <v>02461</v>
      </c>
      <c r="B214" s="2">
        <v>110</v>
      </c>
      <c r="C214" s="10" t="str">
        <f ca="1">VLOOKUP($B214,OFFSET([2]gachas!$A$2,0,0,COUNTA([2]gachas!$A:$A),MATCH(C$1,[2]gachas!$1:$1,0)-MATCH($B$1,[2]gachas!$1:$1,0)+1),MATCH(C$1,[2]gachas!$1:$1,0)-MATCH($B$1,[2]gachas!$1:$1,0)+1,FALSE)</f>
        <v>赤アップ0１　最終日</v>
      </c>
      <c r="D214" s="6">
        <v>0</v>
      </c>
      <c r="E214" s="19">
        <v>246</v>
      </c>
      <c r="F214" s="10" t="str">
        <f ca="1">VLOOKUP($E214,OFFSET([1]characters!$A$2,0,0,COUNTA([1]characters!$A:$A),MATCH(F$1,[1]characters!$2:$2,0)-MATCH($E$1,[1]characters!$2:$2,0)+1),MATCH(F$1,[1]characters!$2:$2,0)-MATCH($E$1,[1]characters!$2:$2,0)+1,FALSE)</f>
        <v>真癒の天使 ラファエル・メディカ</v>
      </c>
      <c r="G214" s="10" t="str">
        <f ca="1">VLOOKUP($E214,OFFSET([1]characters!$A$2,0,0,COUNTA([1]characters!$A:$A),MATCH(G$1,[1]characters!$2:$2,0)-MATCH($E$1,[1]characters!$2:$2,0)+1),MATCH(G$1,[1]characters!$2:$2,0)-MATCH($E$1,[1]characters!$2:$2,0)+1,FALSE)</f>
        <v>PremiumS</v>
      </c>
      <c r="H214" s="10">
        <f ca="1">VLOOKUP($E214,OFFSET([1]characters!$A$2,0,0,COUNTA([1]characters!$A:$A),MATCH(H$1,[1]characters!$2:$2,0)-MATCH($E$1,[1]characters!$2:$2,0)+1),MATCH(H$1,[1]characters!$2:$2,0)-MATCH($E$1,[1]characters!$2:$2,0)+1,FALSE)</f>
        <v>5</v>
      </c>
      <c r="I214" s="10" t="str">
        <f ca="1">VLOOKUP($E214,OFFSET([1]characters!$A$2,0,0,COUNTA([1]characters!$A:$A),MATCH(I$1,[1]characters!$2:$2,0)-MATCH($E$1,[1]characters!$2:$2,0)+1),MATCH(I$1,[1]characters!$2:$2,0)-MATCH($E$1,[1]characters!$2:$2,0)+1,FALSE)</f>
        <v>blue</v>
      </c>
      <c r="J214" s="10" t="str">
        <f ca="1">VLOOKUP($E214,OFFSET([1]characters!$A$2,0,0,COUNTA([1]characters!$A:$A),MATCH("タイプ",[1]characters!$1:$1,0)-MATCH($E$1,[1]characters!$2:$2,0)+2),MATCH("タイプ",[1]characters!$1:$1,0)-MATCH($E$1,[1]characters!$2:$2,0)+2,FALSE)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4" s="10" t="str">
        <f ca="1">VLOOKUP($E214,OFFSET([1]characters!$A$2,0,0,COUNTA([1]characters!$A:$A),MATCH($K$1,[1]characters!$1:$1,0)-MATCH($E$1,[1]characters!$2:$2,0)+2),MATCH($K$1,[1]characters!$1:$1,0)-MATCH($E$1,[1]characters!$2:$2,0)+2,FALSE)</f>
        <v>マシン</v>
      </c>
      <c r="L214" s="6">
        <v>1</v>
      </c>
      <c r="M214" s="6">
        <v>17</v>
      </c>
      <c r="N214" s="28">
        <v>0</v>
      </c>
      <c r="O214" s="28">
        <v>0</v>
      </c>
      <c r="P214" s="28">
        <v>0</v>
      </c>
      <c r="Q214" s="28">
        <v>0</v>
      </c>
      <c r="R214" s="28">
        <v>1</v>
      </c>
    </row>
    <row r="215" spans="1:18" ht="21" customHeight="1">
      <c r="A215" s="8" t="str">
        <f t="shared" si="3"/>
        <v>02471</v>
      </c>
      <c r="B215" s="2">
        <v>110</v>
      </c>
      <c r="C215" s="10" t="str">
        <f ca="1">VLOOKUP($B215,OFFSET([2]gachas!$A$2,0,0,COUNTA([2]gachas!$A:$A),MATCH(C$1,[2]gachas!$1:$1,0)-MATCH($B$1,[2]gachas!$1:$1,0)+1),MATCH(C$1,[2]gachas!$1:$1,0)-MATCH($B$1,[2]gachas!$1:$1,0)+1,FALSE)</f>
        <v>赤アップ0１　最終日</v>
      </c>
      <c r="D215" s="6">
        <v>0</v>
      </c>
      <c r="E215" s="19">
        <v>247</v>
      </c>
      <c r="F215" s="10" t="str">
        <f ca="1">VLOOKUP($E215,OFFSET([1]characters!$A$2,0,0,COUNTA([1]characters!$A:$A),MATCH(F$1,[1]characters!$2:$2,0)-MATCH($E$1,[1]characters!$2:$2,0)+1),MATCH(F$1,[1]characters!$2:$2,0)-MATCH($E$1,[1]characters!$2:$2,0)+1,FALSE)</f>
        <v>ミカエル</v>
      </c>
      <c r="G215" s="10" t="str">
        <f ca="1">VLOOKUP($E215,OFFSET([1]characters!$A$2,0,0,COUNTA([1]characters!$A:$A),MATCH(G$1,[1]characters!$2:$2,0)-MATCH($E$1,[1]characters!$2:$2,0)+1),MATCH(G$1,[1]characters!$2:$2,0)-MATCH($E$1,[1]characters!$2:$2,0)+1,FALSE)</f>
        <v>PremiumS</v>
      </c>
      <c r="H215" s="10">
        <f ca="1">VLOOKUP($E215,OFFSET([1]characters!$A$2,0,0,COUNTA([1]characters!$A:$A),MATCH(H$1,[1]characters!$2:$2,0)-MATCH($E$1,[1]characters!$2:$2,0)+1),MATCH(H$1,[1]characters!$2:$2,0)-MATCH($E$1,[1]characters!$2:$2,0)+1,FALSE)</f>
        <v>3</v>
      </c>
      <c r="I215" s="10" t="str">
        <f ca="1">VLOOKUP($E215,OFFSET([1]characters!$A$2,0,0,COUNTA([1]characters!$A:$A),MATCH(I$1,[1]characters!$2:$2,0)-MATCH($E$1,[1]characters!$2:$2,0)+1),MATCH(I$1,[1]characters!$2:$2,0)-MATCH($E$1,[1]characters!$2:$2,0)+1,FALSE)</f>
        <v>yellow</v>
      </c>
      <c r="J215" s="10" t="str">
        <f ca="1">VLOOKUP($E215,OFFSET([1]characters!$A$2,0,0,COUNTA([1]characters!$A:$A),MATCH("タイプ",[1]characters!$1:$1,0)-MATCH($E$1,[1]characters!$2:$2,0)+2),MATCH("タイプ",[1]characters!$1:$1,0)-MATCH($E$1,[1]characters!$2:$2,0)+2,FALSE)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5" s="10" t="str">
        <f ca="1">VLOOKUP($E215,OFFSET([1]characters!$A$2,0,0,COUNTA([1]characters!$A:$A),MATCH($K$1,[1]characters!$1:$1,0)-MATCH($E$1,[1]characters!$2:$2,0)+2),MATCH($K$1,[1]characters!$1:$1,0)-MATCH($E$1,[1]characters!$2:$2,0)+2,FALSE)</f>
        <v>マシン</v>
      </c>
      <c r="L215" s="6">
        <v>1</v>
      </c>
      <c r="M215" s="6">
        <v>307</v>
      </c>
      <c r="N215" s="28">
        <v>0</v>
      </c>
      <c r="O215" s="28">
        <v>0</v>
      </c>
      <c r="P215" s="28">
        <v>0</v>
      </c>
      <c r="Q215" s="28">
        <v>0</v>
      </c>
      <c r="R215" s="28">
        <v>1</v>
      </c>
    </row>
    <row r="216" spans="1:18" ht="21" customHeight="1">
      <c r="A216" s="8" t="str">
        <f t="shared" si="3"/>
        <v>02481</v>
      </c>
      <c r="B216" s="2">
        <v>110</v>
      </c>
      <c r="C216" s="10" t="str">
        <f ca="1">VLOOKUP($B216,OFFSET([2]gachas!$A$2,0,0,COUNTA([2]gachas!$A:$A),MATCH(C$1,[2]gachas!$1:$1,0)-MATCH($B$1,[2]gachas!$1:$1,0)+1),MATCH(C$1,[2]gachas!$1:$1,0)-MATCH($B$1,[2]gachas!$1:$1,0)+1,FALSE)</f>
        <v>赤アップ0１　最終日</v>
      </c>
      <c r="D216" s="6">
        <v>0</v>
      </c>
      <c r="E216" s="19">
        <v>248</v>
      </c>
      <c r="F216" s="10" t="str">
        <f ca="1">VLOOKUP($E216,OFFSET([1]characters!$A$2,0,0,COUNTA([1]characters!$A:$A),MATCH(F$1,[1]characters!$2:$2,0)-MATCH($E$1,[1]characters!$2:$2,0)+1),MATCH(F$1,[1]characters!$2:$2,0)-MATCH($E$1,[1]characters!$2:$2,0)+1,FALSE)</f>
        <v>彩電の天使 ミカエル</v>
      </c>
      <c r="G216" s="10" t="str">
        <f ca="1">VLOOKUP($E216,OFFSET([1]characters!$A$2,0,0,COUNTA([1]characters!$A:$A),MATCH(G$1,[1]characters!$2:$2,0)-MATCH($E$1,[1]characters!$2:$2,0)+1),MATCH(G$1,[1]characters!$2:$2,0)-MATCH($E$1,[1]characters!$2:$2,0)+1,FALSE)</f>
        <v>PremiumS</v>
      </c>
      <c r="H216" s="10">
        <f ca="1">VLOOKUP($E216,OFFSET([1]characters!$A$2,0,0,COUNTA([1]characters!$A:$A),MATCH(H$1,[1]characters!$2:$2,0)-MATCH($E$1,[1]characters!$2:$2,0)+1),MATCH(H$1,[1]characters!$2:$2,0)-MATCH($E$1,[1]characters!$2:$2,0)+1,FALSE)</f>
        <v>4</v>
      </c>
      <c r="I216" s="10" t="str">
        <f ca="1">VLOOKUP($E216,OFFSET([1]characters!$A$2,0,0,COUNTA([1]characters!$A:$A),MATCH(I$1,[1]characters!$2:$2,0)-MATCH($E$1,[1]characters!$2:$2,0)+1),MATCH(I$1,[1]characters!$2:$2,0)-MATCH($E$1,[1]characters!$2:$2,0)+1,FALSE)</f>
        <v>yellow</v>
      </c>
      <c r="J216" s="10" t="str">
        <f ca="1">VLOOKUP($E216,OFFSET([1]characters!$A$2,0,0,COUNTA([1]characters!$A:$A),MATCH("タイプ",[1]characters!$1:$1,0)-MATCH($E$1,[1]characters!$2:$2,0)+2),MATCH("タイプ",[1]characters!$1:$1,0)-MATCH($E$1,[1]characters!$2:$2,0)+2,FALSE)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6" s="10" t="str">
        <f ca="1">VLOOKUP($E216,OFFSET([1]characters!$A$2,0,0,COUNTA([1]characters!$A:$A),MATCH($K$1,[1]characters!$1:$1,0)-MATCH($E$1,[1]characters!$2:$2,0)+2),MATCH($K$1,[1]characters!$1:$1,0)-MATCH($E$1,[1]characters!$2:$2,0)+2,FALSE)</f>
        <v>マシン</v>
      </c>
      <c r="L216" s="6">
        <v>1</v>
      </c>
      <c r="M216" s="6">
        <v>108</v>
      </c>
      <c r="N216" s="28">
        <v>0</v>
      </c>
      <c r="O216" s="28">
        <v>0</v>
      </c>
      <c r="P216" s="28">
        <v>0</v>
      </c>
      <c r="Q216" s="28">
        <v>0</v>
      </c>
      <c r="R216" s="28">
        <v>1</v>
      </c>
    </row>
    <row r="217" spans="1:18" s="26" customFormat="1" ht="21" customHeight="1" thickBot="1">
      <c r="A217" s="22" t="str">
        <f t="shared" si="3"/>
        <v>02491</v>
      </c>
      <c r="B217" s="2">
        <v>110</v>
      </c>
      <c r="C217" s="10" t="str">
        <f ca="1">VLOOKUP($B217,OFFSET([2]gachas!$A$2,0,0,COUNTA([2]gachas!$A:$A),MATCH(C$1,[2]gachas!$1:$1,0)-MATCH($B$1,[2]gachas!$1:$1,0)+1),MATCH(C$1,[2]gachas!$1:$1,0)-MATCH($B$1,[2]gachas!$1:$1,0)+1,FALSE)</f>
        <v>赤アップ0１　最終日</v>
      </c>
      <c r="D217" s="6">
        <v>0</v>
      </c>
      <c r="E217" s="19">
        <v>249</v>
      </c>
      <c r="F217" s="10" t="str">
        <f ca="1">VLOOKUP($E217,OFFSET([1]characters!$A$2,0,0,COUNTA([1]characters!$A:$A),MATCH(F$1,[1]characters!$2:$2,0)-MATCH($E$1,[1]characters!$2:$2,0)+1),MATCH(F$1,[1]characters!$2:$2,0)-MATCH($E$1,[1]characters!$2:$2,0)+1,FALSE)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217" s="10" t="str">
        <f ca="1">VLOOKUP($E217,OFFSET([1]characters!$A$2,0,0,COUNTA([1]characters!$A:$A),MATCH(G$1,[1]characters!$2:$2,0)-MATCH($E$1,[1]characters!$2:$2,0)+1),MATCH(G$1,[1]characters!$2:$2,0)-MATCH($E$1,[1]characters!$2:$2,0)+1,FALSE)</f>
        <v>PremiumS</v>
      </c>
      <c r="H217" s="10">
        <f ca="1">VLOOKUP($E217,OFFSET([1]characters!$A$2,0,0,COUNTA([1]characters!$A:$A),MATCH(H$1,[1]characters!$2:$2,0)-MATCH($E$1,[1]characters!$2:$2,0)+1),MATCH(H$1,[1]characters!$2:$2,0)-MATCH($E$1,[1]characters!$2:$2,0)+1,FALSE)</f>
        <v>5</v>
      </c>
      <c r="I217" s="10" t="str">
        <f ca="1">VLOOKUP($E217,OFFSET([1]characters!$A$2,0,0,COUNTA([1]characters!$A:$A),MATCH(I$1,[1]characters!$2:$2,0)-MATCH($E$1,[1]characters!$2:$2,0)+1),MATCH(I$1,[1]characters!$2:$2,0)-MATCH($E$1,[1]characters!$2:$2,0)+1,FALSE)</f>
        <v>yellow</v>
      </c>
      <c r="J217" s="10" t="str">
        <f ca="1">VLOOKUP($E217,OFFSET([1]characters!$A$2,0,0,COUNTA([1]characters!$A:$A),MATCH("タイプ",[1]characters!$1:$1,0)-MATCH($E$1,[1]characters!$2:$2,0)+2),MATCH("タイプ",[1]characters!$1:$1,0)-MATCH($E$1,[1]characters!$2:$2,0)+2,FALSE)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17" s="10" t="str">
        <f ca="1">VLOOKUP($E217,OFFSET([1]characters!$A$2,0,0,COUNTA([1]characters!$A:$A),MATCH($K$1,[1]characters!$1:$1,0)-MATCH($E$1,[1]characters!$2:$2,0)+2),MATCH($K$1,[1]characters!$1:$1,0)-MATCH($E$1,[1]characters!$2:$2,0)+2,FALSE)</f>
        <v>マシン</v>
      </c>
      <c r="L217" s="6">
        <v>1</v>
      </c>
      <c r="M217" s="6">
        <v>17</v>
      </c>
      <c r="N217" s="28">
        <v>0</v>
      </c>
      <c r="O217" s="28">
        <v>0</v>
      </c>
      <c r="P217" s="28">
        <v>0</v>
      </c>
      <c r="Q217" s="28">
        <v>0</v>
      </c>
      <c r="R217" s="28">
        <v>1</v>
      </c>
    </row>
    <row r="218" spans="1:18" s="26" customFormat="1" ht="21" customHeight="1" thickBot="1">
      <c r="A218" s="22" t="str">
        <f t="shared" si="3"/>
        <v>02501</v>
      </c>
      <c r="B218" s="2">
        <v>110</v>
      </c>
      <c r="C218" s="10" t="str">
        <f ca="1">VLOOKUP($B218,OFFSET([2]gachas!$A$2,0,0,COUNTA([2]gachas!$A:$A),MATCH(C$1,[2]gachas!$1:$1,0)-MATCH($B$1,[2]gachas!$1:$1,0)+1),MATCH(C$1,[2]gachas!$1:$1,0)-MATCH($B$1,[2]gachas!$1:$1,0)+1,FALSE)</f>
        <v>赤アップ0１　最終日</v>
      </c>
      <c r="D218" s="29">
        <v>0</v>
      </c>
      <c r="E218" s="30">
        <v>250</v>
      </c>
      <c r="F218" s="10" t="str">
        <f ca="1">VLOOKUP($E218,OFFSET([1]characters!$A$2,0,0,COUNTA([1]characters!$A:$A),MATCH(F$1,[1]characters!$2:$2,0)-MATCH($E$1,[1]characters!$2:$2,0)+1),MATCH(F$1,[1]characters!$2:$2,0)-MATCH($E$1,[1]characters!$2:$2,0)+1,FALSE)</f>
        <v>マンモン</v>
      </c>
      <c r="G218" s="10" t="str">
        <f ca="1">VLOOKUP($E218,OFFSET([1]characters!$A$2,0,0,COUNTA([1]characters!$A:$A),MATCH(G$1,[1]characters!$2:$2,0)-MATCH($E$1,[1]characters!$2:$2,0)+1),MATCH(G$1,[1]characters!$2:$2,0)-MATCH($E$1,[1]characters!$2:$2,0)+1,FALSE)</f>
        <v>PremiumS</v>
      </c>
      <c r="H218" s="10">
        <f ca="1">VLOOKUP($E218,OFFSET([1]characters!$A$2,0,0,COUNTA([1]characters!$A:$A),MATCH(H$1,[1]characters!$2:$2,0)-MATCH($E$1,[1]characters!$2:$2,0)+1),MATCH(H$1,[1]characters!$2:$2,0)-MATCH($E$1,[1]characters!$2:$2,0)+1,FALSE)</f>
        <v>3</v>
      </c>
      <c r="I218" s="10" t="str">
        <f ca="1">VLOOKUP($E218,OFFSET([1]characters!$A$2,0,0,COUNTA([1]characters!$A:$A),MATCH(I$1,[1]characters!$2:$2,0)-MATCH($E$1,[1]characters!$2:$2,0)+1),MATCH(I$1,[1]characters!$2:$2,0)-MATCH($E$1,[1]characters!$2:$2,0)+1,FALSE)</f>
        <v>red</v>
      </c>
      <c r="J218" s="10" t="str">
        <f ca="1">VLOOKUP($E218,OFFSET([1]characters!$A$2,0,0,COUNTA([1]characters!$A:$A),MATCH("タイプ",[1]characters!$1:$1,0)-MATCH($E$1,[1]characters!$2:$2,0)+2),MATCH("タイプ",[1]characters!$1:$1,0)-MATCH($E$1,[1]characters!$2:$2,0)+2,FALSE)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8" s="10" t="str">
        <f ca="1">VLOOKUP($E218,OFFSET([1]characters!$A$2,0,0,COUNTA([1]characters!$A:$A),MATCH($K$1,[1]characters!$1:$1,0)-MATCH($E$1,[1]characters!$2:$2,0)+2),MATCH($K$1,[1]characters!$1:$1,0)-MATCH($E$1,[1]characters!$2:$2,0)+2,FALSE)</f>
        <v>ゴッド</v>
      </c>
      <c r="L218" s="29">
        <v>1</v>
      </c>
      <c r="M218" s="29">
        <v>1125</v>
      </c>
      <c r="N218" s="28">
        <v>0</v>
      </c>
      <c r="O218" s="28">
        <v>0</v>
      </c>
      <c r="P218" s="28">
        <v>0</v>
      </c>
      <c r="Q218" s="28">
        <v>0</v>
      </c>
      <c r="R218" s="28">
        <v>1</v>
      </c>
    </row>
    <row r="219" spans="1:18" ht="21" customHeight="1" thickBot="1">
      <c r="A219" s="22" t="str">
        <f t="shared" si="3"/>
        <v>02511</v>
      </c>
      <c r="B219" s="2">
        <v>110</v>
      </c>
      <c r="C219" s="10" t="str">
        <f ca="1">VLOOKUP($B219,OFFSET([2]gachas!$A$2,0,0,COUNTA([2]gachas!$A:$A),MATCH(C$1,[2]gachas!$1:$1,0)-MATCH($B$1,[2]gachas!$1:$1,0)+1),MATCH(C$1,[2]gachas!$1:$1,0)-MATCH($B$1,[2]gachas!$1:$1,0)+1,FALSE)</f>
        <v>赤アップ0１　最終日</v>
      </c>
      <c r="D219" s="29">
        <v>0</v>
      </c>
      <c r="E219" s="30">
        <v>251</v>
      </c>
      <c r="F219" s="10" t="str">
        <f ca="1">VLOOKUP($E219,OFFSET([1]characters!$A$2,0,0,COUNTA([1]characters!$A:$A),MATCH(F$1,[1]characters!$2:$2,0)-MATCH($E$1,[1]characters!$2:$2,0)+1),MATCH(F$1,[1]characters!$2:$2,0)-MATCH($E$1,[1]characters!$2:$2,0)+1,FALSE)</f>
        <v>強欲 マンモン</v>
      </c>
      <c r="G219" s="10" t="str">
        <f ca="1">VLOOKUP($E219,OFFSET([1]characters!$A$2,0,0,COUNTA([1]characters!$A:$A),MATCH(G$1,[1]characters!$2:$2,0)-MATCH($E$1,[1]characters!$2:$2,0)+1),MATCH(G$1,[1]characters!$2:$2,0)-MATCH($E$1,[1]characters!$2:$2,0)+1,FALSE)</f>
        <v>PremiumS</v>
      </c>
      <c r="H219" s="10">
        <f ca="1">VLOOKUP($E219,OFFSET([1]characters!$A$2,0,0,COUNTA([1]characters!$A:$A),MATCH(H$1,[1]characters!$2:$2,0)-MATCH($E$1,[1]characters!$2:$2,0)+1),MATCH(H$1,[1]characters!$2:$2,0)-MATCH($E$1,[1]characters!$2:$2,0)+1,FALSE)</f>
        <v>4</v>
      </c>
      <c r="I219" s="10" t="str">
        <f ca="1">VLOOKUP($E219,OFFSET([1]characters!$A$2,0,0,COUNTA([1]characters!$A:$A),MATCH(I$1,[1]characters!$2:$2,0)-MATCH($E$1,[1]characters!$2:$2,0)+1),MATCH(I$1,[1]characters!$2:$2,0)-MATCH($E$1,[1]characters!$2:$2,0)+1,FALSE)</f>
        <v>red</v>
      </c>
      <c r="J219" s="10" t="str">
        <f ca="1">VLOOKUP($E219,OFFSET([1]characters!$A$2,0,0,COUNTA([1]characters!$A:$A),MATCH("タイプ",[1]characters!$1:$1,0)-MATCH($E$1,[1]characters!$2:$2,0)+2),MATCH("タイプ",[1]characters!$1:$1,0)-MATCH($E$1,[1]characters!$2:$2,0)+2,FALSE)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19" s="10" t="str">
        <f ca="1">VLOOKUP($E219,OFFSET([1]characters!$A$2,0,0,COUNTA([1]characters!$A:$A),MATCH($K$1,[1]characters!$1:$1,0)-MATCH($E$1,[1]characters!$2:$2,0)+2),MATCH($K$1,[1]characters!$1:$1,0)-MATCH($E$1,[1]characters!$2:$2,0)+2,FALSE)</f>
        <v>ゴッド</v>
      </c>
      <c r="L219" s="29">
        <v>1</v>
      </c>
      <c r="M219" s="29">
        <v>396</v>
      </c>
      <c r="N219" s="28">
        <v>0</v>
      </c>
      <c r="O219" s="28">
        <v>0</v>
      </c>
      <c r="P219" s="28">
        <v>0</v>
      </c>
      <c r="Q219" s="28">
        <v>0</v>
      </c>
      <c r="R219" s="28">
        <v>1</v>
      </c>
    </row>
    <row r="220" spans="1:18" ht="21" customHeight="1" thickBot="1">
      <c r="A220" s="22" t="str">
        <f t="shared" si="3"/>
        <v>02521</v>
      </c>
      <c r="B220" s="2">
        <v>110</v>
      </c>
      <c r="C220" s="10" t="str">
        <f ca="1">VLOOKUP($B220,OFFSET([2]gachas!$A$2,0,0,COUNTA([2]gachas!$A:$A),MATCH(C$1,[2]gachas!$1:$1,0)-MATCH($B$1,[2]gachas!$1:$1,0)+1),MATCH(C$1,[2]gachas!$1:$1,0)-MATCH($B$1,[2]gachas!$1:$1,0)+1,FALSE)</f>
        <v>赤アップ0１　最終日</v>
      </c>
      <c r="D220" s="29">
        <v>0</v>
      </c>
      <c r="E220" s="30">
        <v>252</v>
      </c>
      <c r="F220" s="10" t="str">
        <f ca="1">VLOOKUP($E220,OFFSET([1]characters!$A$2,0,0,COUNTA([1]characters!$A:$A),MATCH(F$1,[1]characters!$2:$2,0)-MATCH($E$1,[1]characters!$2:$2,0)+1),MATCH(F$1,[1]characters!$2:$2,0)-MATCH($E$1,[1]characters!$2:$2,0)+1,FALSE)</f>
        <v>強欲の沸騰 マンモン</v>
      </c>
      <c r="G220" s="10" t="str">
        <f ca="1">VLOOKUP($E220,OFFSET([1]characters!$A$2,0,0,COUNTA([1]characters!$A:$A),MATCH(G$1,[1]characters!$2:$2,0)-MATCH($E$1,[1]characters!$2:$2,0)+1),MATCH(G$1,[1]characters!$2:$2,0)-MATCH($E$1,[1]characters!$2:$2,0)+1,FALSE)</f>
        <v>PremiumS</v>
      </c>
      <c r="H220" s="10">
        <f ca="1">VLOOKUP($E220,OFFSET([1]characters!$A$2,0,0,COUNTA([1]characters!$A:$A),MATCH(H$1,[1]characters!$2:$2,0)-MATCH($E$1,[1]characters!$2:$2,0)+1),MATCH(H$1,[1]characters!$2:$2,0)-MATCH($E$1,[1]characters!$2:$2,0)+1,FALSE)</f>
        <v>5</v>
      </c>
      <c r="I220" s="10" t="str">
        <f ca="1">VLOOKUP($E220,OFFSET([1]characters!$A$2,0,0,COUNTA([1]characters!$A:$A),MATCH(I$1,[1]characters!$2:$2,0)-MATCH($E$1,[1]characters!$2:$2,0)+1),MATCH(I$1,[1]characters!$2:$2,0)-MATCH($E$1,[1]characters!$2:$2,0)+1,FALSE)</f>
        <v>red</v>
      </c>
      <c r="J220" s="10" t="str">
        <f ca="1">VLOOKUP($E220,OFFSET([1]characters!$A$2,0,0,COUNTA([1]characters!$A:$A),MATCH("タイプ",[1]characters!$1:$1,0)-MATCH($E$1,[1]characters!$2:$2,0)+2),MATCH("タイプ",[1]characters!$1:$1,0)-MATCH($E$1,[1]characters!$2:$2,0)+2,FALSE)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0" s="10" t="str">
        <f ca="1">VLOOKUP($E220,OFFSET([1]characters!$A$2,0,0,COUNTA([1]characters!$A:$A),MATCH($K$1,[1]characters!$1:$1,0)-MATCH($E$1,[1]characters!$2:$2,0)+2),MATCH($K$1,[1]characters!$1:$1,0)-MATCH($E$1,[1]characters!$2:$2,0)+2,FALSE)</f>
        <v>ゴッド</v>
      </c>
      <c r="L220" s="29">
        <v>1</v>
      </c>
      <c r="M220" s="29">
        <v>63</v>
      </c>
      <c r="N220" s="28">
        <v>0</v>
      </c>
      <c r="O220" s="28">
        <v>0</v>
      </c>
      <c r="P220" s="28">
        <v>0</v>
      </c>
      <c r="Q220" s="28">
        <v>0</v>
      </c>
      <c r="R220" s="28">
        <v>1</v>
      </c>
    </row>
    <row r="221" spans="1:18" ht="21" customHeight="1" thickBot="1">
      <c r="A221" s="22" t="str">
        <f t="shared" si="3"/>
        <v>02531</v>
      </c>
      <c r="B221" s="2">
        <v>110</v>
      </c>
      <c r="C221" s="10" t="str">
        <f ca="1">VLOOKUP($B221,OFFSET([2]gachas!$A$2,0,0,COUNTA([2]gachas!$A:$A),MATCH(C$1,[2]gachas!$1:$1,0)-MATCH($B$1,[2]gachas!$1:$1,0)+1),MATCH(C$1,[2]gachas!$1:$1,0)-MATCH($B$1,[2]gachas!$1:$1,0)+1,FALSE)</f>
        <v>赤アップ0１　最終日</v>
      </c>
      <c r="D221" s="6">
        <v>0</v>
      </c>
      <c r="E221" s="7">
        <v>253</v>
      </c>
      <c r="F221" s="10" t="str">
        <f ca="1">VLOOKUP($E221,OFFSET([1]characters!$A$2,0,0,COUNTA([1]characters!$A:$A),MATCH(F$1,[1]characters!$2:$2,0)-MATCH($E$1,[1]characters!$2:$2,0)+1),MATCH(F$1,[1]characters!$2:$2,0)-MATCH($E$1,[1]characters!$2:$2,0)+1,FALSE)</f>
        <v>ベルフェゴール</v>
      </c>
      <c r="G221" s="10" t="str">
        <f ca="1">VLOOKUP($E221,OFFSET([1]characters!$A$2,0,0,COUNTA([1]characters!$A:$A),MATCH(G$1,[1]characters!$2:$2,0)-MATCH($E$1,[1]characters!$2:$2,0)+1),MATCH(G$1,[1]characters!$2:$2,0)-MATCH($E$1,[1]characters!$2:$2,0)+1,FALSE)</f>
        <v>PremiumS</v>
      </c>
      <c r="H221" s="10">
        <f ca="1">VLOOKUP($E221,OFFSET([1]characters!$A$2,0,0,COUNTA([1]characters!$A:$A),MATCH(H$1,[1]characters!$2:$2,0)-MATCH($E$1,[1]characters!$2:$2,0)+1),MATCH(H$1,[1]characters!$2:$2,0)-MATCH($E$1,[1]characters!$2:$2,0)+1,FALSE)</f>
        <v>3</v>
      </c>
      <c r="I221" s="10" t="str">
        <f ca="1">VLOOKUP($E221,OFFSET([1]characters!$A$2,0,0,COUNTA([1]characters!$A:$A),MATCH(I$1,[1]characters!$2:$2,0)-MATCH($E$1,[1]characters!$2:$2,0)+1),MATCH(I$1,[1]characters!$2:$2,0)-MATCH($E$1,[1]characters!$2:$2,0)+1,FALSE)</f>
        <v>green</v>
      </c>
      <c r="J221" s="10" t="str">
        <f ca="1">VLOOKUP($E221,OFFSET([1]characters!$A$2,0,0,COUNTA([1]characters!$A:$A),MATCH("タイプ",[1]characters!$1:$1,0)-MATCH($E$1,[1]characters!$2:$2,0)+2),MATCH("タイプ",[1]characters!$1:$1,0)-MATCH($E$1,[1]characters!$2:$2,0)+2,FALSE)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1" s="10" t="str">
        <f ca="1">VLOOKUP($E221,OFFSET([1]characters!$A$2,0,0,COUNTA([1]characters!$A:$A),MATCH($K$1,[1]characters!$1:$1,0)-MATCH($E$1,[1]characters!$2:$2,0)+2),MATCH($K$1,[1]characters!$1:$1,0)-MATCH($E$1,[1]characters!$2:$2,0)+2,FALSE)</f>
        <v>ゴッド</v>
      </c>
      <c r="L221" s="6">
        <v>1</v>
      </c>
      <c r="M221" s="45">
        <v>307</v>
      </c>
      <c r="N221" s="28">
        <v>0</v>
      </c>
      <c r="O221" s="28">
        <v>0</v>
      </c>
      <c r="P221" s="28">
        <v>0</v>
      </c>
      <c r="Q221" s="28">
        <v>0</v>
      </c>
      <c r="R221" s="28">
        <v>1</v>
      </c>
    </row>
    <row r="222" spans="1:18" ht="21" customHeight="1" thickBot="1">
      <c r="A222" s="22" t="str">
        <f t="shared" si="3"/>
        <v>02541</v>
      </c>
      <c r="B222" s="2">
        <v>110</v>
      </c>
      <c r="C222" s="10" t="str">
        <f ca="1">VLOOKUP($B222,OFFSET([2]gachas!$A$2,0,0,COUNTA([2]gachas!$A:$A),MATCH(C$1,[2]gachas!$1:$1,0)-MATCH($B$1,[2]gachas!$1:$1,0)+1),MATCH(C$1,[2]gachas!$1:$1,0)-MATCH($B$1,[2]gachas!$1:$1,0)+1,FALSE)</f>
        <v>赤アップ0１　最終日</v>
      </c>
      <c r="D222" s="6">
        <v>0</v>
      </c>
      <c r="E222" s="7">
        <v>254</v>
      </c>
      <c r="F222" s="10" t="str">
        <f ca="1">VLOOKUP($E222,OFFSET([1]characters!$A$2,0,0,COUNTA([1]characters!$A:$A),MATCH(F$1,[1]characters!$2:$2,0)-MATCH($E$1,[1]characters!$2:$2,0)+1),MATCH(F$1,[1]characters!$2:$2,0)-MATCH($E$1,[1]characters!$2:$2,0)+1,FALSE)</f>
        <v>怠惰 ベルフェゴール</v>
      </c>
      <c r="G222" s="10" t="str">
        <f ca="1">VLOOKUP($E222,OFFSET([1]characters!$A$2,0,0,COUNTA([1]characters!$A:$A),MATCH(G$1,[1]characters!$2:$2,0)-MATCH($E$1,[1]characters!$2:$2,0)+1),MATCH(G$1,[1]characters!$2:$2,0)-MATCH($E$1,[1]characters!$2:$2,0)+1,FALSE)</f>
        <v>PremiumS</v>
      </c>
      <c r="H222" s="10">
        <f ca="1">VLOOKUP($E222,OFFSET([1]characters!$A$2,0,0,COUNTA([1]characters!$A:$A),MATCH(H$1,[1]characters!$2:$2,0)-MATCH($E$1,[1]characters!$2:$2,0)+1),MATCH(H$1,[1]characters!$2:$2,0)-MATCH($E$1,[1]characters!$2:$2,0)+1,FALSE)</f>
        <v>4</v>
      </c>
      <c r="I222" s="10" t="str">
        <f ca="1">VLOOKUP($E222,OFFSET([1]characters!$A$2,0,0,COUNTA([1]characters!$A:$A),MATCH(I$1,[1]characters!$2:$2,0)-MATCH($E$1,[1]characters!$2:$2,0)+1),MATCH(I$1,[1]characters!$2:$2,0)-MATCH($E$1,[1]characters!$2:$2,0)+1,FALSE)</f>
        <v>green</v>
      </c>
      <c r="J222" s="10" t="str">
        <f ca="1">VLOOKUP($E222,OFFSET([1]characters!$A$2,0,0,COUNTA([1]characters!$A:$A),MATCH("タイプ",[1]characters!$1:$1,0)-MATCH($E$1,[1]characters!$2:$2,0)+2),MATCH("タイプ",[1]characters!$1:$1,0)-MATCH($E$1,[1]characters!$2:$2,0)+2,FALSE)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2" s="10" t="str">
        <f ca="1">VLOOKUP($E222,OFFSET([1]characters!$A$2,0,0,COUNTA([1]characters!$A:$A),MATCH($K$1,[1]characters!$1:$1,0)-MATCH($E$1,[1]characters!$2:$2,0)+2),MATCH($K$1,[1]characters!$1:$1,0)-MATCH($E$1,[1]characters!$2:$2,0)+2,FALSE)</f>
        <v>ゴッド</v>
      </c>
      <c r="L222" s="6">
        <v>1</v>
      </c>
      <c r="M222" s="6">
        <v>108</v>
      </c>
      <c r="N222" s="28">
        <v>0</v>
      </c>
      <c r="O222" s="28">
        <v>0</v>
      </c>
      <c r="P222" s="28">
        <v>0</v>
      </c>
      <c r="Q222" s="28">
        <v>0</v>
      </c>
      <c r="R222" s="28">
        <v>1</v>
      </c>
    </row>
    <row r="223" spans="1:18" ht="21" customHeight="1" thickBot="1">
      <c r="A223" s="22" t="str">
        <f t="shared" si="3"/>
        <v>02551</v>
      </c>
      <c r="B223" s="2">
        <v>110</v>
      </c>
      <c r="C223" s="10" t="str">
        <f ca="1">VLOOKUP($B223,OFFSET([2]gachas!$A$2,0,0,COUNTA([2]gachas!$A:$A),MATCH(C$1,[2]gachas!$1:$1,0)-MATCH($B$1,[2]gachas!$1:$1,0)+1),MATCH(C$1,[2]gachas!$1:$1,0)-MATCH($B$1,[2]gachas!$1:$1,0)+1,FALSE)</f>
        <v>赤アップ0１　最終日</v>
      </c>
      <c r="D223" s="6">
        <v>0</v>
      </c>
      <c r="E223" s="7">
        <v>255</v>
      </c>
      <c r="F223" s="10" t="str">
        <f ca="1">VLOOKUP($E223,OFFSET([1]characters!$A$2,0,0,COUNTA([1]characters!$A:$A),MATCH(F$1,[1]characters!$2:$2,0)-MATCH($E$1,[1]characters!$2:$2,0)+1),MATCH(F$1,[1]characters!$2:$2,0)-MATCH($E$1,[1]characters!$2:$2,0)+1,FALSE)</f>
        <v>怠惰の頂点 ベルフェゴール</v>
      </c>
      <c r="G223" s="10" t="str">
        <f ca="1">VLOOKUP($E223,OFFSET([1]characters!$A$2,0,0,COUNTA([1]characters!$A:$A),MATCH(G$1,[1]characters!$2:$2,0)-MATCH($E$1,[1]characters!$2:$2,0)+1),MATCH(G$1,[1]characters!$2:$2,0)-MATCH($E$1,[1]characters!$2:$2,0)+1,FALSE)</f>
        <v>PremiumS</v>
      </c>
      <c r="H223" s="10">
        <f ca="1">VLOOKUP($E223,OFFSET([1]characters!$A$2,0,0,COUNTA([1]characters!$A:$A),MATCH(H$1,[1]characters!$2:$2,0)-MATCH($E$1,[1]characters!$2:$2,0)+1),MATCH(H$1,[1]characters!$2:$2,0)-MATCH($E$1,[1]characters!$2:$2,0)+1,FALSE)</f>
        <v>5</v>
      </c>
      <c r="I223" s="10" t="str">
        <f ca="1">VLOOKUP($E223,OFFSET([1]characters!$A$2,0,0,COUNTA([1]characters!$A:$A),MATCH(I$1,[1]characters!$2:$2,0)-MATCH($E$1,[1]characters!$2:$2,0)+1),MATCH(I$1,[1]characters!$2:$2,0)-MATCH($E$1,[1]characters!$2:$2,0)+1,FALSE)</f>
        <v>green</v>
      </c>
      <c r="J223" s="10" t="str">
        <f ca="1">VLOOKUP($E223,OFFSET([1]characters!$A$2,0,0,COUNTA([1]characters!$A:$A),MATCH("タイプ",[1]characters!$1:$1,0)-MATCH($E$1,[1]characters!$2:$2,0)+2),MATCH("タイプ",[1]characters!$1:$1,0)-MATCH($E$1,[1]characters!$2:$2,0)+2,FALSE)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23" s="10" t="str">
        <f ca="1">VLOOKUP($E223,OFFSET([1]characters!$A$2,0,0,COUNTA([1]characters!$A:$A),MATCH($K$1,[1]characters!$1:$1,0)-MATCH($E$1,[1]characters!$2:$2,0)+2),MATCH($K$1,[1]characters!$1:$1,0)-MATCH($E$1,[1]characters!$2:$2,0)+2,FALSE)</f>
        <v>ゴッド</v>
      </c>
      <c r="L223" s="6">
        <v>1</v>
      </c>
      <c r="M223" s="6">
        <v>17</v>
      </c>
      <c r="N223" s="28">
        <v>0</v>
      </c>
      <c r="O223" s="28">
        <v>0</v>
      </c>
      <c r="P223" s="28">
        <v>0</v>
      </c>
      <c r="Q223" s="28">
        <v>0</v>
      </c>
      <c r="R223" s="28">
        <v>1</v>
      </c>
    </row>
    <row r="224" spans="1:18" ht="21" customHeight="1" thickBot="1">
      <c r="A224" s="22" t="str">
        <f t="shared" si="3"/>
        <v>02561</v>
      </c>
      <c r="B224" s="2">
        <v>110</v>
      </c>
      <c r="C224" s="10" t="str">
        <f ca="1">VLOOKUP($B224,OFFSET([2]gachas!$A$2,0,0,COUNTA([2]gachas!$A:$A),MATCH(C$1,[2]gachas!$1:$1,0)-MATCH($B$1,[2]gachas!$1:$1,0)+1),MATCH(C$1,[2]gachas!$1:$1,0)-MATCH($B$1,[2]gachas!$1:$1,0)+1,FALSE)</f>
        <v>赤アップ0１　最終日</v>
      </c>
      <c r="D224" s="6">
        <v>0</v>
      </c>
      <c r="E224" s="7">
        <v>256</v>
      </c>
      <c r="F224" s="10" t="str">
        <f ca="1">VLOOKUP($E224,OFFSET([1]characters!$A$2,0,0,COUNTA([1]characters!$A:$A),MATCH(F$1,[1]characters!$2:$2,0)-MATCH($E$1,[1]characters!$2:$2,0)+1),MATCH(F$1,[1]characters!$2:$2,0)-MATCH($E$1,[1]characters!$2:$2,0)+1,FALSE)</f>
        <v>アスモデウス</v>
      </c>
      <c r="G224" s="10" t="str">
        <f ca="1">VLOOKUP($E224,OFFSET([1]characters!$A$2,0,0,COUNTA([1]characters!$A:$A),MATCH(G$1,[1]characters!$2:$2,0)-MATCH($E$1,[1]characters!$2:$2,0)+1),MATCH(G$1,[1]characters!$2:$2,0)-MATCH($E$1,[1]characters!$2:$2,0)+1,FALSE)</f>
        <v>PremiumS</v>
      </c>
      <c r="H224" s="10">
        <f ca="1">VLOOKUP($E224,OFFSET([1]characters!$A$2,0,0,COUNTA([1]characters!$A:$A),MATCH(H$1,[1]characters!$2:$2,0)-MATCH($E$1,[1]characters!$2:$2,0)+1),MATCH(H$1,[1]characters!$2:$2,0)-MATCH($E$1,[1]characters!$2:$2,0)+1,FALSE)</f>
        <v>3</v>
      </c>
      <c r="I224" s="10" t="str">
        <f ca="1">VLOOKUP($E224,OFFSET([1]characters!$A$2,0,0,COUNTA([1]characters!$A:$A),MATCH(I$1,[1]characters!$2:$2,0)-MATCH($E$1,[1]characters!$2:$2,0)+1),MATCH(I$1,[1]characters!$2:$2,0)-MATCH($E$1,[1]characters!$2:$2,0)+1,FALSE)</f>
        <v>blue</v>
      </c>
      <c r="J224" s="10" t="str">
        <f ca="1">VLOOKUP($E224,OFFSET([1]characters!$A$2,0,0,COUNTA([1]characters!$A:$A),MATCH("タイプ",[1]characters!$1:$1,0)-MATCH($E$1,[1]characters!$2:$2,0)+2),MATCH("タイプ",[1]characters!$1:$1,0)-MATCH($E$1,[1]characters!$2:$2,0)+2,FALSE)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4" s="10" t="str">
        <f ca="1">VLOOKUP($E224,OFFSET([1]characters!$A$2,0,0,COUNTA([1]characters!$A:$A),MATCH($K$1,[1]characters!$1:$1,0)-MATCH($E$1,[1]characters!$2:$2,0)+2),MATCH($K$1,[1]characters!$1:$1,0)-MATCH($E$1,[1]characters!$2:$2,0)+2,FALSE)</f>
        <v>ゴッド</v>
      </c>
      <c r="L224" s="6">
        <v>1</v>
      </c>
      <c r="M224" s="45">
        <v>307</v>
      </c>
      <c r="N224" s="28">
        <v>0</v>
      </c>
      <c r="O224" s="28">
        <v>0</v>
      </c>
      <c r="P224" s="28">
        <v>0</v>
      </c>
      <c r="Q224" s="28">
        <v>0</v>
      </c>
      <c r="R224" s="28">
        <v>1</v>
      </c>
    </row>
    <row r="225" spans="1:18" ht="21" customHeight="1" thickBot="1">
      <c r="A225" s="22" t="str">
        <f t="shared" si="3"/>
        <v>02571</v>
      </c>
      <c r="B225" s="2">
        <v>110</v>
      </c>
      <c r="C225" s="10" t="str">
        <f ca="1">VLOOKUP($B225,OFFSET([2]gachas!$A$2,0,0,COUNTA([2]gachas!$A:$A),MATCH(C$1,[2]gachas!$1:$1,0)-MATCH($B$1,[2]gachas!$1:$1,0)+1),MATCH(C$1,[2]gachas!$1:$1,0)-MATCH($B$1,[2]gachas!$1:$1,0)+1,FALSE)</f>
        <v>赤アップ0１　最終日</v>
      </c>
      <c r="D225" s="6">
        <v>0</v>
      </c>
      <c r="E225" s="7">
        <v>257</v>
      </c>
      <c r="F225" s="10" t="str">
        <f ca="1">VLOOKUP($E225,OFFSET([1]characters!$A$2,0,0,COUNTA([1]characters!$A:$A),MATCH(F$1,[1]characters!$2:$2,0)-MATCH($E$1,[1]characters!$2:$2,0)+1),MATCH(F$1,[1]characters!$2:$2,0)-MATCH($E$1,[1]characters!$2:$2,0)+1,FALSE)</f>
        <v>色欲 アスモデウス</v>
      </c>
      <c r="G225" s="10" t="str">
        <f ca="1">VLOOKUP($E225,OFFSET([1]characters!$A$2,0,0,COUNTA([1]characters!$A:$A),MATCH(G$1,[1]characters!$2:$2,0)-MATCH($E$1,[1]characters!$2:$2,0)+1),MATCH(G$1,[1]characters!$2:$2,0)-MATCH($E$1,[1]characters!$2:$2,0)+1,FALSE)</f>
        <v>PremiumS</v>
      </c>
      <c r="H225" s="10">
        <f ca="1">VLOOKUP($E225,OFFSET([1]characters!$A$2,0,0,COUNTA([1]characters!$A:$A),MATCH(H$1,[1]characters!$2:$2,0)-MATCH($E$1,[1]characters!$2:$2,0)+1),MATCH(H$1,[1]characters!$2:$2,0)-MATCH($E$1,[1]characters!$2:$2,0)+1,FALSE)</f>
        <v>4</v>
      </c>
      <c r="I225" s="10" t="str">
        <f ca="1">VLOOKUP($E225,OFFSET([1]characters!$A$2,0,0,COUNTA([1]characters!$A:$A),MATCH(I$1,[1]characters!$2:$2,0)-MATCH($E$1,[1]characters!$2:$2,0)+1),MATCH(I$1,[1]characters!$2:$2,0)-MATCH($E$1,[1]characters!$2:$2,0)+1,FALSE)</f>
        <v>blue</v>
      </c>
      <c r="J225" s="10" t="str">
        <f ca="1">VLOOKUP($E225,OFFSET([1]characters!$A$2,0,0,COUNTA([1]characters!$A:$A),MATCH("タイプ",[1]characters!$1:$1,0)-MATCH($E$1,[1]characters!$2:$2,0)+2),MATCH("タイプ",[1]characters!$1:$1,0)-MATCH($E$1,[1]characters!$2:$2,0)+2,FALSE)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5" s="10" t="str">
        <f ca="1">VLOOKUP($E225,OFFSET([1]characters!$A$2,0,0,COUNTA([1]characters!$A:$A),MATCH($K$1,[1]characters!$1:$1,0)-MATCH($E$1,[1]characters!$2:$2,0)+2),MATCH($K$1,[1]characters!$1:$1,0)-MATCH($E$1,[1]characters!$2:$2,0)+2,FALSE)</f>
        <v>ゴッド</v>
      </c>
      <c r="L225" s="6">
        <v>1</v>
      </c>
      <c r="M225" s="6">
        <v>108</v>
      </c>
      <c r="N225" s="28">
        <v>0</v>
      </c>
      <c r="O225" s="28">
        <v>0</v>
      </c>
      <c r="P225" s="28">
        <v>0</v>
      </c>
      <c r="Q225" s="28">
        <v>0</v>
      </c>
      <c r="R225" s="28">
        <v>1</v>
      </c>
    </row>
    <row r="226" spans="1:18" ht="21" customHeight="1" thickBot="1">
      <c r="A226" s="22" t="str">
        <f t="shared" si="3"/>
        <v>02581</v>
      </c>
      <c r="B226" s="2">
        <v>110</v>
      </c>
      <c r="C226" s="10" t="str">
        <f ca="1">VLOOKUP($B226,OFFSET([2]gachas!$A$2,0,0,COUNTA([2]gachas!$A:$A),MATCH(C$1,[2]gachas!$1:$1,0)-MATCH($B$1,[2]gachas!$1:$1,0)+1),MATCH(C$1,[2]gachas!$1:$1,0)-MATCH($B$1,[2]gachas!$1:$1,0)+1,FALSE)</f>
        <v>赤アップ0１　最終日</v>
      </c>
      <c r="D226" s="6">
        <v>0</v>
      </c>
      <c r="E226" s="7">
        <v>258</v>
      </c>
      <c r="F226" s="10" t="str">
        <f ca="1">VLOOKUP($E226,OFFSET([1]characters!$A$2,0,0,COUNTA([1]characters!$A:$A),MATCH(F$1,[1]characters!$2:$2,0)-MATCH($E$1,[1]characters!$2:$2,0)+1),MATCH(F$1,[1]characters!$2:$2,0)-MATCH($E$1,[1]characters!$2:$2,0)+1,FALSE)</f>
        <v>色欲の源流 アスモデウス</v>
      </c>
      <c r="G226" s="10" t="str">
        <f ca="1">VLOOKUP($E226,OFFSET([1]characters!$A$2,0,0,COUNTA([1]characters!$A:$A),MATCH(G$1,[1]characters!$2:$2,0)-MATCH($E$1,[1]characters!$2:$2,0)+1),MATCH(G$1,[1]characters!$2:$2,0)-MATCH($E$1,[1]characters!$2:$2,0)+1,FALSE)</f>
        <v>PremiumS</v>
      </c>
      <c r="H226" s="10">
        <f ca="1">VLOOKUP($E226,OFFSET([1]characters!$A$2,0,0,COUNTA([1]characters!$A:$A),MATCH(H$1,[1]characters!$2:$2,0)-MATCH($E$1,[1]characters!$2:$2,0)+1),MATCH(H$1,[1]characters!$2:$2,0)-MATCH($E$1,[1]characters!$2:$2,0)+1,FALSE)</f>
        <v>5</v>
      </c>
      <c r="I226" s="10" t="str">
        <f ca="1">VLOOKUP($E226,OFFSET([1]characters!$A$2,0,0,COUNTA([1]characters!$A:$A),MATCH(I$1,[1]characters!$2:$2,0)-MATCH($E$1,[1]characters!$2:$2,0)+1),MATCH(I$1,[1]characters!$2:$2,0)-MATCH($E$1,[1]characters!$2:$2,0)+1,FALSE)</f>
        <v>blue</v>
      </c>
      <c r="J226" s="10" t="str">
        <f ca="1">VLOOKUP($E226,OFFSET([1]characters!$A$2,0,0,COUNTA([1]characters!$A:$A),MATCH("タイプ",[1]characters!$1:$1,0)-MATCH($E$1,[1]characters!$2:$2,0)+2),MATCH("タイプ",[1]characters!$1:$1,0)-MATCH($E$1,[1]characters!$2:$2,0)+2,FALSE)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6" s="10" t="str">
        <f ca="1">VLOOKUP($E226,OFFSET([1]characters!$A$2,0,0,COUNTA([1]characters!$A:$A),MATCH($K$1,[1]characters!$1:$1,0)-MATCH($E$1,[1]characters!$2:$2,0)+2),MATCH($K$1,[1]characters!$1:$1,0)-MATCH($E$1,[1]characters!$2:$2,0)+2,FALSE)</f>
        <v>ゴッド</v>
      </c>
      <c r="L226" s="6">
        <v>1</v>
      </c>
      <c r="M226" s="6">
        <v>17</v>
      </c>
      <c r="N226" s="28">
        <v>0</v>
      </c>
      <c r="O226" s="28">
        <v>0</v>
      </c>
      <c r="P226" s="28">
        <v>0</v>
      </c>
      <c r="Q226" s="28">
        <v>0</v>
      </c>
      <c r="R226" s="28">
        <v>1</v>
      </c>
    </row>
    <row r="227" spans="1:18" ht="21" customHeight="1" thickBot="1">
      <c r="A227" s="22" t="str">
        <f t="shared" si="3"/>
        <v>02591</v>
      </c>
      <c r="B227" s="2">
        <v>110</v>
      </c>
      <c r="C227" s="10" t="str">
        <f ca="1">VLOOKUP($B227,OFFSET([2]gachas!$A$2,0,0,COUNTA([2]gachas!$A:$A),MATCH(C$1,[2]gachas!$1:$1,0)-MATCH($B$1,[2]gachas!$1:$1,0)+1),MATCH(C$1,[2]gachas!$1:$1,0)-MATCH($B$1,[2]gachas!$1:$1,0)+1,FALSE)</f>
        <v>赤アップ0１　最終日</v>
      </c>
      <c r="D227" s="6">
        <v>0</v>
      </c>
      <c r="E227" s="7">
        <v>259</v>
      </c>
      <c r="F227" s="10" t="str">
        <f ca="1">VLOOKUP($E227,OFFSET([1]characters!$A$2,0,0,COUNTA([1]characters!$A:$A),MATCH(F$1,[1]characters!$2:$2,0)-MATCH($E$1,[1]characters!$2:$2,0)+1),MATCH(F$1,[1]characters!$2:$2,0)-MATCH($E$1,[1]characters!$2:$2,0)+1,FALSE)</f>
        <v>ウロボロス</v>
      </c>
      <c r="G227" s="10" t="str">
        <f ca="1">VLOOKUP($E227,OFFSET([1]characters!$A$2,0,0,COUNTA([1]characters!$A:$A),MATCH(G$1,[1]characters!$2:$2,0)-MATCH($E$1,[1]characters!$2:$2,0)+1),MATCH(G$1,[1]characters!$2:$2,0)-MATCH($E$1,[1]characters!$2:$2,0)+1,FALSE)</f>
        <v>PremiumS</v>
      </c>
      <c r="H227" s="10">
        <f ca="1">VLOOKUP($E227,OFFSET([1]characters!$A$2,0,0,COUNTA([1]characters!$A:$A),MATCH(H$1,[1]characters!$2:$2,0)-MATCH($E$1,[1]characters!$2:$2,0)+1),MATCH(H$1,[1]characters!$2:$2,0)-MATCH($E$1,[1]characters!$2:$2,0)+1,FALSE)</f>
        <v>3</v>
      </c>
      <c r="I227" s="10" t="str">
        <f ca="1">VLOOKUP($E227,OFFSET([1]characters!$A$2,0,0,COUNTA([1]characters!$A:$A),MATCH(I$1,[1]characters!$2:$2,0)-MATCH($E$1,[1]characters!$2:$2,0)+1),MATCH(I$1,[1]characters!$2:$2,0)-MATCH($E$1,[1]characters!$2:$2,0)+1,FALSE)</f>
        <v>yellow</v>
      </c>
      <c r="J227" s="10" t="str">
        <f ca="1">VLOOKUP($E227,OFFSET([1]characters!$A$2,0,0,COUNTA([1]characters!$A:$A),MATCH("タイプ",[1]characters!$1:$1,0)-MATCH($E$1,[1]characters!$2:$2,0)+2),MATCH("タイプ",[1]characters!$1:$1,0)-MATCH($E$1,[1]characters!$2:$2,0)+2,FALSE)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7" s="10" t="str">
        <f ca="1">VLOOKUP($E227,OFFSET([1]characters!$A$2,0,0,COUNTA([1]characters!$A:$A),MATCH($K$1,[1]characters!$1:$1,0)-MATCH($E$1,[1]characters!$2:$2,0)+2),MATCH($K$1,[1]characters!$1:$1,0)-MATCH($E$1,[1]characters!$2:$2,0)+2,FALSE)</f>
        <v>ドラゴン</v>
      </c>
      <c r="L227" s="6">
        <v>1</v>
      </c>
      <c r="M227" s="45">
        <v>307</v>
      </c>
      <c r="N227" s="28">
        <v>0</v>
      </c>
      <c r="O227" s="28">
        <v>0</v>
      </c>
      <c r="P227" s="28">
        <v>0</v>
      </c>
      <c r="Q227" s="28">
        <v>0</v>
      </c>
      <c r="R227" s="28">
        <v>1</v>
      </c>
    </row>
    <row r="228" spans="1:18" ht="21" customHeight="1" thickBot="1">
      <c r="A228" s="22" t="str">
        <f t="shared" si="3"/>
        <v>02601</v>
      </c>
      <c r="B228" s="2">
        <v>110</v>
      </c>
      <c r="C228" s="10" t="str">
        <f ca="1">VLOOKUP($B228,OFFSET([2]gachas!$A$2,0,0,COUNTA([2]gachas!$A:$A),MATCH(C$1,[2]gachas!$1:$1,0)-MATCH($B$1,[2]gachas!$1:$1,0)+1),MATCH(C$1,[2]gachas!$1:$1,0)-MATCH($B$1,[2]gachas!$1:$1,0)+1,FALSE)</f>
        <v>赤アップ0１　最終日</v>
      </c>
      <c r="D228" s="6">
        <v>0</v>
      </c>
      <c r="E228" s="7">
        <v>260</v>
      </c>
      <c r="F228" s="10" t="str">
        <f ca="1">VLOOKUP($E228,OFFSET([1]characters!$A$2,0,0,COUNTA([1]characters!$A:$A),MATCH(F$1,[1]characters!$2:$2,0)-MATCH($E$1,[1]characters!$2:$2,0)+1),MATCH(F$1,[1]characters!$2:$2,0)-MATCH($E$1,[1]characters!$2:$2,0)+1,FALSE)</f>
        <v>輪廻 ウロボロス</v>
      </c>
      <c r="G228" s="10" t="str">
        <f ca="1">VLOOKUP($E228,OFFSET([1]characters!$A$2,0,0,COUNTA([1]characters!$A:$A),MATCH(G$1,[1]characters!$2:$2,0)-MATCH($E$1,[1]characters!$2:$2,0)+1),MATCH(G$1,[1]characters!$2:$2,0)-MATCH($E$1,[1]characters!$2:$2,0)+1,FALSE)</f>
        <v>PremiumS</v>
      </c>
      <c r="H228" s="10">
        <f ca="1">VLOOKUP($E228,OFFSET([1]characters!$A$2,0,0,COUNTA([1]characters!$A:$A),MATCH(H$1,[1]characters!$2:$2,0)-MATCH($E$1,[1]characters!$2:$2,0)+1),MATCH(H$1,[1]characters!$2:$2,0)-MATCH($E$1,[1]characters!$2:$2,0)+1,FALSE)</f>
        <v>4</v>
      </c>
      <c r="I228" s="10" t="str">
        <f ca="1">VLOOKUP($E228,OFFSET([1]characters!$A$2,0,0,COUNTA([1]characters!$A:$A),MATCH(I$1,[1]characters!$2:$2,0)-MATCH($E$1,[1]characters!$2:$2,0)+1),MATCH(I$1,[1]characters!$2:$2,0)-MATCH($E$1,[1]characters!$2:$2,0)+1,FALSE)</f>
        <v>yellow</v>
      </c>
      <c r="J228" s="10" t="str">
        <f ca="1">VLOOKUP($E228,OFFSET([1]characters!$A$2,0,0,COUNTA([1]characters!$A:$A),MATCH("タイプ",[1]characters!$1:$1,0)-MATCH($E$1,[1]characters!$2:$2,0)+2),MATCH("タイプ",[1]characters!$1:$1,0)-MATCH($E$1,[1]characters!$2:$2,0)+2,FALSE)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8" s="10" t="str">
        <f ca="1">VLOOKUP($E228,OFFSET([1]characters!$A$2,0,0,COUNTA([1]characters!$A:$A),MATCH($K$1,[1]characters!$1:$1,0)-MATCH($E$1,[1]characters!$2:$2,0)+2),MATCH($K$1,[1]characters!$1:$1,0)-MATCH($E$1,[1]characters!$2:$2,0)+2,FALSE)</f>
        <v>ドラゴン</v>
      </c>
      <c r="L228" s="6">
        <v>1</v>
      </c>
      <c r="M228" s="6">
        <v>108</v>
      </c>
      <c r="N228" s="28">
        <v>0</v>
      </c>
      <c r="O228" s="28">
        <v>0</v>
      </c>
      <c r="P228" s="28">
        <v>0</v>
      </c>
      <c r="Q228" s="28">
        <v>0</v>
      </c>
      <c r="R228" s="28">
        <v>1</v>
      </c>
    </row>
    <row r="229" spans="1:18" ht="21" customHeight="1" thickBot="1">
      <c r="A229" s="22" t="str">
        <f t="shared" si="3"/>
        <v>02611</v>
      </c>
      <c r="B229" s="2">
        <v>110</v>
      </c>
      <c r="C229" s="10" t="str">
        <f ca="1">VLOOKUP($B229,OFFSET([2]gachas!$A$2,0,0,COUNTA([2]gachas!$A:$A),MATCH(C$1,[2]gachas!$1:$1,0)-MATCH($B$1,[2]gachas!$1:$1,0)+1),MATCH(C$1,[2]gachas!$1:$1,0)-MATCH($B$1,[2]gachas!$1:$1,0)+1,FALSE)</f>
        <v>赤アップ0１　最終日</v>
      </c>
      <c r="D229" s="6">
        <v>0</v>
      </c>
      <c r="E229" s="7">
        <v>261</v>
      </c>
      <c r="F229" s="10" t="str">
        <f ca="1">VLOOKUP($E229,OFFSET([1]characters!$A$2,0,0,COUNTA([1]characters!$A:$A),MATCH(F$1,[1]characters!$2:$2,0)-MATCH($E$1,[1]characters!$2:$2,0)+1),MATCH(F$1,[1]characters!$2:$2,0)-MATCH($E$1,[1]characters!$2:$2,0)+1,FALSE)</f>
        <v>輪廻の蛇龍 ウロボロス</v>
      </c>
      <c r="G229" s="10" t="str">
        <f ca="1">VLOOKUP($E229,OFFSET([1]characters!$A$2,0,0,COUNTA([1]characters!$A:$A),MATCH(G$1,[1]characters!$2:$2,0)-MATCH($E$1,[1]characters!$2:$2,0)+1),MATCH(G$1,[1]characters!$2:$2,0)-MATCH($E$1,[1]characters!$2:$2,0)+1,FALSE)</f>
        <v>PremiumS</v>
      </c>
      <c r="H229" s="10">
        <f ca="1">VLOOKUP($E229,OFFSET([1]characters!$A$2,0,0,COUNTA([1]characters!$A:$A),MATCH(H$1,[1]characters!$2:$2,0)-MATCH($E$1,[1]characters!$2:$2,0)+1),MATCH(H$1,[1]characters!$2:$2,0)-MATCH($E$1,[1]characters!$2:$2,0)+1,FALSE)</f>
        <v>5</v>
      </c>
      <c r="I229" s="10" t="str">
        <f ca="1">VLOOKUP($E229,OFFSET([1]characters!$A$2,0,0,COUNTA([1]characters!$A:$A),MATCH(I$1,[1]characters!$2:$2,0)-MATCH($E$1,[1]characters!$2:$2,0)+1),MATCH(I$1,[1]characters!$2:$2,0)-MATCH($E$1,[1]characters!$2:$2,0)+1,FALSE)</f>
        <v>yellow</v>
      </c>
      <c r="J229" s="10" t="str">
        <f ca="1">VLOOKUP($E229,OFFSET([1]characters!$A$2,0,0,COUNTA([1]characters!$A:$A),MATCH("タイプ",[1]characters!$1:$1,0)-MATCH($E$1,[1]characters!$2:$2,0)+2),MATCH("タイプ",[1]characters!$1:$1,0)-MATCH($E$1,[1]characters!$2:$2,0)+2,FALSE)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29" s="10" t="str">
        <f ca="1">VLOOKUP($E229,OFFSET([1]characters!$A$2,0,0,COUNTA([1]characters!$A:$A),MATCH($K$1,[1]characters!$1:$1,0)-MATCH($E$1,[1]characters!$2:$2,0)+2),MATCH($K$1,[1]characters!$1:$1,0)-MATCH($E$1,[1]characters!$2:$2,0)+2,FALSE)</f>
        <v>ドラゴン</v>
      </c>
      <c r="L229" s="6">
        <v>1</v>
      </c>
      <c r="M229" s="6">
        <v>17</v>
      </c>
      <c r="N229" s="28">
        <v>0</v>
      </c>
      <c r="O229" s="28">
        <v>0</v>
      </c>
      <c r="P229" s="28">
        <v>0</v>
      </c>
      <c r="Q229" s="28">
        <v>0</v>
      </c>
      <c r="R229" s="28">
        <v>1</v>
      </c>
    </row>
    <row r="230" spans="1:18" ht="21" customHeight="1" thickBot="1">
      <c r="A230" s="22" t="str">
        <f t="shared" si="3"/>
        <v>03201</v>
      </c>
      <c r="B230" s="2">
        <v>110</v>
      </c>
      <c r="C230" s="10" t="str">
        <f ca="1">VLOOKUP($B230,OFFSET([2]gachas!$A$2,0,0,COUNTA([2]gachas!$A:$A),MATCH(C$1,[2]gachas!$1:$1,0)-MATCH($B$1,[2]gachas!$1:$1,0)+1),MATCH(C$1,[2]gachas!$1:$1,0)-MATCH($B$1,[2]gachas!$1:$1,0)+1,FALSE)</f>
        <v>赤アップ0１　最終日</v>
      </c>
      <c r="D230" s="37">
        <v>0</v>
      </c>
      <c r="E230" s="38">
        <v>320</v>
      </c>
      <c r="F230" s="20" t="str">
        <f ca="1">VLOOKUP($E230,OFFSET([1]characters!$A$2,0,0,COUNTA([1]characters!$A:$A),MATCH(F$1,[1]characters!$2:$2,0)-MATCH($E$1,[1]characters!$2:$2,0)+1),MATCH(F$1,[1]characters!$2:$2,0)-MATCH($E$1,[1]characters!$2:$2,0)+1,FALSE)</f>
        <v>烈志士 近藤勇</v>
      </c>
      <c r="G230" s="20" t="str">
        <f ca="1">VLOOKUP($E230,OFFSET([1]characters!$A$2,0,0,COUNTA([1]characters!$A:$A),MATCH(G$1,[1]characters!$2:$2,0)-MATCH($E$1,[1]characters!$2:$2,0)+1),MATCH(G$1,[1]characters!$2:$2,0)-MATCH($E$1,[1]characters!$2:$2,0)+1,FALSE)</f>
        <v>PremiumSS</v>
      </c>
      <c r="H230" s="20">
        <f ca="1">VLOOKUP($E230,OFFSET([1]characters!$A$2,0,0,COUNTA([1]characters!$A:$A),MATCH(H$1,[1]characters!$2:$2,0)-MATCH($E$1,[1]characters!$2:$2,0)+1),MATCH(H$1,[1]characters!$2:$2,0)-MATCH($E$1,[1]characters!$2:$2,0)+1,FALSE)</f>
        <v>4</v>
      </c>
      <c r="I230" s="20" t="str">
        <f ca="1">VLOOKUP($E230,OFFSET([1]characters!$A$2,0,0,COUNTA([1]characters!$A:$A),MATCH(I$1,[1]characters!$2:$2,0)-MATCH($E$1,[1]characters!$2:$2,0)+1),MATCH(I$1,[1]characters!$2:$2,0)-MATCH($E$1,[1]characters!$2:$2,0)+1,FALSE)</f>
        <v>red</v>
      </c>
      <c r="J230" s="20" t="str">
        <f ca="1">VLOOKUP($E230,OFFSET([1]characters!$A$2,0,0,COUNTA([1]characters!$A:$A),MATCH("タイプ",[1]characters!$1:$1,0)-MATCH($E$1,[1]characters!$2:$2,0)+2),MATCH("タイプ",[1]characters!$1:$1,0)-MATCH($E$1,[1]characters!$2:$2,0)+2,FALSE)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0" s="20" t="str">
        <f ca="1">VLOOKUP($E230,OFFSET([1]characters!$A$2,0,0,COUNTA([1]characters!$A:$A),MATCH($K$1,[1]characters!$1:$1,0)-MATCH($E$1,[1]characters!$2:$2,0)+2),MATCH($K$1,[1]characters!$1:$1,0)-MATCH($E$1,[1]characters!$2:$2,0)+2,FALSE)</f>
        <v>ヒューマン</v>
      </c>
      <c r="L230" s="37">
        <v>1</v>
      </c>
      <c r="M230" s="29">
        <v>1386</v>
      </c>
      <c r="N230" s="18">
        <v>0</v>
      </c>
      <c r="O230" s="18">
        <v>0</v>
      </c>
      <c r="P230" s="18">
        <v>0</v>
      </c>
      <c r="Q230" s="18">
        <v>0</v>
      </c>
      <c r="R230" s="18">
        <v>1</v>
      </c>
    </row>
    <row r="231" spans="1:18" ht="21" customHeight="1" thickBot="1">
      <c r="A231" s="22" t="str">
        <f t="shared" si="3"/>
        <v>03211</v>
      </c>
      <c r="B231" s="2">
        <v>110</v>
      </c>
      <c r="C231" s="10" t="str">
        <f ca="1">VLOOKUP($B231,OFFSET([2]gachas!$A$2,0,0,COUNTA([2]gachas!$A:$A),MATCH(C$1,[2]gachas!$1:$1,0)-MATCH($B$1,[2]gachas!$1:$1,0)+1),MATCH(C$1,[2]gachas!$1:$1,0)-MATCH($B$1,[2]gachas!$1:$1,0)+1,FALSE)</f>
        <v>赤アップ0１　最終日</v>
      </c>
      <c r="D231" s="37">
        <v>0</v>
      </c>
      <c r="E231" s="30">
        <v>321</v>
      </c>
      <c r="F231" s="10" t="str">
        <f ca="1">VLOOKUP($E231,OFFSET([1]characters!$A$2,0,0,COUNTA([1]characters!$A:$A),MATCH(F$1,[1]characters!$2:$2,0)-MATCH($E$1,[1]characters!$2:$2,0)+1),MATCH(F$1,[1]characters!$2:$2,0)-MATCH($E$1,[1]characters!$2:$2,0)+1,FALSE)</f>
        <v>巌鉄の烈志士 近藤勇</v>
      </c>
      <c r="G231" s="10" t="str">
        <f ca="1">VLOOKUP($E231,OFFSET([1]characters!$A$2,0,0,COUNTA([1]characters!$A:$A),MATCH(G$1,[1]characters!$2:$2,0)-MATCH($E$1,[1]characters!$2:$2,0)+1),MATCH(G$1,[1]characters!$2:$2,0)-MATCH($E$1,[1]characters!$2:$2,0)+1,FALSE)</f>
        <v>PremiumSS</v>
      </c>
      <c r="H231" s="10">
        <f ca="1">VLOOKUP($E231,OFFSET([1]characters!$A$2,0,0,COUNTA([1]characters!$A:$A),MATCH(H$1,[1]characters!$2:$2,0)-MATCH($E$1,[1]characters!$2:$2,0)+1),MATCH(H$1,[1]characters!$2:$2,0)-MATCH($E$1,[1]characters!$2:$2,0)+1,FALSE)</f>
        <v>5</v>
      </c>
      <c r="I231" s="10" t="str">
        <f ca="1">VLOOKUP($E231,OFFSET([1]characters!$A$2,0,0,COUNTA([1]characters!$A:$A),MATCH(I$1,[1]characters!$2:$2,0)-MATCH($E$1,[1]characters!$2:$2,0)+1),MATCH(I$1,[1]characters!$2:$2,0)-MATCH($E$1,[1]characters!$2:$2,0)+1,FALSE)</f>
        <v>red</v>
      </c>
      <c r="J231" s="10" t="str">
        <f ca="1">VLOOKUP($E231,OFFSET([1]characters!$A$2,0,0,COUNTA([1]characters!$A:$A),MATCH("タイプ",[1]characters!$1:$1,0)-MATCH($E$1,[1]characters!$2:$2,0)+2),MATCH("タイプ",[1]characters!$1:$1,0)-MATCH($E$1,[1]characters!$2:$2,0)+2,FALSE)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31" s="10" t="str">
        <f ca="1">VLOOKUP($E231,OFFSET([1]characters!$A$2,0,0,COUNTA([1]characters!$A:$A),MATCH($K$1,[1]characters!$1:$1,0)-MATCH($E$1,[1]characters!$2:$2,0)+2),MATCH($K$1,[1]characters!$1:$1,0)-MATCH($E$1,[1]characters!$2:$2,0)+2,FALSE)</f>
        <v>ヒューマン</v>
      </c>
      <c r="L231" s="29">
        <v>1</v>
      </c>
      <c r="M231" s="29">
        <v>158</v>
      </c>
      <c r="N231" s="28">
        <v>0</v>
      </c>
      <c r="O231" s="28">
        <v>0</v>
      </c>
      <c r="P231" s="28">
        <v>0</v>
      </c>
      <c r="Q231" s="28">
        <v>0</v>
      </c>
      <c r="R231" s="28">
        <v>1</v>
      </c>
    </row>
    <row r="232" spans="1:18" ht="21" customHeight="1" thickBot="1">
      <c r="A232" s="22" t="str">
        <f t="shared" si="3"/>
        <v>03221</v>
      </c>
      <c r="B232" s="2">
        <v>110</v>
      </c>
      <c r="C232" s="10" t="str">
        <f ca="1">VLOOKUP($B232,OFFSET([2]gachas!$A$2,0,0,COUNTA([2]gachas!$A:$A),MATCH(C$1,[2]gachas!$1:$1,0)-MATCH($B$1,[2]gachas!$1:$1,0)+1),MATCH(C$1,[2]gachas!$1:$1,0)-MATCH($B$1,[2]gachas!$1:$1,0)+1,FALSE)</f>
        <v>赤アップ0１　最終日</v>
      </c>
      <c r="D232" s="21">
        <v>0</v>
      </c>
      <c r="E232" s="7">
        <v>322</v>
      </c>
      <c r="F232" s="10" t="str">
        <f ca="1">VLOOKUP($E232,OFFSET([1]characters!$A$2,0,0,COUNTA([1]characters!$A:$A),MATCH(F$1,[1]characters!$2:$2,0)-MATCH($E$1,[1]characters!$2:$2,0)+1),MATCH(F$1,[1]characters!$2:$2,0)-MATCH($E$1,[1]characters!$2:$2,0)+1,FALSE)</f>
        <v>愛志士 土方歳三</v>
      </c>
      <c r="G232" s="10" t="str">
        <f ca="1">VLOOKUP($E232,OFFSET([1]characters!$A$2,0,0,COUNTA([1]characters!$A:$A),MATCH(G$1,[1]characters!$2:$2,0)-MATCH($E$1,[1]characters!$2:$2,0)+1),MATCH(G$1,[1]characters!$2:$2,0)-MATCH($E$1,[1]characters!$2:$2,0)+1,FALSE)</f>
        <v>PremiumSS</v>
      </c>
      <c r="H232" s="10">
        <f ca="1">VLOOKUP($E232,OFFSET([1]characters!$A$2,0,0,COUNTA([1]characters!$A:$A),MATCH(H$1,[1]characters!$2:$2,0)-MATCH($E$1,[1]characters!$2:$2,0)+1),MATCH(H$1,[1]characters!$2:$2,0)-MATCH($E$1,[1]characters!$2:$2,0)+1,FALSE)</f>
        <v>4</v>
      </c>
      <c r="I232" s="10" t="str">
        <f ca="1">VLOOKUP($E232,OFFSET([1]characters!$A$2,0,0,COUNTA([1]characters!$A:$A),MATCH(I$1,[1]characters!$2:$2,0)-MATCH($E$1,[1]characters!$2:$2,0)+1),MATCH(I$1,[1]characters!$2:$2,0)-MATCH($E$1,[1]characters!$2:$2,0)+1,FALSE)</f>
        <v>green</v>
      </c>
      <c r="J232" s="10" t="str">
        <f ca="1">VLOOKUP($E232,OFFSET([1]characters!$A$2,0,0,COUNTA([1]characters!$A:$A),MATCH("タイプ",[1]characters!$1:$1,0)-MATCH($E$1,[1]characters!$2:$2,0)+2),MATCH("タイプ",[1]characters!$1:$1,0)-MATCH($E$1,[1]characters!$2:$2,0)+2,FALSE)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2" s="10" t="str">
        <f ca="1">VLOOKUP($E232,OFFSET([1]characters!$A$2,0,0,COUNTA([1]characters!$A:$A),MATCH($K$1,[1]characters!$1:$1,0)-MATCH($E$1,[1]characters!$2:$2,0)+2),MATCH($K$1,[1]characters!$1:$1,0)-MATCH($E$1,[1]characters!$2:$2,0)+2,FALSE)</f>
        <v>ヒューマン</v>
      </c>
      <c r="L232" s="6">
        <v>1</v>
      </c>
      <c r="M232" s="6">
        <v>378</v>
      </c>
      <c r="N232" s="28">
        <v>0</v>
      </c>
      <c r="O232" s="28">
        <v>0</v>
      </c>
      <c r="P232" s="28">
        <v>0</v>
      </c>
      <c r="Q232" s="28">
        <v>0</v>
      </c>
      <c r="R232" s="28">
        <v>1</v>
      </c>
    </row>
    <row r="233" spans="1:18" ht="21" customHeight="1" thickBot="1">
      <c r="A233" s="22" t="str">
        <f t="shared" si="3"/>
        <v>03231</v>
      </c>
      <c r="B233" s="2">
        <v>110</v>
      </c>
      <c r="C233" s="10" t="str">
        <f ca="1">VLOOKUP($B233,OFFSET([2]gachas!$A$2,0,0,COUNTA([2]gachas!$A:$A),MATCH(C$1,[2]gachas!$1:$1,0)-MATCH($B$1,[2]gachas!$1:$1,0)+1),MATCH(C$1,[2]gachas!$1:$1,0)-MATCH($B$1,[2]gachas!$1:$1,0)+1,FALSE)</f>
        <v>赤アップ0１　最終日</v>
      </c>
      <c r="D233" s="21">
        <v>0</v>
      </c>
      <c r="E233" s="7">
        <v>323</v>
      </c>
      <c r="F233" s="10" t="str">
        <f ca="1">VLOOKUP($E233,OFFSET([1]characters!$A$2,0,0,COUNTA([1]characters!$A:$A),MATCH(F$1,[1]characters!$2:$2,0)-MATCH($E$1,[1]characters!$2:$2,0)+1),MATCH(F$1,[1]characters!$2:$2,0)-MATCH($E$1,[1]characters!$2:$2,0)+1,FALSE)</f>
        <v>流麗の愛志士 土方歳三</v>
      </c>
      <c r="G233" s="10" t="str">
        <f ca="1">VLOOKUP($E233,OFFSET([1]characters!$A$2,0,0,COUNTA([1]characters!$A:$A),MATCH(G$1,[1]characters!$2:$2,0)-MATCH($E$1,[1]characters!$2:$2,0)+1),MATCH(G$1,[1]characters!$2:$2,0)-MATCH($E$1,[1]characters!$2:$2,0)+1,FALSE)</f>
        <v>PremiumSS</v>
      </c>
      <c r="H233" s="10">
        <f ca="1">VLOOKUP($E233,OFFSET([1]characters!$A$2,0,0,COUNTA([1]characters!$A:$A),MATCH(H$1,[1]characters!$2:$2,0)-MATCH($E$1,[1]characters!$2:$2,0)+1),MATCH(H$1,[1]characters!$2:$2,0)-MATCH($E$1,[1]characters!$2:$2,0)+1,FALSE)</f>
        <v>5</v>
      </c>
      <c r="I233" s="10" t="str">
        <f ca="1">VLOOKUP($E233,OFFSET([1]characters!$A$2,0,0,COUNTA([1]characters!$A:$A),MATCH(I$1,[1]characters!$2:$2,0)-MATCH($E$1,[1]characters!$2:$2,0)+1),MATCH(I$1,[1]characters!$2:$2,0)-MATCH($E$1,[1]characters!$2:$2,0)+1,FALSE)</f>
        <v>green</v>
      </c>
      <c r="J233" s="10" t="str">
        <f ca="1">VLOOKUP($E233,OFFSET([1]characters!$A$2,0,0,COUNTA([1]characters!$A:$A),MATCH("タイプ",[1]characters!$1:$1,0)-MATCH($E$1,[1]characters!$2:$2,0)+2),MATCH("タイプ",[1]characters!$1:$1,0)-MATCH($E$1,[1]characters!$2:$2,0)+2,FALSE)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3" s="10" t="str">
        <f ca="1">VLOOKUP($E233,OFFSET([1]characters!$A$2,0,0,COUNTA([1]characters!$A:$A),MATCH($K$1,[1]characters!$1:$1,0)-MATCH($E$1,[1]characters!$2:$2,0)+2),MATCH($K$1,[1]characters!$1:$1,0)-MATCH($E$1,[1]characters!$2:$2,0)+2,FALSE)</f>
        <v>ヒューマン</v>
      </c>
      <c r="L233" s="6">
        <v>1</v>
      </c>
      <c r="M233" s="6">
        <v>43</v>
      </c>
      <c r="N233" s="28">
        <v>0</v>
      </c>
      <c r="O233" s="28">
        <v>0</v>
      </c>
      <c r="P233" s="28">
        <v>0</v>
      </c>
      <c r="Q233" s="28">
        <v>0</v>
      </c>
      <c r="R233" s="28">
        <v>1</v>
      </c>
    </row>
    <row r="234" spans="1:18" ht="21" customHeight="1" thickBot="1">
      <c r="A234" s="22" t="str">
        <f t="shared" si="3"/>
        <v>03241</v>
      </c>
      <c r="B234" s="2">
        <v>110</v>
      </c>
      <c r="C234" s="10" t="str">
        <f ca="1">VLOOKUP($B234,OFFSET([2]gachas!$A$2,0,0,COUNTA([2]gachas!$A:$A),MATCH(C$1,[2]gachas!$1:$1,0)-MATCH($B$1,[2]gachas!$1:$1,0)+1),MATCH(C$1,[2]gachas!$1:$1,0)-MATCH($B$1,[2]gachas!$1:$1,0)+1,FALSE)</f>
        <v>赤アップ0１　最終日</v>
      </c>
      <c r="D234" s="21">
        <v>0</v>
      </c>
      <c r="E234" s="7">
        <v>324</v>
      </c>
      <c r="F234" s="10" t="str">
        <f ca="1">VLOOKUP($E234,OFFSET([1]characters!$A$2,0,0,COUNTA([1]characters!$A:$A),MATCH(F$1,[1]characters!$2:$2,0)-MATCH($E$1,[1]characters!$2:$2,0)+1),MATCH(F$1,[1]characters!$2:$2,0)-MATCH($E$1,[1]characters!$2:$2,0)+1,FALSE)</f>
        <v>凛志士 沖田総司</v>
      </c>
      <c r="G234" s="10" t="str">
        <f ca="1">VLOOKUP($E234,OFFSET([1]characters!$A$2,0,0,COUNTA([1]characters!$A:$A),MATCH(G$1,[1]characters!$2:$2,0)-MATCH($E$1,[1]characters!$2:$2,0)+1),MATCH(G$1,[1]characters!$2:$2,0)-MATCH($E$1,[1]characters!$2:$2,0)+1,FALSE)</f>
        <v>PremiumSS</v>
      </c>
      <c r="H234" s="10">
        <f ca="1">VLOOKUP($E234,OFFSET([1]characters!$A$2,0,0,COUNTA([1]characters!$A:$A),MATCH(H$1,[1]characters!$2:$2,0)-MATCH($E$1,[1]characters!$2:$2,0)+1),MATCH(H$1,[1]characters!$2:$2,0)-MATCH($E$1,[1]characters!$2:$2,0)+1,FALSE)</f>
        <v>4</v>
      </c>
      <c r="I234" s="10" t="str">
        <f ca="1">VLOOKUP($E234,OFFSET([1]characters!$A$2,0,0,COUNTA([1]characters!$A:$A),MATCH(I$1,[1]characters!$2:$2,0)-MATCH($E$1,[1]characters!$2:$2,0)+1),MATCH(I$1,[1]characters!$2:$2,0)-MATCH($E$1,[1]characters!$2:$2,0)+1,FALSE)</f>
        <v>blue</v>
      </c>
      <c r="J234" s="10" t="str">
        <f ca="1">VLOOKUP($E234,OFFSET([1]characters!$A$2,0,0,COUNTA([1]characters!$A:$A),MATCH("タイプ",[1]characters!$1:$1,0)-MATCH($E$1,[1]characters!$2:$2,0)+2),MATCH("タイプ",[1]characters!$1:$1,0)-MATCH($E$1,[1]characters!$2:$2,0)+2,FALSE)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4" s="10" t="str">
        <f ca="1">VLOOKUP($E234,OFFSET([1]characters!$A$2,0,0,COUNTA([1]characters!$A:$A),MATCH($K$1,[1]characters!$1:$1,0)-MATCH($E$1,[1]characters!$2:$2,0)+2),MATCH($K$1,[1]characters!$1:$1,0)-MATCH($E$1,[1]characters!$2:$2,0)+2,FALSE)</f>
        <v>ヒューマン</v>
      </c>
      <c r="L234" s="6">
        <v>1</v>
      </c>
      <c r="M234" s="6">
        <v>378</v>
      </c>
      <c r="N234" s="28">
        <v>0</v>
      </c>
      <c r="O234" s="28">
        <v>0</v>
      </c>
      <c r="P234" s="28">
        <v>0</v>
      </c>
      <c r="Q234" s="28">
        <v>0</v>
      </c>
      <c r="R234" s="28">
        <v>1</v>
      </c>
    </row>
    <row r="235" spans="1:18" ht="21" customHeight="1" thickBot="1">
      <c r="A235" s="22" t="str">
        <f t="shared" si="3"/>
        <v>03251</v>
      </c>
      <c r="B235" s="2">
        <v>110</v>
      </c>
      <c r="C235" s="10" t="str">
        <f ca="1">VLOOKUP($B235,OFFSET([2]gachas!$A$2,0,0,COUNTA([2]gachas!$A:$A),MATCH(C$1,[2]gachas!$1:$1,0)-MATCH($B$1,[2]gachas!$1:$1,0)+1),MATCH(C$1,[2]gachas!$1:$1,0)-MATCH($B$1,[2]gachas!$1:$1,0)+1,FALSE)</f>
        <v>赤アップ0１　最終日</v>
      </c>
      <c r="D235" s="21">
        <v>0</v>
      </c>
      <c r="E235" s="7">
        <v>325</v>
      </c>
      <c r="F235" s="10" t="str">
        <f ca="1">VLOOKUP($E235,OFFSET([1]characters!$A$2,0,0,COUNTA([1]characters!$A:$A),MATCH(F$1,[1]characters!$2:$2,0)-MATCH($E$1,[1]characters!$2:$2,0)+1),MATCH(F$1,[1]characters!$2:$2,0)-MATCH($E$1,[1]characters!$2:$2,0)+1,FALSE)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235" s="10" t="str">
        <f ca="1">VLOOKUP($E235,OFFSET([1]characters!$A$2,0,0,COUNTA([1]characters!$A:$A),MATCH(G$1,[1]characters!$2:$2,0)-MATCH($E$1,[1]characters!$2:$2,0)+1),MATCH(G$1,[1]characters!$2:$2,0)-MATCH($E$1,[1]characters!$2:$2,0)+1,FALSE)</f>
        <v>PremiumSS</v>
      </c>
      <c r="H235" s="10">
        <f ca="1">VLOOKUP($E235,OFFSET([1]characters!$A$2,0,0,COUNTA([1]characters!$A:$A),MATCH(H$1,[1]characters!$2:$2,0)-MATCH($E$1,[1]characters!$2:$2,0)+1),MATCH(H$1,[1]characters!$2:$2,0)-MATCH($E$1,[1]characters!$2:$2,0)+1,FALSE)</f>
        <v>5</v>
      </c>
      <c r="I235" s="10" t="str">
        <f ca="1">VLOOKUP($E235,OFFSET([1]characters!$A$2,0,0,COUNTA([1]characters!$A:$A),MATCH(I$1,[1]characters!$2:$2,0)-MATCH($E$1,[1]characters!$2:$2,0)+1),MATCH(I$1,[1]characters!$2:$2,0)-MATCH($E$1,[1]characters!$2:$2,0)+1,FALSE)</f>
        <v>blue</v>
      </c>
      <c r="J235" s="10" t="str">
        <f ca="1">VLOOKUP($E235,OFFSET([1]characters!$A$2,0,0,COUNTA([1]characters!$A:$A),MATCH("タイプ",[1]characters!$1:$1,0)-MATCH($E$1,[1]characters!$2:$2,0)+2),MATCH("タイプ",[1]characters!$1:$1,0)-MATCH($E$1,[1]characters!$2:$2,0)+2,FALSE)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35" s="10" t="str">
        <f ca="1">VLOOKUP($E235,OFFSET([1]characters!$A$2,0,0,COUNTA([1]characters!$A:$A),MATCH($K$1,[1]characters!$1:$1,0)-MATCH($E$1,[1]characters!$2:$2,0)+2),MATCH($K$1,[1]characters!$1:$1,0)-MATCH($E$1,[1]characters!$2:$2,0)+2,FALSE)</f>
        <v>ヒューマン</v>
      </c>
      <c r="L235" s="6">
        <v>1</v>
      </c>
      <c r="M235" s="6">
        <v>43</v>
      </c>
      <c r="N235" s="28">
        <v>0</v>
      </c>
      <c r="O235" s="28">
        <v>0</v>
      </c>
      <c r="P235" s="28">
        <v>0</v>
      </c>
      <c r="Q235" s="28">
        <v>0</v>
      </c>
      <c r="R235" s="28">
        <v>1</v>
      </c>
    </row>
    <row r="236" spans="1:18" ht="21" customHeight="1" thickBot="1">
      <c r="A236" s="22" t="str">
        <f t="shared" si="3"/>
        <v>03261</v>
      </c>
      <c r="B236" s="2">
        <v>110</v>
      </c>
      <c r="C236" s="10" t="str">
        <f ca="1">VLOOKUP($B236,OFFSET([2]gachas!$A$2,0,0,COUNTA([2]gachas!$A:$A),MATCH(C$1,[2]gachas!$1:$1,0)-MATCH($B$1,[2]gachas!$1:$1,0)+1),MATCH(C$1,[2]gachas!$1:$1,0)-MATCH($B$1,[2]gachas!$1:$1,0)+1,FALSE)</f>
        <v>赤アップ0１　最終日</v>
      </c>
      <c r="D236" s="21">
        <v>0</v>
      </c>
      <c r="E236" s="7">
        <v>326</v>
      </c>
      <c r="F236" s="10" t="str">
        <f ca="1">VLOOKUP($E236,OFFSET([1]characters!$A$2,0,0,COUNTA([1]characters!$A:$A),MATCH(F$1,[1]characters!$2:$2,0)-MATCH($E$1,[1]characters!$2:$2,0)+1),MATCH(F$1,[1]characters!$2:$2,0)-MATCH($E$1,[1]characters!$2:$2,0)+1,FALSE)</f>
        <v>妖志士 斎藤一</v>
      </c>
      <c r="G236" s="10" t="str">
        <f ca="1">VLOOKUP($E236,OFFSET([1]characters!$A$2,0,0,COUNTA([1]characters!$A:$A),MATCH(G$1,[1]characters!$2:$2,0)-MATCH($E$1,[1]characters!$2:$2,0)+1),MATCH(G$1,[1]characters!$2:$2,0)-MATCH($E$1,[1]characters!$2:$2,0)+1,FALSE)</f>
        <v>PremiumSS</v>
      </c>
      <c r="H236" s="10">
        <f ca="1">VLOOKUP($E236,OFFSET([1]characters!$A$2,0,0,COUNTA([1]characters!$A:$A),MATCH(H$1,[1]characters!$2:$2,0)-MATCH($E$1,[1]characters!$2:$2,0)+1),MATCH(H$1,[1]characters!$2:$2,0)-MATCH($E$1,[1]characters!$2:$2,0)+1,FALSE)</f>
        <v>4</v>
      </c>
      <c r="I236" s="10" t="str">
        <f ca="1">VLOOKUP($E236,OFFSET([1]characters!$A$2,0,0,COUNTA([1]characters!$A:$A),MATCH(I$1,[1]characters!$2:$2,0)-MATCH($E$1,[1]characters!$2:$2,0)+1),MATCH(I$1,[1]characters!$2:$2,0)-MATCH($E$1,[1]characters!$2:$2,0)+1,FALSE)</f>
        <v>yellow</v>
      </c>
      <c r="J236" s="10" t="str">
        <f ca="1">VLOOKUP($E236,OFFSET([1]characters!$A$2,0,0,COUNTA([1]characters!$A:$A),MATCH("タイプ",[1]characters!$1:$1,0)-MATCH($E$1,[1]characters!$2:$2,0)+2),MATCH("タイプ",[1]characters!$1:$1,0)-MATCH($E$1,[1]characters!$2:$2,0)+2,FALSE)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6" s="10" t="str">
        <f ca="1">VLOOKUP($E236,OFFSET([1]characters!$A$2,0,0,COUNTA([1]characters!$A:$A),MATCH($K$1,[1]characters!$1:$1,0)-MATCH($E$1,[1]characters!$2:$2,0)+2),MATCH($K$1,[1]characters!$1:$1,0)-MATCH($E$1,[1]characters!$2:$2,0)+2,FALSE)</f>
        <v>ヒューマン</v>
      </c>
      <c r="L236" s="6">
        <v>1</v>
      </c>
      <c r="M236" s="6">
        <v>378</v>
      </c>
      <c r="N236" s="28">
        <v>0</v>
      </c>
      <c r="O236" s="28">
        <v>0</v>
      </c>
      <c r="P236" s="28">
        <v>0</v>
      </c>
      <c r="Q236" s="28">
        <v>0</v>
      </c>
      <c r="R236" s="28">
        <v>1</v>
      </c>
    </row>
    <row r="237" spans="1:18" ht="21" customHeight="1" thickBot="1">
      <c r="A237" s="22" t="str">
        <f t="shared" si="3"/>
        <v>03271</v>
      </c>
      <c r="B237" s="2">
        <v>110</v>
      </c>
      <c r="C237" s="10" t="str">
        <f ca="1">VLOOKUP($B237,OFFSET([2]gachas!$A$2,0,0,COUNTA([2]gachas!$A:$A),MATCH(C$1,[2]gachas!$1:$1,0)-MATCH($B$1,[2]gachas!$1:$1,0)+1),MATCH(C$1,[2]gachas!$1:$1,0)-MATCH($B$1,[2]gachas!$1:$1,0)+1,FALSE)</f>
        <v>赤アップ0１　最終日</v>
      </c>
      <c r="D237" s="21">
        <v>0</v>
      </c>
      <c r="E237" s="25">
        <v>327</v>
      </c>
      <c r="F237" s="23" t="str">
        <f ca="1">VLOOKUP($E237,OFFSET([1]characters!$A$2,0,0,COUNTA([1]characters!$A:$A),MATCH(F$1,[1]characters!$2:$2,0)-MATCH($E$1,[1]characters!$2:$2,0)+1),MATCH(F$1,[1]characters!$2:$2,0)-MATCH($E$1,[1]characters!$2:$2,0)+1,FALSE)</f>
        <v>千殺の妖志士 斎藤一</v>
      </c>
      <c r="G237" s="23" t="str">
        <f ca="1">VLOOKUP($E237,OFFSET([1]characters!$A$2,0,0,COUNTA([1]characters!$A:$A),MATCH(G$1,[1]characters!$2:$2,0)-MATCH($E$1,[1]characters!$2:$2,0)+1),MATCH(G$1,[1]characters!$2:$2,0)-MATCH($E$1,[1]characters!$2:$2,0)+1,FALSE)</f>
        <v>PremiumSS</v>
      </c>
      <c r="H237" s="23">
        <f ca="1">VLOOKUP($E237,OFFSET([1]characters!$A$2,0,0,COUNTA([1]characters!$A:$A),MATCH(H$1,[1]characters!$2:$2,0)-MATCH($E$1,[1]characters!$2:$2,0)+1),MATCH(H$1,[1]characters!$2:$2,0)-MATCH($E$1,[1]characters!$2:$2,0)+1,FALSE)</f>
        <v>5</v>
      </c>
      <c r="I237" s="23" t="str">
        <f ca="1">VLOOKUP($E237,OFFSET([1]characters!$A$2,0,0,COUNTA([1]characters!$A:$A),MATCH(I$1,[1]characters!$2:$2,0)-MATCH($E$1,[1]characters!$2:$2,0)+1),MATCH(I$1,[1]characters!$2:$2,0)-MATCH($E$1,[1]characters!$2:$2,0)+1,FALSE)</f>
        <v>yellow</v>
      </c>
      <c r="J237" s="23" t="str">
        <f ca="1">VLOOKUP($E237,OFFSET([1]characters!$A$2,0,0,COUNTA([1]characters!$A:$A),MATCH("タイプ",[1]characters!$1:$1,0)-MATCH($E$1,[1]characters!$2:$2,0)+2),MATCH("タイプ",[1]characters!$1:$1,0)-MATCH($E$1,[1]characters!$2:$2,0)+2,FALSE)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37" s="23" t="str">
        <f ca="1">VLOOKUP($E237,OFFSET([1]characters!$A$2,0,0,COUNTA([1]characters!$A:$A),MATCH($K$1,[1]characters!$1:$1,0)-MATCH($E$1,[1]characters!$2:$2,0)+2),MATCH($K$1,[1]characters!$1:$1,0)-MATCH($E$1,[1]characters!$2:$2,0)+2,FALSE)</f>
        <v>ヒューマン</v>
      </c>
      <c r="L237" s="24">
        <v>1</v>
      </c>
      <c r="M237" s="6">
        <v>43</v>
      </c>
      <c r="N237" s="35">
        <v>0</v>
      </c>
      <c r="O237" s="35">
        <v>0</v>
      </c>
      <c r="P237" s="35">
        <v>0</v>
      </c>
      <c r="Q237" s="35">
        <v>0</v>
      </c>
      <c r="R237" s="35">
        <v>1</v>
      </c>
    </row>
  </sheetData>
  <phoneticPr fontId="3"/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</sheetPr>
  <dimension ref="A1:R169"/>
  <sheetViews>
    <sheetView workbookViewId="0">
      <pane ySplit="1" topLeftCell="A118" activePane="bottomLeft" state="frozen"/>
      <selection pane="bottomLeft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45" si="0">D2&amp;E2&amp;L2</f>
        <v>11271</v>
      </c>
      <c r="B2" s="2">
        <v>111</v>
      </c>
      <c r="C2" s="10" t="str">
        <f ca="1">VLOOKUP($B2,OFFSET([2]gachas!$A$2,0,0,COUNTA([2]gachas!$A:$A),MATCH(C$1,[2]gachas!$1:$1,0)-MATCH($B$1,[2]gachas!$1:$1,0)+1),MATCH(C$1,[2]gachas!$1:$1,0)-MATCH($B$1,[2]gachas!$1:$1,0)+1,FALSE)</f>
        <v>ピックアップ02(沖田) 開始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6">
        <v>1072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111</v>
      </c>
      <c r="C3" s="10" t="str">
        <f ca="1">VLOOKUP($B3,OFFSET([2]gachas!$A$2,0,0,COUNTA([2]gachas!$A:$A),MATCH(C$1,[2]gachas!$1:$1,0)-MATCH($B$1,[2]gachas!$1:$1,0)+1),MATCH(C$1,[2]gachas!$1:$1,0)-MATCH($B$1,[2]gachas!$1:$1,0)+1,FALSE)</f>
        <v>ピックアップ02(沖田) 開始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6">
        <v>1072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111</v>
      </c>
      <c r="C4" s="10" t="str">
        <f ca="1">VLOOKUP($B4,OFFSET([2]gachas!$A$2,0,0,COUNTA([2]gachas!$A:$A),MATCH(C$1,[2]gachas!$1:$1,0)-MATCH($B$1,[2]gachas!$1:$1,0)+1),MATCH(C$1,[2]gachas!$1:$1,0)-MATCH($B$1,[2]gachas!$1:$1,0)+1,FALSE)</f>
        <v>ピックアップ02(沖田) 開始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6">
        <v>1072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111</v>
      </c>
      <c r="C5" s="10" t="str">
        <f ca="1">VLOOKUP($B5,OFFSET([2]gachas!$A$2,0,0,COUNTA([2]gachas!$A:$A),MATCH(C$1,[2]gachas!$1:$1,0)-MATCH($B$1,[2]gachas!$1:$1,0)+1),MATCH(C$1,[2]gachas!$1:$1,0)-MATCH($B$1,[2]gachas!$1:$1,0)+1,FALSE)</f>
        <v>ピックアップ02(沖田) 開始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6">
        <v>1072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111</v>
      </c>
      <c r="C6" s="10" t="str">
        <f ca="1">VLOOKUP($B6,OFFSET([2]gachas!$A$2,0,0,COUNTA([2]gachas!$A:$A),MATCH(C$1,[2]gachas!$1:$1,0)-MATCH($B$1,[2]gachas!$1:$1,0)+1),MATCH(C$1,[2]gachas!$1:$1,0)-MATCH($B$1,[2]gachas!$1:$1,0)+1,FALSE)</f>
        <v>ピックアップ02(沖田) 開始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6">
        <v>1072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111</v>
      </c>
      <c r="C7" s="10" t="str">
        <f ca="1">VLOOKUP($B7,OFFSET([2]gachas!$A$2,0,0,COUNTA([2]gachas!$A:$A),MATCH(C$1,[2]gachas!$1:$1,0)-MATCH($B$1,[2]gachas!$1:$1,0)+1),MATCH(C$1,[2]gachas!$1:$1,0)-MATCH($B$1,[2]gachas!$1:$1,0)+1,FALSE)</f>
        <v>ピックアップ02(沖田) 開始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6">
        <v>1072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111</v>
      </c>
      <c r="C8" s="10" t="str">
        <f ca="1">VLOOKUP($B8,OFFSET([2]gachas!$A$2,0,0,COUNTA([2]gachas!$A:$A),MATCH(C$1,[2]gachas!$1:$1,0)-MATCH($B$1,[2]gachas!$1:$1,0)+1),MATCH(C$1,[2]gachas!$1:$1,0)-MATCH($B$1,[2]gachas!$1:$1,0)+1,FALSE)</f>
        <v>ピックアップ02(沖田) 開始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6">
        <v>1072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111</v>
      </c>
      <c r="C9" s="10" t="str">
        <f ca="1">VLOOKUP($B9,OFFSET([2]gachas!$A$2,0,0,COUNTA([2]gachas!$A:$A),MATCH(C$1,[2]gachas!$1:$1,0)-MATCH($B$1,[2]gachas!$1:$1,0)+1),MATCH(C$1,[2]gachas!$1:$1,0)-MATCH($B$1,[2]gachas!$1:$1,0)+1,FALSE)</f>
        <v>ピックアップ02(沖田) 開始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6">
        <v>1072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111</v>
      </c>
      <c r="C10" s="10" t="str">
        <f ca="1">VLOOKUP($B10,OFFSET([2]gachas!$A$2,0,0,COUNTA([2]gachas!$A:$A),MATCH(C$1,[2]gachas!$1:$1,0)-MATCH($B$1,[2]gachas!$1:$1,0)+1),MATCH(C$1,[2]gachas!$1:$1,0)-MATCH($B$1,[2]gachas!$1:$1,0)+1,FALSE)</f>
        <v>ピックアップ02(沖田) 開始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6">
        <v>1072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111</v>
      </c>
      <c r="C11" s="10" t="str">
        <f ca="1">VLOOKUP($B11,OFFSET([2]gachas!$A$2,0,0,COUNTA([2]gachas!$A:$A),MATCH(C$1,[2]gachas!$1:$1,0)-MATCH($B$1,[2]gachas!$1:$1,0)+1),MATCH(C$1,[2]gachas!$1:$1,0)-MATCH($B$1,[2]gachas!$1:$1,0)+1,FALSE)</f>
        <v>ピックアップ02(沖田) 開始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6">
        <v>1072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111</v>
      </c>
      <c r="C12" s="10" t="str">
        <f ca="1">VLOOKUP($B12,OFFSET([2]gachas!$A$2,0,0,COUNTA([2]gachas!$A:$A),MATCH(C$1,[2]gachas!$1:$1,0)-MATCH($B$1,[2]gachas!$1:$1,0)+1),MATCH(C$1,[2]gachas!$1:$1,0)-MATCH($B$1,[2]gachas!$1:$1,0)+1,FALSE)</f>
        <v>ピックアップ02(沖田) 開始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6">
        <v>1072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111</v>
      </c>
      <c r="C13" s="10" t="str">
        <f ca="1">VLOOKUP($B13,OFFSET([2]gachas!$A$2,0,0,COUNTA([2]gachas!$A:$A),MATCH(C$1,[2]gachas!$1:$1,0)-MATCH($B$1,[2]gachas!$1:$1,0)+1),MATCH(C$1,[2]gachas!$1:$1,0)-MATCH($B$1,[2]gachas!$1:$1,0)+1,FALSE)</f>
        <v>ピックアップ02(沖田) 開始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6">
        <v>1072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111</v>
      </c>
      <c r="C14" s="10" t="str">
        <f ca="1">VLOOKUP($B14,OFFSET([2]gachas!$A$2,0,0,COUNTA([2]gachas!$A:$A),MATCH(C$1,[2]gachas!$1:$1,0)-MATCH($B$1,[2]gachas!$1:$1,0)+1),MATCH(C$1,[2]gachas!$1:$1,0)-MATCH($B$1,[2]gachas!$1:$1,0)+1,FALSE)</f>
        <v>ピックアップ02(沖田) 開始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6">
        <v>1072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111</v>
      </c>
      <c r="C15" s="10" t="str">
        <f ca="1">VLOOKUP($B15,OFFSET([2]gachas!$A$2,0,0,COUNTA([2]gachas!$A:$A),MATCH(C$1,[2]gachas!$1:$1,0)-MATCH($B$1,[2]gachas!$1:$1,0)+1),MATCH(C$1,[2]gachas!$1:$1,0)-MATCH($B$1,[2]gachas!$1:$1,0)+1,FALSE)</f>
        <v>ピックアップ02(沖田) 開始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6">
        <v>1072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111</v>
      </c>
      <c r="C16" s="10" t="str">
        <f ca="1">VLOOKUP($B16,OFFSET([2]gachas!$A$2,0,0,COUNTA([2]gachas!$A:$A),MATCH(C$1,[2]gachas!$1:$1,0)-MATCH($B$1,[2]gachas!$1:$1,0)+1),MATCH(C$1,[2]gachas!$1:$1,0)-MATCH($B$1,[2]gachas!$1:$1,0)+1,FALSE)</f>
        <v>ピックアップ02(沖田) 開始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6">
        <v>1072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111</v>
      </c>
      <c r="C17" s="10" t="str">
        <f ca="1">VLOOKUP($B17,OFFSET([2]gachas!$A$2,0,0,COUNTA([2]gachas!$A:$A),MATCH(C$1,[2]gachas!$1:$1,0)-MATCH($B$1,[2]gachas!$1:$1,0)+1),MATCH(C$1,[2]gachas!$1:$1,0)-MATCH($B$1,[2]gachas!$1:$1,0)+1,FALSE)</f>
        <v>ピックアップ02(沖田) 開始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6">
        <v>1072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111</v>
      </c>
      <c r="C18" s="10" t="str">
        <f ca="1">VLOOKUP($B18,OFFSET([2]gachas!$A$2,0,0,COUNTA([2]gachas!$A:$A),MATCH(C$1,[2]gachas!$1:$1,0)-MATCH($B$1,[2]gachas!$1:$1,0)+1),MATCH(C$1,[2]gachas!$1:$1,0)-MATCH($B$1,[2]gachas!$1:$1,0)+1,FALSE)</f>
        <v>ピックアップ02(沖田) 開始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6">
        <v>1072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111</v>
      </c>
      <c r="C19" s="10" t="str">
        <f ca="1">VLOOKUP($B19,OFFSET([2]gachas!$A$2,0,0,COUNTA([2]gachas!$A:$A),MATCH(C$1,[2]gachas!$1:$1,0)-MATCH($B$1,[2]gachas!$1:$1,0)+1),MATCH(C$1,[2]gachas!$1:$1,0)-MATCH($B$1,[2]gachas!$1:$1,0)+1,FALSE)</f>
        <v>ピックアップ02(沖田) 開始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6">
        <v>1072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111</v>
      </c>
      <c r="C20" s="10" t="str">
        <f ca="1">VLOOKUP($B20,OFFSET([2]gachas!$A$2,0,0,COUNTA([2]gachas!$A:$A),MATCH(C$1,[2]gachas!$1:$1,0)-MATCH($B$1,[2]gachas!$1:$1,0)+1),MATCH(C$1,[2]gachas!$1:$1,0)-MATCH($B$1,[2]gachas!$1:$1,0)+1,FALSE)</f>
        <v>ピックアップ02(沖田) 開始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6">
        <v>1072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111</v>
      </c>
      <c r="C21" s="10" t="str">
        <f ca="1">VLOOKUP($B21,OFFSET([2]gachas!$A$2,0,0,COUNTA([2]gachas!$A:$A),MATCH(C$1,[2]gachas!$1:$1,0)-MATCH($B$1,[2]gachas!$1:$1,0)+1),MATCH(C$1,[2]gachas!$1:$1,0)-MATCH($B$1,[2]gachas!$1:$1,0)+1,FALSE)</f>
        <v>ピックアップ02(沖田) 開始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6">
        <v>1072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111</v>
      </c>
      <c r="C22" s="10" t="str">
        <f ca="1">VLOOKUP($B22,OFFSET([2]gachas!$A$2,0,0,COUNTA([2]gachas!$A:$A),MATCH(C$1,[2]gachas!$1:$1,0)-MATCH($B$1,[2]gachas!$1:$1,0)+1),MATCH(C$1,[2]gachas!$1:$1,0)-MATCH($B$1,[2]gachas!$1:$1,0)+1,FALSE)</f>
        <v>ピックアップ02(沖田) 開始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6">
        <v>1133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111</v>
      </c>
      <c r="C23" s="10" t="str">
        <f ca="1">VLOOKUP($B23,OFFSET([2]gachas!$A$2,0,0,COUNTA([2]gachas!$A:$A),MATCH(C$1,[2]gachas!$1:$1,0)-MATCH($B$1,[2]gachas!$1:$1,0)+1),MATCH(C$1,[2]gachas!$1:$1,0)-MATCH($B$1,[2]gachas!$1:$1,0)+1,FALSE)</f>
        <v>ピックアップ02(沖田) 開始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6">
        <v>1133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111</v>
      </c>
      <c r="C24" s="10" t="str">
        <f ca="1">VLOOKUP($B24,OFFSET([2]gachas!$A$2,0,0,COUNTA([2]gachas!$A:$A),MATCH(C$1,[2]gachas!$1:$1,0)-MATCH($B$1,[2]gachas!$1:$1,0)+1),MATCH(C$1,[2]gachas!$1:$1,0)-MATCH($B$1,[2]gachas!$1:$1,0)+1,FALSE)</f>
        <v>ピックアップ02(沖田) 開始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1133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111</v>
      </c>
      <c r="C25" s="10" t="str">
        <f ca="1">VLOOKUP($B25,OFFSET([2]gachas!$A$2,0,0,COUNTA([2]gachas!$A:$A),MATCH(C$1,[2]gachas!$1:$1,0)-MATCH($B$1,[2]gachas!$1:$1,0)+1),MATCH(C$1,[2]gachas!$1:$1,0)-MATCH($B$1,[2]gachas!$1:$1,0)+1,FALSE)</f>
        <v>ピックアップ02(沖田) 開始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1133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111</v>
      </c>
      <c r="C26" s="10" t="str">
        <f ca="1">VLOOKUP($B26,OFFSET([2]gachas!$A$2,0,0,COUNTA([2]gachas!$A:$A),MATCH(C$1,[2]gachas!$1:$1,0)-MATCH($B$1,[2]gachas!$1:$1,0)+1),MATCH(C$1,[2]gachas!$1:$1,0)-MATCH($B$1,[2]gachas!$1:$1,0)+1,FALSE)</f>
        <v>ピックアップ02(沖田) 開始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6">
        <v>1133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111</v>
      </c>
      <c r="C27" s="10" t="str">
        <f ca="1">VLOOKUP($B27,OFFSET([2]gachas!$A$2,0,0,COUNTA([2]gachas!$A:$A),MATCH(C$1,[2]gachas!$1:$1,0)-MATCH($B$1,[2]gachas!$1:$1,0)+1),MATCH(C$1,[2]gachas!$1:$1,0)-MATCH($B$1,[2]gachas!$1:$1,0)+1,FALSE)</f>
        <v>ピックアップ02(沖田) 開始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1133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111</v>
      </c>
      <c r="C28" s="10" t="str">
        <f ca="1">VLOOKUP($B28,OFFSET([2]gachas!$A$2,0,0,COUNTA([2]gachas!$A:$A),MATCH(C$1,[2]gachas!$1:$1,0)-MATCH($B$1,[2]gachas!$1:$1,0)+1),MATCH(C$1,[2]gachas!$1:$1,0)-MATCH($B$1,[2]gachas!$1:$1,0)+1,FALSE)</f>
        <v>ピックアップ02(沖田) 開始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1133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111</v>
      </c>
      <c r="C29" s="10" t="str">
        <f ca="1">VLOOKUP($B29,OFFSET([2]gachas!$A$2,0,0,COUNTA([2]gachas!$A:$A),MATCH(C$1,[2]gachas!$1:$1,0)-MATCH($B$1,[2]gachas!$1:$1,0)+1),MATCH(C$1,[2]gachas!$1:$1,0)-MATCH($B$1,[2]gachas!$1:$1,0)+1,FALSE)</f>
        <v>ピックアップ02(沖田) 開始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1133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111</v>
      </c>
      <c r="C30" s="10" t="str">
        <f ca="1">VLOOKUP($B30,OFFSET([2]gachas!$A$2,0,0,COUNTA([2]gachas!$A:$A),MATCH(C$1,[2]gachas!$1:$1,0)-MATCH($B$1,[2]gachas!$1:$1,0)+1),MATCH(C$1,[2]gachas!$1:$1,0)-MATCH($B$1,[2]gachas!$1:$1,0)+1,FALSE)</f>
        <v>ピックアップ02(沖田) 開始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6">
        <v>1133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111</v>
      </c>
      <c r="C31" s="10" t="str">
        <f ca="1">VLOOKUP($B31,OFFSET([2]gachas!$A$2,0,0,COUNTA([2]gachas!$A:$A),MATCH(C$1,[2]gachas!$1:$1,0)-MATCH($B$1,[2]gachas!$1:$1,0)+1),MATCH(C$1,[2]gachas!$1:$1,0)-MATCH($B$1,[2]gachas!$1:$1,0)+1,FALSE)</f>
        <v>ピックアップ02(沖田) 開始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1133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111</v>
      </c>
      <c r="C32" s="10" t="str">
        <f ca="1">VLOOKUP($B32,OFFSET([2]gachas!$A$2,0,0,COUNTA([2]gachas!$A:$A),MATCH(C$1,[2]gachas!$1:$1,0)-MATCH($B$1,[2]gachas!$1:$1,0)+1),MATCH(C$1,[2]gachas!$1:$1,0)-MATCH($B$1,[2]gachas!$1:$1,0)+1,FALSE)</f>
        <v>ピックアップ02(沖田) 開始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1133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111</v>
      </c>
      <c r="C33" s="10" t="str">
        <f ca="1">VLOOKUP($B33,OFFSET([2]gachas!$A$2,0,0,COUNTA([2]gachas!$A:$A),MATCH(C$1,[2]gachas!$1:$1,0)-MATCH($B$1,[2]gachas!$1:$1,0)+1),MATCH(C$1,[2]gachas!$1:$1,0)-MATCH($B$1,[2]gachas!$1:$1,0)+1,FALSE)</f>
        <v>ピックアップ02(沖田) 開始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6">
        <v>1133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111</v>
      </c>
      <c r="C34" s="10" t="str">
        <f ca="1">VLOOKUP($B34,OFFSET([2]gachas!$A$2,0,0,COUNTA([2]gachas!$A:$A),MATCH(C$1,[2]gachas!$1:$1,0)-MATCH($B$1,[2]gachas!$1:$1,0)+1),MATCH(C$1,[2]gachas!$1:$1,0)-MATCH($B$1,[2]gachas!$1:$1,0)+1,FALSE)</f>
        <v>ピックアップ02(沖田) 開始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6">
        <v>1133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111</v>
      </c>
      <c r="C35" s="10" t="str">
        <f ca="1">VLOOKUP($B35,OFFSET([2]gachas!$A$2,0,0,COUNTA([2]gachas!$A:$A),MATCH(C$1,[2]gachas!$1:$1,0)-MATCH($B$1,[2]gachas!$1:$1,0)+1),MATCH(C$1,[2]gachas!$1:$1,0)-MATCH($B$1,[2]gachas!$1:$1,0)+1,FALSE)</f>
        <v>ピックアップ02(沖田) 開始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1133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111</v>
      </c>
      <c r="C36" s="10" t="str">
        <f ca="1">VLOOKUP($B36,OFFSET([2]gachas!$A$2,0,0,COUNTA([2]gachas!$A:$A),MATCH(C$1,[2]gachas!$1:$1,0)-MATCH($B$1,[2]gachas!$1:$1,0)+1),MATCH(C$1,[2]gachas!$1:$1,0)-MATCH($B$1,[2]gachas!$1:$1,0)+1,FALSE)</f>
        <v>ピックアップ02(沖田) 開始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1133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111</v>
      </c>
      <c r="C37" s="10" t="str">
        <f ca="1">VLOOKUP($B37,OFFSET([2]gachas!$A$2,0,0,COUNTA([2]gachas!$A:$A),MATCH(C$1,[2]gachas!$1:$1,0)-MATCH($B$1,[2]gachas!$1:$1,0)+1),MATCH(C$1,[2]gachas!$1:$1,0)-MATCH($B$1,[2]gachas!$1:$1,0)+1,FALSE)</f>
        <v>ピックアップ02(沖田) 開始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1133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111</v>
      </c>
      <c r="C38" s="10" t="str">
        <f ca="1">VLOOKUP($B38,OFFSET([2]gachas!$A$2,0,0,COUNTA([2]gachas!$A:$A),MATCH(C$1,[2]gachas!$1:$1,0)-MATCH($B$1,[2]gachas!$1:$1,0)+1),MATCH(C$1,[2]gachas!$1:$1,0)-MATCH($B$1,[2]gachas!$1:$1,0)+1,FALSE)</f>
        <v>ピックアップ02(沖田) 開始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6">
        <v>1133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111</v>
      </c>
      <c r="C39" s="10" t="str">
        <f ca="1">VLOOKUP($B39,OFFSET([2]gachas!$A$2,0,0,COUNTA([2]gachas!$A:$A),MATCH(C$1,[2]gachas!$1:$1,0)-MATCH($B$1,[2]gachas!$1:$1,0)+1),MATCH(C$1,[2]gachas!$1:$1,0)-MATCH($B$1,[2]gachas!$1:$1,0)+1,FALSE)</f>
        <v>ピックアップ02(沖田) 開始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1133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111</v>
      </c>
      <c r="C40" s="10" t="str">
        <f ca="1">VLOOKUP($B40,OFFSET([2]gachas!$A$2,0,0,COUNTA([2]gachas!$A:$A),MATCH(C$1,[2]gachas!$1:$1,0)-MATCH($B$1,[2]gachas!$1:$1,0)+1),MATCH(C$1,[2]gachas!$1:$1,0)-MATCH($B$1,[2]gachas!$1:$1,0)+1,FALSE)</f>
        <v>ピックアップ02(沖田) 開始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1133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111</v>
      </c>
      <c r="C41" s="10" t="str">
        <f ca="1">VLOOKUP($B41,OFFSET([2]gachas!$A$2,0,0,COUNTA([2]gachas!$A:$A),MATCH(C$1,[2]gachas!$1:$1,0)-MATCH($B$1,[2]gachas!$1:$1,0)+1),MATCH(C$1,[2]gachas!$1:$1,0)-MATCH($B$1,[2]gachas!$1:$1,0)+1,FALSE)</f>
        <v>ピックアップ02(沖田) 開始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1133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111</v>
      </c>
      <c r="C42" s="10" t="str">
        <f ca="1">VLOOKUP($B42,OFFSET([2]gachas!$A$2,0,0,COUNTA([2]gachas!$A:$A),MATCH(C$1,[2]gachas!$1:$1,0)-MATCH($B$1,[2]gachas!$1:$1,0)+1),MATCH(C$1,[2]gachas!$1:$1,0)-MATCH($B$1,[2]gachas!$1:$1,0)+1,FALSE)</f>
        <v>ピックアップ02(沖田) 開始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6">
        <v>1020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111</v>
      </c>
      <c r="C43" s="10" t="str">
        <f ca="1">VLOOKUP($B43,OFFSET([2]gachas!$A$2,0,0,COUNTA([2]gachas!$A:$A),MATCH(C$1,[2]gachas!$1:$1,0)-MATCH($B$1,[2]gachas!$1:$1,0)+1),MATCH(C$1,[2]gachas!$1:$1,0)-MATCH($B$1,[2]gachas!$1:$1,0)+1,FALSE)</f>
        <v>ピックアップ02(沖田) 開始</v>
      </c>
      <c r="D43" s="29">
        <v>1</v>
      </c>
      <c r="E43" s="30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29">
        <v>1</v>
      </c>
      <c r="M43" s="29">
        <v>687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111</v>
      </c>
      <c r="C44" s="10" t="str">
        <f ca="1">VLOOKUP($B44,OFFSET([2]gachas!$A$2,0,0,COUNTA([2]gachas!$A:$A),MATCH(C$1,[2]gachas!$1:$1,0)-MATCH($B$1,[2]gachas!$1:$1,0)+1),MATCH(C$1,[2]gachas!$1:$1,0)-MATCH($B$1,[2]gachas!$1:$1,0)+1,FALSE)</f>
        <v>ピックアップ02(沖田) 開始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1020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111</v>
      </c>
      <c r="C45" s="10" t="str">
        <f ca="1">VLOOKUP($B45,OFFSET([2]gachas!$A$2,0,0,COUNTA([2]gachas!$A:$A),MATCH(C$1,[2]gachas!$1:$1,0)-MATCH($B$1,[2]gachas!$1:$1,0)+1),MATCH(C$1,[2]gachas!$1:$1,0)-MATCH($B$1,[2]gachas!$1:$1,0)+1,FALSE)</f>
        <v>ピックアップ02(沖田) 開始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6">
        <v>1020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ref="A46:A112" si="1">D46&amp;E46&amp;L46</f>
        <v>12311</v>
      </c>
      <c r="B46" s="2">
        <v>111</v>
      </c>
      <c r="C46" s="10" t="str">
        <f ca="1">VLOOKUP($B46,OFFSET([2]gachas!$A$2,0,0,COUNTA([2]gachas!$A:$A),MATCH(C$1,[2]gachas!$1:$1,0)-MATCH($B$1,[2]gachas!$1:$1,0)+1),MATCH(C$1,[2]gachas!$1:$1,0)-MATCH($B$1,[2]gachas!$1:$1,0)+1,FALSE)</f>
        <v>ピックアップ02(沖田) 開始</v>
      </c>
      <c r="D46" s="29">
        <v>1</v>
      </c>
      <c r="E46" s="30">
        <v>231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PremiumS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green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ドラゴン</v>
      </c>
      <c r="L46" s="29">
        <v>1</v>
      </c>
      <c r="M46" s="29">
        <v>1083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1"/>
        <v>12391</v>
      </c>
      <c r="B47" s="2">
        <v>111</v>
      </c>
      <c r="C47" s="10" t="str">
        <f ca="1">VLOOKUP($B47,OFFSET([2]gachas!$A$2,0,0,COUNTA([2]gachas!$A:$A),MATCH(C$1,[2]gachas!$1:$1,0)-MATCH($B$1,[2]gachas!$1:$1,0)+1),MATCH(C$1,[2]gachas!$1:$1,0)-MATCH($B$1,[2]gachas!$1:$1,0)+1,FALSE)</f>
        <v>ピックアップ02(沖田) 開始</v>
      </c>
      <c r="D47" s="6">
        <v>1</v>
      </c>
      <c r="E47" s="19">
        <v>239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豪炎の天使 ウリエル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PremiumS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4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red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マシン</v>
      </c>
      <c r="L47" s="6">
        <v>1</v>
      </c>
      <c r="M47" s="45">
        <v>1020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1"/>
        <v>12421</v>
      </c>
      <c r="B48" s="2">
        <v>111</v>
      </c>
      <c r="C48" s="10" t="str">
        <f ca="1">VLOOKUP($B48,OFFSET([2]gachas!$A$2,0,0,COUNTA([2]gachas!$A:$A),MATCH(C$1,[2]gachas!$1:$1,0)-MATCH($B$1,[2]gachas!$1:$1,0)+1),MATCH(C$1,[2]gachas!$1:$1,0)-MATCH($B$1,[2]gachas!$1:$1,0)+1,FALSE)</f>
        <v>ピックアップ02(沖田) 開始</v>
      </c>
      <c r="D48" s="6">
        <v>1</v>
      </c>
      <c r="E48" s="19">
        <v>242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PremiumS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4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green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マシン</v>
      </c>
      <c r="L48" s="6">
        <v>1</v>
      </c>
      <c r="M48" s="45">
        <v>1020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1"/>
        <v>12451</v>
      </c>
      <c r="B49" s="2">
        <v>111</v>
      </c>
      <c r="C49" s="10" t="str">
        <f ca="1">VLOOKUP($B49,OFFSET([2]gachas!$A$2,0,0,COUNTA([2]gachas!$A:$A),MATCH(C$1,[2]gachas!$1:$1,0)-MATCH($B$1,[2]gachas!$1:$1,0)+1),MATCH(C$1,[2]gachas!$1:$1,0)-MATCH($B$1,[2]gachas!$1:$1,0)+1,FALSE)</f>
        <v>ピックアップ02(沖田) 開始</v>
      </c>
      <c r="D49" s="6">
        <v>1</v>
      </c>
      <c r="E49" s="19">
        <v>245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PremiumS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4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blue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マシン</v>
      </c>
      <c r="L49" s="6">
        <v>1</v>
      </c>
      <c r="M49" s="45">
        <v>1020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1"/>
        <v>12481</v>
      </c>
      <c r="B50" s="2">
        <v>111</v>
      </c>
      <c r="C50" s="10" t="str">
        <f ca="1">VLOOKUP($B50,OFFSET([2]gachas!$A$2,0,0,COUNTA([2]gachas!$A:$A),MATCH(C$1,[2]gachas!$1:$1,0)-MATCH($B$1,[2]gachas!$1:$1,0)+1),MATCH(C$1,[2]gachas!$1:$1,0)-MATCH($B$1,[2]gachas!$1:$1,0)+1,FALSE)</f>
        <v>ピックアップ02(沖田) 開始</v>
      </c>
      <c r="D50" s="29">
        <v>1</v>
      </c>
      <c r="E50" s="36">
        <v>248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彩電の天使 ミカエル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PremiumS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yellow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マシン</v>
      </c>
      <c r="L50" s="29">
        <v>1</v>
      </c>
      <c r="M50" s="29">
        <v>687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s="26" customFormat="1" ht="21" customHeight="1" thickBot="1">
      <c r="A51" s="22" t="str">
        <f t="shared" si="1"/>
        <v>12491</v>
      </c>
      <c r="B51" s="2">
        <v>111</v>
      </c>
      <c r="C51" s="10" t="str">
        <f ca="1">VLOOKUP($B51,OFFSET([2]gachas!$A$2,0,0,COUNTA([2]gachas!$A:$A),MATCH(C$1,[2]gachas!$1:$1,0)-MATCH($B$1,[2]gachas!$1:$1,0)+1),MATCH(C$1,[2]gachas!$1:$1,0)-MATCH($B$1,[2]gachas!$1:$1,0)+1,FALSE)</f>
        <v>ピックアップ02(沖田) 開始</v>
      </c>
      <c r="D51" s="29">
        <v>1</v>
      </c>
      <c r="E51" s="36">
        <v>249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PremiumS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yellow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マシン</v>
      </c>
      <c r="L51" s="29">
        <v>1</v>
      </c>
      <c r="M51" s="29">
        <v>1083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 thickBot="1">
      <c r="A52" s="22" t="str">
        <f t="shared" si="1"/>
        <v>12511</v>
      </c>
      <c r="B52" s="2">
        <v>111</v>
      </c>
      <c r="C52" s="10" t="str">
        <f ca="1">VLOOKUP($B52,OFFSET([2]gachas!$A$2,0,0,COUNTA([2]gachas!$A:$A),MATCH(C$1,[2]gachas!$1:$1,0)-MATCH($B$1,[2]gachas!$1:$1,0)+1),MATCH(C$1,[2]gachas!$1:$1,0)-MATCH($B$1,[2]gachas!$1:$1,0)+1,FALSE)</f>
        <v>ピックアップ02(沖田) 開始</v>
      </c>
      <c r="D52" s="6">
        <v>1</v>
      </c>
      <c r="E52" s="7">
        <v>251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強欲 マンモン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PremiumS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red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ゴッド</v>
      </c>
      <c r="L52" s="6">
        <v>1</v>
      </c>
      <c r="M52" s="45">
        <v>1020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 thickBot="1">
      <c r="A53" s="22" t="str">
        <f t="shared" si="1"/>
        <v>12541</v>
      </c>
      <c r="B53" s="2">
        <v>111</v>
      </c>
      <c r="C53" s="10" t="str">
        <f ca="1">VLOOKUP($B53,OFFSET([2]gachas!$A$2,0,0,COUNTA([2]gachas!$A:$A),MATCH(C$1,[2]gachas!$1:$1,0)-MATCH($B$1,[2]gachas!$1:$1,0)+1),MATCH(C$1,[2]gachas!$1:$1,0)-MATCH($B$1,[2]gachas!$1:$1,0)+1,FALSE)</f>
        <v>ピックアップ02(沖田) 開始</v>
      </c>
      <c r="D53" s="6">
        <v>1</v>
      </c>
      <c r="E53" s="7">
        <v>254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怠惰 ベルフェゴール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PremiumS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green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ゴッド</v>
      </c>
      <c r="L53" s="6">
        <v>1</v>
      </c>
      <c r="M53" s="45">
        <v>1020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 thickBot="1">
      <c r="A54" s="22" t="str">
        <f t="shared" si="1"/>
        <v>12571</v>
      </c>
      <c r="B54" s="2">
        <v>111</v>
      </c>
      <c r="C54" s="10" t="str">
        <f ca="1">VLOOKUP($B54,OFFSET([2]gachas!$A$2,0,0,COUNTA([2]gachas!$A:$A),MATCH(C$1,[2]gachas!$1:$1,0)-MATCH($B$1,[2]gachas!$1:$1,0)+1),MATCH(C$1,[2]gachas!$1:$1,0)-MATCH($B$1,[2]gachas!$1:$1,0)+1,FALSE)</f>
        <v>ピックアップ02(沖田) 開始</v>
      </c>
      <c r="D54" s="6">
        <v>1</v>
      </c>
      <c r="E54" s="7">
        <v>257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色欲 アスモデウス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PremiumS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blue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ゴッド</v>
      </c>
      <c r="L54" s="6">
        <v>1</v>
      </c>
      <c r="M54" s="45">
        <v>1020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 thickBot="1">
      <c r="A55" s="22" t="str">
        <f t="shared" si="1"/>
        <v>12601</v>
      </c>
      <c r="B55" s="2">
        <v>111</v>
      </c>
      <c r="C55" s="10" t="str">
        <f ca="1">VLOOKUP($B55,OFFSET([2]gachas!$A$2,0,0,COUNTA([2]gachas!$A:$A),MATCH(C$1,[2]gachas!$1:$1,0)-MATCH($B$1,[2]gachas!$1:$1,0)+1),MATCH(C$1,[2]gachas!$1:$1,0)-MATCH($B$1,[2]gachas!$1:$1,0)+1,FALSE)</f>
        <v>ピックアップ02(沖田) 開始</v>
      </c>
      <c r="D55" s="6">
        <v>1</v>
      </c>
      <c r="E55" s="7">
        <v>260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輪廻 ウロボロス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PremiumS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yellow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ドラゴン</v>
      </c>
      <c r="L55" s="6">
        <v>1</v>
      </c>
      <c r="M55" s="45">
        <v>1020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 thickBot="1">
      <c r="A56" s="22" t="str">
        <f t="shared" si="1"/>
        <v>13201</v>
      </c>
      <c r="B56" s="2">
        <v>111</v>
      </c>
      <c r="C56" s="10" t="str">
        <f ca="1">VLOOKUP($B56,OFFSET([2]gachas!$A$2,0,0,COUNTA([2]gachas!$A:$A),MATCH(C$1,[2]gachas!$1:$1,0)-MATCH($B$1,[2]gachas!$1:$1,0)+1),MATCH(C$1,[2]gachas!$1:$1,0)-MATCH($B$1,[2]gachas!$1:$1,0)+1,FALSE)</f>
        <v>ピックアップ02(沖田) 開始</v>
      </c>
      <c r="D56" s="21">
        <v>1</v>
      </c>
      <c r="E56" s="27">
        <v>320</v>
      </c>
      <c r="F56" s="20" t="str">
        <f ca="1">VLOOKUP($E56,OFFSET([1]characters!$A$2,0,0,COUNTA([1]characters!$A:$A),MATCH(F$1,[1]characters!$2:$2,0)-MATCH($E$1,[1]characters!$2:$2,0)+1),MATCH(F$1,[1]characters!$2:$2,0)-MATCH($E$1,[1]characters!$2:$2,0)+1,FALSE)</f>
        <v>烈志士 近藤勇</v>
      </c>
      <c r="G56" s="20" t="str">
        <f ca="1">VLOOKUP($E56,OFFSET([1]characters!$A$2,0,0,COUNTA([1]characters!$A:$A),MATCH(G$1,[1]characters!$2:$2,0)-MATCH($E$1,[1]characters!$2:$2,0)+1),MATCH(G$1,[1]characters!$2:$2,0)-MATCH($E$1,[1]characters!$2:$2,0)+1,FALSE)</f>
        <v>PremiumSS</v>
      </c>
      <c r="H56" s="20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20" t="str">
        <f ca="1">VLOOKUP($E56,OFFSET([1]characters!$A$2,0,0,COUNTA([1]characters!$A:$A),MATCH(I$1,[1]characters!$2:$2,0)-MATCH($E$1,[1]characters!$2:$2,0)+1),MATCH(I$1,[1]characters!$2:$2,0)-MATCH($E$1,[1]characters!$2:$2,0)+1,FALSE)</f>
        <v>red</v>
      </c>
      <c r="J56" s="20" t="str">
        <f ca="1">VLOOKUP($E56,OFFSET([1]characters!$A$2,0,0,COUNTA([1]characters!$A:$A),MATCH("タイプ",[1]characters!$1:$1,0)-MATCH($E$1,[1]characters!$2:$2,0)+2),MATCH("タイプ",[1]characters!$1:$1,0)-MATCH($E$1,[1]characters!$2:$2,0)+2,FALSE)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6" s="2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21">
        <v>1</v>
      </c>
      <c r="M56" s="43">
        <v>189</v>
      </c>
      <c r="N56" s="18">
        <v>0</v>
      </c>
      <c r="O56" s="18">
        <v>0</v>
      </c>
      <c r="P56" s="18">
        <v>0</v>
      </c>
      <c r="Q56" s="18">
        <v>0</v>
      </c>
      <c r="R56" s="18">
        <v>1</v>
      </c>
    </row>
    <row r="57" spans="1:18" ht="21" customHeight="1" thickBot="1">
      <c r="A57" s="22" t="str">
        <f t="shared" si="1"/>
        <v>13221</v>
      </c>
      <c r="B57" s="2">
        <v>111</v>
      </c>
      <c r="C57" s="10" t="str">
        <f ca="1">VLOOKUP($B57,OFFSET([2]gachas!$A$2,0,0,COUNTA([2]gachas!$A:$A),MATCH(C$1,[2]gachas!$1:$1,0)-MATCH($B$1,[2]gachas!$1:$1,0)+1),MATCH(C$1,[2]gachas!$1:$1,0)-MATCH($B$1,[2]gachas!$1:$1,0)+1,FALSE)</f>
        <v>ピックアップ02(沖田) 開始</v>
      </c>
      <c r="D57" s="6">
        <v>1</v>
      </c>
      <c r="E57" s="7">
        <v>322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愛志士 土方歳三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PremiumSS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green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43">
        <v>189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 thickBot="1">
      <c r="A58" s="22" t="str">
        <f t="shared" si="1"/>
        <v>13241</v>
      </c>
      <c r="B58" s="2">
        <v>111</v>
      </c>
      <c r="C58" s="10" t="str">
        <f ca="1">VLOOKUP($B58,OFFSET([2]gachas!$A$2,0,0,COUNTA([2]gachas!$A:$A),MATCH(C$1,[2]gachas!$1:$1,0)-MATCH($B$1,[2]gachas!$1:$1,0)+1),MATCH(C$1,[2]gachas!$1:$1,0)-MATCH($B$1,[2]gachas!$1:$1,0)+1,FALSE)</f>
        <v>ピックアップ02(沖田) 開始</v>
      </c>
      <c r="D58" s="29">
        <v>1</v>
      </c>
      <c r="E58" s="30">
        <v>324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凛志士 沖田総司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PremiumSS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4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blue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29">
        <v>1</v>
      </c>
      <c r="M58" s="29">
        <v>396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 thickBot="1">
      <c r="A59" s="22" t="str">
        <f t="shared" si="1"/>
        <v>13251</v>
      </c>
      <c r="B59" s="2">
        <v>111</v>
      </c>
      <c r="C59" s="10" t="str">
        <f ca="1">VLOOKUP($B59,OFFSET([2]gachas!$A$2,0,0,COUNTA([2]gachas!$A:$A),MATCH(C$1,[2]gachas!$1:$1,0)-MATCH($B$1,[2]gachas!$1:$1,0)+1),MATCH(C$1,[2]gachas!$1:$1,0)-MATCH($B$1,[2]gachas!$1:$1,0)+1,FALSE)</f>
        <v>ピックアップ02(沖田) 開始</v>
      </c>
      <c r="D59" s="29">
        <v>1</v>
      </c>
      <c r="E59" s="30">
        <v>325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PremiumSS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blue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29">
        <v>1</v>
      </c>
      <c r="M59" s="29">
        <v>194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s="26" customFormat="1" ht="21" customHeight="1" thickBot="1">
      <c r="A60" s="22" t="str">
        <f t="shared" si="1"/>
        <v>13261</v>
      </c>
      <c r="B60" s="32">
        <v>111</v>
      </c>
      <c r="C60" s="10" t="str">
        <f ca="1">VLOOKUP($B60,OFFSET([2]gachas!$A$2,0,0,COUNTA([2]gachas!$A:$A),MATCH(C$1,[2]gachas!$1:$1,0)-MATCH($B$1,[2]gachas!$1:$1,0)+1),MATCH(C$1,[2]gachas!$1:$1,0)-MATCH($B$1,[2]gachas!$1:$1,0)+1,FALSE)</f>
        <v>ピックアップ02(沖田) 開始</v>
      </c>
      <c r="D60" s="24">
        <v>1</v>
      </c>
      <c r="E60" s="25">
        <v>326</v>
      </c>
      <c r="F60" s="23" t="str">
        <f ca="1">VLOOKUP($E60,OFFSET([1]characters!$A$2,0,0,COUNTA([1]characters!$A:$A),MATCH(F$1,[1]characters!$2:$2,0)-MATCH($E$1,[1]characters!$2:$2,0)+1),MATCH(F$1,[1]characters!$2:$2,0)-MATCH($E$1,[1]characters!$2:$2,0)+1,FALSE)</f>
        <v>妖志士 斎藤一</v>
      </c>
      <c r="G60" s="23" t="str">
        <f ca="1">VLOOKUP($E60,OFFSET([1]characters!$A$2,0,0,COUNTA([1]characters!$A:$A),MATCH(G$1,[1]characters!$2:$2,0)-MATCH($E$1,[1]characters!$2:$2,0)+1),MATCH(G$1,[1]characters!$2:$2,0)-MATCH($E$1,[1]characters!$2:$2,0)+1,FALSE)</f>
        <v>PremiumSS</v>
      </c>
      <c r="H60" s="23">
        <f ca="1">VLOOKUP($E60,OFFSET([1]characters!$A$2,0,0,COUNTA([1]characters!$A:$A),MATCH(H$1,[1]characters!$2:$2,0)-MATCH($E$1,[1]characters!$2:$2,0)+1),MATCH(H$1,[1]characters!$2:$2,0)-MATCH($E$1,[1]characters!$2:$2,0)+1,FALSE)</f>
        <v>4</v>
      </c>
      <c r="I60" s="23" t="str">
        <f ca="1">VLOOKUP($E60,OFFSET([1]characters!$A$2,0,0,COUNTA([1]characters!$A:$A),MATCH(I$1,[1]characters!$2:$2,0)-MATCH($E$1,[1]characters!$2:$2,0)+1),MATCH(I$1,[1]characters!$2:$2,0)-MATCH($E$1,[1]characters!$2:$2,0)+1,FALSE)</f>
        <v>yellow</v>
      </c>
      <c r="J60" s="23" t="str">
        <f ca="1">VLOOKUP($E60,OFFSET([1]characters!$A$2,0,0,COUNTA([1]characters!$A:$A),MATCH("タイプ",[1]characters!$1:$1,0)-MATCH($E$1,[1]characters!$2:$2,0)+2),MATCH("タイプ",[1]characters!$1:$1,0)-MATCH($E$1,[1]characters!$2:$2,0)+2,FALSE)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0" s="23" t="str">
        <f ca="1">VLOOKUP($E60,OFFSET([1]characters!$A$2,0,0,COUNTA([1]characters!$A:$A),MATCH($K$1,[1]characters!$1:$1,0)-MATCH($E$1,[1]characters!$2:$2,0)+2),MATCH($K$1,[1]characters!$1:$1,0)-MATCH($E$1,[1]characters!$2:$2,0)+2,FALSE)</f>
        <v>ヒューマン</v>
      </c>
      <c r="L60" s="24">
        <v>1</v>
      </c>
      <c r="M60" s="44">
        <v>189</v>
      </c>
      <c r="N60" s="35">
        <v>0</v>
      </c>
      <c r="O60" s="35">
        <v>0</v>
      </c>
      <c r="P60" s="35">
        <v>0</v>
      </c>
      <c r="Q60" s="35">
        <v>0</v>
      </c>
      <c r="R60" s="35">
        <v>1</v>
      </c>
    </row>
    <row r="61" spans="1:18" ht="21" customHeight="1">
      <c r="A61" s="8" t="str">
        <f t="shared" ref="A61" si="2">D61&amp;E61&amp;L61</f>
        <v>01261</v>
      </c>
      <c r="B61" s="31">
        <v>111</v>
      </c>
      <c r="C61" s="10" t="str">
        <f ca="1">VLOOKUP($B61,OFFSET([2]gachas!$A$2,0,0,COUNTA([2]gachas!$A:$A),MATCH(C$1,[2]gachas!$1:$1,0)-MATCH($B$1,[2]gachas!$1:$1,0)+1),MATCH(C$1,[2]gachas!$1:$1,0)-MATCH($B$1,[2]gachas!$1:$1,0)+1,FALSE)</f>
        <v>ピックアップ02(沖田) 開始</v>
      </c>
      <c r="D61" s="21">
        <v>0</v>
      </c>
      <c r="E61" s="27">
        <v>126</v>
      </c>
      <c r="F61" s="20" t="str">
        <f ca="1">VLOOKUP($E61,OFFSET([1]characters!$A$2,0,0,COUNTA([1]characters!$A:$A),MATCH(F$1,[1]characters!$2:$2,0)-MATCH($E$1,[1]characters!$2:$2,0)+1),MATCH(F$1,[1]characters!$2:$2,0)-MATCH($E$1,[1]characters!$2:$2,0)+1,FALSE)</f>
        <v>骨器使い ユノ</v>
      </c>
      <c r="G61" s="20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20">
        <f ca="1">VLOOKUP($E61,OFFSET([1]characters!$A$2,0,0,COUNTA([1]characters!$A:$A),MATCH(H$1,[1]characters!$2:$2,0)-MATCH($E$1,[1]characters!$2:$2,0)+1),MATCH(H$1,[1]characters!$2:$2,0)-MATCH($E$1,[1]characters!$2:$2,0)+1,FALSE)</f>
        <v>3</v>
      </c>
      <c r="I61" s="20" t="str">
        <f ca="1">VLOOKUP($E61,OFFSET([1]characters!$A$2,0,0,COUNTA([1]characters!$A:$A),MATCH(I$1,[1]characters!$2:$2,0)-MATCH($E$1,[1]characters!$2:$2,0)+1),MATCH(I$1,[1]characters!$2:$2,0)-MATCH($E$1,[1]characters!$2:$2,0)+1,FALSE)</f>
        <v>red</v>
      </c>
      <c r="J61" s="20" t="str">
        <f ca="1">VLOOKUP($E61,OFFSET([1]characters!$A$2,0,0,COUNTA([1]characters!$A:$A),MATCH("タイプ",[1]characters!$1:$1,0)-MATCH($E$1,[1]characters!$2:$2,0)+2),MATCH("タイプ",[1]characters!$1:$1,0)-MATCH($E$1,[1]characters!$2:$2,0)+2,FALSE)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1" s="20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21">
        <v>1</v>
      </c>
      <c r="M61" s="21">
        <v>1683</v>
      </c>
      <c r="N61" s="18">
        <v>0</v>
      </c>
      <c r="O61" s="18">
        <v>0</v>
      </c>
      <c r="P61" s="18">
        <v>0</v>
      </c>
      <c r="Q61" s="18">
        <v>0</v>
      </c>
      <c r="R61" s="18">
        <v>1</v>
      </c>
    </row>
    <row r="62" spans="1:18" ht="21" customHeight="1">
      <c r="A62" s="8" t="str">
        <f t="shared" si="1"/>
        <v>01281</v>
      </c>
      <c r="B62" s="31">
        <v>111</v>
      </c>
      <c r="C62" s="10" t="str">
        <f ca="1">VLOOKUP($B62,OFFSET([2]gachas!$A$2,0,0,COUNTA([2]gachas!$A:$A),MATCH(C$1,[2]gachas!$1:$1,0)-MATCH($B$1,[2]gachas!$1:$1,0)+1),MATCH(C$1,[2]gachas!$1:$1,0)-MATCH($B$1,[2]gachas!$1:$1,0)+1,FALSE)</f>
        <v>ピックアップ02(沖田) 開始</v>
      </c>
      <c r="D62" s="21">
        <v>0</v>
      </c>
      <c r="E62" s="27">
        <v>128</v>
      </c>
      <c r="F62" s="20" t="str">
        <f ca="1">VLOOKUP($E62,OFFSET([1]characters!$A$2,0,0,COUNTA([1]characters!$A:$A),MATCH(F$1,[1]characters!$2:$2,0)-MATCH($E$1,[1]characters!$2:$2,0)+1),MATCH(F$1,[1]characters!$2:$2,0)-MATCH($E$1,[1]characters!$2:$2,0)+1,FALSE)</f>
        <v>野生児 アマラ</v>
      </c>
      <c r="G62" s="20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20">
        <f ca="1">VLOOKUP($E62,OFFSET([1]characters!$A$2,0,0,COUNTA([1]characters!$A:$A),MATCH(H$1,[1]characters!$2:$2,0)-MATCH($E$1,[1]characters!$2:$2,0)+1),MATCH(H$1,[1]characters!$2:$2,0)-MATCH($E$1,[1]characters!$2:$2,0)+1,FALSE)</f>
        <v>3</v>
      </c>
      <c r="I62" s="20" t="str">
        <f ca="1">VLOOKUP($E62,OFFSET([1]characters!$A$2,0,0,COUNTA([1]characters!$A:$A),MATCH(I$1,[1]characters!$2:$2,0)-MATCH($E$1,[1]characters!$2:$2,0)+1),MATCH(I$1,[1]characters!$2:$2,0)-MATCH($E$1,[1]characters!$2:$2,0)+1,FALSE)</f>
        <v>green</v>
      </c>
      <c r="J62" s="20" t="str">
        <f ca="1">VLOOKUP($E62,OFFSET([1]characters!$A$2,0,0,COUNTA([1]characters!$A:$A),MATCH("タイプ",[1]characters!$1:$1,0)-MATCH($E$1,[1]characters!$2:$2,0)+2),MATCH("タイプ",[1]characters!$1:$1,0)-MATCH($E$1,[1]characters!$2:$2,0)+2,FALSE)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2" s="20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21">
        <v>1</v>
      </c>
      <c r="M62" s="21">
        <v>1683</v>
      </c>
      <c r="N62" s="18">
        <v>0</v>
      </c>
      <c r="O62" s="18">
        <v>0</v>
      </c>
      <c r="P62" s="18">
        <v>0</v>
      </c>
      <c r="Q62" s="18">
        <v>0</v>
      </c>
      <c r="R62" s="18">
        <v>1</v>
      </c>
    </row>
    <row r="63" spans="1:18" ht="21" customHeight="1">
      <c r="A63" s="8" t="str">
        <f t="shared" si="1"/>
        <v>01301</v>
      </c>
      <c r="B63" s="2">
        <v>111</v>
      </c>
      <c r="C63" s="10" t="str">
        <f ca="1">VLOOKUP($B63,OFFSET([2]gachas!$A$2,0,0,COUNTA([2]gachas!$A:$A),MATCH(C$1,[2]gachas!$1:$1,0)-MATCH($B$1,[2]gachas!$1:$1,0)+1),MATCH(C$1,[2]gachas!$1:$1,0)-MATCH($B$1,[2]gachas!$1:$1,0)+1,FALSE)</f>
        <v>ピックアップ02(沖田) 開始</v>
      </c>
      <c r="D63" s="6">
        <v>0</v>
      </c>
      <c r="E63" s="7">
        <v>130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狼男 ローレンス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3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blue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アニマル</v>
      </c>
      <c r="L63" s="6">
        <v>1</v>
      </c>
      <c r="M63" s="21">
        <v>1683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1"/>
        <v>01321</v>
      </c>
      <c r="B64" s="2">
        <v>111</v>
      </c>
      <c r="C64" s="10" t="str">
        <f ca="1">VLOOKUP($B64,OFFSET([2]gachas!$A$2,0,0,COUNTA([2]gachas!$A:$A),MATCH(C$1,[2]gachas!$1:$1,0)-MATCH($B$1,[2]gachas!$1:$1,0)+1),MATCH(C$1,[2]gachas!$1:$1,0)-MATCH($B$1,[2]gachas!$1:$1,0)+1,FALSE)</f>
        <v>ピックアップ02(沖田) 開始</v>
      </c>
      <c r="D64" s="6">
        <v>0</v>
      </c>
      <c r="E64" s="7">
        <v>132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鳥人ハヤト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3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yellow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6">
        <v>1</v>
      </c>
      <c r="M64" s="21">
        <v>1683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1"/>
        <v>01341</v>
      </c>
      <c r="B65" s="2">
        <v>111</v>
      </c>
      <c r="C65" s="10" t="str">
        <f ca="1">VLOOKUP($B65,OFFSET([2]gachas!$A$2,0,0,COUNTA([2]gachas!$A:$A),MATCH(C$1,[2]gachas!$1:$1,0)-MATCH($B$1,[2]gachas!$1:$1,0)+1),MATCH(C$1,[2]gachas!$1:$1,0)-MATCH($B$1,[2]gachas!$1:$1,0)+1,FALSE)</f>
        <v>ピックアップ02(沖田) 開始</v>
      </c>
      <c r="D65" s="6">
        <v>0</v>
      </c>
      <c r="E65" s="7">
        <v>134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妖炎の夕霧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3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red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21">
        <v>1683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si="1"/>
        <v>01361</v>
      </c>
      <c r="B66" s="2">
        <v>111</v>
      </c>
      <c r="C66" s="10" t="str">
        <f ca="1">VLOOKUP($B66,OFFSET([2]gachas!$A$2,0,0,COUNTA([2]gachas!$A:$A),MATCH(C$1,[2]gachas!$1:$1,0)-MATCH($B$1,[2]gachas!$1:$1,0)+1),MATCH(C$1,[2]gachas!$1:$1,0)-MATCH($B$1,[2]gachas!$1:$1,0)+1,FALSE)</f>
        <v>ピックアップ02(沖田) 開始</v>
      </c>
      <c r="D66" s="6">
        <v>0</v>
      </c>
      <c r="E66" s="7">
        <v>136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お針子チハヤ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PremiumW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3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green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ヒューマン</v>
      </c>
      <c r="L66" s="6">
        <v>1</v>
      </c>
      <c r="M66" s="21">
        <v>1683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01381</v>
      </c>
      <c r="B67" s="2">
        <v>111</v>
      </c>
      <c r="C67" s="10" t="str">
        <f ca="1">VLOOKUP($B67,OFFSET([2]gachas!$A$2,0,0,COUNTA([2]gachas!$A:$A),MATCH(C$1,[2]gachas!$1:$1,0)-MATCH($B$1,[2]gachas!$1:$1,0)+1),MATCH(C$1,[2]gachas!$1:$1,0)-MATCH($B$1,[2]gachas!$1:$1,0)+1,FALSE)</f>
        <v>ピックアップ02(沖田) 開始</v>
      </c>
      <c r="D67" s="6">
        <v>0</v>
      </c>
      <c r="E67" s="7">
        <v>138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蒼薙のトモエ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PremiumW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3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blue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ヒューマン</v>
      </c>
      <c r="L67" s="6">
        <v>1</v>
      </c>
      <c r="M67" s="21">
        <v>1683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01401</v>
      </c>
      <c r="B68" s="2">
        <v>111</v>
      </c>
      <c r="C68" s="10" t="str">
        <f ca="1">VLOOKUP($B68,OFFSET([2]gachas!$A$2,0,0,COUNTA([2]gachas!$A:$A),MATCH(C$1,[2]gachas!$1:$1,0)-MATCH($B$1,[2]gachas!$1:$1,0)+1),MATCH(C$1,[2]gachas!$1:$1,0)-MATCH($B$1,[2]gachas!$1:$1,0)+1,FALSE)</f>
        <v>ピックアップ02(沖田) 開始</v>
      </c>
      <c r="D68" s="6">
        <v>0</v>
      </c>
      <c r="E68" s="7">
        <v>140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秋祭のタマモ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PremiumW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3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yellow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アニマル</v>
      </c>
      <c r="L68" s="6">
        <v>1</v>
      </c>
      <c r="M68" s="21">
        <v>1683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ht="21" customHeight="1">
      <c r="A69" s="8" t="str">
        <f t="shared" si="1"/>
        <v>01421</v>
      </c>
      <c r="B69" s="2">
        <v>111</v>
      </c>
      <c r="C69" s="10" t="str">
        <f ca="1">VLOOKUP($B69,OFFSET([2]gachas!$A$2,0,0,COUNTA([2]gachas!$A:$A),MATCH(C$1,[2]gachas!$1:$1,0)-MATCH($B$1,[2]gachas!$1:$1,0)+1),MATCH(C$1,[2]gachas!$1:$1,0)-MATCH($B$1,[2]gachas!$1:$1,0)+1,FALSE)</f>
        <v>ピックアップ02(沖田) 開始</v>
      </c>
      <c r="D69" s="6">
        <v>0</v>
      </c>
      <c r="E69" s="7">
        <v>142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赤ずきん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PremiumW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3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red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ヒューマン</v>
      </c>
      <c r="L69" s="6">
        <v>1</v>
      </c>
      <c r="M69" s="21">
        <v>1683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01441</v>
      </c>
      <c r="B70" s="2">
        <v>111</v>
      </c>
      <c r="C70" s="10" t="str">
        <f ca="1">VLOOKUP($B70,OFFSET([2]gachas!$A$2,0,0,COUNTA([2]gachas!$A:$A),MATCH(C$1,[2]gachas!$1:$1,0)-MATCH($B$1,[2]gachas!$1:$1,0)+1),MATCH(C$1,[2]gachas!$1:$1,0)-MATCH($B$1,[2]gachas!$1:$1,0)+1,FALSE)</f>
        <v>ピックアップ02(沖田) 開始</v>
      </c>
      <c r="D70" s="6">
        <v>0</v>
      </c>
      <c r="E70" s="7">
        <v>144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かぐや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PremiumW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3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green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ヒューマン</v>
      </c>
      <c r="L70" s="6">
        <v>1</v>
      </c>
      <c r="M70" s="21">
        <v>1683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01461</v>
      </c>
      <c r="B71" s="2">
        <v>111</v>
      </c>
      <c r="C71" s="10" t="str">
        <f ca="1">VLOOKUP($B71,OFFSET([2]gachas!$A$2,0,0,COUNTA([2]gachas!$A:$A),MATCH(C$1,[2]gachas!$1:$1,0)-MATCH($B$1,[2]gachas!$1:$1,0)+1),MATCH(C$1,[2]gachas!$1:$1,0)-MATCH($B$1,[2]gachas!$1:$1,0)+1,FALSE)</f>
        <v>ピックアップ02(沖田) 開始</v>
      </c>
      <c r="D71" s="6">
        <v>0</v>
      </c>
      <c r="E71" s="7">
        <v>146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マーメイド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PremiumW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3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blue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ヒューマン</v>
      </c>
      <c r="L71" s="6">
        <v>1</v>
      </c>
      <c r="M71" s="21">
        <v>1683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01481</v>
      </c>
      <c r="B72" s="2">
        <v>111</v>
      </c>
      <c r="C72" s="10" t="str">
        <f ca="1">VLOOKUP($B72,OFFSET([2]gachas!$A$2,0,0,COUNTA([2]gachas!$A:$A),MATCH(C$1,[2]gachas!$1:$1,0)-MATCH($B$1,[2]gachas!$1:$1,0)+1),MATCH(C$1,[2]gachas!$1:$1,0)-MATCH($B$1,[2]gachas!$1:$1,0)+1,FALSE)</f>
        <v>ピックアップ02(沖田) 開始</v>
      </c>
      <c r="D72" s="6">
        <v>0</v>
      </c>
      <c r="E72" s="7">
        <v>148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シンデレラ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PremiumW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3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yellow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ヒューマン</v>
      </c>
      <c r="L72" s="6">
        <v>1</v>
      </c>
      <c r="M72" s="21">
        <v>1683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01501</v>
      </c>
      <c r="B73" s="2">
        <v>111</v>
      </c>
      <c r="C73" s="10" t="str">
        <f ca="1">VLOOKUP($B73,OFFSET([2]gachas!$A$2,0,0,COUNTA([2]gachas!$A:$A),MATCH(C$1,[2]gachas!$1:$1,0)-MATCH($B$1,[2]gachas!$1:$1,0)+1),MATCH(C$1,[2]gachas!$1:$1,0)-MATCH($B$1,[2]gachas!$1:$1,0)+1,FALSE)</f>
        <v>ピックアップ02(沖田) 開始</v>
      </c>
      <c r="D73" s="6">
        <v>0</v>
      </c>
      <c r="E73" s="7">
        <v>150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ポイズンマスターサキ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PremiumW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3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red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ヒューマン</v>
      </c>
      <c r="L73" s="6">
        <v>1</v>
      </c>
      <c r="M73" s="21">
        <v>1683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01521</v>
      </c>
      <c r="B74" s="2">
        <v>111</v>
      </c>
      <c r="C74" s="10" t="str">
        <f ca="1">VLOOKUP($B74,OFFSET([2]gachas!$A$2,0,0,COUNTA([2]gachas!$A:$A),MATCH(C$1,[2]gachas!$1:$1,0)-MATCH($B$1,[2]gachas!$1:$1,0)+1),MATCH(C$1,[2]gachas!$1:$1,0)-MATCH($B$1,[2]gachas!$1:$1,0)+1,FALSE)</f>
        <v>ピックアップ02(沖田) 開始</v>
      </c>
      <c r="D74" s="6">
        <v>0</v>
      </c>
      <c r="E74" s="7">
        <v>152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功夫少女ランラン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PremiumW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3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green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6">
        <v>1</v>
      </c>
      <c r="M74" s="21">
        <v>1683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01541</v>
      </c>
      <c r="B75" s="2">
        <v>111</v>
      </c>
      <c r="C75" s="10" t="str">
        <f ca="1">VLOOKUP($B75,OFFSET([2]gachas!$A$2,0,0,COUNTA([2]gachas!$A:$A),MATCH(C$1,[2]gachas!$1:$1,0)-MATCH($B$1,[2]gachas!$1:$1,0)+1),MATCH(C$1,[2]gachas!$1:$1,0)-MATCH($B$1,[2]gachas!$1:$1,0)+1,FALSE)</f>
        <v>ピックアップ02(沖田) 開始</v>
      </c>
      <c r="D75" s="6">
        <v>0</v>
      </c>
      <c r="E75" s="7">
        <v>154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始末屋 ハンナ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PremiumW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3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6">
        <v>1</v>
      </c>
      <c r="M75" s="21">
        <v>1683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01561</v>
      </c>
      <c r="B76" s="2">
        <v>111</v>
      </c>
      <c r="C76" s="10" t="str">
        <f ca="1">VLOOKUP($B76,OFFSET([2]gachas!$A$2,0,0,COUNTA([2]gachas!$A:$A),MATCH(C$1,[2]gachas!$1:$1,0)-MATCH($B$1,[2]gachas!$1:$1,0)+1),MATCH(C$1,[2]gachas!$1:$1,0)-MATCH($B$1,[2]gachas!$1:$1,0)+1,FALSE)</f>
        <v>ピックアップ02(沖田) 開始</v>
      </c>
      <c r="D76" s="6">
        <v>0</v>
      </c>
      <c r="E76" s="7">
        <v>156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踊り子 エレナ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PremiumW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3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6">
        <v>1</v>
      </c>
      <c r="M76" s="21">
        <v>1683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ht="21" customHeight="1">
      <c r="A77" s="8" t="str">
        <f t="shared" si="1"/>
        <v>01581</v>
      </c>
      <c r="B77" s="2">
        <v>111</v>
      </c>
      <c r="C77" s="10" t="str">
        <f ca="1">VLOOKUP($B77,OFFSET([2]gachas!$A$2,0,0,COUNTA([2]gachas!$A:$A),MATCH(C$1,[2]gachas!$1:$1,0)-MATCH($B$1,[2]gachas!$1:$1,0)+1),MATCH(C$1,[2]gachas!$1:$1,0)-MATCH($B$1,[2]gachas!$1:$1,0)+1,FALSE)</f>
        <v>ピックアップ02(沖田) 開始</v>
      </c>
      <c r="D77" s="6">
        <v>0</v>
      </c>
      <c r="E77" s="7">
        <v>158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PremiumW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3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red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6">
        <v>1</v>
      </c>
      <c r="M77" s="21">
        <v>1683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>
      <c r="A78" s="8" t="str">
        <f t="shared" si="1"/>
        <v>01601</v>
      </c>
      <c r="B78" s="2">
        <v>111</v>
      </c>
      <c r="C78" s="10" t="str">
        <f ca="1">VLOOKUP($B78,OFFSET([2]gachas!$A$2,0,0,COUNTA([2]gachas!$A:$A),MATCH(C$1,[2]gachas!$1:$1,0)-MATCH($B$1,[2]gachas!$1:$1,0)+1),MATCH(C$1,[2]gachas!$1:$1,0)-MATCH($B$1,[2]gachas!$1:$1,0)+1,FALSE)</f>
        <v>ピックアップ02(沖田) 開始</v>
      </c>
      <c r="D78" s="6">
        <v>0</v>
      </c>
      <c r="E78" s="7">
        <v>160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反逆者 クリエ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PremiumW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3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green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ヒューマン</v>
      </c>
      <c r="L78" s="6">
        <v>1</v>
      </c>
      <c r="M78" s="21">
        <v>1683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>
      <c r="A79" s="8" t="str">
        <f t="shared" si="1"/>
        <v>01621</v>
      </c>
      <c r="B79" s="2">
        <v>111</v>
      </c>
      <c r="C79" s="10" t="str">
        <f ca="1">VLOOKUP($B79,OFFSET([2]gachas!$A$2,0,0,COUNTA([2]gachas!$A:$A),MATCH(C$1,[2]gachas!$1:$1,0)-MATCH($B$1,[2]gachas!$1:$1,0)+1),MATCH(C$1,[2]gachas!$1:$1,0)-MATCH($B$1,[2]gachas!$1:$1,0)+1,FALSE)</f>
        <v>ピックアップ02(沖田) 開始</v>
      </c>
      <c r="D79" s="6">
        <v>0</v>
      </c>
      <c r="E79" s="7">
        <v>162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狂女 クララ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PremiumW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3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blue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ヒューマン</v>
      </c>
      <c r="L79" s="6">
        <v>1</v>
      </c>
      <c r="M79" s="21">
        <v>1683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>
      <c r="A80" s="8" t="str">
        <f t="shared" si="1"/>
        <v>01641</v>
      </c>
      <c r="B80" s="2">
        <v>111</v>
      </c>
      <c r="C80" s="10" t="str">
        <f ca="1">VLOOKUP($B80,OFFSET([2]gachas!$A$2,0,0,COUNTA([2]gachas!$A:$A),MATCH(C$1,[2]gachas!$1:$1,0)-MATCH($B$1,[2]gachas!$1:$1,0)+1),MATCH(C$1,[2]gachas!$1:$1,0)-MATCH($B$1,[2]gachas!$1:$1,0)+1,FALSE)</f>
        <v>ピックアップ02(沖田) 開始</v>
      </c>
      <c r="D80" s="6">
        <v>0</v>
      </c>
      <c r="E80" s="7">
        <v>164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イブとトモダチ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PremiumW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3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yellow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ヒューマン</v>
      </c>
      <c r="L80" s="6">
        <v>1</v>
      </c>
      <c r="M80" s="21">
        <v>1683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>
      <c r="A81" s="8" t="str">
        <f t="shared" si="1"/>
        <v>01661</v>
      </c>
      <c r="B81" s="2">
        <v>111</v>
      </c>
      <c r="C81" s="10" t="str">
        <f ca="1">VLOOKUP($B81,OFFSET([2]gachas!$A$2,0,0,COUNTA([2]gachas!$A:$A),MATCH(C$1,[2]gachas!$1:$1,0)-MATCH($B$1,[2]gachas!$1:$1,0)+1),MATCH(C$1,[2]gachas!$1:$1,0)-MATCH($B$1,[2]gachas!$1:$1,0)+1,FALSE)</f>
        <v>ピックアップ02(沖田) 開始</v>
      </c>
      <c r="D81" s="6">
        <v>0</v>
      </c>
      <c r="E81" s="7">
        <v>166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ベリアル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3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red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6">
        <v>1722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>
      <c r="A82" s="8" t="str">
        <f t="shared" si="1"/>
        <v>01691</v>
      </c>
      <c r="B82" s="2">
        <v>111</v>
      </c>
      <c r="C82" s="10" t="str">
        <f ca="1">VLOOKUP($B82,OFFSET([2]gachas!$A$2,0,0,COUNTA([2]gachas!$A:$A),MATCH(C$1,[2]gachas!$1:$1,0)-MATCH($B$1,[2]gachas!$1:$1,0)+1),MATCH(C$1,[2]gachas!$1:$1,0)-MATCH($B$1,[2]gachas!$1:$1,0)+1,FALSE)</f>
        <v>ピックアップ02(沖田) 開始</v>
      </c>
      <c r="D82" s="6">
        <v>0</v>
      </c>
      <c r="E82" s="7">
        <v>169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オセ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3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green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6">
        <v>1</v>
      </c>
      <c r="M82" s="6">
        <v>1722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>
      <c r="A83" s="8" t="str">
        <f t="shared" si="1"/>
        <v>01721</v>
      </c>
      <c r="B83" s="2">
        <v>111</v>
      </c>
      <c r="C83" s="10" t="str">
        <f ca="1">VLOOKUP($B83,OFFSET([2]gachas!$A$2,0,0,COUNTA([2]gachas!$A:$A),MATCH(C$1,[2]gachas!$1:$1,0)-MATCH($B$1,[2]gachas!$1:$1,0)+1),MATCH(C$1,[2]gachas!$1:$1,0)-MATCH($B$1,[2]gachas!$1:$1,0)+1,FALSE)</f>
        <v>ピックアップ02(沖田) 開始</v>
      </c>
      <c r="D83" s="6">
        <v>0</v>
      </c>
      <c r="E83" s="7">
        <v>172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フォルネウス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3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6">
        <v>1</v>
      </c>
      <c r="M83" s="6">
        <v>1722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>
      <c r="A84" s="8" t="str">
        <f t="shared" si="1"/>
        <v>01751</v>
      </c>
      <c r="B84" s="2">
        <v>111</v>
      </c>
      <c r="C84" s="10" t="str">
        <f ca="1">VLOOKUP($B84,OFFSET([2]gachas!$A$2,0,0,COUNTA([2]gachas!$A:$A),MATCH(C$1,[2]gachas!$1:$1,0)-MATCH($B$1,[2]gachas!$1:$1,0)+1),MATCH(C$1,[2]gachas!$1:$1,0)-MATCH($B$1,[2]gachas!$1:$1,0)+1,FALSE)</f>
        <v>ピックアップ02(沖田) 開始</v>
      </c>
      <c r="D84" s="6">
        <v>0</v>
      </c>
      <c r="E84" s="7">
        <v>175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バフォメット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3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ゴッド</v>
      </c>
      <c r="L84" s="6">
        <v>1</v>
      </c>
      <c r="M84" s="6">
        <v>1722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>
      <c r="A85" s="8" t="str">
        <f t="shared" si="1"/>
        <v>01781</v>
      </c>
      <c r="B85" s="2">
        <v>111</v>
      </c>
      <c r="C85" s="10" t="str">
        <f ca="1">VLOOKUP($B85,OFFSET([2]gachas!$A$2,0,0,COUNTA([2]gachas!$A:$A),MATCH(C$1,[2]gachas!$1:$1,0)-MATCH($B$1,[2]gachas!$1:$1,0)+1),MATCH(C$1,[2]gachas!$1:$1,0)-MATCH($B$1,[2]gachas!$1:$1,0)+1,FALSE)</f>
        <v>ピックアップ02(沖田) 開始</v>
      </c>
      <c r="D85" s="6">
        <v>0</v>
      </c>
      <c r="E85" s="7">
        <v>178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ケルベロス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3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red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アニマル</v>
      </c>
      <c r="L85" s="6">
        <v>1</v>
      </c>
      <c r="M85" s="6">
        <v>1722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>
      <c r="A86" s="8" t="str">
        <f t="shared" si="1"/>
        <v>01811</v>
      </c>
      <c r="B86" s="2">
        <v>111</v>
      </c>
      <c r="C86" s="10" t="str">
        <f ca="1">VLOOKUP($B86,OFFSET([2]gachas!$A$2,0,0,COUNTA([2]gachas!$A:$A),MATCH(C$1,[2]gachas!$1:$1,0)-MATCH($B$1,[2]gachas!$1:$1,0)+1),MATCH(C$1,[2]gachas!$1:$1,0)-MATCH($B$1,[2]gachas!$1:$1,0)+1,FALSE)</f>
        <v>ピックアップ02(沖田) 開始</v>
      </c>
      <c r="D86" s="6">
        <v>0</v>
      </c>
      <c r="E86" s="7">
        <v>181</v>
      </c>
      <c r="F86" s="10" t="str">
        <f ca="1">VLOOKUP($E86,OFFSET([1]characters!$A$2,0,0,COUNTA([1]characters!$A:$A),MATCH(F$1,[1]characters!$2:$2,0)-MATCH($E$1,[1]characters!$2:$2,0)+1),MATCH(F$1,[1]characters!$2:$2,0)-MATCH($E$1,[1]characters!$2:$2,0)+1,FALSE)</f>
        <v>ベヒモス</v>
      </c>
      <c r="G86" s="10" t="str">
        <f ca="1">VLOOKUP($E86,OFFSET([1]characters!$A$2,0,0,COUNTA([1]characters!$A:$A),MATCH(G$1,[1]characters!$2:$2,0)-MATCH($E$1,[1]characters!$2:$2,0)+1),MATCH(G$1,[1]characters!$2:$2,0)-MATCH($E$1,[1]characters!$2:$2,0)+1,FALSE)</f>
        <v>PremiumN</v>
      </c>
      <c r="H86" s="10">
        <f ca="1">VLOOKUP($E86,OFFSET([1]characters!$A$2,0,0,COUNTA([1]characters!$A:$A),MATCH(H$1,[1]characters!$2:$2,0)-MATCH($E$1,[1]characters!$2:$2,0)+1),MATCH(H$1,[1]characters!$2:$2,0)-MATCH($E$1,[1]characters!$2:$2,0)+1,FALSE)</f>
        <v>3</v>
      </c>
      <c r="I86" s="10" t="str">
        <f ca="1">VLOOKUP($E86,OFFSET([1]characters!$A$2,0,0,COUNTA([1]characters!$A:$A),MATCH(I$1,[1]characters!$2:$2,0)-MATCH($E$1,[1]characters!$2:$2,0)+1),MATCH(I$1,[1]characters!$2:$2,0)-MATCH($E$1,[1]characters!$2:$2,0)+1,FALSE)</f>
        <v>green</v>
      </c>
      <c r="J86" s="1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10" t="str">
        <f ca="1">VLOOKUP($E86,OFFSET([1]characters!$A$2,0,0,COUNTA([1]characters!$A:$A),MATCH($K$1,[1]characters!$1:$1,0)-MATCH($E$1,[1]characters!$2:$2,0)+2),MATCH($K$1,[1]characters!$1:$1,0)-MATCH($E$1,[1]characters!$2:$2,0)+2,FALSE)</f>
        <v>アニマル</v>
      </c>
      <c r="L86" s="6">
        <v>1</v>
      </c>
      <c r="M86" s="6">
        <v>1722</v>
      </c>
      <c r="N86" s="28">
        <v>0</v>
      </c>
      <c r="O86" s="28">
        <v>0</v>
      </c>
      <c r="P86" s="28">
        <v>0</v>
      </c>
      <c r="Q86" s="28">
        <v>0</v>
      </c>
      <c r="R86" s="28">
        <v>1</v>
      </c>
    </row>
    <row r="87" spans="1:18" ht="21" customHeight="1">
      <c r="A87" s="8" t="str">
        <f t="shared" si="1"/>
        <v>01841</v>
      </c>
      <c r="B87" s="2">
        <v>111</v>
      </c>
      <c r="C87" s="10" t="str">
        <f ca="1">VLOOKUP($B87,OFFSET([2]gachas!$A$2,0,0,COUNTA([2]gachas!$A:$A),MATCH(C$1,[2]gachas!$1:$1,0)-MATCH($B$1,[2]gachas!$1:$1,0)+1),MATCH(C$1,[2]gachas!$1:$1,0)-MATCH($B$1,[2]gachas!$1:$1,0)+1,FALSE)</f>
        <v>ピックアップ02(沖田) 開始</v>
      </c>
      <c r="D87" s="6">
        <v>0</v>
      </c>
      <c r="E87" s="7">
        <v>184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クラーケン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PremiumN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3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blue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アニマル</v>
      </c>
      <c r="L87" s="6">
        <v>1</v>
      </c>
      <c r="M87" s="6">
        <v>1722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>
      <c r="A88" s="8" t="str">
        <f t="shared" si="1"/>
        <v>01871</v>
      </c>
      <c r="B88" s="2">
        <v>111</v>
      </c>
      <c r="C88" s="10" t="str">
        <f ca="1">VLOOKUP($B88,OFFSET([2]gachas!$A$2,0,0,COUNTA([2]gachas!$A:$A),MATCH(C$1,[2]gachas!$1:$1,0)-MATCH($B$1,[2]gachas!$1:$1,0)+1),MATCH(C$1,[2]gachas!$1:$1,0)-MATCH($B$1,[2]gachas!$1:$1,0)+1,FALSE)</f>
        <v>ピックアップ02(沖田) 開始</v>
      </c>
      <c r="D88" s="6">
        <v>0</v>
      </c>
      <c r="E88" s="7">
        <v>187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ホルス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PremiumN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3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yellow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アニマル</v>
      </c>
      <c r="L88" s="6">
        <v>1</v>
      </c>
      <c r="M88" s="6">
        <v>1722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>
      <c r="A89" s="8" t="str">
        <f t="shared" si="1"/>
        <v>01901</v>
      </c>
      <c r="B89" s="2">
        <v>111</v>
      </c>
      <c r="C89" s="10" t="str">
        <f ca="1">VLOOKUP($B89,OFFSET([2]gachas!$A$2,0,0,COUNTA([2]gachas!$A:$A),MATCH(C$1,[2]gachas!$1:$1,0)-MATCH($B$1,[2]gachas!$1:$1,0)+1),MATCH(C$1,[2]gachas!$1:$1,0)-MATCH($B$1,[2]gachas!$1:$1,0)+1,FALSE)</f>
        <v>ピックアップ02(沖田) 開始</v>
      </c>
      <c r="D89" s="6">
        <v>0</v>
      </c>
      <c r="E89" s="7">
        <v>190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卑弥呼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PremiumN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3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red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6">
        <v>1722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>
      <c r="A90" s="8" t="str">
        <f t="shared" si="1"/>
        <v>01931</v>
      </c>
      <c r="B90" s="2">
        <v>111</v>
      </c>
      <c r="C90" s="10" t="str">
        <f ca="1">VLOOKUP($B90,OFFSET([2]gachas!$A$2,0,0,COUNTA([2]gachas!$A:$A),MATCH(C$1,[2]gachas!$1:$1,0)-MATCH($B$1,[2]gachas!$1:$1,0)+1),MATCH(C$1,[2]gachas!$1:$1,0)-MATCH($B$1,[2]gachas!$1:$1,0)+1,FALSE)</f>
        <v>ピックアップ02(沖田) 開始</v>
      </c>
      <c r="D90" s="6">
        <v>0</v>
      </c>
      <c r="E90" s="7">
        <v>193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ロビンフッド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3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green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6">
        <v>1722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>
      <c r="A91" s="8" t="str">
        <f t="shared" si="1"/>
        <v>01961</v>
      </c>
      <c r="B91" s="2">
        <v>111</v>
      </c>
      <c r="C91" s="10" t="str">
        <f ca="1">VLOOKUP($B91,OFFSET([2]gachas!$A$2,0,0,COUNTA([2]gachas!$A:$A),MATCH(C$1,[2]gachas!$1:$1,0)-MATCH($B$1,[2]gachas!$1:$1,0)+1),MATCH(C$1,[2]gachas!$1:$1,0)-MATCH($B$1,[2]gachas!$1:$1,0)+1,FALSE)</f>
        <v>ピックアップ02(沖田) 開始</v>
      </c>
      <c r="D91" s="6">
        <v>0</v>
      </c>
      <c r="E91" s="7">
        <v>196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アキレス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3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yellow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6">
        <v>1722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>
      <c r="A92" s="8" t="str">
        <f t="shared" si="1"/>
        <v>01991</v>
      </c>
      <c r="B92" s="2">
        <v>111</v>
      </c>
      <c r="C92" s="10" t="str">
        <f ca="1">VLOOKUP($B92,OFFSET([2]gachas!$A$2,0,0,COUNTA([2]gachas!$A:$A),MATCH(C$1,[2]gachas!$1:$1,0)-MATCH($B$1,[2]gachas!$1:$1,0)+1),MATCH(C$1,[2]gachas!$1:$1,0)-MATCH($B$1,[2]gachas!$1:$1,0)+1,FALSE)</f>
        <v>ピックアップ02(沖田) 開始</v>
      </c>
      <c r="D92" s="6">
        <v>0</v>
      </c>
      <c r="E92" s="7">
        <v>199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ジークフリート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3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blue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6">
        <v>1</v>
      </c>
      <c r="M92" s="6">
        <v>1722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>
      <c r="A93" s="8" t="str">
        <f t="shared" si="1"/>
        <v>02021</v>
      </c>
      <c r="B93" s="2">
        <v>111</v>
      </c>
      <c r="C93" s="10" t="str">
        <f ca="1">VLOOKUP($B93,OFFSET([2]gachas!$A$2,0,0,COUNTA([2]gachas!$A:$A),MATCH(C$1,[2]gachas!$1:$1,0)-MATCH($B$1,[2]gachas!$1:$1,0)+1),MATCH(C$1,[2]gachas!$1:$1,0)-MATCH($B$1,[2]gachas!$1:$1,0)+1,FALSE)</f>
        <v>ピックアップ02(沖田) 開始</v>
      </c>
      <c r="D93" s="6">
        <v>0</v>
      </c>
      <c r="E93" s="7">
        <v>202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プロメテウス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3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red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ゴッド</v>
      </c>
      <c r="L93" s="6">
        <v>1</v>
      </c>
      <c r="M93" s="6">
        <v>1722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>
      <c r="A94" s="8" t="str">
        <f t="shared" si="1"/>
        <v>02051</v>
      </c>
      <c r="B94" s="2">
        <v>111</v>
      </c>
      <c r="C94" s="10" t="str">
        <f ca="1">VLOOKUP($B94,OFFSET([2]gachas!$A$2,0,0,COUNTA([2]gachas!$A:$A),MATCH(C$1,[2]gachas!$1:$1,0)-MATCH($B$1,[2]gachas!$1:$1,0)+1),MATCH(C$1,[2]gachas!$1:$1,0)-MATCH($B$1,[2]gachas!$1:$1,0)+1,FALSE)</f>
        <v>ピックアップ02(沖田) 開始</v>
      </c>
      <c r="D94" s="6">
        <v>0</v>
      </c>
      <c r="E94" s="7">
        <v>205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アフロディーテ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green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ゴッド</v>
      </c>
      <c r="L94" s="6">
        <v>1</v>
      </c>
      <c r="M94" s="6">
        <v>1722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>
      <c r="A95" s="8" t="str">
        <f t="shared" si="1"/>
        <v>02081</v>
      </c>
      <c r="B95" s="2">
        <v>111</v>
      </c>
      <c r="C95" s="10" t="str">
        <f ca="1">VLOOKUP($B95,OFFSET([2]gachas!$A$2,0,0,COUNTA([2]gachas!$A:$A),MATCH(C$1,[2]gachas!$1:$1,0)-MATCH($B$1,[2]gachas!$1:$1,0)+1),MATCH(C$1,[2]gachas!$1:$1,0)-MATCH($B$1,[2]gachas!$1:$1,0)+1,FALSE)</f>
        <v>ピックアップ02(沖田) 開始</v>
      </c>
      <c r="D95" s="6">
        <v>0</v>
      </c>
      <c r="E95" s="7">
        <v>208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テティス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blue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ゴッド</v>
      </c>
      <c r="L95" s="6">
        <v>1</v>
      </c>
      <c r="M95" s="6">
        <v>1722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>
      <c r="A96" s="8" t="str">
        <f t="shared" si="1"/>
        <v>02111</v>
      </c>
      <c r="B96" s="2">
        <v>111</v>
      </c>
      <c r="C96" s="10" t="str">
        <f ca="1">VLOOKUP($B96,OFFSET([2]gachas!$A$2,0,0,COUNTA([2]gachas!$A:$A),MATCH(C$1,[2]gachas!$1:$1,0)-MATCH($B$1,[2]gachas!$1:$1,0)+1),MATCH(C$1,[2]gachas!$1:$1,0)-MATCH($B$1,[2]gachas!$1:$1,0)+1,FALSE)</f>
        <v>ピックアップ02(沖田) 開始</v>
      </c>
      <c r="D96" s="6">
        <v>0</v>
      </c>
      <c r="E96" s="7">
        <v>211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アストライアー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PremiumN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yellow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ゴッド</v>
      </c>
      <c r="L96" s="6">
        <v>1</v>
      </c>
      <c r="M96" s="6">
        <v>1722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02141</v>
      </c>
      <c r="B97" s="2">
        <v>111</v>
      </c>
      <c r="C97" s="10" t="str">
        <f ca="1">VLOOKUP($B97,OFFSET([2]gachas!$A$2,0,0,COUNTA([2]gachas!$A:$A),MATCH(C$1,[2]gachas!$1:$1,0)-MATCH($B$1,[2]gachas!$1:$1,0)+1),MATCH(C$1,[2]gachas!$1:$1,0)-MATCH($B$1,[2]gachas!$1:$1,0)+1,FALSE)</f>
        <v>ピックアップ02(沖田) 開始</v>
      </c>
      <c r="D97" s="6">
        <v>0</v>
      </c>
      <c r="E97" s="7">
        <v>214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アズラエル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PremiumN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red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ゴッド</v>
      </c>
      <c r="L97" s="6">
        <v>1</v>
      </c>
      <c r="M97" s="6">
        <v>1722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02171</v>
      </c>
      <c r="B98" s="2">
        <v>111</v>
      </c>
      <c r="C98" s="10" t="str">
        <f ca="1">VLOOKUP($B98,OFFSET([2]gachas!$A$2,0,0,COUNTA([2]gachas!$A:$A),MATCH(C$1,[2]gachas!$1:$1,0)-MATCH($B$1,[2]gachas!$1:$1,0)+1),MATCH(C$1,[2]gachas!$1:$1,0)-MATCH($B$1,[2]gachas!$1:$1,0)+1,FALSE)</f>
        <v>ピックアップ02(沖田) 開始</v>
      </c>
      <c r="D98" s="6">
        <v>0</v>
      </c>
      <c r="E98" s="7">
        <v>217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ケツァクアトル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PremiumN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3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green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6">
        <v>1</v>
      </c>
      <c r="M98" s="6">
        <v>1722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02201</v>
      </c>
      <c r="B99" s="2">
        <v>111</v>
      </c>
      <c r="C99" s="10" t="str">
        <f ca="1">VLOOKUP($B99,OFFSET([2]gachas!$A$2,0,0,COUNTA([2]gachas!$A:$A),MATCH(C$1,[2]gachas!$1:$1,0)-MATCH($B$1,[2]gachas!$1:$1,0)+1),MATCH(C$1,[2]gachas!$1:$1,0)-MATCH($B$1,[2]gachas!$1:$1,0)+1,FALSE)</f>
        <v>ピックアップ02(沖田) 開始</v>
      </c>
      <c r="D99" s="6">
        <v>0</v>
      </c>
      <c r="E99" s="7">
        <v>220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ルキフグス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PremiumN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3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ゴッド</v>
      </c>
      <c r="L99" s="6">
        <v>1</v>
      </c>
      <c r="M99" s="6">
        <v>1722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02231</v>
      </c>
      <c r="B100" s="2">
        <v>111</v>
      </c>
      <c r="C100" s="10" t="str">
        <f ca="1">VLOOKUP($B100,OFFSET([2]gachas!$A$2,0,0,COUNTA([2]gachas!$A:$A),MATCH(C$1,[2]gachas!$1:$1,0)-MATCH($B$1,[2]gachas!$1:$1,0)+1),MATCH(C$1,[2]gachas!$1:$1,0)-MATCH($B$1,[2]gachas!$1:$1,0)+1,FALSE)</f>
        <v>ピックアップ02(沖田) 開始</v>
      </c>
      <c r="D100" s="6">
        <v>0</v>
      </c>
      <c r="E100" s="7">
        <v>223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ヘラクレス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PremiumN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3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6">
        <v>1</v>
      </c>
      <c r="M100" s="6">
        <v>1722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02261</v>
      </c>
      <c r="B101" s="2">
        <v>111</v>
      </c>
      <c r="C101" s="10" t="str">
        <f ca="1">VLOOKUP($B101,OFFSET([2]gachas!$A$2,0,0,COUNTA([2]gachas!$A:$A),MATCH(C$1,[2]gachas!$1:$1,0)-MATCH($B$1,[2]gachas!$1:$1,0)+1),MATCH(C$1,[2]gachas!$1:$1,0)-MATCH($B$1,[2]gachas!$1:$1,0)+1,FALSE)</f>
        <v>ピックアップ02(沖田) 開始</v>
      </c>
      <c r="D101" s="6">
        <v>0</v>
      </c>
      <c r="E101" s="7">
        <v>226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アレス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3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red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ゴッド</v>
      </c>
      <c r="L101" s="6">
        <v>1</v>
      </c>
      <c r="M101" s="6">
        <v>929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02321</v>
      </c>
      <c r="B102" s="2">
        <v>111</v>
      </c>
      <c r="C102" s="10" t="str">
        <f ca="1">VLOOKUP($B102,OFFSET([2]gachas!$A$2,0,0,COUNTA([2]gachas!$A:$A),MATCH(C$1,[2]gachas!$1:$1,0)-MATCH($B$1,[2]gachas!$1:$1,0)+1),MATCH(C$1,[2]gachas!$1:$1,0)-MATCH($B$1,[2]gachas!$1:$1,0)+1,FALSE)</f>
        <v>ピックアップ02(沖田) 開始</v>
      </c>
      <c r="D102" s="6">
        <v>0</v>
      </c>
      <c r="E102" s="7">
        <v>232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パーシヴァル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PremiumS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blue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6">
        <v>1</v>
      </c>
      <c r="M102" s="6">
        <v>929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02351</v>
      </c>
      <c r="B103" s="2">
        <v>111</v>
      </c>
      <c r="C103" s="10" t="str">
        <f ca="1">VLOOKUP($B103,OFFSET([2]gachas!$A$2,0,0,COUNTA([2]gachas!$A:$A),MATCH(C$1,[2]gachas!$1:$1,0)-MATCH($B$1,[2]gachas!$1:$1,0)+1),MATCH(C$1,[2]gachas!$1:$1,0)-MATCH($B$1,[2]gachas!$1:$1,0)+1,FALSE)</f>
        <v>ピックアップ02(沖田) 開始</v>
      </c>
      <c r="D103" s="6">
        <v>0</v>
      </c>
      <c r="E103" s="7">
        <v>235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イザナミ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PremiumS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yellow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ゴッド</v>
      </c>
      <c r="L103" s="6">
        <v>1</v>
      </c>
      <c r="M103" s="6">
        <v>929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01271</v>
      </c>
      <c r="B104" s="2">
        <v>111</v>
      </c>
      <c r="C104" s="10" t="str">
        <f ca="1">VLOOKUP($B104,OFFSET([2]gachas!$A$2,0,0,COUNTA([2]gachas!$A:$A),MATCH(C$1,[2]gachas!$1:$1,0)-MATCH($B$1,[2]gachas!$1:$1,0)+1),MATCH(C$1,[2]gachas!$1:$1,0)-MATCH($B$1,[2]gachas!$1:$1,0)+1,FALSE)</f>
        <v>ピックアップ02(沖田) 開始</v>
      </c>
      <c r="D104" s="6">
        <v>0</v>
      </c>
      <c r="E104" s="7">
        <v>127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狂喜の賢者 ユノ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4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red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6">
        <v>477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01291</v>
      </c>
      <c r="B105" s="2">
        <v>111</v>
      </c>
      <c r="C105" s="10" t="str">
        <f ca="1">VLOOKUP($B105,OFFSET([2]gachas!$A$2,0,0,COUNTA([2]gachas!$A:$A),MATCH(C$1,[2]gachas!$1:$1,0)-MATCH($B$1,[2]gachas!$1:$1,0)+1),MATCH(C$1,[2]gachas!$1:$1,0)-MATCH($B$1,[2]gachas!$1:$1,0)+1,FALSE)</f>
        <v>ピックアップ02(沖田) 開始</v>
      </c>
      <c r="D105" s="6">
        <v>0</v>
      </c>
      <c r="E105" s="7">
        <v>129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孤高の狼憑き アマラ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4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green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6">
        <v>477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01311</v>
      </c>
      <c r="B106" s="2">
        <v>111</v>
      </c>
      <c r="C106" s="10" t="str">
        <f ca="1">VLOOKUP($B106,OFFSET([2]gachas!$A$2,0,0,COUNTA([2]gachas!$A:$A),MATCH(C$1,[2]gachas!$1:$1,0)-MATCH($B$1,[2]gachas!$1:$1,0)+1),MATCH(C$1,[2]gachas!$1:$1,0)-MATCH($B$1,[2]gachas!$1:$1,0)+1,FALSE)</f>
        <v>ピックアップ02(沖田) 開始</v>
      </c>
      <c r="D106" s="6">
        <v>0</v>
      </c>
      <c r="E106" s="7">
        <v>131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4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blue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アニマル</v>
      </c>
      <c r="L106" s="6">
        <v>1</v>
      </c>
      <c r="M106" s="6">
        <v>477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01331</v>
      </c>
      <c r="B107" s="2">
        <v>111</v>
      </c>
      <c r="C107" s="10" t="str">
        <f ca="1">VLOOKUP($B107,OFFSET([2]gachas!$A$2,0,0,COUNTA([2]gachas!$A:$A),MATCH(C$1,[2]gachas!$1:$1,0)-MATCH($B$1,[2]gachas!$1:$1,0)+1),MATCH(C$1,[2]gachas!$1:$1,0)-MATCH($B$1,[2]gachas!$1:$1,0)+1,FALSE)</f>
        <v>ピックアップ02(沖田) 開始</v>
      </c>
      <c r="D107" s="6">
        <v>0</v>
      </c>
      <c r="E107" s="7">
        <v>133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迅雷の刀剣 ハヤト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4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yellow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6">
        <v>477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01351</v>
      </c>
      <c r="B108" s="2">
        <v>111</v>
      </c>
      <c r="C108" s="10" t="str">
        <f ca="1">VLOOKUP($B108,OFFSET([2]gachas!$A$2,0,0,COUNTA([2]gachas!$A:$A),MATCH(C$1,[2]gachas!$1:$1,0)-MATCH($B$1,[2]gachas!$1:$1,0)+1),MATCH(C$1,[2]gachas!$1:$1,0)-MATCH($B$1,[2]gachas!$1:$1,0)+1,FALSE)</f>
        <v>ピックアップ02(沖田) 開始</v>
      </c>
      <c r="D108" s="6">
        <v>0</v>
      </c>
      <c r="E108" s="7">
        <v>135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京の炎華夕霧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4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red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6">
        <v>477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01371</v>
      </c>
      <c r="B109" s="2">
        <v>111</v>
      </c>
      <c r="C109" s="10" t="str">
        <f ca="1">VLOOKUP($B109,OFFSET([2]gachas!$A$2,0,0,COUNTA([2]gachas!$A:$A),MATCH(C$1,[2]gachas!$1:$1,0)-MATCH($B$1,[2]gachas!$1:$1,0)+1),MATCH(C$1,[2]gachas!$1:$1,0)-MATCH($B$1,[2]gachas!$1:$1,0)+1,FALSE)</f>
        <v>ピックアップ02(沖田) 開始</v>
      </c>
      <c r="D109" s="6">
        <v>0</v>
      </c>
      <c r="E109" s="7">
        <v>137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清福の仕立屋 チハヤ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4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green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6">
        <v>1</v>
      </c>
      <c r="M109" s="6">
        <v>477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01391</v>
      </c>
      <c r="B110" s="2">
        <v>111</v>
      </c>
      <c r="C110" s="10" t="str">
        <f ca="1">VLOOKUP($B110,OFFSET([2]gachas!$A$2,0,0,COUNTA([2]gachas!$A:$A),MATCH(C$1,[2]gachas!$1:$1,0)-MATCH($B$1,[2]gachas!$1:$1,0)+1),MATCH(C$1,[2]gachas!$1:$1,0)-MATCH($B$1,[2]gachas!$1:$1,0)+1,FALSE)</f>
        <v>ピックアップ02(沖田) 開始</v>
      </c>
      <c r="D110" s="6">
        <v>0</v>
      </c>
      <c r="E110" s="7">
        <v>139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蒼昇刃姫 トモエ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4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blue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6">
        <v>477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01411</v>
      </c>
      <c r="B111" s="2">
        <v>111</v>
      </c>
      <c r="C111" s="10" t="str">
        <f ca="1">VLOOKUP($B111,OFFSET([2]gachas!$A$2,0,0,COUNTA([2]gachas!$A:$A),MATCH(C$1,[2]gachas!$1:$1,0)-MATCH($B$1,[2]gachas!$1:$1,0)+1),MATCH(C$1,[2]gachas!$1:$1,0)-MATCH($B$1,[2]gachas!$1:$1,0)+1,FALSE)</f>
        <v>ピックアップ02(沖田) 開始</v>
      </c>
      <c r="D111" s="6">
        <v>0</v>
      </c>
      <c r="E111" s="7">
        <v>141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妖狐演舞 タマモ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4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yellow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アニマル</v>
      </c>
      <c r="L111" s="6">
        <v>1</v>
      </c>
      <c r="M111" s="6">
        <v>477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01431</v>
      </c>
      <c r="B112" s="2">
        <v>111</v>
      </c>
      <c r="C112" s="10" t="str">
        <f ca="1">VLOOKUP($B112,OFFSET([2]gachas!$A$2,0,0,COUNTA([2]gachas!$A:$A),MATCH(C$1,[2]gachas!$1:$1,0)-MATCH($B$1,[2]gachas!$1:$1,0)+1),MATCH(C$1,[2]gachas!$1:$1,0)-MATCH($B$1,[2]gachas!$1:$1,0)+1,FALSE)</f>
        <v>ピックアップ02(沖田) 開始</v>
      </c>
      <c r="D112" s="6">
        <v>0</v>
      </c>
      <c r="E112" s="7">
        <v>143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深紅の死神 赤ずきん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4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red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6">
        <v>477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ref="A113:A152" si="3">D113&amp;E113&amp;L113</f>
        <v>01451</v>
      </c>
      <c r="B113" s="2">
        <v>111</v>
      </c>
      <c r="C113" s="10" t="str">
        <f ca="1">VLOOKUP($B113,OFFSET([2]gachas!$A$2,0,0,COUNTA([2]gachas!$A:$A),MATCH(C$1,[2]gachas!$1:$1,0)-MATCH($B$1,[2]gachas!$1:$1,0)+1),MATCH(C$1,[2]gachas!$1:$1,0)-MATCH($B$1,[2]gachas!$1:$1,0)+1,FALSE)</f>
        <v>ピックアップ02(沖田) 開始</v>
      </c>
      <c r="D113" s="6">
        <v>0</v>
      </c>
      <c r="E113" s="7">
        <v>145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魔性妖艶 かぐや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4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green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6">
        <v>477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3"/>
        <v>01471</v>
      </c>
      <c r="B114" s="2">
        <v>111</v>
      </c>
      <c r="C114" s="10" t="str">
        <f ca="1">VLOOKUP($B114,OFFSET([2]gachas!$A$2,0,0,COUNTA([2]gachas!$A:$A),MATCH(C$1,[2]gachas!$1:$1,0)-MATCH($B$1,[2]gachas!$1:$1,0)+1),MATCH(C$1,[2]gachas!$1:$1,0)-MATCH($B$1,[2]gachas!$1:$1,0)+1,FALSE)</f>
        <v>ピックアップ02(沖田) 開始</v>
      </c>
      <c r="D114" s="6">
        <v>0</v>
      </c>
      <c r="E114" s="7">
        <v>147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4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blue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6">
        <v>477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3"/>
        <v>01491</v>
      </c>
      <c r="B115" s="2">
        <v>111</v>
      </c>
      <c r="C115" s="10" t="str">
        <f ca="1">VLOOKUP($B115,OFFSET([2]gachas!$A$2,0,0,COUNTA([2]gachas!$A:$A),MATCH(C$1,[2]gachas!$1:$1,0)-MATCH($B$1,[2]gachas!$1:$1,0)+1),MATCH(C$1,[2]gachas!$1:$1,0)-MATCH($B$1,[2]gachas!$1:$1,0)+1,FALSE)</f>
        <v>ピックアップ02(沖田) 開始</v>
      </c>
      <c r="D115" s="6">
        <v>0</v>
      </c>
      <c r="E115" s="7">
        <v>149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yellow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6">
        <v>477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3"/>
        <v>01511</v>
      </c>
      <c r="B116" s="2">
        <v>111</v>
      </c>
      <c r="C116" s="10" t="str">
        <f ca="1">VLOOKUP($B116,OFFSET([2]gachas!$A$2,0,0,COUNTA([2]gachas!$A:$A),MATCH(C$1,[2]gachas!$1:$1,0)-MATCH($B$1,[2]gachas!$1:$1,0)+1),MATCH(C$1,[2]gachas!$1:$1,0)-MATCH($B$1,[2]gachas!$1:$1,0)+1,FALSE)</f>
        <v>ピックアップ02(沖田) 開始</v>
      </c>
      <c r="D116" s="6">
        <v>0</v>
      </c>
      <c r="E116" s="7">
        <v>151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毒煙の処刑人サキ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4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red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6">
        <v>477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3"/>
        <v>01531</v>
      </c>
      <c r="B117" s="2">
        <v>111</v>
      </c>
      <c r="C117" s="10" t="str">
        <f ca="1">VLOOKUP($B117,OFFSET([2]gachas!$A$2,0,0,COUNTA([2]gachas!$A:$A),MATCH(C$1,[2]gachas!$1:$1,0)-MATCH($B$1,[2]gachas!$1:$1,0)+1),MATCH(C$1,[2]gachas!$1:$1,0)-MATCH($B$1,[2]gachas!$1:$1,0)+1,FALSE)</f>
        <v>ピックアップ02(沖田) 開始</v>
      </c>
      <c r="D117" s="6">
        <v>0</v>
      </c>
      <c r="E117" s="7">
        <v>153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拳聖ランラン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4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green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6">
        <v>477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3"/>
        <v>01551</v>
      </c>
      <c r="B118" s="2">
        <v>111</v>
      </c>
      <c r="C118" s="10" t="str">
        <f ca="1">VLOOKUP($B118,OFFSET([2]gachas!$A$2,0,0,COUNTA([2]gachas!$A:$A),MATCH(C$1,[2]gachas!$1:$1,0)-MATCH($B$1,[2]gachas!$1:$1,0)+1),MATCH(C$1,[2]gachas!$1:$1,0)-MATCH($B$1,[2]gachas!$1:$1,0)+1,FALSE)</f>
        <v>ピックアップ02(沖田) 開始</v>
      </c>
      <c r="D118" s="6">
        <v>0</v>
      </c>
      <c r="E118" s="7">
        <v>155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隻眼の掃除屋 ハンナ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blue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6">
        <v>477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3"/>
        <v>01571</v>
      </c>
      <c r="B119" s="2">
        <v>111</v>
      </c>
      <c r="C119" s="10" t="str">
        <f ca="1">VLOOKUP($B119,OFFSET([2]gachas!$A$2,0,0,COUNTA([2]gachas!$A:$A),MATCH(C$1,[2]gachas!$1:$1,0)-MATCH($B$1,[2]gachas!$1:$1,0)+1),MATCH(C$1,[2]gachas!$1:$1,0)-MATCH($B$1,[2]gachas!$1:$1,0)+1,FALSE)</f>
        <v>ピックアップ02(沖田) 開始</v>
      </c>
      <c r="D119" s="6">
        <v>0</v>
      </c>
      <c r="E119" s="7">
        <v>157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雷光舞姫 エレナ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4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yellow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6">
        <v>1</v>
      </c>
      <c r="M119" s="6">
        <v>477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3"/>
        <v>01591</v>
      </c>
      <c r="B120" s="2">
        <v>111</v>
      </c>
      <c r="C120" s="10" t="str">
        <f ca="1">VLOOKUP($B120,OFFSET([2]gachas!$A$2,0,0,COUNTA([2]gachas!$A:$A),MATCH(C$1,[2]gachas!$1:$1,0)-MATCH($B$1,[2]gachas!$1:$1,0)+1),MATCH(C$1,[2]gachas!$1:$1,0)-MATCH($B$1,[2]gachas!$1:$1,0)+1,FALSE)</f>
        <v>ピックアップ02(沖田) 開始</v>
      </c>
      <c r="D120" s="6">
        <v>0</v>
      </c>
      <c r="E120" s="7">
        <v>159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4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red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6">
        <v>1</v>
      </c>
      <c r="M120" s="6">
        <v>477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3"/>
        <v>01611</v>
      </c>
      <c r="B121" s="2">
        <v>111</v>
      </c>
      <c r="C121" s="10" t="str">
        <f ca="1">VLOOKUP($B121,OFFSET([2]gachas!$A$2,0,0,COUNTA([2]gachas!$A:$A),MATCH(C$1,[2]gachas!$1:$1,0)-MATCH($B$1,[2]gachas!$1:$1,0)+1),MATCH(C$1,[2]gachas!$1:$1,0)-MATCH($B$1,[2]gachas!$1:$1,0)+1,FALSE)</f>
        <v>ピックアップ02(沖田) 開始</v>
      </c>
      <c r="D121" s="6">
        <v>0</v>
      </c>
      <c r="E121" s="7">
        <v>161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咆哮の先導者 クリエ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green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6">
        <v>477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3"/>
        <v>01631</v>
      </c>
      <c r="B122" s="2">
        <v>111</v>
      </c>
      <c r="C122" s="10" t="str">
        <f ca="1">VLOOKUP($B122,OFFSET([2]gachas!$A$2,0,0,COUNTA([2]gachas!$A:$A),MATCH(C$1,[2]gachas!$1:$1,0)-MATCH($B$1,[2]gachas!$1:$1,0)+1),MATCH(C$1,[2]gachas!$1:$1,0)-MATCH($B$1,[2]gachas!$1:$1,0)+1,FALSE)</f>
        <v>ピックアップ02(沖田) 開始</v>
      </c>
      <c r="D122" s="6">
        <v>0</v>
      </c>
      <c r="E122" s="7">
        <v>163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冷酷な狂嬢 クララ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PremiumW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4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blue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ヒューマン</v>
      </c>
      <c r="L122" s="6">
        <v>1</v>
      </c>
      <c r="M122" s="6">
        <v>477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3"/>
        <v>01651</v>
      </c>
      <c r="B123" s="2">
        <v>111</v>
      </c>
      <c r="C123" s="10" t="str">
        <f ca="1">VLOOKUP($B123,OFFSET([2]gachas!$A$2,0,0,COUNTA([2]gachas!$A:$A),MATCH(C$1,[2]gachas!$1:$1,0)-MATCH($B$1,[2]gachas!$1:$1,0)+1),MATCH(C$1,[2]gachas!$1:$1,0)-MATCH($B$1,[2]gachas!$1:$1,0)+1,FALSE)</f>
        <v>ピックアップ02(沖田) 開始</v>
      </c>
      <c r="D123" s="6">
        <v>0</v>
      </c>
      <c r="E123" s="7">
        <v>165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PremiumW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4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yellow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ヒューマン</v>
      </c>
      <c r="L123" s="6">
        <v>1</v>
      </c>
      <c r="M123" s="6">
        <v>477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3"/>
        <v>01671</v>
      </c>
      <c r="B124" s="2">
        <v>111</v>
      </c>
      <c r="C124" s="10" t="str">
        <f ca="1">VLOOKUP($B124,OFFSET([2]gachas!$A$2,0,0,COUNTA([2]gachas!$A:$A),MATCH(C$1,[2]gachas!$1:$1,0)-MATCH($B$1,[2]gachas!$1:$1,0)+1),MATCH(C$1,[2]gachas!$1:$1,0)-MATCH($B$1,[2]gachas!$1:$1,0)+1,FALSE)</f>
        <v>ピックアップ02(沖田) 開始</v>
      </c>
      <c r="D124" s="6">
        <v>0</v>
      </c>
      <c r="E124" s="7">
        <v>167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逆徒 ベリアル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red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6">
        <v>1</v>
      </c>
      <c r="M124" s="6">
        <v>477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3"/>
        <v>01701</v>
      </c>
      <c r="B125" s="2">
        <v>111</v>
      </c>
      <c r="C125" s="10" t="str">
        <f ca="1">VLOOKUP($B125,OFFSET([2]gachas!$A$2,0,0,COUNTA([2]gachas!$A:$A),MATCH(C$1,[2]gachas!$1:$1,0)-MATCH($B$1,[2]gachas!$1:$1,0)+1),MATCH(C$1,[2]gachas!$1:$1,0)-MATCH($B$1,[2]gachas!$1:$1,0)+1,FALSE)</f>
        <v>ピックアップ02(沖田) 開始</v>
      </c>
      <c r="D125" s="6">
        <v>0</v>
      </c>
      <c r="E125" s="7">
        <v>170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識徒 オセ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4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green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6">
        <v>477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3"/>
        <v>01731</v>
      </c>
      <c r="B126" s="2">
        <v>111</v>
      </c>
      <c r="C126" s="10" t="str">
        <f ca="1">VLOOKUP($B126,OFFSET([2]gachas!$A$2,0,0,COUNTA([2]gachas!$A:$A),MATCH(C$1,[2]gachas!$1:$1,0)-MATCH($B$1,[2]gachas!$1:$1,0)+1),MATCH(C$1,[2]gachas!$1:$1,0)-MATCH($B$1,[2]gachas!$1:$1,0)+1,FALSE)</f>
        <v>ピックアップ02(沖田) 開始</v>
      </c>
      <c r="D126" s="6">
        <v>0</v>
      </c>
      <c r="E126" s="7">
        <v>173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公爵 フォルネウス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4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blue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6">
        <v>1</v>
      </c>
      <c r="M126" s="6">
        <v>477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3"/>
        <v>01761</v>
      </c>
      <c r="B127" s="2">
        <v>111</v>
      </c>
      <c r="C127" s="10" t="str">
        <f ca="1">VLOOKUP($B127,OFFSET([2]gachas!$A$2,0,0,COUNTA([2]gachas!$A:$A),MATCH(C$1,[2]gachas!$1:$1,0)-MATCH($B$1,[2]gachas!$1:$1,0)+1),MATCH(C$1,[2]gachas!$1:$1,0)-MATCH($B$1,[2]gachas!$1:$1,0)+1,FALSE)</f>
        <v>ピックアップ02(沖田) 開始</v>
      </c>
      <c r="D127" s="6">
        <v>0</v>
      </c>
      <c r="E127" s="7">
        <v>176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異教徒 バフォメット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yellow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6">
        <v>1</v>
      </c>
      <c r="M127" s="6">
        <v>477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3"/>
        <v>01791</v>
      </c>
      <c r="B128" s="2">
        <v>111</v>
      </c>
      <c r="C128" s="10" t="str">
        <f ca="1">VLOOKUP($B128,OFFSET([2]gachas!$A$2,0,0,COUNTA([2]gachas!$A:$A),MATCH(C$1,[2]gachas!$1:$1,0)-MATCH($B$1,[2]gachas!$1:$1,0)+1),MATCH(C$1,[2]gachas!$1:$1,0)-MATCH($B$1,[2]gachas!$1:$1,0)+1,FALSE)</f>
        <v>ピックアップ02(沖田) 開始</v>
      </c>
      <c r="D128" s="6">
        <v>0</v>
      </c>
      <c r="E128" s="7">
        <v>179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番犬 ケルベロス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4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red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6">
        <v>1</v>
      </c>
      <c r="M128" s="6">
        <v>477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3"/>
        <v>01821</v>
      </c>
      <c r="B129" s="2">
        <v>111</v>
      </c>
      <c r="C129" s="10" t="str">
        <f ca="1">VLOOKUP($B129,OFFSET([2]gachas!$A$2,0,0,COUNTA([2]gachas!$A:$A),MATCH(C$1,[2]gachas!$1:$1,0)-MATCH($B$1,[2]gachas!$1:$1,0)+1),MATCH(C$1,[2]gachas!$1:$1,0)-MATCH($B$1,[2]gachas!$1:$1,0)+1,FALSE)</f>
        <v>ピックアップ02(沖田) 開始</v>
      </c>
      <c r="D129" s="6">
        <v>0</v>
      </c>
      <c r="E129" s="7">
        <v>182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放蕩者 ベヒモス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4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green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6">
        <v>477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3"/>
        <v>01851</v>
      </c>
      <c r="B130" s="2">
        <v>111</v>
      </c>
      <c r="C130" s="10" t="str">
        <f ca="1">VLOOKUP($B130,OFFSET([2]gachas!$A$2,0,0,COUNTA([2]gachas!$A:$A),MATCH(C$1,[2]gachas!$1:$1,0)-MATCH($B$1,[2]gachas!$1:$1,0)+1),MATCH(C$1,[2]gachas!$1:$1,0)-MATCH($B$1,[2]gachas!$1:$1,0)+1,FALSE)</f>
        <v>ピックアップ02(沖田) 開始</v>
      </c>
      <c r="D130" s="6">
        <v>0</v>
      </c>
      <c r="E130" s="7">
        <v>185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海姫 クラーケン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blue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アニマル</v>
      </c>
      <c r="L130" s="6">
        <v>1</v>
      </c>
      <c r="M130" s="6">
        <v>477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3"/>
        <v>01881</v>
      </c>
      <c r="B131" s="2">
        <v>111</v>
      </c>
      <c r="C131" s="10" t="str">
        <f ca="1">VLOOKUP($B131,OFFSET([2]gachas!$A$2,0,0,COUNTA([2]gachas!$A:$A),MATCH(C$1,[2]gachas!$1:$1,0)-MATCH($B$1,[2]gachas!$1:$1,0)+1),MATCH(C$1,[2]gachas!$1:$1,0)-MATCH($B$1,[2]gachas!$1:$1,0)+1,FALSE)</f>
        <v>ピックアップ02(沖田) 開始</v>
      </c>
      <c r="D131" s="6">
        <v>0</v>
      </c>
      <c r="E131" s="7">
        <v>188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猛禽 ホルス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4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yellow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アニマル</v>
      </c>
      <c r="L131" s="6">
        <v>1</v>
      </c>
      <c r="M131" s="6">
        <v>477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3"/>
        <v>01911</v>
      </c>
      <c r="B132" s="2">
        <v>111</v>
      </c>
      <c r="C132" s="10" t="str">
        <f ca="1">VLOOKUP($B132,OFFSET([2]gachas!$A$2,0,0,COUNTA([2]gachas!$A:$A),MATCH(C$1,[2]gachas!$1:$1,0)-MATCH($B$1,[2]gachas!$1:$1,0)+1),MATCH(C$1,[2]gachas!$1:$1,0)-MATCH($B$1,[2]gachas!$1:$1,0)+1,FALSE)</f>
        <v>ピックアップ02(沖田) 開始</v>
      </c>
      <c r="D132" s="6">
        <v>0</v>
      </c>
      <c r="E132" s="7">
        <v>191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始祖 卑弥呼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4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red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6">
        <v>477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si="3"/>
        <v>01941</v>
      </c>
      <c r="B133" s="2">
        <v>111</v>
      </c>
      <c r="C133" s="10" t="str">
        <f ca="1">VLOOKUP($B133,OFFSET([2]gachas!$A$2,0,0,COUNTA([2]gachas!$A:$A),MATCH(C$1,[2]gachas!$1:$1,0)-MATCH($B$1,[2]gachas!$1:$1,0)+1),MATCH(C$1,[2]gachas!$1:$1,0)-MATCH($B$1,[2]gachas!$1:$1,0)+1,FALSE)</f>
        <v>ピックアップ02(沖田) 開始</v>
      </c>
      <c r="D133" s="6">
        <v>0</v>
      </c>
      <c r="E133" s="7">
        <v>194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green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6">
        <v>477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3"/>
        <v>01971</v>
      </c>
      <c r="B134" s="2">
        <v>111</v>
      </c>
      <c r="C134" s="10" t="str">
        <f ca="1">VLOOKUP($B134,OFFSET([2]gachas!$A$2,0,0,COUNTA([2]gachas!$A:$A),MATCH(C$1,[2]gachas!$1:$1,0)-MATCH($B$1,[2]gachas!$1:$1,0)+1),MATCH(C$1,[2]gachas!$1:$1,0)-MATCH($B$1,[2]gachas!$1:$1,0)+1,FALSE)</f>
        <v>ピックアップ02(沖田) 開始</v>
      </c>
      <c r="D134" s="6">
        <v>0</v>
      </c>
      <c r="E134" s="7">
        <v>197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鉄腕 アキレス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4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yellow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ヒューマン</v>
      </c>
      <c r="L134" s="6">
        <v>1</v>
      </c>
      <c r="M134" s="6">
        <v>477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3"/>
        <v>02001</v>
      </c>
      <c r="B135" s="2">
        <v>111</v>
      </c>
      <c r="C135" s="10" t="str">
        <f ca="1">VLOOKUP($B135,OFFSET([2]gachas!$A$2,0,0,COUNTA([2]gachas!$A:$A),MATCH(C$1,[2]gachas!$1:$1,0)-MATCH($B$1,[2]gachas!$1:$1,0)+1),MATCH(C$1,[2]gachas!$1:$1,0)-MATCH($B$1,[2]gachas!$1:$1,0)+1,FALSE)</f>
        <v>ピックアップ02(沖田) 開始</v>
      </c>
      <c r="D135" s="6">
        <v>0</v>
      </c>
      <c r="E135" s="7">
        <v>200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4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blue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ヒューマン</v>
      </c>
      <c r="L135" s="6">
        <v>1</v>
      </c>
      <c r="M135" s="6">
        <v>477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3"/>
        <v>02031</v>
      </c>
      <c r="B136" s="2">
        <v>111</v>
      </c>
      <c r="C136" s="10" t="str">
        <f ca="1">VLOOKUP($B136,OFFSET([2]gachas!$A$2,0,0,COUNTA([2]gachas!$A:$A),MATCH(C$1,[2]gachas!$1:$1,0)-MATCH($B$1,[2]gachas!$1:$1,0)+1),MATCH(C$1,[2]gachas!$1:$1,0)-MATCH($B$1,[2]gachas!$1:$1,0)+1,FALSE)</f>
        <v>ピックアップ02(沖田) 開始</v>
      </c>
      <c r="D136" s="6">
        <v>0</v>
      </c>
      <c r="E136" s="7">
        <v>203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焔神 プロメテウス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red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6">
        <v>1</v>
      </c>
      <c r="M136" s="6">
        <v>477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3"/>
        <v>02061</v>
      </c>
      <c r="B137" s="2">
        <v>111</v>
      </c>
      <c r="C137" s="10" t="str">
        <f ca="1">VLOOKUP($B137,OFFSET([2]gachas!$A$2,0,0,COUNTA([2]gachas!$A:$A),MATCH(C$1,[2]gachas!$1:$1,0)-MATCH($B$1,[2]gachas!$1:$1,0)+1),MATCH(C$1,[2]gachas!$1:$1,0)-MATCH($B$1,[2]gachas!$1:$1,0)+1,FALSE)</f>
        <v>ピックアップ02(沖田) 開始</v>
      </c>
      <c r="D137" s="6">
        <v>0</v>
      </c>
      <c r="E137" s="7">
        <v>206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美神 アフロディーテ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4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green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6">
        <v>477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3"/>
        <v>02091</v>
      </c>
      <c r="B138" s="2">
        <v>111</v>
      </c>
      <c r="C138" s="10" t="str">
        <f ca="1">VLOOKUP($B138,OFFSET([2]gachas!$A$2,0,0,COUNTA([2]gachas!$A:$A),MATCH(C$1,[2]gachas!$1:$1,0)-MATCH($B$1,[2]gachas!$1:$1,0)+1),MATCH(C$1,[2]gachas!$1:$1,0)-MATCH($B$1,[2]gachas!$1:$1,0)+1,FALSE)</f>
        <v>ピックアップ02(沖田) 開始</v>
      </c>
      <c r="D138" s="6">
        <v>0</v>
      </c>
      <c r="E138" s="7">
        <v>209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孤神 テティス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blue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6">
        <v>477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3"/>
        <v>02121</v>
      </c>
      <c r="B139" s="2">
        <v>111</v>
      </c>
      <c r="C139" s="10" t="str">
        <f ca="1">VLOOKUP($B139,OFFSET([2]gachas!$A$2,0,0,COUNTA([2]gachas!$A:$A),MATCH(C$1,[2]gachas!$1:$1,0)-MATCH($B$1,[2]gachas!$1:$1,0)+1),MATCH(C$1,[2]gachas!$1:$1,0)-MATCH($B$1,[2]gachas!$1:$1,0)+1,FALSE)</f>
        <v>ピックアップ02(沖田) 開始</v>
      </c>
      <c r="D139" s="6">
        <v>0</v>
      </c>
      <c r="E139" s="7">
        <v>212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星神 アストライアー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yellow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ゴッド</v>
      </c>
      <c r="L139" s="6">
        <v>1</v>
      </c>
      <c r="M139" s="6">
        <v>477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3"/>
        <v>02151</v>
      </c>
      <c r="B140" s="2">
        <v>111</v>
      </c>
      <c r="C140" s="10" t="str">
        <f ca="1">VLOOKUP($B140,OFFSET([2]gachas!$A$2,0,0,COUNTA([2]gachas!$A:$A),MATCH(C$1,[2]gachas!$1:$1,0)-MATCH($B$1,[2]gachas!$1:$1,0)+1),MATCH(C$1,[2]gachas!$1:$1,0)-MATCH($B$1,[2]gachas!$1:$1,0)+1,FALSE)</f>
        <v>ピックアップ02(沖田) 開始</v>
      </c>
      <c r="D140" s="6">
        <v>0</v>
      </c>
      <c r="E140" s="7">
        <v>215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死導者 アズラエル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red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6">
        <v>1</v>
      </c>
      <c r="M140" s="6">
        <v>477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3"/>
        <v>02181</v>
      </c>
      <c r="B141" s="2">
        <v>111</v>
      </c>
      <c r="C141" s="10" t="str">
        <f ca="1">VLOOKUP($B141,OFFSET([2]gachas!$A$2,0,0,COUNTA([2]gachas!$A:$A),MATCH(C$1,[2]gachas!$1:$1,0)-MATCH($B$1,[2]gachas!$1:$1,0)+1),MATCH(C$1,[2]gachas!$1:$1,0)-MATCH($B$1,[2]gachas!$1:$1,0)+1,FALSE)</f>
        <v>ピックアップ02(沖田) 開始</v>
      </c>
      <c r="D141" s="6">
        <v>0</v>
      </c>
      <c r="E141" s="7">
        <v>218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聖蛇 ケツァクアトル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green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ドラゴン</v>
      </c>
      <c r="L141" s="6">
        <v>1</v>
      </c>
      <c r="M141" s="6">
        <v>477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3"/>
        <v>02211</v>
      </c>
      <c r="B142" s="2">
        <v>111</v>
      </c>
      <c r="C142" s="10" t="str">
        <f ca="1">VLOOKUP($B142,OFFSET([2]gachas!$A$2,0,0,COUNTA([2]gachas!$A:$A),MATCH(C$1,[2]gachas!$1:$1,0)-MATCH($B$1,[2]gachas!$1:$1,0)+1),MATCH(C$1,[2]gachas!$1:$1,0)-MATCH($B$1,[2]gachas!$1:$1,0)+1,FALSE)</f>
        <v>ピックアップ02(沖田) 開始</v>
      </c>
      <c r="D142" s="6">
        <v>0</v>
      </c>
      <c r="E142" s="7">
        <v>221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宰相 ルキフグス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PremiumN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blue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6">
        <v>477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3"/>
        <v>02241</v>
      </c>
      <c r="B143" s="2">
        <v>111</v>
      </c>
      <c r="C143" s="10" t="str">
        <f ca="1">VLOOKUP($B143,OFFSET([2]gachas!$A$2,0,0,COUNTA([2]gachas!$A:$A),MATCH(C$1,[2]gachas!$1:$1,0)-MATCH($B$1,[2]gachas!$1:$1,0)+1),MATCH(C$1,[2]gachas!$1:$1,0)-MATCH($B$1,[2]gachas!$1:$1,0)+1,FALSE)</f>
        <v>ピックアップ02(沖田) 開始</v>
      </c>
      <c r="D143" s="6">
        <v>0</v>
      </c>
      <c r="E143" s="7">
        <v>224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巨腕 ヘラクレス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PremiumN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4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yellow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6">
        <v>1</v>
      </c>
      <c r="M143" s="6">
        <v>477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3"/>
        <v>02271</v>
      </c>
      <c r="B144" s="2">
        <v>111</v>
      </c>
      <c r="C144" s="10" t="str">
        <f ca="1">VLOOKUP($B144,OFFSET([2]gachas!$A$2,0,0,COUNTA([2]gachas!$A:$A),MATCH(C$1,[2]gachas!$1:$1,0)-MATCH($B$1,[2]gachas!$1:$1,0)+1),MATCH(C$1,[2]gachas!$1:$1,0)-MATCH($B$1,[2]gachas!$1:$1,0)+1,FALSE)</f>
        <v>ピックアップ02(沖田) 開始</v>
      </c>
      <c r="D144" s="6">
        <v>0</v>
      </c>
      <c r="E144" s="7">
        <v>227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滅弾 アレス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red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ゴッド</v>
      </c>
      <c r="L144" s="6">
        <v>1</v>
      </c>
      <c r="M144" s="6">
        <v>436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3"/>
        <v>02301</v>
      </c>
      <c r="B145" s="2">
        <v>111</v>
      </c>
      <c r="C145" s="10" t="str">
        <f ca="1">VLOOKUP($B145,OFFSET([2]gachas!$A$2,0,0,COUNTA([2]gachas!$A:$A),MATCH(C$1,[2]gachas!$1:$1,0)-MATCH($B$1,[2]gachas!$1:$1,0)+1),MATCH(C$1,[2]gachas!$1:$1,0)-MATCH($B$1,[2]gachas!$1:$1,0)+1,FALSE)</f>
        <v>ピックアップ02(沖田) 開始</v>
      </c>
      <c r="D145" s="29">
        <v>0</v>
      </c>
      <c r="E145" s="30">
        <v>230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毒銃 ヨルムンガンド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4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green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ドラゴン</v>
      </c>
      <c r="L145" s="29">
        <v>1</v>
      </c>
      <c r="M145" s="29">
        <v>1308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3"/>
        <v>02331</v>
      </c>
      <c r="B146" s="2">
        <v>111</v>
      </c>
      <c r="C146" s="10" t="str">
        <f ca="1">VLOOKUP($B146,OFFSET([2]gachas!$A$2,0,0,COUNTA([2]gachas!$A:$A),MATCH(C$1,[2]gachas!$1:$1,0)-MATCH($B$1,[2]gachas!$1:$1,0)+1),MATCH(C$1,[2]gachas!$1:$1,0)-MATCH($B$1,[2]gachas!$1:$1,0)+1,FALSE)</f>
        <v>ピックアップ02(沖田) 開始</v>
      </c>
      <c r="D146" s="6">
        <v>0</v>
      </c>
      <c r="E146" s="7">
        <v>233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遂行 パーシヴァル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blue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6">
        <v>436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3"/>
        <v>02361</v>
      </c>
      <c r="B147" s="2">
        <v>111</v>
      </c>
      <c r="C147" s="10" t="str">
        <f ca="1">VLOOKUP($B147,OFFSET([2]gachas!$A$2,0,0,COUNTA([2]gachas!$A:$A),MATCH(C$1,[2]gachas!$1:$1,0)-MATCH($B$1,[2]gachas!$1:$1,0)+1),MATCH(C$1,[2]gachas!$1:$1,0)-MATCH($B$1,[2]gachas!$1:$1,0)+1,FALSE)</f>
        <v>ピックアップ02(沖田) 開始</v>
      </c>
      <c r="D147" s="6">
        <v>0</v>
      </c>
      <c r="E147" s="7">
        <v>236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神産 イザナミ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yellow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ゴッド</v>
      </c>
      <c r="L147" s="6">
        <v>1</v>
      </c>
      <c r="M147" s="6">
        <v>436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3"/>
        <v>02311</v>
      </c>
      <c r="B148" s="2">
        <v>111</v>
      </c>
      <c r="C148" s="10" t="str">
        <f ca="1">VLOOKUP($B148,OFFSET([2]gachas!$A$2,0,0,COUNTA([2]gachas!$A:$A),MATCH(C$1,[2]gachas!$1:$1,0)-MATCH($B$1,[2]gachas!$1:$1,0)+1),MATCH(C$1,[2]gachas!$1:$1,0)-MATCH($B$1,[2]gachas!$1:$1,0)+1,FALSE)</f>
        <v>ピックアップ02(沖田) 開始</v>
      </c>
      <c r="D148" s="29">
        <v>0</v>
      </c>
      <c r="E148" s="30">
        <v>231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5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green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ドラゴン</v>
      </c>
      <c r="L148" s="29">
        <v>1</v>
      </c>
      <c r="M148" s="29">
        <v>1962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3"/>
        <v>02381</v>
      </c>
      <c r="B149" s="2">
        <v>111</v>
      </c>
      <c r="C149" s="10" t="str">
        <f ca="1">VLOOKUP($B149,OFFSET([2]gachas!$A$2,0,0,COUNTA([2]gachas!$A:$A),MATCH(C$1,[2]gachas!$1:$1,0)-MATCH($B$1,[2]gachas!$1:$1,0)+1),MATCH(C$1,[2]gachas!$1:$1,0)-MATCH($B$1,[2]gachas!$1:$1,0)+1,FALSE)</f>
        <v>ピックアップ02(沖田) 開始</v>
      </c>
      <c r="D149" s="6">
        <v>0</v>
      </c>
      <c r="E149" s="19">
        <v>238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ウリエル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PremiumS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3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red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マシン</v>
      </c>
      <c r="L149" s="6">
        <v>1</v>
      </c>
      <c r="M149" s="6">
        <v>929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3"/>
        <v>02391</v>
      </c>
      <c r="B150" s="2">
        <v>111</v>
      </c>
      <c r="C150" s="10" t="str">
        <f ca="1">VLOOKUP($B150,OFFSET([2]gachas!$A$2,0,0,COUNTA([2]gachas!$A:$A),MATCH(C$1,[2]gachas!$1:$1,0)-MATCH($B$1,[2]gachas!$1:$1,0)+1),MATCH(C$1,[2]gachas!$1:$1,0)-MATCH($B$1,[2]gachas!$1:$1,0)+1,FALSE)</f>
        <v>ピックアップ02(沖田) 開始</v>
      </c>
      <c r="D150" s="6">
        <v>0</v>
      </c>
      <c r="E150" s="19">
        <v>239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豪炎の天使 ウリエル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PremiumS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マシン</v>
      </c>
      <c r="L150" s="6">
        <v>1</v>
      </c>
      <c r="M150" s="45">
        <v>436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3"/>
        <v>02411</v>
      </c>
      <c r="B151" s="2">
        <v>111</v>
      </c>
      <c r="C151" s="10" t="str">
        <f ca="1">VLOOKUP($B151,OFFSET([2]gachas!$A$2,0,0,COUNTA([2]gachas!$A:$A),MATCH(C$1,[2]gachas!$1:$1,0)-MATCH($B$1,[2]gachas!$1:$1,0)+1),MATCH(C$1,[2]gachas!$1:$1,0)-MATCH($B$1,[2]gachas!$1:$1,0)+1,FALSE)</f>
        <v>ピックアップ02(沖田) 開始</v>
      </c>
      <c r="D151" s="6">
        <v>0</v>
      </c>
      <c r="E151" s="19">
        <v>241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ガブリエル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PremiumS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3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マシン</v>
      </c>
      <c r="L151" s="6">
        <v>1</v>
      </c>
      <c r="M151" s="6">
        <v>929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3"/>
        <v>02421</v>
      </c>
      <c r="B152" s="2">
        <v>111</v>
      </c>
      <c r="C152" s="10" t="str">
        <f ca="1">VLOOKUP($B152,OFFSET([2]gachas!$A$2,0,0,COUNTA([2]gachas!$A:$A),MATCH(C$1,[2]gachas!$1:$1,0)-MATCH($B$1,[2]gachas!$1:$1,0)+1),MATCH(C$1,[2]gachas!$1:$1,0)-MATCH($B$1,[2]gachas!$1:$1,0)+1,FALSE)</f>
        <v>ピックアップ02(沖田) 開始</v>
      </c>
      <c r="D152" s="6">
        <v>0</v>
      </c>
      <c r="E152" s="19">
        <v>242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PremiumS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green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マシン</v>
      </c>
      <c r="L152" s="6">
        <v>1</v>
      </c>
      <c r="M152" s="45">
        <v>436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ref="A153:A169" si="4">D153&amp;E153&amp;L153</f>
        <v>02441</v>
      </c>
      <c r="B153" s="2">
        <v>111</v>
      </c>
      <c r="C153" s="10" t="str">
        <f ca="1">VLOOKUP($B153,OFFSET([2]gachas!$A$2,0,0,COUNTA([2]gachas!$A:$A),MATCH(C$1,[2]gachas!$1:$1,0)-MATCH($B$1,[2]gachas!$1:$1,0)+1),MATCH(C$1,[2]gachas!$1:$1,0)-MATCH($B$1,[2]gachas!$1:$1,0)+1,FALSE)</f>
        <v>ピックアップ02(沖田) 開始</v>
      </c>
      <c r="D153" s="6">
        <v>0</v>
      </c>
      <c r="E153" s="19">
        <v>244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ラファエル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3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blue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マシン</v>
      </c>
      <c r="L153" s="6">
        <v>1</v>
      </c>
      <c r="M153" s="6">
        <v>929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4"/>
        <v>02451</v>
      </c>
      <c r="B154" s="2">
        <v>111</v>
      </c>
      <c r="C154" s="10" t="str">
        <f ca="1">VLOOKUP($B154,OFFSET([2]gachas!$A$2,0,0,COUNTA([2]gachas!$A:$A),MATCH(C$1,[2]gachas!$1:$1,0)-MATCH($B$1,[2]gachas!$1:$1,0)+1),MATCH(C$1,[2]gachas!$1:$1,0)-MATCH($B$1,[2]gachas!$1:$1,0)+1,FALSE)</f>
        <v>ピックアップ02(沖田) 開始</v>
      </c>
      <c r="D154" s="6">
        <v>0</v>
      </c>
      <c r="E154" s="19">
        <v>245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blue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マシン</v>
      </c>
      <c r="L154" s="6">
        <v>1</v>
      </c>
      <c r="M154" s="45">
        <v>436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si="4"/>
        <v>02481</v>
      </c>
      <c r="B155" s="2">
        <v>111</v>
      </c>
      <c r="C155" s="10" t="str">
        <f ca="1">VLOOKUP($B155,OFFSET([2]gachas!$A$2,0,0,COUNTA([2]gachas!$A:$A),MATCH(C$1,[2]gachas!$1:$1,0)-MATCH($B$1,[2]gachas!$1:$1,0)+1),MATCH(C$1,[2]gachas!$1:$1,0)-MATCH($B$1,[2]gachas!$1:$1,0)+1,FALSE)</f>
        <v>ピックアップ02(沖田) 開始</v>
      </c>
      <c r="D155" s="29">
        <v>0</v>
      </c>
      <c r="E155" s="36">
        <v>248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彩電の天使 ミカエル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yellow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マシン</v>
      </c>
      <c r="L155" s="29">
        <v>1</v>
      </c>
      <c r="M155" s="29">
        <v>1308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s="26" customFormat="1" ht="21" customHeight="1" thickBot="1">
      <c r="A156" s="22" t="str">
        <f t="shared" si="4"/>
        <v>02491</v>
      </c>
      <c r="B156" s="2">
        <v>111</v>
      </c>
      <c r="C156" s="10" t="str">
        <f ca="1">VLOOKUP($B156,OFFSET([2]gachas!$A$2,0,0,COUNTA([2]gachas!$A:$A),MATCH(C$1,[2]gachas!$1:$1,0)-MATCH($B$1,[2]gachas!$1:$1,0)+1),MATCH(C$1,[2]gachas!$1:$1,0)-MATCH($B$1,[2]gachas!$1:$1,0)+1,FALSE)</f>
        <v>ピックアップ02(沖田) 開始</v>
      </c>
      <c r="D156" s="29">
        <v>0</v>
      </c>
      <c r="E156" s="36">
        <v>249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PremiumS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5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yellow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マシン</v>
      </c>
      <c r="L156" s="29">
        <v>1</v>
      </c>
      <c r="M156" s="29">
        <v>1962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s="26" customFormat="1" ht="21" customHeight="1" thickBot="1">
      <c r="A157" s="22" t="str">
        <f t="shared" si="4"/>
        <v>02501</v>
      </c>
      <c r="B157" s="2">
        <v>111</v>
      </c>
      <c r="C157" s="10" t="str">
        <f ca="1">VLOOKUP($B157,OFFSET([2]gachas!$A$2,0,0,COUNTA([2]gachas!$A:$A),MATCH(C$1,[2]gachas!$1:$1,0)-MATCH($B$1,[2]gachas!$1:$1,0)+1),MATCH(C$1,[2]gachas!$1:$1,0)-MATCH($B$1,[2]gachas!$1:$1,0)+1,FALSE)</f>
        <v>ピックアップ02(沖田) 開始</v>
      </c>
      <c r="D157" s="6">
        <v>0</v>
      </c>
      <c r="E157" s="7">
        <v>250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マンモン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PremiumS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3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red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ゴッド</v>
      </c>
      <c r="L157" s="6">
        <v>1</v>
      </c>
      <c r="M157" s="6">
        <v>929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 thickBot="1">
      <c r="A158" s="22" t="str">
        <f t="shared" si="4"/>
        <v>02511</v>
      </c>
      <c r="B158" s="2">
        <v>111</v>
      </c>
      <c r="C158" s="10" t="str">
        <f ca="1">VLOOKUP($B158,OFFSET([2]gachas!$A$2,0,0,COUNTA([2]gachas!$A:$A),MATCH(C$1,[2]gachas!$1:$1,0)-MATCH($B$1,[2]gachas!$1:$1,0)+1),MATCH(C$1,[2]gachas!$1:$1,0)-MATCH($B$1,[2]gachas!$1:$1,0)+1,FALSE)</f>
        <v>ピックアップ02(沖田) 開始</v>
      </c>
      <c r="D158" s="6">
        <v>0</v>
      </c>
      <c r="E158" s="7">
        <v>251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強欲 マンモン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PremiumS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ゴッド</v>
      </c>
      <c r="L158" s="6">
        <v>1</v>
      </c>
      <c r="M158" s="45">
        <v>436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 thickBot="1">
      <c r="A159" s="22" t="str">
        <f t="shared" si="4"/>
        <v>02531</v>
      </c>
      <c r="B159" s="2">
        <v>111</v>
      </c>
      <c r="C159" s="10" t="str">
        <f ca="1">VLOOKUP($B159,OFFSET([2]gachas!$A$2,0,0,COUNTA([2]gachas!$A:$A),MATCH(C$1,[2]gachas!$1:$1,0)-MATCH($B$1,[2]gachas!$1:$1,0)+1),MATCH(C$1,[2]gachas!$1:$1,0)-MATCH($B$1,[2]gachas!$1:$1,0)+1,FALSE)</f>
        <v>ピックアップ02(沖田) 開始</v>
      </c>
      <c r="D159" s="6">
        <v>0</v>
      </c>
      <c r="E159" s="7">
        <v>253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ベルフェゴール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PremiumS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3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ゴッド</v>
      </c>
      <c r="L159" s="6">
        <v>1</v>
      </c>
      <c r="M159" s="6">
        <v>929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 thickBot="1">
      <c r="A160" s="22" t="str">
        <f t="shared" si="4"/>
        <v>02541</v>
      </c>
      <c r="B160" s="2">
        <v>111</v>
      </c>
      <c r="C160" s="10" t="str">
        <f ca="1">VLOOKUP($B160,OFFSET([2]gachas!$A$2,0,0,COUNTA([2]gachas!$A:$A),MATCH(C$1,[2]gachas!$1:$1,0)-MATCH($B$1,[2]gachas!$1:$1,0)+1),MATCH(C$1,[2]gachas!$1:$1,0)-MATCH($B$1,[2]gachas!$1:$1,0)+1,FALSE)</f>
        <v>ピックアップ02(沖田) 開始</v>
      </c>
      <c r="D160" s="6">
        <v>0</v>
      </c>
      <c r="E160" s="7">
        <v>254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怠惰 ベルフェゴール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PremiumS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green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ゴッド</v>
      </c>
      <c r="L160" s="6">
        <v>1</v>
      </c>
      <c r="M160" s="45">
        <v>436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 thickBot="1">
      <c r="A161" s="22" t="str">
        <f t="shared" si="4"/>
        <v>02561</v>
      </c>
      <c r="B161" s="2">
        <v>111</v>
      </c>
      <c r="C161" s="10" t="str">
        <f ca="1">VLOOKUP($B161,OFFSET([2]gachas!$A$2,0,0,COUNTA([2]gachas!$A:$A),MATCH(C$1,[2]gachas!$1:$1,0)-MATCH($B$1,[2]gachas!$1:$1,0)+1),MATCH(C$1,[2]gachas!$1:$1,0)-MATCH($B$1,[2]gachas!$1:$1,0)+1,FALSE)</f>
        <v>ピックアップ02(沖田) 開始</v>
      </c>
      <c r="D161" s="6">
        <v>0</v>
      </c>
      <c r="E161" s="7">
        <v>256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アスモデウス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PremiumS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3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blue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ゴッド</v>
      </c>
      <c r="L161" s="6">
        <v>1</v>
      </c>
      <c r="M161" s="6">
        <v>929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 thickBot="1">
      <c r="A162" s="22" t="str">
        <f t="shared" si="4"/>
        <v>02571</v>
      </c>
      <c r="B162" s="2">
        <v>111</v>
      </c>
      <c r="C162" s="10" t="str">
        <f ca="1">VLOOKUP($B162,OFFSET([2]gachas!$A$2,0,0,COUNTA([2]gachas!$A:$A),MATCH(C$1,[2]gachas!$1:$1,0)-MATCH($B$1,[2]gachas!$1:$1,0)+1),MATCH(C$1,[2]gachas!$1:$1,0)-MATCH($B$1,[2]gachas!$1:$1,0)+1,FALSE)</f>
        <v>ピックアップ02(沖田) 開始</v>
      </c>
      <c r="D162" s="6">
        <v>0</v>
      </c>
      <c r="E162" s="7">
        <v>257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色欲 アスモデウス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PremiumS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blue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ゴッド</v>
      </c>
      <c r="L162" s="6">
        <v>1</v>
      </c>
      <c r="M162" s="45">
        <v>436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 thickBot="1">
      <c r="A163" s="22" t="str">
        <f t="shared" si="4"/>
        <v>02591</v>
      </c>
      <c r="B163" s="2">
        <v>111</v>
      </c>
      <c r="C163" s="10" t="str">
        <f ca="1">VLOOKUP($B163,OFFSET([2]gachas!$A$2,0,0,COUNTA([2]gachas!$A:$A),MATCH(C$1,[2]gachas!$1:$1,0)-MATCH($B$1,[2]gachas!$1:$1,0)+1),MATCH(C$1,[2]gachas!$1:$1,0)-MATCH($B$1,[2]gachas!$1:$1,0)+1,FALSE)</f>
        <v>ピックアップ02(沖田) 開始</v>
      </c>
      <c r="D163" s="6">
        <v>0</v>
      </c>
      <c r="E163" s="7">
        <v>259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ウロボロス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PremiumS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3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yellow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ドラゴン</v>
      </c>
      <c r="L163" s="6">
        <v>1</v>
      </c>
      <c r="M163" s="6">
        <v>929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 thickBot="1">
      <c r="A164" s="22" t="str">
        <f t="shared" si="4"/>
        <v>02601</v>
      </c>
      <c r="B164" s="2">
        <v>111</v>
      </c>
      <c r="C164" s="10" t="str">
        <f ca="1">VLOOKUP($B164,OFFSET([2]gachas!$A$2,0,0,COUNTA([2]gachas!$A:$A),MATCH(C$1,[2]gachas!$1:$1,0)-MATCH($B$1,[2]gachas!$1:$1,0)+1),MATCH(C$1,[2]gachas!$1:$1,0)-MATCH($B$1,[2]gachas!$1:$1,0)+1,FALSE)</f>
        <v>ピックアップ02(沖田) 開始</v>
      </c>
      <c r="D164" s="6">
        <v>0</v>
      </c>
      <c r="E164" s="7">
        <v>260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輪廻 ウロボロス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PremiumS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yellow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ドラゴン</v>
      </c>
      <c r="L164" s="6">
        <v>1</v>
      </c>
      <c r="M164" s="45">
        <v>436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 thickBot="1">
      <c r="A165" s="22" t="str">
        <f t="shared" si="4"/>
        <v>03201</v>
      </c>
      <c r="B165" s="2">
        <v>111</v>
      </c>
      <c r="C165" s="10" t="str">
        <f ca="1">VLOOKUP($B165,OFFSET([2]gachas!$A$2,0,0,COUNTA([2]gachas!$A:$A),MATCH(C$1,[2]gachas!$1:$1,0)-MATCH($B$1,[2]gachas!$1:$1,0)+1),MATCH(C$1,[2]gachas!$1:$1,0)-MATCH($B$1,[2]gachas!$1:$1,0)+1,FALSE)</f>
        <v>ピックアップ02(沖田) 開始</v>
      </c>
      <c r="D165" s="21">
        <v>0</v>
      </c>
      <c r="E165" s="27">
        <v>320</v>
      </c>
      <c r="F165" s="20" t="str">
        <f ca="1">VLOOKUP($E165,OFFSET([1]characters!$A$2,0,0,COUNTA([1]characters!$A:$A),MATCH(F$1,[1]characters!$2:$2,0)-MATCH($E$1,[1]characters!$2:$2,0)+1),MATCH(F$1,[1]characters!$2:$2,0)-MATCH($E$1,[1]characters!$2:$2,0)+1,FALSE)</f>
        <v>烈志士 近藤勇</v>
      </c>
      <c r="G165" s="20" t="str">
        <f ca="1">VLOOKUP($E165,OFFSET([1]characters!$A$2,0,0,COUNTA([1]characters!$A:$A),MATCH(G$1,[1]characters!$2:$2,0)-MATCH($E$1,[1]characters!$2:$2,0)+1),MATCH(G$1,[1]characters!$2:$2,0)-MATCH($E$1,[1]characters!$2:$2,0)+1,FALSE)</f>
        <v>PremiumSS</v>
      </c>
      <c r="H165" s="2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20" t="str">
        <f ca="1">VLOOKUP($E165,OFFSET([1]characters!$A$2,0,0,COUNTA([1]characters!$A:$A),MATCH(I$1,[1]characters!$2:$2,0)-MATCH($E$1,[1]characters!$2:$2,0)+1),MATCH(I$1,[1]characters!$2:$2,0)-MATCH($E$1,[1]characters!$2:$2,0)+1,FALSE)</f>
        <v>red</v>
      </c>
      <c r="J165" s="20" t="str">
        <f ca="1">VLOOKUP($E165,OFFSET([1]characters!$A$2,0,0,COUNTA([1]characters!$A:$A),MATCH("タイプ",[1]characters!$1:$1,0)-MATCH($E$1,[1]characters!$2:$2,0)+2),MATCH("タイプ",[1]characters!$1:$1,0)-MATCH($E$1,[1]characters!$2:$2,0)+2,FALSE)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5" s="2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21">
        <v>1</v>
      </c>
      <c r="M165" s="6">
        <v>182</v>
      </c>
      <c r="N165" s="18">
        <v>0</v>
      </c>
      <c r="O165" s="18">
        <v>0</v>
      </c>
      <c r="P165" s="18">
        <v>0</v>
      </c>
      <c r="Q165" s="18">
        <v>0</v>
      </c>
      <c r="R165" s="18">
        <v>1</v>
      </c>
    </row>
    <row r="166" spans="1:18" ht="21" customHeight="1" thickBot="1">
      <c r="A166" s="22" t="str">
        <f t="shared" si="4"/>
        <v>03221</v>
      </c>
      <c r="B166" s="2">
        <v>111</v>
      </c>
      <c r="C166" s="10" t="str">
        <f ca="1">VLOOKUP($B166,OFFSET([2]gachas!$A$2,0,0,COUNTA([2]gachas!$A:$A),MATCH(C$1,[2]gachas!$1:$1,0)-MATCH($B$1,[2]gachas!$1:$1,0)+1),MATCH(C$1,[2]gachas!$1:$1,0)-MATCH($B$1,[2]gachas!$1:$1,0)+1,FALSE)</f>
        <v>ピックアップ02(沖田) 開始</v>
      </c>
      <c r="D166" s="21">
        <v>0</v>
      </c>
      <c r="E166" s="7">
        <v>322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愛志士 土方歳三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PremiumSS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green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ヒューマン</v>
      </c>
      <c r="L166" s="6">
        <v>1</v>
      </c>
      <c r="M166" s="6">
        <v>182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 thickBot="1">
      <c r="A167" s="22" t="str">
        <f t="shared" si="4"/>
        <v>03241</v>
      </c>
      <c r="B167" s="2">
        <v>111</v>
      </c>
      <c r="C167" s="10" t="str">
        <f ca="1">VLOOKUP($B167,OFFSET([2]gachas!$A$2,0,0,COUNTA([2]gachas!$A:$A),MATCH(C$1,[2]gachas!$1:$1,0)-MATCH($B$1,[2]gachas!$1:$1,0)+1),MATCH(C$1,[2]gachas!$1:$1,0)-MATCH($B$1,[2]gachas!$1:$1,0)+1,FALSE)</f>
        <v>ピックアップ02(沖田) 開始</v>
      </c>
      <c r="D167" s="37">
        <v>0</v>
      </c>
      <c r="E167" s="30">
        <v>324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凛志士 沖田総司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PremiumSS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blue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ヒューマン</v>
      </c>
      <c r="L167" s="29">
        <v>1</v>
      </c>
      <c r="M167" s="37">
        <v>654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 thickBot="1">
      <c r="A168" s="22" t="str">
        <f t="shared" si="4"/>
        <v>03251</v>
      </c>
      <c r="B168" s="2">
        <v>111</v>
      </c>
      <c r="C168" s="10" t="str">
        <f ca="1">VLOOKUP($B168,OFFSET([2]gachas!$A$2,0,0,COUNTA([2]gachas!$A:$A),MATCH(C$1,[2]gachas!$1:$1,0)-MATCH($B$1,[2]gachas!$1:$1,0)+1),MATCH(C$1,[2]gachas!$1:$1,0)-MATCH($B$1,[2]gachas!$1:$1,0)+1,FALSE)</f>
        <v>ピックアップ02(沖田) 開始</v>
      </c>
      <c r="D168" s="37">
        <v>0</v>
      </c>
      <c r="E168" s="30">
        <v>325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PremiumSS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5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ヒューマン</v>
      </c>
      <c r="L168" s="29">
        <v>1</v>
      </c>
      <c r="M168" s="29">
        <v>436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 thickBot="1">
      <c r="A169" s="22" t="str">
        <f t="shared" si="4"/>
        <v>03261</v>
      </c>
      <c r="B169" s="2">
        <v>111</v>
      </c>
      <c r="C169" s="10" t="str">
        <f ca="1">VLOOKUP($B169,OFFSET([2]gachas!$A$2,0,0,COUNTA([2]gachas!$A:$A),MATCH(C$1,[2]gachas!$1:$1,0)-MATCH($B$1,[2]gachas!$1:$1,0)+1),MATCH(C$1,[2]gachas!$1:$1,0)-MATCH($B$1,[2]gachas!$1:$1,0)+1,FALSE)</f>
        <v>ピックアップ02(沖田) 開始</v>
      </c>
      <c r="D169" s="21">
        <v>0</v>
      </c>
      <c r="E169" s="7">
        <v>326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妖志士 斎藤一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PremiumSS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ヒューマン</v>
      </c>
      <c r="L169" s="6">
        <v>1</v>
      </c>
      <c r="M169" s="21">
        <v>182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</sheetData>
  <autoFilter ref="A1:R169"/>
  <phoneticPr fontId="3"/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R169"/>
  <sheetViews>
    <sheetView workbookViewId="0">
      <pane ySplit="1" topLeftCell="A151" activePane="bottomLeft" state="frozen"/>
      <selection pane="bottomLeft" activeCell="C2" sqref="C2:C169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112</v>
      </c>
      <c r="C2" s="10" t="str">
        <f ca="1">VLOOKUP($B2,OFFSET([2]gachas!$A$2,0,0,COUNTA([2]gachas!$A:$A),MATCH(C$1,[2]gachas!$1:$1,0)-MATCH($B$1,[2]gachas!$1:$1,0)+1),MATCH(C$1,[2]gachas!$1:$1,0)-MATCH($B$1,[2]gachas!$1:$1,0)+1,FALSE)</f>
        <v>ピックアップ02(沖田) あと少し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6">
        <v>1072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112</v>
      </c>
      <c r="C3" s="10" t="str">
        <f ca="1">VLOOKUP($B3,OFFSET([2]gachas!$A$2,0,0,COUNTA([2]gachas!$A:$A),MATCH(C$1,[2]gachas!$1:$1,0)-MATCH($B$1,[2]gachas!$1:$1,0)+1),MATCH(C$1,[2]gachas!$1:$1,0)-MATCH($B$1,[2]gachas!$1:$1,0)+1,FALSE)</f>
        <v>ピックアップ02(沖田) あと少し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6">
        <v>1072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112</v>
      </c>
      <c r="C4" s="10" t="str">
        <f ca="1">VLOOKUP($B4,OFFSET([2]gachas!$A$2,0,0,COUNTA([2]gachas!$A:$A),MATCH(C$1,[2]gachas!$1:$1,0)-MATCH($B$1,[2]gachas!$1:$1,0)+1),MATCH(C$1,[2]gachas!$1:$1,0)-MATCH($B$1,[2]gachas!$1:$1,0)+1,FALSE)</f>
        <v>ピックアップ02(沖田) あと少し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6">
        <v>1072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112</v>
      </c>
      <c r="C5" s="10" t="str">
        <f ca="1">VLOOKUP($B5,OFFSET([2]gachas!$A$2,0,0,COUNTA([2]gachas!$A:$A),MATCH(C$1,[2]gachas!$1:$1,0)-MATCH($B$1,[2]gachas!$1:$1,0)+1),MATCH(C$1,[2]gachas!$1:$1,0)-MATCH($B$1,[2]gachas!$1:$1,0)+1,FALSE)</f>
        <v>ピックアップ02(沖田) あと少し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6">
        <v>1072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112</v>
      </c>
      <c r="C6" s="10" t="str">
        <f ca="1">VLOOKUP($B6,OFFSET([2]gachas!$A$2,0,0,COUNTA([2]gachas!$A:$A),MATCH(C$1,[2]gachas!$1:$1,0)-MATCH($B$1,[2]gachas!$1:$1,0)+1),MATCH(C$1,[2]gachas!$1:$1,0)-MATCH($B$1,[2]gachas!$1:$1,0)+1,FALSE)</f>
        <v>ピックアップ02(沖田) あと少し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6">
        <v>1072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112</v>
      </c>
      <c r="C7" s="10" t="str">
        <f ca="1">VLOOKUP($B7,OFFSET([2]gachas!$A$2,0,0,COUNTA([2]gachas!$A:$A),MATCH(C$1,[2]gachas!$1:$1,0)-MATCH($B$1,[2]gachas!$1:$1,0)+1),MATCH(C$1,[2]gachas!$1:$1,0)-MATCH($B$1,[2]gachas!$1:$1,0)+1,FALSE)</f>
        <v>ピックアップ02(沖田) あと少し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6">
        <v>1072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112</v>
      </c>
      <c r="C8" s="10" t="str">
        <f ca="1">VLOOKUP($B8,OFFSET([2]gachas!$A$2,0,0,COUNTA([2]gachas!$A:$A),MATCH(C$1,[2]gachas!$1:$1,0)-MATCH($B$1,[2]gachas!$1:$1,0)+1),MATCH(C$1,[2]gachas!$1:$1,0)-MATCH($B$1,[2]gachas!$1:$1,0)+1,FALSE)</f>
        <v>ピックアップ02(沖田) あと少し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6">
        <v>1072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112</v>
      </c>
      <c r="C9" s="10" t="str">
        <f ca="1">VLOOKUP($B9,OFFSET([2]gachas!$A$2,0,0,COUNTA([2]gachas!$A:$A),MATCH(C$1,[2]gachas!$1:$1,0)-MATCH($B$1,[2]gachas!$1:$1,0)+1),MATCH(C$1,[2]gachas!$1:$1,0)-MATCH($B$1,[2]gachas!$1:$1,0)+1,FALSE)</f>
        <v>ピックアップ02(沖田) あと少し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6">
        <v>1072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112</v>
      </c>
      <c r="C10" s="10" t="str">
        <f ca="1">VLOOKUP($B10,OFFSET([2]gachas!$A$2,0,0,COUNTA([2]gachas!$A:$A),MATCH(C$1,[2]gachas!$1:$1,0)-MATCH($B$1,[2]gachas!$1:$1,0)+1),MATCH(C$1,[2]gachas!$1:$1,0)-MATCH($B$1,[2]gachas!$1:$1,0)+1,FALSE)</f>
        <v>ピックアップ02(沖田) あと少し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6">
        <v>1072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112</v>
      </c>
      <c r="C11" s="10" t="str">
        <f ca="1">VLOOKUP($B11,OFFSET([2]gachas!$A$2,0,0,COUNTA([2]gachas!$A:$A),MATCH(C$1,[2]gachas!$1:$1,0)-MATCH($B$1,[2]gachas!$1:$1,0)+1),MATCH(C$1,[2]gachas!$1:$1,0)-MATCH($B$1,[2]gachas!$1:$1,0)+1,FALSE)</f>
        <v>ピックアップ02(沖田) あと少し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6">
        <v>1072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112</v>
      </c>
      <c r="C12" s="10" t="str">
        <f ca="1">VLOOKUP($B12,OFFSET([2]gachas!$A$2,0,0,COUNTA([2]gachas!$A:$A),MATCH(C$1,[2]gachas!$1:$1,0)-MATCH($B$1,[2]gachas!$1:$1,0)+1),MATCH(C$1,[2]gachas!$1:$1,0)-MATCH($B$1,[2]gachas!$1:$1,0)+1,FALSE)</f>
        <v>ピックアップ02(沖田) あと少し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6">
        <v>1072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112</v>
      </c>
      <c r="C13" s="10" t="str">
        <f ca="1">VLOOKUP($B13,OFFSET([2]gachas!$A$2,0,0,COUNTA([2]gachas!$A:$A),MATCH(C$1,[2]gachas!$1:$1,0)-MATCH($B$1,[2]gachas!$1:$1,0)+1),MATCH(C$1,[2]gachas!$1:$1,0)-MATCH($B$1,[2]gachas!$1:$1,0)+1,FALSE)</f>
        <v>ピックアップ02(沖田) あと少し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6">
        <v>1072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112</v>
      </c>
      <c r="C14" s="10" t="str">
        <f ca="1">VLOOKUP($B14,OFFSET([2]gachas!$A$2,0,0,COUNTA([2]gachas!$A:$A),MATCH(C$1,[2]gachas!$1:$1,0)-MATCH($B$1,[2]gachas!$1:$1,0)+1),MATCH(C$1,[2]gachas!$1:$1,0)-MATCH($B$1,[2]gachas!$1:$1,0)+1,FALSE)</f>
        <v>ピックアップ02(沖田) あと少し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6">
        <v>1072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112</v>
      </c>
      <c r="C15" s="10" t="str">
        <f ca="1">VLOOKUP($B15,OFFSET([2]gachas!$A$2,0,0,COUNTA([2]gachas!$A:$A),MATCH(C$1,[2]gachas!$1:$1,0)-MATCH($B$1,[2]gachas!$1:$1,0)+1),MATCH(C$1,[2]gachas!$1:$1,0)-MATCH($B$1,[2]gachas!$1:$1,0)+1,FALSE)</f>
        <v>ピックアップ02(沖田) あと少し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6">
        <v>1072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112</v>
      </c>
      <c r="C16" s="10" t="str">
        <f ca="1">VLOOKUP($B16,OFFSET([2]gachas!$A$2,0,0,COUNTA([2]gachas!$A:$A),MATCH(C$1,[2]gachas!$1:$1,0)-MATCH($B$1,[2]gachas!$1:$1,0)+1),MATCH(C$1,[2]gachas!$1:$1,0)-MATCH($B$1,[2]gachas!$1:$1,0)+1,FALSE)</f>
        <v>ピックアップ02(沖田) あと少し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6">
        <v>1072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112</v>
      </c>
      <c r="C17" s="10" t="str">
        <f ca="1">VLOOKUP($B17,OFFSET([2]gachas!$A$2,0,0,COUNTA([2]gachas!$A:$A),MATCH(C$1,[2]gachas!$1:$1,0)-MATCH($B$1,[2]gachas!$1:$1,0)+1),MATCH(C$1,[2]gachas!$1:$1,0)-MATCH($B$1,[2]gachas!$1:$1,0)+1,FALSE)</f>
        <v>ピックアップ02(沖田) あと少し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6">
        <v>1072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112</v>
      </c>
      <c r="C18" s="10" t="str">
        <f ca="1">VLOOKUP($B18,OFFSET([2]gachas!$A$2,0,0,COUNTA([2]gachas!$A:$A),MATCH(C$1,[2]gachas!$1:$1,0)-MATCH($B$1,[2]gachas!$1:$1,0)+1),MATCH(C$1,[2]gachas!$1:$1,0)-MATCH($B$1,[2]gachas!$1:$1,0)+1,FALSE)</f>
        <v>ピックアップ02(沖田) あと少し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6">
        <v>1072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112</v>
      </c>
      <c r="C19" s="10" t="str">
        <f ca="1">VLOOKUP($B19,OFFSET([2]gachas!$A$2,0,0,COUNTA([2]gachas!$A:$A),MATCH(C$1,[2]gachas!$1:$1,0)-MATCH($B$1,[2]gachas!$1:$1,0)+1),MATCH(C$1,[2]gachas!$1:$1,0)-MATCH($B$1,[2]gachas!$1:$1,0)+1,FALSE)</f>
        <v>ピックアップ02(沖田) あと少し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6">
        <v>1072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112</v>
      </c>
      <c r="C20" s="10" t="str">
        <f ca="1">VLOOKUP($B20,OFFSET([2]gachas!$A$2,0,0,COUNTA([2]gachas!$A:$A),MATCH(C$1,[2]gachas!$1:$1,0)-MATCH($B$1,[2]gachas!$1:$1,0)+1),MATCH(C$1,[2]gachas!$1:$1,0)-MATCH($B$1,[2]gachas!$1:$1,0)+1,FALSE)</f>
        <v>ピックアップ02(沖田) あと少し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6">
        <v>1072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112</v>
      </c>
      <c r="C21" s="10" t="str">
        <f ca="1">VLOOKUP($B21,OFFSET([2]gachas!$A$2,0,0,COUNTA([2]gachas!$A:$A),MATCH(C$1,[2]gachas!$1:$1,0)-MATCH($B$1,[2]gachas!$1:$1,0)+1),MATCH(C$1,[2]gachas!$1:$1,0)-MATCH($B$1,[2]gachas!$1:$1,0)+1,FALSE)</f>
        <v>ピックアップ02(沖田) あと少し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6">
        <v>1072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112</v>
      </c>
      <c r="C22" s="10" t="str">
        <f ca="1">VLOOKUP($B22,OFFSET([2]gachas!$A$2,0,0,COUNTA([2]gachas!$A:$A),MATCH(C$1,[2]gachas!$1:$1,0)-MATCH($B$1,[2]gachas!$1:$1,0)+1),MATCH(C$1,[2]gachas!$1:$1,0)-MATCH($B$1,[2]gachas!$1:$1,0)+1,FALSE)</f>
        <v>ピックアップ02(沖田) あと少し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6">
        <v>1133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112</v>
      </c>
      <c r="C23" s="10" t="str">
        <f ca="1">VLOOKUP($B23,OFFSET([2]gachas!$A$2,0,0,COUNTA([2]gachas!$A:$A),MATCH(C$1,[2]gachas!$1:$1,0)-MATCH($B$1,[2]gachas!$1:$1,0)+1),MATCH(C$1,[2]gachas!$1:$1,0)-MATCH($B$1,[2]gachas!$1:$1,0)+1,FALSE)</f>
        <v>ピックアップ02(沖田) あと少し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6">
        <v>1133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112</v>
      </c>
      <c r="C24" s="10" t="str">
        <f ca="1">VLOOKUP($B24,OFFSET([2]gachas!$A$2,0,0,COUNTA([2]gachas!$A:$A),MATCH(C$1,[2]gachas!$1:$1,0)-MATCH($B$1,[2]gachas!$1:$1,0)+1),MATCH(C$1,[2]gachas!$1:$1,0)-MATCH($B$1,[2]gachas!$1:$1,0)+1,FALSE)</f>
        <v>ピックアップ02(沖田) あと少し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1133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112</v>
      </c>
      <c r="C25" s="10" t="str">
        <f ca="1">VLOOKUP($B25,OFFSET([2]gachas!$A$2,0,0,COUNTA([2]gachas!$A:$A),MATCH(C$1,[2]gachas!$1:$1,0)-MATCH($B$1,[2]gachas!$1:$1,0)+1),MATCH(C$1,[2]gachas!$1:$1,0)-MATCH($B$1,[2]gachas!$1:$1,0)+1,FALSE)</f>
        <v>ピックアップ02(沖田) あと少し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1133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112</v>
      </c>
      <c r="C26" s="10" t="str">
        <f ca="1">VLOOKUP($B26,OFFSET([2]gachas!$A$2,0,0,COUNTA([2]gachas!$A:$A),MATCH(C$1,[2]gachas!$1:$1,0)-MATCH($B$1,[2]gachas!$1:$1,0)+1),MATCH(C$1,[2]gachas!$1:$1,0)-MATCH($B$1,[2]gachas!$1:$1,0)+1,FALSE)</f>
        <v>ピックアップ02(沖田) あと少し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6">
        <v>1133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112</v>
      </c>
      <c r="C27" s="10" t="str">
        <f ca="1">VLOOKUP($B27,OFFSET([2]gachas!$A$2,0,0,COUNTA([2]gachas!$A:$A),MATCH(C$1,[2]gachas!$1:$1,0)-MATCH($B$1,[2]gachas!$1:$1,0)+1),MATCH(C$1,[2]gachas!$1:$1,0)-MATCH($B$1,[2]gachas!$1:$1,0)+1,FALSE)</f>
        <v>ピックアップ02(沖田) あと少し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1133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112</v>
      </c>
      <c r="C28" s="10" t="str">
        <f ca="1">VLOOKUP($B28,OFFSET([2]gachas!$A$2,0,0,COUNTA([2]gachas!$A:$A),MATCH(C$1,[2]gachas!$1:$1,0)-MATCH($B$1,[2]gachas!$1:$1,0)+1),MATCH(C$1,[2]gachas!$1:$1,0)-MATCH($B$1,[2]gachas!$1:$1,0)+1,FALSE)</f>
        <v>ピックアップ02(沖田) あと少し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1133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112</v>
      </c>
      <c r="C29" s="10" t="str">
        <f ca="1">VLOOKUP($B29,OFFSET([2]gachas!$A$2,0,0,COUNTA([2]gachas!$A:$A),MATCH(C$1,[2]gachas!$1:$1,0)-MATCH($B$1,[2]gachas!$1:$1,0)+1),MATCH(C$1,[2]gachas!$1:$1,0)-MATCH($B$1,[2]gachas!$1:$1,0)+1,FALSE)</f>
        <v>ピックアップ02(沖田) あと少し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1133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112</v>
      </c>
      <c r="C30" s="10" t="str">
        <f ca="1">VLOOKUP($B30,OFFSET([2]gachas!$A$2,0,0,COUNTA([2]gachas!$A:$A),MATCH(C$1,[2]gachas!$1:$1,0)-MATCH($B$1,[2]gachas!$1:$1,0)+1),MATCH(C$1,[2]gachas!$1:$1,0)-MATCH($B$1,[2]gachas!$1:$1,0)+1,FALSE)</f>
        <v>ピックアップ02(沖田) あと少し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6">
        <v>1133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112</v>
      </c>
      <c r="C31" s="10" t="str">
        <f ca="1">VLOOKUP($B31,OFFSET([2]gachas!$A$2,0,0,COUNTA([2]gachas!$A:$A),MATCH(C$1,[2]gachas!$1:$1,0)-MATCH($B$1,[2]gachas!$1:$1,0)+1),MATCH(C$1,[2]gachas!$1:$1,0)-MATCH($B$1,[2]gachas!$1:$1,0)+1,FALSE)</f>
        <v>ピックアップ02(沖田) あと少し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1133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112</v>
      </c>
      <c r="C32" s="10" t="str">
        <f ca="1">VLOOKUP($B32,OFFSET([2]gachas!$A$2,0,0,COUNTA([2]gachas!$A:$A),MATCH(C$1,[2]gachas!$1:$1,0)-MATCH($B$1,[2]gachas!$1:$1,0)+1),MATCH(C$1,[2]gachas!$1:$1,0)-MATCH($B$1,[2]gachas!$1:$1,0)+1,FALSE)</f>
        <v>ピックアップ02(沖田) あと少し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1133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112</v>
      </c>
      <c r="C33" s="10" t="str">
        <f ca="1">VLOOKUP($B33,OFFSET([2]gachas!$A$2,0,0,COUNTA([2]gachas!$A:$A),MATCH(C$1,[2]gachas!$1:$1,0)-MATCH($B$1,[2]gachas!$1:$1,0)+1),MATCH(C$1,[2]gachas!$1:$1,0)-MATCH($B$1,[2]gachas!$1:$1,0)+1,FALSE)</f>
        <v>ピックアップ02(沖田) あと少し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6">
        <v>1133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112</v>
      </c>
      <c r="C34" s="10" t="str">
        <f ca="1">VLOOKUP($B34,OFFSET([2]gachas!$A$2,0,0,COUNTA([2]gachas!$A:$A),MATCH(C$1,[2]gachas!$1:$1,0)-MATCH($B$1,[2]gachas!$1:$1,0)+1),MATCH(C$1,[2]gachas!$1:$1,0)-MATCH($B$1,[2]gachas!$1:$1,0)+1,FALSE)</f>
        <v>ピックアップ02(沖田) あと少し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6">
        <v>1133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112</v>
      </c>
      <c r="C35" s="10" t="str">
        <f ca="1">VLOOKUP($B35,OFFSET([2]gachas!$A$2,0,0,COUNTA([2]gachas!$A:$A),MATCH(C$1,[2]gachas!$1:$1,0)-MATCH($B$1,[2]gachas!$1:$1,0)+1),MATCH(C$1,[2]gachas!$1:$1,0)-MATCH($B$1,[2]gachas!$1:$1,0)+1,FALSE)</f>
        <v>ピックアップ02(沖田) あと少し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1133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112</v>
      </c>
      <c r="C36" s="10" t="str">
        <f ca="1">VLOOKUP($B36,OFFSET([2]gachas!$A$2,0,0,COUNTA([2]gachas!$A:$A),MATCH(C$1,[2]gachas!$1:$1,0)-MATCH($B$1,[2]gachas!$1:$1,0)+1),MATCH(C$1,[2]gachas!$1:$1,0)-MATCH($B$1,[2]gachas!$1:$1,0)+1,FALSE)</f>
        <v>ピックアップ02(沖田) あと少し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1133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112</v>
      </c>
      <c r="C37" s="10" t="str">
        <f ca="1">VLOOKUP($B37,OFFSET([2]gachas!$A$2,0,0,COUNTA([2]gachas!$A:$A),MATCH(C$1,[2]gachas!$1:$1,0)-MATCH($B$1,[2]gachas!$1:$1,0)+1),MATCH(C$1,[2]gachas!$1:$1,0)-MATCH($B$1,[2]gachas!$1:$1,0)+1,FALSE)</f>
        <v>ピックアップ02(沖田) あと少し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1133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112</v>
      </c>
      <c r="C38" s="10" t="str">
        <f ca="1">VLOOKUP($B38,OFFSET([2]gachas!$A$2,0,0,COUNTA([2]gachas!$A:$A),MATCH(C$1,[2]gachas!$1:$1,0)-MATCH($B$1,[2]gachas!$1:$1,0)+1),MATCH(C$1,[2]gachas!$1:$1,0)-MATCH($B$1,[2]gachas!$1:$1,0)+1,FALSE)</f>
        <v>ピックアップ02(沖田) あと少し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6">
        <v>1133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112</v>
      </c>
      <c r="C39" s="10" t="str">
        <f ca="1">VLOOKUP($B39,OFFSET([2]gachas!$A$2,0,0,COUNTA([2]gachas!$A:$A),MATCH(C$1,[2]gachas!$1:$1,0)-MATCH($B$1,[2]gachas!$1:$1,0)+1),MATCH(C$1,[2]gachas!$1:$1,0)-MATCH($B$1,[2]gachas!$1:$1,0)+1,FALSE)</f>
        <v>ピックアップ02(沖田) あと少し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1133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112</v>
      </c>
      <c r="C40" s="10" t="str">
        <f ca="1">VLOOKUP($B40,OFFSET([2]gachas!$A$2,0,0,COUNTA([2]gachas!$A:$A),MATCH(C$1,[2]gachas!$1:$1,0)-MATCH($B$1,[2]gachas!$1:$1,0)+1),MATCH(C$1,[2]gachas!$1:$1,0)-MATCH($B$1,[2]gachas!$1:$1,0)+1,FALSE)</f>
        <v>ピックアップ02(沖田) あと少し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1133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112</v>
      </c>
      <c r="C41" s="10" t="str">
        <f ca="1">VLOOKUP($B41,OFFSET([2]gachas!$A$2,0,0,COUNTA([2]gachas!$A:$A),MATCH(C$1,[2]gachas!$1:$1,0)-MATCH($B$1,[2]gachas!$1:$1,0)+1),MATCH(C$1,[2]gachas!$1:$1,0)-MATCH($B$1,[2]gachas!$1:$1,0)+1,FALSE)</f>
        <v>ピックアップ02(沖田) あと少し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1133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112</v>
      </c>
      <c r="C42" s="10" t="str">
        <f ca="1">VLOOKUP($B42,OFFSET([2]gachas!$A$2,0,0,COUNTA([2]gachas!$A:$A),MATCH(C$1,[2]gachas!$1:$1,0)-MATCH($B$1,[2]gachas!$1:$1,0)+1),MATCH(C$1,[2]gachas!$1:$1,0)-MATCH($B$1,[2]gachas!$1:$1,0)+1,FALSE)</f>
        <v>ピックアップ02(沖田) あと少し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6">
        <v>1020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112</v>
      </c>
      <c r="C43" s="10" t="str">
        <f ca="1">VLOOKUP($B43,OFFSET([2]gachas!$A$2,0,0,COUNTA([2]gachas!$A:$A),MATCH(C$1,[2]gachas!$1:$1,0)-MATCH($B$1,[2]gachas!$1:$1,0)+1),MATCH(C$1,[2]gachas!$1:$1,0)-MATCH($B$1,[2]gachas!$1:$1,0)+1,FALSE)</f>
        <v>ピックアップ02(沖田) あと少し</v>
      </c>
      <c r="D43" s="29">
        <v>1</v>
      </c>
      <c r="E43" s="30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29">
        <v>1</v>
      </c>
      <c r="M43" s="29">
        <v>687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112</v>
      </c>
      <c r="C44" s="10" t="str">
        <f ca="1">VLOOKUP($B44,OFFSET([2]gachas!$A$2,0,0,COUNTA([2]gachas!$A:$A),MATCH(C$1,[2]gachas!$1:$1,0)-MATCH($B$1,[2]gachas!$1:$1,0)+1),MATCH(C$1,[2]gachas!$1:$1,0)-MATCH($B$1,[2]gachas!$1:$1,0)+1,FALSE)</f>
        <v>ピックアップ02(沖田) あと少し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1020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112</v>
      </c>
      <c r="C45" s="10" t="str">
        <f ca="1">VLOOKUP($B45,OFFSET([2]gachas!$A$2,0,0,COUNTA([2]gachas!$A:$A),MATCH(C$1,[2]gachas!$1:$1,0)-MATCH($B$1,[2]gachas!$1:$1,0)+1),MATCH(C$1,[2]gachas!$1:$1,0)-MATCH($B$1,[2]gachas!$1:$1,0)+1,FALSE)</f>
        <v>ピックアップ02(沖田) あと少し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6">
        <v>1020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12311</v>
      </c>
      <c r="B46" s="2">
        <v>112</v>
      </c>
      <c r="C46" s="10" t="str">
        <f ca="1">VLOOKUP($B46,OFFSET([2]gachas!$A$2,0,0,COUNTA([2]gachas!$A:$A),MATCH(C$1,[2]gachas!$1:$1,0)-MATCH($B$1,[2]gachas!$1:$1,0)+1),MATCH(C$1,[2]gachas!$1:$1,0)-MATCH($B$1,[2]gachas!$1:$1,0)+1,FALSE)</f>
        <v>ピックアップ02(沖田) あと少し</v>
      </c>
      <c r="D46" s="29">
        <v>1</v>
      </c>
      <c r="E46" s="30">
        <v>231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PremiumS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green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ドラゴン</v>
      </c>
      <c r="L46" s="29">
        <v>1</v>
      </c>
      <c r="M46" s="29">
        <v>1083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12391</v>
      </c>
      <c r="B47" s="2">
        <v>112</v>
      </c>
      <c r="C47" s="10" t="str">
        <f ca="1">VLOOKUP($B47,OFFSET([2]gachas!$A$2,0,0,COUNTA([2]gachas!$A:$A),MATCH(C$1,[2]gachas!$1:$1,0)-MATCH($B$1,[2]gachas!$1:$1,0)+1),MATCH(C$1,[2]gachas!$1:$1,0)-MATCH($B$1,[2]gachas!$1:$1,0)+1,FALSE)</f>
        <v>ピックアップ02(沖田) あと少し</v>
      </c>
      <c r="D47" s="6">
        <v>1</v>
      </c>
      <c r="E47" s="19">
        <v>239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豪炎の天使 ウリエル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PremiumS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4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red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マシン</v>
      </c>
      <c r="L47" s="6">
        <v>1</v>
      </c>
      <c r="M47" s="45">
        <v>1020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12421</v>
      </c>
      <c r="B48" s="2">
        <v>112</v>
      </c>
      <c r="C48" s="10" t="str">
        <f ca="1">VLOOKUP($B48,OFFSET([2]gachas!$A$2,0,0,COUNTA([2]gachas!$A:$A),MATCH(C$1,[2]gachas!$1:$1,0)-MATCH($B$1,[2]gachas!$1:$1,0)+1),MATCH(C$1,[2]gachas!$1:$1,0)-MATCH($B$1,[2]gachas!$1:$1,0)+1,FALSE)</f>
        <v>ピックアップ02(沖田) あと少し</v>
      </c>
      <c r="D48" s="6">
        <v>1</v>
      </c>
      <c r="E48" s="19">
        <v>242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PremiumS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4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green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マシン</v>
      </c>
      <c r="L48" s="6">
        <v>1</v>
      </c>
      <c r="M48" s="45">
        <v>1020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12451</v>
      </c>
      <c r="B49" s="2">
        <v>112</v>
      </c>
      <c r="C49" s="10" t="str">
        <f ca="1">VLOOKUP($B49,OFFSET([2]gachas!$A$2,0,0,COUNTA([2]gachas!$A:$A),MATCH(C$1,[2]gachas!$1:$1,0)-MATCH($B$1,[2]gachas!$1:$1,0)+1),MATCH(C$1,[2]gachas!$1:$1,0)-MATCH($B$1,[2]gachas!$1:$1,0)+1,FALSE)</f>
        <v>ピックアップ02(沖田) あと少し</v>
      </c>
      <c r="D49" s="6">
        <v>1</v>
      </c>
      <c r="E49" s="19">
        <v>245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PremiumS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4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blue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マシン</v>
      </c>
      <c r="L49" s="6">
        <v>1</v>
      </c>
      <c r="M49" s="45">
        <v>1020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12481</v>
      </c>
      <c r="B50" s="2">
        <v>112</v>
      </c>
      <c r="C50" s="10" t="str">
        <f ca="1">VLOOKUP($B50,OFFSET([2]gachas!$A$2,0,0,COUNTA([2]gachas!$A:$A),MATCH(C$1,[2]gachas!$1:$1,0)-MATCH($B$1,[2]gachas!$1:$1,0)+1),MATCH(C$1,[2]gachas!$1:$1,0)-MATCH($B$1,[2]gachas!$1:$1,0)+1,FALSE)</f>
        <v>ピックアップ02(沖田) あと少し</v>
      </c>
      <c r="D50" s="29">
        <v>1</v>
      </c>
      <c r="E50" s="36">
        <v>248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彩電の天使 ミカエル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PremiumS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yellow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マシン</v>
      </c>
      <c r="L50" s="29">
        <v>1</v>
      </c>
      <c r="M50" s="29">
        <v>687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s="26" customFormat="1" ht="21" customHeight="1" thickBot="1">
      <c r="A51" s="22" t="str">
        <f t="shared" si="0"/>
        <v>12491</v>
      </c>
      <c r="B51" s="2">
        <v>112</v>
      </c>
      <c r="C51" s="10" t="str">
        <f ca="1">VLOOKUP($B51,OFFSET([2]gachas!$A$2,0,0,COUNTA([2]gachas!$A:$A),MATCH(C$1,[2]gachas!$1:$1,0)-MATCH($B$1,[2]gachas!$1:$1,0)+1),MATCH(C$1,[2]gachas!$1:$1,0)-MATCH($B$1,[2]gachas!$1:$1,0)+1,FALSE)</f>
        <v>ピックアップ02(沖田) あと少し</v>
      </c>
      <c r="D51" s="29">
        <v>1</v>
      </c>
      <c r="E51" s="36">
        <v>249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PremiumS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yellow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マシン</v>
      </c>
      <c r="L51" s="29">
        <v>1</v>
      </c>
      <c r="M51" s="29">
        <v>1083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 thickBot="1">
      <c r="A52" s="22" t="str">
        <f t="shared" si="0"/>
        <v>12511</v>
      </c>
      <c r="B52" s="2">
        <v>112</v>
      </c>
      <c r="C52" s="10" t="str">
        <f ca="1">VLOOKUP($B52,OFFSET([2]gachas!$A$2,0,0,COUNTA([2]gachas!$A:$A),MATCH(C$1,[2]gachas!$1:$1,0)-MATCH($B$1,[2]gachas!$1:$1,0)+1),MATCH(C$1,[2]gachas!$1:$1,0)-MATCH($B$1,[2]gachas!$1:$1,0)+1,FALSE)</f>
        <v>ピックアップ02(沖田) あと少し</v>
      </c>
      <c r="D52" s="6">
        <v>1</v>
      </c>
      <c r="E52" s="7">
        <v>251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強欲 マンモン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PremiumS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red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ゴッド</v>
      </c>
      <c r="L52" s="6">
        <v>1</v>
      </c>
      <c r="M52" s="45">
        <v>1020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 thickBot="1">
      <c r="A53" s="22" t="str">
        <f t="shared" si="0"/>
        <v>12541</v>
      </c>
      <c r="B53" s="2">
        <v>112</v>
      </c>
      <c r="C53" s="10" t="str">
        <f ca="1">VLOOKUP($B53,OFFSET([2]gachas!$A$2,0,0,COUNTA([2]gachas!$A:$A),MATCH(C$1,[2]gachas!$1:$1,0)-MATCH($B$1,[2]gachas!$1:$1,0)+1),MATCH(C$1,[2]gachas!$1:$1,0)-MATCH($B$1,[2]gachas!$1:$1,0)+1,FALSE)</f>
        <v>ピックアップ02(沖田) あと少し</v>
      </c>
      <c r="D53" s="6">
        <v>1</v>
      </c>
      <c r="E53" s="7">
        <v>254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怠惰 ベルフェゴール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PremiumS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green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ゴッド</v>
      </c>
      <c r="L53" s="6">
        <v>1</v>
      </c>
      <c r="M53" s="45">
        <v>1020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 thickBot="1">
      <c r="A54" s="22" t="str">
        <f t="shared" si="0"/>
        <v>12571</v>
      </c>
      <c r="B54" s="2">
        <v>112</v>
      </c>
      <c r="C54" s="10" t="str">
        <f ca="1">VLOOKUP($B54,OFFSET([2]gachas!$A$2,0,0,COUNTA([2]gachas!$A:$A),MATCH(C$1,[2]gachas!$1:$1,0)-MATCH($B$1,[2]gachas!$1:$1,0)+1),MATCH(C$1,[2]gachas!$1:$1,0)-MATCH($B$1,[2]gachas!$1:$1,0)+1,FALSE)</f>
        <v>ピックアップ02(沖田) あと少し</v>
      </c>
      <c r="D54" s="6">
        <v>1</v>
      </c>
      <c r="E54" s="7">
        <v>257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色欲 アスモデウス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PremiumS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blue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ゴッド</v>
      </c>
      <c r="L54" s="6">
        <v>1</v>
      </c>
      <c r="M54" s="45">
        <v>1020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 thickBot="1">
      <c r="A55" s="22" t="str">
        <f t="shared" si="0"/>
        <v>12601</v>
      </c>
      <c r="B55" s="2">
        <v>112</v>
      </c>
      <c r="C55" s="10" t="str">
        <f ca="1">VLOOKUP($B55,OFFSET([2]gachas!$A$2,0,0,COUNTA([2]gachas!$A:$A),MATCH(C$1,[2]gachas!$1:$1,0)-MATCH($B$1,[2]gachas!$1:$1,0)+1),MATCH(C$1,[2]gachas!$1:$1,0)-MATCH($B$1,[2]gachas!$1:$1,0)+1,FALSE)</f>
        <v>ピックアップ02(沖田) あと少し</v>
      </c>
      <c r="D55" s="6">
        <v>1</v>
      </c>
      <c r="E55" s="7">
        <v>260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輪廻 ウロボロス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PremiumS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yellow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ドラゴン</v>
      </c>
      <c r="L55" s="6">
        <v>1</v>
      </c>
      <c r="M55" s="45">
        <v>1020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 thickBot="1">
      <c r="A56" s="22" t="str">
        <f t="shared" si="0"/>
        <v>13201</v>
      </c>
      <c r="B56" s="2">
        <v>112</v>
      </c>
      <c r="C56" s="10" t="str">
        <f ca="1">VLOOKUP($B56,OFFSET([2]gachas!$A$2,0,0,COUNTA([2]gachas!$A:$A),MATCH(C$1,[2]gachas!$1:$1,0)-MATCH($B$1,[2]gachas!$1:$1,0)+1),MATCH(C$1,[2]gachas!$1:$1,0)-MATCH($B$1,[2]gachas!$1:$1,0)+1,FALSE)</f>
        <v>ピックアップ02(沖田) あと少し</v>
      </c>
      <c r="D56" s="21">
        <v>1</v>
      </c>
      <c r="E56" s="27">
        <v>320</v>
      </c>
      <c r="F56" s="20" t="str">
        <f ca="1">VLOOKUP($E56,OFFSET([1]characters!$A$2,0,0,COUNTA([1]characters!$A:$A),MATCH(F$1,[1]characters!$2:$2,0)-MATCH($E$1,[1]characters!$2:$2,0)+1),MATCH(F$1,[1]characters!$2:$2,0)-MATCH($E$1,[1]characters!$2:$2,0)+1,FALSE)</f>
        <v>烈志士 近藤勇</v>
      </c>
      <c r="G56" s="20" t="str">
        <f ca="1">VLOOKUP($E56,OFFSET([1]characters!$A$2,0,0,COUNTA([1]characters!$A:$A),MATCH(G$1,[1]characters!$2:$2,0)-MATCH($E$1,[1]characters!$2:$2,0)+1),MATCH(G$1,[1]characters!$2:$2,0)-MATCH($E$1,[1]characters!$2:$2,0)+1,FALSE)</f>
        <v>PremiumSS</v>
      </c>
      <c r="H56" s="20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20" t="str">
        <f ca="1">VLOOKUP($E56,OFFSET([1]characters!$A$2,0,0,COUNTA([1]characters!$A:$A),MATCH(I$1,[1]characters!$2:$2,0)-MATCH($E$1,[1]characters!$2:$2,0)+1),MATCH(I$1,[1]characters!$2:$2,0)-MATCH($E$1,[1]characters!$2:$2,0)+1,FALSE)</f>
        <v>red</v>
      </c>
      <c r="J56" s="20" t="str">
        <f ca="1">VLOOKUP($E56,OFFSET([1]characters!$A$2,0,0,COUNTA([1]characters!$A:$A),MATCH("タイプ",[1]characters!$1:$1,0)-MATCH($E$1,[1]characters!$2:$2,0)+2),MATCH("タイプ",[1]characters!$1:$1,0)-MATCH($E$1,[1]characters!$2:$2,0)+2,FALSE)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6" s="2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21">
        <v>1</v>
      </c>
      <c r="M56" s="43">
        <v>189</v>
      </c>
      <c r="N56" s="18">
        <v>0</v>
      </c>
      <c r="O56" s="18">
        <v>0</v>
      </c>
      <c r="P56" s="18">
        <v>0</v>
      </c>
      <c r="Q56" s="18">
        <v>0</v>
      </c>
      <c r="R56" s="18">
        <v>1</v>
      </c>
    </row>
    <row r="57" spans="1:18" ht="21" customHeight="1" thickBot="1">
      <c r="A57" s="22" t="str">
        <f t="shared" si="0"/>
        <v>13221</v>
      </c>
      <c r="B57" s="2">
        <v>112</v>
      </c>
      <c r="C57" s="10" t="str">
        <f ca="1">VLOOKUP($B57,OFFSET([2]gachas!$A$2,0,0,COUNTA([2]gachas!$A:$A),MATCH(C$1,[2]gachas!$1:$1,0)-MATCH($B$1,[2]gachas!$1:$1,0)+1),MATCH(C$1,[2]gachas!$1:$1,0)-MATCH($B$1,[2]gachas!$1:$1,0)+1,FALSE)</f>
        <v>ピックアップ02(沖田) あと少し</v>
      </c>
      <c r="D57" s="6">
        <v>1</v>
      </c>
      <c r="E57" s="7">
        <v>322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愛志士 土方歳三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PremiumSS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green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43">
        <v>189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 thickBot="1">
      <c r="A58" s="22" t="str">
        <f t="shared" si="0"/>
        <v>13241</v>
      </c>
      <c r="B58" s="2">
        <v>112</v>
      </c>
      <c r="C58" s="10" t="str">
        <f ca="1">VLOOKUP($B58,OFFSET([2]gachas!$A$2,0,0,COUNTA([2]gachas!$A:$A),MATCH(C$1,[2]gachas!$1:$1,0)-MATCH($B$1,[2]gachas!$1:$1,0)+1),MATCH(C$1,[2]gachas!$1:$1,0)-MATCH($B$1,[2]gachas!$1:$1,0)+1,FALSE)</f>
        <v>ピックアップ02(沖田) あと少し</v>
      </c>
      <c r="D58" s="29">
        <v>1</v>
      </c>
      <c r="E58" s="30">
        <v>324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凛志士 沖田総司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PremiumSS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4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blue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29">
        <v>1</v>
      </c>
      <c r="M58" s="29">
        <v>396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 thickBot="1">
      <c r="A59" s="22" t="str">
        <f t="shared" si="0"/>
        <v>13251</v>
      </c>
      <c r="B59" s="2">
        <v>112</v>
      </c>
      <c r="C59" s="10" t="str">
        <f ca="1">VLOOKUP($B59,OFFSET([2]gachas!$A$2,0,0,COUNTA([2]gachas!$A:$A),MATCH(C$1,[2]gachas!$1:$1,0)-MATCH($B$1,[2]gachas!$1:$1,0)+1),MATCH(C$1,[2]gachas!$1:$1,0)-MATCH($B$1,[2]gachas!$1:$1,0)+1,FALSE)</f>
        <v>ピックアップ02(沖田) あと少し</v>
      </c>
      <c r="D59" s="29">
        <v>1</v>
      </c>
      <c r="E59" s="30">
        <v>325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PremiumSS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blue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29">
        <v>1</v>
      </c>
      <c r="M59" s="29">
        <v>194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s="26" customFormat="1" ht="21" customHeight="1" thickBot="1">
      <c r="A60" s="22" t="str">
        <f t="shared" si="0"/>
        <v>13261</v>
      </c>
      <c r="B60" s="2">
        <v>112</v>
      </c>
      <c r="C60" s="10" t="str">
        <f ca="1">VLOOKUP($B60,OFFSET([2]gachas!$A$2,0,0,COUNTA([2]gachas!$A:$A),MATCH(C$1,[2]gachas!$1:$1,0)-MATCH($B$1,[2]gachas!$1:$1,0)+1),MATCH(C$1,[2]gachas!$1:$1,0)-MATCH($B$1,[2]gachas!$1:$1,0)+1,FALSE)</f>
        <v>ピックアップ02(沖田) あと少し</v>
      </c>
      <c r="D60" s="24">
        <v>1</v>
      </c>
      <c r="E60" s="25">
        <v>326</v>
      </c>
      <c r="F60" s="23" t="str">
        <f ca="1">VLOOKUP($E60,OFFSET([1]characters!$A$2,0,0,COUNTA([1]characters!$A:$A),MATCH(F$1,[1]characters!$2:$2,0)-MATCH($E$1,[1]characters!$2:$2,0)+1),MATCH(F$1,[1]characters!$2:$2,0)-MATCH($E$1,[1]characters!$2:$2,0)+1,FALSE)</f>
        <v>妖志士 斎藤一</v>
      </c>
      <c r="G60" s="23" t="str">
        <f ca="1">VLOOKUP($E60,OFFSET([1]characters!$A$2,0,0,COUNTA([1]characters!$A:$A),MATCH(G$1,[1]characters!$2:$2,0)-MATCH($E$1,[1]characters!$2:$2,0)+1),MATCH(G$1,[1]characters!$2:$2,0)-MATCH($E$1,[1]characters!$2:$2,0)+1,FALSE)</f>
        <v>PremiumSS</v>
      </c>
      <c r="H60" s="23">
        <f ca="1">VLOOKUP($E60,OFFSET([1]characters!$A$2,0,0,COUNTA([1]characters!$A:$A),MATCH(H$1,[1]characters!$2:$2,0)-MATCH($E$1,[1]characters!$2:$2,0)+1),MATCH(H$1,[1]characters!$2:$2,0)-MATCH($E$1,[1]characters!$2:$2,0)+1,FALSE)</f>
        <v>4</v>
      </c>
      <c r="I60" s="23" t="str">
        <f ca="1">VLOOKUP($E60,OFFSET([1]characters!$A$2,0,0,COUNTA([1]characters!$A:$A),MATCH(I$1,[1]characters!$2:$2,0)-MATCH($E$1,[1]characters!$2:$2,0)+1),MATCH(I$1,[1]characters!$2:$2,0)-MATCH($E$1,[1]characters!$2:$2,0)+1,FALSE)</f>
        <v>yellow</v>
      </c>
      <c r="J60" s="23" t="str">
        <f ca="1">VLOOKUP($E60,OFFSET([1]characters!$A$2,0,0,COUNTA([1]characters!$A:$A),MATCH("タイプ",[1]characters!$1:$1,0)-MATCH($E$1,[1]characters!$2:$2,0)+2),MATCH("タイプ",[1]characters!$1:$1,0)-MATCH($E$1,[1]characters!$2:$2,0)+2,FALSE)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0" s="23" t="str">
        <f ca="1">VLOOKUP($E60,OFFSET([1]characters!$A$2,0,0,COUNTA([1]characters!$A:$A),MATCH($K$1,[1]characters!$1:$1,0)-MATCH($E$1,[1]characters!$2:$2,0)+2),MATCH($K$1,[1]characters!$1:$1,0)-MATCH($E$1,[1]characters!$2:$2,0)+2,FALSE)</f>
        <v>ヒューマン</v>
      </c>
      <c r="L60" s="24">
        <v>1</v>
      </c>
      <c r="M60" s="44">
        <v>189</v>
      </c>
      <c r="N60" s="35">
        <v>0</v>
      </c>
      <c r="O60" s="35">
        <v>0</v>
      </c>
      <c r="P60" s="35">
        <v>0</v>
      </c>
      <c r="Q60" s="35">
        <v>0</v>
      </c>
      <c r="R60" s="35">
        <v>1</v>
      </c>
    </row>
    <row r="61" spans="1:18" ht="21" customHeight="1">
      <c r="A61" s="8" t="str">
        <f t="shared" si="0"/>
        <v>01261</v>
      </c>
      <c r="B61" s="2">
        <v>112</v>
      </c>
      <c r="C61" s="10" t="str">
        <f ca="1">VLOOKUP($B61,OFFSET([2]gachas!$A$2,0,0,COUNTA([2]gachas!$A:$A),MATCH(C$1,[2]gachas!$1:$1,0)-MATCH($B$1,[2]gachas!$1:$1,0)+1),MATCH(C$1,[2]gachas!$1:$1,0)-MATCH($B$1,[2]gachas!$1:$1,0)+1,FALSE)</f>
        <v>ピックアップ02(沖田) あと少し</v>
      </c>
      <c r="D61" s="21">
        <v>0</v>
      </c>
      <c r="E61" s="27">
        <v>126</v>
      </c>
      <c r="F61" s="20" t="str">
        <f ca="1">VLOOKUP($E61,OFFSET([1]characters!$A$2,0,0,COUNTA([1]characters!$A:$A),MATCH(F$1,[1]characters!$2:$2,0)-MATCH($E$1,[1]characters!$2:$2,0)+1),MATCH(F$1,[1]characters!$2:$2,0)-MATCH($E$1,[1]characters!$2:$2,0)+1,FALSE)</f>
        <v>骨器使い ユノ</v>
      </c>
      <c r="G61" s="20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20">
        <f ca="1">VLOOKUP($E61,OFFSET([1]characters!$A$2,0,0,COUNTA([1]characters!$A:$A),MATCH(H$1,[1]characters!$2:$2,0)-MATCH($E$1,[1]characters!$2:$2,0)+1),MATCH(H$1,[1]characters!$2:$2,0)-MATCH($E$1,[1]characters!$2:$2,0)+1,FALSE)</f>
        <v>3</v>
      </c>
      <c r="I61" s="20" t="str">
        <f ca="1">VLOOKUP($E61,OFFSET([1]characters!$A$2,0,0,COUNTA([1]characters!$A:$A),MATCH(I$1,[1]characters!$2:$2,0)-MATCH($E$1,[1]characters!$2:$2,0)+1),MATCH(I$1,[1]characters!$2:$2,0)-MATCH($E$1,[1]characters!$2:$2,0)+1,FALSE)</f>
        <v>red</v>
      </c>
      <c r="J61" s="20" t="str">
        <f ca="1">VLOOKUP($E61,OFFSET([1]characters!$A$2,0,0,COUNTA([1]characters!$A:$A),MATCH("タイプ",[1]characters!$1:$1,0)-MATCH($E$1,[1]characters!$2:$2,0)+2),MATCH("タイプ",[1]characters!$1:$1,0)-MATCH($E$1,[1]characters!$2:$2,0)+2,FALSE)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1" s="20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21">
        <v>1</v>
      </c>
      <c r="M61" s="21">
        <v>1683</v>
      </c>
      <c r="N61" s="18">
        <v>0</v>
      </c>
      <c r="O61" s="18">
        <v>0</v>
      </c>
      <c r="P61" s="18">
        <v>0</v>
      </c>
      <c r="Q61" s="18">
        <v>0</v>
      </c>
      <c r="R61" s="18">
        <v>1</v>
      </c>
    </row>
    <row r="62" spans="1:18" ht="21" customHeight="1">
      <c r="A62" s="8" t="str">
        <f t="shared" si="0"/>
        <v>01281</v>
      </c>
      <c r="B62" s="2">
        <v>112</v>
      </c>
      <c r="C62" s="10" t="str">
        <f ca="1">VLOOKUP($B62,OFFSET([2]gachas!$A$2,0,0,COUNTA([2]gachas!$A:$A),MATCH(C$1,[2]gachas!$1:$1,0)-MATCH($B$1,[2]gachas!$1:$1,0)+1),MATCH(C$1,[2]gachas!$1:$1,0)-MATCH($B$1,[2]gachas!$1:$1,0)+1,FALSE)</f>
        <v>ピックアップ02(沖田) あと少し</v>
      </c>
      <c r="D62" s="21">
        <v>0</v>
      </c>
      <c r="E62" s="27">
        <v>128</v>
      </c>
      <c r="F62" s="20" t="str">
        <f ca="1">VLOOKUP($E62,OFFSET([1]characters!$A$2,0,0,COUNTA([1]characters!$A:$A),MATCH(F$1,[1]characters!$2:$2,0)-MATCH($E$1,[1]characters!$2:$2,0)+1),MATCH(F$1,[1]characters!$2:$2,0)-MATCH($E$1,[1]characters!$2:$2,0)+1,FALSE)</f>
        <v>野生児 アマラ</v>
      </c>
      <c r="G62" s="20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20">
        <f ca="1">VLOOKUP($E62,OFFSET([1]characters!$A$2,0,0,COUNTA([1]characters!$A:$A),MATCH(H$1,[1]characters!$2:$2,0)-MATCH($E$1,[1]characters!$2:$2,0)+1),MATCH(H$1,[1]characters!$2:$2,0)-MATCH($E$1,[1]characters!$2:$2,0)+1,FALSE)</f>
        <v>3</v>
      </c>
      <c r="I62" s="20" t="str">
        <f ca="1">VLOOKUP($E62,OFFSET([1]characters!$A$2,0,0,COUNTA([1]characters!$A:$A),MATCH(I$1,[1]characters!$2:$2,0)-MATCH($E$1,[1]characters!$2:$2,0)+1),MATCH(I$1,[1]characters!$2:$2,0)-MATCH($E$1,[1]characters!$2:$2,0)+1,FALSE)</f>
        <v>green</v>
      </c>
      <c r="J62" s="20" t="str">
        <f ca="1">VLOOKUP($E62,OFFSET([1]characters!$A$2,0,0,COUNTA([1]characters!$A:$A),MATCH("タイプ",[1]characters!$1:$1,0)-MATCH($E$1,[1]characters!$2:$2,0)+2),MATCH("タイプ",[1]characters!$1:$1,0)-MATCH($E$1,[1]characters!$2:$2,0)+2,FALSE)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2" s="20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21">
        <v>1</v>
      </c>
      <c r="M62" s="21">
        <v>1683</v>
      </c>
      <c r="N62" s="18">
        <v>0</v>
      </c>
      <c r="O62" s="18">
        <v>0</v>
      </c>
      <c r="P62" s="18">
        <v>0</v>
      </c>
      <c r="Q62" s="18">
        <v>0</v>
      </c>
      <c r="R62" s="18">
        <v>1</v>
      </c>
    </row>
    <row r="63" spans="1:18" ht="21" customHeight="1">
      <c r="A63" s="8" t="str">
        <f t="shared" si="0"/>
        <v>01301</v>
      </c>
      <c r="B63" s="2">
        <v>112</v>
      </c>
      <c r="C63" s="10" t="str">
        <f ca="1">VLOOKUP($B63,OFFSET([2]gachas!$A$2,0,0,COUNTA([2]gachas!$A:$A),MATCH(C$1,[2]gachas!$1:$1,0)-MATCH($B$1,[2]gachas!$1:$1,0)+1),MATCH(C$1,[2]gachas!$1:$1,0)-MATCH($B$1,[2]gachas!$1:$1,0)+1,FALSE)</f>
        <v>ピックアップ02(沖田) あと少し</v>
      </c>
      <c r="D63" s="6">
        <v>0</v>
      </c>
      <c r="E63" s="7">
        <v>130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狼男 ローレンス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3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blue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アニマル</v>
      </c>
      <c r="L63" s="6">
        <v>1</v>
      </c>
      <c r="M63" s="21">
        <v>1683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01321</v>
      </c>
      <c r="B64" s="2">
        <v>112</v>
      </c>
      <c r="C64" s="10" t="str">
        <f ca="1">VLOOKUP($B64,OFFSET([2]gachas!$A$2,0,0,COUNTA([2]gachas!$A:$A),MATCH(C$1,[2]gachas!$1:$1,0)-MATCH($B$1,[2]gachas!$1:$1,0)+1),MATCH(C$1,[2]gachas!$1:$1,0)-MATCH($B$1,[2]gachas!$1:$1,0)+1,FALSE)</f>
        <v>ピックアップ02(沖田) あと少し</v>
      </c>
      <c r="D64" s="6">
        <v>0</v>
      </c>
      <c r="E64" s="7">
        <v>132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鳥人ハヤト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3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yellow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6">
        <v>1</v>
      </c>
      <c r="M64" s="21">
        <v>1683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01341</v>
      </c>
      <c r="B65" s="2">
        <v>112</v>
      </c>
      <c r="C65" s="10" t="str">
        <f ca="1">VLOOKUP($B65,OFFSET([2]gachas!$A$2,0,0,COUNTA([2]gachas!$A:$A),MATCH(C$1,[2]gachas!$1:$1,0)-MATCH($B$1,[2]gachas!$1:$1,0)+1),MATCH(C$1,[2]gachas!$1:$1,0)-MATCH($B$1,[2]gachas!$1:$1,0)+1,FALSE)</f>
        <v>ピックアップ02(沖田) あと少し</v>
      </c>
      <c r="D65" s="6">
        <v>0</v>
      </c>
      <c r="E65" s="7">
        <v>134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妖炎の夕霧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3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red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21">
        <v>1683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32" si="1">D66&amp;E66&amp;L66</f>
        <v>01361</v>
      </c>
      <c r="B66" s="2">
        <v>112</v>
      </c>
      <c r="C66" s="10" t="str">
        <f ca="1">VLOOKUP($B66,OFFSET([2]gachas!$A$2,0,0,COUNTA([2]gachas!$A:$A),MATCH(C$1,[2]gachas!$1:$1,0)-MATCH($B$1,[2]gachas!$1:$1,0)+1),MATCH(C$1,[2]gachas!$1:$1,0)-MATCH($B$1,[2]gachas!$1:$1,0)+1,FALSE)</f>
        <v>ピックアップ02(沖田) あと少し</v>
      </c>
      <c r="D66" s="6">
        <v>0</v>
      </c>
      <c r="E66" s="7">
        <v>136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お針子チハヤ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PremiumW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3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green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ヒューマン</v>
      </c>
      <c r="L66" s="6">
        <v>1</v>
      </c>
      <c r="M66" s="21">
        <v>1683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01381</v>
      </c>
      <c r="B67" s="2">
        <v>112</v>
      </c>
      <c r="C67" s="10" t="str">
        <f ca="1">VLOOKUP($B67,OFFSET([2]gachas!$A$2,0,0,COUNTA([2]gachas!$A:$A),MATCH(C$1,[2]gachas!$1:$1,0)-MATCH($B$1,[2]gachas!$1:$1,0)+1),MATCH(C$1,[2]gachas!$1:$1,0)-MATCH($B$1,[2]gachas!$1:$1,0)+1,FALSE)</f>
        <v>ピックアップ02(沖田) あと少し</v>
      </c>
      <c r="D67" s="6">
        <v>0</v>
      </c>
      <c r="E67" s="7">
        <v>138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蒼薙のトモエ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PremiumW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3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blue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ヒューマン</v>
      </c>
      <c r="L67" s="6">
        <v>1</v>
      </c>
      <c r="M67" s="21">
        <v>1683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01401</v>
      </c>
      <c r="B68" s="2">
        <v>112</v>
      </c>
      <c r="C68" s="10" t="str">
        <f ca="1">VLOOKUP($B68,OFFSET([2]gachas!$A$2,0,0,COUNTA([2]gachas!$A:$A),MATCH(C$1,[2]gachas!$1:$1,0)-MATCH($B$1,[2]gachas!$1:$1,0)+1),MATCH(C$1,[2]gachas!$1:$1,0)-MATCH($B$1,[2]gachas!$1:$1,0)+1,FALSE)</f>
        <v>ピックアップ02(沖田) あと少し</v>
      </c>
      <c r="D68" s="6">
        <v>0</v>
      </c>
      <c r="E68" s="7">
        <v>140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秋祭のタマモ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PremiumW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3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yellow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アニマル</v>
      </c>
      <c r="L68" s="6">
        <v>1</v>
      </c>
      <c r="M68" s="21">
        <v>1683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ht="21" customHeight="1">
      <c r="A69" s="8" t="str">
        <f t="shared" si="1"/>
        <v>01421</v>
      </c>
      <c r="B69" s="2">
        <v>112</v>
      </c>
      <c r="C69" s="10" t="str">
        <f ca="1">VLOOKUP($B69,OFFSET([2]gachas!$A$2,0,0,COUNTA([2]gachas!$A:$A),MATCH(C$1,[2]gachas!$1:$1,0)-MATCH($B$1,[2]gachas!$1:$1,0)+1),MATCH(C$1,[2]gachas!$1:$1,0)-MATCH($B$1,[2]gachas!$1:$1,0)+1,FALSE)</f>
        <v>ピックアップ02(沖田) あと少し</v>
      </c>
      <c r="D69" s="6">
        <v>0</v>
      </c>
      <c r="E69" s="7">
        <v>142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赤ずきん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PremiumW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3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red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ヒューマン</v>
      </c>
      <c r="L69" s="6">
        <v>1</v>
      </c>
      <c r="M69" s="21">
        <v>1683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01441</v>
      </c>
      <c r="B70" s="2">
        <v>112</v>
      </c>
      <c r="C70" s="10" t="str">
        <f ca="1">VLOOKUP($B70,OFFSET([2]gachas!$A$2,0,0,COUNTA([2]gachas!$A:$A),MATCH(C$1,[2]gachas!$1:$1,0)-MATCH($B$1,[2]gachas!$1:$1,0)+1),MATCH(C$1,[2]gachas!$1:$1,0)-MATCH($B$1,[2]gachas!$1:$1,0)+1,FALSE)</f>
        <v>ピックアップ02(沖田) あと少し</v>
      </c>
      <c r="D70" s="6">
        <v>0</v>
      </c>
      <c r="E70" s="7">
        <v>144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かぐや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PremiumW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3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green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ヒューマン</v>
      </c>
      <c r="L70" s="6">
        <v>1</v>
      </c>
      <c r="M70" s="21">
        <v>1683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01461</v>
      </c>
      <c r="B71" s="2">
        <v>112</v>
      </c>
      <c r="C71" s="10" t="str">
        <f ca="1">VLOOKUP($B71,OFFSET([2]gachas!$A$2,0,0,COUNTA([2]gachas!$A:$A),MATCH(C$1,[2]gachas!$1:$1,0)-MATCH($B$1,[2]gachas!$1:$1,0)+1),MATCH(C$1,[2]gachas!$1:$1,0)-MATCH($B$1,[2]gachas!$1:$1,0)+1,FALSE)</f>
        <v>ピックアップ02(沖田) あと少し</v>
      </c>
      <c r="D71" s="6">
        <v>0</v>
      </c>
      <c r="E71" s="7">
        <v>146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マーメイド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PremiumW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3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blue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ヒューマン</v>
      </c>
      <c r="L71" s="6">
        <v>1</v>
      </c>
      <c r="M71" s="21">
        <v>1683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01481</v>
      </c>
      <c r="B72" s="2">
        <v>112</v>
      </c>
      <c r="C72" s="10" t="str">
        <f ca="1">VLOOKUP($B72,OFFSET([2]gachas!$A$2,0,0,COUNTA([2]gachas!$A:$A),MATCH(C$1,[2]gachas!$1:$1,0)-MATCH($B$1,[2]gachas!$1:$1,0)+1),MATCH(C$1,[2]gachas!$1:$1,0)-MATCH($B$1,[2]gachas!$1:$1,0)+1,FALSE)</f>
        <v>ピックアップ02(沖田) あと少し</v>
      </c>
      <c r="D72" s="6">
        <v>0</v>
      </c>
      <c r="E72" s="7">
        <v>148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シンデレラ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PremiumW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3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yellow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ヒューマン</v>
      </c>
      <c r="L72" s="6">
        <v>1</v>
      </c>
      <c r="M72" s="21">
        <v>1683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01501</v>
      </c>
      <c r="B73" s="2">
        <v>112</v>
      </c>
      <c r="C73" s="10" t="str">
        <f ca="1">VLOOKUP($B73,OFFSET([2]gachas!$A$2,0,0,COUNTA([2]gachas!$A:$A),MATCH(C$1,[2]gachas!$1:$1,0)-MATCH($B$1,[2]gachas!$1:$1,0)+1),MATCH(C$1,[2]gachas!$1:$1,0)-MATCH($B$1,[2]gachas!$1:$1,0)+1,FALSE)</f>
        <v>ピックアップ02(沖田) あと少し</v>
      </c>
      <c r="D73" s="6">
        <v>0</v>
      </c>
      <c r="E73" s="7">
        <v>150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ポイズンマスターサキ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PremiumW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3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red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ヒューマン</v>
      </c>
      <c r="L73" s="6">
        <v>1</v>
      </c>
      <c r="M73" s="21">
        <v>1683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01521</v>
      </c>
      <c r="B74" s="2">
        <v>112</v>
      </c>
      <c r="C74" s="10" t="str">
        <f ca="1">VLOOKUP($B74,OFFSET([2]gachas!$A$2,0,0,COUNTA([2]gachas!$A:$A),MATCH(C$1,[2]gachas!$1:$1,0)-MATCH($B$1,[2]gachas!$1:$1,0)+1),MATCH(C$1,[2]gachas!$1:$1,0)-MATCH($B$1,[2]gachas!$1:$1,0)+1,FALSE)</f>
        <v>ピックアップ02(沖田) あと少し</v>
      </c>
      <c r="D74" s="6">
        <v>0</v>
      </c>
      <c r="E74" s="7">
        <v>152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功夫少女ランラン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PremiumW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3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green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6">
        <v>1</v>
      </c>
      <c r="M74" s="21">
        <v>1683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01541</v>
      </c>
      <c r="B75" s="2">
        <v>112</v>
      </c>
      <c r="C75" s="10" t="str">
        <f ca="1">VLOOKUP($B75,OFFSET([2]gachas!$A$2,0,0,COUNTA([2]gachas!$A:$A),MATCH(C$1,[2]gachas!$1:$1,0)-MATCH($B$1,[2]gachas!$1:$1,0)+1),MATCH(C$1,[2]gachas!$1:$1,0)-MATCH($B$1,[2]gachas!$1:$1,0)+1,FALSE)</f>
        <v>ピックアップ02(沖田) あと少し</v>
      </c>
      <c r="D75" s="6">
        <v>0</v>
      </c>
      <c r="E75" s="7">
        <v>154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始末屋 ハンナ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PremiumW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3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6">
        <v>1</v>
      </c>
      <c r="M75" s="21">
        <v>1683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01561</v>
      </c>
      <c r="B76" s="2">
        <v>112</v>
      </c>
      <c r="C76" s="10" t="str">
        <f ca="1">VLOOKUP($B76,OFFSET([2]gachas!$A$2,0,0,COUNTA([2]gachas!$A:$A),MATCH(C$1,[2]gachas!$1:$1,0)-MATCH($B$1,[2]gachas!$1:$1,0)+1),MATCH(C$1,[2]gachas!$1:$1,0)-MATCH($B$1,[2]gachas!$1:$1,0)+1,FALSE)</f>
        <v>ピックアップ02(沖田) あと少し</v>
      </c>
      <c r="D76" s="6">
        <v>0</v>
      </c>
      <c r="E76" s="7">
        <v>156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踊り子 エレナ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PremiumW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3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6">
        <v>1</v>
      </c>
      <c r="M76" s="21">
        <v>1683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ht="21" customHeight="1">
      <c r="A77" s="8" t="str">
        <f t="shared" si="1"/>
        <v>01581</v>
      </c>
      <c r="B77" s="2">
        <v>112</v>
      </c>
      <c r="C77" s="10" t="str">
        <f ca="1">VLOOKUP($B77,OFFSET([2]gachas!$A$2,0,0,COUNTA([2]gachas!$A:$A),MATCH(C$1,[2]gachas!$1:$1,0)-MATCH($B$1,[2]gachas!$1:$1,0)+1),MATCH(C$1,[2]gachas!$1:$1,0)-MATCH($B$1,[2]gachas!$1:$1,0)+1,FALSE)</f>
        <v>ピックアップ02(沖田) あと少し</v>
      </c>
      <c r="D77" s="6">
        <v>0</v>
      </c>
      <c r="E77" s="7">
        <v>158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PremiumW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3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red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6">
        <v>1</v>
      </c>
      <c r="M77" s="21">
        <v>1683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>
      <c r="A78" s="8" t="str">
        <f t="shared" si="1"/>
        <v>01601</v>
      </c>
      <c r="B78" s="2">
        <v>112</v>
      </c>
      <c r="C78" s="10" t="str">
        <f ca="1">VLOOKUP($B78,OFFSET([2]gachas!$A$2,0,0,COUNTA([2]gachas!$A:$A),MATCH(C$1,[2]gachas!$1:$1,0)-MATCH($B$1,[2]gachas!$1:$1,0)+1),MATCH(C$1,[2]gachas!$1:$1,0)-MATCH($B$1,[2]gachas!$1:$1,0)+1,FALSE)</f>
        <v>ピックアップ02(沖田) あと少し</v>
      </c>
      <c r="D78" s="6">
        <v>0</v>
      </c>
      <c r="E78" s="7">
        <v>160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反逆者 クリエ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PremiumW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3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green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ヒューマン</v>
      </c>
      <c r="L78" s="6">
        <v>1</v>
      </c>
      <c r="M78" s="21">
        <v>1683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>
      <c r="A79" s="8" t="str">
        <f t="shared" si="1"/>
        <v>01621</v>
      </c>
      <c r="B79" s="2">
        <v>112</v>
      </c>
      <c r="C79" s="10" t="str">
        <f ca="1">VLOOKUP($B79,OFFSET([2]gachas!$A$2,0,0,COUNTA([2]gachas!$A:$A),MATCH(C$1,[2]gachas!$1:$1,0)-MATCH($B$1,[2]gachas!$1:$1,0)+1),MATCH(C$1,[2]gachas!$1:$1,0)-MATCH($B$1,[2]gachas!$1:$1,0)+1,FALSE)</f>
        <v>ピックアップ02(沖田) あと少し</v>
      </c>
      <c r="D79" s="6">
        <v>0</v>
      </c>
      <c r="E79" s="7">
        <v>162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狂女 クララ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PremiumW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3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blue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ヒューマン</v>
      </c>
      <c r="L79" s="6">
        <v>1</v>
      </c>
      <c r="M79" s="21">
        <v>1683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>
      <c r="A80" s="8" t="str">
        <f t="shared" si="1"/>
        <v>01641</v>
      </c>
      <c r="B80" s="2">
        <v>112</v>
      </c>
      <c r="C80" s="10" t="str">
        <f ca="1">VLOOKUP($B80,OFFSET([2]gachas!$A$2,0,0,COUNTA([2]gachas!$A:$A),MATCH(C$1,[2]gachas!$1:$1,0)-MATCH($B$1,[2]gachas!$1:$1,0)+1),MATCH(C$1,[2]gachas!$1:$1,0)-MATCH($B$1,[2]gachas!$1:$1,0)+1,FALSE)</f>
        <v>ピックアップ02(沖田) あと少し</v>
      </c>
      <c r="D80" s="6">
        <v>0</v>
      </c>
      <c r="E80" s="7">
        <v>164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イブとトモダチ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PremiumW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3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yellow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ヒューマン</v>
      </c>
      <c r="L80" s="6">
        <v>1</v>
      </c>
      <c r="M80" s="21">
        <v>1683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>
      <c r="A81" s="8" t="str">
        <f t="shared" si="1"/>
        <v>01661</v>
      </c>
      <c r="B81" s="2">
        <v>112</v>
      </c>
      <c r="C81" s="10" t="str">
        <f ca="1">VLOOKUP($B81,OFFSET([2]gachas!$A$2,0,0,COUNTA([2]gachas!$A:$A),MATCH(C$1,[2]gachas!$1:$1,0)-MATCH($B$1,[2]gachas!$1:$1,0)+1),MATCH(C$1,[2]gachas!$1:$1,0)-MATCH($B$1,[2]gachas!$1:$1,0)+1,FALSE)</f>
        <v>ピックアップ02(沖田) あと少し</v>
      </c>
      <c r="D81" s="6">
        <v>0</v>
      </c>
      <c r="E81" s="7">
        <v>166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ベリアル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3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red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6">
        <v>1722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>
      <c r="A82" s="8" t="str">
        <f t="shared" si="1"/>
        <v>01691</v>
      </c>
      <c r="B82" s="2">
        <v>112</v>
      </c>
      <c r="C82" s="10" t="str">
        <f ca="1">VLOOKUP($B82,OFFSET([2]gachas!$A$2,0,0,COUNTA([2]gachas!$A:$A),MATCH(C$1,[2]gachas!$1:$1,0)-MATCH($B$1,[2]gachas!$1:$1,0)+1),MATCH(C$1,[2]gachas!$1:$1,0)-MATCH($B$1,[2]gachas!$1:$1,0)+1,FALSE)</f>
        <v>ピックアップ02(沖田) あと少し</v>
      </c>
      <c r="D82" s="6">
        <v>0</v>
      </c>
      <c r="E82" s="7">
        <v>169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オセ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3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green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6">
        <v>1</v>
      </c>
      <c r="M82" s="6">
        <v>1722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>
      <c r="A83" s="8" t="str">
        <f t="shared" si="1"/>
        <v>01721</v>
      </c>
      <c r="B83" s="2">
        <v>112</v>
      </c>
      <c r="C83" s="10" t="str">
        <f ca="1">VLOOKUP($B83,OFFSET([2]gachas!$A$2,0,0,COUNTA([2]gachas!$A:$A),MATCH(C$1,[2]gachas!$1:$1,0)-MATCH($B$1,[2]gachas!$1:$1,0)+1),MATCH(C$1,[2]gachas!$1:$1,0)-MATCH($B$1,[2]gachas!$1:$1,0)+1,FALSE)</f>
        <v>ピックアップ02(沖田) あと少し</v>
      </c>
      <c r="D83" s="6">
        <v>0</v>
      </c>
      <c r="E83" s="7">
        <v>172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フォルネウス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3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6">
        <v>1</v>
      </c>
      <c r="M83" s="6">
        <v>1722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>
      <c r="A84" s="8" t="str">
        <f t="shared" si="1"/>
        <v>01751</v>
      </c>
      <c r="B84" s="2">
        <v>112</v>
      </c>
      <c r="C84" s="10" t="str">
        <f ca="1">VLOOKUP($B84,OFFSET([2]gachas!$A$2,0,0,COUNTA([2]gachas!$A:$A),MATCH(C$1,[2]gachas!$1:$1,0)-MATCH($B$1,[2]gachas!$1:$1,0)+1),MATCH(C$1,[2]gachas!$1:$1,0)-MATCH($B$1,[2]gachas!$1:$1,0)+1,FALSE)</f>
        <v>ピックアップ02(沖田) あと少し</v>
      </c>
      <c r="D84" s="6">
        <v>0</v>
      </c>
      <c r="E84" s="7">
        <v>175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バフォメット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3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ゴッド</v>
      </c>
      <c r="L84" s="6">
        <v>1</v>
      </c>
      <c r="M84" s="6">
        <v>1722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>
      <c r="A85" s="8" t="str">
        <f t="shared" si="1"/>
        <v>01781</v>
      </c>
      <c r="B85" s="2">
        <v>112</v>
      </c>
      <c r="C85" s="10" t="str">
        <f ca="1">VLOOKUP($B85,OFFSET([2]gachas!$A$2,0,0,COUNTA([2]gachas!$A:$A),MATCH(C$1,[2]gachas!$1:$1,0)-MATCH($B$1,[2]gachas!$1:$1,0)+1),MATCH(C$1,[2]gachas!$1:$1,0)-MATCH($B$1,[2]gachas!$1:$1,0)+1,FALSE)</f>
        <v>ピックアップ02(沖田) あと少し</v>
      </c>
      <c r="D85" s="6">
        <v>0</v>
      </c>
      <c r="E85" s="7">
        <v>178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ケルベロス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3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red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アニマル</v>
      </c>
      <c r="L85" s="6">
        <v>1</v>
      </c>
      <c r="M85" s="6">
        <v>1722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>
      <c r="A86" s="8" t="str">
        <f t="shared" si="1"/>
        <v>01811</v>
      </c>
      <c r="B86" s="2">
        <v>112</v>
      </c>
      <c r="C86" s="10" t="str">
        <f ca="1">VLOOKUP($B86,OFFSET([2]gachas!$A$2,0,0,COUNTA([2]gachas!$A:$A),MATCH(C$1,[2]gachas!$1:$1,0)-MATCH($B$1,[2]gachas!$1:$1,0)+1),MATCH(C$1,[2]gachas!$1:$1,0)-MATCH($B$1,[2]gachas!$1:$1,0)+1,FALSE)</f>
        <v>ピックアップ02(沖田) あと少し</v>
      </c>
      <c r="D86" s="6">
        <v>0</v>
      </c>
      <c r="E86" s="7">
        <v>181</v>
      </c>
      <c r="F86" s="10" t="str">
        <f ca="1">VLOOKUP($E86,OFFSET([1]characters!$A$2,0,0,COUNTA([1]characters!$A:$A),MATCH(F$1,[1]characters!$2:$2,0)-MATCH($E$1,[1]characters!$2:$2,0)+1),MATCH(F$1,[1]characters!$2:$2,0)-MATCH($E$1,[1]characters!$2:$2,0)+1,FALSE)</f>
        <v>ベヒモス</v>
      </c>
      <c r="G86" s="10" t="str">
        <f ca="1">VLOOKUP($E86,OFFSET([1]characters!$A$2,0,0,COUNTA([1]characters!$A:$A),MATCH(G$1,[1]characters!$2:$2,0)-MATCH($E$1,[1]characters!$2:$2,0)+1),MATCH(G$1,[1]characters!$2:$2,0)-MATCH($E$1,[1]characters!$2:$2,0)+1,FALSE)</f>
        <v>PremiumN</v>
      </c>
      <c r="H86" s="10">
        <f ca="1">VLOOKUP($E86,OFFSET([1]characters!$A$2,0,0,COUNTA([1]characters!$A:$A),MATCH(H$1,[1]characters!$2:$2,0)-MATCH($E$1,[1]characters!$2:$2,0)+1),MATCH(H$1,[1]characters!$2:$2,0)-MATCH($E$1,[1]characters!$2:$2,0)+1,FALSE)</f>
        <v>3</v>
      </c>
      <c r="I86" s="10" t="str">
        <f ca="1">VLOOKUP($E86,OFFSET([1]characters!$A$2,0,0,COUNTA([1]characters!$A:$A),MATCH(I$1,[1]characters!$2:$2,0)-MATCH($E$1,[1]characters!$2:$2,0)+1),MATCH(I$1,[1]characters!$2:$2,0)-MATCH($E$1,[1]characters!$2:$2,0)+1,FALSE)</f>
        <v>green</v>
      </c>
      <c r="J86" s="1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10" t="str">
        <f ca="1">VLOOKUP($E86,OFFSET([1]characters!$A$2,0,0,COUNTA([1]characters!$A:$A),MATCH($K$1,[1]characters!$1:$1,0)-MATCH($E$1,[1]characters!$2:$2,0)+2),MATCH($K$1,[1]characters!$1:$1,0)-MATCH($E$1,[1]characters!$2:$2,0)+2,FALSE)</f>
        <v>アニマル</v>
      </c>
      <c r="L86" s="6">
        <v>1</v>
      </c>
      <c r="M86" s="6">
        <v>1722</v>
      </c>
      <c r="N86" s="28">
        <v>0</v>
      </c>
      <c r="O86" s="28">
        <v>0</v>
      </c>
      <c r="P86" s="28">
        <v>0</v>
      </c>
      <c r="Q86" s="28">
        <v>0</v>
      </c>
      <c r="R86" s="28">
        <v>1</v>
      </c>
    </row>
    <row r="87" spans="1:18" ht="21" customHeight="1">
      <c r="A87" s="8" t="str">
        <f t="shared" si="1"/>
        <v>01841</v>
      </c>
      <c r="B87" s="2">
        <v>112</v>
      </c>
      <c r="C87" s="10" t="str">
        <f ca="1">VLOOKUP($B87,OFFSET([2]gachas!$A$2,0,0,COUNTA([2]gachas!$A:$A),MATCH(C$1,[2]gachas!$1:$1,0)-MATCH($B$1,[2]gachas!$1:$1,0)+1),MATCH(C$1,[2]gachas!$1:$1,0)-MATCH($B$1,[2]gachas!$1:$1,0)+1,FALSE)</f>
        <v>ピックアップ02(沖田) あと少し</v>
      </c>
      <c r="D87" s="6">
        <v>0</v>
      </c>
      <c r="E87" s="7">
        <v>184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クラーケン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PremiumN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3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blue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アニマル</v>
      </c>
      <c r="L87" s="6">
        <v>1</v>
      </c>
      <c r="M87" s="6">
        <v>1722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>
      <c r="A88" s="8" t="str">
        <f t="shared" si="1"/>
        <v>01871</v>
      </c>
      <c r="B88" s="2">
        <v>112</v>
      </c>
      <c r="C88" s="10" t="str">
        <f ca="1">VLOOKUP($B88,OFFSET([2]gachas!$A$2,0,0,COUNTA([2]gachas!$A:$A),MATCH(C$1,[2]gachas!$1:$1,0)-MATCH($B$1,[2]gachas!$1:$1,0)+1),MATCH(C$1,[2]gachas!$1:$1,0)-MATCH($B$1,[2]gachas!$1:$1,0)+1,FALSE)</f>
        <v>ピックアップ02(沖田) あと少し</v>
      </c>
      <c r="D88" s="6">
        <v>0</v>
      </c>
      <c r="E88" s="7">
        <v>187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ホルス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PremiumN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3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yellow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アニマル</v>
      </c>
      <c r="L88" s="6">
        <v>1</v>
      </c>
      <c r="M88" s="6">
        <v>1722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>
      <c r="A89" s="8" t="str">
        <f t="shared" si="1"/>
        <v>01901</v>
      </c>
      <c r="B89" s="2">
        <v>112</v>
      </c>
      <c r="C89" s="10" t="str">
        <f ca="1">VLOOKUP($B89,OFFSET([2]gachas!$A$2,0,0,COUNTA([2]gachas!$A:$A),MATCH(C$1,[2]gachas!$1:$1,0)-MATCH($B$1,[2]gachas!$1:$1,0)+1),MATCH(C$1,[2]gachas!$1:$1,0)-MATCH($B$1,[2]gachas!$1:$1,0)+1,FALSE)</f>
        <v>ピックアップ02(沖田) あと少し</v>
      </c>
      <c r="D89" s="6">
        <v>0</v>
      </c>
      <c r="E89" s="7">
        <v>190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卑弥呼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PremiumN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3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red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6">
        <v>1722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>
      <c r="A90" s="8" t="str">
        <f t="shared" si="1"/>
        <v>01931</v>
      </c>
      <c r="B90" s="2">
        <v>112</v>
      </c>
      <c r="C90" s="10" t="str">
        <f ca="1">VLOOKUP($B90,OFFSET([2]gachas!$A$2,0,0,COUNTA([2]gachas!$A:$A),MATCH(C$1,[2]gachas!$1:$1,0)-MATCH($B$1,[2]gachas!$1:$1,0)+1),MATCH(C$1,[2]gachas!$1:$1,0)-MATCH($B$1,[2]gachas!$1:$1,0)+1,FALSE)</f>
        <v>ピックアップ02(沖田) あと少し</v>
      </c>
      <c r="D90" s="6">
        <v>0</v>
      </c>
      <c r="E90" s="7">
        <v>193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ロビンフッド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3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green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6">
        <v>1722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>
      <c r="A91" s="8" t="str">
        <f t="shared" si="1"/>
        <v>01961</v>
      </c>
      <c r="B91" s="2">
        <v>112</v>
      </c>
      <c r="C91" s="10" t="str">
        <f ca="1">VLOOKUP($B91,OFFSET([2]gachas!$A$2,0,0,COUNTA([2]gachas!$A:$A),MATCH(C$1,[2]gachas!$1:$1,0)-MATCH($B$1,[2]gachas!$1:$1,0)+1),MATCH(C$1,[2]gachas!$1:$1,0)-MATCH($B$1,[2]gachas!$1:$1,0)+1,FALSE)</f>
        <v>ピックアップ02(沖田) あと少し</v>
      </c>
      <c r="D91" s="6">
        <v>0</v>
      </c>
      <c r="E91" s="7">
        <v>196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アキレス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3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yellow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6">
        <v>1722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>
      <c r="A92" s="8" t="str">
        <f t="shared" si="1"/>
        <v>01991</v>
      </c>
      <c r="B92" s="2">
        <v>112</v>
      </c>
      <c r="C92" s="10" t="str">
        <f ca="1">VLOOKUP($B92,OFFSET([2]gachas!$A$2,0,0,COUNTA([2]gachas!$A:$A),MATCH(C$1,[2]gachas!$1:$1,0)-MATCH($B$1,[2]gachas!$1:$1,0)+1),MATCH(C$1,[2]gachas!$1:$1,0)-MATCH($B$1,[2]gachas!$1:$1,0)+1,FALSE)</f>
        <v>ピックアップ02(沖田) あと少し</v>
      </c>
      <c r="D92" s="6">
        <v>0</v>
      </c>
      <c r="E92" s="7">
        <v>199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ジークフリート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3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blue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6">
        <v>1</v>
      </c>
      <c r="M92" s="6">
        <v>1722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>
      <c r="A93" s="8" t="str">
        <f t="shared" si="1"/>
        <v>02021</v>
      </c>
      <c r="B93" s="2">
        <v>112</v>
      </c>
      <c r="C93" s="10" t="str">
        <f ca="1">VLOOKUP($B93,OFFSET([2]gachas!$A$2,0,0,COUNTA([2]gachas!$A:$A),MATCH(C$1,[2]gachas!$1:$1,0)-MATCH($B$1,[2]gachas!$1:$1,0)+1),MATCH(C$1,[2]gachas!$1:$1,0)-MATCH($B$1,[2]gachas!$1:$1,0)+1,FALSE)</f>
        <v>ピックアップ02(沖田) あと少し</v>
      </c>
      <c r="D93" s="6">
        <v>0</v>
      </c>
      <c r="E93" s="7">
        <v>202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プロメテウス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3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red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ゴッド</v>
      </c>
      <c r="L93" s="6">
        <v>1</v>
      </c>
      <c r="M93" s="6">
        <v>1722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>
      <c r="A94" s="8" t="str">
        <f t="shared" si="1"/>
        <v>02051</v>
      </c>
      <c r="B94" s="2">
        <v>112</v>
      </c>
      <c r="C94" s="10" t="str">
        <f ca="1">VLOOKUP($B94,OFFSET([2]gachas!$A$2,0,0,COUNTA([2]gachas!$A:$A),MATCH(C$1,[2]gachas!$1:$1,0)-MATCH($B$1,[2]gachas!$1:$1,0)+1),MATCH(C$1,[2]gachas!$1:$1,0)-MATCH($B$1,[2]gachas!$1:$1,0)+1,FALSE)</f>
        <v>ピックアップ02(沖田) あと少し</v>
      </c>
      <c r="D94" s="6">
        <v>0</v>
      </c>
      <c r="E94" s="7">
        <v>205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アフロディーテ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green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ゴッド</v>
      </c>
      <c r="L94" s="6">
        <v>1</v>
      </c>
      <c r="M94" s="6">
        <v>1722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>
      <c r="A95" s="8" t="str">
        <f t="shared" si="1"/>
        <v>02081</v>
      </c>
      <c r="B95" s="2">
        <v>112</v>
      </c>
      <c r="C95" s="10" t="str">
        <f ca="1">VLOOKUP($B95,OFFSET([2]gachas!$A$2,0,0,COUNTA([2]gachas!$A:$A),MATCH(C$1,[2]gachas!$1:$1,0)-MATCH($B$1,[2]gachas!$1:$1,0)+1),MATCH(C$1,[2]gachas!$1:$1,0)-MATCH($B$1,[2]gachas!$1:$1,0)+1,FALSE)</f>
        <v>ピックアップ02(沖田) あと少し</v>
      </c>
      <c r="D95" s="6">
        <v>0</v>
      </c>
      <c r="E95" s="7">
        <v>208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テティス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blue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ゴッド</v>
      </c>
      <c r="L95" s="6">
        <v>1</v>
      </c>
      <c r="M95" s="6">
        <v>1722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>
      <c r="A96" s="8" t="str">
        <f t="shared" si="1"/>
        <v>02111</v>
      </c>
      <c r="B96" s="2">
        <v>112</v>
      </c>
      <c r="C96" s="10" t="str">
        <f ca="1">VLOOKUP($B96,OFFSET([2]gachas!$A$2,0,0,COUNTA([2]gachas!$A:$A),MATCH(C$1,[2]gachas!$1:$1,0)-MATCH($B$1,[2]gachas!$1:$1,0)+1),MATCH(C$1,[2]gachas!$1:$1,0)-MATCH($B$1,[2]gachas!$1:$1,0)+1,FALSE)</f>
        <v>ピックアップ02(沖田) あと少し</v>
      </c>
      <c r="D96" s="6">
        <v>0</v>
      </c>
      <c r="E96" s="7">
        <v>211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アストライアー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PremiumN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yellow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ゴッド</v>
      </c>
      <c r="L96" s="6">
        <v>1</v>
      </c>
      <c r="M96" s="6">
        <v>1722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02141</v>
      </c>
      <c r="B97" s="2">
        <v>112</v>
      </c>
      <c r="C97" s="10" t="str">
        <f ca="1">VLOOKUP($B97,OFFSET([2]gachas!$A$2,0,0,COUNTA([2]gachas!$A:$A),MATCH(C$1,[2]gachas!$1:$1,0)-MATCH($B$1,[2]gachas!$1:$1,0)+1),MATCH(C$1,[2]gachas!$1:$1,0)-MATCH($B$1,[2]gachas!$1:$1,0)+1,FALSE)</f>
        <v>ピックアップ02(沖田) あと少し</v>
      </c>
      <c r="D97" s="6">
        <v>0</v>
      </c>
      <c r="E97" s="7">
        <v>214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アズラエル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PremiumN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red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ゴッド</v>
      </c>
      <c r="L97" s="6">
        <v>1</v>
      </c>
      <c r="M97" s="6">
        <v>1722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02171</v>
      </c>
      <c r="B98" s="2">
        <v>112</v>
      </c>
      <c r="C98" s="10" t="str">
        <f ca="1">VLOOKUP($B98,OFFSET([2]gachas!$A$2,0,0,COUNTA([2]gachas!$A:$A),MATCH(C$1,[2]gachas!$1:$1,0)-MATCH($B$1,[2]gachas!$1:$1,0)+1),MATCH(C$1,[2]gachas!$1:$1,0)-MATCH($B$1,[2]gachas!$1:$1,0)+1,FALSE)</f>
        <v>ピックアップ02(沖田) あと少し</v>
      </c>
      <c r="D98" s="6">
        <v>0</v>
      </c>
      <c r="E98" s="7">
        <v>217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ケツァクアトル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PremiumN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3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green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6">
        <v>1</v>
      </c>
      <c r="M98" s="6">
        <v>1722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02201</v>
      </c>
      <c r="B99" s="2">
        <v>112</v>
      </c>
      <c r="C99" s="10" t="str">
        <f ca="1">VLOOKUP($B99,OFFSET([2]gachas!$A$2,0,0,COUNTA([2]gachas!$A:$A),MATCH(C$1,[2]gachas!$1:$1,0)-MATCH($B$1,[2]gachas!$1:$1,0)+1),MATCH(C$1,[2]gachas!$1:$1,0)-MATCH($B$1,[2]gachas!$1:$1,0)+1,FALSE)</f>
        <v>ピックアップ02(沖田) あと少し</v>
      </c>
      <c r="D99" s="6">
        <v>0</v>
      </c>
      <c r="E99" s="7">
        <v>220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ルキフグス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PremiumN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3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ゴッド</v>
      </c>
      <c r="L99" s="6">
        <v>1</v>
      </c>
      <c r="M99" s="6">
        <v>1722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02231</v>
      </c>
      <c r="B100" s="2">
        <v>112</v>
      </c>
      <c r="C100" s="10" t="str">
        <f ca="1">VLOOKUP($B100,OFFSET([2]gachas!$A$2,0,0,COUNTA([2]gachas!$A:$A),MATCH(C$1,[2]gachas!$1:$1,0)-MATCH($B$1,[2]gachas!$1:$1,0)+1),MATCH(C$1,[2]gachas!$1:$1,0)-MATCH($B$1,[2]gachas!$1:$1,0)+1,FALSE)</f>
        <v>ピックアップ02(沖田) あと少し</v>
      </c>
      <c r="D100" s="6">
        <v>0</v>
      </c>
      <c r="E100" s="7">
        <v>223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ヘラクレス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PremiumN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3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6">
        <v>1</v>
      </c>
      <c r="M100" s="6">
        <v>1722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02261</v>
      </c>
      <c r="B101" s="2">
        <v>112</v>
      </c>
      <c r="C101" s="10" t="str">
        <f ca="1">VLOOKUP($B101,OFFSET([2]gachas!$A$2,0,0,COUNTA([2]gachas!$A:$A),MATCH(C$1,[2]gachas!$1:$1,0)-MATCH($B$1,[2]gachas!$1:$1,0)+1),MATCH(C$1,[2]gachas!$1:$1,0)-MATCH($B$1,[2]gachas!$1:$1,0)+1,FALSE)</f>
        <v>ピックアップ02(沖田) あと少し</v>
      </c>
      <c r="D101" s="6">
        <v>0</v>
      </c>
      <c r="E101" s="7">
        <v>226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アレス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3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red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ゴッド</v>
      </c>
      <c r="L101" s="6">
        <v>1</v>
      </c>
      <c r="M101" s="6">
        <v>929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02321</v>
      </c>
      <c r="B102" s="2">
        <v>112</v>
      </c>
      <c r="C102" s="10" t="str">
        <f ca="1">VLOOKUP($B102,OFFSET([2]gachas!$A$2,0,0,COUNTA([2]gachas!$A:$A),MATCH(C$1,[2]gachas!$1:$1,0)-MATCH($B$1,[2]gachas!$1:$1,0)+1),MATCH(C$1,[2]gachas!$1:$1,0)-MATCH($B$1,[2]gachas!$1:$1,0)+1,FALSE)</f>
        <v>ピックアップ02(沖田) あと少し</v>
      </c>
      <c r="D102" s="6">
        <v>0</v>
      </c>
      <c r="E102" s="7">
        <v>232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パーシヴァル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PremiumS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blue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6">
        <v>1</v>
      </c>
      <c r="M102" s="6">
        <v>929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02351</v>
      </c>
      <c r="B103" s="2">
        <v>112</v>
      </c>
      <c r="C103" s="10" t="str">
        <f ca="1">VLOOKUP($B103,OFFSET([2]gachas!$A$2,0,0,COUNTA([2]gachas!$A:$A),MATCH(C$1,[2]gachas!$1:$1,0)-MATCH($B$1,[2]gachas!$1:$1,0)+1),MATCH(C$1,[2]gachas!$1:$1,0)-MATCH($B$1,[2]gachas!$1:$1,0)+1,FALSE)</f>
        <v>ピックアップ02(沖田) あと少し</v>
      </c>
      <c r="D103" s="6">
        <v>0</v>
      </c>
      <c r="E103" s="7">
        <v>235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イザナミ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PremiumS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yellow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ゴッド</v>
      </c>
      <c r="L103" s="6">
        <v>1</v>
      </c>
      <c r="M103" s="6">
        <v>929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01271</v>
      </c>
      <c r="B104" s="2">
        <v>112</v>
      </c>
      <c r="C104" s="10" t="str">
        <f ca="1">VLOOKUP($B104,OFFSET([2]gachas!$A$2,0,0,COUNTA([2]gachas!$A:$A),MATCH(C$1,[2]gachas!$1:$1,0)-MATCH($B$1,[2]gachas!$1:$1,0)+1),MATCH(C$1,[2]gachas!$1:$1,0)-MATCH($B$1,[2]gachas!$1:$1,0)+1,FALSE)</f>
        <v>ピックアップ02(沖田) あと少し</v>
      </c>
      <c r="D104" s="6">
        <v>0</v>
      </c>
      <c r="E104" s="7">
        <v>127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狂喜の賢者 ユノ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4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red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6">
        <v>477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01291</v>
      </c>
      <c r="B105" s="2">
        <v>112</v>
      </c>
      <c r="C105" s="10" t="str">
        <f ca="1">VLOOKUP($B105,OFFSET([2]gachas!$A$2,0,0,COUNTA([2]gachas!$A:$A),MATCH(C$1,[2]gachas!$1:$1,0)-MATCH($B$1,[2]gachas!$1:$1,0)+1),MATCH(C$1,[2]gachas!$1:$1,0)-MATCH($B$1,[2]gachas!$1:$1,0)+1,FALSE)</f>
        <v>ピックアップ02(沖田) あと少し</v>
      </c>
      <c r="D105" s="6">
        <v>0</v>
      </c>
      <c r="E105" s="7">
        <v>129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孤高の狼憑き アマラ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4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green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6">
        <v>477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01311</v>
      </c>
      <c r="B106" s="2">
        <v>112</v>
      </c>
      <c r="C106" s="10" t="str">
        <f ca="1">VLOOKUP($B106,OFFSET([2]gachas!$A$2,0,0,COUNTA([2]gachas!$A:$A),MATCH(C$1,[2]gachas!$1:$1,0)-MATCH($B$1,[2]gachas!$1:$1,0)+1),MATCH(C$1,[2]gachas!$1:$1,0)-MATCH($B$1,[2]gachas!$1:$1,0)+1,FALSE)</f>
        <v>ピックアップ02(沖田) あと少し</v>
      </c>
      <c r="D106" s="6">
        <v>0</v>
      </c>
      <c r="E106" s="7">
        <v>131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4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blue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アニマル</v>
      </c>
      <c r="L106" s="6">
        <v>1</v>
      </c>
      <c r="M106" s="6">
        <v>477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01331</v>
      </c>
      <c r="B107" s="2">
        <v>112</v>
      </c>
      <c r="C107" s="10" t="str">
        <f ca="1">VLOOKUP($B107,OFFSET([2]gachas!$A$2,0,0,COUNTA([2]gachas!$A:$A),MATCH(C$1,[2]gachas!$1:$1,0)-MATCH($B$1,[2]gachas!$1:$1,0)+1),MATCH(C$1,[2]gachas!$1:$1,0)-MATCH($B$1,[2]gachas!$1:$1,0)+1,FALSE)</f>
        <v>ピックアップ02(沖田) あと少し</v>
      </c>
      <c r="D107" s="6">
        <v>0</v>
      </c>
      <c r="E107" s="7">
        <v>133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迅雷の刀剣 ハヤト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4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yellow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6">
        <v>477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01351</v>
      </c>
      <c r="B108" s="2">
        <v>112</v>
      </c>
      <c r="C108" s="10" t="str">
        <f ca="1">VLOOKUP($B108,OFFSET([2]gachas!$A$2,0,0,COUNTA([2]gachas!$A:$A),MATCH(C$1,[2]gachas!$1:$1,0)-MATCH($B$1,[2]gachas!$1:$1,0)+1),MATCH(C$1,[2]gachas!$1:$1,0)-MATCH($B$1,[2]gachas!$1:$1,0)+1,FALSE)</f>
        <v>ピックアップ02(沖田) あと少し</v>
      </c>
      <c r="D108" s="6">
        <v>0</v>
      </c>
      <c r="E108" s="7">
        <v>135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京の炎華夕霧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4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red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6">
        <v>477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01371</v>
      </c>
      <c r="B109" s="2">
        <v>112</v>
      </c>
      <c r="C109" s="10" t="str">
        <f ca="1">VLOOKUP($B109,OFFSET([2]gachas!$A$2,0,0,COUNTA([2]gachas!$A:$A),MATCH(C$1,[2]gachas!$1:$1,0)-MATCH($B$1,[2]gachas!$1:$1,0)+1),MATCH(C$1,[2]gachas!$1:$1,0)-MATCH($B$1,[2]gachas!$1:$1,0)+1,FALSE)</f>
        <v>ピックアップ02(沖田) あと少し</v>
      </c>
      <c r="D109" s="6">
        <v>0</v>
      </c>
      <c r="E109" s="7">
        <v>137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清福の仕立屋 チハヤ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4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green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6">
        <v>1</v>
      </c>
      <c r="M109" s="6">
        <v>477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01391</v>
      </c>
      <c r="B110" s="2">
        <v>112</v>
      </c>
      <c r="C110" s="10" t="str">
        <f ca="1">VLOOKUP($B110,OFFSET([2]gachas!$A$2,0,0,COUNTA([2]gachas!$A:$A),MATCH(C$1,[2]gachas!$1:$1,0)-MATCH($B$1,[2]gachas!$1:$1,0)+1),MATCH(C$1,[2]gachas!$1:$1,0)-MATCH($B$1,[2]gachas!$1:$1,0)+1,FALSE)</f>
        <v>ピックアップ02(沖田) あと少し</v>
      </c>
      <c r="D110" s="6">
        <v>0</v>
      </c>
      <c r="E110" s="7">
        <v>139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蒼昇刃姫 トモエ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4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blue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6">
        <v>477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01411</v>
      </c>
      <c r="B111" s="2">
        <v>112</v>
      </c>
      <c r="C111" s="10" t="str">
        <f ca="1">VLOOKUP($B111,OFFSET([2]gachas!$A$2,0,0,COUNTA([2]gachas!$A:$A),MATCH(C$1,[2]gachas!$1:$1,0)-MATCH($B$1,[2]gachas!$1:$1,0)+1),MATCH(C$1,[2]gachas!$1:$1,0)-MATCH($B$1,[2]gachas!$1:$1,0)+1,FALSE)</f>
        <v>ピックアップ02(沖田) あと少し</v>
      </c>
      <c r="D111" s="6">
        <v>0</v>
      </c>
      <c r="E111" s="7">
        <v>141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妖狐演舞 タマモ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4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yellow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アニマル</v>
      </c>
      <c r="L111" s="6">
        <v>1</v>
      </c>
      <c r="M111" s="6">
        <v>477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01431</v>
      </c>
      <c r="B112" s="2">
        <v>112</v>
      </c>
      <c r="C112" s="10" t="str">
        <f ca="1">VLOOKUP($B112,OFFSET([2]gachas!$A$2,0,0,COUNTA([2]gachas!$A:$A),MATCH(C$1,[2]gachas!$1:$1,0)-MATCH($B$1,[2]gachas!$1:$1,0)+1),MATCH(C$1,[2]gachas!$1:$1,0)-MATCH($B$1,[2]gachas!$1:$1,0)+1,FALSE)</f>
        <v>ピックアップ02(沖田) あと少し</v>
      </c>
      <c r="D112" s="6">
        <v>0</v>
      </c>
      <c r="E112" s="7">
        <v>143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深紅の死神 赤ずきん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4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red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6">
        <v>477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1"/>
        <v>01451</v>
      </c>
      <c r="B113" s="2">
        <v>112</v>
      </c>
      <c r="C113" s="10" t="str">
        <f ca="1">VLOOKUP($B113,OFFSET([2]gachas!$A$2,0,0,COUNTA([2]gachas!$A:$A),MATCH(C$1,[2]gachas!$1:$1,0)-MATCH($B$1,[2]gachas!$1:$1,0)+1),MATCH(C$1,[2]gachas!$1:$1,0)-MATCH($B$1,[2]gachas!$1:$1,0)+1,FALSE)</f>
        <v>ピックアップ02(沖田) あと少し</v>
      </c>
      <c r="D113" s="6">
        <v>0</v>
      </c>
      <c r="E113" s="7">
        <v>145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魔性妖艶 かぐや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4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green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6">
        <v>477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1"/>
        <v>01471</v>
      </c>
      <c r="B114" s="2">
        <v>112</v>
      </c>
      <c r="C114" s="10" t="str">
        <f ca="1">VLOOKUP($B114,OFFSET([2]gachas!$A$2,0,0,COUNTA([2]gachas!$A:$A),MATCH(C$1,[2]gachas!$1:$1,0)-MATCH($B$1,[2]gachas!$1:$1,0)+1),MATCH(C$1,[2]gachas!$1:$1,0)-MATCH($B$1,[2]gachas!$1:$1,0)+1,FALSE)</f>
        <v>ピックアップ02(沖田) あと少し</v>
      </c>
      <c r="D114" s="6">
        <v>0</v>
      </c>
      <c r="E114" s="7">
        <v>147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4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blue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6">
        <v>477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1"/>
        <v>01491</v>
      </c>
      <c r="B115" s="2">
        <v>112</v>
      </c>
      <c r="C115" s="10" t="str">
        <f ca="1">VLOOKUP($B115,OFFSET([2]gachas!$A$2,0,0,COUNTA([2]gachas!$A:$A),MATCH(C$1,[2]gachas!$1:$1,0)-MATCH($B$1,[2]gachas!$1:$1,0)+1),MATCH(C$1,[2]gachas!$1:$1,0)-MATCH($B$1,[2]gachas!$1:$1,0)+1,FALSE)</f>
        <v>ピックアップ02(沖田) あと少し</v>
      </c>
      <c r="D115" s="6">
        <v>0</v>
      </c>
      <c r="E115" s="7">
        <v>149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yellow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6">
        <v>477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1"/>
        <v>01511</v>
      </c>
      <c r="B116" s="2">
        <v>112</v>
      </c>
      <c r="C116" s="10" t="str">
        <f ca="1">VLOOKUP($B116,OFFSET([2]gachas!$A$2,0,0,COUNTA([2]gachas!$A:$A),MATCH(C$1,[2]gachas!$1:$1,0)-MATCH($B$1,[2]gachas!$1:$1,0)+1),MATCH(C$1,[2]gachas!$1:$1,0)-MATCH($B$1,[2]gachas!$1:$1,0)+1,FALSE)</f>
        <v>ピックアップ02(沖田) あと少し</v>
      </c>
      <c r="D116" s="6">
        <v>0</v>
      </c>
      <c r="E116" s="7">
        <v>151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毒煙の処刑人サキ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4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red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6">
        <v>477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1"/>
        <v>01531</v>
      </c>
      <c r="B117" s="2">
        <v>112</v>
      </c>
      <c r="C117" s="10" t="str">
        <f ca="1">VLOOKUP($B117,OFFSET([2]gachas!$A$2,0,0,COUNTA([2]gachas!$A:$A),MATCH(C$1,[2]gachas!$1:$1,0)-MATCH($B$1,[2]gachas!$1:$1,0)+1),MATCH(C$1,[2]gachas!$1:$1,0)-MATCH($B$1,[2]gachas!$1:$1,0)+1,FALSE)</f>
        <v>ピックアップ02(沖田) あと少し</v>
      </c>
      <c r="D117" s="6">
        <v>0</v>
      </c>
      <c r="E117" s="7">
        <v>153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拳聖ランラン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4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green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6">
        <v>477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1"/>
        <v>01551</v>
      </c>
      <c r="B118" s="2">
        <v>112</v>
      </c>
      <c r="C118" s="10" t="str">
        <f ca="1">VLOOKUP($B118,OFFSET([2]gachas!$A$2,0,0,COUNTA([2]gachas!$A:$A),MATCH(C$1,[2]gachas!$1:$1,0)-MATCH($B$1,[2]gachas!$1:$1,0)+1),MATCH(C$1,[2]gachas!$1:$1,0)-MATCH($B$1,[2]gachas!$1:$1,0)+1,FALSE)</f>
        <v>ピックアップ02(沖田) あと少し</v>
      </c>
      <c r="D118" s="6">
        <v>0</v>
      </c>
      <c r="E118" s="7">
        <v>155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隻眼の掃除屋 ハンナ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blue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6">
        <v>477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1"/>
        <v>01571</v>
      </c>
      <c r="B119" s="2">
        <v>112</v>
      </c>
      <c r="C119" s="10" t="str">
        <f ca="1">VLOOKUP($B119,OFFSET([2]gachas!$A$2,0,0,COUNTA([2]gachas!$A:$A),MATCH(C$1,[2]gachas!$1:$1,0)-MATCH($B$1,[2]gachas!$1:$1,0)+1),MATCH(C$1,[2]gachas!$1:$1,0)-MATCH($B$1,[2]gachas!$1:$1,0)+1,FALSE)</f>
        <v>ピックアップ02(沖田) あと少し</v>
      </c>
      <c r="D119" s="6">
        <v>0</v>
      </c>
      <c r="E119" s="7">
        <v>157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雷光舞姫 エレナ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4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yellow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6">
        <v>1</v>
      </c>
      <c r="M119" s="6">
        <v>477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1"/>
        <v>01591</v>
      </c>
      <c r="B120" s="2">
        <v>112</v>
      </c>
      <c r="C120" s="10" t="str">
        <f ca="1">VLOOKUP($B120,OFFSET([2]gachas!$A$2,0,0,COUNTA([2]gachas!$A:$A),MATCH(C$1,[2]gachas!$1:$1,0)-MATCH($B$1,[2]gachas!$1:$1,0)+1),MATCH(C$1,[2]gachas!$1:$1,0)-MATCH($B$1,[2]gachas!$1:$1,0)+1,FALSE)</f>
        <v>ピックアップ02(沖田) あと少し</v>
      </c>
      <c r="D120" s="6">
        <v>0</v>
      </c>
      <c r="E120" s="7">
        <v>159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4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red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6">
        <v>1</v>
      </c>
      <c r="M120" s="6">
        <v>477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1"/>
        <v>01611</v>
      </c>
      <c r="B121" s="2">
        <v>112</v>
      </c>
      <c r="C121" s="10" t="str">
        <f ca="1">VLOOKUP($B121,OFFSET([2]gachas!$A$2,0,0,COUNTA([2]gachas!$A:$A),MATCH(C$1,[2]gachas!$1:$1,0)-MATCH($B$1,[2]gachas!$1:$1,0)+1),MATCH(C$1,[2]gachas!$1:$1,0)-MATCH($B$1,[2]gachas!$1:$1,0)+1,FALSE)</f>
        <v>ピックアップ02(沖田) あと少し</v>
      </c>
      <c r="D121" s="6">
        <v>0</v>
      </c>
      <c r="E121" s="7">
        <v>161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咆哮の先導者 クリエ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green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6">
        <v>477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1"/>
        <v>01631</v>
      </c>
      <c r="B122" s="2">
        <v>112</v>
      </c>
      <c r="C122" s="10" t="str">
        <f ca="1">VLOOKUP($B122,OFFSET([2]gachas!$A$2,0,0,COUNTA([2]gachas!$A:$A),MATCH(C$1,[2]gachas!$1:$1,0)-MATCH($B$1,[2]gachas!$1:$1,0)+1),MATCH(C$1,[2]gachas!$1:$1,0)-MATCH($B$1,[2]gachas!$1:$1,0)+1,FALSE)</f>
        <v>ピックアップ02(沖田) あと少し</v>
      </c>
      <c r="D122" s="6">
        <v>0</v>
      </c>
      <c r="E122" s="7">
        <v>163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冷酷な狂嬢 クララ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PremiumW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4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blue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ヒューマン</v>
      </c>
      <c r="L122" s="6">
        <v>1</v>
      </c>
      <c r="M122" s="6">
        <v>477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1"/>
        <v>01651</v>
      </c>
      <c r="B123" s="2">
        <v>112</v>
      </c>
      <c r="C123" s="10" t="str">
        <f ca="1">VLOOKUP($B123,OFFSET([2]gachas!$A$2,0,0,COUNTA([2]gachas!$A:$A),MATCH(C$1,[2]gachas!$1:$1,0)-MATCH($B$1,[2]gachas!$1:$1,0)+1),MATCH(C$1,[2]gachas!$1:$1,0)-MATCH($B$1,[2]gachas!$1:$1,0)+1,FALSE)</f>
        <v>ピックアップ02(沖田) あと少し</v>
      </c>
      <c r="D123" s="6">
        <v>0</v>
      </c>
      <c r="E123" s="7">
        <v>165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PremiumW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4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yellow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ヒューマン</v>
      </c>
      <c r="L123" s="6">
        <v>1</v>
      </c>
      <c r="M123" s="6">
        <v>477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1"/>
        <v>01671</v>
      </c>
      <c r="B124" s="2">
        <v>112</v>
      </c>
      <c r="C124" s="10" t="str">
        <f ca="1">VLOOKUP($B124,OFFSET([2]gachas!$A$2,0,0,COUNTA([2]gachas!$A:$A),MATCH(C$1,[2]gachas!$1:$1,0)-MATCH($B$1,[2]gachas!$1:$1,0)+1),MATCH(C$1,[2]gachas!$1:$1,0)-MATCH($B$1,[2]gachas!$1:$1,0)+1,FALSE)</f>
        <v>ピックアップ02(沖田) あと少し</v>
      </c>
      <c r="D124" s="6">
        <v>0</v>
      </c>
      <c r="E124" s="7">
        <v>167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逆徒 ベリアル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red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6">
        <v>1</v>
      </c>
      <c r="M124" s="6">
        <v>477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1"/>
        <v>01701</v>
      </c>
      <c r="B125" s="2">
        <v>112</v>
      </c>
      <c r="C125" s="10" t="str">
        <f ca="1">VLOOKUP($B125,OFFSET([2]gachas!$A$2,0,0,COUNTA([2]gachas!$A:$A),MATCH(C$1,[2]gachas!$1:$1,0)-MATCH($B$1,[2]gachas!$1:$1,0)+1),MATCH(C$1,[2]gachas!$1:$1,0)-MATCH($B$1,[2]gachas!$1:$1,0)+1,FALSE)</f>
        <v>ピックアップ02(沖田) あと少し</v>
      </c>
      <c r="D125" s="6">
        <v>0</v>
      </c>
      <c r="E125" s="7">
        <v>170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識徒 オセ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4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green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6">
        <v>477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1"/>
        <v>01731</v>
      </c>
      <c r="B126" s="2">
        <v>112</v>
      </c>
      <c r="C126" s="10" t="str">
        <f ca="1">VLOOKUP($B126,OFFSET([2]gachas!$A$2,0,0,COUNTA([2]gachas!$A:$A),MATCH(C$1,[2]gachas!$1:$1,0)-MATCH($B$1,[2]gachas!$1:$1,0)+1),MATCH(C$1,[2]gachas!$1:$1,0)-MATCH($B$1,[2]gachas!$1:$1,0)+1,FALSE)</f>
        <v>ピックアップ02(沖田) あと少し</v>
      </c>
      <c r="D126" s="6">
        <v>0</v>
      </c>
      <c r="E126" s="7">
        <v>173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公爵 フォルネウス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4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blue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6">
        <v>1</v>
      </c>
      <c r="M126" s="6">
        <v>477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1"/>
        <v>01761</v>
      </c>
      <c r="B127" s="2">
        <v>112</v>
      </c>
      <c r="C127" s="10" t="str">
        <f ca="1">VLOOKUP($B127,OFFSET([2]gachas!$A$2,0,0,COUNTA([2]gachas!$A:$A),MATCH(C$1,[2]gachas!$1:$1,0)-MATCH($B$1,[2]gachas!$1:$1,0)+1),MATCH(C$1,[2]gachas!$1:$1,0)-MATCH($B$1,[2]gachas!$1:$1,0)+1,FALSE)</f>
        <v>ピックアップ02(沖田) あと少し</v>
      </c>
      <c r="D127" s="6">
        <v>0</v>
      </c>
      <c r="E127" s="7">
        <v>176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異教徒 バフォメット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yellow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6">
        <v>1</v>
      </c>
      <c r="M127" s="6">
        <v>477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1"/>
        <v>01791</v>
      </c>
      <c r="B128" s="2">
        <v>112</v>
      </c>
      <c r="C128" s="10" t="str">
        <f ca="1">VLOOKUP($B128,OFFSET([2]gachas!$A$2,0,0,COUNTA([2]gachas!$A:$A),MATCH(C$1,[2]gachas!$1:$1,0)-MATCH($B$1,[2]gachas!$1:$1,0)+1),MATCH(C$1,[2]gachas!$1:$1,0)-MATCH($B$1,[2]gachas!$1:$1,0)+1,FALSE)</f>
        <v>ピックアップ02(沖田) あと少し</v>
      </c>
      <c r="D128" s="6">
        <v>0</v>
      </c>
      <c r="E128" s="7">
        <v>179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番犬 ケルベロス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4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red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6">
        <v>1</v>
      </c>
      <c r="M128" s="6">
        <v>477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1"/>
        <v>01821</v>
      </c>
      <c r="B129" s="2">
        <v>112</v>
      </c>
      <c r="C129" s="10" t="str">
        <f ca="1">VLOOKUP($B129,OFFSET([2]gachas!$A$2,0,0,COUNTA([2]gachas!$A:$A),MATCH(C$1,[2]gachas!$1:$1,0)-MATCH($B$1,[2]gachas!$1:$1,0)+1),MATCH(C$1,[2]gachas!$1:$1,0)-MATCH($B$1,[2]gachas!$1:$1,0)+1,FALSE)</f>
        <v>ピックアップ02(沖田) あと少し</v>
      </c>
      <c r="D129" s="6">
        <v>0</v>
      </c>
      <c r="E129" s="7">
        <v>182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放蕩者 ベヒモス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4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green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6">
        <v>477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1"/>
        <v>01851</v>
      </c>
      <c r="B130" s="2">
        <v>112</v>
      </c>
      <c r="C130" s="10" t="str">
        <f ca="1">VLOOKUP($B130,OFFSET([2]gachas!$A$2,0,0,COUNTA([2]gachas!$A:$A),MATCH(C$1,[2]gachas!$1:$1,0)-MATCH($B$1,[2]gachas!$1:$1,0)+1),MATCH(C$1,[2]gachas!$1:$1,0)-MATCH($B$1,[2]gachas!$1:$1,0)+1,FALSE)</f>
        <v>ピックアップ02(沖田) あと少し</v>
      </c>
      <c r="D130" s="6">
        <v>0</v>
      </c>
      <c r="E130" s="7">
        <v>185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海姫 クラーケン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blue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アニマル</v>
      </c>
      <c r="L130" s="6">
        <v>1</v>
      </c>
      <c r="M130" s="6">
        <v>477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1"/>
        <v>01881</v>
      </c>
      <c r="B131" s="2">
        <v>112</v>
      </c>
      <c r="C131" s="10" t="str">
        <f ca="1">VLOOKUP($B131,OFFSET([2]gachas!$A$2,0,0,COUNTA([2]gachas!$A:$A),MATCH(C$1,[2]gachas!$1:$1,0)-MATCH($B$1,[2]gachas!$1:$1,0)+1),MATCH(C$1,[2]gachas!$1:$1,0)-MATCH($B$1,[2]gachas!$1:$1,0)+1,FALSE)</f>
        <v>ピックアップ02(沖田) あと少し</v>
      </c>
      <c r="D131" s="6">
        <v>0</v>
      </c>
      <c r="E131" s="7">
        <v>188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猛禽 ホルス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4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yellow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アニマル</v>
      </c>
      <c r="L131" s="6">
        <v>1</v>
      </c>
      <c r="M131" s="6">
        <v>477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1"/>
        <v>01911</v>
      </c>
      <c r="B132" s="2">
        <v>112</v>
      </c>
      <c r="C132" s="10" t="str">
        <f ca="1">VLOOKUP($B132,OFFSET([2]gachas!$A$2,0,0,COUNTA([2]gachas!$A:$A),MATCH(C$1,[2]gachas!$1:$1,0)-MATCH($B$1,[2]gachas!$1:$1,0)+1),MATCH(C$1,[2]gachas!$1:$1,0)-MATCH($B$1,[2]gachas!$1:$1,0)+1,FALSE)</f>
        <v>ピックアップ02(沖田) あと少し</v>
      </c>
      <c r="D132" s="6">
        <v>0</v>
      </c>
      <c r="E132" s="7">
        <v>191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始祖 卑弥呼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4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red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6">
        <v>477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ref="A133:A169" si="2">D133&amp;E133&amp;L133</f>
        <v>01941</v>
      </c>
      <c r="B133" s="2">
        <v>112</v>
      </c>
      <c r="C133" s="10" t="str">
        <f ca="1">VLOOKUP($B133,OFFSET([2]gachas!$A$2,0,0,COUNTA([2]gachas!$A:$A),MATCH(C$1,[2]gachas!$1:$1,0)-MATCH($B$1,[2]gachas!$1:$1,0)+1),MATCH(C$1,[2]gachas!$1:$1,0)-MATCH($B$1,[2]gachas!$1:$1,0)+1,FALSE)</f>
        <v>ピックアップ02(沖田) あと少し</v>
      </c>
      <c r="D133" s="6">
        <v>0</v>
      </c>
      <c r="E133" s="7">
        <v>194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green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6">
        <v>477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2"/>
        <v>01971</v>
      </c>
      <c r="B134" s="2">
        <v>112</v>
      </c>
      <c r="C134" s="10" t="str">
        <f ca="1">VLOOKUP($B134,OFFSET([2]gachas!$A$2,0,0,COUNTA([2]gachas!$A:$A),MATCH(C$1,[2]gachas!$1:$1,0)-MATCH($B$1,[2]gachas!$1:$1,0)+1),MATCH(C$1,[2]gachas!$1:$1,0)-MATCH($B$1,[2]gachas!$1:$1,0)+1,FALSE)</f>
        <v>ピックアップ02(沖田) あと少し</v>
      </c>
      <c r="D134" s="6">
        <v>0</v>
      </c>
      <c r="E134" s="7">
        <v>197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鉄腕 アキレス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4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yellow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ヒューマン</v>
      </c>
      <c r="L134" s="6">
        <v>1</v>
      </c>
      <c r="M134" s="6">
        <v>477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2"/>
        <v>02001</v>
      </c>
      <c r="B135" s="2">
        <v>112</v>
      </c>
      <c r="C135" s="10" t="str">
        <f ca="1">VLOOKUP($B135,OFFSET([2]gachas!$A$2,0,0,COUNTA([2]gachas!$A:$A),MATCH(C$1,[2]gachas!$1:$1,0)-MATCH($B$1,[2]gachas!$1:$1,0)+1),MATCH(C$1,[2]gachas!$1:$1,0)-MATCH($B$1,[2]gachas!$1:$1,0)+1,FALSE)</f>
        <v>ピックアップ02(沖田) あと少し</v>
      </c>
      <c r="D135" s="6">
        <v>0</v>
      </c>
      <c r="E135" s="7">
        <v>200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4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blue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ヒューマン</v>
      </c>
      <c r="L135" s="6">
        <v>1</v>
      </c>
      <c r="M135" s="6">
        <v>477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2"/>
        <v>02031</v>
      </c>
      <c r="B136" s="2">
        <v>112</v>
      </c>
      <c r="C136" s="10" t="str">
        <f ca="1">VLOOKUP($B136,OFFSET([2]gachas!$A$2,0,0,COUNTA([2]gachas!$A:$A),MATCH(C$1,[2]gachas!$1:$1,0)-MATCH($B$1,[2]gachas!$1:$1,0)+1),MATCH(C$1,[2]gachas!$1:$1,0)-MATCH($B$1,[2]gachas!$1:$1,0)+1,FALSE)</f>
        <v>ピックアップ02(沖田) あと少し</v>
      </c>
      <c r="D136" s="6">
        <v>0</v>
      </c>
      <c r="E136" s="7">
        <v>203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焔神 プロメテウス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red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6">
        <v>1</v>
      </c>
      <c r="M136" s="6">
        <v>477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2"/>
        <v>02061</v>
      </c>
      <c r="B137" s="2">
        <v>112</v>
      </c>
      <c r="C137" s="10" t="str">
        <f ca="1">VLOOKUP($B137,OFFSET([2]gachas!$A$2,0,0,COUNTA([2]gachas!$A:$A),MATCH(C$1,[2]gachas!$1:$1,0)-MATCH($B$1,[2]gachas!$1:$1,0)+1),MATCH(C$1,[2]gachas!$1:$1,0)-MATCH($B$1,[2]gachas!$1:$1,0)+1,FALSE)</f>
        <v>ピックアップ02(沖田) あと少し</v>
      </c>
      <c r="D137" s="6">
        <v>0</v>
      </c>
      <c r="E137" s="7">
        <v>206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美神 アフロディーテ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4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green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6">
        <v>477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2"/>
        <v>02091</v>
      </c>
      <c r="B138" s="2">
        <v>112</v>
      </c>
      <c r="C138" s="10" t="str">
        <f ca="1">VLOOKUP($B138,OFFSET([2]gachas!$A$2,0,0,COUNTA([2]gachas!$A:$A),MATCH(C$1,[2]gachas!$1:$1,0)-MATCH($B$1,[2]gachas!$1:$1,0)+1),MATCH(C$1,[2]gachas!$1:$1,0)-MATCH($B$1,[2]gachas!$1:$1,0)+1,FALSE)</f>
        <v>ピックアップ02(沖田) あと少し</v>
      </c>
      <c r="D138" s="6">
        <v>0</v>
      </c>
      <c r="E138" s="7">
        <v>209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孤神 テティス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blue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6">
        <v>477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2"/>
        <v>02121</v>
      </c>
      <c r="B139" s="2">
        <v>112</v>
      </c>
      <c r="C139" s="10" t="str">
        <f ca="1">VLOOKUP($B139,OFFSET([2]gachas!$A$2,0,0,COUNTA([2]gachas!$A:$A),MATCH(C$1,[2]gachas!$1:$1,0)-MATCH($B$1,[2]gachas!$1:$1,0)+1),MATCH(C$1,[2]gachas!$1:$1,0)-MATCH($B$1,[2]gachas!$1:$1,0)+1,FALSE)</f>
        <v>ピックアップ02(沖田) あと少し</v>
      </c>
      <c r="D139" s="6">
        <v>0</v>
      </c>
      <c r="E139" s="7">
        <v>212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星神 アストライアー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yellow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ゴッド</v>
      </c>
      <c r="L139" s="6">
        <v>1</v>
      </c>
      <c r="M139" s="6">
        <v>477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2"/>
        <v>02151</v>
      </c>
      <c r="B140" s="2">
        <v>112</v>
      </c>
      <c r="C140" s="10" t="str">
        <f ca="1">VLOOKUP($B140,OFFSET([2]gachas!$A$2,0,0,COUNTA([2]gachas!$A:$A),MATCH(C$1,[2]gachas!$1:$1,0)-MATCH($B$1,[2]gachas!$1:$1,0)+1),MATCH(C$1,[2]gachas!$1:$1,0)-MATCH($B$1,[2]gachas!$1:$1,0)+1,FALSE)</f>
        <v>ピックアップ02(沖田) あと少し</v>
      </c>
      <c r="D140" s="6">
        <v>0</v>
      </c>
      <c r="E140" s="7">
        <v>215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死導者 アズラエル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red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6">
        <v>1</v>
      </c>
      <c r="M140" s="6">
        <v>477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2"/>
        <v>02181</v>
      </c>
      <c r="B141" s="2">
        <v>112</v>
      </c>
      <c r="C141" s="10" t="str">
        <f ca="1">VLOOKUP($B141,OFFSET([2]gachas!$A$2,0,0,COUNTA([2]gachas!$A:$A),MATCH(C$1,[2]gachas!$1:$1,0)-MATCH($B$1,[2]gachas!$1:$1,0)+1),MATCH(C$1,[2]gachas!$1:$1,0)-MATCH($B$1,[2]gachas!$1:$1,0)+1,FALSE)</f>
        <v>ピックアップ02(沖田) あと少し</v>
      </c>
      <c r="D141" s="6">
        <v>0</v>
      </c>
      <c r="E141" s="7">
        <v>218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聖蛇 ケツァクアトル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green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ドラゴン</v>
      </c>
      <c r="L141" s="6">
        <v>1</v>
      </c>
      <c r="M141" s="6">
        <v>477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2"/>
        <v>02211</v>
      </c>
      <c r="B142" s="2">
        <v>112</v>
      </c>
      <c r="C142" s="10" t="str">
        <f ca="1">VLOOKUP($B142,OFFSET([2]gachas!$A$2,0,0,COUNTA([2]gachas!$A:$A),MATCH(C$1,[2]gachas!$1:$1,0)-MATCH($B$1,[2]gachas!$1:$1,0)+1),MATCH(C$1,[2]gachas!$1:$1,0)-MATCH($B$1,[2]gachas!$1:$1,0)+1,FALSE)</f>
        <v>ピックアップ02(沖田) あと少し</v>
      </c>
      <c r="D142" s="6">
        <v>0</v>
      </c>
      <c r="E142" s="7">
        <v>221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宰相 ルキフグス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PremiumN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blue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6">
        <v>477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2"/>
        <v>02241</v>
      </c>
      <c r="B143" s="2">
        <v>112</v>
      </c>
      <c r="C143" s="10" t="str">
        <f ca="1">VLOOKUP($B143,OFFSET([2]gachas!$A$2,0,0,COUNTA([2]gachas!$A:$A),MATCH(C$1,[2]gachas!$1:$1,0)-MATCH($B$1,[2]gachas!$1:$1,0)+1),MATCH(C$1,[2]gachas!$1:$1,0)-MATCH($B$1,[2]gachas!$1:$1,0)+1,FALSE)</f>
        <v>ピックアップ02(沖田) あと少し</v>
      </c>
      <c r="D143" s="6">
        <v>0</v>
      </c>
      <c r="E143" s="7">
        <v>224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巨腕 ヘラクレス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PremiumN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4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yellow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6">
        <v>1</v>
      </c>
      <c r="M143" s="6">
        <v>477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2"/>
        <v>02271</v>
      </c>
      <c r="B144" s="2">
        <v>112</v>
      </c>
      <c r="C144" s="10" t="str">
        <f ca="1">VLOOKUP($B144,OFFSET([2]gachas!$A$2,0,0,COUNTA([2]gachas!$A:$A),MATCH(C$1,[2]gachas!$1:$1,0)-MATCH($B$1,[2]gachas!$1:$1,0)+1),MATCH(C$1,[2]gachas!$1:$1,0)-MATCH($B$1,[2]gachas!$1:$1,0)+1,FALSE)</f>
        <v>ピックアップ02(沖田) あと少し</v>
      </c>
      <c r="D144" s="6">
        <v>0</v>
      </c>
      <c r="E144" s="7">
        <v>227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滅弾 アレス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red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ゴッド</v>
      </c>
      <c r="L144" s="6">
        <v>1</v>
      </c>
      <c r="M144" s="6">
        <v>436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2"/>
        <v>02301</v>
      </c>
      <c r="B145" s="2">
        <v>112</v>
      </c>
      <c r="C145" s="10" t="str">
        <f ca="1">VLOOKUP($B145,OFFSET([2]gachas!$A$2,0,0,COUNTA([2]gachas!$A:$A),MATCH(C$1,[2]gachas!$1:$1,0)-MATCH($B$1,[2]gachas!$1:$1,0)+1),MATCH(C$1,[2]gachas!$1:$1,0)-MATCH($B$1,[2]gachas!$1:$1,0)+1,FALSE)</f>
        <v>ピックアップ02(沖田) あと少し</v>
      </c>
      <c r="D145" s="29">
        <v>0</v>
      </c>
      <c r="E145" s="30">
        <v>230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毒銃 ヨルムンガンド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4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green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ドラゴン</v>
      </c>
      <c r="L145" s="29">
        <v>1</v>
      </c>
      <c r="M145" s="29">
        <v>1308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2"/>
        <v>02331</v>
      </c>
      <c r="B146" s="2">
        <v>112</v>
      </c>
      <c r="C146" s="10" t="str">
        <f ca="1">VLOOKUP($B146,OFFSET([2]gachas!$A$2,0,0,COUNTA([2]gachas!$A:$A),MATCH(C$1,[2]gachas!$1:$1,0)-MATCH($B$1,[2]gachas!$1:$1,0)+1),MATCH(C$1,[2]gachas!$1:$1,0)-MATCH($B$1,[2]gachas!$1:$1,0)+1,FALSE)</f>
        <v>ピックアップ02(沖田) あと少し</v>
      </c>
      <c r="D146" s="6">
        <v>0</v>
      </c>
      <c r="E146" s="7">
        <v>233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遂行 パーシヴァル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blue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6">
        <v>436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2"/>
        <v>02361</v>
      </c>
      <c r="B147" s="2">
        <v>112</v>
      </c>
      <c r="C147" s="10" t="str">
        <f ca="1">VLOOKUP($B147,OFFSET([2]gachas!$A$2,0,0,COUNTA([2]gachas!$A:$A),MATCH(C$1,[2]gachas!$1:$1,0)-MATCH($B$1,[2]gachas!$1:$1,0)+1),MATCH(C$1,[2]gachas!$1:$1,0)-MATCH($B$1,[2]gachas!$1:$1,0)+1,FALSE)</f>
        <v>ピックアップ02(沖田) あと少し</v>
      </c>
      <c r="D147" s="6">
        <v>0</v>
      </c>
      <c r="E147" s="7">
        <v>236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神産 イザナミ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yellow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ゴッド</v>
      </c>
      <c r="L147" s="6">
        <v>1</v>
      </c>
      <c r="M147" s="6">
        <v>436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02311</v>
      </c>
      <c r="B148" s="2">
        <v>112</v>
      </c>
      <c r="C148" s="10" t="str">
        <f ca="1">VLOOKUP($B148,OFFSET([2]gachas!$A$2,0,0,COUNTA([2]gachas!$A:$A),MATCH(C$1,[2]gachas!$1:$1,0)-MATCH($B$1,[2]gachas!$1:$1,0)+1),MATCH(C$1,[2]gachas!$1:$1,0)-MATCH($B$1,[2]gachas!$1:$1,0)+1,FALSE)</f>
        <v>ピックアップ02(沖田) あと少し</v>
      </c>
      <c r="D148" s="29">
        <v>0</v>
      </c>
      <c r="E148" s="30">
        <v>231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5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green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ドラゴン</v>
      </c>
      <c r="L148" s="29">
        <v>1</v>
      </c>
      <c r="M148" s="29">
        <v>1962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02381</v>
      </c>
      <c r="B149" s="2">
        <v>112</v>
      </c>
      <c r="C149" s="10" t="str">
        <f ca="1">VLOOKUP($B149,OFFSET([2]gachas!$A$2,0,0,COUNTA([2]gachas!$A:$A),MATCH(C$1,[2]gachas!$1:$1,0)-MATCH($B$1,[2]gachas!$1:$1,0)+1),MATCH(C$1,[2]gachas!$1:$1,0)-MATCH($B$1,[2]gachas!$1:$1,0)+1,FALSE)</f>
        <v>ピックアップ02(沖田) あと少し</v>
      </c>
      <c r="D149" s="6">
        <v>0</v>
      </c>
      <c r="E149" s="19">
        <v>238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ウリエル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PremiumS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3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red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マシン</v>
      </c>
      <c r="L149" s="6">
        <v>1</v>
      </c>
      <c r="M149" s="6">
        <v>929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02391</v>
      </c>
      <c r="B150" s="2">
        <v>112</v>
      </c>
      <c r="C150" s="10" t="str">
        <f ca="1">VLOOKUP($B150,OFFSET([2]gachas!$A$2,0,0,COUNTA([2]gachas!$A:$A),MATCH(C$1,[2]gachas!$1:$1,0)-MATCH($B$1,[2]gachas!$1:$1,0)+1),MATCH(C$1,[2]gachas!$1:$1,0)-MATCH($B$1,[2]gachas!$1:$1,0)+1,FALSE)</f>
        <v>ピックアップ02(沖田) あと少し</v>
      </c>
      <c r="D150" s="6">
        <v>0</v>
      </c>
      <c r="E150" s="19">
        <v>239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豪炎の天使 ウリエル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PremiumS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マシン</v>
      </c>
      <c r="L150" s="6">
        <v>1</v>
      </c>
      <c r="M150" s="45">
        <v>436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02411</v>
      </c>
      <c r="B151" s="2">
        <v>112</v>
      </c>
      <c r="C151" s="10" t="str">
        <f ca="1">VLOOKUP($B151,OFFSET([2]gachas!$A$2,0,0,COUNTA([2]gachas!$A:$A),MATCH(C$1,[2]gachas!$1:$1,0)-MATCH($B$1,[2]gachas!$1:$1,0)+1),MATCH(C$1,[2]gachas!$1:$1,0)-MATCH($B$1,[2]gachas!$1:$1,0)+1,FALSE)</f>
        <v>ピックアップ02(沖田) あと少し</v>
      </c>
      <c r="D151" s="6">
        <v>0</v>
      </c>
      <c r="E151" s="19">
        <v>241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ガブリエル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PremiumS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3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マシン</v>
      </c>
      <c r="L151" s="6">
        <v>1</v>
      </c>
      <c r="M151" s="6">
        <v>929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02421</v>
      </c>
      <c r="B152" s="2">
        <v>112</v>
      </c>
      <c r="C152" s="10" t="str">
        <f ca="1">VLOOKUP($B152,OFFSET([2]gachas!$A$2,0,0,COUNTA([2]gachas!$A:$A),MATCH(C$1,[2]gachas!$1:$1,0)-MATCH($B$1,[2]gachas!$1:$1,0)+1),MATCH(C$1,[2]gachas!$1:$1,0)-MATCH($B$1,[2]gachas!$1:$1,0)+1,FALSE)</f>
        <v>ピックアップ02(沖田) あと少し</v>
      </c>
      <c r="D152" s="6">
        <v>0</v>
      </c>
      <c r="E152" s="19">
        <v>242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PremiumS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green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マシン</v>
      </c>
      <c r="L152" s="6">
        <v>1</v>
      </c>
      <c r="M152" s="45">
        <v>436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02441</v>
      </c>
      <c r="B153" s="2">
        <v>112</v>
      </c>
      <c r="C153" s="10" t="str">
        <f ca="1">VLOOKUP($B153,OFFSET([2]gachas!$A$2,0,0,COUNTA([2]gachas!$A:$A),MATCH(C$1,[2]gachas!$1:$1,0)-MATCH($B$1,[2]gachas!$1:$1,0)+1),MATCH(C$1,[2]gachas!$1:$1,0)-MATCH($B$1,[2]gachas!$1:$1,0)+1,FALSE)</f>
        <v>ピックアップ02(沖田) あと少し</v>
      </c>
      <c r="D153" s="6">
        <v>0</v>
      </c>
      <c r="E153" s="19">
        <v>244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ラファエル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3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blue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マシン</v>
      </c>
      <c r="L153" s="6">
        <v>1</v>
      </c>
      <c r="M153" s="6">
        <v>929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2"/>
        <v>02451</v>
      </c>
      <c r="B154" s="2">
        <v>112</v>
      </c>
      <c r="C154" s="10" t="str">
        <f ca="1">VLOOKUP($B154,OFFSET([2]gachas!$A$2,0,0,COUNTA([2]gachas!$A:$A),MATCH(C$1,[2]gachas!$1:$1,0)-MATCH($B$1,[2]gachas!$1:$1,0)+1),MATCH(C$1,[2]gachas!$1:$1,0)-MATCH($B$1,[2]gachas!$1:$1,0)+1,FALSE)</f>
        <v>ピックアップ02(沖田) あと少し</v>
      </c>
      <c r="D154" s="6">
        <v>0</v>
      </c>
      <c r="E154" s="19">
        <v>245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blue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マシン</v>
      </c>
      <c r="L154" s="6">
        <v>1</v>
      </c>
      <c r="M154" s="45">
        <v>436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si="2"/>
        <v>02481</v>
      </c>
      <c r="B155" s="2">
        <v>112</v>
      </c>
      <c r="C155" s="10" t="str">
        <f ca="1">VLOOKUP($B155,OFFSET([2]gachas!$A$2,0,0,COUNTA([2]gachas!$A:$A),MATCH(C$1,[2]gachas!$1:$1,0)-MATCH($B$1,[2]gachas!$1:$1,0)+1),MATCH(C$1,[2]gachas!$1:$1,0)-MATCH($B$1,[2]gachas!$1:$1,0)+1,FALSE)</f>
        <v>ピックアップ02(沖田) あと少し</v>
      </c>
      <c r="D155" s="29">
        <v>0</v>
      </c>
      <c r="E155" s="36">
        <v>248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彩電の天使 ミカエル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yellow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マシン</v>
      </c>
      <c r="L155" s="29">
        <v>1</v>
      </c>
      <c r="M155" s="29">
        <v>1308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s="26" customFormat="1" ht="21" customHeight="1" thickBot="1">
      <c r="A156" s="22" t="str">
        <f t="shared" si="2"/>
        <v>02491</v>
      </c>
      <c r="B156" s="2">
        <v>112</v>
      </c>
      <c r="C156" s="10" t="str">
        <f ca="1">VLOOKUP($B156,OFFSET([2]gachas!$A$2,0,0,COUNTA([2]gachas!$A:$A),MATCH(C$1,[2]gachas!$1:$1,0)-MATCH($B$1,[2]gachas!$1:$1,0)+1),MATCH(C$1,[2]gachas!$1:$1,0)-MATCH($B$1,[2]gachas!$1:$1,0)+1,FALSE)</f>
        <v>ピックアップ02(沖田) あと少し</v>
      </c>
      <c r="D156" s="29">
        <v>0</v>
      </c>
      <c r="E156" s="36">
        <v>249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PremiumS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5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yellow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マシン</v>
      </c>
      <c r="L156" s="29">
        <v>1</v>
      </c>
      <c r="M156" s="29">
        <v>1962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s="26" customFormat="1" ht="21" customHeight="1" thickBot="1">
      <c r="A157" s="22" t="str">
        <f t="shared" si="2"/>
        <v>02501</v>
      </c>
      <c r="B157" s="2">
        <v>112</v>
      </c>
      <c r="C157" s="10" t="str">
        <f ca="1">VLOOKUP($B157,OFFSET([2]gachas!$A$2,0,0,COUNTA([2]gachas!$A:$A),MATCH(C$1,[2]gachas!$1:$1,0)-MATCH($B$1,[2]gachas!$1:$1,0)+1),MATCH(C$1,[2]gachas!$1:$1,0)-MATCH($B$1,[2]gachas!$1:$1,0)+1,FALSE)</f>
        <v>ピックアップ02(沖田) あと少し</v>
      </c>
      <c r="D157" s="6">
        <v>0</v>
      </c>
      <c r="E157" s="7">
        <v>250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マンモン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PremiumS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3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red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ゴッド</v>
      </c>
      <c r="L157" s="6">
        <v>1</v>
      </c>
      <c r="M157" s="6">
        <v>929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 thickBot="1">
      <c r="A158" s="22" t="str">
        <f t="shared" si="2"/>
        <v>02511</v>
      </c>
      <c r="B158" s="2">
        <v>112</v>
      </c>
      <c r="C158" s="10" t="str">
        <f ca="1">VLOOKUP($B158,OFFSET([2]gachas!$A$2,0,0,COUNTA([2]gachas!$A:$A),MATCH(C$1,[2]gachas!$1:$1,0)-MATCH($B$1,[2]gachas!$1:$1,0)+1),MATCH(C$1,[2]gachas!$1:$1,0)-MATCH($B$1,[2]gachas!$1:$1,0)+1,FALSE)</f>
        <v>ピックアップ02(沖田) あと少し</v>
      </c>
      <c r="D158" s="6">
        <v>0</v>
      </c>
      <c r="E158" s="7">
        <v>251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強欲 マンモン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PremiumS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ゴッド</v>
      </c>
      <c r="L158" s="6">
        <v>1</v>
      </c>
      <c r="M158" s="45">
        <v>436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 thickBot="1">
      <c r="A159" s="22" t="str">
        <f t="shared" si="2"/>
        <v>02531</v>
      </c>
      <c r="B159" s="2">
        <v>112</v>
      </c>
      <c r="C159" s="10" t="str">
        <f ca="1">VLOOKUP($B159,OFFSET([2]gachas!$A$2,0,0,COUNTA([2]gachas!$A:$A),MATCH(C$1,[2]gachas!$1:$1,0)-MATCH($B$1,[2]gachas!$1:$1,0)+1),MATCH(C$1,[2]gachas!$1:$1,0)-MATCH($B$1,[2]gachas!$1:$1,0)+1,FALSE)</f>
        <v>ピックアップ02(沖田) あと少し</v>
      </c>
      <c r="D159" s="6">
        <v>0</v>
      </c>
      <c r="E159" s="7">
        <v>253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ベルフェゴール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PremiumS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3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ゴッド</v>
      </c>
      <c r="L159" s="6">
        <v>1</v>
      </c>
      <c r="M159" s="6">
        <v>929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 thickBot="1">
      <c r="A160" s="22" t="str">
        <f t="shared" si="2"/>
        <v>02541</v>
      </c>
      <c r="B160" s="2">
        <v>112</v>
      </c>
      <c r="C160" s="10" t="str">
        <f ca="1">VLOOKUP($B160,OFFSET([2]gachas!$A$2,0,0,COUNTA([2]gachas!$A:$A),MATCH(C$1,[2]gachas!$1:$1,0)-MATCH($B$1,[2]gachas!$1:$1,0)+1),MATCH(C$1,[2]gachas!$1:$1,0)-MATCH($B$1,[2]gachas!$1:$1,0)+1,FALSE)</f>
        <v>ピックアップ02(沖田) あと少し</v>
      </c>
      <c r="D160" s="6">
        <v>0</v>
      </c>
      <c r="E160" s="7">
        <v>254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怠惰 ベルフェゴール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PremiumS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green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ゴッド</v>
      </c>
      <c r="L160" s="6">
        <v>1</v>
      </c>
      <c r="M160" s="45">
        <v>436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 thickBot="1">
      <c r="A161" s="22" t="str">
        <f t="shared" si="2"/>
        <v>02561</v>
      </c>
      <c r="B161" s="2">
        <v>112</v>
      </c>
      <c r="C161" s="10" t="str">
        <f ca="1">VLOOKUP($B161,OFFSET([2]gachas!$A$2,0,0,COUNTA([2]gachas!$A:$A),MATCH(C$1,[2]gachas!$1:$1,0)-MATCH($B$1,[2]gachas!$1:$1,0)+1),MATCH(C$1,[2]gachas!$1:$1,0)-MATCH($B$1,[2]gachas!$1:$1,0)+1,FALSE)</f>
        <v>ピックアップ02(沖田) あと少し</v>
      </c>
      <c r="D161" s="6">
        <v>0</v>
      </c>
      <c r="E161" s="7">
        <v>256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アスモデウス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PremiumS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3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blue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ゴッド</v>
      </c>
      <c r="L161" s="6">
        <v>1</v>
      </c>
      <c r="M161" s="6">
        <v>929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 thickBot="1">
      <c r="A162" s="22" t="str">
        <f t="shared" si="2"/>
        <v>02571</v>
      </c>
      <c r="B162" s="2">
        <v>112</v>
      </c>
      <c r="C162" s="10" t="str">
        <f ca="1">VLOOKUP($B162,OFFSET([2]gachas!$A$2,0,0,COUNTA([2]gachas!$A:$A),MATCH(C$1,[2]gachas!$1:$1,0)-MATCH($B$1,[2]gachas!$1:$1,0)+1),MATCH(C$1,[2]gachas!$1:$1,0)-MATCH($B$1,[2]gachas!$1:$1,0)+1,FALSE)</f>
        <v>ピックアップ02(沖田) あと少し</v>
      </c>
      <c r="D162" s="6">
        <v>0</v>
      </c>
      <c r="E162" s="7">
        <v>257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色欲 アスモデウス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PremiumS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blue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ゴッド</v>
      </c>
      <c r="L162" s="6">
        <v>1</v>
      </c>
      <c r="M162" s="45">
        <v>436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 thickBot="1">
      <c r="A163" s="22" t="str">
        <f t="shared" si="2"/>
        <v>02591</v>
      </c>
      <c r="B163" s="2">
        <v>112</v>
      </c>
      <c r="C163" s="10" t="str">
        <f ca="1">VLOOKUP($B163,OFFSET([2]gachas!$A$2,0,0,COUNTA([2]gachas!$A:$A),MATCH(C$1,[2]gachas!$1:$1,0)-MATCH($B$1,[2]gachas!$1:$1,0)+1),MATCH(C$1,[2]gachas!$1:$1,0)-MATCH($B$1,[2]gachas!$1:$1,0)+1,FALSE)</f>
        <v>ピックアップ02(沖田) あと少し</v>
      </c>
      <c r="D163" s="6">
        <v>0</v>
      </c>
      <c r="E163" s="7">
        <v>259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ウロボロス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PremiumS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3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yellow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ドラゴン</v>
      </c>
      <c r="L163" s="6">
        <v>1</v>
      </c>
      <c r="M163" s="6">
        <v>929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 thickBot="1">
      <c r="A164" s="22" t="str">
        <f t="shared" si="2"/>
        <v>02601</v>
      </c>
      <c r="B164" s="2">
        <v>112</v>
      </c>
      <c r="C164" s="10" t="str">
        <f ca="1">VLOOKUP($B164,OFFSET([2]gachas!$A$2,0,0,COUNTA([2]gachas!$A:$A),MATCH(C$1,[2]gachas!$1:$1,0)-MATCH($B$1,[2]gachas!$1:$1,0)+1),MATCH(C$1,[2]gachas!$1:$1,0)-MATCH($B$1,[2]gachas!$1:$1,0)+1,FALSE)</f>
        <v>ピックアップ02(沖田) あと少し</v>
      </c>
      <c r="D164" s="6">
        <v>0</v>
      </c>
      <c r="E164" s="7">
        <v>260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輪廻 ウロボロス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PremiumS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yellow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ドラゴン</v>
      </c>
      <c r="L164" s="6">
        <v>1</v>
      </c>
      <c r="M164" s="45">
        <v>436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 thickBot="1">
      <c r="A165" s="22" t="str">
        <f t="shared" si="2"/>
        <v>03201</v>
      </c>
      <c r="B165" s="2">
        <v>112</v>
      </c>
      <c r="C165" s="10" t="str">
        <f ca="1">VLOOKUP($B165,OFFSET([2]gachas!$A$2,0,0,COUNTA([2]gachas!$A:$A),MATCH(C$1,[2]gachas!$1:$1,0)-MATCH($B$1,[2]gachas!$1:$1,0)+1),MATCH(C$1,[2]gachas!$1:$1,0)-MATCH($B$1,[2]gachas!$1:$1,0)+1,FALSE)</f>
        <v>ピックアップ02(沖田) あと少し</v>
      </c>
      <c r="D165" s="21">
        <v>0</v>
      </c>
      <c r="E165" s="27">
        <v>320</v>
      </c>
      <c r="F165" s="20" t="str">
        <f ca="1">VLOOKUP($E165,OFFSET([1]characters!$A$2,0,0,COUNTA([1]characters!$A:$A),MATCH(F$1,[1]characters!$2:$2,0)-MATCH($E$1,[1]characters!$2:$2,0)+1),MATCH(F$1,[1]characters!$2:$2,0)-MATCH($E$1,[1]characters!$2:$2,0)+1,FALSE)</f>
        <v>烈志士 近藤勇</v>
      </c>
      <c r="G165" s="20" t="str">
        <f ca="1">VLOOKUP($E165,OFFSET([1]characters!$A$2,0,0,COUNTA([1]characters!$A:$A),MATCH(G$1,[1]characters!$2:$2,0)-MATCH($E$1,[1]characters!$2:$2,0)+1),MATCH(G$1,[1]characters!$2:$2,0)-MATCH($E$1,[1]characters!$2:$2,0)+1,FALSE)</f>
        <v>PremiumSS</v>
      </c>
      <c r="H165" s="2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20" t="str">
        <f ca="1">VLOOKUP($E165,OFFSET([1]characters!$A$2,0,0,COUNTA([1]characters!$A:$A),MATCH(I$1,[1]characters!$2:$2,0)-MATCH($E$1,[1]characters!$2:$2,0)+1),MATCH(I$1,[1]characters!$2:$2,0)-MATCH($E$1,[1]characters!$2:$2,0)+1,FALSE)</f>
        <v>red</v>
      </c>
      <c r="J165" s="20" t="str">
        <f ca="1">VLOOKUP($E165,OFFSET([1]characters!$A$2,0,0,COUNTA([1]characters!$A:$A),MATCH("タイプ",[1]characters!$1:$1,0)-MATCH($E$1,[1]characters!$2:$2,0)+2),MATCH("タイプ",[1]characters!$1:$1,0)-MATCH($E$1,[1]characters!$2:$2,0)+2,FALSE)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5" s="2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21">
        <v>1</v>
      </c>
      <c r="M165" s="6">
        <v>182</v>
      </c>
      <c r="N165" s="18">
        <v>0</v>
      </c>
      <c r="O165" s="18">
        <v>0</v>
      </c>
      <c r="P165" s="18">
        <v>0</v>
      </c>
      <c r="Q165" s="18">
        <v>0</v>
      </c>
      <c r="R165" s="18">
        <v>1</v>
      </c>
    </row>
    <row r="166" spans="1:18" ht="21" customHeight="1" thickBot="1">
      <c r="A166" s="22" t="str">
        <f t="shared" si="2"/>
        <v>03221</v>
      </c>
      <c r="B166" s="2">
        <v>112</v>
      </c>
      <c r="C166" s="10" t="str">
        <f ca="1">VLOOKUP($B166,OFFSET([2]gachas!$A$2,0,0,COUNTA([2]gachas!$A:$A),MATCH(C$1,[2]gachas!$1:$1,0)-MATCH($B$1,[2]gachas!$1:$1,0)+1),MATCH(C$1,[2]gachas!$1:$1,0)-MATCH($B$1,[2]gachas!$1:$1,0)+1,FALSE)</f>
        <v>ピックアップ02(沖田) あと少し</v>
      </c>
      <c r="D166" s="21">
        <v>0</v>
      </c>
      <c r="E166" s="7">
        <v>322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愛志士 土方歳三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PremiumSS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green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ヒューマン</v>
      </c>
      <c r="L166" s="6">
        <v>1</v>
      </c>
      <c r="M166" s="6">
        <v>182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 thickBot="1">
      <c r="A167" s="22" t="str">
        <f t="shared" si="2"/>
        <v>03241</v>
      </c>
      <c r="B167" s="2">
        <v>112</v>
      </c>
      <c r="C167" s="10" t="str">
        <f ca="1">VLOOKUP($B167,OFFSET([2]gachas!$A$2,0,0,COUNTA([2]gachas!$A:$A),MATCH(C$1,[2]gachas!$1:$1,0)-MATCH($B$1,[2]gachas!$1:$1,0)+1),MATCH(C$1,[2]gachas!$1:$1,0)-MATCH($B$1,[2]gachas!$1:$1,0)+1,FALSE)</f>
        <v>ピックアップ02(沖田) あと少し</v>
      </c>
      <c r="D167" s="37">
        <v>0</v>
      </c>
      <c r="E167" s="30">
        <v>324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凛志士 沖田総司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PremiumSS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blue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ヒューマン</v>
      </c>
      <c r="L167" s="29">
        <v>1</v>
      </c>
      <c r="M167" s="37">
        <v>654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 thickBot="1">
      <c r="A168" s="22" t="str">
        <f t="shared" si="2"/>
        <v>03251</v>
      </c>
      <c r="B168" s="2">
        <v>112</v>
      </c>
      <c r="C168" s="10" t="str">
        <f ca="1">VLOOKUP($B168,OFFSET([2]gachas!$A$2,0,0,COUNTA([2]gachas!$A:$A),MATCH(C$1,[2]gachas!$1:$1,0)-MATCH($B$1,[2]gachas!$1:$1,0)+1),MATCH(C$1,[2]gachas!$1:$1,0)-MATCH($B$1,[2]gachas!$1:$1,0)+1,FALSE)</f>
        <v>ピックアップ02(沖田) あと少し</v>
      </c>
      <c r="D168" s="37">
        <v>0</v>
      </c>
      <c r="E168" s="30">
        <v>325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PremiumSS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5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ヒューマン</v>
      </c>
      <c r="L168" s="29">
        <v>1</v>
      </c>
      <c r="M168" s="29">
        <v>436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 thickBot="1">
      <c r="A169" s="22" t="str">
        <f t="shared" si="2"/>
        <v>03261</v>
      </c>
      <c r="B169" s="2">
        <v>112</v>
      </c>
      <c r="C169" s="10" t="str">
        <f ca="1">VLOOKUP($B169,OFFSET([2]gachas!$A$2,0,0,COUNTA([2]gachas!$A:$A),MATCH(C$1,[2]gachas!$1:$1,0)-MATCH($B$1,[2]gachas!$1:$1,0)+1),MATCH(C$1,[2]gachas!$1:$1,0)-MATCH($B$1,[2]gachas!$1:$1,0)+1,FALSE)</f>
        <v>ピックアップ02(沖田) あと少し</v>
      </c>
      <c r="D169" s="21">
        <v>0</v>
      </c>
      <c r="E169" s="7">
        <v>326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妖志士 斎藤一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PremiumSS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ヒューマン</v>
      </c>
      <c r="L169" s="6">
        <v>1</v>
      </c>
      <c r="M169" s="21">
        <v>182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</sheetData>
  <autoFilter ref="A1:R168"/>
  <phoneticPr fontId="3"/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>
    <tabColor rgb="FF0000FF"/>
  </sheetPr>
  <dimension ref="A1:R169"/>
  <sheetViews>
    <sheetView workbookViewId="0">
      <pane ySplit="1" topLeftCell="A151" activePane="bottomLeft" state="frozen"/>
      <selection pane="bottomLeft" activeCell="C2" sqref="C2:C169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7.6640625" style="1" bestFit="1" customWidth="1" outlineLevel="1"/>
    <col min="4" max="4" width="12.5" style="1" bestFit="1" customWidth="1"/>
    <col min="5" max="5" width="15.33203125" style="1" bestFit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5" customWidth="1" outlineLevel="1"/>
    <col min="10" max="10" width="18.83203125" style="1" customWidth="1" outlineLevel="1"/>
    <col min="11" max="11" width="19" style="1" customWidth="1" outlineLevel="1"/>
    <col min="12" max="12" width="13.1640625" style="1" bestFit="1" customWidth="1"/>
    <col min="13" max="13" width="11.33203125" style="1" bestFit="1" customWidth="1"/>
    <col min="14" max="16384" width="12.83203125" style="1"/>
  </cols>
  <sheetData>
    <row r="1" spans="1:18" ht="21" customHeight="1">
      <c r="A1" s="8" t="s">
        <v>15</v>
      </c>
      <c r="B1" s="4" t="s">
        <v>2</v>
      </c>
      <c r="C1" s="3" t="s">
        <v>1</v>
      </c>
      <c r="D1" s="4" t="s">
        <v>3</v>
      </c>
      <c r="E1" s="4" t="s">
        <v>4</v>
      </c>
      <c r="F1" s="3" t="s">
        <v>9</v>
      </c>
      <c r="G1" s="3" t="s">
        <v>10</v>
      </c>
      <c r="H1" s="3" t="s">
        <v>7</v>
      </c>
      <c r="I1" s="3" t="s">
        <v>11</v>
      </c>
      <c r="J1" s="3" t="s">
        <v>12</v>
      </c>
      <c r="K1" s="3" t="s">
        <v>13</v>
      </c>
      <c r="L1" s="4" t="s">
        <v>5</v>
      </c>
      <c r="M1" s="4" t="s">
        <v>6</v>
      </c>
      <c r="N1" s="17" t="s">
        <v>19</v>
      </c>
      <c r="O1" s="17" t="s">
        <v>20</v>
      </c>
      <c r="P1" s="17" t="s">
        <v>21</v>
      </c>
      <c r="Q1" s="17" t="s">
        <v>22</v>
      </c>
      <c r="R1" s="17" t="s">
        <v>23</v>
      </c>
    </row>
    <row r="2" spans="1:18" ht="21" customHeight="1">
      <c r="A2" s="8" t="str">
        <f t="shared" ref="A2:A65" si="0">D2&amp;E2&amp;L2</f>
        <v>11271</v>
      </c>
      <c r="B2" s="2">
        <v>113</v>
      </c>
      <c r="C2" s="10" t="str">
        <f ca="1">VLOOKUP($B2,OFFSET([2]gachas!$A$2,0,0,COUNTA([2]gachas!$A:$A),MATCH(C$1,[2]gachas!$1:$1,0)-MATCH($B$1,[2]gachas!$1:$1,0)+1),MATCH(C$1,[2]gachas!$1:$1,0)-MATCH($B$1,[2]gachas!$1:$1,0)+1,FALSE)</f>
        <v>ピックアップ02(沖田) 最終日</v>
      </c>
      <c r="D2" s="6">
        <v>1</v>
      </c>
      <c r="E2" s="7">
        <v>127</v>
      </c>
      <c r="F2" s="10" t="str">
        <f ca="1">VLOOKUP($E2,OFFSET([1]characters!$A$2,0,0,COUNTA([1]characters!$A:$A),MATCH(F$1,[1]characters!$2:$2,0)-MATCH($E$1,[1]characters!$2:$2,0)+1),MATCH(F$1,[1]characters!$2:$2,0)-MATCH($E$1,[1]characters!$2:$2,0)+1,FALSE)</f>
        <v>狂喜の賢者 ユノ</v>
      </c>
      <c r="G2" s="10" t="str">
        <f ca="1">VLOOKUP($E2,OFFSET([1]characters!$A$2,0,0,COUNTA([1]characters!$A:$A),MATCH(G$1,[1]characters!$2:$2,0)-MATCH($E$1,[1]characters!$2:$2,0)+1),MATCH(G$1,[1]characters!$2:$2,0)-MATCH($E$1,[1]characters!$2:$2,0)+1,FALSE)</f>
        <v>PremiumW</v>
      </c>
      <c r="H2" s="10">
        <f ca="1">VLOOKUP($E2,OFFSET([1]characters!$A$2,0,0,COUNTA([1]characters!$A:$A),MATCH(H$1,[1]characters!$2:$2,0)-MATCH($E$1,[1]characters!$2:$2,0)+1),MATCH(H$1,[1]characters!$2:$2,0)-MATCH($E$1,[1]characters!$2:$2,0)+1,FALSE)</f>
        <v>4</v>
      </c>
      <c r="I2" s="10" t="str">
        <f ca="1">VLOOKUP($E2,OFFSET([1]characters!$A$2,0,0,COUNTA([1]characters!$A:$A),MATCH(I$1,[1]characters!$2:$2,0)-MATCH($E$1,[1]characters!$2:$2,0)+1),MATCH(I$1,[1]characters!$2:$2,0)-MATCH($E$1,[1]characters!$2:$2,0)+1,FALSE)</f>
        <v>red</v>
      </c>
      <c r="J2" s="10" t="str">
        <f ca="1">VLOOKUP($E2,OFFSET([1]characters!$A$2,0,0,COUNTA([1]characters!$A:$A),MATCH("タイプ",[1]characters!$1:$1,0)-MATCH($E$1,[1]characters!$2:$2,0)+2),MATCH("タイプ",[1]characters!$1:$1,0)-MATCH($E$1,[1]characters!$2:$2,0)+2,FALSE)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" s="10" t="str">
        <f ca="1">VLOOKUP($E2,OFFSET([1]characters!$A$2,0,0,COUNTA([1]characters!$A:$A),MATCH($K$1,[1]characters!$1:$1,0)-MATCH($E$1,[1]characters!$2:$2,0)+2),MATCH($K$1,[1]characters!$1:$1,0)-MATCH($E$1,[1]characters!$2:$2,0)+2,FALSE)</f>
        <v>ヒューマン</v>
      </c>
      <c r="L2" s="6">
        <v>1</v>
      </c>
      <c r="M2" s="6">
        <v>1072</v>
      </c>
      <c r="N2" s="28">
        <v>0</v>
      </c>
      <c r="O2" s="28">
        <v>0</v>
      </c>
      <c r="P2" s="28">
        <v>0</v>
      </c>
      <c r="Q2" s="28">
        <v>0</v>
      </c>
      <c r="R2" s="28">
        <v>1</v>
      </c>
    </row>
    <row r="3" spans="1:18" ht="21" customHeight="1">
      <c r="A3" s="8" t="str">
        <f t="shared" si="0"/>
        <v>11291</v>
      </c>
      <c r="B3" s="2">
        <v>113</v>
      </c>
      <c r="C3" s="10" t="str">
        <f ca="1">VLOOKUP($B3,OFFSET([2]gachas!$A$2,0,0,COUNTA([2]gachas!$A:$A),MATCH(C$1,[2]gachas!$1:$1,0)-MATCH($B$1,[2]gachas!$1:$1,0)+1),MATCH(C$1,[2]gachas!$1:$1,0)-MATCH($B$1,[2]gachas!$1:$1,0)+1,FALSE)</f>
        <v>ピックアップ02(沖田) 最終日</v>
      </c>
      <c r="D3" s="6">
        <v>1</v>
      </c>
      <c r="E3" s="7">
        <v>129</v>
      </c>
      <c r="F3" s="10" t="str">
        <f ca="1">VLOOKUP($E3,OFFSET([1]characters!$A$2,0,0,COUNTA([1]characters!$A:$A),MATCH(F$1,[1]characters!$2:$2,0)-MATCH($E$1,[1]characters!$2:$2,0)+1),MATCH(F$1,[1]characters!$2:$2,0)-MATCH($E$1,[1]characters!$2:$2,0)+1,FALSE)</f>
        <v>孤高の狼憑き アマラ</v>
      </c>
      <c r="G3" s="10" t="str">
        <f ca="1">VLOOKUP($E3,OFFSET([1]characters!$A$2,0,0,COUNTA([1]characters!$A:$A),MATCH(G$1,[1]characters!$2:$2,0)-MATCH($E$1,[1]characters!$2:$2,0)+1),MATCH(G$1,[1]characters!$2:$2,0)-MATCH($E$1,[1]characters!$2:$2,0)+1,FALSE)</f>
        <v>PremiumW</v>
      </c>
      <c r="H3" s="10">
        <f ca="1">VLOOKUP($E3,OFFSET([1]characters!$A$2,0,0,COUNTA([1]characters!$A:$A),MATCH(H$1,[1]characters!$2:$2,0)-MATCH($E$1,[1]characters!$2:$2,0)+1),MATCH(H$1,[1]characters!$2:$2,0)-MATCH($E$1,[1]characters!$2:$2,0)+1,FALSE)</f>
        <v>4</v>
      </c>
      <c r="I3" s="10" t="str">
        <f ca="1">VLOOKUP($E3,OFFSET([1]characters!$A$2,0,0,COUNTA([1]characters!$A:$A),MATCH(I$1,[1]characters!$2:$2,0)-MATCH($E$1,[1]characters!$2:$2,0)+1),MATCH(I$1,[1]characters!$2:$2,0)-MATCH($E$1,[1]characters!$2:$2,0)+1,FALSE)</f>
        <v>green</v>
      </c>
      <c r="J3" s="10" t="str">
        <f ca="1">VLOOKUP($E3,OFFSET([1]characters!$A$2,0,0,COUNTA([1]characters!$A:$A),MATCH("タイプ",[1]characters!$1:$1,0)-MATCH($E$1,[1]characters!$2:$2,0)+2),MATCH("タイプ",[1]characters!$1:$1,0)-MATCH($E$1,[1]characters!$2:$2,0)+2,FALSE)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3" s="10" t="str">
        <f ca="1">VLOOKUP($E3,OFFSET([1]characters!$A$2,0,0,COUNTA([1]characters!$A:$A),MATCH($K$1,[1]characters!$1:$1,0)-MATCH($E$1,[1]characters!$2:$2,0)+2),MATCH($K$1,[1]characters!$1:$1,0)-MATCH($E$1,[1]characters!$2:$2,0)+2,FALSE)</f>
        <v>ヒューマン</v>
      </c>
      <c r="L3" s="6">
        <v>1</v>
      </c>
      <c r="M3" s="6">
        <v>1072</v>
      </c>
      <c r="N3" s="28">
        <v>0</v>
      </c>
      <c r="O3" s="28">
        <v>0</v>
      </c>
      <c r="P3" s="28">
        <v>0</v>
      </c>
      <c r="Q3" s="28">
        <v>0</v>
      </c>
      <c r="R3" s="28">
        <v>1</v>
      </c>
    </row>
    <row r="4" spans="1:18" ht="21" customHeight="1">
      <c r="A4" s="8" t="str">
        <f t="shared" si="0"/>
        <v>11311</v>
      </c>
      <c r="B4" s="2">
        <v>113</v>
      </c>
      <c r="C4" s="10" t="str">
        <f ca="1">VLOOKUP($B4,OFFSET([2]gachas!$A$2,0,0,COUNTA([2]gachas!$A:$A),MATCH(C$1,[2]gachas!$1:$1,0)-MATCH($B$1,[2]gachas!$1:$1,0)+1),MATCH(C$1,[2]gachas!$1:$1,0)-MATCH($B$1,[2]gachas!$1:$1,0)+1,FALSE)</f>
        <v>ピックアップ02(沖田) 最終日</v>
      </c>
      <c r="D4" s="6">
        <v>1</v>
      </c>
      <c r="E4" s="7">
        <v>131</v>
      </c>
      <c r="F4" s="10" t="str">
        <f ca="1">VLOOKUP($E4,OFFSET([1]characters!$A$2,0,0,COUNTA([1]characters!$A:$A),MATCH(F$1,[1]characters!$2:$2,0)-MATCH($E$1,[1]characters!$2:$2,0)+1),MATCH(F$1,[1]characters!$2:$2,0)-MATCH($E$1,[1]characters!$2:$2,0)+1,FALSE)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4" s="10" t="str">
        <f ca="1">VLOOKUP($E4,OFFSET([1]characters!$A$2,0,0,COUNTA([1]characters!$A:$A),MATCH(G$1,[1]characters!$2:$2,0)-MATCH($E$1,[1]characters!$2:$2,0)+1),MATCH(G$1,[1]characters!$2:$2,0)-MATCH($E$1,[1]characters!$2:$2,0)+1,FALSE)</f>
        <v>PremiumW</v>
      </c>
      <c r="H4" s="10">
        <f ca="1">VLOOKUP($E4,OFFSET([1]characters!$A$2,0,0,COUNTA([1]characters!$A:$A),MATCH(H$1,[1]characters!$2:$2,0)-MATCH($E$1,[1]characters!$2:$2,0)+1),MATCH(H$1,[1]characters!$2:$2,0)-MATCH($E$1,[1]characters!$2:$2,0)+1,FALSE)</f>
        <v>4</v>
      </c>
      <c r="I4" s="10" t="str">
        <f ca="1">VLOOKUP($E4,OFFSET([1]characters!$A$2,0,0,COUNTA([1]characters!$A:$A),MATCH(I$1,[1]characters!$2:$2,0)-MATCH($E$1,[1]characters!$2:$2,0)+1),MATCH(I$1,[1]characters!$2:$2,0)-MATCH($E$1,[1]characters!$2:$2,0)+1,FALSE)</f>
        <v>blue</v>
      </c>
      <c r="J4" s="10" t="str">
        <f ca="1">VLOOKUP($E4,OFFSET([1]characters!$A$2,0,0,COUNTA([1]characters!$A:$A),MATCH("タイプ",[1]characters!$1:$1,0)-MATCH($E$1,[1]characters!$2:$2,0)+2),MATCH("タイプ",[1]characters!$1:$1,0)-MATCH($E$1,[1]characters!$2:$2,0)+2,FALSE)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" s="10" t="str">
        <f ca="1">VLOOKUP($E4,OFFSET([1]characters!$A$2,0,0,COUNTA([1]characters!$A:$A),MATCH($K$1,[1]characters!$1:$1,0)-MATCH($E$1,[1]characters!$2:$2,0)+2),MATCH($K$1,[1]characters!$1:$1,0)-MATCH($E$1,[1]characters!$2:$2,0)+2,FALSE)</f>
        <v>アニマル</v>
      </c>
      <c r="L4" s="6">
        <v>1</v>
      </c>
      <c r="M4" s="6">
        <v>1072</v>
      </c>
      <c r="N4" s="28">
        <v>0</v>
      </c>
      <c r="O4" s="28">
        <v>0</v>
      </c>
      <c r="P4" s="28">
        <v>0</v>
      </c>
      <c r="Q4" s="28">
        <v>0</v>
      </c>
      <c r="R4" s="28">
        <v>1</v>
      </c>
    </row>
    <row r="5" spans="1:18" ht="21" customHeight="1">
      <c r="A5" s="8" t="str">
        <f t="shared" si="0"/>
        <v>11331</v>
      </c>
      <c r="B5" s="2">
        <v>113</v>
      </c>
      <c r="C5" s="10" t="str">
        <f ca="1">VLOOKUP($B5,OFFSET([2]gachas!$A$2,0,0,COUNTA([2]gachas!$A:$A),MATCH(C$1,[2]gachas!$1:$1,0)-MATCH($B$1,[2]gachas!$1:$1,0)+1),MATCH(C$1,[2]gachas!$1:$1,0)-MATCH($B$1,[2]gachas!$1:$1,0)+1,FALSE)</f>
        <v>ピックアップ02(沖田) 最終日</v>
      </c>
      <c r="D5" s="6">
        <v>1</v>
      </c>
      <c r="E5" s="7">
        <v>133</v>
      </c>
      <c r="F5" s="10" t="str">
        <f ca="1">VLOOKUP($E5,OFFSET([1]characters!$A$2,0,0,COUNTA([1]characters!$A:$A),MATCH(F$1,[1]characters!$2:$2,0)-MATCH($E$1,[1]characters!$2:$2,0)+1),MATCH(F$1,[1]characters!$2:$2,0)-MATCH($E$1,[1]characters!$2:$2,0)+1,FALSE)</f>
        <v>迅雷の刀剣 ハヤト</v>
      </c>
      <c r="G5" s="10" t="str">
        <f ca="1">VLOOKUP($E5,OFFSET([1]characters!$A$2,0,0,COUNTA([1]characters!$A:$A),MATCH(G$1,[1]characters!$2:$2,0)-MATCH($E$1,[1]characters!$2:$2,0)+1),MATCH(G$1,[1]characters!$2:$2,0)-MATCH($E$1,[1]characters!$2:$2,0)+1,FALSE)</f>
        <v>PremiumW</v>
      </c>
      <c r="H5" s="10">
        <f ca="1">VLOOKUP($E5,OFFSET([1]characters!$A$2,0,0,COUNTA([1]characters!$A:$A),MATCH(H$1,[1]characters!$2:$2,0)-MATCH($E$1,[1]characters!$2:$2,0)+1),MATCH(H$1,[1]characters!$2:$2,0)-MATCH($E$1,[1]characters!$2:$2,0)+1,FALSE)</f>
        <v>4</v>
      </c>
      <c r="I5" s="10" t="str">
        <f ca="1">VLOOKUP($E5,OFFSET([1]characters!$A$2,0,0,COUNTA([1]characters!$A:$A),MATCH(I$1,[1]characters!$2:$2,0)-MATCH($E$1,[1]characters!$2:$2,0)+1),MATCH(I$1,[1]characters!$2:$2,0)-MATCH($E$1,[1]characters!$2:$2,0)+1,FALSE)</f>
        <v>yellow</v>
      </c>
      <c r="J5" s="10" t="str">
        <f ca="1">VLOOKUP($E5,OFFSET([1]characters!$A$2,0,0,COUNTA([1]characters!$A:$A),MATCH("タイプ",[1]characters!$1:$1,0)-MATCH($E$1,[1]characters!$2:$2,0)+2),MATCH("タイプ",[1]characters!$1:$1,0)-MATCH($E$1,[1]characters!$2:$2,0)+2,FALSE)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" s="10" t="str">
        <f ca="1">VLOOKUP($E5,OFFSET([1]characters!$A$2,0,0,COUNTA([1]characters!$A:$A),MATCH($K$1,[1]characters!$1:$1,0)-MATCH($E$1,[1]characters!$2:$2,0)+2),MATCH($K$1,[1]characters!$1:$1,0)-MATCH($E$1,[1]characters!$2:$2,0)+2,FALSE)</f>
        <v>ヒューマン</v>
      </c>
      <c r="L5" s="6">
        <v>1</v>
      </c>
      <c r="M5" s="6">
        <v>1072</v>
      </c>
      <c r="N5" s="28">
        <v>0</v>
      </c>
      <c r="O5" s="28">
        <v>0</v>
      </c>
      <c r="P5" s="28">
        <v>0</v>
      </c>
      <c r="Q5" s="28">
        <v>0</v>
      </c>
      <c r="R5" s="28">
        <v>1</v>
      </c>
    </row>
    <row r="6" spans="1:18" ht="21" customHeight="1">
      <c r="A6" s="8" t="str">
        <f t="shared" si="0"/>
        <v>11351</v>
      </c>
      <c r="B6" s="2">
        <v>113</v>
      </c>
      <c r="C6" s="10" t="str">
        <f ca="1">VLOOKUP($B6,OFFSET([2]gachas!$A$2,0,0,COUNTA([2]gachas!$A:$A),MATCH(C$1,[2]gachas!$1:$1,0)-MATCH($B$1,[2]gachas!$1:$1,0)+1),MATCH(C$1,[2]gachas!$1:$1,0)-MATCH($B$1,[2]gachas!$1:$1,0)+1,FALSE)</f>
        <v>ピックアップ02(沖田) 最終日</v>
      </c>
      <c r="D6" s="6">
        <v>1</v>
      </c>
      <c r="E6" s="7">
        <v>135</v>
      </c>
      <c r="F6" s="10" t="str">
        <f ca="1">VLOOKUP($E6,OFFSET([1]characters!$A$2,0,0,COUNTA([1]characters!$A:$A),MATCH(F$1,[1]characters!$2:$2,0)-MATCH($E$1,[1]characters!$2:$2,0)+1),MATCH(F$1,[1]characters!$2:$2,0)-MATCH($E$1,[1]characters!$2:$2,0)+1,FALSE)</f>
        <v>京の炎華夕霧</v>
      </c>
      <c r="G6" s="10" t="str">
        <f ca="1">VLOOKUP($E6,OFFSET([1]characters!$A$2,0,0,COUNTA([1]characters!$A:$A),MATCH(G$1,[1]characters!$2:$2,0)-MATCH($E$1,[1]characters!$2:$2,0)+1),MATCH(G$1,[1]characters!$2:$2,0)-MATCH($E$1,[1]characters!$2:$2,0)+1,FALSE)</f>
        <v>PremiumW</v>
      </c>
      <c r="H6" s="10">
        <f ca="1">VLOOKUP($E6,OFFSET([1]characters!$A$2,0,0,COUNTA([1]characters!$A:$A),MATCH(H$1,[1]characters!$2:$2,0)-MATCH($E$1,[1]characters!$2:$2,0)+1),MATCH(H$1,[1]characters!$2:$2,0)-MATCH($E$1,[1]characters!$2:$2,0)+1,FALSE)</f>
        <v>4</v>
      </c>
      <c r="I6" s="10" t="str">
        <f ca="1">VLOOKUP($E6,OFFSET([1]characters!$A$2,0,0,COUNTA([1]characters!$A:$A),MATCH(I$1,[1]characters!$2:$2,0)-MATCH($E$1,[1]characters!$2:$2,0)+1),MATCH(I$1,[1]characters!$2:$2,0)-MATCH($E$1,[1]characters!$2:$2,0)+1,FALSE)</f>
        <v>red</v>
      </c>
      <c r="J6" s="10" t="str">
        <f ca="1">VLOOKUP($E6,OFFSET([1]characters!$A$2,0,0,COUNTA([1]characters!$A:$A),MATCH("タイプ",[1]characters!$1:$1,0)-MATCH($E$1,[1]characters!$2:$2,0)+2),MATCH("タイプ",[1]characters!$1:$1,0)-MATCH($E$1,[1]characters!$2:$2,0)+2,FALSE)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" s="10" t="str">
        <f ca="1">VLOOKUP($E6,OFFSET([1]characters!$A$2,0,0,COUNTA([1]characters!$A:$A),MATCH($K$1,[1]characters!$1:$1,0)-MATCH($E$1,[1]characters!$2:$2,0)+2),MATCH($K$1,[1]characters!$1:$1,0)-MATCH($E$1,[1]characters!$2:$2,0)+2,FALSE)</f>
        <v>ヒューマン</v>
      </c>
      <c r="L6" s="6">
        <v>1</v>
      </c>
      <c r="M6" s="6">
        <v>1072</v>
      </c>
      <c r="N6" s="28">
        <v>0</v>
      </c>
      <c r="O6" s="28">
        <v>0</v>
      </c>
      <c r="P6" s="28">
        <v>0</v>
      </c>
      <c r="Q6" s="28">
        <v>0</v>
      </c>
      <c r="R6" s="28">
        <v>1</v>
      </c>
    </row>
    <row r="7" spans="1:18" ht="21" customHeight="1">
      <c r="A7" s="8" t="str">
        <f t="shared" si="0"/>
        <v>11371</v>
      </c>
      <c r="B7" s="2">
        <v>113</v>
      </c>
      <c r="C7" s="10" t="str">
        <f ca="1">VLOOKUP($B7,OFFSET([2]gachas!$A$2,0,0,COUNTA([2]gachas!$A:$A),MATCH(C$1,[2]gachas!$1:$1,0)-MATCH($B$1,[2]gachas!$1:$1,0)+1),MATCH(C$1,[2]gachas!$1:$1,0)-MATCH($B$1,[2]gachas!$1:$1,0)+1,FALSE)</f>
        <v>ピックアップ02(沖田) 最終日</v>
      </c>
      <c r="D7" s="6">
        <v>1</v>
      </c>
      <c r="E7" s="7">
        <v>137</v>
      </c>
      <c r="F7" s="10" t="str">
        <f ca="1">VLOOKUP($E7,OFFSET([1]characters!$A$2,0,0,COUNTA([1]characters!$A:$A),MATCH(F$1,[1]characters!$2:$2,0)-MATCH($E$1,[1]characters!$2:$2,0)+1),MATCH(F$1,[1]characters!$2:$2,0)-MATCH($E$1,[1]characters!$2:$2,0)+1,FALSE)</f>
        <v>清福の仕立屋 チハヤ</v>
      </c>
      <c r="G7" s="10" t="str">
        <f ca="1">VLOOKUP($E7,OFFSET([1]characters!$A$2,0,0,COUNTA([1]characters!$A:$A),MATCH(G$1,[1]characters!$2:$2,0)-MATCH($E$1,[1]characters!$2:$2,0)+1),MATCH(G$1,[1]characters!$2:$2,0)-MATCH($E$1,[1]characters!$2:$2,0)+1,FALSE)</f>
        <v>PremiumW</v>
      </c>
      <c r="H7" s="10">
        <f ca="1">VLOOKUP($E7,OFFSET([1]characters!$A$2,0,0,COUNTA([1]characters!$A:$A),MATCH(H$1,[1]characters!$2:$2,0)-MATCH($E$1,[1]characters!$2:$2,0)+1),MATCH(H$1,[1]characters!$2:$2,0)-MATCH($E$1,[1]characters!$2:$2,0)+1,FALSE)</f>
        <v>4</v>
      </c>
      <c r="I7" s="10" t="str">
        <f ca="1">VLOOKUP($E7,OFFSET([1]characters!$A$2,0,0,COUNTA([1]characters!$A:$A),MATCH(I$1,[1]characters!$2:$2,0)-MATCH($E$1,[1]characters!$2:$2,0)+1),MATCH(I$1,[1]characters!$2:$2,0)-MATCH($E$1,[1]characters!$2:$2,0)+1,FALSE)</f>
        <v>green</v>
      </c>
      <c r="J7" s="10" t="str">
        <f ca="1">VLOOKUP($E7,OFFSET([1]characters!$A$2,0,0,COUNTA([1]characters!$A:$A),MATCH("タイプ",[1]characters!$1:$1,0)-MATCH($E$1,[1]characters!$2:$2,0)+2),MATCH("タイプ",[1]characters!$1:$1,0)-MATCH($E$1,[1]characters!$2:$2,0)+2,FALSE)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" s="10" t="str">
        <f ca="1">VLOOKUP($E7,OFFSET([1]characters!$A$2,0,0,COUNTA([1]characters!$A:$A),MATCH($K$1,[1]characters!$1:$1,0)-MATCH($E$1,[1]characters!$2:$2,0)+2),MATCH($K$1,[1]characters!$1:$1,0)-MATCH($E$1,[1]characters!$2:$2,0)+2,FALSE)</f>
        <v>ヒューマン</v>
      </c>
      <c r="L7" s="6">
        <v>1</v>
      </c>
      <c r="M7" s="6">
        <v>1072</v>
      </c>
      <c r="N7" s="28">
        <v>0</v>
      </c>
      <c r="O7" s="28">
        <v>0</v>
      </c>
      <c r="P7" s="28">
        <v>0</v>
      </c>
      <c r="Q7" s="28">
        <v>0</v>
      </c>
      <c r="R7" s="28">
        <v>1</v>
      </c>
    </row>
    <row r="8" spans="1:18" ht="21" customHeight="1">
      <c r="A8" s="8" t="str">
        <f t="shared" si="0"/>
        <v>11391</v>
      </c>
      <c r="B8" s="2">
        <v>113</v>
      </c>
      <c r="C8" s="10" t="str">
        <f ca="1">VLOOKUP($B8,OFFSET([2]gachas!$A$2,0,0,COUNTA([2]gachas!$A:$A),MATCH(C$1,[2]gachas!$1:$1,0)-MATCH($B$1,[2]gachas!$1:$1,0)+1),MATCH(C$1,[2]gachas!$1:$1,0)-MATCH($B$1,[2]gachas!$1:$1,0)+1,FALSE)</f>
        <v>ピックアップ02(沖田) 最終日</v>
      </c>
      <c r="D8" s="6">
        <v>1</v>
      </c>
      <c r="E8" s="7">
        <v>139</v>
      </c>
      <c r="F8" s="10" t="str">
        <f ca="1">VLOOKUP($E8,OFFSET([1]characters!$A$2,0,0,COUNTA([1]characters!$A:$A),MATCH(F$1,[1]characters!$2:$2,0)-MATCH($E$1,[1]characters!$2:$2,0)+1),MATCH(F$1,[1]characters!$2:$2,0)-MATCH($E$1,[1]characters!$2:$2,0)+1,FALSE)</f>
        <v>蒼昇刃姫 トモエ</v>
      </c>
      <c r="G8" s="10" t="str">
        <f ca="1">VLOOKUP($E8,OFFSET([1]characters!$A$2,0,0,COUNTA([1]characters!$A:$A),MATCH(G$1,[1]characters!$2:$2,0)-MATCH($E$1,[1]characters!$2:$2,0)+1),MATCH(G$1,[1]characters!$2:$2,0)-MATCH($E$1,[1]characters!$2:$2,0)+1,FALSE)</f>
        <v>PremiumW</v>
      </c>
      <c r="H8" s="10">
        <f ca="1">VLOOKUP($E8,OFFSET([1]characters!$A$2,0,0,COUNTA([1]characters!$A:$A),MATCH(H$1,[1]characters!$2:$2,0)-MATCH($E$1,[1]characters!$2:$2,0)+1),MATCH(H$1,[1]characters!$2:$2,0)-MATCH($E$1,[1]characters!$2:$2,0)+1,FALSE)</f>
        <v>4</v>
      </c>
      <c r="I8" s="10" t="str">
        <f ca="1">VLOOKUP($E8,OFFSET([1]characters!$A$2,0,0,COUNTA([1]characters!$A:$A),MATCH(I$1,[1]characters!$2:$2,0)-MATCH($E$1,[1]characters!$2:$2,0)+1),MATCH(I$1,[1]characters!$2:$2,0)-MATCH($E$1,[1]characters!$2:$2,0)+1,FALSE)</f>
        <v>blue</v>
      </c>
      <c r="J8" s="10" t="str">
        <f ca="1">VLOOKUP($E8,OFFSET([1]characters!$A$2,0,0,COUNTA([1]characters!$A:$A),MATCH("タイプ",[1]characters!$1:$1,0)-MATCH($E$1,[1]characters!$2:$2,0)+2),MATCH("タイプ",[1]characters!$1:$1,0)-MATCH($E$1,[1]characters!$2:$2,0)+2,FALSE)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" s="10" t="str">
        <f ca="1">VLOOKUP($E8,OFFSET([1]characters!$A$2,0,0,COUNTA([1]characters!$A:$A),MATCH($K$1,[1]characters!$1:$1,0)-MATCH($E$1,[1]characters!$2:$2,0)+2),MATCH($K$1,[1]characters!$1:$1,0)-MATCH($E$1,[1]characters!$2:$2,0)+2,FALSE)</f>
        <v>ヒューマン</v>
      </c>
      <c r="L8" s="6">
        <v>1</v>
      </c>
      <c r="M8" s="6">
        <v>1072</v>
      </c>
      <c r="N8" s="28">
        <v>0</v>
      </c>
      <c r="O8" s="28">
        <v>0</v>
      </c>
      <c r="P8" s="28">
        <v>0</v>
      </c>
      <c r="Q8" s="28">
        <v>0</v>
      </c>
      <c r="R8" s="28">
        <v>1</v>
      </c>
    </row>
    <row r="9" spans="1:18" ht="21" customHeight="1">
      <c r="A9" s="8" t="str">
        <f t="shared" si="0"/>
        <v>11411</v>
      </c>
      <c r="B9" s="2">
        <v>113</v>
      </c>
      <c r="C9" s="10" t="str">
        <f ca="1">VLOOKUP($B9,OFFSET([2]gachas!$A$2,0,0,COUNTA([2]gachas!$A:$A),MATCH(C$1,[2]gachas!$1:$1,0)-MATCH($B$1,[2]gachas!$1:$1,0)+1),MATCH(C$1,[2]gachas!$1:$1,0)-MATCH($B$1,[2]gachas!$1:$1,0)+1,FALSE)</f>
        <v>ピックアップ02(沖田) 最終日</v>
      </c>
      <c r="D9" s="6">
        <v>1</v>
      </c>
      <c r="E9" s="7">
        <v>141</v>
      </c>
      <c r="F9" s="10" t="str">
        <f ca="1">VLOOKUP($E9,OFFSET([1]characters!$A$2,0,0,COUNTA([1]characters!$A:$A),MATCH(F$1,[1]characters!$2:$2,0)-MATCH($E$1,[1]characters!$2:$2,0)+1),MATCH(F$1,[1]characters!$2:$2,0)-MATCH($E$1,[1]characters!$2:$2,0)+1,FALSE)</f>
        <v>妖狐演舞 タマモ</v>
      </c>
      <c r="G9" s="10" t="str">
        <f ca="1">VLOOKUP($E9,OFFSET([1]characters!$A$2,0,0,COUNTA([1]characters!$A:$A),MATCH(G$1,[1]characters!$2:$2,0)-MATCH($E$1,[1]characters!$2:$2,0)+1),MATCH(G$1,[1]characters!$2:$2,0)-MATCH($E$1,[1]characters!$2:$2,0)+1,FALSE)</f>
        <v>PremiumW</v>
      </c>
      <c r="H9" s="10">
        <f ca="1">VLOOKUP($E9,OFFSET([1]characters!$A$2,0,0,COUNTA([1]characters!$A:$A),MATCH(H$1,[1]characters!$2:$2,0)-MATCH($E$1,[1]characters!$2:$2,0)+1),MATCH(H$1,[1]characters!$2:$2,0)-MATCH($E$1,[1]characters!$2:$2,0)+1,FALSE)</f>
        <v>4</v>
      </c>
      <c r="I9" s="10" t="str">
        <f ca="1">VLOOKUP($E9,OFFSET([1]characters!$A$2,0,0,COUNTA([1]characters!$A:$A),MATCH(I$1,[1]characters!$2:$2,0)-MATCH($E$1,[1]characters!$2:$2,0)+1),MATCH(I$1,[1]characters!$2:$2,0)-MATCH($E$1,[1]characters!$2:$2,0)+1,FALSE)</f>
        <v>yellow</v>
      </c>
      <c r="J9" s="10" t="str">
        <f ca="1">VLOOKUP($E9,OFFSET([1]characters!$A$2,0,0,COUNTA([1]characters!$A:$A),MATCH("タイプ",[1]characters!$1:$1,0)-MATCH($E$1,[1]characters!$2:$2,0)+2),MATCH("タイプ",[1]characters!$1:$1,0)-MATCH($E$1,[1]characters!$2:$2,0)+2,FALSE)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" s="10" t="str">
        <f ca="1">VLOOKUP($E9,OFFSET([1]characters!$A$2,0,0,COUNTA([1]characters!$A:$A),MATCH($K$1,[1]characters!$1:$1,0)-MATCH($E$1,[1]characters!$2:$2,0)+2),MATCH($K$1,[1]characters!$1:$1,0)-MATCH($E$1,[1]characters!$2:$2,0)+2,FALSE)</f>
        <v>アニマル</v>
      </c>
      <c r="L9" s="6">
        <v>1</v>
      </c>
      <c r="M9" s="6">
        <v>1072</v>
      </c>
      <c r="N9" s="28">
        <v>0</v>
      </c>
      <c r="O9" s="28">
        <v>0</v>
      </c>
      <c r="P9" s="28">
        <v>0</v>
      </c>
      <c r="Q9" s="28">
        <v>0</v>
      </c>
      <c r="R9" s="28">
        <v>1</v>
      </c>
    </row>
    <row r="10" spans="1:18" ht="21" customHeight="1">
      <c r="A10" s="8" t="str">
        <f t="shared" si="0"/>
        <v>11431</v>
      </c>
      <c r="B10" s="2">
        <v>113</v>
      </c>
      <c r="C10" s="10" t="str">
        <f ca="1">VLOOKUP($B10,OFFSET([2]gachas!$A$2,0,0,COUNTA([2]gachas!$A:$A),MATCH(C$1,[2]gachas!$1:$1,0)-MATCH($B$1,[2]gachas!$1:$1,0)+1),MATCH(C$1,[2]gachas!$1:$1,0)-MATCH($B$1,[2]gachas!$1:$1,0)+1,FALSE)</f>
        <v>ピックアップ02(沖田) 最終日</v>
      </c>
      <c r="D10" s="6">
        <v>1</v>
      </c>
      <c r="E10" s="7">
        <v>143</v>
      </c>
      <c r="F10" s="10" t="str">
        <f ca="1">VLOOKUP($E10,OFFSET([1]characters!$A$2,0,0,COUNTA([1]characters!$A:$A),MATCH(F$1,[1]characters!$2:$2,0)-MATCH($E$1,[1]characters!$2:$2,0)+1),MATCH(F$1,[1]characters!$2:$2,0)-MATCH($E$1,[1]characters!$2:$2,0)+1,FALSE)</f>
        <v>深紅の死神 赤ずきん</v>
      </c>
      <c r="G10" s="10" t="str">
        <f ca="1">VLOOKUP($E10,OFFSET([1]characters!$A$2,0,0,COUNTA([1]characters!$A:$A),MATCH(G$1,[1]characters!$2:$2,0)-MATCH($E$1,[1]characters!$2:$2,0)+1),MATCH(G$1,[1]characters!$2:$2,0)-MATCH($E$1,[1]characters!$2:$2,0)+1,FALSE)</f>
        <v>PremiumW</v>
      </c>
      <c r="H10" s="10">
        <f ca="1">VLOOKUP($E10,OFFSET([1]characters!$A$2,0,0,COUNTA([1]characters!$A:$A),MATCH(H$1,[1]characters!$2:$2,0)-MATCH($E$1,[1]characters!$2:$2,0)+1),MATCH(H$1,[1]characters!$2:$2,0)-MATCH($E$1,[1]characters!$2:$2,0)+1,FALSE)</f>
        <v>4</v>
      </c>
      <c r="I10" s="10" t="str">
        <f ca="1">VLOOKUP($E10,OFFSET([1]characters!$A$2,0,0,COUNTA([1]characters!$A:$A),MATCH(I$1,[1]characters!$2:$2,0)-MATCH($E$1,[1]characters!$2:$2,0)+1),MATCH(I$1,[1]characters!$2:$2,0)-MATCH($E$1,[1]characters!$2:$2,0)+1,FALSE)</f>
        <v>red</v>
      </c>
      <c r="J10" s="10" t="str">
        <f ca="1">VLOOKUP($E10,OFFSET([1]characters!$A$2,0,0,COUNTA([1]characters!$A:$A),MATCH("タイプ",[1]characters!$1:$1,0)-MATCH($E$1,[1]characters!$2:$2,0)+2),MATCH("タイプ",[1]characters!$1:$1,0)-MATCH($E$1,[1]characters!$2:$2,0)+2,FALSE)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" s="10" t="str">
        <f ca="1">VLOOKUP($E10,OFFSET([1]characters!$A$2,0,0,COUNTA([1]characters!$A:$A),MATCH($K$1,[1]characters!$1:$1,0)-MATCH($E$1,[1]characters!$2:$2,0)+2),MATCH($K$1,[1]characters!$1:$1,0)-MATCH($E$1,[1]characters!$2:$2,0)+2,FALSE)</f>
        <v>ヒューマン</v>
      </c>
      <c r="L10" s="6">
        <v>1</v>
      </c>
      <c r="M10" s="6">
        <v>1072</v>
      </c>
      <c r="N10" s="28">
        <v>0</v>
      </c>
      <c r="O10" s="28">
        <v>0</v>
      </c>
      <c r="P10" s="28">
        <v>0</v>
      </c>
      <c r="Q10" s="28">
        <v>0</v>
      </c>
      <c r="R10" s="28">
        <v>1</v>
      </c>
    </row>
    <row r="11" spans="1:18" ht="21" customHeight="1">
      <c r="A11" s="8" t="str">
        <f t="shared" si="0"/>
        <v>11451</v>
      </c>
      <c r="B11" s="2">
        <v>113</v>
      </c>
      <c r="C11" s="10" t="str">
        <f ca="1">VLOOKUP($B11,OFFSET([2]gachas!$A$2,0,0,COUNTA([2]gachas!$A:$A),MATCH(C$1,[2]gachas!$1:$1,0)-MATCH($B$1,[2]gachas!$1:$1,0)+1),MATCH(C$1,[2]gachas!$1:$1,0)-MATCH($B$1,[2]gachas!$1:$1,0)+1,FALSE)</f>
        <v>ピックアップ02(沖田) 最終日</v>
      </c>
      <c r="D11" s="6">
        <v>1</v>
      </c>
      <c r="E11" s="7">
        <v>145</v>
      </c>
      <c r="F11" s="10" t="str">
        <f ca="1">VLOOKUP($E11,OFFSET([1]characters!$A$2,0,0,COUNTA([1]characters!$A:$A),MATCH(F$1,[1]characters!$2:$2,0)-MATCH($E$1,[1]characters!$2:$2,0)+1),MATCH(F$1,[1]characters!$2:$2,0)-MATCH($E$1,[1]characters!$2:$2,0)+1,FALSE)</f>
        <v>魔性妖艶 かぐや</v>
      </c>
      <c r="G11" s="10" t="str">
        <f ca="1">VLOOKUP($E11,OFFSET([1]characters!$A$2,0,0,COUNTA([1]characters!$A:$A),MATCH(G$1,[1]characters!$2:$2,0)-MATCH($E$1,[1]characters!$2:$2,0)+1),MATCH(G$1,[1]characters!$2:$2,0)-MATCH($E$1,[1]characters!$2:$2,0)+1,FALSE)</f>
        <v>PremiumW</v>
      </c>
      <c r="H11" s="10">
        <f ca="1">VLOOKUP($E11,OFFSET([1]characters!$A$2,0,0,COUNTA([1]characters!$A:$A),MATCH(H$1,[1]characters!$2:$2,0)-MATCH($E$1,[1]characters!$2:$2,0)+1),MATCH(H$1,[1]characters!$2:$2,0)-MATCH($E$1,[1]characters!$2:$2,0)+1,FALSE)</f>
        <v>4</v>
      </c>
      <c r="I11" s="10" t="str">
        <f ca="1">VLOOKUP($E11,OFFSET([1]characters!$A$2,0,0,COUNTA([1]characters!$A:$A),MATCH(I$1,[1]characters!$2:$2,0)-MATCH($E$1,[1]characters!$2:$2,0)+1),MATCH(I$1,[1]characters!$2:$2,0)-MATCH($E$1,[1]characters!$2:$2,0)+1,FALSE)</f>
        <v>green</v>
      </c>
      <c r="J11" s="10" t="str">
        <f ca="1">VLOOKUP($E11,OFFSET([1]characters!$A$2,0,0,COUNTA([1]characters!$A:$A),MATCH("タイプ",[1]characters!$1:$1,0)-MATCH($E$1,[1]characters!$2:$2,0)+2),MATCH("タイプ",[1]characters!$1:$1,0)-MATCH($E$1,[1]characters!$2:$2,0)+2,FALSE)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" s="10" t="str">
        <f ca="1">VLOOKUP($E11,OFFSET([1]characters!$A$2,0,0,COUNTA([1]characters!$A:$A),MATCH($K$1,[1]characters!$1:$1,0)-MATCH($E$1,[1]characters!$2:$2,0)+2),MATCH($K$1,[1]characters!$1:$1,0)-MATCH($E$1,[1]characters!$2:$2,0)+2,FALSE)</f>
        <v>ヒューマン</v>
      </c>
      <c r="L11" s="6">
        <v>1</v>
      </c>
      <c r="M11" s="6">
        <v>1072</v>
      </c>
      <c r="N11" s="28">
        <v>0</v>
      </c>
      <c r="O11" s="28">
        <v>0</v>
      </c>
      <c r="P11" s="28">
        <v>0</v>
      </c>
      <c r="Q11" s="28">
        <v>0</v>
      </c>
      <c r="R11" s="28">
        <v>1</v>
      </c>
    </row>
    <row r="12" spans="1:18" ht="21" customHeight="1">
      <c r="A12" s="8" t="str">
        <f t="shared" si="0"/>
        <v>11471</v>
      </c>
      <c r="B12" s="2">
        <v>113</v>
      </c>
      <c r="C12" s="10" t="str">
        <f ca="1">VLOOKUP($B12,OFFSET([2]gachas!$A$2,0,0,COUNTA([2]gachas!$A:$A),MATCH(C$1,[2]gachas!$1:$1,0)-MATCH($B$1,[2]gachas!$1:$1,0)+1),MATCH(C$1,[2]gachas!$1:$1,0)-MATCH($B$1,[2]gachas!$1:$1,0)+1,FALSE)</f>
        <v>ピックアップ02(沖田) 最終日</v>
      </c>
      <c r="D12" s="6">
        <v>1</v>
      </c>
      <c r="E12" s="7">
        <v>147</v>
      </c>
      <c r="F12" s="10" t="str">
        <f ca="1">VLOOKUP($E12,OFFSET([1]characters!$A$2,0,0,COUNTA([1]characters!$A:$A),MATCH(F$1,[1]characters!$2:$2,0)-MATCH($E$1,[1]characters!$2:$2,0)+1),MATCH(F$1,[1]characters!$2:$2,0)-MATCH($E$1,[1]characters!$2:$2,0)+1,FALSE)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2" s="10" t="str">
        <f ca="1">VLOOKUP($E12,OFFSET([1]characters!$A$2,0,0,COUNTA([1]characters!$A:$A),MATCH(G$1,[1]characters!$2:$2,0)-MATCH($E$1,[1]characters!$2:$2,0)+1),MATCH(G$1,[1]characters!$2:$2,0)-MATCH($E$1,[1]characters!$2:$2,0)+1,FALSE)</f>
        <v>PremiumW</v>
      </c>
      <c r="H12" s="10">
        <f ca="1">VLOOKUP($E12,OFFSET([1]characters!$A$2,0,0,COUNTA([1]characters!$A:$A),MATCH(H$1,[1]characters!$2:$2,0)-MATCH($E$1,[1]characters!$2:$2,0)+1),MATCH(H$1,[1]characters!$2:$2,0)-MATCH($E$1,[1]characters!$2:$2,0)+1,FALSE)</f>
        <v>4</v>
      </c>
      <c r="I12" s="10" t="str">
        <f ca="1">VLOOKUP($E12,OFFSET([1]characters!$A$2,0,0,COUNTA([1]characters!$A:$A),MATCH(I$1,[1]characters!$2:$2,0)-MATCH($E$1,[1]characters!$2:$2,0)+1),MATCH(I$1,[1]characters!$2:$2,0)-MATCH($E$1,[1]characters!$2:$2,0)+1,FALSE)</f>
        <v>blue</v>
      </c>
      <c r="J12" s="10" t="str">
        <f ca="1">VLOOKUP($E12,OFFSET([1]characters!$A$2,0,0,COUNTA([1]characters!$A:$A),MATCH("タイプ",[1]characters!$1:$1,0)-MATCH($E$1,[1]characters!$2:$2,0)+2),MATCH("タイプ",[1]characters!$1:$1,0)-MATCH($E$1,[1]characters!$2:$2,0)+2,FALSE)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" s="10" t="str">
        <f ca="1">VLOOKUP($E12,OFFSET([1]characters!$A$2,0,0,COUNTA([1]characters!$A:$A),MATCH($K$1,[1]characters!$1:$1,0)-MATCH($E$1,[1]characters!$2:$2,0)+2),MATCH($K$1,[1]characters!$1:$1,0)-MATCH($E$1,[1]characters!$2:$2,0)+2,FALSE)</f>
        <v>ヒューマン</v>
      </c>
      <c r="L12" s="6">
        <v>1</v>
      </c>
      <c r="M12" s="6">
        <v>1072</v>
      </c>
      <c r="N12" s="28">
        <v>0</v>
      </c>
      <c r="O12" s="28">
        <v>0</v>
      </c>
      <c r="P12" s="28">
        <v>0</v>
      </c>
      <c r="Q12" s="28">
        <v>0</v>
      </c>
      <c r="R12" s="28">
        <v>1</v>
      </c>
    </row>
    <row r="13" spans="1:18" ht="21" customHeight="1">
      <c r="A13" s="8" t="str">
        <f t="shared" si="0"/>
        <v>11491</v>
      </c>
      <c r="B13" s="2">
        <v>113</v>
      </c>
      <c r="C13" s="10" t="str">
        <f ca="1">VLOOKUP($B13,OFFSET([2]gachas!$A$2,0,0,COUNTA([2]gachas!$A:$A),MATCH(C$1,[2]gachas!$1:$1,0)-MATCH($B$1,[2]gachas!$1:$1,0)+1),MATCH(C$1,[2]gachas!$1:$1,0)-MATCH($B$1,[2]gachas!$1:$1,0)+1,FALSE)</f>
        <v>ピックアップ02(沖田) 最終日</v>
      </c>
      <c r="D13" s="6">
        <v>1</v>
      </c>
      <c r="E13" s="7">
        <v>149</v>
      </c>
      <c r="F13" s="10" t="str">
        <f ca="1">VLOOKUP($E13,OFFSET([1]characters!$A$2,0,0,COUNTA([1]characters!$A:$A),MATCH(F$1,[1]characters!$2:$2,0)-MATCH($E$1,[1]characters!$2:$2,0)+1),MATCH(F$1,[1]characters!$2:$2,0)-MATCH($E$1,[1]characters!$2:$2,0)+1,FALSE)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3" s="10" t="str">
        <f ca="1">VLOOKUP($E13,OFFSET([1]characters!$A$2,0,0,COUNTA([1]characters!$A:$A),MATCH(G$1,[1]characters!$2:$2,0)-MATCH($E$1,[1]characters!$2:$2,0)+1),MATCH(G$1,[1]characters!$2:$2,0)-MATCH($E$1,[1]characters!$2:$2,0)+1,FALSE)</f>
        <v>PremiumW</v>
      </c>
      <c r="H13" s="10">
        <f ca="1">VLOOKUP($E13,OFFSET([1]characters!$A$2,0,0,COUNTA([1]characters!$A:$A),MATCH(H$1,[1]characters!$2:$2,0)-MATCH($E$1,[1]characters!$2:$2,0)+1),MATCH(H$1,[1]characters!$2:$2,0)-MATCH($E$1,[1]characters!$2:$2,0)+1,FALSE)</f>
        <v>4</v>
      </c>
      <c r="I13" s="10" t="str">
        <f ca="1">VLOOKUP($E13,OFFSET([1]characters!$A$2,0,0,COUNTA([1]characters!$A:$A),MATCH(I$1,[1]characters!$2:$2,0)-MATCH($E$1,[1]characters!$2:$2,0)+1),MATCH(I$1,[1]characters!$2:$2,0)-MATCH($E$1,[1]characters!$2:$2,0)+1,FALSE)</f>
        <v>yellow</v>
      </c>
      <c r="J13" s="10" t="str">
        <f ca="1">VLOOKUP($E13,OFFSET([1]characters!$A$2,0,0,COUNTA([1]characters!$A:$A),MATCH("タイプ",[1]characters!$1:$1,0)-MATCH($E$1,[1]characters!$2:$2,0)+2),MATCH("タイプ",[1]characters!$1:$1,0)-MATCH($E$1,[1]characters!$2:$2,0)+2,FALSE)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" s="10" t="str">
        <f ca="1">VLOOKUP($E13,OFFSET([1]characters!$A$2,0,0,COUNTA([1]characters!$A:$A),MATCH($K$1,[1]characters!$1:$1,0)-MATCH($E$1,[1]characters!$2:$2,0)+2),MATCH($K$1,[1]characters!$1:$1,0)-MATCH($E$1,[1]characters!$2:$2,0)+2,FALSE)</f>
        <v>ヒューマン</v>
      </c>
      <c r="L13" s="6">
        <v>1</v>
      </c>
      <c r="M13" s="6">
        <v>1072</v>
      </c>
      <c r="N13" s="28">
        <v>0</v>
      </c>
      <c r="O13" s="28">
        <v>0</v>
      </c>
      <c r="P13" s="28">
        <v>0</v>
      </c>
      <c r="Q13" s="28">
        <v>0</v>
      </c>
      <c r="R13" s="28">
        <v>1</v>
      </c>
    </row>
    <row r="14" spans="1:18" ht="21" customHeight="1">
      <c r="A14" s="8" t="str">
        <f t="shared" si="0"/>
        <v>11511</v>
      </c>
      <c r="B14" s="2">
        <v>113</v>
      </c>
      <c r="C14" s="10" t="str">
        <f ca="1">VLOOKUP($B14,OFFSET([2]gachas!$A$2,0,0,COUNTA([2]gachas!$A:$A),MATCH(C$1,[2]gachas!$1:$1,0)-MATCH($B$1,[2]gachas!$1:$1,0)+1),MATCH(C$1,[2]gachas!$1:$1,0)-MATCH($B$1,[2]gachas!$1:$1,0)+1,FALSE)</f>
        <v>ピックアップ02(沖田) 最終日</v>
      </c>
      <c r="D14" s="6">
        <v>1</v>
      </c>
      <c r="E14" s="7">
        <v>151</v>
      </c>
      <c r="F14" s="10" t="str">
        <f ca="1">VLOOKUP($E14,OFFSET([1]characters!$A$2,0,0,COUNTA([1]characters!$A:$A),MATCH(F$1,[1]characters!$2:$2,0)-MATCH($E$1,[1]characters!$2:$2,0)+1),MATCH(F$1,[1]characters!$2:$2,0)-MATCH($E$1,[1]characters!$2:$2,0)+1,FALSE)</f>
        <v>毒煙の処刑人サキ</v>
      </c>
      <c r="G14" s="10" t="str">
        <f ca="1">VLOOKUP($E14,OFFSET([1]characters!$A$2,0,0,COUNTA([1]characters!$A:$A),MATCH(G$1,[1]characters!$2:$2,0)-MATCH($E$1,[1]characters!$2:$2,0)+1),MATCH(G$1,[1]characters!$2:$2,0)-MATCH($E$1,[1]characters!$2:$2,0)+1,FALSE)</f>
        <v>PremiumW</v>
      </c>
      <c r="H14" s="10">
        <f ca="1">VLOOKUP($E14,OFFSET([1]characters!$A$2,0,0,COUNTA([1]characters!$A:$A),MATCH(H$1,[1]characters!$2:$2,0)-MATCH($E$1,[1]characters!$2:$2,0)+1),MATCH(H$1,[1]characters!$2:$2,0)-MATCH($E$1,[1]characters!$2:$2,0)+1,FALSE)</f>
        <v>4</v>
      </c>
      <c r="I14" s="10" t="str">
        <f ca="1">VLOOKUP($E14,OFFSET([1]characters!$A$2,0,0,COUNTA([1]characters!$A:$A),MATCH(I$1,[1]characters!$2:$2,0)-MATCH($E$1,[1]characters!$2:$2,0)+1),MATCH(I$1,[1]characters!$2:$2,0)-MATCH($E$1,[1]characters!$2:$2,0)+1,FALSE)</f>
        <v>red</v>
      </c>
      <c r="J14" s="10" t="str">
        <f ca="1">VLOOKUP($E14,OFFSET([1]characters!$A$2,0,0,COUNTA([1]characters!$A:$A),MATCH("タイプ",[1]characters!$1:$1,0)-MATCH($E$1,[1]characters!$2:$2,0)+2),MATCH("タイプ",[1]characters!$1:$1,0)-MATCH($E$1,[1]characters!$2:$2,0)+2,FALSE)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" s="10" t="str">
        <f ca="1">VLOOKUP($E14,OFFSET([1]characters!$A$2,0,0,COUNTA([1]characters!$A:$A),MATCH($K$1,[1]characters!$1:$1,0)-MATCH($E$1,[1]characters!$2:$2,0)+2),MATCH($K$1,[1]characters!$1:$1,0)-MATCH($E$1,[1]characters!$2:$2,0)+2,FALSE)</f>
        <v>ヒューマン</v>
      </c>
      <c r="L14" s="6">
        <v>1</v>
      </c>
      <c r="M14" s="6">
        <v>1072</v>
      </c>
      <c r="N14" s="28">
        <v>0</v>
      </c>
      <c r="O14" s="28">
        <v>0</v>
      </c>
      <c r="P14" s="28">
        <v>0</v>
      </c>
      <c r="Q14" s="28">
        <v>0</v>
      </c>
      <c r="R14" s="28">
        <v>1</v>
      </c>
    </row>
    <row r="15" spans="1:18" ht="21" customHeight="1">
      <c r="A15" s="8" t="str">
        <f t="shared" si="0"/>
        <v>11531</v>
      </c>
      <c r="B15" s="2">
        <v>113</v>
      </c>
      <c r="C15" s="10" t="str">
        <f ca="1">VLOOKUP($B15,OFFSET([2]gachas!$A$2,0,0,COUNTA([2]gachas!$A:$A),MATCH(C$1,[2]gachas!$1:$1,0)-MATCH($B$1,[2]gachas!$1:$1,0)+1),MATCH(C$1,[2]gachas!$1:$1,0)-MATCH($B$1,[2]gachas!$1:$1,0)+1,FALSE)</f>
        <v>ピックアップ02(沖田) 最終日</v>
      </c>
      <c r="D15" s="6">
        <v>1</v>
      </c>
      <c r="E15" s="7">
        <v>153</v>
      </c>
      <c r="F15" s="10" t="str">
        <f ca="1">VLOOKUP($E15,OFFSET([1]characters!$A$2,0,0,COUNTA([1]characters!$A:$A),MATCH(F$1,[1]characters!$2:$2,0)-MATCH($E$1,[1]characters!$2:$2,0)+1),MATCH(F$1,[1]characters!$2:$2,0)-MATCH($E$1,[1]characters!$2:$2,0)+1,FALSE)</f>
        <v>拳聖ランラン</v>
      </c>
      <c r="G15" s="10" t="str">
        <f ca="1">VLOOKUP($E15,OFFSET([1]characters!$A$2,0,0,COUNTA([1]characters!$A:$A),MATCH(G$1,[1]characters!$2:$2,0)-MATCH($E$1,[1]characters!$2:$2,0)+1),MATCH(G$1,[1]characters!$2:$2,0)-MATCH($E$1,[1]characters!$2:$2,0)+1,FALSE)</f>
        <v>PremiumW</v>
      </c>
      <c r="H15" s="10">
        <f ca="1">VLOOKUP($E15,OFFSET([1]characters!$A$2,0,0,COUNTA([1]characters!$A:$A),MATCH(H$1,[1]characters!$2:$2,0)-MATCH($E$1,[1]characters!$2:$2,0)+1),MATCH(H$1,[1]characters!$2:$2,0)-MATCH($E$1,[1]characters!$2:$2,0)+1,FALSE)</f>
        <v>4</v>
      </c>
      <c r="I15" s="10" t="str">
        <f ca="1">VLOOKUP($E15,OFFSET([1]characters!$A$2,0,0,COUNTA([1]characters!$A:$A),MATCH(I$1,[1]characters!$2:$2,0)-MATCH($E$1,[1]characters!$2:$2,0)+1),MATCH(I$1,[1]characters!$2:$2,0)-MATCH($E$1,[1]characters!$2:$2,0)+1,FALSE)</f>
        <v>green</v>
      </c>
      <c r="J15" s="10" t="str">
        <f ca="1">VLOOKUP($E15,OFFSET([1]characters!$A$2,0,0,COUNTA([1]characters!$A:$A),MATCH("タイプ",[1]characters!$1:$1,0)-MATCH($E$1,[1]characters!$2:$2,0)+2),MATCH("タイプ",[1]characters!$1:$1,0)-MATCH($E$1,[1]characters!$2:$2,0)+2,FALSE)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5" s="10" t="str">
        <f ca="1">VLOOKUP($E15,OFFSET([1]characters!$A$2,0,0,COUNTA([1]characters!$A:$A),MATCH($K$1,[1]characters!$1:$1,0)-MATCH($E$1,[1]characters!$2:$2,0)+2),MATCH($K$1,[1]characters!$1:$1,0)-MATCH($E$1,[1]characters!$2:$2,0)+2,FALSE)</f>
        <v>ヒューマン</v>
      </c>
      <c r="L15" s="6">
        <v>1</v>
      </c>
      <c r="M15" s="6">
        <v>1072</v>
      </c>
      <c r="N15" s="28">
        <v>0</v>
      </c>
      <c r="O15" s="28">
        <v>0</v>
      </c>
      <c r="P15" s="28">
        <v>0</v>
      </c>
      <c r="Q15" s="28">
        <v>0</v>
      </c>
      <c r="R15" s="28">
        <v>1</v>
      </c>
    </row>
    <row r="16" spans="1:18" ht="21" customHeight="1">
      <c r="A16" s="8" t="str">
        <f t="shared" si="0"/>
        <v>11551</v>
      </c>
      <c r="B16" s="2">
        <v>113</v>
      </c>
      <c r="C16" s="10" t="str">
        <f ca="1">VLOOKUP($B16,OFFSET([2]gachas!$A$2,0,0,COUNTA([2]gachas!$A:$A),MATCH(C$1,[2]gachas!$1:$1,0)-MATCH($B$1,[2]gachas!$1:$1,0)+1),MATCH(C$1,[2]gachas!$1:$1,0)-MATCH($B$1,[2]gachas!$1:$1,0)+1,FALSE)</f>
        <v>ピックアップ02(沖田) 最終日</v>
      </c>
      <c r="D16" s="6">
        <v>1</v>
      </c>
      <c r="E16" s="7">
        <v>155</v>
      </c>
      <c r="F16" s="10" t="str">
        <f ca="1">VLOOKUP($E16,OFFSET([1]characters!$A$2,0,0,COUNTA([1]characters!$A:$A),MATCH(F$1,[1]characters!$2:$2,0)-MATCH($E$1,[1]characters!$2:$2,0)+1),MATCH(F$1,[1]characters!$2:$2,0)-MATCH($E$1,[1]characters!$2:$2,0)+1,FALSE)</f>
        <v>隻眼の掃除屋 ハンナ</v>
      </c>
      <c r="G16" s="10" t="str">
        <f ca="1">VLOOKUP($E16,OFFSET([1]characters!$A$2,0,0,COUNTA([1]characters!$A:$A),MATCH(G$1,[1]characters!$2:$2,0)-MATCH($E$1,[1]characters!$2:$2,0)+1),MATCH(G$1,[1]characters!$2:$2,0)-MATCH($E$1,[1]characters!$2:$2,0)+1,FALSE)</f>
        <v>PremiumW</v>
      </c>
      <c r="H16" s="10">
        <f ca="1">VLOOKUP($E16,OFFSET([1]characters!$A$2,0,0,COUNTA([1]characters!$A:$A),MATCH(H$1,[1]characters!$2:$2,0)-MATCH($E$1,[1]characters!$2:$2,0)+1),MATCH(H$1,[1]characters!$2:$2,0)-MATCH($E$1,[1]characters!$2:$2,0)+1,FALSE)</f>
        <v>4</v>
      </c>
      <c r="I16" s="10" t="str">
        <f ca="1">VLOOKUP($E16,OFFSET([1]characters!$A$2,0,0,COUNTA([1]characters!$A:$A),MATCH(I$1,[1]characters!$2:$2,0)-MATCH($E$1,[1]characters!$2:$2,0)+1),MATCH(I$1,[1]characters!$2:$2,0)-MATCH($E$1,[1]characters!$2:$2,0)+1,FALSE)</f>
        <v>blue</v>
      </c>
      <c r="J16" s="10" t="str">
        <f ca="1">VLOOKUP($E16,OFFSET([1]characters!$A$2,0,0,COUNTA([1]characters!$A:$A),MATCH("タイプ",[1]characters!$1:$1,0)-MATCH($E$1,[1]characters!$2:$2,0)+2),MATCH("タイプ",[1]characters!$1:$1,0)-MATCH($E$1,[1]characters!$2:$2,0)+2,FALSE)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6" s="10" t="str">
        <f ca="1">VLOOKUP($E16,OFFSET([1]characters!$A$2,0,0,COUNTA([1]characters!$A:$A),MATCH($K$1,[1]characters!$1:$1,0)-MATCH($E$1,[1]characters!$2:$2,0)+2),MATCH($K$1,[1]characters!$1:$1,0)-MATCH($E$1,[1]characters!$2:$2,0)+2,FALSE)</f>
        <v>ヒューマン</v>
      </c>
      <c r="L16" s="6">
        <v>1</v>
      </c>
      <c r="M16" s="6">
        <v>1072</v>
      </c>
      <c r="N16" s="28">
        <v>0</v>
      </c>
      <c r="O16" s="28">
        <v>0</v>
      </c>
      <c r="P16" s="28">
        <v>0</v>
      </c>
      <c r="Q16" s="28">
        <v>0</v>
      </c>
      <c r="R16" s="28">
        <v>1</v>
      </c>
    </row>
    <row r="17" spans="1:18" ht="21" customHeight="1">
      <c r="A17" s="8" t="str">
        <f t="shared" si="0"/>
        <v>11571</v>
      </c>
      <c r="B17" s="2">
        <v>113</v>
      </c>
      <c r="C17" s="10" t="str">
        <f ca="1">VLOOKUP($B17,OFFSET([2]gachas!$A$2,0,0,COUNTA([2]gachas!$A:$A),MATCH(C$1,[2]gachas!$1:$1,0)-MATCH($B$1,[2]gachas!$1:$1,0)+1),MATCH(C$1,[2]gachas!$1:$1,0)-MATCH($B$1,[2]gachas!$1:$1,0)+1,FALSE)</f>
        <v>ピックアップ02(沖田) 最終日</v>
      </c>
      <c r="D17" s="6">
        <v>1</v>
      </c>
      <c r="E17" s="7">
        <v>157</v>
      </c>
      <c r="F17" s="10" t="str">
        <f ca="1">VLOOKUP($E17,OFFSET([1]characters!$A$2,0,0,COUNTA([1]characters!$A:$A),MATCH(F$1,[1]characters!$2:$2,0)-MATCH($E$1,[1]characters!$2:$2,0)+1),MATCH(F$1,[1]characters!$2:$2,0)-MATCH($E$1,[1]characters!$2:$2,0)+1,FALSE)</f>
        <v>雷光舞姫 エレナ</v>
      </c>
      <c r="G17" s="10" t="str">
        <f ca="1">VLOOKUP($E17,OFFSET([1]characters!$A$2,0,0,COUNTA([1]characters!$A:$A),MATCH(G$1,[1]characters!$2:$2,0)-MATCH($E$1,[1]characters!$2:$2,0)+1),MATCH(G$1,[1]characters!$2:$2,0)-MATCH($E$1,[1]characters!$2:$2,0)+1,FALSE)</f>
        <v>PremiumW</v>
      </c>
      <c r="H17" s="10">
        <f ca="1">VLOOKUP($E17,OFFSET([1]characters!$A$2,0,0,COUNTA([1]characters!$A:$A),MATCH(H$1,[1]characters!$2:$2,0)-MATCH($E$1,[1]characters!$2:$2,0)+1),MATCH(H$1,[1]characters!$2:$2,0)-MATCH($E$1,[1]characters!$2:$2,0)+1,FALSE)</f>
        <v>4</v>
      </c>
      <c r="I17" s="10" t="str">
        <f ca="1">VLOOKUP($E17,OFFSET([1]characters!$A$2,0,0,COUNTA([1]characters!$A:$A),MATCH(I$1,[1]characters!$2:$2,0)-MATCH($E$1,[1]characters!$2:$2,0)+1),MATCH(I$1,[1]characters!$2:$2,0)-MATCH($E$1,[1]characters!$2:$2,0)+1,FALSE)</f>
        <v>yellow</v>
      </c>
      <c r="J17" s="10" t="str">
        <f ca="1">VLOOKUP($E17,OFFSET([1]characters!$A$2,0,0,COUNTA([1]characters!$A:$A),MATCH("タイプ",[1]characters!$1:$1,0)-MATCH($E$1,[1]characters!$2:$2,0)+2),MATCH("タイプ",[1]characters!$1:$1,0)-MATCH($E$1,[1]characters!$2:$2,0)+2,FALSE)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7" s="10" t="str">
        <f ca="1">VLOOKUP($E17,OFFSET([1]characters!$A$2,0,0,COUNTA([1]characters!$A:$A),MATCH($K$1,[1]characters!$1:$1,0)-MATCH($E$1,[1]characters!$2:$2,0)+2),MATCH($K$1,[1]characters!$1:$1,0)-MATCH($E$1,[1]characters!$2:$2,0)+2,FALSE)</f>
        <v>ヒューマン</v>
      </c>
      <c r="L17" s="6">
        <v>1</v>
      </c>
      <c r="M17" s="6">
        <v>1072</v>
      </c>
      <c r="N17" s="28">
        <v>0</v>
      </c>
      <c r="O17" s="28">
        <v>0</v>
      </c>
      <c r="P17" s="28">
        <v>0</v>
      </c>
      <c r="Q17" s="28">
        <v>0</v>
      </c>
      <c r="R17" s="28">
        <v>1</v>
      </c>
    </row>
    <row r="18" spans="1:18" ht="21" customHeight="1">
      <c r="A18" s="8" t="str">
        <f t="shared" si="0"/>
        <v>11591</v>
      </c>
      <c r="B18" s="2">
        <v>113</v>
      </c>
      <c r="C18" s="10" t="str">
        <f ca="1">VLOOKUP($B18,OFFSET([2]gachas!$A$2,0,0,COUNTA([2]gachas!$A:$A),MATCH(C$1,[2]gachas!$1:$1,0)-MATCH($B$1,[2]gachas!$1:$1,0)+1),MATCH(C$1,[2]gachas!$1:$1,0)-MATCH($B$1,[2]gachas!$1:$1,0)+1,FALSE)</f>
        <v>ピックアップ02(沖田) 最終日</v>
      </c>
      <c r="D18" s="6">
        <v>1</v>
      </c>
      <c r="E18" s="7">
        <v>159</v>
      </c>
      <c r="F18" s="10" t="str">
        <f ca="1">VLOOKUP($E18,OFFSET([1]characters!$A$2,0,0,COUNTA([1]characters!$A:$A),MATCH(F$1,[1]characters!$2:$2,0)-MATCH($E$1,[1]characters!$2:$2,0)+1),MATCH(F$1,[1]characters!$2:$2,0)-MATCH($E$1,[1]characters!$2:$2,0)+1,FALSE)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8" s="10" t="str">
        <f ca="1">VLOOKUP($E18,OFFSET([1]characters!$A$2,0,0,COUNTA([1]characters!$A:$A),MATCH(G$1,[1]characters!$2:$2,0)-MATCH($E$1,[1]characters!$2:$2,0)+1),MATCH(G$1,[1]characters!$2:$2,0)-MATCH($E$1,[1]characters!$2:$2,0)+1,FALSE)</f>
        <v>PremiumW</v>
      </c>
      <c r="H18" s="10">
        <f ca="1">VLOOKUP($E18,OFFSET([1]characters!$A$2,0,0,COUNTA([1]characters!$A:$A),MATCH(H$1,[1]characters!$2:$2,0)-MATCH($E$1,[1]characters!$2:$2,0)+1),MATCH(H$1,[1]characters!$2:$2,0)-MATCH($E$1,[1]characters!$2:$2,0)+1,FALSE)</f>
        <v>4</v>
      </c>
      <c r="I18" s="10" t="str">
        <f ca="1">VLOOKUP($E18,OFFSET([1]characters!$A$2,0,0,COUNTA([1]characters!$A:$A),MATCH(I$1,[1]characters!$2:$2,0)-MATCH($E$1,[1]characters!$2:$2,0)+1),MATCH(I$1,[1]characters!$2:$2,0)-MATCH($E$1,[1]characters!$2:$2,0)+1,FALSE)</f>
        <v>red</v>
      </c>
      <c r="J18" s="10" t="str">
        <f ca="1">VLOOKUP($E18,OFFSET([1]characters!$A$2,0,0,COUNTA([1]characters!$A:$A),MATCH("タイプ",[1]characters!$1:$1,0)-MATCH($E$1,[1]characters!$2:$2,0)+2),MATCH("タイプ",[1]characters!$1:$1,0)-MATCH($E$1,[1]characters!$2:$2,0)+2,FALSE)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8" s="10" t="str">
        <f ca="1">VLOOKUP($E18,OFFSET([1]characters!$A$2,0,0,COUNTA([1]characters!$A:$A),MATCH($K$1,[1]characters!$1:$1,0)-MATCH($E$1,[1]characters!$2:$2,0)+2),MATCH($K$1,[1]characters!$1:$1,0)-MATCH($E$1,[1]characters!$2:$2,0)+2,FALSE)</f>
        <v>ヒューマン</v>
      </c>
      <c r="L18" s="6">
        <v>1</v>
      </c>
      <c r="M18" s="6">
        <v>1072</v>
      </c>
      <c r="N18" s="28">
        <v>0</v>
      </c>
      <c r="O18" s="28">
        <v>0</v>
      </c>
      <c r="P18" s="28">
        <v>0</v>
      </c>
      <c r="Q18" s="28">
        <v>0</v>
      </c>
      <c r="R18" s="28">
        <v>1</v>
      </c>
    </row>
    <row r="19" spans="1:18" ht="21" customHeight="1">
      <c r="A19" s="8" t="str">
        <f t="shared" si="0"/>
        <v>11611</v>
      </c>
      <c r="B19" s="2">
        <v>113</v>
      </c>
      <c r="C19" s="10" t="str">
        <f ca="1">VLOOKUP($B19,OFFSET([2]gachas!$A$2,0,0,COUNTA([2]gachas!$A:$A),MATCH(C$1,[2]gachas!$1:$1,0)-MATCH($B$1,[2]gachas!$1:$1,0)+1),MATCH(C$1,[2]gachas!$1:$1,0)-MATCH($B$1,[2]gachas!$1:$1,0)+1,FALSE)</f>
        <v>ピックアップ02(沖田) 最終日</v>
      </c>
      <c r="D19" s="6">
        <v>1</v>
      </c>
      <c r="E19" s="7">
        <v>161</v>
      </c>
      <c r="F19" s="10" t="str">
        <f ca="1">VLOOKUP($E19,OFFSET([1]characters!$A$2,0,0,COUNTA([1]characters!$A:$A),MATCH(F$1,[1]characters!$2:$2,0)-MATCH($E$1,[1]characters!$2:$2,0)+1),MATCH(F$1,[1]characters!$2:$2,0)-MATCH($E$1,[1]characters!$2:$2,0)+1,FALSE)</f>
        <v>咆哮の先導者 クリエ</v>
      </c>
      <c r="G19" s="10" t="str">
        <f ca="1">VLOOKUP($E19,OFFSET([1]characters!$A$2,0,0,COUNTA([1]characters!$A:$A),MATCH(G$1,[1]characters!$2:$2,0)-MATCH($E$1,[1]characters!$2:$2,0)+1),MATCH(G$1,[1]characters!$2:$2,0)-MATCH($E$1,[1]characters!$2:$2,0)+1,FALSE)</f>
        <v>PremiumW</v>
      </c>
      <c r="H19" s="10">
        <f ca="1">VLOOKUP($E19,OFFSET([1]characters!$A$2,0,0,COUNTA([1]characters!$A:$A),MATCH(H$1,[1]characters!$2:$2,0)-MATCH($E$1,[1]characters!$2:$2,0)+1),MATCH(H$1,[1]characters!$2:$2,0)-MATCH($E$1,[1]characters!$2:$2,0)+1,FALSE)</f>
        <v>4</v>
      </c>
      <c r="I19" s="10" t="str">
        <f ca="1">VLOOKUP($E19,OFFSET([1]characters!$A$2,0,0,COUNTA([1]characters!$A:$A),MATCH(I$1,[1]characters!$2:$2,0)-MATCH($E$1,[1]characters!$2:$2,0)+1),MATCH(I$1,[1]characters!$2:$2,0)-MATCH($E$1,[1]characters!$2:$2,0)+1,FALSE)</f>
        <v>green</v>
      </c>
      <c r="J19" s="10" t="str">
        <f ca="1">VLOOKUP($E19,OFFSET([1]characters!$A$2,0,0,COUNTA([1]characters!$A:$A),MATCH("タイプ",[1]characters!$1:$1,0)-MATCH($E$1,[1]characters!$2:$2,0)+2),MATCH("タイプ",[1]characters!$1:$1,0)-MATCH($E$1,[1]characters!$2:$2,0)+2,FALSE)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9" s="10" t="str">
        <f ca="1">VLOOKUP($E19,OFFSET([1]characters!$A$2,0,0,COUNTA([1]characters!$A:$A),MATCH($K$1,[1]characters!$1:$1,0)-MATCH($E$1,[1]characters!$2:$2,0)+2),MATCH($K$1,[1]characters!$1:$1,0)-MATCH($E$1,[1]characters!$2:$2,0)+2,FALSE)</f>
        <v>ヒューマン</v>
      </c>
      <c r="L19" s="6">
        <v>1</v>
      </c>
      <c r="M19" s="6">
        <v>1072</v>
      </c>
      <c r="N19" s="28">
        <v>0</v>
      </c>
      <c r="O19" s="28">
        <v>0</v>
      </c>
      <c r="P19" s="28">
        <v>0</v>
      </c>
      <c r="Q19" s="28">
        <v>0</v>
      </c>
      <c r="R19" s="28">
        <v>1</v>
      </c>
    </row>
    <row r="20" spans="1:18" ht="21" customHeight="1">
      <c r="A20" s="8" t="str">
        <f t="shared" si="0"/>
        <v>11631</v>
      </c>
      <c r="B20" s="2">
        <v>113</v>
      </c>
      <c r="C20" s="10" t="str">
        <f ca="1">VLOOKUP($B20,OFFSET([2]gachas!$A$2,0,0,COUNTA([2]gachas!$A:$A),MATCH(C$1,[2]gachas!$1:$1,0)-MATCH($B$1,[2]gachas!$1:$1,0)+1),MATCH(C$1,[2]gachas!$1:$1,0)-MATCH($B$1,[2]gachas!$1:$1,0)+1,FALSE)</f>
        <v>ピックアップ02(沖田) 最終日</v>
      </c>
      <c r="D20" s="6">
        <v>1</v>
      </c>
      <c r="E20" s="7">
        <v>163</v>
      </c>
      <c r="F20" s="10" t="str">
        <f ca="1">VLOOKUP($E20,OFFSET([1]characters!$A$2,0,0,COUNTA([1]characters!$A:$A),MATCH(F$1,[1]characters!$2:$2,0)-MATCH($E$1,[1]characters!$2:$2,0)+1),MATCH(F$1,[1]characters!$2:$2,0)-MATCH($E$1,[1]characters!$2:$2,0)+1,FALSE)</f>
        <v>冷酷な狂嬢 クララ</v>
      </c>
      <c r="G20" s="10" t="str">
        <f ca="1">VLOOKUP($E20,OFFSET([1]characters!$A$2,0,0,COUNTA([1]characters!$A:$A),MATCH(G$1,[1]characters!$2:$2,0)-MATCH($E$1,[1]characters!$2:$2,0)+1),MATCH(G$1,[1]characters!$2:$2,0)-MATCH($E$1,[1]characters!$2:$2,0)+1,FALSE)</f>
        <v>PremiumW</v>
      </c>
      <c r="H20" s="10">
        <f ca="1">VLOOKUP($E20,OFFSET([1]characters!$A$2,0,0,COUNTA([1]characters!$A:$A),MATCH(H$1,[1]characters!$2:$2,0)-MATCH($E$1,[1]characters!$2:$2,0)+1),MATCH(H$1,[1]characters!$2:$2,0)-MATCH($E$1,[1]characters!$2:$2,0)+1,FALSE)</f>
        <v>4</v>
      </c>
      <c r="I20" s="10" t="str">
        <f ca="1">VLOOKUP($E20,OFFSET([1]characters!$A$2,0,0,COUNTA([1]characters!$A:$A),MATCH(I$1,[1]characters!$2:$2,0)-MATCH($E$1,[1]characters!$2:$2,0)+1),MATCH(I$1,[1]characters!$2:$2,0)-MATCH($E$1,[1]characters!$2:$2,0)+1,FALSE)</f>
        <v>blue</v>
      </c>
      <c r="J20" s="10" t="str">
        <f ca="1">VLOOKUP($E20,OFFSET([1]characters!$A$2,0,0,COUNTA([1]characters!$A:$A),MATCH("タイプ",[1]characters!$1:$1,0)-MATCH($E$1,[1]characters!$2:$2,0)+2),MATCH("タイプ",[1]characters!$1:$1,0)-MATCH($E$1,[1]characters!$2:$2,0)+2,FALSE)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0" s="10" t="str">
        <f ca="1">VLOOKUP($E20,OFFSET([1]characters!$A$2,0,0,COUNTA([1]characters!$A:$A),MATCH($K$1,[1]characters!$1:$1,0)-MATCH($E$1,[1]characters!$2:$2,0)+2),MATCH($K$1,[1]characters!$1:$1,0)-MATCH($E$1,[1]characters!$2:$2,0)+2,FALSE)</f>
        <v>ヒューマン</v>
      </c>
      <c r="L20" s="6">
        <v>1</v>
      </c>
      <c r="M20" s="6">
        <v>1072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</row>
    <row r="21" spans="1:18" ht="21" customHeight="1">
      <c r="A21" s="8" t="str">
        <f t="shared" si="0"/>
        <v>11651</v>
      </c>
      <c r="B21" s="2">
        <v>113</v>
      </c>
      <c r="C21" s="10" t="str">
        <f ca="1">VLOOKUP($B21,OFFSET([2]gachas!$A$2,0,0,COUNTA([2]gachas!$A:$A),MATCH(C$1,[2]gachas!$1:$1,0)-MATCH($B$1,[2]gachas!$1:$1,0)+1),MATCH(C$1,[2]gachas!$1:$1,0)-MATCH($B$1,[2]gachas!$1:$1,0)+1,FALSE)</f>
        <v>ピックアップ02(沖田) 最終日</v>
      </c>
      <c r="D21" s="6">
        <v>1</v>
      </c>
      <c r="E21" s="7">
        <v>165</v>
      </c>
      <c r="F21" s="10" t="str">
        <f ca="1">VLOOKUP($E21,OFFSET([1]characters!$A$2,0,0,COUNTA([1]characters!$A:$A),MATCH(F$1,[1]characters!$2:$2,0)-MATCH($E$1,[1]characters!$2:$2,0)+1),MATCH(F$1,[1]characters!$2:$2,0)-MATCH($E$1,[1]characters!$2:$2,0)+1,FALSE)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21" s="10" t="str">
        <f ca="1">VLOOKUP($E21,OFFSET([1]characters!$A$2,0,0,COUNTA([1]characters!$A:$A),MATCH(G$1,[1]characters!$2:$2,0)-MATCH($E$1,[1]characters!$2:$2,0)+1),MATCH(G$1,[1]characters!$2:$2,0)-MATCH($E$1,[1]characters!$2:$2,0)+1,FALSE)</f>
        <v>PremiumW</v>
      </c>
      <c r="H21" s="10">
        <f ca="1">VLOOKUP($E21,OFFSET([1]characters!$A$2,0,0,COUNTA([1]characters!$A:$A),MATCH(H$1,[1]characters!$2:$2,0)-MATCH($E$1,[1]characters!$2:$2,0)+1),MATCH(H$1,[1]characters!$2:$2,0)-MATCH($E$1,[1]characters!$2:$2,0)+1,FALSE)</f>
        <v>4</v>
      </c>
      <c r="I21" s="10" t="str">
        <f ca="1">VLOOKUP($E21,OFFSET([1]characters!$A$2,0,0,COUNTA([1]characters!$A:$A),MATCH(I$1,[1]characters!$2:$2,0)-MATCH($E$1,[1]characters!$2:$2,0)+1),MATCH(I$1,[1]characters!$2:$2,0)-MATCH($E$1,[1]characters!$2:$2,0)+1,FALSE)</f>
        <v>yellow</v>
      </c>
      <c r="J21" s="10" t="str">
        <f ca="1">VLOOKUP($E21,OFFSET([1]characters!$A$2,0,0,COUNTA([1]characters!$A:$A),MATCH("タイプ",[1]characters!$1:$1,0)-MATCH($E$1,[1]characters!$2:$2,0)+2),MATCH("タイプ",[1]characters!$1:$1,0)-MATCH($E$1,[1]characters!$2:$2,0)+2,FALSE)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21" s="10" t="str">
        <f ca="1">VLOOKUP($E21,OFFSET([1]characters!$A$2,0,0,COUNTA([1]characters!$A:$A),MATCH($K$1,[1]characters!$1:$1,0)-MATCH($E$1,[1]characters!$2:$2,0)+2),MATCH($K$1,[1]characters!$1:$1,0)-MATCH($E$1,[1]characters!$2:$2,0)+2,FALSE)</f>
        <v>ヒューマン</v>
      </c>
      <c r="L21" s="6">
        <v>1</v>
      </c>
      <c r="M21" s="6">
        <v>1072</v>
      </c>
      <c r="N21" s="28">
        <v>0</v>
      </c>
      <c r="O21" s="28">
        <v>0</v>
      </c>
      <c r="P21" s="28">
        <v>0</v>
      </c>
      <c r="Q21" s="28">
        <v>0</v>
      </c>
      <c r="R21" s="28">
        <v>1</v>
      </c>
    </row>
    <row r="22" spans="1:18" ht="21" customHeight="1">
      <c r="A22" s="8" t="str">
        <f t="shared" si="0"/>
        <v>11671</v>
      </c>
      <c r="B22" s="2">
        <v>113</v>
      </c>
      <c r="C22" s="10" t="str">
        <f ca="1">VLOOKUP($B22,OFFSET([2]gachas!$A$2,0,0,COUNTA([2]gachas!$A:$A),MATCH(C$1,[2]gachas!$1:$1,0)-MATCH($B$1,[2]gachas!$1:$1,0)+1),MATCH(C$1,[2]gachas!$1:$1,0)-MATCH($B$1,[2]gachas!$1:$1,0)+1,FALSE)</f>
        <v>ピックアップ02(沖田) 最終日</v>
      </c>
      <c r="D22" s="6">
        <v>1</v>
      </c>
      <c r="E22" s="7">
        <v>167</v>
      </c>
      <c r="F22" s="10" t="str">
        <f ca="1">VLOOKUP($E22,OFFSET([1]characters!$A$2,0,0,COUNTA([1]characters!$A:$A),MATCH(F$1,[1]characters!$2:$2,0)-MATCH($E$1,[1]characters!$2:$2,0)+1),MATCH(F$1,[1]characters!$2:$2,0)-MATCH($E$1,[1]characters!$2:$2,0)+1,FALSE)</f>
        <v>逆徒 ベリアル</v>
      </c>
      <c r="G22" s="10" t="str">
        <f ca="1">VLOOKUP($E22,OFFSET([1]characters!$A$2,0,0,COUNTA([1]characters!$A:$A),MATCH(G$1,[1]characters!$2:$2,0)-MATCH($E$1,[1]characters!$2:$2,0)+1),MATCH(G$1,[1]characters!$2:$2,0)-MATCH($E$1,[1]characters!$2:$2,0)+1,FALSE)</f>
        <v>PremiumN</v>
      </c>
      <c r="H22" s="10">
        <f ca="1">VLOOKUP($E22,OFFSET([1]characters!$A$2,0,0,COUNTA([1]characters!$A:$A),MATCH(H$1,[1]characters!$2:$2,0)-MATCH($E$1,[1]characters!$2:$2,0)+1),MATCH(H$1,[1]characters!$2:$2,0)-MATCH($E$1,[1]characters!$2:$2,0)+1,FALSE)</f>
        <v>4</v>
      </c>
      <c r="I22" s="10" t="str">
        <f ca="1">VLOOKUP($E22,OFFSET([1]characters!$A$2,0,0,COUNTA([1]characters!$A:$A),MATCH(I$1,[1]characters!$2:$2,0)-MATCH($E$1,[1]characters!$2:$2,0)+1),MATCH(I$1,[1]characters!$2:$2,0)-MATCH($E$1,[1]characters!$2:$2,0)+1,FALSE)</f>
        <v>red</v>
      </c>
      <c r="J22" s="10" t="str">
        <f ca="1">VLOOKUP($E22,OFFSET([1]characters!$A$2,0,0,COUNTA([1]characters!$A:$A),MATCH("タイプ",[1]characters!$1:$1,0)-MATCH($E$1,[1]characters!$2:$2,0)+2),MATCH("タイプ",[1]characters!$1:$1,0)-MATCH($E$1,[1]characters!$2:$2,0)+2,FALSE)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2" s="10" t="str">
        <f ca="1">VLOOKUP($E22,OFFSET([1]characters!$A$2,0,0,COUNTA([1]characters!$A:$A),MATCH($K$1,[1]characters!$1:$1,0)-MATCH($E$1,[1]characters!$2:$2,0)+2),MATCH($K$1,[1]characters!$1:$1,0)-MATCH($E$1,[1]characters!$2:$2,0)+2,FALSE)</f>
        <v>ゴッド</v>
      </c>
      <c r="L22" s="6">
        <v>1</v>
      </c>
      <c r="M22" s="6">
        <v>1133</v>
      </c>
      <c r="N22" s="28">
        <v>0</v>
      </c>
      <c r="O22" s="28">
        <v>0</v>
      </c>
      <c r="P22" s="28">
        <v>0</v>
      </c>
      <c r="Q22" s="28">
        <v>0</v>
      </c>
      <c r="R22" s="28">
        <v>1</v>
      </c>
    </row>
    <row r="23" spans="1:18" ht="21" customHeight="1">
      <c r="A23" s="8" t="str">
        <f t="shared" si="0"/>
        <v>11701</v>
      </c>
      <c r="B23" s="2">
        <v>113</v>
      </c>
      <c r="C23" s="10" t="str">
        <f ca="1">VLOOKUP($B23,OFFSET([2]gachas!$A$2,0,0,COUNTA([2]gachas!$A:$A),MATCH(C$1,[2]gachas!$1:$1,0)-MATCH($B$1,[2]gachas!$1:$1,0)+1),MATCH(C$1,[2]gachas!$1:$1,0)-MATCH($B$1,[2]gachas!$1:$1,0)+1,FALSE)</f>
        <v>ピックアップ02(沖田) 最終日</v>
      </c>
      <c r="D23" s="6">
        <v>1</v>
      </c>
      <c r="E23" s="7">
        <v>170</v>
      </c>
      <c r="F23" s="10" t="str">
        <f ca="1">VLOOKUP($E23,OFFSET([1]characters!$A$2,0,0,COUNTA([1]characters!$A:$A),MATCH(F$1,[1]characters!$2:$2,0)-MATCH($E$1,[1]characters!$2:$2,0)+1),MATCH(F$1,[1]characters!$2:$2,0)-MATCH($E$1,[1]characters!$2:$2,0)+1,FALSE)</f>
        <v>識徒 オセ</v>
      </c>
      <c r="G23" s="10" t="str">
        <f ca="1">VLOOKUP($E23,OFFSET([1]characters!$A$2,0,0,COUNTA([1]characters!$A:$A),MATCH(G$1,[1]characters!$2:$2,0)-MATCH($E$1,[1]characters!$2:$2,0)+1),MATCH(G$1,[1]characters!$2:$2,0)-MATCH($E$1,[1]characters!$2:$2,0)+1,FALSE)</f>
        <v>PremiumN</v>
      </c>
      <c r="H23" s="10">
        <f ca="1">VLOOKUP($E23,OFFSET([1]characters!$A$2,0,0,COUNTA([1]characters!$A:$A),MATCH(H$1,[1]characters!$2:$2,0)-MATCH($E$1,[1]characters!$2:$2,0)+1),MATCH(H$1,[1]characters!$2:$2,0)-MATCH($E$1,[1]characters!$2:$2,0)+1,FALSE)</f>
        <v>4</v>
      </c>
      <c r="I23" s="10" t="str">
        <f ca="1">VLOOKUP($E23,OFFSET([1]characters!$A$2,0,0,COUNTA([1]characters!$A:$A),MATCH(I$1,[1]characters!$2:$2,0)-MATCH($E$1,[1]characters!$2:$2,0)+1),MATCH(I$1,[1]characters!$2:$2,0)-MATCH($E$1,[1]characters!$2:$2,0)+1,FALSE)</f>
        <v>green</v>
      </c>
      <c r="J23" s="10" t="str">
        <f ca="1">VLOOKUP($E23,OFFSET([1]characters!$A$2,0,0,COUNTA([1]characters!$A:$A),MATCH("タイプ",[1]characters!$1:$1,0)-MATCH($E$1,[1]characters!$2:$2,0)+2),MATCH("タイプ",[1]characters!$1:$1,0)-MATCH($E$1,[1]characters!$2:$2,0)+2,FALSE)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3" s="10" t="str">
        <f ca="1">VLOOKUP($E23,OFFSET([1]characters!$A$2,0,0,COUNTA([1]characters!$A:$A),MATCH($K$1,[1]characters!$1:$1,0)-MATCH($E$1,[1]characters!$2:$2,0)+2),MATCH($K$1,[1]characters!$1:$1,0)-MATCH($E$1,[1]characters!$2:$2,0)+2,FALSE)</f>
        <v>ゴッド</v>
      </c>
      <c r="L23" s="6">
        <v>1</v>
      </c>
      <c r="M23" s="6">
        <v>1133</v>
      </c>
      <c r="N23" s="28">
        <v>0</v>
      </c>
      <c r="O23" s="28">
        <v>0</v>
      </c>
      <c r="P23" s="28">
        <v>0</v>
      </c>
      <c r="Q23" s="28">
        <v>0</v>
      </c>
      <c r="R23" s="28">
        <v>1</v>
      </c>
    </row>
    <row r="24" spans="1:18" ht="21" customHeight="1">
      <c r="A24" s="8" t="str">
        <f t="shared" si="0"/>
        <v>11731</v>
      </c>
      <c r="B24" s="2">
        <v>113</v>
      </c>
      <c r="C24" s="10" t="str">
        <f ca="1">VLOOKUP($B24,OFFSET([2]gachas!$A$2,0,0,COUNTA([2]gachas!$A:$A),MATCH(C$1,[2]gachas!$1:$1,0)-MATCH($B$1,[2]gachas!$1:$1,0)+1),MATCH(C$1,[2]gachas!$1:$1,0)-MATCH($B$1,[2]gachas!$1:$1,0)+1,FALSE)</f>
        <v>ピックアップ02(沖田) 最終日</v>
      </c>
      <c r="D24" s="6">
        <v>1</v>
      </c>
      <c r="E24" s="7">
        <v>173</v>
      </c>
      <c r="F24" s="10" t="str">
        <f ca="1">VLOOKUP($E24,OFFSET([1]characters!$A$2,0,0,COUNTA([1]characters!$A:$A),MATCH(F$1,[1]characters!$2:$2,0)-MATCH($E$1,[1]characters!$2:$2,0)+1),MATCH(F$1,[1]characters!$2:$2,0)-MATCH($E$1,[1]characters!$2:$2,0)+1,FALSE)</f>
        <v>公爵 フォルネウス</v>
      </c>
      <c r="G24" s="10" t="str">
        <f ca="1">VLOOKUP($E24,OFFSET([1]characters!$A$2,0,0,COUNTA([1]characters!$A:$A),MATCH(G$1,[1]characters!$2:$2,0)-MATCH($E$1,[1]characters!$2:$2,0)+1),MATCH(G$1,[1]characters!$2:$2,0)-MATCH($E$1,[1]characters!$2:$2,0)+1,FALSE)</f>
        <v>PremiumN</v>
      </c>
      <c r="H24" s="10">
        <f ca="1">VLOOKUP($E24,OFFSET([1]characters!$A$2,0,0,COUNTA([1]characters!$A:$A),MATCH(H$1,[1]characters!$2:$2,0)-MATCH($E$1,[1]characters!$2:$2,0)+1),MATCH(H$1,[1]characters!$2:$2,0)-MATCH($E$1,[1]characters!$2:$2,0)+1,FALSE)</f>
        <v>4</v>
      </c>
      <c r="I24" s="10" t="str">
        <f ca="1">VLOOKUP($E24,OFFSET([1]characters!$A$2,0,0,COUNTA([1]characters!$A:$A),MATCH(I$1,[1]characters!$2:$2,0)-MATCH($E$1,[1]characters!$2:$2,0)+1),MATCH(I$1,[1]characters!$2:$2,0)-MATCH($E$1,[1]characters!$2:$2,0)+1,FALSE)</f>
        <v>blue</v>
      </c>
      <c r="J24" s="10" t="str">
        <f ca="1">VLOOKUP($E24,OFFSET([1]characters!$A$2,0,0,COUNTA([1]characters!$A:$A),MATCH("タイプ",[1]characters!$1:$1,0)-MATCH($E$1,[1]characters!$2:$2,0)+2),MATCH("タイプ",[1]characters!$1:$1,0)-MATCH($E$1,[1]characters!$2:$2,0)+2,FALSE)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4" s="10" t="str">
        <f ca="1">VLOOKUP($E24,OFFSET([1]characters!$A$2,0,0,COUNTA([1]characters!$A:$A),MATCH($K$1,[1]characters!$1:$1,0)-MATCH($E$1,[1]characters!$2:$2,0)+2),MATCH($K$1,[1]characters!$1:$1,0)-MATCH($E$1,[1]characters!$2:$2,0)+2,FALSE)</f>
        <v>ゴッド</v>
      </c>
      <c r="L24" s="6">
        <v>1</v>
      </c>
      <c r="M24" s="6">
        <v>1133</v>
      </c>
      <c r="N24" s="28">
        <v>0</v>
      </c>
      <c r="O24" s="28">
        <v>0</v>
      </c>
      <c r="P24" s="28">
        <v>0</v>
      </c>
      <c r="Q24" s="28">
        <v>0</v>
      </c>
      <c r="R24" s="28">
        <v>1</v>
      </c>
    </row>
    <row r="25" spans="1:18" ht="21" customHeight="1">
      <c r="A25" s="8" t="str">
        <f t="shared" si="0"/>
        <v>11761</v>
      </c>
      <c r="B25" s="2">
        <v>113</v>
      </c>
      <c r="C25" s="10" t="str">
        <f ca="1">VLOOKUP($B25,OFFSET([2]gachas!$A$2,0,0,COUNTA([2]gachas!$A:$A),MATCH(C$1,[2]gachas!$1:$1,0)-MATCH($B$1,[2]gachas!$1:$1,0)+1),MATCH(C$1,[2]gachas!$1:$1,0)-MATCH($B$1,[2]gachas!$1:$1,0)+1,FALSE)</f>
        <v>ピックアップ02(沖田) 最終日</v>
      </c>
      <c r="D25" s="6">
        <v>1</v>
      </c>
      <c r="E25" s="7">
        <v>176</v>
      </c>
      <c r="F25" s="10" t="str">
        <f ca="1">VLOOKUP($E25,OFFSET([1]characters!$A$2,0,0,COUNTA([1]characters!$A:$A),MATCH(F$1,[1]characters!$2:$2,0)-MATCH($E$1,[1]characters!$2:$2,0)+1),MATCH(F$1,[1]characters!$2:$2,0)-MATCH($E$1,[1]characters!$2:$2,0)+1,FALSE)</f>
        <v>異教徒 バフォメット</v>
      </c>
      <c r="G25" s="10" t="str">
        <f ca="1">VLOOKUP($E25,OFFSET([1]characters!$A$2,0,0,COUNTA([1]characters!$A:$A),MATCH(G$1,[1]characters!$2:$2,0)-MATCH($E$1,[1]characters!$2:$2,0)+1),MATCH(G$1,[1]characters!$2:$2,0)-MATCH($E$1,[1]characters!$2:$2,0)+1,FALSE)</f>
        <v>PremiumN</v>
      </c>
      <c r="H25" s="10">
        <f ca="1">VLOOKUP($E25,OFFSET([1]characters!$A$2,0,0,COUNTA([1]characters!$A:$A),MATCH(H$1,[1]characters!$2:$2,0)-MATCH($E$1,[1]characters!$2:$2,0)+1),MATCH(H$1,[1]characters!$2:$2,0)-MATCH($E$1,[1]characters!$2:$2,0)+1,FALSE)</f>
        <v>4</v>
      </c>
      <c r="I25" s="10" t="str">
        <f ca="1">VLOOKUP($E25,OFFSET([1]characters!$A$2,0,0,COUNTA([1]characters!$A:$A),MATCH(I$1,[1]characters!$2:$2,0)-MATCH($E$1,[1]characters!$2:$2,0)+1),MATCH(I$1,[1]characters!$2:$2,0)-MATCH($E$1,[1]characters!$2:$2,0)+1,FALSE)</f>
        <v>yellow</v>
      </c>
      <c r="J25" s="10" t="str">
        <f ca="1">VLOOKUP($E25,OFFSET([1]characters!$A$2,0,0,COUNTA([1]characters!$A:$A),MATCH("タイプ",[1]characters!$1:$1,0)-MATCH($E$1,[1]characters!$2:$2,0)+2),MATCH("タイプ",[1]characters!$1:$1,0)-MATCH($E$1,[1]characters!$2:$2,0)+2,FALSE)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5" s="10" t="str">
        <f ca="1">VLOOKUP($E25,OFFSET([1]characters!$A$2,0,0,COUNTA([1]characters!$A:$A),MATCH($K$1,[1]characters!$1:$1,0)-MATCH($E$1,[1]characters!$2:$2,0)+2),MATCH($K$1,[1]characters!$1:$1,0)-MATCH($E$1,[1]characters!$2:$2,0)+2,FALSE)</f>
        <v>ゴッド</v>
      </c>
      <c r="L25" s="6">
        <v>1</v>
      </c>
      <c r="M25" s="6">
        <v>1133</v>
      </c>
      <c r="N25" s="28">
        <v>0</v>
      </c>
      <c r="O25" s="28">
        <v>0</v>
      </c>
      <c r="P25" s="28">
        <v>0</v>
      </c>
      <c r="Q25" s="28">
        <v>0</v>
      </c>
      <c r="R25" s="28">
        <v>1</v>
      </c>
    </row>
    <row r="26" spans="1:18" ht="21" customHeight="1">
      <c r="A26" s="8" t="str">
        <f t="shared" si="0"/>
        <v>11791</v>
      </c>
      <c r="B26" s="2">
        <v>113</v>
      </c>
      <c r="C26" s="10" t="str">
        <f ca="1">VLOOKUP($B26,OFFSET([2]gachas!$A$2,0,0,COUNTA([2]gachas!$A:$A),MATCH(C$1,[2]gachas!$1:$1,0)-MATCH($B$1,[2]gachas!$1:$1,0)+1),MATCH(C$1,[2]gachas!$1:$1,0)-MATCH($B$1,[2]gachas!$1:$1,0)+1,FALSE)</f>
        <v>ピックアップ02(沖田) 最終日</v>
      </c>
      <c r="D26" s="6">
        <v>1</v>
      </c>
      <c r="E26" s="7">
        <v>179</v>
      </c>
      <c r="F26" s="10" t="str">
        <f ca="1">VLOOKUP($E26,OFFSET([1]characters!$A$2,0,0,COUNTA([1]characters!$A:$A),MATCH(F$1,[1]characters!$2:$2,0)-MATCH($E$1,[1]characters!$2:$2,0)+1),MATCH(F$1,[1]characters!$2:$2,0)-MATCH($E$1,[1]characters!$2:$2,0)+1,FALSE)</f>
        <v>番犬 ケルベロス</v>
      </c>
      <c r="G26" s="10" t="str">
        <f ca="1">VLOOKUP($E26,OFFSET([1]characters!$A$2,0,0,COUNTA([1]characters!$A:$A),MATCH(G$1,[1]characters!$2:$2,0)-MATCH($E$1,[1]characters!$2:$2,0)+1),MATCH(G$1,[1]characters!$2:$2,0)-MATCH($E$1,[1]characters!$2:$2,0)+1,FALSE)</f>
        <v>PremiumN</v>
      </c>
      <c r="H26" s="10">
        <f ca="1">VLOOKUP($E26,OFFSET([1]characters!$A$2,0,0,COUNTA([1]characters!$A:$A),MATCH(H$1,[1]characters!$2:$2,0)-MATCH($E$1,[1]characters!$2:$2,0)+1),MATCH(H$1,[1]characters!$2:$2,0)-MATCH($E$1,[1]characters!$2:$2,0)+1,FALSE)</f>
        <v>4</v>
      </c>
      <c r="I26" s="10" t="str">
        <f ca="1">VLOOKUP($E26,OFFSET([1]characters!$A$2,0,0,COUNTA([1]characters!$A:$A),MATCH(I$1,[1]characters!$2:$2,0)-MATCH($E$1,[1]characters!$2:$2,0)+1),MATCH(I$1,[1]characters!$2:$2,0)-MATCH($E$1,[1]characters!$2:$2,0)+1,FALSE)</f>
        <v>red</v>
      </c>
      <c r="J26" s="10" t="str">
        <f ca="1">VLOOKUP($E26,OFFSET([1]characters!$A$2,0,0,COUNTA([1]characters!$A:$A),MATCH("タイプ",[1]characters!$1:$1,0)-MATCH($E$1,[1]characters!$2:$2,0)+2),MATCH("タイプ",[1]characters!$1:$1,0)-MATCH($E$1,[1]characters!$2:$2,0)+2,FALSE)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26" s="10" t="str">
        <f ca="1">VLOOKUP($E26,OFFSET([1]characters!$A$2,0,0,COUNTA([1]characters!$A:$A),MATCH($K$1,[1]characters!$1:$1,0)-MATCH($E$1,[1]characters!$2:$2,0)+2),MATCH($K$1,[1]characters!$1:$1,0)-MATCH($E$1,[1]characters!$2:$2,0)+2,FALSE)</f>
        <v>アニマル</v>
      </c>
      <c r="L26" s="6">
        <v>1</v>
      </c>
      <c r="M26" s="6">
        <v>1133</v>
      </c>
      <c r="N26" s="28">
        <v>0</v>
      </c>
      <c r="O26" s="28">
        <v>0</v>
      </c>
      <c r="P26" s="28">
        <v>0</v>
      </c>
      <c r="Q26" s="28">
        <v>0</v>
      </c>
      <c r="R26" s="28">
        <v>1</v>
      </c>
    </row>
    <row r="27" spans="1:18" ht="21" customHeight="1">
      <c r="A27" s="8" t="str">
        <f t="shared" si="0"/>
        <v>11821</v>
      </c>
      <c r="B27" s="2">
        <v>113</v>
      </c>
      <c r="C27" s="10" t="str">
        <f ca="1">VLOOKUP($B27,OFFSET([2]gachas!$A$2,0,0,COUNTA([2]gachas!$A:$A),MATCH(C$1,[2]gachas!$1:$1,0)-MATCH($B$1,[2]gachas!$1:$1,0)+1),MATCH(C$1,[2]gachas!$1:$1,0)-MATCH($B$1,[2]gachas!$1:$1,0)+1,FALSE)</f>
        <v>ピックアップ02(沖田) 最終日</v>
      </c>
      <c r="D27" s="6">
        <v>1</v>
      </c>
      <c r="E27" s="7">
        <v>182</v>
      </c>
      <c r="F27" s="10" t="str">
        <f ca="1">VLOOKUP($E27,OFFSET([1]characters!$A$2,0,0,COUNTA([1]characters!$A:$A),MATCH(F$1,[1]characters!$2:$2,0)-MATCH($E$1,[1]characters!$2:$2,0)+1),MATCH(F$1,[1]characters!$2:$2,0)-MATCH($E$1,[1]characters!$2:$2,0)+1,FALSE)</f>
        <v>放蕩者 ベヒモス</v>
      </c>
      <c r="G27" s="10" t="str">
        <f ca="1">VLOOKUP($E27,OFFSET([1]characters!$A$2,0,0,COUNTA([1]characters!$A:$A),MATCH(G$1,[1]characters!$2:$2,0)-MATCH($E$1,[1]characters!$2:$2,0)+1),MATCH(G$1,[1]characters!$2:$2,0)-MATCH($E$1,[1]characters!$2:$2,0)+1,FALSE)</f>
        <v>PremiumN</v>
      </c>
      <c r="H27" s="10">
        <f ca="1">VLOOKUP($E27,OFFSET([1]characters!$A$2,0,0,COUNTA([1]characters!$A:$A),MATCH(H$1,[1]characters!$2:$2,0)-MATCH($E$1,[1]characters!$2:$2,0)+1),MATCH(H$1,[1]characters!$2:$2,0)-MATCH($E$1,[1]characters!$2:$2,0)+1,FALSE)</f>
        <v>4</v>
      </c>
      <c r="I27" s="10" t="str">
        <f ca="1">VLOOKUP($E27,OFFSET([1]characters!$A$2,0,0,COUNTA([1]characters!$A:$A),MATCH(I$1,[1]characters!$2:$2,0)-MATCH($E$1,[1]characters!$2:$2,0)+1),MATCH(I$1,[1]characters!$2:$2,0)-MATCH($E$1,[1]characters!$2:$2,0)+1,FALSE)</f>
        <v>green</v>
      </c>
      <c r="J27" s="10" t="str">
        <f ca="1">VLOOKUP($E27,OFFSET([1]characters!$A$2,0,0,COUNTA([1]characters!$A:$A),MATCH("タイプ",[1]characters!$1:$1,0)-MATCH($E$1,[1]characters!$2:$2,0)+2),MATCH("タイプ",[1]characters!$1:$1,0)-MATCH($E$1,[1]characters!$2:$2,0)+2,FALSE)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27" s="10" t="str">
        <f ca="1">VLOOKUP($E27,OFFSET([1]characters!$A$2,0,0,COUNTA([1]characters!$A:$A),MATCH($K$1,[1]characters!$1:$1,0)-MATCH($E$1,[1]characters!$2:$2,0)+2),MATCH($K$1,[1]characters!$1:$1,0)-MATCH($E$1,[1]characters!$2:$2,0)+2,FALSE)</f>
        <v>アニマル</v>
      </c>
      <c r="L27" s="6">
        <v>1</v>
      </c>
      <c r="M27" s="6">
        <v>1133</v>
      </c>
      <c r="N27" s="28">
        <v>0</v>
      </c>
      <c r="O27" s="28">
        <v>0</v>
      </c>
      <c r="P27" s="28">
        <v>0</v>
      </c>
      <c r="Q27" s="28">
        <v>0</v>
      </c>
      <c r="R27" s="28">
        <v>1</v>
      </c>
    </row>
    <row r="28" spans="1:18" ht="21" customHeight="1">
      <c r="A28" s="8" t="str">
        <f t="shared" si="0"/>
        <v>11851</v>
      </c>
      <c r="B28" s="2">
        <v>113</v>
      </c>
      <c r="C28" s="10" t="str">
        <f ca="1">VLOOKUP($B28,OFFSET([2]gachas!$A$2,0,0,COUNTA([2]gachas!$A:$A),MATCH(C$1,[2]gachas!$1:$1,0)-MATCH($B$1,[2]gachas!$1:$1,0)+1),MATCH(C$1,[2]gachas!$1:$1,0)-MATCH($B$1,[2]gachas!$1:$1,0)+1,FALSE)</f>
        <v>ピックアップ02(沖田) 最終日</v>
      </c>
      <c r="D28" s="6">
        <v>1</v>
      </c>
      <c r="E28" s="7">
        <v>185</v>
      </c>
      <c r="F28" s="10" t="str">
        <f ca="1">VLOOKUP($E28,OFFSET([1]characters!$A$2,0,0,COUNTA([1]characters!$A:$A),MATCH(F$1,[1]characters!$2:$2,0)-MATCH($E$1,[1]characters!$2:$2,0)+1),MATCH(F$1,[1]characters!$2:$2,0)-MATCH($E$1,[1]characters!$2:$2,0)+1,FALSE)</f>
        <v>海姫 クラーケン</v>
      </c>
      <c r="G28" s="10" t="str">
        <f ca="1">VLOOKUP($E28,OFFSET([1]characters!$A$2,0,0,COUNTA([1]characters!$A:$A),MATCH(G$1,[1]characters!$2:$2,0)-MATCH($E$1,[1]characters!$2:$2,0)+1),MATCH(G$1,[1]characters!$2:$2,0)-MATCH($E$1,[1]characters!$2:$2,0)+1,FALSE)</f>
        <v>PremiumN</v>
      </c>
      <c r="H28" s="10">
        <f ca="1">VLOOKUP($E28,OFFSET([1]characters!$A$2,0,0,COUNTA([1]characters!$A:$A),MATCH(H$1,[1]characters!$2:$2,0)-MATCH($E$1,[1]characters!$2:$2,0)+1),MATCH(H$1,[1]characters!$2:$2,0)-MATCH($E$1,[1]characters!$2:$2,0)+1,FALSE)</f>
        <v>4</v>
      </c>
      <c r="I28" s="10" t="str">
        <f ca="1">VLOOKUP($E28,OFFSET([1]characters!$A$2,0,0,COUNTA([1]characters!$A:$A),MATCH(I$1,[1]characters!$2:$2,0)-MATCH($E$1,[1]characters!$2:$2,0)+1),MATCH(I$1,[1]characters!$2:$2,0)-MATCH($E$1,[1]characters!$2:$2,0)+1,FALSE)</f>
        <v>blue</v>
      </c>
      <c r="J28" s="10" t="str">
        <f ca="1">VLOOKUP($E28,OFFSET([1]characters!$A$2,0,0,COUNTA([1]characters!$A:$A),MATCH("タイプ",[1]characters!$1:$1,0)-MATCH($E$1,[1]characters!$2:$2,0)+2),MATCH("タイプ",[1]characters!$1:$1,0)-MATCH($E$1,[1]characters!$2:$2,0)+2,FALSE)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28" s="10" t="str">
        <f ca="1">VLOOKUP($E28,OFFSET([1]characters!$A$2,0,0,COUNTA([1]characters!$A:$A),MATCH($K$1,[1]characters!$1:$1,0)-MATCH($E$1,[1]characters!$2:$2,0)+2),MATCH($K$1,[1]characters!$1:$1,0)-MATCH($E$1,[1]characters!$2:$2,0)+2,FALSE)</f>
        <v>アニマル</v>
      </c>
      <c r="L28" s="6">
        <v>1</v>
      </c>
      <c r="M28" s="6">
        <v>1133</v>
      </c>
      <c r="N28" s="28">
        <v>0</v>
      </c>
      <c r="O28" s="28">
        <v>0</v>
      </c>
      <c r="P28" s="28">
        <v>0</v>
      </c>
      <c r="Q28" s="28">
        <v>0</v>
      </c>
      <c r="R28" s="28">
        <v>1</v>
      </c>
    </row>
    <row r="29" spans="1:18" ht="21" customHeight="1">
      <c r="A29" s="8" t="str">
        <f t="shared" si="0"/>
        <v>11881</v>
      </c>
      <c r="B29" s="2">
        <v>113</v>
      </c>
      <c r="C29" s="10" t="str">
        <f ca="1">VLOOKUP($B29,OFFSET([2]gachas!$A$2,0,0,COUNTA([2]gachas!$A:$A),MATCH(C$1,[2]gachas!$1:$1,0)-MATCH($B$1,[2]gachas!$1:$1,0)+1),MATCH(C$1,[2]gachas!$1:$1,0)-MATCH($B$1,[2]gachas!$1:$1,0)+1,FALSE)</f>
        <v>ピックアップ02(沖田) 最終日</v>
      </c>
      <c r="D29" s="6">
        <v>1</v>
      </c>
      <c r="E29" s="7">
        <v>188</v>
      </c>
      <c r="F29" s="10" t="str">
        <f ca="1">VLOOKUP($E29,OFFSET([1]characters!$A$2,0,0,COUNTA([1]characters!$A:$A),MATCH(F$1,[1]characters!$2:$2,0)-MATCH($E$1,[1]characters!$2:$2,0)+1),MATCH(F$1,[1]characters!$2:$2,0)-MATCH($E$1,[1]characters!$2:$2,0)+1,FALSE)</f>
        <v>猛禽 ホルス</v>
      </c>
      <c r="G29" s="10" t="str">
        <f ca="1">VLOOKUP($E29,OFFSET([1]characters!$A$2,0,0,COUNTA([1]characters!$A:$A),MATCH(G$1,[1]characters!$2:$2,0)-MATCH($E$1,[1]characters!$2:$2,0)+1),MATCH(G$1,[1]characters!$2:$2,0)-MATCH($E$1,[1]characters!$2:$2,0)+1,FALSE)</f>
        <v>PremiumN</v>
      </c>
      <c r="H29" s="10">
        <f ca="1">VLOOKUP($E29,OFFSET([1]characters!$A$2,0,0,COUNTA([1]characters!$A:$A),MATCH(H$1,[1]characters!$2:$2,0)-MATCH($E$1,[1]characters!$2:$2,0)+1),MATCH(H$1,[1]characters!$2:$2,0)-MATCH($E$1,[1]characters!$2:$2,0)+1,FALSE)</f>
        <v>4</v>
      </c>
      <c r="I29" s="10" t="str">
        <f ca="1">VLOOKUP($E29,OFFSET([1]characters!$A$2,0,0,COUNTA([1]characters!$A:$A),MATCH(I$1,[1]characters!$2:$2,0)-MATCH($E$1,[1]characters!$2:$2,0)+1),MATCH(I$1,[1]characters!$2:$2,0)-MATCH($E$1,[1]characters!$2:$2,0)+1,FALSE)</f>
        <v>yellow</v>
      </c>
      <c r="J29" s="10" t="str">
        <f ca="1">VLOOKUP($E29,OFFSET([1]characters!$A$2,0,0,COUNTA([1]characters!$A:$A),MATCH("タイプ",[1]characters!$1:$1,0)-MATCH($E$1,[1]characters!$2:$2,0)+2),MATCH("タイプ",[1]characters!$1:$1,0)-MATCH($E$1,[1]characters!$2:$2,0)+2,FALSE)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29" s="10" t="str">
        <f ca="1">VLOOKUP($E29,OFFSET([1]characters!$A$2,0,0,COUNTA([1]characters!$A:$A),MATCH($K$1,[1]characters!$1:$1,0)-MATCH($E$1,[1]characters!$2:$2,0)+2),MATCH($K$1,[1]characters!$1:$1,0)-MATCH($E$1,[1]characters!$2:$2,0)+2,FALSE)</f>
        <v>アニマル</v>
      </c>
      <c r="L29" s="6">
        <v>1</v>
      </c>
      <c r="M29" s="6">
        <v>1133</v>
      </c>
      <c r="N29" s="28">
        <v>0</v>
      </c>
      <c r="O29" s="28">
        <v>0</v>
      </c>
      <c r="P29" s="28">
        <v>0</v>
      </c>
      <c r="Q29" s="28">
        <v>0</v>
      </c>
      <c r="R29" s="28">
        <v>1</v>
      </c>
    </row>
    <row r="30" spans="1:18" ht="21" customHeight="1">
      <c r="A30" s="8" t="str">
        <f t="shared" si="0"/>
        <v>11911</v>
      </c>
      <c r="B30" s="2">
        <v>113</v>
      </c>
      <c r="C30" s="10" t="str">
        <f ca="1">VLOOKUP($B30,OFFSET([2]gachas!$A$2,0,0,COUNTA([2]gachas!$A:$A),MATCH(C$1,[2]gachas!$1:$1,0)-MATCH($B$1,[2]gachas!$1:$1,0)+1),MATCH(C$1,[2]gachas!$1:$1,0)-MATCH($B$1,[2]gachas!$1:$1,0)+1,FALSE)</f>
        <v>ピックアップ02(沖田) 最終日</v>
      </c>
      <c r="D30" s="6">
        <v>1</v>
      </c>
      <c r="E30" s="7">
        <v>191</v>
      </c>
      <c r="F30" s="10" t="str">
        <f ca="1">VLOOKUP($E30,OFFSET([1]characters!$A$2,0,0,COUNTA([1]characters!$A:$A),MATCH(F$1,[1]characters!$2:$2,0)-MATCH($E$1,[1]characters!$2:$2,0)+1),MATCH(F$1,[1]characters!$2:$2,0)-MATCH($E$1,[1]characters!$2:$2,0)+1,FALSE)</f>
        <v>始祖 卑弥呼</v>
      </c>
      <c r="G30" s="10" t="str">
        <f ca="1">VLOOKUP($E30,OFFSET([1]characters!$A$2,0,0,COUNTA([1]characters!$A:$A),MATCH(G$1,[1]characters!$2:$2,0)-MATCH($E$1,[1]characters!$2:$2,0)+1),MATCH(G$1,[1]characters!$2:$2,0)-MATCH($E$1,[1]characters!$2:$2,0)+1,FALSE)</f>
        <v>PremiumN</v>
      </c>
      <c r="H30" s="10">
        <f ca="1">VLOOKUP($E30,OFFSET([1]characters!$A$2,0,0,COUNTA([1]characters!$A:$A),MATCH(H$1,[1]characters!$2:$2,0)-MATCH($E$1,[1]characters!$2:$2,0)+1),MATCH(H$1,[1]characters!$2:$2,0)-MATCH($E$1,[1]characters!$2:$2,0)+1,FALSE)</f>
        <v>4</v>
      </c>
      <c r="I30" s="10" t="str">
        <f ca="1">VLOOKUP($E30,OFFSET([1]characters!$A$2,0,0,COUNTA([1]characters!$A:$A),MATCH(I$1,[1]characters!$2:$2,0)-MATCH($E$1,[1]characters!$2:$2,0)+1),MATCH(I$1,[1]characters!$2:$2,0)-MATCH($E$1,[1]characters!$2:$2,0)+1,FALSE)</f>
        <v>red</v>
      </c>
      <c r="J30" s="10" t="str">
        <f ca="1">VLOOKUP($E30,OFFSET([1]characters!$A$2,0,0,COUNTA([1]characters!$A:$A),MATCH("タイプ",[1]characters!$1:$1,0)-MATCH($E$1,[1]characters!$2:$2,0)+2),MATCH("タイプ",[1]characters!$1:$1,0)-MATCH($E$1,[1]characters!$2:$2,0)+2,FALSE)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0" s="10" t="str">
        <f ca="1">VLOOKUP($E30,OFFSET([1]characters!$A$2,0,0,COUNTA([1]characters!$A:$A),MATCH($K$1,[1]characters!$1:$1,0)-MATCH($E$1,[1]characters!$2:$2,0)+2),MATCH($K$1,[1]characters!$1:$1,0)-MATCH($E$1,[1]characters!$2:$2,0)+2,FALSE)</f>
        <v>ヒューマン</v>
      </c>
      <c r="L30" s="6">
        <v>1</v>
      </c>
      <c r="M30" s="6">
        <v>1133</v>
      </c>
      <c r="N30" s="28">
        <v>0</v>
      </c>
      <c r="O30" s="28">
        <v>0</v>
      </c>
      <c r="P30" s="28">
        <v>0</v>
      </c>
      <c r="Q30" s="28">
        <v>0</v>
      </c>
      <c r="R30" s="28">
        <v>1</v>
      </c>
    </row>
    <row r="31" spans="1:18" ht="21" customHeight="1">
      <c r="A31" s="8" t="str">
        <f t="shared" si="0"/>
        <v>11941</v>
      </c>
      <c r="B31" s="2">
        <v>113</v>
      </c>
      <c r="C31" s="10" t="str">
        <f ca="1">VLOOKUP($B31,OFFSET([2]gachas!$A$2,0,0,COUNTA([2]gachas!$A:$A),MATCH(C$1,[2]gachas!$1:$1,0)-MATCH($B$1,[2]gachas!$1:$1,0)+1),MATCH(C$1,[2]gachas!$1:$1,0)-MATCH($B$1,[2]gachas!$1:$1,0)+1,FALSE)</f>
        <v>ピックアップ02(沖田) 最終日</v>
      </c>
      <c r="D31" s="6">
        <v>1</v>
      </c>
      <c r="E31" s="7">
        <v>194</v>
      </c>
      <c r="F31" s="10" t="str">
        <f ca="1">VLOOKUP($E31,OFFSET([1]characters!$A$2,0,0,COUNTA([1]characters!$A:$A),MATCH(F$1,[1]characters!$2:$2,0)-MATCH($E$1,[1]characters!$2:$2,0)+1),MATCH(F$1,[1]characters!$2:$2,0)-MATCH($E$1,[1]characters!$2:$2,0)+1,FALSE)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31" s="10" t="str">
        <f ca="1">VLOOKUP($E31,OFFSET([1]characters!$A$2,0,0,COUNTA([1]characters!$A:$A),MATCH(G$1,[1]characters!$2:$2,0)-MATCH($E$1,[1]characters!$2:$2,0)+1),MATCH(G$1,[1]characters!$2:$2,0)-MATCH($E$1,[1]characters!$2:$2,0)+1,FALSE)</f>
        <v>PremiumN</v>
      </c>
      <c r="H31" s="10">
        <f ca="1">VLOOKUP($E31,OFFSET([1]characters!$A$2,0,0,COUNTA([1]characters!$A:$A),MATCH(H$1,[1]characters!$2:$2,0)-MATCH($E$1,[1]characters!$2:$2,0)+1),MATCH(H$1,[1]characters!$2:$2,0)-MATCH($E$1,[1]characters!$2:$2,0)+1,FALSE)</f>
        <v>4</v>
      </c>
      <c r="I31" s="10" t="str">
        <f ca="1">VLOOKUP($E31,OFFSET([1]characters!$A$2,0,0,COUNTA([1]characters!$A:$A),MATCH(I$1,[1]characters!$2:$2,0)-MATCH($E$1,[1]characters!$2:$2,0)+1),MATCH(I$1,[1]characters!$2:$2,0)-MATCH($E$1,[1]characters!$2:$2,0)+1,FALSE)</f>
        <v>green</v>
      </c>
      <c r="J31" s="10" t="str">
        <f ca="1">VLOOKUP($E31,OFFSET([1]characters!$A$2,0,0,COUNTA([1]characters!$A:$A),MATCH("タイプ",[1]characters!$1:$1,0)-MATCH($E$1,[1]characters!$2:$2,0)+2),MATCH("タイプ",[1]characters!$1:$1,0)-MATCH($E$1,[1]characters!$2:$2,0)+2,FALSE)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1" s="10" t="str">
        <f ca="1">VLOOKUP($E31,OFFSET([1]characters!$A$2,0,0,COUNTA([1]characters!$A:$A),MATCH($K$1,[1]characters!$1:$1,0)-MATCH($E$1,[1]characters!$2:$2,0)+2),MATCH($K$1,[1]characters!$1:$1,0)-MATCH($E$1,[1]characters!$2:$2,0)+2,FALSE)</f>
        <v>ヒューマン</v>
      </c>
      <c r="L31" s="6">
        <v>1</v>
      </c>
      <c r="M31" s="6">
        <v>1133</v>
      </c>
      <c r="N31" s="28">
        <v>0</v>
      </c>
      <c r="O31" s="28">
        <v>0</v>
      </c>
      <c r="P31" s="28">
        <v>0</v>
      </c>
      <c r="Q31" s="28">
        <v>0</v>
      </c>
      <c r="R31" s="28">
        <v>1</v>
      </c>
    </row>
    <row r="32" spans="1:18" ht="21" customHeight="1">
      <c r="A32" s="8" t="str">
        <f t="shared" si="0"/>
        <v>11971</v>
      </c>
      <c r="B32" s="2">
        <v>113</v>
      </c>
      <c r="C32" s="10" t="str">
        <f ca="1">VLOOKUP($B32,OFFSET([2]gachas!$A$2,0,0,COUNTA([2]gachas!$A:$A),MATCH(C$1,[2]gachas!$1:$1,0)-MATCH($B$1,[2]gachas!$1:$1,0)+1),MATCH(C$1,[2]gachas!$1:$1,0)-MATCH($B$1,[2]gachas!$1:$1,0)+1,FALSE)</f>
        <v>ピックアップ02(沖田) 最終日</v>
      </c>
      <c r="D32" s="6">
        <v>1</v>
      </c>
      <c r="E32" s="7">
        <v>197</v>
      </c>
      <c r="F32" s="10" t="str">
        <f ca="1">VLOOKUP($E32,OFFSET([1]characters!$A$2,0,0,COUNTA([1]characters!$A:$A),MATCH(F$1,[1]characters!$2:$2,0)-MATCH($E$1,[1]characters!$2:$2,0)+1),MATCH(F$1,[1]characters!$2:$2,0)-MATCH($E$1,[1]characters!$2:$2,0)+1,FALSE)</f>
        <v>鉄腕 アキレス</v>
      </c>
      <c r="G32" s="10" t="str">
        <f ca="1">VLOOKUP($E32,OFFSET([1]characters!$A$2,0,0,COUNTA([1]characters!$A:$A),MATCH(G$1,[1]characters!$2:$2,0)-MATCH($E$1,[1]characters!$2:$2,0)+1),MATCH(G$1,[1]characters!$2:$2,0)-MATCH($E$1,[1]characters!$2:$2,0)+1,FALSE)</f>
        <v>PremiumN</v>
      </c>
      <c r="H32" s="10">
        <f ca="1">VLOOKUP($E32,OFFSET([1]characters!$A$2,0,0,COUNTA([1]characters!$A:$A),MATCH(H$1,[1]characters!$2:$2,0)-MATCH($E$1,[1]characters!$2:$2,0)+1),MATCH(H$1,[1]characters!$2:$2,0)-MATCH($E$1,[1]characters!$2:$2,0)+1,FALSE)</f>
        <v>4</v>
      </c>
      <c r="I32" s="10" t="str">
        <f ca="1">VLOOKUP($E32,OFFSET([1]characters!$A$2,0,0,COUNTA([1]characters!$A:$A),MATCH(I$1,[1]characters!$2:$2,0)-MATCH($E$1,[1]characters!$2:$2,0)+1),MATCH(I$1,[1]characters!$2:$2,0)-MATCH($E$1,[1]characters!$2:$2,0)+1,FALSE)</f>
        <v>yellow</v>
      </c>
      <c r="J32" s="10" t="str">
        <f ca="1">VLOOKUP($E32,OFFSET([1]characters!$A$2,0,0,COUNTA([1]characters!$A:$A),MATCH("タイプ",[1]characters!$1:$1,0)-MATCH($E$1,[1]characters!$2:$2,0)+2),MATCH("タイプ",[1]characters!$1:$1,0)-MATCH($E$1,[1]characters!$2:$2,0)+2,FALSE)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2" s="10" t="str">
        <f ca="1">VLOOKUP($E32,OFFSET([1]characters!$A$2,0,0,COUNTA([1]characters!$A:$A),MATCH($K$1,[1]characters!$1:$1,0)-MATCH($E$1,[1]characters!$2:$2,0)+2),MATCH($K$1,[1]characters!$1:$1,0)-MATCH($E$1,[1]characters!$2:$2,0)+2,FALSE)</f>
        <v>ヒューマン</v>
      </c>
      <c r="L32" s="6">
        <v>1</v>
      </c>
      <c r="M32" s="6">
        <v>1133</v>
      </c>
      <c r="N32" s="28">
        <v>0</v>
      </c>
      <c r="O32" s="28">
        <v>0</v>
      </c>
      <c r="P32" s="28">
        <v>0</v>
      </c>
      <c r="Q32" s="28">
        <v>0</v>
      </c>
      <c r="R32" s="28">
        <v>1</v>
      </c>
    </row>
    <row r="33" spans="1:18" ht="21" customHeight="1">
      <c r="A33" s="8" t="str">
        <f t="shared" si="0"/>
        <v>12001</v>
      </c>
      <c r="B33" s="2">
        <v>113</v>
      </c>
      <c r="C33" s="10" t="str">
        <f ca="1">VLOOKUP($B33,OFFSET([2]gachas!$A$2,0,0,COUNTA([2]gachas!$A:$A),MATCH(C$1,[2]gachas!$1:$1,0)-MATCH($B$1,[2]gachas!$1:$1,0)+1),MATCH(C$1,[2]gachas!$1:$1,0)-MATCH($B$1,[2]gachas!$1:$1,0)+1,FALSE)</f>
        <v>ピックアップ02(沖田) 最終日</v>
      </c>
      <c r="D33" s="6">
        <v>1</v>
      </c>
      <c r="E33" s="7">
        <v>200</v>
      </c>
      <c r="F33" s="10" t="str">
        <f ca="1">VLOOKUP($E33,OFFSET([1]characters!$A$2,0,0,COUNTA([1]characters!$A:$A),MATCH(F$1,[1]characters!$2:$2,0)-MATCH($E$1,[1]characters!$2:$2,0)+1),MATCH(F$1,[1]characters!$2:$2,0)-MATCH($E$1,[1]characters!$2:$2,0)+1,FALSE)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33" s="10" t="str">
        <f ca="1">VLOOKUP($E33,OFFSET([1]characters!$A$2,0,0,COUNTA([1]characters!$A:$A),MATCH(G$1,[1]characters!$2:$2,0)-MATCH($E$1,[1]characters!$2:$2,0)+1),MATCH(G$1,[1]characters!$2:$2,0)-MATCH($E$1,[1]characters!$2:$2,0)+1,FALSE)</f>
        <v>PremiumN</v>
      </c>
      <c r="H33" s="10">
        <f ca="1">VLOOKUP($E33,OFFSET([1]characters!$A$2,0,0,COUNTA([1]characters!$A:$A),MATCH(H$1,[1]characters!$2:$2,0)-MATCH($E$1,[1]characters!$2:$2,0)+1),MATCH(H$1,[1]characters!$2:$2,0)-MATCH($E$1,[1]characters!$2:$2,0)+1,FALSE)</f>
        <v>4</v>
      </c>
      <c r="I33" s="10" t="str">
        <f ca="1">VLOOKUP($E33,OFFSET([1]characters!$A$2,0,0,COUNTA([1]characters!$A:$A),MATCH(I$1,[1]characters!$2:$2,0)-MATCH($E$1,[1]characters!$2:$2,0)+1),MATCH(I$1,[1]characters!$2:$2,0)-MATCH($E$1,[1]characters!$2:$2,0)+1,FALSE)</f>
        <v>blue</v>
      </c>
      <c r="J33" s="10" t="str">
        <f ca="1">VLOOKUP($E33,OFFSET([1]characters!$A$2,0,0,COUNTA([1]characters!$A:$A),MATCH("タイプ",[1]characters!$1:$1,0)-MATCH($E$1,[1]characters!$2:$2,0)+2),MATCH("タイプ",[1]characters!$1:$1,0)-MATCH($E$1,[1]characters!$2:$2,0)+2,FALSE)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3" s="10" t="str">
        <f ca="1">VLOOKUP($E33,OFFSET([1]characters!$A$2,0,0,COUNTA([1]characters!$A:$A),MATCH($K$1,[1]characters!$1:$1,0)-MATCH($E$1,[1]characters!$2:$2,0)+2),MATCH($K$1,[1]characters!$1:$1,0)-MATCH($E$1,[1]characters!$2:$2,0)+2,FALSE)</f>
        <v>ヒューマン</v>
      </c>
      <c r="L33" s="6">
        <v>1</v>
      </c>
      <c r="M33" s="6">
        <v>1133</v>
      </c>
      <c r="N33" s="28">
        <v>0</v>
      </c>
      <c r="O33" s="28">
        <v>0</v>
      </c>
      <c r="P33" s="28">
        <v>0</v>
      </c>
      <c r="Q33" s="28">
        <v>0</v>
      </c>
      <c r="R33" s="28">
        <v>1</v>
      </c>
    </row>
    <row r="34" spans="1:18" ht="21" customHeight="1">
      <c r="A34" s="8" t="str">
        <f t="shared" si="0"/>
        <v>12031</v>
      </c>
      <c r="B34" s="2">
        <v>113</v>
      </c>
      <c r="C34" s="10" t="str">
        <f ca="1">VLOOKUP($B34,OFFSET([2]gachas!$A$2,0,0,COUNTA([2]gachas!$A:$A),MATCH(C$1,[2]gachas!$1:$1,0)-MATCH($B$1,[2]gachas!$1:$1,0)+1),MATCH(C$1,[2]gachas!$1:$1,0)-MATCH($B$1,[2]gachas!$1:$1,0)+1,FALSE)</f>
        <v>ピックアップ02(沖田) 最終日</v>
      </c>
      <c r="D34" s="6">
        <v>1</v>
      </c>
      <c r="E34" s="7">
        <v>203</v>
      </c>
      <c r="F34" s="10" t="str">
        <f ca="1">VLOOKUP($E34,OFFSET([1]characters!$A$2,0,0,COUNTA([1]characters!$A:$A),MATCH(F$1,[1]characters!$2:$2,0)-MATCH($E$1,[1]characters!$2:$2,0)+1),MATCH(F$1,[1]characters!$2:$2,0)-MATCH($E$1,[1]characters!$2:$2,0)+1,FALSE)</f>
        <v>焔神 プロメテウス</v>
      </c>
      <c r="G34" s="10" t="str">
        <f ca="1">VLOOKUP($E34,OFFSET([1]characters!$A$2,0,0,COUNTA([1]characters!$A:$A),MATCH(G$1,[1]characters!$2:$2,0)-MATCH($E$1,[1]characters!$2:$2,0)+1),MATCH(G$1,[1]characters!$2:$2,0)-MATCH($E$1,[1]characters!$2:$2,0)+1,FALSE)</f>
        <v>PremiumN</v>
      </c>
      <c r="H34" s="10">
        <f ca="1">VLOOKUP($E34,OFFSET([1]characters!$A$2,0,0,COUNTA([1]characters!$A:$A),MATCH(H$1,[1]characters!$2:$2,0)-MATCH($E$1,[1]characters!$2:$2,0)+1),MATCH(H$1,[1]characters!$2:$2,0)-MATCH($E$1,[1]characters!$2:$2,0)+1,FALSE)</f>
        <v>4</v>
      </c>
      <c r="I34" s="10" t="str">
        <f ca="1">VLOOKUP($E34,OFFSET([1]characters!$A$2,0,0,COUNTA([1]characters!$A:$A),MATCH(I$1,[1]characters!$2:$2,0)-MATCH($E$1,[1]characters!$2:$2,0)+1),MATCH(I$1,[1]characters!$2:$2,0)-MATCH($E$1,[1]characters!$2:$2,0)+1,FALSE)</f>
        <v>red</v>
      </c>
      <c r="J34" s="10" t="str">
        <f ca="1">VLOOKUP($E34,OFFSET([1]characters!$A$2,0,0,COUNTA([1]characters!$A:$A),MATCH("タイプ",[1]characters!$1:$1,0)-MATCH($E$1,[1]characters!$2:$2,0)+2),MATCH("タイプ",[1]characters!$1:$1,0)-MATCH($E$1,[1]characters!$2:$2,0)+2,FALSE)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4" s="10" t="str">
        <f ca="1">VLOOKUP($E34,OFFSET([1]characters!$A$2,0,0,COUNTA([1]characters!$A:$A),MATCH($K$1,[1]characters!$1:$1,0)-MATCH($E$1,[1]characters!$2:$2,0)+2),MATCH($K$1,[1]characters!$1:$1,0)-MATCH($E$1,[1]characters!$2:$2,0)+2,FALSE)</f>
        <v>ゴッド</v>
      </c>
      <c r="L34" s="6">
        <v>1</v>
      </c>
      <c r="M34" s="6">
        <v>1133</v>
      </c>
      <c r="N34" s="28">
        <v>0</v>
      </c>
      <c r="O34" s="28">
        <v>0</v>
      </c>
      <c r="P34" s="28">
        <v>0</v>
      </c>
      <c r="Q34" s="28">
        <v>0</v>
      </c>
      <c r="R34" s="28">
        <v>1</v>
      </c>
    </row>
    <row r="35" spans="1:18" ht="21" customHeight="1">
      <c r="A35" s="8" t="str">
        <f t="shared" si="0"/>
        <v>12061</v>
      </c>
      <c r="B35" s="2">
        <v>113</v>
      </c>
      <c r="C35" s="10" t="str">
        <f ca="1">VLOOKUP($B35,OFFSET([2]gachas!$A$2,0,0,COUNTA([2]gachas!$A:$A),MATCH(C$1,[2]gachas!$1:$1,0)-MATCH($B$1,[2]gachas!$1:$1,0)+1),MATCH(C$1,[2]gachas!$1:$1,0)-MATCH($B$1,[2]gachas!$1:$1,0)+1,FALSE)</f>
        <v>ピックアップ02(沖田) 最終日</v>
      </c>
      <c r="D35" s="6">
        <v>1</v>
      </c>
      <c r="E35" s="7">
        <v>206</v>
      </c>
      <c r="F35" s="10" t="str">
        <f ca="1">VLOOKUP($E35,OFFSET([1]characters!$A$2,0,0,COUNTA([1]characters!$A:$A),MATCH(F$1,[1]characters!$2:$2,0)-MATCH($E$1,[1]characters!$2:$2,0)+1),MATCH(F$1,[1]characters!$2:$2,0)-MATCH($E$1,[1]characters!$2:$2,0)+1,FALSE)</f>
        <v>美神 アフロディーテ</v>
      </c>
      <c r="G35" s="10" t="str">
        <f ca="1">VLOOKUP($E35,OFFSET([1]characters!$A$2,0,0,COUNTA([1]characters!$A:$A),MATCH(G$1,[1]characters!$2:$2,0)-MATCH($E$1,[1]characters!$2:$2,0)+1),MATCH(G$1,[1]characters!$2:$2,0)-MATCH($E$1,[1]characters!$2:$2,0)+1,FALSE)</f>
        <v>PremiumN</v>
      </c>
      <c r="H35" s="10">
        <f ca="1">VLOOKUP($E35,OFFSET([1]characters!$A$2,0,0,COUNTA([1]characters!$A:$A),MATCH(H$1,[1]characters!$2:$2,0)-MATCH($E$1,[1]characters!$2:$2,0)+1),MATCH(H$1,[1]characters!$2:$2,0)-MATCH($E$1,[1]characters!$2:$2,0)+1,FALSE)</f>
        <v>4</v>
      </c>
      <c r="I35" s="10" t="str">
        <f ca="1">VLOOKUP($E35,OFFSET([1]characters!$A$2,0,0,COUNTA([1]characters!$A:$A),MATCH(I$1,[1]characters!$2:$2,0)-MATCH($E$1,[1]characters!$2:$2,0)+1),MATCH(I$1,[1]characters!$2:$2,0)-MATCH($E$1,[1]characters!$2:$2,0)+1,FALSE)</f>
        <v>green</v>
      </c>
      <c r="J35" s="10" t="str">
        <f ca="1">VLOOKUP($E35,OFFSET([1]characters!$A$2,0,0,COUNTA([1]characters!$A:$A),MATCH("タイプ",[1]characters!$1:$1,0)-MATCH($E$1,[1]characters!$2:$2,0)+2),MATCH("タイプ",[1]characters!$1:$1,0)-MATCH($E$1,[1]characters!$2:$2,0)+2,FALSE)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5" s="10" t="str">
        <f ca="1">VLOOKUP($E35,OFFSET([1]characters!$A$2,0,0,COUNTA([1]characters!$A:$A),MATCH($K$1,[1]characters!$1:$1,0)-MATCH($E$1,[1]characters!$2:$2,0)+2),MATCH($K$1,[1]characters!$1:$1,0)-MATCH($E$1,[1]characters!$2:$2,0)+2,FALSE)</f>
        <v>ゴッド</v>
      </c>
      <c r="L35" s="6">
        <v>1</v>
      </c>
      <c r="M35" s="6">
        <v>1133</v>
      </c>
      <c r="N35" s="28">
        <v>0</v>
      </c>
      <c r="O35" s="28">
        <v>0</v>
      </c>
      <c r="P35" s="28">
        <v>0</v>
      </c>
      <c r="Q35" s="28">
        <v>0</v>
      </c>
      <c r="R35" s="28">
        <v>1</v>
      </c>
    </row>
    <row r="36" spans="1:18" ht="21" customHeight="1">
      <c r="A36" s="8" t="str">
        <f t="shared" si="0"/>
        <v>12091</v>
      </c>
      <c r="B36" s="2">
        <v>113</v>
      </c>
      <c r="C36" s="10" t="str">
        <f ca="1">VLOOKUP($B36,OFFSET([2]gachas!$A$2,0,0,COUNTA([2]gachas!$A:$A),MATCH(C$1,[2]gachas!$1:$1,0)-MATCH($B$1,[2]gachas!$1:$1,0)+1),MATCH(C$1,[2]gachas!$1:$1,0)-MATCH($B$1,[2]gachas!$1:$1,0)+1,FALSE)</f>
        <v>ピックアップ02(沖田) 最終日</v>
      </c>
      <c r="D36" s="6">
        <v>1</v>
      </c>
      <c r="E36" s="7">
        <v>209</v>
      </c>
      <c r="F36" s="10" t="str">
        <f ca="1">VLOOKUP($E36,OFFSET([1]characters!$A$2,0,0,COUNTA([1]characters!$A:$A),MATCH(F$1,[1]characters!$2:$2,0)-MATCH($E$1,[1]characters!$2:$2,0)+1),MATCH(F$1,[1]characters!$2:$2,0)-MATCH($E$1,[1]characters!$2:$2,0)+1,FALSE)</f>
        <v>孤神 テティス</v>
      </c>
      <c r="G36" s="10" t="str">
        <f ca="1">VLOOKUP($E36,OFFSET([1]characters!$A$2,0,0,COUNTA([1]characters!$A:$A),MATCH(G$1,[1]characters!$2:$2,0)-MATCH($E$1,[1]characters!$2:$2,0)+1),MATCH(G$1,[1]characters!$2:$2,0)-MATCH($E$1,[1]characters!$2:$2,0)+1,FALSE)</f>
        <v>PremiumN</v>
      </c>
      <c r="H36" s="10">
        <f ca="1">VLOOKUP($E36,OFFSET([1]characters!$A$2,0,0,COUNTA([1]characters!$A:$A),MATCH(H$1,[1]characters!$2:$2,0)-MATCH($E$1,[1]characters!$2:$2,0)+1),MATCH(H$1,[1]characters!$2:$2,0)-MATCH($E$1,[1]characters!$2:$2,0)+1,FALSE)</f>
        <v>4</v>
      </c>
      <c r="I36" s="10" t="str">
        <f ca="1">VLOOKUP($E36,OFFSET([1]characters!$A$2,0,0,COUNTA([1]characters!$A:$A),MATCH(I$1,[1]characters!$2:$2,0)-MATCH($E$1,[1]characters!$2:$2,0)+1),MATCH(I$1,[1]characters!$2:$2,0)-MATCH($E$1,[1]characters!$2:$2,0)+1,FALSE)</f>
        <v>blue</v>
      </c>
      <c r="J36" s="10" t="str">
        <f ca="1">VLOOKUP($E36,OFFSET([1]characters!$A$2,0,0,COUNTA([1]characters!$A:$A),MATCH("タイプ",[1]characters!$1:$1,0)-MATCH($E$1,[1]characters!$2:$2,0)+2),MATCH("タイプ",[1]characters!$1:$1,0)-MATCH($E$1,[1]characters!$2:$2,0)+2,FALSE)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6" s="10" t="str">
        <f ca="1">VLOOKUP($E36,OFFSET([1]characters!$A$2,0,0,COUNTA([1]characters!$A:$A),MATCH($K$1,[1]characters!$1:$1,0)-MATCH($E$1,[1]characters!$2:$2,0)+2),MATCH($K$1,[1]characters!$1:$1,0)-MATCH($E$1,[1]characters!$2:$2,0)+2,FALSE)</f>
        <v>ゴッド</v>
      </c>
      <c r="L36" s="6">
        <v>1</v>
      </c>
      <c r="M36" s="6">
        <v>1133</v>
      </c>
      <c r="N36" s="28">
        <v>0</v>
      </c>
      <c r="O36" s="28">
        <v>0</v>
      </c>
      <c r="P36" s="28">
        <v>0</v>
      </c>
      <c r="Q36" s="28">
        <v>0</v>
      </c>
      <c r="R36" s="28">
        <v>1</v>
      </c>
    </row>
    <row r="37" spans="1:18" ht="21" customHeight="1">
      <c r="A37" s="8" t="str">
        <f t="shared" si="0"/>
        <v>12121</v>
      </c>
      <c r="B37" s="2">
        <v>113</v>
      </c>
      <c r="C37" s="10" t="str">
        <f ca="1">VLOOKUP($B37,OFFSET([2]gachas!$A$2,0,0,COUNTA([2]gachas!$A:$A),MATCH(C$1,[2]gachas!$1:$1,0)-MATCH($B$1,[2]gachas!$1:$1,0)+1),MATCH(C$1,[2]gachas!$1:$1,0)-MATCH($B$1,[2]gachas!$1:$1,0)+1,FALSE)</f>
        <v>ピックアップ02(沖田) 最終日</v>
      </c>
      <c r="D37" s="6">
        <v>1</v>
      </c>
      <c r="E37" s="7">
        <v>212</v>
      </c>
      <c r="F37" s="10" t="str">
        <f ca="1">VLOOKUP($E37,OFFSET([1]characters!$A$2,0,0,COUNTA([1]characters!$A:$A),MATCH(F$1,[1]characters!$2:$2,0)-MATCH($E$1,[1]characters!$2:$2,0)+1),MATCH(F$1,[1]characters!$2:$2,0)-MATCH($E$1,[1]characters!$2:$2,0)+1,FALSE)</f>
        <v>星神 アストライアー</v>
      </c>
      <c r="G37" s="10" t="str">
        <f ca="1">VLOOKUP($E37,OFFSET([1]characters!$A$2,0,0,COUNTA([1]characters!$A:$A),MATCH(G$1,[1]characters!$2:$2,0)-MATCH($E$1,[1]characters!$2:$2,0)+1),MATCH(G$1,[1]characters!$2:$2,0)-MATCH($E$1,[1]characters!$2:$2,0)+1,FALSE)</f>
        <v>PremiumN</v>
      </c>
      <c r="H37" s="10">
        <f ca="1">VLOOKUP($E37,OFFSET([1]characters!$A$2,0,0,COUNTA([1]characters!$A:$A),MATCH(H$1,[1]characters!$2:$2,0)-MATCH($E$1,[1]characters!$2:$2,0)+1),MATCH(H$1,[1]characters!$2:$2,0)-MATCH($E$1,[1]characters!$2:$2,0)+1,FALSE)</f>
        <v>4</v>
      </c>
      <c r="I37" s="10" t="str">
        <f ca="1">VLOOKUP($E37,OFFSET([1]characters!$A$2,0,0,COUNTA([1]characters!$A:$A),MATCH(I$1,[1]characters!$2:$2,0)-MATCH($E$1,[1]characters!$2:$2,0)+1),MATCH(I$1,[1]characters!$2:$2,0)-MATCH($E$1,[1]characters!$2:$2,0)+1,FALSE)</f>
        <v>yellow</v>
      </c>
      <c r="J37" s="10" t="str">
        <f ca="1">VLOOKUP($E37,OFFSET([1]characters!$A$2,0,0,COUNTA([1]characters!$A:$A),MATCH("タイプ",[1]characters!$1:$1,0)-MATCH($E$1,[1]characters!$2:$2,0)+2),MATCH("タイプ",[1]characters!$1:$1,0)-MATCH($E$1,[1]characters!$2:$2,0)+2,FALSE)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7" s="10" t="str">
        <f ca="1">VLOOKUP($E37,OFFSET([1]characters!$A$2,0,0,COUNTA([1]characters!$A:$A),MATCH($K$1,[1]characters!$1:$1,0)-MATCH($E$1,[1]characters!$2:$2,0)+2),MATCH($K$1,[1]characters!$1:$1,0)-MATCH($E$1,[1]characters!$2:$2,0)+2,FALSE)</f>
        <v>ゴッド</v>
      </c>
      <c r="L37" s="6">
        <v>1</v>
      </c>
      <c r="M37" s="6">
        <v>1133</v>
      </c>
      <c r="N37" s="28">
        <v>0</v>
      </c>
      <c r="O37" s="28">
        <v>0</v>
      </c>
      <c r="P37" s="28">
        <v>0</v>
      </c>
      <c r="Q37" s="28">
        <v>0</v>
      </c>
      <c r="R37" s="28">
        <v>1</v>
      </c>
    </row>
    <row r="38" spans="1:18" ht="21" customHeight="1">
      <c r="A38" s="8" t="str">
        <f t="shared" si="0"/>
        <v>12151</v>
      </c>
      <c r="B38" s="2">
        <v>113</v>
      </c>
      <c r="C38" s="10" t="str">
        <f ca="1">VLOOKUP($B38,OFFSET([2]gachas!$A$2,0,0,COUNTA([2]gachas!$A:$A),MATCH(C$1,[2]gachas!$1:$1,0)-MATCH($B$1,[2]gachas!$1:$1,0)+1),MATCH(C$1,[2]gachas!$1:$1,0)-MATCH($B$1,[2]gachas!$1:$1,0)+1,FALSE)</f>
        <v>ピックアップ02(沖田) 最終日</v>
      </c>
      <c r="D38" s="6">
        <v>1</v>
      </c>
      <c r="E38" s="7">
        <v>215</v>
      </c>
      <c r="F38" s="10" t="str">
        <f ca="1">VLOOKUP($E38,OFFSET([1]characters!$A$2,0,0,COUNTA([1]characters!$A:$A),MATCH(F$1,[1]characters!$2:$2,0)-MATCH($E$1,[1]characters!$2:$2,0)+1),MATCH(F$1,[1]characters!$2:$2,0)-MATCH($E$1,[1]characters!$2:$2,0)+1,FALSE)</f>
        <v>死導者 アズラエル</v>
      </c>
      <c r="G38" s="10" t="str">
        <f ca="1">VLOOKUP($E38,OFFSET([1]characters!$A$2,0,0,COUNTA([1]characters!$A:$A),MATCH(G$1,[1]characters!$2:$2,0)-MATCH($E$1,[1]characters!$2:$2,0)+1),MATCH(G$1,[1]characters!$2:$2,0)-MATCH($E$1,[1]characters!$2:$2,0)+1,FALSE)</f>
        <v>PremiumN</v>
      </c>
      <c r="H38" s="10">
        <f ca="1">VLOOKUP($E38,OFFSET([1]characters!$A$2,0,0,COUNTA([1]characters!$A:$A),MATCH(H$1,[1]characters!$2:$2,0)-MATCH($E$1,[1]characters!$2:$2,0)+1),MATCH(H$1,[1]characters!$2:$2,0)-MATCH($E$1,[1]characters!$2:$2,0)+1,FALSE)</f>
        <v>4</v>
      </c>
      <c r="I38" s="10" t="str">
        <f ca="1">VLOOKUP($E38,OFFSET([1]characters!$A$2,0,0,COUNTA([1]characters!$A:$A),MATCH(I$1,[1]characters!$2:$2,0)-MATCH($E$1,[1]characters!$2:$2,0)+1),MATCH(I$1,[1]characters!$2:$2,0)-MATCH($E$1,[1]characters!$2:$2,0)+1,FALSE)</f>
        <v>red</v>
      </c>
      <c r="J38" s="10" t="str">
        <f ca="1">VLOOKUP($E38,OFFSET([1]characters!$A$2,0,0,COUNTA([1]characters!$A:$A),MATCH("タイプ",[1]characters!$1:$1,0)-MATCH($E$1,[1]characters!$2:$2,0)+2),MATCH("タイプ",[1]characters!$1:$1,0)-MATCH($E$1,[1]characters!$2:$2,0)+2,FALSE)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38" s="10" t="str">
        <f ca="1">VLOOKUP($E38,OFFSET([1]characters!$A$2,0,0,COUNTA([1]characters!$A:$A),MATCH($K$1,[1]characters!$1:$1,0)-MATCH($E$1,[1]characters!$2:$2,0)+2),MATCH($K$1,[1]characters!$1:$1,0)-MATCH($E$1,[1]characters!$2:$2,0)+2,FALSE)</f>
        <v>ゴッド</v>
      </c>
      <c r="L38" s="6">
        <v>1</v>
      </c>
      <c r="M38" s="6">
        <v>1133</v>
      </c>
      <c r="N38" s="28">
        <v>0</v>
      </c>
      <c r="O38" s="28">
        <v>0</v>
      </c>
      <c r="P38" s="28">
        <v>0</v>
      </c>
      <c r="Q38" s="28">
        <v>0</v>
      </c>
      <c r="R38" s="28">
        <v>1</v>
      </c>
    </row>
    <row r="39" spans="1:18" ht="21" customHeight="1">
      <c r="A39" s="8" t="str">
        <f t="shared" si="0"/>
        <v>12181</v>
      </c>
      <c r="B39" s="2">
        <v>113</v>
      </c>
      <c r="C39" s="10" t="str">
        <f ca="1">VLOOKUP($B39,OFFSET([2]gachas!$A$2,0,0,COUNTA([2]gachas!$A:$A),MATCH(C$1,[2]gachas!$1:$1,0)-MATCH($B$1,[2]gachas!$1:$1,0)+1),MATCH(C$1,[2]gachas!$1:$1,0)-MATCH($B$1,[2]gachas!$1:$1,0)+1,FALSE)</f>
        <v>ピックアップ02(沖田) 最終日</v>
      </c>
      <c r="D39" s="6">
        <v>1</v>
      </c>
      <c r="E39" s="7">
        <v>218</v>
      </c>
      <c r="F39" s="10" t="str">
        <f ca="1">VLOOKUP($E39,OFFSET([1]characters!$A$2,0,0,COUNTA([1]characters!$A:$A),MATCH(F$1,[1]characters!$2:$2,0)-MATCH($E$1,[1]characters!$2:$2,0)+1),MATCH(F$1,[1]characters!$2:$2,0)-MATCH($E$1,[1]characters!$2:$2,0)+1,FALSE)</f>
        <v>聖蛇 ケツァクアトル</v>
      </c>
      <c r="G39" s="10" t="str">
        <f ca="1">VLOOKUP($E39,OFFSET([1]characters!$A$2,0,0,COUNTA([1]characters!$A:$A),MATCH(G$1,[1]characters!$2:$2,0)-MATCH($E$1,[1]characters!$2:$2,0)+1),MATCH(G$1,[1]characters!$2:$2,0)-MATCH($E$1,[1]characters!$2:$2,0)+1,FALSE)</f>
        <v>PremiumN</v>
      </c>
      <c r="H39" s="10">
        <f ca="1">VLOOKUP($E39,OFFSET([1]characters!$A$2,0,0,COUNTA([1]characters!$A:$A),MATCH(H$1,[1]characters!$2:$2,0)-MATCH($E$1,[1]characters!$2:$2,0)+1),MATCH(H$1,[1]characters!$2:$2,0)-MATCH($E$1,[1]characters!$2:$2,0)+1,FALSE)</f>
        <v>4</v>
      </c>
      <c r="I39" s="10" t="str">
        <f ca="1">VLOOKUP($E39,OFFSET([1]characters!$A$2,0,0,COUNTA([1]characters!$A:$A),MATCH(I$1,[1]characters!$2:$2,0)-MATCH($E$1,[1]characters!$2:$2,0)+1),MATCH(I$1,[1]characters!$2:$2,0)-MATCH($E$1,[1]characters!$2:$2,0)+1,FALSE)</f>
        <v>green</v>
      </c>
      <c r="J39" s="10" t="str">
        <f ca="1">VLOOKUP($E39,OFFSET([1]characters!$A$2,0,0,COUNTA([1]characters!$A:$A),MATCH("タイプ",[1]characters!$1:$1,0)-MATCH($E$1,[1]characters!$2:$2,0)+2),MATCH("タイプ",[1]characters!$1:$1,0)-MATCH($E$1,[1]characters!$2:$2,0)+2,FALSE)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39" s="10" t="str">
        <f ca="1">VLOOKUP($E39,OFFSET([1]characters!$A$2,0,0,COUNTA([1]characters!$A:$A),MATCH($K$1,[1]characters!$1:$1,0)-MATCH($E$1,[1]characters!$2:$2,0)+2),MATCH($K$1,[1]characters!$1:$1,0)-MATCH($E$1,[1]characters!$2:$2,0)+2,FALSE)</f>
        <v>ドラゴン</v>
      </c>
      <c r="L39" s="6">
        <v>1</v>
      </c>
      <c r="M39" s="6">
        <v>1133</v>
      </c>
      <c r="N39" s="28">
        <v>0</v>
      </c>
      <c r="O39" s="28">
        <v>0</v>
      </c>
      <c r="P39" s="28">
        <v>0</v>
      </c>
      <c r="Q39" s="28">
        <v>0</v>
      </c>
      <c r="R39" s="28">
        <v>1</v>
      </c>
    </row>
    <row r="40" spans="1:18" ht="21" customHeight="1">
      <c r="A40" s="8" t="str">
        <f t="shared" si="0"/>
        <v>12211</v>
      </c>
      <c r="B40" s="2">
        <v>113</v>
      </c>
      <c r="C40" s="10" t="str">
        <f ca="1">VLOOKUP($B40,OFFSET([2]gachas!$A$2,0,0,COUNTA([2]gachas!$A:$A),MATCH(C$1,[2]gachas!$1:$1,0)-MATCH($B$1,[2]gachas!$1:$1,0)+1),MATCH(C$1,[2]gachas!$1:$1,0)-MATCH($B$1,[2]gachas!$1:$1,0)+1,FALSE)</f>
        <v>ピックアップ02(沖田) 最終日</v>
      </c>
      <c r="D40" s="6">
        <v>1</v>
      </c>
      <c r="E40" s="7">
        <v>221</v>
      </c>
      <c r="F40" s="10" t="str">
        <f ca="1">VLOOKUP($E40,OFFSET([1]characters!$A$2,0,0,COUNTA([1]characters!$A:$A),MATCH(F$1,[1]characters!$2:$2,0)-MATCH($E$1,[1]characters!$2:$2,0)+1),MATCH(F$1,[1]characters!$2:$2,0)-MATCH($E$1,[1]characters!$2:$2,0)+1,FALSE)</f>
        <v>宰相 ルキフグス</v>
      </c>
      <c r="G40" s="10" t="str">
        <f ca="1">VLOOKUP($E40,OFFSET([1]characters!$A$2,0,0,COUNTA([1]characters!$A:$A),MATCH(G$1,[1]characters!$2:$2,0)-MATCH($E$1,[1]characters!$2:$2,0)+1),MATCH(G$1,[1]characters!$2:$2,0)-MATCH($E$1,[1]characters!$2:$2,0)+1,FALSE)</f>
        <v>PremiumN</v>
      </c>
      <c r="H40" s="10">
        <f ca="1">VLOOKUP($E40,OFFSET([1]characters!$A$2,0,0,COUNTA([1]characters!$A:$A),MATCH(H$1,[1]characters!$2:$2,0)-MATCH($E$1,[1]characters!$2:$2,0)+1),MATCH(H$1,[1]characters!$2:$2,0)-MATCH($E$1,[1]characters!$2:$2,0)+1,FALSE)</f>
        <v>4</v>
      </c>
      <c r="I40" s="10" t="str">
        <f ca="1">VLOOKUP($E40,OFFSET([1]characters!$A$2,0,0,COUNTA([1]characters!$A:$A),MATCH(I$1,[1]characters!$2:$2,0)-MATCH($E$1,[1]characters!$2:$2,0)+1),MATCH(I$1,[1]characters!$2:$2,0)-MATCH($E$1,[1]characters!$2:$2,0)+1,FALSE)</f>
        <v>blue</v>
      </c>
      <c r="J40" s="10" t="str">
        <f ca="1">VLOOKUP($E40,OFFSET([1]characters!$A$2,0,0,COUNTA([1]characters!$A:$A),MATCH("タイプ",[1]characters!$1:$1,0)-MATCH($E$1,[1]characters!$2:$2,0)+2),MATCH("タイプ",[1]characters!$1:$1,0)-MATCH($E$1,[1]characters!$2:$2,0)+2,FALSE)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0" s="10" t="str">
        <f ca="1">VLOOKUP($E40,OFFSET([1]characters!$A$2,0,0,COUNTA([1]characters!$A:$A),MATCH($K$1,[1]characters!$1:$1,0)-MATCH($E$1,[1]characters!$2:$2,0)+2),MATCH($K$1,[1]characters!$1:$1,0)-MATCH($E$1,[1]characters!$2:$2,0)+2,FALSE)</f>
        <v>ゴッド</v>
      </c>
      <c r="L40" s="6">
        <v>1</v>
      </c>
      <c r="M40" s="6">
        <v>1133</v>
      </c>
      <c r="N40" s="28">
        <v>0</v>
      </c>
      <c r="O40" s="28">
        <v>0</v>
      </c>
      <c r="P40" s="28">
        <v>0</v>
      </c>
      <c r="Q40" s="28">
        <v>0</v>
      </c>
      <c r="R40" s="28">
        <v>1</v>
      </c>
    </row>
    <row r="41" spans="1:18" ht="21" customHeight="1">
      <c r="A41" s="8" t="str">
        <f t="shared" si="0"/>
        <v>12241</v>
      </c>
      <c r="B41" s="2">
        <v>113</v>
      </c>
      <c r="C41" s="10" t="str">
        <f ca="1">VLOOKUP($B41,OFFSET([2]gachas!$A$2,0,0,COUNTA([2]gachas!$A:$A),MATCH(C$1,[2]gachas!$1:$1,0)-MATCH($B$1,[2]gachas!$1:$1,0)+1),MATCH(C$1,[2]gachas!$1:$1,0)-MATCH($B$1,[2]gachas!$1:$1,0)+1,FALSE)</f>
        <v>ピックアップ02(沖田) 最終日</v>
      </c>
      <c r="D41" s="6">
        <v>1</v>
      </c>
      <c r="E41" s="7">
        <v>224</v>
      </c>
      <c r="F41" s="10" t="str">
        <f ca="1">VLOOKUP($E41,OFFSET([1]characters!$A$2,0,0,COUNTA([1]characters!$A:$A),MATCH(F$1,[1]characters!$2:$2,0)-MATCH($E$1,[1]characters!$2:$2,0)+1),MATCH(F$1,[1]characters!$2:$2,0)-MATCH($E$1,[1]characters!$2:$2,0)+1,FALSE)</f>
        <v>巨腕 ヘラクレス</v>
      </c>
      <c r="G41" s="10" t="str">
        <f ca="1">VLOOKUP($E41,OFFSET([1]characters!$A$2,0,0,COUNTA([1]characters!$A:$A),MATCH(G$1,[1]characters!$2:$2,0)-MATCH($E$1,[1]characters!$2:$2,0)+1),MATCH(G$1,[1]characters!$2:$2,0)-MATCH($E$1,[1]characters!$2:$2,0)+1,FALSE)</f>
        <v>PremiumN</v>
      </c>
      <c r="H41" s="10">
        <f ca="1">VLOOKUP($E41,OFFSET([1]characters!$A$2,0,0,COUNTA([1]characters!$A:$A),MATCH(H$1,[1]characters!$2:$2,0)-MATCH($E$1,[1]characters!$2:$2,0)+1),MATCH(H$1,[1]characters!$2:$2,0)-MATCH($E$1,[1]characters!$2:$2,0)+1,FALSE)</f>
        <v>4</v>
      </c>
      <c r="I41" s="10" t="str">
        <f ca="1">VLOOKUP($E41,OFFSET([1]characters!$A$2,0,0,COUNTA([1]characters!$A:$A),MATCH(I$1,[1]characters!$2:$2,0)-MATCH($E$1,[1]characters!$2:$2,0)+1),MATCH(I$1,[1]characters!$2:$2,0)-MATCH($E$1,[1]characters!$2:$2,0)+1,FALSE)</f>
        <v>yellow</v>
      </c>
      <c r="J41" s="10" t="str">
        <f ca="1">VLOOKUP($E41,OFFSET([1]characters!$A$2,0,0,COUNTA([1]characters!$A:$A),MATCH("タイプ",[1]characters!$1:$1,0)-MATCH($E$1,[1]characters!$2:$2,0)+2),MATCH("タイプ",[1]characters!$1:$1,0)-MATCH($E$1,[1]characters!$2:$2,0)+2,FALSE)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1" s="10" t="str">
        <f ca="1">VLOOKUP($E41,OFFSET([1]characters!$A$2,0,0,COUNTA([1]characters!$A:$A),MATCH($K$1,[1]characters!$1:$1,0)-MATCH($E$1,[1]characters!$2:$2,0)+2),MATCH($K$1,[1]characters!$1:$1,0)-MATCH($E$1,[1]characters!$2:$2,0)+2,FALSE)</f>
        <v>ヒューマン</v>
      </c>
      <c r="L41" s="6">
        <v>1</v>
      </c>
      <c r="M41" s="6">
        <v>1133</v>
      </c>
      <c r="N41" s="28">
        <v>0</v>
      </c>
      <c r="O41" s="28">
        <v>0</v>
      </c>
      <c r="P41" s="28">
        <v>0</v>
      </c>
      <c r="Q41" s="28">
        <v>0</v>
      </c>
      <c r="R41" s="28">
        <v>1</v>
      </c>
    </row>
    <row r="42" spans="1:18" ht="21" customHeight="1">
      <c r="A42" s="8" t="str">
        <f t="shared" si="0"/>
        <v>12271</v>
      </c>
      <c r="B42" s="2">
        <v>113</v>
      </c>
      <c r="C42" s="10" t="str">
        <f ca="1">VLOOKUP($B42,OFFSET([2]gachas!$A$2,0,0,COUNTA([2]gachas!$A:$A),MATCH(C$1,[2]gachas!$1:$1,0)-MATCH($B$1,[2]gachas!$1:$1,0)+1),MATCH(C$1,[2]gachas!$1:$1,0)-MATCH($B$1,[2]gachas!$1:$1,0)+1,FALSE)</f>
        <v>ピックアップ02(沖田) 最終日</v>
      </c>
      <c r="D42" s="6">
        <v>1</v>
      </c>
      <c r="E42" s="7">
        <v>227</v>
      </c>
      <c r="F42" s="10" t="str">
        <f ca="1">VLOOKUP($E42,OFFSET([1]characters!$A$2,0,0,COUNTA([1]characters!$A:$A),MATCH(F$1,[1]characters!$2:$2,0)-MATCH($E$1,[1]characters!$2:$2,0)+1),MATCH(F$1,[1]characters!$2:$2,0)-MATCH($E$1,[1]characters!$2:$2,0)+1,FALSE)</f>
        <v>滅弾 アレス</v>
      </c>
      <c r="G42" s="10" t="str">
        <f ca="1">VLOOKUP($E42,OFFSET([1]characters!$A$2,0,0,COUNTA([1]characters!$A:$A),MATCH(G$1,[1]characters!$2:$2,0)-MATCH($E$1,[1]characters!$2:$2,0)+1),MATCH(G$1,[1]characters!$2:$2,0)-MATCH($E$1,[1]characters!$2:$2,0)+1,FALSE)</f>
        <v>PremiumS</v>
      </c>
      <c r="H42" s="10">
        <f ca="1">VLOOKUP($E42,OFFSET([1]characters!$A$2,0,0,COUNTA([1]characters!$A:$A),MATCH(H$1,[1]characters!$2:$2,0)-MATCH($E$1,[1]characters!$2:$2,0)+1),MATCH(H$1,[1]characters!$2:$2,0)-MATCH($E$1,[1]characters!$2:$2,0)+1,FALSE)</f>
        <v>4</v>
      </c>
      <c r="I42" s="10" t="str">
        <f ca="1">VLOOKUP($E42,OFFSET([1]characters!$A$2,0,0,COUNTA([1]characters!$A:$A),MATCH(I$1,[1]characters!$2:$2,0)-MATCH($E$1,[1]characters!$2:$2,0)+1),MATCH(I$1,[1]characters!$2:$2,0)-MATCH($E$1,[1]characters!$2:$2,0)+1,FALSE)</f>
        <v>red</v>
      </c>
      <c r="J42" s="10" t="str">
        <f ca="1">VLOOKUP($E42,OFFSET([1]characters!$A$2,0,0,COUNTA([1]characters!$A:$A),MATCH("タイプ",[1]characters!$1:$1,0)-MATCH($E$1,[1]characters!$2:$2,0)+2),MATCH("タイプ",[1]characters!$1:$1,0)-MATCH($E$1,[1]characters!$2:$2,0)+2,FALSE)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2" s="10" t="str">
        <f ca="1">VLOOKUP($E42,OFFSET([1]characters!$A$2,0,0,COUNTA([1]characters!$A:$A),MATCH($K$1,[1]characters!$1:$1,0)-MATCH($E$1,[1]characters!$2:$2,0)+2),MATCH($K$1,[1]characters!$1:$1,0)-MATCH($E$1,[1]characters!$2:$2,0)+2,FALSE)</f>
        <v>ゴッド</v>
      </c>
      <c r="L42" s="6">
        <v>1</v>
      </c>
      <c r="M42" s="6">
        <v>1020</v>
      </c>
      <c r="N42" s="28">
        <v>0</v>
      </c>
      <c r="O42" s="28">
        <v>0</v>
      </c>
      <c r="P42" s="28">
        <v>0</v>
      </c>
      <c r="Q42" s="28">
        <v>0</v>
      </c>
      <c r="R42" s="28">
        <v>1</v>
      </c>
    </row>
    <row r="43" spans="1:18" ht="21" customHeight="1">
      <c r="A43" s="8" t="str">
        <f t="shared" si="0"/>
        <v>12301</v>
      </c>
      <c r="B43" s="2">
        <v>113</v>
      </c>
      <c r="C43" s="10" t="str">
        <f ca="1">VLOOKUP($B43,OFFSET([2]gachas!$A$2,0,0,COUNTA([2]gachas!$A:$A),MATCH(C$1,[2]gachas!$1:$1,0)-MATCH($B$1,[2]gachas!$1:$1,0)+1),MATCH(C$1,[2]gachas!$1:$1,0)-MATCH($B$1,[2]gachas!$1:$1,0)+1,FALSE)</f>
        <v>ピックアップ02(沖田) 最終日</v>
      </c>
      <c r="D43" s="29">
        <v>1</v>
      </c>
      <c r="E43" s="30">
        <v>230</v>
      </c>
      <c r="F43" s="10" t="str">
        <f ca="1">VLOOKUP($E43,OFFSET([1]characters!$A$2,0,0,COUNTA([1]characters!$A:$A),MATCH(F$1,[1]characters!$2:$2,0)-MATCH($E$1,[1]characters!$2:$2,0)+1),MATCH(F$1,[1]characters!$2:$2,0)-MATCH($E$1,[1]characters!$2:$2,0)+1,FALSE)</f>
        <v>毒銃 ヨルムンガンド</v>
      </c>
      <c r="G43" s="10" t="str">
        <f ca="1">VLOOKUP($E43,OFFSET([1]characters!$A$2,0,0,COUNTA([1]characters!$A:$A),MATCH(G$1,[1]characters!$2:$2,0)-MATCH($E$1,[1]characters!$2:$2,0)+1),MATCH(G$1,[1]characters!$2:$2,0)-MATCH($E$1,[1]characters!$2:$2,0)+1,FALSE)</f>
        <v>PremiumS</v>
      </c>
      <c r="H43" s="10">
        <f ca="1">VLOOKUP($E43,OFFSET([1]characters!$A$2,0,0,COUNTA([1]characters!$A:$A),MATCH(H$1,[1]characters!$2:$2,0)-MATCH($E$1,[1]characters!$2:$2,0)+1),MATCH(H$1,[1]characters!$2:$2,0)-MATCH($E$1,[1]characters!$2:$2,0)+1,FALSE)</f>
        <v>4</v>
      </c>
      <c r="I43" s="10" t="str">
        <f ca="1">VLOOKUP($E43,OFFSET([1]characters!$A$2,0,0,COUNTA([1]characters!$A:$A),MATCH(I$1,[1]characters!$2:$2,0)-MATCH($E$1,[1]characters!$2:$2,0)+1),MATCH(I$1,[1]characters!$2:$2,0)-MATCH($E$1,[1]characters!$2:$2,0)+1,FALSE)</f>
        <v>green</v>
      </c>
      <c r="J43" s="10" t="str">
        <f ca="1">VLOOKUP($E43,OFFSET([1]characters!$A$2,0,0,COUNTA([1]characters!$A:$A),MATCH("タイプ",[1]characters!$1:$1,0)-MATCH($E$1,[1]characters!$2:$2,0)+2),MATCH("タイプ",[1]characters!$1:$1,0)-MATCH($E$1,[1]characters!$2:$2,0)+2,FALSE)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3" s="10" t="str">
        <f ca="1">VLOOKUP($E43,OFFSET([1]characters!$A$2,0,0,COUNTA([1]characters!$A:$A),MATCH($K$1,[1]characters!$1:$1,0)-MATCH($E$1,[1]characters!$2:$2,0)+2),MATCH($K$1,[1]characters!$1:$1,0)-MATCH($E$1,[1]characters!$2:$2,0)+2,FALSE)</f>
        <v>ドラゴン</v>
      </c>
      <c r="L43" s="29">
        <v>1</v>
      </c>
      <c r="M43" s="29">
        <v>687</v>
      </c>
      <c r="N43" s="28">
        <v>0</v>
      </c>
      <c r="O43" s="28">
        <v>0</v>
      </c>
      <c r="P43" s="28">
        <v>0</v>
      </c>
      <c r="Q43" s="28">
        <v>0</v>
      </c>
      <c r="R43" s="28">
        <v>1</v>
      </c>
    </row>
    <row r="44" spans="1:18" ht="21" customHeight="1">
      <c r="A44" s="8" t="str">
        <f t="shared" si="0"/>
        <v>12331</v>
      </c>
      <c r="B44" s="2">
        <v>113</v>
      </c>
      <c r="C44" s="10" t="str">
        <f ca="1">VLOOKUP($B44,OFFSET([2]gachas!$A$2,0,0,COUNTA([2]gachas!$A:$A),MATCH(C$1,[2]gachas!$1:$1,0)-MATCH($B$1,[2]gachas!$1:$1,0)+1),MATCH(C$1,[2]gachas!$1:$1,0)-MATCH($B$1,[2]gachas!$1:$1,0)+1,FALSE)</f>
        <v>ピックアップ02(沖田) 最終日</v>
      </c>
      <c r="D44" s="6">
        <v>1</v>
      </c>
      <c r="E44" s="7">
        <v>233</v>
      </c>
      <c r="F44" s="10" t="str">
        <f ca="1">VLOOKUP($E44,OFFSET([1]characters!$A$2,0,0,COUNTA([1]characters!$A:$A),MATCH(F$1,[1]characters!$2:$2,0)-MATCH($E$1,[1]characters!$2:$2,0)+1),MATCH(F$1,[1]characters!$2:$2,0)-MATCH($E$1,[1]characters!$2:$2,0)+1,FALSE)</f>
        <v>遂行 パーシヴァル</v>
      </c>
      <c r="G44" s="10" t="str">
        <f ca="1">VLOOKUP($E44,OFFSET([1]characters!$A$2,0,0,COUNTA([1]characters!$A:$A),MATCH(G$1,[1]characters!$2:$2,0)-MATCH($E$1,[1]characters!$2:$2,0)+1),MATCH(G$1,[1]characters!$2:$2,0)-MATCH($E$1,[1]characters!$2:$2,0)+1,FALSE)</f>
        <v>PremiumS</v>
      </c>
      <c r="H44" s="10">
        <f ca="1">VLOOKUP($E44,OFFSET([1]characters!$A$2,0,0,COUNTA([1]characters!$A:$A),MATCH(H$1,[1]characters!$2:$2,0)-MATCH($E$1,[1]characters!$2:$2,0)+1),MATCH(H$1,[1]characters!$2:$2,0)-MATCH($E$1,[1]characters!$2:$2,0)+1,FALSE)</f>
        <v>4</v>
      </c>
      <c r="I44" s="10" t="str">
        <f ca="1">VLOOKUP($E44,OFFSET([1]characters!$A$2,0,0,COUNTA([1]characters!$A:$A),MATCH(I$1,[1]characters!$2:$2,0)-MATCH($E$1,[1]characters!$2:$2,0)+1),MATCH(I$1,[1]characters!$2:$2,0)-MATCH($E$1,[1]characters!$2:$2,0)+1,FALSE)</f>
        <v>blue</v>
      </c>
      <c r="J44" s="10" t="str">
        <f ca="1">VLOOKUP($E44,OFFSET([1]characters!$A$2,0,0,COUNTA([1]characters!$A:$A),MATCH("タイプ",[1]characters!$1:$1,0)-MATCH($E$1,[1]characters!$2:$2,0)+2),MATCH("タイプ",[1]characters!$1:$1,0)-MATCH($E$1,[1]characters!$2:$2,0)+2,FALSE)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4" s="10" t="str">
        <f ca="1">VLOOKUP($E44,OFFSET([1]characters!$A$2,0,0,COUNTA([1]characters!$A:$A),MATCH($K$1,[1]characters!$1:$1,0)-MATCH($E$1,[1]characters!$2:$2,0)+2),MATCH($K$1,[1]characters!$1:$1,0)-MATCH($E$1,[1]characters!$2:$2,0)+2,FALSE)</f>
        <v>ヒューマン</v>
      </c>
      <c r="L44" s="6">
        <v>1</v>
      </c>
      <c r="M44" s="6">
        <v>1020</v>
      </c>
      <c r="N44" s="28">
        <v>0</v>
      </c>
      <c r="O44" s="28">
        <v>0</v>
      </c>
      <c r="P44" s="28">
        <v>0</v>
      </c>
      <c r="Q44" s="28">
        <v>0</v>
      </c>
      <c r="R44" s="28">
        <v>1</v>
      </c>
    </row>
    <row r="45" spans="1:18" ht="21" customHeight="1">
      <c r="A45" s="8" t="str">
        <f t="shared" si="0"/>
        <v>12361</v>
      </c>
      <c r="B45" s="2">
        <v>113</v>
      </c>
      <c r="C45" s="10" t="str">
        <f ca="1">VLOOKUP($B45,OFFSET([2]gachas!$A$2,0,0,COUNTA([2]gachas!$A:$A),MATCH(C$1,[2]gachas!$1:$1,0)-MATCH($B$1,[2]gachas!$1:$1,0)+1),MATCH(C$1,[2]gachas!$1:$1,0)-MATCH($B$1,[2]gachas!$1:$1,0)+1,FALSE)</f>
        <v>ピックアップ02(沖田) 最終日</v>
      </c>
      <c r="D45" s="6">
        <v>1</v>
      </c>
      <c r="E45" s="7">
        <v>236</v>
      </c>
      <c r="F45" s="10" t="str">
        <f ca="1">VLOOKUP($E45,OFFSET([1]characters!$A$2,0,0,COUNTA([1]characters!$A:$A),MATCH(F$1,[1]characters!$2:$2,0)-MATCH($E$1,[1]characters!$2:$2,0)+1),MATCH(F$1,[1]characters!$2:$2,0)-MATCH($E$1,[1]characters!$2:$2,0)+1,FALSE)</f>
        <v>神産 イザナミ</v>
      </c>
      <c r="G45" s="10" t="str">
        <f ca="1">VLOOKUP($E45,OFFSET([1]characters!$A$2,0,0,COUNTA([1]characters!$A:$A),MATCH(G$1,[1]characters!$2:$2,0)-MATCH($E$1,[1]characters!$2:$2,0)+1),MATCH(G$1,[1]characters!$2:$2,0)-MATCH($E$1,[1]characters!$2:$2,0)+1,FALSE)</f>
        <v>PremiumS</v>
      </c>
      <c r="H45" s="10">
        <f ca="1">VLOOKUP($E45,OFFSET([1]characters!$A$2,0,0,COUNTA([1]characters!$A:$A),MATCH(H$1,[1]characters!$2:$2,0)-MATCH($E$1,[1]characters!$2:$2,0)+1),MATCH(H$1,[1]characters!$2:$2,0)-MATCH($E$1,[1]characters!$2:$2,0)+1,FALSE)</f>
        <v>4</v>
      </c>
      <c r="I45" s="10" t="str">
        <f ca="1">VLOOKUP($E45,OFFSET([1]characters!$A$2,0,0,COUNTA([1]characters!$A:$A),MATCH(I$1,[1]characters!$2:$2,0)-MATCH($E$1,[1]characters!$2:$2,0)+1),MATCH(I$1,[1]characters!$2:$2,0)-MATCH($E$1,[1]characters!$2:$2,0)+1,FALSE)</f>
        <v>yellow</v>
      </c>
      <c r="J45" s="10" t="str">
        <f ca="1">VLOOKUP($E45,OFFSET([1]characters!$A$2,0,0,COUNTA([1]characters!$A:$A),MATCH("タイプ",[1]characters!$1:$1,0)-MATCH($E$1,[1]characters!$2:$2,0)+2),MATCH("タイプ",[1]characters!$1:$1,0)-MATCH($E$1,[1]characters!$2:$2,0)+2,FALSE)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45" s="10" t="str">
        <f ca="1">VLOOKUP($E45,OFFSET([1]characters!$A$2,0,0,COUNTA([1]characters!$A:$A),MATCH($K$1,[1]characters!$1:$1,0)-MATCH($E$1,[1]characters!$2:$2,0)+2),MATCH($K$1,[1]characters!$1:$1,0)-MATCH($E$1,[1]characters!$2:$2,0)+2,FALSE)</f>
        <v>ゴッド</v>
      </c>
      <c r="L45" s="6">
        <v>1</v>
      </c>
      <c r="M45" s="6">
        <v>1020</v>
      </c>
      <c r="N45" s="28">
        <v>0</v>
      </c>
      <c r="O45" s="28">
        <v>0</v>
      </c>
      <c r="P45" s="28">
        <v>0</v>
      </c>
      <c r="Q45" s="28">
        <v>0</v>
      </c>
      <c r="R45" s="28">
        <v>1</v>
      </c>
    </row>
    <row r="46" spans="1:18" ht="21" customHeight="1">
      <c r="A46" s="8" t="str">
        <f t="shared" si="0"/>
        <v>12311</v>
      </c>
      <c r="B46" s="2">
        <v>113</v>
      </c>
      <c r="C46" s="10" t="str">
        <f ca="1">VLOOKUP($B46,OFFSET([2]gachas!$A$2,0,0,COUNTA([2]gachas!$A:$A),MATCH(C$1,[2]gachas!$1:$1,0)-MATCH($B$1,[2]gachas!$1:$1,0)+1),MATCH(C$1,[2]gachas!$1:$1,0)-MATCH($B$1,[2]gachas!$1:$1,0)+1,FALSE)</f>
        <v>ピックアップ02(沖田) 最終日</v>
      </c>
      <c r="D46" s="29">
        <v>1</v>
      </c>
      <c r="E46" s="30">
        <v>231</v>
      </c>
      <c r="F46" s="10" t="str">
        <f ca="1">VLOOKUP($E46,OFFSET([1]characters!$A$2,0,0,COUNTA([1]characters!$A:$A),MATCH(F$1,[1]characters!$2:$2,0)-MATCH($E$1,[1]characters!$2:$2,0)+1),MATCH(F$1,[1]characters!$2:$2,0)-MATCH($E$1,[1]characters!$2:$2,0)+1,FALSE)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46" s="10" t="str">
        <f ca="1">VLOOKUP($E46,OFFSET([1]characters!$A$2,0,0,COUNTA([1]characters!$A:$A),MATCH(G$1,[1]characters!$2:$2,0)-MATCH($E$1,[1]characters!$2:$2,0)+1),MATCH(G$1,[1]characters!$2:$2,0)-MATCH($E$1,[1]characters!$2:$2,0)+1,FALSE)</f>
        <v>PremiumS</v>
      </c>
      <c r="H46" s="10">
        <f ca="1">VLOOKUP($E46,OFFSET([1]characters!$A$2,0,0,COUNTA([1]characters!$A:$A),MATCH(H$1,[1]characters!$2:$2,0)-MATCH($E$1,[1]characters!$2:$2,0)+1),MATCH(H$1,[1]characters!$2:$2,0)-MATCH($E$1,[1]characters!$2:$2,0)+1,FALSE)</f>
        <v>5</v>
      </c>
      <c r="I46" s="10" t="str">
        <f ca="1">VLOOKUP($E46,OFFSET([1]characters!$A$2,0,0,COUNTA([1]characters!$A:$A),MATCH(I$1,[1]characters!$2:$2,0)-MATCH($E$1,[1]characters!$2:$2,0)+1),MATCH(I$1,[1]characters!$2:$2,0)-MATCH($E$1,[1]characters!$2:$2,0)+1,FALSE)</f>
        <v>green</v>
      </c>
      <c r="J46" s="10" t="str">
        <f ca="1">VLOOKUP($E46,OFFSET([1]characters!$A$2,0,0,COUNTA([1]characters!$A:$A),MATCH("タイプ",[1]characters!$1:$1,0)-MATCH($E$1,[1]characters!$2:$2,0)+2),MATCH("タイプ",[1]characters!$1:$1,0)-MATCH($E$1,[1]characters!$2:$2,0)+2,FALSE)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46" s="10" t="str">
        <f ca="1">VLOOKUP($E46,OFFSET([1]characters!$A$2,0,0,COUNTA([1]characters!$A:$A),MATCH($K$1,[1]characters!$1:$1,0)-MATCH($E$1,[1]characters!$2:$2,0)+2),MATCH($K$1,[1]characters!$1:$1,0)-MATCH($E$1,[1]characters!$2:$2,0)+2,FALSE)</f>
        <v>ドラゴン</v>
      </c>
      <c r="L46" s="29">
        <v>1</v>
      </c>
      <c r="M46" s="29">
        <v>1083</v>
      </c>
      <c r="N46" s="28">
        <v>0</v>
      </c>
      <c r="O46" s="28">
        <v>0</v>
      </c>
      <c r="P46" s="28">
        <v>0</v>
      </c>
      <c r="Q46" s="28">
        <v>0</v>
      </c>
      <c r="R46" s="28">
        <v>1</v>
      </c>
    </row>
    <row r="47" spans="1:18" ht="21" customHeight="1">
      <c r="A47" s="8" t="str">
        <f t="shared" si="0"/>
        <v>12391</v>
      </c>
      <c r="B47" s="2">
        <v>113</v>
      </c>
      <c r="C47" s="10" t="str">
        <f ca="1">VLOOKUP($B47,OFFSET([2]gachas!$A$2,0,0,COUNTA([2]gachas!$A:$A),MATCH(C$1,[2]gachas!$1:$1,0)-MATCH($B$1,[2]gachas!$1:$1,0)+1),MATCH(C$1,[2]gachas!$1:$1,0)-MATCH($B$1,[2]gachas!$1:$1,0)+1,FALSE)</f>
        <v>ピックアップ02(沖田) 最終日</v>
      </c>
      <c r="D47" s="6">
        <v>1</v>
      </c>
      <c r="E47" s="19">
        <v>239</v>
      </c>
      <c r="F47" s="10" t="str">
        <f ca="1">VLOOKUP($E47,OFFSET([1]characters!$A$2,0,0,COUNTA([1]characters!$A:$A),MATCH(F$1,[1]characters!$2:$2,0)-MATCH($E$1,[1]characters!$2:$2,0)+1),MATCH(F$1,[1]characters!$2:$2,0)-MATCH($E$1,[1]characters!$2:$2,0)+1,FALSE)</f>
        <v>豪炎の天使 ウリエル</v>
      </c>
      <c r="G47" s="10" t="str">
        <f ca="1">VLOOKUP($E47,OFFSET([1]characters!$A$2,0,0,COUNTA([1]characters!$A:$A),MATCH(G$1,[1]characters!$2:$2,0)-MATCH($E$1,[1]characters!$2:$2,0)+1),MATCH(G$1,[1]characters!$2:$2,0)-MATCH($E$1,[1]characters!$2:$2,0)+1,FALSE)</f>
        <v>PremiumS</v>
      </c>
      <c r="H47" s="10">
        <f ca="1">VLOOKUP($E47,OFFSET([1]characters!$A$2,0,0,COUNTA([1]characters!$A:$A),MATCH(H$1,[1]characters!$2:$2,0)-MATCH($E$1,[1]characters!$2:$2,0)+1),MATCH(H$1,[1]characters!$2:$2,0)-MATCH($E$1,[1]characters!$2:$2,0)+1,FALSE)</f>
        <v>4</v>
      </c>
      <c r="I47" s="10" t="str">
        <f ca="1">VLOOKUP($E47,OFFSET([1]characters!$A$2,0,0,COUNTA([1]characters!$A:$A),MATCH(I$1,[1]characters!$2:$2,0)-MATCH($E$1,[1]characters!$2:$2,0)+1),MATCH(I$1,[1]characters!$2:$2,0)-MATCH($E$1,[1]characters!$2:$2,0)+1,FALSE)</f>
        <v>red</v>
      </c>
      <c r="J47" s="10" t="str">
        <f ca="1">VLOOKUP($E47,OFFSET([1]characters!$A$2,0,0,COUNTA([1]characters!$A:$A),MATCH("タイプ",[1]characters!$1:$1,0)-MATCH($E$1,[1]characters!$2:$2,0)+2),MATCH("タイプ",[1]characters!$1:$1,0)-MATCH($E$1,[1]characters!$2:$2,0)+2,FALSE)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47" s="10" t="str">
        <f ca="1">VLOOKUP($E47,OFFSET([1]characters!$A$2,0,0,COUNTA([1]characters!$A:$A),MATCH($K$1,[1]characters!$1:$1,0)-MATCH($E$1,[1]characters!$2:$2,0)+2),MATCH($K$1,[1]characters!$1:$1,0)-MATCH($E$1,[1]characters!$2:$2,0)+2,FALSE)</f>
        <v>マシン</v>
      </c>
      <c r="L47" s="6">
        <v>1</v>
      </c>
      <c r="M47" s="45">
        <v>1020</v>
      </c>
      <c r="N47" s="28">
        <v>0</v>
      </c>
      <c r="O47" s="28">
        <v>0</v>
      </c>
      <c r="P47" s="28">
        <v>0</v>
      </c>
      <c r="Q47" s="28">
        <v>0</v>
      </c>
      <c r="R47" s="28">
        <v>1</v>
      </c>
    </row>
    <row r="48" spans="1:18" ht="21" customHeight="1">
      <c r="A48" s="8" t="str">
        <f t="shared" si="0"/>
        <v>12421</v>
      </c>
      <c r="B48" s="2">
        <v>113</v>
      </c>
      <c r="C48" s="10" t="str">
        <f ca="1">VLOOKUP($B48,OFFSET([2]gachas!$A$2,0,0,COUNTA([2]gachas!$A:$A),MATCH(C$1,[2]gachas!$1:$1,0)-MATCH($B$1,[2]gachas!$1:$1,0)+1),MATCH(C$1,[2]gachas!$1:$1,0)-MATCH($B$1,[2]gachas!$1:$1,0)+1,FALSE)</f>
        <v>ピックアップ02(沖田) 最終日</v>
      </c>
      <c r="D48" s="6">
        <v>1</v>
      </c>
      <c r="E48" s="19">
        <v>242</v>
      </c>
      <c r="F48" s="10" t="str">
        <f ca="1">VLOOKUP($E48,OFFSET([1]characters!$A$2,0,0,COUNTA([1]characters!$A:$A),MATCH(F$1,[1]characters!$2:$2,0)-MATCH($E$1,[1]characters!$2:$2,0)+1),MATCH(F$1,[1]characters!$2:$2,0)-MATCH($E$1,[1]characters!$2:$2,0)+1,FALSE)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48" s="10" t="str">
        <f ca="1">VLOOKUP($E48,OFFSET([1]characters!$A$2,0,0,COUNTA([1]characters!$A:$A),MATCH(G$1,[1]characters!$2:$2,0)-MATCH($E$1,[1]characters!$2:$2,0)+1),MATCH(G$1,[1]characters!$2:$2,0)-MATCH($E$1,[1]characters!$2:$2,0)+1,FALSE)</f>
        <v>PremiumS</v>
      </c>
      <c r="H48" s="10">
        <f ca="1">VLOOKUP($E48,OFFSET([1]characters!$A$2,0,0,COUNTA([1]characters!$A:$A),MATCH(H$1,[1]characters!$2:$2,0)-MATCH($E$1,[1]characters!$2:$2,0)+1),MATCH(H$1,[1]characters!$2:$2,0)-MATCH($E$1,[1]characters!$2:$2,0)+1,FALSE)</f>
        <v>4</v>
      </c>
      <c r="I48" s="10" t="str">
        <f ca="1">VLOOKUP($E48,OFFSET([1]characters!$A$2,0,0,COUNTA([1]characters!$A:$A),MATCH(I$1,[1]characters!$2:$2,0)-MATCH($E$1,[1]characters!$2:$2,0)+1),MATCH(I$1,[1]characters!$2:$2,0)-MATCH($E$1,[1]characters!$2:$2,0)+1,FALSE)</f>
        <v>green</v>
      </c>
      <c r="J48" s="10" t="str">
        <f ca="1">VLOOKUP($E48,OFFSET([1]characters!$A$2,0,0,COUNTA([1]characters!$A:$A),MATCH("タイプ",[1]characters!$1:$1,0)-MATCH($E$1,[1]characters!$2:$2,0)+2),MATCH("タイプ",[1]characters!$1:$1,0)-MATCH($E$1,[1]characters!$2:$2,0)+2,FALSE)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8" s="10" t="str">
        <f ca="1">VLOOKUP($E48,OFFSET([1]characters!$A$2,0,0,COUNTA([1]characters!$A:$A),MATCH($K$1,[1]characters!$1:$1,0)-MATCH($E$1,[1]characters!$2:$2,0)+2),MATCH($K$1,[1]characters!$1:$1,0)-MATCH($E$1,[1]characters!$2:$2,0)+2,FALSE)</f>
        <v>マシン</v>
      </c>
      <c r="L48" s="6">
        <v>1</v>
      </c>
      <c r="M48" s="45">
        <v>1020</v>
      </c>
      <c r="N48" s="28">
        <v>0</v>
      </c>
      <c r="O48" s="28">
        <v>0</v>
      </c>
      <c r="P48" s="28">
        <v>0</v>
      </c>
      <c r="Q48" s="28">
        <v>0</v>
      </c>
      <c r="R48" s="28">
        <v>1</v>
      </c>
    </row>
    <row r="49" spans="1:18" ht="21" customHeight="1">
      <c r="A49" s="8" t="str">
        <f t="shared" si="0"/>
        <v>12451</v>
      </c>
      <c r="B49" s="2">
        <v>113</v>
      </c>
      <c r="C49" s="10" t="str">
        <f ca="1">VLOOKUP($B49,OFFSET([2]gachas!$A$2,0,0,COUNTA([2]gachas!$A:$A),MATCH(C$1,[2]gachas!$1:$1,0)-MATCH($B$1,[2]gachas!$1:$1,0)+1),MATCH(C$1,[2]gachas!$1:$1,0)-MATCH($B$1,[2]gachas!$1:$1,0)+1,FALSE)</f>
        <v>ピックアップ02(沖田) 最終日</v>
      </c>
      <c r="D49" s="6">
        <v>1</v>
      </c>
      <c r="E49" s="19">
        <v>245</v>
      </c>
      <c r="F49" s="10" t="str">
        <f ca="1">VLOOKUP($E49,OFFSET([1]characters!$A$2,0,0,COUNTA([1]characters!$A:$A),MATCH(F$1,[1]characters!$2:$2,0)-MATCH($E$1,[1]characters!$2:$2,0)+1),MATCH(F$1,[1]characters!$2:$2,0)-MATCH($E$1,[1]characters!$2:$2,0)+1,FALSE)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49" s="10" t="str">
        <f ca="1">VLOOKUP($E49,OFFSET([1]characters!$A$2,0,0,COUNTA([1]characters!$A:$A),MATCH(G$1,[1]characters!$2:$2,0)-MATCH($E$1,[1]characters!$2:$2,0)+1),MATCH(G$1,[1]characters!$2:$2,0)-MATCH($E$1,[1]characters!$2:$2,0)+1,FALSE)</f>
        <v>PremiumS</v>
      </c>
      <c r="H49" s="10">
        <f ca="1">VLOOKUP($E49,OFFSET([1]characters!$A$2,0,0,COUNTA([1]characters!$A:$A),MATCH(H$1,[1]characters!$2:$2,0)-MATCH($E$1,[1]characters!$2:$2,0)+1),MATCH(H$1,[1]characters!$2:$2,0)-MATCH($E$1,[1]characters!$2:$2,0)+1,FALSE)</f>
        <v>4</v>
      </c>
      <c r="I49" s="10" t="str">
        <f ca="1">VLOOKUP($E49,OFFSET([1]characters!$A$2,0,0,COUNTA([1]characters!$A:$A),MATCH(I$1,[1]characters!$2:$2,0)-MATCH($E$1,[1]characters!$2:$2,0)+1),MATCH(I$1,[1]characters!$2:$2,0)-MATCH($E$1,[1]characters!$2:$2,0)+1,FALSE)</f>
        <v>blue</v>
      </c>
      <c r="J49" s="10" t="str">
        <f ca="1">VLOOKUP($E49,OFFSET([1]characters!$A$2,0,0,COUNTA([1]characters!$A:$A),MATCH("タイプ",[1]characters!$1:$1,0)-MATCH($E$1,[1]characters!$2:$2,0)+2),MATCH("タイプ",[1]characters!$1:$1,0)-MATCH($E$1,[1]characters!$2:$2,0)+2,FALSE)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49" s="10" t="str">
        <f ca="1">VLOOKUP($E49,OFFSET([1]characters!$A$2,0,0,COUNTA([1]characters!$A:$A),MATCH($K$1,[1]characters!$1:$1,0)-MATCH($E$1,[1]characters!$2:$2,0)+2),MATCH($K$1,[1]characters!$1:$1,0)-MATCH($E$1,[1]characters!$2:$2,0)+2,FALSE)</f>
        <v>マシン</v>
      </c>
      <c r="L49" s="6">
        <v>1</v>
      </c>
      <c r="M49" s="45">
        <v>1020</v>
      </c>
      <c r="N49" s="28">
        <v>0</v>
      </c>
      <c r="O49" s="28">
        <v>0</v>
      </c>
      <c r="P49" s="28">
        <v>0</v>
      </c>
      <c r="Q49" s="28">
        <v>0</v>
      </c>
      <c r="R49" s="28">
        <v>1</v>
      </c>
    </row>
    <row r="50" spans="1:18" ht="21" customHeight="1">
      <c r="A50" s="8" t="str">
        <f t="shared" si="0"/>
        <v>12481</v>
      </c>
      <c r="B50" s="2">
        <v>113</v>
      </c>
      <c r="C50" s="10" t="str">
        <f ca="1">VLOOKUP($B50,OFFSET([2]gachas!$A$2,0,0,COUNTA([2]gachas!$A:$A),MATCH(C$1,[2]gachas!$1:$1,0)-MATCH($B$1,[2]gachas!$1:$1,0)+1),MATCH(C$1,[2]gachas!$1:$1,0)-MATCH($B$1,[2]gachas!$1:$1,0)+1,FALSE)</f>
        <v>ピックアップ02(沖田) 最終日</v>
      </c>
      <c r="D50" s="29">
        <v>1</v>
      </c>
      <c r="E50" s="36">
        <v>248</v>
      </c>
      <c r="F50" s="10" t="str">
        <f ca="1">VLOOKUP($E50,OFFSET([1]characters!$A$2,0,0,COUNTA([1]characters!$A:$A),MATCH(F$1,[1]characters!$2:$2,0)-MATCH($E$1,[1]characters!$2:$2,0)+1),MATCH(F$1,[1]characters!$2:$2,0)-MATCH($E$1,[1]characters!$2:$2,0)+1,FALSE)</f>
        <v>彩電の天使 ミカエル</v>
      </c>
      <c r="G50" s="10" t="str">
        <f ca="1">VLOOKUP($E50,OFFSET([1]characters!$A$2,0,0,COUNTA([1]characters!$A:$A),MATCH(G$1,[1]characters!$2:$2,0)-MATCH($E$1,[1]characters!$2:$2,0)+1),MATCH(G$1,[1]characters!$2:$2,0)-MATCH($E$1,[1]characters!$2:$2,0)+1,FALSE)</f>
        <v>PremiumS</v>
      </c>
      <c r="H50" s="10">
        <f ca="1">VLOOKUP($E50,OFFSET([1]characters!$A$2,0,0,COUNTA([1]characters!$A:$A),MATCH(H$1,[1]characters!$2:$2,0)-MATCH($E$1,[1]characters!$2:$2,0)+1),MATCH(H$1,[1]characters!$2:$2,0)-MATCH($E$1,[1]characters!$2:$2,0)+1,FALSE)</f>
        <v>4</v>
      </c>
      <c r="I50" s="10" t="str">
        <f ca="1">VLOOKUP($E50,OFFSET([1]characters!$A$2,0,0,COUNTA([1]characters!$A:$A),MATCH(I$1,[1]characters!$2:$2,0)-MATCH($E$1,[1]characters!$2:$2,0)+1),MATCH(I$1,[1]characters!$2:$2,0)-MATCH($E$1,[1]characters!$2:$2,0)+1,FALSE)</f>
        <v>yellow</v>
      </c>
      <c r="J50" s="10" t="str">
        <f ca="1">VLOOKUP($E50,OFFSET([1]characters!$A$2,0,0,COUNTA([1]characters!$A:$A),MATCH("タイプ",[1]characters!$1:$1,0)-MATCH($E$1,[1]characters!$2:$2,0)+2),MATCH("タイプ",[1]characters!$1:$1,0)-MATCH($E$1,[1]characters!$2:$2,0)+2,FALSE)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0" s="10" t="str">
        <f ca="1">VLOOKUP($E50,OFFSET([1]characters!$A$2,0,0,COUNTA([1]characters!$A:$A),MATCH($K$1,[1]characters!$1:$1,0)-MATCH($E$1,[1]characters!$2:$2,0)+2),MATCH($K$1,[1]characters!$1:$1,0)-MATCH($E$1,[1]characters!$2:$2,0)+2,FALSE)</f>
        <v>マシン</v>
      </c>
      <c r="L50" s="29">
        <v>1</v>
      </c>
      <c r="M50" s="29">
        <v>687</v>
      </c>
      <c r="N50" s="28">
        <v>0</v>
      </c>
      <c r="O50" s="28">
        <v>0</v>
      </c>
      <c r="P50" s="28">
        <v>0</v>
      </c>
      <c r="Q50" s="28">
        <v>0</v>
      </c>
      <c r="R50" s="28">
        <v>1</v>
      </c>
    </row>
    <row r="51" spans="1:18" s="26" customFormat="1" ht="21" customHeight="1" thickBot="1">
      <c r="A51" s="22" t="str">
        <f t="shared" si="0"/>
        <v>12491</v>
      </c>
      <c r="B51" s="2">
        <v>113</v>
      </c>
      <c r="C51" s="10" t="str">
        <f ca="1">VLOOKUP($B51,OFFSET([2]gachas!$A$2,0,0,COUNTA([2]gachas!$A:$A),MATCH(C$1,[2]gachas!$1:$1,0)-MATCH($B$1,[2]gachas!$1:$1,0)+1),MATCH(C$1,[2]gachas!$1:$1,0)-MATCH($B$1,[2]gachas!$1:$1,0)+1,FALSE)</f>
        <v>ピックアップ02(沖田) 最終日</v>
      </c>
      <c r="D51" s="29">
        <v>1</v>
      </c>
      <c r="E51" s="36">
        <v>249</v>
      </c>
      <c r="F51" s="10" t="str">
        <f ca="1">VLOOKUP($E51,OFFSET([1]characters!$A$2,0,0,COUNTA([1]characters!$A:$A),MATCH(F$1,[1]characters!$2:$2,0)-MATCH($E$1,[1]characters!$2:$2,0)+1),MATCH(F$1,[1]characters!$2:$2,0)-MATCH($E$1,[1]characters!$2:$2,0)+1,FALSE)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51" s="10" t="str">
        <f ca="1">VLOOKUP($E51,OFFSET([1]characters!$A$2,0,0,COUNTA([1]characters!$A:$A),MATCH(G$1,[1]characters!$2:$2,0)-MATCH($E$1,[1]characters!$2:$2,0)+1),MATCH(G$1,[1]characters!$2:$2,0)-MATCH($E$1,[1]characters!$2:$2,0)+1,FALSE)</f>
        <v>PremiumS</v>
      </c>
      <c r="H51" s="10">
        <f ca="1">VLOOKUP($E51,OFFSET([1]characters!$A$2,0,0,COUNTA([1]characters!$A:$A),MATCH(H$1,[1]characters!$2:$2,0)-MATCH($E$1,[1]characters!$2:$2,0)+1),MATCH(H$1,[1]characters!$2:$2,0)-MATCH($E$1,[1]characters!$2:$2,0)+1,FALSE)</f>
        <v>5</v>
      </c>
      <c r="I51" s="10" t="str">
        <f ca="1">VLOOKUP($E51,OFFSET([1]characters!$A$2,0,0,COUNTA([1]characters!$A:$A),MATCH(I$1,[1]characters!$2:$2,0)-MATCH($E$1,[1]characters!$2:$2,0)+1),MATCH(I$1,[1]characters!$2:$2,0)-MATCH($E$1,[1]characters!$2:$2,0)+1,FALSE)</f>
        <v>yellow</v>
      </c>
      <c r="J51" s="10" t="str">
        <f ca="1">VLOOKUP($E51,OFFSET([1]characters!$A$2,0,0,COUNTA([1]characters!$A:$A),MATCH("タイプ",[1]characters!$1:$1,0)-MATCH($E$1,[1]characters!$2:$2,0)+2),MATCH("タイプ",[1]characters!$1:$1,0)-MATCH($E$1,[1]characters!$2:$2,0)+2,FALSE)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1" s="10" t="str">
        <f ca="1">VLOOKUP($E51,OFFSET([1]characters!$A$2,0,0,COUNTA([1]characters!$A:$A),MATCH($K$1,[1]characters!$1:$1,0)-MATCH($E$1,[1]characters!$2:$2,0)+2),MATCH($K$1,[1]characters!$1:$1,0)-MATCH($E$1,[1]characters!$2:$2,0)+2,FALSE)</f>
        <v>マシン</v>
      </c>
      <c r="L51" s="29">
        <v>1</v>
      </c>
      <c r="M51" s="29">
        <v>1083</v>
      </c>
      <c r="N51" s="28">
        <v>0</v>
      </c>
      <c r="O51" s="28">
        <v>0</v>
      </c>
      <c r="P51" s="28">
        <v>0</v>
      </c>
      <c r="Q51" s="28">
        <v>0</v>
      </c>
      <c r="R51" s="28">
        <v>1</v>
      </c>
    </row>
    <row r="52" spans="1:18" ht="21" customHeight="1" thickBot="1">
      <c r="A52" s="22" t="str">
        <f t="shared" si="0"/>
        <v>12511</v>
      </c>
      <c r="B52" s="2">
        <v>113</v>
      </c>
      <c r="C52" s="10" t="str">
        <f ca="1">VLOOKUP($B52,OFFSET([2]gachas!$A$2,0,0,COUNTA([2]gachas!$A:$A),MATCH(C$1,[2]gachas!$1:$1,0)-MATCH($B$1,[2]gachas!$1:$1,0)+1),MATCH(C$1,[2]gachas!$1:$1,0)-MATCH($B$1,[2]gachas!$1:$1,0)+1,FALSE)</f>
        <v>ピックアップ02(沖田) 最終日</v>
      </c>
      <c r="D52" s="6">
        <v>1</v>
      </c>
      <c r="E52" s="7">
        <v>251</v>
      </c>
      <c r="F52" s="10" t="str">
        <f ca="1">VLOOKUP($E52,OFFSET([1]characters!$A$2,0,0,COUNTA([1]characters!$A:$A),MATCH(F$1,[1]characters!$2:$2,0)-MATCH($E$1,[1]characters!$2:$2,0)+1),MATCH(F$1,[1]characters!$2:$2,0)-MATCH($E$1,[1]characters!$2:$2,0)+1,FALSE)</f>
        <v>強欲 マンモン</v>
      </c>
      <c r="G52" s="10" t="str">
        <f ca="1">VLOOKUP($E52,OFFSET([1]characters!$A$2,0,0,COUNTA([1]characters!$A:$A),MATCH(G$1,[1]characters!$2:$2,0)-MATCH($E$1,[1]characters!$2:$2,0)+1),MATCH(G$1,[1]characters!$2:$2,0)-MATCH($E$1,[1]characters!$2:$2,0)+1,FALSE)</f>
        <v>PremiumS</v>
      </c>
      <c r="H52" s="10">
        <f ca="1">VLOOKUP($E52,OFFSET([1]characters!$A$2,0,0,COUNTA([1]characters!$A:$A),MATCH(H$1,[1]characters!$2:$2,0)-MATCH($E$1,[1]characters!$2:$2,0)+1),MATCH(H$1,[1]characters!$2:$2,0)-MATCH($E$1,[1]characters!$2:$2,0)+1,FALSE)</f>
        <v>4</v>
      </c>
      <c r="I52" s="10" t="str">
        <f ca="1">VLOOKUP($E52,OFFSET([1]characters!$A$2,0,0,COUNTA([1]characters!$A:$A),MATCH(I$1,[1]characters!$2:$2,0)-MATCH($E$1,[1]characters!$2:$2,0)+1),MATCH(I$1,[1]characters!$2:$2,0)-MATCH($E$1,[1]characters!$2:$2,0)+1,FALSE)</f>
        <v>red</v>
      </c>
      <c r="J52" s="10" t="str">
        <f ca="1">VLOOKUP($E52,OFFSET([1]characters!$A$2,0,0,COUNTA([1]characters!$A:$A),MATCH("タイプ",[1]characters!$1:$1,0)-MATCH($E$1,[1]characters!$2:$2,0)+2),MATCH("タイプ",[1]characters!$1:$1,0)-MATCH($E$1,[1]characters!$2:$2,0)+2,FALSE)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2" s="10" t="str">
        <f ca="1">VLOOKUP($E52,OFFSET([1]characters!$A$2,0,0,COUNTA([1]characters!$A:$A),MATCH($K$1,[1]characters!$1:$1,0)-MATCH($E$1,[1]characters!$2:$2,0)+2),MATCH($K$1,[1]characters!$1:$1,0)-MATCH($E$1,[1]characters!$2:$2,0)+2,FALSE)</f>
        <v>ゴッド</v>
      </c>
      <c r="L52" s="6">
        <v>1</v>
      </c>
      <c r="M52" s="45">
        <v>1020</v>
      </c>
      <c r="N52" s="28">
        <v>0</v>
      </c>
      <c r="O52" s="28">
        <v>0</v>
      </c>
      <c r="P52" s="28">
        <v>0</v>
      </c>
      <c r="Q52" s="28">
        <v>0</v>
      </c>
      <c r="R52" s="28">
        <v>1</v>
      </c>
    </row>
    <row r="53" spans="1:18" ht="21" customHeight="1" thickBot="1">
      <c r="A53" s="22" t="str">
        <f t="shared" si="0"/>
        <v>12541</v>
      </c>
      <c r="B53" s="2">
        <v>113</v>
      </c>
      <c r="C53" s="10" t="str">
        <f ca="1">VLOOKUP($B53,OFFSET([2]gachas!$A$2,0,0,COUNTA([2]gachas!$A:$A),MATCH(C$1,[2]gachas!$1:$1,0)-MATCH($B$1,[2]gachas!$1:$1,0)+1),MATCH(C$1,[2]gachas!$1:$1,0)-MATCH($B$1,[2]gachas!$1:$1,0)+1,FALSE)</f>
        <v>ピックアップ02(沖田) 最終日</v>
      </c>
      <c r="D53" s="6">
        <v>1</v>
      </c>
      <c r="E53" s="7">
        <v>254</v>
      </c>
      <c r="F53" s="10" t="str">
        <f ca="1">VLOOKUP($E53,OFFSET([1]characters!$A$2,0,0,COUNTA([1]characters!$A:$A),MATCH(F$1,[1]characters!$2:$2,0)-MATCH($E$1,[1]characters!$2:$2,0)+1),MATCH(F$1,[1]characters!$2:$2,0)-MATCH($E$1,[1]characters!$2:$2,0)+1,FALSE)</f>
        <v>怠惰 ベルフェゴール</v>
      </c>
      <c r="G53" s="10" t="str">
        <f ca="1">VLOOKUP($E53,OFFSET([1]characters!$A$2,0,0,COUNTA([1]characters!$A:$A),MATCH(G$1,[1]characters!$2:$2,0)-MATCH($E$1,[1]characters!$2:$2,0)+1),MATCH(G$1,[1]characters!$2:$2,0)-MATCH($E$1,[1]characters!$2:$2,0)+1,FALSE)</f>
        <v>PremiumS</v>
      </c>
      <c r="H53" s="10">
        <f ca="1">VLOOKUP($E53,OFFSET([1]characters!$A$2,0,0,COUNTA([1]characters!$A:$A),MATCH(H$1,[1]characters!$2:$2,0)-MATCH($E$1,[1]characters!$2:$2,0)+1),MATCH(H$1,[1]characters!$2:$2,0)-MATCH($E$1,[1]characters!$2:$2,0)+1,FALSE)</f>
        <v>4</v>
      </c>
      <c r="I53" s="10" t="str">
        <f ca="1">VLOOKUP($E53,OFFSET([1]characters!$A$2,0,0,COUNTA([1]characters!$A:$A),MATCH(I$1,[1]characters!$2:$2,0)-MATCH($E$1,[1]characters!$2:$2,0)+1),MATCH(I$1,[1]characters!$2:$2,0)-MATCH($E$1,[1]characters!$2:$2,0)+1,FALSE)</f>
        <v>green</v>
      </c>
      <c r="J53" s="10" t="str">
        <f ca="1">VLOOKUP($E53,OFFSET([1]characters!$A$2,0,0,COUNTA([1]characters!$A:$A),MATCH("タイプ",[1]characters!$1:$1,0)-MATCH($E$1,[1]characters!$2:$2,0)+2),MATCH("タイプ",[1]characters!$1:$1,0)-MATCH($E$1,[1]characters!$2:$2,0)+2,FALSE)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53" s="10" t="str">
        <f ca="1">VLOOKUP($E53,OFFSET([1]characters!$A$2,0,0,COUNTA([1]characters!$A:$A),MATCH($K$1,[1]characters!$1:$1,0)-MATCH($E$1,[1]characters!$2:$2,0)+2),MATCH($K$1,[1]characters!$1:$1,0)-MATCH($E$1,[1]characters!$2:$2,0)+2,FALSE)</f>
        <v>ゴッド</v>
      </c>
      <c r="L53" s="6">
        <v>1</v>
      </c>
      <c r="M53" s="45">
        <v>1020</v>
      </c>
      <c r="N53" s="28">
        <v>0</v>
      </c>
      <c r="O53" s="28">
        <v>0</v>
      </c>
      <c r="P53" s="28">
        <v>0</v>
      </c>
      <c r="Q53" s="28">
        <v>0</v>
      </c>
      <c r="R53" s="28">
        <v>1</v>
      </c>
    </row>
    <row r="54" spans="1:18" ht="21" customHeight="1" thickBot="1">
      <c r="A54" s="22" t="str">
        <f t="shared" si="0"/>
        <v>12571</v>
      </c>
      <c r="B54" s="2">
        <v>113</v>
      </c>
      <c r="C54" s="10" t="str">
        <f ca="1">VLOOKUP($B54,OFFSET([2]gachas!$A$2,0,0,COUNTA([2]gachas!$A:$A),MATCH(C$1,[2]gachas!$1:$1,0)-MATCH($B$1,[2]gachas!$1:$1,0)+1),MATCH(C$1,[2]gachas!$1:$1,0)-MATCH($B$1,[2]gachas!$1:$1,0)+1,FALSE)</f>
        <v>ピックアップ02(沖田) 最終日</v>
      </c>
      <c r="D54" s="6">
        <v>1</v>
      </c>
      <c r="E54" s="7">
        <v>257</v>
      </c>
      <c r="F54" s="10" t="str">
        <f ca="1">VLOOKUP($E54,OFFSET([1]characters!$A$2,0,0,COUNTA([1]characters!$A:$A),MATCH(F$1,[1]characters!$2:$2,0)-MATCH($E$1,[1]characters!$2:$2,0)+1),MATCH(F$1,[1]characters!$2:$2,0)-MATCH($E$1,[1]characters!$2:$2,0)+1,FALSE)</f>
        <v>色欲 アスモデウス</v>
      </c>
      <c r="G54" s="10" t="str">
        <f ca="1">VLOOKUP($E54,OFFSET([1]characters!$A$2,0,0,COUNTA([1]characters!$A:$A),MATCH(G$1,[1]characters!$2:$2,0)-MATCH($E$1,[1]characters!$2:$2,0)+1),MATCH(G$1,[1]characters!$2:$2,0)-MATCH($E$1,[1]characters!$2:$2,0)+1,FALSE)</f>
        <v>PremiumS</v>
      </c>
      <c r="H54" s="10">
        <f ca="1">VLOOKUP($E54,OFFSET([1]characters!$A$2,0,0,COUNTA([1]characters!$A:$A),MATCH(H$1,[1]characters!$2:$2,0)-MATCH($E$1,[1]characters!$2:$2,0)+1),MATCH(H$1,[1]characters!$2:$2,0)-MATCH($E$1,[1]characters!$2:$2,0)+1,FALSE)</f>
        <v>4</v>
      </c>
      <c r="I54" s="10" t="str">
        <f ca="1">VLOOKUP($E54,OFFSET([1]characters!$A$2,0,0,COUNTA([1]characters!$A:$A),MATCH(I$1,[1]characters!$2:$2,0)-MATCH($E$1,[1]characters!$2:$2,0)+1),MATCH(I$1,[1]characters!$2:$2,0)-MATCH($E$1,[1]characters!$2:$2,0)+1,FALSE)</f>
        <v>blue</v>
      </c>
      <c r="J54" s="10" t="str">
        <f ca="1">VLOOKUP($E54,OFFSET([1]characters!$A$2,0,0,COUNTA([1]characters!$A:$A),MATCH("タイプ",[1]characters!$1:$1,0)-MATCH($E$1,[1]characters!$2:$2,0)+2),MATCH("タイプ",[1]characters!$1:$1,0)-MATCH($E$1,[1]characters!$2:$2,0)+2,FALSE)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4" s="10" t="str">
        <f ca="1">VLOOKUP($E54,OFFSET([1]characters!$A$2,0,0,COUNTA([1]characters!$A:$A),MATCH($K$1,[1]characters!$1:$1,0)-MATCH($E$1,[1]characters!$2:$2,0)+2),MATCH($K$1,[1]characters!$1:$1,0)-MATCH($E$1,[1]characters!$2:$2,0)+2,FALSE)</f>
        <v>ゴッド</v>
      </c>
      <c r="L54" s="6">
        <v>1</v>
      </c>
      <c r="M54" s="45">
        <v>1020</v>
      </c>
      <c r="N54" s="28">
        <v>0</v>
      </c>
      <c r="O54" s="28">
        <v>0</v>
      </c>
      <c r="P54" s="28">
        <v>0</v>
      </c>
      <c r="Q54" s="28">
        <v>0</v>
      </c>
      <c r="R54" s="28">
        <v>1</v>
      </c>
    </row>
    <row r="55" spans="1:18" ht="21" customHeight="1" thickBot="1">
      <c r="A55" s="22" t="str">
        <f t="shared" si="0"/>
        <v>12601</v>
      </c>
      <c r="B55" s="2">
        <v>113</v>
      </c>
      <c r="C55" s="10" t="str">
        <f ca="1">VLOOKUP($B55,OFFSET([2]gachas!$A$2,0,0,COUNTA([2]gachas!$A:$A),MATCH(C$1,[2]gachas!$1:$1,0)-MATCH($B$1,[2]gachas!$1:$1,0)+1),MATCH(C$1,[2]gachas!$1:$1,0)-MATCH($B$1,[2]gachas!$1:$1,0)+1,FALSE)</f>
        <v>ピックアップ02(沖田) 最終日</v>
      </c>
      <c r="D55" s="6">
        <v>1</v>
      </c>
      <c r="E55" s="7">
        <v>260</v>
      </c>
      <c r="F55" s="10" t="str">
        <f ca="1">VLOOKUP($E55,OFFSET([1]characters!$A$2,0,0,COUNTA([1]characters!$A:$A),MATCH(F$1,[1]characters!$2:$2,0)-MATCH($E$1,[1]characters!$2:$2,0)+1),MATCH(F$1,[1]characters!$2:$2,0)-MATCH($E$1,[1]characters!$2:$2,0)+1,FALSE)</f>
        <v>輪廻 ウロボロス</v>
      </c>
      <c r="G55" s="10" t="str">
        <f ca="1">VLOOKUP($E55,OFFSET([1]characters!$A$2,0,0,COUNTA([1]characters!$A:$A),MATCH(G$1,[1]characters!$2:$2,0)-MATCH($E$1,[1]characters!$2:$2,0)+1),MATCH(G$1,[1]characters!$2:$2,0)-MATCH($E$1,[1]characters!$2:$2,0)+1,FALSE)</f>
        <v>PremiumS</v>
      </c>
      <c r="H55" s="10">
        <f ca="1">VLOOKUP($E55,OFFSET([1]characters!$A$2,0,0,COUNTA([1]characters!$A:$A),MATCH(H$1,[1]characters!$2:$2,0)-MATCH($E$1,[1]characters!$2:$2,0)+1),MATCH(H$1,[1]characters!$2:$2,0)-MATCH($E$1,[1]characters!$2:$2,0)+1,FALSE)</f>
        <v>4</v>
      </c>
      <c r="I55" s="10" t="str">
        <f ca="1">VLOOKUP($E55,OFFSET([1]characters!$A$2,0,0,COUNTA([1]characters!$A:$A),MATCH(I$1,[1]characters!$2:$2,0)-MATCH($E$1,[1]characters!$2:$2,0)+1),MATCH(I$1,[1]characters!$2:$2,0)-MATCH($E$1,[1]characters!$2:$2,0)+1,FALSE)</f>
        <v>yellow</v>
      </c>
      <c r="J55" s="10" t="str">
        <f ca="1">VLOOKUP($E55,OFFSET([1]characters!$A$2,0,0,COUNTA([1]characters!$A:$A),MATCH("タイプ",[1]characters!$1:$1,0)-MATCH($E$1,[1]characters!$2:$2,0)+2),MATCH("タイプ",[1]characters!$1:$1,0)-MATCH($E$1,[1]characters!$2:$2,0)+2,FALSE)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5" s="10" t="str">
        <f ca="1">VLOOKUP($E55,OFFSET([1]characters!$A$2,0,0,COUNTA([1]characters!$A:$A),MATCH($K$1,[1]characters!$1:$1,0)-MATCH($E$1,[1]characters!$2:$2,0)+2),MATCH($K$1,[1]characters!$1:$1,0)-MATCH($E$1,[1]characters!$2:$2,0)+2,FALSE)</f>
        <v>ドラゴン</v>
      </c>
      <c r="L55" s="6">
        <v>1</v>
      </c>
      <c r="M55" s="45">
        <v>1020</v>
      </c>
      <c r="N55" s="28">
        <v>0</v>
      </c>
      <c r="O55" s="28">
        <v>0</v>
      </c>
      <c r="P55" s="28">
        <v>0</v>
      </c>
      <c r="Q55" s="28">
        <v>0</v>
      </c>
      <c r="R55" s="28">
        <v>1</v>
      </c>
    </row>
    <row r="56" spans="1:18" ht="21" customHeight="1" thickBot="1">
      <c r="A56" s="22" t="str">
        <f t="shared" si="0"/>
        <v>13201</v>
      </c>
      <c r="B56" s="2">
        <v>113</v>
      </c>
      <c r="C56" s="10" t="str">
        <f ca="1">VLOOKUP($B56,OFFSET([2]gachas!$A$2,0,0,COUNTA([2]gachas!$A:$A),MATCH(C$1,[2]gachas!$1:$1,0)-MATCH($B$1,[2]gachas!$1:$1,0)+1),MATCH(C$1,[2]gachas!$1:$1,0)-MATCH($B$1,[2]gachas!$1:$1,0)+1,FALSE)</f>
        <v>ピックアップ02(沖田) 最終日</v>
      </c>
      <c r="D56" s="21">
        <v>1</v>
      </c>
      <c r="E56" s="27">
        <v>320</v>
      </c>
      <c r="F56" s="20" t="str">
        <f ca="1">VLOOKUP($E56,OFFSET([1]characters!$A$2,0,0,COUNTA([1]characters!$A:$A),MATCH(F$1,[1]characters!$2:$2,0)-MATCH($E$1,[1]characters!$2:$2,0)+1),MATCH(F$1,[1]characters!$2:$2,0)-MATCH($E$1,[1]characters!$2:$2,0)+1,FALSE)</f>
        <v>烈志士 近藤勇</v>
      </c>
      <c r="G56" s="20" t="str">
        <f ca="1">VLOOKUP($E56,OFFSET([1]characters!$A$2,0,0,COUNTA([1]characters!$A:$A),MATCH(G$1,[1]characters!$2:$2,0)-MATCH($E$1,[1]characters!$2:$2,0)+1),MATCH(G$1,[1]characters!$2:$2,0)-MATCH($E$1,[1]characters!$2:$2,0)+1,FALSE)</f>
        <v>PremiumSS</v>
      </c>
      <c r="H56" s="20">
        <f ca="1">VLOOKUP($E56,OFFSET([1]characters!$A$2,0,0,COUNTA([1]characters!$A:$A),MATCH(H$1,[1]characters!$2:$2,0)-MATCH($E$1,[1]characters!$2:$2,0)+1),MATCH(H$1,[1]characters!$2:$2,0)-MATCH($E$1,[1]characters!$2:$2,0)+1,FALSE)</f>
        <v>4</v>
      </c>
      <c r="I56" s="20" t="str">
        <f ca="1">VLOOKUP($E56,OFFSET([1]characters!$A$2,0,0,COUNTA([1]characters!$A:$A),MATCH(I$1,[1]characters!$2:$2,0)-MATCH($E$1,[1]characters!$2:$2,0)+1),MATCH(I$1,[1]characters!$2:$2,0)-MATCH($E$1,[1]characters!$2:$2,0)+1,FALSE)</f>
        <v>red</v>
      </c>
      <c r="J56" s="20" t="str">
        <f ca="1">VLOOKUP($E56,OFFSET([1]characters!$A$2,0,0,COUNTA([1]characters!$A:$A),MATCH("タイプ",[1]characters!$1:$1,0)-MATCH($E$1,[1]characters!$2:$2,0)+2),MATCH("タイプ",[1]characters!$1:$1,0)-MATCH($E$1,[1]characters!$2:$2,0)+2,FALSE)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56" s="20" t="str">
        <f ca="1">VLOOKUP($E56,OFFSET([1]characters!$A$2,0,0,COUNTA([1]characters!$A:$A),MATCH($K$1,[1]characters!$1:$1,0)-MATCH($E$1,[1]characters!$2:$2,0)+2),MATCH($K$1,[1]characters!$1:$1,0)-MATCH($E$1,[1]characters!$2:$2,0)+2,FALSE)</f>
        <v>ヒューマン</v>
      </c>
      <c r="L56" s="21">
        <v>1</v>
      </c>
      <c r="M56" s="43">
        <v>189</v>
      </c>
      <c r="N56" s="18">
        <v>0</v>
      </c>
      <c r="O56" s="18">
        <v>0</v>
      </c>
      <c r="P56" s="18">
        <v>0</v>
      </c>
      <c r="Q56" s="18">
        <v>0</v>
      </c>
      <c r="R56" s="18">
        <v>1</v>
      </c>
    </row>
    <row r="57" spans="1:18" ht="21" customHeight="1" thickBot="1">
      <c r="A57" s="22" t="str">
        <f t="shared" si="0"/>
        <v>13221</v>
      </c>
      <c r="B57" s="2">
        <v>113</v>
      </c>
      <c r="C57" s="10" t="str">
        <f ca="1">VLOOKUP($B57,OFFSET([2]gachas!$A$2,0,0,COUNTA([2]gachas!$A:$A),MATCH(C$1,[2]gachas!$1:$1,0)-MATCH($B$1,[2]gachas!$1:$1,0)+1),MATCH(C$1,[2]gachas!$1:$1,0)-MATCH($B$1,[2]gachas!$1:$1,0)+1,FALSE)</f>
        <v>ピックアップ02(沖田) 最終日</v>
      </c>
      <c r="D57" s="6">
        <v>1</v>
      </c>
      <c r="E57" s="7">
        <v>322</v>
      </c>
      <c r="F57" s="10" t="str">
        <f ca="1">VLOOKUP($E57,OFFSET([1]characters!$A$2,0,0,COUNTA([1]characters!$A:$A),MATCH(F$1,[1]characters!$2:$2,0)-MATCH($E$1,[1]characters!$2:$2,0)+1),MATCH(F$1,[1]characters!$2:$2,0)-MATCH($E$1,[1]characters!$2:$2,0)+1,FALSE)</f>
        <v>愛志士 土方歳三</v>
      </c>
      <c r="G57" s="10" t="str">
        <f ca="1">VLOOKUP($E57,OFFSET([1]characters!$A$2,0,0,COUNTA([1]characters!$A:$A),MATCH(G$1,[1]characters!$2:$2,0)-MATCH($E$1,[1]characters!$2:$2,0)+1),MATCH(G$1,[1]characters!$2:$2,0)-MATCH($E$1,[1]characters!$2:$2,0)+1,FALSE)</f>
        <v>PremiumSS</v>
      </c>
      <c r="H57" s="10">
        <f ca="1">VLOOKUP($E57,OFFSET([1]characters!$A$2,0,0,COUNTA([1]characters!$A:$A),MATCH(H$1,[1]characters!$2:$2,0)-MATCH($E$1,[1]characters!$2:$2,0)+1),MATCH(H$1,[1]characters!$2:$2,0)-MATCH($E$1,[1]characters!$2:$2,0)+1,FALSE)</f>
        <v>4</v>
      </c>
      <c r="I57" s="10" t="str">
        <f ca="1">VLOOKUP($E57,OFFSET([1]characters!$A$2,0,0,COUNTA([1]characters!$A:$A),MATCH(I$1,[1]characters!$2:$2,0)-MATCH($E$1,[1]characters!$2:$2,0)+1),MATCH(I$1,[1]characters!$2:$2,0)-MATCH($E$1,[1]characters!$2:$2,0)+1,FALSE)</f>
        <v>green</v>
      </c>
      <c r="J57" s="10" t="str">
        <f ca="1">VLOOKUP($E57,OFFSET([1]characters!$A$2,0,0,COUNTA([1]characters!$A:$A),MATCH("タイプ",[1]characters!$1:$1,0)-MATCH($E$1,[1]characters!$2:$2,0)+2),MATCH("タイプ",[1]characters!$1:$1,0)-MATCH($E$1,[1]characters!$2:$2,0)+2,FALSE)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57" s="10" t="str">
        <f ca="1">VLOOKUP($E57,OFFSET([1]characters!$A$2,0,0,COUNTA([1]characters!$A:$A),MATCH($K$1,[1]characters!$1:$1,0)-MATCH($E$1,[1]characters!$2:$2,0)+2),MATCH($K$1,[1]characters!$1:$1,0)-MATCH($E$1,[1]characters!$2:$2,0)+2,FALSE)</f>
        <v>ヒューマン</v>
      </c>
      <c r="L57" s="6">
        <v>1</v>
      </c>
      <c r="M57" s="43">
        <v>189</v>
      </c>
      <c r="N57" s="28">
        <v>0</v>
      </c>
      <c r="O57" s="28">
        <v>0</v>
      </c>
      <c r="P57" s="28">
        <v>0</v>
      </c>
      <c r="Q57" s="28">
        <v>0</v>
      </c>
      <c r="R57" s="28">
        <v>1</v>
      </c>
    </row>
    <row r="58" spans="1:18" ht="21" customHeight="1" thickBot="1">
      <c r="A58" s="22" t="str">
        <f t="shared" si="0"/>
        <v>13241</v>
      </c>
      <c r="B58" s="2">
        <v>113</v>
      </c>
      <c r="C58" s="10" t="str">
        <f ca="1">VLOOKUP($B58,OFFSET([2]gachas!$A$2,0,0,COUNTA([2]gachas!$A:$A),MATCH(C$1,[2]gachas!$1:$1,0)-MATCH($B$1,[2]gachas!$1:$1,0)+1),MATCH(C$1,[2]gachas!$1:$1,0)-MATCH($B$1,[2]gachas!$1:$1,0)+1,FALSE)</f>
        <v>ピックアップ02(沖田) 最終日</v>
      </c>
      <c r="D58" s="29">
        <v>1</v>
      </c>
      <c r="E58" s="30">
        <v>324</v>
      </c>
      <c r="F58" s="10" t="str">
        <f ca="1">VLOOKUP($E58,OFFSET([1]characters!$A$2,0,0,COUNTA([1]characters!$A:$A),MATCH(F$1,[1]characters!$2:$2,0)-MATCH($E$1,[1]characters!$2:$2,0)+1),MATCH(F$1,[1]characters!$2:$2,0)-MATCH($E$1,[1]characters!$2:$2,0)+1,FALSE)</f>
        <v>凛志士 沖田総司</v>
      </c>
      <c r="G58" s="10" t="str">
        <f ca="1">VLOOKUP($E58,OFFSET([1]characters!$A$2,0,0,COUNTA([1]characters!$A:$A),MATCH(G$1,[1]characters!$2:$2,0)-MATCH($E$1,[1]characters!$2:$2,0)+1),MATCH(G$1,[1]characters!$2:$2,0)-MATCH($E$1,[1]characters!$2:$2,0)+1,FALSE)</f>
        <v>PremiumSS</v>
      </c>
      <c r="H58" s="10">
        <f ca="1">VLOOKUP($E58,OFFSET([1]characters!$A$2,0,0,COUNTA([1]characters!$A:$A),MATCH(H$1,[1]characters!$2:$2,0)-MATCH($E$1,[1]characters!$2:$2,0)+1),MATCH(H$1,[1]characters!$2:$2,0)-MATCH($E$1,[1]characters!$2:$2,0)+1,FALSE)</f>
        <v>4</v>
      </c>
      <c r="I58" s="10" t="str">
        <f ca="1">VLOOKUP($E58,OFFSET([1]characters!$A$2,0,0,COUNTA([1]characters!$A:$A),MATCH(I$1,[1]characters!$2:$2,0)-MATCH($E$1,[1]characters!$2:$2,0)+1),MATCH(I$1,[1]characters!$2:$2,0)-MATCH($E$1,[1]characters!$2:$2,0)+1,FALSE)</f>
        <v>blue</v>
      </c>
      <c r="J58" s="10" t="str">
        <f ca="1">VLOOKUP($E58,OFFSET([1]characters!$A$2,0,0,COUNTA([1]characters!$A:$A),MATCH("タイプ",[1]characters!$1:$1,0)-MATCH($E$1,[1]characters!$2:$2,0)+2),MATCH("タイプ",[1]characters!$1:$1,0)-MATCH($E$1,[1]characters!$2:$2,0)+2,FALSE)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8" s="10" t="str">
        <f ca="1">VLOOKUP($E58,OFFSET([1]characters!$A$2,0,0,COUNTA([1]characters!$A:$A),MATCH($K$1,[1]characters!$1:$1,0)-MATCH($E$1,[1]characters!$2:$2,0)+2),MATCH($K$1,[1]characters!$1:$1,0)-MATCH($E$1,[1]characters!$2:$2,0)+2,FALSE)</f>
        <v>ヒューマン</v>
      </c>
      <c r="L58" s="29">
        <v>1</v>
      </c>
      <c r="M58" s="29">
        <v>396</v>
      </c>
      <c r="N58" s="28">
        <v>0</v>
      </c>
      <c r="O58" s="28">
        <v>0</v>
      </c>
      <c r="P58" s="28">
        <v>0</v>
      </c>
      <c r="Q58" s="28">
        <v>0</v>
      </c>
      <c r="R58" s="28">
        <v>1</v>
      </c>
    </row>
    <row r="59" spans="1:18" ht="21" customHeight="1" thickBot="1">
      <c r="A59" s="22" t="str">
        <f t="shared" si="0"/>
        <v>13251</v>
      </c>
      <c r="B59" s="2">
        <v>113</v>
      </c>
      <c r="C59" s="10" t="str">
        <f ca="1">VLOOKUP($B59,OFFSET([2]gachas!$A$2,0,0,COUNTA([2]gachas!$A:$A),MATCH(C$1,[2]gachas!$1:$1,0)-MATCH($B$1,[2]gachas!$1:$1,0)+1),MATCH(C$1,[2]gachas!$1:$1,0)-MATCH($B$1,[2]gachas!$1:$1,0)+1,FALSE)</f>
        <v>ピックアップ02(沖田) 最終日</v>
      </c>
      <c r="D59" s="29">
        <v>1</v>
      </c>
      <c r="E59" s="30">
        <v>325</v>
      </c>
      <c r="F59" s="10" t="str">
        <f ca="1">VLOOKUP($E59,OFFSET([1]characters!$A$2,0,0,COUNTA([1]characters!$A:$A),MATCH(F$1,[1]characters!$2:$2,0)-MATCH($E$1,[1]characters!$2:$2,0)+1),MATCH(F$1,[1]characters!$2:$2,0)-MATCH($E$1,[1]characters!$2:$2,0)+1,FALSE)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59" s="10" t="str">
        <f ca="1">VLOOKUP($E59,OFFSET([1]characters!$A$2,0,0,COUNTA([1]characters!$A:$A),MATCH(G$1,[1]characters!$2:$2,0)-MATCH($E$1,[1]characters!$2:$2,0)+1),MATCH(G$1,[1]characters!$2:$2,0)-MATCH($E$1,[1]characters!$2:$2,0)+1,FALSE)</f>
        <v>PremiumSS</v>
      </c>
      <c r="H59" s="10">
        <f ca="1">VLOOKUP($E59,OFFSET([1]characters!$A$2,0,0,COUNTA([1]characters!$A:$A),MATCH(H$1,[1]characters!$2:$2,0)-MATCH($E$1,[1]characters!$2:$2,0)+1),MATCH(H$1,[1]characters!$2:$2,0)-MATCH($E$1,[1]characters!$2:$2,0)+1,FALSE)</f>
        <v>5</v>
      </c>
      <c r="I59" s="10" t="str">
        <f ca="1">VLOOKUP($E59,OFFSET([1]characters!$A$2,0,0,COUNTA([1]characters!$A:$A),MATCH(I$1,[1]characters!$2:$2,0)-MATCH($E$1,[1]characters!$2:$2,0)+1),MATCH(I$1,[1]characters!$2:$2,0)-MATCH($E$1,[1]characters!$2:$2,0)+1,FALSE)</f>
        <v>blue</v>
      </c>
      <c r="J59" s="10" t="str">
        <f ca="1">VLOOKUP($E59,OFFSET([1]characters!$A$2,0,0,COUNTA([1]characters!$A:$A),MATCH("タイプ",[1]characters!$1:$1,0)-MATCH($E$1,[1]characters!$2:$2,0)+2),MATCH("タイプ",[1]characters!$1:$1,0)-MATCH($E$1,[1]characters!$2:$2,0)+2,FALSE)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59" s="10" t="str">
        <f ca="1">VLOOKUP($E59,OFFSET([1]characters!$A$2,0,0,COUNTA([1]characters!$A:$A),MATCH($K$1,[1]characters!$1:$1,0)-MATCH($E$1,[1]characters!$2:$2,0)+2),MATCH($K$1,[1]characters!$1:$1,0)-MATCH($E$1,[1]characters!$2:$2,0)+2,FALSE)</f>
        <v>ヒューマン</v>
      </c>
      <c r="L59" s="29">
        <v>1</v>
      </c>
      <c r="M59" s="29">
        <v>194</v>
      </c>
      <c r="N59" s="28">
        <v>0</v>
      </c>
      <c r="O59" s="28">
        <v>0</v>
      </c>
      <c r="P59" s="28">
        <v>0</v>
      </c>
      <c r="Q59" s="28">
        <v>0</v>
      </c>
      <c r="R59" s="28">
        <v>1</v>
      </c>
    </row>
    <row r="60" spans="1:18" s="26" customFormat="1" ht="21" customHeight="1" thickBot="1">
      <c r="A60" s="22" t="str">
        <f t="shared" si="0"/>
        <v>13261</v>
      </c>
      <c r="B60" s="2">
        <v>113</v>
      </c>
      <c r="C60" s="10" t="str">
        <f ca="1">VLOOKUP($B60,OFFSET([2]gachas!$A$2,0,0,COUNTA([2]gachas!$A:$A),MATCH(C$1,[2]gachas!$1:$1,0)-MATCH($B$1,[2]gachas!$1:$1,0)+1),MATCH(C$1,[2]gachas!$1:$1,0)-MATCH($B$1,[2]gachas!$1:$1,0)+1,FALSE)</f>
        <v>ピックアップ02(沖田) 最終日</v>
      </c>
      <c r="D60" s="24">
        <v>1</v>
      </c>
      <c r="E60" s="25">
        <v>326</v>
      </c>
      <c r="F60" s="23" t="str">
        <f ca="1">VLOOKUP($E60,OFFSET([1]characters!$A$2,0,0,COUNTA([1]characters!$A:$A),MATCH(F$1,[1]characters!$2:$2,0)-MATCH($E$1,[1]characters!$2:$2,0)+1),MATCH(F$1,[1]characters!$2:$2,0)-MATCH($E$1,[1]characters!$2:$2,0)+1,FALSE)</f>
        <v>妖志士 斎藤一</v>
      </c>
      <c r="G60" s="23" t="str">
        <f ca="1">VLOOKUP($E60,OFFSET([1]characters!$A$2,0,0,COUNTA([1]characters!$A:$A),MATCH(G$1,[1]characters!$2:$2,0)-MATCH($E$1,[1]characters!$2:$2,0)+1),MATCH(G$1,[1]characters!$2:$2,0)-MATCH($E$1,[1]characters!$2:$2,0)+1,FALSE)</f>
        <v>PremiumSS</v>
      </c>
      <c r="H60" s="23">
        <f ca="1">VLOOKUP($E60,OFFSET([1]characters!$A$2,0,0,COUNTA([1]characters!$A:$A),MATCH(H$1,[1]characters!$2:$2,0)-MATCH($E$1,[1]characters!$2:$2,0)+1),MATCH(H$1,[1]characters!$2:$2,0)-MATCH($E$1,[1]characters!$2:$2,0)+1,FALSE)</f>
        <v>4</v>
      </c>
      <c r="I60" s="23" t="str">
        <f ca="1">VLOOKUP($E60,OFFSET([1]characters!$A$2,0,0,COUNTA([1]characters!$A:$A),MATCH(I$1,[1]characters!$2:$2,0)-MATCH($E$1,[1]characters!$2:$2,0)+1),MATCH(I$1,[1]characters!$2:$2,0)-MATCH($E$1,[1]characters!$2:$2,0)+1,FALSE)</f>
        <v>yellow</v>
      </c>
      <c r="J60" s="23" t="str">
        <f ca="1">VLOOKUP($E60,OFFSET([1]characters!$A$2,0,0,COUNTA([1]characters!$A:$A),MATCH("タイプ",[1]characters!$1:$1,0)-MATCH($E$1,[1]characters!$2:$2,0)+2),MATCH("タイプ",[1]characters!$1:$1,0)-MATCH($E$1,[1]characters!$2:$2,0)+2,FALSE)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60" s="23" t="str">
        <f ca="1">VLOOKUP($E60,OFFSET([1]characters!$A$2,0,0,COUNTA([1]characters!$A:$A),MATCH($K$1,[1]characters!$1:$1,0)-MATCH($E$1,[1]characters!$2:$2,0)+2),MATCH($K$1,[1]characters!$1:$1,0)-MATCH($E$1,[1]characters!$2:$2,0)+2,FALSE)</f>
        <v>ヒューマン</v>
      </c>
      <c r="L60" s="24">
        <v>1</v>
      </c>
      <c r="M60" s="44">
        <v>189</v>
      </c>
      <c r="N60" s="35">
        <v>0</v>
      </c>
      <c r="O60" s="35">
        <v>0</v>
      </c>
      <c r="P60" s="35">
        <v>0</v>
      </c>
      <c r="Q60" s="35">
        <v>0</v>
      </c>
      <c r="R60" s="35">
        <v>1</v>
      </c>
    </row>
    <row r="61" spans="1:18" ht="21" customHeight="1">
      <c r="A61" s="8" t="str">
        <f t="shared" si="0"/>
        <v>01261</v>
      </c>
      <c r="B61" s="2">
        <v>113</v>
      </c>
      <c r="C61" s="10" t="str">
        <f ca="1">VLOOKUP($B61,OFFSET([2]gachas!$A$2,0,0,COUNTA([2]gachas!$A:$A),MATCH(C$1,[2]gachas!$1:$1,0)-MATCH($B$1,[2]gachas!$1:$1,0)+1),MATCH(C$1,[2]gachas!$1:$1,0)-MATCH($B$1,[2]gachas!$1:$1,0)+1,FALSE)</f>
        <v>ピックアップ02(沖田) 最終日</v>
      </c>
      <c r="D61" s="21">
        <v>0</v>
      </c>
      <c r="E61" s="27">
        <v>126</v>
      </c>
      <c r="F61" s="20" t="str">
        <f ca="1">VLOOKUP($E61,OFFSET([1]characters!$A$2,0,0,COUNTA([1]characters!$A:$A),MATCH(F$1,[1]characters!$2:$2,0)-MATCH($E$1,[1]characters!$2:$2,0)+1),MATCH(F$1,[1]characters!$2:$2,0)-MATCH($E$1,[1]characters!$2:$2,0)+1,FALSE)</f>
        <v>骨器使い ユノ</v>
      </c>
      <c r="G61" s="20" t="str">
        <f ca="1">VLOOKUP($E61,OFFSET([1]characters!$A$2,0,0,COUNTA([1]characters!$A:$A),MATCH(G$1,[1]characters!$2:$2,0)-MATCH($E$1,[1]characters!$2:$2,0)+1),MATCH(G$1,[1]characters!$2:$2,0)-MATCH($E$1,[1]characters!$2:$2,0)+1,FALSE)</f>
        <v>PremiumW</v>
      </c>
      <c r="H61" s="20">
        <f ca="1">VLOOKUP($E61,OFFSET([1]characters!$A$2,0,0,COUNTA([1]characters!$A:$A),MATCH(H$1,[1]characters!$2:$2,0)-MATCH($E$1,[1]characters!$2:$2,0)+1),MATCH(H$1,[1]characters!$2:$2,0)-MATCH($E$1,[1]characters!$2:$2,0)+1,FALSE)</f>
        <v>3</v>
      </c>
      <c r="I61" s="20" t="str">
        <f ca="1">VLOOKUP($E61,OFFSET([1]characters!$A$2,0,0,COUNTA([1]characters!$A:$A),MATCH(I$1,[1]characters!$2:$2,0)-MATCH($E$1,[1]characters!$2:$2,0)+1),MATCH(I$1,[1]characters!$2:$2,0)-MATCH($E$1,[1]characters!$2:$2,0)+1,FALSE)</f>
        <v>red</v>
      </c>
      <c r="J61" s="20" t="str">
        <f ca="1">VLOOKUP($E61,OFFSET([1]characters!$A$2,0,0,COUNTA([1]characters!$A:$A),MATCH("タイプ",[1]characters!$1:$1,0)-MATCH($E$1,[1]characters!$2:$2,0)+2),MATCH("タイプ",[1]characters!$1:$1,0)-MATCH($E$1,[1]characters!$2:$2,0)+2,FALSE)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1" s="20" t="str">
        <f ca="1">VLOOKUP($E61,OFFSET([1]characters!$A$2,0,0,COUNTA([1]characters!$A:$A),MATCH($K$1,[1]characters!$1:$1,0)-MATCH($E$1,[1]characters!$2:$2,0)+2),MATCH($K$1,[1]characters!$1:$1,0)-MATCH($E$1,[1]characters!$2:$2,0)+2,FALSE)</f>
        <v>ヒューマン</v>
      </c>
      <c r="L61" s="21">
        <v>1</v>
      </c>
      <c r="M61" s="21">
        <v>1683</v>
      </c>
      <c r="N61" s="18">
        <v>0</v>
      </c>
      <c r="O61" s="18">
        <v>0</v>
      </c>
      <c r="P61" s="18">
        <v>0</v>
      </c>
      <c r="Q61" s="18">
        <v>0</v>
      </c>
      <c r="R61" s="18">
        <v>1</v>
      </c>
    </row>
    <row r="62" spans="1:18" ht="21" customHeight="1">
      <c r="A62" s="8" t="str">
        <f t="shared" si="0"/>
        <v>01281</v>
      </c>
      <c r="B62" s="2">
        <v>113</v>
      </c>
      <c r="C62" s="10" t="str">
        <f ca="1">VLOOKUP($B62,OFFSET([2]gachas!$A$2,0,0,COUNTA([2]gachas!$A:$A),MATCH(C$1,[2]gachas!$1:$1,0)-MATCH($B$1,[2]gachas!$1:$1,0)+1),MATCH(C$1,[2]gachas!$1:$1,0)-MATCH($B$1,[2]gachas!$1:$1,0)+1,FALSE)</f>
        <v>ピックアップ02(沖田) 最終日</v>
      </c>
      <c r="D62" s="21">
        <v>0</v>
      </c>
      <c r="E62" s="27">
        <v>128</v>
      </c>
      <c r="F62" s="20" t="str">
        <f ca="1">VLOOKUP($E62,OFFSET([1]characters!$A$2,0,0,COUNTA([1]characters!$A:$A),MATCH(F$1,[1]characters!$2:$2,0)-MATCH($E$1,[1]characters!$2:$2,0)+1),MATCH(F$1,[1]characters!$2:$2,0)-MATCH($E$1,[1]characters!$2:$2,0)+1,FALSE)</f>
        <v>野生児 アマラ</v>
      </c>
      <c r="G62" s="20" t="str">
        <f ca="1">VLOOKUP($E62,OFFSET([1]characters!$A$2,0,0,COUNTA([1]characters!$A:$A),MATCH(G$1,[1]characters!$2:$2,0)-MATCH($E$1,[1]characters!$2:$2,0)+1),MATCH(G$1,[1]characters!$2:$2,0)-MATCH($E$1,[1]characters!$2:$2,0)+1,FALSE)</f>
        <v>PremiumW</v>
      </c>
      <c r="H62" s="20">
        <f ca="1">VLOOKUP($E62,OFFSET([1]characters!$A$2,0,0,COUNTA([1]characters!$A:$A),MATCH(H$1,[1]characters!$2:$2,0)-MATCH($E$1,[1]characters!$2:$2,0)+1),MATCH(H$1,[1]characters!$2:$2,0)-MATCH($E$1,[1]characters!$2:$2,0)+1,FALSE)</f>
        <v>3</v>
      </c>
      <c r="I62" s="20" t="str">
        <f ca="1">VLOOKUP($E62,OFFSET([1]characters!$A$2,0,0,COUNTA([1]characters!$A:$A),MATCH(I$1,[1]characters!$2:$2,0)-MATCH($E$1,[1]characters!$2:$2,0)+1),MATCH(I$1,[1]characters!$2:$2,0)-MATCH($E$1,[1]characters!$2:$2,0)+1,FALSE)</f>
        <v>green</v>
      </c>
      <c r="J62" s="20" t="str">
        <f ca="1">VLOOKUP($E62,OFFSET([1]characters!$A$2,0,0,COUNTA([1]characters!$A:$A),MATCH("タイプ",[1]characters!$1:$1,0)-MATCH($E$1,[1]characters!$2:$2,0)+2),MATCH("タイプ",[1]characters!$1:$1,0)-MATCH($E$1,[1]characters!$2:$2,0)+2,FALSE)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2" s="20" t="str">
        <f ca="1">VLOOKUP($E62,OFFSET([1]characters!$A$2,0,0,COUNTA([1]characters!$A:$A),MATCH($K$1,[1]characters!$1:$1,0)-MATCH($E$1,[1]characters!$2:$2,0)+2),MATCH($K$1,[1]characters!$1:$1,0)-MATCH($E$1,[1]characters!$2:$2,0)+2,FALSE)</f>
        <v>ヒューマン</v>
      </c>
      <c r="L62" s="21">
        <v>1</v>
      </c>
      <c r="M62" s="21">
        <v>1683</v>
      </c>
      <c r="N62" s="18">
        <v>0</v>
      </c>
      <c r="O62" s="18">
        <v>0</v>
      </c>
      <c r="P62" s="18">
        <v>0</v>
      </c>
      <c r="Q62" s="18">
        <v>0</v>
      </c>
      <c r="R62" s="18">
        <v>1</v>
      </c>
    </row>
    <row r="63" spans="1:18" ht="21" customHeight="1">
      <c r="A63" s="8" t="str">
        <f t="shared" si="0"/>
        <v>01301</v>
      </c>
      <c r="B63" s="2">
        <v>113</v>
      </c>
      <c r="C63" s="10" t="str">
        <f ca="1">VLOOKUP($B63,OFFSET([2]gachas!$A$2,0,0,COUNTA([2]gachas!$A:$A),MATCH(C$1,[2]gachas!$1:$1,0)-MATCH($B$1,[2]gachas!$1:$1,0)+1),MATCH(C$1,[2]gachas!$1:$1,0)-MATCH($B$1,[2]gachas!$1:$1,0)+1,FALSE)</f>
        <v>ピックアップ02(沖田) 最終日</v>
      </c>
      <c r="D63" s="6">
        <v>0</v>
      </c>
      <c r="E63" s="7">
        <v>130</v>
      </c>
      <c r="F63" s="10" t="str">
        <f ca="1">VLOOKUP($E63,OFFSET([1]characters!$A$2,0,0,COUNTA([1]characters!$A:$A),MATCH(F$1,[1]characters!$2:$2,0)-MATCH($E$1,[1]characters!$2:$2,0)+1),MATCH(F$1,[1]characters!$2:$2,0)-MATCH($E$1,[1]characters!$2:$2,0)+1,FALSE)</f>
        <v>狼男 ローレンス</v>
      </c>
      <c r="G63" s="10" t="str">
        <f ca="1">VLOOKUP($E63,OFFSET([1]characters!$A$2,0,0,COUNTA([1]characters!$A:$A),MATCH(G$1,[1]characters!$2:$2,0)-MATCH($E$1,[1]characters!$2:$2,0)+1),MATCH(G$1,[1]characters!$2:$2,0)-MATCH($E$1,[1]characters!$2:$2,0)+1,FALSE)</f>
        <v>PremiumW</v>
      </c>
      <c r="H63" s="10">
        <f ca="1">VLOOKUP($E63,OFFSET([1]characters!$A$2,0,0,COUNTA([1]characters!$A:$A),MATCH(H$1,[1]characters!$2:$2,0)-MATCH($E$1,[1]characters!$2:$2,0)+1),MATCH(H$1,[1]characters!$2:$2,0)-MATCH($E$1,[1]characters!$2:$2,0)+1,FALSE)</f>
        <v>3</v>
      </c>
      <c r="I63" s="10" t="str">
        <f ca="1">VLOOKUP($E63,OFFSET([1]characters!$A$2,0,0,COUNTA([1]characters!$A:$A),MATCH(I$1,[1]characters!$2:$2,0)-MATCH($E$1,[1]characters!$2:$2,0)+1),MATCH(I$1,[1]characters!$2:$2,0)-MATCH($E$1,[1]characters!$2:$2,0)+1,FALSE)</f>
        <v>blue</v>
      </c>
      <c r="J63" s="10" t="str">
        <f ca="1">VLOOKUP($E63,OFFSET([1]characters!$A$2,0,0,COUNTA([1]characters!$A:$A),MATCH("タイプ",[1]characters!$1:$1,0)-MATCH($E$1,[1]characters!$2:$2,0)+2),MATCH("タイプ",[1]characters!$1:$1,0)-MATCH($E$1,[1]characters!$2:$2,0)+2,FALSE)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3" s="10" t="str">
        <f ca="1">VLOOKUP($E63,OFFSET([1]characters!$A$2,0,0,COUNTA([1]characters!$A:$A),MATCH($K$1,[1]characters!$1:$1,0)-MATCH($E$1,[1]characters!$2:$2,0)+2),MATCH($K$1,[1]characters!$1:$1,0)-MATCH($E$1,[1]characters!$2:$2,0)+2,FALSE)</f>
        <v>アニマル</v>
      </c>
      <c r="L63" s="6">
        <v>1</v>
      </c>
      <c r="M63" s="21">
        <v>1683</v>
      </c>
      <c r="N63" s="28">
        <v>0</v>
      </c>
      <c r="O63" s="28">
        <v>0</v>
      </c>
      <c r="P63" s="28">
        <v>0</v>
      </c>
      <c r="Q63" s="28">
        <v>0</v>
      </c>
      <c r="R63" s="28">
        <v>1</v>
      </c>
    </row>
    <row r="64" spans="1:18" ht="21" customHeight="1">
      <c r="A64" s="8" t="str">
        <f t="shared" si="0"/>
        <v>01321</v>
      </c>
      <c r="B64" s="2">
        <v>113</v>
      </c>
      <c r="C64" s="10" t="str">
        <f ca="1">VLOOKUP($B64,OFFSET([2]gachas!$A$2,0,0,COUNTA([2]gachas!$A:$A),MATCH(C$1,[2]gachas!$1:$1,0)-MATCH($B$1,[2]gachas!$1:$1,0)+1),MATCH(C$1,[2]gachas!$1:$1,0)-MATCH($B$1,[2]gachas!$1:$1,0)+1,FALSE)</f>
        <v>ピックアップ02(沖田) 最終日</v>
      </c>
      <c r="D64" s="6">
        <v>0</v>
      </c>
      <c r="E64" s="7">
        <v>132</v>
      </c>
      <c r="F64" s="10" t="str">
        <f ca="1">VLOOKUP($E64,OFFSET([1]characters!$A$2,0,0,COUNTA([1]characters!$A:$A),MATCH(F$1,[1]characters!$2:$2,0)-MATCH($E$1,[1]characters!$2:$2,0)+1),MATCH(F$1,[1]characters!$2:$2,0)-MATCH($E$1,[1]characters!$2:$2,0)+1,FALSE)</f>
        <v>鳥人ハヤト</v>
      </c>
      <c r="G64" s="10" t="str">
        <f ca="1">VLOOKUP($E64,OFFSET([1]characters!$A$2,0,0,COUNTA([1]characters!$A:$A),MATCH(G$1,[1]characters!$2:$2,0)-MATCH($E$1,[1]characters!$2:$2,0)+1),MATCH(G$1,[1]characters!$2:$2,0)-MATCH($E$1,[1]characters!$2:$2,0)+1,FALSE)</f>
        <v>PremiumW</v>
      </c>
      <c r="H64" s="10">
        <f ca="1">VLOOKUP($E64,OFFSET([1]characters!$A$2,0,0,COUNTA([1]characters!$A:$A),MATCH(H$1,[1]characters!$2:$2,0)-MATCH($E$1,[1]characters!$2:$2,0)+1),MATCH(H$1,[1]characters!$2:$2,0)-MATCH($E$1,[1]characters!$2:$2,0)+1,FALSE)</f>
        <v>3</v>
      </c>
      <c r="I64" s="10" t="str">
        <f ca="1">VLOOKUP($E64,OFFSET([1]characters!$A$2,0,0,COUNTA([1]characters!$A:$A),MATCH(I$1,[1]characters!$2:$2,0)-MATCH($E$1,[1]characters!$2:$2,0)+1),MATCH(I$1,[1]characters!$2:$2,0)-MATCH($E$1,[1]characters!$2:$2,0)+1,FALSE)</f>
        <v>yellow</v>
      </c>
      <c r="J64" s="10" t="str">
        <f ca="1">VLOOKUP($E64,OFFSET([1]characters!$A$2,0,0,COUNTA([1]characters!$A:$A),MATCH("タイプ",[1]characters!$1:$1,0)-MATCH($E$1,[1]characters!$2:$2,0)+2),MATCH("タイプ",[1]characters!$1:$1,0)-MATCH($E$1,[1]characters!$2:$2,0)+2,FALSE)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64" s="10" t="str">
        <f ca="1">VLOOKUP($E64,OFFSET([1]characters!$A$2,0,0,COUNTA([1]characters!$A:$A),MATCH($K$1,[1]characters!$1:$1,0)-MATCH($E$1,[1]characters!$2:$2,0)+2),MATCH($K$1,[1]characters!$1:$1,0)-MATCH($E$1,[1]characters!$2:$2,0)+2,FALSE)</f>
        <v>ヒューマン</v>
      </c>
      <c r="L64" s="6">
        <v>1</v>
      </c>
      <c r="M64" s="21">
        <v>1683</v>
      </c>
      <c r="N64" s="28">
        <v>0</v>
      </c>
      <c r="O64" s="28">
        <v>0</v>
      </c>
      <c r="P64" s="28">
        <v>0</v>
      </c>
      <c r="Q64" s="28">
        <v>0</v>
      </c>
      <c r="R64" s="28">
        <v>1</v>
      </c>
    </row>
    <row r="65" spans="1:18" ht="21" customHeight="1">
      <c r="A65" s="8" t="str">
        <f t="shared" si="0"/>
        <v>01341</v>
      </c>
      <c r="B65" s="2">
        <v>113</v>
      </c>
      <c r="C65" s="10" t="str">
        <f ca="1">VLOOKUP($B65,OFFSET([2]gachas!$A$2,0,0,COUNTA([2]gachas!$A:$A),MATCH(C$1,[2]gachas!$1:$1,0)-MATCH($B$1,[2]gachas!$1:$1,0)+1),MATCH(C$1,[2]gachas!$1:$1,0)-MATCH($B$1,[2]gachas!$1:$1,0)+1,FALSE)</f>
        <v>ピックアップ02(沖田) 最終日</v>
      </c>
      <c r="D65" s="6">
        <v>0</v>
      </c>
      <c r="E65" s="7">
        <v>134</v>
      </c>
      <c r="F65" s="10" t="str">
        <f ca="1">VLOOKUP($E65,OFFSET([1]characters!$A$2,0,0,COUNTA([1]characters!$A:$A),MATCH(F$1,[1]characters!$2:$2,0)-MATCH($E$1,[1]characters!$2:$2,0)+1),MATCH(F$1,[1]characters!$2:$2,0)-MATCH($E$1,[1]characters!$2:$2,0)+1,FALSE)</f>
        <v>妖炎の夕霧</v>
      </c>
      <c r="G65" s="10" t="str">
        <f ca="1">VLOOKUP($E65,OFFSET([1]characters!$A$2,0,0,COUNTA([1]characters!$A:$A),MATCH(G$1,[1]characters!$2:$2,0)-MATCH($E$1,[1]characters!$2:$2,0)+1),MATCH(G$1,[1]characters!$2:$2,0)-MATCH($E$1,[1]characters!$2:$2,0)+1,FALSE)</f>
        <v>PremiumW</v>
      </c>
      <c r="H65" s="10">
        <f ca="1">VLOOKUP($E65,OFFSET([1]characters!$A$2,0,0,COUNTA([1]characters!$A:$A),MATCH(H$1,[1]characters!$2:$2,0)-MATCH($E$1,[1]characters!$2:$2,0)+1),MATCH(H$1,[1]characters!$2:$2,0)-MATCH($E$1,[1]characters!$2:$2,0)+1,FALSE)</f>
        <v>3</v>
      </c>
      <c r="I65" s="10" t="str">
        <f ca="1">VLOOKUP($E65,OFFSET([1]characters!$A$2,0,0,COUNTA([1]characters!$A:$A),MATCH(I$1,[1]characters!$2:$2,0)-MATCH($E$1,[1]characters!$2:$2,0)+1),MATCH(I$1,[1]characters!$2:$2,0)-MATCH($E$1,[1]characters!$2:$2,0)+1,FALSE)</f>
        <v>red</v>
      </c>
      <c r="J65" s="10" t="str">
        <f ca="1">VLOOKUP($E65,OFFSET([1]characters!$A$2,0,0,COUNTA([1]characters!$A:$A),MATCH("タイプ",[1]characters!$1:$1,0)-MATCH($E$1,[1]characters!$2:$2,0)+2),MATCH("タイプ",[1]characters!$1:$1,0)-MATCH($E$1,[1]characters!$2:$2,0)+2,FALSE)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5" s="10" t="str">
        <f ca="1">VLOOKUP($E65,OFFSET([1]characters!$A$2,0,0,COUNTA([1]characters!$A:$A),MATCH($K$1,[1]characters!$1:$1,0)-MATCH($E$1,[1]characters!$2:$2,0)+2),MATCH($K$1,[1]characters!$1:$1,0)-MATCH($E$1,[1]characters!$2:$2,0)+2,FALSE)</f>
        <v>ヒューマン</v>
      </c>
      <c r="L65" s="6">
        <v>1</v>
      </c>
      <c r="M65" s="21">
        <v>1683</v>
      </c>
      <c r="N65" s="28">
        <v>0</v>
      </c>
      <c r="O65" s="28">
        <v>0</v>
      </c>
      <c r="P65" s="28">
        <v>0</v>
      </c>
      <c r="Q65" s="28">
        <v>0</v>
      </c>
      <c r="R65" s="28">
        <v>1</v>
      </c>
    </row>
    <row r="66" spans="1:18" ht="21" customHeight="1">
      <c r="A66" s="8" t="str">
        <f t="shared" ref="A66:A132" si="1">D66&amp;E66&amp;L66</f>
        <v>01361</v>
      </c>
      <c r="B66" s="2">
        <v>113</v>
      </c>
      <c r="C66" s="10" t="str">
        <f ca="1">VLOOKUP($B66,OFFSET([2]gachas!$A$2,0,0,COUNTA([2]gachas!$A:$A),MATCH(C$1,[2]gachas!$1:$1,0)-MATCH($B$1,[2]gachas!$1:$1,0)+1),MATCH(C$1,[2]gachas!$1:$1,0)-MATCH($B$1,[2]gachas!$1:$1,0)+1,FALSE)</f>
        <v>ピックアップ02(沖田) 最終日</v>
      </c>
      <c r="D66" s="6">
        <v>0</v>
      </c>
      <c r="E66" s="7">
        <v>136</v>
      </c>
      <c r="F66" s="10" t="str">
        <f ca="1">VLOOKUP($E66,OFFSET([1]characters!$A$2,0,0,COUNTA([1]characters!$A:$A),MATCH(F$1,[1]characters!$2:$2,0)-MATCH($E$1,[1]characters!$2:$2,0)+1),MATCH(F$1,[1]characters!$2:$2,0)-MATCH($E$1,[1]characters!$2:$2,0)+1,FALSE)</f>
        <v>お針子チハヤ</v>
      </c>
      <c r="G66" s="10" t="str">
        <f ca="1">VLOOKUP($E66,OFFSET([1]characters!$A$2,0,0,COUNTA([1]characters!$A:$A),MATCH(G$1,[1]characters!$2:$2,0)-MATCH($E$1,[1]characters!$2:$2,0)+1),MATCH(G$1,[1]characters!$2:$2,0)-MATCH($E$1,[1]characters!$2:$2,0)+1,FALSE)</f>
        <v>PremiumW</v>
      </c>
      <c r="H66" s="10">
        <f ca="1">VLOOKUP($E66,OFFSET([1]characters!$A$2,0,0,COUNTA([1]characters!$A:$A),MATCH(H$1,[1]characters!$2:$2,0)-MATCH($E$1,[1]characters!$2:$2,0)+1),MATCH(H$1,[1]characters!$2:$2,0)-MATCH($E$1,[1]characters!$2:$2,0)+1,FALSE)</f>
        <v>3</v>
      </c>
      <c r="I66" s="10" t="str">
        <f ca="1">VLOOKUP($E66,OFFSET([1]characters!$A$2,0,0,COUNTA([1]characters!$A:$A),MATCH(I$1,[1]characters!$2:$2,0)-MATCH($E$1,[1]characters!$2:$2,0)+1),MATCH(I$1,[1]characters!$2:$2,0)-MATCH($E$1,[1]characters!$2:$2,0)+1,FALSE)</f>
        <v>green</v>
      </c>
      <c r="J66" s="10" t="str">
        <f ca="1">VLOOKUP($E66,OFFSET([1]characters!$A$2,0,0,COUNTA([1]characters!$A:$A),MATCH("タイプ",[1]characters!$1:$1,0)-MATCH($E$1,[1]characters!$2:$2,0)+2),MATCH("タイプ",[1]characters!$1:$1,0)-MATCH($E$1,[1]characters!$2:$2,0)+2,FALSE)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6" s="10" t="str">
        <f ca="1">VLOOKUP($E66,OFFSET([1]characters!$A$2,0,0,COUNTA([1]characters!$A:$A),MATCH($K$1,[1]characters!$1:$1,0)-MATCH($E$1,[1]characters!$2:$2,0)+2),MATCH($K$1,[1]characters!$1:$1,0)-MATCH($E$1,[1]characters!$2:$2,0)+2,FALSE)</f>
        <v>ヒューマン</v>
      </c>
      <c r="L66" s="6">
        <v>1</v>
      </c>
      <c r="M66" s="21">
        <v>1683</v>
      </c>
      <c r="N66" s="28">
        <v>0</v>
      </c>
      <c r="O66" s="28">
        <v>0</v>
      </c>
      <c r="P66" s="28">
        <v>0</v>
      </c>
      <c r="Q66" s="28">
        <v>0</v>
      </c>
      <c r="R66" s="28">
        <v>1</v>
      </c>
    </row>
    <row r="67" spans="1:18" ht="21" customHeight="1">
      <c r="A67" s="8" t="str">
        <f t="shared" si="1"/>
        <v>01381</v>
      </c>
      <c r="B67" s="2">
        <v>113</v>
      </c>
      <c r="C67" s="10" t="str">
        <f ca="1">VLOOKUP($B67,OFFSET([2]gachas!$A$2,0,0,COUNTA([2]gachas!$A:$A),MATCH(C$1,[2]gachas!$1:$1,0)-MATCH($B$1,[2]gachas!$1:$1,0)+1),MATCH(C$1,[2]gachas!$1:$1,0)-MATCH($B$1,[2]gachas!$1:$1,0)+1,FALSE)</f>
        <v>ピックアップ02(沖田) 最終日</v>
      </c>
      <c r="D67" s="6">
        <v>0</v>
      </c>
      <c r="E67" s="7">
        <v>138</v>
      </c>
      <c r="F67" s="10" t="str">
        <f ca="1">VLOOKUP($E67,OFFSET([1]characters!$A$2,0,0,COUNTA([1]characters!$A:$A),MATCH(F$1,[1]characters!$2:$2,0)-MATCH($E$1,[1]characters!$2:$2,0)+1),MATCH(F$1,[1]characters!$2:$2,0)-MATCH($E$1,[1]characters!$2:$2,0)+1,FALSE)</f>
        <v>蒼薙のトモエ</v>
      </c>
      <c r="G67" s="10" t="str">
        <f ca="1">VLOOKUP($E67,OFFSET([1]characters!$A$2,0,0,COUNTA([1]characters!$A:$A),MATCH(G$1,[1]characters!$2:$2,0)-MATCH($E$1,[1]characters!$2:$2,0)+1),MATCH(G$1,[1]characters!$2:$2,0)-MATCH($E$1,[1]characters!$2:$2,0)+1,FALSE)</f>
        <v>PremiumW</v>
      </c>
      <c r="H67" s="10">
        <f ca="1">VLOOKUP($E67,OFFSET([1]characters!$A$2,0,0,COUNTA([1]characters!$A:$A),MATCH(H$1,[1]characters!$2:$2,0)-MATCH($E$1,[1]characters!$2:$2,0)+1),MATCH(H$1,[1]characters!$2:$2,0)-MATCH($E$1,[1]characters!$2:$2,0)+1,FALSE)</f>
        <v>3</v>
      </c>
      <c r="I67" s="10" t="str">
        <f ca="1">VLOOKUP($E67,OFFSET([1]characters!$A$2,0,0,COUNTA([1]characters!$A:$A),MATCH(I$1,[1]characters!$2:$2,0)-MATCH($E$1,[1]characters!$2:$2,0)+1),MATCH(I$1,[1]characters!$2:$2,0)-MATCH($E$1,[1]characters!$2:$2,0)+1,FALSE)</f>
        <v>blue</v>
      </c>
      <c r="J67" s="10" t="str">
        <f ca="1">VLOOKUP($E67,OFFSET([1]characters!$A$2,0,0,COUNTA([1]characters!$A:$A),MATCH("タイプ",[1]characters!$1:$1,0)-MATCH($E$1,[1]characters!$2:$2,0)+2),MATCH("タイプ",[1]characters!$1:$1,0)-MATCH($E$1,[1]characters!$2:$2,0)+2,FALSE)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7" s="10" t="str">
        <f ca="1">VLOOKUP($E67,OFFSET([1]characters!$A$2,0,0,COUNTA([1]characters!$A:$A),MATCH($K$1,[1]characters!$1:$1,0)-MATCH($E$1,[1]characters!$2:$2,0)+2),MATCH($K$1,[1]characters!$1:$1,0)-MATCH($E$1,[1]characters!$2:$2,0)+2,FALSE)</f>
        <v>ヒューマン</v>
      </c>
      <c r="L67" s="6">
        <v>1</v>
      </c>
      <c r="M67" s="21">
        <v>1683</v>
      </c>
      <c r="N67" s="28">
        <v>0</v>
      </c>
      <c r="O67" s="28">
        <v>0</v>
      </c>
      <c r="P67" s="28">
        <v>0</v>
      </c>
      <c r="Q67" s="28">
        <v>0</v>
      </c>
      <c r="R67" s="28">
        <v>1</v>
      </c>
    </row>
    <row r="68" spans="1:18" ht="21" customHeight="1">
      <c r="A68" s="8" t="str">
        <f t="shared" si="1"/>
        <v>01401</v>
      </c>
      <c r="B68" s="2">
        <v>113</v>
      </c>
      <c r="C68" s="10" t="str">
        <f ca="1">VLOOKUP($B68,OFFSET([2]gachas!$A$2,0,0,COUNTA([2]gachas!$A:$A),MATCH(C$1,[2]gachas!$1:$1,0)-MATCH($B$1,[2]gachas!$1:$1,0)+1),MATCH(C$1,[2]gachas!$1:$1,0)-MATCH($B$1,[2]gachas!$1:$1,0)+1,FALSE)</f>
        <v>ピックアップ02(沖田) 最終日</v>
      </c>
      <c r="D68" s="6">
        <v>0</v>
      </c>
      <c r="E68" s="7">
        <v>140</v>
      </c>
      <c r="F68" s="10" t="str">
        <f ca="1">VLOOKUP($E68,OFFSET([1]characters!$A$2,0,0,COUNTA([1]characters!$A:$A),MATCH(F$1,[1]characters!$2:$2,0)-MATCH($E$1,[1]characters!$2:$2,0)+1),MATCH(F$1,[1]characters!$2:$2,0)-MATCH($E$1,[1]characters!$2:$2,0)+1,FALSE)</f>
        <v>秋祭のタマモ</v>
      </c>
      <c r="G68" s="10" t="str">
        <f ca="1">VLOOKUP($E68,OFFSET([1]characters!$A$2,0,0,COUNTA([1]characters!$A:$A),MATCH(G$1,[1]characters!$2:$2,0)-MATCH($E$1,[1]characters!$2:$2,0)+1),MATCH(G$1,[1]characters!$2:$2,0)-MATCH($E$1,[1]characters!$2:$2,0)+1,FALSE)</f>
        <v>PremiumW</v>
      </c>
      <c r="H68" s="10">
        <f ca="1">VLOOKUP($E68,OFFSET([1]characters!$A$2,0,0,COUNTA([1]characters!$A:$A),MATCH(H$1,[1]characters!$2:$2,0)-MATCH($E$1,[1]characters!$2:$2,0)+1),MATCH(H$1,[1]characters!$2:$2,0)-MATCH($E$1,[1]characters!$2:$2,0)+1,FALSE)</f>
        <v>3</v>
      </c>
      <c r="I68" s="10" t="str">
        <f ca="1">VLOOKUP($E68,OFFSET([1]characters!$A$2,0,0,COUNTA([1]characters!$A:$A),MATCH(I$1,[1]characters!$2:$2,0)-MATCH($E$1,[1]characters!$2:$2,0)+1),MATCH(I$1,[1]characters!$2:$2,0)-MATCH($E$1,[1]characters!$2:$2,0)+1,FALSE)</f>
        <v>yellow</v>
      </c>
      <c r="J68" s="10" t="str">
        <f ca="1">VLOOKUP($E68,OFFSET([1]characters!$A$2,0,0,COUNTA([1]characters!$A:$A),MATCH("タイプ",[1]characters!$1:$1,0)-MATCH($E$1,[1]characters!$2:$2,0)+2),MATCH("タイプ",[1]characters!$1:$1,0)-MATCH($E$1,[1]characters!$2:$2,0)+2,FALSE)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8" s="10" t="str">
        <f ca="1">VLOOKUP($E68,OFFSET([1]characters!$A$2,0,0,COUNTA([1]characters!$A:$A),MATCH($K$1,[1]characters!$1:$1,0)-MATCH($E$1,[1]characters!$2:$2,0)+2),MATCH($K$1,[1]characters!$1:$1,0)-MATCH($E$1,[1]characters!$2:$2,0)+2,FALSE)</f>
        <v>アニマル</v>
      </c>
      <c r="L68" s="6">
        <v>1</v>
      </c>
      <c r="M68" s="21">
        <v>1683</v>
      </c>
      <c r="N68" s="28">
        <v>0</v>
      </c>
      <c r="O68" s="28">
        <v>0</v>
      </c>
      <c r="P68" s="28">
        <v>0</v>
      </c>
      <c r="Q68" s="28">
        <v>0</v>
      </c>
      <c r="R68" s="28">
        <v>1</v>
      </c>
    </row>
    <row r="69" spans="1:18" ht="21" customHeight="1">
      <c r="A69" s="8" t="str">
        <f t="shared" si="1"/>
        <v>01421</v>
      </c>
      <c r="B69" s="2">
        <v>113</v>
      </c>
      <c r="C69" s="10" t="str">
        <f ca="1">VLOOKUP($B69,OFFSET([2]gachas!$A$2,0,0,COUNTA([2]gachas!$A:$A),MATCH(C$1,[2]gachas!$1:$1,0)-MATCH($B$1,[2]gachas!$1:$1,0)+1),MATCH(C$1,[2]gachas!$1:$1,0)-MATCH($B$1,[2]gachas!$1:$1,0)+1,FALSE)</f>
        <v>ピックアップ02(沖田) 最終日</v>
      </c>
      <c r="D69" s="6">
        <v>0</v>
      </c>
      <c r="E69" s="7">
        <v>142</v>
      </c>
      <c r="F69" s="10" t="str">
        <f ca="1">VLOOKUP($E69,OFFSET([1]characters!$A$2,0,0,COUNTA([1]characters!$A:$A),MATCH(F$1,[1]characters!$2:$2,0)-MATCH($E$1,[1]characters!$2:$2,0)+1),MATCH(F$1,[1]characters!$2:$2,0)-MATCH($E$1,[1]characters!$2:$2,0)+1,FALSE)</f>
        <v>赤ずきん</v>
      </c>
      <c r="G69" s="10" t="str">
        <f ca="1">VLOOKUP($E69,OFFSET([1]characters!$A$2,0,0,COUNTA([1]characters!$A:$A),MATCH(G$1,[1]characters!$2:$2,0)-MATCH($E$1,[1]characters!$2:$2,0)+1),MATCH(G$1,[1]characters!$2:$2,0)-MATCH($E$1,[1]characters!$2:$2,0)+1,FALSE)</f>
        <v>PremiumW</v>
      </c>
      <c r="H69" s="10">
        <f ca="1">VLOOKUP($E69,OFFSET([1]characters!$A$2,0,0,COUNTA([1]characters!$A:$A),MATCH(H$1,[1]characters!$2:$2,0)-MATCH($E$1,[1]characters!$2:$2,0)+1),MATCH(H$1,[1]characters!$2:$2,0)-MATCH($E$1,[1]characters!$2:$2,0)+1,FALSE)</f>
        <v>3</v>
      </c>
      <c r="I69" s="10" t="str">
        <f ca="1">VLOOKUP($E69,OFFSET([1]characters!$A$2,0,0,COUNTA([1]characters!$A:$A),MATCH(I$1,[1]characters!$2:$2,0)-MATCH($E$1,[1]characters!$2:$2,0)+1),MATCH(I$1,[1]characters!$2:$2,0)-MATCH($E$1,[1]characters!$2:$2,0)+1,FALSE)</f>
        <v>red</v>
      </c>
      <c r="J69" s="10" t="str">
        <f ca="1">VLOOKUP($E69,OFFSET([1]characters!$A$2,0,0,COUNTA([1]characters!$A:$A),MATCH("タイプ",[1]characters!$1:$1,0)-MATCH($E$1,[1]characters!$2:$2,0)+2),MATCH("タイプ",[1]characters!$1:$1,0)-MATCH($E$1,[1]characters!$2:$2,0)+2,FALSE)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69" s="10" t="str">
        <f ca="1">VLOOKUP($E69,OFFSET([1]characters!$A$2,0,0,COUNTA([1]characters!$A:$A),MATCH($K$1,[1]characters!$1:$1,0)-MATCH($E$1,[1]characters!$2:$2,0)+2),MATCH($K$1,[1]characters!$1:$1,0)-MATCH($E$1,[1]characters!$2:$2,0)+2,FALSE)</f>
        <v>ヒューマン</v>
      </c>
      <c r="L69" s="6">
        <v>1</v>
      </c>
      <c r="M69" s="21">
        <v>1683</v>
      </c>
      <c r="N69" s="28">
        <v>0</v>
      </c>
      <c r="O69" s="28">
        <v>0</v>
      </c>
      <c r="P69" s="28">
        <v>0</v>
      </c>
      <c r="Q69" s="28">
        <v>0</v>
      </c>
      <c r="R69" s="28">
        <v>1</v>
      </c>
    </row>
    <row r="70" spans="1:18" ht="21" customHeight="1">
      <c r="A70" s="8" t="str">
        <f t="shared" si="1"/>
        <v>01441</v>
      </c>
      <c r="B70" s="2">
        <v>113</v>
      </c>
      <c r="C70" s="10" t="str">
        <f ca="1">VLOOKUP($B70,OFFSET([2]gachas!$A$2,0,0,COUNTA([2]gachas!$A:$A),MATCH(C$1,[2]gachas!$1:$1,0)-MATCH($B$1,[2]gachas!$1:$1,0)+1),MATCH(C$1,[2]gachas!$1:$1,0)-MATCH($B$1,[2]gachas!$1:$1,0)+1,FALSE)</f>
        <v>ピックアップ02(沖田) 最終日</v>
      </c>
      <c r="D70" s="6">
        <v>0</v>
      </c>
      <c r="E70" s="7">
        <v>144</v>
      </c>
      <c r="F70" s="10" t="str">
        <f ca="1">VLOOKUP($E70,OFFSET([1]characters!$A$2,0,0,COUNTA([1]characters!$A:$A),MATCH(F$1,[1]characters!$2:$2,0)-MATCH($E$1,[1]characters!$2:$2,0)+1),MATCH(F$1,[1]characters!$2:$2,0)-MATCH($E$1,[1]characters!$2:$2,0)+1,FALSE)</f>
        <v>かぐや</v>
      </c>
      <c r="G70" s="10" t="str">
        <f ca="1">VLOOKUP($E70,OFFSET([1]characters!$A$2,0,0,COUNTA([1]characters!$A:$A),MATCH(G$1,[1]characters!$2:$2,0)-MATCH($E$1,[1]characters!$2:$2,0)+1),MATCH(G$1,[1]characters!$2:$2,0)-MATCH($E$1,[1]characters!$2:$2,0)+1,FALSE)</f>
        <v>PremiumW</v>
      </c>
      <c r="H70" s="10">
        <f ca="1">VLOOKUP($E70,OFFSET([1]characters!$A$2,0,0,COUNTA([1]characters!$A:$A),MATCH(H$1,[1]characters!$2:$2,0)-MATCH($E$1,[1]characters!$2:$2,0)+1),MATCH(H$1,[1]characters!$2:$2,0)-MATCH($E$1,[1]characters!$2:$2,0)+1,FALSE)</f>
        <v>3</v>
      </c>
      <c r="I70" s="10" t="str">
        <f ca="1">VLOOKUP($E70,OFFSET([1]characters!$A$2,0,0,COUNTA([1]characters!$A:$A),MATCH(I$1,[1]characters!$2:$2,0)-MATCH($E$1,[1]characters!$2:$2,0)+1),MATCH(I$1,[1]characters!$2:$2,0)-MATCH($E$1,[1]characters!$2:$2,0)+1,FALSE)</f>
        <v>green</v>
      </c>
      <c r="J70" s="10" t="str">
        <f ca="1">VLOOKUP($E70,OFFSET([1]characters!$A$2,0,0,COUNTA([1]characters!$A:$A),MATCH("タイプ",[1]characters!$1:$1,0)-MATCH($E$1,[1]characters!$2:$2,0)+2),MATCH("タイプ",[1]characters!$1:$1,0)-MATCH($E$1,[1]characters!$2:$2,0)+2,FALSE)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0" s="10" t="str">
        <f ca="1">VLOOKUP($E70,OFFSET([1]characters!$A$2,0,0,COUNTA([1]characters!$A:$A),MATCH($K$1,[1]characters!$1:$1,0)-MATCH($E$1,[1]characters!$2:$2,0)+2),MATCH($K$1,[1]characters!$1:$1,0)-MATCH($E$1,[1]characters!$2:$2,0)+2,FALSE)</f>
        <v>ヒューマン</v>
      </c>
      <c r="L70" s="6">
        <v>1</v>
      </c>
      <c r="M70" s="21">
        <v>1683</v>
      </c>
      <c r="N70" s="28">
        <v>0</v>
      </c>
      <c r="O70" s="28">
        <v>0</v>
      </c>
      <c r="P70" s="28">
        <v>0</v>
      </c>
      <c r="Q70" s="28">
        <v>0</v>
      </c>
      <c r="R70" s="28">
        <v>1</v>
      </c>
    </row>
    <row r="71" spans="1:18" ht="21" customHeight="1">
      <c r="A71" s="8" t="str">
        <f t="shared" si="1"/>
        <v>01461</v>
      </c>
      <c r="B71" s="2">
        <v>113</v>
      </c>
      <c r="C71" s="10" t="str">
        <f ca="1">VLOOKUP($B71,OFFSET([2]gachas!$A$2,0,0,COUNTA([2]gachas!$A:$A),MATCH(C$1,[2]gachas!$1:$1,0)-MATCH($B$1,[2]gachas!$1:$1,0)+1),MATCH(C$1,[2]gachas!$1:$1,0)-MATCH($B$1,[2]gachas!$1:$1,0)+1,FALSE)</f>
        <v>ピックアップ02(沖田) 最終日</v>
      </c>
      <c r="D71" s="6">
        <v>0</v>
      </c>
      <c r="E71" s="7">
        <v>146</v>
      </c>
      <c r="F71" s="10" t="str">
        <f ca="1">VLOOKUP($E71,OFFSET([1]characters!$A$2,0,0,COUNTA([1]characters!$A:$A),MATCH(F$1,[1]characters!$2:$2,0)-MATCH($E$1,[1]characters!$2:$2,0)+1),MATCH(F$1,[1]characters!$2:$2,0)-MATCH($E$1,[1]characters!$2:$2,0)+1,FALSE)</f>
        <v>マーメイド</v>
      </c>
      <c r="G71" s="10" t="str">
        <f ca="1">VLOOKUP($E71,OFFSET([1]characters!$A$2,0,0,COUNTA([1]characters!$A:$A),MATCH(G$1,[1]characters!$2:$2,0)-MATCH($E$1,[1]characters!$2:$2,0)+1),MATCH(G$1,[1]characters!$2:$2,0)-MATCH($E$1,[1]characters!$2:$2,0)+1,FALSE)</f>
        <v>PremiumW</v>
      </c>
      <c r="H71" s="10">
        <f ca="1">VLOOKUP($E71,OFFSET([1]characters!$A$2,0,0,COUNTA([1]characters!$A:$A),MATCH(H$1,[1]characters!$2:$2,0)-MATCH($E$1,[1]characters!$2:$2,0)+1),MATCH(H$1,[1]characters!$2:$2,0)-MATCH($E$1,[1]characters!$2:$2,0)+1,FALSE)</f>
        <v>3</v>
      </c>
      <c r="I71" s="10" t="str">
        <f ca="1">VLOOKUP($E71,OFFSET([1]characters!$A$2,0,0,COUNTA([1]characters!$A:$A),MATCH(I$1,[1]characters!$2:$2,0)-MATCH($E$1,[1]characters!$2:$2,0)+1),MATCH(I$1,[1]characters!$2:$2,0)-MATCH($E$1,[1]characters!$2:$2,0)+1,FALSE)</f>
        <v>blue</v>
      </c>
      <c r="J71" s="10" t="str">
        <f ca="1">VLOOKUP($E71,OFFSET([1]characters!$A$2,0,0,COUNTA([1]characters!$A:$A),MATCH("タイプ",[1]characters!$1:$1,0)-MATCH($E$1,[1]characters!$2:$2,0)+2),MATCH("タイプ",[1]characters!$1:$1,0)-MATCH($E$1,[1]characters!$2:$2,0)+2,FALSE)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71" s="10" t="str">
        <f ca="1">VLOOKUP($E71,OFFSET([1]characters!$A$2,0,0,COUNTA([1]characters!$A:$A),MATCH($K$1,[1]characters!$1:$1,0)-MATCH($E$1,[1]characters!$2:$2,0)+2),MATCH($K$1,[1]characters!$1:$1,0)-MATCH($E$1,[1]characters!$2:$2,0)+2,FALSE)</f>
        <v>ヒューマン</v>
      </c>
      <c r="L71" s="6">
        <v>1</v>
      </c>
      <c r="M71" s="21">
        <v>1683</v>
      </c>
      <c r="N71" s="28">
        <v>0</v>
      </c>
      <c r="O71" s="28">
        <v>0</v>
      </c>
      <c r="P71" s="28">
        <v>0</v>
      </c>
      <c r="Q71" s="28">
        <v>0</v>
      </c>
      <c r="R71" s="28">
        <v>1</v>
      </c>
    </row>
    <row r="72" spans="1:18" ht="21" customHeight="1">
      <c r="A72" s="8" t="str">
        <f t="shared" si="1"/>
        <v>01481</v>
      </c>
      <c r="B72" s="2">
        <v>113</v>
      </c>
      <c r="C72" s="10" t="str">
        <f ca="1">VLOOKUP($B72,OFFSET([2]gachas!$A$2,0,0,COUNTA([2]gachas!$A:$A),MATCH(C$1,[2]gachas!$1:$1,0)-MATCH($B$1,[2]gachas!$1:$1,0)+1),MATCH(C$1,[2]gachas!$1:$1,0)-MATCH($B$1,[2]gachas!$1:$1,0)+1,FALSE)</f>
        <v>ピックアップ02(沖田) 最終日</v>
      </c>
      <c r="D72" s="6">
        <v>0</v>
      </c>
      <c r="E72" s="7">
        <v>148</v>
      </c>
      <c r="F72" s="10" t="str">
        <f ca="1">VLOOKUP($E72,OFFSET([1]characters!$A$2,0,0,COUNTA([1]characters!$A:$A),MATCH(F$1,[1]characters!$2:$2,0)-MATCH($E$1,[1]characters!$2:$2,0)+1),MATCH(F$1,[1]characters!$2:$2,0)-MATCH($E$1,[1]characters!$2:$2,0)+1,FALSE)</f>
        <v>シンデレラ</v>
      </c>
      <c r="G72" s="10" t="str">
        <f ca="1">VLOOKUP($E72,OFFSET([1]characters!$A$2,0,0,COUNTA([1]characters!$A:$A),MATCH(G$1,[1]characters!$2:$2,0)-MATCH($E$1,[1]characters!$2:$2,0)+1),MATCH(G$1,[1]characters!$2:$2,0)-MATCH($E$1,[1]characters!$2:$2,0)+1,FALSE)</f>
        <v>PremiumW</v>
      </c>
      <c r="H72" s="10">
        <f ca="1">VLOOKUP($E72,OFFSET([1]characters!$A$2,0,0,COUNTA([1]characters!$A:$A),MATCH(H$1,[1]characters!$2:$2,0)-MATCH($E$1,[1]characters!$2:$2,0)+1),MATCH(H$1,[1]characters!$2:$2,0)-MATCH($E$1,[1]characters!$2:$2,0)+1,FALSE)</f>
        <v>3</v>
      </c>
      <c r="I72" s="10" t="str">
        <f ca="1">VLOOKUP($E72,OFFSET([1]characters!$A$2,0,0,COUNTA([1]characters!$A:$A),MATCH(I$1,[1]characters!$2:$2,0)-MATCH($E$1,[1]characters!$2:$2,0)+1),MATCH(I$1,[1]characters!$2:$2,0)-MATCH($E$1,[1]characters!$2:$2,0)+1,FALSE)</f>
        <v>yellow</v>
      </c>
      <c r="J72" s="10" t="str">
        <f ca="1">VLOOKUP($E72,OFFSET([1]characters!$A$2,0,0,COUNTA([1]characters!$A:$A),MATCH("タイプ",[1]characters!$1:$1,0)-MATCH($E$1,[1]characters!$2:$2,0)+2),MATCH("タイプ",[1]characters!$1:$1,0)-MATCH($E$1,[1]characters!$2:$2,0)+2,FALSE)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2" s="10" t="str">
        <f ca="1">VLOOKUP($E72,OFFSET([1]characters!$A$2,0,0,COUNTA([1]characters!$A:$A),MATCH($K$1,[1]characters!$1:$1,0)-MATCH($E$1,[1]characters!$2:$2,0)+2),MATCH($K$1,[1]characters!$1:$1,0)-MATCH($E$1,[1]characters!$2:$2,0)+2,FALSE)</f>
        <v>ヒューマン</v>
      </c>
      <c r="L72" s="6">
        <v>1</v>
      </c>
      <c r="M72" s="21">
        <v>1683</v>
      </c>
      <c r="N72" s="28">
        <v>0</v>
      </c>
      <c r="O72" s="28">
        <v>0</v>
      </c>
      <c r="P72" s="28">
        <v>0</v>
      </c>
      <c r="Q72" s="28">
        <v>0</v>
      </c>
      <c r="R72" s="28">
        <v>1</v>
      </c>
    </row>
    <row r="73" spans="1:18" ht="21" customHeight="1">
      <c r="A73" s="8" t="str">
        <f t="shared" si="1"/>
        <v>01501</v>
      </c>
      <c r="B73" s="2">
        <v>113</v>
      </c>
      <c r="C73" s="10" t="str">
        <f ca="1">VLOOKUP($B73,OFFSET([2]gachas!$A$2,0,0,COUNTA([2]gachas!$A:$A),MATCH(C$1,[2]gachas!$1:$1,0)-MATCH($B$1,[2]gachas!$1:$1,0)+1),MATCH(C$1,[2]gachas!$1:$1,0)-MATCH($B$1,[2]gachas!$1:$1,0)+1,FALSE)</f>
        <v>ピックアップ02(沖田) 最終日</v>
      </c>
      <c r="D73" s="6">
        <v>0</v>
      </c>
      <c r="E73" s="7">
        <v>150</v>
      </c>
      <c r="F73" s="10" t="str">
        <f ca="1">VLOOKUP($E73,OFFSET([1]characters!$A$2,0,0,COUNTA([1]characters!$A:$A),MATCH(F$1,[1]characters!$2:$2,0)-MATCH($E$1,[1]characters!$2:$2,0)+1),MATCH(F$1,[1]characters!$2:$2,0)-MATCH($E$1,[1]characters!$2:$2,0)+1,FALSE)</f>
        <v>ポイズンマスターサキ</v>
      </c>
      <c r="G73" s="10" t="str">
        <f ca="1">VLOOKUP($E73,OFFSET([1]characters!$A$2,0,0,COUNTA([1]characters!$A:$A),MATCH(G$1,[1]characters!$2:$2,0)-MATCH($E$1,[1]characters!$2:$2,0)+1),MATCH(G$1,[1]characters!$2:$2,0)-MATCH($E$1,[1]characters!$2:$2,0)+1,FALSE)</f>
        <v>PremiumW</v>
      </c>
      <c r="H73" s="10">
        <f ca="1">VLOOKUP($E73,OFFSET([1]characters!$A$2,0,0,COUNTA([1]characters!$A:$A),MATCH(H$1,[1]characters!$2:$2,0)-MATCH($E$1,[1]characters!$2:$2,0)+1),MATCH(H$1,[1]characters!$2:$2,0)-MATCH($E$1,[1]characters!$2:$2,0)+1,FALSE)</f>
        <v>3</v>
      </c>
      <c r="I73" s="10" t="str">
        <f ca="1">VLOOKUP($E73,OFFSET([1]characters!$A$2,0,0,COUNTA([1]characters!$A:$A),MATCH(I$1,[1]characters!$2:$2,0)-MATCH($E$1,[1]characters!$2:$2,0)+1),MATCH(I$1,[1]characters!$2:$2,0)-MATCH($E$1,[1]characters!$2:$2,0)+1,FALSE)</f>
        <v>red</v>
      </c>
      <c r="J73" s="10" t="str">
        <f ca="1">VLOOKUP($E73,OFFSET([1]characters!$A$2,0,0,COUNTA([1]characters!$A:$A),MATCH("タイプ",[1]characters!$1:$1,0)-MATCH($E$1,[1]characters!$2:$2,0)+2),MATCH("タイプ",[1]characters!$1:$1,0)-MATCH($E$1,[1]characters!$2:$2,0)+2,FALSE)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73" s="10" t="str">
        <f ca="1">VLOOKUP($E73,OFFSET([1]characters!$A$2,0,0,COUNTA([1]characters!$A:$A),MATCH($K$1,[1]characters!$1:$1,0)-MATCH($E$1,[1]characters!$2:$2,0)+2),MATCH($K$1,[1]characters!$1:$1,0)-MATCH($E$1,[1]characters!$2:$2,0)+2,FALSE)</f>
        <v>ヒューマン</v>
      </c>
      <c r="L73" s="6">
        <v>1</v>
      </c>
      <c r="M73" s="21">
        <v>1683</v>
      </c>
      <c r="N73" s="28">
        <v>0</v>
      </c>
      <c r="O73" s="28">
        <v>0</v>
      </c>
      <c r="P73" s="28">
        <v>0</v>
      </c>
      <c r="Q73" s="28">
        <v>0</v>
      </c>
      <c r="R73" s="28">
        <v>1</v>
      </c>
    </row>
    <row r="74" spans="1:18" ht="21" customHeight="1">
      <c r="A74" s="8" t="str">
        <f t="shared" si="1"/>
        <v>01521</v>
      </c>
      <c r="B74" s="2">
        <v>113</v>
      </c>
      <c r="C74" s="10" t="str">
        <f ca="1">VLOOKUP($B74,OFFSET([2]gachas!$A$2,0,0,COUNTA([2]gachas!$A:$A),MATCH(C$1,[2]gachas!$1:$1,0)-MATCH($B$1,[2]gachas!$1:$1,0)+1),MATCH(C$1,[2]gachas!$1:$1,0)-MATCH($B$1,[2]gachas!$1:$1,0)+1,FALSE)</f>
        <v>ピックアップ02(沖田) 最終日</v>
      </c>
      <c r="D74" s="6">
        <v>0</v>
      </c>
      <c r="E74" s="7">
        <v>152</v>
      </c>
      <c r="F74" s="10" t="str">
        <f ca="1">VLOOKUP($E74,OFFSET([1]characters!$A$2,0,0,COUNTA([1]characters!$A:$A),MATCH(F$1,[1]characters!$2:$2,0)-MATCH($E$1,[1]characters!$2:$2,0)+1),MATCH(F$1,[1]characters!$2:$2,0)-MATCH($E$1,[1]characters!$2:$2,0)+1,FALSE)</f>
        <v>功夫少女ランラン</v>
      </c>
      <c r="G74" s="10" t="str">
        <f ca="1">VLOOKUP($E74,OFFSET([1]characters!$A$2,0,0,COUNTA([1]characters!$A:$A),MATCH(G$1,[1]characters!$2:$2,0)-MATCH($E$1,[1]characters!$2:$2,0)+1),MATCH(G$1,[1]characters!$2:$2,0)-MATCH($E$1,[1]characters!$2:$2,0)+1,FALSE)</f>
        <v>PremiumW</v>
      </c>
      <c r="H74" s="10">
        <f ca="1">VLOOKUP($E74,OFFSET([1]characters!$A$2,0,0,COUNTA([1]characters!$A:$A),MATCH(H$1,[1]characters!$2:$2,0)-MATCH($E$1,[1]characters!$2:$2,0)+1),MATCH(H$1,[1]characters!$2:$2,0)-MATCH($E$1,[1]characters!$2:$2,0)+1,FALSE)</f>
        <v>3</v>
      </c>
      <c r="I74" s="10" t="str">
        <f ca="1">VLOOKUP($E74,OFFSET([1]characters!$A$2,0,0,COUNTA([1]characters!$A:$A),MATCH(I$1,[1]characters!$2:$2,0)-MATCH($E$1,[1]characters!$2:$2,0)+1),MATCH(I$1,[1]characters!$2:$2,0)-MATCH($E$1,[1]characters!$2:$2,0)+1,FALSE)</f>
        <v>green</v>
      </c>
      <c r="J74" s="10" t="str">
        <f ca="1">VLOOKUP($E74,OFFSET([1]characters!$A$2,0,0,COUNTA([1]characters!$A:$A),MATCH("タイプ",[1]characters!$1:$1,0)-MATCH($E$1,[1]characters!$2:$2,0)+2),MATCH("タイプ",[1]characters!$1:$1,0)-MATCH($E$1,[1]characters!$2:$2,0)+2,FALSE)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4" s="10" t="str">
        <f ca="1">VLOOKUP($E74,OFFSET([1]characters!$A$2,0,0,COUNTA([1]characters!$A:$A),MATCH($K$1,[1]characters!$1:$1,0)-MATCH($E$1,[1]characters!$2:$2,0)+2),MATCH($K$1,[1]characters!$1:$1,0)-MATCH($E$1,[1]characters!$2:$2,0)+2,FALSE)</f>
        <v>ヒューマン</v>
      </c>
      <c r="L74" s="6">
        <v>1</v>
      </c>
      <c r="M74" s="21">
        <v>1683</v>
      </c>
      <c r="N74" s="28">
        <v>0</v>
      </c>
      <c r="O74" s="28">
        <v>0</v>
      </c>
      <c r="P74" s="28">
        <v>0</v>
      </c>
      <c r="Q74" s="28">
        <v>0</v>
      </c>
      <c r="R74" s="28">
        <v>1</v>
      </c>
    </row>
    <row r="75" spans="1:18" ht="21" customHeight="1">
      <c r="A75" s="8" t="str">
        <f t="shared" si="1"/>
        <v>01541</v>
      </c>
      <c r="B75" s="2">
        <v>113</v>
      </c>
      <c r="C75" s="10" t="str">
        <f ca="1">VLOOKUP($B75,OFFSET([2]gachas!$A$2,0,0,COUNTA([2]gachas!$A:$A),MATCH(C$1,[2]gachas!$1:$1,0)-MATCH($B$1,[2]gachas!$1:$1,0)+1),MATCH(C$1,[2]gachas!$1:$1,0)-MATCH($B$1,[2]gachas!$1:$1,0)+1,FALSE)</f>
        <v>ピックアップ02(沖田) 最終日</v>
      </c>
      <c r="D75" s="6">
        <v>0</v>
      </c>
      <c r="E75" s="7">
        <v>154</v>
      </c>
      <c r="F75" s="10" t="str">
        <f ca="1">VLOOKUP($E75,OFFSET([1]characters!$A$2,0,0,COUNTA([1]characters!$A:$A),MATCH(F$1,[1]characters!$2:$2,0)-MATCH($E$1,[1]characters!$2:$2,0)+1),MATCH(F$1,[1]characters!$2:$2,0)-MATCH($E$1,[1]characters!$2:$2,0)+1,FALSE)</f>
        <v>始末屋 ハンナ</v>
      </c>
      <c r="G75" s="10" t="str">
        <f ca="1">VLOOKUP($E75,OFFSET([1]characters!$A$2,0,0,COUNTA([1]characters!$A:$A),MATCH(G$1,[1]characters!$2:$2,0)-MATCH($E$1,[1]characters!$2:$2,0)+1),MATCH(G$1,[1]characters!$2:$2,0)-MATCH($E$1,[1]characters!$2:$2,0)+1,FALSE)</f>
        <v>PremiumW</v>
      </c>
      <c r="H75" s="10">
        <f ca="1">VLOOKUP($E75,OFFSET([1]characters!$A$2,0,0,COUNTA([1]characters!$A:$A),MATCH(H$1,[1]characters!$2:$2,0)-MATCH($E$1,[1]characters!$2:$2,0)+1),MATCH(H$1,[1]characters!$2:$2,0)-MATCH($E$1,[1]characters!$2:$2,0)+1,FALSE)</f>
        <v>3</v>
      </c>
      <c r="I75" s="10" t="str">
        <f ca="1">VLOOKUP($E75,OFFSET([1]characters!$A$2,0,0,COUNTA([1]characters!$A:$A),MATCH(I$1,[1]characters!$2:$2,0)-MATCH($E$1,[1]characters!$2:$2,0)+1),MATCH(I$1,[1]characters!$2:$2,0)-MATCH($E$1,[1]characters!$2:$2,0)+1,FALSE)</f>
        <v>blue</v>
      </c>
      <c r="J75" s="10" t="str">
        <f ca="1">VLOOKUP($E75,OFFSET([1]characters!$A$2,0,0,COUNTA([1]characters!$A:$A),MATCH("タイプ",[1]characters!$1:$1,0)-MATCH($E$1,[1]characters!$2:$2,0)+2),MATCH("タイプ",[1]characters!$1:$1,0)-MATCH($E$1,[1]characters!$2:$2,0)+2,FALSE)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5" s="10" t="str">
        <f ca="1">VLOOKUP($E75,OFFSET([1]characters!$A$2,0,0,COUNTA([1]characters!$A:$A),MATCH($K$1,[1]characters!$1:$1,0)-MATCH($E$1,[1]characters!$2:$2,0)+2),MATCH($K$1,[1]characters!$1:$1,0)-MATCH($E$1,[1]characters!$2:$2,0)+2,FALSE)</f>
        <v>ヒューマン</v>
      </c>
      <c r="L75" s="6">
        <v>1</v>
      </c>
      <c r="M75" s="21">
        <v>1683</v>
      </c>
      <c r="N75" s="28">
        <v>0</v>
      </c>
      <c r="O75" s="28">
        <v>0</v>
      </c>
      <c r="P75" s="28">
        <v>0</v>
      </c>
      <c r="Q75" s="28">
        <v>0</v>
      </c>
      <c r="R75" s="28">
        <v>1</v>
      </c>
    </row>
    <row r="76" spans="1:18" ht="21" customHeight="1">
      <c r="A76" s="8" t="str">
        <f t="shared" si="1"/>
        <v>01561</v>
      </c>
      <c r="B76" s="2">
        <v>113</v>
      </c>
      <c r="C76" s="10" t="str">
        <f ca="1">VLOOKUP($B76,OFFSET([2]gachas!$A$2,0,0,COUNTA([2]gachas!$A:$A),MATCH(C$1,[2]gachas!$1:$1,0)-MATCH($B$1,[2]gachas!$1:$1,0)+1),MATCH(C$1,[2]gachas!$1:$1,0)-MATCH($B$1,[2]gachas!$1:$1,0)+1,FALSE)</f>
        <v>ピックアップ02(沖田) 最終日</v>
      </c>
      <c r="D76" s="6">
        <v>0</v>
      </c>
      <c r="E76" s="7">
        <v>156</v>
      </c>
      <c r="F76" s="10" t="str">
        <f ca="1">VLOOKUP($E76,OFFSET([1]characters!$A$2,0,0,COUNTA([1]characters!$A:$A),MATCH(F$1,[1]characters!$2:$2,0)-MATCH($E$1,[1]characters!$2:$2,0)+1),MATCH(F$1,[1]characters!$2:$2,0)-MATCH($E$1,[1]characters!$2:$2,0)+1,FALSE)</f>
        <v>踊り子 エレナ</v>
      </c>
      <c r="G76" s="10" t="str">
        <f ca="1">VLOOKUP($E76,OFFSET([1]characters!$A$2,0,0,COUNTA([1]characters!$A:$A),MATCH(G$1,[1]characters!$2:$2,0)-MATCH($E$1,[1]characters!$2:$2,0)+1),MATCH(G$1,[1]characters!$2:$2,0)-MATCH($E$1,[1]characters!$2:$2,0)+1,FALSE)</f>
        <v>PremiumW</v>
      </c>
      <c r="H76" s="10">
        <f ca="1">VLOOKUP($E76,OFFSET([1]characters!$A$2,0,0,COUNTA([1]characters!$A:$A),MATCH(H$1,[1]characters!$2:$2,0)-MATCH($E$1,[1]characters!$2:$2,0)+1),MATCH(H$1,[1]characters!$2:$2,0)-MATCH($E$1,[1]characters!$2:$2,0)+1,FALSE)</f>
        <v>3</v>
      </c>
      <c r="I76" s="10" t="str">
        <f ca="1">VLOOKUP($E76,OFFSET([1]characters!$A$2,0,0,COUNTA([1]characters!$A:$A),MATCH(I$1,[1]characters!$2:$2,0)-MATCH($E$1,[1]characters!$2:$2,0)+1),MATCH(I$1,[1]characters!$2:$2,0)-MATCH($E$1,[1]characters!$2:$2,0)+1,FALSE)</f>
        <v>yellow</v>
      </c>
      <c r="J76" s="10" t="str">
        <f ca="1">VLOOKUP($E76,OFFSET([1]characters!$A$2,0,0,COUNTA([1]characters!$A:$A),MATCH("タイプ",[1]characters!$1:$1,0)-MATCH($E$1,[1]characters!$2:$2,0)+2),MATCH("タイプ",[1]characters!$1:$1,0)-MATCH($E$1,[1]characters!$2:$2,0)+2,FALSE)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6" s="10" t="str">
        <f ca="1">VLOOKUP($E76,OFFSET([1]characters!$A$2,0,0,COUNTA([1]characters!$A:$A),MATCH($K$1,[1]characters!$1:$1,0)-MATCH($E$1,[1]characters!$2:$2,0)+2),MATCH($K$1,[1]characters!$1:$1,0)-MATCH($E$1,[1]characters!$2:$2,0)+2,FALSE)</f>
        <v>ヒューマン</v>
      </c>
      <c r="L76" s="6">
        <v>1</v>
      </c>
      <c r="M76" s="21">
        <v>1683</v>
      </c>
      <c r="N76" s="28">
        <v>0</v>
      </c>
      <c r="O76" s="28">
        <v>0</v>
      </c>
      <c r="P76" s="28">
        <v>0</v>
      </c>
      <c r="Q76" s="28">
        <v>0</v>
      </c>
      <c r="R76" s="28">
        <v>1</v>
      </c>
    </row>
    <row r="77" spans="1:18" ht="21" customHeight="1">
      <c r="A77" s="8" t="str">
        <f t="shared" si="1"/>
        <v>01581</v>
      </c>
      <c r="B77" s="2">
        <v>113</v>
      </c>
      <c r="C77" s="10" t="str">
        <f ca="1">VLOOKUP($B77,OFFSET([2]gachas!$A$2,0,0,COUNTA([2]gachas!$A:$A),MATCH(C$1,[2]gachas!$1:$1,0)-MATCH($B$1,[2]gachas!$1:$1,0)+1),MATCH(C$1,[2]gachas!$1:$1,0)-MATCH($B$1,[2]gachas!$1:$1,0)+1,FALSE)</f>
        <v>ピックアップ02(沖田) 最終日</v>
      </c>
      <c r="D77" s="6">
        <v>0</v>
      </c>
      <c r="E77" s="7">
        <v>158</v>
      </c>
      <c r="F77" s="10" t="str">
        <f ca="1">VLOOKUP($E77,OFFSET([1]characters!$A$2,0,0,COUNTA([1]characters!$A:$A),MATCH(F$1,[1]characters!$2:$2,0)-MATCH($E$1,[1]characters!$2:$2,0)+1),MATCH(F$1,[1]characters!$2:$2,0)-MATCH($E$1,[1]characters!$2:$2,0)+1,FALSE)</f>
        <v>シスター シャルロッテ</v>
      </c>
      <c r="G77" s="10" t="str">
        <f ca="1">VLOOKUP($E77,OFFSET([1]characters!$A$2,0,0,COUNTA([1]characters!$A:$A),MATCH(G$1,[1]characters!$2:$2,0)-MATCH($E$1,[1]characters!$2:$2,0)+1),MATCH(G$1,[1]characters!$2:$2,0)-MATCH($E$1,[1]characters!$2:$2,0)+1,FALSE)</f>
        <v>PremiumW</v>
      </c>
      <c r="H77" s="10">
        <f ca="1">VLOOKUP($E77,OFFSET([1]characters!$A$2,0,0,COUNTA([1]characters!$A:$A),MATCH(H$1,[1]characters!$2:$2,0)-MATCH($E$1,[1]characters!$2:$2,0)+1),MATCH(H$1,[1]characters!$2:$2,0)-MATCH($E$1,[1]characters!$2:$2,0)+1,FALSE)</f>
        <v>3</v>
      </c>
      <c r="I77" s="10" t="str">
        <f ca="1">VLOOKUP($E77,OFFSET([1]characters!$A$2,0,0,COUNTA([1]characters!$A:$A),MATCH(I$1,[1]characters!$2:$2,0)-MATCH($E$1,[1]characters!$2:$2,0)+1),MATCH(I$1,[1]characters!$2:$2,0)-MATCH($E$1,[1]characters!$2:$2,0)+1,FALSE)</f>
        <v>red</v>
      </c>
      <c r="J77" s="10" t="str">
        <f ca="1">VLOOKUP($E77,OFFSET([1]characters!$A$2,0,0,COUNTA([1]characters!$A:$A),MATCH("タイプ",[1]characters!$1:$1,0)-MATCH($E$1,[1]characters!$2:$2,0)+2),MATCH("タイプ",[1]characters!$1:$1,0)-MATCH($E$1,[1]characters!$2:$2,0)+2,FALSE)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77" s="10" t="str">
        <f ca="1">VLOOKUP($E77,OFFSET([1]characters!$A$2,0,0,COUNTA([1]characters!$A:$A),MATCH($K$1,[1]characters!$1:$1,0)-MATCH($E$1,[1]characters!$2:$2,0)+2),MATCH($K$1,[1]characters!$1:$1,0)-MATCH($E$1,[1]characters!$2:$2,0)+2,FALSE)</f>
        <v>ヒューマン</v>
      </c>
      <c r="L77" s="6">
        <v>1</v>
      </c>
      <c r="M77" s="21">
        <v>1683</v>
      </c>
      <c r="N77" s="28">
        <v>0</v>
      </c>
      <c r="O77" s="28">
        <v>0</v>
      </c>
      <c r="P77" s="28">
        <v>0</v>
      </c>
      <c r="Q77" s="28">
        <v>0</v>
      </c>
      <c r="R77" s="28">
        <v>1</v>
      </c>
    </row>
    <row r="78" spans="1:18" ht="21" customHeight="1">
      <c r="A78" s="8" t="str">
        <f t="shared" si="1"/>
        <v>01601</v>
      </c>
      <c r="B78" s="2">
        <v>113</v>
      </c>
      <c r="C78" s="10" t="str">
        <f ca="1">VLOOKUP($B78,OFFSET([2]gachas!$A$2,0,0,COUNTA([2]gachas!$A:$A),MATCH(C$1,[2]gachas!$1:$1,0)-MATCH($B$1,[2]gachas!$1:$1,0)+1),MATCH(C$1,[2]gachas!$1:$1,0)-MATCH($B$1,[2]gachas!$1:$1,0)+1,FALSE)</f>
        <v>ピックアップ02(沖田) 最終日</v>
      </c>
      <c r="D78" s="6">
        <v>0</v>
      </c>
      <c r="E78" s="7">
        <v>160</v>
      </c>
      <c r="F78" s="10" t="str">
        <f ca="1">VLOOKUP($E78,OFFSET([1]characters!$A$2,0,0,COUNTA([1]characters!$A:$A),MATCH(F$1,[1]characters!$2:$2,0)-MATCH($E$1,[1]characters!$2:$2,0)+1),MATCH(F$1,[1]characters!$2:$2,0)-MATCH($E$1,[1]characters!$2:$2,0)+1,FALSE)</f>
        <v>反逆者 クリエ</v>
      </c>
      <c r="G78" s="10" t="str">
        <f ca="1">VLOOKUP($E78,OFFSET([1]characters!$A$2,0,0,COUNTA([1]characters!$A:$A),MATCH(G$1,[1]characters!$2:$2,0)-MATCH($E$1,[1]characters!$2:$2,0)+1),MATCH(G$1,[1]characters!$2:$2,0)-MATCH($E$1,[1]characters!$2:$2,0)+1,FALSE)</f>
        <v>PremiumW</v>
      </c>
      <c r="H78" s="10">
        <f ca="1">VLOOKUP($E78,OFFSET([1]characters!$A$2,0,0,COUNTA([1]characters!$A:$A),MATCH(H$1,[1]characters!$2:$2,0)-MATCH($E$1,[1]characters!$2:$2,0)+1),MATCH(H$1,[1]characters!$2:$2,0)-MATCH($E$1,[1]characters!$2:$2,0)+1,FALSE)</f>
        <v>3</v>
      </c>
      <c r="I78" s="10" t="str">
        <f ca="1">VLOOKUP($E78,OFFSET([1]characters!$A$2,0,0,COUNTA([1]characters!$A:$A),MATCH(I$1,[1]characters!$2:$2,0)-MATCH($E$1,[1]characters!$2:$2,0)+1),MATCH(I$1,[1]characters!$2:$2,0)-MATCH($E$1,[1]characters!$2:$2,0)+1,FALSE)</f>
        <v>green</v>
      </c>
      <c r="J78" s="10" t="str">
        <f ca="1">VLOOKUP($E78,OFFSET([1]characters!$A$2,0,0,COUNTA([1]characters!$A:$A),MATCH("タイプ",[1]characters!$1:$1,0)-MATCH($E$1,[1]characters!$2:$2,0)+2),MATCH("タイプ",[1]characters!$1:$1,0)-MATCH($E$1,[1]characters!$2:$2,0)+2,FALSE)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78" s="10" t="str">
        <f ca="1">VLOOKUP($E78,OFFSET([1]characters!$A$2,0,0,COUNTA([1]characters!$A:$A),MATCH($K$1,[1]characters!$1:$1,0)-MATCH($E$1,[1]characters!$2:$2,0)+2),MATCH($K$1,[1]characters!$1:$1,0)-MATCH($E$1,[1]characters!$2:$2,0)+2,FALSE)</f>
        <v>ヒューマン</v>
      </c>
      <c r="L78" s="6">
        <v>1</v>
      </c>
      <c r="M78" s="21">
        <v>1683</v>
      </c>
      <c r="N78" s="28">
        <v>0</v>
      </c>
      <c r="O78" s="28">
        <v>0</v>
      </c>
      <c r="P78" s="28">
        <v>0</v>
      </c>
      <c r="Q78" s="28">
        <v>0</v>
      </c>
      <c r="R78" s="28">
        <v>1</v>
      </c>
    </row>
    <row r="79" spans="1:18" ht="21" customHeight="1">
      <c r="A79" s="8" t="str">
        <f t="shared" si="1"/>
        <v>01621</v>
      </c>
      <c r="B79" s="2">
        <v>113</v>
      </c>
      <c r="C79" s="10" t="str">
        <f ca="1">VLOOKUP($B79,OFFSET([2]gachas!$A$2,0,0,COUNTA([2]gachas!$A:$A),MATCH(C$1,[2]gachas!$1:$1,0)-MATCH($B$1,[2]gachas!$1:$1,0)+1),MATCH(C$1,[2]gachas!$1:$1,0)-MATCH($B$1,[2]gachas!$1:$1,0)+1,FALSE)</f>
        <v>ピックアップ02(沖田) 最終日</v>
      </c>
      <c r="D79" s="6">
        <v>0</v>
      </c>
      <c r="E79" s="7">
        <v>162</v>
      </c>
      <c r="F79" s="10" t="str">
        <f ca="1">VLOOKUP($E79,OFFSET([1]characters!$A$2,0,0,COUNTA([1]characters!$A:$A),MATCH(F$1,[1]characters!$2:$2,0)-MATCH($E$1,[1]characters!$2:$2,0)+1),MATCH(F$1,[1]characters!$2:$2,0)-MATCH($E$1,[1]characters!$2:$2,0)+1,FALSE)</f>
        <v>狂女 クララ</v>
      </c>
      <c r="G79" s="10" t="str">
        <f ca="1">VLOOKUP($E79,OFFSET([1]characters!$A$2,0,0,COUNTA([1]characters!$A:$A),MATCH(G$1,[1]characters!$2:$2,0)-MATCH($E$1,[1]characters!$2:$2,0)+1),MATCH(G$1,[1]characters!$2:$2,0)-MATCH($E$1,[1]characters!$2:$2,0)+1,FALSE)</f>
        <v>PremiumW</v>
      </c>
      <c r="H79" s="10">
        <f ca="1">VLOOKUP($E79,OFFSET([1]characters!$A$2,0,0,COUNTA([1]characters!$A:$A),MATCH(H$1,[1]characters!$2:$2,0)-MATCH($E$1,[1]characters!$2:$2,0)+1),MATCH(H$1,[1]characters!$2:$2,0)-MATCH($E$1,[1]characters!$2:$2,0)+1,FALSE)</f>
        <v>3</v>
      </c>
      <c r="I79" s="10" t="str">
        <f ca="1">VLOOKUP($E79,OFFSET([1]characters!$A$2,0,0,COUNTA([1]characters!$A:$A),MATCH(I$1,[1]characters!$2:$2,0)-MATCH($E$1,[1]characters!$2:$2,0)+1),MATCH(I$1,[1]characters!$2:$2,0)-MATCH($E$1,[1]characters!$2:$2,0)+1,FALSE)</f>
        <v>blue</v>
      </c>
      <c r="J79" s="10" t="str">
        <f ca="1">VLOOKUP($E79,OFFSET([1]characters!$A$2,0,0,COUNTA([1]characters!$A:$A),MATCH("タイプ",[1]characters!$1:$1,0)-MATCH($E$1,[1]characters!$2:$2,0)+2),MATCH("タイプ",[1]characters!$1:$1,0)-MATCH($E$1,[1]characters!$2:$2,0)+2,FALSE)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79" s="10" t="str">
        <f ca="1">VLOOKUP($E79,OFFSET([1]characters!$A$2,0,0,COUNTA([1]characters!$A:$A),MATCH($K$1,[1]characters!$1:$1,0)-MATCH($E$1,[1]characters!$2:$2,0)+2),MATCH($K$1,[1]characters!$1:$1,0)-MATCH($E$1,[1]characters!$2:$2,0)+2,FALSE)</f>
        <v>ヒューマン</v>
      </c>
      <c r="L79" s="6">
        <v>1</v>
      </c>
      <c r="M79" s="21">
        <v>1683</v>
      </c>
      <c r="N79" s="28">
        <v>0</v>
      </c>
      <c r="O79" s="28">
        <v>0</v>
      </c>
      <c r="P79" s="28">
        <v>0</v>
      </c>
      <c r="Q79" s="28">
        <v>0</v>
      </c>
      <c r="R79" s="28">
        <v>1</v>
      </c>
    </row>
    <row r="80" spans="1:18" ht="21" customHeight="1">
      <c r="A80" s="8" t="str">
        <f t="shared" si="1"/>
        <v>01641</v>
      </c>
      <c r="B80" s="2">
        <v>113</v>
      </c>
      <c r="C80" s="10" t="str">
        <f ca="1">VLOOKUP($B80,OFFSET([2]gachas!$A$2,0,0,COUNTA([2]gachas!$A:$A),MATCH(C$1,[2]gachas!$1:$1,0)-MATCH($B$1,[2]gachas!$1:$1,0)+1),MATCH(C$1,[2]gachas!$1:$1,0)-MATCH($B$1,[2]gachas!$1:$1,0)+1,FALSE)</f>
        <v>ピックアップ02(沖田) 最終日</v>
      </c>
      <c r="D80" s="6">
        <v>0</v>
      </c>
      <c r="E80" s="7">
        <v>164</v>
      </c>
      <c r="F80" s="10" t="str">
        <f ca="1">VLOOKUP($E80,OFFSET([1]characters!$A$2,0,0,COUNTA([1]characters!$A:$A),MATCH(F$1,[1]characters!$2:$2,0)-MATCH($E$1,[1]characters!$2:$2,0)+1),MATCH(F$1,[1]characters!$2:$2,0)-MATCH($E$1,[1]characters!$2:$2,0)+1,FALSE)</f>
        <v>イブとトモダチ</v>
      </c>
      <c r="G80" s="10" t="str">
        <f ca="1">VLOOKUP($E80,OFFSET([1]characters!$A$2,0,0,COUNTA([1]characters!$A:$A),MATCH(G$1,[1]characters!$2:$2,0)-MATCH($E$1,[1]characters!$2:$2,0)+1),MATCH(G$1,[1]characters!$2:$2,0)-MATCH($E$1,[1]characters!$2:$2,0)+1,FALSE)</f>
        <v>PremiumW</v>
      </c>
      <c r="H80" s="10">
        <f ca="1">VLOOKUP($E80,OFFSET([1]characters!$A$2,0,0,COUNTA([1]characters!$A:$A),MATCH(H$1,[1]characters!$2:$2,0)-MATCH($E$1,[1]characters!$2:$2,0)+1),MATCH(H$1,[1]characters!$2:$2,0)-MATCH($E$1,[1]characters!$2:$2,0)+1,FALSE)</f>
        <v>3</v>
      </c>
      <c r="I80" s="10" t="str">
        <f ca="1">VLOOKUP($E80,OFFSET([1]characters!$A$2,0,0,COUNTA([1]characters!$A:$A),MATCH(I$1,[1]characters!$2:$2,0)-MATCH($E$1,[1]characters!$2:$2,0)+1),MATCH(I$1,[1]characters!$2:$2,0)-MATCH($E$1,[1]characters!$2:$2,0)+1,FALSE)</f>
        <v>yellow</v>
      </c>
      <c r="J80" s="10" t="str">
        <f ca="1">VLOOKUP($E80,OFFSET([1]characters!$A$2,0,0,COUNTA([1]characters!$A:$A),MATCH("タイプ",[1]characters!$1:$1,0)-MATCH($E$1,[1]characters!$2:$2,0)+2),MATCH("タイプ",[1]characters!$1:$1,0)-MATCH($E$1,[1]characters!$2:$2,0)+2,FALSE)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80" s="10" t="str">
        <f ca="1">VLOOKUP($E80,OFFSET([1]characters!$A$2,0,0,COUNTA([1]characters!$A:$A),MATCH($K$1,[1]characters!$1:$1,0)-MATCH($E$1,[1]characters!$2:$2,0)+2),MATCH($K$1,[1]characters!$1:$1,0)-MATCH($E$1,[1]characters!$2:$2,0)+2,FALSE)</f>
        <v>ヒューマン</v>
      </c>
      <c r="L80" s="6">
        <v>1</v>
      </c>
      <c r="M80" s="21">
        <v>1683</v>
      </c>
      <c r="N80" s="28">
        <v>0</v>
      </c>
      <c r="O80" s="28">
        <v>0</v>
      </c>
      <c r="P80" s="28">
        <v>0</v>
      </c>
      <c r="Q80" s="28">
        <v>0</v>
      </c>
      <c r="R80" s="28">
        <v>1</v>
      </c>
    </row>
    <row r="81" spans="1:18" ht="21" customHeight="1">
      <c r="A81" s="8" t="str">
        <f t="shared" si="1"/>
        <v>01661</v>
      </c>
      <c r="B81" s="2">
        <v>113</v>
      </c>
      <c r="C81" s="10" t="str">
        <f ca="1">VLOOKUP($B81,OFFSET([2]gachas!$A$2,0,0,COUNTA([2]gachas!$A:$A),MATCH(C$1,[2]gachas!$1:$1,0)-MATCH($B$1,[2]gachas!$1:$1,0)+1),MATCH(C$1,[2]gachas!$1:$1,0)-MATCH($B$1,[2]gachas!$1:$1,0)+1,FALSE)</f>
        <v>ピックアップ02(沖田) 最終日</v>
      </c>
      <c r="D81" s="6">
        <v>0</v>
      </c>
      <c r="E81" s="7">
        <v>166</v>
      </c>
      <c r="F81" s="10" t="str">
        <f ca="1">VLOOKUP($E81,OFFSET([1]characters!$A$2,0,0,COUNTA([1]characters!$A:$A),MATCH(F$1,[1]characters!$2:$2,0)-MATCH($E$1,[1]characters!$2:$2,0)+1),MATCH(F$1,[1]characters!$2:$2,0)-MATCH($E$1,[1]characters!$2:$2,0)+1,FALSE)</f>
        <v>ベリアル</v>
      </c>
      <c r="G81" s="10" t="str">
        <f ca="1">VLOOKUP($E81,OFFSET([1]characters!$A$2,0,0,COUNTA([1]characters!$A:$A),MATCH(G$1,[1]characters!$2:$2,0)-MATCH($E$1,[1]characters!$2:$2,0)+1),MATCH(G$1,[1]characters!$2:$2,0)-MATCH($E$1,[1]characters!$2:$2,0)+1,FALSE)</f>
        <v>PremiumN</v>
      </c>
      <c r="H81" s="10">
        <f ca="1">VLOOKUP($E81,OFFSET([1]characters!$A$2,0,0,COUNTA([1]characters!$A:$A),MATCH(H$1,[1]characters!$2:$2,0)-MATCH($E$1,[1]characters!$2:$2,0)+1),MATCH(H$1,[1]characters!$2:$2,0)-MATCH($E$1,[1]characters!$2:$2,0)+1,FALSE)</f>
        <v>3</v>
      </c>
      <c r="I81" s="10" t="str">
        <f ca="1">VLOOKUP($E81,OFFSET([1]characters!$A$2,0,0,COUNTA([1]characters!$A:$A),MATCH(I$1,[1]characters!$2:$2,0)-MATCH($E$1,[1]characters!$2:$2,0)+1),MATCH(I$1,[1]characters!$2:$2,0)-MATCH($E$1,[1]characters!$2:$2,0)+1,FALSE)</f>
        <v>red</v>
      </c>
      <c r="J81" s="10" t="str">
        <f ca="1">VLOOKUP($E81,OFFSET([1]characters!$A$2,0,0,COUNTA([1]characters!$A:$A),MATCH("タイプ",[1]characters!$1:$1,0)-MATCH($E$1,[1]characters!$2:$2,0)+2),MATCH("タイプ",[1]characters!$1:$1,0)-MATCH($E$1,[1]characters!$2:$2,0)+2,FALSE)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1" s="10" t="str">
        <f ca="1">VLOOKUP($E81,OFFSET([1]characters!$A$2,0,0,COUNTA([1]characters!$A:$A),MATCH($K$1,[1]characters!$1:$1,0)-MATCH($E$1,[1]characters!$2:$2,0)+2),MATCH($K$1,[1]characters!$1:$1,0)-MATCH($E$1,[1]characters!$2:$2,0)+2,FALSE)</f>
        <v>ゴッド</v>
      </c>
      <c r="L81" s="6">
        <v>1</v>
      </c>
      <c r="M81" s="6">
        <v>1722</v>
      </c>
      <c r="N81" s="28">
        <v>0</v>
      </c>
      <c r="O81" s="28">
        <v>0</v>
      </c>
      <c r="P81" s="28">
        <v>0</v>
      </c>
      <c r="Q81" s="28">
        <v>0</v>
      </c>
      <c r="R81" s="28">
        <v>1</v>
      </c>
    </row>
    <row r="82" spans="1:18" ht="21" customHeight="1">
      <c r="A82" s="8" t="str">
        <f t="shared" si="1"/>
        <v>01691</v>
      </c>
      <c r="B82" s="2">
        <v>113</v>
      </c>
      <c r="C82" s="10" t="str">
        <f ca="1">VLOOKUP($B82,OFFSET([2]gachas!$A$2,0,0,COUNTA([2]gachas!$A:$A),MATCH(C$1,[2]gachas!$1:$1,0)-MATCH($B$1,[2]gachas!$1:$1,0)+1),MATCH(C$1,[2]gachas!$1:$1,0)-MATCH($B$1,[2]gachas!$1:$1,0)+1,FALSE)</f>
        <v>ピックアップ02(沖田) 最終日</v>
      </c>
      <c r="D82" s="6">
        <v>0</v>
      </c>
      <c r="E82" s="7">
        <v>169</v>
      </c>
      <c r="F82" s="10" t="str">
        <f ca="1">VLOOKUP($E82,OFFSET([1]characters!$A$2,0,0,COUNTA([1]characters!$A:$A),MATCH(F$1,[1]characters!$2:$2,0)-MATCH($E$1,[1]characters!$2:$2,0)+1),MATCH(F$1,[1]characters!$2:$2,0)-MATCH($E$1,[1]characters!$2:$2,0)+1,FALSE)</f>
        <v>オセ</v>
      </c>
      <c r="G82" s="10" t="str">
        <f ca="1">VLOOKUP($E82,OFFSET([1]characters!$A$2,0,0,COUNTA([1]characters!$A:$A),MATCH(G$1,[1]characters!$2:$2,0)-MATCH($E$1,[1]characters!$2:$2,0)+1),MATCH(G$1,[1]characters!$2:$2,0)-MATCH($E$1,[1]characters!$2:$2,0)+1,FALSE)</f>
        <v>PremiumN</v>
      </c>
      <c r="H82" s="10">
        <f ca="1">VLOOKUP($E82,OFFSET([1]characters!$A$2,0,0,COUNTA([1]characters!$A:$A),MATCH(H$1,[1]characters!$2:$2,0)-MATCH($E$1,[1]characters!$2:$2,0)+1),MATCH(H$1,[1]characters!$2:$2,0)-MATCH($E$1,[1]characters!$2:$2,0)+1,FALSE)</f>
        <v>3</v>
      </c>
      <c r="I82" s="10" t="str">
        <f ca="1">VLOOKUP($E82,OFFSET([1]characters!$A$2,0,0,COUNTA([1]characters!$A:$A),MATCH(I$1,[1]characters!$2:$2,0)-MATCH($E$1,[1]characters!$2:$2,0)+1),MATCH(I$1,[1]characters!$2:$2,0)-MATCH($E$1,[1]characters!$2:$2,0)+1,FALSE)</f>
        <v>green</v>
      </c>
      <c r="J82" s="10" t="str">
        <f ca="1">VLOOKUP($E82,OFFSET([1]characters!$A$2,0,0,COUNTA([1]characters!$A:$A),MATCH("タイプ",[1]characters!$1:$1,0)-MATCH($E$1,[1]characters!$2:$2,0)+2),MATCH("タイプ",[1]characters!$1:$1,0)-MATCH($E$1,[1]characters!$2:$2,0)+2,FALSE)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2" s="10" t="str">
        <f ca="1">VLOOKUP($E82,OFFSET([1]characters!$A$2,0,0,COUNTA([1]characters!$A:$A),MATCH($K$1,[1]characters!$1:$1,0)-MATCH($E$1,[1]characters!$2:$2,0)+2),MATCH($K$1,[1]characters!$1:$1,0)-MATCH($E$1,[1]characters!$2:$2,0)+2,FALSE)</f>
        <v>ゴッド</v>
      </c>
      <c r="L82" s="6">
        <v>1</v>
      </c>
      <c r="M82" s="6">
        <v>1722</v>
      </c>
      <c r="N82" s="28">
        <v>0</v>
      </c>
      <c r="O82" s="28">
        <v>0</v>
      </c>
      <c r="P82" s="28">
        <v>0</v>
      </c>
      <c r="Q82" s="28">
        <v>0</v>
      </c>
      <c r="R82" s="28">
        <v>1</v>
      </c>
    </row>
    <row r="83" spans="1:18" ht="21" customHeight="1">
      <c r="A83" s="8" t="str">
        <f t="shared" si="1"/>
        <v>01721</v>
      </c>
      <c r="B83" s="2">
        <v>113</v>
      </c>
      <c r="C83" s="10" t="str">
        <f ca="1">VLOOKUP($B83,OFFSET([2]gachas!$A$2,0,0,COUNTA([2]gachas!$A:$A),MATCH(C$1,[2]gachas!$1:$1,0)-MATCH($B$1,[2]gachas!$1:$1,0)+1),MATCH(C$1,[2]gachas!$1:$1,0)-MATCH($B$1,[2]gachas!$1:$1,0)+1,FALSE)</f>
        <v>ピックアップ02(沖田) 最終日</v>
      </c>
      <c r="D83" s="6">
        <v>0</v>
      </c>
      <c r="E83" s="7">
        <v>172</v>
      </c>
      <c r="F83" s="10" t="str">
        <f ca="1">VLOOKUP($E83,OFFSET([1]characters!$A$2,0,0,COUNTA([1]characters!$A:$A),MATCH(F$1,[1]characters!$2:$2,0)-MATCH($E$1,[1]characters!$2:$2,0)+1),MATCH(F$1,[1]characters!$2:$2,0)-MATCH($E$1,[1]characters!$2:$2,0)+1,FALSE)</f>
        <v>フォルネウス</v>
      </c>
      <c r="G83" s="10" t="str">
        <f ca="1">VLOOKUP($E83,OFFSET([1]characters!$A$2,0,0,COUNTA([1]characters!$A:$A),MATCH(G$1,[1]characters!$2:$2,0)-MATCH($E$1,[1]characters!$2:$2,0)+1),MATCH(G$1,[1]characters!$2:$2,0)-MATCH($E$1,[1]characters!$2:$2,0)+1,FALSE)</f>
        <v>PremiumN</v>
      </c>
      <c r="H83" s="10">
        <f ca="1">VLOOKUP($E83,OFFSET([1]characters!$A$2,0,0,COUNTA([1]characters!$A:$A),MATCH(H$1,[1]characters!$2:$2,0)-MATCH($E$1,[1]characters!$2:$2,0)+1),MATCH(H$1,[1]characters!$2:$2,0)-MATCH($E$1,[1]characters!$2:$2,0)+1,FALSE)</f>
        <v>3</v>
      </c>
      <c r="I83" s="10" t="str">
        <f ca="1">VLOOKUP($E83,OFFSET([1]characters!$A$2,0,0,COUNTA([1]characters!$A:$A),MATCH(I$1,[1]characters!$2:$2,0)-MATCH($E$1,[1]characters!$2:$2,0)+1),MATCH(I$1,[1]characters!$2:$2,0)-MATCH($E$1,[1]characters!$2:$2,0)+1,FALSE)</f>
        <v>blue</v>
      </c>
      <c r="J83" s="10" t="str">
        <f ca="1">VLOOKUP($E83,OFFSET([1]characters!$A$2,0,0,COUNTA([1]characters!$A:$A),MATCH("タイプ",[1]characters!$1:$1,0)-MATCH($E$1,[1]characters!$2:$2,0)+2),MATCH("タイプ",[1]characters!$1:$1,0)-MATCH($E$1,[1]characters!$2:$2,0)+2,FALSE)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3" s="10" t="str">
        <f ca="1">VLOOKUP($E83,OFFSET([1]characters!$A$2,0,0,COUNTA([1]characters!$A:$A),MATCH($K$1,[1]characters!$1:$1,0)-MATCH($E$1,[1]characters!$2:$2,0)+2),MATCH($K$1,[1]characters!$1:$1,0)-MATCH($E$1,[1]characters!$2:$2,0)+2,FALSE)</f>
        <v>ゴッド</v>
      </c>
      <c r="L83" s="6">
        <v>1</v>
      </c>
      <c r="M83" s="6">
        <v>1722</v>
      </c>
      <c r="N83" s="28">
        <v>0</v>
      </c>
      <c r="O83" s="28">
        <v>0</v>
      </c>
      <c r="P83" s="28">
        <v>0</v>
      </c>
      <c r="Q83" s="28">
        <v>0</v>
      </c>
      <c r="R83" s="28">
        <v>1</v>
      </c>
    </row>
    <row r="84" spans="1:18" ht="21" customHeight="1">
      <c r="A84" s="8" t="str">
        <f t="shared" si="1"/>
        <v>01751</v>
      </c>
      <c r="B84" s="2">
        <v>113</v>
      </c>
      <c r="C84" s="10" t="str">
        <f ca="1">VLOOKUP($B84,OFFSET([2]gachas!$A$2,0,0,COUNTA([2]gachas!$A:$A),MATCH(C$1,[2]gachas!$1:$1,0)-MATCH($B$1,[2]gachas!$1:$1,0)+1),MATCH(C$1,[2]gachas!$1:$1,0)-MATCH($B$1,[2]gachas!$1:$1,0)+1,FALSE)</f>
        <v>ピックアップ02(沖田) 最終日</v>
      </c>
      <c r="D84" s="6">
        <v>0</v>
      </c>
      <c r="E84" s="7">
        <v>175</v>
      </c>
      <c r="F84" s="10" t="str">
        <f ca="1">VLOOKUP($E84,OFFSET([1]characters!$A$2,0,0,COUNTA([1]characters!$A:$A),MATCH(F$1,[1]characters!$2:$2,0)-MATCH($E$1,[1]characters!$2:$2,0)+1),MATCH(F$1,[1]characters!$2:$2,0)-MATCH($E$1,[1]characters!$2:$2,0)+1,FALSE)</f>
        <v>バフォメット</v>
      </c>
      <c r="G84" s="10" t="str">
        <f ca="1">VLOOKUP($E84,OFFSET([1]characters!$A$2,0,0,COUNTA([1]characters!$A:$A),MATCH(G$1,[1]characters!$2:$2,0)-MATCH($E$1,[1]characters!$2:$2,0)+1),MATCH(G$1,[1]characters!$2:$2,0)-MATCH($E$1,[1]characters!$2:$2,0)+1,FALSE)</f>
        <v>PremiumN</v>
      </c>
      <c r="H84" s="10">
        <f ca="1">VLOOKUP($E84,OFFSET([1]characters!$A$2,0,0,COUNTA([1]characters!$A:$A),MATCH(H$1,[1]characters!$2:$2,0)-MATCH($E$1,[1]characters!$2:$2,0)+1),MATCH(H$1,[1]characters!$2:$2,0)-MATCH($E$1,[1]characters!$2:$2,0)+1,FALSE)</f>
        <v>3</v>
      </c>
      <c r="I84" s="10" t="str">
        <f ca="1">VLOOKUP($E84,OFFSET([1]characters!$A$2,0,0,COUNTA([1]characters!$A:$A),MATCH(I$1,[1]characters!$2:$2,0)-MATCH($E$1,[1]characters!$2:$2,0)+1),MATCH(I$1,[1]characters!$2:$2,0)-MATCH($E$1,[1]characters!$2:$2,0)+1,FALSE)</f>
        <v>yellow</v>
      </c>
      <c r="J84" s="10" t="str">
        <f ca="1">VLOOKUP($E84,OFFSET([1]characters!$A$2,0,0,COUNTA([1]characters!$A:$A),MATCH("タイプ",[1]characters!$1:$1,0)-MATCH($E$1,[1]characters!$2:$2,0)+2),MATCH("タイプ",[1]characters!$1:$1,0)-MATCH($E$1,[1]characters!$2:$2,0)+2,FALSE)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4" s="10" t="str">
        <f ca="1">VLOOKUP($E84,OFFSET([1]characters!$A$2,0,0,COUNTA([1]characters!$A:$A),MATCH($K$1,[1]characters!$1:$1,0)-MATCH($E$1,[1]characters!$2:$2,0)+2),MATCH($K$1,[1]characters!$1:$1,0)-MATCH($E$1,[1]characters!$2:$2,0)+2,FALSE)</f>
        <v>ゴッド</v>
      </c>
      <c r="L84" s="6">
        <v>1</v>
      </c>
      <c r="M84" s="6">
        <v>1722</v>
      </c>
      <c r="N84" s="28">
        <v>0</v>
      </c>
      <c r="O84" s="28">
        <v>0</v>
      </c>
      <c r="P84" s="28">
        <v>0</v>
      </c>
      <c r="Q84" s="28">
        <v>0</v>
      </c>
      <c r="R84" s="28">
        <v>1</v>
      </c>
    </row>
    <row r="85" spans="1:18" ht="21" customHeight="1">
      <c r="A85" s="8" t="str">
        <f t="shared" si="1"/>
        <v>01781</v>
      </c>
      <c r="B85" s="2">
        <v>113</v>
      </c>
      <c r="C85" s="10" t="str">
        <f ca="1">VLOOKUP($B85,OFFSET([2]gachas!$A$2,0,0,COUNTA([2]gachas!$A:$A),MATCH(C$1,[2]gachas!$1:$1,0)-MATCH($B$1,[2]gachas!$1:$1,0)+1),MATCH(C$1,[2]gachas!$1:$1,0)-MATCH($B$1,[2]gachas!$1:$1,0)+1,FALSE)</f>
        <v>ピックアップ02(沖田) 最終日</v>
      </c>
      <c r="D85" s="6">
        <v>0</v>
      </c>
      <c r="E85" s="7">
        <v>178</v>
      </c>
      <c r="F85" s="10" t="str">
        <f ca="1">VLOOKUP($E85,OFFSET([1]characters!$A$2,0,0,COUNTA([1]characters!$A:$A),MATCH(F$1,[1]characters!$2:$2,0)-MATCH($E$1,[1]characters!$2:$2,0)+1),MATCH(F$1,[1]characters!$2:$2,0)-MATCH($E$1,[1]characters!$2:$2,0)+1,FALSE)</f>
        <v>ケルベロス</v>
      </c>
      <c r="G85" s="10" t="str">
        <f ca="1">VLOOKUP($E85,OFFSET([1]characters!$A$2,0,0,COUNTA([1]characters!$A:$A),MATCH(G$1,[1]characters!$2:$2,0)-MATCH($E$1,[1]characters!$2:$2,0)+1),MATCH(G$1,[1]characters!$2:$2,0)-MATCH($E$1,[1]characters!$2:$2,0)+1,FALSE)</f>
        <v>PremiumN</v>
      </c>
      <c r="H85" s="10">
        <f ca="1">VLOOKUP($E85,OFFSET([1]characters!$A$2,0,0,COUNTA([1]characters!$A:$A),MATCH(H$1,[1]characters!$2:$2,0)-MATCH($E$1,[1]characters!$2:$2,0)+1),MATCH(H$1,[1]characters!$2:$2,0)-MATCH($E$1,[1]characters!$2:$2,0)+1,FALSE)</f>
        <v>3</v>
      </c>
      <c r="I85" s="10" t="str">
        <f ca="1">VLOOKUP($E85,OFFSET([1]characters!$A$2,0,0,COUNTA([1]characters!$A:$A),MATCH(I$1,[1]characters!$2:$2,0)-MATCH($E$1,[1]characters!$2:$2,0)+1),MATCH(I$1,[1]characters!$2:$2,0)-MATCH($E$1,[1]characters!$2:$2,0)+1,FALSE)</f>
        <v>red</v>
      </c>
      <c r="J85" s="10" t="str">
        <f ca="1">VLOOKUP($E85,OFFSET([1]characters!$A$2,0,0,COUNTA([1]characters!$A:$A),MATCH("タイプ",[1]characters!$1:$1,0)-MATCH($E$1,[1]characters!$2:$2,0)+2),MATCH("タイプ",[1]characters!$1:$1,0)-MATCH($E$1,[1]characters!$2:$2,0)+2,FALSE)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5" s="10" t="str">
        <f ca="1">VLOOKUP($E85,OFFSET([1]characters!$A$2,0,0,COUNTA([1]characters!$A:$A),MATCH($K$1,[1]characters!$1:$1,0)-MATCH($E$1,[1]characters!$2:$2,0)+2),MATCH($K$1,[1]characters!$1:$1,0)-MATCH($E$1,[1]characters!$2:$2,0)+2,FALSE)</f>
        <v>アニマル</v>
      </c>
      <c r="L85" s="6">
        <v>1</v>
      </c>
      <c r="M85" s="6">
        <v>1722</v>
      </c>
      <c r="N85" s="28">
        <v>0</v>
      </c>
      <c r="O85" s="28">
        <v>0</v>
      </c>
      <c r="P85" s="28">
        <v>0</v>
      </c>
      <c r="Q85" s="28">
        <v>0</v>
      </c>
      <c r="R85" s="28">
        <v>1</v>
      </c>
    </row>
    <row r="86" spans="1:18" ht="21" customHeight="1">
      <c r="A86" s="8" t="str">
        <f t="shared" si="1"/>
        <v>01811</v>
      </c>
      <c r="B86" s="2">
        <v>113</v>
      </c>
      <c r="C86" s="10" t="str">
        <f ca="1">VLOOKUP($B86,OFFSET([2]gachas!$A$2,0,0,COUNTA([2]gachas!$A:$A),MATCH(C$1,[2]gachas!$1:$1,0)-MATCH($B$1,[2]gachas!$1:$1,0)+1),MATCH(C$1,[2]gachas!$1:$1,0)-MATCH($B$1,[2]gachas!$1:$1,0)+1,FALSE)</f>
        <v>ピックアップ02(沖田) 最終日</v>
      </c>
      <c r="D86" s="6">
        <v>0</v>
      </c>
      <c r="E86" s="7">
        <v>181</v>
      </c>
      <c r="F86" s="10" t="str">
        <f ca="1">VLOOKUP($E86,OFFSET([1]characters!$A$2,0,0,COUNTA([1]characters!$A:$A),MATCH(F$1,[1]characters!$2:$2,0)-MATCH($E$1,[1]characters!$2:$2,0)+1),MATCH(F$1,[1]characters!$2:$2,0)-MATCH($E$1,[1]characters!$2:$2,0)+1,FALSE)</f>
        <v>ベヒモス</v>
      </c>
      <c r="G86" s="10" t="str">
        <f ca="1">VLOOKUP($E86,OFFSET([1]characters!$A$2,0,0,COUNTA([1]characters!$A:$A),MATCH(G$1,[1]characters!$2:$2,0)-MATCH($E$1,[1]characters!$2:$2,0)+1),MATCH(G$1,[1]characters!$2:$2,0)-MATCH($E$1,[1]characters!$2:$2,0)+1,FALSE)</f>
        <v>PremiumN</v>
      </c>
      <c r="H86" s="10">
        <f ca="1">VLOOKUP($E86,OFFSET([1]characters!$A$2,0,0,COUNTA([1]characters!$A:$A),MATCH(H$1,[1]characters!$2:$2,0)-MATCH($E$1,[1]characters!$2:$2,0)+1),MATCH(H$1,[1]characters!$2:$2,0)-MATCH($E$1,[1]characters!$2:$2,0)+1,FALSE)</f>
        <v>3</v>
      </c>
      <c r="I86" s="10" t="str">
        <f ca="1">VLOOKUP($E86,OFFSET([1]characters!$A$2,0,0,COUNTA([1]characters!$A:$A),MATCH(I$1,[1]characters!$2:$2,0)-MATCH($E$1,[1]characters!$2:$2,0)+1),MATCH(I$1,[1]characters!$2:$2,0)-MATCH($E$1,[1]characters!$2:$2,0)+1,FALSE)</f>
        <v>green</v>
      </c>
      <c r="J86" s="10" t="str">
        <f ca="1">VLOOKUP($E86,OFFSET([1]characters!$A$2,0,0,COUNTA([1]characters!$A:$A),MATCH("タイプ",[1]characters!$1:$1,0)-MATCH($E$1,[1]characters!$2:$2,0)+2),MATCH("タイプ",[1]characters!$1:$1,0)-MATCH($E$1,[1]characters!$2:$2,0)+2,FALSE)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86" s="10" t="str">
        <f ca="1">VLOOKUP($E86,OFFSET([1]characters!$A$2,0,0,COUNTA([1]characters!$A:$A),MATCH($K$1,[1]characters!$1:$1,0)-MATCH($E$1,[1]characters!$2:$2,0)+2),MATCH($K$1,[1]characters!$1:$1,0)-MATCH($E$1,[1]characters!$2:$2,0)+2,FALSE)</f>
        <v>アニマル</v>
      </c>
      <c r="L86" s="6">
        <v>1</v>
      </c>
      <c r="M86" s="6">
        <v>1722</v>
      </c>
      <c r="N86" s="28">
        <v>0</v>
      </c>
      <c r="O86" s="28">
        <v>0</v>
      </c>
      <c r="P86" s="28">
        <v>0</v>
      </c>
      <c r="Q86" s="28">
        <v>0</v>
      </c>
      <c r="R86" s="28">
        <v>1</v>
      </c>
    </row>
    <row r="87" spans="1:18" ht="21" customHeight="1">
      <c r="A87" s="8" t="str">
        <f t="shared" si="1"/>
        <v>01841</v>
      </c>
      <c r="B87" s="2">
        <v>113</v>
      </c>
      <c r="C87" s="10" t="str">
        <f ca="1">VLOOKUP($B87,OFFSET([2]gachas!$A$2,0,0,COUNTA([2]gachas!$A:$A),MATCH(C$1,[2]gachas!$1:$1,0)-MATCH($B$1,[2]gachas!$1:$1,0)+1),MATCH(C$1,[2]gachas!$1:$1,0)-MATCH($B$1,[2]gachas!$1:$1,0)+1,FALSE)</f>
        <v>ピックアップ02(沖田) 最終日</v>
      </c>
      <c r="D87" s="6">
        <v>0</v>
      </c>
      <c r="E87" s="7">
        <v>184</v>
      </c>
      <c r="F87" s="10" t="str">
        <f ca="1">VLOOKUP($E87,OFFSET([1]characters!$A$2,0,0,COUNTA([1]characters!$A:$A),MATCH(F$1,[1]characters!$2:$2,0)-MATCH($E$1,[1]characters!$2:$2,0)+1),MATCH(F$1,[1]characters!$2:$2,0)-MATCH($E$1,[1]characters!$2:$2,0)+1,FALSE)</f>
        <v>クラーケン</v>
      </c>
      <c r="G87" s="10" t="str">
        <f ca="1">VLOOKUP($E87,OFFSET([1]characters!$A$2,0,0,COUNTA([1]characters!$A:$A),MATCH(G$1,[1]characters!$2:$2,0)-MATCH($E$1,[1]characters!$2:$2,0)+1),MATCH(G$1,[1]characters!$2:$2,0)-MATCH($E$1,[1]characters!$2:$2,0)+1,FALSE)</f>
        <v>PremiumN</v>
      </c>
      <c r="H87" s="10">
        <f ca="1">VLOOKUP($E87,OFFSET([1]characters!$A$2,0,0,COUNTA([1]characters!$A:$A),MATCH(H$1,[1]characters!$2:$2,0)-MATCH($E$1,[1]characters!$2:$2,0)+1),MATCH(H$1,[1]characters!$2:$2,0)-MATCH($E$1,[1]characters!$2:$2,0)+1,FALSE)</f>
        <v>3</v>
      </c>
      <c r="I87" s="10" t="str">
        <f ca="1">VLOOKUP($E87,OFFSET([1]characters!$A$2,0,0,COUNTA([1]characters!$A:$A),MATCH(I$1,[1]characters!$2:$2,0)-MATCH($E$1,[1]characters!$2:$2,0)+1),MATCH(I$1,[1]characters!$2:$2,0)-MATCH($E$1,[1]characters!$2:$2,0)+1,FALSE)</f>
        <v>blue</v>
      </c>
      <c r="J87" s="10" t="str">
        <f ca="1">VLOOKUP($E87,OFFSET([1]characters!$A$2,0,0,COUNTA([1]characters!$A:$A),MATCH("タイプ",[1]characters!$1:$1,0)-MATCH($E$1,[1]characters!$2:$2,0)+2),MATCH("タイプ",[1]characters!$1:$1,0)-MATCH($E$1,[1]characters!$2:$2,0)+2,FALSE)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87" s="10" t="str">
        <f ca="1">VLOOKUP($E87,OFFSET([1]characters!$A$2,0,0,COUNTA([1]characters!$A:$A),MATCH($K$1,[1]characters!$1:$1,0)-MATCH($E$1,[1]characters!$2:$2,0)+2),MATCH($K$1,[1]characters!$1:$1,0)-MATCH($E$1,[1]characters!$2:$2,0)+2,FALSE)</f>
        <v>アニマル</v>
      </c>
      <c r="L87" s="6">
        <v>1</v>
      </c>
      <c r="M87" s="6">
        <v>1722</v>
      </c>
      <c r="N87" s="28">
        <v>0</v>
      </c>
      <c r="O87" s="28">
        <v>0</v>
      </c>
      <c r="P87" s="28">
        <v>0</v>
      </c>
      <c r="Q87" s="28">
        <v>0</v>
      </c>
      <c r="R87" s="28">
        <v>1</v>
      </c>
    </row>
    <row r="88" spans="1:18" ht="21" customHeight="1">
      <c r="A88" s="8" t="str">
        <f t="shared" si="1"/>
        <v>01871</v>
      </c>
      <c r="B88" s="2">
        <v>113</v>
      </c>
      <c r="C88" s="10" t="str">
        <f ca="1">VLOOKUP($B88,OFFSET([2]gachas!$A$2,0,0,COUNTA([2]gachas!$A:$A),MATCH(C$1,[2]gachas!$1:$1,0)-MATCH($B$1,[2]gachas!$1:$1,0)+1),MATCH(C$1,[2]gachas!$1:$1,0)-MATCH($B$1,[2]gachas!$1:$1,0)+1,FALSE)</f>
        <v>ピックアップ02(沖田) 最終日</v>
      </c>
      <c r="D88" s="6">
        <v>0</v>
      </c>
      <c r="E88" s="7">
        <v>187</v>
      </c>
      <c r="F88" s="10" t="str">
        <f ca="1">VLOOKUP($E88,OFFSET([1]characters!$A$2,0,0,COUNTA([1]characters!$A:$A),MATCH(F$1,[1]characters!$2:$2,0)-MATCH($E$1,[1]characters!$2:$2,0)+1),MATCH(F$1,[1]characters!$2:$2,0)-MATCH($E$1,[1]characters!$2:$2,0)+1,FALSE)</f>
        <v>ホルス</v>
      </c>
      <c r="G88" s="10" t="str">
        <f ca="1">VLOOKUP($E88,OFFSET([1]characters!$A$2,0,0,COUNTA([1]characters!$A:$A),MATCH(G$1,[1]characters!$2:$2,0)-MATCH($E$1,[1]characters!$2:$2,0)+1),MATCH(G$1,[1]characters!$2:$2,0)-MATCH($E$1,[1]characters!$2:$2,0)+1,FALSE)</f>
        <v>PremiumN</v>
      </c>
      <c r="H88" s="10">
        <f ca="1">VLOOKUP($E88,OFFSET([1]characters!$A$2,0,0,COUNTA([1]characters!$A:$A),MATCH(H$1,[1]characters!$2:$2,0)-MATCH($E$1,[1]characters!$2:$2,0)+1),MATCH(H$1,[1]characters!$2:$2,0)-MATCH($E$1,[1]characters!$2:$2,0)+1,FALSE)</f>
        <v>3</v>
      </c>
      <c r="I88" s="10" t="str">
        <f ca="1">VLOOKUP($E88,OFFSET([1]characters!$A$2,0,0,COUNTA([1]characters!$A:$A),MATCH(I$1,[1]characters!$2:$2,0)-MATCH($E$1,[1]characters!$2:$2,0)+1),MATCH(I$1,[1]characters!$2:$2,0)-MATCH($E$1,[1]characters!$2:$2,0)+1,FALSE)</f>
        <v>yellow</v>
      </c>
      <c r="J88" s="10" t="str">
        <f ca="1">VLOOKUP($E88,OFFSET([1]characters!$A$2,0,0,COUNTA([1]characters!$A:$A),MATCH("タイプ",[1]characters!$1:$1,0)-MATCH($E$1,[1]characters!$2:$2,0)+2),MATCH("タイプ",[1]characters!$1:$1,0)-MATCH($E$1,[1]characters!$2:$2,0)+2,FALSE)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88" s="10" t="str">
        <f ca="1">VLOOKUP($E88,OFFSET([1]characters!$A$2,0,0,COUNTA([1]characters!$A:$A),MATCH($K$1,[1]characters!$1:$1,0)-MATCH($E$1,[1]characters!$2:$2,0)+2),MATCH($K$1,[1]characters!$1:$1,0)-MATCH($E$1,[1]characters!$2:$2,0)+2,FALSE)</f>
        <v>アニマル</v>
      </c>
      <c r="L88" s="6">
        <v>1</v>
      </c>
      <c r="M88" s="6">
        <v>1722</v>
      </c>
      <c r="N88" s="28">
        <v>0</v>
      </c>
      <c r="O88" s="28">
        <v>0</v>
      </c>
      <c r="P88" s="28">
        <v>0</v>
      </c>
      <c r="Q88" s="28">
        <v>0</v>
      </c>
      <c r="R88" s="28">
        <v>1</v>
      </c>
    </row>
    <row r="89" spans="1:18" ht="21" customHeight="1">
      <c r="A89" s="8" t="str">
        <f t="shared" si="1"/>
        <v>01901</v>
      </c>
      <c r="B89" s="2">
        <v>113</v>
      </c>
      <c r="C89" s="10" t="str">
        <f ca="1">VLOOKUP($B89,OFFSET([2]gachas!$A$2,0,0,COUNTA([2]gachas!$A:$A),MATCH(C$1,[2]gachas!$1:$1,0)-MATCH($B$1,[2]gachas!$1:$1,0)+1),MATCH(C$1,[2]gachas!$1:$1,0)-MATCH($B$1,[2]gachas!$1:$1,0)+1,FALSE)</f>
        <v>ピックアップ02(沖田) 最終日</v>
      </c>
      <c r="D89" s="6">
        <v>0</v>
      </c>
      <c r="E89" s="7">
        <v>190</v>
      </c>
      <c r="F89" s="10" t="str">
        <f ca="1">VLOOKUP($E89,OFFSET([1]characters!$A$2,0,0,COUNTA([1]characters!$A:$A),MATCH(F$1,[1]characters!$2:$2,0)-MATCH($E$1,[1]characters!$2:$2,0)+1),MATCH(F$1,[1]characters!$2:$2,0)-MATCH($E$1,[1]characters!$2:$2,0)+1,FALSE)</f>
        <v>卑弥呼</v>
      </c>
      <c r="G89" s="10" t="str">
        <f ca="1">VLOOKUP($E89,OFFSET([1]characters!$A$2,0,0,COUNTA([1]characters!$A:$A),MATCH(G$1,[1]characters!$2:$2,0)-MATCH($E$1,[1]characters!$2:$2,0)+1),MATCH(G$1,[1]characters!$2:$2,0)-MATCH($E$1,[1]characters!$2:$2,0)+1,FALSE)</f>
        <v>PremiumN</v>
      </c>
      <c r="H89" s="10">
        <f ca="1">VLOOKUP($E89,OFFSET([1]characters!$A$2,0,0,COUNTA([1]characters!$A:$A),MATCH(H$1,[1]characters!$2:$2,0)-MATCH($E$1,[1]characters!$2:$2,0)+1),MATCH(H$1,[1]characters!$2:$2,0)-MATCH($E$1,[1]characters!$2:$2,0)+1,FALSE)</f>
        <v>3</v>
      </c>
      <c r="I89" s="10" t="str">
        <f ca="1">VLOOKUP($E89,OFFSET([1]characters!$A$2,0,0,COUNTA([1]characters!$A:$A),MATCH(I$1,[1]characters!$2:$2,0)-MATCH($E$1,[1]characters!$2:$2,0)+1),MATCH(I$1,[1]characters!$2:$2,0)-MATCH($E$1,[1]characters!$2:$2,0)+1,FALSE)</f>
        <v>red</v>
      </c>
      <c r="J89" s="10" t="str">
        <f ca="1">VLOOKUP($E89,OFFSET([1]characters!$A$2,0,0,COUNTA([1]characters!$A:$A),MATCH("タイプ",[1]characters!$1:$1,0)-MATCH($E$1,[1]characters!$2:$2,0)+2),MATCH("タイプ",[1]characters!$1:$1,0)-MATCH($E$1,[1]characters!$2:$2,0)+2,FALSE)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89" s="10" t="str">
        <f ca="1">VLOOKUP($E89,OFFSET([1]characters!$A$2,0,0,COUNTA([1]characters!$A:$A),MATCH($K$1,[1]characters!$1:$1,0)-MATCH($E$1,[1]characters!$2:$2,0)+2),MATCH($K$1,[1]characters!$1:$1,0)-MATCH($E$1,[1]characters!$2:$2,0)+2,FALSE)</f>
        <v>ヒューマン</v>
      </c>
      <c r="L89" s="6">
        <v>1</v>
      </c>
      <c r="M89" s="6">
        <v>1722</v>
      </c>
      <c r="N89" s="28">
        <v>0</v>
      </c>
      <c r="O89" s="28">
        <v>0</v>
      </c>
      <c r="P89" s="28">
        <v>0</v>
      </c>
      <c r="Q89" s="28">
        <v>0</v>
      </c>
      <c r="R89" s="28">
        <v>1</v>
      </c>
    </row>
    <row r="90" spans="1:18" ht="21" customHeight="1">
      <c r="A90" s="8" t="str">
        <f t="shared" si="1"/>
        <v>01931</v>
      </c>
      <c r="B90" s="2">
        <v>113</v>
      </c>
      <c r="C90" s="10" t="str">
        <f ca="1">VLOOKUP($B90,OFFSET([2]gachas!$A$2,0,0,COUNTA([2]gachas!$A:$A),MATCH(C$1,[2]gachas!$1:$1,0)-MATCH($B$1,[2]gachas!$1:$1,0)+1),MATCH(C$1,[2]gachas!$1:$1,0)-MATCH($B$1,[2]gachas!$1:$1,0)+1,FALSE)</f>
        <v>ピックアップ02(沖田) 最終日</v>
      </c>
      <c r="D90" s="6">
        <v>0</v>
      </c>
      <c r="E90" s="7">
        <v>193</v>
      </c>
      <c r="F90" s="10" t="str">
        <f ca="1">VLOOKUP($E90,OFFSET([1]characters!$A$2,0,0,COUNTA([1]characters!$A:$A),MATCH(F$1,[1]characters!$2:$2,0)-MATCH($E$1,[1]characters!$2:$2,0)+1),MATCH(F$1,[1]characters!$2:$2,0)-MATCH($E$1,[1]characters!$2:$2,0)+1,FALSE)</f>
        <v>ロビンフッド</v>
      </c>
      <c r="G90" s="10" t="str">
        <f ca="1">VLOOKUP($E90,OFFSET([1]characters!$A$2,0,0,COUNTA([1]characters!$A:$A),MATCH(G$1,[1]characters!$2:$2,0)-MATCH($E$1,[1]characters!$2:$2,0)+1),MATCH(G$1,[1]characters!$2:$2,0)-MATCH($E$1,[1]characters!$2:$2,0)+1,FALSE)</f>
        <v>PremiumN</v>
      </c>
      <c r="H90" s="10">
        <f ca="1">VLOOKUP($E90,OFFSET([1]characters!$A$2,0,0,COUNTA([1]characters!$A:$A),MATCH(H$1,[1]characters!$2:$2,0)-MATCH($E$1,[1]characters!$2:$2,0)+1),MATCH(H$1,[1]characters!$2:$2,0)-MATCH($E$1,[1]characters!$2:$2,0)+1,FALSE)</f>
        <v>3</v>
      </c>
      <c r="I90" s="10" t="str">
        <f ca="1">VLOOKUP($E90,OFFSET([1]characters!$A$2,0,0,COUNTA([1]characters!$A:$A),MATCH(I$1,[1]characters!$2:$2,0)-MATCH($E$1,[1]characters!$2:$2,0)+1),MATCH(I$1,[1]characters!$2:$2,0)-MATCH($E$1,[1]characters!$2:$2,0)+1,FALSE)</f>
        <v>green</v>
      </c>
      <c r="J90" s="10" t="str">
        <f ca="1">VLOOKUP($E90,OFFSET([1]characters!$A$2,0,0,COUNTA([1]characters!$A:$A),MATCH("タイプ",[1]characters!$1:$1,0)-MATCH($E$1,[1]characters!$2:$2,0)+2),MATCH("タイプ",[1]characters!$1:$1,0)-MATCH($E$1,[1]characters!$2:$2,0)+2,FALSE)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0" s="10" t="str">
        <f ca="1">VLOOKUP($E90,OFFSET([1]characters!$A$2,0,0,COUNTA([1]characters!$A:$A),MATCH($K$1,[1]characters!$1:$1,0)-MATCH($E$1,[1]characters!$2:$2,0)+2),MATCH($K$1,[1]characters!$1:$1,0)-MATCH($E$1,[1]characters!$2:$2,0)+2,FALSE)</f>
        <v>ヒューマン</v>
      </c>
      <c r="L90" s="6">
        <v>1</v>
      </c>
      <c r="M90" s="6">
        <v>1722</v>
      </c>
      <c r="N90" s="28">
        <v>0</v>
      </c>
      <c r="O90" s="28">
        <v>0</v>
      </c>
      <c r="P90" s="28">
        <v>0</v>
      </c>
      <c r="Q90" s="28">
        <v>0</v>
      </c>
      <c r="R90" s="28">
        <v>1</v>
      </c>
    </row>
    <row r="91" spans="1:18" ht="21" customHeight="1">
      <c r="A91" s="8" t="str">
        <f t="shared" si="1"/>
        <v>01961</v>
      </c>
      <c r="B91" s="2">
        <v>113</v>
      </c>
      <c r="C91" s="10" t="str">
        <f ca="1">VLOOKUP($B91,OFFSET([2]gachas!$A$2,0,0,COUNTA([2]gachas!$A:$A),MATCH(C$1,[2]gachas!$1:$1,0)-MATCH($B$1,[2]gachas!$1:$1,0)+1),MATCH(C$1,[2]gachas!$1:$1,0)-MATCH($B$1,[2]gachas!$1:$1,0)+1,FALSE)</f>
        <v>ピックアップ02(沖田) 最終日</v>
      </c>
      <c r="D91" s="6">
        <v>0</v>
      </c>
      <c r="E91" s="7">
        <v>196</v>
      </c>
      <c r="F91" s="10" t="str">
        <f ca="1">VLOOKUP($E91,OFFSET([1]characters!$A$2,0,0,COUNTA([1]characters!$A:$A),MATCH(F$1,[1]characters!$2:$2,0)-MATCH($E$1,[1]characters!$2:$2,0)+1),MATCH(F$1,[1]characters!$2:$2,0)-MATCH($E$1,[1]characters!$2:$2,0)+1,FALSE)</f>
        <v>アキレス</v>
      </c>
      <c r="G91" s="10" t="str">
        <f ca="1">VLOOKUP($E91,OFFSET([1]characters!$A$2,0,0,COUNTA([1]characters!$A:$A),MATCH(G$1,[1]characters!$2:$2,0)-MATCH($E$1,[1]characters!$2:$2,0)+1),MATCH(G$1,[1]characters!$2:$2,0)-MATCH($E$1,[1]characters!$2:$2,0)+1,FALSE)</f>
        <v>PremiumN</v>
      </c>
      <c r="H91" s="10">
        <f ca="1">VLOOKUP($E91,OFFSET([1]characters!$A$2,0,0,COUNTA([1]characters!$A:$A),MATCH(H$1,[1]characters!$2:$2,0)-MATCH($E$1,[1]characters!$2:$2,0)+1),MATCH(H$1,[1]characters!$2:$2,0)-MATCH($E$1,[1]characters!$2:$2,0)+1,FALSE)</f>
        <v>3</v>
      </c>
      <c r="I91" s="10" t="str">
        <f ca="1">VLOOKUP($E91,OFFSET([1]characters!$A$2,0,0,COUNTA([1]characters!$A:$A),MATCH(I$1,[1]characters!$2:$2,0)-MATCH($E$1,[1]characters!$2:$2,0)+1),MATCH(I$1,[1]characters!$2:$2,0)-MATCH($E$1,[1]characters!$2:$2,0)+1,FALSE)</f>
        <v>yellow</v>
      </c>
      <c r="J91" s="10" t="str">
        <f ca="1">VLOOKUP($E91,OFFSET([1]characters!$A$2,0,0,COUNTA([1]characters!$A:$A),MATCH("タイプ",[1]characters!$1:$1,0)-MATCH($E$1,[1]characters!$2:$2,0)+2),MATCH("タイプ",[1]characters!$1:$1,0)-MATCH($E$1,[1]characters!$2:$2,0)+2,FALSE)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1" s="10" t="str">
        <f ca="1">VLOOKUP($E91,OFFSET([1]characters!$A$2,0,0,COUNTA([1]characters!$A:$A),MATCH($K$1,[1]characters!$1:$1,0)-MATCH($E$1,[1]characters!$2:$2,0)+2),MATCH($K$1,[1]characters!$1:$1,0)-MATCH($E$1,[1]characters!$2:$2,0)+2,FALSE)</f>
        <v>ヒューマン</v>
      </c>
      <c r="L91" s="6">
        <v>1</v>
      </c>
      <c r="M91" s="6">
        <v>1722</v>
      </c>
      <c r="N91" s="28">
        <v>0</v>
      </c>
      <c r="O91" s="28">
        <v>0</v>
      </c>
      <c r="P91" s="28">
        <v>0</v>
      </c>
      <c r="Q91" s="28">
        <v>0</v>
      </c>
      <c r="R91" s="28">
        <v>1</v>
      </c>
    </row>
    <row r="92" spans="1:18" ht="21" customHeight="1">
      <c r="A92" s="8" t="str">
        <f t="shared" si="1"/>
        <v>01991</v>
      </c>
      <c r="B92" s="2">
        <v>113</v>
      </c>
      <c r="C92" s="10" t="str">
        <f ca="1">VLOOKUP($B92,OFFSET([2]gachas!$A$2,0,0,COUNTA([2]gachas!$A:$A),MATCH(C$1,[2]gachas!$1:$1,0)-MATCH($B$1,[2]gachas!$1:$1,0)+1),MATCH(C$1,[2]gachas!$1:$1,0)-MATCH($B$1,[2]gachas!$1:$1,0)+1,FALSE)</f>
        <v>ピックアップ02(沖田) 最終日</v>
      </c>
      <c r="D92" s="6">
        <v>0</v>
      </c>
      <c r="E92" s="7">
        <v>199</v>
      </c>
      <c r="F92" s="10" t="str">
        <f ca="1">VLOOKUP($E92,OFFSET([1]characters!$A$2,0,0,COUNTA([1]characters!$A:$A),MATCH(F$1,[1]characters!$2:$2,0)-MATCH($E$1,[1]characters!$2:$2,0)+1),MATCH(F$1,[1]characters!$2:$2,0)-MATCH($E$1,[1]characters!$2:$2,0)+1,FALSE)</f>
        <v>ジークフリート</v>
      </c>
      <c r="G92" s="10" t="str">
        <f ca="1">VLOOKUP($E92,OFFSET([1]characters!$A$2,0,0,COUNTA([1]characters!$A:$A),MATCH(G$1,[1]characters!$2:$2,0)-MATCH($E$1,[1]characters!$2:$2,0)+1),MATCH(G$1,[1]characters!$2:$2,0)-MATCH($E$1,[1]characters!$2:$2,0)+1,FALSE)</f>
        <v>PremiumN</v>
      </c>
      <c r="H92" s="10">
        <f ca="1">VLOOKUP($E92,OFFSET([1]characters!$A$2,0,0,COUNTA([1]characters!$A:$A),MATCH(H$1,[1]characters!$2:$2,0)-MATCH($E$1,[1]characters!$2:$2,0)+1),MATCH(H$1,[1]characters!$2:$2,0)-MATCH($E$1,[1]characters!$2:$2,0)+1,FALSE)</f>
        <v>3</v>
      </c>
      <c r="I92" s="10" t="str">
        <f ca="1">VLOOKUP($E92,OFFSET([1]characters!$A$2,0,0,COUNTA([1]characters!$A:$A),MATCH(I$1,[1]characters!$2:$2,0)-MATCH($E$1,[1]characters!$2:$2,0)+1),MATCH(I$1,[1]characters!$2:$2,0)-MATCH($E$1,[1]characters!$2:$2,0)+1,FALSE)</f>
        <v>blue</v>
      </c>
      <c r="J92" s="10" t="str">
        <f ca="1">VLOOKUP($E92,OFFSET([1]characters!$A$2,0,0,COUNTA([1]characters!$A:$A),MATCH("タイプ",[1]characters!$1:$1,0)-MATCH($E$1,[1]characters!$2:$2,0)+2),MATCH("タイプ",[1]characters!$1:$1,0)-MATCH($E$1,[1]characters!$2:$2,0)+2,FALSE)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2" s="10" t="str">
        <f ca="1">VLOOKUP($E92,OFFSET([1]characters!$A$2,0,0,COUNTA([1]characters!$A:$A),MATCH($K$1,[1]characters!$1:$1,0)-MATCH($E$1,[1]characters!$2:$2,0)+2),MATCH($K$1,[1]characters!$1:$1,0)-MATCH($E$1,[1]characters!$2:$2,0)+2,FALSE)</f>
        <v>ヒューマン</v>
      </c>
      <c r="L92" s="6">
        <v>1</v>
      </c>
      <c r="M92" s="6">
        <v>1722</v>
      </c>
      <c r="N92" s="28">
        <v>0</v>
      </c>
      <c r="O92" s="28">
        <v>0</v>
      </c>
      <c r="P92" s="28">
        <v>0</v>
      </c>
      <c r="Q92" s="28">
        <v>0</v>
      </c>
      <c r="R92" s="28">
        <v>1</v>
      </c>
    </row>
    <row r="93" spans="1:18" ht="21" customHeight="1">
      <c r="A93" s="8" t="str">
        <f t="shared" si="1"/>
        <v>02021</v>
      </c>
      <c r="B93" s="2">
        <v>113</v>
      </c>
      <c r="C93" s="10" t="str">
        <f ca="1">VLOOKUP($B93,OFFSET([2]gachas!$A$2,0,0,COUNTA([2]gachas!$A:$A),MATCH(C$1,[2]gachas!$1:$1,0)-MATCH($B$1,[2]gachas!$1:$1,0)+1),MATCH(C$1,[2]gachas!$1:$1,0)-MATCH($B$1,[2]gachas!$1:$1,0)+1,FALSE)</f>
        <v>ピックアップ02(沖田) 最終日</v>
      </c>
      <c r="D93" s="6">
        <v>0</v>
      </c>
      <c r="E93" s="7">
        <v>202</v>
      </c>
      <c r="F93" s="10" t="str">
        <f ca="1">VLOOKUP($E93,OFFSET([1]characters!$A$2,0,0,COUNTA([1]characters!$A:$A),MATCH(F$1,[1]characters!$2:$2,0)-MATCH($E$1,[1]characters!$2:$2,0)+1),MATCH(F$1,[1]characters!$2:$2,0)-MATCH($E$1,[1]characters!$2:$2,0)+1,FALSE)</f>
        <v>プロメテウス</v>
      </c>
      <c r="G93" s="10" t="str">
        <f ca="1">VLOOKUP($E93,OFFSET([1]characters!$A$2,0,0,COUNTA([1]characters!$A:$A),MATCH(G$1,[1]characters!$2:$2,0)-MATCH($E$1,[1]characters!$2:$2,0)+1),MATCH(G$1,[1]characters!$2:$2,0)-MATCH($E$1,[1]characters!$2:$2,0)+1,FALSE)</f>
        <v>PremiumN</v>
      </c>
      <c r="H93" s="10">
        <f ca="1">VLOOKUP($E93,OFFSET([1]characters!$A$2,0,0,COUNTA([1]characters!$A:$A),MATCH(H$1,[1]characters!$2:$2,0)-MATCH($E$1,[1]characters!$2:$2,0)+1),MATCH(H$1,[1]characters!$2:$2,0)-MATCH($E$1,[1]characters!$2:$2,0)+1,FALSE)</f>
        <v>3</v>
      </c>
      <c r="I93" s="10" t="str">
        <f ca="1">VLOOKUP($E93,OFFSET([1]characters!$A$2,0,0,COUNTA([1]characters!$A:$A),MATCH(I$1,[1]characters!$2:$2,0)-MATCH($E$1,[1]characters!$2:$2,0)+1),MATCH(I$1,[1]characters!$2:$2,0)-MATCH($E$1,[1]characters!$2:$2,0)+1,FALSE)</f>
        <v>red</v>
      </c>
      <c r="J93" s="10" t="str">
        <f ca="1">VLOOKUP($E93,OFFSET([1]characters!$A$2,0,0,COUNTA([1]characters!$A:$A),MATCH("タイプ",[1]characters!$1:$1,0)-MATCH($E$1,[1]characters!$2:$2,0)+2),MATCH("タイプ",[1]characters!$1:$1,0)-MATCH($E$1,[1]characters!$2:$2,0)+2,FALSE)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3" s="10" t="str">
        <f ca="1">VLOOKUP($E93,OFFSET([1]characters!$A$2,0,0,COUNTA([1]characters!$A:$A),MATCH($K$1,[1]characters!$1:$1,0)-MATCH($E$1,[1]characters!$2:$2,0)+2),MATCH($K$1,[1]characters!$1:$1,0)-MATCH($E$1,[1]characters!$2:$2,0)+2,FALSE)</f>
        <v>ゴッド</v>
      </c>
      <c r="L93" s="6">
        <v>1</v>
      </c>
      <c r="M93" s="6">
        <v>1722</v>
      </c>
      <c r="N93" s="28">
        <v>0</v>
      </c>
      <c r="O93" s="28">
        <v>0</v>
      </c>
      <c r="P93" s="28">
        <v>0</v>
      </c>
      <c r="Q93" s="28">
        <v>0</v>
      </c>
      <c r="R93" s="28">
        <v>1</v>
      </c>
    </row>
    <row r="94" spans="1:18" ht="21" customHeight="1">
      <c r="A94" s="8" t="str">
        <f t="shared" si="1"/>
        <v>02051</v>
      </c>
      <c r="B94" s="2">
        <v>113</v>
      </c>
      <c r="C94" s="10" t="str">
        <f ca="1">VLOOKUP($B94,OFFSET([2]gachas!$A$2,0,0,COUNTA([2]gachas!$A:$A),MATCH(C$1,[2]gachas!$1:$1,0)-MATCH($B$1,[2]gachas!$1:$1,0)+1),MATCH(C$1,[2]gachas!$1:$1,0)-MATCH($B$1,[2]gachas!$1:$1,0)+1,FALSE)</f>
        <v>ピックアップ02(沖田) 最終日</v>
      </c>
      <c r="D94" s="6">
        <v>0</v>
      </c>
      <c r="E94" s="7">
        <v>205</v>
      </c>
      <c r="F94" s="10" t="str">
        <f ca="1">VLOOKUP($E94,OFFSET([1]characters!$A$2,0,0,COUNTA([1]characters!$A:$A),MATCH(F$1,[1]characters!$2:$2,0)-MATCH($E$1,[1]characters!$2:$2,0)+1),MATCH(F$1,[1]characters!$2:$2,0)-MATCH($E$1,[1]characters!$2:$2,0)+1,FALSE)</f>
        <v>アフロディーテ</v>
      </c>
      <c r="G94" s="10" t="str">
        <f ca="1">VLOOKUP($E94,OFFSET([1]characters!$A$2,0,0,COUNTA([1]characters!$A:$A),MATCH(G$1,[1]characters!$2:$2,0)-MATCH($E$1,[1]characters!$2:$2,0)+1),MATCH(G$1,[1]characters!$2:$2,0)-MATCH($E$1,[1]characters!$2:$2,0)+1,FALSE)</f>
        <v>PremiumN</v>
      </c>
      <c r="H94" s="10">
        <f ca="1">VLOOKUP($E94,OFFSET([1]characters!$A$2,0,0,COUNTA([1]characters!$A:$A),MATCH(H$1,[1]characters!$2:$2,0)-MATCH($E$1,[1]characters!$2:$2,0)+1),MATCH(H$1,[1]characters!$2:$2,0)-MATCH($E$1,[1]characters!$2:$2,0)+1,FALSE)</f>
        <v>3</v>
      </c>
      <c r="I94" s="10" t="str">
        <f ca="1">VLOOKUP($E94,OFFSET([1]characters!$A$2,0,0,COUNTA([1]characters!$A:$A),MATCH(I$1,[1]characters!$2:$2,0)-MATCH($E$1,[1]characters!$2:$2,0)+1),MATCH(I$1,[1]characters!$2:$2,0)-MATCH($E$1,[1]characters!$2:$2,0)+1,FALSE)</f>
        <v>green</v>
      </c>
      <c r="J94" s="10" t="str">
        <f ca="1">VLOOKUP($E94,OFFSET([1]characters!$A$2,0,0,COUNTA([1]characters!$A:$A),MATCH("タイプ",[1]characters!$1:$1,0)-MATCH($E$1,[1]characters!$2:$2,0)+2),MATCH("タイプ",[1]characters!$1:$1,0)-MATCH($E$1,[1]characters!$2:$2,0)+2,FALSE)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4" s="10" t="str">
        <f ca="1">VLOOKUP($E94,OFFSET([1]characters!$A$2,0,0,COUNTA([1]characters!$A:$A),MATCH($K$1,[1]characters!$1:$1,0)-MATCH($E$1,[1]characters!$2:$2,0)+2),MATCH($K$1,[1]characters!$1:$1,0)-MATCH($E$1,[1]characters!$2:$2,0)+2,FALSE)</f>
        <v>ゴッド</v>
      </c>
      <c r="L94" s="6">
        <v>1</v>
      </c>
      <c r="M94" s="6">
        <v>1722</v>
      </c>
      <c r="N94" s="28">
        <v>0</v>
      </c>
      <c r="O94" s="28">
        <v>0</v>
      </c>
      <c r="P94" s="28">
        <v>0</v>
      </c>
      <c r="Q94" s="28">
        <v>0</v>
      </c>
      <c r="R94" s="28">
        <v>1</v>
      </c>
    </row>
    <row r="95" spans="1:18" ht="21" customHeight="1">
      <c r="A95" s="8" t="str">
        <f t="shared" si="1"/>
        <v>02081</v>
      </c>
      <c r="B95" s="2">
        <v>113</v>
      </c>
      <c r="C95" s="10" t="str">
        <f ca="1">VLOOKUP($B95,OFFSET([2]gachas!$A$2,0,0,COUNTA([2]gachas!$A:$A),MATCH(C$1,[2]gachas!$1:$1,0)-MATCH($B$1,[2]gachas!$1:$1,0)+1),MATCH(C$1,[2]gachas!$1:$1,0)-MATCH($B$1,[2]gachas!$1:$1,0)+1,FALSE)</f>
        <v>ピックアップ02(沖田) 最終日</v>
      </c>
      <c r="D95" s="6">
        <v>0</v>
      </c>
      <c r="E95" s="7">
        <v>208</v>
      </c>
      <c r="F95" s="10" t="str">
        <f ca="1">VLOOKUP($E95,OFFSET([1]characters!$A$2,0,0,COUNTA([1]characters!$A:$A),MATCH(F$1,[1]characters!$2:$2,0)-MATCH($E$1,[1]characters!$2:$2,0)+1),MATCH(F$1,[1]characters!$2:$2,0)-MATCH($E$1,[1]characters!$2:$2,0)+1,FALSE)</f>
        <v>テティス</v>
      </c>
      <c r="G95" s="10" t="str">
        <f ca="1">VLOOKUP($E95,OFFSET([1]characters!$A$2,0,0,COUNTA([1]characters!$A:$A),MATCH(G$1,[1]characters!$2:$2,0)-MATCH($E$1,[1]characters!$2:$2,0)+1),MATCH(G$1,[1]characters!$2:$2,0)-MATCH($E$1,[1]characters!$2:$2,0)+1,FALSE)</f>
        <v>PremiumN</v>
      </c>
      <c r="H95" s="10">
        <f ca="1">VLOOKUP($E95,OFFSET([1]characters!$A$2,0,0,COUNTA([1]characters!$A:$A),MATCH(H$1,[1]characters!$2:$2,0)-MATCH($E$1,[1]characters!$2:$2,0)+1),MATCH(H$1,[1]characters!$2:$2,0)-MATCH($E$1,[1]characters!$2:$2,0)+1,FALSE)</f>
        <v>3</v>
      </c>
      <c r="I95" s="10" t="str">
        <f ca="1">VLOOKUP($E95,OFFSET([1]characters!$A$2,0,0,COUNTA([1]characters!$A:$A),MATCH(I$1,[1]characters!$2:$2,0)-MATCH($E$1,[1]characters!$2:$2,0)+1),MATCH(I$1,[1]characters!$2:$2,0)-MATCH($E$1,[1]characters!$2:$2,0)+1,FALSE)</f>
        <v>blue</v>
      </c>
      <c r="J95" s="10" t="str">
        <f ca="1">VLOOKUP($E95,OFFSET([1]characters!$A$2,0,0,COUNTA([1]characters!$A:$A),MATCH("タイプ",[1]characters!$1:$1,0)-MATCH($E$1,[1]characters!$2:$2,0)+2),MATCH("タイプ",[1]characters!$1:$1,0)-MATCH($E$1,[1]characters!$2:$2,0)+2,FALSE)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5" s="10" t="str">
        <f ca="1">VLOOKUP($E95,OFFSET([1]characters!$A$2,0,0,COUNTA([1]characters!$A:$A),MATCH($K$1,[1]characters!$1:$1,0)-MATCH($E$1,[1]characters!$2:$2,0)+2),MATCH($K$1,[1]characters!$1:$1,0)-MATCH($E$1,[1]characters!$2:$2,0)+2,FALSE)</f>
        <v>ゴッド</v>
      </c>
      <c r="L95" s="6">
        <v>1</v>
      </c>
      <c r="M95" s="6">
        <v>1722</v>
      </c>
      <c r="N95" s="28">
        <v>0</v>
      </c>
      <c r="O95" s="28">
        <v>0</v>
      </c>
      <c r="P95" s="28">
        <v>0</v>
      </c>
      <c r="Q95" s="28">
        <v>0</v>
      </c>
      <c r="R95" s="28">
        <v>1</v>
      </c>
    </row>
    <row r="96" spans="1:18" ht="21" customHeight="1">
      <c r="A96" s="8" t="str">
        <f t="shared" si="1"/>
        <v>02111</v>
      </c>
      <c r="B96" s="2">
        <v>113</v>
      </c>
      <c r="C96" s="10" t="str">
        <f ca="1">VLOOKUP($B96,OFFSET([2]gachas!$A$2,0,0,COUNTA([2]gachas!$A:$A),MATCH(C$1,[2]gachas!$1:$1,0)-MATCH($B$1,[2]gachas!$1:$1,0)+1),MATCH(C$1,[2]gachas!$1:$1,0)-MATCH($B$1,[2]gachas!$1:$1,0)+1,FALSE)</f>
        <v>ピックアップ02(沖田) 最終日</v>
      </c>
      <c r="D96" s="6">
        <v>0</v>
      </c>
      <c r="E96" s="7">
        <v>211</v>
      </c>
      <c r="F96" s="10" t="str">
        <f ca="1">VLOOKUP($E96,OFFSET([1]characters!$A$2,0,0,COUNTA([1]characters!$A:$A),MATCH(F$1,[1]characters!$2:$2,0)-MATCH($E$1,[1]characters!$2:$2,0)+1),MATCH(F$1,[1]characters!$2:$2,0)-MATCH($E$1,[1]characters!$2:$2,0)+1,FALSE)</f>
        <v>アストライアー</v>
      </c>
      <c r="G96" s="10" t="str">
        <f ca="1">VLOOKUP($E96,OFFSET([1]characters!$A$2,0,0,COUNTA([1]characters!$A:$A),MATCH(G$1,[1]characters!$2:$2,0)-MATCH($E$1,[1]characters!$2:$2,0)+1),MATCH(G$1,[1]characters!$2:$2,0)-MATCH($E$1,[1]characters!$2:$2,0)+1,FALSE)</f>
        <v>PremiumN</v>
      </c>
      <c r="H96" s="10">
        <f ca="1">VLOOKUP($E96,OFFSET([1]characters!$A$2,0,0,COUNTA([1]characters!$A:$A),MATCH(H$1,[1]characters!$2:$2,0)-MATCH($E$1,[1]characters!$2:$2,0)+1),MATCH(H$1,[1]characters!$2:$2,0)-MATCH($E$1,[1]characters!$2:$2,0)+1,FALSE)</f>
        <v>3</v>
      </c>
      <c r="I96" s="10" t="str">
        <f ca="1">VLOOKUP($E96,OFFSET([1]characters!$A$2,0,0,COUNTA([1]characters!$A:$A),MATCH(I$1,[1]characters!$2:$2,0)-MATCH($E$1,[1]characters!$2:$2,0)+1),MATCH(I$1,[1]characters!$2:$2,0)-MATCH($E$1,[1]characters!$2:$2,0)+1,FALSE)</f>
        <v>yellow</v>
      </c>
      <c r="J96" s="10" t="str">
        <f ca="1">VLOOKUP($E96,OFFSET([1]characters!$A$2,0,0,COUNTA([1]characters!$A:$A),MATCH("タイプ",[1]characters!$1:$1,0)-MATCH($E$1,[1]characters!$2:$2,0)+2),MATCH("タイプ",[1]characters!$1:$1,0)-MATCH($E$1,[1]characters!$2:$2,0)+2,FALSE)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6" s="10" t="str">
        <f ca="1">VLOOKUP($E96,OFFSET([1]characters!$A$2,0,0,COUNTA([1]characters!$A:$A),MATCH($K$1,[1]characters!$1:$1,0)-MATCH($E$1,[1]characters!$2:$2,0)+2),MATCH($K$1,[1]characters!$1:$1,0)-MATCH($E$1,[1]characters!$2:$2,0)+2,FALSE)</f>
        <v>ゴッド</v>
      </c>
      <c r="L96" s="6">
        <v>1</v>
      </c>
      <c r="M96" s="6">
        <v>1722</v>
      </c>
      <c r="N96" s="28">
        <v>0</v>
      </c>
      <c r="O96" s="28">
        <v>0</v>
      </c>
      <c r="P96" s="28">
        <v>0</v>
      </c>
      <c r="Q96" s="28">
        <v>0</v>
      </c>
      <c r="R96" s="28">
        <v>1</v>
      </c>
    </row>
    <row r="97" spans="1:18" ht="21" customHeight="1">
      <c r="A97" s="8" t="str">
        <f t="shared" si="1"/>
        <v>02141</v>
      </c>
      <c r="B97" s="2">
        <v>113</v>
      </c>
      <c r="C97" s="10" t="str">
        <f ca="1">VLOOKUP($B97,OFFSET([2]gachas!$A$2,0,0,COUNTA([2]gachas!$A:$A),MATCH(C$1,[2]gachas!$1:$1,0)-MATCH($B$1,[2]gachas!$1:$1,0)+1),MATCH(C$1,[2]gachas!$1:$1,0)-MATCH($B$1,[2]gachas!$1:$1,0)+1,FALSE)</f>
        <v>ピックアップ02(沖田) 最終日</v>
      </c>
      <c r="D97" s="6">
        <v>0</v>
      </c>
      <c r="E97" s="7">
        <v>214</v>
      </c>
      <c r="F97" s="10" t="str">
        <f ca="1">VLOOKUP($E97,OFFSET([1]characters!$A$2,0,0,COUNTA([1]characters!$A:$A),MATCH(F$1,[1]characters!$2:$2,0)-MATCH($E$1,[1]characters!$2:$2,0)+1),MATCH(F$1,[1]characters!$2:$2,0)-MATCH($E$1,[1]characters!$2:$2,0)+1,FALSE)</f>
        <v>アズラエル</v>
      </c>
      <c r="G97" s="10" t="str">
        <f ca="1">VLOOKUP($E97,OFFSET([1]characters!$A$2,0,0,COUNTA([1]characters!$A:$A),MATCH(G$1,[1]characters!$2:$2,0)-MATCH($E$1,[1]characters!$2:$2,0)+1),MATCH(G$1,[1]characters!$2:$2,0)-MATCH($E$1,[1]characters!$2:$2,0)+1,FALSE)</f>
        <v>PremiumN</v>
      </c>
      <c r="H97" s="10">
        <f ca="1">VLOOKUP($E97,OFFSET([1]characters!$A$2,0,0,COUNTA([1]characters!$A:$A),MATCH(H$1,[1]characters!$2:$2,0)-MATCH($E$1,[1]characters!$2:$2,0)+1),MATCH(H$1,[1]characters!$2:$2,0)-MATCH($E$1,[1]characters!$2:$2,0)+1,FALSE)</f>
        <v>3</v>
      </c>
      <c r="I97" s="10" t="str">
        <f ca="1">VLOOKUP($E97,OFFSET([1]characters!$A$2,0,0,COUNTA([1]characters!$A:$A),MATCH(I$1,[1]characters!$2:$2,0)-MATCH($E$1,[1]characters!$2:$2,0)+1),MATCH(I$1,[1]characters!$2:$2,0)-MATCH($E$1,[1]characters!$2:$2,0)+1,FALSE)</f>
        <v>red</v>
      </c>
      <c r="J97" s="10" t="str">
        <f ca="1">VLOOKUP($E97,OFFSET([1]characters!$A$2,0,0,COUNTA([1]characters!$A:$A),MATCH("タイプ",[1]characters!$1:$1,0)-MATCH($E$1,[1]characters!$2:$2,0)+2),MATCH("タイプ",[1]characters!$1:$1,0)-MATCH($E$1,[1]characters!$2:$2,0)+2,FALSE)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7" s="10" t="str">
        <f ca="1">VLOOKUP($E97,OFFSET([1]characters!$A$2,0,0,COUNTA([1]characters!$A:$A),MATCH($K$1,[1]characters!$1:$1,0)-MATCH($E$1,[1]characters!$2:$2,0)+2),MATCH($K$1,[1]characters!$1:$1,0)-MATCH($E$1,[1]characters!$2:$2,0)+2,FALSE)</f>
        <v>ゴッド</v>
      </c>
      <c r="L97" s="6">
        <v>1</v>
      </c>
      <c r="M97" s="6">
        <v>1722</v>
      </c>
      <c r="N97" s="28">
        <v>0</v>
      </c>
      <c r="O97" s="28">
        <v>0</v>
      </c>
      <c r="P97" s="28">
        <v>0</v>
      </c>
      <c r="Q97" s="28">
        <v>0</v>
      </c>
      <c r="R97" s="28">
        <v>1</v>
      </c>
    </row>
    <row r="98" spans="1:18" ht="21" customHeight="1">
      <c r="A98" s="8" t="str">
        <f t="shared" si="1"/>
        <v>02171</v>
      </c>
      <c r="B98" s="2">
        <v>113</v>
      </c>
      <c r="C98" s="10" t="str">
        <f ca="1">VLOOKUP($B98,OFFSET([2]gachas!$A$2,0,0,COUNTA([2]gachas!$A:$A),MATCH(C$1,[2]gachas!$1:$1,0)-MATCH($B$1,[2]gachas!$1:$1,0)+1),MATCH(C$1,[2]gachas!$1:$1,0)-MATCH($B$1,[2]gachas!$1:$1,0)+1,FALSE)</f>
        <v>ピックアップ02(沖田) 最終日</v>
      </c>
      <c r="D98" s="6">
        <v>0</v>
      </c>
      <c r="E98" s="7">
        <v>217</v>
      </c>
      <c r="F98" s="10" t="str">
        <f ca="1">VLOOKUP($E98,OFFSET([1]characters!$A$2,0,0,COUNTA([1]characters!$A:$A),MATCH(F$1,[1]characters!$2:$2,0)-MATCH($E$1,[1]characters!$2:$2,0)+1),MATCH(F$1,[1]characters!$2:$2,0)-MATCH($E$1,[1]characters!$2:$2,0)+1,FALSE)</f>
        <v>ケツァクアトル</v>
      </c>
      <c r="G98" s="10" t="str">
        <f ca="1">VLOOKUP($E98,OFFSET([1]characters!$A$2,0,0,COUNTA([1]characters!$A:$A),MATCH(G$1,[1]characters!$2:$2,0)-MATCH($E$1,[1]characters!$2:$2,0)+1),MATCH(G$1,[1]characters!$2:$2,0)-MATCH($E$1,[1]characters!$2:$2,0)+1,FALSE)</f>
        <v>PremiumN</v>
      </c>
      <c r="H98" s="10">
        <f ca="1">VLOOKUP($E98,OFFSET([1]characters!$A$2,0,0,COUNTA([1]characters!$A:$A),MATCH(H$1,[1]characters!$2:$2,0)-MATCH($E$1,[1]characters!$2:$2,0)+1),MATCH(H$1,[1]characters!$2:$2,0)-MATCH($E$1,[1]characters!$2:$2,0)+1,FALSE)</f>
        <v>3</v>
      </c>
      <c r="I98" s="10" t="str">
        <f ca="1">VLOOKUP($E98,OFFSET([1]characters!$A$2,0,0,COUNTA([1]characters!$A:$A),MATCH(I$1,[1]characters!$2:$2,0)-MATCH($E$1,[1]characters!$2:$2,0)+1),MATCH(I$1,[1]characters!$2:$2,0)-MATCH($E$1,[1]characters!$2:$2,0)+1,FALSE)</f>
        <v>green</v>
      </c>
      <c r="J98" s="10" t="str">
        <f ca="1">VLOOKUP($E98,OFFSET([1]characters!$A$2,0,0,COUNTA([1]characters!$A:$A),MATCH("タイプ",[1]characters!$1:$1,0)-MATCH($E$1,[1]characters!$2:$2,0)+2),MATCH("タイプ",[1]characters!$1:$1,0)-MATCH($E$1,[1]characters!$2:$2,0)+2,FALSE)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98" s="10" t="str">
        <f ca="1">VLOOKUP($E98,OFFSET([1]characters!$A$2,0,0,COUNTA([1]characters!$A:$A),MATCH($K$1,[1]characters!$1:$1,0)-MATCH($E$1,[1]characters!$2:$2,0)+2),MATCH($K$1,[1]characters!$1:$1,0)-MATCH($E$1,[1]characters!$2:$2,0)+2,FALSE)</f>
        <v>ドラゴン</v>
      </c>
      <c r="L98" s="6">
        <v>1</v>
      </c>
      <c r="M98" s="6">
        <v>1722</v>
      </c>
      <c r="N98" s="28">
        <v>0</v>
      </c>
      <c r="O98" s="28">
        <v>0</v>
      </c>
      <c r="P98" s="28">
        <v>0</v>
      </c>
      <c r="Q98" s="28">
        <v>0</v>
      </c>
      <c r="R98" s="28">
        <v>1</v>
      </c>
    </row>
    <row r="99" spans="1:18" ht="21" customHeight="1">
      <c r="A99" s="8" t="str">
        <f t="shared" si="1"/>
        <v>02201</v>
      </c>
      <c r="B99" s="2">
        <v>113</v>
      </c>
      <c r="C99" s="10" t="str">
        <f ca="1">VLOOKUP($B99,OFFSET([2]gachas!$A$2,0,0,COUNTA([2]gachas!$A:$A),MATCH(C$1,[2]gachas!$1:$1,0)-MATCH($B$1,[2]gachas!$1:$1,0)+1),MATCH(C$1,[2]gachas!$1:$1,0)-MATCH($B$1,[2]gachas!$1:$1,0)+1,FALSE)</f>
        <v>ピックアップ02(沖田) 最終日</v>
      </c>
      <c r="D99" s="6">
        <v>0</v>
      </c>
      <c r="E99" s="7">
        <v>220</v>
      </c>
      <c r="F99" s="10" t="str">
        <f ca="1">VLOOKUP($E99,OFFSET([1]characters!$A$2,0,0,COUNTA([1]characters!$A:$A),MATCH(F$1,[1]characters!$2:$2,0)-MATCH($E$1,[1]characters!$2:$2,0)+1),MATCH(F$1,[1]characters!$2:$2,0)-MATCH($E$1,[1]characters!$2:$2,0)+1,FALSE)</f>
        <v>ルキフグス</v>
      </c>
      <c r="G99" s="10" t="str">
        <f ca="1">VLOOKUP($E99,OFFSET([1]characters!$A$2,0,0,COUNTA([1]characters!$A:$A),MATCH(G$1,[1]characters!$2:$2,0)-MATCH($E$1,[1]characters!$2:$2,0)+1),MATCH(G$1,[1]characters!$2:$2,0)-MATCH($E$1,[1]characters!$2:$2,0)+1,FALSE)</f>
        <v>PremiumN</v>
      </c>
      <c r="H99" s="10">
        <f ca="1">VLOOKUP($E99,OFFSET([1]characters!$A$2,0,0,COUNTA([1]characters!$A:$A),MATCH(H$1,[1]characters!$2:$2,0)-MATCH($E$1,[1]characters!$2:$2,0)+1),MATCH(H$1,[1]characters!$2:$2,0)-MATCH($E$1,[1]characters!$2:$2,0)+1,FALSE)</f>
        <v>3</v>
      </c>
      <c r="I99" s="10" t="str">
        <f ca="1">VLOOKUP($E99,OFFSET([1]characters!$A$2,0,0,COUNTA([1]characters!$A:$A),MATCH(I$1,[1]characters!$2:$2,0)-MATCH($E$1,[1]characters!$2:$2,0)+1),MATCH(I$1,[1]characters!$2:$2,0)-MATCH($E$1,[1]characters!$2:$2,0)+1,FALSE)</f>
        <v>blue</v>
      </c>
      <c r="J99" s="10" t="str">
        <f ca="1">VLOOKUP($E99,OFFSET([1]characters!$A$2,0,0,COUNTA([1]characters!$A:$A),MATCH("タイプ",[1]characters!$1:$1,0)-MATCH($E$1,[1]characters!$2:$2,0)+2),MATCH("タイプ",[1]characters!$1:$1,0)-MATCH($E$1,[1]characters!$2:$2,0)+2,FALSE)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99" s="10" t="str">
        <f ca="1">VLOOKUP($E99,OFFSET([1]characters!$A$2,0,0,COUNTA([1]characters!$A:$A),MATCH($K$1,[1]characters!$1:$1,0)-MATCH($E$1,[1]characters!$2:$2,0)+2),MATCH($K$1,[1]characters!$1:$1,0)-MATCH($E$1,[1]characters!$2:$2,0)+2,FALSE)</f>
        <v>ゴッド</v>
      </c>
      <c r="L99" s="6">
        <v>1</v>
      </c>
      <c r="M99" s="6">
        <v>1722</v>
      </c>
      <c r="N99" s="28">
        <v>0</v>
      </c>
      <c r="O99" s="28">
        <v>0</v>
      </c>
      <c r="P99" s="28">
        <v>0</v>
      </c>
      <c r="Q99" s="28">
        <v>0</v>
      </c>
      <c r="R99" s="28">
        <v>1</v>
      </c>
    </row>
    <row r="100" spans="1:18" ht="21" customHeight="1">
      <c r="A100" s="8" t="str">
        <f t="shared" si="1"/>
        <v>02231</v>
      </c>
      <c r="B100" s="2">
        <v>113</v>
      </c>
      <c r="C100" s="10" t="str">
        <f ca="1">VLOOKUP($B100,OFFSET([2]gachas!$A$2,0,0,COUNTA([2]gachas!$A:$A),MATCH(C$1,[2]gachas!$1:$1,0)-MATCH($B$1,[2]gachas!$1:$1,0)+1),MATCH(C$1,[2]gachas!$1:$1,0)-MATCH($B$1,[2]gachas!$1:$1,0)+1,FALSE)</f>
        <v>ピックアップ02(沖田) 最終日</v>
      </c>
      <c r="D100" s="6">
        <v>0</v>
      </c>
      <c r="E100" s="7">
        <v>223</v>
      </c>
      <c r="F100" s="10" t="str">
        <f ca="1">VLOOKUP($E100,OFFSET([1]characters!$A$2,0,0,COUNTA([1]characters!$A:$A),MATCH(F$1,[1]characters!$2:$2,0)-MATCH($E$1,[1]characters!$2:$2,0)+1),MATCH(F$1,[1]characters!$2:$2,0)-MATCH($E$1,[1]characters!$2:$2,0)+1,FALSE)</f>
        <v>ヘラクレス</v>
      </c>
      <c r="G100" s="10" t="str">
        <f ca="1">VLOOKUP($E100,OFFSET([1]characters!$A$2,0,0,COUNTA([1]characters!$A:$A),MATCH(G$1,[1]characters!$2:$2,0)-MATCH($E$1,[1]characters!$2:$2,0)+1),MATCH(G$1,[1]characters!$2:$2,0)-MATCH($E$1,[1]characters!$2:$2,0)+1,FALSE)</f>
        <v>PremiumN</v>
      </c>
      <c r="H100" s="10">
        <f ca="1">VLOOKUP($E100,OFFSET([1]characters!$A$2,0,0,COUNTA([1]characters!$A:$A),MATCH(H$1,[1]characters!$2:$2,0)-MATCH($E$1,[1]characters!$2:$2,0)+1),MATCH(H$1,[1]characters!$2:$2,0)-MATCH($E$1,[1]characters!$2:$2,0)+1,FALSE)</f>
        <v>3</v>
      </c>
      <c r="I100" s="10" t="str">
        <f ca="1">VLOOKUP($E100,OFFSET([1]characters!$A$2,0,0,COUNTA([1]characters!$A:$A),MATCH(I$1,[1]characters!$2:$2,0)-MATCH($E$1,[1]characters!$2:$2,0)+1),MATCH(I$1,[1]characters!$2:$2,0)-MATCH($E$1,[1]characters!$2:$2,0)+1,FALSE)</f>
        <v>yellow</v>
      </c>
      <c r="J100" s="10" t="str">
        <f ca="1">VLOOKUP($E100,OFFSET([1]characters!$A$2,0,0,COUNTA([1]characters!$A:$A),MATCH("タイプ",[1]characters!$1:$1,0)-MATCH($E$1,[1]characters!$2:$2,0)+2),MATCH("タイプ",[1]characters!$1:$1,0)-MATCH($E$1,[1]characters!$2:$2,0)+2,FALSE)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0" s="10" t="str">
        <f ca="1">VLOOKUP($E100,OFFSET([1]characters!$A$2,0,0,COUNTA([1]characters!$A:$A),MATCH($K$1,[1]characters!$1:$1,0)-MATCH($E$1,[1]characters!$2:$2,0)+2),MATCH($K$1,[1]characters!$1:$1,0)-MATCH($E$1,[1]characters!$2:$2,0)+2,FALSE)</f>
        <v>ヒューマン</v>
      </c>
      <c r="L100" s="6">
        <v>1</v>
      </c>
      <c r="M100" s="6">
        <v>1722</v>
      </c>
      <c r="N100" s="28">
        <v>0</v>
      </c>
      <c r="O100" s="28">
        <v>0</v>
      </c>
      <c r="P100" s="28">
        <v>0</v>
      </c>
      <c r="Q100" s="28">
        <v>0</v>
      </c>
      <c r="R100" s="28">
        <v>1</v>
      </c>
    </row>
    <row r="101" spans="1:18" ht="21" customHeight="1">
      <c r="A101" s="8" t="str">
        <f t="shared" si="1"/>
        <v>02261</v>
      </c>
      <c r="B101" s="2">
        <v>113</v>
      </c>
      <c r="C101" s="10" t="str">
        <f ca="1">VLOOKUP($B101,OFFSET([2]gachas!$A$2,0,0,COUNTA([2]gachas!$A:$A),MATCH(C$1,[2]gachas!$1:$1,0)-MATCH($B$1,[2]gachas!$1:$1,0)+1),MATCH(C$1,[2]gachas!$1:$1,0)-MATCH($B$1,[2]gachas!$1:$1,0)+1,FALSE)</f>
        <v>ピックアップ02(沖田) 最終日</v>
      </c>
      <c r="D101" s="6">
        <v>0</v>
      </c>
      <c r="E101" s="7">
        <v>226</v>
      </c>
      <c r="F101" s="10" t="str">
        <f ca="1">VLOOKUP($E101,OFFSET([1]characters!$A$2,0,0,COUNTA([1]characters!$A:$A),MATCH(F$1,[1]characters!$2:$2,0)-MATCH($E$1,[1]characters!$2:$2,0)+1),MATCH(F$1,[1]characters!$2:$2,0)-MATCH($E$1,[1]characters!$2:$2,0)+1,FALSE)</f>
        <v>アレス</v>
      </c>
      <c r="G101" s="10" t="str">
        <f ca="1">VLOOKUP($E101,OFFSET([1]characters!$A$2,0,0,COUNTA([1]characters!$A:$A),MATCH(G$1,[1]characters!$2:$2,0)-MATCH($E$1,[1]characters!$2:$2,0)+1),MATCH(G$1,[1]characters!$2:$2,0)-MATCH($E$1,[1]characters!$2:$2,0)+1,FALSE)</f>
        <v>PremiumS</v>
      </c>
      <c r="H101" s="10">
        <f ca="1">VLOOKUP($E101,OFFSET([1]characters!$A$2,0,0,COUNTA([1]characters!$A:$A),MATCH(H$1,[1]characters!$2:$2,0)-MATCH($E$1,[1]characters!$2:$2,0)+1),MATCH(H$1,[1]characters!$2:$2,0)-MATCH($E$1,[1]characters!$2:$2,0)+1,FALSE)</f>
        <v>3</v>
      </c>
      <c r="I101" s="10" t="str">
        <f ca="1">VLOOKUP($E101,OFFSET([1]characters!$A$2,0,0,COUNTA([1]characters!$A:$A),MATCH(I$1,[1]characters!$2:$2,0)-MATCH($E$1,[1]characters!$2:$2,0)+1),MATCH(I$1,[1]characters!$2:$2,0)-MATCH($E$1,[1]characters!$2:$2,0)+1,FALSE)</f>
        <v>red</v>
      </c>
      <c r="J101" s="10" t="str">
        <f ca="1">VLOOKUP($E101,OFFSET([1]characters!$A$2,0,0,COUNTA([1]characters!$A:$A),MATCH("タイプ",[1]characters!$1:$1,0)-MATCH($E$1,[1]characters!$2:$2,0)+2),MATCH("タイプ",[1]characters!$1:$1,0)-MATCH($E$1,[1]characters!$2:$2,0)+2,FALSE)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1" s="10" t="str">
        <f ca="1">VLOOKUP($E101,OFFSET([1]characters!$A$2,0,0,COUNTA([1]characters!$A:$A),MATCH($K$1,[1]characters!$1:$1,0)-MATCH($E$1,[1]characters!$2:$2,0)+2),MATCH($K$1,[1]characters!$1:$1,0)-MATCH($E$1,[1]characters!$2:$2,0)+2,FALSE)</f>
        <v>ゴッド</v>
      </c>
      <c r="L101" s="6">
        <v>1</v>
      </c>
      <c r="M101" s="6">
        <v>929</v>
      </c>
      <c r="N101" s="28">
        <v>0</v>
      </c>
      <c r="O101" s="28">
        <v>0</v>
      </c>
      <c r="P101" s="28">
        <v>0</v>
      </c>
      <c r="Q101" s="28">
        <v>0</v>
      </c>
      <c r="R101" s="28">
        <v>1</v>
      </c>
    </row>
    <row r="102" spans="1:18" ht="21" customHeight="1">
      <c r="A102" s="8" t="str">
        <f t="shared" si="1"/>
        <v>02321</v>
      </c>
      <c r="B102" s="2">
        <v>113</v>
      </c>
      <c r="C102" s="10" t="str">
        <f ca="1">VLOOKUP($B102,OFFSET([2]gachas!$A$2,0,0,COUNTA([2]gachas!$A:$A),MATCH(C$1,[2]gachas!$1:$1,0)-MATCH($B$1,[2]gachas!$1:$1,0)+1),MATCH(C$1,[2]gachas!$1:$1,0)-MATCH($B$1,[2]gachas!$1:$1,0)+1,FALSE)</f>
        <v>ピックアップ02(沖田) 最終日</v>
      </c>
      <c r="D102" s="6">
        <v>0</v>
      </c>
      <c r="E102" s="7">
        <v>232</v>
      </c>
      <c r="F102" s="10" t="str">
        <f ca="1">VLOOKUP($E102,OFFSET([1]characters!$A$2,0,0,COUNTA([1]characters!$A:$A),MATCH(F$1,[1]characters!$2:$2,0)-MATCH($E$1,[1]characters!$2:$2,0)+1),MATCH(F$1,[1]characters!$2:$2,0)-MATCH($E$1,[1]characters!$2:$2,0)+1,FALSE)</f>
        <v>パーシヴァル</v>
      </c>
      <c r="G102" s="10" t="str">
        <f ca="1">VLOOKUP($E102,OFFSET([1]characters!$A$2,0,0,COUNTA([1]characters!$A:$A),MATCH(G$1,[1]characters!$2:$2,0)-MATCH($E$1,[1]characters!$2:$2,0)+1),MATCH(G$1,[1]characters!$2:$2,0)-MATCH($E$1,[1]characters!$2:$2,0)+1,FALSE)</f>
        <v>PremiumS</v>
      </c>
      <c r="H102" s="10">
        <f ca="1">VLOOKUP($E102,OFFSET([1]characters!$A$2,0,0,COUNTA([1]characters!$A:$A),MATCH(H$1,[1]characters!$2:$2,0)-MATCH($E$1,[1]characters!$2:$2,0)+1),MATCH(H$1,[1]characters!$2:$2,0)-MATCH($E$1,[1]characters!$2:$2,0)+1,FALSE)</f>
        <v>3</v>
      </c>
      <c r="I102" s="10" t="str">
        <f ca="1">VLOOKUP($E102,OFFSET([1]characters!$A$2,0,0,COUNTA([1]characters!$A:$A),MATCH(I$1,[1]characters!$2:$2,0)-MATCH($E$1,[1]characters!$2:$2,0)+1),MATCH(I$1,[1]characters!$2:$2,0)-MATCH($E$1,[1]characters!$2:$2,0)+1,FALSE)</f>
        <v>blue</v>
      </c>
      <c r="J102" s="10" t="str">
        <f ca="1">VLOOKUP($E102,OFFSET([1]characters!$A$2,0,0,COUNTA([1]characters!$A:$A),MATCH("タイプ",[1]characters!$1:$1,0)-MATCH($E$1,[1]characters!$2:$2,0)+2),MATCH("タイプ",[1]characters!$1:$1,0)-MATCH($E$1,[1]characters!$2:$2,0)+2,FALSE)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02" s="10" t="str">
        <f ca="1">VLOOKUP($E102,OFFSET([1]characters!$A$2,0,0,COUNTA([1]characters!$A:$A),MATCH($K$1,[1]characters!$1:$1,0)-MATCH($E$1,[1]characters!$2:$2,0)+2),MATCH($K$1,[1]characters!$1:$1,0)-MATCH($E$1,[1]characters!$2:$2,0)+2,FALSE)</f>
        <v>ヒューマン</v>
      </c>
      <c r="L102" s="6">
        <v>1</v>
      </c>
      <c r="M102" s="6">
        <v>929</v>
      </c>
      <c r="N102" s="28">
        <v>0</v>
      </c>
      <c r="O102" s="28">
        <v>0</v>
      </c>
      <c r="P102" s="28">
        <v>0</v>
      </c>
      <c r="Q102" s="28">
        <v>0</v>
      </c>
      <c r="R102" s="28">
        <v>1</v>
      </c>
    </row>
    <row r="103" spans="1:18" ht="21" customHeight="1">
      <c r="A103" s="8" t="str">
        <f t="shared" si="1"/>
        <v>02351</v>
      </c>
      <c r="B103" s="2">
        <v>113</v>
      </c>
      <c r="C103" s="10" t="str">
        <f ca="1">VLOOKUP($B103,OFFSET([2]gachas!$A$2,0,0,COUNTA([2]gachas!$A:$A),MATCH(C$1,[2]gachas!$1:$1,0)-MATCH($B$1,[2]gachas!$1:$1,0)+1),MATCH(C$1,[2]gachas!$1:$1,0)-MATCH($B$1,[2]gachas!$1:$1,0)+1,FALSE)</f>
        <v>ピックアップ02(沖田) 最終日</v>
      </c>
      <c r="D103" s="6">
        <v>0</v>
      </c>
      <c r="E103" s="7">
        <v>235</v>
      </c>
      <c r="F103" s="10" t="str">
        <f ca="1">VLOOKUP($E103,OFFSET([1]characters!$A$2,0,0,COUNTA([1]characters!$A:$A),MATCH(F$1,[1]characters!$2:$2,0)-MATCH($E$1,[1]characters!$2:$2,0)+1),MATCH(F$1,[1]characters!$2:$2,0)-MATCH($E$1,[1]characters!$2:$2,0)+1,FALSE)</f>
        <v>イザナミ</v>
      </c>
      <c r="G103" s="10" t="str">
        <f ca="1">VLOOKUP($E103,OFFSET([1]characters!$A$2,0,0,COUNTA([1]characters!$A:$A),MATCH(G$1,[1]characters!$2:$2,0)-MATCH($E$1,[1]characters!$2:$2,0)+1),MATCH(G$1,[1]characters!$2:$2,0)-MATCH($E$1,[1]characters!$2:$2,0)+1,FALSE)</f>
        <v>PremiumS</v>
      </c>
      <c r="H103" s="10">
        <f ca="1">VLOOKUP($E103,OFFSET([1]characters!$A$2,0,0,COUNTA([1]characters!$A:$A),MATCH(H$1,[1]characters!$2:$2,0)-MATCH($E$1,[1]characters!$2:$2,0)+1),MATCH(H$1,[1]characters!$2:$2,0)-MATCH($E$1,[1]characters!$2:$2,0)+1,FALSE)</f>
        <v>3</v>
      </c>
      <c r="I103" s="10" t="str">
        <f ca="1">VLOOKUP($E103,OFFSET([1]characters!$A$2,0,0,COUNTA([1]characters!$A:$A),MATCH(I$1,[1]characters!$2:$2,0)-MATCH($E$1,[1]characters!$2:$2,0)+1),MATCH(I$1,[1]characters!$2:$2,0)-MATCH($E$1,[1]characters!$2:$2,0)+1,FALSE)</f>
        <v>yellow</v>
      </c>
      <c r="J103" s="10" t="str">
        <f ca="1">VLOOKUP($E103,OFFSET([1]characters!$A$2,0,0,COUNTA([1]characters!$A:$A),MATCH("タイプ",[1]characters!$1:$1,0)-MATCH($E$1,[1]characters!$2:$2,0)+2),MATCH("タイプ",[1]characters!$1:$1,0)-MATCH($E$1,[1]characters!$2:$2,0)+2,FALSE)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3" s="10" t="str">
        <f ca="1">VLOOKUP($E103,OFFSET([1]characters!$A$2,0,0,COUNTA([1]characters!$A:$A),MATCH($K$1,[1]characters!$1:$1,0)-MATCH($E$1,[1]characters!$2:$2,0)+2),MATCH($K$1,[1]characters!$1:$1,0)-MATCH($E$1,[1]characters!$2:$2,0)+2,FALSE)</f>
        <v>ゴッド</v>
      </c>
      <c r="L103" s="6">
        <v>1</v>
      </c>
      <c r="M103" s="6">
        <v>929</v>
      </c>
      <c r="N103" s="28">
        <v>0</v>
      </c>
      <c r="O103" s="28">
        <v>0</v>
      </c>
      <c r="P103" s="28">
        <v>0</v>
      </c>
      <c r="Q103" s="28">
        <v>0</v>
      </c>
      <c r="R103" s="28">
        <v>1</v>
      </c>
    </row>
    <row r="104" spans="1:18" ht="21" customHeight="1">
      <c r="A104" s="8" t="str">
        <f t="shared" si="1"/>
        <v>01271</v>
      </c>
      <c r="B104" s="2">
        <v>113</v>
      </c>
      <c r="C104" s="10" t="str">
        <f ca="1">VLOOKUP($B104,OFFSET([2]gachas!$A$2,0,0,COUNTA([2]gachas!$A:$A),MATCH(C$1,[2]gachas!$1:$1,0)-MATCH($B$1,[2]gachas!$1:$1,0)+1),MATCH(C$1,[2]gachas!$1:$1,0)-MATCH($B$1,[2]gachas!$1:$1,0)+1,FALSE)</f>
        <v>ピックアップ02(沖田) 最終日</v>
      </c>
      <c r="D104" s="6">
        <v>0</v>
      </c>
      <c r="E104" s="7">
        <v>127</v>
      </c>
      <c r="F104" s="10" t="str">
        <f ca="1">VLOOKUP($E104,OFFSET([1]characters!$A$2,0,0,COUNTA([1]characters!$A:$A),MATCH(F$1,[1]characters!$2:$2,0)-MATCH($E$1,[1]characters!$2:$2,0)+1),MATCH(F$1,[1]characters!$2:$2,0)-MATCH($E$1,[1]characters!$2:$2,0)+1,FALSE)</f>
        <v>狂喜の賢者 ユノ</v>
      </c>
      <c r="G104" s="10" t="str">
        <f ca="1">VLOOKUP($E104,OFFSET([1]characters!$A$2,0,0,COUNTA([1]characters!$A:$A),MATCH(G$1,[1]characters!$2:$2,0)-MATCH($E$1,[1]characters!$2:$2,0)+1),MATCH(G$1,[1]characters!$2:$2,0)-MATCH($E$1,[1]characters!$2:$2,0)+1,FALSE)</f>
        <v>PremiumW</v>
      </c>
      <c r="H104" s="10">
        <f ca="1">VLOOKUP($E104,OFFSET([1]characters!$A$2,0,0,COUNTA([1]characters!$A:$A),MATCH(H$1,[1]characters!$2:$2,0)-MATCH($E$1,[1]characters!$2:$2,0)+1),MATCH(H$1,[1]characters!$2:$2,0)-MATCH($E$1,[1]characters!$2:$2,0)+1,FALSE)</f>
        <v>4</v>
      </c>
      <c r="I104" s="10" t="str">
        <f ca="1">VLOOKUP($E104,OFFSET([1]characters!$A$2,0,0,COUNTA([1]characters!$A:$A),MATCH(I$1,[1]characters!$2:$2,0)-MATCH($E$1,[1]characters!$2:$2,0)+1),MATCH(I$1,[1]characters!$2:$2,0)-MATCH($E$1,[1]characters!$2:$2,0)+1,FALSE)</f>
        <v>red</v>
      </c>
      <c r="J104" s="10" t="str">
        <f ca="1">VLOOKUP($E104,OFFSET([1]characters!$A$2,0,0,COUNTA([1]characters!$A:$A),MATCH("タイプ",[1]characters!$1:$1,0)-MATCH($E$1,[1]characters!$2:$2,0)+2),MATCH("タイプ",[1]characters!$1:$1,0)-MATCH($E$1,[1]characters!$2:$2,0)+2,FALSE)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4" s="10" t="str">
        <f ca="1">VLOOKUP($E104,OFFSET([1]characters!$A$2,0,0,COUNTA([1]characters!$A:$A),MATCH($K$1,[1]characters!$1:$1,0)-MATCH($E$1,[1]characters!$2:$2,0)+2),MATCH($K$1,[1]characters!$1:$1,0)-MATCH($E$1,[1]characters!$2:$2,0)+2,FALSE)</f>
        <v>ヒューマン</v>
      </c>
      <c r="L104" s="6">
        <v>1</v>
      </c>
      <c r="M104" s="6">
        <v>477</v>
      </c>
      <c r="N104" s="28">
        <v>0</v>
      </c>
      <c r="O104" s="28">
        <v>0</v>
      </c>
      <c r="P104" s="28">
        <v>0</v>
      </c>
      <c r="Q104" s="28">
        <v>0</v>
      </c>
      <c r="R104" s="28">
        <v>1</v>
      </c>
    </row>
    <row r="105" spans="1:18" ht="21" customHeight="1">
      <c r="A105" s="8" t="str">
        <f t="shared" si="1"/>
        <v>01291</v>
      </c>
      <c r="B105" s="2">
        <v>113</v>
      </c>
      <c r="C105" s="10" t="str">
        <f ca="1">VLOOKUP($B105,OFFSET([2]gachas!$A$2,0,0,COUNTA([2]gachas!$A:$A),MATCH(C$1,[2]gachas!$1:$1,0)-MATCH($B$1,[2]gachas!$1:$1,0)+1),MATCH(C$1,[2]gachas!$1:$1,0)-MATCH($B$1,[2]gachas!$1:$1,0)+1,FALSE)</f>
        <v>ピックアップ02(沖田) 最終日</v>
      </c>
      <c r="D105" s="6">
        <v>0</v>
      </c>
      <c r="E105" s="7">
        <v>129</v>
      </c>
      <c r="F105" s="10" t="str">
        <f ca="1">VLOOKUP($E105,OFFSET([1]characters!$A$2,0,0,COUNTA([1]characters!$A:$A),MATCH(F$1,[1]characters!$2:$2,0)-MATCH($E$1,[1]characters!$2:$2,0)+1),MATCH(F$1,[1]characters!$2:$2,0)-MATCH($E$1,[1]characters!$2:$2,0)+1,FALSE)</f>
        <v>孤高の狼憑き アマラ</v>
      </c>
      <c r="G105" s="10" t="str">
        <f ca="1">VLOOKUP($E105,OFFSET([1]characters!$A$2,0,0,COUNTA([1]characters!$A:$A),MATCH(G$1,[1]characters!$2:$2,0)-MATCH($E$1,[1]characters!$2:$2,0)+1),MATCH(G$1,[1]characters!$2:$2,0)-MATCH($E$1,[1]characters!$2:$2,0)+1,FALSE)</f>
        <v>PremiumW</v>
      </c>
      <c r="H105" s="10">
        <f ca="1">VLOOKUP($E105,OFFSET([1]characters!$A$2,0,0,COUNTA([1]characters!$A:$A),MATCH(H$1,[1]characters!$2:$2,0)-MATCH($E$1,[1]characters!$2:$2,0)+1),MATCH(H$1,[1]characters!$2:$2,0)-MATCH($E$1,[1]characters!$2:$2,0)+1,FALSE)</f>
        <v>4</v>
      </c>
      <c r="I105" s="10" t="str">
        <f ca="1">VLOOKUP($E105,OFFSET([1]characters!$A$2,0,0,COUNTA([1]characters!$A:$A),MATCH(I$1,[1]characters!$2:$2,0)-MATCH($E$1,[1]characters!$2:$2,0)+1),MATCH(I$1,[1]characters!$2:$2,0)-MATCH($E$1,[1]characters!$2:$2,0)+1,FALSE)</f>
        <v>green</v>
      </c>
      <c r="J105" s="10" t="str">
        <f ca="1">VLOOKUP($E105,OFFSET([1]characters!$A$2,0,0,COUNTA([1]characters!$A:$A),MATCH("タイプ",[1]characters!$1:$1,0)-MATCH($E$1,[1]characters!$2:$2,0)+2),MATCH("タイプ",[1]characters!$1:$1,0)-MATCH($E$1,[1]characters!$2:$2,0)+2,FALSE)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5" s="10" t="str">
        <f ca="1">VLOOKUP($E105,OFFSET([1]characters!$A$2,0,0,COUNTA([1]characters!$A:$A),MATCH($K$1,[1]characters!$1:$1,0)-MATCH($E$1,[1]characters!$2:$2,0)+2),MATCH($K$1,[1]characters!$1:$1,0)-MATCH($E$1,[1]characters!$2:$2,0)+2,FALSE)</f>
        <v>ヒューマン</v>
      </c>
      <c r="L105" s="6">
        <v>1</v>
      </c>
      <c r="M105" s="6">
        <v>477</v>
      </c>
      <c r="N105" s="28">
        <v>0</v>
      </c>
      <c r="O105" s="28">
        <v>0</v>
      </c>
      <c r="P105" s="28">
        <v>0</v>
      </c>
      <c r="Q105" s="28">
        <v>0</v>
      </c>
      <c r="R105" s="28">
        <v>1</v>
      </c>
    </row>
    <row r="106" spans="1:18" ht="21" customHeight="1">
      <c r="A106" s="8" t="str">
        <f t="shared" si="1"/>
        <v>01311</v>
      </c>
      <c r="B106" s="2">
        <v>113</v>
      </c>
      <c r="C106" s="10" t="str">
        <f ca="1">VLOOKUP($B106,OFFSET([2]gachas!$A$2,0,0,COUNTA([2]gachas!$A:$A),MATCH(C$1,[2]gachas!$1:$1,0)-MATCH($B$1,[2]gachas!$1:$1,0)+1),MATCH(C$1,[2]gachas!$1:$1,0)-MATCH($B$1,[2]gachas!$1:$1,0)+1,FALSE)</f>
        <v>ピックアップ02(沖田) 最終日</v>
      </c>
      <c r="D106" s="6">
        <v>0</v>
      </c>
      <c r="E106" s="7">
        <v>131</v>
      </c>
      <c r="F106" s="10" t="str">
        <f ca="1">VLOOKUP($E106,OFFSET([1]characters!$A$2,0,0,COUNTA([1]characters!$A:$A),MATCH(F$1,[1]characters!$2:$2,0)-MATCH($E$1,[1]characters!$2:$2,0)+1),MATCH(F$1,[1]characters!$2:$2,0)-MATCH($E$1,[1]characters!$2:$2,0)+1,FALSE)</f>
        <v>月下の人狼 ローレンス</v>
      </c>
      <c r="G106" s="10" t="str">
        <f ca="1">VLOOKUP($E106,OFFSET([1]characters!$A$2,0,0,COUNTA([1]characters!$A:$A),MATCH(G$1,[1]characters!$2:$2,0)-MATCH($E$1,[1]characters!$2:$2,0)+1),MATCH(G$1,[1]characters!$2:$2,0)-MATCH($E$1,[1]characters!$2:$2,0)+1,FALSE)</f>
        <v>PremiumW</v>
      </c>
      <c r="H106" s="10">
        <f ca="1">VLOOKUP($E106,OFFSET([1]characters!$A$2,0,0,COUNTA([1]characters!$A:$A),MATCH(H$1,[1]characters!$2:$2,0)-MATCH($E$1,[1]characters!$2:$2,0)+1),MATCH(H$1,[1]characters!$2:$2,0)-MATCH($E$1,[1]characters!$2:$2,0)+1,FALSE)</f>
        <v>4</v>
      </c>
      <c r="I106" s="10" t="str">
        <f ca="1">VLOOKUP($E106,OFFSET([1]characters!$A$2,0,0,COUNTA([1]characters!$A:$A),MATCH(I$1,[1]characters!$2:$2,0)-MATCH($E$1,[1]characters!$2:$2,0)+1),MATCH(I$1,[1]characters!$2:$2,0)-MATCH($E$1,[1]characters!$2:$2,0)+1,FALSE)</f>
        <v>blue</v>
      </c>
      <c r="J106" s="10" t="str">
        <f ca="1">VLOOKUP($E106,OFFSET([1]characters!$A$2,0,0,COUNTA([1]characters!$A:$A),MATCH("タイプ",[1]characters!$1:$1,0)-MATCH($E$1,[1]characters!$2:$2,0)+2),MATCH("タイプ",[1]characters!$1:$1,0)-MATCH($E$1,[1]characters!$2:$2,0)+2,FALSE)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6" s="10" t="str">
        <f ca="1">VLOOKUP($E106,OFFSET([1]characters!$A$2,0,0,COUNTA([1]characters!$A:$A),MATCH($K$1,[1]characters!$1:$1,0)-MATCH($E$1,[1]characters!$2:$2,0)+2),MATCH($K$1,[1]characters!$1:$1,0)-MATCH($E$1,[1]characters!$2:$2,0)+2,FALSE)</f>
        <v>アニマル</v>
      </c>
      <c r="L106" s="6">
        <v>1</v>
      </c>
      <c r="M106" s="6">
        <v>477</v>
      </c>
      <c r="N106" s="28">
        <v>0</v>
      </c>
      <c r="O106" s="28">
        <v>0</v>
      </c>
      <c r="P106" s="28">
        <v>0</v>
      </c>
      <c r="Q106" s="28">
        <v>0</v>
      </c>
      <c r="R106" s="28">
        <v>1</v>
      </c>
    </row>
    <row r="107" spans="1:18" ht="21" customHeight="1">
      <c r="A107" s="8" t="str">
        <f t="shared" si="1"/>
        <v>01331</v>
      </c>
      <c r="B107" s="2">
        <v>113</v>
      </c>
      <c r="C107" s="10" t="str">
        <f ca="1">VLOOKUP($B107,OFFSET([2]gachas!$A$2,0,0,COUNTA([2]gachas!$A:$A),MATCH(C$1,[2]gachas!$1:$1,0)-MATCH($B$1,[2]gachas!$1:$1,0)+1),MATCH(C$1,[2]gachas!$1:$1,0)-MATCH($B$1,[2]gachas!$1:$1,0)+1,FALSE)</f>
        <v>ピックアップ02(沖田) 最終日</v>
      </c>
      <c r="D107" s="6">
        <v>0</v>
      </c>
      <c r="E107" s="7">
        <v>133</v>
      </c>
      <c r="F107" s="10" t="str">
        <f ca="1">VLOOKUP($E107,OFFSET([1]characters!$A$2,0,0,COUNTA([1]characters!$A:$A),MATCH(F$1,[1]characters!$2:$2,0)-MATCH($E$1,[1]characters!$2:$2,0)+1),MATCH(F$1,[1]characters!$2:$2,0)-MATCH($E$1,[1]characters!$2:$2,0)+1,FALSE)</f>
        <v>迅雷の刀剣 ハヤト</v>
      </c>
      <c r="G107" s="10" t="str">
        <f ca="1">VLOOKUP($E107,OFFSET([1]characters!$A$2,0,0,COUNTA([1]characters!$A:$A),MATCH(G$1,[1]characters!$2:$2,0)-MATCH($E$1,[1]characters!$2:$2,0)+1),MATCH(G$1,[1]characters!$2:$2,0)-MATCH($E$1,[1]characters!$2:$2,0)+1,FALSE)</f>
        <v>PremiumW</v>
      </c>
      <c r="H107" s="10">
        <f ca="1">VLOOKUP($E107,OFFSET([1]characters!$A$2,0,0,COUNTA([1]characters!$A:$A),MATCH(H$1,[1]characters!$2:$2,0)-MATCH($E$1,[1]characters!$2:$2,0)+1),MATCH(H$1,[1]characters!$2:$2,0)-MATCH($E$1,[1]characters!$2:$2,0)+1,FALSE)</f>
        <v>4</v>
      </c>
      <c r="I107" s="10" t="str">
        <f ca="1">VLOOKUP($E107,OFFSET([1]characters!$A$2,0,0,COUNTA([1]characters!$A:$A),MATCH(I$1,[1]characters!$2:$2,0)-MATCH($E$1,[1]characters!$2:$2,0)+1),MATCH(I$1,[1]characters!$2:$2,0)-MATCH($E$1,[1]characters!$2:$2,0)+1,FALSE)</f>
        <v>yellow</v>
      </c>
      <c r="J107" s="10" t="str">
        <f ca="1">VLOOKUP($E107,OFFSET([1]characters!$A$2,0,0,COUNTA([1]characters!$A:$A),MATCH("タイプ",[1]characters!$1:$1,0)-MATCH($E$1,[1]characters!$2:$2,0)+2),MATCH("タイプ",[1]characters!$1:$1,0)-MATCH($E$1,[1]characters!$2:$2,0)+2,FALSE)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07" s="10" t="str">
        <f ca="1">VLOOKUP($E107,OFFSET([1]characters!$A$2,0,0,COUNTA([1]characters!$A:$A),MATCH($K$1,[1]characters!$1:$1,0)-MATCH($E$1,[1]characters!$2:$2,0)+2),MATCH($K$1,[1]characters!$1:$1,0)-MATCH($E$1,[1]characters!$2:$2,0)+2,FALSE)</f>
        <v>ヒューマン</v>
      </c>
      <c r="L107" s="6">
        <v>1</v>
      </c>
      <c r="M107" s="6">
        <v>477</v>
      </c>
      <c r="N107" s="28">
        <v>0</v>
      </c>
      <c r="O107" s="28">
        <v>0</v>
      </c>
      <c r="P107" s="28">
        <v>0</v>
      </c>
      <c r="Q107" s="28">
        <v>0</v>
      </c>
      <c r="R107" s="28">
        <v>1</v>
      </c>
    </row>
    <row r="108" spans="1:18" ht="21" customHeight="1">
      <c r="A108" s="8" t="str">
        <f t="shared" si="1"/>
        <v>01351</v>
      </c>
      <c r="B108" s="2">
        <v>113</v>
      </c>
      <c r="C108" s="10" t="str">
        <f ca="1">VLOOKUP($B108,OFFSET([2]gachas!$A$2,0,0,COUNTA([2]gachas!$A:$A),MATCH(C$1,[2]gachas!$1:$1,0)-MATCH($B$1,[2]gachas!$1:$1,0)+1),MATCH(C$1,[2]gachas!$1:$1,0)-MATCH($B$1,[2]gachas!$1:$1,0)+1,FALSE)</f>
        <v>ピックアップ02(沖田) 最終日</v>
      </c>
      <c r="D108" s="6">
        <v>0</v>
      </c>
      <c r="E108" s="7">
        <v>135</v>
      </c>
      <c r="F108" s="10" t="str">
        <f ca="1">VLOOKUP($E108,OFFSET([1]characters!$A$2,0,0,COUNTA([1]characters!$A:$A),MATCH(F$1,[1]characters!$2:$2,0)-MATCH($E$1,[1]characters!$2:$2,0)+1),MATCH(F$1,[1]characters!$2:$2,0)-MATCH($E$1,[1]characters!$2:$2,0)+1,FALSE)</f>
        <v>京の炎華夕霧</v>
      </c>
      <c r="G108" s="10" t="str">
        <f ca="1">VLOOKUP($E108,OFFSET([1]characters!$A$2,0,0,COUNTA([1]characters!$A:$A),MATCH(G$1,[1]characters!$2:$2,0)-MATCH($E$1,[1]characters!$2:$2,0)+1),MATCH(G$1,[1]characters!$2:$2,0)-MATCH($E$1,[1]characters!$2:$2,0)+1,FALSE)</f>
        <v>PremiumW</v>
      </c>
      <c r="H108" s="10">
        <f ca="1">VLOOKUP($E108,OFFSET([1]characters!$A$2,0,0,COUNTA([1]characters!$A:$A),MATCH(H$1,[1]characters!$2:$2,0)-MATCH($E$1,[1]characters!$2:$2,0)+1),MATCH(H$1,[1]characters!$2:$2,0)-MATCH($E$1,[1]characters!$2:$2,0)+1,FALSE)</f>
        <v>4</v>
      </c>
      <c r="I108" s="10" t="str">
        <f ca="1">VLOOKUP($E108,OFFSET([1]characters!$A$2,0,0,COUNTA([1]characters!$A:$A),MATCH(I$1,[1]characters!$2:$2,0)-MATCH($E$1,[1]characters!$2:$2,0)+1),MATCH(I$1,[1]characters!$2:$2,0)-MATCH($E$1,[1]characters!$2:$2,0)+1,FALSE)</f>
        <v>red</v>
      </c>
      <c r="J108" s="10" t="str">
        <f ca="1">VLOOKUP($E108,OFFSET([1]characters!$A$2,0,0,COUNTA([1]characters!$A:$A),MATCH("タイプ",[1]characters!$1:$1,0)-MATCH($E$1,[1]characters!$2:$2,0)+2),MATCH("タイプ",[1]characters!$1:$1,0)-MATCH($E$1,[1]characters!$2:$2,0)+2,FALSE)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8" s="10" t="str">
        <f ca="1">VLOOKUP($E108,OFFSET([1]characters!$A$2,0,0,COUNTA([1]characters!$A:$A),MATCH($K$1,[1]characters!$1:$1,0)-MATCH($E$1,[1]characters!$2:$2,0)+2),MATCH($K$1,[1]characters!$1:$1,0)-MATCH($E$1,[1]characters!$2:$2,0)+2,FALSE)</f>
        <v>ヒューマン</v>
      </c>
      <c r="L108" s="6">
        <v>1</v>
      </c>
      <c r="M108" s="6">
        <v>477</v>
      </c>
      <c r="N108" s="28">
        <v>0</v>
      </c>
      <c r="O108" s="28">
        <v>0</v>
      </c>
      <c r="P108" s="28">
        <v>0</v>
      </c>
      <c r="Q108" s="28">
        <v>0</v>
      </c>
      <c r="R108" s="28">
        <v>1</v>
      </c>
    </row>
    <row r="109" spans="1:18" ht="21" customHeight="1">
      <c r="A109" s="8" t="str">
        <f t="shared" si="1"/>
        <v>01371</v>
      </c>
      <c r="B109" s="2">
        <v>113</v>
      </c>
      <c r="C109" s="10" t="str">
        <f ca="1">VLOOKUP($B109,OFFSET([2]gachas!$A$2,0,0,COUNTA([2]gachas!$A:$A),MATCH(C$1,[2]gachas!$1:$1,0)-MATCH($B$1,[2]gachas!$1:$1,0)+1),MATCH(C$1,[2]gachas!$1:$1,0)-MATCH($B$1,[2]gachas!$1:$1,0)+1,FALSE)</f>
        <v>ピックアップ02(沖田) 最終日</v>
      </c>
      <c r="D109" s="6">
        <v>0</v>
      </c>
      <c r="E109" s="7">
        <v>137</v>
      </c>
      <c r="F109" s="10" t="str">
        <f ca="1">VLOOKUP($E109,OFFSET([1]characters!$A$2,0,0,COUNTA([1]characters!$A:$A),MATCH(F$1,[1]characters!$2:$2,0)-MATCH($E$1,[1]characters!$2:$2,0)+1),MATCH(F$1,[1]characters!$2:$2,0)-MATCH($E$1,[1]characters!$2:$2,0)+1,FALSE)</f>
        <v>清福の仕立屋 チハヤ</v>
      </c>
      <c r="G109" s="10" t="str">
        <f ca="1">VLOOKUP($E109,OFFSET([1]characters!$A$2,0,0,COUNTA([1]characters!$A:$A),MATCH(G$1,[1]characters!$2:$2,0)-MATCH($E$1,[1]characters!$2:$2,0)+1),MATCH(G$1,[1]characters!$2:$2,0)-MATCH($E$1,[1]characters!$2:$2,0)+1,FALSE)</f>
        <v>PremiumW</v>
      </c>
      <c r="H109" s="10">
        <f ca="1">VLOOKUP($E109,OFFSET([1]characters!$A$2,0,0,COUNTA([1]characters!$A:$A),MATCH(H$1,[1]characters!$2:$2,0)-MATCH($E$1,[1]characters!$2:$2,0)+1),MATCH(H$1,[1]characters!$2:$2,0)-MATCH($E$1,[1]characters!$2:$2,0)+1,FALSE)</f>
        <v>4</v>
      </c>
      <c r="I109" s="10" t="str">
        <f ca="1">VLOOKUP($E109,OFFSET([1]characters!$A$2,0,0,COUNTA([1]characters!$A:$A),MATCH(I$1,[1]characters!$2:$2,0)-MATCH($E$1,[1]characters!$2:$2,0)+1),MATCH(I$1,[1]characters!$2:$2,0)-MATCH($E$1,[1]characters!$2:$2,0)+1,FALSE)</f>
        <v>green</v>
      </c>
      <c r="J109" s="10" t="str">
        <f ca="1">VLOOKUP($E109,OFFSET([1]characters!$A$2,0,0,COUNTA([1]characters!$A:$A),MATCH("タイプ",[1]characters!$1:$1,0)-MATCH($E$1,[1]characters!$2:$2,0)+2),MATCH("タイプ",[1]characters!$1:$1,0)-MATCH($E$1,[1]characters!$2:$2,0)+2,FALSE)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09" s="10" t="str">
        <f ca="1">VLOOKUP($E109,OFFSET([1]characters!$A$2,0,0,COUNTA([1]characters!$A:$A),MATCH($K$1,[1]characters!$1:$1,0)-MATCH($E$1,[1]characters!$2:$2,0)+2),MATCH($K$1,[1]characters!$1:$1,0)-MATCH($E$1,[1]characters!$2:$2,0)+2,FALSE)</f>
        <v>ヒューマン</v>
      </c>
      <c r="L109" s="6">
        <v>1</v>
      </c>
      <c r="M109" s="6">
        <v>477</v>
      </c>
      <c r="N109" s="28">
        <v>0</v>
      </c>
      <c r="O109" s="28">
        <v>0</v>
      </c>
      <c r="P109" s="28">
        <v>0</v>
      </c>
      <c r="Q109" s="28">
        <v>0</v>
      </c>
      <c r="R109" s="28">
        <v>1</v>
      </c>
    </row>
    <row r="110" spans="1:18" ht="21" customHeight="1">
      <c r="A110" s="8" t="str">
        <f t="shared" si="1"/>
        <v>01391</v>
      </c>
      <c r="B110" s="2">
        <v>113</v>
      </c>
      <c r="C110" s="10" t="str">
        <f ca="1">VLOOKUP($B110,OFFSET([2]gachas!$A$2,0,0,COUNTA([2]gachas!$A:$A),MATCH(C$1,[2]gachas!$1:$1,0)-MATCH($B$1,[2]gachas!$1:$1,0)+1),MATCH(C$1,[2]gachas!$1:$1,0)-MATCH($B$1,[2]gachas!$1:$1,0)+1,FALSE)</f>
        <v>ピックアップ02(沖田) 最終日</v>
      </c>
      <c r="D110" s="6">
        <v>0</v>
      </c>
      <c r="E110" s="7">
        <v>139</v>
      </c>
      <c r="F110" s="10" t="str">
        <f ca="1">VLOOKUP($E110,OFFSET([1]characters!$A$2,0,0,COUNTA([1]characters!$A:$A),MATCH(F$1,[1]characters!$2:$2,0)-MATCH($E$1,[1]characters!$2:$2,0)+1),MATCH(F$1,[1]characters!$2:$2,0)-MATCH($E$1,[1]characters!$2:$2,0)+1,FALSE)</f>
        <v>蒼昇刃姫 トモエ</v>
      </c>
      <c r="G110" s="10" t="str">
        <f ca="1">VLOOKUP($E110,OFFSET([1]characters!$A$2,0,0,COUNTA([1]characters!$A:$A),MATCH(G$1,[1]characters!$2:$2,0)-MATCH($E$1,[1]characters!$2:$2,0)+1),MATCH(G$1,[1]characters!$2:$2,0)-MATCH($E$1,[1]characters!$2:$2,0)+1,FALSE)</f>
        <v>PremiumW</v>
      </c>
      <c r="H110" s="10">
        <f ca="1">VLOOKUP($E110,OFFSET([1]characters!$A$2,0,0,COUNTA([1]characters!$A:$A),MATCH(H$1,[1]characters!$2:$2,0)-MATCH($E$1,[1]characters!$2:$2,0)+1),MATCH(H$1,[1]characters!$2:$2,0)-MATCH($E$1,[1]characters!$2:$2,0)+1,FALSE)</f>
        <v>4</v>
      </c>
      <c r="I110" s="10" t="str">
        <f ca="1">VLOOKUP($E110,OFFSET([1]characters!$A$2,0,0,COUNTA([1]characters!$A:$A),MATCH(I$1,[1]characters!$2:$2,0)-MATCH($E$1,[1]characters!$2:$2,0)+1),MATCH(I$1,[1]characters!$2:$2,0)-MATCH($E$1,[1]characters!$2:$2,0)+1,FALSE)</f>
        <v>blue</v>
      </c>
      <c r="J110" s="10" t="str">
        <f ca="1">VLOOKUP($E110,OFFSET([1]characters!$A$2,0,0,COUNTA([1]characters!$A:$A),MATCH("タイプ",[1]characters!$1:$1,0)-MATCH($E$1,[1]characters!$2:$2,0)+2),MATCH("タイプ",[1]characters!$1:$1,0)-MATCH($E$1,[1]characters!$2:$2,0)+2,FALSE)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0" s="10" t="str">
        <f ca="1">VLOOKUP($E110,OFFSET([1]characters!$A$2,0,0,COUNTA([1]characters!$A:$A),MATCH($K$1,[1]characters!$1:$1,0)-MATCH($E$1,[1]characters!$2:$2,0)+2),MATCH($K$1,[1]characters!$1:$1,0)-MATCH($E$1,[1]characters!$2:$2,0)+2,FALSE)</f>
        <v>ヒューマン</v>
      </c>
      <c r="L110" s="6">
        <v>1</v>
      </c>
      <c r="M110" s="6">
        <v>477</v>
      </c>
      <c r="N110" s="28">
        <v>0</v>
      </c>
      <c r="O110" s="28">
        <v>0</v>
      </c>
      <c r="P110" s="28">
        <v>0</v>
      </c>
      <c r="Q110" s="28">
        <v>0</v>
      </c>
      <c r="R110" s="28">
        <v>1</v>
      </c>
    </row>
    <row r="111" spans="1:18" ht="21" customHeight="1">
      <c r="A111" s="8" t="str">
        <f t="shared" si="1"/>
        <v>01411</v>
      </c>
      <c r="B111" s="2">
        <v>113</v>
      </c>
      <c r="C111" s="10" t="str">
        <f ca="1">VLOOKUP($B111,OFFSET([2]gachas!$A$2,0,0,COUNTA([2]gachas!$A:$A),MATCH(C$1,[2]gachas!$1:$1,0)-MATCH($B$1,[2]gachas!$1:$1,0)+1),MATCH(C$1,[2]gachas!$1:$1,0)-MATCH($B$1,[2]gachas!$1:$1,0)+1,FALSE)</f>
        <v>ピックアップ02(沖田) 最終日</v>
      </c>
      <c r="D111" s="6">
        <v>0</v>
      </c>
      <c r="E111" s="7">
        <v>141</v>
      </c>
      <c r="F111" s="10" t="str">
        <f ca="1">VLOOKUP($E111,OFFSET([1]characters!$A$2,0,0,COUNTA([1]characters!$A:$A),MATCH(F$1,[1]characters!$2:$2,0)-MATCH($E$1,[1]characters!$2:$2,0)+1),MATCH(F$1,[1]characters!$2:$2,0)-MATCH($E$1,[1]characters!$2:$2,0)+1,FALSE)</f>
        <v>妖狐演舞 タマモ</v>
      </c>
      <c r="G111" s="10" t="str">
        <f ca="1">VLOOKUP($E111,OFFSET([1]characters!$A$2,0,0,COUNTA([1]characters!$A:$A),MATCH(G$1,[1]characters!$2:$2,0)-MATCH($E$1,[1]characters!$2:$2,0)+1),MATCH(G$1,[1]characters!$2:$2,0)-MATCH($E$1,[1]characters!$2:$2,0)+1,FALSE)</f>
        <v>PremiumW</v>
      </c>
      <c r="H111" s="10">
        <f ca="1">VLOOKUP($E111,OFFSET([1]characters!$A$2,0,0,COUNTA([1]characters!$A:$A),MATCH(H$1,[1]characters!$2:$2,0)-MATCH($E$1,[1]characters!$2:$2,0)+1),MATCH(H$1,[1]characters!$2:$2,0)-MATCH($E$1,[1]characters!$2:$2,0)+1,FALSE)</f>
        <v>4</v>
      </c>
      <c r="I111" s="10" t="str">
        <f ca="1">VLOOKUP($E111,OFFSET([1]characters!$A$2,0,0,COUNTA([1]characters!$A:$A),MATCH(I$1,[1]characters!$2:$2,0)-MATCH($E$1,[1]characters!$2:$2,0)+1),MATCH(I$1,[1]characters!$2:$2,0)-MATCH($E$1,[1]characters!$2:$2,0)+1,FALSE)</f>
        <v>yellow</v>
      </c>
      <c r="J111" s="10" t="str">
        <f ca="1">VLOOKUP($E111,OFFSET([1]characters!$A$2,0,0,COUNTA([1]characters!$A:$A),MATCH("タイプ",[1]characters!$1:$1,0)-MATCH($E$1,[1]characters!$2:$2,0)+2),MATCH("タイプ",[1]characters!$1:$1,0)-MATCH($E$1,[1]characters!$2:$2,0)+2,FALSE)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1" s="10" t="str">
        <f ca="1">VLOOKUP($E111,OFFSET([1]characters!$A$2,0,0,COUNTA([1]characters!$A:$A),MATCH($K$1,[1]characters!$1:$1,0)-MATCH($E$1,[1]characters!$2:$2,0)+2),MATCH($K$1,[1]characters!$1:$1,0)-MATCH($E$1,[1]characters!$2:$2,0)+2,FALSE)</f>
        <v>アニマル</v>
      </c>
      <c r="L111" s="6">
        <v>1</v>
      </c>
      <c r="M111" s="6">
        <v>477</v>
      </c>
      <c r="N111" s="28">
        <v>0</v>
      </c>
      <c r="O111" s="28">
        <v>0</v>
      </c>
      <c r="P111" s="28">
        <v>0</v>
      </c>
      <c r="Q111" s="28">
        <v>0</v>
      </c>
      <c r="R111" s="28">
        <v>1</v>
      </c>
    </row>
    <row r="112" spans="1:18" ht="21" customHeight="1">
      <c r="A112" s="8" t="str">
        <f t="shared" si="1"/>
        <v>01431</v>
      </c>
      <c r="B112" s="2">
        <v>113</v>
      </c>
      <c r="C112" s="10" t="str">
        <f ca="1">VLOOKUP($B112,OFFSET([2]gachas!$A$2,0,0,COUNTA([2]gachas!$A:$A),MATCH(C$1,[2]gachas!$1:$1,0)-MATCH($B$1,[2]gachas!$1:$1,0)+1),MATCH(C$1,[2]gachas!$1:$1,0)-MATCH($B$1,[2]gachas!$1:$1,0)+1,FALSE)</f>
        <v>ピックアップ02(沖田) 最終日</v>
      </c>
      <c r="D112" s="6">
        <v>0</v>
      </c>
      <c r="E112" s="7">
        <v>143</v>
      </c>
      <c r="F112" s="10" t="str">
        <f ca="1">VLOOKUP($E112,OFFSET([1]characters!$A$2,0,0,COUNTA([1]characters!$A:$A),MATCH(F$1,[1]characters!$2:$2,0)-MATCH($E$1,[1]characters!$2:$2,0)+1),MATCH(F$1,[1]characters!$2:$2,0)-MATCH($E$1,[1]characters!$2:$2,0)+1,FALSE)</f>
        <v>深紅の死神 赤ずきん</v>
      </c>
      <c r="G112" s="10" t="str">
        <f ca="1">VLOOKUP($E112,OFFSET([1]characters!$A$2,0,0,COUNTA([1]characters!$A:$A),MATCH(G$1,[1]characters!$2:$2,0)-MATCH($E$1,[1]characters!$2:$2,0)+1),MATCH(G$1,[1]characters!$2:$2,0)-MATCH($E$1,[1]characters!$2:$2,0)+1,FALSE)</f>
        <v>PremiumW</v>
      </c>
      <c r="H112" s="10">
        <f ca="1">VLOOKUP($E112,OFFSET([1]characters!$A$2,0,0,COUNTA([1]characters!$A:$A),MATCH(H$1,[1]characters!$2:$2,0)-MATCH($E$1,[1]characters!$2:$2,0)+1),MATCH(H$1,[1]characters!$2:$2,0)-MATCH($E$1,[1]characters!$2:$2,0)+1,FALSE)</f>
        <v>4</v>
      </c>
      <c r="I112" s="10" t="str">
        <f ca="1">VLOOKUP($E112,OFFSET([1]characters!$A$2,0,0,COUNTA([1]characters!$A:$A),MATCH(I$1,[1]characters!$2:$2,0)-MATCH($E$1,[1]characters!$2:$2,0)+1),MATCH(I$1,[1]characters!$2:$2,0)-MATCH($E$1,[1]characters!$2:$2,0)+1,FALSE)</f>
        <v>red</v>
      </c>
      <c r="J112" s="10" t="str">
        <f ca="1">VLOOKUP($E112,OFFSET([1]characters!$A$2,0,0,COUNTA([1]characters!$A:$A),MATCH("タイプ",[1]characters!$1:$1,0)-MATCH($E$1,[1]characters!$2:$2,0)+2),MATCH("タイプ",[1]characters!$1:$1,0)-MATCH($E$1,[1]characters!$2:$2,0)+2,FALSE)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2" s="10" t="str">
        <f ca="1">VLOOKUP($E112,OFFSET([1]characters!$A$2,0,0,COUNTA([1]characters!$A:$A),MATCH($K$1,[1]characters!$1:$1,0)-MATCH($E$1,[1]characters!$2:$2,0)+2),MATCH($K$1,[1]characters!$1:$1,0)-MATCH($E$1,[1]characters!$2:$2,0)+2,FALSE)</f>
        <v>ヒューマン</v>
      </c>
      <c r="L112" s="6">
        <v>1</v>
      </c>
      <c r="M112" s="6">
        <v>477</v>
      </c>
      <c r="N112" s="28">
        <v>0</v>
      </c>
      <c r="O112" s="28">
        <v>0</v>
      </c>
      <c r="P112" s="28">
        <v>0</v>
      </c>
      <c r="Q112" s="28">
        <v>0</v>
      </c>
      <c r="R112" s="28">
        <v>1</v>
      </c>
    </row>
    <row r="113" spans="1:18" ht="21" customHeight="1">
      <c r="A113" s="8" t="str">
        <f t="shared" si="1"/>
        <v>01451</v>
      </c>
      <c r="B113" s="2">
        <v>113</v>
      </c>
      <c r="C113" s="10" t="str">
        <f ca="1">VLOOKUP($B113,OFFSET([2]gachas!$A$2,0,0,COUNTA([2]gachas!$A:$A),MATCH(C$1,[2]gachas!$1:$1,0)-MATCH($B$1,[2]gachas!$1:$1,0)+1),MATCH(C$1,[2]gachas!$1:$1,0)-MATCH($B$1,[2]gachas!$1:$1,0)+1,FALSE)</f>
        <v>ピックアップ02(沖田) 最終日</v>
      </c>
      <c r="D113" s="6">
        <v>0</v>
      </c>
      <c r="E113" s="7">
        <v>145</v>
      </c>
      <c r="F113" s="10" t="str">
        <f ca="1">VLOOKUP($E113,OFFSET([1]characters!$A$2,0,0,COUNTA([1]characters!$A:$A),MATCH(F$1,[1]characters!$2:$2,0)-MATCH($E$1,[1]characters!$2:$2,0)+1),MATCH(F$1,[1]characters!$2:$2,0)-MATCH($E$1,[1]characters!$2:$2,0)+1,FALSE)</f>
        <v>魔性妖艶 かぐや</v>
      </c>
      <c r="G113" s="10" t="str">
        <f ca="1">VLOOKUP($E113,OFFSET([1]characters!$A$2,0,0,COUNTA([1]characters!$A:$A),MATCH(G$1,[1]characters!$2:$2,0)-MATCH($E$1,[1]characters!$2:$2,0)+1),MATCH(G$1,[1]characters!$2:$2,0)-MATCH($E$1,[1]characters!$2:$2,0)+1,FALSE)</f>
        <v>PremiumW</v>
      </c>
      <c r="H113" s="10">
        <f ca="1">VLOOKUP($E113,OFFSET([1]characters!$A$2,0,0,COUNTA([1]characters!$A:$A),MATCH(H$1,[1]characters!$2:$2,0)-MATCH($E$1,[1]characters!$2:$2,0)+1),MATCH(H$1,[1]characters!$2:$2,0)-MATCH($E$1,[1]characters!$2:$2,0)+1,FALSE)</f>
        <v>4</v>
      </c>
      <c r="I113" s="10" t="str">
        <f ca="1">VLOOKUP($E113,OFFSET([1]characters!$A$2,0,0,COUNTA([1]characters!$A:$A),MATCH(I$1,[1]characters!$2:$2,0)-MATCH($E$1,[1]characters!$2:$2,0)+1),MATCH(I$1,[1]characters!$2:$2,0)-MATCH($E$1,[1]characters!$2:$2,0)+1,FALSE)</f>
        <v>green</v>
      </c>
      <c r="J113" s="10" t="str">
        <f ca="1">VLOOKUP($E113,OFFSET([1]characters!$A$2,0,0,COUNTA([1]characters!$A:$A),MATCH("タイプ",[1]characters!$1:$1,0)-MATCH($E$1,[1]characters!$2:$2,0)+2),MATCH("タイプ",[1]characters!$1:$1,0)-MATCH($E$1,[1]characters!$2:$2,0)+2,FALSE)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3" s="10" t="str">
        <f ca="1">VLOOKUP($E113,OFFSET([1]characters!$A$2,0,0,COUNTA([1]characters!$A:$A),MATCH($K$1,[1]characters!$1:$1,0)-MATCH($E$1,[1]characters!$2:$2,0)+2),MATCH($K$1,[1]characters!$1:$1,0)-MATCH($E$1,[1]characters!$2:$2,0)+2,FALSE)</f>
        <v>ヒューマン</v>
      </c>
      <c r="L113" s="6">
        <v>1</v>
      </c>
      <c r="M113" s="6">
        <v>477</v>
      </c>
      <c r="N113" s="28">
        <v>0</v>
      </c>
      <c r="O113" s="28">
        <v>0</v>
      </c>
      <c r="P113" s="28">
        <v>0</v>
      </c>
      <c r="Q113" s="28">
        <v>0</v>
      </c>
      <c r="R113" s="28">
        <v>1</v>
      </c>
    </row>
    <row r="114" spans="1:18" ht="21" customHeight="1">
      <c r="A114" s="8" t="str">
        <f t="shared" si="1"/>
        <v>01471</v>
      </c>
      <c r="B114" s="2">
        <v>113</v>
      </c>
      <c r="C114" s="10" t="str">
        <f ca="1">VLOOKUP($B114,OFFSET([2]gachas!$A$2,0,0,COUNTA([2]gachas!$A:$A),MATCH(C$1,[2]gachas!$1:$1,0)-MATCH($B$1,[2]gachas!$1:$1,0)+1),MATCH(C$1,[2]gachas!$1:$1,0)-MATCH($B$1,[2]gachas!$1:$1,0)+1,FALSE)</f>
        <v>ピックアップ02(沖田) 最終日</v>
      </c>
      <c r="D114" s="6">
        <v>0</v>
      </c>
      <c r="E114" s="7">
        <v>147</v>
      </c>
      <c r="F114" s="10" t="str">
        <f ca="1">VLOOKUP($E114,OFFSET([1]characters!$A$2,0,0,COUNTA([1]characters!$A:$A),MATCH(F$1,[1]characters!$2:$2,0)-MATCH($E$1,[1]characters!$2:$2,0)+1),MATCH(F$1,[1]characters!$2:$2,0)-MATCH($E$1,[1]characters!$2:$2,0)+1,FALSE)</f>
        <v>蒼き閃光 元マーメイド</v>
      </c>
      <c r="G114" s="10" t="str">
        <f ca="1">VLOOKUP($E114,OFFSET([1]characters!$A$2,0,0,COUNTA([1]characters!$A:$A),MATCH(G$1,[1]characters!$2:$2,0)-MATCH($E$1,[1]characters!$2:$2,0)+1),MATCH(G$1,[1]characters!$2:$2,0)-MATCH($E$1,[1]characters!$2:$2,0)+1,FALSE)</f>
        <v>PremiumW</v>
      </c>
      <c r="H114" s="10">
        <f ca="1">VLOOKUP($E114,OFFSET([1]characters!$A$2,0,0,COUNTA([1]characters!$A:$A),MATCH(H$1,[1]characters!$2:$2,0)-MATCH($E$1,[1]characters!$2:$2,0)+1),MATCH(H$1,[1]characters!$2:$2,0)-MATCH($E$1,[1]characters!$2:$2,0)+1,FALSE)</f>
        <v>4</v>
      </c>
      <c r="I114" s="10" t="str">
        <f ca="1">VLOOKUP($E114,OFFSET([1]characters!$A$2,0,0,COUNTA([1]characters!$A:$A),MATCH(I$1,[1]characters!$2:$2,0)-MATCH($E$1,[1]characters!$2:$2,0)+1),MATCH(I$1,[1]characters!$2:$2,0)-MATCH($E$1,[1]characters!$2:$2,0)+1,FALSE)</f>
        <v>blue</v>
      </c>
      <c r="J114" s="10" t="str">
        <f ca="1">VLOOKUP($E114,OFFSET([1]characters!$A$2,0,0,COUNTA([1]characters!$A:$A),MATCH("タイプ",[1]characters!$1:$1,0)-MATCH($E$1,[1]characters!$2:$2,0)+2),MATCH("タイプ",[1]characters!$1:$1,0)-MATCH($E$1,[1]characters!$2:$2,0)+2,FALSE)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14" s="10" t="str">
        <f ca="1">VLOOKUP($E114,OFFSET([1]characters!$A$2,0,0,COUNTA([1]characters!$A:$A),MATCH($K$1,[1]characters!$1:$1,0)-MATCH($E$1,[1]characters!$2:$2,0)+2),MATCH($K$1,[1]characters!$1:$1,0)-MATCH($E$1,[1]characters!$2:$2,0)+2,FALSE)</f>
        <v>ヒューマン</v>
      </c>
      <c r="L114" s="6">
        <v>1</v>
      </c>
      <c r="M114" s="6">
        <v>477</v>
      </c>
      <c r="N114" s="28">
        <v>0</v>
      </c>
      <c r="O114" s="28">
        <v>0</v>
      </c>
      <c r="P114" s="28">
        <v>0</v>
      </c>
      <c r="Q114" s="28">
        <v>0</v>
      </c>
      <c r="R114" s="28">
        <v>1</v>
      </c>
    </row>
    <row r="115" spans="1:18" ht="21" customHeight="1">
      <c r="A115" s="8" t="str">
        <f t="shared" si="1"/>
        <v>01491</v>
      </c>
      <c r="B115" s="2">
        <v>113</v>
      </c>
      <c r="C115" s="10" t="str">
        <f ca="1">VLOOKUP($B115,OFFSET([2]gachas!$A$2,0,0,COUNTA([2]gachas!$A:$A),MATCH(C$1,[2]gachas!$1:$1,0)-MATCH($B$1,[2]gachas!$1:$1,0)+1),MATCH(C$1,[2]gachas!$1:$1,0)-MATCH($B$1,[2]gachas!$1:$1,0)+1,FALSE)</f>
        <v>ピックアップ02(沖田) 最終日</v>
      </c>
      <c r="D115" s="6">
        <v>0</v>
      </c>
      <c r="E115" s="7">
        <v>149</v>
      </c>
      <c r="F115" s="10" t="str">
        <f ca="1">VLOOKUP($E115,OFFSET([1]characters!$A$2,0,0,COUNTA([1]characters!$A:$A),MATCH(F$1,[1]characters!$2:$2,0)-MATCH($E$1,[1]characters!$2:$2,0)+1),MATCH(F$1,[1]characters!$2:$2,0)-MATCH($E$1,[1]characters!$2:$2,0)+1,FALSE)</f>
        <v>雷撃蹴技を極めし者 シンデレラ</v>
      </c>
      <c r="G115" s="10" t="str">
        <f ca="1">VLOOKUP($E115,OFFSET([1]characters!$A$2,0,0,COUNTA([1]characters!$A:$A),MATCH(G$1,[1]characters!$2:$2,0)-MATCH($E$1,[1]characters!$2:$2,0)+1),MATCH(G$1,[1]characters!$2:$2,0)-MATCH($E$1,[1]characters!$2:$2,0)+1,FALSE)</f>
        <v>PremiumW</v>
      </c>
      <c r="H115" s="10">
        <f ca="1">VLOOKUP($E115,OFFSET([1]characters!$A$2,0,0,COUNTA([1]characters!$A:$A),MATCH(H$1,[1]characters!$2:$2,0)-MATCH($E$1,[1]characters!$2:$2,0)+1),MATCH(H$1,[1]characters!$2:$2,0)-MATCH($E$1,[1]characters!$2:$2,0)+1,FALSE)</f>
        <v>4</v>
      </c>
      <c r="I115" s="10" t="str">
        <f ca="1">VLOOKUP($E115,OFFSET([1]characters!$A$2,0,0,COUNTA([1]characters!$A:$A),MATCH(I$1,[1]characters!$2:$2,0)-MATCH($E$1,[1]characters!$2:$2,0)+1),MATCH(I$1,[1]characters!$2:$2,0)-MATCH($E$1,[1]characters!$2:$2,0)+1,FALSE)</f>
        <v>yellow</v>
      </c>
      <c r="J115" s="10" t="str">
        <f ca="1">VLOOKUP($E115,OFFSET([1]characters!$A$2,0,0,COUNTA([1]characters!$A:$A),MATCH("タイプ",[1]characters!$1:$1,0)-MATCH($E$1,[1]characters!$2:$2,0)+2),MATCH("タイプ",[1]characters!$1:$1,0)-MATCH($E$1,[1]characters!$2:$2,0)+2,FALSE)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15" s="10" t="str">
        <f ca="1">VLOOKUP($E115,OFFSET([1]characters!$A$2,0,0,COUNTA([1]characters!$A:$A),MATCH($K$1,[1]characters!$1:$1,0)-MATCH($E$1,[1]characters!$2:$2,0)+2),MATCH($K$1,[1]characters!$1:$1,0)-MATCH($E$1,[1]characters!$2:$2,0)+2,FALSE)</f>
        <v>ヒューマン</v>
      </c>
      <c r="L115" s="6">
        <v>1</v>
      </c>
      <c r="M115" s="6">
        <v>477</v>
      </c>
      <c r="N115" s="28">
        <v>0</v>
      </c>
      <c r="O115" s="28">
        <v>0</v>
      </c>
      <c r="P115" s="28">
        <v>0</v>
      </c>
      <c r="Q115" s="28">
        <v>0</v>
      </c>
      <c r="R115" s="28">
        <v>1</v>
      </c>
    </row>
    <row r="116" spans="1:18" ht="21" customHeight="1">
      <c r="A116" s="8" t="str">
        <f t="shared" si="1"/>
        <v>01511</v>
      </c>
      <c r="B116" s="2">
        <v>113</v>
      </c>
      <c r="C116" s="10" t="str">
        <f ca="1">VLOOKUP($B116,OFFSET([2]gachas!$A$2,0,0,COUNTA([2]gachas!$A:$A),MATCH(C$1,[2]gachas!$1:$1,0)-MATCH($B$1,[2]gachas!$1:$1,0)+1),MATCH(C$1,[2]gachas!$1:$1,0)-MATCH($B$1,[2]gachas!$1:$1,0)+1,FALSE)</f>
        <v>ピックアップ02(沖田) 最終日</v>
      </c>
      <c r="D116" s="6">
        <v>0</v>
      </c>
      <c r="E116" s="7">
        <v>151</v>
      </c>
      <c r="F116" s="10" t="str">
        <f ca="1">VLOOKUP($E116,OFFSET([1]characters!$A$2,0,0,COUNTA([1]characters!$A:$A),MATCH(F$1,[1]characters!$2:$2,0)-MATCH($E$1,[1]characters!$2:$2,0)+1),MATCH(F$1,[1]characters!$2:$2,0)-MATCH($E$1,[1]characters!$2:$2,0)+1,FALSE)</f>
        <v>毒煙の処刑人サキ</v>
      </c>
      <c r="G116" s="10" t="str">
        <f ca="1">VLOOKUP($E116,OFFSET([1]characters!$A$2,0,0,COUNTA([1]characters!$A:$A),MATCH(G$1,[1]characters!$2:$2,0)-MATCH($E$1,[1]characters!$2:$2,0)+1),MATCH(G$1,[1]characters!$2:$2,0)-MATCH($E$1,[1]characters!$2:$2,0)+1,FALSE)</f>
        <v>PremiumW</v>
      </c>
      <c r="H116" s="10">
        <f ca="1">VLOOKUP($E116,OFFSET([1]characters!$A$2,0,0,COUNTA([1]characters!$A:$A),MATCH(H$1,[1]characters!$2:$2,0)-MATCH($E$1,[1]characters!$2:$2,0)+1),MATCH(H$1,[1]characters!$2:$2,0)-MATCH($E$1,[1]characters!$2:$2,0)+1,FALSE)</f>
        <v>4</v>
      </c>
      <c r="I116" s="10" t="str">
        <f ca="1">VLOOKUP($E116,OFFSET([1]characters!$A$2,0,0,COUNTA([1]characters!$A:$A),MATCH(I$1,[1]characters!$2:$2,0)-MATCH($E$1,[1]characters!$2:$2,0)+1),MATCH(I$1,[1]characters!$2:$2,0)-MATCH($E$1,[1]characters!$2:$2,0)+1,FALSE)</f>
        <v>red</v>
      </c>
      <c r="J116" s="10" t="str">
        <f ca="1">VLOOKUP($E116,OFFSET([1]characters!$A$2,0,0,COUNTA([1]characters!$A:$A),MATCH("タイプ",[1]characters!$1:$1,0)-MATCH($E$1,[1]characters!$2:$2,0)+2),MATCH("タイプ",[1]characters!$1:$1,0)-MATCH($E$1,[1]characters!$2:$2,0)+2,FALSE)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16" s="10" t="str">
        <f ca="1">VLOOKUP($E116,OFFSET([1]characters!$A$2,0,0,COUNTA([1]characters!$A:$A),MATCH($K$1,[1]characters!$1:$1,0)-MATCH($E$1,[1]characters!$2:$2,0)+2),MATCH($K$1,[1]characters!$1:$1,0)-MATCH($E$1,[1]characters!$2:$2,0)+2,FALSE)</f>
        <v>ヒューマン</v>
      </c>
      <c r="L116" s="6">
        <v>1</v>
      </c>
      <c r="M116" s="6">
        <v>477</v>
      </c>
      <c r="N116" s="28">
        <v>0</v>
      </c>
      <c r="O116" s="28">
        <v>0</v>
      </c>
      <c r="P116" s="28">
        <v>0</v>
      </c>
      <c r="Q116" s="28">
        <v>0</v>
      </c>
      <c r="R116" s="28">
        <v>1</v>
      </c>
    </row>
    <row r="117" spans="1:18" ht="21" customHeight="1">
      <c r="A117" s="8" t="str">
        <f t="shared" si="1"/>
        <v>01531</v>
      </c>
      <c r="B117" s="2">
        <v>113</v>
      </c>
      <c r="C117" s="10" t="str">
        <f ca="1">VLOOKUP($B117,OFFSET([2]gachas!$A$2,0,0,COUNTA([2]gachas!$A:$A),MATCH(C$1,[2]gachas!$1:$1,0)-MATCH($B$1,[2]gachas!$1:$1,0)+1),MATCH(C$1,[2]gachas!$1:$1,0)-MATCH($B$1,[2]gachas!$1:$1,0)+1,FALSE)</f>
        <v>ピックアップ02(沖田) 最終日</v>
      </c>
      <c r="D117" s="6">
        <v>0</v>
      </c>
      <c r="E117" s="7">
        <v>153</v>
      </c>
      <c r="F117" s="10" t="str">
        <f ca="1">VLOOKUP($E117,OFFSET([1]characters!$A$2,0,0,COUNTA([1]characters!$A:$A),MATCH(F$1,[1]characters!$2:$2,0)-MATCH($E$1,[1]characters!$2:$2,0)+1),MATCH(F$1,[1]characters!$2:$2,0)-MATCH($E$1,[1]characters!$2:$2,0)+1,FALSE)</f>
        <v>拳聖ランラン</v>
      </c>
      <c r="G117" s="10" t="str">
        <f ca="1">VLOOKUP($E117,OFFSET([1]characters!$A$2,0,0,COUNTA([1]characters!$A:$A),MATCH(G$1,[1]characters!$2:$2,0)-MATCH($E$1,[1]characters!$2:$2,0)+1),MATCH(G$1,[1]characters!$2:$2,0)-MATCH($E$1,[1]characters!$2:$2,0)+1,FALSE)</f>
        <v>PremiumW</v>
      </c>
      <c r="H117" s="10">
        <f ca="1">VLOOKUP($E117,OFFSET([1]characters!$A$2,0,0,COUNTA([1]characters!$A:$A),MATCH(H$1,[1]characters!$2:$2,0)-MATCH($E$1,[1]characters!$2:$2,0)+1),MATCH(H$1,[1]characters!$2:$2,0)-MATCH($E$1,[1]characters!$2:$2,0)+1,FALSE)</f>
        <v>4</v>
      </c>
      <c r="I117" s="10" t="str">
        <f ca="1">VLOOKUP($E117,OFFSET([1]characters!$A$2,0,0,COUNTA([1]characters!$A:$A),MATCH(I$1,[1]characters!$2:$2,0)-MATCH($E$1,[1]characters!$2:$2,0)+1),MATCH(I$1,[1]characters!$2:$2,0)-MATCH($E$1,[1]characters!$2:$2,0)+1,FALSE)</f>
        <v>green</v>
      </c>
      <c r="J117" s="10" t="str">
        <f ca="1">VLOOKUP($E117,OFFSET([1]characters!$A$2,0,0,COUNTA([1]characters!$A:$A),MATCH("タイプ",[1]characters!$1:$1,0)-MATCH($E$1,[1]characters!$2:$2,0)+2),MATCH("タイプ",[1]characters!$1:$1,0)-MATCH($E$1,[1]characters!$2:$2,0)+2,FALSE)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7" s="10" t="str">
        <f ca="1">VLOOKUP($E117,OFFSET([1]characters!$A$2,0,0,COUNTA([1]characters!$A:$A),MATCH($K$1,[1]characters!$1:$1,0)-MATCH($E$1,[1]characters!$2:$2,0)+2),MATCH($K$1,[1]characters!$1:$1,0)-MATCH($E$1,[1]characters!$2:$2,0)+2,FALSE)</f>
        <v>ヒューマン</v>
      </c>
      <c r="L117" s="6">
        <v>1</v>
      </c>
      <c r="M117" s="6">
        <v>477</v>
      </c>
      <c r="N117" s="28">
        <v>0</v>
      </c>
      <c r="O117" s="28">
        <v>0</v>
      </c>
      <c r="P117" s="28">
        <v>0</v>
      </c>
      <c r="Q117" s="28">
        <v>0</v>
      </c>
      <c r="R117" s="28">
        <v>1</v>
      </c>
    </row>
    <row r="118" spans="1:18" ht="21" customHeight="1">
      <c r="A118" s="8" t="str">
        <f t="shared" si="1"/>
        <v>01551</v>
      </c>
      <c r="B118" s="2">
        <v>113</v>
      </c>
      <c r="C118" s="10" t="str">
        <f ca="1">VLOOKUP($B118,OFFSET([2]gachas!$A$2,0,0,COUNTA([2]gachas!$A:$A),MATCH(C$1,[2]gachas!$1:$1,0)-MATCH($B$1,[2]gachas!$1:$1,0)+1),MATCH(C$1,[2]gachas!$1:$1,0)-MATCH($B$1,[2]gachas!$1:$1,0)+1,FALSE)</f>
        <v>ピックアップ02(沖田) 最終日</v>
      </c>
      <c r="D118" s="6">
        <v>0</v>
      </c>
      <c r="E118" s="7">
        <v>155</v>
      </c>
      <c r="F118" s="10" t="str">
        <f ca="1">VLOOKUP($E118,OFFSET([1]characters!$A$2,0,0,COUNTA([1]characters!$A:$A),MATCH(F$1,[1]characters!$2:$2,0)-MATCH($E$1,[1]characters!$2:$2,0)+1),MATCH(F$1,[1]characters!$2:$2,0)-MATCH($E$1,[1]characters!$2:$2,0)+1,FALSE)</f>
        <v>隻眼の掃除屋 ハンナ</v>
      </c>
      <c r="G118" s="10" t="str">
        <f ca="1">VLOOKUP($E118,OFFSET([1]characters!$A$2,0,0,COUNTA([1]characters!$A:$A),MATCH(G$1,[1]characters!$2:$2,0)-MATCH($E$1,[1]characters!$2:$2,0)+1),MATCH(G$1,[1]characters!$2:$2,0)-MATCH($E$1,[1]characters!$2:$2,0)+1,FALSE)</f>
        <v>PremiumW</v>
      </c>
      <c r="H118" s="10">
        <f ca="1">VLOOKUP($E118,OFFSET([1]characters!$A$2,0,0,COUNTA([1]characters!$A:$A),MATCH(H$1,[1]characters!$2:$2,0)-MATCH($E$1,[1]characters!$2:$2,0)+1),MATCH(H$1,[1]characters!$2:$2,0)-MATCH($E$1,[1]characters!$2:$2,0)+1,FALSE)</f>
        <v>4</v>
      </c>
      <c r="I118" s="10" t="str">
        <f ca="1">VLOOKUP($E118,OFFSET([1]characters!$A$2,0,0,COUNTA([1]characters!$A:$A),MATCH(I$1,[1]characters!$2:$2,0)-MATCH($E$1,[1]characters!$2:$2,0)+1),MATCH(I$1,[1]characters!$2:$2,0)-MATCH($E$1,[1]characters!$2:$2,0)+1,FALSE)</f>
        <v>blue</v>
      </c>
      <c r="J118" s="10" t="str">
        <f ca="1">VLOOKUP($E118,OFFSET([1]characters!$A$2,0,0,COUNTA([1]characters!$A:$A),MATCH("タイプ",[1]characters!$1:$1,0)-MATCH($E$1,[1]characters!$2:$2,0)+2),MATCH("タイプ",[1]characters!$1:$1,0)-MATCH($E$1,[1]characters!$2:$2,0)+2,FALSE)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8" s="10" t="str">
        <f ca="1">VLOOKUP($E118,OFFSET([1]characters!$A$2,0,0,COUNTA([1]characters!$A:$A),MATCH($K$1,[1]characters!$1:$1,0)-MATCH($E$1,[1]characters!$2:$2,0)+2),MATCH($K$1,[1]characters!$1:$1,0)-MATCH($E$1,[1]characters!$2:$2,0)+2,FALSE)</f>
        <v>ヒューマン</v>
      </c>
      <c r="L118" s="6">
        <v>1</v>
      </c>
      <c r="M118" s="6">
        <v>477</v>
      </c>
      <c r="N118" s="28">
        <v>0</v>
      </c>
      <c r="O118" s="28">
        <v>0</v>
      </c>
      <c r="P118" s="28">
        <v>0</v>
      </c>
      <c r="Q118" s="28">
        <v>0</v>
      </c>
      <c r="R118" s="28">
        <v>1</v>
      </c>
    </row>
    <row r="119" spans="1:18" ht="21" customHeight="1">
      <c r="A119" s="8" t="str">
        <f t="shared" si="1"/>
        <v>01571</v>
      </c>
      <c r="B119" s="2">
        <v>113</v>
      </c>
      <c r="C119" s="10" t="str">
        <f ca="1">VLOOKUP($B119,OFFSET([2]gachas!$A$2,0,0,COUNTA([2]gachas!$A:$A),MATCH(C$1,[2]gachas!$1:$1,0)-MATCH($B$1,[2]gachas!$1:$1,0)+1),MATCH(C$1,[2]gachas!$1:$1,0)-MATCH($B$1,[2]gachas!$1:$1,0)+1,FALSE)</f>
        <v>ピックアップ02(沖田) 最終日</v>
      </c>
      <c r="D119" s="6">
        <v>0</v>
      </c>
      <c r="E119" s="7">
        <v>157</v>
      </c>
      <c r="F119" s="10" t="str">
        <f ca="1">VLOOKUP($E119,OFFSET([1]characters!$A$2,0,0,COUNTA([1]characters!$A:$A),MATCH(F$1,[1]characters!$2:$2,0)-MATCH($E$1,[1]characters!$2:$2,0)+1),MATCH(F$1,[1]characters!$2:$2,0)-MATCH($E$1,[1]characters!$2:$2,0)+1,FALSE)</f>
        <v>雷光舞姫 エレナ</v>
      </c>
      <c r="G119" s="10" t="str">
        <f ca="1">VLOOKUP($E119,OFFSET([1]characters!$A$2,0,0,COUNTA([1]characters!$A:$A),MATCH(G$1,[1]characters!$2:$2,0)-MATCH($E$1,[1]characters!$2:$2,0)+1),MATCH(G$1,[1]characters!$2:$2,0)-MATCH($E$1,[1]characters!$2:$2,0)+1,FALSE)</f>
        <v>PremiumW</v>
      </c>
      <c r="H119" s="10">
        <f ca="1">VLOOKUP($E119,OFFSET([1]characters!$A$2,0,0,COUNTA([1]characters!$A:$A),MATCH(H$1,[1]characters!$2:$2,0)-MATCH($E$1,[1]characters!$2:$2,0)+1),MATCH(H$1,[1]characters!$2:$2,0)-MATCH($E$1,[1]characters!$2:$2,0)+1,FALSE)</f>
        <v>4</v>
      </c>
      <c r="I119" s="10" t="str">
        <f ca="1">VLOOKUP($E119,OFFSET([1]characters!$A$2,0,0,COUNTA([1]characters!$A:$A),MATCH(I$1,[1]characters!$2:$2,0)-MATCH($E$1,[1]characters!$2:$2,0)+1),MATCH(I$1,[1]characters!$2:$2,0)-MATCH($E$1,[1]characters!$2:$2,0)+1,FALSE)</f>
        <v>yellow</v>
      </c>
      <c r="J119" s="10" t="str">
        <f ca="1">VLOOKUP($E119,OFFSET([1]characters!$A$2,0,0,COUNTA([1]characters!$A:$A),MATCH("タイプ",[1]characters!$1:$1,0)-MATCH($E$1,[1]characters!$2:$2,0)+2),MATCH("タイプ",[1]characters!$1:$1,0)-MATCH($E$1,[1]characters!$2:$2,0)+2,FALSE)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19" s="10" t="str">
        <f ca="1">VLOOKUP($E119,OFFSET([1]characters!$A$2,0,0,COUNTA([1]characters!$A:$A),MATCH($K$1,[1]characters!$1:$1,0)-MATCH($E$1,[1]characters!$2:$2,0)+2),MATCH($K$1,[1]characters!$1:$1,0)-MATCH($E$1,[1]characters!$2:$2,0)+2,FALSE)</f>
        <v>ヒューマン</v>
      </c>
      <c r="L119" s="6">
        <v>1</v>
      </c>
      <c r="M119" s="6">
        <v>477</v>
      </c>
      <c r="N119" s="28">
        <v>0</v>
      </c>
      <c r="O119" s="28">
        <v>0</v>
      </c>
      <c r="P119" s="28">
        <v>0</v>
      </c>
      <c r="Q119" s="28">
        <v>0</v>
      </c>
      <c r="R119" s="28">
        <v>1</v>
      </c>
    </row>
    <row r="120" spans="1:18" ht="21" customHeight="1">
      <c r="A120" s="8" t="str">
        <f t="shared" si="1"/>
        <v>01591</v>
      </c>
      <c r="B120" s="2">
        <v>113</v>
      </c>
      <c r="C120" s="10" t="str">
        <f ca="1">VLOOKUP($B120,OFFSET([2]gachas!$A$2,0,0,COUNTA([2]gachas!$A:$A),MATCH(C$1,[2]gachas!$1:$1,0)-MATCH($B$1,[2]gachas!$1:$1,0)+1),MATCH(C$1,[2]gachas!$1:$1,0)-MATCH($B$1,[2]gachas!$1:$1,0)+1,FALSE)</f>
        <v>ピックアップ02(沖田) 最終日</v>
      </c>
      <c r="D120" s="6">
        <v>0</v>
      </c>
      <c r="E120" s="7">
        <v>159</v>
      </c>
      <c r="F120" s="10" t="str">
        <f ca="1">VLOOKUP($E120,OFFSET([1]characters!$A$2,0,0,COUNTA([1]characters!$A:$A),MATCH(F$1,[1]characters!$2:$2,0)-MATCH($E$1,[1]characters!$2:$2,0)+1),MATCH(F$1,[1]characters!$2:$2,0)-MATCH($E$1,[1]characters!$2:$2,0)+1,FALSE)</f>
        <v>邪を狩りし者 シャルロッテ</v>
      </c>
      <c r="G120" s="10" t="str">
        <f ca="1">VLOOKUP($E120,OFFSET([1]characters!$A$2,0,0,COUNTA([1]characters!$A:$A),MATCH(G$1,[1]characters!$2:$2,0)-MATCH($E$1,[1]characters!$2:$2,0)+1),MATCH(G$1,[1]characters!$2:$2,0)-MATCH($E$1,[1]characters!$2:$2,0)+1,FALSE)</f>
        <v>PremiumW</v>
      </c>
      <c r="H120" s="10">
        <f ca="1">VLOOKUP($E120,OFFSET([1]characters!$A$2,0,0,COUNTA([1]characters!$A:$A),MATCH(H$1,[1]characters!$2:$2,0)-MATCH($E$1,[1]characters!$2:$2,0)+1),MATCH(H$1,[1]characters!$2:$2,0)-MATCH($E$1,[1]characters!$2:$2,0)+1,FALSE)</f>
        <v>4</v>
      </c>
      <c r="I120" s="10" t="str">
        <f ca="1">VLOOKUP($E120,OFFSET([1]characters!$A$2,0,0,COUNTA([1]characters!$A:$A),MATCH(I$1,[1]characters!$2:$2,0)-MATCH($E$1,[1]characters!$2:$2,0)+1),MATCH(I$1,[1]characters!$2:$2,0)-MATCH($E$1,[1]characters!$2:$2,0)+1,FALSE)</f>
        <v>red</v>
      </c>
      <c r="J120" s="10" t="str">
        <f ca="1">VLOOKUP($E120,OFFSET([1]characters!$A$2,0,0,COUNTA([1]characters!$A:$A),MATCH("タイプ",[1]characters!$1:$1,0)-MATCH($E$1,[1]characters!$2:$2,0)+2),MATCH("タイプ",[1]characters!$1:$1,0)-MATCH($E$1,[1]characters!$2:$2,0)+2,FALSE)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20" s="10" t="str">
        <f ca="1">VLOOKUP($E120,OFFSET([1]characters!$A$2,0,0,COUNTA([1]characters!$A:$A),MATCH($K$1,[1]characters!$1:$1,0)-MATCH($E$1,[1]characters!$2:$2,0)+2),MATCH($K$1,[1]characters!$1:$1,0)-MATCH($E$1,[1]characters!$2:$2,0)+2,FALSE)</f>
        <v>ヒューマン</v>
      </c>
      <c r="L120" s="6">
        <v>1</v>
      </c>
      <c r="M120" s="6">
        <v>477</v>
      </c>
      <c r="N120" s="28">
        <v>0</v>
      </c>
      <c r="O120" s="28">
        <v>0</v>
      </c>
      <c r="P120" s="28">
        <v>0</v>
      </c>
      <c r="Q120" s="28">
        <v>0</v>
      </c>
      <c r="R120" s="28">
        <v>1</v>
      </c>
    </row>
    <row r="121" spans="1:18" ht="21" customHeight="1">
      <c r="A121" s="8" t="str">
        <f t="shared" si="1"/>
        <v>01611</v>
      </c>
      <c r="B121" s="2">
        <v>113</v>
      </c>
      <c r="C121" s="10" t="str">
        <f ca="1">VLOOKUP($B121,OFFSET([2]gachas!$A$2,0,0,COUNTA([2]gachas!$A:$A),MATCH(C$1,[2]gachas!$1:$1,0)-MATCH($B$1,[2]gachas!$1:$1,0)+1),MATCH(C$1,[2]gachas!$1:$1,0)-MATCH($B$1,[2]gachas!$1:$1,0)+1,FALSE)</f>
        <v>ピックアップ02(沖田) 最終日</v>
      </c>
      <c r="D121" s="6">
        <v>0</v>
      </c>
      <c r="E121" s="7">
        <v>161</v>
      </c>
      <c r="F121" s="10" t="str">
        <f ca="1">VLOOKUP($E121,OFFSET([1]characters!$A$2,0,0,COUNTA([1]characters!$A:$A),MATCH(F$1,[1]characters!$2:$2,0)-MATCH($E$1,[1]characters!$2:$2,0)+1),MATCH(F$1,[1]characters!$2:$2,0)-MATCH($E$1,[1]characters!$2:$2,0)+1,FALSE)</f>
        <v>咆哮の先導者 クリエ</v>
      </c>
      <c r="G121" s="10" t="str">
        <f ca="1">VLOOKUP($E121,OFFSET([1]characters!$A$2,0,0,COUNTA([1]characters!$A:$A),MATCH(G$1,[1]characters!$2:$2,0)-MATCH($E$1,[1]characters!$2:$2,0)+1),MATCH(G$1,[1]characters!$2:$2,0)-MATCH($E$1,[1]characters!$2:$2,0)+1,FALSE)</f>
        <v>PremiumW</v>
      </c>
      <c r="H121" s="10">
        <f ca="1">VLOOKUP($E121,OFFSET([1]characters!$A$2,0,0,COUNTA([1]characters!$A:$A),MATCH(H$1,[1]characters!$2:$2,0)-MATCH($E$1,[1]characters!$2:$2,0)+1),MATCH(H$1,[1]characters!$2:$2,0)-MATCH($E$1,[1]characters!$2:$2,0)+1,FALSE)</f>
        <v>4</v>
      </c>
      <c r="I121" s="10" t="str">
        <f ca="1">VLOOKUP($E121,OFFSET([1]characters!$A$2,0,0,COUNTA([1]characters!$A:$A),MATCH(I$1,[1]characters!$2:$2,0)-MATCH($E$1,[1]characters!$2:$2,0)+1),MATCH(I$1,[1]characters!$2:$2,0)-MATCH($E$1,[1]characters!$2:$2,0)+1,FALSE)</f>
        <v>green</v>
      </c>
      <c r="J121" s="10" t="str">
        <f ca="1">VLOOKUP($E121,OFFSET([1]characters!$A$2,0,0,COUNTA([1]characters!$A:$A),MATCH("タイプ",[1]characters!$1:$1,0)-MATCH($E$1,[1]characters!$2:$2,0)+2),MATCH("タイプ",[1]characters!$1:$1,0)-MATCH($E$1,[1]characters!$2:$2,0)+2,FALSE)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1" s="10" t="str">
        <f ca="1">VLOOKUP($E121,OFFSET([1]characters!$A$2,0,0,COUNTA([1]characters!$A:$A),MATCH($K$1,[1]characters!$1:$1,0)-MATCH($E$1,[1]characters!$2:$2,0)+2),MATCH($K$1,[1]characters!$1:$1,0)-MATCH($E$1,[1]characters!$2:$2,0)+2,FALSE)</f>
        <v>ヒューマン</v>
      </c>
      <c r="L121" s="6">
        <v>1</v>
      </c>
      <c r="M121" s="6">
        <v>477</v>
      </c>
      <c r="N121" s="28">
        <v>0</v>
      </c>
      <c r="O121" s="28">
        <v>0</v>
      </c>
      <c r="P121" s="28">
        <v>0</v>
      </c>
      <c r="Q121" s="28">
        <v>0</v>
      </c>
      <c r="R121" s="28">
        <v>1</v>
      </c>
    </row>
    <row r="122" spans="1:18" ht="21" customHeight="1">
      <c r="A122" s="8" t="str">
        <f t="shared" si="1"/>
        <v>01631</v>
      </c>
      <c r="B122" s="2">
        <v>113</v>
      </c>
      <c r="C122" s="10" t="str">
        <f ca="1">VLOOKUP($B122,OFFSET([2]gachas!$A$2,0,0,COUNTA([2]gachas!$A:$A),MATCH(C$1,[2]gachas!$1:$1,0)-MATCH($B$1,[2]gachas!$1:$1,0)+1),MATCH(C$1,[2]gachas!$1:$1,0)-MATCH($B$1,[2]gachas!$1:$1,0)+1,FALSE)</f>
        <v>ピックアップ02(沖田) 最終日</v>
      </c>
      <c r="D122" s="6">
        <v>0</v>
      </c>
      <c r="E122" s="7">
        <v>163</v>
      </c>
      <c r="F122" s="10" t="str">
        <f ca="1">VLOOKUP($E122,OFFSET([1]characters!$A$2,0,0,COUNTA([1]characters!$A:$A),MATCH(F$1,[1]characters!$2:$2,0)-MATCH($E$1,[1]characters!$2:$2,0)+1),MATCH(F$1,[1]characters!$2:$2,0)-MATCH($E$1,[1]characters!$2:$2,0)+1,FALSE)</f>
        <v>冷酷な狂嬢 クララ</v>
      </c>
      <c r="G122" s="10" t="str">
        <f ca="1">VLOOKUP($E122,OFFSET([1]characters!$A$2,0,0,COUNTA([1]characters!$A:$A),MATCH(G$1,[1]characters!$2:$2,0)-MATCH($E$1,[1]characters!$2:$2,0)+1),MATCH(G$1,[1]characters!$2:$2,0)-MATCH($E$1,[1]characters!$2:$2,0)+1,FALSE)</f>
        <v>PremiumW</v>
      </c>
      <c r="H122" s="10">
        <f ca="1">VLOOKUP($E122,OFFSET([1]characters!$A$2,0,0,COUNTA([1]characters!$A:$A),MATCH(H$1,[1]characters!$2:$2,0)-MATCH($E$1,[1]characters!$2:$2,0)+1),MATCH(H$1,[1]characters!$2:$2,0)-MATCH($E$1,[1]characters!$2:$2,0)+1,FALSE)</f>
        <v>4</v>
      </c>
      <c r="I122" s="10" t="str">
        <f ca="1">VLOOKUP($E122,OFFSET([1]characters!$A$2,0,0,COUNTA([1]characters!$A:$A),MATCH(I$1,[1]characters!$2:$2,0)-MATCH($E$1,[1]characters!$2:$2,0)+1),MATCH(I$1,[1]characters!$2:$2,0)-MATCH($E$1,[1]characters!$2:$2,0)+1,FALSE)</f>
        <v>blue</v>
      </c>
      <c r="J122" s="10" t="str">
        <f ca="1">VLOOKUP($E122,OFFSET([1]characters!$A$2,0,0,COUNTA([1]characters!$A:$A),MATCH("タイプ",[1]characters!$1:$1,0)-MATCH($E$1,[1]characters!$2:$2,0)+2),MATCH("タイプ",[1]characters!$1:$1,0)-MATCH($E$1,[1]characters!$2:$2,0)+2,FALSE)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2" s="10" t="str">
        <f ca="1">VLOOKUP($E122,OFFSET([1]characters!$A$2,0,0,COUNTA([1]characters!$A:$A),MATCH($K$1,[1]characters!$1:$1,0)-MATCH($E$1,[1]characters!$2:$2,0)+2),MATCH($K$1,[1]characters!$1:$1,0)-MATCH($E$1,[1]characters!$2:$2,0)+2,FALSE)</f>
        <v>ヒューマン</v>
      </c>
      <c r="L122" s="6">
        <v>1</v>
      </c>
      <c r="M122" s="6">
        <v>477</v>
      </c>
      <c r="N122" s="28">
        <v>0</v>
      </c>
      <c r="O122" s="28">
        <v>0</v>
      </c>
      <c r="P122" s="28">
        <v>0</v>
      </c>
      <c r="Q122" s="28">
        <v>0</v>
      </c>
      <c r="R122" s="28">
        <v>1</v>
      </c>
    </row>
    <row r="123" spans="1:18" ht="21" customHeight="1">
      <c r="A123" s="8" t="str">
        <f t="shared" si="1"/>
        <v>01651</v>
      </c>
      <c r="B123" s="2">
        <v>113</v>
      </c>
      <c r="C123" s="10" t="str">
        <f ca="1">VLOOKUP($B123,OFFSET([2]gachas!$A$2,0,0,COUNTA([2]gachas!$A:$A),MATCH(C$1,[2]gachas!$1:$1,0)-MATCH($B$1,[2]gachas!$1:$1,0)+1),MATCH(C$1,[2]gachas!$1:$1,0)-MATCH($B$1,[2]gachas!$1:$1,0)+1,FALSE)</f>
        <v>ピックアップ02(沖田) 最終日</v>
      </c>
      <c r="D123" s="6">
        <v>0</v>
      </c>
      <c r="E123" s="7">
        <v>165</v>
      </c>
      <c r="F123" s="10" t="str">
        <f ca="1">VLOOKUP($E123,OFFSET([1]characters!$A$2,0,0,COUNTA([1]characters!$A:$A),MATCH(F$1,[1]characters!$2:$2,0)-MATCH($E$1,[1]characters!$2:$2,0)+1),MATCH(F$1,[1]characters!$2:$2,0)-MATCH($E$1,[1]characters!$2:$2,0)+1,FALSE)</f>
        <v>イブとたったひとりのトモダチ</v>
      </c>
      <c r="G123" s="10" t="str">
        <f ca="1">VLOOKUP($E123,OFFSET([1]characters!$A$2,0,0,COUNTA([1]characters!$A:$A),MATCH(G$1,[1]characters!$2:$2,0)-MATCH($E$1,[1]characters!$2:$2,0)+1),MATCH(G$1,[1]characters!$2:$2,0)-MATCH($E$1,[1]characters!$2:$2,0)+1,FALSE)</f>
        <v>PremiumW</v>
      </c>
      <c r="H123" s="10">
        <f ca="1">VLOOKUP($E123,OFFSET([1]characters!$A$2,0,0,COUNTA([1]characters!$A:$A),MATCH(H$1,[1]characters!$2:$2,0)-MATCH($E$1,[1]characters!$2:$2,0)+1),MATCH(H$1,[1]characters!$2:$2,0)-MATCH($E$1,[1]characters!$2:$2,0)+1,FALSE)</f>
        <v>4</v>
      </c>
      <c r="I123" s="10" t="str">
        <f ca="1">VLOOKUP($E123,OFFSET([1]characters!$A$2,0,0,COUNTA([1]characters!$A:$A),MATCH(I$1,[1]characters!$2:$2,0)-MATCH($E$1,[1]characters!$2:$2,0)+1),MATCH(I$1,[1]characters!$2:$2,0)-MATCH($E$1,[1]characters!$2:$2,0)+1,FALSE)</f>
        <v>yellow</v>
      </c>
      <c r="J123" s="10" t="str">
        <f ca="1">VLOOKUP($E123,OFFSET([1]characters!$A$2,0,0,COUNTA([1]characters!$A:$A),MATCH("タイプ",[1]characters!$1:$1,0)-MATCH($E$1,[1]characters!$2:$2,0)+2),MATCH("タイプ",[1]characters!$1:$1,0)-MATCH($E$1,[1]characters!$2:$2,0)+2,FALSE)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23" s="10" t="str">
        <f ca="1">VLOOKUP($E123,OFFSET([1]characters!$A$2,0,0,COUNTA([1]characters!$A:$A),MATCH($K$1,[1]characters!$1:$1,0)-MATCH($E$1,[1]characters!$2:$2,0)+2),MATCH($K$1,[1]characters!$1:$1,0)-MATCH($E$1,[1]characters!$2:$2,0)+2,FALSE)</f>
        <v>ヒューマン</v>
      </c>
      <c r="L123" s="6">
        <v>1</v>
      </c>
      <c r="M123" s="6">
        <v>477</v>
      </c>
      <c r="N123" s="28">
        <v>0</v>
      </c>
      <c r="O123" s="28">
        <v>0</v>
      </c>
      <c r="P123" s="28">
        <v>0</v>
      </c>
      <c r="Q123" s="28">
        <v>0</v>
      </c>
      <c r="R123" s="28">
        <v>1</v>
      </c>
    </row>
    <row r="124" spans="1:18" ht="21" customHeight="1">
      <c r="A124" s="8" t="str">
        <f t="shared" si="1"/>
        <v>01671</v>
      </c>
      <c r="B124" s="2">
        <v>113</v>
      </c>
      <c r="C124" s="10" t="str">
        <f ca="1">VLOOKUP($B124,OFFSET([2]gachas!$A$2,0,0,COUNTA([2]gachas!$A:$A),MATCH(C$1,[2]gachas!$1:$1,0)-MATCH($B$1,[2]gachas!$1:$1,0)+1),MATCH(C$1,[2]gachas!$1:$1,0)-MATCH($B$1,[2]gachas!$1:$1,0)+1,FALSE)</f>
        <v>ピックアップ02(沖田) 最終日</v>
      </c>
      <c r="D124" s="6">
        <v>0</v>
      </c>
      <c r="E124" s="7">
        <v>167</v>
      </c>
      <c r="F124" s="10" t="str">
        <f ca="1">VLOOKUP($E124,OFFSET([1]characters!$A$2,0,0,COUNTA([1]characters!$A:$A),MATCH(F$1,[1]characters!$2:$2,0)-MATCH($E$1,[1]characters!$2:$2,0)+1),MATCH(F$1,[1]characters!$2:$2,0)-MATCH($E$1,[1]characters!$2:$2,0)+1,FALSE)</f>
        <v>逆徒 ベリアル</v>
      </c>
      <c r="G124" s="10" t="str">
        <f ca="1">VLOOKUP($E124,OFFSET([1]characters!$A$2,0,0,COUNTA([1]characters!$A:$A),MATCH(G$1,[1]characters!$2:$2,0)-MATCH($E$1,[1]characters!$2:$2,0)+1),MATCH(G$1,[1]characters!$2:$2,0)-MATCH($E$1,[1]characters!$2:$2,0)+1,FALSE)</f>
        <v>PremiumN</v>
      </c>
      <c r="H124" s="10">
        <f ca="1">VLOOKUP($E124,OFFSET([1]characters!$A$2,0,0,COUNTA([1]characters!$A:$A),MATCH(H$1,[1]characters!$2:$2,0)-MATCH($E$1,[1]characters!$2:$2,0)+1),MATCH(H$1,[1]characters!$2:$2,0)-MATCH($E$1,[1]characters!$2:$2,0)+1,FALSE)</f>
        <v>4</v>
      </c>
      <c r="I124" s="10" t="str">
        <f ca="1">VLOOKUP($E124,OFFSET([1]characters!$A$2,0,0,COUNTA([1]characters!$A:$A),MATCH(I$1,[1]characters!$2:$2,0)-MATCH($E$1,[1]characters!$2:$2,0)+1),MATCH(I$1,[1]characters!$2:$2,0)-MATCH($E$1,[1]characters!$2:$2,0)+1,FALSE)</f>
        <v>red</v>
      </c>
      <c r="J124" s="10" t="str">
        <f ca="1">VLOOKUP($E124,OFFSET([1]characters!$A$2,0,0,COUNTA([1]characters!$A:$A),MATCH("タイプ",[1]characters!$1:$1,0)-MATCH($E$1,[1]characters!$2:$2,0)+2),MATCH("タイプ",[1]characters!$1:$1,0)-MATCH($E$1,[1]characters!$2:$2,0)+2,FALSE)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4" s="10" t="str">
        <f ca="1">VLOOKUP($E124,OFFSET([1]characters!$A$2,0,0,COUNTA([1]characters!$A:$A),MATCH($K$1,[1]characters!$1:$1,0)-MATCH($E$1,[1]characters!$2:$2,0)+2),MATCH($K$1,[1]characters!$1:$1,0)-MATCH($E$1,[1]characters!$2:$2,0)+2,FALSE)</f>
        <v>ゴッド</v>
      </c>
      <c r="L124" s="6">
        <v>1</v>
      </c>
      <c r="M124" s="6">
        <v>477</v>
      </c>
      <c r="N124" s="28">
        <v>0</v>
      </c>
      <c r="O124" s="28">
        <v>0</v>
      </c>
      <c r="P124" s="28">
        <v>0</v>
      </c>
      <c r="Q124" s="28">
        <v>0</v>
      </c>
      <c r="R124" s="28">
        <v>1</v>
      </c>
    </row>
    <row r="125" spans="1:18" ht="21" customHeight="1">
      <c r="A125" s="8" t="str">
        <f t="shared" si="1"/>
        <v>01701</v>
      </c>
      <c r="B125" s="2">
        <v>113</v>
      </c>
      <c r="C125" s="10" t="str">
        <f ca="1">VLOOKUP($B125,OFFSET([2]gachas!$A$2,0,0,COUNTA([2]gachas!$A:$A),MATCH(C$1,[2]gachas!$1:$1,0)-MATCH($B$1,[2]gachas!$1:$1,0)+1),MATCH(C$1,[2]gachas!$1:$1,0)-MATCH($B$1,[2]gachas!$1:$1,0)+1,FALSE)</f>
        <v>ピックアップ02(沖田) 最終日</v>
      </c>
      <c r="D125" s="6">
        <v>0</v>
      </c>
      <c r="E125" s="7">
        <v>170</v>
      </c>
      <c r="F125" s="10" t="str">
        <f ca="1">VLOOKUP($E125,OFFSET([1]characters!$A$2,0,0,COUNTA([1]characters!$A:$A),MATCH(F$1,[1]characters!$2:$2,0)-MATCH($E$1,[1]characters!$2:$2,0)+1),MATCH(F$1,[1]characters!$2:$2,0)-MATCH($E$1,[1]characters!$2:$2,0)+1,FALSE)</f>
        <v>識徒 オセ</v>
      </c>
      <c r="G125" s="10" t="str">
        <f ca="1">VLOOKUP($E125,OFFSET([1]characters!$A$2,0,0,COUNTA([1]characters!$A:$A),MATCH(G$1,[1]characters!$2:$2,0)-MATCH($E$1,[1]characters!$2:$2,0)+1),MATCH(G$1,[1]characters!$2:$2,0)-MATCH($E$1,[1]characters!$2:$2,0)+1,FALSE)</f>
        <v>PremiumN</v>
      </c>
      <c r="H125" s="10">
        <f ca="1">VLOOKUP($E125,OFFSET([1]characters!$A$2,0,0,COUNTA([1]characters!$A:$A),MATCH(H$1,[1]characters!$2:$2,0)-MATCH($E$1,[1]characters!$2:$2,0)+1),MATCH(H$1,[1]characters!$2:$2,0)-MATCH($E$1,[1]characters!$2:$2,0)+1,FALSE)</f>
        <v>4</v>
      </c>
      <c r="I125" s="10" t="str">
        <f ca="1">VLOOKUP($E125,OFFSET([1]characters!$A$2,0,0,COUNTA([1]characters!$A:$A),MATCH(I$1,[1]characters!$2:$2,0)-MATCH($E$1,[1]characters!$2:$2,0)+1),MATCH(I$1,[1]characters!$2:$2,0)-MATCH($E$1,[1]characters!$2:$2,0)+1,FALSE)</f>
        <v>green</v>
      </c>
      <c r="J125" s="10" t="str">
        <f ca="1">VLOOKUP($E125,OFFSET([1]characters!$A$2,0,0,COUNTA([1]characters!$A:$A),MATCH("タイプ",[1]characters!$1:$1,0)-MATCH($E$1,[1]characters!$2:$2,0)+2),MATCH("タイプ",[1]characters!$1:$1,0)-MATCH($E$1,[1]characters!$2:$2,0)+2,FALSE)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5" s="10" t="str">
        <f ca="1">VLOOKUP($E125,OFFSET([1]characters!$A$2,0,0,COUNTA([1]characters!$A:$A),MATCH($K$1,[1]characters!$1:$1,0)-MATCH($E$1,[1]characters!$2:$2,0)+2),MATCH($K$1,[1]characters!$1:$1,0)-MATCH($E$1,[1]characters!$2:$2,0)+2,FALSE)</f>
        <v>ゴッド</v>
      </c>
      <c r="L125" s="6">
        <v>1</v>
      </c>
      <c r="M125" s="6">
        <v>477</v>
      </c>
      <c r="N125" s="28">
        <v>0</v>
      </c>
      <c r="O125" s="28">
        <v>0</v>
      </c>
      <c r="P125" s="28">
        <v>0</v>
      </c>
      <c r="Q125" s="28">
        <v>0</v>
      </c>
      <c r="R125" s="28">
        <v>1</v>
      </c>
    </row>
    <row r="126" spans="1:18" ht="21" customHeight="1">
      <c r="A126" s="8" t="str">
        <f t="shared" si="1"/>
        <v>01731</v>
      </c>
      <c r="B126" s="2">
        <v>113</v>
      </c>
      <c r="C126" s="10" t="str">
        <f ca="1">VLOOKUP($B126,OFFSET([2]gachas!$A$2,0,0,COUNTA([2]gachas!$A:$A),MATCH(C$1,[2]gachas!$1:$1,0)-MATCH($B$1,[2]gachas!$1:$1,0)+1),MATCH(C$1,[2]gachas!$1:$1,0)-MATCH($B$1,[2]gachas!$1:$1,0)+1,FALSE)</f>
        <v>ピックアップ02(沖田) 最終日</v>
      </c>
      <c r="D126" s="6">
        <v>0</v>
      </c>
      <c r="E126" s="7">
        <v>173</v>
      </c>
      <c r="F126" s="10" t="str">
        <f ca="1">VLOOKUP($E126,OFFSET([1]characters!$A$2,0,0,COUNTA([1]characters!$A:$A),MATCH(F$1,[1]characters!$2:$2,0)-MATCH($E$1,[1]characters!$2:$2,0)+1),MATCH(F$1,[1]characters!$2:$2,0)-MATCH($E$1,[1]characters!$2:$2,0)+1,FALSE)</f>
        <v>公爵 フォルネウス</v>
      </c>
      <c r="G126" s="10" t="str">
        <f ca="1">VLOOKUP($E126,OFFSET([1]characters!$A$2,0,0,COUNTA([1]characters!$A:$A),MATCH(G$1,[1]characters!$2:$2,0)-MATCH($E$1,[1]characters!$2:$2,0)+1),MATCH(G$1,[1]characters!$2:$2,0)-MATCH($E$1,[1]characters!$2:$2,0)+1,FALSE)</f>
        <v>PremiumN</v>
      </c>
      <c r="H126" s="10">
        <f ca="1">VLOOKUP($E126,OFFSET([1]characters!$A$2,0,0,COUNTA([1]characters!$A:$A),MATCH(H$1,[1]characters!$2:$2,0)-MATCH($E$1,[1]characters!$2:$2,0)+1),MATCH(H$1,[1]characters!$2:$2,0)-MATCH($E$1,[1]characters!$2:$2,0)+1,FALSE)</f>
        <v>4</v>
      </c>
      <c r="I126" s="10" t="str">
        <f ca="1">VLOOKUP($E126,OFFSET([1]characters!$A$2,0,0,COUNTA([1]characters!$A:$A),MATCH(I$1,[1]characters!$2:$2,0)-MATCH($E$1,[1]characters!$2:$2,0)+1),MATCH(I$1,[1]characters!$2:$2,0)-MATCH($E$1,[1]characters!$2:$2,0)+1,FALSE)</f>
        <v>blue</v>
      </c>
      <c r="J126" s="10" t="str">
        <f ca="1">VLOOKUP($E126,OFFSET([1]characters!$A$2,0,0,COUNTA([1]characters!$A:$A),MATCH("タイプ",[1]characters!$1:$1,0)-MATCH($E$1,[1]characters!$2:$2,0)+2),MATCH("タイプ",[1]characters!$1:$1,0)-MATCH($E$1,[1]characters!$2:$2,0)+2,FALSE)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6" s="10" t="str">
        <f ca="1">VLOOKUP($E126,OFFSET([1]characters!$A$2,0,0,COUNTA([1]characters!$A:$A),MATCH($K$1,[1]characters!$1:$1,0)-MATCH($E$1,[1]characters!$2:$2,0)+2),MATCH($K$1,[1]characters!$1:$1,0)-MATCH($E$1,[1]characters!$2:$2,0)+2,FALSE)</f>
        <v>ゴッド</v>
      </c>
      <c r="L126" s="6">
        <v>1</v>
      </c>
      <c r="M126" s="6">
        <v>477</v>
      </c>
      <c r="N126" s="28">
        <v>0</v>
      </c>
      <c r="O126" s="28">
        <v>0</v>
      </c>
      <c r="P126" s="28">
        <v>0</v>
      </c>
      <c r="Q126" s="28">
        <v>0</v>
      </c>
      <c r="R126" s="28">
        <v>1</v>
      </c>
    </row>
    <row r="127" spans="1:18" ht="21" customHeight="1">
      <c r="A127" s="8" t="str">
        <f t="shared" si="1"/>
        <v>01761</v>
      </c>
      <c r="B127" s="2">
        <v>113</v>
      </c>
      <c r="C127" s="10" t="str">
        <f ca="1">VLOOKUP($B127,OFFSET([2]gachas!$A$2,0,0,COUNTA([2]gachas!$A:$A),MATCH(C$1,[2]gachas!$1:$1,0)-MATCH($B$1,[2]gachas!$1:$1,0)+1),MATCH(C$1,[2]gachas!$1:$1,0)-MATCH($B$1,[2]gachas!$1:$1,0)+1,FALSE)</f>
        <v>ピックアップ02(沖田) 最終日</v>
      </c>
      <c r="D127" s="6">
        <v>0</v>
      </c>
      <c r="E127" s="7">
        <v>176</v>
      </c>
      <c r="F127" s="10" t="str">
        <f ca="1">VLOOKUP($E127,OFFSET([1]characters!$A$2,0,0,COUNTA([1]characters!$A:$A),MATCH(F$1,[1]characters!$2:$2,0)-MATCH($E$1,[1]characters!$2:$2,0)+1),MATCH(F$1,[1]characters!$2:$2,0)-MATCH($E$1,[1]characters!$2:$2,0)+1,FALSE)</f>
        <v>異教徒 バフォメット</v>
      </c>
      <c r="G127" s="10" t="str">
        <f ca="1">VLOOKUP($E127,OFFSET([1]characters!$A$2,0,0,COUNTA([1]characters!$A:$A),MATCH(G$1,[1]characters!$2:$2,0)-MATCH($E$1,[1]characters!$2:$2,0)+1),MATCH(G$1,[1]characters!$2:$2,0)-MATCH($E$1,[1]characters!$2:$2,0)+1,FALSE)</f>
        <v>PremiumN</v>
      </c>
      <c r="H127" s="10">
        <f ca="1">VLOOKUP($E127,OFFSET([1]characters!$A$2,0,0,COUNTA([1]characters!$A:$A),MATCH(H$1,[1]characters!$2:$2,0)-MATCH($E$1,[1]characters!$2:$2,0)+1),MATCH(H$1,[1]characters!$2:$2,0)-MATCH($E$1,[1]characters!$2:$2,0)+1,FALSE)</f>
        <v>4</v>
      </c>
      <c r="I127" s="10" t="str">
        <f ca="1">VLOOKUP($E127,OFFSET([1]characters!$A$2,0,0,COUNTA([1]characters!$A:$A),MATCH(I$1,[1]characters!$2:$2,0)-MATCH($E$1,[1]characters!$2:$2,0)+1),MATCH(I$1,[1]characters!$2:$2,0)-MATCH($E$1,[1]characters!$2:$2,0)+1,FALSE)</f>
        <v>yellow</v>
      </c>
      <c r="J127" s="10" t="str">
        <f ca="1">VLOOKUP($E127,OFFSET([1]characters!$A$2,0,0,COUNTA([1]characters!$A:$A),MATCH("タイプ",[1]characters!$1:$1,0)-MATCH($E$1,[1]characters!$2:$2,0)+2),MATCH("タイプ",[1]characters!$1:$1,0)-MATCH($E$1,[1]characters!$2:$2,0)+2,FALSE)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27" s="10" t="str">
        <f ca="1">VLOOKUP($E127,OFFSET([1]characters!$A$2,0,0,COUNTA([1]characters!$A:$A),MATCH($K$1,[1]characters!$1:$1,0)-MATCH($E$1,[1]characters!$2:$2,0)+2),MATCH($K$1,[1]characters!$1:$1,0)-MATCH($E$1,[1]characters!$2:$2,0)+2,FALSE)</f>
        <v>ゴッド</v>
      </c>
      <c r="L127" s="6">
        <v>1</v>
      </c>
      <c r="M127" s="6">
        <v>477</v>
      </c>
      <c r="N127" s="28">
        <v>0</v>
      </c>
      <c r="O127" s="28">
        <v>0</v>
      </c>
      <c r="P127" s="28">
        <v>0</v>
      </c>
      <c r="Q127" s="28">
        <v>0</v>
      </c>
      <c r="R127" s="28">
        <v>1</v>
      </c>
    </row>
    <row r="128" spans="1:18" ht="21" customHeight="1">
      <c r="A128" s="8" t="str">
        <f t="shared" si="1"/>
        <v>01791</v>
      </c>
      <c r="B128" s="2">
        <v>113</v>
      </c>
      <c r="C128" s="10" t="str">
        <f ca="1">VLOOKUP($B128,OFFSET([2]gachas!$A$2,0,0,COUNTA([2]gachas!$A:$A),MATCH(C$1,[2]gachas!$1:$1,0)-MATCH($B$1,[2]gachas!$1:$1,0)+1),MATCH(C$1,[2]gachas!$1:$1,0)-MATCH($B$1,[2]gachas!$1:$1,0)+1,FALSE)</f>
        <v>ピックアップ02(沖田) 最終日</v>
      </c>
      <c r="D128" s="6">
        <v>0</v>
      </c>
      <c r="E128" s="7">
        <v>179</v>
      </c>
      <c r="F128" s="10" t="str">
        <f ca="1">VLOOKUP($E128,OFFSET([1]characters!$A$2,0,0,COUNTA([1]characters!$A:$A),MATCH(F$1,[1]characters!$2:$2,0)-MATCH($E$1,[1]characters!$2:$2,0)+1),MATCH(F$1,[1]characters!$2:$2,0)-MATCH($E$1,[1]characters!$2:$2,0)+1,FALSE)</f>
        <v>番犬 ケルベロス</v>
      </c>
      <c r="G128" s="10" t="str">
        <f ca="1">VLOOKUP($E128,OFFSET([1]characters!$A$2,0,0,COUNTA([1]characters!$A:$A),MATCH(G$1,[1]characters!$2:$2,0)-MATCH($E$1,[1]characters!$2:$2,0)+1),MATCH(G$1,[1]characters!$2:$2,0)-MATCH($E$1,[1]characters!$2:$2,0)+1,FALSE)</f>
        <v>PremiumN</v>
      </c>
      <c r="H128" s="10">
        <f ca="1">VLOOKUP($E128,OFFSET([1]characters!$A$2,0,0,COUNTA([1]characters!$A:$A),MATCH(H$1,[1]characters!$2:$2,0)-MATCH($E$1,[1]characters!$2:$2,0)+1),MATCH(H$1,[1]characters!$2:$2,0)-MATCH($E$1,[1]characters!$2:$2,0)+1,FALSE)</f>
        <v>4</v>
      </c>
      <c r="I128" s="10" t="str">
        <f ca="1">VLOOKUP($E128,OFFSET([1]characters!$A$2,0,0,COUNTA([1]characters!$A:$A),MATCH(I$1,[1]characters!$2:$2,0)-MATCH($E$1,[1]characters!$2:$2,0)+1),MATCH(I$1,[1]characters!$2:$2,0)-MATCH($E$1,[1]characters!$2:$2,0)+1,FALSE)</f>
        <v>red</v>
      </c>
      <c r="J128" s="10" t="str">
        <f ca="1">VLOOKUP($E128,OFFSET([1]characters!$A$2,0,0,COUNTA([1]characters!$A:$A),MATCH("タイプ",[1]characters!$1:$1,0)-MATCH($E$1,[1]characters!$2:$2,0)+2),MATCH("タイプ",[1]characters!$1:$1,0)-MATCH($E$1,[1]characters!$2:$2,0)+2,FALSE)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28" s="10" t="str">
        <f ca="1">VLOOKUP($E128,OFFSET([1]characters!$A$2,0,0,COUNTA([1]characters!$A:$A),MATCH($K$1,[1]characters!$1:$1,0)-MATCH($E$1,[1]characters!$2:$2,0)+2),MATCH($K$1,[1]characters!$1:$1,0)-MATCH($E$1,[1]characters!$2:$2,0)+2,FALSE)</f>
        <v>アニマル</v>
      </c>
      <c r="L128" s="6">
        <v>1</v>
      </c>
      <c r="M128" s="6">
        <v>477</v>
      </c>
      <c r="N128" s="28">
        <v>0</v>
      </c>
      <c r="O128" s="28">
        <v>0</v>
      </c>
      <c r="P128" s="28">
        <v>0</v>
      </c>
      <c r="Q128" s="28">
        <v>0</v>
      </c>
      <c r="R128" s="28">
        <v>1</v>
      </c>
    </row>
    <row r="129" spans="1:18" ht="21" customHeight="1">
      <c r="A129" s="8" t="str">
        <f t="shared" si="1"/>
        <v>01821</v>
      </c>
      <c r="B129" s="2">
        <v>113</v>
      </c>
      <c r="C129" s="10" t="str">
        <f ca="1">VLOOKUP($B129,OFFSET([2]gachas!$A$2,0,0,COUNTA([2]gachas!$A:$A),MATCH(C$1,[2]gachas!$1:$1,0)-MATCH($B$1,[2]gachas!$1:$1,0)+1),MATCH(C$1,[2]gachas!$1:$1,0)-MATCH($B$1,[2]gachas!$1:$1,0)+1,FALSE)</f>
        <v>ピックアップ02(沖田) 最終日</v>
      </c>
      <c r="D129" s="6">
        <v>0</v>
      </c>
      <c r="E129" s="7">
        <v>182</v>
      </c>
      <c r="F129" s="10" t="str">
        <f ca="1">VLOOKUP($E129,OFFSET([1]characters!$A$2,0,0,COUNTA([1]characters!$A:$A),MATCH(F$1,[1]characters!$2:$2,0)-MATCH($E$1,[1]characters!$2:$2,0)+1),MATCH(F$1,[1]characters!$2:$2,0)-MATCH($E$1,[1]characters!$2:$2,0)+1,FALSE)</f>
        <v>放蕩者 ベヒモス</v>
      </c>
      <c r="G129" s="10" t="str">
        <f ca="1">VLOOKUP($E129,OFFSET([1]characters!$A$2,0,0,COUNTA([1]characters!$A:$A),MATCH(G$1,[1]characters!$2:$2,0)-MATCH($E$1,[1]characters!$2:$2,0)+1),MATCH(G$1,[1]characters!$2:$2,0)-MATCH($E$1,[1]characters!$2:$2,0)+1,FALSE)</f>
        <v>PremiumN</v>
      </c>
      <c r="H129" s="10">
        <f ca="1">VLOOKUP($E129,OFFSET([1]characters!$A$2,0,0,COUNTA([1]characters!$A:$A),MATCH(H$1,[1]characters!$2:$2,0)-MATCH($E$1,[1]characters!$2:$2,0)+1),MATCH(H$1,[1]characters!$2:$2,0)-MATCH($E$1,[1]characters!$2:$2,0)+1,FALSE)</f>
        <v>4</v>
      </c>
      <c r="I129" s="10" t="str">
        <f ca="1">VLOOKUP($E129,OFFSET([1]characters!$A$2,0,0,COUNTA([1]characters!$A:$A),MATCH(I$1,[1]characters!$2:$2,0)-MATCH($E$1,[1]characters!$2:$2,0)+1),MATCH(I$1,[1]characters!$2:$2,0)-MATCH($E$1,[1]characters!$2:$2,0)+1,FALSE)</f>
        <v>green</v>
      </c>
      <c r="J129" s="10" t="str">
        <f ca="1">VLOOKUP($E129,OFFSET([1]characters!$A$2,0,0,COUNTA([1]characters!$A:$A),MATCH("タイプ",[1]characters!$1:$1,0)-MATCH($E$1,[1]characters!$2:$2,0)+2),MATCH("タイプ",[1]characters!$1:$1,0)-MATCH($E$1,[1]characters!$2:$2,0)+2,FALSE)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29" s="10" t="str">
        <f ca="1">VLOOKUP($E129,OFFSET([1]characters!$A$2,0,0,COUNTA([1]characters!$A:$A),MATCH($K$1,[1]characters!$1:$1,0)-MATCH($E$1,[1]characters!$2:$2,0)+2),MATCH($K$1,[1]characters!$1:$1,0)-MATCH($E$1,[1]characters!$2:$2,0)+2,FALSE)</f>
        <v>アニマル</v>
      </c>
      <c r="L129" s="6">
        <v>1</v>
      </c>
      <c r="M129" s="6">
        <v>477</v>
      </c>
      <c r="N129" s="28">
        <v>0</v>
      </c>
      <c r="O129" s="28">
        <v>0</v>
      </c>
      <c r="P129" s="28">
        <v>0</v>
      </c>
      <c r="Q129" s="28">
        <v>0</v>
      </c>
      <c r="R129" s="28">
        <v>1</v>
      </c>
    </row>
    <row r="130" spans="1:18" ht="21" customHeight="1">
      <c r="A130" s="8" t="str">
        <f t="shared" si="1"/>
        <v>01851</v>
      </c>
      <c r="B130" s="2">
        <v>113</v>
      </c>
      <c r="C130" s="10" t="str">
        <f ca="1">VLOOKUP($B130,OFFSET([2]gachas!$A$2,0,0,COUNTA([2]gachas!$A:$A),MATCH(C$1,[2]gachas!$1:$1,0)-MATCH($B$1,[2]gachas!$1:$1,0)+1),MATCH(C$1,[2]gachas!$1:$1,0)-MATCH($B$1,[2]gachas!$1:$1,0)+1,FALSE)</f>
        <v>ピックアップ02(沖田) 最終日</v>
      </c>
      <c r="D130" s="6">
        <v>0</v>
      </c>
      <c r="E130" s="7">
        <v>185</v>
      </c>
      <c r="F130" s="10" t="str">
        <f ca="1">VLOOKUP($E130,OFFSET([1]characters!$A$2,0,0,COUNTA([1]characters!$A:$A),MATCH(F$1,[1]characters!$2:$2,0)-MATCH($E$1,[1]characters!$2:$2,0)+1),MATCH(F$1,[1]characters!$2:$2,0)-MATCH($E$1,[1]characters!$2:$2,0)+1,FALSE)</f>
        <v>海姫 クラーケン</v>
      </c>
      <c r="G130" s="10" t="str">
        <f ca="1">VLOOKUP($E130,OFFSET([1]characters!$A$2,0,0,COUNTA([1]characters!$A:$A),MATCH(G$1,[1]characters!$2:$2,0)-MATCH($E$1,[1]characters!$2:$2,0)+1),MATCH(G$1,[1]characters!$2:$2,0)-MATCH($E$1,[1]characters!$2:$2,0)+1,FALSE)</f>
        <v>PremiumN</v>
      </c>
      <c r="H130" s="10">
        <f ca="1">VLOOKUP($E130,OFFSET([1]characters!$A$2,0,0,COUNTA([1]characters!$A:$A),MATCH(H$1,[1]characters!$2:$2,0)-MATCH($E$1,[1]characters!$2:$2,0)+1),MATCH(H$1,[1]characters!$2:$2,0)-MATCH($E$1,[1]characters!$2:$2,0)+1,FALSE)</f>
        <v>4</v>
      </c>
      <c r="I130" s="10" t="str">
        <f ca="1">VLOOKUP($E130,OFFSET([1]characters!$A$2,0,0,COUNTA([1]characters!$A:$A),MATCH(I$1,[1]characters!$2:$2,0)-MATCH($E$1,[1]characters!$2:$2,0)+1),MATCH(I$1,[1]characters!$2:$2,0)-MATCH($E$1,[1]characters!$2:$2,0)+1,FALSE)</f>
        <v>blue</v>
      </c>
      <c r="J130" s="10" t="str">
        <f ca="1">VLOOKUP($E130,OFFSET([1]characters!$A$2,0,0,COUNTA([1]characters!$A:$A),MATCH("タイプ",[1]characters!$1:$1,0)-MATCH($E$1,[1]characters!$2:$2,0)+2),MATCH("タイプ",[1]characters!$1:$1,0)-MATCH($E$1,[1]characters!$2:$2,0)+2,FALSE)</f>
        <v>回復タイプ</v>
      </c>
      <c r="K130" s="10" t="str">
        <f ca="1">VLOOKUP($E130,OFFSET([1]characters!$A$2,0,0,COUNTA([1]characters!$A:$A),MATCH($K$1,[1]characters!$1:$1,0)-MATCH($E$1,[1]characters!$2:$2,0)+2),MATCH($K$1,[1]characters!$1:$1,0)-MATCH($E$1,[1]characters!$2:$2,0)+2,FALSE)</f>
        <v>アニマル</v>
      </c>
      <c r="L130" s="6">
        <v>1</v>
      </c>
      <c r="M130" s="6">
        <v>477</v>
      </c>
      <c r="N130" s="28">
        <v>0</v>
      </c>
      <c r="O130" s="28">
        <v>0</v>
      </c>
      <c r="P130" s="28">
        <v>0</v>
      </c>
      <c r="Q130" s="28">
        <v>0</v>
      </c>
      <c r="R130" s="28">
        <v>1</v>
      </c>
    </row>
    <row r="131" spans="1:18" ht="21" customHeight="1">
      <c r="A131" s="8" t="str">
        <f t="shared" si="1"/>
        <v>01881</v>
      </c>
      <c r="B131" s="2">
        <v>113</v>
      </c>
      <c r="C131" s="10" t="str">
        <f ca="1">VLOOKUP($B131,OFFSET([2]gachas!$A$2,0,0,COUNTA([2]gachas!$A:$A),MATCH(C$1,[2]gachas!$1:$1,0)-MATCH($B$1,[2]gachas!$1:$1,0)+1),MATCH(C$1,[2]gachas!$1:$1,0)-MATCH($B$1,[2]gachas!$1:$1,0)+1,FALSE)</f>
        <v>ピックアップ02(沖田) 最終日</v>
      </c>
      <c r="D131" s="6">
        <v>0</v>
      </c>
      <c r="E131" s="7">
        <v>188</v>
      </c>
      <c r="F131" s="10" t="str">
        <f ca="1">VLOOKUP($E131,OFFSET([1]characters!$A$2,0,0,COUNTA([1]characters!$A:$A),MATCH(F$1,[1]characters!$2:$2,0)-MATCH($E$1,[1]characters!$2:$2,0)+1),MATCH(F$1,[1]characters!$2:$2,0)-MATCH($E$1,[1]characters!$2:$2,0)+1,FALSE)</f>
        <v>猛禽 ホルス</v>
      </c>
      <c r="G131" s="10" t="str">
        <f ca="1">VLOOKUP($E131,OFFSET([1]characters!$A$2,0,0,COUNTA([1]characters!$A:$A),MATCH(G$1,[1]characters!$2:$2,0)-MATCH($E$1,[1]characters!$2:$2,0)+1),MATCH(G$1,[1]characters!$2:$2,0)-MATCH($E$1,[1]characters!$2:$2,0)+1,FALSE)</f>
        <v>PremiumN</v>
      </c>
      <c r="H131" s="10">
        <f ca="1">VLOOKUP($E131,OFFSET([1]characters!$A$2,0,0,COUNTA([1]characters!$A:$A),MATCH(H$1,[1]characters!$2:$2,0)-MATCH($E$1,[1]characters!$2:$2,0)+1),MATCH(H$1,[1]characters!$2:$2,0)-MATCH($E$1,[1]characters!$2:$2,0)+1,FALSE)</f>
        <v>4</v>
      </c>
      <c r="I131" s="10" t="str">
        <f ca="1">VLOOKUP($E131,OFFSET([1]characters!$A$2,0,0,COUNTA([1]characters!$A:$A),MATCH(I$1,[1]characters!$2:$2,0)-MATCH($E$1,[1]characters!$2:$2,0)+1),MATCH(I$1,[1]characters!$2:$2,0)-MATCH($E$1,[1]characters!$2:$2,0)+1,FALSE)</f>
        <v>yellow</v>
      </c>
      <c r="J131" s="10" t="str">
        <f ca="1">VLOOKUP($E131,OFFSET([1]characters!$A$2,0,0,COUNTA([1]characters!$A:$A),MATCH("タイプ",[1]characters!$1:$1,0)-MATCH($E$1,[1]characters!$2:$2,0)+2),MATCH("タイプ",[1]characters!$1:$1,0)-MATCH($E$1,[1]characters!$2:$2,0)+2,FALSE)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31" s="10" t="str">
        <f ca="1">VLOOKUP($E131,OFFSET([1]characters!$A$2,0,0,COUNTA([1]characters!$A:$A),MATCH($K$1,[1]characters!$1:$1,0)-MATCH($E$1,[1]characters!$2:$2,0)+2),MATCH($K$1,[1]characters!$1:$1,0)-MATCH($E$1,[1]characters!$2:$2,0)+2,FALSE)</f>
        <v>アニマル</v>
      </c>
      <c r="L131" s="6">
        <v>1</v>
      </c>
      <c r="M131" s="6">
        <v>477</v>
      </c>
      <c r="N131" s="28">
        <v>0</v>
      </c>
      <c r="O131" s="28">
        <v>0</v>
      </c>
      <c r="P131" s="28">
        <v>0</v>
      </c>
      <c r="Q131" s="28">
        <v>0</v>
      </c>
      <c r="R131" s="28">
        <v>1</v>
      </c>
    </row>
    <row r="132" spans="1:18" ht="21" customHeight="1">
      <c r="A132" s="8" t="str">
        <f t="shared" si="1"/>
        <v>01911</v>
      </c>
      <c r="B132" s="2">
        <v>113</v>
      </c>
      <c r="C132" s="10" t="str">
        <f ca="1">VLOOKUP($B132,OFFSET([2]gachas!$A$2,0,0,COUNTA([2]gachas!$A:$A),MATCH(C$1,[2]gachas!$1:$1,0)-MATCH($B$1,[2]gachas!$1:$1,0)+1),MATCH(C$1,[2]gachas!$1:$1,0)-MATCH($B$1,[2]gachas!$1:$1,0)+1,FALSE)</f>
        <v>ピックアップ02(沖田) 最終日</v>
      </c>
      <c r="D132" s="6">
        <v>0</v>
      </c>
      <c r="E132" s="7">
        <v>191</v>
      </c>
      <c r="F132" s="10" t="str">
        <f ca="1">VLOOKUP($E132,OFFSET([1]characters!$A$2,0,0,COUNTA([1]characters!$A:$A),MATCH(F$1,[1]characters!$2:$2,0)-MATCH($E$1,[1]characters!$2:$2,0)+1),MATCH(F$1,[1]characters!$2:$2,0)-MATCH($E$1,[1]characters!$2:$2,0)+1,FALSE)</f>
        <v>始祖 卑弥呼</v>
      </c>
      <c r="G132" s="10" t="str">
        <f ca="1">VLOOKUP($E132,OFFSET([1]characters!$A$2,0,0,COUNTA([1]characters!$A:$A),MATCH(G$1,[1]characters!$2:$2,0)-MATCH($E$1,[1]characters!$2:$2,0)+1),MATCH(G$1,[1]characters!$2:$2,0)-MATCH($E$1,[1]characters!$2:$2,0)+1,FALSE)</f>
        <v>PremiumN</v>
      </c>
      <c r="H132" s="10">
        <f ca="1">VLOOKUP($E132,OFFSET([1]characters!$A$2,0,0,COUNTA([1]characters!$A:$A),MATCH(H$1,[1]characters!$2:$2,0)-MATCH($E$1,[1]characters!$2:$2,0)+1),MATCH(H$1,[1]characters!$2:$2,0)-MATCH($E$1,[1]characters!$2:$2,0)+1,FALSE)</f>
        <v>4</v>
      </c>
      <c r="I132" s="10" t="str">
        <f ca="1">VLOOKUP($E132,OFFSET([1]characters!$A$2,0,0,COUNTA([1]characters!$A:$A),MATCH(I$1,[1]characters!$2:$2,0)-MATCH($E$1,[1]characters!$2:$2,0)+1),MATCH(I$1,[1]characters!$2:$2,0)-MATCH($E$1,[1]characters!$2:$2,0)+1,FALSE)</f>
        <v>red</v>
      </c>
      <c r="J132" s="10" t="str">
        <f ca="1">VLOOKUP($E132,OFFSET([1]characters!$A$2,0,0,COUNTA([1]characters!$A:$A),MATCH("タイプ",[1]characters!$1:$1,0)-MATCH($E$1,[1]characters!$2:$2,0)+2),MATCH("タイプ",[1]characters!$1:$1,0)-MATCH($E$1,[1]characters!$2:$2,0)+2,FALSE)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2" s="10" t="str">
        <f ca="1">VLOOKUP($E132,OFFSET([1]characters!$A$2,0,0,COUNTA([1]characters!$A:$A),MATCH($K$1,[1]characters!$1:$1,0)-MATCH($E$1,[1]characters!$2:$2,0)+2),MATCH($K$1,[1]characters!$1:$1,0)-MATCH($E$1,[1]characters!$2:$2,0)+2,FALSE)</f>
        <v>ヒューマン</v>
      </c>
      <c r="L132" s="6">
        <v>1</v>
      </c>
      <c r="M132" s="6">
        <v>477</v>
      </c>
      <c r="N132" s="28">
        <v>0</v>
      </c>
      <c r="O132" s="28">
        <v>0</v>
      </c>
      <c r="P132" s="28">
        <v>0</v>
      </c>
      <c r="Q132" s="28">
        <v>0</v>
      </c>
      <c r="R132" s="28">
        <v>1</v>
      </c>
    </row>
    <row r="133" spans="1:18" ht="21" customHeight="1">
      <c r="A133" s="8" t="str">
        <f t="shared" ref="A133:A169" si="2">D133&amp;E133&amp;L133</f>
        <v>01941</v>
      </c>
      <c r="B133" s="2">
        <v>113</v>
      </c>
      <c r="C133" s="10" t="str">
        <f ca="1">VLOOKUP($B133,OFFSET([2]gachas!$A$2,0,0,COUNTA([2]gachas!$A:$A),MATCH(C$1,[2]gachas!$1:$1,0)-MATCH($B$1,[2]gachas!$1:$1,0)+1),MATCH(C$1,[2]gachas!$1:$1,0)-MATCH($B$1,[2]gachas!$1:$1,0)+1,FALSE)</f>
        <v>ピックアップ02(沖田) 最終日</v>
      </c>
      <c r="D133" s="6">
        <v>0</v>
      </c>
      <c r="E133" s="7">
        <v>194</v>
      </c>
      <c r="F133" s="10" t="str">
        <f ca="1">VLOOKUP($E133,OFFSET([1]characters!$A$2,0,0,COUNTA([1]characters!$A:$A),MATCH(F$1,[1]characters!$2:$2,0)-MATCH($E$1,[1]characters!$2:$2,0)+1),MATCH(F$1,[1]characters!$2:$2,0)-MATCH($E$1,[1]characters!$2:$2,0)+1,FALSE)</f>
        <v>スナイパー ロビンフッド</v>
      </c>
      <c r="G133" s="10" t="str">
        <f ca="1">VLOOKUP($E133,OFFSET([1]characters!$A$2,0,0,COUNTA([1]characters!$A:$A),MATCH(G$1,[1]characters!$2:$2,0)-MATCH($E$1,[1]characters!$2:$2,0)+1),MATCH(G$1,[1]characters!$2:$2,0)-MATCH($E$1,[1]characters!$2:$2,0)+1,FALSE)</f>
        <v>PremiumN</v>
      </c>
      <c r="H133" s="10">
        <f ca="1">VLOOKUP($E133,OFFSET([1]characters!$A$2,0,0,COUNTA([1]characters!$A:$A),MATCH(H$1,[1]characters!$2:$2,0)-MATCH($E$1,[1]characters!$2:$2,0)+1),MATCH(H$1,[1]characters!$2:$2,0)-MATCH($E$1,[1]characters!$2:$2,0)+1,FALSE)</f>
        <v>4</v>
      </c>
      <c r="I133" s="10" t="str">
        <f ca="1">VLOOKUP($E133,OFFSET([1]characters!$A$2,0,0,COUNTA([1]characters!$A:$A),MATCH(I$1,[1]characters!$2:$2,0)-MATCH($E$1,[1]characters!$2:$2,0)+1),MATCH(I$1,[1]characters!$2:$2,0)-MATCH($E$1,[1]characters!$2:$2,0)+1,FALSE)</f>
        <v>green</v>
      </c>
      <c r="J133" s="10" t="str">
        <f ca="1">VLOOKUP($E133,OFFSET([1]characters!$A$2,0,0,COUNTA([1]characters!$A:$A),MATCH("タイプ",[1]characters!$1:$1,0)-MATCH($E$1,[1]characters!$2:$2,0)+2),MATCH("タイプ",[1]characters!$1:$1,0)-MATCH($E$1,[1]characters!$2:$2,0)+2,FALSE)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3" s="10" t="str">
        <f ca="1">VLOOKUP($E133,OFFSET([1]characters!$A$2,0,0,COUNTA([1]characters!$A:$A),MATCH($K$1,[1]characters!$1:$1,0)-MATCH($E$1,[1]characters!$2:$2,0)+2),MATCH($K$1,[1]characters!$1:$1,0)-MATCH($E$1,[1]characters!$2:$2,0)+2,FALSE)</f>
        <v>ヒューマン</v>
      </c>
      <c r="L133" s="6">
        <v>1</v>
      </c>
      <c r="M133" s="6">
        <v>477</v>
      </c>
      <c r="N133" s="28">
        <v>0</v>
      </c>
      <c r="O133" s="28">
        <v>0</v>
      </c>
      <c r="P133" s="28">
        <v>0</v>
      </c>
      <c r="Q133" s="28">
        <v>0</v>
      </c>
      <c r="R133" s="28">
        <v>1</v>
      </c>
    </row>
    <row r="134" spans="1:18" ht="21" customHeight="1">
      <c r="A134" s="8" t="str">
        <f t="shared" si="2"/>
        <v>01971</v>
      </c>
      <c r="B134" s="2">
        <v>113</v>
      </c>
      <c r="C134" s="10" t="str">
        <f ca="1">VLOOKUP($B134,OFFSET([2]gachas!$A$2,0,0,COUNTA([2]gachas!$A:$A),MATCH(C$1,[2]gachas!$1:$1,0)-MATCH($B$1,[2]gachas!$1:$1,0)+1),MATCH(C$1,[2]gachas!$1:$1,0)-MATCH($B$1,[2]gachas!$1:$1,0)+1,FALSE)</f>
        <v>ピックアップ02(沖田) 最終日</v>
      </c>
      <c r="D134" s="6">
        <v>0</v>
      </c>
      <c r="E134" s="7">
        <v>197</v>
      </c>
      <c r="F134" s="10" t="str">
        <f ca="1">VLOOKUP($E134,OFFSET([1]characters!$A$2,0,0,COUNTA([1]characters!$A:$A),MATCH(F$1,[1]characters!$2:$2,0)-MATCH($E$1,[1]characters!$2:$2,0)+1),MATCH(F$1,[1]characters!$2:$2,0)-MATCH($E$1,[1]characters!$2:$2,0)+1,FALSE)</f>
        <v>鉄腕 アキレス</v>
      </c>
      <c r="G134" s="10" t="str">
        <f ca="1">VLOOKUP($E134,OFFSET([1]characters!$A$2,0,0,COUNTA([1]characters!$A:$A),MATCH(G$1,[1]characters!$2:$2,0)-MATCH($E$1,[1]characters!$2:$2,0)+1),MATCH(G$1,[1]characters!$2:$2,0)-MATCH($E$1,[1]characters!$2:$2,0)+1,FALSE)</f>
        <v>PremiumN</v>
      </c>
      <c r="H134" s="10">
        <f ca="1">VLOOKUP($E134,OFFSET([1]characters!$A$2,0,0,COUNTA([1]characters!$A:$A),MATCH(H$1,[1]characters!$2:$2,0)-MATCH($E$1,[1]characters!$2:$2,0)+1),MATCH(H$1,[1]characters!$2:$2,0)-MATCH($E$1,[1]characters!$2:$2,0)+1,FALSE)</f>
        <v>4</v>
      </c>
      <c r="I134" s="10" t="str">
        <f ca="1">VLOOKUP($E134,OFFSET([1]characters!$A$2,0,0,COUNTA([1]characters!$A:$A),MATCH(I$1,[1]characters!$2:$2,0)-MATCH($E$1,[1]characters!$2:$2,0)+1),MATCH(I$1,[1]characters!$2:$2,0)-MATCH($E$1,[1]characters!$2:$2,0)+1,FALSE)</f>
        <v>yellow</v>
      </c>
      <c r="J134" s="10" t="str">
        <f ca="1">VLOOKUP($E134,OFFSET([1]characters!$A$2,0,0,COUNTA([1]characters!$A:$A),MATCH("タイプ",[1]characters!$1:$1,0)-MATCH($E$1,[1]characters!$2:$2,0)+2),MATCH("タイプ",[1]characters!$1:$1,0)-MATCH($E$1,[1]characters!$2:$2,0)+2,FALSE)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4" s="10" t="str">
        <f ca="1">VLOOKUP($E134,OFFSET([1]characters!$A$2,0,0,COUNTA([1]characters!$A:$A),MATCH($K$1,[1]characters!$1:$1,0)-MATCH($E$1,[1]characters!$2:$2,0)+2),MATCH($K$1,[1]characters!$1:$1,0)-MATCH($E$1,[1]characters!$2:$2,0)+2,FALSE)</f>
        <v>ヒューマン</v>
      </c>
      <c r="L134" s="6">
        <v>1</v>
      </c>
      <c r="M134" s="6">
        <v>477</v>
      </c>
      <c r="N134" s="28">
        <v>0</v>
      </c>
      <c r="O134" s="28">
        <v>0</v>
      </c>
      <c r="P134" s="28">
        <v>0</v>
      </c>
      <c r="Q134" s="28">
        <v>0</v>
      </c>
      <c r="R134" s="28">
        <v>1</v>
      </c>
    </row>
    <row r="135" spans="1:18" ht="21" customHeight="1">
      <c r="A135" s="8" t="str">
        <f t="shared" si="2"/>
        <v>02001</v>
      </c>
      <c r="B135" s="2">
        <v>113</v>
      </c>
      <c r="C135" s="10" t="str">
        <f ca="1">VLOOKUP($B135,OFFSET([2]gachas!$A$2,0,0,COUNTA([2]gachas!$A:$A),MATCH(C$1,[2]gachas!$1:$1,0)-MATCH($B$1,[2]gachas!$1:$1,0)+1),MATCH(C$1,[2]gachas!$1:$1,0)-MATCH($B$1,[2]gachas!$1:$1,0)+1,FALSE)</f>
        <v>ピックアップ02(沖田) 最終日</v>
      </c>
      <c r="D135" s="6">
        <v>0</v>
      </c>
      <c r="E135" s="7">
        <v>200</v>
      </c>
      <c r="F135" s="10" t="str">
        <f ca="1">VLOOKUP($E135,OFFSET([1]characters!$A$2,0,0,COUNTA([1]characters!$A:$A),MATCH(F$1,[1]characters!$2:$2,0)-MATCH($E$1,[1]characters!$2:$2,0)+1),MATCH(F$1,[1]characters!$2:$2,0)-MATCH($E$1,[1]characters!$2:$2,0)+1,FALSE)</f>
        <v>大剣士 ジークフリート</v>
      </c>
      <c r="G135" s="10" t="str">
        <f ca="1">VLOOKUP($E135,OFFSET([1]characters!$A$2,0,0,COUNTA([1]characters!$A:$A),MATCH(G$1,[1]characters!$2:$2,0)-MATCH($E$1,[1]characters!$2:$2,0)+1),MATCH(G$1,[1]characters!$2:$2,0)-MATCH($E$1,[1]characters!$2:$2,0)+1,FALSE)</f>
        <v>PremiumN</v>
      </c>
      <c r="H135" s="10">
        <f ca="1">VLOOKUP($E135,OFFSET([1]characters!$A$2,0,0,COUNTA([1]characters!$A:$A),MATCH(H$1,[1]characters!$2:$2,0)-MATCH($E$1,[1]characters!$2:$2,0)+1),MATCH(H$1,[1]characters!$2:$2,0)-MATCH($E$1,[1]characters!$2:$2,0)+1,FALSE)</f>
        <v>4</v>
      </c>
      <c r="I135" s="10" t="str">
        <f ca="1">VLOOKUP($E135,OFFSET([1]characters!$A$2,0,0,COUNTA([1]characters!$A:$A),MATCH(I$1,[1]characters!$2:$2,0)-MATCH($E$1,[1]characters!$2:$2,0)+1),MATCH(I$1,[1]characters!$2:$2,0)-MATCH($E$1,[1]characters!$2:$2,0)+1,FALSE)</f>
        <v>blue</v>
      </c>
      <c r="J135" s="10" t="str">
        <f ca="1">VLOOKUP($E135,OFFSET([1]characters!$A$2,0,0,COUNTA([1]characters!$A:$A),MATCH("タイプ",[1]characters!$1:$1,0)-MATCH($E$1,[1]characters!$2:$2,0)+2),MATCH("タイプ",[1]characters!$1:$1,0)-MATCH($E$1,[1]characters!$2:$2,0)+2,FALSE)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5" s="10" t="str">
        <f ca="1">VLOOKUP($E135,OFFSET([1]characters!$A$2,0,0,COUNTA([1]characters!$A:$A),MATCH($K$1,[1]characters!$1:$1,0)-MATCH($E$1,[1]characters!$2:$2,0)+2),MATCH($K$1,[1]characters!$1:$1,0)-MATCH($E$1,[1]characters!$2:$2,0)+2,FALSE)</f>
        <v>ヒューマン</v>
      </c>
      <c r="L135" s="6">
        <v>1</v>
      </c>
      <c r="M135" s="6">
        <v>477</v>
      </c>
      <c r="N135" s="28">
        <v>0</v>
      </c>
      <c r="O135" s="28">
        <v>0</v>
      </c>
      <c r="P135" s="28">
        <v>0</v>
      </c>
      <c r="Q135" s="28">
        <v>0</v>
      </c>
      <c r="R135" s="28">
        <v>1</v>
      </c>
    </row>
    <row r="136" spans="1:18" ht="21" customHeight="1">
      <c r="A136" s="8" t="str">
        <f t="shared" si="2"/>
        <v>02031</v>
      </c>
      <c r="B136" s="2">
        <v>113</v>
      </c>
      <c r="C136" s="10" t="str">
        <f ca="1">VLOOKUP($B136,OFFSET([2]gachas!$A$2,0,0,COUNTA([2]gachas!$A:$A),MATCH(C$1,[2]gachas!$1:$1,0)-MATCH($B$1,[2]gachas!$1:$1,0)+1),MATCH(C$1,[2]gachas!$1:$1,0)-MATCH($B$1,[2]gachas!$1:$1,0)+1,FALSE)</f>
        <v>ピックアップ02(沖田) 最終日</v>
      </c>
      <c r="D136" s="6">
        <v>0</v>
      </c>
      <c r="E136" s="7">
        <v>203</v>
      </c>
      <c r="F136" s="10" t="str">
        <f ca="1">VLOOKUP($E136,OFFSET([1]characters!$A$2,0,0,COUNTA([1]characters!$A:$A),MATCH(F$1,[1]characters!$2:$2,0)-MATCH($E$1,[1]characters!$2:$2,0)+1),MATCH(F$1,[1]characters!$2:$2,0)-MATCH($E$1,[1]characters!$2:$2,0)+1,FALSE)</f>
        <v>焔神 プロメテウス</v>
      </c>
      <c r="G136" s="10" t="str">
        <f ca="1">VLOOKUP($E136,OFFSET([1]characters!$A$2,0,0,COUNTA([1]characters!$A:$A),MATCH(G$1,[1]characters!$2:$2,0)-MATCH($E$1,[1]characters!$2:$2,0)+1),MATCH(G$1,[1]characters!$2:$2,0)-MATCH($E$1,[1]characters!$2:$2,0)+1,FALSE)</f>
        <v>PremiumN</v>
      </c>
      <c r="H136" s="10">
        <f ca="1">VLOOKUP($E136,OFFSET([1]characters!$A$2,0,0,COUNTA([1]characters!$A:$A),MATCH(H$1,[1]characters!$2:$2,0)-MATCH($E$1,[1]characters!$2:$2,0)+1),MATCH(H$1,[1]characters!$2:$2,0)-MATCH($E$1,[1]characters!$2:$2,0)+1,FALSE)</f>
        <v>4</v>
      </c>
      <c r="I136" s="10" t="str">
        <f ca="1">VLOOKUP($E136,OFFSET([1]characters!$A$2,0,0,COUNTA([1]characters!$A:$A),MATCH(I$1,[1]characters!$2:$2,0)-MATCH($E$1,[1]characters!$2:$2,0)+1),MATCH(I$1,[1]characters!$2:$2,0)-MATCH($E$1,[1]characters!$2:$2,0)+1,FALSE)</f>
        <v>red</v>
      </c>
      <c r="J136" s="10" t="str">
        <f ca="1">VLOOKUP($E136,OFFSET([1]characters!$A$2,0,0,COUNTA([1]characters!$A:$A),MATCH("タイプ",[1]characters!$1:$1,0)-MATCH($E$1,[1]characters!$2:$2,0)+2),MATCH("タイプ",[1]characters!$1:$1,0)-MATCH($E$1,[1]characters!$2:$2,0)+2,FALSE)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6" s="10" t="str">
        <f ca="1">VLOOKUP($E136,OFFSET([1]characters!$A$2,0,0,COUNTA([1]characters!$A:$A),MATCH($K$1,[1]characters!$1:$1,0)-MATCH($E$1,[1]characters!$2:$2,0)+2),MATCH($K$1,[1]characters!$1:$1,0)-MATCH($E$1,[1]characters!$2:$2,0)+2,FALSE)</f>
        <v>ゴッド</v>
      </c>
      <c r="L136" s="6">
        <v>1</v>
      </c>
      <c r="M136" s="6">
        <v>477</v>
      </c>
      <c r="N136" s="28">
        <v>0</v>
      </c>
      <c r="O136" s="28">
        <v>0</v>
      </c>
      <c r="P136" s="28">
        <v>0</v>
      </c>
      <c r="Q136" s="28">
        <v>0</v>
      </c>
      <c r="R136" s="28">
        <v>1</v>
      </c>
    </row>
    <row r="137" spans="1:18" ht="21" customHeight="1">
      <c r="A137" s="8" t="str">
        <f t="shared" si="2"/>
        <v>02061</v>
      </c>
      <c r="B137" s="2">
        <v>113</v>
      </c>
      <c r="C137" s="10" t="str">
        <f ca="1">VLOOKUP($B137,OFFSET([2]gachas!$A$2,0,0,COUNTA([2]gachas!$A:$A),MATCH(C$1,[2]gachas!$1:$1,0)-MATCH($B$1,[2]gachas!$1:$1,0)+1),MATCH(C$1,[2]gachas!$1:$1,0)-MATCH($B$1,[2]gachas!$1:$1,0)+1,FALSE)</f>
        <v>ピックアップ02(沖田) 最終日</v>
      </c>
      <c r="D137" s="6">
        <v>0</v>
      </c>
      <c r="E137" s="7">
        <v>206</v>
      </c>
      <c r="F137" s="10" t="str">
        <f ca="1">VLOOKUP($E137,OFFSET([1]characters!$A$2,0,0,COUNTA([1]characters!$A:$A),MATCH(F$1,[1]characters!$2:$2,0)-MATCH($E$1,[1]characters!$2:$2,0)+1),MATCH(F$1,[1]characters!$2:$2,0)-MATCH($E$1,[1]characters!$2:$2,0)+1,FALSE)</f>
        <v>美神 アフロディーテ</v>
      </c>
      <c r="G137" s="10" t="str">
        <f ca="1">VLOOKUP($E137,OFFSET([1]characters!$A$2,0,0,COUNTA([1]characters!$A:$A),MATCH(G$1,[1]characters!$2:$2,0)-MATCH($E$1,[1]characters!$2:$2,0)+1),MATCH(G$1,[1]characters!$2:$2,0)-MATCH($E$1,[1]characters!$2:$2,0)+1,FALSE)</f>
        <v>PremiumN</v>
      </c>
      <c r="H137" s="10">
        <f ca="1">VLOOKUP($E137,OFFSET([1]characters!$A$2,0,0,COUNTA([1]characters!$A:$A),MATCH(H$1,[1]characters!$2:$2,0)-MATCH($E$1,[1]characters!$2:$2,0)+1),MATCH(H$1,[1]characters!$2:$2,0)-MATCH($E$1,[1]characters!$2:$2,0)+1,FALSE)</f>
        <v>4</v>
      </c>
      <c r="I137" s="10" t="str">
        <f ca="1">VLOOKUP($E137,OFFSET([1]characters!$A$2,0,0,COUNTA([1]characters!$A:$A),MATCH(I$1,[1]characters!$2:$2,0)-MATCH($E$1,[1]characters!$2:$2,0)+1),MATCH(I$1,[1]characters!$2:$2,0)-MATCH($E$1,[1]characters!$2:$2,0)+1,FALSE)</f>
        <v>green</v>
      </c>
      <c r="J137" s="10" t="str">
        <f ca="1">VLOOKUP($E137,OFFSET([1]characters!$A$2,0,0,COUNTA([1]characters!$A:$A),MATCH("タイプ",[1]characters!$1:$1,0)-MATCH($E$1,[1]characters!$2:$2,0)+2),MATCH("タイプ",[1]characters!$1:$1,0)-MATCH($E$1,[1]characters!$2:$2,0)+2,FALSE)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7" s="10" t="str">
        <f ca="1">VLOOKUP($E137,OFFSET([1]characters!$A$2,0,0,COUNTA([1]characters!$A:$A),MATCH($K$1,[1]characters!$1:$1,0)-MATCH($E$1,[1]characters!$2:$2,0)+2),MATCH($K$1,[1]characters!$1:$1,0)-MATCH($E$1,[1]characters!$2:$2,0)+2,FALSE)</f>
        <v>ゴッド</v>
      </c>
      <c r="L137" s="6">
        <v>1</v>
      </c>
      <c r="M137" s="6">
        <v>477</v>
      </c>
      <c r="N137" s="28">
        <v>0</v>
      </c>
      <c r="O137" s="28">
        <v>0</v>
      </c>
      <c r="P137" s="28">
        <v>0</v>
      </c>
      <c r="Q137" s="28">
        <v>0</v>
      </c>
      <c r="R137" s="28">
        <v>1</v>
      </c>
    </row>
    <row r="138" spans="1:18" ht="21" customHeight="1">
      <c r="A138" s="8" t="str">
        <f t="shared" si="2"/>
        <v>02091</v>
      </c>
      <c r="B138" s="2">
        <v>113</v>
      </c>
      <c r="C138" s="10" t="str">
        <f ca="1">VLOOKUP($B138,OFFSET([2]gachas!$A$2,0,0,COUNTA([2]gachas!$A:$A),MATCH(C$1,[2]gachas!$1:$1,0)-MATCH($B$1,[2]gachas!$1:$1,0)+1),MATCH(C$1,[2]gachas!$1:$1,0)-MATCH($B$1,[2]gachas!$1:$1,0)+1,FALSE)</f>
        <v>ピックアップ02(沖田) 最終日</v>
      </c>
      <c r="D138" s="6">
        <v>0</v>
      </c>
      <c r="E138" s="7">
        <v>209</v>
      </c>
      <c r="F138" s="10" t="str">
        <f ca="1">VLOOKUP($E138,OFFSET([1]characters!$A$2,0,0,COUNTA([1]characters!$A:$A),MATCH(F$1,[1]characters!$2:$2,0)-MATCH($E$1,[1]characters!$2:$2,0)+1),MATCH(F$1,[1]characters!$2:$2,0)-MATCH($E$1,[1]characters!$2:$2,0)+1,FALSE)</f>
        <v>孤神 テティス</v>
      </c>
      <c r="G138" s="10" t="str">
        <f ca="1">VLOOKUP($E138,OFFSET([1]characters!$A$2,0,0,COUNTA([1]characters!$A:$A),MATCH(G$1,[1]characters!$2:$2,0)-MATCH($E$1,[1]characters!$2:$2,0)+1),MATCH(G$1,[1]characters!$2:$2,0)-MATCH($E$1,[1]characters!$2:$2,0)+1,FALSE)</f>
        <v>PremiumN</v>
      </c>
      <c r="H138" s="10">
        <f ca="1">VLOOKUP($E138,OFFSET([1]characters!$A$2,0,0,COUNTA([1]characters!$A:$A),MATCH(H$1,[1]characters!$2:$2,0)-MATCH($E$1,[1]characters!$2:$2,0)+1),MATCH(H$1,[1]characters!$2:$2,0)-MATCH($E$1,[1]characters!$2:$2,0)+1,FALSE)</f>
        <v>4</v>
      </c>
      <c r="I138" s="10" t="str">
        <f ca="1">VLOOKUP($E138,OFFSET([1]characters!$A$2,0,0,COUNTA([1]characters!$A:$A),MATCH(I$1,[1]characters!$2:$2,0)-MATCH($E$1,[1]characters!$2:$2,0)+1),MATCH(I$1,[1]characters!$2:$2,0)-MATCH($E$1,[1]characters!$2:$2,0)+1,FALSE)</f>
        <v>blue</v>
      </c>
      <c r="J138" s="10" t="str">
        <f ca="1">VLOOKUP($E138,OFFSET([1]characters!$A$2,0,0,COUNTA([1]characters!$A:$A),MATCH("タイプ",[1]characters!$1:$1,0)-MATCH($E$1,[1]characters!$2:$2,0)+2),MATCH("タイプ",[1]characters!$1:$1,0)-MATCH($E$1,[1]characters!$2:$2,0)+2,FALSE)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38" s="10" t="str">
        <f ca="1">VLOOKUP($E138,OFFSET([1]characters!$A$2,0,0,COUNTA([1]characters!$A:$A),MATCH($K$1,[1]characters!$1:$1,0)-MATCH($E$1,[1]characters!$2:$2,0)+2),MATCH($K$1,[1]characters!$1:$1,0)-MATCH($E$1,[1]characters!$2:$2,0)+2,FALSE)</f>
        <v>ゴッド</v>
      </c>
      <c r="L138" s="6">
        <v>1</v>
      </c>
      <c r="M138" s="6">
        <v>477</v>
      </c>
      <c r="N138" s="28">
        <v>0</v>
      </c>
      <c r="O138" s="28">
        <v>0</v>
      </c>
      <c r="P138" s="28">
        <v>0</v>
      </c>
      <c r="Q138" s="28">
        <v>0</v>
      </c>
      <c r="R138" s="28">
        <v>1</v>
      </c>
    </row>
    <row r="139" spans="1:18" ht="21" customHeight="1">
      <c r="A139" s="8" t="str">
        <f t="shared" si="2"/>
        <v>02121</v>
      </c>
      <c r="B139" s="2">
        <v>113</v>
      </c>
      <c r="C139" s="10" t="str">
        <f ca="1">VLOOKUP($B139,OFFSET([2]gachas!$A$2,0,0,COUNTA([2]gachas!$A:$A),MATCH(C$1,[2]gachas!$1:$1,0)-MATCH($B$1,[2]gachas!$1:$1,0)+1),MATCH(C$1,[2]gachas!$1:$1,0)-MATCH($B$1,[2]gachas!$1:$1,0)+1,FALSE)</f>
        <v>ピックアップ02(沖田) 最終日</v>
      </c>
      <c r="D139" s="6">
        <v>0</v>
      </c>
      <c r="E139" s="7">
        <v>212</v>
      </c>
      <c r="F139" s="10" t="str">
        <f ca="1">VLOOKUP($E139,OFFSET([1]characters!$A$2,0,0,COUNTA([1]characters!$A:$A),MATCH(F$1,[1]characters!$2:$2,0)-MATCH($E$1,[1]characters!$2:$2,0)+1),MATCH(F$1,[1]characters!$2:$2,0)-MATCH($E$1,[1]characters!$2:$2,0)+1,FALSE)</f>
        <v>星神 アストライアー</v>
      </c>
      <c r="G139" s="10" t="str">
        <f ca="1">VLOOKUP($E139,OFFSET([1]characters!$A$2,0,0,COUNTA([1]characters!$A:$A),MATCH(G$1,[1]characters!$2:$2,0)-MATCH($E$1,[1]characters!$2:$2,0)+1),MATCH(G$1,[1]characters!$2:$2,0)-MATCH($E$1,[1]characters!$2:$2,0)+1,FALSE)</f>
        <v>PremiumN</v>
      </c>
      <c r="H139" s="10">
        <f ca="1">VLOOKUP($E139,OFFSET([1]characters!$A$2,0,0,COUNTA([1]characters!$A:$A),MATCH(H$1,[1]characters!$2:$2,0)-MATCH($E$1,[1]characters!$2:$2,0)+1),MATCH(H$1,[1]characters!$2:$2,0)-MATCH($E$1,[1]characters!$2:$2,0)+1,FALSE)</f>
        <v>4</v>
      </c>
      <c r="I139" s="10" t="str">
        <f ca="1">VLOOKUP($E139,OFFSET([1]characters!$A$2,0,0,COUNTA([1]characters!$A:$A),MATCH(I$1,[1]characters!$2:$2,0)-MATCH($E$1,[1]characters!$2:$2,0)+1),MATCH(I$1,[1]characters!$2:$2,0)-MATCH($E$1,[1]characters!$2:$2,0)+1,FALSE)</f>
        <v>yellow</v>
      </c>
      <c r="J139" s="10" t="str">
        <f ca="1">VLOOKUP($E139,OFFSET([1]characters!$A$2,0,0,COUNTA([1]characters!$A:$A),MATCH("タイプ",[1]characters!$1:$1,0)-MATCH($E$1,[1]characters!$2:$2,0)+2),MATCH("タイプ",[1]characters!$1:$1,0)-MATCH($E$1,[1]characters!$2:$2,0)+2,FALSE)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39" s="10" t="str">
        <f ca="1">VLOOKUP($E139,OFFSET([1]characters!$A$2,0,0,COUNTA([1]characters!$A:$A),MATCH($K$1,[1]characters!$1:$1,0)-MATCH($E$1,[1]characters!$2:$2,0)+2),MATCH($K$1,[1]characters!$1:$1,0)-MATCH($E$1,[1]characters!$2:$2,0)+2,FALSE)</f>
        <v>ゴッド</v>
      </c>
      <c r="L139" s="6">
        <v>1</v>
      </c>
      <c r="M139" s="6">
        <v>477</v>
      </c>
      <c r="N139" s="28">
        <v>0</v>
      </c>
      <c r="O139" s="28">
        <v>0</v>
      </c>
      <c r="P139" s="28">
        <v>0</v>
      </c>
      <c r="Q139" s="28">
        <v>0</v>
      </c>
      <c r="R139" s="28">
        <v>1</v>
      </c>
    </row>
    <row r="140" spans="1:18" ht="21" customHeight="1">
      <c r="A140" s="8" t="str">
        <f t="shared" si="2"/>
        <v>02151</v>
      </c>
      <c r="B140" s="2">
        <v>113</v>
      </c>
      <c r="C140" s="10" t="str">
        <f ca="1">VLOOKUP($B140,OFFSET([2]gachas!$A$2,0,0,COUNTA([2]gachas!$A:$A),MATCH(C$1,[2]gachas!$1:$1,0)-MATCH($B$1,[2]gachas!$1:$1,0)+1),MATCH(C$1,[2]gachas!$1:$1,0)-MATCH($B$1,[2]gachas!$1:$1,0)+1,FALSE)</f>
        <v>ピックアップ02(沖田) 最終日</v>
      </c>
      <c r="D140" s="6">
        <v>0</v>
      </c>
      <c r="E140" s="7">
        <v>215</v>
      </c>
      <c r="F140" s="10" t="str">
        <f ca="1">VLOOKUP($E140,OFFSET([1]characters!$A$2,0,0,COUNTA([1]characters!$A:$A),MATCH(F$1,[1]characters!$2:$2,0)-MATCH($E$1,[1]characters!$2:$2,0)+1),MATCH(F$1,[1]characters!$2:$2,0)-MATCH($E$1,[1]characters!$2:$2,0)+1,FALSE)</f>
        <v>死導者 アズラエル</v>
      </c>
      <c r="G140" s="10" t="str">
        <f ca="1">VLOOKUP($E140,OFFSET([1]characters!$A$2,0,0,COUNTA([1]characters!$A:$A),MATCH(G$1,[1]characters!$2:$2,0)-MATCH($E$1,[1]characters!$2:$2,0)+1),MATCH(G$1,[1]characters!$2:$2,0)-MATCH($E$1,[1]characters!$2:$2,0)+1,FALSE)</f>
        <v>PremiumN</v>
      </c>
      <c r="H140" s="10">
        <f ca="1">VLOOKUP($E140,OFFSET([1]characters!$A$2,0,0,COUNTA([1]characters!$A:$A),MATCH(H$1,[1]characters!$2:$2,0)-MATCH($E$1,[1]characters!$2:$2,0)+1),MATCH(H$1,[1]characters!$2:$2,0)-MATCH($E$1,[1]characters!$2:$2,0)+1,FALSE)</f>
        <v>4</v>
      </c>
      <c r="I140" s="10" t="str">
        <f ca="1">VLOOKUP($E140,OFFSET([1]characters!$A$2,0,0,COUNTA([1]characters!$A:$A),MATCH(I$1,[1]characters!$2:$2,0)-MATCH($E$1,[1]characters!$2:$2,0)+1),MATCH(I$1,[1]characters!$2:$2,0)-MATCH($E$1,[1]characters!$2:$2,0)+1,FALSE)</f>
        <v>red</v>
      </c>
      <c r="J140" s="10" t="str">
        <f ca="1">VLOOKUP($E140,OFFSET([1]characters!$A$2,0,0,COUNTA([1]characters!$A:$A),MATCH("タイプ",[1]characters!$1:$1,0)-MATCH($E$1,[1]characters!$2:$2,0)+2),MATCH("タイプ",[1]characters!$1:$1,0)-MATCH($E$1,[1]characters!$2:$2,0)+2,FALSE)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0" s="10" t="str">
        <f ca="1">VLOOKUP($E140,OFFSET([1]characters!$A$2,0,0,COUNTA([1]characters!$A:$A),MATCH($K$1,[1]characters!$1:$1,0)-MATCH($E$1,[1]characters!$2:$2,0)+2),MATCH($K$1,[1]characters!$1:$1,0)-MATCH($E$1,[1]characters!$2:$2,0)+2,FALSE)</f>
        <v>ゴッド</v>
      </c>
      <c r="L140" s="6">
        <v>1</v>
      </c>
      <c r="M140" s="6">
        <v>477</v>
      </c>
      <c r="N140" s="28">
        <v>0</v>
      </c>
      <c r="O140" s="28">
        <v>0</v>
      </c>
      <c r="P140" s="28">
        <v>0</v>
      </c>
      <c r="Q140" s="28">
        <v>0</v>
      </c>
      <c r="R140" s="28">
        <v>1</v>
      </c>
    </row>
    <row r="141" spans="1:18" ht="21" customHeight="1">
      <c r="A141" s="8" t="str">
        <f t="shared" si="2"/>
        <v>02181</v>
      </c>
      <c r="B141" s="2">
        <v>113</v>
      </c>
      <c r="C141" s="10" t="str">
        <f ca="1">VLOOKUP($B141,OFFSET([2]gachas!$A$2,0,0,COUNTA([2]gachas!$A:$A),MATCH(C$1,[2]gachas!$1:$1,0)-MATCH($B$1,[2]gachas!$1:$1,0)+1),MATCH(C$1,[2]gachas!$1:$1,0)-MATCH($B$1,[2]gachas!$1:$1,0)+1,FALSE)</f>
        <v>ピックアップ02(沖田) 最終日</v>
      </c>
      <c r="D141" s="6">
        <v>0</v>
      </c>
      <c r="E141" s="7">
        <v>218</v>
      </c>
      <c r="F141" s="10" t="str">
        <f ca="1">VLOOKUP($E141,OFFSET([1]characters!$A$2,0,0,COUNTA([1]characters!$A:$A),MATCH(F$1,[1]characters!$2:$2,0)-MATCH($E$1,[1]characters!$2:$2,0)+1),MATCH(F$1,[1]characters!$2:$2,0)-MATCH($E$1,[1]characters!$2:$2,0)+1,FALSE)</f>
        <v>聖蛇 ケツァクアトル</v>
      </c>
      <c r="G141" s="10" t="str">
        <f ca="1">VLOOKUP($E141,OFFSET([1]characters!$A$2,0,0,COUNTA([1]characters!$A:$A),MATCH(G$1,[1]characters!$2:$2,0)-MATCH($E$1,[1]characters!$2:$2,0)+1),MATCH(G$1,[1]characters!$2:$2,0)-MATCH($E$1,[1]characters!$2:$2,0)+1,FALSE)</f>
        <v>PremiumN</v>
      </c>
      <c r="H141" s="10">
        <f ca="1">VLOOKUP($E141,OFFSET([1]characters!$A$2,0,0,COUNTA([1]characters!$A:$A),MATCH(H$1,[1]characters!$2:$2,0)-MATCH($E$1,[1]characters!$2:$2,0)+1),MATCH(H$1,[1]characters!$2:$2,0)-MATCH($E$1,[1]characters!$2:$2,0)+1,FALSE)</f>
        <v>4</v>
      </c>
      <c r="I141" s="10" t="str">
        <f ca="1">VLOOKUP($E141,OFFSET([1]characters!$A$2,0,0,COUNTA([1]characters!$A:$A),MATCH(I$1,[1]characters!$2:$2,0)-MATCH($E$1,[1]characters!$2:$2,0)+1),MATCH(I$1,[1]characters!$2:$2,0)-MATCH($E$1,[1]characters!$2:$2,0)+1,FALSE)</f>
        <v>green</v>
      </c>
      <c r="J141" s="10" t="str">
        <f ca="1">VLOOKUP($E141,OFFSET([1]characters!$A$2,0,0,COUNTA([1]characters!$A:$A),MATCH("タイプ",[1]characters!$1:$1,0)-MATCH($E$1,[1]characters!$2:$2,0)+2),MATCH("タイプ",[1]characters!$1:$1,0)-MATCH($E$1,[1]characters!$2:$2,0)+2,FALSE)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1" s="10" t="str">
        <f ca="1">VLOOKUP($E141,OFFSET([1]characters!$A$2,0,0,COUNTA([1]characters!$A:$A),MATCH($K$1,[1]characters!$1:$1,0)-MATCH($E$1,[1]characters!$2:$2,0)+2),MATCH($K$1,[1]characters!$1:$1,0)-MATCH($E$1,[1]characters!$2:$2,0)+2,FALSE)</f>
        <v>ドラゴン</v>
      </c>
      <c r="L141" s="6">
        <v>1</v>
      </c>
      <c r="M141" s="6">
        <v>477</v>
      </c>
      <c r="N141" s="28">
        <v>0</v>
      </c>
      <c r="O141" s="28">
        <v>0</v>
      </c>
      <c r="P141" s="28">
        <v>0</v>
      </c>
      <c r="Q141" s="28">
        <v>0</v>
      </c>
      <c r="R141" s="28">
        <v>1</v>
      </c>
    </row>
    <row r="142" spans="1:18" ht="21" customHeight="1">
      <c r="A142" s="8" t="str">
        <f t="shared" si="2"/>
        <v>02211</v>
      </c>
      <c r="B142" s="2">
        <v>113</v>
      </c>
      <c r="C142" s="10" t="str">
        <f ca="1">VLOOKUP($B142,OFFSET([2]gachas!$A$2,0,0,COUNTA([2]gachas!$A:$A),MATCH(C$1,[2]gachas!$1:$1,0)-MATCH($B$1,[2]gachas!$1:$1,0)+1),MATCH(C$1,[2]gachas!$1:$1,0)-MATCH($B$1,[2]gachas!$1:$1,0)+1,FALSE)</f>
        <v>ピックアップ02(沖田) 最終日</v>
      </c>
      <c r="D142" s="6">
        <v>0</v>
      </c>
      <c r="E142" s="7">
        <v>221</v>
      </c>
      <c r="F142" s="10" t="str">
        <f ca="1">VLOOKUP($E142,OFFSET([1]characters!$A$2,0,0,COUNTA([1]characters!$A:$A),MATCH(F$1,[1]characters!$2:$2,0)-MATCH($E$1,[1]characters!$2:$2,0)+1),MATCH(F$1,[1]characters!$2:$2,0)-MATCH($E$1,[1]characters!$2:$2,0)+1,FALSE)</f>
        <v>宰相 ルキフグス</v>
      </c>
      <c r="G142" s="10" t="str">
        <f ca="1">VLOOKUP($E142,OFFSET([1]characters!$A$2,0,0,COUNTA([1]characters!$A:$A),MATCH(G$1,[1]characters!$2:$2,0)-MATCH($E$1,[1]characters!$2:$2,0)+1),MATCH(G$1,[1]characters!$2:$2,0)-MATCH($E$1,[1]characters!$2:$2,0)+1,FALSE)</f>
        <v>PremiumN</v>
      </c>
      <c r="H142" s="10">
        <f ca="1">VLOOKUP($E142,OFFSET([1]characters!$A$2,0,0,COUNTA([1]characters!$A:$A),MATCH(H$1,[1]characters!$2:$2,0)-MATCH($E$1,[1]characters!$2:$2,0)+1),MATCH(H$1,[1]characters!$2:$2,0)-MATCH($E$1,[1]characters!$2:$2,0)+1,FALSE)</f>
        <v>4</v>
      </c>
      <c r="I142" s="10" t="str">
        <f ca="1">VLOOKUP($E142,OFFSET([1]characters!$A$2,0,0,COUNTA([1]characters!$A:$A),MATCH(I$1,[1]characters!$2:$2,0)-MATCH($E$1,[1]characters!$2:$2,0)+1),MATCH(I$1,[1]characters!$2:$2,0)-MATCH($E$1,[1]characters!$2:$2,0)+1,FALSE)</f>
        <v>blue</v>
      </c>
      <c r="J142" s="10" t="str">
        <f ca="1">VLOOKUP($E142,OFFSET([1]characters!$A$2,0,0,COUNTA([1]characters!$A:$A),MATCH("タイプ",[1]characters!$1:$1,0)-MATCH($E$1,[1]characters!$2:$2,0)+2),MATCH("タイプ",[1]characters!$1:$1,0)-MATCH($E$1,[1]characters!$2:$2,0)+2,FALSE)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2" s="10" t="str">
        <f ca="1">VLOOKUP($E142,OFFSET([1]characters!$A$2,0,0,COUNTA([1]characters!$A:$A),MATCH($K$1,[1]characters!$1:$1,0)-MATCH($E$1,[1]characters!$2:$2,0)+2),MATCH($K$1,[1]characters!$1:$1,0)-MATCH($E$1,[1]characters!$2:$2,0)+2,FALSE)</f>
        <v>ゴッド</v>
      </c>
      <c r="L142" s="6">
        <v>1</v>
      </c>
      <c r="M142" s="6">
        <v>477</v>
      </c>
      <c r="N142" s="28">
        <v>0</v>
      </c>
      <c r="O142" s="28">
        <v>0</v>
      </c>
      <c r="P142" s="28">
        <v>0</v>
      </c>
      <c r="Q142" s="28">
        <v>0</v>
      </c>
      <c r="R142" s="28">
        <v>1</v>
      </c>
    </row>
    <row r="143" spans="1:18" ht="21" customHeight="1">
      <c r="A143" s="8" t="str">
        <f t="shared" si="2"/>
        <v>02241</v>
      </c>
      <c r="B143" s="2">
        <v>113</v>
      </c>
      <c r="C143" s="10" t="str">
        <f ca="1">VLOOKUP($B143,OFFSET([2]gachas!$A$2,0,0,COUNTA([2]gachas!$A:$A),MATCH(C$1,[2]gachas!$1:$1,0)-MATCH($B$1,[2]gachas!$1:$1,0)+1),MATCH(C$1,[2]gachas!$1:$1,0)-MATCH($B$1,[2]gachas!$1:$1,0)+1,FALSE)</f>
        <v>ピックアップ02(沖田) 最終日</v>
      </c>
      <c r="D143" s="6">
        <v>0</v>
      </c>
      <c r="E143" s="7">
        <v>224</v>
      </c>
      <c r="F143" s="10" t="str">
        <f ca="1">VLOOKUP($E143,OFFSET([1]characters!$A$2,0,0,COUNTA([1]characters!$A:$A),MATCH(F$1,[1]characters!$2:$2,0)-MATCH($E$1,[1]characters!$2:$2,0)+1),MATCH(F$1,[1]characters!$2:$2,0)-MATCH($E$1,[1]characters!$2:$2,0)+1,FALSE)</f>
        <v>巨腕 ヘラクレス</v>
      </c>
      <c r="G143" s="10" t="str">
        <f ca="1">VLOOKUP($E143,OFFSET([1]characters!$A$2,0,0,COUNTA([1]characters!$A:$A),MATCH(G$1,[1]characters!$2:$2,0)-MATCH($E$1,[1]characters!$2:$2,0)+1),MATCH(G$1,[1]characters!$2:$2,0)-MATCH($E$1,[1]characters!$2:$2,0)+1,FALSE)</f>
        <v>PremiumN</v>
      </c>
      <c r="H143" s="10">
        <f ca="1">VLOOKUP($E143,OFFSET([1]characters!$A$2,0,0,COUNTA([1]characters!$A:$A),MATCH(H$1,[1]characters!$2:$2,0)-MATCH($E$1,[1]characters!$2:$2,0)+1),MATCH(H$1,[1]characters!$2:$2,0)-MATCH($E$1,[1]characters!$2:$2,0)+1,FALSE)</f>
        <v>4</v>
      </c>
      <c r="I143" s="10" t="str">
        <f ca="1">VLOOKUP($E143,OFFSET([1]characters!$A$2,0,0,COUNTA([1]characters!$A:$A),MATCH(I$1,[1]characters!$2:$2,0)-MATCH($E$1,[1]characters!$2:$2,0)+1),MATCH(I$1,[1]characters!$2:$2,0)-MATCH($E$1,[1]characters!$2:$2,0)+1,FALSE)</f>
        <v>yellow</v>
      </c>
      <c r="J143" s="10" t="str">
        <f ca="1">VLOOKUP($E143,OFFSET([1]characters!$A$2,0,0,COUNTA([1]characters!$A:$A),MATCH("タイプ",[1]characters!$1:$1,0)-MATCH($E$1,[1]characters!$2:$2,0)+2),MATCH("タイプ",[1]characters!$1:$1,0)-MATCH($E$1,[1]characters!$2:$2,0)+2,FALSE)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43" s="10" t="str">
        <f ca="1">VLOOKUP($E143,OFFSET([1]characters!$A$2,0,0,COUNTA([1]characters!$A:$A),MATCH($K$1,[1]characters!$1:$1,0)-MATCH($E$1,[1]characters!$2:$2,0)+2),MATCH($K$1,[1]characters!$1:$1,0)-MATCH($E$1,[1]characters!$2:$2,0)+2,FALSE)</f>
        <v>ヒューマン</v>
      </c>
      <c r="L143" s="6">
        <v>1</v>
      </c>
      <c r="M143" s="6">
        <v>477</v>
      </c>
      <c r="N143" s="28">
        <v>0</v>
      </c>
      <c r="O143" s="28">
        <v>0</v>
      </c>
      <c r="P143" s="28">
        <v>0</v>
      </c>
      <c r="Q143" s="28">
        <v>0</v>
      </c>
      <c r="R143" s="28">
        <v>1</v>
      </c>
    </row>
    <row r="144" spans="1:18" ht="21" customHeight="1">
      <c r="A144" s="8" t="str">
        <f t="shared" si="2"/>
        <v>02271</v>
      </c>
      <c r="B144" s="2">
        <v>113</v>
      </c>
      <c r="C144" s="10" t="str">
        <f ca="1">VLOOKUP($B144,OFFSET([2]gachas!$A$2,0,0,COUNTA([2]gachas!$A:$A),MATCH(C$1,[2]gachas!$1:$1,0)-MATCH($B$1,[2]gachas!$1:$1,0)+1),MATCH(C$1,[2]gachas!$1:$1,0)-MATCH($B$1,[2]gachas!$1:$1,0)+1,FALSE)</f>
        <v>ピックアップ02(沖田) 最終日</v>
      </c>
      <c r="D144" s="6">
        <v>0</v>
      </c>
      <c r="E144" s="7">
        <v>227</v>
      </c>
      <c r="F144" s="10" t="str">
        <f ca="1">VLOOKUP($E144,OFFSET([1]characters!$A$2,0,0,COUNTA([1]characters!$A:$A),MATCH(F$1,[1]characters!$2:$2,0)-MATCH($E$1,[1]characters!$2:$2,0)+1),MATCH(F$1,[1]characters!$2:$2,0)-MATCH($E$1,[1]characters!$2:$2,0)+1,FALSE)</f>
        <v>滅弾 アレス</v>
      </c>
      <c r="G144" s="10" t="str">
        <f ca="1">VLOOKUP($E144,OFFSET([1]characters!$A$2,0,0,COUNTA([1]characters!$A:$A),MATCH(G$1,[1]characters!$2:$2,0)-MATCH($E$1,[1]characters!$2:$2,0)+1),MATCH(G$1,[1]characters!$2:$2,0)-MATCH($E$1,[1]characters!$2:$2,0)+1,FALSE)</f>
        <v>PremiumS</v>
      </c>
      <c r="H144" s="10">
        <f ca="1">VLOOKUP($E144,OFFSET([1]characters!$A$2,0,0,COUNTA([1]characters!$A:$A),MATCH(H$1,[1]characters!$2:$2,0)-MATCH($E$1,[1]characters!$2:$2,0)+1),MATCH(H$1,[1]characters!$2:$2,0)-MATCH($E$1,[1]characters!$2:$2,0)+1,FALSE)</f>
        <v>4</v>
      </c>
      <c r="I144" s="10" t="str">
        <f ca="1">VLOOKUP($E144,OFFSET([1]characters!$A$2,0,0,COUNTA([1]characters!$A:$A),MATCH(I$1,[1]characters!$2:$2,0)-MATCH($E$1,[1]characters!$2:$2,0)+1),MATCH(I$1,[1]characters!$2:$2,0)-MATCH($E$1,[1]characters!$2:$2,0)+1,FALSE)</f>
        <v>red</v>
      </c>
      <c r="J144" s="10" t="str">
        <f ca="1">VLOOKUP($E144,OFFSET([1]characters!$A$2,0,0,COUNTA([1]characters!$A:$A),MATCH("タイプ",[1]characters!$1:$1,0)-MATCH($E$1,[1]characters!$2:$2,0)+2),MATCH("タイプ",[1]characters!$1:$1,0)-MATCH($E$1,[1]characters!$2:$2,0)+2,FALSE)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4" s="10" t="str">
        <f ca="1">VLOOKUP($E144,OFFSET([1]characters!$A$2,0,0,COUNTA([1]characters!$A:$A),MATCH($K$1,[1]characters!$1:$1,0)-MATCH($E$1,[1]characters!$2:$2,0)+2),MATCH($K$1,[1]characters!$1:$1,0)-MATCH($E$1,[1]characters!$2:$2,0)+2,FALSE)</f>
        <v>ゴッド</v>
      </c>
      <c r="L144" s="6">
        <v>1</v>
      </c>
      <c r="M144" s="6">
        <v>436</v>
      </c>
      <c r="N144" s="28">
        <v>0</v>
      </c>
      <c r="O144" s="28">
        <v>0</v>
      </c>
      <c r="P144" s="28">
        <v>0</v>
      </c>
      <c r="Q144" s="28">
        <v>0</v>
      </c>
      <c r="R144" s="28">
        <v>1</v>
      </c>
    </row>
    <row r="145" spans="1:18" ht="21" customHeight="1">
      <c r="A145" s="8" t="str">
        <f t="shared" si="2"/>
        <v>02301</v>
      </c>
      <c r="B145" s="2">
        <v>113</v>
      </c>
      <c r="C145" s="10" t="str">
        <f ca="1">VLOOKUP($B145,OFFSET([2]gachas!$A$2,0,0,COUNTA([2]gachas!$A:$A),MATCH(C$1,[2]gachas!$1:$1,0)-MATCH($B$1,[2]gachas!$1:$1,0)+1),MATCH(C$1,[2]gachas!$1:$1,0)-MATCH($B$1,[2]gachas!$1:$1,0)+1,FALSE)</f>
        <v>ピックアップ02(沖田) 最終日</v>
      </c>
      <c r="D145" s="29">
        <v>0</v>
      </c>
      <c r="E145" s="30">
        <v>230</v>
      </c>
      <c r="F145" s="10" t="str">
        <f ca="1">VLOOKUP($E145,OFFSET([1]characters!$A$2,0,0,COUNTA([1]characters!$A:$A),MATCH(F$1,[1]characters!$2:$2,0)-MATCH($E$1,[1]characters!$2:$2,0)+1),MATCH(F$1,[1]characters!$2:$2,0)-MATCH($E$1,[1]characters!$2:$2,0)+1,FALSE)</f>
        <v>毒銃 ヨルムンガンド</v>
      </c>
      <c r="G145" s="10" t="str">
        <f ca="1">VLOOKUP($E145,OFFSET([1]characters!$A$2,0,0,COUNTA([1]characters!$A:$A),MATCH(G$1,[1]characters!$2:$2,0)-MATCH($E$1,[1]characters!$2:$2,0)+1),MATCH(G$1,[1]characters!$2:$2,0)-MATCH($E$1,[1]characters!$2:$2,0)+1,FALSE)</f>
        <v>PremiumS</v>
      </c>
      <c r="H145" s="10">
        <f ca="1">VLOOKUP($E145,OFFSET([1]characters!$A$2,0,0,COUNTA([1]characters!$A:$A),MATCH(H$1,[1]characters!$2:$2,0)-MATCH($E$1,[1]characters!$2:$2,0)+1),MATCH(H$1,[1]characters!$2:$2,0)-MATCH($E$1,[1]characters!$2:$2,0)+1,FALSE)</f>
        <v>4</v>
      </c>
      <c r="I145" s="10" t="str">
        <f ca="1">VLOOKUP($E145,OFFSET([1]characters!$A$2,0,0,COUNTA([1]characters!$A:$A),MATCH(I$1,[1]characters!$2:$2,0)-MATCH($E$1,[1]characters!$2:$2,0)+1),MATCH(I$1,[1]characters!$2:$2,0)-MATCH($E$1,[1]characters!$2:$2,0)+1,FALSE)</f>
        <v>green</v>
      </c>
      <c r="J145" s="10" t="str">
        <f ca="1">VLOOKUP($E145,OFFSET([1]characters!$A$2,0,0,COUNTA([1]characters!$A:$A),MATCH("タイプ",[1]characters!$1:$1,0)-MATCH($E$1,[1]characters!$2:$2,0)+2),MATCH("タイプ",[1]characters!$1:$1,0)-MATCH($E$1,[1]characters!$2:$2,0)+2,FALSE)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5" s="10" t="str">
        <f ca="1">VLOOKUP($E145,OFFSET([1]characters!$A$2,0,0,COUNTA([1]characters!$A:$A),MATCH($K$1,[1]characters!$1:$1,0)-MATCH($E$1,[1]characters!$2:$2,0)+2),MATCH($K$1,[1]characters!$1:$1,0)-MATCH($E$1,[1]characters!$2:$2,0)+2,FALSE)</f>
        <v>ドラゴン</v>
      </c>
      <c r="L145" s="29">
        <v>1</v>
      </c>
      <c r="M145" s="29">
        <v>1308</v>
      </c>
      <c r="N145" s="28">
        <v>0</v>
      </c>
      <c r="O145" s="28">
        <v>0</v>
      </c>
      <c r="P145" s="28">
        <v>0</v>
      </c>
      <c r="Q145" s="28">
        <v>0</v>
      </c>
      <c r="R145" s="28">
        <v>1</v>
      </c>
    </row>
    <row r="146" spans="1:18" ht="21" customHeight="1">
      <c r="A146" s="8" t="str">
        <f t="shared" si="2"/>
        <v>02331</v>
      </c>
      <c r="B146" s="2">
        <v>113</v>
      </c>
      <c r="C146" s="10" t="str">
        <f ca="1">VLOOKUP($B146,OFFSET([2]gachas!$A$2,0,0,COUNTA([2]gachas!$A:$A),MATCH(C$1,[2]gachas!$1:$1,0)-MATCH($B$1,[2]gachas!$1:$1,0)+1),MATCH(C$1,[2]gachas!$1:$1,0)-MATCH($B$1,[2]gachas!$1:$1,0)+1,FALSE)</f>
        <v>ピックアップ02(沖田) 最終日</v>
      </c>
      <c r="D146" s="6">
        <v>0</v>
      </c>
      <c r="E146" s="7">
        <v>233</v>
      </c>
      <c r="F146" s="10" t="str">
        <f ca="1">VLOOKUP($E146,OFFSET([1]characters!$A$2,0,0,COUNTA([1]characters!$A:$A),MATCH(F$1,[1]characters!$2:$2,0)-MATCH($E$1,[1]characters!$2:$2,0)+1),MATCH(F$1,[1]characters!$2:$2,0)-MATCH($E$1,[1]characters!$2:$2,0)+1,FALSE)</f>
        <v>遂行 パーシヴァル</v>
      </c>
      <c r="G146" s="10" t="str">
        <f ca="1">VLOOKUP($E146,OFFSET([1]characters!$A$2,0,0,COUNTA([1]characters!$A:$A),MATCH(G$1,[1]characters!$2:$2,0)-MATCH($E$1,[1]characters!$2:$2,0)+1),MATCH(G$1,[1]characters!$2:$2,0)-MATCH($E$1,[1]characters!$2:$2,0)+1,FALSE)</f>
        <v>PremiumS</v>
      </c>
      <c r="H146" s="10">
        <f ca="1">VLOOKUP($E146,OFFSET([1]characters!$A$2,0,0,COUNTA([1]characters!$A:$A),MATCH(H$1,[1]characters!$2:$2,0)-MATCH($E$1,[1]characters!$2:$2,0)+1),MATCH(H$1,[1]characters!$2:$2,0)-MATCH($E$1,[1]characters!$2:$2,0)+1,FALSE)</f>
        <v>4</v>
      </c>
      <c r="I146" s="10" t="str">
        <f ca="1">VLOOKUP($E146,OFFSET([1]characters!$A$2,0,0,COUNTA([1]characters!$A:$A),MATCH(I$1,[1]characters!$2:$2,0)-MATCH($E$1,[1]characters!$2:$2,0)+1),MATCH(I$1,[1]characters!$2:$2,0)-MATCH($E$1,[1]characters!$2:$2,0)+1,FALSE)</f>
        <v>blue</v>
      </c>
      <c r="J146" s="10" t="str">
        <f ca="1">VLOOKUP($E146,OFFSET([1]characters!$A$2,0,0,COUNTA([1]characters!$A:$A),MATCH("タイプ",[1]characters!$1:$1,0)-MATCH($E$1,[1]characters!$2:$2,0)+2),MATCH("タイプ",[1]characters!$1:$1,0)-MATCH($E$1,[1]characters!$2:$2,0)+2,FALSE)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6" s="10" t="str">
        <f ca="1">VLOOKUP($E146,OFFSET([1]characters!$A$2,0,0,COUNTA([1]characters!$A:$A),MATCH($K$1,[1]characters!$1:$1,0)-MATCH($E$1,[1]characters!$2:$2,0)+2),MATCH($K$1,[1]characters!$1:$1,0)-MATCH($E$1,[1]characters!$2:$2,0)+2,FALSE)</f>
        <v>ヒューマン</v>
      </c>
      <c r="L146" s="6">
        <v>1</v>
      </c>
      <c r="M146" s="6">
        <v>436</v>
      </c>
      <c r="N146" s="28">
        <v>0</v>
      </c>
      <c r="O146" s="28">
        <v>0</v>
      </c>
      <c r="P146" s="28">
        <v>0</v>
      </c>
      <c r="Q146" s="28">
        <v>0</v>
      </c>
      <c r="R146" s="28">
        <v>1</v>
      </c>
    </row>
    <row r="147" spans="1:18" ht="21" customHeight="1">
      <c r="A147" s="8" t="str">
        <f t="shared" si="2"/>
        <v>02361</v>
      </c>
      <c r="B147" s="2">
        <v>113</v>
      </c>
      <c r="C147" s="10" t="str">
        <f ca="1">VLOOKUP($B147,OFFSET([2]gachas!$A$2,0,0,COUNTA([2]gachas!$A:$A),MATCH(C$1,[2]gachas!$1:$1,0)-MATCH($B$1,[2]gachas!$1:$1,0)+1),MATCH(C$1,[2]gachas!$1:$1,0)-MATCH($B$1,[2]gachas!$1:$1,0)+1,FALSE)</f>
        <v>ピックアップ02(沖田) 最終日</v>
      </c>
      <c r="D147" s="6">
        <v>0</v>
      </c>
      <c r="E147" s="7">
        <v>236</v>
      </c>
      <c r="F147" s="10" t="str">
        <f ca="1">VLOOKUP($E147,OFFSET([1]characters!$A$2,0,0,COUNTA([1]characters!$A:$A),MATCH(F$1,[1]characters!$2:$2,0)-MATCH($E$1,[1]characters!$2:$2,0)+1),MATCH(F$1,[1]characters!$2:$2,0)-MATCH($E$1,[1]characters!$2:$2,0)+1,FALSE)</f>
        <v>神産 イザナミ</v>
      </c>
      <c r="G147" s="10" t="str">
        <f ca="1">VLOOKUP($E147,OFFSET([1]characters!$A$2,0,0,COUNTA([1]characters!$A:$A),MATCH(G$1,[1]characters!$2:$2,0)-MATCH($E$1,[1]characters!$2:$2,0)+1),MATCH(G$1,[1]characters!$2:$2,0)-MATCH($E$1,[1]characters!$2:$2,0)+1,FALSE)</f>
        <v>PremiumS</v>
      </c>
      <c r="H147" s="10">
        <f ca="1">VLOOKUP($E147,OFFSET([1]characters!$A$2,0,0,COUNTA([1]characters!$A:$A),MATCH(H$1,[1]characters!$2:$2,0)-MATCH($E$1,[1]characters!$2:$2,0)+1),MATCH(H$1,[1]characters!$2:$2,0)-MATCH($E$1,[1]characters!$2:$2,0)+1,FALSE)</f>
        <v>4</v>
      </c>
      <c r="I147" s="10" t="str">
        <f ca="1">VLOOKUP($E147,OFFSET([1]characters!$A$2,0,0,COUNTA([1]characters!$A:$A),MATCH(I$1,[1]characters!$2:$2,0)-MATCH($E$1,[1]characters!$2:$2,0)+1),MATCH(I$1,[1]characters!$2:$2,0)-MATCH($E$1,[1]characters!$2:$2,0)+1,FALSE)</f>
        <v>yellow</v>
      </c>
      <c r="J147" s="10" t="str">
        <f ca="1">VLOOKUP($E147,OFFSET([1]characters!$A$2,0,0,COUNTA([1]characters!$A:$A),MATCH("タイプ",[1]characters!$1:$1,0)-MATCH($E$1,[1]characters!$2:$2,0)+2),MATCH("タイプ",[1]characters!$1:$1,0)-MATCH($E$1,[1]characters!$2:$2,0)+2,FALSE)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47" s="10" t="str">
        <f ca="1">VLOOKUP($E147,OFFSET([1]characters!$A$2,0,0,COUNTA([1]characters!$A:$A),MATCH($K$1,[1]characters!$1:$1,0)-MATCH($E$1,[1]characters!$2:$2,0)+2),MATCH($K$1,[1]characters!$1:$1,0)-MATCH($E$1,[1]characters!$2:$2,0)+2,FALSE)</f>
        <v>ゴッド</v>
      </c>
      <c r="L147" s="6">
        <v>1</v>
      </c>
      <c r="M147" s="6">
        <v>436</v>
      </c>
      <c r="N147" s="28">
        <v>0</v>
      </c>
      <c r="O147" s="28">
        <v>0</v>
      </c>
      <c r="P147" s="28">
        <v>0</v>
      </c>
      <c r="Q147" s="28">
        <v>0</v>
      </c>
      <c r="R147" s="28">
        <v>1</v>
      </c>
    </row>
    <row r="148" spans="1:18" ht="21" customHeight="1">
      <c r="A148" s="8" t="str">
        <f t="shared" si="2"/>
        <v>02311</v>
      </c>
      <c r="B148" s="2">
        <v>113</v>
      </c>
      <c r="C148" s="10" t="str">
        <f ca="1">VLOOKUP($B148,OFFSET([2]gachas!$A$2,0,0,COUNTA([2]gachas!$A:$A),MATCH(C$1,[2]gachas!$1:$1,0)-MATCH($B$1,[2]gachas!$1:$1,0)+1),MATCH(C$1,[2]gachas!$1:$1,0)-MATCH($B$1,[2]gachas!$1:$1,0)+1,FALSE)</f>
        <v>ピックアップ02(沖田) 最終日</v>
      </c>
      <c r="D148" s="29">
        <v>0</v>
      </c>
      <c r="E148" s="30">
        <v>231</v>
      </c>
      <c r="F148" s="10" t="str">
        <f ca="1">VLOOKUP($E148,OFFSET([1]characters!$A$2,0,0,COUNTA([1]characters!$A:$A),MATCH(F$1,[1]characters!$2:$2,0)-MATCH($E$1,[1]characters!$2:$2,0)+1),MATCH(F$1,[1]characters!$2:$2,0)-MATCH($E$1,[1]characters!$2:$2,0)+1,FALSE)</f>
        <v>必中の咬銃 ヨルムンガンド</v>
      </c>
      <c r="G148" s="10" t="str">
        <f ca="1">VLOOKUP($E148,OFFSET([1]characters!$A$2,0,0,COUNTA([1]characters!$A:$A),MATCH(G$1,[1]characters!$2:$2,0)-MATCH($E$1,[1]characters!$2:$2,0)+1),MATCH(G$1,[1]characters!$2:$2,0)-MATCH($E$1,[1]characters!$2:$2,0)+1,FALSE)</f>
        <v>PremiumS</v>
      </c>
      <c r="H148" s="10">
        <f ca="1">VLOOKUP($E148,OFFSET([1]characters!$A$2,0,0,COUNTA([1]characters!$A:$A),MATCH(H$1,[1]characters!$2:$2,0)-MATCH($E$1,[1]characters!$2:$2,0)+1),MATCH(H$1,[1]characters!$2:$2,0)-MATCH($E$1,[1]characters!$2:$2,0)+1,FALSE)</f>
        <v>5</v>
      </c>
      <c r="I148" s="10" t="str">
        <f ca="1">VLOOKUP($E148,OFFSET([1]characters!$A$2,0,0,COUNTA([1]characters!$A:$A),MATCH(I$1,[1]characters!$2:$2,0)-MATCH($E$1,[1]characters!$2:$2,0)+1),MATCH(I$1,[1]characters!$2:$2,0)-MATCH($E$1,[1]characters!$2:$2,0)+1,FALSE)</f>
        <v>green</v>
      </c>
      <c r="J148" s="10" t="str">
        <f ca="1">VLOOKUP($E148,OFFSET([1]characters!$A$2,0,0,COUNTA([1]characters!$A:$A),MATCH("タイプ",[1]characters!$1:$1,0)-MATCH($E$1,[1]characters!$2:$2,0)+2),MATCH("タイプ",[1]characters!$1:$1,0)-MATCH($E$1,[1]characters!$2:$2,0)+2,FALSE)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48" s="10" t="str">
        <f ca="1">VLOOKUP($E148,OFFSET([1]characters!$A$2,0,0,COUNTA([1]characters!$A:$A),MATCH($K$1,[1]characters!$1:$1,0)-MATCH($E$1,[1]characters!$2:$2,0)+2),MATCH($K$1,[1]characters!$1:$1,0)-MATCH($E$1,[1]characters!$2:$2,0)+2,FALSE)</f>
        <v>ドラゴン</v>
      </c>
      <c r="L148" s="29">
        <v>1</v>
      </c>
      <c r="M148" s="29">
        <v>1962</v>
      </c>
      <c r="N148" s="28">
        <v>0</v>
      </c>
      <c r="O148" s="28">
        <v>0</v>
      </c>
      <c r="P148" s="28">
        <v>0</v>
      </c>
      <c r="Q148" s="28">
        <v>0</v>
      </c>
      <c r="R148" s="28">
        <v>1</v>
      </c>
    </row>
    <row r="149" spans="1:18" ht="21" customHeight="1">
      <c r="A149" s="8" t="str">
        <f t="shared" si="2"/>
        <v>02381</v>
      </c>
      <c r="B149" s="2">
        <v>113</v>
      </c>
      <c r="C149" s="10" t="str">
        <f ca="1">VLOOKUP($B149,OFFSET([2]gachas!$A$2,0,0,COUNTA([2]gachas!$A:$A),MATCH(C$1,[2]gachas!$1:$1,0)-MATCH($B$1,[2]gachas!$1:$1,0)+1),MATCH(C$1,[2]gachas!$1:$1,0)-MATCH($B$1,[2]gachas!$1:$1,0)+1,FALSE)</f>
        <v>ピックアップ02(沖田) 最終日</v>
      </c>
      <c r="D149" s="6">
        <v>0</v>
      </c>
      <c r="E149" s="19">
        <v>238</v>
      </c>
      <c r="F149" s="10" t="str">
        <f ca="1">VLOOKUP($E149,OFFSET([1]characters!$A$2,0,0,COUNTA([1]characters!$A:$A),MATCH(F$1,[1]characters!$2:$2,0)-MATCH($E$1,[1]characters!$2:$2,0)+1),MATCH(F$1,[1]characters!$2:$2,0)-MATCH($E$1,[1]characters!$2:$2,0)+1,FALSE)</f>
        <v>ウリエル</v>
      </c>
      <c r="G149" s="10" t="str">
        <f ca="1">VLOOKUP($E149,OFFSET([1]characters!$A$2,0,0,COUNTA([1]characters!$A:$A),MATCH(G$1,[1]characters!$2:$2,0)-MATCH($E$1,[1]characters!$2:$2,0)+1),MATCH(G$1,[1]characters!$2:$2,0)-MATCH($E$1,[1]characters!$2:$2,0)+1,FALSE)</f>
        <v>PremiumS</v>
      </c>
      <c r="H149" s="10">
        <f ca="1">VLOOKUP($E149,OFFSET([1]characters!$A$2,0,0,COUNTA([1]characters!$A:$A),MATCH(H$1,[1]characters!$2:$2,0)-MATCH($E$1,[1]characters!$2:$2,0)+1),MATCH(H$1,[1]characters!$2:$2,0)-MATCH($E$1,[1]characters!$2:$2,0)+1,FALSE)</f>
        <v>3</v>
      </c>
      <c r="I149" s="10" t="str">
        <f ca="1">VLOOKUP($E149,OFFSET([1]characters!$A$2,0,0,COUNTA([1]characters!$A:$A),MATCH(I$1,[1]characters!$2:$2,0)-MATCH($E$1,[1]characters!$2:$2,0)+1),MATCH(I$1,[1]characters!$2:$2,0)-MATCH($E$1,[1]characters!$2:$2,0)+1,FALSE)</f>
        <v>red</v>
      </c>
      <c r="J149" s="10" t="str">
        <f ca="1">VLOOKUP($E149,OFFSET([1]characters!$A$2,0,0,COUNTA([1]characters!$A:$A),MATCH("タイプ",[1]characters!$1:$1,0)-MATCH($E$1,[1]characters!$2:$2,0)+2),MATCH("タイプ",[1]characters!$1:$1,0)-MATCH($E$1,[1]characters!$2:$2,0)+2,FALSE)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49" s="10" t="str">
        <f ca="1">VLOOKUP($E149,OFFSET([1]characters!$A$2,0,0,COUNTA([1]characters!$A:$A),MATCH($K$1,[1]characters!$1:$1,0)-MATCH($E$1,[1]characters!$2:$2,0)+2),MATCH($K$1,[1]characters!$1:$1,0)-MATCH($E$1,[1]characters!$2:$2,0)+2,FALSE)</f>
        <v>マシン</v>
      </c>
      <c r="L149" s="6">
        <v>1</v>
      </c>
      <c r="M149" s="6">
        <v>929</v>
      </c>
      <c r="N149" s="28">
        <v>0</v>
      </c>
      <c r="O149" s="28">
        <v>0</v>
      </c>
      <c r="P149" s="28">
        <v>0</v>
      </c>
      <c r="Q149" s="28">
        <v>0</v>
      </c>
      <c r="R149" s="28">
        <v>1</v>
      </c>
    </row>
    <row r="150" spans="1:18" ht="21" customHeight="1">
      <c r="A150" s="8" t="str">
        <f t="shared" si="2"/>
        <v>02391</v>
      </c>
      <c r="B150" s="2">
        <v>113</v>
      </c>
      <c r="C150" s="10" t="str">
        <f ca="1">VLOOKUP($B150,OFFSET([2]gachas!$A$2,0,0,COUNTA([2]gachas!$A:$A),MATCH(C$1,[2]gachas!$1:$1,0)-MATCH($B$1,[2]gachas!$1:$1,0)+1),MATCH(C$1,[2]gachas!$1:$1,0)-MATCH($B$1,[2]gachas!$1:$1,0)+1,FALSE)</f>
        <v>ピックアップ02(沖田) 最終日</v>
      </c>
      <c r="D150" s="6">
        <v>0</v>
      </c>
      <c r="E150" s="19">
        <v>239</v>
      </c>
      <c r="F150" s="10" t="str">
        <f ca="1">VLOOKUP($E150,OFFSET([1]characters!$A$2,0,0,COUNTA([1]characters!$A:$A),MATCH(F$1,[1]characters!$2:$2,0)-MATCH($E$1,[1]characters!$2:$2,0)+1),MATCH(F$1,[1]characters!$2:$2,0)-MATCH($E$1,[1]characters!$2:$2,0)+1,FALSE)</f>
        <v>豪炎の天使 ウリエル</v>
      </c>
      <c r="G150" s="10" t="str">
        <f ca="1">VLOOKUP($E150,OFFSET([1]characters!$A$2,0,0,COUNTA([1]characters!$A:$A),MATCH(G$1,[1]characters!$2:$2,0)-MATCH($E$1,[1]characters!$2:$2,0)+1),MATCH(G$1,[1]characters!$2:$2,0)-MATCH($E$1,[1]characters!$2:$2,0)+1,FALSE)</f>
        <v>PremiumS</v>
      </c>
      <c r="H150" s="10">
        <f ca="1">VLOOKUP($E150,OFFSET([1]characters!$A$2,0,0,COUNTA([1]characters!$A:$A),MATCH(H$1,[1]characters!$2:$2,0)-MATCH($E$1,[1]characters!$2:$2,0)+1),MATCH(H$1,[1]characters!$2:$2,0)-MATCH($E$1,[1]characters!$2:$2,0)+1,FALSE)</f>
        <v>4</v>
      </c>
      <c r="I150" s="10" t="str">
        <f ca="1">VLOOKUP($E150,OFFSET([1]characters!$A$2,0,0,COUNTA([1]characters!$A:$A),MATCH(I$1,[1]characters!$2:$2,0)-MATCH($E$1,[1]characters!$2:$2,0)+1),MATCH(I$1,[1]characters!$2:$2,0)-MATCH($E$1,[1]characters!$2:$2,0)+1,FALSE)</f>
        <v>red</v>
      </c>
      <c r="J150" s="10" t="str">
        <f ca="1">VLOOKUP($E150,OFFSET([1]characters!$A$2,0,0,COUNTA([1]characters!$A:$A),MATCH("タイプ",[1]characters!$1:$1,0)-MATCH($E$1,[1]characters!$2:$2,0)+2),MATCH("タイプ",[1]characters!$1:$1,0)-MATCH($E$1,[1]characters!$2:$2,0)+2,FALSE)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50" s="10" t="str">
        <f ca="1">VLOOKUP($E150,OFFSET([1]characters!$A$2,0,0,COUNTA([1]characters!$A:$A),MATCH($K$1,[1]characters!$1:$1,0)-MATCH($E$1,[1]characters!$2:$2,0)+2),MATCH($K$1,[1]characters!$1:$1,0)-MATCH($E$1,[1]characters!$2:$2,0)+2,FALSE)</f>
        <v>マシン</v>
      </c>
      <c r="L150" s="6">
        <v>1</v>
      </c>
      <c r="M150" s="45">
        <v>436</v>
      </c>
      <c r="N150" s="28">
        <v>0</v>
      </c>
      <c r="O150" s="28">
        <v>0</v>
      </c>
      <c r="P150" s="28">
        <v>0</v>
      </c>
      <c r="Q150" s="28">
        <v>0</v>
      </c>
      <c r="R150" s="28">
        <v>1</v>
      </c>
    </row>
    <row r="151" spans="1:18" ht="21" customHeight="1">
      <c r="A151" s="8" t="str">
        <f t="shared" si="2"/>
        <v>02411</v>
      </c>
      <c r="B151" s="2">
        <v>113</v>
      </c>
      <c r="C151" s="10" t="str">
        <f ca="1">VLOOKUP($B151,OFFSET([2]gachas!$A$2,0,0,COUNTA([2]gachas!$A:$A),MATCH(C$1,[2]gachas!$1:$1,0)-MATCH($B$1,[2]gachas!$1:$1,0)+1),MATCH(C$1,[2]gachas!$1:$1,0)-MATCH($B$1,[2]gachas!$1:$1,0)+1,FALSE)</f>
        <v>ピックアップ02(沖田) 最終日</v>
      </c>
      <c r="D151" s="6">
        <v>0</v>
      </c>
      <c r="E151" s="19">
        <v>241</v>
      </c>
      <c r="F151" s="10" t="str">
        <f ca="1">VLOOKUP($E151,OFFSET([1]characters!$A$2,0,0,COUNTA([1]characters!$A:$A),MATCH(F$1,[1]characters!$2:$2,0)-MATCH($E$1,[1]characters!$2:$2,0)+1),MATCH(F$1,[1]characters!$2:$2,0)-MATCH($E$1,[1]characters!$2:$2,0)+1,FALSE)</f>
        <v>ガブリエル</v>
      </c>
      <c r="G151" s="10" t="str">
        <f ca="1">VLOOKUP($E151,OFFSET([1]characters!$A$2,0,0,COUNTA([1]characters!$A:$A),MATCH(G$1,[1]characters!$2:$2,0)-MATCH($E$1,[1]characters!$2:$2,0)+1),MATCH(G$1,[1]characters!$2:$2,0)-MATCH($E$1,[1]characters!$2:$2,0)+1,FALSE)</f>
        <v>PremiumS</v>
      </c>
      <c r="H151" s="10">
        <f ca="1">VLOOKUP($E151,OFFSET([1]characters!$A$2,0,0,COUNTA([1]characters!$A:$A),MATCH(H$1,[1]characters!$2:$2,0)-MATCH($E$1,[1]characters!$2:$2,0)+1),MATCH(H$1,[1]characters!$2:$2,0)-MATCH($E$1,[1]characters!$2:$2,0)+1,FALSE)</f>
        <v>3</v>
      </c>
      <c r="I151" s="10" t="str">
        <f ca="1">VLOOKUP($E151,OFFSET([1]characters!$A$2,0,0,COUNTA([1]characters!$A:$A),MATCH(I$1,[1]characters!$2:$2,0)-MATCH($E$1,[1]characters!$2:$2,0)+1),MATCH(I$1,[1]characters!$2:$2,0)-MATCH($E$1,[1]characters!$2:$2,0)+1,FALSE)</f>
        <v>green</v>
      </c>
      <c r="J151" s="10" t="str">
        <f ca="1">VLOOKUP($E151,OFFSET([1]characters!$A$2,0,0,COUNTA([1]characters!$A:$A),MATCH("タイプ",[1]characters!$1:$1,0)-MATCH($E$1,[1]characters!$2:$2,0)+2),MATCH("タイプ",[1]characters!$1:$1,0)-MATCH($E$1,[1]characters!$2:$2,0)+2,FALSE)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1" s="10" t="str">
        <f ca="1">VLOOKUP($E151,OFFSET([1]characters!$A$2,0,0,COUNTA([1]characters!$A:$A),MATCH($K$1,[1]characters!$1:$1,0)-MATCH($E$1,[1]characters!$2:$2,0)+2),MATCH($K$1,[1]characters!$1:$1,0)-MATCH($E$1,[1]characters!$2:$2,0)+2,FALSE)</f>
        <v>マシン</v>
      </c>
      <c r="L151" s="6">
        <v>1</v>
      </c>
      <c r="M151" s="6">
        <v>929</v>
      </c>
      <c r="N151" s="28">
        <v>0</v>
      </c>
      <c r="O151" s="28">
        <v>0</v>
      </c>
      <c r="P151" s="28">
        <v>0</v>
      </c>
      <c r="Q151" s="28">
        <v>0</v>
      </c>
      <c r="R151" s="28">
        <v>1</v>
      </c>
    </row>
    <row r="152" spans="1:18" ht="21" customHeight="1">
      <c r="A152" s="8" t="str">
        <f t="shared" si="2"/>
        <v>02421</v>
      </c>
      <c r="B152" s="2">
        <v>113</v>
      </c>
      <c r="C152" s="10" t="str">
        <f ca="1">VLOOKUP($B152,OFFSET([2]gachas!$A$2,0,0,COUNTA([2]gachas!$A:$A),MATCH(C$1,[2]gachas!$1:$1,0)-MATCH($B$1,[2]gachas!$1:$1,0)+1),MATCH(C$1,[2]gachas!$1:$1,0)-MATCH($B$1,[2]gachas!$1:$1,0)+1,FALSE)</f>
        <v>ピックアップ02(沖田) 最終日</v>
      </c>
      <c r="D152" s="6">
        <v>0</v>
      </c>
      <c r="E152" s="19">
        <v>242</v>
      </c>
      <c r="F152" s="10" t="str">
        <f ca="1">VLOOKUP($E152,OFFSET([1]characters!$A$2,0,0,COUNTA([1]characters!$A:$A),MATCH(F$1,[1]characters!$2:$2,0)-MATCH($E$1,[1]characters!$2:$2,0)+1),MATCH(F$1,[1]characters!$2:$2,0)-MATCH($E$1,[1]characters!$2:$2,0)+1,FALSE)</f>
        <v>百花の天使 ガブリエル</v>
      </c>
      <c r="G152" s="10" t="str">
        <f ca="1">VLOOKUP($E152,OFFSET([1]characters!$A$2,0,0,COUNTA([1]characters!$A:$A),MATCH(G$1,[1]characters!$2:$2,0)-MATCH($E$1,[1]characters!$2:$2,0)+1),MATCH(G$1,[1]characters!$2:$2,0)-MATCH($E$1,[1]characters!$2:$2,0)+1,FALSE)</f>
        <v>PremiumS</v>
      </c>
      <c r="H152" s="10">
        <f ca="1">VLOOKUP($E152,OFFSET([1]characters!$A$2,0,0,COUNTA([1]characters!$A:$A),MATCH(H$1,[1]characters!$2:$2,0)-MATCH($E$1,[1]characters!$2:$2,0)+1),MATCH(H$1,[1]characters!$2:$2,0)-MATCH($E$1,[1]characters!$2:$2,0)+1,FALSE)</f>
        <v>4</v>
      </c>
      <c r="I152" s="10" t="str">
        <f ca="1">VLOOKUP($E152,OFFSET([1]characters!$A$2,0,0,COUNTA([1]characters!$A:$A),MATCH(I$1,[1]characters!$2:$2,0)-MATCH($E$1,[1]characters!$2:$2,0)+1),MATCH(I$1,[1]characters!$2:$2,0)-MATCH($E$1,[1]characters!$2:$2,0)+1,FALSE)</f>
        <v>green</v>
      </c>
      <c r="J152" s="10" t="str">
        <f ca="1">VLOOKUP($E152,OFFSET([1]characters!$A$2,0,0,COUNTA([1]characters!$A:$A),MATCH("タイプ",[1]characters!$1:$1,0)-MATCH($E$1,[1]characters!$2:$2,0)+2),MATCH("タイプ",[1]characters!$1:$1,0)-MATCH($E$1,[1]characters!$2:$2,0)+2,FALSE)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2" s="10" t="str">
        <f ca="1">VLOOKUP($E152,OFFSET([1]characters!$A$2,0,0,COUNTA([1]characters!$A:$A),MATCH($K$1,[1]characters!$1:$1,0)-MATCH($E$1,[1]characters!$2:$2,0)+2),MATCH($K$1,[1]characters!$1:$1,0)-MATCH($E$1,[1]characters!$2:$2,0)+2,FALSE)</f>
        <v>マシン</v>
      </c>
      <c r="L152" s="6">
        <v>1</v>
      </c>
      <c r="M152" s="45">
        <v>436</v>
      </c>
      <c r="N152" s="28">
        <v>0</v>
      </c>
      <c r="O152" s="28">
        <v>0</v>
      </c>
      <c r="P152" s="28">
        <v>0</v>
      </c>
      <c r="Q152" s="28">
        <v>0</v>
      </c>
      <c r="R152" s="28">
        <v>1</v>
      </c>
    </row>
    <row r="153" spans="1:18" ht="21" customHeight="1">
      <c r="A153" s="8" t="str">
        <f t="shared" si="2"/>
        <v>02441</v>
      </c>
      <c r="B153" s="2">
        <v>113</v>
      </c>
      <c r="C153" s="10" t="str">
        <f ca="1">VLOOKUP($B153,OFFSET([2]gachas!$A$2,0,0,COUNTA([2]gachas!$A:$A),MATCH(C$1,[2]gachas!$1:$1,0)-MATCH($B$1,[2]gachas!$1:$1,0)+1),MATCH(C$1,[2]gachas!$1:$1,0)-MATCH($B$1,[2]gachas!$1:$1,0)+1,FALSE)</f>
        <v>ピックアップ02(沖田) 最終日</v>
      </c>
      <c r="D153" s="6">
        <v>0</v>
      </c>
      <c r="E153" s="19">
        <v>244</v>
      </c>
      <c r="F153" s="10" t="str">
        <f ca="1">VLOOKUP($E153,OFFSET([1]characters!$A$2,0,0,COUNTA([1]characters!$A:$A),MATCH(F$1,[1]characters!$2:$2,0)-MATCH($E$1,[1]characters!$2:$2,0)+1),MATCH(F$1,[1]characters!$2:$2,0)-MATCH($E$1,[1]characters!$2:$2,0)+1,FALSE)</f>
        <v>ラファエル</v>
      </c>
      <c r="G153" s="10" t="str">
        <f ca="1">VLOOKUP($E153,OFFSET([1]characters!$A$2,0,0,COUNTA([1]characters!$A:$A),MATCH(G$1,[1]characters!$2:$2,0)-MATCH($E$1,[1]characters!$2:$2,0)+1),MATCH(G$1,[1]characters!$2:$2,0)-MATCH($E$1,[1]characters!$2:$2,0)+1,FALSE)</f>
        <v>PremiumS</v>
      </c>
      <c r="H153" s="10">
        <f ca="1">VLOOKUP($E153,OFFSET([1]characters!$A$2,0,0,COUNTA([1]characters!$A:$A),MATCH(H$1,[1]characters!$2:$2,0)-MATCH($E$1,[1]characters!$2:$2,0)+1),MATCH(H$1,[1]characters!$2:$2,0)-MATCH($E$1,[1]characters!$2:$2,0)+1,FALSE)</f>
        <v>3</v>
      </c>
      <c r="I153" s="10" t="str">
        <f ca="1">VLOOKUP($E153,OFFSET([1]characters!$A$2,0,0,COUNTA([1]characters!$A:$A),MATCH(I$1,[1]characters!$2:$2,0)-MATCH($E$1,[1]characters!$2:$2,0)+1),MATCH(I$1,[1]characters!$2:$2,0)-MATCH($E$1,[1]characters!$2:$2,0)+1,FALSE)</f>
        <v>blue</v>
      </c>
      <c r="J153" s="10" t="str">
        <f ca="1">VLOOKUP($E153,OFFSET([1]characters!$A$2,0,0,COUNTA([1]characters!$A:$A),MATCH("タイプ",[1]characters!$1:$1,0)-MATCH($E$1,[1]characters!$2:$2,0)+2),MATCH("タイプ",[1]characters!$1:$1,0)-MATCH($E$1,[1]characters!$2:$2,0)+2,FALSE)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3" s="10" t="str">
        <f ca="1">VLOOKUP($E153,OFFSET([1]characters!$A$2,0,0,COUNTA([1]characters!$A:$A),MATCH($K$1,[1]characters!$1:$1,0)-MATCH($E$1,[1]characters!$2:$2,0)+2),MATCH($K$1,[1]characters!$1:$1,0)-MATCH($E$1,[1]characters!$2:$2,0)+2,FALSE)</f>
        <v>マシン</v>
      </c>
      <c r="L153" s="6">
        <v>1</v>
      </c>
      <c r="M153" s="6">
        <v>929</v>
      </c>
      <c r="N153" s="28">
        <v>0</v>
      </c>
      <c r="O153" s="28">
        <v>0</v>
      </c>
      <c r="P153" s="28">
        <v>0</v>
      </c>
      <c r="Q153" s="28">
        <v>0</v>
      </c>
      <c r="R153" s="28">
        <v>1</v>
      </c>
    </row>
    <row r="154" spans="1:18" ht="21" customHeight="1">
      <c r="A154" s="8" t="str">
        <f t="shared" si="2"/>
        <v>02451</v>
      </c>
      <c r="B154" s="2">
        <v>113</v>
      </c>
      <c r="C154" s="10" t="str">
        <f ca="1">VLOOKUP($B154,OFFSET([2]gachas!$A$2,0,0,COUNTA([2]gachas!$A:$A),MATCH(C$1,[2]gachas!$1:$1,0)-MATCH($B$1,[2]gachas!$1:$1,0)+1),MATCH(C$1,[2]gachas!$1:$1,0)-MATCH($B$1,[2]gachas!$1:$1,0)+1,FALSE)</f>
        <v>ピックアップ02(沖田) 最終日</v>
      </c>
      <c r="D154" s="6">
        <v>0</v>
      </c>
      <c r="E154" s="19">
        <v>245</v>
      </c>
      <c r="F154" s="10" t="str">
        <f ca="1">VLOOKUP($E154,OFFSET([1]characters!$A$2,0,0,COUNTA([1]characters!$A:$A),MATCH(F$1,[1]characters!$2:$2,0)-MATCH($E$1,[1]characters!$2:$2,0)+1),MATCH(F$1,[1]characters!$2:$2,0)-MATCH($E$1,[1]characters!$2:$2,0)+1,FALSE)</f>
        <v>鎮癒の天使 ラファエル</v>
      </c>
      <c r="G154" s="10" t="str">
        <f ca="1">VLOOKUP($E154,OFFSET([1]characters!$A$2,0,0,COUNTA([1]characters!$A:$A),MATCH(G$1,[1]characters!$2:$2,0)-MATCH($E$1,[1]characters!$2:$2,0)+1),MATCH(G$1,[1]characters!$2:$2,0)-MATCH($E$1,[1]characters!$2:$2,0)+1,FALSE)</f>
        <v>PremiumS</v>
      </c>
      <c r="H154" s="10">
        <f ca="1">VLOOKUP($E154,OFFSET([1]characters!$A$2,0,0,COUNTA([1]characters!$A:$A),MATCH(H$1,[1]characters!$2:$2,0)-MATCH($E$1,[1]characters!$2:$2,0)+1),MATCH(H$1,[1]characters!$2:$2,0)-MATCH($E$1,[1]characters!$2:$2,0)+1,FALSE)</f>
        <v>4</v>
      </c>
      <c r="I154" s="10" t="str">
        <f ca="1">VLOOKUP($E154,OFFSET([1]characters!$A$2,0,0,COUNTA([1]characters!$A:$A),MATCH(I$1,[1]characters!$2:$2,0)-MATCH($E$1,[1]characters!$2:$2,0)+1),MATCH(I$1,[1]characters!$2:$2,0)-MATCH($E$1,[1]characters!$2:$2,0)+1,FALSE)</f>
        <v>blue</v>
      </c>
      <c r="J154" s="10" t="str">
        <f ca="1">VLOOKUP($E154,OFFSET([1]characters!$A$2,0,0,COUNTA([1]characters!$A:$A),MATCH("タイプ",[1]characters!$1:$1,0)-MATCH($E$1,[1]characters!$2:$2,0)+2),MATCH("タイプ",[1]characters!$1:$1,0)-MATCH($E$1,[1]characters!$2:$2,0)+2,FALSE)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4" s="10" t="str">
        <f ca="1">VLOOKUP($E154,OFFSET([1]characters!$A$2,0,0,COUNTA([1]characters!$A:$A),MATCH($K$1,[1]characters!$1:$1,0)-MATCH($E$1,[1]characters!$2:$2,0)+2),MATCH($K$1,[1]characters!$1:$1,0)-MATCH($E$1,[1]characters!$2:$2,0)+2,FALSE)</f>
        <v>マシン</v>
      </c>
      <c r="L154" s="6">
        <v>1</v>
      </c>
      <c r="M154" s="45">
        <v>436</v>
      </c>
      <c r="N154" s="28">
        <v>0</v>
      </c>
      <c r="O154" s="28">
        <v>0</v>
      </c>
      <c r="P154" s="28">
        <v>0</v>
      </c>
      <c r="Q154" s="28">
        <v>0</v>
      </c>
      <c r="R154" s="28">
        <v>1</v>
      </c>
    </row>
    <row r="155" spans="1:18" ht="21" customHeight="1">
      <c r="A155" s="8" t="str">
        <f t="shared" si="2"/>
        <v>02481</v>
      </c>
      <c r="B155" s="2">
        <v>113</v>
      </c>
      <c r="C155" s="10" t="str">
        <f ca="1">VLOOKUP($B155,OFFSET([2]gachas!$A$2,0,0,COUNTA([2]gachas!$A:$A),MATCH(C$1,[2]gachas!$1:$1,0)-MATCH($B$1,[2]gachas!$1:$1,0)+1),MATCH(C$1,[2]gachas!$1:$1,0)-MATCH($B$1,[2]gachas!$1:$1,0)+1,FALSE)</f>
        <v>ピックアップ02(沖田) 最終日</v>
      </c>
      <c r="D155" s="29">
        <v>0</v>
      </c>
      <c r="E155" s="36">
        <v>248</v>
      </c>
      <c r="F155" s="10" t="str">
        <f ca="1">VLOOKUP($E155,OFFSET([1]characters!$A$2,0,0,COUNTA([1]characters!$A:$A),MATCH(F$1,[1]characters!$2:$2,0)-MATCH($E$1,[1]characters!$2:$2,0)+1),MATCH(F$1,[1]characters!$2:$2,0)-MATCH($E$1,[1]characters!$2:$2,0)+1,FALSE)</f>
        <v>彩電の天使 ミカエル</v>
      </c>
      <c r="G155" s="10" t="str">
        <f ca="1">VLOOKUP($E155,OFFSET([1]characters!$A$2,0,0,COUNTA([1]characters!$A:$A),MATCH(G$1,[1]characters!$2:$2,0)-MATCH($E$1,[1]characters!$2:$2,0)+1),MATCH(G$1,[1]characters!$2:$2,0)-MATCH($E$1,[1]characters!$2:$2,0)+1,FALSE)</f>
        <v>PremiumS</v>
      </c>
      <c r="H155" s="10">
        <f ca="1">VLOOKUP($E155,OFFSET([1]characters!$A$2,0,0,COUNTA([1]characters!$A:$A),MATCH(H$1,[1]characters!$2:$2,0)-MATCH($E$1,[1]characters!$2:$2,0)+1),MATCH(H$1,[1]characters!$2:$2,0)-MATCH($E$1,[1]characters!$2:$2,0)+1,FALSE)</f>
        <v>4</v>
      </c>
      <c r="I155" s="10" t="str">
        <f ca="1">VLOOKUP($E155,OFFSET([1]characters!$A$2,0,0,COUNTA([1]characters!$A:$A),MATCH(I$1,[1]characters!$2:$2,0)-MATCH($E$1,[1]characters!$2:$2,0)+1),MATCH(I$1,[1]characters!$2:$2,0)-MATCH($E$1,[1]characters!$2:$2,0)+1,FALSE)</f>
        <v>yellow</v>
      </c>
      <c r="J155" s="10" t="str">
        <f ca="1">VLOOKUP($E155,OFFSET([1]characters!$A$2,0,0,COUNTA([1]characters!$A:$A),MATCH("タイプ",[1]characters!$1:$1,0)-MATCH($E$1,[1]characters!$2:$2,0)+2),MATCH("タイプ",[1]characters!$1:$1,0)-MATCH($E$1,[1]characters!$2:$2,0)+2,FALSE)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5" s="10" t="str">
        <f ca="1">VLOOKUP($E155,OFFSET([1]characters!$A$2,0,0,COUNTA([1]characters!$A:$A),MATCH($K$1,[1]characters!$1:$1,0)-MATCH($E$1,[1]characters!$2:$2,0)+2),MATCH($K$1,[1]characters!$1:$1,0)-MATCH($E$1,[1]characters!$2:$2,0)+2,FALSE)</f>
        <v>マシン</v>
      </c>
      <c r="L155" s="29">
        <v>1</v>
      </c>
      <c r="M155" s="29">
        <v>1308</v>
      </c>
      <c r="N155" s="28">
        <v>0</v>
      </c>
      <c r="O155" s="28">
        <v>0</v>
      </c>
      <c r="P155" s="28">
        <v>0</v>
      </c>
      <c r="Q155" s="28">
        <v>0</v>
      </c>
      <c r="R155" s="28">
        <v>1</v>
      </c>
    </row>
    <row r="156" spans="1:18" s="26" customFormat="1" ht="21" customHeight="1" thickBot="1">
      <c r="A156" s="22" t="str">
        <f t="shared" si="2"/>
        <v>02491</v>
      </c>
      <c r="B156" s="2">
        <v>113</v>
      </c>
      <c r="C156" s="10" t="str">
        <f ca="1">VLOOKUP($B156,OFFSET([2]gachas!$A$2,0,0,COUNTA([2]gachas!$A:$A),MATCH(C$1,[2]gachas!$1:$1,0)-MATCH($B$1,[2]gachas!$1:$1,0)+1),MATCH(C$1,[2]gachas!$1:$1,0)-MATCH($B$1,[2]gachas!$1:$1,0)+1,FALSE)</f>
        <v>ピックアップ02(沖田) 最終日</v>
      </c>
      <c r="D156" s="29">
        <v>0</v>
      </c>
      <c r="E156" s="36">
        <v>249</v>
      </c>
      <c r="F156" s="10" t="str">
        <f ca="1">VLOOKUP($E156,OFFSET([1]characters!$A$2,0,0,COUNTA([1]characters!$A:$A),MATCH(F$1,[1]characters!$2:$2,0)-MATCH($E$1,[1]characters!$2:$2,0)+1),MATCH(F$1,[1]characters!$2:$2,0)-MATCH($E$1,[1]characters!$2:$2,0)+1,FALSE)</f>
        <v>雷電の天使 ミカエル・ゲイナー</v>
      </c>
      <c r="G156" s="10" t="str">
        <f ca="1">VLOOKUP($E156,OFFSET([1]characters!$A$2,0,0,COUNTA([1]characters!$A:$A),MATCH(G$1,[1]characters!$2:$2,0)-MATCH($E$1,[1]characters!$2:$2,0)+1),MATCH(G$1,[1]characters!$2:$2,0)-MATCH($E$1,[1]characters!$2:$2,0)+1,FALSE)</f>
        <v>PremiumS</v>
      </c>
      <c r="H156" s="10">
        <f ca="1">VLOOKUP($E156,OFFSET([1]characters!$A$2,0,0,COUNTA([1]characters!$A:$A),MATCH(H$1,[1]characters!$2:$2,0)-MATCH($E$1,[1]characters!$2:$2,0)+1),MATCH(H$1,[1]characters!$2:$2,0)-MATCH($E$1,[1]characters!$2:$2,0)+1,FALSE)</f>
        <v>5</v>
      </c>
      <c r="I156" s="10" t="str">
        <f ca="1">VLOOKUP($E156,OFFSET([1]characters!$A$2,0,0,COUNTA([1]characters!$A:$A),MATCH(I$1,[1]characters!$2:$2,0)-MATCH($E$1,[1]characters!$2:$2,0)+1),MATCH(I$1,[1]characters!$2:$2,0)-MATCH($E$1,[1]characters!$2:$2,0)+1,FALSE)</f>
        <v>yellow</v>
      </c>
      <c r="J156" s="10" t="str">
        <f ca="1">VLOOKUP($E156,OFFSET([1]characters!$A$2,0,0,COUNTA([1]characters!$A:$A),MATCH("タイプ",[1]characters!$1:$1,0)-MATCH($E$1,[1]characters!$2:$2,0)+2),MATCH("タイプ",[1]characters!$1:$1,0)-MATCH($E$1,[1]characters!$2:$2,0)+2,FALSE)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56" s="10" t="str">
        <f ca="1">VLOOKUP($E156,OFFSET([1]characters!$A$2,0,0,COUNTA([1]characters!$A:$A),MATCH($K$1,[1]characters!$1:$1,0)-MATCH($E$1,[1]characters!$2:$2,0)+2),MATCH($K$1,[1]characters!$1:$1,0)-MATCH($E$1,[1]characters!$2:$2,0)+2,FALSE)</f>
        <v>マシン</v>
      </c>
      <c r="L156" s="29">
        <v>1</v>
      </c>
      <c r="M156" s="29">
        <v>1962</v>
      </c>
      <c r="N156" s="28">
        <v>0</v>
      </c>
      <c r="O156" s="28">
        <v>0</v>
      </c>
      <c r="P156" s="28">
        <v>0</v>
      </c>
      <c r="Q156" s="28">
        <v>0</v>
      </c>
      <c r="R156" s="28">
        <v>1</v>
      </c>
    </row>
    <row r="157" spans="1:18" s="26" customFormat="1" ht="21" customHeight="1" thickBot="1">
      <c r="A157" s="22" t="str">
        <f t="shared" si="2"/>
        <v>02501</v>
      </c>
      <c r="B157" s="2">
        <v>113</v>
      </c>
      <c r="C157" s="10" t="str">
        <f ca="1">VLOOKUP($B157,OFFSET([2]gachas!$A$2,0,0,COUNTA([2]gachas!$A:$A),MATCH(C$1,[2]gachas!$1:$1,0)-MATCH($B$1,[2]gachas!$1:$1,0)+1),MATCH(C$1,[2]gachas!$1:$1,0)-MATCH($B$1,[2]gachas!$1:$1,0)+1,FALSE)</f>
        <v>ピックアップ02(沖田) 最終日</v>
      </c>
      <c r="D157" s="6">
        <v>0</v>
      </c>
      <c r="E157" s="7">
        <v>250</v>
      </c>
      <c r="F157" s="10" t="str">
        <f ca="1">VLOOKUP($E157,OFFSET([1]characters!$A$2,0,0,COUNTA([1]characters!$A:$A),MATCH(F$1,[1]characters!$2:$2,0)-MATCH($E$1,[1]characters!$2:$2,0)+1),MATCH(F$1,[1]characters!$2:$2,0)-MATCH($E$1,[1]characters!$2:$2,0)+1,FALSE)</f>
        <v>マンモン</v>
      </c>
      <c r="G157" s="10" t="str">
        <f ca="1">VLOOKUP($E157,OFFSET([1]characters!$A$2,0,0,COUNTA([1]characters!$A:$A),MATCH(G$1,[1]characters!$2:$2,0)-MATCH($E$1,[1]characters!$2:$2,0)+1),MATCH(G$1,[1]characters!$2:$2,0)-MATCH($E$1,[1]characters!$2:$2,0)+1,FALSE)</f>
        <v>PremiumS</v>
      </c>
      <c r="H157" s="10">
        <f ca="1">VLOOKUP($E157,OFFSET([1]characters!$A$2,0,0,COUNTA([1]characters!$A:$A),MATCH(H$1,[1]characters!$2:$2,0)-MATCH($E$1,[1]characters!$2:$2,0)+1),MATCH(H$1,[1]characters!$2:$2,0)-MATCH($E$1,[1]characters!$2:$2,0)+1,FALSE)</f>
        <v>3</v>
      </c>
      <c r="I157" s="10" t="str">
        <f ca="1">VLOOKUP($E157,OFFSET([1]characters!$A$2,0,0,COUNTA([1]characters!$A:$A),MATCH(I$1,[1]characters!$2:$2,0)-MATCH($E$1,[1]characters!$2:$2,0)+1),MATCH(I$1,[1]characters!$2:$2,0)-MATCH($E$1,[1]characters!$2:$2,0)+1,FALSE)</f>
        <v>red</v>
      </c>
      <c r="J157" s="10" t="str">
        <f ca="1">VLOOKUP($E157,OFFSET([1]characters!$A$2,0,0,COUNTA([1]characters!$A:$A),MATCH("タイプ",[1]characters!$1:$1,0)-MATCH($E$1,[1]characters!$2:$2,0)+2),MATCH("タイプ",[1]characters!$1:$1,0)-MATCH($E$1,[1]characters!$2:$2,0)+2,FALSE)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7" s="10" t="str">
        <f ca="1">VLOOKUP($E157,OFFSET([1]characters!$A$2,0,0,COUNTA([1]characters!$A:$A),MATCH($K$1,[1]characters!$1:$1,0)-MATCH($E$1,[1]characters!$2:$2,0)+2),MATCH($K$1,[1]characters!$1:$1,0)-MATCH($E$1,[1]characters!$2:$2,0)+2,FALSE)</f>
        <v>ゴッド</v>
      </c>
      <c r="L157" s="6">
        <v>1</v>
      </c>
      <c r="M157" s="6">
        <v>929</v>
      </c>
      <c r="N157" s="28">
        <v>0</v>
      </c>
      <c r="O157" s="28">
        <v>0</v>
      </c>
      <c r="P157" s="28">
        <v>0</v>
      </c>
      <c r="Q157" s="28">
        <v>0</v>
      </c>
      <c r="R157" s="28">
        <v>1</v>
      </c>
    </row>
    <row r="158" spans="1:18" ht="21" customHeight="1" thickBot="1">
      <c r="A158" s="22" t="str">
        <f t="shared" si="2"/>
        <v>02511</v>
      </c>
      <c r="B158" s="2">
        <v>113</v>
      </c>
      <c r="C158" s="10" t="str">
        <f ca="1">VLOOKUP($B158,OFFSET([2]gachas!$A$2,0,0,COUNTA([2]gachas!$A:$A),MATCH(C$1,[2]gachas!$1:$1,0)-MATCH($B$1,[2]gachas!$1:$1,0)+1),MATCH(C$1,[2]gachas!$1:$1,0)-MATCH($B$1,[2]gachas!$1:$1,0)+1,FALSE)</f>
        <v>ピックアップ02(沖田) 最終日</v>
      </c>
      <c r="D158" s="6">
        <v>0</v>
      </c>
      <c r="E158" s="7">
        <v>251</v>
      </c>
      <c r="F158" s="10" t="str">
        <f ca="1">VLOOKUP($E158,OFFSET([1]characters!$A$2,0,0,COUNTA([1]characters!$A:$A),MATCH(F$1,[1]characters!$2:$2,0)-MATCH($E$1,[1]characters!$2:$2,0)+1),MATCH(F$1,[1]characters!$2:$2,0)-MATCH($E$1,[1]characters!$2:$2,0)+1,FALSE)</f>
        <v>強欲 マンモン</v>
      </c>
      <c r="G158" s="10" t="str">
        <f ca="1">VLOOKUP($E158,OFFSET([1]characters!$A$2,0,0,COUNTA([1]characters!$A:$A),MATCH(G$1,[1]characters!$2:$2,0)-MATCH($E$1,[1]characters!$2:$2,0)+1),MATCH(G$1,[1]characters!$2:$2,0)-MATCH($E$1,[1]characters!$2:$2,0)+1,FALSE)</f>
        <v>PremiumS</v>
      </c>
      <c r="H158" s="10">
        <f ca="1">VLOOKUP($E158,OFFSET([1]characters!$A$2,0,0,COUNTA([1]characters!$A:$A),MATCH(H$1,[1]characters!$2:$2,0)-MATCH($E$1,[1]characters!$2:$2,0)+1),MATCH(H$1,[1]characters!$2:$2,0)-MATCH($E$1,[1]characters!$2:$2,0)+1,FALSE)</f>
        <v>4</v>
      </c>
      <c r="I158" s="10" t="str">
        <f ca="1">VLOOKUP($E158,OFFSET([1]characters!$A$2,0,0,COUNTA([1]characters!$A:$A),MATCH(I$1,[1]characters!$2:$2,0)-MATCH($E$1,[1]characters!$2:$2,0)+1),MATCH(I$1,[1]characters!$2:$2,0)-MATCH($E$1,[1]characters!$2:$2,0)+1,FALSE)</f>
        <v>red</v>
      </c>
      <c r="J158" s="10" t="str">
        <f ca="1">VLOOKUP($E158,OFFSET([1]characters!$A$2,0,0,COUNTA([1]characters!$A:$A),MATCH("タイプ",[1]characters!$1:$1,0)-MATCH($E$1,[1]characters!$2:$2,0)+2),MATCH("タイプ",[1]characters!$1:$1,0)-MATCH($E$1,[1]characters!$2:$2,0)+2,FALSE)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58" s="10" t="str">
        <f ca="1">VLOOKUP($E158,OFFSET([1]characters!$A$2,0,0,COUNTA([1]characters!$A:$A),MATCH($K$1,[1]characters!$1:$1,0)-MATCH($E$1,[1]characters!$2:$2,0)+2),MATCH($K$1,[1]characters!$1:$1,0)-MATCH($E$1,[1]characters!$2:$2,0)+2,FALSE)</f>
        <v>ゴッド</v>
      </c>
      <c r="L158" s="6">
        <v>1</v>
      </c>
      <c r="M158" s="45">
        <v>436</v>
      </c>
      <c r="N158" s="28">
        <v>0</v>
      </c>
      <c r="O158" s="28">
        <v>0</v>
      </c>
      <c r="P158" s="28">
        <v>0</v>
      </c>
      <c r="Q158" s="28">
        <v>0</v>
      </c>
      <c r="R158" s="28">
        <v>1</v>
      </c>
    </row>
    <row r="159" spans="1:18" ht="21" customHeight="1" thickBot="1">
      <c r="A159" s="22" t="str">
        <f t="shared" si="2"/>
        <v>02531</v>
      </c>
      <c r="B159" s="2">
        <v>113</v>
      </c>
      <c r="C159" s="10" t="str">
        <f ca="1">VLOOKUP($B159,OFFSET([2]gachas!$A$2,0,0,COUNTA([2]gachas!$A:$A),MATCH(C$1,[2]gachas!$1:$1,0)-MATCH($B$1,[2]gachas!$1:$1,0)+1),MATCH(C$1,[2]gachas!$1:$1,0)-MATCH($B$1,[2]gachas!$1:$1,0)+1,FALSE)</f>
        <v>ピックアップ02(沖田) 最終日</v>
      </c>
      <c r="D159" s="6">
        <v>0</v>
      </c>
      <c r="E159" s="7">
        <v>253</v>
      </c>
      <c r="F159" s="10" t="str">
        <f ca="1">VLOOKUP($E159,OFFSET([1]characters!$A$2,0,0,COUNTA([1]characters!$A:$A),MATCH(F$1,[1]characters!$2:$2,0)-MATCH($E$1,[1]characters!$2:$2,0)+1),MATCH(F$1,[1]characters!$2:$2,0)-MATCH($E$1,[1]characters!$2:$2,0)+1,FALSE)</f>
        <v>ベルフェゴール</v>
      </c>
      <c r="G159" s="10" t="str">
        <f ca="1">VLOOKUP($E159,OFFSET([1]characters!$A$2,0,0,COUNTA([1]characters!$A:$A),MATCH(G$1,[1]characters!$2:$2,0)-MATCH($E$1,[1]characters!$2:$2,0)+1),MATCH(G$1,[1]characters!$2:$2,0)-MATCH($E$1,[1]characters!$2:$2,0)+1,FALSE)</f>
        <v>PremiumS</v>
      </c>
      <c r="H159" s="10">
        <f ca="1">VLOOKUP($E159,OFFSET([1]characters!$A$2,0,0,COUNTA([1]characters!$A:$A),MATCH(H$1,[1]characters!$2:$2,0)-MATCH($E$1,[1]characters!$2:$2,0)+1),MATCH(H$1,[1]characters!$2:$2,0)-MATCH($E$1,[1]characters!$2:$2,0)+1,FALSE)</f>
        <v>3</v>
      </c>
      <c r="I159" s="10" t="str">
        <f ca="1">VLOOKUP($E159,OFFSET([1]characters!$A$2,0,0,COUNTA([1]characters!$A:$A),MATCH(I$1,[1]characters!$2:$2,0)-MATCH($E$1,[1]characters!$2:$2,0)+1),MATCH(I$1,[1]characters!$2:$2,0)-MATCH($E$1,[1]characters!$2:$2,0)+1,FALSE)</f>
        <v>green</v>
      </c>
      <c r="J159" s="10" t="str">
        <f ca="1">VLOOKUP($E159,OFFSET([1]characters!$A$2,0,0,COUNTA([1]characters!$A:$A),MATCH("タイプ",[1]characters!$1:$1,0)-MATCH($E$1,[1]characters!$2:$2,0)+2),MATCH("タイプ",[1]characters!$1:$1,0)-MATCH($E$1,[1]characters!$2:$2,0)+2,FALSE)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59" s="10" t="str">
        <f ca="1">VLOOKUP($E159,OFFSET([1]characters!$A$2,0,0,COUNTA([1]characters!$A:$A),MATCH($K$1,[1]characters!$1:$1,0)-MATCH($E$1,[1]characters!$2:$2,0)+2),MATCH($K$1,[1]characters!$1:$1,0)-MATCH($E$1,[1]characters!$2:$2,0)+2,FALSE)</f>
        <v>ゴッド</v>
      </c>
      <c r="L159" s="6">
        <v>1</v>
      </c>
      <c r="M159" s="6">
        <v>929</v>
      </c>
      <c r="N159" s="28">
        <v>0</v>
      </c>
      <c r="O159" s="28">
        <v>0</v>
      </c>
      <c r="P159" s="28">
        <v>0</v>
      </c>
      <c r="Q159" s="28">
        <v>0</v>
      </c>
      <c r="R159" s="28">
        <v>1</v>
      </c>
    </row>
    <row r="160" spans="1:18" ht="21" customHeight="1" thickBot="1">
      <c r="A160" s="22" t="str">
        <f t="shared" si="2"/>
        <v>02541</v>
      </c>
      <c r="B160" s="2">
        <v>113</v>
      </c>
      <c r="C160" s="10" t="str">
        <f ca="1">VLOOKUP($B160,OFFSET([2]gachas!$A$2,0,0,COUNTA([2]gachas!$A:$A),MATCH(C$1,[2]gachas!$1:$1,0)-MATCH($B$1,[2]gachas!$1:$1,0)+1),MATCH(C$1,[2]gachas!$1:$1,0)-MATCH($B$1,[2]gachas!$1:$1,0)+1,FALSE)</f>
        <v>ピックアップ02(沖田) 最終日</v>
      </c>
      <c r="D160" s="6">
        <v>0</v>
      </c>
      <c r="E160" s="7">
        <v>254</v>
      </c>
      <c r="F160" s="10" t="str">
        <f ca="1">VLOOKUP($E160,OFFSET([1]characters!$A$2,0,0,COUNTA([1]characters!$A:$A),MATCH(F$1,[1]characters!$2:$2,0)-MATCH($E$1,[1]characters!$2:$2,0)+1),MATCH(F$1,[1]characters!$2:$2,0)-MATCH($E$1,[1]characters!$2:$2,0)+1,FALSE)</f>
        <v>怠惰 ベルフェゴール</v>
      </c>
      <c r="G160" s="10" t="str">
        <f ca="1">VLOOKUP($E160,OFFSET([1]characters!$A$2,0,0,COUNTA([1]characters!$A:$A),MATCH(G$1,[1]characters!$2:$2,0)-MATCH($E$1,[1]characters!$2:$2,0)+1),MATCH(G$1,[1]characters!$2:$2,0)-MATCH($E$1,[1]characters!$2:$2,0)+1,FALSE)</f>
        <v>PremiumS</v>
      </c>
      <c r="H160" s="10">
        <f ca="1">VLOOKUP($E160,OFFSET([1]characters!$A$2,0,0,COUNTA([1]characters!$A:$A),MATCH(H$1,[1]characters!$2:$2,0)-MATCH($E$1,[1]characters!$2:$2,0)+1),MATCH(H$1,[1]characters!$2:$2,0)-MATCH($E$1,[1]characters!$2:$2,0)+1,FALSE)</f>
        <v>4</v>
      </c>
      <c r="I160" s="10" t="str">
        <f ca="1">VLOOKUP($E160,OFFSET([1]characters!$A$2,0,0,COUNTA([1]characters!$A:$A),MATCH(I$1,[1]characters!$2:$2,0)-MATCH($E$1,[1]characters!$2:$2,0)+1),MATCH(I$1,[1]characters!$2:$2,0)-MATCH($E$1,[1]characters!$2:$2,0)+1,FALSE)</f>
        <v>green</v>
      </c>
      <c r="J160" s="10" t="str">
        <f ca="1">VLOOKUP($E160,OFFSET([1]characters!$A$2,0,0,COUNTA([1]characters!$A:$A),MATCH("タイプ",[1]characters!$1:$1,0)-MATCH($E$1,[1]characters!$2:$2,0)+2),MATCH("タイプ",[1]characters!$1:$1,0)-MATCH($E$1,[1]characters!$2:$2,0)+2,FALSE)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0" s="10" t="str">
        <f ca="1">VLOOKUP($E160,OFFSET([1]characters!$A$2,0,0,COUNTA([1]characters!$A:$A),MATCH($K$1,[1]characters!$1:$1,0)-MATCH($E$1,[1]characters!$2:$2,0)+2),MATCH($K$1,[1]characters!$1:$1,0)-MATCH($E$1,[1]characters!$2:$2,0)+2,FALSE)</f>
        <v>ゴッド</v>
      </c>
      <c r="L160" s="6">
        <v>1</v>
      </c>
      <c r="M160" s="45">
        <v>436</v>
      </c>
      <c r="N160" s="28">
        <v>0</v>
      </c>
      <c r="O160" s="28">
        <v>0</v>
      </c>
      <c r="P160" s="28">
        <v>0</v>
      </c>
      <c r="Q160" s="28">
        <v>0</v>
      </c>
      <c r="R160" s="28">
        <v>1</v>
      </c>
    </row>
    <row r="161" spans="1:18" ht="21" customHeight="1" thickBot="1">
      <c r="A161" s="22" t="str">
        <f t="shared" si="2"/>
        <v>02561</v>
      </c>
      <c r="B161" s="2">
        <v>113</v>
      </c>
      <c r="C161" s="10" t="str">
        <f ca="1">VLOOKUP($B161,OFFSET([2]gachas!$A$2,0,0,COUNTA([2]gachas!$A:$A),MATCH(C$1,[2]gachas!$1:$1,0)-MATCH($B$1,[2]gachas!$1:$1,0)+1),MATCH(C$1,[2]gachas!$1:$1,0)-MATCH($B$1,[2]gachas!$1:$1,0)+1,FALSE)</f>
        <v>ピックアップ02(沖田) 最終日</v>
      </c>
      <c r="D161" s="6">
        <v>0</v>
      </c>
      <c r="E161" s="7">
        <v>256</v>
      </c>
      <c r="F161" s="10" t="str">
        <f ca="1">VLOOKUP($E161,OFFSET([1]characters!$A$2,0,0,COUNTA([1]characters!$A:$A),MATCH(F$1,[1]characters!$2:$2,0)-MATCH($E$1,[1]characters!$2:$2,0)+1),MATCH(F$1,[1]characters!$2:$2,0)-MATCH($E$1,[1]characters!$2:$2,0)+1,FALSE)</f>
        <v>アスモデウス</v>
      </c>
      <c r="G161" s="10" t="str">
        <f ca="1">VLOOKUP($E161,OFFSET([1]characters!$A$2,0,0,COUNTA([1]characters!$A:$A),MATCH(G$1,[1]characters!$2:$2,0)-MATCH($E$1,[1]characters!$2:$2,0)+1),MATCH(G$1,[1]characters!$2:$2,0)-MATCH($E$1,[1]characters!$2:$2,0)+1,FALSE)</f>
        <v>PremiumS</v>
      </c>
      <c r="H161" s="10">
        <f ca="1">VLOOKUP($E161,OFFSET([1]characters!$A$2,0,0,COUNTA([1]characters!$A:$A),MATCH(H$1,[1]characters!$2:$2,0)-MATCH($E$1,[1]characters!$2:$2,0)+1),MATCH(H$1,[1]characters!$2:$2,0)-MATCH($E$1,[1]characters!$2:$2,0)+1,FALSE)</f>
        <v>3</v>
      </c>
      <c r="I161" s="10" t="str">
        <f ca="1">VLOOKUP($E161,OFFSET([1]characters!$A$2,0,0,COUNTA([1]characters!$A:$A),MATCH(I$1,[1]characters!$2:$2,0)-MATCH($E$1,[1]characters!$2:$2,0)+1),MATCH(I$1,[1]characters!$2:$2,0)-MATCH($E$1,[1]characters!$2:$2,0)+1,FALSE)</f>
        <v>blue</v>
      </c>
      <c r="J161" s="10" t="str">
        <f ca="1">VLOOKUP($E161,OFFSET([1]characters!$A$2,0,0,COUNTA([1]characters!$A:$A),MATCH("タイプ",[1]characters!$1:$1,0)-MATCH($E$1,[1]characters!$2:$2,0)+2),MATCH("タイプ",[1]characters!$1:$1,0)-MATCH($E$1,[1]characters!$2:$2,0)+2,FALSE)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1" s="10" t="str">
        <f ca="1">VLOOKUP($E161,OFFSET([1]characters!$A$2,0,0,COUNTA([1]characters!$A:$A),MATCH($K$1,[1]characters!$1:$1,0)-MATCH($E$1,[1]characters!$2:$2,0)+2),MATCH($K$1,[1]characters!$1:$1,0)-MATCH($E$1,[1]characters!$2:$2,0)+2,FALSE)</f>
        <v>ゴッド</v>
      </c>
      <c r="L161" s="6">
        <v>1</v>
      </c>
      <c r="M161" s="6">
        <v>929</v>
      </c>
      <c r="N161" s="28">
        <v>0</v>
      </c>
      <c r="O161" s="28">
        <v>0</v>
      </c>
      <c r="P161" s="28">
        <v>0</v>
      </c>
      <c r="Q161" s="28">
        <v>0</v>
      </c>
      <c r="R161" s="28">
        <v>1</v>
      </c>
    </row>
    <row r="162" spans="1:18" ht="21" customHeight="1" thickBot="1">
      <c r="A162" s="22" t="str">
        <f t="shared" si="2"/>
        <v>02571</v>
      </c>
      <c r="B162" s="2">
        <v>113</v>
      </c>
      <c r="C162" s="10" t="str">
        <f ca="1">VLOOKUP($B162,OFFSET([2]gachas!$A$2,0,0,COUNTA([2]gachas!$A:$A),MATCH(C$1,[2]gachas!$1:$1,0)-MATCH($B$1,[2]gachas!$1:$1,0)+1),MATCH(C$1,[2]gachas!$1:$1,0)-MATCH($B$1,[2]gachas!$1:$1,0)+1,FALSE)</f>
        <v>ピックアップ02(沖田) 最終日</v>
      </c>
      <c r="D162" s="6">
        <v>0</v>
      </c>
      <c r="E162" s="7">
        <v>257</v>
      </c>
      <c r="F162" s="10" t="str">
        <f ca="1">VLOOKUP($E162,OFFSET([1]characters!$A$2,0,0,COUNTA([1]characters!$A:$A),MATCH(F$1,[1]characters!$2:$2,0)-MATCH($E$1,[1]characters!$2:$2,0)+1),MATCH(F$1,[1]characters!$2:$2,0)-MATCH($E$1,[1]characters!$2:$2,0)+1,FALSE)</f>
        <v>色欲 アスモデウス</v>
      </c>
      <c r="G162" s="10" t="str">
        <f ca="1">VLOOKUP($E162,OFFSET([1]characters!$A$2,0,0,COUNTA([1]characters!$A:$A),MATCH(G$1,[1]characters!$2:$2,0)-MATCH($E$1,[1]characters!$2:$2,0)+1),MATCH(G$1,[1]characters!$2:$2,0)-MATCH($E$1,[1]characters!$2:$2,0)+1,FALSE)</f>
        <v>PremiumS</v>
      </c>
      <c r="H162" s="10">
        <f ca="1">VLOOKUP($E162,OFFSET([1]characters!$A$2,0,0,COUNTA([1]characters!$A:$A),MATCH(H$1,[1]characters!$2:$2,0)-MATCH($E$1,[1]characters!$2:$2,0)+1),MATCH(H$1,[1]characters!$2:$2,0)-MATCH($E$1,[1]characters!$2:$2,0)+1,FALSE)</f>
        <v>4</v>
      </c>
      <c r="I162" s="10" t="str">
        <f ca="1">VLOOKUP($E162,OFFSET([1]characters!$A$2,0,0,COUNTA([1]characters!$A:$A),MATCH(I$1,[1]characters!$2:$2,0)-MATCH($E$1,[1]characters!$2:$2,0)+1),MATCH(I$1,[1]characters!$2:$2,0)-MATCH($E$1,[1]characters!$2:$2,0)+1,FALSE)</f>
        <v>blue</v>
      </c>
      <c r="J162" s="10" t="str">
        <f ca="1">VLOOKUP($E162,OFFSET([1]characters!$A$2,0,0,COUNTA([1]characters!$A:$A),MATCH("タイプ",[1]characters!$1:$1,0)-MATCH($E$1,[1]characters!$2:$2,0)+2),MATCH("タイプ",[1]characters!$1:$1,0)-MATCH($E$1,[1]characters!$2:$2,0)+2,FALSE)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2" s="10" t="str">
        <f ca="1">VLOOKUP($E162,OFFSET([1]characters!$A$2,0,0,COUNTA([1]characters!$A:$A),MATCH($K$1,[1]characters!$1:$1,0)-MATCH($E$1,[1]characters!$2:$2,0)+2),MATCH($K$1,[1]characters!$1:$1,0)-MATCH($E$1,[1]characters!$2:$2,0)+2,FALSE)</f>
        <v>ゴッド</v>
      </c>
      <c r="L162" s="6">
        <v>1</v>
      </c>
      <c r="M162" s="45">
        <v>436</v>
      </c>
      <c r="N162" s="28">
        <v>0</v>
      </c>
      <c r="O162" s="28">
        <v>0</v>
      </c>
      <c r="P162" s="28">
        <v>0</v>
      </c>
      <c r="Q162" s="28">
        <v>0</v>
      </c>
      <c r="R162" s="28">
        <v>1</v>
      </c>
    </row>
    <row r="163" spans="1:18" ht="21" customHeight="1" thickBot="1">
      <c r="A163" s="22" t="str">
        <f t="shared" si="2"/>
        <v>02591</v>
      </c>
      <c r="B163" s="2">
        <v>113</v>
      </c>
      <c r="C163" s="10" t="str">
        <f ca="1">VLOOKUP($B163,OFFSET([2]gachas!$A$2,0,0,COUNTA([2]gachas!$A:$A),MATCH(C$1,[2]gachas!$1:$1,0)-MATCH($B$1,[2]gachas!$1:$1,0)+1),MATCH(C$1,[2]gachas!$1:$1,0)-MATCH($B$1,[2]gachas!$1:$1,0)+1,FALSE)</f>
        <v>ピックアップ02(沖田) 最終日</v>
      </c>
      <c r="D163" s="6">
        <v>0</v>
      </c>
      <c r="E163" s="7">
        <v>259</v>
      </c>
      <c r="F163" s="10" t="str">
        <f ca="1">VLOOKUP($E163,OFFSET([1]characters!$A$2,0,0,COUNTA([1]characters!$A:$A),MATCH(F$1,[1]characters!$2:$2,0)-MATCH($E$1,[1]characters!$2:$2,0)+1),MATCH(F$1,[1]characters!$2:$2,0)-MATCH($E$1,[1]characters!$2:$2,0)+1,FALSE)</f>
        <v>ウロボロス</v>
      </c>
      <c r="G163" s="10" t="str">
        <f ca="1">VLOOKUP($E163,OFFSET([1]characters!$A$2,0,0,COUNTA([1]characters!$A:$A),MATCH(G$1,[1]characters!$2:$2,0)-MATCH($E$1,[1]characters!$2:$2,0)+1),MATCH(G$1,[1]characters!$2:$2,0)-MATCH($E$1,[1]characters!$2:$2,0)+1,FALSE)</f>
        <v>PremiumS</v>
      </c>
      <c r="H163" s="10">
        <f ca="1">VLOOKUP($E163,OFFSET([1]characters!$A$2,0,0,COUNTA([1]characters!$A:$A),MATCH(H$1,[1]characters!$2:$2,0)-MATCH($E$1,[1]characters!$2:$2,0)+1),MATCH(H$1,[1]characters!$2:$2,0)-MATCH($E$1,[1]characters!$2:$2,0)+1,FALSE)</f>
        <v>3</v>
      </c>
      <c r="I163" s="10" t="str">
        <f ca="1">VLOOKUP($E163,OFFSET([1]characters!$A$2,0,0,COUNTA([1]characters!$A:$A),MATCH(I$1,[1]characters!$2:$2,0)-MATCH($E$1,[1]characters!$2:$2,0)+1),MATCH(I$1,[1]characters!$2:$2,0)-MATCH($E$1,[1]characters!$2:$2,0)+1,FALSE)</f>
        <v>yellow</v>
      </c>
      <c r="J163" s="10" t="str">
        <f ca="1">VLOOKUP($E163,OFFSET([1]characters!$A$2,0,0,COUNTA([1]characters!$A:$A),MATCH("タイプ",[1]characters!$1:$1,0)-MATCH($E$1,[1]characters!$2:$2,0)+2),MATCH("タイプ",[1]characters!$1:$1,0)-MATCH($E$1,[1]characters!$2:$2,0)+2,FALSE)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3" s="10" t="str">
        <f ca="1">VLOOKUP($E163,OFFSET([1]characters!$A$2,0,0,COUNTA([1]characters!$A:$A),MATCH($K$1,[1]characters!$1:$1,0)-MATCH($E$1,[1]characters!$2:$2,0)+2),MATCH($K$1,[1]characters!$1:$1,0)-MATCH($E$1,[1]characters!$2:$2,0)+2,FALSE)</f>
        <v>ドラゴン</v>
      </c>
      <c r="L163" s="6">
        <v>1</v>
      </c>
      <c r="M163" s="6">
        <v>929</v>
      </c>
      <c r="N163" s="28">
        <v>0</v>
      </c>
      <c r="O163" s="28">
        <v>0</v>
      </c>
      <c r="P163" s="28">
        <v>0</v>
      </c>
      <c r="Q163" s="28">
        <v>0</v>
      </c>
      <c r="R163" s="28">
        <v>1</v>
      </c>
    </row>
    <row r="164" spans="1:18" ht="21" customHeight="1" thickBot="1">
      <c r="A164" s="22" t="str">
        <f t="shared" si="2"/>
        <v>02601</v>
      </c>
      <c r="B164" s="2">
        <v>113</v>
      </c>
      <c r="C164" s="10" t="str">
        <f ca="1">VLOOKUP($B164,OFFSET([2]gachas!$A$2,0,0,COUNTA([2]gachas!$A:$A),MATCH(C$1,[2]gachas!$1:$1,0)-MATCH($B$1,[2]gachas!$1:$1,0)+1),MATCH(C$1,[2]gachas!$1:$1,0)-MATCH($B$1,[2]gachas!$1:$1,0)+1,FALSE)</f>
        <v>ピックアップ02(沖田) 最終日</v>
      </c>
      <c r="D164" s="6">
        <v>0</v>
      </c>
      <c r="E164" s="7">
        <v>260</v>
      </c>
      <c r="F164" s="10" t="str">
        <f ca="1">VLOOKUP($E164,OFFSET([1]characters!$A$2,0,0,COUNTA([1]characters!$A:$A),MATCH(F$1,[1]characters!$2:$2,0)-MATCH($E$1,[1]characters!$2:$2,0)+1),MATCH(F$1,[1]characters!$2:$2,0)-MATCH($E$1,[1]characters!$2:$2,0)+1,FALSE)</f>
        <v>輪廻 ウロボロス</v>
      </c>
      <c r="G164" s="10" t="str">
        <f ca="1">VLOOKUP($E164,OFFSET([1]characters!$A$2,0,0,COUNTA([1]characters!$A:$A),MATCH(G$1,[1]characters!$2:$2,0)-MATCH($E$1,[1]characters!$2:$2,0)+1),MATCH(G$1,[1]characters!$2:$2,0)-MATCH($E$1,[1]characters!$2:$2,0)+1,FALSE)</f>
        <v>PremiumS</v>
      </c>
      <c r="H164" s="10">
        <f ca="1">VLOOKUP($E164,OFFSET([1]characters!$A$2,0,0,COUNTA([1]characters!$A:$A),MATCH(H$1,[1]characters!$2:$2,0)-MATCH($E$1,[1]characters!$2:$2,0)+1),MATCH(H$1,[1]characters!$2:$2,0)-MATCH($E$1,[1]characters!$2:$2,0)+1,FALSE)</f>
        <v>4</v>
      </c>
      <c r="I164" s="10" t="str">
        <f ca="1">VLOOKUP($E164,OFFSET([1]characters!$A$2,0,0,COUNTA([1]characters!$A:$A),MATCH(I$1,[1]characters!$2:$2,0)-MATCH($E$1,[1]characters!$2:$2,0)+1),MATCH(I$1,[1]characters!$2:$2,0)-MATCH($E$1,[1]characters!$2:$2,0)+1,FALSE)</f>
        <v>yellow</v>
      </c>
      <c r="J164" s="10" t="str">
        <f ca="1">VLOOKUP($E164,OFFSET([1]characters!$A$2,0,0,COUNTA([1]characters!$A:$A),MATCH("タイプ",[1]characters!$1:$1,0)-MATCH($E$1,[1]characters!$2:$2,0)+2),MATCH("タイプ",[1]characters!$1:$1,0)-MATCH($E$1,[1]characters!$2:$2,0)+2,FALSE)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4" s="10" t="str">
        <f ca="1">VLOOKUP($E164,OFFSET([1]characters!$A$2,0,0,COUNTA([1]characters!$A:$A),MATCH($K$1,[1]characters!$1:$1,0)-MATCH($E$1,[1]characters!$2:$2,0)+2),MATCH($K$1,[1]characters!$1:$1,0)-MATCH($E$1,[1]characters!$2:$2,0)+2,FALSE)</f>
        <v>ドラゴン</v>
      </c>
      <c r="L164" s="6">
        <v>1</v>
      </c>
      <c r="M164" s="45">
        <v>436</v>
      </c>
      <c r="N164" s="28">
        <v>0</v>
      </c>
      <c r="O164" s="28">
        <v>0</v>
      </c>
      <c r="P164" s="28">
        <v>0</v>
      </c>
      <c r="Q164" s="28">
        <v>0</v>
      </c>
      <c r="R164" s="28">
        <v>1</v>
      </c>
    </row>
    <row r="165" spans="1:18" ht="21" customHeight="1" thickBot="1">
      <c r="A165" s="22" t="str">
        <f t="shared" si="2"/>
        <v>03201</v>
      </c>
      <c r="B165" s="2">
        <v>113</v>
      </c>
      <c r="C165" s="10" t="str">
        <f ca="1">VLOOKUP($B165,OFFSET([2]gachas!$A$2,0,0,COUNTA([2]gachas!$A:$A),MATCH(C$1,[2]gachas!$1:$1,0)-MATCH($B$1,[2]gachas!$1:$1,0)+1),MATCH(C$1,[2]gachas!$1:$1,0)-MATCH($B$1,[2]gachas!$1:$1,0)+1,FALSE)</f>
        <v>ピックアップ02(沖田) 最終日</v>
      </c>
      <c r="D165" s="21">
        <v>0</v>
      </c>
      <c r="E165" s="27">
        <v>320</v>
      </c>
      <c r="F165" s="20" t="str">
        <f ca="1">VLOOKUP($E165,OFFSET([1]characters!$A$2,0,0,COUNTA([1]characters!$A:$A),MATCH(F$1,[1]characters!$2:$2,0)-MATCH($E$1,[1]characters!$2:$2,0)+1),MATCH(F$1,[1]characters!$2:$2,0)-MATCH($E$1,[1]characters!$2:$2,0)+1,FALSE)</f>
        <v>烈志士 近藤勇</v>
      </c>
      <c r="G165" s="20" t="str">
        <f ca="1">VLOOKUP($E165,OFFSET([1]characters!$A$2,0,0,COUNTA([1]characters!$A:$A),MATCH(G$1,[1]characters!$2:$2,0)-MATCH($E$1,[1]characters!$2:$2,0)+1),MATCH(G$1,[1]characters!$2:$2,0)-MATCH($E$1,[1]characters!$2:$2,0)+1,FALSE)</f>
        <v>PremiumSS</v>
      </c>
      <c r="H165" s="20">
        <f ca="1">VLOOKUP($E165,OFFSET([1]characters!$A$2,0,0,COUNTA([1]characters!$A:$A),MATCH(H$1,[1]characters!$2:$2,0)-MATCH($E$1,[1]characters!$2:$2,0)+1),MATCH(H$1,[1]characters!$2:$2,0)-MATCH($E$1,[1]characters!$2:$2,0)+1,FALSE)</f>
        <v>4</v>
      </c>
      <c r="I165" s="20" t="str">
        <f ca="1">VLOOKUP($E165,OFFSET([1]characters!$A$2,0,0,COUNTA([1]characters!$A:$A),MATCH(I$1,[1]characters!$2:$2,0)-MATCH($E$1,[1]characters!$2:$2,0)+1),MATCH(I$1,[1]characters!$2:$2,0)-MATCH($E$1,[1]characters!$2:$2,0)+1,FALSE)</f>
        <v>red</v>
      </c>
      <c r="J165" s="20" t="str">
        <f ca="1">VLOOKUP($E165,OFFSET([1]characters!$A$2,0,0,COUNTA([1]characters!$A:$A),MATCH("タイプ",[1]characters!$1:$1,0)-MATCH($E$1,[1]characters!$2:$2,0)+2),MATCH("タイプ",[1]characters!$1:$1,0)-MATCH($E$1,[1]characters!$2:$2,0)+2,FALSE)</f>
        <v>体力タイプ</v>
      </c>
      <c r="K165" s="20" t="str">
        <f ca="1">VLOOKUP($E165,OFFSET([1]characters!$A$2,0,0,COUNTA([1]characters!$A:$A),MATCH($K$1,[1]characters!$1:$1,0)-MATCH($E$1,[1]characters!$2:$2,0)+2),MATCH($K$1,[1]characters!$1:$1,0)-MATCH($E$1,[1]characters!$2:$2,0)+2,FALSE)</f>
        <v>ヒューマン</v>
      </c>
      <c r="L165" s="21">
        <v>1</v>
      </c>
      <c r="M165" s="6">
        <v>182</v>
      </c>
      <c r="N165" s="18">
        <v>0</v>
      </c>
      <c r="O165" s="18">
        <v>0</v>
      </c>
      <c r="P165" s="18">
        <v>0</v>
      </c>
      <c r="Q165" s="18">
        <v>0</v>
      </c>
      <c r="R165" s="18">
        <v>1</v>
      </c>
    </row>
    <row r="166" spans="1:18" ht="21" customHeight="1" thickBot="1">
      <c r="A166" s="22" t="str">
        <f t="shared" si="2"/>
        <v>03221</v>
      </c>
      <c r="B166" s="2">
        <v>113</v>
      </c>
      <c r="C166" s="10" t="str">
        <f ca="1">VLOOKUP($B166,OFFSET([2]gachas!$A$2,0,0,COUNTA([2]gachas!$A:$A),MATCH(C$1,[2]gachas!$1:$1,0)-MATCH($B$1,[2]gachas!$1:$1,0)+1),MATCH(C$1,[2]gachas!$1:$1,0)-MATCH($B$1,[2]gachas!$1:$1,0)+1,FALSE)</f>
        <v>ピックアップ02(沖田) 最終日</v>
      </c>
      <c r="D166" s="21">
        <v>0</v>
      </c>
      <c r="E166" s="7">
        <v>322</v>
      </c>
      <c r="F166" s="10" t="str">
        <f ca="1">VLOOKUP($E166,OFFSET([1]characters!$A$2,0,0,COUNTA([1]characters!$A:$A),MATCH(F$1,[1]characters!$2:$2,0)-MATCH($E$1,[1]characters!$2:$2,0)+1),MATCH(F$1,[1]characters!$2:$2,0)-MATCH($E$1,[1]characters!$2:$2,0)+1,FALSE)</f>
        <v>愛志士 土方歳三</v>
      </c>
      <c r="G166" s="10" t="str">
        <f ca="1">VLOOKUP($E166,OFFSET([1]characters!$A$2,0,0,COUNTA([1]characters!$A:$A),MATCH(G$1,[1]characters!$2:$2,0)-MATCH($E$1,[1]characters!$2:$2,0)+1),MATCH(G$1,[1]characters!$2:$2,0)-MATCH($E$1,[1]characters!$2:$2,0)+1,FALSE)</f>
        <v>PremiumSS</v>
      </c>
      <c r="H166" s="10">
        <f ca="1">VLOOKUP($E166,OFFSET([1]characters!$A$2,0,0,COUNTA([1]characters!$A:$A),MATCH(H$1,[1]characters!$2:$2,0)-MATCH($E$1,[1]characters!$2:$2,0)+1),MATCH(H$1,[1]characters!$2:$2,0)-MATCH($E$1,[1]characters!$2:$2,0)+1,FALSE)</f>
        <v>4</v>
      </c>
      <c r="I166" s="10" t="str">
        <f ca="1">VLOOKUP($E166,OFFSET([1]characters!$A$2,0,0,COUNTA([1]characters!$A:$A),MATCH(I$1,[1]characters!$2:$2,0)-MATCH($E$1,[1]characters!$2:$2,0)+1),MATCH(I$1,[1]characters!$2:$2,0)-MATCH($E$1,[1]characters!$2:$2,0)+1,FALSE)</f>
        <v>green</v>
      </c>
      <c r="J166" s="10" t="str">
        <f ca="1">VLOOKUP($E166,OFFSET([1]characters!$A$2,0,0,COUNTA([1]characters!$A:$A),MATCH("タイプ",[1]characters!$1:$1,0)-MATCH($E$1,[1]characters!$2:$2,0)+2),MATCH("タイプ",[1]characters!$1:$1,0)-MATCH($E$1,[1]characters!$2:$2,0)+2,FALSE)</f>
        <v>攻撃タイプ</v>
      </c>
      <c r="K166" s="10" t="str">
        <f ca="1">VLOOKUP($E166,OFFSET([1]characters!$A$2,0,0,COUNTA([1]characters!$A:$A),MATCH($K$1,[1]characters!$1:$1,0)-MATCH($E$1,[1]characters!$2:$2,0)+2),MATCH($K$1,[1]characters!$1:$1,0)-MATCH($E$1,[1]characters!$2:$2,0)+2,FALSE)</f>
        <v>ヒューマン</v>
      </c>
      <c r="L166" s="6">
        <v>1</v>
      </c>
      <c r="M166" s="6">
        <v>182</v>
      </c>
      <c r="N166" s="28">
        <v>0</v>
      </c>
      <c r="O166" s="28">
        <v>0</v>
      </c>
      <c r="P166" s="28">
        <v>0</v>
      </c>
      <c r="Q166" s="28">
        <v>0</v>
      </c>
      <c r="R166" s="28">
        <v>1</v>
      </c>
    </row>
    <row r="167" spans="1:18" ht="21" customHeight="1" thickBot="1">
      <c r="A167" s="22" t="str">
        <f t="shared" si="2"/>
        <v>03241</v>
      </c>
      <c r="B167" s="2">
        <v>113</v>
      </c>
      <c r="C167" s="10" t="str">
        <f ca="1">VLOOKUP($B167,OFFSET([2]gachas!$A$2,0,0,COUNTA([2]gachas!$A:$A),MATCH(C$1,[2]gachas!$1:$1,0)-MATCH($B$1,[2]gachas!$1:$1,0)+1),MATCH(C$1,[2]gachas!$1:$1,0)-MATCH($B$1,[2]gachas!$1:$1,0)+1,FALSE)</f>
        <v>ピックアップ02(沖田) 最終日</v>
      </c>
      <c r="D167" s="37">
        <v>0</v>
      </c>
      <c r="E167" s="30">
        <v>324</v>
      </c>
      <c r="F167" s="10" t="str">
        <f ca="1">VLOOKUP($E167,OFFSET([1]characters!$A$2,0,0,COUNTA([1]characters!$A:$A),MATCH(F$1,[1]characters!$2:$2,0)-MATCH($E$1,[1]characters!$2:$2,0)+1),MATCH(F$1,[1]characters!$2:$2,0)-MATCH($E$1,[1]characters!$2:$2,0)+1,FALSE)</f>
        <v>凛志士 沖田総司</v>
      </c>
      <c r="G167" s="10" t="str">
        <f ca="1">VLOOKUP($E167,OFFSET([1]characters!$A$2,0,0,COUNTA([1]characters!$A:$A),MATCH(G$1,[1]characters!$2:$2,0)-MATCH($E$1,[1]characters!$2:$2,0)+1),MATCH(G$1,[1]characters!$2:$2,0)-MATCH($E$1,[1]characters!$2:$2,0)+1,FALSE)</f>
        <v>PremiumSS</v>
      </c>
      <c r="H167" s="10">
        <f ca="1">VLOOKUP($E167,OFFSET([1]characters!$A$2,0,0,COUNTA([1]characters!$A:$A),MATCH(H$1,[1]characters!$2:$2,0)-MATCH($E$1,[1]characters!$2:$2,0)+1),MATCH(H$1,[1]characters!$2:$2,0)-MATCH($E$1,[1]characters!$2:$2,0)+1,FALSE)</f>
        <v>4</v>
      </c>
      <c r="I167" s="10" t="str">
        <f ca="1">VLOOKUP($E167,OFFSET([1]characters!$A$2,0,0,COUNTA([1]characters!$A:$A),MATCH(I$1,[1]characters!$2:$2,0)-MATCH($E$1,[1]characters!$2:$2,0)+1),MATCH(I$1,[1]characters!$2:$2,0)-MATCH($E$1,[1]characters!$2:$2,0)+1,FALSE)</f>
        <v>blue</v>
      </c>
      <c r="J167" s="10" t="str">
        <f ca="1">VLOOKUP($E167,OFFSET([1]characters!$A$2,0,0,COUNTA([1]characters!$A:$A),MATCH("タイプ",[1]characters!$1:$1,0)-MATCH($E$1,[1]characters!$2:$2,0)+2),MATCH("タイプ",[1]characters!$1:$1,0)-MATCH($E$1,[1]characters!$2:$2,0)+2,FALSE)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7" s="10" t="str">
        <f ca="1">VLOOKUP($E167,OFFSET([1]characters!$A$2,0,0,COUNTA([1]characters!$A:$A),MATCH($K$1,[1]characters!$1:$1,0)-MATCH($E$1,[1]characters!$2:$2,0)+2),MATCH($K$1,[1]characters!$1:$1,0)-MATCH($E$1,[1]characters!$2:$2,0)+2,FALSE)</f>
        <v>ヒューマン</v>
      </c>
      <c r="L167" s="29">
        <v>1</v>
      </c>
      <c r="M167" s="37">
        <v>654</v>
      </c>
      <c r="N167" s="28">
        <v>0</v>
      </c>
      <c r="O167" s="28">
        <v>0</v>
      </c>
      <c r="P167" s="28">
        <v>0</v>
      </c>
      <c r="Q167" s="28">
        <v>0</v>
      </c>
      <c r="R167" s="28">
        <v>1</v>
      </c>
    </row>
    <row r="168" spans="1:18" ht="21" customHeight="1" thickBot="1">
      <c r="A168" s="22" t="str">
        <f t="shared" si="2"/>
        <v>03251</v>
      </c>
      <c r="B168" s="2">
        <v>113</v>
      </c>
      <c r="C168" s="10" t="str">
        <f ca="1">VLOOKUP($B168,OFFSET([2]gachas!$A$2,0,0,COUNTA([2]gachas!$A:$A),MATCH(C$1,[2]gachas!$1:$1,0)-MATCH($B$1,[2]gachas!$1:$1,0)+1),MATCH(C$1,[2]gachas!$1:$1,0)-MATCH($B$1,[2]gachas!$1:$1,0)+1,FALSE)</f>
        <v>ピックアップ02(沖田) 最終日</v>
      </c>
      <c r="D168" s="37">
        <v>0</v>
      </c>
      <c r="E168" s="30">
        <v>325</v>
      </c>
      <c r="F168" s="10" t="str">
        <f ca="1">VLOOKUP($E168,OFFSET([1]characters!$A$2,0,0,COUNTA([1]characters!$A:$A),MATCH(F$1,[1]characters!$2:$2,0)-MATCH($E$1,[1]characters!$2:$2,0)+1),MATCH(F$1,[1]characters!$2:$2,0)-MATCH($E$1,[1]characters!$2:$2,0)+1,FALSE)</f>
        <v>天賦の凛志士 沖田総司</v>
      </c>
      <c r="G168" s="10" t="str">
        <f ca="1">VLOOKUP($E168,OFFSET([1]characters!$A$2,0,0,COUNTA([1]characters!$A:$A),MATCH(G$1,[1]characters!$2:$2,0)-MATCH($E$1,[1]characters!$2:$2,0)+1),MATCH(G$1,[1]characters!$2:$2,0)-MATCH($E$1,[1]characters!$2:$2,0)+1,FALSE)</f>
        <v>PremiumSS</v>
      </c>
      <c r="H168" s="10">
        <f ca="1">VLOOKUP($E168,OFFSET([1]characters!$A$2,0,0,COUNTA([1]characters!$A:$A),MATCH(H$1,[1]characters!$2:$2,0)-MATCH($E$1,[1]characters!$2:$2,0)+1),MATCH(H$1,[1]characters!$2:$2,0)-MATCH($E$1,[1]characters!$2:$2,0)+1,FALSE)</f>
        <v>5</v>
      </c>
      <c r="I168" s="10" t="str">
        <f ca="1">VLOOKUP($E168,OFFSET([1]characters!$A$2,0,0,COUNTA([1]characters!$A:$A),MATCH(I$1,[1]characters!$2:$2,0)-MATCH($E$1,[1]characters!$2:$2,0)+1),MATCH(I$1,[1]characters!$2:$2,0)-MATCH($E$1,[1]characters!$2:$2,0)+1,FALSE)</f>
        <v>blue</v>
      </c>
      <c r="J168" s="10" t="str">
        <f ca="1">VLOOKUP($E168,OFFSET([1]characters!$A$2,0,0,COUNTA([1]characters!$A:$A),MATCH("タイプ",[1]characters!$1:$1,0)-MATCH($E$1,[1]characters!$2:$2,0)+2),MATCH("タイプ",[1]characters!$1:$1,0)-MATCH($E$1,[1]characters!$2:$2,0)+2,FALSE)</f>
        <v>バランスタイプ</v>
      </c>
      <c r="K168" s="10" t="str">
        <f ca="1">VLOOKUP($E168,OFFSET([1]characters!$A$2,0,0,COUNTA([1]characters!$A:$A),MATCH($K$1,[1]characters!$1:$1,0)-MATCH($E$1,[1]characters!$2:$2,0)+2),MATCH($K$1,[1]characters!$1:$1,0)-MATCH($E$1,[1]characters!$2:$2,0)+2,FALSE)</f>
        <v>ヒューマン</v>
      </c>
      <c r="L168" s="29">
        <v>1</v>
      </c>
      <c r="M168" s="29">
        <v>436</v>
      </c>
      <c r="N168" s="28">
        <v>0</v>
      </c>
      <c r="O168" s="28">
        <v>0</v>
      </c>
      <c r="P168" s="28">
        <v>0</v>
      </c>
      <c r="Q168" s="28">
        <v>0</v>
      </c>
      <c r="R168" s="28">
        <v>1</v>
      </c>
    </row>
    <row r="169" spans="1:18" ht="21" customHeight="1" thickBot="1">
      <c r="A169" s="22" t="str">
        <f t="shared" si="2"/>
        <v>03261</v>
      </c>
      <c r="B169" s="2">
        <v>113</v>
      </c>
      <c r="C169" s="10" t="str">
        <f ca="1">VLOOKUP($B169,OFFSET([2]gachas!$A$2,0,0,COUNTA([2]gachas!$A:$A),MATCH(C$1,[2]gachas!$1:$1,0)-MATCH($B$1,[2]gachas!$1:$1,0)+1),MATCH(C$1,[2]gachas!$1:$1,0)-MATCH($B$1,[2]gachas!$1:$1,0)+1,FALSE)</f>
        <v>ピックアップ02(沖田) 最終日</v>
      </c>
      <c r="D169" s="21">
        <v>0</v>
      </c>
      <c r="E169" s="7">
        <v>326</v>
      </c>
      <c r="F169" s="10" t="str">
        <f ca="1">VLOOKUP($E169,OFFSET([1]characters!$A$2,0,0,COUNTA([1]characters!$A:$A),MATCH(F$1,[1]characters!$2:$2,0)-MATCH($E$1,[1]characters!$2:$2,0)+1),MATCH(F$1,[1]characters!$2:$2,0)-MATCH($E$1,[1]characters!$2:$2,0)+1,FALSE)</f>
        <v>妖志士 斎藤一</v>
      </c>
      <c r="G169" s="10" t="str">
        <f ca="1">VLOOKUP($E169,OFFSET([1]characters!$A$2,0,0,COUNTA([1]characters!$A:$A),MATCH(G$1,[1]characters!$2:$2,0)-MATCH($E$1,[1]characters!$2:$2,0)+1),MATCH(G$1,[1]characters!$2:$2,0)-MATCH($E$1,[1]characters!$2:$2,0)+1,FALSE)</f>
        <v>PremiumSS</v>
      </c>
      <c r="H169" s="10">
        <f ca="1">VLOOKUP($E169,OFFSET([1]characters!$A$2,0,0,COUNTA([1]characters!$A:$A),MATCH(H$1,[1]characters!$2:$2,0)-MATCH($E$1,[1]characters!$2:$2,0)+1),MATCH(H$1,[1]characters!$2:$2,0)-MATCH($E$1,[1]characters!$2:$2,0)+1,FALSE)</f>
        <v>4</v>
      </c>
      <c r="I169" s="10" t="str">
        <f ca="1">VLOOKUP($E169,OFFSET([1]characters!$A$2,0,0,COUNTA([1]characters!$A:$A),MATCH(I$1,[1]characters!$2:$2,0)-MATCH($E$1,[1]characters!$2:$2,0)+1),MATCH(I$1,[1]characters!$2:$2,0)-MATCH($E$1,[1]characters!$2:$2,0)+1,FALSE)</f>
        <v>yellow</v>
      </c>
      <c r="J169" s="10" t="str">
        <f ca="1">VLOOKUP($E169,OFFSET([1]characters!$A$2,0,0,COUNTA([1]characters!$A:$A),MATCH("タイプ",[1]characters!$1:$1,0)-MATCH($E$1,[1]characters!$2:$2,0)+2),MATCH("タイプ",[1]characters!$1:$1,0)-MATCH($E$1,[1]characters!$2:$2,0)+2,FALSE)</f>
        <v>テクニカルタイプ</v>
      </c>
      <c r="K169" s="10" t="str">
        <f ca="1">VLOOKUP($E169,OFFSET([1]characters!$A$2,0,0,COUNTA([1]characters!$A:$A),MATCH($K$1,[1]characters!$1:$1,0)-MATCH($E$1,[1]characters!$2:$2,0)+2),MATCH($K$1,[1]characters!$1:$1,0)-MATCH($E$1,[1]characters!$2:$2,0)+2,FALSE)</f>
        <v>ヒューマン</v>
      </c>
      <c r="L169" s="6">
        <v>1</v>
      </c>
      <c r="M169" s="21">
        <v>182</v>
      </c>
      <c r="N169" s="28">
        <v>0</v>
      </c>
      <c r="O169" s="28">
        <v>0</v>
      </c>
      <c r="P169" s="28">
        <v>0</v>
      </c>
      <c r="Q169" s="28">
        <v>0</v>
      </c>
      <c r="R169" s="28">
        <v>1</v>
      </c>
    </row>
  </sheetData>
  <autoFilter ref="A1:R168"/>
  <phoneticPr fontId="3"/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K22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" sqref="C2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 ca="1">SUBSTITUTE(RIGHT(CELL("filename",$C$1),LEN(CELL("filename",$C$1))-FIND("]",CELL("filename",$C$1))),".tmp","")</f>
        <v>gacha_unit_tables_102_tmp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1134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102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1134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102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1134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102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1134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102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1134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102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1134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102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1134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102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1134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102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1134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102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1134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102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1134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102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1134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102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1134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102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1134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102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1134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102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1134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1134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102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1134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102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1134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102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1134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102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1323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102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1323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102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1323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102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1323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102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1323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102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1323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102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1323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102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1323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102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1323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102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1323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102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1323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102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1323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102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1323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102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1323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102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1323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102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1323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102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1323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102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1323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102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1323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102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1323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102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945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102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945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102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945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102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945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102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273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102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273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102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273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102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273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102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273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102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273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102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273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102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273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102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273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102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273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102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273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102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273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102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273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102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273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102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273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102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273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102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273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102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273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102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273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102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273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102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105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102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105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102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105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105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102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945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102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105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102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945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102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105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102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945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102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105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102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945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102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105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102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4725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102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525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102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4725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102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525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102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4725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102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525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102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4725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102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525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01281</v>
      </c>
      <c r="B87" s="16">
        <f t="shared" si="5"/>
        <v>102</v>
      </c>
      <c r="C87" s="16">
        <f t="shared" si="5"/>
        <v>0</v>
      </c>
      <c r="D87" s="16">
        <f t="shared" si="5"/>
        <v>128</v>
      </c>
      <c r="E87" s="16">
        <f t="shared" si="5"/>
        <v>1</v>
      </c>
      <c r="F87" s="16">
        <f t="shared" si="5"/>
        <v>1595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01301</v>
      </c>
      <c r="B88" s="16">
        <f t="shared" si="5"/>
        <v>102</v>
      </c>
      <c r="C88" s="16">
        <f t="shared" si="5"/>
        <v>0</v>
      </c>
      <c r="D88" s="16">
        <f t="shared" si="5"/>
        <v>130</v>
      </c>
      <c r="E88" s="16">
        <f t="shared" si="5"/>
        <v>1</v>
      </c>
      <c r="F88" s="16">
        <f t="shared" si="5"/>
        <v>1595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01321</v>
      </c>
      <c r="B89" s="16">
        <f t="shared" si="5"/>
        <v>102</v>
      </c>
      <c r="C89" s="16">
        <f t="shared" si="5"/>
        <v>0</v>
      </c>
      <c r="D89" s="16">
        <f t="shared" si="5"/>
        <v>132</v>
      </c>
      <c r="E89" s="16">
        <f t="shared" si="5"/>
        <v>1</v>
      </c>
      <c r="F89" s="16">
        <f t="shared" si="5"/>
        <v>1595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01341</v>
      </c>
      <c r="B90" s="16">
        <f t="shared" si="5"/>
        <v>102</v>
      </c>
      <c r="C90" s="16">
        <f t="shared" si="5"/>
        <v>0</v>
      </c>
      <c r="D90" s="16">
        <f t="shared" si="5"/>
        <v>134</v>
      </c>
      <c r="E90" s="16">
        <f t="shared" si="5"/>
        <v>1</v>
      </c>
      <c r="F90" s="16">
        <f t="shared" si="5"/>
        <v>1595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01361</v>
      </c>
      <c r="B91" s="16">
        <f t="shared" si="5"/>
        <v>102</v>
      </c>
      <c r="C91" s="16">
        <f t="shared" si="5"/>
        <v>0</v>
      </c>
      <c r="D91" s="16">
        <f t="shared" si="5"/>
        <v>136</v>
      </c>
      <c r="E91" s="16">
        <f t="shared" si="5"/>
        <v>1</v>
      </c>
      <c r="F91" s="16">
        <f t="shared" si="5"/>
        <v>1595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01381</v>
      </c>
      <c r="B92" s="16">
        <f t="shared" si="5"/>
        <v>102</v>
      </c>
      <c r="C92" s="16">
        <f t="shared" si="5"/>
        <v>0</v>
      </c>
      <c r="D92" s="16">
        <f t="shared" si="5"/>
        <v>138</v>
      </c>
      <c r="E92" s="16">
        <f t="shared" si="5"/>
        <v>1</v>
      </c>
      <c r="F92" s="16">
        <f t="shared" si="5"/>
        <v>1595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01401</v>
      </c>
      <c r="B93" s="16">
        <f t="shared" si="5"/>
        <v>102</v>
      </c>
      <c r="C93" s="16">
        <f t="shared" si="5"/>
        <v>0</v>
      </c>
      <c r="D93" s="16">
        <f t="shared" si="5"/>
        <v>140</v>
      </c>
      <c r="E93" s="16">
        <f t="shared" si="5"/>
        <v>1</v>
      </c>
      <c r="F93" s="16">
        <f t="shared" si="5"/>
        <v>1595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01421</v>
      </c>
      <c r="B94" s="16">
        <f t="shared" si="5"/>
        <v>102</v>
      </c>
      <c r="C94" s="16">
        <f t="shared" si="5"/>
        <v>0</v>
      </c>
      <c r="D94" s="16">
        <f t="shared" si="5"/>
        <v>142</v>
      </c>
      <c r="E94" s="16">
        <f t="shared" si="5"/>
        <v>1</v>
      </c>
      <c r="F94" s="16">
        <f t="shared" si="5"/>
        <v>1595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01441</v>
      </c>
      <c r="B95" s="16">
        <f t="shared" si="5"/>
        <v>102</v>
      </c>
      <c r="C95" s="16">
        <f t="shared" si="5"/>
        <v>0</v>
      </c>
      <c r="D95" s="16">
        <f t="shared" si="5"/>
        <v>144</v>
      </c>
      <c r="E95" s="16">
        <f t="shared" si="5"/>
        <v>1</v>
      </c>
      <c r="F95" s="16">
        <f t="shared" si="5"/>
        <v>1595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01461</v>
      </c>
      <c r="B96" s="16">
        <f t="shared" si="6"/>
        <v>102</v>
      </c>
      <c r="C96" s="16">
        <f t="shared" si="6"/>
        <v>0</v>
      </c>
      <c r="D96" s="16">
        <f t="shared" si="6"/>
        <v>146</v>
      </c>
      <c r="E96" s="16">
        <f t="shared" si="6"/>
        <v>1</v>
      </c>
      <c r="F96" s="16">
        <f t="shared" si="6"/>
        <v>1595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01481</v>
      </c>
      <c r="B97" s="16">
        <f t="shared" si="6"/>
        <v>102</v>
      </c>
      <c r="C97" s="16">
        <f t="shared" si="6"/>
        <v>0</v>
      </c>
      <c r="D97" s="16">
        <f t="shared" si="6"/>
        <v>148</v>
      </c>
      <c r="E97" s="16">
        <f t="shared" si="6"/>
        <v>1</v>
      </c>
      <c r="F97" s="16">
        <f t="shared" si="6"/>
        <v>1595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01501</v>
      </c>
      <c r="B98" s="16">
        <f t="shared" si="6"/>
        <v>102</v>
      </c>
      <c r="C98" s="16">
        <f t="shared" si="6"/>
        <v>0</v>
      </c>
      <c r="D98" s="16">
        <f t="shared" si="6"/>
        <v>150</v>
      </c>
      <c r="E98" s="16">
        <f t="shared" si="6"/>
        <v>1</v>
      </c>
      <c r="F98" s="16">
        <f t="shared" si="6"/>
        <v>1595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01521</v>
      </c>
      <c r="B99" s="16">
        <f t="shared" si="6"/>
        <v>102</v>
      </c>
      <c r="C99" s="16">
        <f t="shared" si="6"/>
        <v>0</v>
      </c>
      <c r="D99" s="16">
        <f t="shared" si="6"/>
        <v>152</v>
      </c>
      <c r="E99" s="16">
        <f t="shared" si="6"/>
        <v>1</v>
      </c>
      <c r="F99" s="16">
        <f t="shared" si="6"/>
        <v>1595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01541</v>
      </c>
      <c r="B100" s="16">
        <f t="shared" si="6"/>
        <v>102</v>
      </c>
      <c r="C100" s="16">
        <f t="shared" si="6"/>
        <v>0</v>
      </c>
      <c r="D100" s="16">
        <f t="shared" si="6"/>
        <v>154</v>
      </c>
      <c r="E100" s="16">
        <f t="shared" si="6"/>
        <v>1</v>
      </c>
      <c r="F100" s="16">
        <f t="shared" si="6"/>
        <v>1595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01561</v>
      </c>
      <c r="B101" s="16">
        <f t="shared" si="6"/>
        <v>102</v>
      </c>
      <c r="C101" s="16">
        <f t="shared" si="6"/>
        <v>0</v>
      </c>
      <c r="D101" s="16">
        <f t="shared" si="6"/>
        <v>156</v>
      </c>
      <c r="E101" s="16">
        <f t="shared" si="6"/>
        <v>1</v>
      </c>
      <c r="F101" s="16">
        <f t="shared" si="6"/>
        <v>1595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01581</v>
      </c>
      <c r="B102" s="16">
        <f t="shared" si="6"/>
        <v>102</v>
      </c>
      <c r="C102" s="16">
        <f t="shared" si="6"/>
        <v>0</v>
      </c>
      <c r="D102" s="16">
        <f t="shared" si="6"/>
        <v>158</v>
      </c>
      <c r="E102" s="16">
        <f t="shared" si="6"/>
        <v>1</v>
      </c>
      <c r="F102" s="16">
        <f t="shared" si="6"/>
        <v>1595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01601</v>
      </c>
      <c r="B103" s="16">
        <f t="shared" si="6"/>
        <v>102</v>
      </c>
      <c r="C103" s="16">
        <f t="shared" si="6"/>
        <v>0</v>
      </c>
      <c r="D103" s="16">
        <f t="shared" si="6"/>
        <v>160</v>
      </c>
      <c r="E103" s="16">
        <f t="shared" si="6"/>
        <v>1</v>
      </c>
      <c r="F103" s="16">
        <f t="shared" si="6"/>
        <v>1595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01621</v>
      </c>
      <c r="B104" s="16">
        <f t="shared" si="6"/>
        <v>102</v>
      </c>
      <c r="C104" s="16">
        <f t="shared" si="6"/>
        <v>0</v>
      </c>
      <c r="D104" s="16">
        <f t="shared" si="6"/>
        <v>162</v>
      </c>
      <c r="E104" s="16">
        <f t="shared" si="6"/>
        <v>1</v>
      </c>
      <c r="F104" s="16">
        <f t="shared" si="6"/>
        <v>1595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01641</v>
      </c>
      <c r="B105" s="16">
        <f t="shared" si="6"/>
        <v>102</v>
      </c>
      <c r="C105" s="16">
        <f t="shared" si="6"/>
        <v>0</v>
      </c>
      <c r="D105" s="16">
        <f t="shared" si="6"/>
        <v>164</v>
      </c>
      <c r="E105" s="16">
        <f t="shared" si="6"/>
        <v>1</v>
      </c>
      <c r="F105" s="16">
        <f t="shared" si="6"/>
        <v>1595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01661</v>
      </c>
      <c r="B106" s="16">
        <f t="shared" si="6"/>
        <v>102</v>
      </c>
      <c r="C106" s="16">
        <f t="shared" si="6"/>
        <v>0</v>
      </c>
      <c r="D106" s="16">
        <f t="shared" si="6"/>
        <v>166</v>
      </c>
      <c r="E106" s="16">
        <f t="shared" si="6"/>
        <v>1</v>
      </c>
      <c r="F106" s="16">
        <f t="shared" si="6"/>
        <v>1642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01691</v>
      </c>
      <c r="B107" s="16">
        <f t="shared" si="6"/>
        <v>102</v>
      </c>
      <c r="C107" s="16">
        <f t="shared" si="6"/>
        <v>0</v>
      </c>
      <c r="D107" s="16">
        <f t="shared" si="6"/>
        <v>169</v>
      </c>
      <c r="E107" s="16">
        <f t="shared" si="6"/>
        <v>1</v>
      </c>
      <c r="F107" s="16">
        <f t="shared" si="6"/>
        <v>1642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01721</v>
      </c>
      <c r="B108" s="16">
        <f t="shared" si="6"/>
        <v>102</v>
      </c>
      <c r="C108" s="16">
        <f t="shared" si="6"/>
        <v>0</v>
      </c>
      <c r="D108" s="16">
        <f t="shared" si="6"/>
        <v>172</v>
      </c>
      <c r="E108" s="16">
        <f t="shared" si="6"/>
        <v>1</v>
      </c>
      <c r="F108" s="16">
        <f t="shared" si="6"/>
        <v>1642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01751</v>
      </c>
      <c r="B109" s="16">
        <f t="shared" si="6"/>
        <v>102</v>
      </c>
      <c r="C109" s="16">
        <f t="shared" si="6"/>
        <v>0</v>
      </c>
      <c r="D109" s="16">
        <f t="shared" si="6"/>
        <v>175</v>
      </c>
      <c r="E109" s="16">
        <f t="shared" si="6"/>
        <v>1</v>
      </c>
      <c r="F109" s="16">
        <f t="shared" si="6"/>
        <v>1642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01781</v>
      </c>
      <c r="B110" s="16">
        <f t="shared" si="6"/>
        <v>102</v>
      </c>
      <c r="C110" s="16">
        <f t="shared" si="6"/>
        <v>0</v>
      </c>
      <c r="D110" s="16">
        <f t="shared" si="6"/>
        <v>178</v>
      </c>
      <c r="E110" s="16">
        <f t="shared" si="6"/>
        <v>1</v>
      </c>
      <c r="F110" s="16">
        <f t="shared" si="6"/>
        <v>1642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01811</v>
      </c>
      <c r="B111" s="16">
        <f t="shared" si="6"/>
        <v>102</v>
      </c>
      <c r="C111" s="16">
        <f t="shared" si="6"/>
        <v>0</v>
      </c>
      <c r="D111" s="16">
        <f t="shared" si="6"/>
        <v>181</v>
      </c>
      <c r="E111" s="16">
        <f t="shared" si="6"/>
        <v>1</v>
      </c>
      <c r="F111" s="16">
        <f t="shared" si="6"/>
        <v>1642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01841</v>
      </c>
      <c r="B112" s="16">
        <f t="shared" si="6"/>
        <v>102</v>
      </c>
      <c r="C112" s="16">
        <f t="shared" si="6"/>
        <v>0</v>
      </c>
      <c r="D112" s="16">
        <f t="shared" si="6"/>
        <v>184</v>
      </c>
      <c r="E112" s="16">
        <f t="shared" si="6"/>
        <v>1</v>
      </c>
      <c r="F112" s="16">
        <f t="shared" si="6"/>
        <v>1642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01871</v>
      </c>
      <c r="B113" s="16">
        <f t="shared" si="6"/>
        <v>102</v>
      </c>
      <c r="C113" s="16">
        <f t="shared" si="6"/>
        <v>0</v>
      </c>
      <c r="D113" s="16">
        <f t="shared" si="6"/>
        <v>187</v>
      </c>
      <c r="E113" s="16">
        <f t="shared" si="6"/>
        <v>1</v>
      </c>
      <c r="F113" s="16">
        <f t="shared" si="6"/>
        <v>1642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01901</v>
      </c>
      <c r="B114" s="16">
        <f t="shared" si="6"/>
        <v>102</v>
      </c>
      <c r="C114" s="16">
        <f t="shared" si="6"/>
        <v>0</v>
      </c>
      <c r="D114" s="16">
        <f t="shared" si="6"/>
        <v>190</v>
      </c>
      <c r="E114" s="16">
        <f t="shared" si="6"/>
        <v>1</v>
      </c>
      <c r="F114" s="16">
        <f t="shared" si="6"/>
        <v>1642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01931</v>
      </c>
      <c r="B115" s="16">
        <f t="shared" si="6"/>
        <v>102</v>
      </c>
      <c r="C115" s="16">
        <f t="shared" si="6"/>
        <v>0</v>
      </c>
      <c r="D115" s="16">
        <f t="shared" si="6"/>
        <v>193</v>
      </c>
      <c r="E115" s="16">
        <f t="shared" si="6"/>
        <v>1</v>
      </c>
      <c r="F115" s="16">
        <f t="shared" si="6"/>
        <v>1642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01961</v>
      </c>
      <c r="B116" s="16">
        <f t="shared" si="6"/>
        <v>102</v>
      </c>
      <c r="C116" s="16">
        <f t="shared" si="6"/>
        <v>0</v>
      </c>
      <c r="D116" s="16">
        <f t="shared" si="6"/>
        <v>196</v>
      </c>
      <c r="E116" s="16">
        <f t="shared" si="6"/>
        <v>1</v>
      </c>
      <c r="F116" s="16">
        <f t="shared" si="6"/>
        <v>1642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01991</v>
      </c>
      <c r="B117" s="16">
        <f t="shared" si="6"/>
        <v>102</v>
      </c>
      <c r="C117" s="16">
        <f t="shared" si="6"/>
        <v>0</v>
      </c>
      <c r="D117" s="16">
        <f t="shared" si="6"/>
        <v>199</v>
      </c>
      <c r="E117" s="16">
        <f t="shared" si="6"/>
        <v>1</v>
      </c>
      <c r="F117" s="16">
        <f t="shared" si="6"/>
        <v>1642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02021</v>
      </c>
      <c r="B118" s="16">
        <f t="shared" si="6"/>
        <v>102</v>
      </c>
      <c r="C118" s="16">
        <f t="shared" si="6"/>
        <v>0</v>
      </c>
      <c r="D118" s="16">
        <f t="shared" si="6"/>
        <v>202</v>
      </c>
      <c r="E118" s="16">
        <f t="shared" si="6"/>
        <v>1</v>
      </c>
      <c r="F118" s="16">
        <f t="shared" si="6"/>
        <v>1642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02051</v>
      </c>
      <c r="B119" s="16">
        <f t="shared" si="6"/>
        <v>102</v>
      </c>
      <c r="C119" s="16">
        <f t="shared" si="6"/>
        <v>0</v>
      </c>
      <c r="D119" s="16">
        <f t="shared" si="6"/>
        <v>205</v>
      </c>
      <c r="E119" s="16">
        <f t="shared" si="6"/>
        <v>1</v>
      </c>
      <c r="F119" s="16">
        <f t="shared" si="6"/>
        <v>1642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02081</v>
      </c>
      <c r="B120" s="16">
        <f t="shared" si="6"/>
        <v>102</v>
      </c>
      <c r="C120" s="16">
        <f t="shared" si="6"/>
        <v>0</v>
      </c>
      <c r="D120" s="16">
        <f t="shared" si="6"/>
        <v>208</v>
      </c>
      <c r="E120" s="16">
        <f t="shared" si="6"/>
        <v>1</v>
      </c>
      <c r="F120" s="16">
        <f t="shared" si="6"/>
        <v>1642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02111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</v>
      </c>
      <c r="C121" s="16">
        <f t="shared" si="7"/>
        <v>0</v>
      </c>
      <c r="D121" s="16">
        <f t="shared" si="7"/>
        <v>211</v>
      </c>
      <c r="E121" s="16">
        <f t="shared" si="7"/>
        <v>1</v>
      </c>
      <c r="F121" s="16">
        <f t="shared" si="7"/>
        <v>1642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02141</v>
      </c>
      <c r="B122" s="16">
        <f t="shared" si="7"/>
        <v>102</v>
      </c>
      <c r="C122" s="16">
        <f t="shared" si="7"/>
        <v>0</v>
      </c>
      <c r="D122" s="16">
        <f t="shared" si="7"/>
        <v>214</v>
      </c>
      <c r="E122" s="16">
        <f t="shared" si="7"/>
        <v>1</v>
      </c>
      <c r="F122" s="16">
        <f t="shared" si="7"/>
        <v>1642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02171</v>
      </c>
      <c r="B123" s="16">
        <f t="shared" si="7"/>
        <v>102</v>
      </c>
      <c r="C123" s="16">
        <f t="shared" si="7"/>
        <v>0</v>
      </c>
      <c r="D123" s="16">
        <f t="shared" si="7"/>
        <v>217</v>
      </c>
      <c r="E123" s="16">
        <f t="shared" si="7"/>
        <v>1</v>
      </c>
      <c r="F123" s="16">
        <f t="shared" si="7"/>
        <v>1642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02201</v>
      </c>
      <c r="B124" s="16">
        <f t="shared" si="7"/>
        <v>102</v>
      </c>
      <c r="C124" s="16">
        <f t="shared" si="7"/>
        <v>0</v>
      </c>
      <c r="D124" s="16">
        <f t="shared" si="7"/>
        <v>220</v>
      </c>
      <c r="E124" s="16">
        <f t="shared" si="7"/>
        <v>1</v>
      </c>
      <c r="F124" s="16">
        <f t="shared" si="7"/>
        <v>1642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02231</v>
      </c>
      <c r="B125" s="16">
        <f t="shared" si="7"/>
        <v>102</v>
      </c>
      <c r="C125" s="16">
        <f t="shared" si="7"/>
        <v>0</v>
      </c>
      <c r="D125" s="16">
        <f t="shared" si="7"/>
        <v>223</v>
      </c>
      <c r="E125" s="16">
        <f t="shared" si="7"/>
        <v>1</v>
      </c>
      <c r="F125" s="16">
        <f t="shared" si="7"/>
        <v>1642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02261</v>
      </c>
      <c r="B126" s="16">
        <f t="shared" si="7"/>
        <v>102</v>
      </c>
      <c r="C126" s="16">
        <f t="shared" si="7"/>
        <v>0</v>
      </c>
      <c r="D126" s="16">
        <f t="shared" si="7"/>
        <v>226</v>
      </c>
      <c r="E126" s="16">
        <f t="shared" si="7"/>
        <v>1</v>
      </c>
      <c r="F126" s="16">
        <f t="shared" si="7"/>
        <v>704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02291</v>
      </c>
      <c r="B127" s="16">
        <f t="shared" si="7"/>
        <v>102</v>
      </c>
      <c r="C127" s="16">
        <f t="shared" si="7"/>
        <v>0</v>
      </c>
      <c r="D127" s="16">
        <f t="shared" si="7"/>
        <v>229</v>
      </c>
      <c r="E127" s="16">
        <f t="shared" si="7"/>
        <v>1</v>
      </c>
      <c r="F127" s="16">
        <f t="shared" si="7"/>
        <v>704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02321</v>
      </c>
      <c r="B128" s="16">
        <f t="shared" si="7"/>
        <v>102</v>
      </c>
      <c r="C128" s="16">
        <f t="shared" si="7"/>
        <v>0</v>
      </c>
      <c r="D128" s="16">
        <f t="shared" si="7"/>
        <v>232</v>
      </c>
      <c r="E128" s="16">
        <f t="shared" si="7"/>
        <v>1</v>
      </c>
      <c r="F128" s="16">
        <f t="shared" si="7"/>
        <v>704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02351</v>
      </c>
      <c r="B129" s="16">
        <f t="shared" si="7"/>
        <v>102</v>
      </c>
      <c r="C129" s="16">
        <f t="shared" si="7"/>
        <v>0</v>
      </c>
      <c r="D129" s="16">
        <f t="shared" si="7"/>
        <v>235</v>
      </c>
      <c r="E129" s="16">
        <f t="shared" si="7"/>
        <v>1</v>
      </c>
      <c r="F129" s="16">
        <f t="shared" si="7"/>
        <v>704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01271</v>
      </c>
      <c r="B130" s="16">
        <f t="shared" si="7"/>
        <v>102</v>
      </c>
      <c r="C130" s="16">
        <f t="shared" si="7"/>
        <v>0</v>
      </c>
      <c r="D130" s="16">
        <f t="shared" si="7"/>
        <v>127</v>
      </c>
      <c r="E130" s="16">
        <f t="shared" si="7"/>
        <v>1</v>
      </c>
      <c r="F130" s="16">
        <f t="shared" si="7"/>
        <v>578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01291</v>
      </c>
      <c r="B131" s="16">
        <f t="shared" si="7"/>
        <v>102</v>
      </c>
      <c r="C131" s="16">
        <f t="shared" si="7"/>
        <v>0</v>
      </c>
      <c r="D131" s="16">
        <f t="shared" si="7"/>
        <v>129</v>
      </c>
      <c r="E131" s="16">
        <f t="shared" si="7"/>
        <v>1</v>
      </c>
      <c r="F131" s="16">
        <f t="shared" si="7"/>
        <v>578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01311</v>
      </c>
      <c r="B132" s="16">
        <f t="shared" si="7"/>
        <v>102</v>
      </c>
      <c r="C132" s="16">
        <f t="shared" si="7"/>
        <v>0</v>
      </c>
      <c r="D132" s="16">
        <f t="shared" si="7"/>
        <v>131</v>
      </c>
      <c r="E132" s="16">
        <f t="shared" si="7"/>
        <v>1</v>
      </c>
      <c r="F132" s="16">
        <f t="shared" si="7"/>
        <v>578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01331</v>
      </c>
      <c r="B133" s="16">
        <f t="shared" si="7"/>
        <v>102</v>
      </c>
      <c r="C133" s="16">
        <f t="shared" si="7"/>
        <v>0</v>
      </c>
      <c r="D133" s="16">
        <f t="shared" si="7"/>
        <v>133</v>
      </c>
      <c r="E133" s="16">
        <f t="shared" si="7"/>
        <v>1</v>
      </c>
      <c r="F133" s="16">
        <f t="shared" si="7"/>
        <v>578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01351</v>
      </c>
      <c r="B134" s="16">
        <f t="shared" si="7"/>
        <v>102</v>
      </c>
      <c r="C134" s="16">
        <f t="shared" si="7"/>
        <v>0</v>
      </c>
      <c r="D134" s="16">
        <f t="shared" si="7"/>
        <v>135</v>
      </c>
      <c r="E134" s="16">
        <f t="shared" si="7"/>
        <v>1</v>
      </c>
      <c r="F134" s="16">
        <f t="shared" si="7"/>
        <v>578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01371</v>
      </c>
      <c r="B135" s="16">
        <f t="shared" si="7"/>
        <v>102</v>
      </c>
      <c r="C135" s="16">
        <f t="shared" si="7"/>
        <v>0</v>
      </c>
      <c r="D135" s="16">
        <f t="shared" si="7"/>
        <v>137</v>
      </c>
      <c r="E135" s="16">
        <f t="shared" si="7"/>
        <v>1</v>
      </c>
      <c r="F135" s="16">
        <f t="shared" si="7"/>
        <v>578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01391</v>
      </c>
      <c r="B136" s="16">
        <f t="shared" si="7"/>
        <v>102</v>
      </c>
      <c r="C136" s="16">
        <f t="shared" si="7"/>
        <v>0</v>
      </c>
      <c r="D136" s="16">
        <f t="shared" si="7"/>
        <v>139</v>
      </c>
      <c r="E136" s="16">
        <f t="shared" si="7"/>
        <v>1</v>
      </c>
      <c r="F136" s="16">
        <f t="shared" si="7"/>
        <v>578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01411</v>
      </c>
      <c r="B137" s="16">
        <f t="shared" si="7"/>
        <v>102</v>
      </c>
      <c r="C137" s="16">
        <f t="shared" si="7"/>
        <v>0</v>
      </c>
      <c r="D137" s="16">
        <f t="shared" si="7"/>
        <v>141</v>
      </c>
      <c r="E137" s="16">
        <f t="shared" si="7"/>
        <v>1</v>
      </c>
      <c r="F137" s="16">
        <f t="shared" si="7"/>
        <v>578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01431</v>
      </c>
      <c r="B138" s="16">
        <f t="shared" si="7"/>
        <v>102</v>
      </c>
      <c r="C138" s="16">
        <f t="shared" si="7"/>
        <v>0</v>
      </c>
      <c r="D138" s="16">
        <f t="shared" si="7"/>
        <v>143</v>
      </c>
      <c r="E138" s="16">
        <f t="shared" si="7"/>
        <v>1</v>
      </c>
      <c r="F138" s="16">
        <f t="shared" si="7"/>
        <v>578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01451</v>
      </c>
      <c r="B139" s="16">
        <f t="shared" si="7"/>
        <v>102</v>
      </c>
      <c r="C139" s="16">
        <f t="shared" si="7"/>
        <v>0</v>
      </c>
      <c r="D139" s="16">
        <f t="shared" si="7"/>
        <v>145</v>
      </c>
      <c r="E139" s="16">
        <f t="shared" si="7"/>
        <v>1</v>
      </c>
      <c r="F139" s="16">
        <f t="shared" si="7"/>
        <v>578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01471</v>
      </c>
      <c r="B140" s="16">
        <f t="shared" si="7"/>
        <v>102</v>
      </c>
      <c r="C140" s="16">
        <f t="shared" si="7"/>
        <v>0</v>
      </c>
      <c r="D140" s="16">
        <f t="shared" si="7"/>
        <v>147</v>
      </c>
      <c r="E140" s="16">
        <f t="shared" si="7"/>
        <v>1</v>
      </c>
      <c r="F140" s="16">
        <f t="shared" si="7"/>
        <v>578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01491</v>
      </c>
      <c r="B141" s="16">
        <f t="shared" si="7"/>
        <v>102</v>
      </c>
      <c r="C141" s="16">
        <f t="shared" si="7"/>
        <v>0</v>
      </c>
      <c r="D141" s="16">
        <f t="shared" si="7"/>
        <v>149</v>
      </c>
      <c r="E141" s="16">
        <f t="shared" si="7"/>
        <v>1</v>
      </c>
      <c r="F141" s="16">
        <f t="shared" si="7"/>
        <v>578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01511</v>
      </c>
      <c r="B142" s="16">
        <f t="shared" si="7"/>
        <v>102</v>
      </c>
      <c r="C142" s="16">
        <f t="shared" si="7"/>
        <v>0</v>
      </c>
      <c r="D142" s="16">
        <f t="shared" si="7"/>
        <v>151</v>
      </c>
      <c r="E142" s="16">
        <f t="shared" si="7"/>
        <v>1</v>
      </c>
      <c r="F142" s="16">
        <f t="shared" si="7"/>
        <v>578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01531</v>
      </c>
      <c r="B143" s="16">
        <f t="shared" si="7"/>
        <v>102</v>
      </c>
      <c r="C143" s="16">
        <f t="shared" si="7"/>
        <v>0</v>
      </c>
      <c r="D143" s="16">
        <f t="shared" si="7"/>
        <v>153</v>
      </c>
      <c r="E143" s="16">
        <f t="shared" si="7"/>
        <v>1</v>
      </c>
      <c r="F143" s="16">
        <f t="shared" si="7"/>
        <v>578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01551</v>
      </c>
      <c r="B144" s="16">
        <f t="shared" si="7"/>
        <v>102</v>
      </c>
      <c r="C144" s="16">
        <f t="shared" si="7"/>
        <v>0</v>
      </c>
      <c r="D144" s="16">
        <f t="shared" si="7"/>
        <v>155</v>
      </c>
      <c r="E144" s="16">
        <f t="shared" si="7"/>
        <v>1</v>
      </c>
      <c r="F144" s="16">
        <f t="shared" si="7"/>
        <v>578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01571</v>
      </c>
      <c r="B145" s="16">
        <f t="shared" si="7"/>
        <v>102</v>
      </c>
      <c r="C145" s="16">
        <f t="shared" si="7"/>
        <v>0</v>
      </c>
      <c r="D145" s="16">
        <f t="shared" si="7"/>
        <v>157</v>
      </c>
      <c r="E145" s="16">
        <f t="shared" si="7"/>
        <v>1</v>
      </c>
      <c r="F145" s="16">
        <f t="shared" si="7"/>
        <v>578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01591</v>
      </c>
      <c r="B146" s="16">
        <f t="shared" si="7"/>
        <v>102</v>
      </c>
      <c r="C146" s="16">
        <f t="shared" si="7"/>
        <v>0</v>
      </c>
      <c r="D146" s="16">
        <f t="shared" si="7"/>
        <v>159</v>
      </c>
      <c r="E146" s="16">
        <f t="shared" si="7"/>
        <v>1</v>
      </c>
      <c r="F146" s="16">
        <f t="shared" si="7"/>
        <v>578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01611</v>
      </c>
      <c r="B147" s="16">
        <f t="shared" si="9"/>
        <v>102</v>
      </c>
      <c r="C147" s="16">
        <f t="shared" si="9"/>
        <v>0</v>
      </c>
      <c r="D147" s="16">
        <f t="shared" si="9"/>
        <v>161</v>
      </c>
      <c r="E147" s="16">
        <f t="shared" si="9"/>
        <v>1</v>
      </c>
      <c r="F147" s="16">
        <f t="shared" si="9"/>
        <v>578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01631</v>
      </c>
      <c r="B148" s="16">
        <f t="shared" si="9"/>
        <v>102</v>
      </c>
      <c r="C148" s="16">
        <f t="shared" si="9"/>
        <v>0</v>
      </c>
      <c r="D148" s="16">
        <f t="shared" si="9"/>
        <v>163</v>
      </c>
      <c r="E148" s="16">
        <f t="shared" si="9"/>
        <v>1</v>
      </c>
      <c r="F148" s="16">
        <f t="shared" si="9"/>
        <v>578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01651</v>
      </c>
      <c r="B149" s="16">
        <f t="shared" si="9"/>
        <v>102</v>
      </c>
      <c r="C149" s="16">
        <f t="shared" si="9"/>
        <v>0</v>
      </c>
      <c r="D149" s="16">
        <f t="shared" si="9"/>
        <v>165</v>
      </c>
      <c r="E149" s="16">
        <f t="shared" si="9"/>
        <v>1</v>
      </c>
      <c r="F149" s="16">
        <f t="shared" si="9"/>
        <v>578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01671</v>
      </c>
      <c r="B150" s="16">
        <f t="shared" si="9"/>
        <v>102</v>
      </c>
      <c r="C150" s="16">
        <f t="shared" si="9"/>
        <v>0</v>
      </c>
      <c r="D150" s="16">
        <f t="shared" si="9"/>
        <v>167</v>
      </c>
      <c r="E150" s="16">
        <f t="shared" si="9"/>
        <v>1</v>
      </c>
      <c r="F150" s="16">
        <f t="shared" si="9"/>
        <v>595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01701</v>
      </c>
      <c r="B151" s="16">
        <f t="shared" si="9"/>
        <v>102</v>
      </c>
      <c r="C151" s="16">
        <f t="shared" si="9"/>
        <v>0</v>
      </c>
      <c r="D151" s="16">
        <f t="shared" si="9"/>
        <v>170</v>
      </c>
      <c r="E151" s="16">
        <f t="shared" si="9"/>
        <v>1</v>
      </c>
      <c r="F151" s="16">
        <f t="shared" si="9"/>
        <v>595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01731</v>
      </c>
      <c r="B152" s="16">
        <f t="shared" si="9"/>
        <v>102</v>
      </c>
      <c r="C152" s="16">
        <f t="shared" si="9"/>
        <v>0</v>
      </c>
      <c r="D152" s="16">
        <f t="shared" si="9"/>
        <v>173</v>
      </c>
      <c r="E152" s="16">
        <f t="shared" si="9"/>
        <v>1</v>
      </c>
      <c r="F152" s="16">
        <f t="shared" si="9"/>
        <v>595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01761</v>
      </c>
      <c r="B153" s="16">
        <f t="shared" si="9"/>
        <v>102</v>
      </c>
      <c r="C153" s="16">
        <f t="shared" si="9"/>
        <v>0</v>
      </c>
      <c r="D153" s="16">
        <f t="shared" si="9"/>
        <v>176</v>
      </c>
      <c r="E153" s="16">
        <f t="shared" si="9"/>
        <v>1</v>
      </c>
      <c r="F153" s="16">
        <f t="shared" si="9"/>
        <v>595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01791</v>
      </c>
      <c r="B154" s="16">
        <f t="shared" si="9"/>
        <v>102</v>
      </c>
      <c r="C154" s="16">
        <f t="shared" si="9"/>
        <v>0</v>
      </c>
      <c r="D154" s="16">
        <f t="shared" si="9"/>
        <v>179</v>
      </c>
      <c r="E154" s="16">
        <f t="shared" si="9"/>
        <v>1</v>
      </c>
      <c r="F154" s="16">
        <f t="shared" si="9"/>
        <v>595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01821</v>
      </c>
      <c r="B155" s="16">
        <f t="shared" si="9"/>
        <v>102</v>
      </c>
      <c r="C155" s="16">
        <f t="shared" si="9"/>
        <v>0</v>
      </c>
      <c r="D155" s="16">
        <f t="shared" si="9"/>
        <v>182</v>
      </c>
      <c r="E155" s="16">
        <f t="shared" si="9"/>
        <v>1</v>
      </c>
      <c r="F155" s="16">
        <f t="shared" si="9"/>
        <v>595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01851</v>
      </c>
      <c r="B156" s="16">
        <f t="shared" si="9"/>
        <v>102</v>
      </c>
      <c r="C156" s="16">
        <f t="shared" si="9"/>
        <v>0</v>
      </c>
      <c r="D156" s="16">
        <f t="shared" si="9"/>
        <v>185</v>
      </c>
      <c r="E156" s="16">
        <f t="shared" si="9"/>
        <v>1</v>
      </c>
      <c r="F156" s="16">
        <f t="shared" si="9"/>
        <v>595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01881</v>
      </c>
      <c r="B157" s="16">
        <f t="shared" si="9"/>
        <v>102</v>
      </c>
      <c r="C157" s="16">
        <f t="shared" si="9"/>
        <v>0</v>
      </c>
      <c r="D157" s="16">
        <f t="shared" si="9"/>
        <v>188</v>
      </c>
      <c r="E157" s="16">
        <f t="shared" si="9"/>
        <v>1</v>
      </c>
      <c r="F157" s="16">
        <f t="shared" si="9"/>
        <v>595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01911</v>
      </c>
      <c r="B158" s="16">
        <f t="shared" si="9"/>
        <v>102</v>
      </c>
      <c r="C158" s="16">
        <f t="shared" si="9"/>
        <v>0</v>
      </c>
      <c r="D158" s="16">
        <f t="shared" si="9"/>
        <v>191</v>
      </c>
      <c r="E158" s="16">
        <f t="shared" si="9"/>
        <v>1</v>
      </c>
      <c r="F158" s="16">
        <f t="shared" si="9"/>
        <v>595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01941</v>
      </c>
      <c r="B159" s="16">
        <f t="shared" si="9"/>
        <v>102</v>
      </c>
      <c r="C159" s="16">
        <f t="shared" si="9"/>
        <v>0</v>
      </c>
      <c r="D159" s="16">
        <f t="shared" si="9"/>
        <v>194</v>
      </c>
      <c r="E159" s="16">
        <f t="shared" si="9"/>
        <v>1</v>
      </c>
      <c r="F159" s="16">
        <f t="shared" si="9"/>
        <v>595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01971</v>
      </c>
      <c r="B160" s="16">
        <f t="shared" si="9"/>
        <v>102</v>
      </c>
      <c r="C160" s="16">
        <f t="shared" si="9"/>
        <v>0</v>
      </c>
      <c r="D160" s="16">
        <f t="shared" si="9"/>
        <v>197</v>
      </c>
      <c r="E160" s="16">
        <f t="shared" si="9"/>
        <v>1</v>
      </c>
      <c r="F160" s="16">
        <f t="shared" si="9"/>
        <v>595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02001</v>
      </c>
      <c r="B161" s="16">
        <f t="shared" si="9"/>
        <v>102</v>
      </c>
      <c r="C161" s="16">
        <f t="shared" si="9"/>
        <v>0</v>
      </c>
      <c r="D161" s="16">
        <f t="shared" si="9"/>
        <v>200</v>
      </c>
      <c r="E161" s="16">
        <f t="shared" si="9"/>
        <v>1</v>
      </c>
      <c r="F161" s="16">
        <f t="shared" si="9"/>
        <v>595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02031</v>
      </c>
      <c r="B162" s="16">
        <f t="shared" si="9"/>
        <v>102</v>
      </c>
      <c r="C162" s="16">
        <f t="shared" si="9"/>
        <v>0</v>
      </c>
      <c r="D162" s="16">
        <f t="shared" si="9"/>
        <v>203</v>
      </c>
      <c r="E162" s="16">
        <f t="shared" si="9"/>
        <v>1</v>
      </c>
      <c r="F162" s="16">
        <f t="shared" si="9"/>
        <v>595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02061</v>
      </c>
      <c r="B163" s="16">
        <f t="shared" si="9"/>
        <v>102</v>
      </c>
      <c r="C163" s="16">
        <f t="shared" si="9"/>
        <v>0</v>
      </c>
      <c r="D163" s="16">
        <f t="shared" si="9"/>
        <v>206</v>
      </c>
      <c r="E163" s="16">
        <f t="shared" si="9"/>
        <v>1</v>
      </c>
      <c r="F163" s="16">
        <f t="shared" si="9"/>
        <v>595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02091</v>
      </c>
      <c r="B164" s="16">
        <f t="shared" si="9"/>
        <v>102</v>
      </c>
      <c r="C164" s="16">
        <f t="shared" si="9"/>
        <v>0</v>
      </c>
      <c r="D164" s="16">
        <f t="shared" si="9"/>
        <v>209</v>
      </c>
      <c r="E164" s="16">
        <f t="shared" si="9"/>
        <v>1</v>
      </c>
      <c r="F164" s="16">
        <f t="shared" si="9"/>
        <v>595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02121</v>
      </c>
      <c r="B165" s="16">
        <f t="shared" si="9"/>
        <v>102</v>
      </c>
      <c r="C165" s="16">
        <f t="shared" si="9"/>
        <v>0</v>
      </c>
      <c r="D165" s="16">
        <f t="shared" si="9"/>
        <v>212</v>
      </c>
      <c r="E165" s="16">
        <f t="shared" si="9"/>
        <v>1</v>
      </c>
      <c r="F165" s="16">
        <f t="shared" si="9"/>
        <v>595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02151</v>
      </c>
      <c r="B166" s="16">
        <f t="shared" si="9"/>
        <v>102</v>
      </c>
      <c r="C166" s="16">
        <f t="shared" si="9"/>
        <v>0</v>
      </c>
      <c r="D166" s="16">
        <f t="shared" si="9"/>
        <v>215</v>
      </c>
      <c r="E166" s="16">
        <f t="shared" si="9"/>
        <v>1</v>
      </c>
      <c r="F166" s="16">
        <f t="shared" si="9"/>
        <v>595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02181</v>
      </c>
      <c r="B167" s="16">
        <f t="shared" si="9"/>
        <v>102</v>
      </c>
      <c r="C167" s="16">
        <f t="shared" si="9"/>
        <v>0</v>
      </c>
      <c r="D167" s="16">
        <f t="shared" si="9"/>
        <v>218</v>
      </c>
      <c r="E167" s="16">
        <f t="shared" si="9"/>
        <v>1</v>
      </c>
      <c r="F167" s="16">
        <f t="shared" si="9"/>
        <v>595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02211</v>
      </c>
      <c r="B168" s="16">
        <f t="shared" si="9"/>
        <v>102</v>
      </c>
      <c r="C168" s="16">
        <f t="shared" si="9"/>
        <v>0</v>
      </c>
      <c r="D168" s="16">
        <f t="shared" si="9"/>
        <v>221</v>
      </c>
      <c r="E168" s="16">
        <f t="shared" si="9"/>
        <v>1</v>
      </c>
      <c r="F168" s="16">
        <f t="shared" si="9"/>
        <v>595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02241</v>
      </c>
      <c r="B169" s="16">
        <f t="shared" si="9"/>
        <v>102</v>
      </c>
      <c r="C169" s="16">
        <f t="shared" si="9"/>
        <v>0</v>
      </c>
      <c r="D169" s="16">
        <f t="shared" si="9"/>
        <v>224</v>
      </c>
      <c r="E169" s="16">
        <f t="shared" si="9"/>
        <v>1</v>
      </c>
      <c r="F169" s="16">
        <f t="shared" si="9"/>
        <v>595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02271</v>
      </c>
      <c r="B170" s="16">
        <f t="shared" si="9"/>
        <v>102</v>
      </c>
      <c r="C170" s="16">
        <f t="shared" si="9"/>
        <v>0</v>
      </c>
      <c r="D170" s="16">
        <f t="shared" si="9"/>
        <v>227</v>
      </c>
      <c r="E170" s="16">
        <f t="shared" si="9"/>
        <v>1</v>
      </c>
      <c r="F170" s="16">
        <f t="shared" si="9"/>
        <v>255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02301</v>
      </c>
      <c r="B171" s="16">
        <f t="shared" si="9"/>
        <v>102</v>
      </c>
      <c r="C171" s="16">
        <f t="shared" si="9"/>
        <v>0</v>
      </c>
      <c r="D171" s="16">
        <f t="shared" si="9"/>
        <v>230</v>
      </c>
      <c r="E171" s="16">
        <f t="shared" si="9"/>
        <v>1</v>
      </c>
      <c r="F171" s="16">
        <f t="shared" si="9"/>
        <v>255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02331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102</v>
      </c>
      <c r="C172" s="16">
        <f t="shared" si="10"/>
        <v>0</v>
      </c>
      <c r="D172" s="16">
        <f t="shared" si="10"/>
        <v>233</v>
      </c>
      <c r="E172" s="16">
        <f t="shared" si="10"/>
        <v>1</v>
      </c>
      <c r="F172" s="16">
        <f t="shared" si="10"/>
        <v>255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02361</v>
      </c>
      <c r="B173" s="16">
        <f t="shared" si="10"/>
        <v>102</v>
      </c>
      <c r="C173" s="16">
        <f t="shared" si="10"/>
        <v>0</v>
      </c>
      <c r="D173" s="16">
        <f t="shared" si="10"/>
        <v>236</v>
      </c>
      <c r="E173" s="16">
        <f t="shared" si="10"/>
        <v>1</v>
      </c>
      <c r="F173" s="16">
        <f t="shared" si="10"/>
        <v>255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01681</v>
      </c>
      <c r="B174" s="16">
        <f t="shared" si="10"/>
        <v>102</v>
      </c>
      <c r="C174" s="16">
        <f t="shared" si="10"/>
        <v>0</v>
      </c>
      <c r="D174" s="16">
        <f t="shared" si="10"/>
        <v>168</v>
      </c>
      <c r="E174" s="16">
        <f t="shared" si="10"/>
        <v>1</v>
      </c>
      <c r="F174" s="16">
        <f t="shared" si="10"/>
        <v>143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01711</v>
      </c>
      <c r="B175" s="16">
        <f t="shared" si="10"/>
        <v>102</v>
      </c>
      <c r="C175" s="16">
        <f t="shared" si="10"/>
        <v>0</v>
      </c>
      <c r="D175" s="16">
        <f t="shared" si="10"/>
        <v>171</v>
      </c>
      <c r="E175" s="16">
        <f t="shared" si="10"/>
        <v>1</v>
      </c>
      <c r="F175" s="16">
        <f t="shared" si="10"/>
        <v>143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01741</v>
      </c>
      <c r="B176" s="16">
        <f t="shared" si="10"/>
        <v>102</v>
      </c>
      <c r="C176" s="16">
        <f t="shared" si="10"/>
        <v>0</v>
      </c>
      <c r="D176" s="16">
        <f t="shared" si="10"/>
        <v>174</v>
      </c>
      <c r="E176" s="16">
        <f t="shared" si="10"/>
        <v>1</v>
      </c>
      <c r="F176" s="16">
        <f t="shared" si="10"/>
        <v>143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01771</v>
      </c>
      <c r="B177" s="16">
        <f t="shared" si="10"/>
        <v>102</v>
      </c>
      <c r="C177" s="16">
        <f t="shared" si="10"/>
        <v>0</v>
      </c>
      <c r="D177" s="16">
        <f t="shared" si="10"/>
        <v>177</v>
      </c>
      <c r="E177" s="16">
        <f t="shared" si="10"/>
        <v>1</v>
      </c>
      <c r="F177" s="16">
        <f t="shared" si="10"/>
        <v>143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01801</v>
      </c>
      <c r="B178" s="16">
        <f t="shared" si="10"/>
        <v>102</v>
      </c>
      <c r="C178" s="16">
        <f t="shared" si="10"/>
        <v>0</v>
      </c>
      <c r="D178" s="16">
        <f t="shared" si="10"/>
        <v>180</v>
      </c>
      <c r="E178" s="16">
        <f t="shared" si="10"/>
        <v>1</v>
      </c>
      <c r="F178" s="16">
        <f t="shared" si="10"/>
        <v>143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01831</v>
      </c>
      <c r="B179" s="16">
        <f t="shared" si="10"/>
        <v>102</v>
      </c>
      <c r="C179" s="16">
        <f t="shared" si="10"/>
        <v>0</v>
      </c>
      <c r="D179" s="16">
        <f t="shared" si="10"/>
        <v>183</v>
      </c>
      <c r="E179" s="16">
        <f t="shared" si="10"/>
        <v>1</v>
      </c>
      <c r="F179" s="16">
        <f t="shared" si="10"/>
        <v>143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01861</v>
      </c>
      <c r="B180" s="16">
        <f t="shared" si="10"/>
        <v>102</v>
      </c>
      <c r="C180" s="16">
        <f t="shared" si="10"/>
        <v>0</v>
      </c>
      <c r="D180" s="16">
        <f t="shared" si="10"/>
        <v>186</v>
      </c>
      <c r="E180" s="16">
        <f t="shared" si="10"/>
        <v>1</v>
      </c>
      <c r="F180" s="16">
        <f t="shared" si="10"/>
        <v>143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01891</v>
      </c>
      <c r="B181" s="16">
        <f t="shared" si="10"/>
        <v>102</v>
      </c>
      <c r="C181" s="16">
        <f t="shared" si="10"/>
        <v>0</v>
      </c>
      <c r="D181" s="16">
        <f t="shared" si="10"/>
        <v>189</v>
      </c>
      <c r="E181" s="16">
        <f t="shared" si="10"/>
        <v>1</v>
      </c>
      <c r="F181" s="16">
        <f t="shared" si="10"/>
        <v>143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01921</v>
      </c>
      <c r="B182" s="16">
        <f t="shared" si="10"/>
        <v>102</v>
      </c>
      <c r="C182" s="16">
        <f t="shared" si="10"/>
        <v>0</v>
      </c>
      <c r="D182" s="16">
        <f t="shared" si="10"/>
        <v>192</v>
      </c>
      <c r="E182" s="16">
        <f t="shared" si="10"/>
        <v>1</v>
      </c>
      <c r="F182" s="16">
        <f t="shared" si="10"/>
        <v>143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01951</v>
      </c>
      <c r="B183" s="16">
        <f t="shared" si="10"/>
        <v>102</v>
      </c>
      <c r="C183" s="16">
        <f t="shared" si="10"/>
        <v>0</v>
      </c>
      <c r="D183" s="16">
        <f t="shared" si="10"/>
        <v>195</v>
      </c>
      <c r="E183" s="16">
        <f t="shared" si="10"/>
        <v>1</v>
      </c>
      <c r="F183" s="16">
        <f t="shared" si="10"/>
        <v>143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01981</v>
      </c>
      <c r="B184" s="16">
        <f t="shared" si="10"/>
        <v>102</v>
      </c>
      <c r="C184" s="16">
        <f t="shared" si="10"/>
        <v>0</v>
      </c>
      <c r="D184" s="16">
        <f t="shared" si="10"/>
        <v>198</v>
      </c>
      <c r="E184" s="16">
        <f t="shared" si="10"/>
        <v>1</v>
      </c>
      <c r="F184" s="16">
        <f t="shared" si="10"/>
        <v>143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02011</v>
      </c>
      <c r="B185" s="16">
        <f t="shared" si="10"/>
        <v>102</v>
      </c>
      <c r="C185" s="16">
        <f t="shared" si="10"/>
        <v>0</v>
      </c>
      <c r="D185" s="16">
        <f t="shared" si="10"/>
        <v>201</v>
      </c>
      <c r="E185" s="16">
        <f t="shared" si="10"/>
        <v>1</v>
      </c>
      <c r="F185" s="16">
        <f t="shared" si="10"/>
        <v>143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02041</v>
      </c>
      <c r="B186" s="16">
        <f t="shared" si="10"/>
        <v>102</v>
      </c>
      <c r="C186" s="16">
        <f t="shared" si="10"/>
        <v>0</v>
      </c>
      <c r="D186" s="16">
        <f t="shared" si="10"/>
        <v>204</v>
      </c>
      <c r="E186" s="16">
        <f t="shared" si="10"/>
        <v>1</v>
      </c>
      <c r="F186" s="16">
        <f t="shared" si="10"/>
        <v>143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02071</v>
      </c>
      <c r="B187" s="16">
        <f t="shared" si="10"/>
        <v>102</v>
      </c>
      <c r="C187" s="16">
        <f t="shared" si="10"/>
        <v>0</v>
      </c>
      <c r="D187" s="16">
        <f t="shared" si="10"/>
        <v>207</v>
      </c>
      <c r="E187" s="16">
        <f t="shared" si="10"/>
        <v>1</v>
      </c>
      <c r="F187" s="16">
        <f t="shared" si="10"/>
        <v>143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02101</v>
      </c>
      <c r="B188" s="16">
        <f t="shared" si="10"/>
        <v>102</v>
      </c>
      <c r="C188" s="16">
        <f t="shared" si="10"/>
        <v>0</v>
      </c>
      <c r="D188" s="16">
        <f t="shared" si="10"/>
        <v>210</v>
      </c>
      <c r="E188" s="16">
        <f t="shared" si="10"/>
        <v>1</v>
      </c>
      <c r="F188" s="16">
        <f t="shared" si="10"/>
        <v>143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02131</v>
      </c>
      <c r="B189" s="16">
        <f t="shared" si="10"/>
        <v>102</v>
      </c>
      <c r="C189" s="16">
        <f t="shared" si="10"/>
        <v>0</v>
      </c>
      <c r="D189" s="16">
        <f t="shared" si="10"/>
        <v>213</v>
      </c>
      <c r="E189" s="16">
        <f t="shared" si="10"/>
        <v>1</v>
      </c>
      <c r="F189" s="16">
        <f t="shared" si="10"/>
        <v>143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02161</v>
      </c>
      <c r="B190" s="16">
        <f t="shared" si="10"/>
        <v>102</v>
      </c>
      <c r="C190" s="16">
        <f t="shared" si="10"/>
        <v>0</v>
      </c>
      <c r="D190" s="16">
        <f t="shared" si="10"/>
        <v>216</v>
      </c>
      <c r="E190" s="16">
        <f t="shared" si="10"/>
        <v>1</v>
      </c>
      <c r="F190" s="16">
        <f t="shared" si="10"/>
        <v>143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02191</v>
      </c>
      <c r="B191" s="16">
        <f t="shared" si="10"/>
        <v>102</v>
      </c>
      <c r="C191" s="16">
        <f t="shared" si="10"/>
        <v>0</v>
      </c>
      <c r="D191" s="16">
        <f t="shared" si="10"/>
        <v>219</v>
      </c>
      <c r="E191" s="16">
        <f t="shared" si="10"/>
        <v>1</v>
      </c>
      <c r="F191" s="16">
        <f t="shared" si="10"/>
        <v>143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02221</v>
      </c>
      <c r="B192" s="16">
        <f t="shared" si="10"/>
        <v>102</v>
      </c>
      <c r="C192" s="16">
        <f t="shared" si="10"/>
        <v>0</v>
      </c>
      <c r="D192" s="16">
        <f t="shared" si="10"/>
        <v>222</v>
      </c>
      <c r="E192" s="16">
        <f t="shared" si="10"/>
        <v>1</v>
      </c>
      <c r="F192" s="16">
        <f t="shared" si="10"/>
        <v>143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02251</v>
      </c>
      <c r="B193" s="16">
        <f t="shared" si="10"/>
        <v>102</v>
      </c>
      <c r="C193" s="16">
        <f t="shared" si="10"/>
        <v>0</v>
      </c>
      <c r="D193" s="16">
        <f t="shared" si="10"/>
        <v>225</v>
      </c>
      <c r="E193" s="16">
        <f t="shared" si="10"/>
        <v>1</v>
      </c>
      <c r="F193" s="16">
        <f t="shared" si="10"/>
        <v>143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02281</v>
      </c>
      <c r="B194" s="16">
        <f t="shared" si="10"/>
        <v>102</v>
      </c>
      <c r="C194" s="16">
        <f t="shared" si="10"/>
        <v>0</v>
      </c>
      <c r="D194" s="16">
        <f t="shared" si="10"/>
        <v>228</v>
      </c>
      <c r="E194" s="16">
        <f t="shared" si="10"/>
        <v>1</v>
      </c>
      <c r="F194" s="16">
        <f t="shared" si="10"/>
        <v>61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21" si="11">INDIRECT(ADDRESS(ROW()+$A$1,COLUMN(),1,TRUE,$C$1))</f>
        <v>02311</v>
      </c>
      <c r="B195" s="16">
        <f t="shared" si="10"/>
        <v>102</v>
      </c>
      <c r="C195" s="16">
        <f t="shared" si="10"/>
        <v>0</v>
      </c>
      <c r="D195" s="16">
        <f t="shared" si="10"/>
        <v>231</v>
      </c>
      <c r="E195" s="16">
        <f t="shared" si="10"/>
        <v>1</v>
      </c>
      <c r="F195" s="16">
        <f t="shared" si="10"/>
        <v>61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02341</v>
      </c>
      <c r="B196" s="16">
        <f t="shared" si="10"/>
        <v>102</v>
      </c>
      <c r="C196" s="16">
        <f t="shared" si="10"/>
        <v>0</v>
      </c>
      <c r="D196" s="16">
        <f t="shared" si="10"/>
        <v>234</v>
      </c>
      <c r="E196" s="16">
        <f t="shared" si="10"/>
        <v>1</v>
      </c>
      <c r="F196" s="16">
        <f t="shared" si="10"/>
        <v>61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02371</v>
      </c>
      <c r="B197" s="16">
        <f t="shared" si="10"/>
        <v>102</v>
      </c>
      <c r="C197" s="16">
        <f t="shared" si="10"/>
        <v>0</v>
      </c>
      <c r="D197" s="16">
        <f t="shared" si="10"/>
        <v>237</v>
      </c>
      <c r="E197" s="16">
        <f t="shared" si="10"/>
        <v>1</v>
      </c>
      <c r="F197" s="16">
        <f t="shared" si="10"/>
        <v>61</v>
      </c>
      <c r="G197" s="16">
        <f t="shared" ref="B197:K221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02381</v>
      </c>
      <c r="B198" s="16">
        <f t="shared" si="12"/>
        <v>102</v>
      </c>
      <c r="C198" s="16">
        <f t="shared" si="12"/>
        <v>0</v>
      </c>
      <c r="D198" s="16">
        <f t="shared" si="12"/>
        <v>238</v>
      </c>
      <c r="E198" s="16">
        <f t="shared" si="12"/>
        <v>1</v>
      </c>
      <c r="F198" s="16">
        <f t="shared" si="12"/>
        <v>704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02391</v>
      </c>
      <c r="B199" s="16">
        <f t="shared" si="12"/>
        <v>102</v>
      </c>
      <c r="C199" s="16">
        <f t="shared" si="12"/>
        <v>0</v>
      </c>
      <c r="D199" s="16">
        <f t="shared" si="12"/>
        <v>239</v>
      </c>
      <c r="E199" s="16">
        <f t="shared" si="12"/>
        <v>1</v>
      </c>
      <c r="F199" s="16">
        <f t="shared" si="12"/>
        <v>255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02401</v>
      </c>
      <c r="B200" s="16">
        <f t="shared" si="12"/>
        <v>102</v>
      </c>
      <c r="C200" s="16">
        <f t="shared" si="12"/>
        <v>0</v>
      </c>
      <c r="D200" s="16">
        <f t="shared" si="12"/>
        <v>240</v>
      </c>
      <c r="E200" s="16">
        <f t="shared" si="12"/>
        <v>1</v>
      </c>
      <c r="F200" s="16">
        <f t="shared" si="12"/>
        <v>61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02411</v>
      </c>
      <c r="B201" s="16">
        <f t="shared" si="12"/>
        <v>102</v>
      </c>
      <c r="C201" s="16">
        <f t="shared" si="12"/>
        <v>0</v>
      </c>
      <c r="D201" s="16">
        <f t="shared" si="12"/>
        <v>241</v>
      </c>
      <c r="E201" s="16">
        <f t="shared" si="12"/>
        <v>1</v>
      </c>
      <c r="F201" s="16">
        <f t="shared" si="12"/>
        <v>704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02421</v>
      </c>
      <c r="B202" s="16">
        <f t="shared" si="12"/>
        <v>102</v>
      </c>
      <c r="C202" s="16">
        <f t="shared" si="12"/>
        <v>0</v>
      </c>
      <c r="D202" s="16">
        <f t="shared" si="12"/>
        <v>242</v>
      </c>
      <c r="E202" s="16">
        <f t="shared" si="12"/>
        <v>1</v>
      </c>
      <c r="F202" s="16">
        <f t="shared" si="12"/>
        <v>255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02431</v>
      </c>
      <c r="B203" s="16">
        <f t="shared" si="12"/>
        <v>102</v>
      </c>
      <c r="C203" s="16">
        <f t="shared" si="12"/>
        <v>0</v>
      </c>
      <c r="D203" s="16">
        <f t="shared" si="12"/>
        <v>243</v>
      </c>
      <c r="E203" s="16">
        <f t="shared" si="12"/>
        <v>1</v>
      </c>
      <c r="F203" s="16">
        <f t="shared" si="12"/>
        <v>61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02441</v>
      </c>
      <c r="B204" s="16">
        <f t="shared" si="12"/>
        <v>102</v>
      </c>
      <c r="C204" s="16">
        <f t="shared" si="12"/>
        <v>0</v>
      </c>
      <c r="D204" s="16">
        <f t="shared" si="12"/>
        <v>244</v>
      </c>
      <c r="E204" s="16">
        <f t="shared" si="12"/>
        <v>1</v>
      </c>
      <c r="F204" s="16">
        <f t="shared" si="12"/>
        <v>704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02451</v>
      </c>
      <c r="B205" s="16">
        <f t="shared" si="12"/>
        <v>102</v>
      </c>
      <c r="C205" s="16">
        <f t="shared" si="12"/>
        <v>0</v>
      </c>
      <c r="D205" s="16">
        <f t="shared" si="12"/>
        <v>245</v>
      </c>
      <c r="E205" s="16">
        <f t="shared" si="12"/>
        <v>1</v>
      </c>
      <c r="F205" s="16">
        <f t="shared" si="12"/>
        <v>255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02461</v>
      </c>
      <c r="B206" s="16">
        <f t="shared" si="12"/>
        <v>102</v>
      </c>
      <c r="C206" s="16">
        <f t="shared" si="12"/>
        <v>0</v>
      </c>
      <c r="D206" s="16">
        <f t="shared" si="12"/>
        <v>246</v>
      </c>
      <c r="E206" s="16">
        <f t="shared" si="12"/>
        <v>1</v>
      </c>
      <c r="F206" s="16">
        <f t="shared" si="12"/>
        <v>61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02471</v>
      </c>
      <c r="B207" s="16">
        <f t="shared" si="12"/>
        <v>102</v>
      </c>
      <c r="C207" s="16">
        <f t="shared" si="12"/>
        <v>0</v>
      </c>
      <c r="D207" s="16">
        <f t="shared" si="12"/>
        <v>247</v>
      </c>
      <c r="E207" s="16">
        <f t="shared" si="12"/>
        <v>1</v>
      </c>
      <c r="F207" s="16">
        <f t="shared" si="12"/>
        <v>704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02481</v>
      </c>
      <c r="B208" s="16">
        <f t="shared" si="12"/>
        <v>102</v>
      </c>
      <c r="C208" s="16">
        <f t="shared" si="12"/>
        <v>0</v>
      </c>
      <c r="D208" s="16">
        <f t="shared" si="12"/>
        <v>248</v>
      </c>
      <c r="E208" s="16">
        <f t="shared" si="12"/>
        <v>1</v>
      </c>
      <c r="F208" s="16">
        <f t="shared" si="12"/>
        <v>255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02491</v>
      </c>
      <c r="B209" s="16">
        <f t="shared" si="12"/>
        <v>102</v>
      </c>
      <c r="C209" s="16">
        <f t="shared" si="12"/>
        <v>0</v>
      </c>
      <c r="D209" s="16">
        <f t="shared" si="12"/>
        <v>249</v>
      </c>
      <c r="E209" s="16">
        <f t="shared" si="12"/>
        <v>1</v>
      </c>
      <c r="F209" s="16">
        <f t="shared" si="12"/>
        <v>61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02501</v>
      </c>
      <c r="B210" s="16">
        <f t="shared" si="12"/>
        <v>102</v>
      </c>
      <c r="C210" s="16">
        <f t="shared" si="12"/>
        <v>0</v>
      </c>
      <c r="D210" s="16">
        <f t="shared" si="12"/>
        <v>250</v>
      </c>
      <c r="E210" s="16">
        <f t="shared" si="12"/>
        <v>1</v>
      </c>
      <c r="F210" s="16">
        <f t="shared" si="12"/>
        <v>5865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02511</v>
      </c>
      <c r="B211" s="16">
        <f t="shared" si="12"/>
        <v>102</v>
      </c>
      <c r="C211" s="16">
        <f t="shared" si="12"/>
        <v>0</v>
      </c>
      <c r="D211" s="16">
        <f t="shared" si="12"/>
        <v>251</v>
      </c>
      <c r="E211" s="16">
        <f t="shared" si="12"/>
        <v>1</v>
      </c>
      <c r="F211" s="16">
        <f t="shared" si="12"/>
        <v>2125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02521</v>
      </c>
      <c r="B212" s="16">
        <f t="shared" si="12"/>
        <v>102</v>
      </c>
      <c r="C212" s="16">
        <f t="shared" si="12"/>
        <v>0</v>
      </c>
      <c r="D212" s="16">
        <f t="shared" si="12"/>
        <v>252</v>
      </c>
      <c r="E212" s="16">
        <f t="shared" si="12"/>
        <v>1</v>
      </c>
      <c r="F212" s="16">
        <f t="shared" si="12"/>
        <v>510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02531</v>
      </c>
      <c r="B213" s="16">
        <f t="shared" si="12"/>
        <v>102</v>
      </c>
      <c r="C213" s="16">
        <f t="shared" si="12"/>
        <v>0</v>
      </c>
      <c r="D213" s="16">
        <f t="shared" si="12"/>
        <v>253</v>
      </c>
      <c r="E213" s="16">
        <f t="shared" si="12"/>
        <v>1</v>
      </c>
      <c r="F213" s="16">
        <f t="shared" si="12"/>
        <v>5865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02541</v>
      </c>
      <c r="B214" s="16">
        <f t="shared" si="12"/>
        <v>102</v>
      </c>
      <c r="C214" s="16">
        <f t="shared" si="12"/>
        <v>0</v>
      </c>
      <c r="D214" s="16">
        <f t="shared" si="12"/>
        <v>254</v>
      </c>
      <c r="E214" s="16">
        <f t="shared" si="12"/>
        <v>1</v>
      </c>
      <c r="F214" s="16">
        <f t="shared" si="12"/>
        <v>2125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02551</v>
      </c>
      <c r="B215" s="16">
        <f t="shared" si="12"/>
        <v>102</v>
      </c>
      <c r="C215" s="16">
        <f t="shared" si="12"/>
        <v>0</v>
      </c>
      <c r="D215" s="16">
        <f t="shared" si="12"/>
        <v>255</v>
      </c>
      <c r="E215" s="16">
        <f t="shared" si="12"/>
        <v>1</v>
      </c>
      <c r="F215" s="16">
        <f t="shared" si="12"/>
        <v>510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02561</v>
      </c>
      <c r="B216" s="16">
        <f t="shared" si="12"/>
        <v>102</v>
      </c>
      <c r="C216" s="16">
        <f t="shared" si="12"/>
        <v>0</v>
      </c>
      <c r="D216" s="16">
        <f t="shared" si="12"/>
        <v>256</v>
      </c>
      <c r="E216" s="16">
        <f t="shared" si="12"/>
        <v>1</v>
      </c>
      <c r="F216" s="16">
        <f t="shared" si="12"/>
        <v>5865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02571</v>
      </c>
      <c r="B217" s="16">
        <f t="shared" si="12"/>
        <v>102</v>
      </c>
      <c r="C217" s="16">
        <f t="shared" si="12"/>
        <v>0</v>
      </c>
      <c r="D217" s="16">
        <f t="shared" si="12"/>
        <v>257</v>
      </c>
      <c r="E217" s="16">
        <f t="shared" si="12"/>
        <v>1</v>
      </c>
      <c r="F217" s="16">
        <f t="shared" si="12"/>
        <v>2125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02581</v>
      </c>
      <c r="B218" s="16">
        <f t="shared" si="12"/>
        <v>102</v>
      </c>
      <c r="C218" s="16">
        <f t="shared" si="12"/>
        <v>0</v>
      </c>
      <c r="D218" s="16">
        <f t="shared" si="12"/>
        <v>258</v>
      </c>
      <c r="E218" s="16">
        <f t="shared" si="12"/>
        <v>1</v>
      </c>
      <c r="F218" s="16">
        <f t="shared" si="12"/>
        <v>510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02591</v>
      </c>
      <c r="B219" s="16">
        <f t="shared" si="12"/>
        <v>102</v>
      </c>
      <c r="C219" s="16">
        <f t="shared" si="12"/>
        <v>0</v>
      </c>
      <c r="D219" s="16">
        <f t="shared" si="12"/>
        <v>259</v>
      </c>
      <c r="E219" s="16">
        <f t="shared" si="12"/>
        <v>1</v>
      </c>
      <c r="F219" s="16">
        <f t="shared" si="12"/>
        <v>5865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02601</v>
      </c>
      <c r="B220" s="16">
        <f t="shared" si="12"/>
        <v>102</v>
      </c>
      <c r="C220" s="16">
        <f t="shared" si="12"/>
        <v>0</v>
      </c>
      <c r="D220" s="16">
        <f t="shared" si="12"/>
        <v>260</v>
      </c>
      <c r="E220" s="16">
        <f t="shared" si="12"/>
        <v>1</v>
      </c>
      <c r="F220" s="16">
        <f t="shared" si="12"/>
        <v>2125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02611</v>
      </c>
      <c r="B221" s="16">
        <f t="shared" si="12"/>
        <v>102</v>
      </c>
      <c r="C221" s="16">
        <f t="shared" si="12"/>
        <v>0</v>
      </c>
      <c r="D221" s="16">
        <f t="shared" si="12"/>
        <v>261</v>
      </c>
      <c r="E221" s="16">
        <f t="shared" si="12"/>
        <v>1</v>
      </c>
      <c r="F221" s="16">
        <f t="shared" si="12"/>
        <v>510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K22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0" sqref="D30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gacha_unit_tables_103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103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2570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103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2570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103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2570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103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2570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103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2570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103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2570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103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2570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103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2570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103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2570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103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2570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103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2570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103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2570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103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2570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103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2570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103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2570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103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2570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103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2570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103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2570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103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2570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103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2570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103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2938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103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2938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103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2938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103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2938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103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2938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103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2938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103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2938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103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2938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103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2938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103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2938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103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2938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103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2938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103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2938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103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2938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103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2938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103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2938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103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2938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103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2938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103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2938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103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2938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103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1020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103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1020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103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1020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103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1020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103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612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103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612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103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612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103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612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103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612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103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612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103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612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103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612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103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612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103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612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103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612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103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612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103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612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103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612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103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612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103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612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103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612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103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612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103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612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103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612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103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113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103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113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103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113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103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113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103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1020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103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113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103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1020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103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113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103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1020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103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113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103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1020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103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113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103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1020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103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113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103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1020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103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113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103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1020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103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113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103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1020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103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113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01281</v>
      </c>
      <c r="B87" s="16">
        <f t="shared" si="5"/>
        <v>103</v>
      </c>
      <c r="C87" s="16">
        <f t="shared" si="5"/>
        <v>0</v>
      </c>
      <c r="D87" s="16">
        <f t="shared" si="5"/>
        <v>128</v>
      </c>
      <c r="E87" s="16">
        <f t="shared" si="5"/>
        <v>1</v>
      </c>
      <c r="F87" s="16">
        <f t="shared" si="5"/>
        <v>1924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01301</v>
      </c>
      <c r="B88" s="16">
        <f t="shared" si="5"/>
        <v>103</v>
      </c>
      <c r="C88" s="16">
        <f t="shared" si="5"/>
        <v>0</v>
      </c>
      <c r="D88" s="16">
        <f t="shared" si="5"/>
        <v>130</v>
      </c>
      <c r="E88" s="16">
        <f t="shared" si="5"/>
        <v>1</v>
      </c>
      <c r="F88" s="16">
        <f t="shared" si="5"/>
        <v>1924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01321</v>
      </c>
      <c r="B89" s="16">
        <f t="shared" si="5"/>
        <v>103</v>
      </c>
      <c r="C89" s="16">
        <f t="shared" si="5"/>
        <v>0</v>
      </c>
      <c r="D89" s="16">
        <f t="shared" si="5"/>
        <v>132</v>
      </c>
      <c r="E89" s="16">
        <f t="shared" si="5"/>
        <v>1</v>
      </c>
      <c r="F89" s="16">
        <f t="shared" si="5"/>
        <v>1924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01341</v>
      </c>
      <c r="B90" s="16">
        <f t="shared" si="5"/>
        <v>103</v>
      </c>
      <c r="C90" s="16">
        <f t="shared" si="5"/>
        <v>0</v>
      </c>
      <c r="D90" s="16">
        <f t="shared" si="5"/>
        <v>134</v>
      </c>
      <c r="E90" s="16">
        <f t="shared" si="5"/>
        <v>1</v>
      </c>
      <c r="F90" s="16">
        <f t="shared" si="5"/>
        <v>1924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01361</v>
      </c>
      <c r="B91" s="16">
        <f t="shared" si="5"/>
        <v>103</v>
      </c>
      <c r="C91" s="16">
        <f t="shared" si="5"/>
        <v>0</v>
      </c>
      <c r="D91" s="16">
        <f t="shared" si="5"/>
        <v>136</v>
      </c>
      <c r="E91" s="16">
        <f t="shared" si="5"/>
        <v>1</v>
      </c>
      <c r="F91" s="16">
        <f t="shared" si="5"/>
        <v>1924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01381</v>
      </c>
      <c r="B92" s="16">
        <f t="shared" si="5"/>
        <v>103</v>
      </c>
      <c r="C92" s="16">
        <f t="shared" si="5"/>
        <v>0</v>
      </c>
      <c r="D92" s="16">
        <f t="shared" si="5"/>
        <v>138</v>
      </c>
      <c r="E92" s="16">
        <f t="shared" si="5"/>
        <v>1</v>
      </c>
      <c r="F92" s="16">
        <f t="shared" si="5"/>
        <v>1924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01401</v>
      </c>
      <c r="B93" s="16">
        <f t="shared" si="5"/>
        <v>103</v>
      </c>
      <c r="C93" s="16">
        <f t="shared" si="5"/>
        <v>0</v>
      </c>
      <c r="D93" s="16">
        <f t="shared" si="5"/>
        <v>140</v>
      </c>
      <c r="E93" s="16">
        <f t="shared" si="5"/>
        <v>1</v>
      </c>
      <c r="F93" s="16">
        <f t="shared" si="5"/>
        <v>1924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01421</v>
      </c>
      <c r="B94" s="16">
        <f t="shared" si="5"/>
        <v>103</v>
      </c>
      <c r="C94" s="16">
        <f t="shared" si="5"/>
        <v>0</v>
      </c>
      <c r="D94" s="16">
        <f t="shared" si="5"/>
        <v>142</v>
      </c>
      <c r="E94" s="16">
        <f t="shared" si="5"/>
        <v>1</v>
      </c>
      <c r="F94" s="16">
        <f t="shared" si="5"/>
        <v>1924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01441</v>
      </c>
      <c r="B95" s="16">
        <f t="shared" si="5"/>
        <v>103</v>
      </c>
      <c r="C95" s="16">
        <f t="shared" si="5"/>
        <v>0</v>
      </c>
      <c r="D95" s="16">
        <f t="shared" si="5"/>
        <v>144</v>
      </c>
      <c r="E95" s="16">
        <f t="shared" si="5"/>
        <v>1</v>
      </c>
      <c r="F95" s="16">
        <f t="shared" si="5"/>
        <v>1924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01461</v>
      </c>
      <c r="B96" s="16">
        <f t="shared" si="6"/>
        <v>103</v>
      </c>
      <c r="C96" s="16">
        <f t="shared" si="6"/>
        <v>0</v>
      </c>
      <c r="D96" s="16">
        <f t="shared" si="6"/>
        <v>146</v>
      </c>
      <c r="E96" s="16">
        <f t="shared" si="6"/>
        <v>1</v>
      </c>
      <c r="F96" s="16">
        <f t="shared" si="6"/>
        <v>1924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01481</v>
      </c>
      <c r="B97" s="16">
        <f t="shared" si="6"/>
        <v>103</v>
      </c>
      <c r="C97" s="16">
        <f t="shared" si="6"/>
        <v>0</v>
      </c>
      <c r="D97" s="16">
        <f t="shared" si="6"/>
        <v>148</v>
      </c>
      <c r="E97" s="16">
        <f t="shared" si="6"/>
        <v>1</v>
      </c>
      <c r="F97" s="16">
        <f t="shared" si="6"/>
        <v>1924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01501</v>
      </c>
      <c r="B98" s="16">
        <f t="shared" si="6"/>
        <v>103</v>
      </c>
      <c r="C98" s="16">
        <f t="shared" si="6"/>
        <v>0</v>
      </c>
      <c r="D98" s="16">
        <f t="shared" si="6"/>
        <v>150</v>
      </c>
      <c r="E98" s="16">
        <f t="shared" si="6"/>
        <v>1</v>
      </c>
      <c r="F98" s="16">
        <f t="shared" si="6"/>
        <v>1924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01521</v>
      </c>
      <c r="B99" s="16">
        <f t="shared" si="6"/>
        <v>103</v>
      </c>
      <c r="C99" s="16">
        <f t="shared" si="6"/>
        <v>0</v>
      </c>
      <c r="D99" s="16">
        <f t="shared" si="6"/>
        <v>152</v>
      </c>
      <c r="E99" s="16">
        <f t="shared" si="6"/>
        <v>1</v>
      </c>
      <c r="F99" s="16">
        <f t="shared" si="6"/>
        <v>1924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01541</v>
      </c>
      <c r="B100" s="16">
        <f t="shared" si="6"/>
        <v>103</v>
      </c>
      <c r="C100" s="16">
        <f t="shared" si="6"/>
        <v>0</v>
      </c>
      <c r="D100" s="16">
        <f t="shared" si="6"/>
        <v>154</v>
      </c>
      <c r="E100" s="16">
        <f t="shared" si="6"/>
        <v>1</v>
      </c>
      <c r="F100" s="16">
        <f t="shared" si="6"/>
        <v>1924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01561</v>
      </c>
      <c r="B101" s="16">
        <f t="shared" si="6"/>
        <v>103</v>
      </c>
      <c r="C101" s="16">
        <f t="shared" si="6"/>
        <v>0</v>
      </c>
      <c r="D101" s="16">
        <f t="shared" si="6"/>
        <v>156</v>
      </c>
      <c r="E101" s="16">
        <f t="shared" si="6"/>
        <v>1</v>
      </c>
      <c r="F101" s="16">
        <f t="shared" si="6"/>
        <v>1924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01581</v>
      </c>
      <c r="B102" s="16">
        <f t="shared" si="6"/>
        <v>103</v>
      </c>
      <c r="C102" s="16">
        <f t="shared" si="6"/>
        <v>0</v>
      </c>
      <c r="D102" s="16">
        <f t="shared" si="6"/>
        <v>158</v>
      </c>
      <c r="E102" s="16">
        <f t="shared" si="6"/>
        <v>1</v>
      </c>
      <c r="F102" s="16">
        <f t="shared" si="6"/>
        <v>1924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01601</v>
      </c>
      <c r="B103" s="16">
        <f t="shared" si="6"/>
        <v>103</v>
      </c>
      <c r="C103" s="16">
        <f t="shared" si="6"/>
        <v>0</v>
      </c>
      <c r="D103" s="16">
        <f t="shared" si="6"/>
        <v>160</v>
      </c>
      <c r="E103" s="16">
        <f t="shared" si="6"/>
        <v>1</v>
      </c>
      <c r="F103" s="16">
        <f t="shared" si="6"/>
        <v>1924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01621</v>
      </c>
      <c r="B104" s="16">
        <f t="shared" si="6"/>
        <v>103</v>
      </c>
      <c r="C104" s="16">
        <f t="shared" si="6"/>
        <v>0</v>
      </c>
      <c r="D104" s="16">
        <f t="shared" si="6"/>
        <v>162</v>
      </c>
      <c r="E104" s="16">
        <f t="shared" si="6"/>
        <v>1</v>
      </c>
      <c r="F104" s="16">
        <f t="shared" si="6"/>
        <v>1924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01641</v>
      </c>
      <c r="B105" s="16">
        <f t="shared" si="6"/>
        <v>103</v>
      </c>
      <c r="C105" s="16">
        <f t="shared" si="6"/>
        <v>0</v>
      </c>
      <c r="D105" s="16">
        <f t="shared" si="6"/>
        <v>164</v>
      </c>
      <c r="E105" s="16">
        <f t="shared" si="6"/>
        <v>1</v>
      </c>
      <c r="F105" s="16">
        <f t="shared" si="6"/>
        <v>1924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01661</v>
      </c>
      <c r="B106" s="16">
        <f t="shared" si="6"/>
        <v>103</v>
      </c>
      <c r="C106" s="16">
        <f t="shared" si="6"/>
        <v>0</v>
      </c>
      <c r="D106" s="16">
        <f t="shared" si="6"/>
        <v>166</v>
      </c>
      <c r="E106" s="16">
        <f t="shared" si="6"/>
        <v>1</v>
      </c>
      <c r="F106" s="16">
        <f t="shared" si="6"/>
        <v>2018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01691</v>
      </c>
      <c r="B107" s="16">
        <f t="shared" si="6"/>
        <v>103</v>
      </c>
      <c r="C107" s="16">
        <f t="shared" si="6"/>
        <v>0</v>
      </c>
      <c r="D107" s="16">
        <f t="shared" si="6"/>
        <v>169</v>
      </c>
      <c r="E107" s="16">
        <f t="shared" si="6"/>
        <v>1</v>
      </c>
      <c r="F107" s="16">
        <f t="shared" si="6"/>
        <v>2018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01721</v>
      </c>
      <c r="B108" s="16">
        <f t="shared" si="6"/>
        <v>103</v>
      </c>
      <c r="C108" s="16">
        <f t="shared" si="6"/>
        <v>0</v>
      </c>
      <c r="D108" s="16">
        <f t="shared" si="6"/>
        <v>172</v>
      </c>
      <c r="E108" s="16">
        <f t="shared" si="6"/>
        <v>1</v>
      </c>
      <c r="F108" s="16">
        <f t="shared" si="6"/>
        <v>2018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01751</v>
      </c>
      <c r="B109" s="16">
        <f t="shared" si="6"/>
        <v>103</v>
      </c>
      <c r="C109" s="16">
        <f t="shared" si="6"/>
        <v>0</v>
      </c>
      <c r="D109" s="16">
        <f t="shared" si="6"/>
        <v>175</v>
      </c>
      <c r="E109" s="16">
        <f t="shared" si="6"/>
        <v>1</v>
      </c>
      <c r="F109" s="16">
        <f t="shared" si="6"/>
        <v>2018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01781</v>
      </c>
      <c r="B110" s="16">
        <f t="shared" si="6"/>
        <v>103</v>
      </c>
      <c r="C110" s="16">
        <f t="shared" si="6"/>
        <v>0</v>
      </c>
      <c r="D110" s="16">
        <f t="shared" si="6"/>
        <v>178</v>
      </c>
      <c r="E110" s="16">
        <f t="shared" si="6"/>
        <v>1</v>
      </c>
      <c r="F110" s="16">
        <f t="shared" si="6"/>
        <v>2018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01811</v>
      </c>
      <c r="B111" s="16">
        <f t="shared" si="6"/>
        <v>103</v>
      </c>
      <c r="C111" s="16">
        <f t="shared" si="6"/>
        <v>0</v>
      </c>
      <c r="D111" s="16">
        <f t="shared" si="6"/>
        <v>181</v>
      </c>
      <c r="E111" s="16">
        <f t="shared" si="6"/>
        <v>1</v>
      </c>
      <c r="F111" s="16">
        <f t="shared" si="6"/>
        <v>2018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01841</v>
      </c>
      <c r="B112" s="16">
        <f t="shared" si="6"/>
        <v>103</v>
      </c>
      <c r="C112" s="16">
        <f t="shared" si="6"/>
        <v>0</v>
      </c>
      <c r="D112" s="16">
        <f t="shared" si="6"/>
        <v>184</v>
      </c>
      <c r="E112" s="16">
        <f t="shared" si="6"/>
        <v>1</v>
      </c>
      <c r="F112" s="16">
        <f t="shared" si="6"/>
        <v>2018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01871</v>
      </c>
      <c r="B113" s="16">
        <f t="shared" si="6"/>
        <v>103</v>
      </c>
      <c r="C113" s="16">
        <f t="shared" si="6"/>
        <v>0</v>
      </c>
      <c r="D113" s="16">
        <f t="shared" si="6"/>
        <v>187</v>
      </c>
      <c r="E113" s="16">
        <f t="shared" si="6"/>
        <v>1</v>
      </c>
      <c r="F113" s="16">
        <f t="shared" si="6"/>
        <v>2018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01901</v>
      </c>
      <c r="B114" s="16">
        <f t="shared" si="6"/>
        <v>103</v>
      </c>
      <c r="C114" s="16">
        <f t="shared" si="6"/>
        <v>0</v>
      </c>
      <c r="D114" s="16">
        <f t="shared" si="6"/>
        <v>190</v>
      </c>
      <c r="E114" s="16">
        <f t="shared" si="6"/>
        <v>1</v>
      </c>
      <c r="F114" s="16">
        <f t="shared" si="6"/>
        <v>2018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01931</v>
      </c>
      <c r="B115" s="16">
        <f t="shared" si="6"/>
        <v>103</v>
      </c>
      <c r="C115" s="16">
        <f t="shared" si="6"/>
        <v>0</v>
      </c>
      <c r="D115" s="16">
        <f t="shared" si="6"/>
        <v>193</v>
      </c>
      <c r="E115" s="16">
        <f t="shared" si="6"/>
        <v>1</v>
      </c>
      <c r="F115" s="16">
        <f t="shared" si="6"/>
        <v>2018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01961</v>
      </c>
      <c r="B116" s="16">
        <f t="shared" si="6"/>
        <v>103</v>
      </c>
      <c r="C116" s="16">
        <f t="shared" si="6"/>
        <v>0</v>
      </c>
      <c r="D116" s="16">
        <f t="shared" si="6"/>
        <v>196</v>
      </c>
      <c r="E116" s="16">
        <f t="shared" si="6"/>
        <v>1</v>
      </c>
      <c r="F116" s="16">
        <f t="shared" si="6"/>
        <v>2018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01991</v>
      </c>
      <c r="B117" s="16">
        <f t="shared" si="6"/>
        <v>103</v>
      </c>
      <c r="C117" s="16">
        <f t="shared" si="6"/>
        <v>0</v>
      </c>
      <c r="D117" s="16">
        <f t="shared" si="6"/>
        <v>199</v>
      </c>
      <c r="E117" s="16">
        <f t="shared" si="6"/>
        <v>1</v>
      </c>
      <c r="F117" s="16">
        <f t="shared" si="6"/>
        <v>2018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02021</v>
      </c>
      <c r="B118" s="16">
        <f t="shared" si="6"/>
        <v>103</v>
      </c>
      <c r="C118" s="16">
        <f t="shared" si="6"/>
        <v>0</v>
      </c>
      <c r="D118" s="16">
        <f t="shared" si="6"/>
        <v>202</v>
      </c>
      <c r="E118" s="16">
        <f t="shared" si="6"/>
        <v>1</v>
      </c>
      <c r="F118" s="16">
        <f t="shared" si="6"/>
        <v>2018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02051</v>
      </c>
      <c r="B119" s="16">
        <f t="shared" si="6"/>
        <v>103</v>
      </c>
      <c r="C119" s="16">
        <f t="shared" si="6"/>
        <v>0</v>
      </c>
      <c r="D119" s="16">
        <f t="shared" si="6"/>
        <v>205</v>
      </c>
      <c r="E119" s="16">
        <f t="shared" si="6"/>
        <v>1</v>
      </c>
      <c r="F119" s="16">
        <f t="shared" si="6"/>
        <v>2018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02081</v>
      </c>
      <c r="B120" s="16">
        <f t="shared" si="6"/>
        <v>103</v>
      </c>
      <c r="C120" s="16">
        <f t="shared" si="6"/>
        <v>0</v>
      </c>
      <c r="D120" s="16">
        <f t="shared" si="6"/>
        <v>208</v>
      </c>
      <c r="E120" s="16">
        <f t="shared" si="6"/>
        <v>1</v>
      </c>
      <c r="F120" s="16">
        <f t="shared" si="6"/>
        <v>2018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02111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103</v>
      </c>
      <c r="C121" s="16">
        <f t="shared" si="7"/>
        <v>0</v>
      </c>
      <c r="D121" s="16">
        <f t="shared" si="7"/>
        <v>211</v>
      </c>
      <c r="E121" s="16">
        <f t="shared" si="7"/>
        <v>1</v>
      </c>
      <c r="F121" s="16">
        <f t="shared" si="7"/>
        <v>2018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02141</v>
      </c>
      <c r="B122" s="16">
        <f t="shared" si="7"/>
        <v>103</v>
      </c>
      <c r="C122" s="16">
        <f t="shared" si="7"/>
        <v>0</v>
      </c>
      <c r="D122" s="16">
        <f t="shared" si="7"/>
        <v>214</v>
      </c>
      <c r="E122" s="16">
        <f t="shared" si="7"/>
        <v>1</v>
      </c>
      <c r="F122" s="16">
        <f t="shared" si="7"/>
        <v>2018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02171</v>
      </c>
      <c r="B123" s="16">
        <f t="shared" si="7"/>
        <v>103</v>
      </c>
      <c r="C123" s="16">
        <f t="shared" si="7"/>
        <v>0</v>
      </c>
      <c r="D123" s="16">
        <f t="shared" si="7"/>
        <v>217</v>
      </c>
      <c r="E123" s="16">
        <f t="shared" si="7"/>
        <v>1</v>
      </c>
      <c r="F123" s="16">
        <f t="shared" si="7"/>
        <v>2018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02201</v>
      </c>
      <c r="B124" s="16">
        <f t="shared" si="7"/>
        <v>103</v>
      </c>
      <c r="C124" s="16">
        <f t="shared" si="7"/>
        <v>0</v>
      </c>
      <c r="D124" s="16">
        <f t="shared" si="7"/>
        <v>220</v>
      </c>
      <c r="E124" s="16">
        <f t="shared" si="7"/>
        <v>1</v>
      </c>
      <c r="F124" s="16">
        <f t="shared" si="7"/>
        <v>2018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02231</v>
      </c>
      <c r="B125" s="16">
        <f t="shared" si="7"/>
        <v>103</v>
      </c>
      <c r="C125" s="16">
        <f t="shared" si="7"/>
        <v>0</v>
      </c>
      <c r="D125" s="16">
        <f t="shared" si="7"/>
        <v>223</v>
      </c>
      <c r="E125" s="16">
        <f t="shared" si="7"/>
        <v>1</v>
      </c>
      <c r="F125" s="16">
        <f t="shared" si="7"/>
        <v>2018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02261</v>
      </c>
      <c r="B126" s="16">
        <f t="shared" si="7"/>
        <v>103</v>
      </c>
      <c r="C126" s="16">
        <f t="shared" si="7"/>
        <v>0</v>
      </c>
      <c r="D126" s="16">
        <f t="shared" si="7"/>
        <v>226</v>
      </c>
      <c r="E126" s="16">
        <f t="shared" si="7"/>
        <v>1</v>
      </c>
      <c r="F126" s="16">
        <f t="shared" si="7"/>
        <v>1251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02291</v>
      </c>
      <c r="B127" s="16">
        <f t="shared" si="7"/>
        <v>103</v>
      </c>
      <c r="C127" s="16">
        <f t="shared" si="7"/>
        <v>0</v>
      </c>
      <c r="D127" s="16">
        <f t="shared" si="7"/>
        <v>229</v>
      </c>
      <c r="E127" s="16">
        <f t="shared" si="7"/>
        <v>1</v>
      </c>
      <c r="F127" s="16">
        <f t="shared" si="7"/>
        <v>1251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02321</v>
      </c>
      <c r="B128" s="16">
        <f t="shared" si="7"/>
        <v>103</v>
      </c>
      <c r="C128" s="16">
        <f t="shared" si="7"/>
        <v>0</v>
      </c>
      <c r="D128" s="16">
        <f t="shared" si="7"/>
        <v>232</v>
      </c>
      <c r="E128" s="16">
        <f t="shared" si="7"/>
        <v>1</v>
      </c>
      <c r="F128" s="16">
        <f t="shared" si="7"/>
        <v>1251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02351</v>
      </c>
      <c r="B129" s="16">
        <f t="shared" si="7"/>
        <v>103</v>
      </c>
      <c r="C129" s="16">
        <f t="shared" si="7"/>
        <v>0</v>
      </c>
      <c r="D129" s="16">
        <f t="shared" si="7"/>
        <v>235</v>
      </c>
      <c r="E129" s="16">
        <f t="shared" si="7"/>
        <v>1</v>
      </c>
      <c r="F129" s="16">
        <f t="shared" si="7"/>
        <v>1251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01271</v>
      </c>
      <c r="B130" s="16">
        <f t="shared" si="7"/>
        <v>103</v>
      </c>
      <c r="C130" s="16">
        <f t="shared" si="7"/>
        <v>0</v>
      </c>
      <c r="D130" s="16">
        <f t="shared" si="7"/>
        <v>127</v>
      </c>
      <c r="E130" s="16">
        <f t="shared" si="7"/>
        <v>1</v>
      </c>
      <c r="F130" s="16">
        <f t="shared" si="7"/>
        <v>697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01291</v>
      </c>
      <c r="B131" s="16">
        <f t="shared" si="7"/>
        <v>103</v>
      </c>
      <c r="C131" s="16">
        <f t="shared" si="7"/>
        <v>0</v>
      </c>
      <c r="D131" s="16">
        <f t="shared" si="7"/>
        <v>129</v>
      </c>
      <c r="E131" s="16">
        <f t="shared" si="7"/>
        <v>1</v>
      </c>
      <c r="F131" s="16">
        <f t="shared" si="7"/>
        <v>697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01311</v>
      </c>
      <c r="B132" s="16">
        <f t="shared" si="7"/>
        <v>103</v>
      </c>
      <c r="C132" s="16">
        <f t="shared" si="7"/>
        <v>0</v>
      </c>
      <c r="D132" s="16">
        <f t="shared" si="7"/>
        <v>131</v>
      </c>
      <c r="E132" s="16">
        <f t="shared" si="7"/>
        <v>1</v>
      </c>
      <c r="F132" s="16">
        <f t="shared" si="7"/>
        <v>697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01331</v>
      </c>
      <c r="B133" s="16">
        <f t="shared" si="7"/>
        <v>103</v>
      </c>
      <c r="C133" s="16">
        <f t="shared" si="7"/>
        <v>0</v>
      </c>
      <c r="D133" s="16">
        <f t="shared" si="7"/>
        <v>133</v>
      </c>
      <c r="E133" s="16">
        <f t="shared" si="7"/>
        <v>1</v>
      </c>
      <c r="F133" s="16">
        <f t="shared" si="7"/>
        <v>697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01351</v>
      </c>
      <c r="B134" s="16">
        <f t="shared" si="7"/>
        <v>103</v>
      </c>
      <c r="C134" s="16">
        <f t="shared" si="7"/>
        <v>0</v>
      </c>
      <c r="D134" s="16">
        <f t="shared" si="7"/>
        <v>135</v>
      </c>
      <c r="E134" s="16">
        <f t="shared" si="7"/>
        <v>1</v>
      </c>
      <c r="F134" s="16">
        <f t="shared" si="7"/>
        <v>697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01371</v>
      </c>
      <c r="B135" s="16">
        <f t="shared" si="7"/>
        <v>103</v>
      </c>
      <c r="C135" s="16">
        <f t="shared" si="7"/>
        <v>0</v>
      </c>
      <c r="D135" s="16">
        <f t="shared" si="7"/>
        <v>137</v>
      </c>
      <c r="E135" s="16">
        <f t="shared" si="7"/>
        <v>1</v>
      </c>
      <c r="F135" s="16">
        <f t="shared" si="7"/>
        <v>697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01391</v>
      </c>
      <c r="B136" s="16">
        <f t="shared" si="7"/>
        <v>103</v>
      </c>
      <c r="C136" s="16">
        <f t="shared" si="7"/>
        <v>0</v>
      </c>
      <c r="D136" s="16">
        <f t="shared" si="7"/>
        <v>139</v>
      </c>
      <c r="E136" s="16">
        <f t="shared" si="7"/>
        <v>1</v>
      </c>
      <c r="F136" s="16">
        <f t="shared" si="7"/>
        <v>697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01411</v>
      </c>
      <c r="B137" s="16">
        <f t="shared" si="7"/>
        <v>103</v>
      </c>
      <c r="C137" s="16">
        <f t="shared" si="7"/>
        <v>0</v>
      </c>
      <c r="D137" s="16">
        <f t="shared" si="7"/>
        <v>141</v>
      </c>
      <c r="E137" s="16">
        <f t="shared" si="7"/>
        <v>1</v>
      </c>
      <c r="F137" s="16">
        <f t="shared" si="7"/>
        <v>697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01431</v>
      </c>
      <c r="B138" s="16">
        <f t="shared" si="7"/>
        <v>103</v>
      </c>
      <c r="C138" s="16">
        <f t="shared" si="7"/>
        <v>0</v>
      </c>
      <c r="D138" s="16">
        <f t="shared" si="7"/>
        <v>143</v>
      </c>
      <c r="E138" s="16">
        <f t="shared" si="7"/>
        <v>1</v>
      </c>
      <c r="F138" s="16">
        <f t="shared" si="7"/>
        <v>697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01451</v>
      </c>
      <c r="B139" s="16">
        <f t="shared" si="7"/>
        <v>103</v>
      </c>
      <c r="C139" s="16">
        <f t="shared" si="7"/>
        <v>0</v>
      </c>
      <c r="D139" s="16">
        <f t="shared" si="7"/>
        <v>145</v>
      </c>
      <c r="E139" s="16">
        <f t="shared" si="7"/>
        <v>1</v>
      </c>
      <c r="F139" s="16">
        <f t="shared" si="7"/>
        <v>697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01471</v>
      </c>
      <c r="B140" s="16">
        <f t="shared" si="7"/>
        <v>103</v>
      </c>
      <c r="C140" s="16">
        <f t="shared" si="7"/>
        <v>0</v>
      </c>
      <c r="D140" s="16">
        <f t="shared" si="7"/>
        <v>147</v>
      </c>
      <c r="E140" s="16">
        <f t="shared" si="7"/>
        <v>1</v>
      </c>
      <c r="F140" s="16">
        <f t="shared" si="7"/>
        <v>697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01491</v>
      </c>
      <c r="B141" s="16">
        <f t="shared" si="7"/>
        <v>103</v>
      </c>
      <c r="C141" s="16">
        <f t="shared" si="7"/>
        <v>0</v>
      </c>
      <c r="D141" s="16">
        <f t="shared" si="7"/>
        <v>149</v>
      </c>
      <c r="E141" s="16">
        <f t="shared" si="7"/>
        <v>1</v>
      </c>
      <c r="F141" s="16">
        <f t="shared" si="7"/>
        <v>697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01511</v>
      </c>
      <c r="B142" s="16">
        <f t="shared" si="7"/>
        <v>103</v>
      </c>
      <c r="C142" s="16">
        <f t="shared" si="7"/>
        <v>0</v>
      </c>
      <c r="D142" s="16">
        <f t="shared" si="7"/>
        <v>151</v>
      </c>
      <c r="E142" s="16">
        <f t="shared" si="7"/>
        <v>1</v>
      </c>
      <c r="F142" s="16">
        <f t="shared" si="7"/>
        <v>697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01531</v>
      </c>
      <c r="B143" s="16">
        <f t="shared" si="7"/>
        <v>103</v>
      </c>
      <c r="C143" s="16">
        <f t="shared" si="7"/>
        <v>0</v>
      </c>
      <c r="D143" s="16">
        <f t="shared" si="7"/>
        <v>153</v>
      </c>
      <c r="E143" s="16">
        <f t="shared" si="7"/>
        <v>1</v>
      </c>
      <c r="F143" s="16">
        <f t="shared" si="7"/>
        <v>697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01551</v>
      </c>
      <c r="B144" s="16">
        <f t="shared" si="7"/>
        <v>103</v>
      </c>
      <c r="C144" s="16">
        <f t="shared" si="7"/>
        <v>0</v>
      </c>
      <c r="D144" s="16">
        <f t="shared" si="7"/>
        <v>155</v>
      </c>
      <c r="E144" s="16">
        <f t="shared" si="7"/>
        <v>1</v>
      </c>
      <c r="F144" s="16">
        <f t="shared" si="7"/>
        <v>697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01571</v>
      </c>
      <c r="B145" s="16">
        <f t="shared" si="7"/>
        <v>103</v>
      </c>
      <c r="C145" s="16">
        <f t="shared" si="7"/>
        <v>0</v>
      </c>
      <c r="D145" s="16">
        <f t="shared" si="7"/>
        <v>157</v>
      </c>
      <c r="E145" s="16">
        <f t="shared" si="7"/>
        <v>1</v>
      </c>
      <c r="F145" s="16">
        <f t="shared" si="7"/>
        <v>697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01591</v>
      </c>
      <c r="B146" s="16">
        <f t="shared" si="7"/>
        <v>103</v>
      </c>
      <c r="C146" s="16">
        <f t="shared" si="7"/>
        <v>0</v>
      </c>
      <c r="D146" s="16">
        <f t="shared" si="7"/>
        <v>159</v>
      </c>
      <c r="E146" s="16">
        <f t="shared" si="7"/>
        <v>1</v>
      </c>
      <c r="F146" s="16">
        <f t="shared" si="7"/>
        <v>697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01611</v>
      </c>
      <c r="B147" s="16">
        <f t="shared" si="9"/>
        <v>103</v>
      </c>
      <c r="C147" s="16">
        <f t="shared" si="9"/>
        <v>0</v>
      </c>
      <c r="D147" s="16">
        <f t="shared" si="9"/>
        <v>161</v>
      </c>
      <c r="E147" s="16">
        <f t="shared" si="9"/>
        <v>1</v>
      </c>
      <c r="F147" s="16">
        <f t="shared" si="9"/>
        <v>697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01631</v>
      </c>
      <c r="B148" s="16">
        <f t="shared" si="9"/>
        <v>103</v>
      </c>
      <c r="C148" s="16">
        <f t="shared" si="9"/>
        <v>0</v>
      </c>
      <c r="D148" s="16">
        <f t="shared" si="9"/>
        <v>163</v>
      </c>
      <c r="E148" s="16">
        <f t="shared" si="9"/>
        <v>1</v>
      </c>
      <c r="F148" s="16">
        <f t="shared" si="9"/>
        <v>697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01651</v>
      </c>
      <c r="B149" s="16">
        <f t="shared" si="9"/>
        <v>103</v>
      </c>
      <c r="C149" s="16">
        <f t="shared" si="9"/>
        <v>0</v>
      </c>
      <c r="D149" s="16">
        <f t="shared" si="9"/>
        <v>165</v>
      </c>
      <c r="E149" s="16">
        <f t="shared" si="9"/>
        <v>1</v>
      </c>
      <c r="F149" s="16">
        <f t="shared" si="9"/>
        <v>697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01671</v>
      </c>
      <c r="B150" s="16">
        <f t="shared" si="9"/>
        <v>103</v>
      </c>
      <c r="C150" s="16">
        <f t="shared" si="9"/>
        <v>0</v>
      </c>
      <c r="D150" s="16">
        <f t="shared" si="9"/>
        <v>167</v>
      </c>
      <c r="E150" s="16">
        <f t="shared" si="9"/>
        <v>1</v>
      </c>
      <c r="F150" s="16">
        <f t="shared" si="9"/>
        <v>731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01701</v>
      </c>
      <c r="B151" s="16">
        <f t="shared" si="9"/>
        <v>103</v>
      </c>
      <c r="C151" s="16">
        <f t="shared" si="9"/>
        <v>0</v>
      </c>
      <c r="D151" s="16">
        <f t="shared" si="9"/>
        <v>170</v>
      </c>
      <c r="E151" s="16">
        <f t="shared" si="9"/>
        <v>1</v>
      </c>
      <c r="F151" s="16">
        <f t="shared" si="9"/>
        <v>731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01731</v>
      </c>
      <c r="B152" s="16">
        <f t="shared" si="9"/>
        <v>103</v>
      </c>
      <c r="C152" s="16">
        <f t="shared" si="9"/>
        <v>0</v>
      </c>
      <c r="D152" s="16">
        <f t="shared" si="9"/>
        <v>173</v>
      </c>
      <c r="E152" s="16">
        <f t="shared" si="9"/>
        <v>1</v>
      </c>
      <c r="F152" s="16">
        <f t="shared" si="9"/>
        <v>731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01761</v>
      </c>
      <c r="B153" s="16">
        <f t="shared" si="9"/>
        <v>103</v>
      </c>
      <c r="C153" s="16">
        <f t="shared" si="9"/>
        <v>0</v>
      </c>
      <c r="D153" s="16">
        <f t="shared" si="9"/>
        <v>176</v>
      </c>
      <c r="E153" s="16">
        <f t="shared" si="9"/>
        <v>1</v>
      </c>
      <c r="F153" s="16">
        <f t="shared" si="9"/>
        <v>731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01791</v>
      </c>
      <c r="B154" s="16">
        <f t="shared" si="9"/>
        <v>103</v>
      </c>
      <c r="C154" s="16">
        <f t="shared" si="9"/>
        <v>0</v>
      </c>
      <c r="D154" s="16">
        <f t="shared" si="9"/>
        <v>179</v>
      </c>
      <c r="E154" s="16">
        <f t="shared" si="9"/>
        <v>1</v>
      </c>
      <c r="F154" s="16">
        <f t="shared" si="9"/>
        <v>731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01821</v>
      </c>
      <c r="B155" s="16">
        <f t="shared" si="9"/>
        <v>103</v>
      </c>
      <c r="C155" s="16">
        <f t="shared" si="9"/>
        <v>0</v>
      </c>
      <c r="D155" s="16">
        <f t="shared" si="9"/>
        <v>182</v>
      </c>
      <c r="E155" s="16">
        <f t="shared" si="9"/>
        <v>1</v>
      </c>
      <c r="F155" s="16">
        <f t="shared" si="9"/>
        <v>731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01851</v>
      </c>
      <c r="B156" s="16">
        <f t="shared" si="9"/>
        <v>103</v>
      </c>
      <c r="C156" s="16">
        <f t="shared" si="9"/>
        <v>0</v>
      </c>
      <c r="D156" s="16">
        <f t="shared" si="9"/>
        <v>185</v>
      </c>
      <c r="E156" s="16">
        <f t="shared" si="9"/>
        <v>1</v>
      </c>
      <c r="F156" s="16">
        <f t="shared" si="9"/>
        <v>731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01881</v>
      </c>
      <c r="B157" s="16">
        <f t="shared" si="9"/>
        <v>103</v>
      </c>
      <c r="C157" s="16">
        <f t="shared" si="9"/>
        <v>0</v>
      </c>
      <c r="D157" s="16">
        <f t="shared" si="9"/>
        <v>188</v>
      </c>
      <c r="E157" s="16">
        <f t="shared" si="9"/>
        <v>1</v>
      </c>
      <c r="F157" s="16">
        <f t="shared" si="9"/>
        <v>731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01911</v>
      </c>
      <c r="B158" s="16">
        <f t="shared" si="9"/>
        <v>103</v>
      </c>
      <c r="C158" s="16">
        <f t="shared" si="9"/>
        <v>0</v>
      </c>
      <c r="D158" s="16">
        <f t="shared" si="9"/>
        <v>191</v>
      </c>
      <c r="E158" s="16">
        <f t="shared" si="9"/>
        <v>1</v>
      </c>
      <c r="F158" s="16">
        <f t="shared" si="9"/>
        <v>731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01941</v>
      </c>
      <c r="B159" s="16">
        <f t="shared" si="9"/>
        <v>103</v>
      </c>
      <c r="C159" s="16">
        <f t="shared" si="9"/>
        <v>0</v>
      </c>
      <c r="D159" s="16">
        <f t="shared" si="9"/>
        <v>194</v>
      </c>
      <c r="E159" s="16">
        <f t="shared" si="9"/>
        <v>1</v>
      </c>
      <c r="F159" s="16">
        <f t="shared" si="9"/>
        <v>731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01971</v>
      </c>
      <c r="B160" s="16">
        <f t="shared" si="9"/>
        <v>103</v>
      </c>
      <c r="C160" s="16">
        <f t="shared" si="9"/>
        <v>0</v>
      </c>
      <c r="D160" s="16">
        <f t="shared" si="9"/>
        <v>197</v>
      </c>
      <c r="E160" s="16">
        <f t="shared" si="9"/>
        <v>1</v>
      </c>
      <c r="F160" s="16">
        <f t="shared" si="9"/>
        <v>731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02001</v>
      </c>
      <c r="B161" s="16">
        <f t="shared" si="9"/>
        <v>103</v>
      </c>
      <c r="C161" s="16">
        <f t="shared" si="9"/>
        <v>0</v>
      </c>
      <c r="D161" s="16">
        <f t="shared" si="9"/>
        <v>200</v>
      </c>
      <c r="E161" s="16">
        <f t="shared" si="9"/>
        <v>1</v>
      </c>
      <c r="F161" s="16">
        <f t="shared" si="9"/>
        <v>731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02031</v>
      </c>
      <c r="B162" s="16">
        <f t="shared" si="9"/>
        <v>103</v>
      </c>
      <c r="C162" s="16">
        <f t="shared" si="9"/>
        <v>0</v>
      </c>
      <c r="D162" s="16">
        <f t="shared" si="9"/>
        <v>203</v>
      </c>
      <c r="E162" s="16">
        <f t="shared" si="9"/>
        <v>1</v>
      </c>
      <c r="F162" s="16">
        <f t="shared" si="9"/>
        <v>731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02061</v>
      </c>
      <c r="B163" s="16">
        <f t="shared" si="9"/>
        <v>103</v>
      </c>
      <c r="C163" s="16">
        <f t="shared" si="9"/>
        <v>0</v>
      </c>
      <c r="D163" s="16">
        <f t="shared" si="9"/>
        <v>206</v>
      </c>
      <c r="E163" s="16">
        <f t="shared" si="9"/>
        <v>1</v>
      </c>
      <c r="F163" s="16">
        <f t="shared" si="9"/>
        <v>731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02091</v>
      </c>
      <c r="B164" s="16">
        <f t="shared" si="9"/>
        <v>103</v>
      </c>
      <c r="C164" s="16">
        <f t="shared" si="9"/>
        <v>0</v>
      </c>
      <c r="D164" s="16">
        <f t="shared" si="9"/>
        <v>209</v>
      </c>
      <c r="E164" s="16">
        <f t="shared" si="9"/>
        <v>1</v>
      </c>
      <c r="F164" s="16">
        <f t="shared" si="9"/>
        <v>731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02121</v>
      </c>
      <c r="B165" s="16">
        <f t="shared" si="9"/>
        <v>103</v>
      </c>
      <c r="C165" s="16">
        <f t="shared" si="9"/>
        <v>0</v>
      </c>
      <c r="D165" s="16">
        <f t="shared" si="9"/>
        <v>212</v>
      </c>
      <c r="E165" s="16">
        <f t="shared" si="9"/>
        <v>1</v>
      </c>
      <c r="F165" s="16">
        <f t="shared" si="9"/>
        <v>731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02151</v>
      </c>
      <c r="B166" s="16">
        <f t="shared" si="9"/>
        <v>103</v>
      </c>
      <c r="C166" s="16">
        <f t="shared" si="9"/>
        <v>0</v>
      </c>
      <c r="D166" s="16">
        <f t="shared" si="9"/>
        <v>215</v>
      </c>
      <c r="E166" s="16">
        <f t="shared" si="9"/>
        <v>1</v>
      </c>
      <c r="F166" s="16">
        <f t="shared" si="9"/>
        <v>731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02181</v>
      </c>
      <c r="B167" s="16">
        <f t="shared" si="9"/>
        <v>103</v>
      </c>
      <c r="C167" s="16">
        <f t="shared" si="9"/>
        <v>0</v>
      </c>
      <c r="D167" s="16">
        <f t="shared" si="9"/>
        <v>218</v>
      </c>
      <c r="E167" s="16">
        <f t="shared" si="9"/>
        <v>1</v>
      </c>
      <c r="F167" s="16">
        <f t="shared" si="9"/>
        <v>731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02211</v>
      </c>
      <c r="B168" s="16">
        <f t="shared" si="9"/>
        <v>103</v>
      </c>
      <c r="C168" s="16">
        <f t="shared" si="9"/>
        <v>0</v>
      </c>
      <c r="D168" s="16">
        <f t="shared" si="9"/>
        <v>221</v>
      </c>
      <c r="E168" s="16">
        <f t="shared" si="9"/>
        <v>1</v>
      </c>
      <c r="F168" s="16">
        <f t="shared" si="9"/>
        <v>731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02241</v>
      </c>
      <c r="B169" s="16">
        <f t="shared" si="9"/>
        <v>103</v>
      </c>
      <c r="C169" s="16">
        <f t="shared" si="9"/>
        <v>0</v>
      </c>
      <c r="D169" s="16">
        <f t="shared" si="9"/>
        <v>224</v>
      </c>
      <c r="E169" s="16">
        <f t="shared" si="9"/>
        <v>1</v>
      </c>
      <c r="F169" s="16">
        <f t="shared" si="9"/>
        <v>731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02271</v>
      </c>
      <c r="B170" s="16">
        <f t="shared" si="9"/>
        <v>103</v>
      </c>
      <c r="C170" s="16">
        <f t="shared" si="9"/>
        <v>0</v>
      </c>
      <c r="D170" s="16">
        <f t="shared" si="9"/>
        <v>227</v>
      </c>
      <c r="E170" s="16">
        <f t="shared" si="9"/>
        <v>1</v>
      </c>
      <c r="F170" s="16">
        <f t="shared" si="9"/>
        <v>453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02301</v>
      </c>
      <c r="B171" s="16">
        <f t="shared" si="9"/>
        <v>103</v>
      </c>
      <c r="C171" s="16">
        <f t="shared" si="9"/>
        <v>0</v>
      </c>
      <c r="D171" s="16">
        <f t="shared" si="9"/>
        <v>230</v>
      </c>
      <c r="E171" s="16">
        <f t="shared" si="9"/>
        <v>1</v>
      </c>
      <c r="F171" s="16">
        <f t="shared" si="9"/>
        <v>453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02331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103</v>
      </c>
      <c r="C172" s="16">
        <f t="shared" si="10"/>
        <v>0</v>
      </c>
      <c r="D172" s="16">
        <f t="shared" si="10"/>
        <v>233</v>
      </c>
      <c r="E172" s="16">
        <f t="shared" si="10"/>
        <v>1</v>
      </c>
      <c r="F172" s="16">
        <f t="shared" si="10"/>
        <v>453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02361</v>
      </c>
      <c r="B173" s="16">
        <f t="shared" si="10"/>
        <v>103</v>
      </c>
      <c r="C173" s="16">
        <f t="shared" si="10"/>
        <v>0</v>
      </c>
      <c r="D173" s="16">
        <f t="shared" si="10"/>
        <v>236</v>
      </c>
      <c r="E173" s="16">
        <f t="shared" si="10"/>
        <v>1</v>
      </c>
      <c r="F173" s="16">
        <f t="shared" si="10"/>
        <v>453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01681</v>
      </c>
      <c r="B174" s="16">
        <f t="shared" si="10"/>
        <v>103</v>
      </c>
      <c r="C174" s="16">
        <f t="shared" si="10"/>
        <v>0</v>
      </c>
      <c r="D174" s="16">
        <f t="shared" si="10"/>
        <v>168</v>
      </c>
      <c r="E174" s="16">
        <f t="shared" si="10"/>
        <v>1</v>
      </c>
      <c r="F174" s="16">
        <f t="shared" si="10"/>
        <v>343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01711</v>
      </c>
      <c r="B175" s="16">
        <f t="shared" si="10"/>
        <v>103</v>
      </c>
      <c r="C175" s="16">
        <f t="shared" si="10"/>
        <v>0</v>
      </c>
      <c r="D175" s="16">
        <f t="shared" si="10"/>
        <v>171</v>
      </c>
      <c r="E175" s="16">
        <f t="shared" si="10"/>
        <v>1</v>
      </c>
      <c r="F175" s="16">
        <f t="shared" si="10"/>
        <v>343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01741</v>
      </c>
      <c r="B176" s="16">
        <f t="shared" si="10"/>
        <v>103</v>
      </c>
      <c r="C176" s="16">
        <f t="shared" si="10"/>
        <v>0</v>
      </c>
      <c r="D176" s="16">
        <f t="shared" si="10"/>
        <v>174</v>
      </c>
      <c r="E176" s="16">
        <f t="shared" si="10"/>
        <v>1</v>
      </c>
      <c r="F176" s="16">
        <f t="shared" si="10"/>
        <v>343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01771</v>
      </c>
      <c r="B177" s="16">
        <f t="shared" si="10"/>
        <v>103</v>
      </c>
      <c r="C177" s="16">
        <f t="shared" si="10"/>
        <v>0</v>
      </c>
      <c r="D177" s="16">
        <f t="shared" si="10"/>
        <v>177</v>
      </c>
      <c r="E177" s="16">
        <f t="shared" si="10"/>
        <v>1</v>
      </c>
      <c r="F177" s="16">
        <f t="shared" si="10"/>
        <v>343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01801</v>
      </c>
      <c r="B178" s="16">
        <f t="shared" si="10"/>
        <v>103</v>
      </c>
      <c r="C178" s="16">
        <f t="shared" si="10"/>
        <v>0</v>
      </c>
      <c r="D178" s="16">
        <f t="shared" si="10"/>
        <v>180</v>
      </c>
      <c r="E178" s="16">
        <f t="shared" si="10"/>
        <v>1</v>
      </c>
      <c r="F178" s="16">
        <f t="shared" si="10"/>
        <v>343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01831</v>
      </c>
      <c r="B179" s="16">
        <f t="shared" si="10"/>
        <v>103</v>
      </c>
      <c r="C179" s="16">
        <f t="shared" si="10"/>
        <v>0</v>
      </c>
      <c r="D179" s="16">
        <f t="shared" si="10"/>
        <v>183</v>
      </c>
      <c r="E179" s="16">
        <f t="shared" si="10"/>
        <v>1</v>
      </c>
      <c r="F179" s="16">
        <f t="shared" si="10"/>
        <v>343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01861</v>
      </c>
      <c r="B180" s="16">
        <f t="shared" si="10"/>
        <v>103</v>
      </c>
      <c r="C180" s="16">
        <f t="shared" si="10"/>
        <v>0</v>
      </c>
      <c r="D180" s="16">
        <f t="shared" si="10"/>
        <v>186</v>
      </c>
      <c r="E180" s="16">
        <f t="shared" si="10"/>
        <v>1</v>
      </c>
      <c r="F180" s="16">
        <f t="shared" si="10"/>
        <v>343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01891</v>
      </c>
      <c r="B181" s="16">
        <f t="shared" si="10"/>
        <v>103</v>
      </c>
      <c r="C181" s="16">
        <f t="shared" si="10"/>
        <v>0</v>
      </c>
      <c r="D181" s="16">
        <f t="shared" si="10"/>
        <v>189</v>
      </c>
      <c r="E181" s="16">
        <f t="shared" si="10"/>
        <v>1</v>
      </c>
      <c r="F181" s="16">
        <f t="shared" si="10"/>
        <v>343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01921</v>
      </c>
      <c r="B182" s="16">
        <f t="shared" si="10"/>
        <v>103</v>
      </c>
      <c r="C182" s="16">
        <f t="shared" si="10"/>
        <v>0</v>
      </c>
      <c r="D182" s="16">
        <f t="shared" si="10"/>
        <v>192</v>
      </c>
      <c r="E182" s="16">
        <f t="shared" si="10"/>
        <v>1</v>
      </c>
      <c r="F182" s="16">
        <f t="shared" si="10"/>
        <v>343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01951</v>
      </c>
      <c r="B183" s="16">
        <f t="shared" si="10"/>
        <v>103</v>
      </c>
      <c r="C183" s="16">
        <f t="shared" si="10"/>
        <v>0</v>
      </c>
      <c r="D183" s="16">
        <f t="shared" si="10"/>
        <v>195</v>
      </c>
      <c r="E183" s="16">
        <f t="shared" si="10"/>
        <v>1</v>
      </c>
      <c r="F183" s="16">
        <f t="shared" si="10"/>
        <v>343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01981</v>
      </c>
      <c r="B184" s="16">
        <f t="shared" si="10"/>
        <v>103</v>
      </c>
      <c r="C184" s="16">
        <f t="shared" si="10"/>
        <v>0</v>
      </c>
      <c r="D184" s="16">
        <f t="shared" si="10"/>
        <v>198</v>
      </c>
      <c r="E184" s="16">
        <f t="shared" si="10"/>
        <v>1</v>
      </c>
      <c r="F184" s="16">
        <f t="shared" si="10"/>
        <v>343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02011</v>
      </c>
      <c r="B185" s="16">
        <f t="shared" si="10"/>
        <v>103</v>
      </c>
      <c r="C185" s="16">
        <f t="shared" si="10"/>
        <v>0</v>
      </c>
      <c r="D185" s="16">
        <f t="shared" si="10"/>
        <v>201</v>
      </c>
      <c r="E185" s="16">
        <f t="shared" si="10"/>
        <v>1</v>
      </c>
      <c r="F185" s="16">
        <f t="shared" si="10"/>
        <v>343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02041</v>
      </c>
      <c r="B186" s="16">
        <f t="shared" si="10"/>
        <v>103</v>
      </c>
      <c r="C186" s="16">
        <f t="shared" si="10"/>
        <v>0</v>
      </c>
      <c r="D186" s="16">
        <f t="shared" si="10"/>
        <v>204</v>
      </c>
      <c r="E186" s="16">
        <f t="shared" si="10"/>
        <v>1</v>
      </c>
      <c r="F186" s="16">
        <f t="shared" si="10"/>
        <v>343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02071</v>
      </c>
      <c r="B187" s="16">
        <f t="shared" si="10"/>
        <v>103</v>
      </c>
      <c r="C187" s="16">
        <f t="shared" si="10"/>
        <v>0</v>
      </c>
      <c r="D187" s="16">
        <f t="shared" si="10"/>
        <v>207</v>
      </c>
      <c r="E187" s="16">
        <f t="shared" si="10"/>
        <v>1</v>
      </c>
      <c r="F187" s="16">
        <f t="shared" si="10"/>
        <v>343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02101</v>
      </c>
      <c r="B188" s="16">
        <f t="shared" si="10"/>
        <v>103</v>
      </c>
      <c r="C188" s="16">
        <f t="shared" si="10"/>
        <v>0</v>
      </c>
      <c r="D188" s="16">
        <f t="shared" si="10"/>
        <v>210</v>
      </c>
      <c r="E188" s="16">
        <f t="shared" si="10"/>
        <v>1</v>
      </c>
      <c r="F188" s="16">
        <f t="shared" si="10"/>
        <v>343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02131</v>
      </c>
      <c r="B189" s="16">
        <f t="shared" si="10"/>
        <v>103</v>
      </c>
      <c r="C189" s="16">
        <f t="shared" si="10"/>
        <v>0</v>
      </c>
      <c r="D189" s="16">
        <f t="shared" si="10"/>
        <v>213</v>
      </c>
      <c r="E189" s="16">
        <f t="shared" si="10"/>
        <v>1</v>
      </c>
      <c r="F189" s="16">
        <f t="shared" si="10"/>
        <v>343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02161</v>
      </c>
      <c r="B190" s="16">
        <f t="shared" si="10"/>
        <v>103</v>
      </c>
      <c r="C190" s="16">
        <f t="shared" si="10"/>
        <v>0</v>
      </c>
      <c r="D190" s="16">
        <f t="shared" si="10"/>
        <v>216</v>
      </c>
      <c r="E190" s="16">
        <f t="shared" si="10"/>
        <v>1</v>
      </c>
      <c r="F190" s="16">
        <f t="shared" si="10"/>
        <v>343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02191</v>
      </c>
      <c r="B191" s="16">
        <f t="shared" si="10"/>
        <v>103</v>
      </c>
      <c r="C191" s="16">
        <f t="shared" si="10"/>
        <v>0</v>
      </c>
      <c r="D191" s="16">
        <f t="shared" si="10"/>
        <v>219</v>
      </c>
      <c r="E191" s="16">
        <f t="shared" si="10"/>
        <v>1</v>
      </c>
      <c r="F191" s="16">
        <f t="shared" si="10"/>
        <v>343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02221</v>
      </c>
      <c r="B192" s="16">
        <f t="shared" si="10"/>
        <v>103</v>
      </c>
      <c r="C192" s="16">
        <f t="shared" si="10"/>
        <v>0</v>
      </c>
      <c r="D192" s="16">
        <f t="shared" si="10"/>
        <v>222</v>
      </c>
      <c r="E192" s="16">
        <f t="shared" si="10"/>
        <v>1</v>
      </c>
      <c r="F192" s="16">
        <f t="shared" si="10"/>
        <v>343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02251</v>
      </c>
      <c r="B193" s="16">
        <f t="shared" si="10"/>
        <v>103</v>
      </c>
      <c r="C193" s="16">
        <f t="shared" si="10"/>
        <v>0</v>
      </c>
      <c r="D193" s="16">
        <f t="shared" si="10"/>
        <v>225</v>
      </c>
      <c r="E193" s="16">
        <f t="shared" si="10"/>
        <v>1</v>
      </c>
      <c r="F193" s="16">
        <f t="shared" si="10"/>
        <v>343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02281</v>
      </c>
      <c r="B194" s="16">
        <f t="shared" si="10"/>
        <v>103</v>
      </c>
      <c r="C194" s="16">
        <f t="shared" si="10"/>
        <v>0</v>
      </c>
      <c r="D194" s="16">
        <f t="shared" si="10"/>
        <v>228</v>
      </c>
      <c r="E194" s="16">
        <f t="shared" si="10"/>
        <v>1</v>
      </c>
      <c r="F194" s="16">
        <f t="shared" si="10"/>
        <v>109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21" si="11">INDIRECT(ADDRESS(ROW()+$A$1,COLUMN(),1,TRUE,$C$1))</f>
        <v>02311</v>
      </c>
      <c r="B195" s="16">
        <f t="shared" si="10"/>
        <v>103</v>
      </c>
      <c r="C195" s="16">
        <f t="shared" si="10"/>
        <v>0</v>
      </c>
      <c r="D195" s="16">
        <f t="shared" si="10"/>
        <v>231</v>
      </c>
      <c r="E195" s="16">
        <f t="shared" si="10"/>
        <v>1</v>
      </c>
      <c r="F195" s="16">
        <f t="shared" si="10"/>
        <v>109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02341</v>
      </c>
      <c r="B196" s="16">
        <f t="shared" si="10"/>
        <v>103</v>
      </c>
      <c r="C196" s="16">
        <f t="shared" si="10"/>
        <v>0</v>
      </c>
      <c r="D196" s="16">
        <f t="shared" si="10"/>
        <v>234</v>
      </c>
      <c r="E196" s="16">
        <f t="shared" si="10"/>
        <v>1</v>
      </c>
      <c r="F196" s="16">
        <f t="shared" si="10"/>
        <v>109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02371</v>
      </c>
      <c r="B197" s="16">
        <f t="shared" si="10"/>
        <v>103</v>
      </c>
      <c r="C197" s="16">
        <f t="shared" si="10"/>
        <v>0</v>
      </c>
      <c r="D197" s="16">
        <f t="shared" si="10"/>
        <v>237</v>
      </c>
      <c r="E197" s="16">
        <f t="shared" si="10"/>
        <v>1</v>
      </c>
      <c r="F197" s="16">
        <f t="shared" si="10"/>
        <v>109</v>
      </c>
      <c r="G197" s="16">
        <f t="shared" ref="B197:K221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02381</v>
      </c>
      <c r="B198" s="16">
        <f t="shared" si="12"/>
        <v>103</v>
      </c>
      <c r="C198" s="16">
        <f t="shared" si="12"/>
        <v>0</v>
      </c>
      <c r="D198" s="16">
        <f t="shared" si="12"/>
        <v>238</v>
      </c>
      <c r="E198" s="16">
        <f t="shared" si="12"/>
        <v>1</v>
      </c>
      <c r="F198" s="16">
        <f t="shared" si="12"/>
        <v>1251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02391</v>
      </c>
      <c r="B199" s="16">
        <f t="shared" si="12"/>
        <v>103</v>
      </c>
      <c r="C199" s="16">
        <f t="shared" si="12"/>
        <v>0</v>
      </c>
      <c r="D199" s="16">
        <f t="shared" si="12"/>
        <v>239</v>
      </c>
      <c r="E199" s="16">
        <f t="shared" si="12"/>
        <v>1</v>
      </c>
      <c r="F199" s="16">
        <f t="shared" si="12"/>
        <v>453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02401</v>
      </c>
      <c r="B200" s="16">
        <f t="shared" si="12"/>
        <v>103</v>
      </c>
      <c r="C200" s="16">
        <f t="shared" si="12"/>
        <v>0</v>
      </c>
      <c r="D200" s="16">
        <f t="shared" si="12"/>
        <v>240</v>
      </c>
      <c r="E200" s="16">
        <f t="shared" si="12"/>
        <v>1</v>
      </c>
      <c r="F200" s="16">
        <f t="shared" si="12"/>
        <v>109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02411</v>
      </c>
      <c r="B201" s="16">
        <f t="shared" si="12"/>
        <v>103</v>
      </c>
      <c r="C201" s="16">
        <f t="shared" si="12"/>
        <v>0</v>
      </c>
      <c r="D201" s="16">
        <f t="shared" si="12"/>
        <v>241</v>
      </c>
      <c r="E201" s="16">
        <f t="shared" si="12"/>
        <v>1</v>
      </c>
      <c r="F201" s="16">
        <f t="shared" si="12"/>
        <v>1251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02421</v>
      </c>
      <c r="B202" s="16">
        <f t="shared" si="12"/>
        <v>103</v>
      </c>
      <c r="C202" s="16">
        <f t="shared" si="12"/>
        <v>0</v>
      </c>
      <c r="D202" s="16">
        <f t="shared" si="12"/>
        <v>242</v>
      </c>
      <c r="E202" s="16">
        <f t="shared" si="12"/>
        <v>1</v>
      </c>
      <c r="F202" s="16">
        <f t="shared" si="12"/>
        <v>453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02431</v>
      </c>
      <c r="B203" s="16">
        <f t="shared" si="12"/>
        <v>103</v>
      </c>
      <c r="C203" s="16">
        <f t="shared" si="12"/>
        <v>0</v>
      </c>
      <c r="D203" s="16">
        <f t="shared" si="12"/>
        <v>243</v>
      </c>
      <c r="E203" s="16">
        <f t="shared" si="12"/>
        <v>1</v>
      </c>
      <c r="F203" s="16">
        <f t="shared" si="12"/>
        <v>109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02441</v>
      </c>
      <c r="B204" s="16">
        <f t="shared" si="12"/>
        <v>103</v>
      </c>
      <c r="C204" s="16">
        <f t="shared" si="12"/>
        <v>0</v>
      </c>
      <c r="D204" s="16">
        <f t="shared" si="12"/>
        <v>244</v>
      </c>
      <c r="E204" s="16">
        <f t="shared" si="12"/>
        <v>1</v>
      </c>
      <c r="F204" s="16">
        <f t="shared" si="12"/>
        <v>1251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02451</v>
      </c>
      <c r="B205" s="16">
        <f t="shared" si="12"/>
        <v>103</v>
      </c>
      <c r="C205" s="16">
        <f t="shared" si="12"/>
        <v>0</v>
      </c>
      <c r="D205" s="16">
        <f t="shared" si="12"/>
        <v>245</v>
      </c>
      <c r="E205" s="16">
        <f t="shared" si="12"/>
        <v>1</v>
      </c>
      <c r="F205" s="16">
        <f t="shared" si="12"/>
        <v>453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02461</v>
      </c>
      <c r="B206" s="16">
        <f t="shared" si="12"/>
        <v>103</v>
      </c>
      <c r="C206" s="16">
        <f t="shared" si="12"/>
        <v>0</v>
      </c>
      <c r="D206" s="16">
        <f t="shared" si="12"/>
        <v>246</v>
      </c>
      <c r="E206" s="16">
        <f t="shared" si="12"/>
        <v>1</v>
      </c>
      <c r="F206" s="16">
        <f t="shared" si="12"/>
        <v>109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02471</v>
      </c>
      <c r="B207" s="16">
        <f t="shared" si="12"/>
        <v>103</v>
      </c>
      <c r="C207" s="16">
        <f t="shared" si="12"/>
        <v>0</v>
      </c>
      <c r="D207" s="16">
        <f t="shared" si="12"/>
        <v>247</v>
      </c>
      <c r="E207" s="16">
        <f t="shared" si="12"/>
        <v>1</v>
      </c>
      <c r="F207" s="16">
        <f t="shared" si="12"/>
        <v>1251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02481</v>
      </c>
      <c r="B208" s="16">
        <f t="shared" si="12"/>
        <v>103</v>
      </c>
      <c r="C208" s="16">
        <f t="shared" si="12"/>
        <v>0</v>
      </c>
      <c r="D208" s="16">
        <f t="shared" si="12"/>
        <v>248</v>
      </c>
      <c r="E208" s="16">
        <f t="shared" si="12"/>
        <v>1</v>
      </c>
      <c r="F208" s="16">
        <f t="shared" si="12"/>
        <v>453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02491</v>
      </c>
      <c r="B209" s="16">
        <f t="shared" si="12"/>
        <v>103</v>
      </c>
      <c r="C209" s="16">
        <f t="shared" si="12"/>
        <v>0</v>
      </c>
      <c r="D209" s="16">
        <f t="shared" si="12"/>
        <v>249</v>
      </c>
      <c r="E209" s="16">
        <f t="shared" si="12"/>
        <v>1</v>
      </c>
      <c r="F209" s="16">
        <f t="shared" si="12"/>
        <v>109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02501</v>
      </c>
      <c r="B210" s="16">
        <f t="shared" si="12"/>
        <v>103</v>
      </c>
      <c r="C210" s="16">
        <f t="shared" si="12"/>
        <v>0</v>
      </c>
      <c r="D210" s="16">
        <f t="shared" si="12"/>
        <v>250</v>
      </c>
      <c r="E210" s="16">
        <f t="shared" si="12"/>
        <v>1</v>
      </c>
      <c r="F210" s="16">
        <f t="shared" si="12"/>
        <v>1251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02511</v>
      </c>
      <c r="B211" s="16">
        <f t="shared" si="12"/>
        <v>103</v>
      </c>
      <c r="C211" s="16">
        <f t="shared" si="12"/>
        <v>0</v>
      </c>
      <c r="D211" s="16">
        <f t="shared" si="12"/>
        <v>251</v>
      </c>
      <c r="E211" s="16">
        <f t="shared" si="12"/>
        <v>1</v>
      </c>
      <c r="F211" s="16">
        <f t="shared" si="12"/>
        <v>453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02521</v>
      </c>
      <c r="B212" s="16">
        <f t="shared" si="12"/>
        <v>103</v>
      </c>
      <c r="C212" s="16">
        <f t="shared" si="12"/>
        <v>0</v>
      </c>
      <c r="D212" s="16">
        <f t="shared" si="12"/>
        <v>252</v>
      </c>
      <c r="E212" s="16">
        <f t="shared" si="12"/>
        <v>1</v>
      </c>
      <c r="F212" s="16">
        <f t="shared" si="12"/>
        <v>109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02531</v>
      </c>
      <c r="B213" s="16">
        <f t="shared" si="12"/>
        <v>103</v>
      </c>
      <c r="C213" s="16">
        <f t="shared" si="12"/>
        <v>0</v>
      </c>
      <c r="D213" s="16">
        <f t="shared" si="12"/>
        <v>253</v>
      </c>
      <c r="E213" s="16">
        <f t="shared" si="12"/>
        <v>1</v>
      </c>
      <c r="F213" s="16">
        <f t="shared" si="12"/>
        <v>1251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02541</v>
      </c>
      <c r="B214" s="16">
        <f t="shared" si="12"/>
        <v>103</v>
      </c>
      <c r="C214" s="16">
        <f t="shared" si="12"/>
        <v>0</v>
      </c>
      <c r="D214" s="16">
        <f t="shared" si="12"/>
        <v>254</v>
      </c>
      <c r="E214" s="16">
        <f t="shared" si="12"/>
        <v>1</v>
      </c>
      <c r="F214" s="16">
        <f t="shared" si="12"/>
        <v>453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02551</v>
      </c>
      <c r="B215" s="16">
        <f t="shared" si="12"/>
        <v>103</v>
      </c>
      <c r="C215" s="16">
        <f t="shared" si="12"/>
        <v>0</v>
      </c>
      <c r="D215" s="16">
        <f t="shared" si="12"/>
        <v>255</v>
      </c>
      <c r="E215" s="16">
        <f t="shared" si="12"/>
        <v>1</v>
      </c>
      <c r="F215" s="16">
        <f t="shared" si="12"/>
        <v>109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02561</v>
      </c>
      <c r="B216" s="16">
        <f t="shared" si="12"/>
        <v>103</v>
      </c>
      <c r="C216" s="16">
        <f t="shared" si="12"/>
        <v>0</v>
      </c>
      <c r="D216" s="16">
        <f t="shared" si="12"/>
        <v>256</v>
      </c>
      <c r="E216" s="16">
        <f t="shared" si="12"/>
        <v>1</v>
      </c>
      <c r="F216" s="16">
        <f t="shared" si="12"/>
        <v>1251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02571</v>
      </c>
      <c r="B217" s="16">
        <f t="shared" si="12"/>
        <v>103</v>
      </c>
      <c r="C217" s="16">
        <f t="shared" si="12"/>
        <v>0</v>
      </c>
      <c r="D217" s="16">
        <f t="shared" si="12"/>
        <v>257</v>
      </c>
      <c r="E217" s="16">
        <f t="shared" si="12"/>
        <v>1</v>
      </c>
      <c r="F217" s="16">
        <f t="shared" si="12"/>
        <v>453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02581</v>
      </c>
      <c r="B218" s="16">
        <f t="shared" si="12"/>
        <v>103</v>
      </c>
      <c r="C218" s="16">
        <f t="shared" si="12"/>
        <v>0</v>
      </c>
      <c r="D218" s="16">
        <f t="shared" si="12"/>
        <v>258</v>
      </c>
      <c r="E218" s="16">
        <f t="shared" si="12"/>
        <v>1</v>
      </c>
      <c r="F218" s="16">
        <f t="shared" si="12"/>
        <v>109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02591</v>
      </c>
      <c r="B219" s="16">
        <f t="shared" si="12"/>
        <v>103</v>
      </c>
      <c r="C219" s="16">
        <f t="shared" si="12"/>
        <v>0</v>
      </c>
      <c r="D219" s="16">
        <f t="shared" si="12"/>
        <v>259</v>
      </c>
      <c r="E219" s="16">
        <f t="shared" si="12"/>
        <v>1</v>
      </c>
      <c r="F219" s="16">
        <f t="shared" si="12"/>
        <v>1251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02601</v>
      </c>
      <c r="B220" s="16">
        <f t="shared" si="12"/>
        <v>103</v>
      </c>
      <c r="C220" s="16">
        <f t="shared" si="12"/>
        <v>0</v>
      </c>
      <c r="D220" s="16">
        <f t="shared" si="12"/>
        <v>260</v>
      </c>
      <c r="E220" s="16">
        <f t="shared" si="12"/>
        <v>1</v>
      </c>
      <c r="F220" s="16">
        <f t="shared" si="12"/>
        <v>453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02611</v>
      </c>
      <c r="B221" s="16">
        <f t="shared" si="12"/>
        <v>103</v>
      </c>
      <c r="C221" s="16">
        <f t="shared" si="12"/>
        <v>0</v>
      </c>
      <c r="D221" s="16">
        <f t="shared" si="12"/>
        <v>261</v>
      </c>
      <c r="E221" s="16">
        <f t="shared" si="12"/>
        <v>1</v>
      </c>
      <c r="F221" s="16">
        <f t="shared" si="12"/>
        <v>109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K22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13" sqref="M13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gacha_unit_tables_104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104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1104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104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1104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104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1104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104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1104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104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1104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104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1104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104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1104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104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1104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104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1104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104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1104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104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1104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104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1104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104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1104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104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1104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104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1104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104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1104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104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1104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104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1104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104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1104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104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1104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104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961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104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2660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104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961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104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961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104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961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104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961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104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961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104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961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104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961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104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961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104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961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104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2660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104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961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104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961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104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961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104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961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104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961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104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961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104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961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104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961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104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2660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104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319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104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319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104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2660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11711</v>
      </c>
      <c r="B47" s="16">
        <f t="shared" si="3"/>
        <v>104</v>
      </c>
      <c r="C47" s="16">
        <f t="shared" si="3"/>
        <v>1</v>
      </c>
      <c r="D47" s="16">
        <f t="shared" si="3"/>
        <v>171</v>
      </c>
      <c r="E47" s="16">
        <f t="shared" si="3"/>
        <v>1</v>
      </c>
      <c r="F47" s="16">
        <f t="shared" si="3"/>
        <v>1176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12011</v>
      </c>
      <c r="B48" s="16">
        <f t="shared" si="3"/>
        <v>104</v>
      </c>
      <c r="C48" s="16">
        <f t="shared" si="3"/>
        <v>1</v>
      </c>
      <c r="D48" s="16">
        <f t="shared" si="3"/>
        <v>201</v>
      </c>
      <c r="E48" s="16">
        <f t="shared" si="3"/>
        <v>1</v>
      </c>
      <c r="F48" s="16">
        <f t="shared" si="3"/>
        <v>1176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12281</v>
      </c>
      <c r="B49" s="16">
        <f t="shared" si="3"/>
        <v>104</v>
      </c>
      <c r="C49" s="16">
        <f t="shared" si="3"/>
        <v>1</v>
      </c>
      <c r="D49" s="16">
        <f t="shared" si="3"/>
        <v>228</v>
      </c>
      <c r="E49" s="16">
        <f t="shared" si="3"/>
        <v>1</v>
      </c>
      <c r="F49" s="16">
        <f t="shared" si="3"/>
        <v>224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12371</v>
      </c>
      <c r="B50" s="16">
        <f t="shared" si="3"/>
        <v>104</v>
      </c>
      <c r="C50" s="16">
        <f t="shared" si="3"/>
        <v>1</v>
      </c>
      <c r="D50" s="16">
        <f t="shared" si="3"/>
        <v>237</v>
      </c>
      <c r="E50" s="16">
        <f t="shared" si="3"/>
        <v>1</v>
      </c>
      <c r="F50" s="16">
        <f t="shared" si="3"/>
        <v>224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12391</v>
      </c>
      <c r="B51" s="16">
        <f t="shared" si="3"/>
        <v>104</v>
      </c>
      <c r="C51" s="16">
        <f t="shared" si="3"/>
        <v>1</v>
      </c>
      <c r="D51" s="16">
        <f t="shared" si="3"/>
        <v>239</v>
      </c>
      <c r="E51" s="16">
        <f t="shared" si="3"/>
        <v>1</v>
      </c>
      <c r="F51" s="16">
        <f t="shared" si="3"/>
        <v>319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12421</v>
      </c>
      <c r="B52" s="16">
        <f t="shared" si="3"/>
        <v>104</v>
      </c>
      <c r="C52" s="16">
        <f t="shared" si="3"/>
        <v>1</v>
      </c>
      <c r="D52" s="16">
        <f t="shared" si="3"/>
        <v>242</v>
      </c>
      <c r="E52" s="16">
        <f t="shared" si="3"/>
        <v>1</v>
      </c>
      <c r="F52" s="16">
        <f t="shared" si="3"/>
        <v>319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12451</v>
      </c>
      <c r="B53" s="16">
        <f t="shared" si="3"/>
        <v>104</v>
      </c>
      <c r="C53" s="16">
        <f t="shared" si="3"/>
        <v>1</v>
      </c>
      <c r="D53" s="16">
        <f t="shared" si="3"/>
        <v>245</v>
      </c>
      <c r="E53" s="16">
        <f t="shared" si="3"/>
        <v>1</v>
      </c>
      <c r="F53" s="16">
        <f t="shared" si="3"/>
        <v>319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12481</v>
      </c>
      <c r="B54" s="16">
        <f t="shared" si="3"/>
        <v>104</v>
      </c>
      <c r="C54" s="16">
        <f t="shared" si="3"/>
        <v>1</v>
      </c>
      <c r="D54" s="16">
        <f t="shared" si="3"/>
        <v>248</v>
      </c>
      <c r="E54" s="16">
        <f t="shared" si="3"/>
        <v>1</v>
      </c>
      <c r="F54" s="16">
        <f t="shared" si="3"/>
        <v>319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12511</v>
      </c>
      <c r="B55" s="16">
        <f t="shared" si="3"/>
        <v>104</v>
      </c>
      <c r="C55" s="16">
        <f t="shared" si="3"/>
        <v>1</v>
      </c>
      <c r="D55" s="16">
        <f t="shared" si="3"/>
        <v>251</v>
      </c>
      <c r="E55" s="16">
        <f t="shared" si="3"/>
        <v>1</v>
      </c>
      <c r="F55" s="16">
        <f t="shared" si="3"/>
        <v>319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12541</v>
      </c>
      <c r="B56" s="16">
        <f t="shared" si="3"/>
        <v>104</v>
      </c>
      <c r="C56" s="16">
        <f t="shared" si="3"/>
        <v>1</v>
      </c>
      <c r="D56" s="16">
        <f t="shared" si="3"/>
        <v>254</v>
      </c>
      <c r="E56" s="16">
        <f t="shared" si="3"/>
        <v>1</v>
      </c>
      <c r="F56" s="16">
        <f t="shared" si="3"/>
        <v>319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12571</v>
      </c>
      <c r="B57" s="16">
        <f t="shared" si="3"/>
        <v>104</v>
      </c>
      <c r="C57" s="16">
        <f t="shared" si="3"/>
        <v>1</v>
      </c>
      <c r="D57" s="16">
        <f t="shared" si="3"/>
        <v>257</v>
      </c>
      <c r="E57" s="16">
        <f t="shared" si="3"/>
        <v>1</v>
      </c>
      <c r="F57" s="16">
        <f t="shared" si="3"/>
        <v>319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12601</v>
      </c>
      <c r="B58" s="16">
        <f t="shared" si="3"/>
        <v>104</v>
      </c>
      <c r="C58" s="16">
        <f t="shared" si="3"/>
        <v>1</v>
      </c>
      <c r="D58" s="16">
        <f t="shared" si="3"/>
        <v>260</v>
      </c>
      <c r="E58" s="16">
        <f t="shared" si="3"/>
        <v>1</v>
      </c>
      <c r="F58" s="16">
        <f t="shared" si="3"/>
        <v>319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01261</v>
      </c>
      <c r="B59" s="16">
        <f t="shared" si="3"/>
        <v>104</v>
      </c>
      <c r="C59" s="16">
        <f t="shared" si="3"/>
        <v>0</v>
      </c>
      <c r="D59" s="16">
        <f t="shared" si="3"/>
        <v>126</v>
      </c>
      <c r="E59" s="16">
        <f t="shared" si="3"/>
        <v>1</v>
      </c>
      <c r="F59" s="16">
        <f t="shared" si="3"/>
        <v>1511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01281</v>
      </c>
      <c r="B60" s="16">
        <f t="shared" si="3"/>
        <v>104</v>
      </c>
      <c r="C60" s="16">
        <f t="shared" si="3"/>
        <v>0</v>
      </c>
      <c r="D60" s="16">
        <f t="shared" si="3"/>
        <v>128</v>
      </c>
      <c r="E60" s="16">
        <f t="shared" si="3"/>
        <v>1</v>
      </c>
      <c r="F60" s="16">
        <f t="shared" si="3"/>
        <v>1511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01301</v>
      </c>
      <c r="B61" s="16">
        <f t="shared" si="3"/>
        <v>104</v>
      </c>
      <c r="C61" s="16">
        <f t="shared" si="3"/>
        <v>0</v>
      </c>
      <c r="D61" s="16">
        <f t="shared" si="3"/>
        <v>130</v>
      </c>
      <c r="E61" s="16">
        <f t="shared" si="3"/>
        <v>1</v>
      </c>
      <c r="F61" s="16">
        <f t="shared" si="3"/>
        <v>1511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01321</v>
      </c>
      <c r="B62" s="16">
        <f t="shared" si="3"/>
        <v>104</v>
      </c>
      <c r="C62" s="16">
        <f t="shared" si="3"/>
        <v>0</v>
      </c>
      <c r="D62" s="16">
        <f t="shared" si="3"/>
        <v>132</v>
      </c>
      <c r="E62" s="16">
        <f t="shared" si="3"/>
        <v>1</v>
      </c>
      <c r="F62" s="16">
        <f t="shared" si="3"/>
        <v>1511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01341</v>
      </c>
      <c r="B63" s="16">
        <f t="shared" si="3"/>
        <v>104</v>
      </c>
      <c r="C63" s="16">
        <f t="shared" si="3"/>
        <v>0</v>
      </c>
      <c r="D63" s="16">
        <f t="shared" si="3"/>
        <v>134</v>
      </c>
      <c r="E63" s="16">
        <f t="shared" si="3"/>
        <v>1</v>
      </c>
      <c r="F63" s="16">
        <f t="shared" si="3"/>
        <v>1511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01361</v>
      </c>
      <c r="B64" s="16">
        <f t="shared" si="3"/>
        <v>104</v>
      </c>
      <c r="C64" s="16">
        <f t="shared" si="3"/>
        <v>0</v>
      </c>
      <c r="D64" s="16">
        <f t="shared" si="3"/>
        <v>136</v>
      </c>
      <c r="E64" s="16">
        <f t="shared" si="3"/>
        <v>1</v>
      </c>
      <c r="F64" s="16">
        <f t="shared" si="3"/>
        <v>1511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01381</v>
      </c>
      <c r="B65" s="16">
        <f t="shared" si="3"/>
        <v>104</v>
      </c>
      <c r="C65" s="16">
        <f t="shared" si="3"/>
        <v>0</v>
      </c>
      <c r="D65" s="16">
        <f t="shared" si="3"/>
        <v>138</v>
      </c>
      <c r="E65" s="16">
        <f t="shared" si="3"/>
        <v>1</v>
      </c>
      <c r="F65" s="16">
        <f t="shared" si="3"/>
        <v>1511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01401</v>
      </c>
      <c r="B66" s="16">
        <f t="shared" si="3"/>
        <v>104</v>
      </c>
      <c r="C66" s="16">
        <f t="shared" si="3"/>
        <v>0</v>
      </c>
      <c r="D66" s="16">
        <f t="shared" si="3"/>
        <v>140</v>
      </c>
      <c r="E66" s="16">
        <f t="shared" si="3"/>
        <v>1</v>
      </c>
      <c r="F66" s="16">
        <f t="shared" si="3"/>
        <v>1511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01421</v>
      </c>
      <c r="B67" s="16">
        <f t="shared" si="3"/>
        <v>104</v>
      </c>
      <c r="C67" s="16">
        <f t="shared" si="3"/>
        <v>0</v>
      </c>
      <c r="D67" s="16">
        <f t="shared" si="3"/>
        <v>142</v>
      </c>
      <c r="E67" s="16">
        <f t="shared" si="3"/>
        <v>1</v>
      </c>
      <c r="F67" s="16">
        <f t="shared" si="3"/>
        <v>1511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01441</v>
      </c>
      <c r="B68" s="16">
        <f t="shared" si="3"/>
        <v>104</v>
      </c>
      <c r="C68" s="16">
        <f t="shared" si="3"/>
        <v>0</v>
      </c>
      <c r="D68" s="16">
        <f t="shared" si="3"/>
        <v>144</v>
      </c>
      <c r="E68" s="16">
        <f t="shared" si="3"/>
        <v>1</v>
      </c>
      <c r="F68" s="16">
        <f t="shared" si="3"/>
        <v>1511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01461</v>
      </c>
      <c r="B69" s="16">
        <f t="shared" si="3"/>
        <v>104</v>
      </c>
      <c r="C69" s="16">
        <f t="shared" si="3"/>
        <v>0</v>
      </c>
      <c r="D69" s="16">
        <f t="shared" si="3"/>
        <v>146</v>
      </c>
      <c r="E69" s="16">
        <f t="shared" si="3"/>
        <v>1</v>
      </c>
      <c r="F69" s="16">
        <f t="shared" si="3"/>
        <v>1511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01481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104</v>
      </c>
      <c r="C70" s="16">
        <f t="shared" si="5"/>
        <v>0</v>
      </c>
      <c r="D70" s="16">
        <f t="shared" si="5"/>
        <v>148</v>
      </c>
      <c r="E70" s="16">
        <f t="shared" si="5"/>
        <v>1</v>
      </c>
      <c r="F70" s="16">
        <f t="shared" si="5"/>
        <v>1511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01501</v>
      </c>
      <c r="B71" s="16">
        <f t="shared" si="5"/>
        <v>104</v>
      </c>
      <c r="C71" s="16">
        <f t="shared" si="5"/>
        <v>0</v>
      </c>
      <c r="D71" s="16">
        <f t="shared" si="5"/>
        <v>150</v>
      </c>
      <c r="E71" s="16">
        <f t="shared" si="5"/>
        <v>1</v>
      </c>
      <c r="F71" s="16">
        <f t="shared" si="5"/>
        <v>1511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01521</v>
      </c>
      <c r="B72" s="16">
        <f t="shared" si="5"/>
        <v>104</v>
      </c>
      <c r="C72" s="16">
        <f t="shared" si="5"/>
        <v>0</v>
      </c>
      <c r="D72" s="16">
        <f t="shared" si="5"/>
        <v>152</v>
      </c>
      <c r="E72" s="16">
        <f t="shared" si="5"/>
        <v>1</v>
      </c>
      <c r="F72" s="16">
        <f t="shared" si="5"/>
        <v>1511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01541</v>
      </c>
      <c r="B73" s="16">
        <f t="shared" si="5"/>
        <v>104</v>
      </c>
      <c r="C73" s="16">
        <f t="shared" si="5"/>
        <v>0</v>
      </c>
      <c r="D73" s="16">
        <f t="shared" si="5"/>
        <v>154</v>
      </c>
      <c r="E73" s="16">
        <f t="shared" si="5"/>
        <v>1</v>
      </c>
      <c r="F73" s="16">
        <f t="shared" si="5"/>
        <v>1511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01561</v>
      </c>
      <c r="B74" s="16">
        <f t="shared" si="5"/>
        <v>104</v>
      </c>
      <c r="C74" s="16">
        <f t="shared" si="5"/>
        <v>0</v>
      </c>
      <c r="D74" s="16">
        <f t="shared" si="5"/>
        <v>156</v>
      </c>
      <c r="E74" s="16">
        <f t="shared" si="5"/>
        <v>1</v>
      </c>
      <c r="F74" s="16">
        <f t="shared" si="5"/>
        <v>1511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01581</v>
      </c>
      <c r="B75" s="16">
        <f t="shared" si="5"/>
        <v>104</v>
      </c>
      <c r="C75" s="16">
        <f t="shared" si="5"/>
        <v>0</v>
      </c>
      <c r="D75" s="16">
        <f t="shared" si="5"/>
        <v>158</v>
      </c>
      <c r="E75" s="16">
        <f t="shared" si="5"/>
        <v>1</v>
      </c>
      <c r="F75" s="16">
        <f t="shared" si="5"/>
        <v>1511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01601</v>
      </c>
      <c r="B76" s="16">
        <f t="shared" si="5"/>
        <v>104</v>
      </c>
      <c r="C76" s="16">
        <f t="shared" si="5"/>
        <v>0</v>
      </c>
      <c r="D76" s="16">
        <f t="shared" si="5"/>
        <v>160</v>
      </c>
      <c r="E76" s="16">
        <f t="shared" si="5"/>
        <v>1</v>
      </c>
      <c r="F76" s="16">
        <f t="shared" si="5"/>
        <v>1511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01621</v>
      </c>
      <c r="B77" s="16">
        <f t="shared" si="5"/>
        <v>104</v>
      </c>
      <c r="C77" s="16">
        <f t="shared" si="5"/>
        <v>0</v>
      </c>
      <c r="D77" s="16">
        <f t="shared" si="5"/>
        <v>162</v>
      </c>
      <c r="E77" s="16">
        <f t="shared" si="5"/>
        <v>1</v>
      </c>
      <c r="F77" s="16">
        <f t="shared" si="5"/>
        <v>1511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01641</v>
      </c>
      <c r="B78" s="16">
        <f t="shared" si="5"/>
        <v>104</v>
      </c>
      <c r="C78" s="16">
        <f t="shared" si="5"/>
        <v>0</v>
      </c>
      <c r="D78" s="16">
        <f t="shared" si="5"/>
        <v>164</v>
      </c>
      <c r="E78" s="16">
        <f t="shared" si="5"/>
        <v>1</v>
      </c>
      <c r="F78" s="16">
        <f t="shared" si="5"/>
        <v>1511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01661</v>
      </c>
      <c r="B79" s="16">
        <f t="shared" si="5"/>
        <v>104</v>
      </c>
      <c r="C79" s="16">
        <f t="shared" si="5"/>
        <v>0</v>
      </c>
      <c r="D79" s="16">
        <f t="shared" si="5"/>
        <v>166</v>
      </c>
      <c r="E79" s="16">
        <f t="shared" si="5"/>
        <v>1</v>
      </c>
      <c r="F79" s="16">
        <f t="shared" si="5"/>
        <v>1719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01721</v>
      </c>
      <c r="B80" s="16">
        <f t="shared" si="5"/>
        <v>104</v>
      </c>
      <c r="C80" s="16">
        <f t="shared" si="5"/>
        <v>0</v>
      </c>
      <c r="D80" s="16">
        <f t="shared" si="5"/>
        <v>172</v>
      </c>
      <c r="E80" s="16">
        <f t="shared" si="5"/>
        <v>1</v>
      </c>
      <c r="F80" s="16">
        <f t="shared" si="5"/>
        <v>1719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01751</v>
      </c>
      <c r="B81" s="16">
        <f t="shared" si="5"/>
        <v>104</v>
      </c>
      <c r="C81" s="16">
        <f t="shared" si="5"/>
        <v>0</v>
      </c>
      <c r="D81" s="16">
        <f t="shared" si="5"/>
        <v>175</v>
      </c>
      <c r="E81" s="16">
        <f t="shared" si="5"/>
        <v>1</v>
      </c>
      <c r="F81" s="16">
        <f t="shared" si="5"/>
        <v>1719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01781</v>
      </c>
      <c r="B82" s="16">
        <f t="shared" si="5"/>
        <v>104</v>
      </c>
      <c r="C82" s="16">
        <f t="shared" si="5"/>
        <v>0</v>
      </c>
      <c r="D82" s="16">
        <f t="shared" si="5"/>
        <v>178</v>
      </c>
      <c r="E82" s="16">
        <f t="shared" si="5"/>
        <v>1</v>
      </c>
      <c r="F82" s="16">
        <f t="shared" si="5"/>
        <v>1719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01811</v>
      </c>
      <c r="B83" s="16">
        <f t="shared" si="5"/>
        <v>104</v>
      </c>
      <c r="C83" s="16">
        <f t="shared" si="5"/>
        <v>0</v>
      </c>
      <c r="D83" s="16">
        <f t="shared" si="5"/>
        <v>181</v>
      </c>
      <c r="E83" s="16">
        <f t="shared" si="5"/>
        <v>1</v>
      </c>
      <c r="F83" s="16">
        <f t="shared" si="5"/>
        <v>1719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01841</v>
      </c>
      <c r="B84" s="16">
        <f t="shared" si="5"/>
        <v>104</v>
      </c>
      <c r="C84" s="16">
        <f t="shared" si="5"/>
        <v>0</v>
      </c>
      <c r="D84" s="16">
        <f t="shared" si="5"/>
        <v>184</v>
      </c>
      <c r="E84" s="16">
        <f t="shared" si="5"/>
        <v>1</v>
      </c>
      <c r="F84" s="16">
        <f t="shared" si="5"/>
        <v>1719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01871</v>
      </c>
      <c r="B85" s="16">
        <f t="shared" si="5"/>
        <v>104</v>
      </c>
      <c r="C85" s="16">
        <f t="shared" si="5"/>
        <v>0</v>
      </c>
      <c r="D85" s="16">
        <f t="shared" si="5"/>
        <v>187</v>
      </c>
      <c r="E85" s="16">
        <f t="shared" si="5"/>
        <v>1</v>
      </c>
      <c r="F85" s="16">
        <f t="shared" si="5"/>
        <v>1719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01901</v>
      </c>
      <c r="B86" s="16">
        <f t="shared" si="5"/>
        <v>104</v>
      </c>
      <c r="C86" s="16">
        <f t="shared" si="5"/>
        <v>0</v>
      </c>
      <c r="D86" s="16">
        <f t="shared" si="5"/>
        <v>190</v>
      </c>
      <c r="E86" s="16">
        <f t="shared" si="5"/>
        <v>1</v>
      </c>
      <c r="F86" s="16">
        <f t="shared" si="5"/>
        <v>1719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01931</v>
      </c>
      <c r="B87" s="16">
        <f t="shared" si="5"/>
        <v>104</v>
      </c>
      <c r="C87" s="16">
        <f t="shared" si="5"/>
        <v>0</v>
      </c>
      <c r="D87" s="16">
        <f t="shared" si="5"/>
        <v>193</v>
      </c>
      <c r="E87" s="16">
        <f t="shared" si="5"/>
        <v>1</v>
      </c>
      <c r="F87" s="16">
        <f t="shared" si="5"/>
        <v>1719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01961</v>
      </c>
      <c r="B88" s="16">
        <f t="shared" si="5"/>
        <v>104</v>
      </c>
      <c r="C88" s="16">
        <f t="shared" si="5"/>
        <v>0</v>
      </c>
      <c r="D88" s="16">
        <f t="shared" si="5"/>
        <v>196</v>
      </c>
      <c r="E88" s="16">
        <f t="shared" si="5"/>
        <v>1</v>
      </c>
      <c r="F88" s="16">
        <f t="shared" si="5"/>
        <v>1719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02021</v>
      </c>
      <c r="B89" s="16">
        <f t="shared" si="5"/>
        <v>104</v>
      </c>
      <c r="C89" s="16">
        <f t="shared" si="5"/>
        <v>0</v>
      </c>
      <c r="D89" s="16">
        <f t="shared" si="5"/>
        <v>202</v>
      </c>
      <c r="E89" s="16">
        <f t="shared" si="5"/>
        <v>1</v>
      </c>
      <c r="F89" s="16">
        <f t="shared" si="5"/>
        <v>1719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02051</v>
      </c>
      <c r="B90" s="16">
        <f t="shared" si="5"/>
        <v>104</v>
      </c>
      <c r="C90" s="16">
        <f t="shared" si="5"/>
        <v>0</v>
      </c>
      <c r="D90" s="16">
        <f t="shared" si="5"/>
        <v>205</v>
      </c>
      <c r="E90" s="16">
        <f t="shared" si="5"/>
        <v>1</v>
      </c>
      <c r="F90" s="16">
        <f t="shared" si="5"/>
        <v>1719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02081</v>
      </c>
      <c r="B91" s="16">
        <f t="shared" si="5"/>
        <v>104</v>
      </c>
      <c r="C91" s="16">
        <f t="shared" si="5"/>
        <v>0</v>
      </c>
      <c r="D91" s="16">
        <f t="shared" si="5"/>
        <v>208</v>
      </c>
      <c r="E91" s="16">
        <f t="shared" si="5"/>
        <v>1</v>
      </c>
      <c r="F91" s="16">
        <f t="shared" si="5"/>
        <v>1719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02111</v>
      </c>
      <c r="B92" s="16">
        <f t="shared" si="5"/>
        <v>104</v>
      </c>
      <c r="C92" s="16">
        <f t="shared" si="5"/>
        <v>0</v>
      </c>
      <c r="D92" s="16">
        <f t="shared" si="5"/>
        <v>211</v>
      </c>
      <c r="E92" s="16">
        <f t="shared" si="5"/>
        <v>1</v>
      </c>
      <c r="F92" s="16">
        <f t="shared" si="5"/>
        <v>1719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02141</v>
      </c>
      <c r="B93" s="16">
        <f t="shared" si="5"/>
        <v>104</v>
      </c>
      <c r="C93" s="16">
        <f t="shared" si="5"/>
        <v>0</v>
      </c>
      <c r="D93" s="16">
        <f t="shared" si="5"/>
        <v>214</v>
      </c>
      <c r="E93" s="16">
        <f t="shared" si="5"/>
        <v>1</v>
      </c>
      <c r="F93" s="16">
        <f t="shared" si="5"/>
        <v>1719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02171</v>
      </c>
      <c r="B94" s="16">
        <f t="shared" si="5"/>
        <v>104</v>
      </c>
      <c r="C94" s="16">
        <f t="shared" si="5"/>
        <v>0</v>
      </c>
      <c r="D94" s="16">
        <f t="shared" si="5"/>
        <v>217</v>
      </c>
      <c r="E94" s="16">
        <f t="shared" si="5"/>
        <v>1</v>
      </c>
      <c r="F94" s="16">
        <f t="shared" si="5"/>
        <v>1719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02201</v>
      </c>
      <c r="B95" s="16">
        <f t="shared" si="5"/>
        <v>104</v>
      </c>
      <c r="C95" s="16">
        <f t="shared" si="5"/>
        <v>0</v>
      </c>
      <c r="D95" s="16">
        <f t="shared" si="5"/>
        <v>220</v>
      </c>
      <c r="E95" s="16">
        <f t="shared" si="5"/>
        <v>1</v>
      </c>
      <c r="F95" s="16">
        <f t="shared" si="5"/>
        <v>1719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02231</v>
      </c>
      <c r="B96" s="16">
        <f t="shared" si="6"/>
        <v>104</v>
      </c>
      <c r="C96" s="16">
        <f t="shared" si="6"/>
        <v>0</v>
      </c>
      <c r="D96" s="16">
        <f t="shared" si="6"/>
        <v>223</v>
      </c>
      <c r="E96" s="16">
        <f t="shared" si="6"/>
        <v>1</v>
      </c>
      <c r="F96" s="16">
        <f t="shared" si="6"/>
        <v>1719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02291</v>
      </c>
      <c r="B97" s="16">
        <f t="shared" si="6"/>
        <v>104</v>
      </c>
      <c r="C97" s="16">
        <f t="shared" si="6"/>
        <v>0</v>
      </c>
      <c r="D97" s="16">
        <f t="shared" si="6"/>
        <v>229</v>
      </c>
      <c r="E97" s="16">
        <f t="shared" si="6"/>
        <v>1</v>
      </c>
      <c r="F97" s="16">
        <f t="shared" si="6"/>
        <v>1165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02321</v>
      </c>
      <c r="B98" s="16">
        <f t="shared" si="6"/>
        <v>104</v>
      </c>
      <c r="C98" s="16">
        <f t="shared" si="6"/>
        <v>0</v>
      </c>
      <c r="D98" s="16">
        <f t="shared" si="6"/>
        <v>232</v>
      </c>
      <c r="E98" s="16">
        <f t="shared" si="6"/>
        <v>1</v>
      </c>
      <c r="F98" s="16">
        <f t="shared" si="6"/>
        <v>1165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01271</v>
      </c>
      <c r="B99" s="16">
        <f t="shared" si="6"/>
        <v>104</v>
      </c>
      <c r="C99" s="16">
        <f t="shared" si="6"/>
        <v>0</v>
      </c>
      <c r="D99" s="16">
        <f t="shared" si="6"/>
        <v>127</v>
      </c>
      <c r="E99" s="16">
        <f t="shared" si="6"/>
        <v>1</v>
      </c>
      <c r="F99" s="16">
        <f t="shared" si="6"/>
        <v>540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01291</v>
      </c>
      <c r="B100" s="16">
        <f t="shared" si="6"/>
        <v>104</v>
      </c>
      <c r="C100" s="16">
        <f t="shared" si="6"/>
        <v>0</v>
      </c>
      <c r="D100" s="16">
        <f t="shared" si="6"/>
        <v>129</v>
      </c>
      <c r="E100" s="16">
        <f t="shared" si="6"/>
        <v>1</v>
      </c>
      <c r="F100" s="16">
        <f t="shared" si="6"/>
        <v>540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01311</v>
      </c>
      <c r="B101" s="16">
        <f t="shared" si="6"/>
        <v>104</v>
      </c>
      <c r="C101" s="16">
        <f t="shared" si="6"/>
        <v>0</v>
      </c>
      <c r="D101" s="16">
        <f t="shared" si="6"/>
        <v>131</v>
      </c>
      <c r="E101" s="16">
        <f t="shared" si="6"/>
        <v>1</v>
      </c>
      <c r="F101" s="16">
        <f t="shared" si="6"/>
        <v>540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01331</v>
      </c>
      <c r="B102" s="16">
        <f t="shared" si="6"/>
        <v>104</v>
      </c>
      <c r="C102" s="16">
        <f t="shared" si="6"/>
        <v>0</v>
      </c>
      <c r="D102" s="16">
        <f t="shared" si="6"/>
        <v>133</v>
      </c>
      <c r="E102" s="16">
        <f t="shared" si="6"/>
        <v>1</v>
      </c>
      <c r="F102" s="16">
        <f t="shared" si="6"/>
        <v>540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01351</v>
      </c>
      <c r="B103" s="16">
        <f t="shared" si="6"/>
        <v>104</v>
      </c>
      <c r="C103" s="16">
        <f t="shared" si="6"/>
        <v>0</v>
      </c>
      <c r="D103" s="16">
        <f t="shared" si="6"/>
        <v>135</v>
      </c>
      <c r="E103" s="16">
        <f t="shared" si="6"/>
        <v>1</v>
      </c>
      <c r="F103" s="16">
        <f t="shared" si="6"/>
        <v>540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01371</v>
      </c>
      <c r="B104" s="16">
        <f t="shared" si="6"/>
        <v>104</v>
      </c>
      <c r="C104" s="16">
        <f t="shared" si="6"/>
        <v>0</v>
      </c>
      <c r="D104" s="16">
        <f t="shared" si="6"/>
        <v>137</v>
      </c>
      <c r="E104" s="16">
        <f t="shared" si="6"/>
        <v>1</v>
      </c>
      <c r="F104" s="16">
        <f t="shared" si="6"/>
        <v>540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01391</v>
      </c>
      <c r="B105" s="16">
        <f t="shared" si="6"/>
        <v>104</v>
      </c>
      <c r="C105" s="16">
        <f t="shared" si="6"/>
        <v>0</v>
      </c>
      <c r="D105" s="16">
        <f t="shared" si="6"/>
        <v>139</v>
      </c>
      <c r="E105" s="16">
        <f t="shared" si="6"/>
        <v>1</v>
      </c>
      <c r="F105" s="16">
        <f t="shared" si="6"/>
        <v>540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01411</v>
      </c>
      <c r="B106" s="16">
        <f t="shared" si="6"/>
        <v>104</v>
      </c>
      <c r="C106" s="16">
        <f t="shared" si="6"/>
        <v>0</v>
      </c>
      <c r="D106" s="16">
        <f t="shared" si="6"/>
        <v>141</v>
      </c>
      <c r="E106" s="16">
        <f t="shared" si="6"/>
        <v>1</v>
      </c>
      <c r="F106" s="16">
        <f t="shared" si="6"/>
        <v>540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01431</v>
      </c>
      <c r="B107" s="16">
        <f t="shared" si="6"/>
        <v>104</v>
      </c>
      <c r="C107" s="16">
        <f t="shared" si="6"/>
        <v>0</v>
      </c>
      <c r="D107" s="16">
        <f t="shared" si="6"/>
        <v>143</v>
      </c>
      <c r="E107" s="16">
        <f t="shared" si="6"/>
        <v>1</v>
      </c>
      <c r="F107" s="16">
        <f t="shared" si="6"/>
        <v>540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01451</v>
      </c>
      <c r="B108" s="16">
        <f t="shared" si="6"/>
        <v>104</v>
      </c>
      <c r="C108" s="16">
        <f t="shared" si="6"/>
        <v>0</v>
      </c>
      <c r="D108" s="16">
        <f t="shared" si="6"/>
        <v>145</v>
      </c>
      <c r="E108" s="16">
        <f t="shared" si="6"/>
        <v>1</v>
      </c>
      <c r="F108" s="16">
        <f t="shared" si="6"/>
        <v>540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01471</v>
      </c>
      <c r="B109" s="16">
        <f t="shared" si="6"/>
        <v>104</v>
      </c>
      <c r="C109" s="16">
        <f t="shared" si="6"/>
        <v>0</v>
      </c>
      <c r="D109" s="16">
        <f t="shared" si="6"/>
        <v>147</v>
      </c>
      <c r="E109" s="16">
        <f t="shared" si="6"/>
        <v>1</v>
      </c>
      <c r="F109" s="16">
        <f t="shared" si="6"/>
        <v>540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01491</v>
      </c>
      <c r="B110" s="16">
        <f t="shared" si="6"/>
        <v>104</v>
      </c>
      <c r="C110" s="16">
        <f t="shared" si="6"/>
        <v>0</v>
      </c>
      <c r="D110" s="16">
        <f t="shared" si="6"/>
        <v>149</v>
      </c>
      <c r="E110" s="16">
        <f t="shared" si="6"/>
        <v>1</v>
      </c>
      <c r="F110" s="16">
        <f t="shared" si="6"/>
        <v>540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01511</v>
      </c>
      <c r="B111" s="16">
        <f t="shared" si="6"/>
        <v>104</v>
      </c>
      <c r="C111" s="16">
        <f t="shared" si="6"/>
        <v>0</v>
      </c>
      <c r="D111" s="16">
        <f t="shared" si="6"/>
        <v>151</v>
      </c>
      <c r="E111" s="16">
        <f t="shared" si="6"/>
        <v>1</v>
      </c>
      <c r="F111" s="16">
        <f t="shared" si="6"/>
        <v>540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01531</v>
      </c>
      <c r="B112" s="16">
        <f t="shared" si="6"/>
        <v>104</v>
      </c>
      <c r="C112" s="16">
        <f t="shared" si="6"/>
        <v>0</v>
      </c>
      <c r="D112" s="16">
        <f t="shared" si="6"/>
        <v>153</v>
      </c>
      <c r="E112" s="16">
        <f t="shared" si="6"/>
        <v>1</v>
      </c>
      <c r="F112" s="16">
        <f t="shared" si="6"/>
        <v>540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01551</v>
      </c>
      <c r="B113" s="16">
        <f t="shared" si="6"/>
        <v>104</v>
      </c>
      <c r="C113" s="16">
        <f t="shared" si="6"/>
        <v>0</v>
      </c>
      <c r="D113" s="16">
        <f t="shared" si="6"/>
        <v>155</v>
      </c>
      <c r="E113" s="16">
        <f t="shared" si="6"/>
        <v>1</v>
      </c>
      <c r="F113" s="16">
        <f t="shared" si="6"/>
        <v>540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01571</v>
      </c>
      <c r="B114" s="16">
        <f t="shared" si="6"/>
        <v>104</v>
      </c>
      <c r="C114" s="16">
        <f t="shared" si="6"/>
        <v>0</v>
      </c>
      <c r="D114" s="16">
        <f t="shared" si="6"/>
        <v>157</v>
      </c>
      <c r="E114" s="16">
        <f t="shared" si="6"/>
        <v>1</v>
      </c>
      <c r="F114" s="16">
        <f t="shared" si="6"/>
        <v>540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01591</v>
      </c>
      <c r="B115" s="16">
        <f t="shared" si="6"/>
        <v>104</v>
      </c>
      <c r="C115" s="16">
        <f t="shared" si="6"/>
        <v>0</v>
      </c>
      <c r="D115" s="16">
        <f t="shared" si="6"/>
        <v>159</v>
      </c>
      <c r="E115" s="16">
        <f t="shared" si="6"/>
        <v>1</v>
      </c>
      <c r="F115" s="16">
        <f t="shared" si="6"/>
        <v>540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01611</v>
      </c>
      <c r="B116" s="16">
        <f t="shared" si="6"/>
        <v>104</v>
      </c>
      <c r="C116" s="16">
        <f t="shared" si="6"/>
        <v>0</v>
      </c>
      <c r="D116" s="16">
        <f t="shared" si="6"/>
        <v>161</v>
      </c>
      <c r="E116" s="16">
        <f t="shared" si="6"/>
        <v>1</v>
      </c>
      <c r="F116" s="16">
        <f t="shared" si="6"/>
        <v>540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01631</v>
      </c>
      <c r="B117" s="16">
        <f t="shared" si="6"/>
        <v>104</v>
      </c>
      <c r="C117" s="16">
        <f t="shared" si="6"/>
        <v>0</v>
      </c>
      <c r="D117" s="16">
        <f t="shared" si="6"/>
        <v>163</v>
      </c>
      <c r="E117" s="16">
        <f t="shared" si="6"/>
        <v>1</v>
      </c>
      <c r="F117" s="16">
        <f t="shared" si="6"/>
        <v>540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01651</v>
      </c>
      <c r="B118" s="16">
        <f t="shared" si="6"/>
        <v>104</v>
      </c>
      <c r="C118" s="16">
        <f t="shared" si="6"/>
        <v>0</v>
      </c>
      <c r="D118" s="16">
        <f t="shared" si="6"/>
        <v>165</v>
      </c>
      <c r="E118" s="16">
        <f t="shared" si="6"/>
        <v>1</v>
      </c>
      <c r="F118" s="16">
        <f t="shared" si="6"/>
        <v>540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01671</v>
      </c>
      <c r="B119" s="16">
        <f t="shared" si="6"/>
        <v>104</v>
      </c>
      <c r="C119" s="16">
        <f t="shared" si="6"/>
        <v>0</v>
      </c>
      <c r="D119" s="16">
        <f t="shared" si="6"/>
        <v>167</v>
      </c>
      <c r="E119" s="16">
        <f t="shared" si="6"/>
        <v>1</v>
      </c>
      <c r="F119" s="16">
        <f t="shared" si="6"/>
        <v>469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01701</v>
      </c>
      <c r="B120" s="16">
        <f t="shared" si="6"/>
        <v>104</v>
      </c>
      <c r="C120" s="16">
        <f t="shared" si="6"/>
        <v>0</v>
      </c>
      <c r="D120" s="16">
        <f t="shared" si="6"/>
        <v>170</v>
      </c>
      <c r="E120" s="16">
        <f t="shared" si="6"/>
        <v>1</v>
      </c>
      <c r="F120" s="16">
        <f t="shared" si="6"/>
        <v>1300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01731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104</v>
      </c>
      <c r="C121" s="16">
        <f t="shared" si="7"/>
        <v>0</v>
      </c>
      <c r="D121" s="16">
        <f t="shared" si="7"/>
        <v>173</v>
      </c>
      <c r="E121" s="16">
        <f t="shared" si="7"/>
        <v>1</v>
      </c>
      <c r="F121" s="16">
        <f t="shared" si="7"/>
        <v>469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01761</v>
      </c>
      <c r="B122" s="16">
        <f t="shared" si="7"/>
        <v>104</v>
      </c>
      <c r="C122" s="16">
        <f t="shared" si="7"/>
        <v>0</v>
      </c>
      <c r="D122" s="16">
        <f t="shared" si="7"/>
        <v>176</v>
      </c>
      <c r="E122" s="16">
        <f t="shared" si="7"/>
        <v>1</v>
      </c>
      <c r="F122" s="16">
        <f t="shared" si="7"/>
        <v>469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01791</v>
      </c>
      <c r="B123" s="16">
        <f t="shared" si="7"/>
        <v>104</v>
      </c>
      <c r="C123" s="16">
        <f t="shared" si="7"/>
        <v>0</v>
      </c>
      <c r="D123" s="16">
        <f t="shared" si="7"/>
        <v>179</v>
      </c>
      <c r="E123" s="16">
        <f t="shared" si="7"/>
        <v>1</v>
      </c>
      <c r="F123" s="16">
        <f t="shared" si="7"/>
        <v>469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01821</v>
      </c>
      <c r="B124" s="16">
        <f t="shared" si="7"/>
        <v>104</v>
      </c>
      <c r="C124" s="16">
        <f t="shared" si="7"/>
        <v>0</v>
      </c>
      <c r="D124" s="16">
        <f t="shared" si="7"/>
        <v>182</v>
      </c>
      <c r="E124" s="16">
        <f t="shared" si="7"/>
        <v>1</v>
      </c>
      <c r="F124" s="16">
        <f t="shared" si="7"/>
        <v>469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01851</v>
      </c>
      <c r="B125" s="16">
        <f t="shared" si="7"/>
        <v>104</v>
      </c>
      <c r="C125" s="16">
        <f t="shared" si="7"/>
        <v>0</v>
      </c>
      <c r="D125" s="16">
        <f t="shared" si="7"/>
        <v>185</v>
      </c>
      <c r="E125" s="16">
        <f t="shared" si="7"/>
        <v>1</v>
      </c>
      <c r="F125" s="16">
        <f t="shared" si="7"/>
        <v>469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01881</v>
      </c>
      <c r="B126" s="16">
        <f t="shared" si="7"/>
        <v>104</v>
      </c>
      <c r="C126" s="16">
        <f t="shared" si="7"/>
        <v>0</v>
      </c>
      <c r="D126" s="16">
        <f t="shared" si="7"/>
        <v>188</v>
      </c>
      <c r="E126" s="16">
        <f t="shared" si="7"/>
        <v>1</v>
      </c>
      <c r="F126" s="16">
        <f t="shared" si="7"/>
        <v>469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01911</v>
      </c>
      <c r="B127" s="16">
        <f t="shared" si="7"/>
        <v>104</v>
      </c>
      <c r="C127" s="16">
        <f t="shared" si="7"/>
        <v>0</v>
      </c>
      <c r="D127" s="16">
        <f t="shared" si="7"/>
        <v>191</v>
      </c>
      <c r="E127" s="16">
        <f t="shared" si="7"/>
        <v>1</v>
      </c>
      <c r="F127" s="16">
        <f t="shared" si="7"/>
        <v>469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01941</v>
      </c>
      <c r="B128" s="16">
        <f t="shared" si="7"/>
        <v>104</v>
      </c>
      <c r="C128" s="16">
        <f t="shared" si="7"/>
        <v>0</v>
      </c>
      <c r="D128" s="16">
        <f t="shared" si="7"/>
        <v>194</v>
      </c>
      <c r="E128" s="16">
        <f t="shared" si="7"/>
        <v>1</v>
      </c>
      <c r="F128" s="16">
        <f t="shared" si="7"/>
        <v>469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01971</v>
      </c>
      <c r="B129" s="16">
        <f t="shared" si="7"/>
        <v>104</v>
      </c>
      <c r="C129" s="16">
        <f t="shared" si="7"/>
        <v>0</v>
      </c>
      <c r="D129" s="16">
        <f t="shared" si="7"/>
        <v>197</v>
      </c>
      <c r="E129" s="16">
        <f t="shared" si="7"/>
        <v>1</v>
      </c>
      <c r="F129" s="16">
        <f t="shared" si="7"/>
        <v>469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02001</v>
      </c>
      <c r="B130" s="16">
        <f t="shared" si="7"/>
        <v>104</v>
      </c>
      <c r="C130" s="16">
        <f t="shared" si="7"/>
        <v>0</v>
      </c>
      <c r="D130" s="16">
        <f t="shared" si="7"/>
        <v>200</v>
      </c>
      <c r="E130" s="16">
        <f t="shared" si="7"/>
        <v>1</v>
      </c>
      <c r="F130" s="16">
        <f t="shared" si="7"/>
        <v>1300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62" si="8">INDIRECT(ADDRESS(ROW()+$A$1,COLUMN(),1,TRUE,$C$1))</f>
        <v>02031</v>
      </c>
      <c r="B131" s="16">
        <f t="shared" si="7"/>
        <v>104</v>
      </c>
      <c r="C131" s="16">
        <f t="shared" si="7"/>
        <v>0</v>
      </c>
      <c r="D131" s="16">
        <f t="shared" si="7"/>
        <v>203</v>
      </c>
      <c r="E131" s="16">
        <f t="shared" si="7"/>
        <v>1</v>
      </c>
      <c r="F131" s="16">
        <f t="shared" si="7"/>
        <v>469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02061</v>
      </c>
      <c r="B132" s="16">
        <f t="shared" si="7"/>
        <v>104</v>
      </c>
      <c r="C132" s="16">
        <f t="shared" si="7"/>
        <v>0</v>
      </c>
      <c r="D132" s="16">
        <f t="shared" si="7"/>
        <v>206</v>
      </c>
      <c r="E132" s="16">
        <f t="shared" si="7"/>
        <v>1</v>
      </c>
      <c r="F132" s="16">
        <f t="shared" si="7"/>
        <v>469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02091</v>
      </c>
      <c r="B133" s="16">
        <f t="shared" si="7"/>
        <v>104</v>
      </c>
      <c r="C133" s="16">
        <f t="shared" si="7"/>
        <v>0</v>
      </c>
      <c r="D133" s="16">
        <f t="shared" si="7"/>
        <v>209</v>
      </c>
      <c r="E133" s="16">
        <f t="shared" si="7"/>
        <v>1</v>
      </c>
      <c r="F133" s="16">
        <f t="shared" si="7"/>
        <v>469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02121</v>
      </c>
      <c r="B134" s="16">
        <f t="shared" si="7"/>
        <v>104</v>
      </c>
      <c r="C134" s="16">
        <f t="shared" si="7"/>
        <v>0</v>
      </c>
      <c r="D134" s="16">
        <f t="shared" si="7"/>
        <v>212</v>
      </c>
      <c r="E134" s="16">
        <f t="shared" si="7"/>
        <v>1</v>
      </c>
      <c r="F134" s="16">
        <f t="shared" si="7"/>
        <v>469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02151</v>
      </c>
      <c r="B135" s="16">
        <f t="shared" si="7"/>
        <v>104</v>
      </c>
      <c r="C135" s="16">
        <f t="shared" si="7"/>
        <v>0</v>
      </c>
      <c r="D135" s="16">
        <f t="shared" si="7"/>
        <v>215</v>
      </c>
      <c r="E135" s="16">
        <f t="shared" si="7"/>
        <v>1</v>
      </c>
      <c r="F135" s="16">
        <f t="shared" si="7"/>
        <v>469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02181</v>
      </c>
      <c r="B136" s="16">
        <f t="shared" si="7"/>
        <v>104</v>
      </c>
      <c r="C136" s="16">
        <f t="shared" si="7"/>
        <v>0</v>
      </c>
      <c r="D136" s="16">
        <f t="shared" si="7"/>
        <v>218</v>
      </c>
      <c r="E136" s="16">
        <f t="shared" si="7"/>
        <v>1</v>
      </c>
      <c r="F136" s="16">
        <f t="shared" si="7"/>
        <v>469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02211</v>
      </c>
      <c r="B137" s="16">
        <f t="shared" si="7"/>
        <v>104</v>
      </c>
      <c r="C137" s="16">
        <f t="shared" si="7"/>
        <v>0</v>
      </c>
      <c r="D137" s="16">
        <f t="shared" si="7"/>
        <v>221</v>
      </c>
      <c r="E137" s="16">
        <f t="shared" si="7"/>
        <v>1</v>
      </c>
      <c r="F137" s="16">
        <f t="shared" si="7"/>
        <v>469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02241</v>
      </c>
      <c r="B138" s="16">
        <f t="shared" si="7"/>
        <v>104</v>
      </c>
      <c r="C138" s="16">
        <f t="shared" si="7"/>
        <v>0</v>
      </c>
      <c r="D138" s="16">
        <f t="shared" si="7"/>
        <v>224</v>
      </c>
      <c r="E138" s="16">
        <f t="shared" si="7"/>
        <v>1</v>
      </c>
      <c r="F138" s="16">
        <f t="shared" si="7"/>
        <v>469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02271</v>
      </c>
      <c r="B139" s="16">
        <f t="shared" si="7"/>
        <v>104</v>
      </c>
      <c r="C139" s="16">
        <f t="shared" si="7"/>
        <v>0</v>
      </c>
      <c r="D139" s="16">
        <f t="shared" si="7"/>
        <v>227</v>
      </c>
      <c r="E139" s="16">
        <f t="shared" si="7"/>
        <v>1</v>
      </c>
      <c r="F139" s="16">
        <f t="shared" si="7"/>
        <v>1300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02301</v>
      </c>
      <c r="B140" s="16">
        <f t="shared" si="7"/>
        <v>104</v>
      </c>
      <c r="C140" s="16">
        <f t="shared" si="7"/>
        <v>0</v>
      </c>
      <c r="D140" s="16">
        <f t="shared" si="7"/>
        <v>230</v>
      </c>
      <c r="E140" s="16">
        <f t="shared" si="7"/>
        <v>1</v>
      </c>
      <c r="F140" s="16">
        <f t="shared" si="7"/>
        <v>469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02331</v>
      </c>
      <c r="B141" s="16">
        <f t="shared" si="7"/>
        <v>104</v>
      </c>
      <c r="C141" s="16">
        <f t="shared" si="7"/>
        <v>0</v>
      </c>
      <c r="D141" s="16">
        <f t="shared" si="7"/>
        <v>233</v>
      </c>
      <c r="E141" s="16">
        <f t="shared" si="7"/>
        <v>1</v>
      </c>
      <c r="F141" s="16">
        <f t="shared" si="7"/>
        <v>469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02361</v>
      </c>
      <c r="B142" s="16">
        <f t="shared" si="7"/>
        <v>104</v>
      </c>
      <c r="C142" s="16">
        <f t="shared" si="7"/>
        <v>0</v>
      </c>
      <c r="D142" s="16">
        <f t="shared" si="7"/>
        <v>236</v>
      </c>
      <c r="E142" s="16">
        <f t="shared" si="7"/>
        <v>1</v>
      </c>
      <c r="F142" s="16">
        <f t="shared" si="7"/>
        <v>1300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01711</v>
      </c>
      <c r="B143" s="16">
        <f t="shared" si="7"/>
        <v>104</v>
      </c>
      <c r="C143" s="16">
        <f t="shared" si="7"/>
        <v>0</v>
      </c>
      <c r="D143" s="16">
        <f t="shared" si="7"/>
        <v>171</v>
      </c>
      <c r="E143" s="16">
        <f t="shared" si="7"/>
        <v>1</v>
      </c>
      <c r="F143" s="16">
        <f t="shared" si="7"/>
        <v>2184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02011</v>
      </c>
      <c r="B144" s="16">
        <f t="shared" si="7"/>
        <v>104</v>
      </c>
      <c r="C144" s="16">
        <f t="shared" si="7"/>
        <v>0</v>
      </c>
      <c r="D144" s="16">
        <f t="shared" si="7"/>
        <v>201</v>
      </c>
      <c r="E144" s="16">
        <f t="shared" si="7"/>
        <v>1</v>
      </c>
      <c r="F144" s="16">
        <f t="shared" si="7"/>
        <v>2184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02281</v>
      </c>
      <c r="B145" s="16">
        <f t="shared" si="7"/>
        <v>104</v>
      </c>
      <c r="C145" s="16">
        <f t="shared" si="7"/>
        <v>0</v>
      </c>
      <c r="D145" s="16">
        <f t="shared" si="7"/>
        <v>228</v>
      </c>
      <c r="E145" s="16">
        <f t="shared" si="7"/>
        <v>1</v>
      </c>
      <c r="F145" s="16">
        <f t="shared" si="7"/>
        <v>416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02371</v>
      </c>
      <c r="B146" s="16">
        <f t="shared" si="7"/>
        <v>104</v>
      </c>
      <c r="C146" s="16">
        <f t="shared" si="7"/>
        <v>0</v>
      </c>
      <c r="D146" s="16">
        <f t="shared" si="7"/>
        <v>237</v>
      </c>
      <c r="E146" s="16">
        <f t="shared" si="7"/>
        <v>1</v>
      </c>
      <c r="F146" s="16">
        <f t="shared" si="7"/>
        <v>416</v>
      </c>
      <c r="G146" s="16">
        <f t="shared" ref="B146:K162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02381</v>
      </c>
      <c r="B147" s="16">
        <f t="shared" si="9"/>
        <v>104</v>
      </c>
      <c r="C147" s="16">
        <f t="shared" si="9"/>
        <v>0</v>
      </c>
      <c r="D147" s="16">
        <f t="shared" si="9"/>
        <v>238</v>
      </c>
      <c r="E147" s="16">
        <f t="shared" si="9"/>
        <v>1</v>
      </c>
      <c r="F147" s="16">
        <f t="shared" si="9"/>
        <v>1165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02391</v>
      </c>
      <c r="B148" s="16">
        <f t="shared" si="9"/>
        <v>104</v>
      </c>
      <c r="C148" s="16">
        <f t="shared" si="9"/>
        <v>0</v>
      </c>
      <c r="D148" s="16">
        <f t="shared" si="9"/>
        <v>239</v>
      </c>
      <c r="E148" s="16">
        <f t="shared" si="9"/>
        <v>1</v>
      </c>
      <c r="F148" s="16">
        <f t="shared" si="9"/>
        <v>469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02411</v>
      </c>
      <c r="B149" s="16">
        <f t="shared" si="9"/>
        <v>104</v>
      </c>
      <c r="C149" s="16">
        <f t="shared" si="9"/>
        <v>0</v>
      </c>
      <c r="D149" s="16">
        <f t="shared" si="9"/>
        <v>241</v>
      </c>
      <c r="E149" s="16">
        <f t="shared" si="9"/>
        <v>1</v>
      </c>
      <c r="F149" s="16">
        <f t="shared" si="9"/>
        <v>1165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02421</v>
      </c>
      <c r="B150" s="16">
        <f t="shared" si="9"/>
        <v>104</v>
      </c>
      <c r="C150" s="16">
        <f t="shared" si="9"/>
        <v>0</v>
      </c>
      <c r="D150" s="16">
        <f t="shared" si="9"/>
        <v>242</v>
      </c>
      <c r="E150" s="16">
        <f t="shared" si="9"/>
        <v>1</v>
      </c>
      <c r="F150" s="16">
        <f t="shared" si="9"/>
        <v>469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02441</v>
      </c>
      <c r="B151" s="16">
        <f t="shared" si="9"/>
        <v>104</v>
      </c>
      <c r="C151" s="16">
        <f t="shared" si="9"/>
        <v>0</v>
      </c>
      <c r="D151" s="16">
        <f t="shared" si="9"/>
        <v>244</v>
      </c>
      <c r="E151" s="16">
        <f t="shared" si="9"/>
        <v>1</v>
      </c>
      <c r="F151" s="16">
        <f t="shared" si="9"/>
        <v>1165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02451</v>
      </c>
      <c r="B152" s="16">
        <f t="shared" si="9"/>
        <v>104</v>
      </c>
      <c r="C152" s="16">
        <f t="shared" si="9"/>
        <v>0</v>
      </c>
      <c r="D152" s="16">
        <f t="shared" si="9"/>
        <v>245</v>
      </c>
      <c r="E152" s="16">
        <f t="shared" si="9"/>
        <v>1</v>
      </c>
      <c r="F152" s="16">
        <f t="shared" si="9"/>
        <v>469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02471</v>
      </c>
      <c r="B153" s="16">
        <f t="shared" si="9"/>
        <v>104</v>
      </c>
      <c r="C153" s="16">
        <f t="shared" si="9"/>
        <v>0</v>
      </c>
      <c r="D153" s="16">
        <f t="shared" si="9"/>
        <v>247</v>
      </c>
      <c r="E153" s="16">
        <f t="shared" si="9"/>
        <v>1</v>
      </c>
      <c r="F153" s="16">
        <f t="shared" si="9"/>
        <v>1165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02481</v>
      </c>
      <c r="B154" s="16">
        <f t="shared" si="9"/>
        <v>104</v>
      </c>
      <c r="C154" s="16">
        <f t="shared" si="9"/>
        <v>0</v>
      </c>
      <c r="D154" s="16">
        <f t="shared" si="9"/>
        <v>248</v>
      </c>
      <c r="E154" s="16">
        <f t="shared" si="9"/>
        <v>1</v>
      </c>
      <c r="F154" s="16">
        <f t="shared" si="9"/>
        <v>469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02501</v>
      </c>
      <c r="B155" s="16">
        <f t="shared" si="9"/>
        <v>104</v>
      </c>
      <c r="C155" s="16">
        <f t="shared" si="9"/>
        <v>0</v>
      </c>
      <c r="D155" s="16">
        <f t="shared" si="9"/>
        <v>250</v>
      </c>
      <c r="E155" s="16">
        <f t="shared" si="9"/>
        <v>1</v>
      </c>
      <c r="F155" s="16">
        <f t="shared" si="9"/>
        <v>1165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02511</v>
      </c>
      <c r="B156" s="16">
        <f t="shared" si="9"/>
        <v>104</v>
      </c>
      <c r="C156" s="16">
        <f t="shared" si="9"/>
        <v>0</v>
      </c>
      <c r="D156" s="16">
        <f t="shared" si="9"/>
        <v>251</v>
      </c>
      <c r="E156" s="16">
        <f t="shared" si="9"/>
        <v>1</v>
      </c>
      <c r="F156" s="16">
        <f t="shared" si="9"/>
        <v>469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02531</v>
      </c>
      <c r="B157" s="16">
        <f t="shared" si="9"/>
        <v>104</v>
      </c>
      <c r="C157" s="16">
        <f t="shared" si="9"/>
        <v>0</v>
      </c>
      <c r="D157" s="16">
        <f t="shared" si="9"/>
        <v>253</v>
      </c>
      <c r="E157" s="16">
        <f t="shared" si="9"/>
        <v>1</v>
      </c>
      <c r="F157" s="16">
        <f t="shared" si="9"/>
        <v>1165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02541</v>
      </c>
      <c r="B158" s="16">
        <f t="shared" si="9"/>
        <v>104</v>
      </c>
      <c r="C158" s="16">
        <f t="shared" si="9"/>
        <v>0</v>
      </c>
      <c r="D158" s="16">
        <f t="shared" si="9"/>
        <v>254</v>
      </c>
      <c r="E158" s="16">
        <f t="shared" si="9"/>
        <v>1</v>
      </c>
      <c r="F158" s="16">
        <f t="shared" si="9"/>
        <v>469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02561</v>
      </c>
      <c r="B159" s="16">
        <f t="shared" si="9"/>
        <v>104</v>
      </c>
      <c r="C159" s="16">
        <f t="shared" si="9"/>
        <v>0</v>
      </c>
      <c r="D159" s="16">
        <f t="shared" si="9"/>
        <v>256</v>
      </c>
      <c r="E159" s="16">
        <f t="shared" si="9"/>
        <v>1</v>
      </c>
      <c r="F159" s="16">
        <f t="shared" si="9"/>
        <v>1165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02571</v>
      </c>
      <c r="B160" s="16">
        <f t="shared" si="9"/>
        <v>104</v>
      </c>
      <c r="C160" s="16">
        <f t="shared" si="9"/>
        <v>0</v>
      </c>
      <c r="D160" s="16">
        <f t="shared" si="9"/>
        <v>257</v>
      </c>
      <c r="E160" s="16">
        <f t="shared" si="9"/>
        <v>1</v>
      </c>
      <c r="F160" s="16">
        <f t="shared" si="9"/>
        <v>469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02591</v>
      </c>
      <c r="B161" s="16">
        <f t="shared" si="9"/>
        <v>104</v>
      </c>
      <c r="C161" s="16">
        <f t="shared" si="9"/>
        <v>0</v>
      </c>
      <c r="D161" s="16">
        <f t="shared" si="9"/>
        <v>259</v>
      </c>
      <c r="E161" s="16">
        <f t="shared" si="9"/>
        <v>1</v>
      </c>
      <c r="F161" s="16">
        <f t="shared" si="9"/>
        <v>1165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02601</v>
      </c>
      <c r="B162" s="16">
        <f t="shared" si="9"/>
        <v>104</v>
      </c>
      <c r="C162" s="16">
        <f t="shared" si="9"/>
        <v>0</v>
      </c>
      <c r="D162" s="16">
        <f t="shared" si="9"/>
        <v>260</v>
      </c>
      <c r="E162" s="16">
        <f t="shared" si="9"/>
        <v>1</v>
      </c>
      <c r="F162" s="16">
        <f t="shared" si="9"/>
        <v>469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 customFormat="1" ht="14"/>
    <row r="164" spans="1:11" customFormat="1" ht="14"/>
    <row r="165" spans="1:11" customFormat="1" ht="14"/>
    <row r="166" spans="1:11" customFormat="1" ht="14"/>
    <row r="167" spans="1:11" customFormat="1" ht="14"/>
    <row r="168" spans="1:11" customFormat="1" ht="14"/>
    <row r="169" spans="1:11" customFormat="1" ht="14"/>
    <row r="170" spans="1:11" customFormat="1" ht="14"/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K22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0" sqref="O30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gacha_unit_tables_105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105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1104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105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1104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105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1104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105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1104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105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1104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105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1104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105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1104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105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1104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105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1104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105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1104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105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1104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105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1104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105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1104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105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1104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105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1104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105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1104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105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1104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105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1104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105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1104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105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1104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105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961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105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2660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105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961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105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961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105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961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105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961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105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961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105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961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105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961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105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961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105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961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105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2660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105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961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105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961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105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961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105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961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105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961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105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961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105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961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105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961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105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2660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105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319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105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319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105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2660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11711</v>
      </c>
      <c r="B47" s="16">
        <f t="shared" si="3"/>
        <v>105</v>
      </c>
      <c r="C47" s="16">
        <f t="shared" si="3"/>
        <v>1</v>
      </c>
      <c r="D47" s="16">
        <f t="shared" si="3"/>
        <v>171</v>
      </c>
      <c r="E47" s="16">
        <f t="shared" si="3"/>
        <v>1</v>
      </c>
      <c r="F47" s="16">
        <f t="shared" si="3"/>
        <v>1176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12011</v>
      </c>
      <c r="B48" s="16">
        <f t="shared" si="3"/>
        <v>105</v>
      </c>
      <c r="C48" s="16">
        <f t="shared" si="3"/>
        <v>1</v>
      </c>
      <c r="D48" s="16">
        <f t="shared" si="3"/>
        <v>201</v>
      </c>
      <c r="E48" s="16">
        <f t="shared" si="3"/>
        <v>1</v>
      </c>
      <c r="F48" s="16">
        <f t="shared" si="3"/>
        <v>1176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12281</v>
      </c>
      <c r="B49" s="16">
        <f t="shared" si="3"/>
        <v>105</v>
      </c>
      <c r="C49" s="16">
        <f t="shared" si="3"/>
        <v>1</v>
      </c>
      <c r="D49" s="16">
        <f t="shared" si="3"/>
        <v>228</v>
      </c>
      <c r="E49" s="16">
        <f t="shared" si="3"/>
        <v>1</v>
      </c>
      <c r="F49" s="16">
        <f t="shared" si="3"/>
        <v>224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12371</v>
      </c>
      <c r="B50" s="16">
        <f t="shared" si="3"/>
        <v>105</v>
      </c>
      <c r="C50" s="16">
        <f t="shared" si="3"/>
        <v>1</v>
      </c>
      <c r="D50" s="16">
        <f t="shared" si="3"/>
        <v>237</v>
      </c>
      <c r="E50" s="16">
        <f t="shared" si="3"/>
        <v>1</v>
      </c>
      <c r="F50" s="16">
        <f t="shared" si="3"/>
        <v>224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12391</v>
      </c>
      <c r="B51" s="16">
        <f t="shared" si="3"/>
        <v>105</v>
      </c>
      <c r="C51" s="16">
        <f t="shared" si="3"/>
        <v>1</v>
      </c>
      <c r="D51" s="16">
        <f t="shared" si="3"/>
        <v>239</v>
      </c>
      <c r="E51" s="16">
        <f t="shared" si="3"/>
        <v>1</v>
      </c>
      <c r="F51" s="16">
        <f t="shared" si="3"/>
        <v>319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12421</v>
      </c>
      <c r="B52" s="16">
        <f t="shared" si="3"/>
        <v>105</v>
      </c>
      <c r="C52" s="16">
        <f t="shared" si="3"/>
        <v>1</v>
      </c>
      <c r="D52" s="16">
        <f t="shared" si="3"/>
        <v>242</v>
      </c>
      <c r="E52" s="16">
        <f t="shared" si="3"/>
        <v>1</v>
      </c>
      <c r="F52" s="16">
        <f t="shared" si="3"/>
        <v>319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12451</v>
      </c>
      <c r="B53" s="16">
        <f t="shared" si="3"/>
        <v>105</v>
      </c>
      <c r="C53" s="16">
        <f t="shared" si="3"/>
        <v>1</v>
      </c>
      <c r="D53" s="16">
        <f t="shared" si="3"/>
        <v>245</v>
      </c>
      <c r="E53" s="16">
        <f t="shared" si="3"/>
        <v>1</v>
      </c>
      <c r="F53" s="16">
        <f t="shared" si="3"/>
        <v>319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12481</v>
      </c>
      <c r="B54" s="16">
        <f t="shared" si="3"/>
        <v>105</v>
      </c>
      <c r="C54" s="16">
        <f t="shared" si="3"/>
        <v>1</v>
      </c>
      <c r="D54" s="16">
        <f t="shared" si="3"/>
        <v>248</v>
      </c>
      <c r="E54" s="16">
        <f t="shared" si="3"/>
        <v>1</v>
      </c>
      <c r="F54" s="16">
        <f t="shared" si="3"/>
        <v>319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12511</v>
      </c>
      <c r="B55" s="16">
        <f t="shared" si="3"/>
        <v>105</v>
      </c>
      <c r="C55" s="16">
        <f t="shared" si="3"/>
        <v>1</v>
      </c>
      <c r="D55" s="16">
        <f t="shared" si="3"/>
        <v>251</v>
      </c>
      <c r="E55" s="16">
        <f t="shared" si="3"/>
        <v>1</v>
      </c>
      <c r="F55" s="16">
        <f t="shared" si="3"/>
        <v>319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12541</v>
      </c>
      <c r="B56" s="16">
        <f t="shared" si="3"/>
        <v>105</v>
      </c>
      <c r="C56" s="16">
        <f t="shared" si="3"/>
        <v>1</v>
      </c>
      <c r="D56" s="16">
        <f t="shared" si="3"/>
        <v>254</v>
      </c>
      <c r="E56" s="16">
        <f t="shared" si="3"/>
        <v>1</v>
      </c>
      <c r="F56" s="16">
        <f t="shared" si="3"/>
        <v>319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12571</v>
      </c>
      <c r="B57" s="16">
        <f t="shared" si="3"/>
        <v>105</v>
      </c>
      <c r="C57" s="16">
        <f t="shared" si="3"/>
        <v>1</v>
      </c>
      <c r="D57" s="16">
        <f t="shared" si="3"/>
        <v>257</v>
      </c>
      <c r="E57" s="16">
        <f t="shared" si="3"/>
        <v>1</v>
      </c>
      <c r="F57" s="16">
        <f t="shared" si="3"/>
        <v>319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12601</v>
      </c>
      <c r="B58" s="16">
        <f t="shared" si="3"/>
        <v>105</v>
      </c>
      <c r="C58" s="16">
        <f t="shared" si="3"/>
        <v>1</v>
      </c>
      <c r="D58" s="16">
        <f t="shared" si="3"/>
        <v>260</v>
      </c>
      <c r="E58" s="16">
        <f t="shared" si="3"/>
        <v>1</v>
      </c>
      <c r="F58" s="16">
        <f t="shared" si="3"/>
        <v>319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01261</v>
      </c>
      <c r="B59" s="16">
        <f t="shared" si="3"/>
        <v>105</v>
      </c>
      <c r="C59" s="16">
        <f t="shared" si="3"/>
        <v>0</v>
      </c>
      <c r="D59" s="16">
        <f t="shared" si="3"/>
        <v>126</v>
      </c>
      <c r="E59" s="16">
        <f t="shared" si="3"/>
        <v>1</v>
      </c>
      <c r="F59" s="16">
        <f t="shared" si="3"/>
        <v>1511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01281</v>
      </c>
      <c r="B60" s="16">
        <f t="shared" si="3"/>
        <v>105</v>
      </c>
      <c r="C60" s="16">
        <f t="shared" si="3"/>
        <v>0</v>
      </c>
      <c r="D60" s="16">
        <f t="shared" si="3"/>
        <v>128</v>
      </c>
      <c r="E60" s="16">
        <f t="shared" si="3"/>
        <v>1</v>
      </c>
      <c r="F60" s="16">
        <f t="shared" si="3"/>
        <v>1511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01301</v>
      </c>
      <c r="B61" s="16">
        <f t="shared" si="3"/>
        <v>105</v>
      </c>
      <c r="C61" s="16">
        <f t="shared" si="3"/>
        <v>0</v>
      </c>
      <c r="D61" s="16">
        <f t="shared" si="3"/>
        <v>130</v>
      </c>
      <c r="E61" s="16">
        <f t="shared" si="3"/>
        <v>1</v>
      </c>
      <c r="F61" s="16">
        <f t="shared" si="3"/>
        <v>1511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01321</v>
      </c>
      <c r="B62" s="16">
        <f t="shared" si="3"/>
        <v>105</v>
      </c>
      <c r="C62" s="16">
        <f t="shared" si="3"/>
        <v>0</v>
      </c>
      <c r="D62" s="16">
        <f t="shared" si="3"/>
        <v>132</v>
      </c>
      <c r="E62" s="16">
        <f t="shared" si="3"/>
        <v>1</v>
      </c>
      <c r="F62" s="16">
        <f t="shared" si="3"/>
        <v>1511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01341</v>
      </c>
      <c r="B63" s="16">
        <f t="shared" si="3"/>
        <v>105</v>
      </c>
      <c r="C63" s="16">
        <f t="shared" si="3"/>
        <v>0</v>
      </c>
      <c r="D63" s="16">
        <f t="shared" si="3"/>
        <v>134</v>
      </c>
      <c r="E63" s="16">
        <f t="shared" si="3"/>
        <v>1</v>
      </c>
      <c r="F63" s="16">
        <f t="shared" si="3"/>
        <v>1511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01361</v>
      </c>
      <c r="B64" s="16">
        <f t="shared" si="3"/>
        <v>105</v>
      </c>
      <c r="C64" s="16">
        <f t="shared" si="3"/>
        <v>0</v>
      </c>
      <c r="D64" s="16">
        <f t="shared" si="3"/>
        <v>136</v>
      </c>
      <c r="E64" s="16">
        <f t="shared" si="3"/>
        <v>1</v>
      </c>
      <c r="F64" s="16">
        <f t="shared" si="3"/>
        <v>1511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01381</v>
      </c>
      <c r="B65" s="16">
        <f t="shared" si="3"/>
        <v>105</v>
      </c>
      <c r="C65" s="16">
        <f t="shared" si="3"/>
        <v>0</v>
      </c>
      <c r="D65" s="16">
        <f t="shared" si="3"/>
        <v>138</v>
      </c>
      <c r="E65" s="16">
        <f t="shared" si="3"/>
        <v>1</v>
      </c>
      <c r="F65" s="16">
        <f t="shared" si="3"/>
        <v>1511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01401</v>
      </c>
      <c r="B66" s="16">
        <f t="shared" si="3"/>
        <v>105</v>
      </c>
      <c r="C66" s="16">
        <f t="shared" si="3"/>
        <v>0</v>
      </c>
      <c r="D66" s="16">
        <f t="shared" si="3"/>
        <v>140</v>
      </c>
      <c r="E66" s="16">
        <f t="shared" si="3"/>
        <v>1</v>
      </c>
      <c r="F66" s="16">
        <f t="shared" si="3"/>
        <v>1511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01421</v>
      </c>
      <c r="B67" s="16">
        <f t="shared" si="3"/>
        <v>105</v>
      </c>
      <c r="C67" s="16">
        <f t="shared" si="3"/>
        <v>0</v>
      </c>
      <c r="D67" s="16">
        <f t="shared" si="3"/>
        <v>142</v>
      </c>
      <c r="E67" s="16">
        <f t="shared" si="3"/>
        <v>1</v>
      </c>
      <c r="F67" s="16">
        <f t="shared" si="3"/>
        <v>1511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01441</v>
      </c>
      <c r="B68" s="16">
        <f t="shared" si="3"/>
        <v>105</v>
      </c>
      <c r="C68" s="16">
        <f t="shared" si="3"/>
        <v>0</v>
      </c>
      <c r="D68" s="16">
        <f t="shared" si="3"/>
        <v>144</v>
      </c>
      <c r="E68" s="16">
        <f t="shared" si="3"/>
        <v>1</v>
      </c>
      <c r="F68" s="16">
        <f t="shared" si="3"/>
        <v>1511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01461</v>
      </c>
      <c r="B69" s="16">
        <f t="shared" si="3"/>
        <v>105</v>
      </c>
      <c r="C69" s="16">
        <f t="shared" si="3"/>
        <v>0</v>
      </c>
      <c r="D69" s="16">
        <f t="shared" si="3"/>
        <v>146</v>
      </c>
      <c r="E69" s="16">
        <f t="shared" si="3"/>
        <v>1</v>
      </c>
      <c r="F69" s="16">
        <f t="shared" si="3"/>
        <v>1511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01481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105</v>
      </c>
      <c r="C70" s="16">
        <f t="shared" si="5"/>
        <v>0</v>
      </c>
      <c r="D70" s="16">
        <f t="shared" si="5"/>
        <v>148</v>
      </c>
      <c r="E70" s="16">
        <f t="shared" si="5"/>
        <v>1</v>
      </c>
      <c r="F70" s="16">
        <f t="shared" si="5"/>
        <v>1511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01501</v>
      </c>
      <c r="B71" s="16">
        <f t="shared" si="5"/>
        <v>105</v>
      </c>
      <c r="C71" s="16">
        <f t="shared" si="5"/>
        <v>0</v>
      </c>
      <c r="D71" s="16">
        <f t="shared" si="5"/>
        <v>150</v>
      </c>
      <c r="E71" s="16">
        <f t="shared" si="5"/>
        <v>1</v>
      </c>
      <c r="F71" s="16">
        <f t="shared" si="5"/>
        <v>1511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01521</v>
      </c>
      <c r="B72" s="16">
        <f t="shared" si="5"/>
        <v>105</v>
      </c>
      <c r="C72" s="16">
        <f t="shared" si="5"/>
        <v>0</v>
      </c>
      <c r="D72" s="16">
        <f t="shared" si="5"/>
        <v>152</v>
      </c>
      <c r="E72" s="16">
        <f t="shared" si="5"/>
        <v>1</v>
      </c>
      <c r="F72" s="16">
        <f t="shared" si="5"/>
        <v>1511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01541</v>
      </c>
      <c r="B73" s="16">
        <f t="shared" si="5"/>
        <v>105</v>
      </c>
      <c r="C73" s="16">
        <f t="shared" si="5"/>
        <v>0</v>
      </c>
      <c r="D73" s="16">
        <f t="shared" si="5"/>
        <v>154</v>
      </c>
      <c r="E73" s="16">
        <f t="shared" si="5"/>
        <v>1</v>
      </c>
      <c r="F73" s="16">
        <f t="shared" si="5"/>
        <v>1511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01561</v>
      </c>
      <c r="B74" s="16">
        <f t="shared" si="5"/>
        <v>105</v>
      </c>
      <c r="C74" s="16">
        <f t="shared" si="5"/>
        <v>0</v>
      </c>
      <c r="D74" s="16">
        <f t="shared" si="5"/>
        <v>156</v>
      </c>
      <c r="E74" s="16">
        <f t="shared" si="5"/>
        <v>1</v>
      </c>
      <c r="F74" s="16">
        <f t="shared" si="5"/>
        <v>1511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01581</v>
      </c>
      <c r="B75" s="16">
        <f t="shared" si="5"/>
        <v>105</v>
      </c>
      <c r="C75" s="16">
        <f t="shared" si="5"/>
        <v>0</v>
      </c>
      <c r="D75" s="16">
        <f t="shared" si="5"/>
        <v>158</v>
      </c>
      <c r="E75" s="16">
        <f t="shared" si="5"/>
        <v>1</v>
      </c>
      <c r="F75" s="16">
        <f t="shared" si="5"/>
        <v>1511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01601</v>
      </c>
      <c r="B76" s="16">
        <f t="shared" si="5"/>
        <v>105</v>
      </c>
      <c r="C76" s="16">
        <f t="shared" si="5"/>
        <v>0</v>
      </c>
      <c r="D76" s="16">
        <f t="shared" si="5"/>
        <v>160</v>
      </c>
      <c r="E76" s="16">
        <f t="shared" si="5"/>
        <v>1</v>
      </c>
      <c r="F76" s="16">
        <f t="shared" si="5"/>
        <v>1511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01621</v>
      </c>
      <c r="B77" s="16">
        <f t="shared" si="5"/>
        <v>105</v>
      </c>
      <c r="C77" s="16">
        <f t="shared" si="5"/>
        <v>0</v>
      </c>
      <c r="D77" s="16">
        <f t="shared" si="5"/>
        <v>162</v>
      </c>
      <c r="E77" s="16">
        <f t="shared" si="5"/>
        <v>1</v>
      </c>
      <c r="F77" s="16">
        <f t="shared" si="5"/>
        <v>1511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01641</v>
      </c>
      <c r="B78" s="16">
        <f t="shared" si="5"/>
        <v>105</v>
      </c>
      <c r="C78" s="16">
        <f t="shared" si="5"/>
        <v>0</v>
      </c>
      <c r="D78" s="16">
        <f t="shared" si="5"/>
        <v>164</v>
      </c>
      <c r="E78" s="16">
        <f t="shared" si="5"/>
        <v>1</v>
      </c>
      <c r="F78" s="16">
        <f t="shared" si="5"/>
        <v>1511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01661</v>
      </c>
      <c r="B79" s="16">
        <f t="shared" si="5"/>
        <v>105</v>
      </c>
      <c r="C79" s="16">
        <f t="shared" si="5"/>
        <v>0</v>
      </c>
      <c r="D79" s="16">
        <f t="shared" si="5"/>
        <v>166</v>
      </c>
      <c r="E79" s="16">
        <f t="shared" si="5"/>
        <v>1</v>
      </c>
      <c r="F79" s="16">
        <f t="shared" si="5"/>
        <v>1719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01721</v>
      </c>
      <c r="B80" s="16">
        <f t="shared" si="5"/>
        <v>105</v>
      </c>
      <c r="C80" s="16">
        <f t="shared" si="5"/>
        <v>0</v>
      </c>
      <c r="D80" s="16">
        <f t="shared" si="5"/>
        <v>172</v>
      </c>
      <c r="E80" s="16">
        <f t="shared" si="5"/>
        <v>1</v>
      </c>
      <c r="F80" s="16">
        <f t="shared" si="5"/>
        <v>1719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01751</v>
      </c>
      <c r="B81" s="16">
        <f t="shared" si="5"/>
        <v>105</v>
      </c>
      <c r="C81" s="16">
        <f t="shared" si="5"/>
        <v>0</v>
      </c>
      <c r="D81" s="16">
        <f t="shared" si="5"/>
        <v>175</v>
      </c>
      <c r="E81" s="16">
        <f t="shared" si="5"/>
        <v>1</v>
      </c>
      <c r="F81" s="16">
        <f t="shared" si="5"/>
        <v>1719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01781</v>
      </c>
      <c r="B82" s="16">
        <f t="shared" si="5"/>
        <v>105</v>
      </c>
      <c r="C82" s="16">
        <f t="shared" si="5"/>
        <v>0</v>
      </c>
      <c r="D82" s="16">
        <f t="shared" si="5"/>
        <v>178</v>
      </c>
      <c r="E82" s="16">
        <f t="shared" si="5"/>
        <v>1</v>
      </c>
      <c r="F82" s="16">
        <f t="shared" si="5"/>
        <v>1719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01811</v>
      </c>
      <c r="B83" s="16">
        <f t="shared" si="5"/>
        <v>105</v>
      </c>
      <c r="C83" s="16">
        <f t="shared" si="5"/>
        <v>0</v>
      </c>
      <c r="D83" s="16">
        <f t="shared" si="5"/>
        <v>181</v>
      </c>
      <c r="E83" s="16">
        <f t="shared" si="5"/>
        <v>1</v>
      </c>
      <c r="F83" s="16">
        <f t="shared" si="5"/>
        <v>1719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01841</v>
      </c>
      <c r="B84" s="16">
        <f t="shared" si="5"/>
        <v>105</v>
      </c>
      <c r="C84" s="16">
        <f t="shared" si="5"/>
        <v>0</v>
      </c>
      <c r="D84" s="16">
        <f t="shared" si="5"/>
        <v>184</v>
      </c>
      <c r="E84" s="16">
        <f t="shared" si="5"/>
        <v>1</v>
      </c>
      <c r="F84" s="16">
        <f t="shared" si="5"/>
        <v>1719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01871</v>
      </c>
      <c r="B85" s="16">
        <f t="shared" si="5"/>
        <v>105</v>
      </c>
      <c r="C85" s="16">
        <f t="shared" si="5"/>
        <v>0</v>
      </c>
      <c r="D85" s="16">
        <f t="shared" si="5"/>
        <v>187</v>
      </c>
      <c r="E85" s="16">
        <f t="shared" si="5"/>
        <v>1</v>
      </c>
      <c r="F85" s="16">
        <f t="shared" si="5"/>
        <v>1719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01901</v>
      </c>
      <c r="B86" s="16">
        <f t="shared" si="5"/>
        <v>105</v>
      </c>
      <c r="C86" s="16">
        <f t="shared" si="5"/>
        <v>0</v>
      </c>
      <c r="D86" s="16">
        <f t="shared" si="5"/>
        <v>190</v>
      </c>
      <c r="E86" s="16">
        <f t="shared" si="5"/>
        <v>1</v>
      </c>
      <c r="F86" s="16">
        <f t="shared" si="5"/>
        <v>1719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01931</v>
      </c>
      <c r="B87" s="16">
        <f t="shared" si="5"/>
        <v>105</v>
      </c>
      <c r="C87" s="16">
        <f t="shared" si="5"/>
        <v>0</v>
      </c>
      <c r="D87" s="16">
        <f t="shared" si="5"/>
        <v>193</v>
      </c>
      <c r="E87" s="16">
        <f t="shared" si="5"/>
        <v>1</v>
      </c>
      <c r="F87" s="16">
        <f t="shared" si="5"/>
        <v>1719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01961</v>
      </c>
      <c r="B88" s="16">
        <f t="shared" si="5"/>
        <v>105</v>
      </c>
      <c r="C88" s="16">
        <f t="shared" si="5"/>
        <v>0</v>
      </c>
      <c r="D88" s="16">
        <f t="shared" si="5"/>
        <v>196</v>
      </c>
      <c r="E88" s="16">
        <f t="shared" si="5"/>
        <v>1</v>
      </c>
      <c r="F88" s="16">
        <f t="shared" si="5"/>
        <v>1719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02021</v>
      </c>
      <c r="B89" s="16">
        <f t="shared" si="5"/>
        <v>105</v>
      </c>
      <c r="C89" s="16">
        <f t="shared" si="5"/>
        <v>0</v>
      </c>
      <c r="D89" s="16">
        <f t="shared" si="5"/>
        <v>202</v>
      </c>
      <c r="E89" s="16">
        <f t="shared" si="5"/>
        <v>1</v>
      </c>
      <c r="F89" s="16">
        <f t="shared" si="5"/>
        <v>1719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02051</v>
      </c>
      <c r="B90" s="16">
        <f t="shared" si="5"/>
        <v>105</v>
      </c>
      <c r="C90" s="16">
        <f t="shared" si="5"/>
        <v>0</v>
      </c>
      <c r="D90" s="16">
        <f t="shared" si="5"/>
        <v>205</v>
      </c>
      <c r="E90" s="16">
        <f t="shared" si="5"/>
        <v>1</v>
      </c>
      <c r="F90" s="16">
        <f t="shared" si="5"/>
        <v>1719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02081</v>
      </c>
      <c r="B91" s="16">
        <f t="shared" si="5"/>
        <v>105</v>
      </c>
      <c r="C91" s="16">
        <f t="shared" si="5"/>
        <v>0</v>
      </c>
      <c r="D91" s="16">
        <f t="shared" si="5"/>
        <v>208</v>
      </c>
      <c r="E91" s="16">
        <f t="shared" si="5"/>
        <v>1</v>
      </c>
      <c r="F91" s="16">
        <f t="shared" si="5"/>
        <v>1719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02111</v>
      </c>
      <c r="B92" s="16">
        <f t="shared" si="5"/>
        <v>105</v>
      </c>
      <c r="C92" s="16">
        <f t="shared" si="5"/>
        <v>0</v>
      </c>
      <c r="D92" s="16">
        <f t="shared" si="5"/>
        <v>211</v>
      </c>
      <c r="E92" s="16">
        <f t="shared" si="5"/>
        <v>1</v>
      </c>
      <c r="F92" s="16">
        <f t="shared" si="5"/>
        <v>1719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02141</v>
      </c>
      <c r="B93" s="16">
        <f t="shared" si="5"/>
        <v>105</v>
      </c>
      <c r="C93" s="16">
        <f t="shared" si="5"/>
        <v>0</v>
      </c>
      <c r="D93" s="16">
        <f t="shared" si="5"/>
        <v>214</v>
      </c>
      <c r="E93" s="16">
        <f t="shared" si="5"/>
        <v>1</v>
      </c>
      <c r="F93" s="16">
        <f t="shared" si="5"/>
        <v>1719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02171</v>
      </c>
      <c r="B94" s="16">
        <f t="shared" si="5"/>
        <v>105</v>
      </c>
      <c r="C94" s="16">
        <f t="shared" si="5"/>
        <v>0</v>
      </c>
      <c r="D94" s="16">
        <f t="shared" si="5"/>
        <v>217</v>
      </c>
      <c r="E94" s="16">
        <f t="shared" si="5"/>
        <v>1</v>
      </c>
      <c r="F94" s="16">
        <f t="shared" si="5"/>
        <v>1719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02201</v>
      </c>
      <c r="B95" s="16">
        <f t="shared" si="5"/>
        <v>105</v>
      </c>
      <c r="C95" s="16">
        <f t="shared" si="5"/>
        <v>0</v>
      </c>
      <c r="D95" s="16">
        <f t="shared" si="5"/>
        <v>220</v>
      </c>
      <c r="E95" s="16">
        <f t="shared" si="5"/>
        <v>1</v>
      </c>
      <c r="F95" s="16">
        <f t="shared" si="5"/>
        <v>1719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02231</v>
      </c>
      <c r="B96" s="16">
        <f t="shared" si="6"/>
        <v>105</v>
      </c>
      <c r="C96" s="16">
        <f t="shared" si="6"/>
        <v>0</v>
      </c>
      <c r="D96" s="16">
        <f t="shared" si="6"/>
        <v>223</v>
      </c>
      <c r="E96" s="16">
        <f t="shared" si="6"/>
        <v>1</v>
      </c>
      <c r="F96" s="16">
        <f t="shared" si="6"/>
        <v>1719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02291</v>
      </c>
      <c r="B97" s="16">
        <f t="shared" si="6"/>
        <v>105</v>
      </c>
      <c r="C97" s="16">
        <f t="shared" si="6"/>
        <v>0</v>
      </c>
      <c r="D97" s="16">
        <f t="shared" si="6"/>
        <v>229</v>
      </c>
      <c r="E97" s="16">
        <f t="shared" si="6"/>
        <v>1</v>
      </c>
      <c r="F97" s="16">
        <f t="shared" si="6"/>
        <v>1165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02321</v>
      </c>
      <c r="B98" s="16">
        <f t="shared" si="6"/>
        <v>105</v>
      </c>
      <c r="C98" s="16">
        <f t="shared" si="6"/>
        <v>0</v>
      </c>
      <c r="D98" s="16">
        <f t="shared" si="6"/>
        <v>232</v>
      </c>
      <c r="E98" s="16">
        <f t="shared" si="6"/>
        <v>1</v>
      </c>
      <c r="F98" s="16">
        <f t="shared" si="6"/>
        <v>1165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01271</v>
      </c>
      <c r="B99" s="16">
        <f t="shared" si="6"/>
        <v>105</v>
      </c>
      <c r="C99" s="16">
        <f t="shared" si="6"/>
        <v>0</v>
      </c>
      <c r="D99" s="16">
        <f t="shared" si="6"/>
        <v>127</v>
      </c>
      <c r="E99" s="16">
        <f t="shared" si="6"/>
        <v>1</v>
      </c>
      <c r="F99" s="16">
        <f t="shared" si="6"/>
        <v>540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01291</v>
      </c>
      <c r="B100" s="16">
        <f t="shared" si="6"/>
        <v>105</v>
      </c>
      <c r="C100" s="16">
        <f t="shared" si="6"/>
        <v>0</v>
      </c>
      <c r="D100" s="16">
        <f t="shared" si="6"/>
        <v>129</v>
      </c>
      <c r="E100" s="16">
        <f t="shared" si="6"/>
        <v>1</v>
      </c>
      <c r="F100" s="16">
        <f t="shared" si="6"/>
        <v>540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01311</v>
      </c>
      <c r="B101" s="16">
        <f t="shared" si="6"/>
        <v>105</v>
      </c>
      <c r="C101" s="16">
        <f t="shared" si="6"/>
        <v>0</v>
      </c>
      <c r="D101" s="16">
        <f t="shared" si="6"/>
        <v>131</v>
      </c>
      <c r="E101" s="16">
        <f t="shared" si="6"/>
        <v>1</v>
      </c>
      <c r="F101" s="16">
        <f t="shared" si="6"/>
        <v>540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01331</v>
      </c>
      <c r="B102" s="16">
        <f t="shared" si="6"/>
        <v>105</v>
      </c>
      <c r="C102" s="16">
        <f t="shared" si="6"/>
        <v>0</v>
      </c>
      <c r="D102" s="16">
        <f t="shared" si="6"/>
        <v>133</v>
      </c>
      <c r="E102" s="16">
        <f t="shared" si="6"/>
        <v>1</v>
      </c>
      <c r="F102" s="16">
        <f t="shared" si="6"/>
        <v>540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01351</v>
      </c>
      <c r="B103" s="16">
        <f t="shared" si="6"/>
        <v>105</v>
      </c>
      <c r="C103" s="16">
        <f t="shared" si="6"/>
        <v>0</v>
      </c>
      <c r="D103" s="16">
        <f t="shared" si="6"/>
        <v>135</v>
      </c>
      <c r="E103" s="16">
        <f t="shared" si="6"/>
        <v>1</v>
      </c>
      <c r="F103" s="16">
        <f t="shared" si="6"/>
        <v>540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01371</v>
      </c>
      <c r="B104" s="16">
        <f t="shared" si="6"/>
        <v>105</v>
      </c>
      <c r="C104" s="16">
        <f t="shared" si="6"/>
        <v>0</v>
      </c>
      <c r="D104" s="16">
        <f t="shared" si="6"/>
        <v>137</v>
      </c>
      <c r="E104" s="16">
        <f t="shared" si="6"/>
        <v>1</v>
      </c>
      <c r="F104" s="16">
        <f t="shared" si="6"/>
        <v>540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01391</v>
      </c>
      <c r="B105" s="16">
        <f t="shared" si="6"/>
        <v>105</v>
      </c>
      <c r="C105" s="16">
        <f t="shared" si="6"/>
        <v>0</v>
      </c>
      <c r="D105" s="16">
        <f t="shared" si="6"/>
        <v>139</v>
      </c>
      <c r="E105" s="16">
        <f t="shared" si="6"/>
        <v>1</v>
      </c>
      <c r="F105" s="16">
        <f t="shared" si="6"/>
        <v>540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01411</v>
      </c>
      <c r="B106" s="16">
        <f t="shared" si="6"/>
        <v>105</v>
      </c>
      <c r="C106" s="16">
        <f t="shared" si="6"/>
        <v>0</v>
      </c>
      <c r="D106" s="16">
        <f t="shared" si="6"/>
        <v>141</v>
      </c>
      <c r="E106" s="16">
        <f t="shared" si="6"/>
        <v>1</v>
      </c>
      <c r="F106" s="16">
        <f t="shared" si="6"/>
        <v>540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01431</v>
      </c>
      <c r="B107" s="16">
        <f t="shared" si="6"/>
        <v>105</v>
      </c>
      <c r="C107" s="16">
        <f t="shared" si="6"/>
        <v>0</v>
      </c>
      <c r="D107" s="16">
        <f t="shared" si="6"/>
        <v>143</v>
      </c>
      <c r="E107" s="16">
        <f t="shared" si="6"/>
        <v>1</v>
      </c>
      <c r="F107" s="16">
        <f t="shared" si="6"/>
        <v>540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01451</v>
      </c>
      <c r="B108" s="16">
        <f t="shared" si="6"/>
        <v>105</v>
      </c>
      <c r="C108" s="16">
        <f t="shared" si="6"/>
        <v>0</v>
      </c>
      <c r="D108" s="16">
        <f t="shared" si="6"/>
        <v>145</v>
      </c>
      <c r="E108" s="16">
        <f t="shared" si="6"/>
        <v>1</v>
      </c>
      <c r="F108" s="16">
        <f t="shared" si="6"/>
        <v>540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01471</v>
      </c>
      <c r="B109" s="16">
        <f t="shared" si="6"/>
        <v>105</v>
      </c>
      <c r="C109" s="16">
        <f t="shared" si="6"/>
        <v>0</v>
      </c>
      <c r="D109" s="16">
        <f t="shared" si="6"/>
        <v>147</v>
      </c>
      <c r="E109" s="16">
        <f t="shared" si="6"/>
        <v>1</v>
      </c>
      <c r="F109" s="16">
        <f t="shared" si="6"/>
        <v>540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01491</v>
      </c>
      <c r="B110" s="16">
        <f t="shared" si="6"/>
        <v>105</v>
      </c>
      <c r="C110" s="16">
        <f t="shared" si="6"/>
        <v>0</v>
      </c>
      <c r="D110" s="16">
        <f t="shared" si="6"/>
        <v>149</v>
      </c>
      <c r="E110" s="16">
        <f t="shared" si="6"/>
        <v>1</v>
      </c>
      <c r="F110" s="16">
        <f t="shared" si="6"/>
        <v>540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01511</v>
      </c>
      <c r="B111" s="16">
        <f t="shared" si="6"/>
        <v>105</v>
      </c>
      <c r="C111" s="16">
        <f t="shared" si="6"/>
        <v>0</v>
      </c>
      <c r="D111" s="16">
        <f t="shared" si="6"/>
        <v>151</v>
      </c>
      <c r="E111" s="16">
        <f t="shared" si="6"/>
        <v>1</v>
      </c>
      <c r="F111" s="16">
        <f t="shared" si="6"/>
        <v>540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01531</v>
      </c>
      <c r="B112" s="16">
        <f t="shared" si="6"/>
        <v>105</v>
      </c>
      <c r="C112" s="16">
        <f t="shared" si="6"/>
        <v>0</v>
      </c>
      <c r="D112" s="16">
        <f t="shared" si="6"/>
        <v>153</v>
      </c>
      <c r="E112" s="16">
        <f t="shared" si="6"/>
        <v>1</v>
      </c>
      <c r="F112" s="16">
        <f t="shared" si="6"/>
        <v>540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01551</v>
      </c>
      <c r="B113" s="16">
        <f t="shared" si="6"/>
        <v>105</v>
      </c>
      <c r="C113" s="16">
        <f t="shared" si="6"/>
        <v>0</v>
      </c>
      <c r="D113" s="16">
        <f t="shared" si="6"/>
        <v>155</v>
      </c>
      <c r="E113" s="16">
        <f t="shared" si="6"/>
        <v>1</v>
      </c>
      <c r="F113" s="16">
        <f t="shared" si="6"/>
        <v>540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01571</v>
      </c>
      <c r="B114" s="16">
        <f t="shared" si="6"/>
        <v>105</v>
      </c>
      <c r="C114" s="16">
        <f t="shared" si="6"/>
        <v>0</v>
      </c>
      <c r="D114" s="16">
        <f t="shared" si="6"/>
        <v>157</v>
      </c>
      <c r="E114" s="16">
        <f t="shared" si="6"/>
        <v>1</v>
      </c>
      <c r="F114" s="16">
        <f t="shared" si="6"/>
        <v>540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01591</v>
      </c>
      <c r="B115" s="16">
        <f t="shared" si="6"/>
        <v>105</v>
      </c>
      <c r="C115" s="16">
        <f t="shared" si="6"/>
        <v>0</v>
      </c>
      <c r="D115" s="16">
        <f t="shared" si="6"/>
        <v>159</v>
      </c>
      <c r="E115" s="16">
        <f t="shared" si="6"/>
        <v>1</v>
      </c>
      <c r="F115" s="16">
        <f t="shared" si="6"/>
        <v>540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01611</v>
      </c>
      <c r="B116" s="16">
        <f t="shared" si="6"/>
        <v>105</v>
      </c>
      <c r="C116" s="16">
        <f t="shared" si="6"/>
        <v>0</v>
      </c>
      <c r="D116" s="16">
        <f t="shared" si="6"/>
        <v>161</v>
      </c>
      <c r="E116" s="16">
        <f t="shared" si="6"/>
        <v>1</v>
      </c>
      <c r="F116" s="16">
        <f t="shared" si="6"/>
        <v>540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01631</v>
      </c>
      <c r="B117" s="16">
        <f t="shared" si="6"/>
        <v>105</v>
      </c>
      <c r="C117" s="16">
        <f t="shared" si="6"/>
        <v>0</v>
      </c>
      <c r="D117" s="16">
        <f t="shared" si="6"/>
        <v>163</v>
      </c>
      <c r="E117" s="16">
        <f t="shared" si="6"/>
        <v>1</v>
      </c>
      <c r="F117" s="16">
        <f t="shared" si="6"/>
        <v>540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01651</v>
      </c>
      <c r="B118" s="16">
        <f t="shared" si="6"/>
        <v>105</v>
      </c>
      <c r="C118" s="16">
        <f t="shared" si="6"/>
        <v>0</v>
      </c>
      <c r="D118" s="16">
        <f t="shared" si="6"/>
        <v>165</v>
      </c>
      <c r="E118" s="16">
        <f t="shared" si="6"/>
        <v>1</v>
      </c>
      <c r="F118" s="16">
        <f t="shared" si="6"/>
        <v>540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01671</v>
      </c>
      <c r="B119" s="16">
        <f t="shared" si="6"/>
        <v>105</v>
      </c>
      <c r="C119" s="16">
        <f t="shared" si="6"/>
        <v>0</v>
      </c>
      <c r="D119" s="16">
        <f t="shared" si="6"/>
        <v>167</v>
      </c>
      <c r="E119" s="16">
        <f t="shared" si="6"/>
        <v>1</v>
      </c>
      <c r="F119" s="16">
        <f t="shared" si="6"/>
        <v>469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01701</v>
      </c>
      <c r="B120" s="16">
        <f t="shared" si="6"/>
        <v>105</v>
      </c>
      <c r="C120" s="16">
        <f t="shared" si="6"/>
        <v>0</v>
      </c>
      <c r="D120" s="16">
        <f t="shared" si="6"/>
        <v>170</v>
      </c>
      <c r="E120" s="16">
        <f t="shared" si="6"/>
        <v>1</v>
      </c>
      <c r="F120" s="16">
        <f t="shared" si="6"/>
        <v>1300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01731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105</v>
      </c>
      <c r="C121" s="16">
        <f t="shared" si="7"/>
        <v>0</v>
      </c>
      <c r="D121" s="16">
        <f t="shared" si="7"/>
        <v>173</v>
      </c>
      <c r="E121" s="16">
        <f t="shared" si="7"/>
        <v>1</v>
      </c>
      <c r="F121" s="16">
        <f t="shared" si="7"/>
        <v>469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01761</v>
      </c>
      <c r="B122" s="16">
        <f t="shared" si="7"/>
        <v>105</v>
      </c>
      <c r="C122" s="16">
        <f t="shared" si="7"/>
        <v>0</v>
      </c>
      <c r="D122" s="16">
        <f t="shared" si="7"/>
        <v>176</v>
      </c>
      <c r="E122" s="16">
        <f t="shared" si="7"/>
        <v>1</v>
      </c>
      <c r="F122" s="16">
        <f t="shared" si="7"/>
        <v>469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01791</v>
      </c>
      <c r="B123" s="16">
        <f t="shared" si="7"/>
        <v>105</v>
      </c>
      <c r="C123" s="16">
        <f t="shared" si="7"/>
        <v>0</v>
      </c>
      <c r="D123" s="16">
        <f t="shared" si="7"/>
        <v>179</v>
      </c>
      <c r="E123" s="16">
        <f t="shared" si="7"/>
        <v>1</v>
      </c>
      <c r="F123" s="16">
        <f t="shared" si="7"/>
        <v>469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01821</v>
      </c>
      <c r="B124" s="16">
        <f t="shared" si="7"/>
        <v>105</v>
      </c>
      <c r="C124" s="16">
        <f t="shared" si="7"/>
        <v>0</v>
      </c>
      <c r="D124" s="16">
        <f t="shared" si="7"/>
        <v>182</v>
      </c>
      <c r="E124" s="16">
        <f t="shared" si="7"/>
        <v>1</v>
      </c>
      <c r="F124" s="16">
        <f t="shared" si="7"/>
        <v>469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01851</v>
      </c>
      <c r="B125" s="16">
        <f t="shared" si="7"/>
        <v>105</v>
      </c>
      <c r="C125" s="16">
        <f t="shared" si="7"/>
        <v>0</v>
      </c>
      <c r="D125" s="16">
        <f t="shared" si="7"/>
        <v>185</v>
      </c>
      <c r="E125" s="16">
        <f t="shared" si="7"/>
        <v>1</v>
      </c>
      <c r="F125" s="16">
        <f t="shared" si="7"/>
        <v>469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01881</v>
      </c>
      <c r="B126" s="16">
        <f t="shared" si="7"/>
        <v>105</v>
      </c>
      <c r="C126" s="16">
        <f t="shared" si="7"/>
        <v>0</v>
      </c>
      <c r="D126" s="16">
        <f t="shared" si="7"/>
        <v>188</v>
      </c>
      <c r="E126" s="16">
        <f t="shared" si="7"/>
        <v>1</v>
      </c>
      <c r="F126" s="16">
        <f t="shared" si="7"/>
        <v>469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01911</v>
      </c>
      <c r="B127" s="16">
        <f t="shared" si="7"/>
        <v>105</v>
      </c>
      <c r="C127" s="16">
        <f t="shared" si="7"/>
        <v>0</v>
      </c>
      <c r="D127" s="16">
        <f t="shared" si="7"/>
        <v>191</v>
      </c>
      <c r="E127" s="16">
        <f t="shared" si="7"/>
        <v>1</v>
      </c>
      <c r="F127" s="16">
        <f t="shared" si="7"/>
        <v>469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01941</v>
      </c>
      <c r="B128" s="16">
        <f t="shared" si="7"/>
        <v>105</v>
      </c>
      <c r="C128" s="16">
        <f t="shared" si="7"/>
        <v>0</v>
      </c>
      <c r="D128" s="16">
        <f t="shared" si="7"/>
        <v>194</v>
      </c>
      <c r="E128" s="16">
        <f t="shared" si="7"/>
        <v>1</v>
      </c>
      <c r="F128" s="16">
        <f t="shared" si="7"/>
        <v>469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01971</v>
      </c>
      <c r="B129" s="16">
        <f t="shared" si="7"/>
        <v>105</v>
      </c>
      <c r="C129" s="16">
        <f t="shared" si="7"/>
        <v>0</v>
      </c>
      <c r="D129" s="16">
        <f t="shared" si="7"/>
        <v>197</v>
      </c>
      <c r="E129" s="16">
        <f t="shared" si="7"/>
        <v>1</v>
      </c>
      <c r="F129" s="16">
        <f t="shared" si="7"/>
        <v>469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02001</v>
      </c>
      <c r="B130" s="16">
        <f t="shared" si="7"/>
        <v>105</v>
      </c>
      <c r="C130" s="16">
        <f t="shared" si="7"/>
        <v>0</v>
      </c>
      <c r="D130" s="16">
        <f t="shared" si="7"/>
        <v>200</v>
      </c>
      <c r="E130" s="16">
        <f t="shared" si="7"/>
        <v>1</v>
      </c>
      <c r="F130" s="16">
        <f t="shared" si="7"/>
        <v>1300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62" si="8">INDIRECT(ADDRESS(ROW()+$A$1,COLUMN(),1,TRUE,$C$1))</f>
        <v>02031</v>
      </c>
      <c r="B131" s="16">
        <f t="shared" si="7"/>
        <v>105</v>
      </c>
      <c r="C131" s="16">
        <f t="shared" si="7"/>
        <v>0</v>
      </c>
      <c r="D131" s="16">
        <f t="shared" si="7"/>
        <v>203</v>
      </c>
      <c r="E131" s="16">
        <f t="shared" si="7"/>
        <v>1</v>
      </c>
      <c r="F131" s="16">
        <f t="shared" si="7"/>
        <v>469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02061</v>
      </c>
      <c r="B132" s="16">
        <f t="shared" si="7"/>
        <v>105</v>
      </c>
      <c r="C132" s="16">
        <f t="shared" si="7"/>
        <v>0</v>
      </c>
      <c r="D132" s="16">
        <f t="shared" si="7"/>
        <v>206</v>
      </c>
      <c r="E132" s="16">
        <f t="shared" si="7"/>
        <v>1</v>
      </c>
      <c r="F132" s="16">
        <f t="shared" si="7"/>
        <v>469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02091</v>
      </c>
      <c r="B133" s="16">
        <f t="shared" si="7"/>
        <v>105</v>
      </c>
      <c r="C133" s="16">
        <f t="shared" si="7"/>
        <v>0</v>
      </c>
      <c r="D133" s="16">
        <f t="shared" si="7"/>
        <v>209</v>
      </c>
      <c r="E133" s="16">
        <f t="shared" si="7"/>
        <v>1</v>
      </c>
      <c r="F133" s="16">
        <f t="shared" si="7"/>
        <v>469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02121</v>
      </c>
      <c r="B134" s="16">
        <f t="shared" si="7"/>
        <v>105</v>
      </c>
      <c r="C134" s="16">
        <f t="shared" si="7"/>
        <v>0</v>
      </c>
      <c r="D134" s="16">
        <f t="shared" si="7"/>
        <v>212</v>
      </c>
      <c r="E134" s="16">
        <f t="shared" si="7"/>
        <v>1</v>
      </c>
      <c r="F134" s="16">
        <f t="shared" si="7"/>
        <v>469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02151</v>
      </c>
      <c r="B135" s="16">
        <f t="shared" si="7"/>
        <v>105</v>
      </c>
      <c r="C135" s="16">
        <f t="shared" si="7"/>
        <v>0</v>
      </c>
      <c r="D135" s="16">
        <f t="shared" si="7"/>
        <v>215</v>
      </c>
      <c r="E135" s="16">
        <f t="shared" si="7"/>
        <v>1</v>
      </c>
      <c r="F135" s="16">
        <f t="shared" si="7"/>
        <v>469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02181</v>
      </c>
      <c r="B136" s="16">
        <f t="shared" si="7"/>
        <v>105</v>
      </c>
      <c r="C136" s="16">
        <f t="shared" si="7"/>
        <v>0</v>
      </c>
      <c r="D136" s="16">
        <f t="shared" si="7"/>
        <v>218</v>
      </c>
      <c r="E136" s="16">
        <f t="shared" si="7"/>
        <v>1</v>
      </c>
      <c r="F136" s="16">
        <f t="shared" si="7"/>
        <v>469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02211</v>
      </c>
      <c r="B137" s="16">
        <f t="shared" si="7"/>
        <v>105</v>
      </c>
      <c r="C137" s="16">
        <f t="shared" si="7"/>
        <v>0</v>
      </c>
      <c r="D137" s="16">
        <f t="shared" si="7"/>
        <v>221</v>
      </c>
      <c r="E137" s="16">
        <f t="shared" si="7"/>
        <v>1</v>
      </c>
      <c r="F137" s="16">
        <f t="shared" si="7"/>
        <v>469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02241</v>
      </c>
      <c r="B138" s="16">
        <f t="shared" si="7"/>
        <v>105</v>
      </c>
      <c r="C138" s="16">
        <f t="shared" si="7"/>
        <v>0</v>
      </c>
      <c r="D138" s="16">
        <f t="shared" si="7"/>
        <v>224</v>
      </c>
      <c r="E138" s="16">
        <f t="shared" si="7"/>
        <v>1</v>
      </c>
      <c r="F138" s="16">
        <f t="shared" si="7"/>
        <v>469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02271</v>
      </c>
      <c r="B139" s="16">
        <f t="shared" si="7"/>
        <v>105</v>
      </c>
      <c r="C139" s="16">
        <f t="shared" si="7"/>
        <v>0</v>
      </c>
      <c r="D139" s="16">
        <f t="shared" si="7"/>
        <v>227</v>
      </c>
      <c r="E139" s="16">
        <f t="shared" si="7"/>
        <v>1</v>
      </c>
      <c r="F139" s="16">
        <f t="shared" si="7"/>
        <v>1300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02301</v>
      </c>
      <c r="B140" s="16">
        <f t="shared" si="7"/>
        <v>105</v>
      </c>
      <c r="C140" s="16">
        <f t="shared" si="7"/>
        <v>0</v>
      </c>
      <c r="D140" s="16">
        <f t="shared" si="7"/>
        <v>230</v>
      </c>
      <c r="E140" s="16">
        <f t="shared" si="7"/>
        <v>1</v>
      </c>
      <c r="F140" s="16">
        <f t="shared" si="7"/>
        <v>469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02331</v>
      </c>
      <c r="B141" s="16">
        <f t="shared" si="7"/>
        <v>105</v>
      </c>
      <c r="C141" s="16">
        <f t="shared" si="7"/>
        <v>0</v>
      </c>
      <c r="D141" s="16">
        <f t="shared" si="7"/>
        <v>233</v>
      </c>
      <c r="E141" s="16">
        <f t="shared" si="7"/>
        <v>1</v>
      </c>
      <c r="F141" s="16">
        <f t="shared" si="7"/>
        <v>469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02361</v>
      </c>
      <c r="B142" s="16">
        <f t="shared" si="7"/>
        <v>105</v>
      </c>
      <c r="C142" s="16">
        <f t="shared" si="7"/>
        <v>0</v>
      </c>
      <c r="D142" s="16">
        <f t="shared" si="7"/>
        <v>236</v>
      </c>
      <c r="E142" s="16">
        <f t="shared" si="7"/>
        <v>1</v>
      </c>
      <c r="F142" s="16">
        <f t="shared" si="7"/>
        <v>1300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01711</v>
      </c>
      <c r="B143" s="16">
        <f t="shared" si="7"/>
        <v>105</v>
      </c>
      <c r="C143" s="16">
        <f t="shared" si="7"/>
        <v>0</v>
      </c>
      <c r="D143" s="16">
        <f t="shared" si="7"/>
        <v>171</v>
      </c>
      <c r="E143" s="16">
        <f t="shared" si="7"/>
        <v>1</v>
      </c>
      <c r="F143" s="16">
        <f t="shared" si="7"/>
        <v>2184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02011</v>
      </c>
      <c r="B144" s="16">
        <f t="shared" si="7"/>
        <v>105</v>
      </c>
      <c r="C144" s="16">
        <f t="shared" si="7"/>
        <v>0</v>
      </c>
      <c r="D144" s="16">
        <f t="shared" si="7"/>
        <v>201</v>
      </c>
      <c r="E144" s="16">
        <f t="shared" si="7"/>
        <v>1</v>
      </c>
      <c r="F144" s="16">
        <f t="shared" si="7"/>
        <v>2184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02281</v>
      </c>
      <c r="B145" s="16">
        <f t="shared" si="7"/>
        <v>105</v>
      </c>
      <c r="C145" s="16">
        <f t="shared" si="7"/>
        <v>0</v>
      </c>
      <c r="D145" s="16">
        <f t="shared" si="7"/>
        <v>228</v>
      </c>
      <c r="E145" s="16">
        <f t="shared" si="7"/>
        <v>1</v>
      </c>
      <c r="F145" s="16">
        <f t="shared" si="7"/>
        <v>416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02371</v>
      </c>
      <c r="B146" s="16">
        <f t="shared" si="7"/>
        <v>105</v>
      </c>
      <c r="C146" s="16">
        <f t="shared" si="7"/>
        <v>0</v>
      </c>
      <c r="D146" s="16">
        <f t="shared" si="7"/>
        <v>237</v>
      </c>
      <c r="E146" s="16">
        <f t="shared" si="7"/>
        <v>1</v>
      </c>
      <c r="F146" s="16">
        <f t="shared" si="7"/>
        <v>416</v>
      </c>
      <c r="G146" s="16">
        <f t="shared" ref="B146:K162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02381</v>
      </c>
      <c r="B147" s="16">
        <f t="shared" si="9"/>
        <v>105</v>
      </c>
      <c r="C147" s="16">
        <f t="shared" si="9"/>
        <v>0</v>
      </c>
      <c r="D147" s="16">
        <f t="shared" si="9"/>
        <v>238</v>
      </c>
      <c r="E147" s="16">
        <f t="shared" si="9"/>
        <v>1</v>
      </c>
      <c r="F147" s="16">
        <f t="shared" si="9"/>
        <v>1165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02391</v>
      </c>
      <c r="B148" s="16">
        <f t="shared" si="9"/>
        <v>105</v>
      </c>
      <c r="C148" s="16">
        <f t="shared" si="9"/>
        <v>0</v>
      </c>
      <c r="D148" s="16">
        <f t="shared" si="9"/>
        <v>239</v>
      </c>
      <c r="E148" s="16">
        <f t="shared" si="9"/>
        <v>1</v>
      </c>
      <c r="F148" s="16">
        <f t="shared" si="9"/>
        <v>469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02411</v>
      </c>
      <c r="B149" s="16">
        <f t="shared" si="9"/>
        <v>105</v>
      </c>
      <c r="C149" s="16">
        <f t="shared" si="9"/>
        <v>0</v>
      </c>
      <c r="D149" s="16">
        <f t="shared" si="9"/>
        <v>241</v>
      </c>
      <c r="E149" s="16">
        <f t="shared" si="9"/>
        <v>1</v>
      </c>
      <c r="F149" s="16">
        <f t="shared" si="9"/>
        <v>1165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02421</v>
      </c>
      <c r="B150" s="16">
        <f t="shared" si="9"/>
        <v>105</v>
      </c>
      <c r="C150" s="16">
        <f t="shared" si="9"/>
        <v>0</v>
      </c>
      <c r="D150" s="16">
        <f t="shared" si="9"/>
        <v>242</v>
      </c>
      <c r="E150" s="16">
        <f t="shared" si="9"/>
        <v>1</v>
      </c>
      <c r="F150" s="16">
        <f t="shared" si="9"/>
        <v>469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02441</v>
      </c>
      <c r="B151" s="16">
        <f t="shared" si="9"/>
        <v>105</v>
      </c>
      <c r="C151" s="16">
        <f t="shared" si="9"/>
        <v>0</v>
      </c>
      <c r="D151" s="16">
        <f t="shared" si="9"/>
        <v>244</v>
      </c>
      <c r="E151" s="16">
        <f t="shared" si="9"/>
        <v>1</v>
      </c>
      <c r="F151" s="16">
        <f t="shared" si="9"/>
        <v>1165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02451</v>
      </c>
      <c r="B152" s="16">
        <f t="shared" si="9"/>
        <v>105</v>
      </c>
      <c r="C152" s="16">
        <f t="shared" si="9"/>
        <v>0</v>
      </c>
      <c r="D152" s="16">
        <f t="shared" si="9"/>
        <v>245</v>
      </c>
      <c r="E152" s="16">
        <f t="shared" si="9"/>
        <v>1</v>
      </c>
      <c r="F152" s="16">
        <f t="shared" si="9"/>
        <v>469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02471</v>
      </c>
      <c r="B153" s="16">
        <f t="shared" si="9"/>
        <v>105</v>
      </c>
      <c r="C153" s="16">
        <f t="shared" si="9"/>
        <v>0</v>
      </c>
      <c r="D153" s="16">
        <f t="shared" si="9"/>
        <v>247</v>
      </c>
      <c r="E153" s="16">
        <f t="shared" si="9"/>
        <v>1</v>
      </c>
      <c r="F153" s="16">
        <f t="shared" si="9"/>
        <v>1165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02481</v>
      </c>
      <c r="B154" s="16">
        <f t="shared" si="9"/>
        <v>105</v>
      </c>
      <c r="C154" s="16">
        <f t="shared" si="9"/>
        <v>0</v>
      </c>
      <c r="D154" s="16">
        <f t="shared" si="9"/>
        <v>248</v>
      </c>
      <c r="E154" s="16">
        <f t="shared" si="9"/>
        <v>1</v>
      </c>
      <c r="F154" s="16">
        <f t="shared" si="9"/>
        <v>469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02501</v>
      </c>
      <c r="B155" s="16">
        <f t="shared" si="9"/>
        <v>105</v>
      </c>
      <c r="C155" s="16">
        <f t="shared" si="9"/>
        <v>0</v>
      </c>
      <c r="D155" s="16">
        <f t="shared" si="9"/>
        <v>250</v>
      </c>
      <c r="E155" s="16">
        <f t="shared" si="9"/>
        <v>1</v>
      </c>
      <c r="F155" s="16">
        <f t="shared" si="9"/>
        <v>1165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02511</v>
      </c>
      <c r="B156" s="16">
        <f t="shared" si="9"/>
        <v>105</v>
      </c>
      <c r="C156" s="16">
        <f t="shared" si="9"/>
        <v>0</v>
      </c>
      <c r="D156" s="16">
        <f t="shared" si="9"/>
        <v>251</v>
      </c>
      <c r="E156" s="16">
        <f t="shared" si="9"/>
        <v>1</v>
      </c>
      <c r="F156" s="16">
        <f t="shared" si="9"/>
        <v>469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02531</v>
      </c>
      <c r="B157" s="16">
        <f t="shared" si="9"/>
        <v>105</v>
      </c>
      <c r="C157" s="16">
        <f t="shared" si="9"/>
        <v>0</v>
      </c>
      <c r="D157" s="16">
        <f t="shared" si="9"/>
        <v>253</v>
      </c>
      <c r="E157" s="16">
        <f t="shared" si="9"/>
        <v>1</v>
      </c>
      <c r="F157" s="16">
        <f t="shared" si="9"/>
        <v>1165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02541</v>
      </c>
      <c r="B158" s="16">
        <f t="shared" si="9"/>
        <v>105</v>
      </c>
      <c r="C158" s="16">
        <f t="shared" si="9"/>
        <v>0</v>
      </c>
      <c r="D158" s="16">
        <f t="shared" si="9"/>
        <v>254</v>
      </c>
      <c r="E158" s="16">
        <f t="shared" si="9"/>
        <v>1</v>
      </c>
      <c r="F158" s="16">
        <f t="shared" si="9"/>
        <v>469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02561</v>
      </c>
      <c r="B159" s="16">
        <f t="shared" si="9"/>
        <v>105</v>
      </c>
      <c r="C159" s="16">
        <f t="shared" si="9"/>
        <v>0</v>
      </c>
      <c r="D159" s="16">
        <f t="shared" si="9"/>
        <v>256</v>
      </c>
      <c r="E159" s="16">
        <f t="shared" si="9"/>
        <v>1</v>
      </c>
      <c r="F159" s="16">
        <f t="shared" si="9"/>
        <v>1165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02571</v>
      </c>
      <c r="B160" s="16">
        <f t="shared" si="9"/>
        <v>105</v>
      </c>
      <c r="C160" s="16">
        <f t="shared" si="9"/>
        <v>0</v>
      </c>
      <c r="D160" s="16">
        <f t="shared" si="9"/>
        <v>257</v>
      </c>
      <c r="E160" s="16">
        <f t="shared" si="9"/>
        <v>1</v>
      </c>
      <c r="F160" s="16">
        <f t="shared" si="9"/>
        <v>469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02591</v>
      </c>
      <c r="B161" s="16">
        <f t="shared" si="9"/>
        <v>105</v>
      </c>
      <c r="C161" s="16">
        <f t="shared" si="9"/>
        <v>0</v>
      </c>
      <c r="D161" s="16">
        <f t="shared" si="9"/>
        <v>259</v>
      </c>
      <c r="E161" s="16">
        <f t="shared" si="9"/>
        <v>1</v>
      </c>
      <c r="F161" s="16">
        <f t="shared" si="9"/>
        <v>1165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02601</v>
      </c>
      <c r="B162" s="16">
        <f t="shared" si="9"/>
        <v>105</v>
      </c>
      <c r="C162" s="16">
        <f t="shared" si="9"/>
        <v>0</v>
      </c>
      <c r="D162" s="16">
        <f t="shared" si="9"/>
        <v>260</v>
      </c>
      <c r="E162" s="16">
        <f t="shared" si="9"/>
        <v>1</v>
      </c>
      <c r="F162" s="16">
        <f t="shared" si="9"/>
        <v>469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 customFormat="1" ht="14"/>
    <row r="164" spans="1:11" customFormat="1" ht="14"/>
    <row r="165" spans="1:11" customFormat="1" ht="14"/>
    <row r="166" spans="1:11" customFormat="1" ht="14"/>
    <row r="167" spans="1:11" customFormat="1" ht="14"/>
    <row r="168" spans="1:11" customFormat="1" ht="14"/>
    <row r="169" spans="1:11" customFormat="1" ht="14"/>
    <row r="170" spans="1:11" customFormat="1" ht="14"/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1:K23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0" sqref="O30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gacha_unit_tables_106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106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1104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106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1104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106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1104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106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1104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106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1104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106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1104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106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1104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106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1104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106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1104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106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1104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106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1104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106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1104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106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1104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106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1104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106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1104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106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1104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106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1104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106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1104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106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1104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106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1104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106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961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106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2660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106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961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106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961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106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961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106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961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106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961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106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961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106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961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106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961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106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961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106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2660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106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961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106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961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106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961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106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961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106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961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106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961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106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961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106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961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106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2660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106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319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106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319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106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2660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11711</v>
      </c>
      <c r="B47" s="16">
        <f t="shared" si="3"/>
        <v>106</v>
      </c>
      <c r="C47" s="16">
        <f t="shared" si="3"/>
        <v>1</v>
      </c>
      <c r="D47" s="16">
        <f t="shared" si="3"/>
        <v>171</v>
      </c>
      <c r="E47" s="16">
        <f t="shared" si="3"/>
        <v>1</v>
      </c>
      <c r="F47" s="16">
        <f t="shared" si="3"/>
        <v>1176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12011</v>
      </c>
      <c r="B48" s="16">
        <f t="shared" si="3"/>
        <v>106</v>
      </c>
      <c r="C48" s="16">
        <f t="shared" si="3"/>
        <v>1</v>
      </c>
      <c r="D48" s="16">
        <f t="shared" si="3"/>
        <v>201</v>
      </c>
      <c r="E48" s="16">
        <f t="shared" si="3"/>
        <v>1</v>
      </c>
      <c r="F48" s="16">
        <f t="shared" si="3"/>
        <v>1176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12281</v>
      </c>
      <c r="B49" s="16">
        <f t="shared" si="3"/>
        <v>106</v>
      </c>
      <c r="C49" s="16">
        <f t="shared" si="3"/>
        <v>1</v>
      </c>
      <c r="D49" s="16">
        <f t="shared" si="3"/>
        <v>228</v>
      </c>
      <c r="E49" s="16">
        <f t="shared" si="3"/>
        <v>1</v>
      </c>
      <c r="F49" s="16">
        <f t="shared" si="3"/>
        <v>224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12371</v>
      </c>
      <c r="B50" s="16">
        <f t="shared" si="3"/>
        <v>106</v>
      </c>
      <c r="C50" s="16">
        <f t="shared" si="3"/>
        <v>1</v>
      </c>
      <c r="D50" s="16">
        <f t="shared" si="3"/>
        <v>237</v>
      </c>
      <c r="E50" s="16">
        <f t="shared" si="3"/>
        <v>1</v>
      </c>
      <c r="F50" s="16">
        <f t="shared" si="3"/>
        <v>224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12391</v>
      </c>
      <c r="B51" s="16">
        <f t="shared" si="3"/>
        <v>106</v>
      </c>
      <c r="C51" s="16">
        <f t="shared" si="3"/>
        <v>1</v>
      </c>
      <c r="D51" s="16">
        <f t="shared" si="3"/>
        <v>239</v>
      </c>
      <c r="E51" s="16">
        <f t="shared" si="3"/>
        <v>1</v>
      </c>
      <c r="F51" s="16">
        <f t="shared" si="3"/>
        <v>319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12421</v>
      </c>
      <c r="B52" s="16">
        <f t="shared" si="3"/>
        <v>106</v>
      </c>
      <c r="C52" s="16">
        <f t="shared" si="3"/>
        <v>1</v>
      </c>
      <c r="D52" s="16">
        <f t="shared" si="3"/>
        <v>242</v>
      </c>
      <c r="E52" s="16">
        <f t="shared" si="3"/>
        <v>1</v>
      </c>
      <c r="F52" s="16">
        <f t="shared" si="3"/>
        <v>319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12451</v>
      </c>
      <c r="B53" s="16">
        <f t="shared" si="3"/>
        <v>106</v>
      </c>
      <c r="C53" s="16">
        <f t="shared" si="3"/>
        <v>1</v>
      </c>
      <c r="D53" s="16">
        <f t="shared" si="3"/>
        <v>245</v>
      </c>
      <c r="E53" s="16">
        <f t="shared" si="3"/>
        <v>1</v>
      </c>
      <c r="F53" s="16">
        <f t="shared" si="3"/>
        <v>319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12481</v>
      </c>
      <c r="B54" s="16">
        <f t="shared" si="3"/>
        <v>106</v>
      </c>
      <c r="C54" s="16">
        <f t="shared" si="3"/>
        <v>1</v>
      </c>
      <c r="D54" s="16">
        <f t="shared" si="3"/>
        <v>248</v>
      </c>
      <c r="E54" s="16">
        <f t="shared" si="3"/>
        <v>1</v>
      </c>
      <c r="F54" s="16">
        <f t="shared" si="3"/>
        <v>319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12511</v>
      </c>
      <c r="B55" s="16">
        <f t="shared" si="3"/>
        <v>106</v>
      </c>
      <c r="C55" s="16">
        <f t="shared" si="3"/>
        <v>1</v>
      </c>
      <c r="D55" s="16">
        <f t="shared" si="3"/>
        <v>251</v>
      </c>
      <c r="E55" s="16">
        <f t="shared" si="3"/>
        <v>1</v>
      </c>
      <c r="F55" s="16">
        <f t="shared" si="3"/>
        <v>319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12541</v>
      </c>
      <c r="B56" s="16">
        <f t="shared" si="3"/>
        <v>106</v>
      </c>
      <c r="C56" s="16">
        <f t="shared" si="3"/>
        <v>1</v>
      </c>
      <c r="D56" s="16">
        <f t="shared" si="3"/>
        <v>254</v>
      </c>
      <c r="E56" s="16">
        <f t="shared" si="3"/>
        <v>1</v>
      </c>
      <c r="F56" s="16">
        <f t="shared" si="3"/>
        <v>319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12571</v>
      </c>
      <c r="B57" s="16">
        <f t="shared" si="3"/>
        <v>106</v>
      </c>
      <c r="C57" s="16">
        <f t="shared" si="3"/>
        <v>1</v>
      </c>
      <c r="D57" s="16">
        <f t="shared" si="3"/>
        <v>257</v>
      </c>
      <c r="E57" s="16">
        <f t="shared" si="3"/>
        <v>1</v>
      </c>
      <c r="F57" s="16">
        <f t="shared" si="3"/>
        <v>319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12601</v>
      </c>
      <c r="B58" s="16">
        <f t="shared" si="3"/>
        <v>106</v>
      </c>
      <c r="C58" s="16">
        <f t="shared" si="3"/>
        <v>1</v>
      </c>
      <c r="D58" s="16">
        <f t="shared" si="3"/>
        <v>260</v>
      </c>
      <c r="E58" s="16">
        <f t="shared" si="3"/>
        <v>1</v>
      </c>
      <c r="F58" s="16">
        <f t="shared" si="3"/>
        <v>319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01261</v>
      </c>
      <c r="B59" s="16">
        <f t="shared" si="3"/>
        <v>106</v>
      </c>
      <c r="C59" s="16">
        <f t="shared" si="3"/>
        <v>0</v>
      </c>
      <c r="D59" s="16">
        <f t="shared" si="3"/>
        <v>126</v>
      </c>
      <c r="E59" s="16">
        <f t="shared" si="3"/>
        <v>1</v>
      </c>
      <c r="F59" s="16">
        <f t="shared" si="3"/>
        <v>1511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01281</v>
      </c>
      <c r="B60" s="16">
        <f t="shared" si="3"/>
        <v>106</v>
      </c>
      <c r="C60" s="16">
        <f t="shared" si="3"/>
        <v>0</v>
      </c>
      <c r="D60" s="16">
        <f t="shared" si="3"/>
        <v>128</v>
      </c>
      <c r="E60" s="16">
        <f t="shared" si="3"/>
        <v>1</v>
      </c>
      <c r="F60" s="16">
        <f t="shared" si="3"/>
        <v>1511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01301</v>
      </c>
      <c r="B61" s="16">
        <f t="shared" si="3"/>
        <v>106</v>
      </c>
      <c r="C61" s="16">
        <f t="shared" si="3"/>
        <v>0</v>
      </c>
      <c r="D61" s="16">
        <f t="shared" si="3"/>
        <v>130</v>
      </c>
      <c r="E61" s="16">
        <f t="shared" si="3"/>
        <v>1</v>
      </c>
      <c r="F61" s="16">
        <f t="shared" si="3"/>
        <v>1511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01321</v>
      </c>
      <c r="B62" s="16">
        <f t="shared" si="3"/>
        <v>106</v>
      </c>
      <c r="C62" s="16">
        <f t="shared" si="3"/>
        <v>0</v>
      </c>
      <c r="D62" s="16">
        <f t="shared" si="3"/>
        <v>132</v>
      </c>
      <c r="E62" s="16">
        <f t="shared" si="3"/>
        <v>1</v>
      </c>
      <c r="F62" s="16">
        <f t="shared" si="3"/>
        <v>1511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01341</v>
      </c>
      <c r="B63" s="16">
        <f t="shared" si="3"/>
        <v>106</v>
      </c>
      <c r="C63" s="16">
        <f t="shared" si="3"/>
        <v>0</v>
      </c>
      <c r="D63" s="16">
        <f t="shared" si="3"/>
        <v>134</v>
      </c>
      <c r="E63" s="16">
        <f t="shared" si="3"/>
        <v>1</v>
      </c>
      <c r="F63" s="16">
        <f t="shared" si="3"/>
        <v>1511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01361</v>
      </c>
      <c r="B64" s="16">
        <f t="shared" si="3"/>
        <v>106</v>
      </c>
      <c r="C64" s="16">
        <f t="shared" si="3"/>
        <v>0</v>
      </c>
      <c r="D64" s="16">
        <f t="shared" si="3"/>
        <v>136</v>
      </c>
      <c r="E64" s="16">
        <f t="shared" si="3"/>
        <v>1</v>
      </c>
      <c r="F64" s="16">
        <f t="shared" si="3"/>
        <v>1511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01381</v>
      </c>
      <c r="B65" s="16">
        <f t="shared" si="3"/>
        <v>106</v>
      </c>
      <c r="C65" s="16">
        <f t="shared" si="3"/>
        <v>0</v>
      </c>
      <c r="D65" s="16">
        <f t="shared" si="3"/>
        <v>138</v>
      </c>
      <c r="E65" s="16">
        <f t="shared" si="3"/>
        <v>1</v>
      </c>
      <c r="F65" s="16">
        <f t="shared" si="3"/>
        <v>1511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01401</v>
      </c>
      <c r="B66" s="16">
        <f t="shared" si="3"/>
        <v>106</v>
      </c>
      <c r="C66" s="16">
        <f t="shared" si="3"/>
        <v>0</v>
      </c>
      <c r="D66" s="16">
        <f t="shared" si="3"/>
        <v>140</v>
      </c>
      <c r="E66" s="16">
        <f t="shared" si="3"/>
        <v>1</v>
      </c>
      <c r="F66" s="16">
        <f t="shared" si="3"/>
        <v>1511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01421</v>
      </c>
      <c r="B67" s="16">
        <f t="shared" si="3"/>
        <v>106</v>
      </c>
      <c r="C67" s="16">
        <f t="shared" si="3"/>
        <v>0</v>
      </c>
      <c r="D67" s="16">
        <f t="shared" si="3"/>
        <v>142</v>
      </c>
      <c r="E67" s="16">
        <f t="shared" si="3"/>
        <v>1</v>
      </c>
      <c r="F67" s="16">
        <f t="shared" si="3"/>
        <v>1511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01441</v>
      </c>
      <c r="B68" s="16">
        <f t="shared" si="3"/>
        <v>106</v>
      </c>
      <c r="C68" s="16">
        <f t="shared" si="3"/>
        <v>0</v>
      </c>
      <c r="D68" s="16">
        <f t="shared" si="3"/>
        <v>144</v>
      </c>
      <c r="E68" s="16">
        <f t="shared" si="3"/>
        <v>1</v>
      </c>
      <c r="F68" s="16">
        <f t="shared" si="3"/>
        <v>1511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01461</v>
      </c>
      <c r="B69" s="16">
        <f t="shared" si="3"/>
        <v>106</v>
      </c>
      <c r="C69" s="16">
        <f t="shared" si="3"/>
        <v>0</v>
      </c>
      <c r="D69" s="16">
        <f t="shared" si="3"/>
        <v>146</v>
      </c>
      <c r="E69" s="16">
        <f t="shared" si="3"/>
        <v>1</v>
      </c>
      <c r="F69" s="16">
        <f t="shared" si="3"/>
        <v>1511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01481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106</v>
      </c>
      <c r="C70" s="16">
        <f t="shared" si="5"/>
        <v>0</v>
      </c>
      <c r="D70" s="16">
        <f t="shared" si="5"/>
        <v>148</v>
      </c>
      <c r="E70" s="16">
        <f t="shared" si="5"/>
        <v>1</v>
      </c>
      <c r="F70" s="16">
        <f t="shared" si="5"/>
        <v>1511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01501</v>
      </c>
      <c r="B71" s="16">
        <f t="shared" si="5"/>
        <v>106</v>
      </c>
      <c r="C71" s="16">
        <f t="shared" si="5"/>
        <v>0</v>
      </c>
      <c r="D71" s="16">
        <f t="shared" si="5"/>
        <v>150</v>
      </c>
      <c r="E71" s="16">
        <f t="shared" si="5"/>
        <v>1</v>
      </c>
      <c r="F71" s="16">
        <f t="shared" si="5"/>
        <v>1511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01521</v>
      </c>
      <c r="B72" s="16">
        <f t="shared" si="5"/>
        <v>106</v>
      </c>
      <c r="C72" s="16">
        <f t="shared" si="5"/>
        <v>0</v>
      </c>
      <c r="D72" s="16">
        <f t="shared" si="5"/>
        <v>152</v>
      </c>
      <c r="E72" s="16">
        <f t="shared" si="5"/>
        <v>1</v>
      </c>
      <c r="F72" s="16">
        <f t="shared" si="5"/>
        <v>1511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01541</v>
      </c>
      <c r="B73" s="16">
        <f t="shared" si="5"/>
        <v>106</v>
      </c>
      <c r="C73" s="16">
        <f t="shared" si="5"/>
        <v>0</v>
      </c>
      <c r="D73" s="16">
        <f t="shared" si="5"/>
        <v>154</v>
      </c>
      <c r="E73" s="16">
        <f t="shared" si="5"/>
        <v>1</v>
      </c>
      <c r="F73" s="16">
        <f t="shared" si="5"/>
        <v>1511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01561</v>
      </c>
      <c r="B74" s="16">
        <f t="shared" si="5"/>
        <v>106</v>
      </c>
      <c r="C74" s="16">
        <f t="shared" si="5"/>
        <v>0</v>
      </c>
      <c r="D74" s="16">
        <f t="shared" si="5"/>
        <v>156</v>
      </c>
      <c r="E74" s="16">
        <f t="shared" si="5"/>
        <v>1</v>
      </c>
      <c r="F74" s="16">
        <f t="shared" si="5"/>
        <v>1511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01581</v>
      </c>
      <c r="B75" s="16">
        <f t="shared" si="5"/>
        <v>106</v>
      </c>
      <c r="C75" s="16">
        <f t="shared" si="5"/>
        <v>0</v>
      </c>
      <c r="D75" s="16">
        <f t="shared" si="5"/>
        <v>158</v>
      </c>
      <c r="E75" s="16">
        <f t="shared" si="5"/>
        <v>1</v>
      </c>
      <c r="F75" s="16">
        <f t="shared" si="5"/>
        <v>1511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01601</v>
      </c>
      <c r="B76" s="16">
        <f t="shared" si="5"/>
        <v>106</v>
      </c>
      <c r="C76" s="16">
        <f t="shared" si="5"/>
        <v>0</v>
      </c>
      <c r="D76" s="16">
        <f t="shared" si="5"/>
        <v>160</v>
      </c>
      <c r="E76" s="16">
        <f t="shared" si="5"/>
        <v>1</v>
      </c>
      <c r="F76" s="16">
        <f t="shared" si="5"/>
        <v>1511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01621</v>
      </c>
      <c r="B77" s="16">
        <f t="shared" si="5"/>
        <v>106</v>
      </c>
      <c r="C77" s="16">
        <f t="shared" si="5"/>
        <v>0</v>
      </c>
      <c r="D77" s="16">
        <f t="shared" si="5"/>
        <v>162</v>
      </c>
      <c r="E77" s="16">
        <f t="shared" si="5"/>
        <v>1</v>
      </c>
      <c r="F77" s="16">
        <f t="shared" si="5"/>
        <v>1511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01641</v>
      </c>
      <c r="B78" s="16">
        <f t="shared" si="5"/>
        <v>106</v>
      </c>
      <c r="C78" s="16">
        <f t="shared" si="5"/>
        <v>0</v>
      </c>
      <c r="D78" s="16">
        <f t="shared" si="5"/>
        <v>164</v>
      </c>
      <c r="E78" s="16">
        <f t="shared" si="5"/>
        <v>1</v>
      </c>
      <c r="F78" s="16">
        <f t="shared" si="5"/>
        <v>1511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01661</v>
      </c>
      <c r="B79" s="16">
        <f t="shared" si="5"/>
        <v>106</v>
      </c>
      <c r="C79" s="16">
        <f t="shared" si="5"/>
        <v>0</v>
      </c>
      <c r="D79" s="16">
        <f t="shared" si="5"/>
        <v>166</v>
      </c>
      <c r="E79" s="16">
        <f t="shared" si="5"/>
        <v>1</v>
      </c>
      <c r="F79" s="16">
        <f t="shared" si="5"/>
        <v>1719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01721</v>
      </c>
      <c r="B80" s="16">
        <f t="shared" si="5"/>
        <v>106</v>
      </c>
      <c r="C80" s="16">
        <f t="shared" si="5"/>
        <v>0</v>
      </c>
      <c r="D80" s="16">
        <f t="shared" si="5"/>
        <v>172</v>
      </c>
      <c r="E80" s="16">
        <f t="shared" si="5"/>
        <v>1</v>
      </c>
      <c r="F80" s="16">
        <f t="shared" si="5"/>
        <v>1719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01751</v>
      </c>
      <c r="B81" s="16">
        <f t="shared" si="5"/>
        <v>106</v>
      </c>
      <c r="C81" s="16">
        <f t="shared" si="5"/>
        <v>0</v>
      </c>
      <c r="D81" s="16">
        <f t="shared" si="5"/>
        <v>175</v>
      </c>
      <c r="E81" s="16">
        <f t="shared" si="5"/>
        <v>1</v>
      </c>
      <c r="F81" s="16">
        <f t="shared" si="5"/>
        <v>1719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01781</v>
      </c>
      <c r="B82" s="16">
        <f t="shared" si="5"/>
        <v>106</v>
      </c>
      <c r="C82" s="16">
        <f t="shared" si="5"/>
        <v>0</v>
      </c>
      <c r="D82" s="16">
        <f t="shared" si="5"/>
        <v>178</v>
      </c>
      <c r="E82" s="16">
        <f t="shared" si="5"/>
        <v>1</v>
      </c>
      <c r="F82" s="16">
        <f t="shared" si="5"/>
        <v>1719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01811</v>
      </c>
      <c r="B83" s="16">
        <f t="shared" si="5"/>
        <v>106</v>
      </c>
      <c r="C83" s="16">
        <f t="shared" si="5"/>
        <v>0</v>
      </c>
      <c r="D83" s="16">
        <f t="shared" si="5"/>
        <v>181</v>
      </c>
      <c r="E83" s="16">
        <f t="shared" si="5"/>
        <v>1</v>
      </c>
      <c r="F83" s="16">
        <f t="shared" si="5"/>
        <v>1719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01841</v>
      </c>
      <c r="B84" s="16">
        <f t="shared" si="5"/>
        <v>106</v>
      </c>
      <c r="C84" s="16">
        <f t="shared" si="5"/>
        <v>0</v>
      </c>
      <c r="D84" s="16">
        <f t="shared" si="5"/>
        <v>184</v>
      </c>
      <c r="E84" s="16">
        <f t="shared" si="5"/>
        <v>1</v>
      </c>
      <c r="F84" s="16">
        <f t="shared" si="5"/>
        <v>1719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01871</v>
      </c>
      <c r="B85" s="16">
        <f t="shared" si="5"/>
        <v>106</v>
      </c>
      <c r="C85" s="16">
        <f t="shared" si="5"/>
        <v>0</v>
      </c>
      <c r="D85" s="16">
        <f t="shared" si="5"/>
        <v>187</v>
      </c>
      <c r="E85" s="16">
        <f t="shared" si="5"/>
        <v>1</v>
      </c>
      <c r="F85" s="16">
        <f t="shared" si="5"/>
        <v>1719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01901</v>
      </c>
      <c r="B86" s="16">
        <f t="shared" si="5"/>
        <v>106</v>
      </c>
      <c r="C86" s="16">
        <f t="shared" si="5"/>
        <v>0</v>
      </c>
      <c r="D86" s="16">
        <f t="shared" si="5"/>
        <v>190</v>
      </c>
      <c r="E86" s="16">
        <f t="shared" si="5"/>
        <v>1</v>
      </c>
      <c r="F86" s="16">
        <f t="shared" si="5"/>
        <v>1719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01931</v>
      </c>
      <c r="B87" s="16">
        <f t="shared" si="5"/>
        <v>106</v>
      </c>
      <c r="C87" s="16">
        <f t="shared" si="5"/>
        <v>0</v>
      </c>
      <c r="D87" s="16">
        <f t="shared" si="5"/>
        <v>193</v>
      </c>
      <c r="E87" s="16">
        <f t="shared" si="5"/>
        <v>1</v>
      </c>
      <c r="F87" s="16">
        <f t="shared" si="5"/>
        <v>1719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01961</v>
      </c>
      <c r="B88" s="16">
        <f t="shared" si="5"/>
        <v>106</v>
      </c>
      <c r="C88" s="16">
        <f t="shared" si="5"/>
        <v>0</v>
      </c>
      <c r="D88" s="16">
        <f t="shared" si="5"/>
        <v>196</v>
      </c>
      <c r="E88" s="16">
        <f t="shared" si="5"/>
        <v>1</v>
      </c>
      <c r="F88" s="16">
        <f t="shared" si="5"/>
        <v>1719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02021</v>
      </c>
      <c r="B89" s="16">
        <f t="shared" si="5"/>
        <v>106</v>
      </c>
      <c r="C89" s="16">
        <f t="shared" si="5"/>
        <v>0</v>
      </c>
      <c r="D89" s="16">
        <f t="shared" si="5"/>
        <v>202</v>
      </c>
      <c r="E89" s="16">
        <f t="shared" si="5"/>
        <v>1</v>
      </c>
      <c r="F89" s="16">
        <f t="shared" si="5"/>
        <v>1719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02051</v>
      </c>
      <c r="B90" s="16">
        <f t="shared" si="5"/>
        <v>106</v>
      </c>
      <c r="C90" s="16">
        <f t="shared" si="5"/>
        <v>0</v>
      </c>
      <c r="D90" s="16">
        <f t="shared" si="5"/>
        <v>205</v>
      </c>
      <c r="E90" s="16">
        <f t="shared" si="5"/>
        <v>1</v>
      </c>
      <c r="F90" s="16">
        <f t="shared" si="5"/>
        <v>1719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02081</v>
      </c>
      <c r="B91" s="16">
        <f t="shared" si="5"/>
        <v>106</v>
      </c>
      <c r="C91" s="16">
        <f t="shared" si="5"/>
        <v>0</v>
      </c>
      <c r="D91" s="16">
        <f t="shared" si="5"/>
        <v>208</v>
      </c>
      <c r="E91" s="16">
        <f t="shared" si="5"/>
        <v>1</v>
      </c>
      <c r="F91" s="16">
        <f t="shared" si="5"/>
        <v>1719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02111</v>
      </c>
      <c r="B92" s="16">
        <f t="shared" si="5"/>
        <v>106</v>
      </c>
      <c r="C92" s="16">
        <f t="shared" si="5"/>
        <v>0</v>
      </c>
      <c r="D92" s="16">
        <f t="shared" si="5"/>
        <v>211</v>
      </c>
      <c r="E92" s="16">
        <f t="shared" si="5"/>
        <v>1</v>
      </c>
      <c r="F92" s="16">
        <f t="shared" si="5"/>
        <v>1719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02141</v>
      </c>
      <c r="B93" s="16">
        <f t="shared" si="5"/>
        <v>106</v>
      </c>
      <c r="C93" s="16">
        <f t="shared" si="5"/>
        <v>0</v>
      </c>
      <c r="D93" s="16">
        <f t="shared" si="5"/>
        <v>214</v>
      </c>
      <c r="E93" s="16">
        <f t="shared" si="5"/>
        <v>1</v>
      </c>
      <c r="F93" s="16">
        <f t="shared" si="5"/>
        <v>1719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02171</v>
      </c>
      <c r="B94" s="16">
        <f t="shared" si="5"/>
        <v>106</v>
      </c>
      <c r="C94" s="16">
        <f t="shared" si="5"/>
        <v>0</v>
      </c>
      <c r="D94" s="16">
        <f t="shared" si="5"/>
        <v>217</v>
      </c>
      <c r="E94" s="16">
        <f t="shared" si="5"/>
        <v>1</v>
      </c>
      <c r="F94" s="16">
        <f t="shared" si="5"/>
        <v>1719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02201</v>
      </c>
      <c r="B95" s="16">
        <f t="shared" si="5"/>
        <v>106</v>
      </c>
      <c r="C95" s="16">
        <f t="shared" si="5"/>
        <v>0</v>
      </c>
      <c r="D95" s="16">
        <f t="shared" si="5"/>
        <v>220</v>
      </c>
      <c r="E95" s="16">
        <f t="shared" si="5"/>
        <v>1</v>
      </c>
      <c r="F95" s="16">
        <f t="shared" si="5"/>
        <v>1719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02231</v>
      </c>
      <c r="B96" s="16">
        <f t="shared" si="6"/>
        <v>106</v>
      </c>
      <c r="C96" s="16">
        <f t="shared" si="6"/>
        <v>0</v>
      </c>
      <c r="D96" s="16">
        <f t="shared" si="6"/>
        <v>223</v>
      </c>
      <c r="E96" s="16">
        <f t="shared" si="6"/>
        <v>1</v>
      </c>
      <c r="F96" s="16">
        <f t="shared" si="6"/>
        <v>1719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02291</v>
      </c>
      <c r="B97" s="16">
        <f t="shared" si="6"/>
        <v>106</v>
      </c>
      <c r="C97" s="16">
        <f t="shared" si="6"/>
        <v>0</v>
      </c>
      <c r="D97" s="16">
        <f t="shared" si="6"/>
        <v>229</v>
      </c>
      <c r="E97" s="16">
        <f t="shared" si="6"/>
        <v>1</v>
      </c>
      <c r="F97" s="16">
        <f t="shared" si="6"/>
        <v>1165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02321</v>
      </c>
      <c r="B98" s="16">
        <f t="shared" si="6"/>
        <v>106</v>
      </c>
      <c r="C98" s="16">
        <f t="shared" si="6"/>
        <v>0</v>
      </c>
      <c r="D98" s="16">
        <f t="shared" si="6"/>
        <v>232</v>
      </c>
      <c r="E98" s="16">
        <f t="shared" si="6"/>
        <v>1</v>
      </c>
      <c r="F98" s="16">
        <f t="shared" si="6"/>
        <v>1165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01271</v>
      </c>
      <c r="B99" s="16">
        <f t="shared" si="6"/>
        <v>106</v>
      </c>
      <c r="C99" s="16">
        <f t="shared" si="6"/>
        <v>0</v>
      </c>
      <c r="D99" s="16">
        <f t="shared" si="6"/>
        <v>127</v>
      </c>
      <c r="E99" s="16">
        <f t="shared" si="6"/>
        <v>1</v>
      </c>
      <c r="F99" s="16">
        <f t="shared" si="6"/>
        <v>540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01291</v>
      </c>
      <c r="B100" s="16">
        <f t="shared" si="6"/>
        <v>106</v>
      </c>
      <c r="C100" s="16">
        <f t="shared" si="6"/>
        <v>0</v>
      </c>
      <c r="D100" s="16">
        <f t="shared" si="6"/>
        <v>129</v>
      </c>
      <c r="E100" s="16">
        <f t="shared" si="6"/>
        <v>1</v>
      </c>
      <c r="F100" s="16">
        <f t="shared" si="6"/>
        <v>540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01311</v>
      </c>
      <c r="B101" s="16">
        <f t="shared" si="6"/>
        <v>106</v>
      </c>
      <c r="C101" s="16">
        <f t="shared" si="6"/>
        <v>0</v>
      </c>
      <c r="D101" s="16">
        <f t="shared" si="6"/>
        <v>131</v>
      </c>
      <c r="E101" s="16">
        <f t="shared" si="6"/>
        <v>1</v>
      </c>
      <c r="F101" s="16">
        <f t="shared" si="6"/>
        <v>540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01331</v>
      </c>
      <c r="B102" s="16">
        <f t="shared" si="6"/>
        <v>106</v>
      </c>
      <c r="C102" s="16">
        <f t="shared" si="6"/>
        <v>0</v>
      </c>
      <c r="D102" s="16">
        <f t="shared" si="6"/>
        <v>133</v>
      </c>
      <c r="E102" s="16">
        <f t="shared" si="6"/>
        <v>1</v>
      </c>
      <c r="F102" s="16">
        <f t="shared" si="6"/>
        <v>540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01351</v>
      </c>
      <c r="B103" s="16">
        <f t="shared" si="6"/>
        <v>106</v>
      </c>
      <c r="C103" s="16">
        <f t="shared" si="6"/>
        <v>0</v>
      </c>
      <c r="D103" s="16">
        <f t="shared" si="6"/>
        <v>135</v>
      </c>
      <c r="E103" s="16">
        <f t="shared" si="6"/>
        <v>1</v>
      </c>
      <c r="F103" s="16">
        <f t="shared" si="6"/>
        <v>540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01371</v>
      </c>
      <c r="B104" s="16">
        <f t="shared" si="6"/>
        <v>106</v>
      </c>
      <c r="C104" s="16">
        <f t="shared" si="6"/>
        <v>0</v>
      </c>
      <c r="D104" s="16">
        <f t="shared" si="6"/>
        <v>137</v>
      </c>
      <c r="E104" s="16">
        <f t="shared" si="6"/>
        <v>1</v>
      </c>
      <c r="F104" s="16">
        <f t="shared" si="6"/>
        <v>540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01391</v>
      </c>
      <c r="B105" s="16">
        <f t="shared" si="6"/>
        <v>106</v>
      </c>
      <c r="C105" s="16">
        <f t="shared" si="6"/>
        <v>0</v>
      </c>
      <c r="D105" s="16">
        <f t="shared" si="6"/>
        <v>139</v>
      </c>
      <c r="E105" s="16">
        <f t="shared" si="6"/>
        <v>1</v>
      </c>
      <c r="F105" s="16">
        <f t="shared" si="6"/>
        <v>540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01411</v>
      </c>
      <c r="B106" s="16">
        <f t="shared" si="6"/>
        <v>106</v>
      </c>
      <c r="C106" s="16">
        <f t="shared" si="6"/>
        <v>0</v>
      </c>
      <c r="D106" s="16">
        <f t="shared" si="6"/>
        <v>141</v>
      </c>
      <c r="E106" s="16">
        <f t="shared" si="6"/>
        <v>1</v>
      </c>
      <c r="F106" s="16">
        <f t="shared" si="6"/>
        <v>540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01431</v>
      </c>
      <c r="B107" s="16">
        <f t="shared" si="6"/>
        <v>106</v>
      </c>
      <c r="C107" s="16">
        <f t="shared" si="6"/>
        <v>0</v>
      </c>
      <c r="D107" s="16">
        <f t="shared" si="6"/>
        <v>143</v>
      </c>
      <c r="E107" s="16">
        <f t="shared" si="6"/>
        <v>1</v>
      </c>
      <c r="F107" s="16">
        <f t="shared" si="6"/>
        <v>540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01451</v>
      </c>
      <c r="B108" s="16">
        <f t="shared" si="6"/>
        <v>106</v>
      </c>
      <c r="C108" s="16">
        <f t="shared" si="6"/>
        <v>0</v>
      </c>
      <c r="D108" s="16">
        <f t="shared" si="6"/>
        <v>145</v>
      </c>
      <c r="E108" s="16">
        <f t="shared" si="6"/>
        <v>1</v>
      </c>
      <c r="F108" s="16">
        <f t="shared" si="6"/>
        <v>540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01471</v>
      </c>
      <c r="B109" s="16">
        <f t="shared" si="6"/>
        <v>106</v>
      </c>
      <c r="C109" s="16">
        <f t="shared" si="6"/>
        <v>0</v>
      </c>
      <c r="D109" s="16">
        <f t="shared" si="6"/>
        <v>147</v>
      </c>
      <c r="E109" s="16">
        <f t="shared" si="6"/>
        <v>1</v>
      </c>
      <c r="F109" s="16">
        <f t="shared" si="6"/>
        <v>540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01491</v>
      </c>
      <c r="B110" s="16">
        <f t="shared" si="6"/>
        <v>106</v>
      </c>
      <c r="C110" s="16">
        <f t="shared" si="6"/>
        <v>0</v>
      </c>
      <c r="D110" s="16">
        <f t="shared" si="6"/>
        <v>149</v>
      </c>
      <c r="E110" s="16">
        <f t="shared" si="6"/>
        <v>1</v>
      </c>
      <c r="F110" s="16">
        <f t="shared" si="6"/>
        <v>540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01511</v>
      </c>
      <c r="B111" s="16">
        <f t="shared" si="6"/>
        <v>106</v>
      </c>
      <c r="C111" s="16">
        <f t="shared" si="6"/>
        <v>0</v>
      </c>
      <c r="D111" s="16">
        <f t="shared" si="6"/>
        <v>151</v>
      </c>
      <c r="E111" s="16">
        <f t="shared" si="6"/>
        <v>1</v>
      </c>
      <c r="F111" s="16">
        <f t="shared" si="6"/>
        <v>540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01531</v>
      </c>
      <c r="B112" s="16">
        <f t="shared" si="6"/>
        <v>106</v>
      </c>
      <c r="C112" s="16">
        <f t="shared" si="6"/>
        <v>0</v>
      </c>
      <c r="D112" s="16">
        <f t="shared" si="6"/>
        <v>153</v>
      </c>
      <c r="E112" s="16">
        <f t="shared" si="6"/>
        <v>1</v>
      </c>
      <c r="F112" s="16">
        <f t="shared" si="6"/>
        <v>540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01551</v>
      </c>
      <c r="B113" s="16">
        <f t="shared" si="6"/>
        <v>106</v>
      </c>
      <c r="C113" s="16">
        <f t="shared" si="6"/>
        <v>0</v>
      </c>
      <c r="D113" s="16">
        <f t="shared" si="6"/>
        <v>155</v>
      </c>
      <c r="E113" s="16">
        <f t="shared" si="6"/>
        <v>1</v>
      </c>
      <c r="F113" s="16">
        <f t="shared" si="6"/>
        <v>540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01571</v>
      </c>
      <c r="B114" s="16">
        <f t="shared" si="6"/>
        <v>106</v>
      </c>
      <c r="C114" s="16">
        <f t="shared" si="6"/>
        <v>0</v>
      </c>
      <c r="D114" s="16">
        <f t="shared" si="6"/>
        <v>157</v>
      </c>
      <c r="E114" s="16">
        <f t="shared" si="6"/>
        <v>1</v>
      </c>
      <c r="F114" s="16">
        <f t="shared" si="6"/>
        <v>540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01591</v>
      </c>
      <c r="B115" s="16">
        <f t="shared" si="6"/>
        <v>106</v>
      </c>
      <c r="C115" s="16">
        <f t="shared" si="6"/>
        <v>0</v>
      </c>
      <c r="D115" s="16">
        <f t="shared" si="6"/>
        <v>159</v>
      </c>
      <c r="E115" s="16">
        <f t="shared" si="6"/>
        <v>1</v>
      </c>
      <c r="F115" s="16">
        <f t="shared" si="6"/>
        <v>540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01611</v>
      </c>
      <c r="B116" s="16">
        <f t="shared" si="6"/>
        <v>106</v>
      </c>
      <c r="C116" s="16">
        <f t="shared" si="6"/>
        <v>0</v>
      </c>
      <c r="D116" s="16">
        <f t="shared" si="6"/>
        <v>161</v>
      </c>
      <c r="E116" s="16">
        <f t="shared" si="6"/>
        <v>1</v>
      </c>
      <c r="F116" s="16">
        <f t="shared" si="6"/>
        <v>540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01631</v>
      </c>
      <c r="B117" s="16">
        <f t="shared" si="6"/>
        <v>106</v>
      </c>
      <c r="C117" s="16">
        <f t="shared" si="6"/>
        <v>0</v>
      </c>
      <c r="D117" s="16">
        <f t="shared" si="6"/>
        <v>163</v>
      </c>
      <c r="E117" s="16">
        <f t="shared" si="6"/>
        <v>1</v>
      </c>
      <c r="F117" s="16">
        <f t="shared" si="6"/>
        <v>540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01651</v>
      </c>
      <c r="B118" s="16">
        <f t="shared" si="6"/>
        <v>106</v>
      </c>
      <c r="C118" s="16">
        <f t="shared" si="6"/>
        <v>0</v>
      </c>
      <c r="D118" s="16">
        <f t="shared" si="6"/>
        <v>165</v>
      </c>
      <c r="E118" s="16">
        <f t="shared" si="6"/>
        <v>1</v>
      </c>
      <c r="F118" s="16">
        <f t="shared" si="6"/>
        <v>540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01671</v>
      </c>
      <c r="B119" s="16">
        <f t="shared" si="6"/>
        <v>106</v>
      </c>
      <c r="C119" s="16">
        <f t="shared" si="6"/>
        <v>0</v>
      </c>
      <c r="D119" s="16">
        <f t="shared" si="6"/>
        <v>167</v>
      </c>
      <c r="E119" s="16">
        <f t="shared" si="6"/>
        <v>1</v>
      </c>
      <c r="F119" s="16">
        <f t="shared" si="6"/>
        <v>469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01701</v>
      </c>
      <c r="B120" s="16">
        <f t="shared" si="6"/>
        <v>106</v>
      </c>
      <c r="C120" s="16">
        <f t="shared" si="6"/>
        <v>0</v>
      </c>
      <c r="D120" s="16">
        <f t="shared" si="6"/>
        <v>170</v>
      </c>
      <c r="E120" s="16">
        <f t="shared" si="6"/>
        <v>1</v>
      </c>
      <c r="F120" s="16">
        <f t="shared" si="6"/>
        <v>1300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01731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106</v>
      </c>
      <c r="C121" s="16">
        <f t="shared" si="7"/>
        <v>0</v>
      </c>
      <c r="D121" s="16">
        <f t="shared" si="7"/>
        <v>173</v>
      </c>
      <c r="E121" s="16">
        <f t="shared" si="7"/>
        <v>1</v>
      </c>
      <c r="F121" s="16">
        <f t="shared" si="7"/>
        <v>469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01761</v>
      </c>
      <c r="B122" s="16">
        <f t="shared" si="7"/>
        <v>106</v>
      </c>
      <c r="C122" s="16">
        <f t="shared" si="7"/>
        <v>0</v>
      </c>
      <c r="D122" s="16">
        <f t="shared" si="7"/>
        <v>176</v>
      </c>
      <c r="E122" s="16">
        <f t="shared" si="7"/>
        <v>1</v>
      </c>
      <c r="F122" s="16">
        <f t="shared" si="7"/>
        <v>469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01791</v>
      </c>
      <c r="B123" s="16">
        <f t="shared" si="7"/>
        <v>106</v>
      </c>
      <c r="C123" s="16">
        <f t="shared" si="7"/>
        <v>0</v>
      </c>
      <c r="D123" s="16">
        <f t="shared" si="7"/>
        <v>179</v>
      </c>
      <c r="E123" s="16">
        <f t="shared" si="7"/>
        <v>1</v>
      </c>
      <c r="F123" s="16">
        <f t="shared" si="7"/>
        <v>469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01821</v>
      </c>
      <c r="B124" s="16">
        <f t="shared" si="7"/>
        <v>106</v>
      </c>
      <c r="C124" s="16">
        <f t="shared" si="7"/>
        <v>0</v>
      </c>
      <c r="D124" s="16">
        <f t="shared" si="7"/>
        <v>182</v>
      </c>
      <c r="E124" s="16">
        <f t="shared" si="7"/>
        <v>1</v>
      </c>
      <c r="F124" s="16">
        <f t="shared" si="7"/>
        <v>469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01851</v>
      </c>
      <c r="B125" s="16">
        <f t="shared" si="7"/>
        <v>106</v>
      </c>
      <c r="C125" s="16">
        <f t="shared" si="7"/>
        <v>0</v>
      </c>
      <c r="D125" s="16">
        <f t="shared" si="7"/>
        <v>185</v>
      </c>
      <c r="E125" s="16">
        <f t="shared" si="7"/>
        <v>1</v>
      </c>
      <c r="F125" s="16">
        <f t="shared" si="7"/>
        <v>469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01881</v>
      </c>
      <c r="B126" s="16">
        <f t="shared" si="7"/>
        <v>106</v>
      </c>
      <c r="C126" s="16">
        <f t="shared" si="7"/>
        <v>0</v>
      </c>
      <c r="D126" s="16">
        <f t="shared" si="7"/>
        <v>188</v>
      </c>
      <c r="E126" s="16">
        <f t="shared" si="7"/>
        <v>1</v>
      </c>
      <c r="F126" s="16">
        <f t="shared" si="7"/>
        <v>469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01911</v>
      </c>
      <c r="B127" s="16">
        <f t="shared" si="7"/>
        <v>106</v>
      </c>
      <c r="C127" s="16">
        <f t="shared" si="7"/>
        <v>0</v>
      </c>
      <c r="D127" s="16">
        <f t="shared" si="7"/>
        <v>191</v>
      </c>
      <c r="E127" s="16">
        <f t="shared" si="7"/>
        <v>1</v>
      </c>
      <c r="F127" s="16">
        <f t="shared" si="7"/>
        <v>469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01941</v>
      </c>
      <c r="B128" s="16">
        <f t="shared" si="7"/>
        <v>106</v>
      </c>
      <c r="C128" s="16">
        <f t="shared" si="7"/>
        <v>0</v>
      </c>
      <c r="D128" s="16">
        <f t="shared" si="7"/>
        <v>194</v>
      </c>
      <c r="E128" s="16">
        <f t="shared" si="7"/>
        <v>1</v>
      </c>
      <c r="F128" s="16">
        <f t="shared" si="7"/>
        <v>469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01971</v>
      </c>
      <c r="B129" s="16">
        <f t="shared" si="7"/>
        <v>106</v>
      </c>
      <c r="C129" s="16">
        <f t="shared" si="7"/>
        <v>0</v>
      </c>
      <c r="D129" s="16">
        <f t="shared" si="7"/>
        <v>197</v>
      </c>
      <c r="E129" s="16">
        <f t="shared" si="7"/>
        <v>1</v>
      </c>
      <c r="F129" s="16">
        <f t="shared" si="7"/>
        <v>469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02001</v>
      </c>
      <c r="B130" s="16">
        <f t="shared" si="7"/>
        <v>106</v>
      </c>
      <c r="C130" s="16">
        <f t="shared" si="7"/>
        <v>0</v>
      </c>
      <c r="D130" s="16">
        <f t="shared" si="7"/>
        <v>200</v>
      </c>
      <c r="E130" s="16">
        <f t="shared" si="7"/>
        <v>1</v>
      </c>
      <c r="F130" s="16">
        <f t="shared" si="7"/>
        <v>1300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62" si="8">INDIRECT(ADDRESS(ROW()+$A$1,COLUMN(),1,TRUE,$C$1))</f>
        <v>02031</v>
      </c>
      <c r="B131" s="16">
        <f t="shared" si="7"/>
        <v>106</v>
      </c>
      <c r="C131" s="16">
        <f t="shared" si="7"/>
        <v>0</v>
      </c>
      <c r="D131" s="16">
        <f t="shared" si="7"/>
        <v>203</v>
      </c>
      <c r="E131" s="16">
        <f t="shared" si="7"/>
        <v>1</v>
      </c>
      <c r="F131" s="16">
        <f t="shared" si="7"/>
        <v>469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02061</v>
      </c>
      <c r="B132" s="16">
        <f t="shared" si="7"/>
        <v>106</v>
      </c>
      <c r="C132" s="16">
        <f t="shared" si="7"/>
        <v>0</v>
      </c>
      <c r="D132" s="16">
        <f t="shared" si="7"/>
        <v>206</v>
      </c>
      <c r="E132" s="16">
        <f t="shared" si="7"/>
        <v>1</v>
      </c>
      <c r="F132" s="16">
        <f t="shared" si="7"/>
        <v>469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02091</v>
      </c>
      <c r="B133" s="16">
        <f t="shared" si="7"/>
        <v>106</v>
      </c>
      <c r="C133" s="16">
        <f t="shared" si="7"/>
        <v>0</v>
      </c>
      <c r="D133" s="16">
        <f t="shared" si="7"/>
        <v>209</v>
      </c>
      <c r="E133" s="16">
        <f t="shared" si="7"/>
        <v>1</v>
      </c>
      <c r="F133" s="16">
        <f t="shared" si="7"/>
        <v>469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02121</v>
      </c>
      <c r="B134" s="16">
        <f t="shared" si="7"/>
        <v>106</v>
      </c>
      <c r="C134" s="16">
        <f t="shared" si="7"/>
        <v>0</v>
      </c>
      <c r="D134" s="16">
        <f t="shared" si="7"/>
        <v>212</v>
      </c>
      <c r="E134" s="16">
        <f t="shared" si="7"/>
        <v>1</v>
      </c>
      <c r="F134" s="16">
        <f t="shared" si="7"/>
        <v>469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02151</v>
      </c>
      <c r="B135" s="16">
        <f t="shared" si="7"/>
        <v>106</v>
      </c>
      <c r="C135" s="16">
        <f t="shared" si="7"/>
        <v>0</v>
      </c>
      <c r="D135" s="16">
        <f t="shared" si="7"/>
        <v>215</v>
      </c>
      <c r="E135" s="16">
        <f t="shared" si="7"/>
        <v>1</v>
      </c>
      <c r="F135" s="16">
        <f t="shared" si="7"/>
        <v>469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02181</v>
      </c>
      <c r="B136" s="16">
        <f t="shared" si="7"/>
        <v>106</v>
      </c>
      <c r="C136" s="16">
        <f t="shared" si="7"/>
        <v>0</v>
      </c>
      <c r="D136" s="16">
        <f t="shared" si="7"/>
        <v>218</v>
      </c>
      <c r="E136" s="16">
        <f t="shared" si="7"/>
        <v>1</v>
      </c>
      <c r="F136" s="16">
        <f t="shared" si="7"/>
        <v>469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02211</v>
      </c>
      <c r="B137" s="16">
        <f t="shared" si="7"/>
        <v>106</v>
      </c>
      <c r="C137" s="16">
        <f t="shared" si="7"/>
        <v>0</v>
      </c>
      <c r="D137" s="16">
        <f t="shared" si="7"/>
        <v>221</v>
      </c>
      <c r="E137" s="16">
        <f t="shared" si="7"/>
        <v>1</v>
      </c>
      <c r="F137" s="16">
        <f t="shared" si="7"/>
        <v>469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02241</v>
      </c>
      <c r="B138" s="16">
        <f t="shared" si="7"/>
        <v>106</v>
      </c>
      <c r="C138" s="16">
        <f t="shared" si="7"/>
        <v>0</v>
      </c>
      <c r="D138" s="16">
        <f t="shared" si="7"/>
        <v>224</v>
      </c>
      <c r="E138" s="16">
        <f t="shared" si="7"/>
        <v>1</v>
      </c>
      <c r="F138" s="16">
        <f t="shared" si="7"/>
        <v>469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02271</v>
      </c>
      <c r="B139" s="16">
        <f t="shared" si="7"/>
        <v>106</v>
      </c>
      <c r="C139" s="16">
        <f t="shared" si="7"/>
        <v>0</v>
      </c>
      <c r="D139" s="16">
        <f t="shared" si="7"/>
        <v>227</v>
      </c>
      <c r="E139" s="16">
        <f t="shared" si="7"/>
        <v>1</v>
      </c>
      <c r="F139" s="16">
        <f t="shared" si="7"/>
        <v>1300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02301</v>
      </c>
      <c r="B140" s="16">
        <f t="shared" si="7"/>
        <v>106</v>
      </c>
      <c r="C140" s="16">
        <f t="shared" si="7"/>
        <v>0</v>
      </c>
      <c r="D140" s="16">
        <f t="shared" si="7"/>
        <v>230</v>
      </c>
      <c r="E140" s="16">
        <f t="shared" si="7"/>
        <v>1</v>
      </c>
      <c r="F140" s="16">
        <f t="shared" si="7"/>
        <v>469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02331</v>
      </c>
      <c r="B141" s="16">
        <f t="shared" si="7"/>
        <v>106</v>
      </c>
      <c r="C141" s="16">
        <f t="shared" si="7"/>
        <v>0</v>
      </c>
      <c r="D141" s="16">
        <f t="shared" si="7"/>
        <v>233</v>
      </c>
      <c r="E141" s="16">
        <f t="shared" si="7"/>
        <v>1</v>
      </c>
      <c r="F141" s="16">
        <f t="shared" si="7"/>
        <v>469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02361</v>
      </c>
      <c r="B142" s="16">
        <f t="shared" si="7"/>
        <v>106</v>
      </c>
      <c r="C142" s="16">
        <f t="shared" si="7"/>
        <v>0</v>
      </c>
      <c r="D142" s="16">
        <f t="shared" si="7"/>
        <v>236</v>
      </c>
      <c r="E142" s="16">
        <f t="shared" si="7"/>
        <v>1</v>
      </c>
      <c r="F142" s="16">
        <f t="shared" si="7"/>
        <v>1300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01711</v>
      </c>
      <c r="B143" s="16">
        <f t="shared" si="7"/>
        <v>106</v>
      </c>
      <c r="C143" s="16">
        <f t="shared" si="7"/>
        <v>0</v>
      </c>
      <c r="D143" s="16">
        <f t="shared" si="7"/>
        <v>171</v>
      </c>
      <c r="E143" s="16">
        <f t="shared" si="7"/>
        <v>1</v>
      </c>
      <c r="F143" s="16">
        <f t="shared" si="7"/>
        <v>2184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02011</v>
      </c>
      <c r="B144" s="16">
        <f t="shared" si="7"/>
        <v>106</v>
      </c>
      <c r="C144" s="16">
        <f t="shared" si="7"/>
        <v>0</v>
      </c>
      <c r="D144" s="16">
        <f t="shared" si="7"/>
        <v>201</v>
      </c>
      <c r="E144" s="16">
        <f t="shared" si="7"/>
        <v>1</v>
      </c>
      <c r="F144" s="16">
        <f t="shared" si="7"/>
        <v>2184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02281</v>
      </c>
      <c r="B145" s="16">
        <f t="shared" si="7"/>
        <v>106</v>
      </c>
      <c r="C145" s="16">
        <f t="shared" si="7"/>
        <v>0</v>
      </c>
      <c r="D145" s="16">
        <f t="shared" si="7"/>
        <v>228</v>
      </c>
      <c r="E145" s="16">
        <f t="shared" si="7"/>
        <v>1</v>
      </c>
      <c r="F145" s="16">
        <f t="shared" si="7"/>
        <v>416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02371</v>
      </c>
      <c r="B146" s="16">
        <f t="shared" si="7"/>
        <v>106</v>
      </c>
      <c r="C146" s="16">
        <f t="shared" si="7"/>
        <v>0</v>
      </c>
      <c r="D146" s="16">
        <f t="shared" si="7"/>
        <v>237</v>
      </c>
      <c r="E146" s="16">
        <f t="shared" si="7"/>
        <v>1</v>
      </c>
      <c r="F146" s="16">
        <f t="shared" si="7"/>
        <v>416</v>
      </c>
      <c r="G146" s="16">
        <f t="shared" ref="B146:K162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02381</v>
      </c>
      <c r="B147" s="16">
        <f t="shared" si="9"/>
        <v>106</v>
      </c>
      <c r="C147" s="16">
        <f t="shared" si="9"/>
        <v>0</v>
      </c>
      <c r="D147" s="16">
        <f t="shared" si="9"/>
        <v>238</v>
      </c>
      <c r="E147" s="16">
        <f t="shared" si="9"/>
        <v>1</v>
      </c>
      <c r="F147" s="16">
        <f t="shared" si="9"/>
        <v>1165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02391</v>
      </c>
      <c r="B148" s="16">
        <f t="shared" si="9"/>
        <v>106</v>
      </c>
      <c r="C148" s="16">
        <f t="shared" si="9"/>
        <v>0</v>
      </c>
      <c r="D148" s="16">
        <f t="shared" si="9"/>
        <v>239</v>
      </c>
      <c r="E148" s="16">
        <f t="shared" si="9"/>
        <v>1</v>
      </c>
      <c r="F148" s="16">
        <f t="shared" si="9"/>
        <v>469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02411</v>
      </c>
      <c r="B149" s="16">
        <f t="shared" si="9"/>
        <v>106</v>
      </c>
      <c r="C149" s="16">
        <f t="shared" si="9"/>
        <v>0</v>
      </c>
      <c r="D149" s="16">
        <f t="shared" si="9"/>
        <v>241</v>
      </c>
      <c r="E149" s="16">
        <f t="shared" si="9"/>
        <v>1</v>
      </c>
      <c r="F149" s="16">
        <f t="shared" si="9"/>
        <v>1165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02421</v>
      </c>
      <c r="B150" s="16">
        <f t="shared" si="9"/>
        <v>106</v>
      </c>
      <c r="C150" s="16">
        <f t="shared" si="9"/>
        <v>0</v>
      </c>
      <c r="D150" s="16">
        <f t="shared" si="9"/>
        <v>242</v>
      </c>
      <c r="E150" s="16">
        <f t="shared" si="9"/>
        <v>1</v>
      </c>
      <c r="F150" s="16">
        <f t="shared" si="9"/>
        <v>469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02441</v>
      </c>
      <c r="B151" s="16">
        <f t="shared" si="9"/>
        <v>106</v>
      </c>
      <c r="C151" s="16">
        <f t="shared" si="9"/>
        <v>0</v>
      </c>
      <c r="D151" s="16">
        <f t="shared" si="9"/>
        <v>244</v>
      </c>
      <c r="E151" s="16">
        <f t="shared" si="9"/>
        <v>1</v>
      </c>
      <c r="F151" s="16">
        <f t="shared" si="9"/>
        <v>1165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02451</v>
      </c>
      <c r="B152" s="16">
        <f t="shared" si="9"/>
        <v>106</v>
      </c>
      <c r="C152" s="16">
        <f t="shared" si="9"/>
        <v>0</v>
      </c>
      <c r="D152" s="16">
        <f t="shared" si="9"/>
        <v>245</v>
      </c>
      <c r="E152" s="16">
        <f t="shared" si="9"/>
        <v>1</v>
      </c>
      <c r="F152" s="16">
        <f t="shared" si="9"/>
        <v>469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02471</v>
      </c>
      <c r="B153" s="16">
        <f t="shared" si="9"/>
        <v>106</v>
      </c>
      <c r="C153" s="16">
        <f t="shared" si="9"/>
        <v>0</v>
      </c>
      <c r="D153" s="16">
        <f t="shared" si="9"/>
        <v>247</v>
      </c>
      <c r="E153" s="16">
        <f t="shared" si="9"/>
        <v>1</v>
      </c>
      <c r="F153" s="16">
        <f t="shared" si="9"/>
        <v>1165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02481</v>
      </c>
      <c r="B154" s="16">
        <f t="shared" si="9"/>
        <v>106</v>
      </c>
      <c r="C154" s="16">
        <f t="shared" si="9"/>
        <v>0</v>
      </c>
      <c r="D154" s="16">
        <f t="shared" si="9"/>
        <v>248</v>
      </c>
      <c r="E154" s="16">
        <f t="shared" si="9"/>
        <v>1</v>
      </c>
      <c r="F154" s="16">
        <f t="shared" si="9"/>
        <v>469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02501</v>
      </c>
      <c r="B155" s="16">
        <f t="shared" si="9"/>
        <v>106</v>
      </c>
      <c r="C155" s="16">
        <f t="shared" si="9"/>
        <v>0</v>
      </c>
      <c r="D155" s="16">
        <f t="shared" si="9"/>
        <v>250</v>
      </c>
      <c r="E155" s="16">
        <f t="shared" si="9"/>
        <v>1</v>
      </c>
      <c r="F155" s="16">
        <f t="shared" si="9"/>
        <v>1165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02511</v>
      </c>
      <c r="B156" s="16">
        <f t="shared" si="9"/>
        <v>106</v>
      </c>
      <c r="C156" s="16">
        <f t="shared" si="9"/>
        <v>0</v>
      </c>
      <c r="D156" s="16">
        <f t="shared" si="9"/>
        <v>251</v>
      </c>
      <c r="E156" s="16">
        <f t="shared" si="9"/>
        <v>1</v>
      </c>
      <c r="F156" s="16">
        <f t="shared" si="9"/>
        <v>469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02531</v>
      </c>
      <c r="B157" s="16">
        <f t="shared" si="9"/>
        <v>106</v>
      </c>
      <c r="C157" s="16">
        <f t="shared" si="9"/>
        <v>0</v>
      </c>
      <c r="D157" s="16">
        <f t="shared" si="9"/>
        <v>253</v>
      </c>
      <c r="E157" s="16">
        <f t="shared" si="9"/>
        <v>1</v>
      </c>
      <c r="F157" s="16">
        <f t="shared" si="9"/>
        <v>1165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02541</v>
      </c>
      <c r="B158" s="16">
        <f t="shared" si="9"/>
        <v>106</v>
      </c>
      <c r="C158" s="16">
        <f t="shared" si="9"/>
        <v>0</v>
      </c>
      <c r="D158" s="16">
        <f t="shared" si="9"/>
        <v>254</v>
      </c>
      <c r="E158" s="16">
        <f t="shared" si="9"/>
        <v>1</v>
      </c>
      <c r="F158" s="16">
        <f t="shared" si="9"/>
        <v>469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02561</v>
      </c>
      <c r="B159" s="16">
        <f t="shared" si="9"/>
        <v>106</v>
      </c>
      <c r="C159" s="16">
        <f t="shared" si="9"/>
        <v>0</v>
      </c>
      <c r="D159" s="16">
        <f t="shared" si="9"/>
        <v>256</v>
      </c>
      <c r="E159" s="16">
        <f t="shared" si="9"/>
        <v>1</v>
      </c>
      <c r="F159" s="16">
        <f t="shared" si="9"/>
        <v>1165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02571</v>
      </c>
      <c r="B160" s="16">
        <f t="shared" si="9"/>
        <v>106</v>
      </c>
      <c r="C160" s="16">
        <f t="shared" si="9"/>
        <v>0</v>
      </c>
      <c r="D160" s="16">
        <f t="shared" si="9"/>
        <v>257</v>
      </c>
      <c r="E160" s="16">
        <f t="shared" si="9"/>
        <v>1</v>
      </c>
      <c r="F160" s="16">
        <f t="shared" si="9"/>
        <v>469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02591</v>
      </c>
      <c r="B161" s="16">
        <f t="shared" si="9"/>
        <v>106</v>
      </c>
      <c r="C161" s="16">
        <f t="shared" si="9"/>
        <v>0</v>
      </c>
      <c r="D161" s="16">
        <f t="shared" si="9"/>
        <v>259</v>
      </c>
      <c r="E161" s="16">
        <f t="shared" si="9"/>
        <v>1</v>
      </c>
      <c r="F161" s="16">
        <f t="shared" si="9"/>
        <v>1165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02601</v>
      </c>
      <c r="B162" s="16">
        <f t="shared" si="9"/>
        <v>106</v>
      </c>
      <c r="C162" s="16">
        <f t="shared" si="9"/>
        <v>0</v>
      </c>
      <c r="D162" s="16">
        <f t="shared" si="9"/>
        <v>260</v>
      </c>
      <c r="E162" s="16">
        <f t="shared" si="9"/>
        <v>1</v>
      </c>
      <c r="F162" s="16">
        <f t="shared" si="9"/>
        <v>469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 customFormat="1" ht="14"/>
    <row r="164" spans="1:11" customFormat="1" ht="14"/>
    <row r="165" spans="1:11" customFormat="1" ht="14"/>
    <row r="166" spans="1:11" customFormat="1" ht="14"/>
    <row r="167" spans="1:11" customFormat="1" ht="14"/>
    <row r="168" spans="1:11" customFormat="1" ht="14"/>
    <row r="169" spans="1:11" customFormat="1" ht="14"/>
    <row r="170" spans="1:11" customFormat="1" ht="14"/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/>
  <dimension ref="A1:K23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29" sqref="N29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gacha_unit_tables_107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1879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107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1879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107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1879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107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1879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107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1879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107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1879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107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1879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107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1879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107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1879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107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1879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107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1879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107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1879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107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1879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107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1879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107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1879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107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1879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1879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107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1879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107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1879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107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1879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107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2141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107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2141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107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2141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107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2141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107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2141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107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2141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107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2141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107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2141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107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2141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107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2141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107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2141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107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2141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107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2141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107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2141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107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2141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107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2141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107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2141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107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2141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107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2141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107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2141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107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437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107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437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107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437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107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437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107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212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107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212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107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212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107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212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107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212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107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212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107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212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107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212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107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212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107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212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107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212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107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212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107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212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107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212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107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212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107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212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107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212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107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212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107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212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107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212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107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23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107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23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107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23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23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107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437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107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23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107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437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107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23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107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437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107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23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107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437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107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23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107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437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107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23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107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437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107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23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107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437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107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23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107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437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107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23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107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437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107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23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107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437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107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23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107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437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107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23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107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437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107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23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01261</v>
      </c>
      <c r="B95" s="16">
        <f t="shared" si="5"/>
        <v>107</v>
      </c>
      <c r="C95" s="16">
        <f t="shared" si="5"/>
        <v>0</v>
      </c>
      <c r="D95" s="16">
        <f t="shared" si="5"/>
        <v>126</v>
      </c>
      <c r="E95" s="16">
        <f t="shared" si="5"/>
        <v>1</v>
      </c>
      <c r="F95" s="16">
        <f t="shared" si="5"/>
        <v>2268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01281</v>
      </c>
      <c r="B96" s="16">
        <f t="shared" si="6"/>
        <v>107</v>
      </c>
      <c r="C96" s="16">
        <f t="shared" si="6"/>
        <v>0</v>
      </c>
      <c r="D96" s="16">
        <f t="shared" si="6"/>
        <v>128</v>
      </c>
      <c r="E96" s="16">
        <f t="shared" si="6"/>
        <v>1</v>
      </c>
      <c r="F96" s="16">
        <f t="shared" si="6"/>
        <v>2268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01301</v>
      </c>
      <c r="B97" s="16">
        <f t="shared" si="6"/>
        <v>107</v>
      </c>
      <c r="C97" s="16">
        <f t="shared" si="6"/>
        <v>0</v>
      </c>
      <c r="D97" s="16">
        <f t="shared" si="6"/>
        <v>130</v>
      </c>
      <c r="E97" s="16">
        <f t="shared" si="6"/>
        <v>1</v>
      </c>
      <c r="F97" s="16">
        <f t="shared" si="6"/>
        <v>2268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01321</v>
      </c>
      <c r="B98" s="16">
        <f t="shared" si="6"/>
        <v>107</v>
      </c>
      <c r="C98" s="16">
        <f t="shared" si="6"/>
        <v>0</v>
      </c>
      <c r="D98" s="16">
        <f t="shared" si="6"/>
        <v>132</v>
      </c>
      <c r="E98" s="16">
        <f t="shared" si="6"/>
        <v>1</v>
      </c>
      <c r="F98" s="16">
        <f t="shared" si="6"/>
        <v>2268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01341</v>
      </c>
      <c r="B99" s="16">
        <f t="shared" si="6"/>
        <v>107</v>
      </c>
      <c r="C99" s="16">
        <f t="shared" si="6"/>
        <v>0</v>
      </c>
      <c r="D99" s="16">
        <f t="shared" si="6"/>
        <v>134</v>
      </c>
      <c r="E99" s="16">
        <f t="shared" si="6"/>
        <v>1</v>
      </c>
      <c r="F99" s="16">
        <f t="shared" si="6"/>
        <v>2268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01361</v>
      </c>
      <c r="B100" s="16">
        <f t="shared" si="6"/>
        <v>107</v>
      </c>
      <c r="C100" s="16">
        <f t="shared" si="6"/>
        <v>0</v>
      </c>
      <c r="D100" s="16">
        <f t="shared" si="6"/>
        <v>136</v>
      </c>
      <c r="E100" s="16">
        <f t="shared" si="6"/>
        <v>1</v>
      </c>
      <c r="F100" s="16">
        <f t="shared" si="6"/>
        <v>2268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01381</v>
      </c>
      <c r="B101" s="16">
        <f t="shared" si="6"/>
        <v>107</v>
      </c>
      <c r="C101" s="16">
        <f t="shared" si="6"/>
        <v>0</v>
      </c>
      <c r="D101" s="16">
        <f t="shared" si="6"/>
        <v>138</v>
      </c>
      <c r="E101" s="16">
        <f t="shared" si="6"/>
        <v>1</v>
      </c>
      <c r="F101" s="16">
        <f t="shared" si="6"/>
        <v>2268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01401</v>
      </c>
      <c r="B102" s="16">
        <f t="shared" si="6"/>
        <v>107</v>
      </c>
      <c r="C102" s="16">
        <f t="shared" si="6"/>
        <v>0</v>
      </c>
      <c r="D102" s="16">
        <f t="shared" si="6"/>
        <v>140</v>
      </c>
      <c r="E102" s="16">
        <f t="shared" si="6"/>
        <v>1</v>
      </c>
      <c r="F102" s="16">
        <f t="shared" si="6"/>
        <v>2268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01421</v>
      </c>
      <c r="B103" s="16">
        <f t="shared" si="6"/>
        <v>107</v>
      </c>
      <c r="C103" s="16">
        <f t="shared" si="6"/>
        <v>0</v>
      </c>
      <c r="D103" s="16">
        <f t="shared" si="6"/>
        <v>142</v>
      </c>
      <c r="E103" s="16">
        <f t="shared" si="6"/>
        <v>1</v>
      </c>
      <c r="F103" s="16">
        <f t="shared" si="6"/>
        <v>2268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01441</v>
      </c>
      <c r="B104" s="16">
        <f t="shared" si="6"/>
        <v>107</v>
      </c>
      <c r="C104" s="16">
        <f t="shared" si="6"/>
        <v>0</v>
      </c>
      <c r="D104" s="16">
        <f t="shared" si="6"/>
        <v>144</v>
      </c>
      <c r="E104" s="16">
        <f t="shared" si="6"/>
        <v>1</v>
      </c>
      <c r="F104" s="16">
        <f t="shared" si="6"/>
        <v>2268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01461</v>
      </c>
      <c r="B105" s="16">
        <f t="shared" si="6"/>
        <v>107</v>
      </c>
      <c r="C105" s="16">
        <f t="shared" si="6"/>
        <v>0</v>
      </c>
      <c r="D105" s="16">
        <f t="shared" si="6"/>
        <v>146</v>
      </c>
      <c r="E105" s="16">
        <f t="shared" si="6"/>
        <v>1</v>
      </c>
      <c r="F105" s="16">
        <f t="shared" si="6"/>
        <v>2268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01481</v>
      </c>
      <c r="B106" s="16">
        <f t="shared" si="6"/>
        <v>107</v>
      </c>
      <c r="C106" s="16">
        <f t="shared" si="6"/>
        <v>0</v>
      </c>
      <c r="D106" s="16">
        <f t="shared" si="6"/>
        <v>148</v>
      </c>
      <c r="E106" s="16">
        <f t="shared" si="6"/>
        <v>1</v>
      </c>
      <c r="F106" s="16">
        <f t="shared" si="6"/>
        <v>2268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01501</v>
      </c>
      <c r="B107" s="16">
        <f t="shared" si="6"/>
        <v>107</v>
      </c>
      <c r="C107" s="16">
        <f t="shared" si="6"/>
        <v>0</v>
      </c>
      <c r="D107" s="16">
        <f t="shared" si="6"/>
        <v>150</v>
      </c>
      <c r="E107" s="16">
        <f t="shared" si="6"/>
        <v>1</v>
      </c>
      <c r="F107" s="16">
        <f t="shared" si="6"/>
        <v>2268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01521</v>
      </c>
      <c r="B108" s="16">
        <f t="shared" si="6"/>
        <v>107</v>
      </c>
      <c r="C108" s="16">
        <f t="shared" si="6"/>
        <v>0</v>
      </c>
      <c r="D108" s="16">
        <f t="shared" si="6"/>
        <v>152</v>
      </c>
      <c r="E108" s="16">
        <f t="shared" si="6"/>
        <v>1</v>
      </c>
      <c r="F108" s="16">
        <f t="shared" si="6"/>
        <v>2268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01541</v>
      </c>
      <c r="B109" s="16">
        <f t="shared" si="6"/>
        <v>107</v>
      </c>
      <c r="C109" s="16">
        <f t="shared" si="6"/>
        <v>0</v>
      </c>
      <c r="D109" s="16">
        <f t="shared" si="6"/>
        <v>154</v>
      </c>
      <c r="E109" s="16">
        <f t="shared" si="6"/>
        <v>1</v>
      </c>
      <c r="F109" s="16">
        <f t="shared" si="6"/>
        <v>2268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01561</v>
      </c>
      <c r="B110" s="16">
        <f t="shared" si="6"/>
        <v>107</v>
      </c>
      <c r="C110" s="16">
        <f t="shared" si="6"/>
        <v>0</v>
      </c>
      <c r="D110" s="16">
        <f t="shared" si="6"/>
        <v>156</v>
      </c>
      <c r="E110" s="16">
        <f t="shared" si="6"/>
        <v>1</v>
      </c>
      <c r="F110" s="16">
        <f t="shared" si="6"/>
        <v>2268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01581</v>
      </c>
      <c r="B111" s="16">
        <f t="shared" si="6"/>
        <v>107</v>
      </c>
      <c r="C111" s="16">
        <f t="shared" si="6"/>
        <v>0</v>
      </c>
      <c r="D111" s="16">
        <f t="shared" si="6"/>
        <v>158</v>
      </c>
      <c r="E111" s="16">
        <f t="shared" si="6"/>
        <v>1</v>
      </c>
      <c r="F111" s="16">
        <f t="shared" si="6"/>
        <v>2268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01601</v>
      </c>
      <c r="B112" s="16">
        <f t="shared" si="6"/>
        <v>107</v>
      </c>
      <c r="C112" s="16">
        <f t="shared" si="6"/>
        <v>0</v>
      </c>
      <c r="D112" s="16">
        <f t="shared" si="6"/>
        <v>160</v>
      </c>
      <c r="E112" s="16">
        <f t="shared" si="6"/>
        <v>1</v>
      </c>
      <c r="F112" s="16">
        <f t="shared" si="6"/>
        <v>2268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01621</v>
      </c>
      <c r="B113" s="16">
        <f t="shared" si="6"/>
        <v>107</v>
      </c>
      <c r="C113" s="16">
        <f t="shared" si="6"/>
        <v>0</v>
      </c>
      <c r="D113" s="16">
        <f t="shared" si="6"/>
        <v>162</v>
      </c>
      <c r="E113" s="16">
        <f t="shared" si="6"/>
        <v>1</v>
      </c>
      <c r="F113" s="16">
        <f t="shared" si="6"/>
        <v>2268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01641</v>
      </c>
      <c r="B114" s="16">
        <f t="shared" si="6"/>
        <v>107</v>
      </c>
      <c r="C114" s="16">
        <f t="shared" si="6"/>
        <v>0</v>
      </c>
      <c r="D114" s="16">
        <f t="shared" si="6"/>
        <v>164</v>
      </c>
      <c r="E114" s="16">
        <f t="shared" si="6"/>
        <v>1</v>
      </c>
      <c r="F114" s="16">
        <f t="shared" si="6"/>
        <v>2268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01661</v>
      </c>
      <c r="B115" s="16">
        <f t="shared" si="6"/>
        <v>107</v>
      </c>
      <c r="C115" s="16">
        <f t="shared" si="6"/>
        <v>0</v>
      </c>
      <c r="D115" s="16">
        <f t="shared" si="6"/>
        <v>166</v>
      </c>
      <c r="E115" s="16">
        <f t="shared" si="6"/>
        <v>1</v>
      </c>
      <c r="F115" s="16">
        <f t="shared" si="6"/>
        <v>2470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01691</v>
      </c>
      <c r="B116" s="16">
        <f t="shared" si="6"/>
        <v>107</v>
      </c>
      <c r="C116" s="16">
        <f t="shared" si="6"/>
        <v>0</v>
      </c>
      <c r="D116" s="16">
        <f t="shared" si="6"/>
        <v>169</v>
      </c>
      <c r="E116" s="16">
        <f t="shared" si="6"/>
        <v>1</v>
      </c>
      <c r="F116" s="16">
        <f t="shared" si="6"/>
        <v>2470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01721</v>
      </c>
      <c r="B117" s="16">
        <f t="shared" si="6"/>
        <v>107</v>
      </c>
      <c r="C117" s="16">
        <f t="shared" si="6"/>
        <v>0</v>
      </c>
      <c r="D117" s="16">
        <f t="shared" si="6"/>
        <v>172</v>
      </c>
      <c r="E117" s="16">
        <f t="shared" si="6"/>
        <v>1</v>
      </c>
      <c r="F117" s="16">
        <f t="shared" si="6"/>
        <v>2470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01751</v>
      </c>
      <c r="B118" s="16">
        <f t="shared" si="6"/>
        <v>107</v>
      </c>
      <c r="C118" s="16">
        <f t="shared" si="6"/>
        <v>0</v>
      </c>
      <c r="D118" s="16">
        <f t="shared" si="6"/>
        <v>175</v>
      </c>
      <c r="E118" s="16">
        <f t="shared" si="6"/>
        <v>1</v>
      </c>
      <c r="F118" s="16">
        <f t="shared" si="6"/>
        <v>2470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01781</v>
      </c>
      <c r="B119" s="16">
        <f t="shared" si="6"/>
        <v>107</v>
      </c>
      <c r="C119" s="16">
        <f t="shared" si="6"/>
        <v>0</v>
      </c>
      <c r="D119" s="16">
        <f t="shared" si="6"/>
        <v>178</v>
      </c>
      <c r="E119" s="16">
        <f t="shared" si="6"/>
        <v>1</v>
      </c>
      <c r="F119" s="16">
        <f t="shared" si="6"/>
        <v>2470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01811</v>
      </c>
      <c r="B120" s="16">
        <f t="shared" si="6"/>
        <v>107</v>
      </c>
      <c r="C120" s="16">
        <f t="shared" si="6"/>
        <v>0</v>
      </c>
      <c r="D120" s="16">
        <f t="shared" si="6"/>
        <v>181</v>
      </c>
      <c r="E120" s="16">
        <f t="shared" si="6"/>
        <v>1</v>
      </c>
      <c r="F120" s="16">
        <f t="shared" si="6"/>
        <v>2470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01841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121" s="16">
        <f t="shared" si="7"/>
        <v>0</v>
      </c>
      <c r="D121" s="16">
        <f t="shared" si="7"/>
        <v>184</v>
      </c>
      <c r="E121" s="16">
        <f t="shared" si="7"/>
        <v>1</v>
      </c>
      <c r="F121" s="16">
        <f t="shared" si="7"/>
        <v>2470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01871</v>
      </c>
      <c r="B122" s="16">
        <f t="shared" si="7"/>
        <v>107</v>
      </c>
      <c r="C122" s="16">
        <f t="shared" si="7"/>
        <v>0</v>
      </c>
      <c r="D122" s="16">
        <f t="shared" si="7"/>
        <v>187</v>
      </c>
      <c r="E122" s="16">
        <f t="shared" si="7"/>
        <v>1</v>
      </c>
      <c r="F122" s="16">
        <f t="shared" si="7"/>
        <v>2470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01901</v>
      </c>
      <c r="B123" s="16">
        <f t="shared" si="7"/>
        <v>107</v>
      </c>
      <c r="C123" s="16">
        <f t="shared" si="7"/>
        <v>0</v>
      </c>
      <c r="D123" s="16">
        <f t="shared" si="7"/>
        <v>190</v>
      </c>
      <c r="E123" s="16">
        <f t="shared" si="7"/>
        <v>1</v>
      </c>
      <c r="F123" s="16">
        <f t="shared" si="7"/>
        <v>2470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01931</v>
      </c>
      <c r="B124" s="16">
        <f t="shared" si="7"/>
        <v>107</v>
      </c>
      <c r="C124" s="16">
        <f t="shared" si="7"/>
        <v>0</v>
      </c>
      <c r="D124" s="16">
        <f t="shared" si="7"/>
        <v>193</v>
      </c>
      <c r="E124" s="16">
        <f t="shared" si="7"/>
        <v>1</v>
      </c>
      <c r="F124" s="16">
        <f t="shared" si="7"/>
        <v>2470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01961</v>
      </c>
      <c r="B125" s="16">
        <f t="shared" si="7"/>
        <v>107</v>
      </c>
      <c r="C125" s="16">
        <f t="shared" si="7"/>
        <v>0</v>
      </c>
      <c r="D125" s="16">
        <f t="shared" si="7"/>
        <v>196</v>
      </c>
      <c r="E125" s="16">
        <f t="shared" si="7"/>
        <v>1</v>
      </c>
      <c r="F125" s="16">
        <f t="shared" si="7"/>
        <v>2470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01991</v>
      </c>
      <c r="B126" s="16">
        <f t="shared" si="7"/>
        <v>107</v>
      </c>
      <c r="C126" s="16">
        <f t="shared" si="7"/>
        <v>0</v>
      </c>
      <c r="D126" s="16">
        <f t="shared" si="7"/>
        <v>199</v>
      </c>
      <c r="E126" s="16">
        <f t="shared" si="7"/>
        <v>1</v>
      </c>
      <c r="F126" s="16">
        <f t="shared" si="7"/>
        <v>2470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02021</v>
      </c>
      <c r="B127" s="16">
        <f t="shared" si="7"/>
        <v>107</v>
      </c>
      <c r="C127" s="16">
        <f t="shared" si="7"/>
        <v>0</v>
      </c>
      <c r="D127" s="16">
        <f t="shared" si="7"/>
        <v>202</v>
      </c>
      <c r="E127" s="16">
        <f t="shared" si="7"/>
        <v>1</v>
      </c>
      <c r="F127" s="16">
        <f t="shared" si="7"/>
        <v>2470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02051</v>
      </c>
      <c r="B128" s="16">
        <f t="shared" si="7"/>
        <v>107</v>
      </c>
      <c r="C128" s="16">
        <f t="shared" si="7"/>
        <v>0</v>
      </c>
      <c r="D128" s="16">
        <f t="shared" si="7"/>
        <v>205</v>
      </c>
      <c r="E128" s="16">
        <f t="shared" si="7"/>
        <v>1</v>
      </c>
      <c r="F128" s="16">
        <f t="shared" si="7"/>
        <v>2470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02081</v>
      </c>
      <c r="B129" s="16">
        <f t="shared" si="7"/>
        <v>107</v>
      </c>
      <c r="C129" s="16">
        <f t="shared" si="7"/>
        <v>0</v>
      </c>
      <c r="D129" s="16">
        <f t="shared" si="7"/>
        <v>208</v>
      </c>
      <c r="E129" s="16">
        <f t="shared" si="7"/>
        <v>1</v>
      </c>
      <c r="F129" s="16">
        <f t="shared" si="7"/>
        <v>2470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02111</v>
      </c>
      <c r="B130" s="16">
        <f t="shared" si="7"/>
        <v>107</v>
      </c>
      <c r="C130" s="16">
        <f t="shared" si="7"/>
        <v>0</v>
      </c>
      <c r="D130" s="16">
        <f t="shared" si="7"/>
        <v>211</v>
      </c>
      <c r="E130" s="16">
        <f t="shared" si="7"/>
        <v>1</v>
      </c>
      <c r="F130" s="16">
        <f t="shared" si="7"/>
        <v>2470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02141</v>
      </c>
      <c r="B131" s="16">
        <f t="shared" si="7"/>
        <v>107</v>
      </c>
      <c r="C131" s="16">
        <f t="shared" si="7"/>
        <v>0</v>
      </c>
      <c r="D131" s="16">
        <f t="shared" si="7"/>
        <v>214</v>
      </c>
      <c r="E131" s="16">
        <f t="shared" si="7"/>
        <v>1</v>
      </c>
      <c r="F131" s="16">
        <f t="shared" si="7"/>
        <v>2470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02171</v>
      </c>
      <c r="B132" s="16">
        <f t="shared" si="7"/>
        <v>107</v>
      </c>
      <c r="C132" s="16">
        <f t="shared" si="7"/>
        <v>0</v>
      </c>
      <c r="D132" s="16">
        <f t="shared" si="7"/>
        <v>217</v>
      </c>
      <c r="E132" s="16">
        <f t="shared" si="7"/>
        <v>1</v>
      </c>
      <c r="F132" s="16">
        <f t="shared" si="7"/>
        <v>2470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02201</v>
      </c>
      <c r="B133" s="16">
        <f t="shared" si="7"/>
        <v>107</v>
      </c>
      <c r="C133" s="16">
        <f t="shared" si="7"/>
        <v>0</v>
      </c>
      <c r="D133" s="16">
        <f t="shared" si="7"/>
        <v>220</v>
      </c>
      <c r="E133" s="16">
        <f t="shared" si="7"/>
        <v>1</v>
      </c>
      <c r="F133" s="16">
        <f t="shared" si="7"/>
        <v>2470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02231</v>
      </c>
      <c r="B134" s="16">
        <f t="shared" si="7"/>
        <v>107</v>
      </c>
      <c r="C134" s="16">
        <f t="shared" si="7"/>
        <v>0</v>
      </c>
      <c r="D134" s="16">
        <f t="shared" si="7"/>
        <v>223</v>
      </c>
      <c r="E134" s="16">
        <f t="shared" si="7"/>
        <v>1</v>
      </c>
      <c r="F134" s="16">
        <f t="shared" si="7"/>
        <v>2470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02261</v>
      </c>
      <c r="B135" s="16">
        <f t="shared" si="7"/>
        <v>107</v>
      </c>
      <c r="C135" s="16">
        <f t="shared" si="7"/>
        <v>0</v>
      </c>
      <c r="D135" s="16">
        <f t="shared" si="7"/>
        <v>226</v>
      </c>
      <c r="E135" s="16">
        <f t="shared" si="7"/>
        <v>1</v>
      </c>
      <c r="F135" s="16">
        <f t="shared" si="7"/>
        <v>504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02291</v>
      </c>
      <c r="B136" s="16">
        <f t="shared" si="7"/>
        <v>107</v>
      </c>
      <c r="C136" s="16">
        <f t="shared" si="7"/>
        <v>0</v>
      </c>
      <c r="D136" s="16">
        <f t="shared" si="7"/>
        <v>229</v>
      </c>
      <c r="E136" s="16">
        <f t="shared" si="7"/>
        <v>1</v>
      </c>
      <c r="F136" s="16">
        <f t="shared" si="7"/>
        <v>504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02321</v>
      </c>
      <c r="B137" s="16">
        <f t="shared" si="7"/>
        <v>107</v>
      </c>
      <c r="C137" s="16">
        <f t="shared" si="7"/>
        <v>0</v>
      </c>
      <c r="D137" s="16">
        <f t="shared" si="7"/>
        <v>232</v>
      </c>
      <c r="E137" s="16">
        <f t="shared" si="7"/>
        <v>1</v>
      </c>
      <c r="F137" s="16">
        <f t="shared" si="7"/>
        <v>504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02351</v>
      </c>
      <c r="B138" s="16">
        <f t="shared" si="7"/>
        <v>107</v>
      </c>
      <c r="C138" s="16">
        <f t="shared" si="7"/>
        <v>0</v>
      </c>
      <c r="D138" s="16">
        <f t="shared" si="7"/>
        <v>235</v>
      </c>
      <c r="E138" s="16">
        <f t="shared" si="7"/>
        <v>1</v>
      </c>
      <c r="F138" s="16">
        <f t="shared" si="7"/>
        <v>504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01271</v>
      </c>
      <c r="B139" s="16">
        <f t="shared" si="7"/>
        <v>107</v>
      </c>
      <c r="C139" s="16">
        <f t="shared" si="7"/>
        <v>0</v>
      </c>
      <c r="D139" s="16">
        <f t="shared" si="7"/>
        <v>127</v>
      </c>
      <c r="E139" s="16">
        <f t="shared" si="7"/>
        <v>1</v>
      </c>
      <c r="F139" s="16">
        <f t="shared" si="7"/>
        <v>774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01291</v>
      </c>
      <c r="B140" s="16">
        <f t="shared" si="7"/>
        <v>107</v>
      </c>
      <c r="C140" s="16">
        <f t="shared" si="7"/>
        <v>0</v>
      </c>
      <c r="D140" s="16">
        <f t="shared" si="7"/>
        <v>129</v>
      </c>
      <c r="E140" s="16">
        <f t="shared" si="7"/>
        <v>1</v>
      </c>
      <c r="F140" s="16">
        <f t="shared" si="7"/>
        <v>774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01311</v>
      </c>
      <c r="B141" s="16">
        <f t="shared" si="7"/>
        <v>107</v>
      </c>
      <c r="C141" s="16">
        <f t="shared" si="7"/>
        <v>0</v>
      </c>
      <c r="D141" s="16">
        <f t="shared" si="7"/>
        <v>131</v>
      </c>
      <c r="E141" s="16">
        <f t="shared" si="7"/>
        <v>1</v>
      </c>
      <c r="F141" s="16">
        <f t="shared" si="7"/>
        <v>774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01331</v>
      </c>
      <c r="B142" s="16">
        <f t="shared" si="7"/>
        <v>107</v>
      </c>
      <c r="C142" s="16">
        <f t="shared" si="7"/>
        <v>0</v>
      </c>
      <c r="D142" s="16">
        <f t="shared" si="7"/>
        <v>133</v>
      </c>
      <c r="E142" s="16">
        <f t="shared" si="7"/>
        <v>1</v>
      </c>
      <c r="F142" s="16">
        <f t="shared" si="7"/>
        <v>774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01351</v>
      </c>
      <c r="B143" s="16">
        <f t="shared" si="7"/>
        <v>107</v>
      </c>
      <c r="C143" s="16">
        <f t="shared" si="7"/>
        <v>0</v>
      </c>
      <c r="D143" s="16">
        <f t="shared" si="7"/>
        <v>135</v>
      </c>
      <c r="E143" s="16">
        <f t="shared" si="7"/>
        <v>1</v>
      </c>
      <c r="F143" s="16">
        <f t="shared" si="7"/>
        <v>774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01371</v>
      </c>
      <c r="B144" s="16">
        <f t="shared" si="7"/>
        <v>107</v>
      </c>
      <c r="C144" s="16">
        <f t="shared" si="7"/>
        <v>0</v>
      </c>
      <c r="D144" s="16">
        <f t="shared" si="7"/>
        <v>137</v>
      </c>
      <c r="E144" s="16">
        <f t="shared" si="7"/>
        <v>1</v>
      </c>
      <c r="F144" s="16">
        <f t="shared" si="7"/>
        <v>774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01391</v>
      </c>
      <c r="B145" s="16">
        <f t="shared" si="7"/>
        <v>107</v>
      </c>
      <c r="C145" s="16">
        <f t="shared" si="7"/>
        <v>0</v>
      </c>
      <c r="D145" s="16">
        <f t="shared" si="7"/>
        <v>139</v>
      </c>
      <c r="E145" s="16">
        <f t="shared" si="7"/>
        <v>1</v>
      </c>
      <c r="F145" s="16">
        <f t="shared" si="7"/>
        <v>774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01411</v>
      </c>
      <c r="B146" s="16">
        <f t="shared" si="7"/>
        <v>107</v>
      </c>
      <c r="C146" s="16">
        <f t="shared" si="7"/>
        <v>0</v>
      </c>
      <c r="D146" s="16">
        <f t="shared" si="7"/>
        <v>141</v>
      </c>
      <c r="E146" s="16">
        <f t="shared" si="7"/>
        <v>1</v>
      </c>
      <c r="F146" s="16">
        <f t="shared" si="7"/>
        <v>774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01431</v>
      </c>
      <c r="B147" s="16">
        <f t="shared" si="9"/>
        <v>107</v>
      </c>
      <c r="C147" s="16">
        <f t="shared" si="9"/>
        <v>0</v>
      </c>
      <c r="D147" s="16">
        <f t="shared" si="9"/>
        <v>143</v>
      </c>
      <c r="E147" s="16">
        <f t="shared" si="9"/>
        <v>1</v>
      </c>
      <c r="F147" s="16">
        <f t="shared" si="9"/>
        <v>774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01451</v>
      </c>
      <c r="B148" s="16">
        <f t="shared" si="9"/>
        <v>107</v>
      </c>
      <c r="C148" s="16">
        <f t="shared" si="9"/>
        <v>0</v>
      </c>
      <c r="D148" s="16">
        <f t="shared" si="9"/>
        <v>145</v>
      </c>
      <c r="E148" s="16">
        <f t="shared" si="9"/>
        <v>1</v>
      </c>
      <c r="F148" s="16">
        <f t="shared" si="9"/>
        <v>774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01471</v>
      </c>
      <c r="B149" s="16">
        <f t="shared" si="9"/>
        <v>107</v>
      </c>
      <c r="C149" s="16">
        <f t="shared" si="9"/>
        <v>0</v>
      </c>
      <c r="D149" s="16">
        <f t="shared" si="9"/>
        <v>147</v>
      </c>
      <c r="E149" s="16">
        <f t="shared" si="9"/>
        <v>1</v>
      </c>
      <c r="F149" s="16">
        <f t="shared" si="9"/>
        <v>774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01491</v>
      </c>
      <c r="B150" s="16">
        <f t="shared" si="9"/>
        <v>107</v>
      </c>
      <c r="C150" s="16">
        <f t="shared" si="9"/>
        <v>0</v>
      </c>
      <c r="D150" s="16">
        <f t="shared" si="9"/>
        <v>149</v>
      </c>
      <c r="E150" s="16">
        <f t="shared" si="9"/>
        <v>1</v>
      </c>
      <c r="F150" s="16">
        <f t="shared" si="9"/>
        <v>774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01511</v>
      </c>
      <c r="B151" s="16">
        <f t="shared" si="9"/>
        <v>107</v>
      </c>
      <c r="C151" s="16">
        <f t="shared" si="9"/>
        <v>0</v>
      </c>
      <c r="D151" s="16">
        <f t="shared" si="9"/>
        <v>151</v>
      </c>
      <c r="E151" s="16">
        <f t="shared" si="9"/>
        <v>1</v>
      </c>
      <c r="F151" s="16">
        <f t="shared" si="9"/>
        <v>774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01531</v>
      </c>
      <c r="B152" s="16">
        <f t="shared" si="9"/>
        <v>107</v>
      </c>
      <c r="C152" s="16">
        <f t="shared" si="9"/>
        <v>0</v>
      </c>
      <c r="D152" s="16">
        <f t="shared" si="9"/>
        <v>153</v>
      </c>
      <c r="E152" s="16">
        <f t="shared" si="9"/>
        <v>1</v>
      </c>
      <c r="F152" s="16">
        <f t="shared" si="9"/>
        <v>774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01551</v>
      </c>
      <c r="B153" s="16">
        <f t="shared" si="9"/>
        <v>107</v>
      </c>
      <c r="C153" s="16">
        <f t="shared" si="9"/>
        <v>0</v>
      </c>
      <c r="D153" s="16">
        <f t="shared" si="9"/>
        <v>155</v>
      </c>
      <c r="E153" s="16">
        <f t="shared" si="9"/>
        <v>1</v>
      </c>
      <c r="F153" s="16">
        <f t="shared" si="9"/>
        <v>774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01571</v>
      </c>
      <c r="B154" s="16">
        <f t="shared" si="9"/>
        <v>107</v>
      </c>
      <c r="C154" s="16">
        <f t="shared" si="9"/>
        <v>0</v>
      </c>
      <c r="D154" s="16">
        <f t="shared" si="9"/>
        <v>157</v>
      </c>
      <c r="E154" s="16">
        <f t="shared" si="9"/>
        <v>1</v>
      </c>
      <c r="F154" s="16">
        <f t="shared" si="9"/>
        <v>774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01591</v>
      </c>
      <c r="B155" s="16">
        <f t="shared" si="9"/>
        <v>107</v>
      </c>
      <c r="C155" s="16">
        <f t="shared" si="9"/>
        <v>0</v>
      </c>
      <c r="D155" s="16">
        <f t="shared" si="9"/>
        <v>159</v>
      </c>
      <c r="E155" s="16">
        <f t="shared" si="9"/>
        <v>1</v>
      </c>
      <c r="F155" s="16">
        <f t="shared" si="9"/>
        <v>774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01611</v>
      </c>
      <c r="B156" s="16">
        <f t="shared" si="9"/>
        <v>107</v>
      </c>
      <c r="C156" s="16">
        <f t="shared" si="9"/>
        <v>0</v>
      </c>
      <c r="D156" s="16">
        <f t="shared" si="9"/>
        <v>161</v>
      </c>
      <c r="E156" s="16">
        <f t="shared" si="9"/>
        <v>1</v>
      </c>
      <c r="F156" s="16">
        <f t="shared" si="9"/>
        <v>774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01631</v>
      </c>
      <c r="B157" s="16">
        <f t="shared" si="9"/>
        <v>107</v>
      </c>
      <c r="C157" s="16">
        <f t="shared" si="9"/>
        <v>0</v>
      </c>
      <c r="D157" s="16">
        <f t="shared" si="9"/>
        <v>163</v>
      </c>
      <c r="E157" s="16">
        <f t="shared" si="9"/>
        <v>1</v>
      </c>
      <c r="F157" s="16">
        <f t="shared" si="9"/>
        <v>774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01651</v>
      </c>
      <c r="B158" s="16">
        <f t="shared" si="9"/>
        <v>107</v>
      </c>
      <c r="C158" s="16">
        <f t="shared" si="9"/>
        <v>0</v>
      </c>
      <c r="D158" s="16">
        <f t="shared" si="9"/>
        <v>165</v>
      </c>
      <c r="E158" s="16">
        <f t="shared" si="9"/>
        <v>1</v>
      </c>
      <c r="F158" s="16">
        <f t="shared" si="9"/>
        <v>774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01671</v>
      </c>
      <c r="B159" s="16">
        <f t="shared" si="9"/>
        <v>107</v>
      </c>
      <c r="C159" s="16">
        <f t="shared" si="9"/>
        <v>0</v>
      </c>
      <c r="D159" s="16">
        <f t="shared" si="9"/>
        <v>167</v>
      </c>
      <c r="E159" s="16">
        <f t="shared" si="9"/>
        <v>1</v>
      </c>
      <c r="F159" s="16">
        <f t="shared" si="9"/>
        <v>792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01701</v>
      </c>
      <c r="B160" s="16">
        <f t="shared" si="9"/>
        <v>107</v>
      </c>
      <c r="C160" s="16">
        <f t="shared" si="9"/>
        <v>0</v>
      </c>
      <c r="D160" s="16">
        <f t="shared" si="9"/>
        <v>170</v>
      </c>
      <c r="E160" s="16">
        <f t="shared" si="9"/>
        <v>1</v>
      </c>
      <c r="F160" s="16">
        <f t="shared" si="9"/>
        <v>792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01731</v>
      </c>
      <c r="B161" s="16">
        <f t="shared" si="9"/>
        <v>107</v>
      </c>
      <c r="C161" s="16">
        <f t="shared" si="9"/>
        <v>0</v>
      </c>
      <c r="D161" s="16">
        <f t="shared" si="9"/>
        <v>173</v>
      </c>
      <c r="E161" s="16">
        <f t="shared" si="9"/>
        <v>1</v>
      </c>
      <c r="F161" s="16">
        <f t="shared" si="9"/>
        <v>792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01761</v>
      </c>
      <c r="B162" s="16">
        <f t="shared" si="9"/>
        <v>107</v>
      </c>
      <c r="C162" s="16">
        <f t="shared" si="9"/>
        <v>0</v>
      </c>
      <c r="D162" s="16">
        <f t="shared" si="9"/>
        <v>176</v>
      </c>
      <c r="E162" s="16">
        <f t="shared" si="9"/>
        <v>1</v>
      </c>
      <c r="F162" s="16">
        <f t="shared" si="9"/>
        <v>792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01791</v>
      </c>
      <c r="B163" s="16">
        <f t="shared" si="9"/>
        <v>107</v>
      </c>
      <c r="C163" s="16">
        <f t="shared" si="9"/>
        <v>0</v>
      </c>
      <c r="D163" s="16">
        <f t="shared" si="9"/>
        <v>179</v>
      </c>
      <c r="E163" s="16">
        <f t="shared" si="9"/>
        <v>1</v>
      </c>
      <c r="F163" s="16">
        <f t="shared" si="9"/>
        <v>792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01821</v>
      </c>
      <c r="B164" s="16">
        <f t="shared" si="9"/>
        <v>107</v>
      </c>
      <c r="C164" s="16">
        <f t="shared" si="9"/>
        <v>0</v>
      </c>
      <c r="D164" s="16">
        <f t="shared" si="9"/>
        <v>182</v>
      </c>
      <c r="E164" s="16">
        <f t="shared" si="9"/>
        <v>1</v>
      </c>
      <c r="F164" s="16">
        <f t="shared" si="9"/>
        <v>792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01851</v>
      </c>
      <c r="B165" s="16">
        <f t="shared" si="9"/>
        <v>107</v>
      </c>
      <c r="C165" s="16">
        <f t="shared" si="9"/>
        <v>0</v>
      </c>
      <c r="D165" s="16">
        <f t="shared" si="9"/>
        <v>185</v>
      </c>
      <c r="E165" s="16">
        <f t="shared" si="9"/>
        <v>1</v>
      </c>
      <c r="F165" s="16">
        <f t="shared" si="9"/>
        <v>792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01881</v>
      </c>
      <c r="B166" s="16">
        <f t="shared" si="9"/>
        <v>107</v>
      </c>
      <c r="C166" s="16">
        <f t="shared" si="9"/>
        <v>0</v>
      </c>
      <c r="D166" s="16">
        <f t="shared" si="9"/>
        <v>188</v>
      </c>
      <c r="E166" s="16">
        <f t="shared" si="9"/>
        <v>1</v>
      </c>
      <c r="F166" s="16">
        <f t="shared" si="9"/>
        <v>792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01911</v>
      </c>
      <c r="B167" s="16">
        <f t="shared" si="9"/>
        <v>107</v>
      </c>
      <c r="C167" s="16">
        <f t="shared" si="9"/>
        <v>0</v>
      </c>
      <c r="D167" s="16">
        <f t="shared" si="9"/>
        <v>191</v>
      </c>
      <c r="E167" s="16">
        <f t="shared" si="9"/>
        <v>1</v>
      </c>
      <c r="F167" s="16">
        <f t="shared" si="9"/>
        <v>792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01941</v>
      </c>
      <c r="B168" s="16">
        <f t="shared" si="9"/>
        <v>107</v>
      </c>
      <c r="C168" s="16">
        <f t="shared" si="9"/>
        <v>0</v>
      </c>
      <c r="D168" s="16">
        <f t="shared" si="9"/>
        <v>194</v>
      </c>
      <c r="E168" s="16">
        <f t="shared" si="9"/>
        <v>1</v>
      </c>
      <c r="F168" s="16">
        <f t="shared" si="9"/>
        <v>792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01971</v>
      </c>
      <c r="B169" s="16">
        <f t="shared" si="9"/>
        <v>107</v>
      </c>
      <c r="C169" s="16">
        <f t="shared" si="9"/>
        <v>0</v>
      </c>
      <c r="D169" s="16">
        <f t="shared" si="9"/>
        <v>197</v>
      </c>
      <c r="E169" s="16">
        <f t="shared" si="9"/>
        <v>1</v>
      </c>
      <c r="F169" s="16">
        <f t="shared" si="9"/>
        <v>792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02001</v>
      </c>
      <c r="B170" s="16">
        <f t="shared" si="9"/>
        <v>107</v>
      </c>
      <c r="C170" s="16">
        <f t="shared" si="9"/>
        <v>0</v>
      </c>
      <c r="D170" s="16">
        <f t="shared" si="9"/>
        <v>200</v>
      </c>
      <c r="E170" s="16">
        <f t="shared" si="9"/>
        <v>1</v>
      </c>
      <c r="F170" s="16">
        <f t="shared" si="9"/>
        <v>792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02031</v>
      </c>
      <c r="B171" s="16">
        <f t="shared" si="9"/>
        <v>107</v>
      </c>
      <c r="C171" s="16">
        <f t="shared" si="9"/>
        <v>0</v>
      </c>
      <c r="D171" s="16">
        <f t="shared" si="9"/>
        <v>203</v>
      </c>
      <c r="E171" s="16">
        <f t="shared" si="9"/>
        <v>1</v>
      </c>
      <c r="F171" s="16">
        <f t="shared" si="9"/>
        <v>792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02061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172" s="16">
        <f t="shared" si="10"/>
        <v>0</v>
      </c>
      <c r="D172" s="16">
        <f t="shared" si="10"/>
        <v>206</v>
      </c>
      <c r="E172" s="16">
        <f t="shared" si="10"/>
        <v>1</v>
      </c>
      <c r="F172" s="16">
        <f t="shared" si="10"/>
        <v>792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02091</v>
      </c>
      <c r="B173" s="16">
        <f t="shared" si="10"/>
        <v>107</v>
      </c>
      <c r="C173" s="16">
        <f t="shared" si="10"/>
        <v>0</v>
      </c>
      <c r="D173" s="16">
        <f t="shared" si="10"/>
        <v>209</v>
      </c>
      <c r="E173" s="16">
        <f t="shared" si="10"/>
        <v>1</v>
      </c>
      <c r="F173" s="16">
        <f t="shared" si="10"/>
        <v>792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02121</v>
      </c>
      <c r="B174" s="16">
        <f t="shared" si="10"/>
        <v>107</v>
      </c>
      <c r="C174" s="16">
        <f t="shared" si="10"/>
        <v>0</v>
      </c>
      <c r="D174" s="16">
        <f t="shared" si="10"/>
        <v>212</v>
      </c>
      <c r="E174" s="16">
        <f t="shared" si="10"/>
        <v>1</v>
      </c>
      <c r="F174" s="16">
        <f t="shared" si="10"/>
        <v>792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02151</v>
      </c>
      <c r="B175" s="16">
        <f t="shared" si="10"/>
        <v>107</v>
      </c>
      <c r="C175" s="16">
        <f t="shared" si="10"/>
        <v>0</v>
      </c>
      <c r="D175" s="16">
        <f t="shared" si="10"/>
        <v>215</v>
      </c>
      <c r="E175" s="16">
        <f t="shared" si="10"/>
        <v>1</v>
      </c>
      <c r="F175" s="16">
        <f t="shared" si="10"/>
        <v>792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02181</v>
      </c>
      <c r="B176" s="16">
        <f t="shared" si="10"/>
        <v>107</v>
      </c>
      <c r="C176" s="16">
        <f t="shared" si="10"/>
        <v>0</v>
      </c>
      <c r="D176" s="16">
        <f t="shared" si="10"/>
        <v>218</v>
      </c>
      <c r="E176" s="16">
        <f t="shared" si="10"/>
        <v>1</v>
      </c>
      <c r="F176" s="16">
        <f t="shared" si="10"/>
        <v>792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02211</v>
      </c>
      <c r="B177" s="16">
        <f t="shared" si="10"/>
        <v>107</v>
      </c>
      <c r="C177" s="16">
        <f t="shared" si="10"/>
        <v>0</v>
      </c>
      <c r="D177" s="16">
        <f t="shared" si="10"/>
        <v>221</v>
      </c>
      <c r="E177" s="16">
        <f t="shared" si="10"/>
        <v>1</v>
      </c>
      <c r="F177" s="16">
        <f t="shared" si="10"/>
        <v>792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02241</v>
      </c>
      <c r="B178" s="16">
        <f t="shared" si="10"/>
        <v>107</v>
      </c>
      <c r="C178" s="16">
        <f t="shared" si="10"/>
        <v>0</v>
      </c>
      <c r="D178" s="16">
        <f t="shared" si="10"/>
        <v>224</v>
      </c>
      <c r="E178" s="16">
        <f t="shared" si="10"/>
        <v>1</v>
      </c>
      <c r="F178" s="16">
        <f t="shared" si="10"/>
        <v>792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02271</v>
      </c>
      <c r="B179" s="16">
        <f t="shared" si="10"/>
        <v>107</v>
      </c>
      <c r="C179" s="16">
        <f t="shared" si="10"/>
        <v>0</v>
      </c>
      <c r="D179" s="16">
        <f t="shared" si="10"/>
        <v>227</v>
      </c>
      <c r="E179" s="16">
        <f t="shared" si="10"/>
        <v>1</v>
      </c>
      <c r="F179" s="16">
        <f t="shared" si="10"/>
        <v>180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02301</v>
      </c>
      <c r="B180" s="16">
        <f t="shared" si="10"/>
        <v>107</v>
      </c>
      <c r="C180" s="16">
        <f t="shared" si="10"/>
        <v>0</v>
      </c>
      <c r="D180" s="16">
        <f t="shared" si="10"/>
        <v>230</v>
      </c>
      <c r="E180" s="16">
        <f t="shared" si="10"/>
        <v>1</v>
      </c>
      <c r="F180" s="16">
        <f t="shared" si="10"/>
        <v>180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02331</v>
      </c>
      <c r="B181" s="16">
        <f t="shared" si="10"/>
        <v>107</v>
      </c>
      <c r="C181" s="16">
        <f t="shared" si="10"/>
        <v>0</v>
      </c>
      <c r="D181" s="16">
        <f t="shared" si="10"/>
        <v>233</v>
      </c>
      <c r="E181" s="16">
        <f t="shared" si="10"/>
        <v>1</v>
      </c>
      <c r="F181" s="16">
        <f t="shared" si="10"/>
        <v>180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02361</v>
      </c>
      <c r="B182" s="16">
        <f t="shared" si="10"/>
        <v>107</v>
      </c>
      <c r="C182" s="16">
        <f t="shared" si="10"/>
        <v>0</v>
      </c>
      <c r="D182" s="16">
        <f t="shared" si="10"/>
        <v>236</v>
      </c>
      <c r="E182" s="16">
        <f t="shared" si="10"/>
        <v>1</v>
      </c>
      <c r="F182" s="16">
        <f t="shared" si="10"/>
        <v>180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01681</v>
      </c>
      <c r="B183" s="16">
        <f t="shared" si="10"/>
        <v>107</v>
      </c>
      <c r="C183" s="16">
        <f t="shared" si="10"/>
        <v>0</v>
      </c>
      <c r="D183" s="16">
        <f t="shared" si="10"/>
        <v>168</v>
      </c>
      <c r="E183" s="16">
        <f t="shared" si="10"/>
        <v>1</v>
      </c>
      <c r="F183" s="16">
        <f t="shared" si="10"/>
        <v>320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01711</v>
      </c>
      <c r="B184" s="16">
        <f t="shared" si="10"/>
        <v>107</v>
      </c>
      <c r="C184" s="16">
        <f t="shared" si="10"/>
        <v>0</v>
      </c>
      <c r="D184" s="16">
        <f t="shared" si="10"/>
        <v>171</v>
      </c>
      <c r="E184" s="16">
        <f t="shared" si="10"/>
        <v>1</v>
      </c>
      <c r="F184" s="16">
        <f t="shared" si="10"/>
        <v>320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01741</v>
      </c>
      <c r="B185" s="16">
        <f t="shared" si="10"/>
        <v>107</v>
      </c>
      <c r="C185" s="16">
        <f t="shared" si="10"/>
        <v>0</v>
      </c>
      <c r="D185" s="16">
        <f t="shared" si="10"/>
        <v>174</v>
      </c>
      <c r="E185" s="16">
        <f t="shared" si="10"/>
        <v>1</v>
      </c>
      <c r="F185" s="16">
        <f t="shared" si="10"/>
        <v>320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01771</v>
      </c>
      <c r="B186" s="16">
        <f t="shared" si="10"/>
        <v>107</v>
      </c>
      <c r="C186" s="16">
        <f t="shared" si="10"/>
        <v>0</v>
      </c>
      <c r="D186" s="16">
        <f t="shared" si="10"/>
        <v>177</v>
      </c>
      <c r="E186" s="16">
        <f t="shared" si="10"/>
        <v>1</v>
      </c>
      <c r="F186" s="16">
        <f t="shared" si="10"/>
        <v>320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01801</v>
      </c>
      <c r="B187" s="16">
        <f t="shared" si="10"/>
        <v>107</v>
      </c>
      <c r="C187" s="16">
        <f t="shared" si="10"/>
        <v>0</v>
      </c>
      <c r="D187" s="16">
        <f t="shared" si="10"/>
        <v>180</v>
      </c>
      <c r="E187" s="16">
        <f t="shared" si="10"/>
        <v>1</v>
      </c>
      <c r="F187" s="16">
        <f t="shared" si="10"/>
        <v>320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01831</v>
      </c>
      <c r="B188" s="16">
        <f t="shared" si="10"/>
        <v>107</v>
      </c>
      <c r="C188" s="16">
        <f t="shared" si="10"/>
        <v>0</v>
      </c>
      <c r="D188" s="16">
        <f t="shared" si="10"/>
        <v>183</v>
      </c>
      <c r="E188" s="16">
        <f t="shared" si="10"/>
        <v>1</v>
      </c>
      <c r="F188" s="16">
        <f t="shared" si="10"/>
        <v>320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01861</v>
      </c>
      <c r="B189" s="16">
        <f t="shared" si="10"/>
        <v>107</v>
      </c>
      <c r="C189" s="16">
        <f t="shared" si="10"/>
        <v>0</v>
      </c>
      <c r="D189" s="16">
        <f t="shared" si="10"/>
        <v>186</v>
      </c>
      <c r="E189" s="16">
        <f t="shared" si="10"/>
        <v>1</v>
      </c>
      <c r="F189" s="16">
        <f t="shared" si="10"/>
        <v>320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01891</v>
      </c>
      <c r="B190" s="16">
        <f t="shared" si="10"/>
        <v>107</v>
      </c>
      <c r="C190" s="16">
        <f t="shared" si="10"/>
        <v>0</v>
      </c>
      <c r="D190" s="16">
        <f t="shared" si="10"/>
        <v>189</v>
      </c>
      <c r="E190" s="16">
        <f t="shared" si="10"/>
        <v>1</v>
      </c>
      <c r="F190" s="16">
        <f t="shared" si="10"/>
        <v>320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01921</v>
      </c>
      <c r="B191" s="16">
        <f t="shared" si="10"/>
        <v>107</v>
      </c>
      <c r="C191" s="16">
        <f t="shared" si="10"/>
        <v>0</v>
      </c>
      <c r="D191" s="16">
        <f t="shared" si="10"/>
        <v>192</v>
      </c>
      <c r="E191" s="16">
        <f t="shared" si="10"/>
        <v>1</v>
      </c>
      <c r="F191" s="16">
        <f t="shared" si="10"/>
        <v>320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01951</v>
      </c>
      <c r="B192" s="16">
        <f t="shared" si="10"/>
        <v>107</v>
      </c>
      <c r="C192" s="16">
        <f t="shared" si="10"/>
        <v>0</v>
      </c>
      <c r="D192" s="16">
        <f t="shared" si="10"/>
        <v>195</v>
      </c>
      <c r="E192" s="16">
        <f t="shared" si="10"/>
        <v>1</v>
      </c>
      <c r="F192" s="16">
        <f t="shared" si="10"/>
        <v>320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01981</v>
      </c>
      <c r="B193" s="16">
        <f t="shared" si="10"/>
        <v>107</v>
      </c>
      <c r="C193" s="16">
        <f t="shared" si="10"/>
        <v>0</v>
      </c>
      <c r="D193" s="16">
        <f t="shared" si="10"/>
        <v>198</v>
      </c>
      <c r="E193" s="16">
        <f t="shared" si="10"/>
        <v>1</v>
      </c>
      <c r="F193" s="16">
        <f t="shared" si="10"/>
        <v>320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02011</v>
      </c>
      <c r="B194" s="16">
        <f t="shared" si="10"/>
        <v>107</v>
      </c>
      <c r="C194" s="16">
        <f t="shared" si="10"/>
        <v>0</v>
      </c>
      <c r="D194" s="16">
        <f t="shared" si="10"/>
        <v>201</v>
      </c>
      <c r="E194" s="16">
        <f t="shared" si="10"/>
        <v>1</v>
      </c>
      <c r="F194" s="16">
        <f t="shared" si="10"/>
        <v>320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38" si="11">INDIRECT(ADDRESS(ROW()+$A$1,COLUMN(),1,TRUE,$C$1))</f>
        <v>02041</v>
      </c>
      <c r="B195" s="16">
        <f t="shared" si="10"/>
        <v>107</v>
      </c>
      <c r="C195" s="16">
        <f t="shared" si="10"/>
        <v>0</v>
      </c>
      <c r="D195" s="16">
        <f t="shared" si="10"/>
        <v>204</v>
      </c>
      <c r="E195" s="16">
        <f t="shared" si="10"/>
        <v>1</v>
      </c>
      <c r="F195" s="16">
        <f t="shared" si="10"/>
        <v>320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02071</v>
      </c>
      <c r="B196" s="16">
        <f t="shared" si="10"/>
        <v>107</v>
      </c>
      <c r="C196" s="16">
        <f t="shared" si="10"/>
        <v>0</v>
      </c>
      <c r="D196" s="16">
        <f t="shared" si="10"/>
        <v>207</v>
      </c>
      <c r="E196" s="16">
        <f t="shared" si="10"/>
        <v>1</v>
      </c>
      <c r="F196" s="16">
        <f t="shared" si="10"/>
        <v>320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02101</v>
      </c>
      <c r="B197" s="16">
        <f t="shared" si="10"/>
        <v>107</v>
      </c>
      <c r="C197" s="16">
        <f t="shared" si="10"/>
        <v>0</v>
      </c>
      <c r="D197" s="16">
        <f t="shared" si="10"/>
        <v>210</v>
      </c>
      <c r="E197" s="16">
        <f t="shared" si="10"/>
        <v>1</v>
      </c>
      <c r="F197" s="16">
        <f t="shared" si="10"/>
        <v>320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02131</v>
      </c>
      <c r="B198" s="16">
        <f t="shared" si="12"/>
        <v>107</v>
      </c>
      <c r="C198" s="16">
        <f t="shared" si="12"/>
        <v>0</v>
      </c>
      <c r="D198" s="16">
        <f t="shared" si="12"/>
        <v>213</v>
      </c>
      <c r="E198" s="16">
        <f t="shared" si="12"/>
        <v>1</v>
      </c>
      <c r="F198" s="16">
        <f t="shared" si="12"/>
        <v>320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02161</v>
      </c>
      <c r="B199" s="16">
        <f t="shared" si="12"/>
        <v>107</v>
      </c>
      <c r="C199" s="16">
        <f t="shared" si="12"/>
        <v>0</v>
      </c>
      <c r="D199" s="16">
        <f t="shared" si="12"/>
        <v>216</v>
      </c>
      <c r="E199" s="16">
        <f t="shared" si="12"/>
        <v>1</v>
      </c>
      <c r="F199" s="16">
        <f t="shared" si="12"/>
        <v>320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02191</v>
      </c>
      <c r="B200" s="16">
        <f t="shared" si="12"/>
        <v>107</v>
      </c>
      <c r="C200" s="16">
        <f t="shared" si="12"/>
        <v>0</v>
      </c>
      <c r="D200" s="16">
        <f t="shared" si="12"/>
        <v>219</v>
      </c>
      <c r="E200" s="16">
        <f t="shared" si="12"/>
        <v>1</v>
      </c>
      <c r="F200" s="16">
        <f t="shared" si="12"/>
        <v>320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02221</v>
      </c>
      <c r="B201" s="16">
        <f t="shared" si="12"/>
        <v>107</v>
      </c>
      <c r="C201" s="16">
        <f t="shared" si="12"/>
        <v>0</v>
      </c>
      <c r="D201" s="16">
        <f t="shared" si="12"/>
        <v>222</v>
      </c>
      <c r="E201" s="16">
        <f t="shared" si="12"/>
        <v>1</v>
      </c>
      <c r="F201" s="16">
        <f t="shared" si="12"/>
        <v>320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02251</v>
      </c>
      <c r="B202" s="16">
        <f t="shared" si="12"/>
        <v>107</v>
      </c>
      <c r="C202" s="16">
        <f t="shared" si="12"/>
        <v>0</v>
      </c>
      <c r="D202" s="16">
        <f t="shared" si="12"/>
        <v>225</v>
      </c>
      <c r="E202" s="16">
        <f t="shared" si="12"/>
        <v>1</v>
      </c>
      <c r="F202" s="16">
        <f t="shared" si="12"/>
        <v>320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02281</v>
      </c>
      <c r="B203" s="16">
        <f t="shared" si="12"/>
        <v>107</v>
      </c>
      <c r="C203" s="16">
        <f t="shared" si="12"/>
        <v>0</v>
      </c>
      <c r="D203" s="16">
        <f t="shared" si="12"/>
        <v>228</v>
      </c>
      <c r="E203" s="16">
        <f t="shared" si="12"/>
        <v>1</v>
      </c>
      <c r="F203" s="16">
        <f t="shared" si="12"/>
        <v>36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02311</v>
      </c>
      <c r="B204" s="16">
        <f t="shared" si="12"/>
        <v>107</v>
      </c>
      <c r="C204" s="16">
        <f t="shared" si="12"/>
        <v>0</v>
      </c>
      <c r="D204" s="16">
        <f t="shared" si="12"/>
        <v>231</v>
      </c>
      <c r="E204" s="16">
        <f t="shared" si="12"/>
        <v>1</v>
      </c>
      <c r="F204" s="16">
        <f t="shared" si="12"/>
        <v>36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02341</v>
      </c>
      <c r="B205" s="16">
        <f t="shared" si="12"/>
        <v>107</v>
      </c>
      <c r="C205" s="16">
        <f t="shared" si="12"/>
        <v>0</v>
      </c>
      <c r="D205" s="16">
        <f t="shared" si="12"/>
        <v>234</v>
      </c>
      <c r="E205" s="16">
        <f t="shared" si="12"/>
        <v>1</v>
      </c>
      <c r="F205" s="16">
        <f t="shared" si="12"/>
        <v>36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02371</v>
      </c>
      <c r="B206" s="16">
        <f t="shared" si="12"/>
        <v>107</v>
      </c>
      <c r="C206" s="16">
        <f t="shared" si="12"/>
        <v>0</v>
      </c>
      <c r="D206" s="16">
        <f t="shared" si="12"/>
        <v>237</v>
      </c>
      <c r="E206" s="16">
        <f t="shared" si="12"/>
        <v>1</v>
      </c>
      <c r="F206" s="16">
        <f t="shared" si="12"/>
        <v>36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02381</v>
      </c>
      <c r="B207" s="16">
        <f t="shared" si="12"/>
        <v>107</v>
      </c>
      <c r="C207" s="16">
        <f t="shared" si="12"/>
        <v>0</v>
      </c>
      <c r="D207" s="16">
        <f t="shared" si="12"/>
        <v>238</v>
      </c>
      <c r="E207" s="16">
        <f t="shared" si="12"/>
        <v>1</v>
      </c>
      <c r="F207" s="16">
        <f t="shared" si="12"/>
        <v>504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02391</v>
      </c>
      <c r="B208" s="16">
        <f t="shared" si="12"/>
        <v>107</v>
      </c>
      <c r="C208" s="16">
        <f t="shared" si="12"/>
        <v>0</v>
      </c>
      <c r="D208" s="16">
        <f t="shared" si="12"/>
        <v>239</v>
      </c>
      <c r="E208" s="16">
        <f t="shared" si="12"/>
        <v>1</v>
      </c>
      <c r="F208" s="16">
        <f t="shared" si="12"/>
        <v>180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02401</v>
      </c>
      <c r="B209" s="16">
        <f t="shared" si="12"/>
        <v>107</v>
      </c>
      <c r="C209" s="16">
        <f t="shared" si="12"/>
        <v>0</v>
      </c>
      <c r="D209" s="16">
        <f t="shared" si="12"/>
        <v>240</v>
      </c>
      <c r="E209" s="16">
        <f t="shared" si="12"/>
        <v>1</v>
      </c>
      <c r="F209" s="16">
        <f t="shared" si="12"/>
        <v>36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02411</v>
      </c>
      <c r="B210" s="16">
        <f t="shared" si="12"/>
        <v>107</v>
      </c>
      <c r="C210" s="16">
        <f t="shared" si="12"/>
        <v>0</v>
      </c>
      <c r="D210" s="16">
        <f t="shared" si="12"/>
        <v>241</v>
      </c>
      <c r="E210" s="16">
        <f t="shared" si="12"/>
        <v>1</v>
      </c>
      <c r="F210" s="16">
        <f t="shared" si="12"/>
        <v>504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02421</v>
      </c>
      <c r="B211" s="16">
        <f t="shared" si="12"/>
        <v>107</v>
      </c>
      <c r="C211" s="16">
        <f t="shared" si="12"/>
        <v>0</v>
      </c>
      <c r="D211" s="16">
        <f t="shared" si="12"/>
        <v>242</v>
      </c>
      <c r="E211" s="16">
        <f t="shared" si="12"/>
        <v>1</v>
      </c>
      <c r="F211" s="16">
        <f t="shared" si="12"/>
        <v>180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02431</v>
      </c>
      <c r="B212" s="16">
        <f t="shared" si="12"/>
        <v>107</v>
      </c>
      <c r="C212" s="16">
        <f t="shared" si="12"/>
        <v>0</v>
      </c>
      <c r="D212" s="16">
        <f t="shared" si="12"/>
        <v>243</v>
      </c>
      <c r="E212" s="16">
        <f t="shared" si="12"/>
        <v>1</v>
      </c>
      <c r="F212" s="16">
        <f t="shared" si="12"/>
        <v>36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02441</v>
      </c>
      <c r="B213" s="16">
        <f t="shared" si="12"/>
        <v>107</v>
      </c>
      <c r="C213" s="16">
        <f t="shared" si="12"/>
        <v>0</v>
      </c>
      <c r="D213" s="16">
        <f t="shared" si="12"/>
        <v>244</v>
      </c>
      <c r="E213" s="16">
        <f t="shared" si="12"/>
        <v>1</v>
      </c>
      <c r="F213" s="16">
        <f t="shared" si="12"/>
        <v>504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02451</v>
      </c>
      <c r="B214" s="16">
        <f t="shared" si="12"/>
        <v>107</v>
      </c>
      <c r="C214" s="16">
        <f t="shared" si="12"/>
        <v>0</v>
      </c>
      <c r="D214" s="16">
        <f t="shared" si="12"/>
        <v>245</v>
      </c>
      <c r="E214" s="16">
        <f t="shared" si="12"/>
        <v>1</v>
      </c>
      <c r="F214" s="16">
        <f t="shared" si="12"/>
        <v>180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02461</v>
      </c>
      <c r="B215" s="16">
        <f t="shared" si="12"/>
        <v>107</v>
      </c>
      <c r="C215" s="16">
        <f t="shared" si="12"/>
        <v>0</v>
      </c>
      <c r="D215" s="16">
        <f t="shared" si="12"/>
        <v>246</v>
      </c>
      <c r="E215" s="16">
        <f t="shared" si="12"/>
        <v>1</v>
      </c>
      <c r="F215" s="16">
        <f t="shared" si="12"/>
        <v>36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02471</v>
      </c>
      <c r="B216" s="16">
        <f t="shared" si="12"/>
        <v>107</v>
      </c>
      <c r="C216" s="16">
        <f t="shared" si="12"/>
        <v>0</v>
      </c>
      <c r="D216" s="16">
        <f t="shared" si="12"/>
        <v>247</v>
      </c>
      <c r="E216" s="16">
        <f t="shared" si="12"/>
        <v>1</v>
      </c>
      <c r="F216" s="16">
        <f t="shared" si="12"/>
        <v>504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02481</v>
      </c>
      <c r="B217" s="16">
        <f t="shared" si="12"/>
        <v>107</v>
      </c>
      <c r="C217" s="16">
        <f t="shared" si="12"/>
        <v>0</v>
      </c>
      <c r="D217" s="16">
        <f t="shared" si="12"/>
        <v>248</v>
      </c>
      <c r="E217" s="16">
        <f t="shared" si="12"/>
        <v>1</v>
      </c>
      <c r="F217" s="16">
        <f t="shared" si="12"/>
        <v>180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02491</v>
      </c>
      <c r="B218" s="16">
        <f t="shared" si="12"/>
        <v>107</v>
      </c>
      <c r="C218" s="16">
        <f t="shared" si="12"/>
        <v>0</v>
      </c>
      <c r="D218" s="16">
        <f t="shared" si="12"/>
        <v>249</v>
      </c>
      <c r="E218" s="16">
        <f t="shared" si="12"/>
        <v>1</v>
      </c>
      <c r="F218" s="16">
        <f t="shared" si="12"/>
        <v>36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02501</v>
      </c>
      <c r="B219" s="16">
        <f t="shared" si="12"/>
        <v>107</v>
      </c>
      <c r="C219" s="16">
        <f t="shared" si="12"/>
        <v>0</v>
      </c>
      <c r="D219" s="16">
        <f t="shared" si="12"/>
        <v>250</v>
      </c>
      <c r="E219" s="16">
        <f t="shared" si="12"/>
        <v>1</v>
      </c>
      <c r="F219" s="16">
        <f t="shared" si="12"/>
        <v>504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02511</v>
      </c>
      <c r="B220" s="16">
        <f t="shared" si="12"/>
        <v>107</v>
      </c>
      <c r="C220" s="16">
        <f t="shared" si="12"/>
        <v>0</v>
      </c>
      <c r="D220" s="16">
        <f t="shared" si="12"/>
        <v>251</v>
      </c>
      <c r="E220" s="16">
        <f t="shared" si="12"/>
        <v>1</v>
      </c>
      <c r="F220" s="16">
        <f t="shared" si="12"/>
        <v>180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02521</v>
      </c>
      <c r="B221" s="16">
        <f t="shared" si="12"/>
        <v>107</v>
      </c>
      <c r="C221" s="16">
        <f t="shared" si="12"/>
        <v>0</v>
      </c>
      <c r="D221" s="16">
        <f t="shared" si="12"/>
        <v>252</v>
      </c>
      <c r="E221" s="16">
        <f t="shared" si="12"/>
        <v>1</v>
      </c>
      <c r="F221" s="16">
        <f t="shared" si="12"/>
        <v>36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02531</v>
      </c>
      <c r="B222" s="16">
        <f t="shared" si="12"/>
        <v>107</v>
      </c>
      <c r="C222" s="16">
        <f t="shared" si="12"/>
        <v>0</v>
      </c>
      <c r="D222" s="16">
        <f t="shared" si="12"/>
        <v>253</v>
      </c>
      <c r="E222" s="16">
        <f t="shared" si="12"/>
        <v>1</v>
      </c>
      <c r="F222" s="16">
        <f t="shared" si="12"/>
        <v>504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02541</v>
      </c>
      <c r="B223" s="16">
        <f t="shared" ref="B223:K23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107</v>
      </c>
      <c r="C223" s="16">
        <f t="shared" si="13"/>
        <v>0</v>
      </c>
      <c r="D223" s="16">
        <f t="shared" si="13"/>
        <v>254</v>
      </c>
      <c r="E223" s="16">
        <f t="shared" si="13"/>
        <v>1</v>
      </c>
      <c r="F223" s="16">
        <f t="shared" si="13"/>
        <v>180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02551</v>
      </c>
      <c r="B224" s="16">
        <f t="shared" si="13"/>
        <v>107</v>
      </c>
      <c r="C224" s="16">
        <f t="shared" si="13"/>
        <v>0</v>
      </c>
      <c r="D224" s="16">
        <f t="shared" si="13"/>
        <v>255</v>
      </c>
      <c r="E224" s="16">
        <f t="shared" si="13"/>
        <v>1</v>
      </c>
      <c r="F224" s="16">
        <f t="shared" si="13"/>
        <v>36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02561</v>
      </c>
      <c r="B225" s="16">
        <f t="shared" si="13"/>
        <v>107</v>
      </c>
      <c r="C225" s="16">
        <f t="shared" si="13"/>
        <v>0</v>
      </c>
      <c r="D225" s="16">
        <f t="shared" si="13"/>
        <v>256</v>
      </c>
      <c r="E225" s="16">
        <f t="shared" si="13"/>
        <v>1</v>
      </c>
      <c r="F225" s="16">
        <f t="shared" si="13"/>
        <v>504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02571</v>
      </c>
      <c r="B226" s="16">
        <f t="shared" si="13"/>
        <v>107</v>
      </c>
      <c r="C226" s="16">
        <f t="shared" si="13"/>
        <v>0</v>
      </c>
      <c r="D226" s="16">
        <f t="shared" si="13"/>
        <v>257</v>
      </c>
      <c r="E226" s="16">
        <f t="shared" si="13"/>
        <v>1</v>
      </c>
      <c r="F226" s="16">
        <f t="shared" si="13"/>
        <v>180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02581</v>
      </c>
      <c r="B227" s="16">
        <f t="shared" si="13"/>
        <v>107</v>
      </c>
      <c r="C227" s="16">
        <f t="shared" si="13"/>
        <v>0</v>
      </c>
      <c r="D227" s="16">
        <f t="shared" si="13"/>
        <v>258</v>
      </c>
      <c r="E227" s="16">
        <f t="shared" si="13"/>
        <v>1</v>
      </c>
      <c r="F227" s="16">
        <f t="shared" si="13"/>
        <v>36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02591</v>
      </c>
      <c r="B228" s="16">
        <f t="shared" si="13"/>
        <v>107</v>
      </c>
      <c r="C228" s="16">
        <f t="shared" si="13"/>
        <v>0</v>
      </c>
      <c r="D228" s="16">
        <f t="shared" si="13"/>
        <v>259</v>
      </c>
      <c r="E228" s="16">
        <f t="shared" si="13"/>
        <v>1</v>
      </c>
      <c r="F228" s="16">
        <f t="shared" si="13"/>
        <v>504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02601</v>
      </c>
      <c r="B229" s="16">
        <f t="shared" si="13"/>
        <v>107</v>
      </c>
      <c r="C229" s="16">
        <f t="shared" si="13"/>
        <v>0</v>
      </c>
      <c r="D229" s="16">
        <f t="shared" si="13"/>
        <v>260</v>
      </c>
      <c r="E229" s="16">
        <f t="shared" si="13"/>
        <v>1</v>
      </c>
      <c r="F229" s="16">
        <f t="shared" si="13"/>
        <v>180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02611</v>
      </c>
      <c r="B230" s="16">
        <f t="shared" si="13"/>
        <v>107</v>
      </c>
      <c r="C230" s="16">
        <f t="shared" si="13"/>
        <v>0</v>
      </c>
      <c r="D230" s="16">
        <f t="shared" si="13"/>
        <v>261</v>
      </c>
      <c r="E230" s="16">
        <f t="shared" si="13"/>
        <v>1</v>
      </c>
      <c r="F230" s="16">
        <f t="shared" si="13"/>
        <v>36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03201</v>
      </c>
      <c r="B231" s="16">
        <f t="shared" si="13"/>
        <v>107</v>
      </c>
      <c r="C231" s="16">
        <f t="shared" si="13"/>
        <v>0</v>
      </c>
      <c r="D231" s="16">
        <f t="shared" si="13"/>
        <v>320</v>
      </c>
      <c r="E231" s="16">
        <f t="shared" si="13"/>
        <v>1</v>
      </c>
      <c r="F231" s="16">
        <f t="shared" si="13"/>
        <v>630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03211</v>
      </c>
      <c r="B232" s="16">
        <f t="shared" si="13"/>
        <v>107</v>
      </c>
      <c r="C232" s="16">
        <f t="shared" si="13"/>
        <v>0</v>
      </c>
      <c r="D232" s="16">
        <f t="shared" si="13"/>
        <v>321</v>
      </c>
      <c r="E232" s="16">
        <f t="shared" si="13"/>
        <v>1</v>
      </c>
      <c r="F232" s="16">
        <f t="shared" si="13"/>
        <v>90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03221</v>
      </c>
      <c r="B233" s="16">
        <f t="shared" si="13"/>
        <v>107</v>
      </c>
      <c r="C233" s="16">
        <f t="shared" si="13"/>
        <v>0</v>
      </c>
      <c r="D233" s="16">
        <f t="shared" si="13"/>
        <v>322</v>
      </c>
      <c r="E233" s="16">
        <f t="shared" si="13"/>
        <v>1</v>
      </c>
      <c r="F233" s="16">
        <f t="shared" si="13"/>
        <v>630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03231</v>
      </c>
      <c r="B234" s="16">
        <f t="shared" si="13"/>
        <v>107</v>
      </c>
      <c r="C234" s="16">
        <f t="shared" si="13"/>
        <v>0</v>
      </c>
      <c r="D234" s="16">
        <f t="shared" si="13"/>
        <v>323</v>
      </c>
      <c r="E234" s="16">
        <f t="shared" si="13"/>
        <v>1</v>
      </c>
      <c r="F234" s="16">
        <f t="shared" si="13"/>
        <v>90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03241</v>
      </c>
      <c r="B235" s="16">
        <f t="shared" si="13"/>
        <v>107</v>
      </c>
      <c r="C235" s="16">
        <f t="shared" si="13"/>
        <v>0</v>
      </c>
      <c r="D235" s="16">
        <f t="shared" si="13"/>
        <v>324</v>
      </c>
      <c r="E235" s="16">
        <f t="shared" si="13"/>
        <v>1</v>
      </c>
      <c r="F235" s="16">
        <f t="shared" si="13"/>
        <v>630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03251</v>
      </c>
      <c r="B236" s="16">
        <f t="shared" si="13"/>
        <v>107</v>
      </c>
      <c r="C236" s="16">
        <f t="shared" si="13"/>
        <v>0</v>
      </c>
      <c r="D236" s="16">
        <f t="shared" si="13"/>
        <v>325</v>
      </c>
      <c r="E236" s="16">
        <f t="shared" si="13"/>
        <v>1</v>
      </c>
      <c r="F236" s="16">
        <f t="shared" si="13"/>
        <v>90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03261</v>
      </c>
      <c r="B237" s="16">
        <f t="shared" si="13"/>
        <v>107</v>
      </c>
      <c r="C237" s="16">
        <f t="shared" si="13"/>
        <v>0</v>
      </c>
      <c r="D237" s="16">
        <f t="shared" si="13"/>
        <v>326</v>
      </c>
      <c r="E237" s="16">
        <f t="shared" si="13"/>
        <v>1</v>
      </c>
      <c r="F237" s="16">
        <f t="shared" si="13"/>
        <v>630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03271</v>
      </c>
      <c r="B238" s="16">
        <f t="shared" si="13"/>
        <v>107</v>
      </c>
      <c r="C238" s="16">
        <f t="shared" si="13"/>
        <v>0</v>
      </c>
      <c r="D238" s="16">
        <f t="shared" si="13"/>
        <v>327</v>
      </c>
      <c r="E238" s="16">
        <f t="shared" si="13"/>
        <v>1</v>
      </c>
      <c r="F238" s="16">
        <f t="shared" si="13"/>
        <v>90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/>
  <dimension ref="A1:K23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30" sqref="N30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gacha_unit_tables_108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4178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108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1139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108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1139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108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1139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108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4178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108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1139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108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1139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108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1139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108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4178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108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1139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108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1139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108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1139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108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4178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108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1139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108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1139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108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1139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4178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108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1139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108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1139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108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1139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108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4760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108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1298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108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1298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108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1298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108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4760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108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1298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108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1298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108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1298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108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4760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108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1298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108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1298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108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1298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108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4760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108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1298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108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1298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108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1298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108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4760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108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1298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108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1298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108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1298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108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972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108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265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108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265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108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265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108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372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108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102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108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102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108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102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108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372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108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102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108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102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108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102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108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372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108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102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108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102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108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102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108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372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108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102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108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102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108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102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108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372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108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102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108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102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108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102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108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40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108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11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108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11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11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108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972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108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40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108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265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108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11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108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265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108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11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108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265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108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11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108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972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108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40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108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265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108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11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108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265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108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11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108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265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108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11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108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972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108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40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108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265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108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11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108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265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108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11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108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265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108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11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01261</v>
      </c>
      <c r="B95" s="16">
        <f t="shared" si="5"/>
        <v>108</v>
      </c>
      <c r="C95" s="16">
        <f t="shared" si="5"/>
        <v>0</v>
      </c>
      <c r="D95" s="16">
        <f t="shared" si="5"/>
        <v>126</v>
      </c>
      <c r="E95" s="16">
        <f t="shared" si="5"/>
        <v>1</v>
      </c>
      <c r="F95" s="16">
        <f t="shared" si="5"/>
        <v>5061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01281</v>
      </c>
      <c r="B96" s="16">
        <f t="shared" si="6"/>
        <v>108</v>
      </c>
      <c r="C96" s="16">
        <f t="shared" si="6"/>
        <v>0</v>
      </c>
      <c r="D96" s="16">
        <f t="shared" si="6"/>
        <v>128</v>
      </c>
      <c r="E96" s="16">
        <f t="shared" si="6"/>
        <v>1</v>
      </c>
      <c r="F96" s="16">
        <f t="shared" si="6"/>
        <v>1380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01301</v>
      </c>
      <c r="B97" s="16">
        <f t="shared" si="6"/>
        <v>108</v>
      </c>
      <c r="C97" s="16">
        <f t="shared" si="6"/>
        <v>0</v>
      </c>
      <c r="D97" s="16">
        <f t="shared" si="6"/>
        <v>130</v>
      </c>
      <c r="E97" s="16">
        <f t="shared" si="6"/>
        <v>1</v>
      </c>
      <c r="F97" s="16">
        <f t="shared" si="6"/>
        <v>1380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01321</v>
      </c>
      <c r="B98" s="16">
        <f t="shared" si="6"/>
        <v>108</v>
      </c>
      <c r="C98" s="16">
        <f t="shared" si="6"/>
        <v>0</v>
      </c>
      <c r="D98" s="16">
        <f t="shared" si="6"/>
        <v>132</v>
      </c>
      <c r="E98" s="16">
        <f t="shared" si="6"/>
        <v>1</v>
      </c>
      <c r="F98" s="16">
        <f t="shared" si="6"/>
        <v>1380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01341</v>
      </c>
      <c r="B99" s="16">
        <f t="shared" si="6"/>
        <v>108</v>
      </c>
      <c r="C99" s="16">
        <f t="shared" si="6"/>
        <v>0</v>
      </c>
      <c r="D99" s="16">
        <f t="shared" si="6"/>
        <v>134</v>
      </c>
      <c r="E99" s="16">
        <f t="shared" si="6"/>
        <v>1</v>
      </c>
      <c r="F99" s="16">
        <f t="shared" si="6"/>
        <v>5061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01361</v>
      </c>
      <c r="B100" s="16">
        <f t="shared" si="6"/>
        <v>108</v>
      </c>
      <c r="C100" s="16">
        <f t="shared" si="6"/>
        <v>0</v>
      </c>
      <c r="D100" s="16">
        <f t="shared" si="6"/>
        <v>136</v>
      </c>
      <c r="E100" s="16">
        <f t="shared" si="6"/>
        <v>1</v>
      </c>
      <c r="F100" s="16">
        <f t="shared" si="6"/>
        <v>1380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01381</v>
      </c>
      <c r="B101" s="16">
        <f t="shared" si="6"/>
        <v>108</v>
      </c>
      <c r="C101" s="16">
        <f t="shared" si="6"/>
        <v>0</v>
      </c>
      <c r="D101" s="16">
        <f t="shared" si="6"/>
        <v>138</v>
      </c>
      <c r="E101" s="16">
        <f t="shared" si="6"/>
        <v>1</v>
      </c>
      <c r="F101" s="16">
        <f t="shared" si="6"/>
        <v>1380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01401</v>
      </c>
      <c r="B102" s="16">
        <f t="shared" si="6"/>
        <v>108</v>
      </c>
      <c r="C102" s="16">
        <f t="shared" si="6"/>
        <v>0</v>
      </c>
      <c r="D102" s="16">
        <f t="shared" si="6"/>
        <v>140</v>
      </c>
      <c r="E102" s="16">
        <f t="shared" si="6"/>
        <v>1</v>
      </c>
      <c r="F102" s="16">
        <f t="shared" si="6"/>
        <v>1380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01421</v>
      </c>
      <c r="B103" s="16">
        <f t="shared" si="6"/>
        <v>108</v>
      </c>
      <c r="C103" s="16">
        <f t="shared" si="6"/>
        <v>0</v>
      </c>
      <c r="D103" s="16">
        <f t="shared" si="6"/>
        <v>142</v>
      </c>
      <c r="E103" s="16">
        <f t="shared" si="6"/>
        <v>1</v>
      </c>
      <c r="F103" s="16">
        <f t="shared" si="6"/>
        <v>5061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01441</v>
      </c>
      <c r="B104" s="16">
        <f t="shared" si="6"/>
        <v>108</v>
      </c>
      <c r="C104" s="16">
        <f t="shared" si="6"/>
        <v>0</v>
      </c>
      <c r="D104" s="16">
        <f t="shared" si="6"/>
        <v>144</v>
      </c>
      <c r="E104" s="16">
        <f t="shared" si="6"/>
        <v>1</v>
      </c>
      <c r="F104" s="16">
        <f t="shared" si="6"/>
        <v>1380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01461</v>
      </c>
      <c r="B105" s="16">
        <f t="shared" si="6"/>
        <v>108</v>
      </c>
      <c r="C105" s="16">
        <f t="shared" si="6"/>
        <v>0</v>
      </c>
      <c r="D105" s="16">
        <f t="shared" si="6"/>
        <v>146</v>
      </c>
      <c r="E105" s="16">
        <f t="shared" si="6"/>
        <v>1</v>
      </c>
      <c r="F105" s="16">
        <f t="shared" si="6"/>
        <v>1380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01481</v>
      </c>
      <c r="B106" s="16">
        <f t="shared" si="6"/>
        <v>108</v>
      </c>
      <c r="C106" s="16">
        <f t="shared" si="6"/>
        <v>0</v>
      </c>
      <c r="D106" s="16">
        <f t="shared" si="6"/>
        <v>148</v>
      </c>
      <c r="E106" s="16">
        <f t="shared" si="6"/>
        <v>1</v>
      </c>
      <c r="F106" s="16">
        <f t="shared" si="6"/>
        <v>1380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01501</v>
      </c>
      <c r="B107" s="16">
        <f t="shared" si="6"/>
        <v>108</v>
      </c>
      <c r="C107" s="16">
        <f t="shared" si="6"/>
        <v>0</v>
      </c>
      <c r="D107" s="16">
        <f t="shared" si="6"/>
        <v>150</v>
      </c>
      <c r="E107" s="16">
        <f t="shared" si="6"/>
        <v>1</v>
      </c>
      <c r="F107" s="16">
        <f t="shared" si="6"/>
        <v>5061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01521</v>
      </c>
      <c r="B108" s="16">
        <f t="shared" si="6"/>
        <v>108</v>
      </c>
      <c r="C108" s="16">
        <f t="shared" si="6"/>
        <v>0</v>
      </c>
      <c r="D108" s="16">
        <f t="shared" si="6"/>
        <v>152</v>
      </c>
      <c r="E108" s="16">
        <f t="shared" si="6"/>
        <v>1</v>
      </c>
      <c r="F108" s="16">
        <f t="shared" si="6"/>
        <v>1380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01541</v>
      </c>
      <c r="B109" s="16">
        <f t="shared" si="6"/>
        <v>108</v>
      </c>
      <c r="C109" s="16">
        <f t="shared" si="6"/>
        <v>0</v>
      </c>
      <c r="D109" s="16">
        <f t="shared" si="6"/>
        <v>154</v>
      </c>
      <c r="E109" s="16">
        <f t="shared" si="6"/>
        <v>1</v>
      </c>
      <c r="F109" s="16">
        <f t="shared" si="6"/>
        <v>1380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01561</v>
      </c>
      <c r="B110" s="16">
        <f t="shared" si="6"/>
        <v>108</v>
      </c>
      <c r="C110" s="16">
        <f t="shared" si="6"/>
        <v>0</v>
      </c>
      <c r="D110" s="16">
        <f t="shared" si="6"/>
        <v>156</v>
      </c>
      <c r="E110" s="16">
        <f t="shared" si="6"/>
        <v>1</v>
      </c>
      <c r="F110" s="16">
        <f t="shared" si="6"/>
        <v>1380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01581</v>
      </c>
      <c r="B111" s="16">
        <f t="shared" si="6"/>
        <v>108</v>
      </c>
      <c r="C111" s="16">
        <f t="shared" si="6"/>
        <v>0</v>
      </c>
      <c r="D111" s="16">
        <f t="shared" si="6"/>
        <v>158</v>
      </c>
      <c r="E111" s="16">
        <f t="shared" si="6"/>
        <v>1</v>
      </c>
      <c r="F111" s="16">
        <f t="shared" si="6"/>
        <v>5061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01601</v>
      </c>
      <c r="B112" s="16">
        <f t="shared" si="6"/>
        <v>108</v>
      </c>
      <c r="C112" s="16">
        <f t="shared" si="6"/>
        <v>0</v>
      </c>
      <c r="D112" s="16">
        <f t="shared" si="6"/>
        <v>160</v>
      </c>
      <c r="E112" s="16">
        <f t="shared" si="6"/>
        <v>1</v>
      </c>
      <c r="F112" s="16">
        <f t="shared" si="6"/>
        <v>1380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01621</v>
      </c>
      <c r="B113" s="16">
        <f t="shared" si="6"/>
        <v>108</v>
      </c>
      <c r="C113" s="16">
        <f t="shared" si="6"/>
        <v>0</v>
      </c>
      <c r="D113" s="16">
        <f t="shared" si="6"/>
        <v>162</v>
      </c>
      <c r="E113" s="16">
        <f t="shared" si="6"/>
        <v>1</v>
      </c>
      <c r="F113" s="16">
        <f t="shared" si="6"/>
        <v>1380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01641</v>
      </c>
      <c r="B114" s="16">
        <f t="shared" si="6"/>
        <v>108</v>
      </c>
      <c r="C114" s="16">
        <f t="shared" si="6"/>
        <v>0</v>
      </c>
      <c r="D114" s="16">
        <f t="shared" si="6"/>
        <v>164</v>
      </c>
      <c r="E114" s="16">
        <f t="shared" si="6"/>
        <v>1</v>
      </c>
      <c r="F114" s="16">
        <f t="shared" si="6"/>
        <v>1380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01661</v>
      </c>
      <c r="B115" s="16">
        <f t="shared" si="6"/>
        <v>108</v>
      </c>
      <c r="C115" s="16">
        <f t="shared" si="6"/>
        <v>0</v>
      </c>
      <c r="D115" s="16">
        <f t="shared" si="6"/>
        <v>166</v>
      </c>
      <c r="E115" s="16">
        <f t="shared" si="6"/>
        <v>1</v>
      </c>
      <c r="F115" s="16">
        <f t="shared" si="6"/>
        <v>5511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01691</v>
      </c>
      <c r="B116" s="16">
        <f t="shared" si="6"/>
        <v>108</v>
      </c>
      <c r="C116" s="16">
        <f t="shared" si="6"/>
        <v>0</v>
      </c>
      <c r="D116" s="16">
        <f t="shared" si="6"/>
        <v>169</v>
      </c>
      <c r="E116" s="16">
        <f t="shared" si="6"/>
        <v>1</v>
      </c>
      <c r="F116" s="16">
        <f t="shared" si="6"/>
        <v>1503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01721</v>
      </c>
      <c r="B117" s="16">
        <f t="shared" si="6"/>
        <v>108</v>
      </c>
      <c r="C117" s="16">
        <f t="shared" si="6"/>
        <v>0</v>
      </c>
      <c r="D117" s="16">
        <f t="shared" si="6"/>
        <v>172</v>
      </c>
      <c r="E117" s="16">
        <f t="shared" si="6"/>
        <v>1</v>
      </c>
      <c r="F117" s="16">
        <f t="shared" si="6"/>
        <v>1503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01751</v>
      </c>
      <c r="B118" s="16">
        <f t="shared" si="6"/>
        <v>108</v>
      </c>
      <c r="C118" s="16">
        <f t="shared" si="6"/>
        <v>0</v>
      </c>
      <c r="D118" s="16">
        <f t="shared" si="6"/>
        <v>175</v>
      </c>
      <c r="E118" s="16">
        <f t="shared" si="6"/>
        <v>1</v>
      </c>
      <c r="F118" s="16">
        <f t="shared" si="6"/>
        <v>1503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01781</v>
      </c>
      <c r="B119" s="16">
        <f t="shared" si="6"/>
        <v>108</v>
      </c>
      <c r="C119" s="16">
        <f t="shared" si="6"/>
        <v>0</v>
      </c>
      <c r="D119" s="16">
        <f t="shared" si="6"/>
        <v>178</v>
      </c>
      <c r="E119" s="16">
        <f t="shared" si="6"/>
        <v>1</v>
      </c>
      <c r="F119" s="16">
        <f t="shared" si="6"/>
        <v>5511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01811</v>
      </c>
      <c r="B120" s="16">
        <f t="shared" si="6"/>
        <v>108</v>
      </c>
      <c r="C120" s="16">
        <f t="shared" si="6"/>
        <v>0</v>
      </c>
      <c r="D120" s="16">
        <f t="shared" si="6"/>
        <v>181</v>
      </c>
      <c r="E120" s="16">
        <f t="shared" si="6"/>
        <v>1</v>
      </c>
      <c r="F120" s="16">
        <f t="shared" si="6"/>
        <v>1503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01841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121" s="16">
        <f t="shared" si="7"/>
        <v>0</v>
      </c>
      <c r="D121" s="16">
        <f t="shared" si="7"/>
        <v>184</v>
      </c>
      <c r="E121" s="16">
        <f t="shared" si="7"/>
        <v>1</v>
      </c>
      <c r="F121" s="16">
        <f t="shared" si="7"/>
        <v>1503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01871</v>
      </c>
      <c r="B122" s="16">
        <f t="shared" si="7"/>
        <v>108</v>
      </c>
      <c r="C122" s="16">
        <f t="shared" si="7"/>
        <v>0</v>
      </c>
      <c r="D122" s="16">
        <f t="shared" si="7"/>
        <v>187</v>
      </c>
      <c r="E122" s="16">
        <f t="shared" si="7"/>
        <v>1</v>
      </c>
      <c r="F122" s="16">
        <f t="shared" si="7"/>
        <v>1503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01901</v>
      </c>
      <c r="B123" s="16">
        <f t="shared" si="7"/>
        <v>108</v>
      </c>
      <c r="C123" s="16">
        <f t="shared" si="7"/>
        <v>0</v>
      </c>
      <c r="D123" s="16">
        <f t="shared" si="7"/>
        <v>190</v>
      </c>
      <c r="E123" s="16">
        <f t="shared" si="7"/>
        <v>1</v>
      </c>
      <c r="F123" s="16">
        <f t="shared" si="7"/>
        <v>5511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01931</v>
      </c>
      <c r="B124" s="16">
        <f t="shared" si="7"/>
        <v>108</v>
      </c>
      <c r="C124" s="16">
        <f t="shared" si="7"/>
        <v>0</v>
      </c>
      <c r="D124" s="16">
        <f t="shared" si="7"/>
        <v>193</v>
      </c>
      <c r="E124" s="16">
        <f t="shared" si="7"/>
        <v>1</v>
      </c>
      <c r="F124" s="16">
        <f t="shared" si="7"/>
        <v>1503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01961</v>
      </c>
      <c r="B125" s="16">
        <f t="shared" si="7"/>
        <v>108</v>
      </c>
      <c r="C125" s="16">
        <f t="shared" si="7"/>
        <v>0</v>
      </c>
      <c r="D125" s="16">
        <f t="shared" si="7"/>
        <v>196</v>
      </c>
      <c r="E125" s="16">
        <f t="shared" si="7"/>
        <v>1</v>
      </c>
      <c r="F125" s="16">
        <f t="shared" si="7"/>
        <v>1503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01991</v>
      </c>
      <c r="B126" s="16">
        <f t="shared" si="7"/>
        <v>108</v>
      </c>
      <c r="C126" s="16">
        <f t="shared" si="7"/>
        <v>0</v>
      </c>
      <c r="D126" s="16">
        <f t="shared" si="7"/>
        <v>199</v>
      </c>
      <c r="E126" s="16">
        <f t="shared" si="7"/>
        <v>1</v>
      </c>
      <c r="F126" s="16">
        <f t="shared" si="7"/>
        <v>1503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02021</v>
      </c>
      <c r="B127" s="16">
        <f t="shared" si="7"/>
        <v>108</v>
      </c>
      <c r="C127" s="16">
        <f t="shared" si="7"/>
        <v>0</v>
      </c>
      <c r="D127" s="16">
        <f t="shared" si="7"/>
        <v>202</v>
      </c>
      <c r="E127" s="16">
        <f t="shared" si="7"/>
        <v>1</v>
      </c>
      <c r="F127" s="16">
        <f t="shared" si="7"/>
        <v>5511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02051</v>
      </c>
      <c r="B128" s="16">
        <f t="shared" si="7"/>
        <v>108</v>
      </c>
      <c r="C128" s="16">
        <f t="shared" si="7"/>
        <v>0</v>
      </c>
      <c r="D128" s="16">
        <f t="shared" si="7"/>
        <v>205</v>
      </c>
      <c r="E128" s="16">
        <f t="shared" si="7"/>
        <v>1</v>
      </c>
      <c r="F128" s="16">
        <f t="shared" si="7"/>
        <v>1503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02081</v>
      </c>
      <c r="B129" s="16">
        <f t="shared" si="7"/>
        <v>108</v>
      </c>
      <c r="C129" s="16">
        <f t="shared" si="7"/>
        <v>0</v>
      </c>
      <c r="D129" s="16">
        <f t="shared" si="7"/>
        <v>208</v>
      </c>
      <c r="E129" s="16">
        <f t="shared" si="7"/>
        <v>1</v>
      </c>
      <c r="F129" s="16">
        <f t="shared" si="7"/>
        <v>1503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02111</v>
      </c>
      <c r="B130" s="16">
        <f t="shared" si="7"/>
        <v>108</v>
      </c>
      <c r="C130" s="16">
        <f t="shared" si="7"/>
        <v>0</v>
      </c>
      <c r="D130" s="16">
        <f t="shared" si="7"/>
        <v>211</v>
      </c>
      <c r="E130" s="16">
        <f t="shared" si="7"/>
        <v>1</v>
      </c>
      <c r="F130" s="16">
        <f t="shared" si="7"/>
        <v>1503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02141</v>
      </c>
      <c r="B131" s="16">
        <f t="shared" si="7"/>
        <v>108</v>
      </c>
      <c r="C131" s="16">
        <f t="shared" si="7"/>
        <v>0</v>
      </c>
      <c r="D131" s="16">
        <f t="shared" si="7"/>
        <v>214</v>
      </c>
      <c r="E131" s="16">
        <f t="shared" si="7"/>
        <v>1</v>
      </c>
      <c r="F131" s="16">
        <f t="shared" si="7"/>
        <v>5511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02171</v>
      </c>
      <c r="B132" s="16">
        <f t="shared" si="7"/>
        <v>108</v>
      </c>
      <c r="C132" s="16">
        <f t="shared" si="7"/>
        <v>0</v>
      </c>
      <c r="D132" s="16">
        <f t="shared" si="7"/>
        <v>217</v>
      </c>
      <c r="E132" s="16">
        <f t="shared" si="7"/>
        <v>1</v>
      </c>
      <c r="F132" s="16">
        <f t="shared" si="7"/>
        <v>1503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02201</v>
      </c>
      <c r="B133" s="16">
        <f t="shared" si="7"/>
        <v>108</v>
      </c>
      <c r="C133" s="16">
        <f t="shared" si="7"/>
        <v>0</v>
      </c>
      <c r="D133" s="16">
        <f t="shared" si="7"/>
        <v>220</v>
      </c>
      <c r="E133" s="16">
        <f t="shared" si="7"/>
        <v>1</v>
      </c>
      <c r="F133" s="16">
        <f t="shared" si="7"/>
        <v>1503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02231</v>
      </c>
      <c r="B134" s="16">
        <f t="shared" si="7"/>
        <v>108</v>
      </c>
      <c r="C134" s="16">
        <f t="shared" si="7"/>
        <v>0</v>
      </c>
      <c r="D134" s="16">
        <f t="shared" si="7"/>
        <v>223</v>
      </c>
      <c r="E134" s="16">
        <f t="shared" si="7"/>
        <v>1</v>
      </c>
      <c r="F134" s="16">
        <f t="shared" si="7"/>
        <v>1503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02261</v>
      </c>
      <c r="B135" s="16">
        <f t="shared" si="7"/>
        <v>108</v>
      </c>
      <c r="C135" s="16">
        <f t="shared" si="7"/>
        <v>0</v>
      </c>
      <c r="D135" s="16">
        <f t="shared" si="7"/>
        <v>226</v>
      </c>
      <c r="E135" s="16">
        <f t="shared" si="7"/>
        <v>1</v>
      </c>
      <c r="F135" s="16">
        <f t="shared" si="7"/>
        <v>1125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02291</v>
      </c>
      <c r="B136" s="16">
        <f t="shared" si="7"/>
        <v>108</v>
      </c>
      <c r="C136" s="16">
        <f t="shared" si="7"/>
        <v>0</v>
      </c>
      <c r="D136" s="16">
        <f t="shared" si="7"/>
        <v>229</v>
      </c>
      <c r="E136" s="16">
        <f t="shared" si="7"/>
        <v>1</v>
      </c>
      <c r="F136" s="16">
        <f t="shared" si="7"/>
        <v>307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02321</v>
      </c>
      <c r="B137" s="16">
        <f t="shared" si="7"/>
        <v>108</v>
      </c>
      <c r="C137" s="16">
        <f t="shared" si="7"/>
        <v>0</v>
      </c>
      <c r="D137" s="16">
        <f t="shared" si="7"/>
        <v>232</v>
      </c>
      <c r="E137" s="16">
        <f t="shared" si="7"/>
        <v>1</v>
      </c>
      <c r="F137" s="16">
        <f t="shared" si="7"/>
        <v>307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02351</v>
      </c>
      <c r="B138" s="16">
        <f t="shared" si="7"/>
        <v>108</v>
      </c>
      <c r="C138" s="16">
        <f t="shared" si="7"/>
        <v>0</v>
      </c>
      <c r="D138" s="16">
        <f t="shared" si="7"/>
        <v>235</v>
      </c>
      <c r="E138" s="16">
        <f t="shared" si="7"/>
        <v>1</v>
      </c>
      <c r="F138" s="16">
        <f t="shared" si="7"/>
        <v>307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01271</v>
      </c>
      <c r="B139" s="16">
        <f t="shared" si="7"/>
        <v>108</v>
      </c>
      <c r="C139" s="16">
        <f t="shared" si="7"/>
        <v>0</v>
      </c>
      <c r="D139" s="16">
        <f t="shared" si="7"/>
        <v>127</v>
      </c>
      <c r="E139" s="16">
        <f t="shared" si="7"/>
        <v>1</v>
      </c>
      <c r="F139" s="16">
        <f t="shared" si="7"/>
        <v>1703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01291</v>
      </c>
      <c r="B140" s="16">
        <f t="shared" si="7"/>
        <v>108</v>
      </c>
      <c r="C140" s="16">
        <f t="shared" si="7"/>
        <v>0</v>
      </c>
      <c r="D140" s="16">
        <f t="shared" si="7"/>
        <v>129</v>
      </c>
      <c r="E140" s="16">
        <f t="shared" si="7"/>
        <v>1</v>
      </c>
      <c r="F140" s="16">
        <f t="shared" si="7"/>
        <v>464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01311</v>
      </c>
      <c r="B141" s="16">
        <f t="shared" si="7"/>
        <v>108</v>
      </c>
      <c r="C141" s="16">
        <f t="shared" si="7"/>
        <v>0</v>
      </c>
      <c r="D141" s="16">
        <f t="shared" si="7"/>
        <v>131</v>
      </c>
      <c r="E141" s="16">
        <f t="shared" si="7"/>
        <v>1</v>
      </c>
      <c r="F141" s="16">
        <f t="shared" si="7"/>
        <v>464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01331</v>
      </c>
      <c r="B142" s="16">
        <f t="shared" si="7"/>
        <v>108</v>
      </c>
      <c r="C142" s="16">
        <f t="shared" si="7"/>
        <v>0</v>
      </c>
      <c r="D142" s="16">
        <f t="shared" si="7"/>
        <v>133</v>
      </c>
      <c r="E142" s="16">
        <f t="shared" si="7"/>
        <v>1</v>
      </c>
      <c r="F142" s="16">
        <f t="shared" si="7"/>
        <v>464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01351</v>
      </c>
      <c r="B143" s="16">
        <f t="shared" si="7"/>
        <v>108</v>
      </c>
      <c r="C143" s="16">
        <f t="shared" si="7"/>
        <v>0</v>
      </c>
      <c r="D143" s="16">
        <f t="shared" si="7"/>
        <v>135</v>
      </c>
      <c r="E143" s="16">
        <f t="shared" si="7"/>
        <v>1</v>
      </c>
      <c r="F143" s="16">
        <f t="shared" si="7"/>
        <v>1703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01371</v>
      </c>
      <c r="B144" s="16">
        <f t="shared" si="7"/>
        <v>108</v>
      </c>
      <c r="C144" s="16">
        <f t="shared" si="7"/>
        <v>0</v>
      </c>
      <c r="D144" s="16">
        <f t="shared" si="7"/>
        <v>137</v>
      </c>
      <c r="E144" s="16">
        <f t="shared" si="7"/>
        <v>1</v>
      </c>
      <c r="F144" s="16">
        <f t="shared" si="7"/>
        <v>464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01391</v>
      </c>
      <c r="B145" s="16">
        <f t="shared" si="7"/>
        <v>108</v>
      </c>
      <c r="C145" s="16">
        <f t="shared" si="7"/>
        <v>0</v>
      </c>
      <c r="D145" s="16">
        <f t="shared" si="7"/>
        <v>139</v>
      </c>
      <c r="E145" s="16">
        <f t="shared" si="7"/>
        <v>1</v>
      </c>
      <c r="F145" s="16">
        <f t="shared" si="7"/>
        <v>464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01411</v>
      </c>
      <c r="B146" s="16">
        <f t="shared" si="7"/>
        <v>108</v>
      </c>
      <c r="C146" s="16">
        <f t="shared" si="7"/>
        <v>0</v>
      </c>
      <c r="D146" s="16">
        <f t="shared" si="7"/>
        <v>141</v>
      </c>
      <c r="E146" s="16">
        <f t="shared" si="7"/>
        <v>1</v>
      </c>
      <c r="F146" s="16">
        <f t="shared" si="7"/>
        <v>464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01431</v>
      </c>
      <c r="B147" s="16">
        <f t="shared" si="9"/>
        <v>108</v>
      </c>
      <c r="C147" s="16">
        <f t="shared" si="9"/>
        <v>0</v>
      </c>
      <c r="D147" s="16">
        <f t="shared" si="9"/>
        <v>143</v>
      </c>
      <c r="E147" s="16">
        <f t="shared" si="9"/>
        <v>1</v>
      </c>
      <c r="F147" s="16">
        <f t="shared" si="9"/>
        <v>1703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01451</v>
      </c>
      <c r="B148" s="16">
        <f t="shared" si="9"/>
        <v>108</v>
      </c>
      <c r="C148" s="16">
        <f t="shared" si="9"/>
        <v>0</v>
      </c>
      <c r="D148" s="16">
        <f t="shared" si="9"/>
        <v>145</v>
      </c>
      <c r="E148" s="16">
        <f t="shared" si="9"/>
        <v>1</v>
      </c>
      <c r="F148" s="16">
        <f t="shared" si="9"/>
        <v>464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01471</v>
      </c>
      <c r="B149" s="16">
        <f t="shared" si="9"/>
        <v>108</v>
      </c>
      <c r="C149" s="16">
        <f t="shared" si="9"/>
        <v>0</v>
      </c>
      <c r="D149" s="16">
        <f t="shared" si="9"/>
        <v>147</v>
      </c>
      <c r="E149" s="16">
        <f t="shared" si="9"/>
        <v>1</v>
      </c>
      <c r="F149" s="16">
        <f t="shared" si="9"/>
        <v>464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01491</v>
      </c>
      <c r="B150" s="16">
        <f t="shared" si="9"/>
        <v>108</v>
      </c>
      <c r="C150" s="16">
        <f t="shared" si="9"/>
        <v>0</v>
      </c>
      <c r="D150" s="16">
        <f t="shared" si="9"/>
        <v>149</v>
      </c>
      <c r="E150" s="16">
        <f t="shared" si="9"/>
        <v>1</v>
      </c>
      <c r="F150" s="16">
        <f t="shared" si="9"/>
        <v>464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01511</v>
      </c>
      <c r="B151" s="16">
        <f t="shared" si="9"/>
        <v>108</v>
      </c>
      <c r="C151" s="16">
        <f t="shared" si="9"/>
        <v>0</v>
      </c>
      <c r="D151" s="16">
        <f t="shared" si="9"/>
        <v>151</v>
      </c>
      <c r="E151" s="16">
        <f t="shared" si="9"/>
        <v>1</v>
      </c>
      <c r="F151" s="16">
        <f t="shared" si="9"/>
        <v>1703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01531</v>
      </c>
      <c r="B152" s="16">
        <f t="shared" si="9"/>
        <v>108</v>
      </c>
      <c r="C152" s="16">
        <f t="shared" si="9"/>
        <v>0</v>
      </c>
      <c r="D152" s="16">
        <f t="shared" si="9"/>
        <v>153</v>
      </c>
      <c r="E152" s="16">
        <f t="shared" si="9"/>
        <v>1</v>
      </c>
      <c r="F152" s="16">
        <f t="shared" si="9"/>
        <v>464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01551</v>
      </c>
      <c r="B153" s="16">
        <f t="shared" si="9"/>
        <v>108</v>
      </c>
      <c r="C153" s="16">
        <f t="shared" si="9"/>
        <v>0</v>
      </c>
      <c r="D153" s="16">
        <f t="shared" si="9"/>
        <v>155</v>
      </c>
      <c r="E153" s="16">
        <f t="shared" si="9"/>
        <v>1</v>
      </c>
      <c r="F153" s="16">
        <f t="shared" si="9"/>
        <v>464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01571</v>
      </c>
      <c r="B154" s="16">
        <f t="shared" si="9"/>
        <v>108</v>
      </c>
      <c r="C154" s="16">
        <f t="shared" si="9"/>
        <v>0</v>
      </c>
      <c r="D154" s="16">
        <f t="shared" si="9"/>
        <v>157</v>
      </c>
      <c r="E154" s="16">
        <f t="shared" si="9"/>
        <v>1</v>
      </c>
      <c r="F154" s="16">
        <f t="shared" si="9"/>
        <v>464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01591</v>
      </c>
      <c r="B155" s="16">
        <f t="shared" si="9"/>
        <v>108</v>
      </c>
      <c r="C155" s="16">
        <f t="shared" si="9"/>
        <v>0</v>
      </c>
      <c r="D155" s="16">
        <f t="shared" si="9"/>
        <v>159</v>
      </c>
      <c r="E155" s="16">
        <f t="shared" si="9"/>
        <v>1</v>
      </c>
      <c r="F155" s="16">
        <f t="shared" si="9"/>
        <v>1703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01611</v>
      </c>
      <c r="B156" s="16">
        <f t="shared" si="9"/>
        <v>108</v>
      </c>
      <c r="C156" s="16">
        <f t="shared" si="9"/>
        <v>0</v>
      </c>
      <c r="D156" s="16">
        <f t="shared" si="9"/>
        <v>161</v>
      </c>
      <c r="E156" s="16">
        <f t="shared" si="9"/>
        <v>1</v>
      </c>
      <c r="F156" s="16">
        <f t="shared" si="9"/>
        <v>464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01631</v>
      </c>
      <c r="B157" s="16">
        <f t="shared" si="9"/>
        <v>108</v>
      </c>
      <c r="C157" s="16">
        <f t="shared" si="9"/>
        <v>0</v>
      </c>
      <c r="D157" s="16">
        <f t="shared" si="9"/>
        <v>163</v>
      </c>
      <c r="E157" s="16">
        <f t="shared" si="9"/>
        <v>1</v>
      </c>
      <c r="F157" s="16">
        <f t="shared" si="9"/>
        <v>464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01651</v>
      </c>
      <c r="B158" s="16">
        <f t="shared" si="9"/>
        <v>108</v>
      </c>
      <c r="C158" s="16">
        <f t="shared" si="9"/>
        <v>0</v>
      </c>
      <c r="D158" s="16">
        <f t="shared" si="9"/>
        <v>165</v>
      </c>
      <c r="E158" s="16">
        <f t="shared" si="9"/>
        <v>1</v>
      </c>
      <c r="F158" s="16">
        <f t="shared" si="9"/>
        <v>464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01671</v>
      </c>
      <c r="B159" s="16">
        <f t="shared" si="9"/>
        <v>108</v>
      </c>
      <c r="C159" s="16">
        <f t="shared" si="9"/>
        <v>0</v>
      </c>
      <c r="D159" s="16">
        <f t="shared" si="9"/>
        <v>167</v>
      </c>
      <c r="E159" s="16">
        <f t="shared" si="9"/>
        <v>1</v>
      </c>
      <c r="F159" s="16">
        <f t="shared" si="9"/>
        <v>1742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01701</v>
      </c>
      <c r="B160" s="16">
        <f t="shared" si="9"/>
        <v>108</v>
      </c>
      <c r="C160" s="16">
        <f t="shared" si="9"/>
        <v>0</v>
      </c>
      <c r="D160" s="16">
        <f t="shared" si="9"/>
        <v>170</v>
      </c>
      <c r="E160" s="16">
        <f t="shared" si="9"/>
        <v>1</v>
      </c>
      <c r="F160" s="16">
        <f t="shared" si="9"/>
        <v>475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01731</v>
      </c>
      <c r="B161" s="16">
        <f t="shared" si="9"/>
        <v>108</v>
      </c>
      <c r="C161" s="16">
        <f t="shared" si="9"/>
        <v>0</v>
      </c>
      <c r="D161" s="16">
        <f t="shared" si="9"/>
        <v>173</v>
      </c>
      <c r="E161" s="16">
        <f t="shared" si="9"/>
        <v>1</v>
      </c>
      <c r="F161" s="16">
        <f t="shared" si="9"/>
        <v>475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01761</v>
      </c>
      <c r="B162" s="16">
        <f t="shared" si="9"/>
        <v>108</v>
      </c>
      <c r="C162" s="16">
        <f t="shared" si="9"/>
        <v>0</v>
      </c>
      <c r="D162" s="16">
        <f t="shared" si="9"/>
        <v>176</v>
      </c>
      <c r="E162" s="16">
        <f t="shared" si="9"/>
        <v>1</v>
      </c>
      <c r="F162" s="16">
        <f t="shared" si="9"/>
        <v>475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01791</v>
      </c>
      <c r="B163" s="16">
        <f t="shared" si="9"/>
        <v>108</v>
      </c>
      <c r="C163" s="16">
        <f t="shared" si="9"/>
        <v>0</v>
      </c>
      <c r="D163" s="16">
        <f t="shared" si="9"/>
        <v>179</v>
      </c>
      <c r="E163" s="16">
        <f t="shared" si="9"/>
        <v>1</v>
      </c>
      <c r="F163" s="16">
        <f t="shared" si="9"/>
        <v>1742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01821</v>
      </c>
      <c r="B164" s="16">
        <f t="shared" si="9"/>
        <v>108</v>
      </c>
      <c r="C164" s="16">
        <f t="shared" si="9"/>
        <v>0</v>
      </c>
      <c r="D164" s="16">
        <f t="shared" si="9"/>
        <v>182</v>
      </c>
      <c r="E164" s="16">
        <f t="shared" si="9"/>
        <v>1</v>
      </c>
      <c r="F164" s="16">
        <f t="shared" si="9"/>
        <v>475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01851</v>
      </c>
      <c r="B165" s="16">
        <f t="shared" si="9"/>
        <v>108</v>
      </c>
      <c r="C165" s="16">
        <f t="shared" si="9"/>
        <v>0</v>
      </c>
      <c r="D165" s="16">
        <f t="shared" si="9"/>
        <v>185</v>
      </c>
      <c r="E165" s="16">
        <f t="shared" si="9"/>
        <v>1</v>
      </c>
      <c r="F165" s="16">
        <f t="shared" si="9"/>
        <v>475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01881</v>
      </c>
      <c r="B166" s="16">
        <f t="shared" si="9"/>
        <v>108</v>
      </c>
      <c r="C166" s="16">
        <f t="shared" si="9"/>
        <v>0</v>
      </c>
      <c r="D166" s="16">
        <f t="shared" si="9"/>
        <v>188</v>
      </c>
      <c r="E166" s="16">
        <f t="shared" si="9"/>
        <v>1</v>
      </c>
      <c r="F166" s="16">
        <f t="shared" si="9"/>
        <v>475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01911</v>
      </c>
      <c r="B167" s="16">
        <f t="shared" si="9"/>
        <v>108</v>
      </c>
      <c r="C167" s="16">
        <f t="shared" si="9"/>
        <v>0</v>
      </c>
      <c r="D167" s="16">
        <f t="shared" si="9"/>
        <v>191</v>
      </c>
      <c r="E167" s="16">
        <f t="shared" si="9"/>
        <v>1</v>
      </c>
      <c r="F167" s="16">
        <f t="shared" si="9"/>
        <v>1742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01941</v>
      </c>
      <c r="B168" s="16">
        <f t="shared" si="9"/>
        <v>108</v>
      </c>
      <c r="C168" s="16">
        <f t="shared" si="9"/>
        <v>0</v>
      </c>
      <c r="D168" s="16">
        <f t="shared" si="9"/>
        <v>194</v>
      </c>
      <c r="E168" s="16">
        <f t="shared" si="9"/>
        <v>1</v>
      </c>
      <c r="F168" s="16">
        <f t="shared" si="9"/>
        <v>475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01971</v>
      </c>
      <c r="B169" s="16">
        <f t="shared" si="9"/>
        <v>108</v>
      </c>
      <c r="C169" s="16">
        <f t="shared" si="9"/>
        <v>0</v>
      </c>
      <c r="D169" s="16">
        <f t="shared" si="9"/>
        <v>197</v>
      </c>
      <c r="E169" s="16">
        <f t="shared" si="9"/>
        <v>1</v>
      </c>
      <c r="F169" s="16">
        <f t="shared" si="9"/>
        <v>475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02001</v>
      </c>
      <c r="B170" s="16">
        <f t="shared" si="9"/>
        <v>108</v>
      </c>
      <c r="C170" s="16">
        <f t="shared" si="9"/>
        <v>0</v>
      </c>
      <c r="D170" s="16">
        <f t="shared" si="9"/>
        <v>200</v>
      </c>
      <c r="E170" s="16">
        <f t="shared" si="9"/>
        <v>1</v>
      </c>
      <c r="F170" s="16">
        <f t="shared" si="9"/>
        <v>475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02031</v>
      </c>
      <c r="B171" s="16">
        <f t="shared" si="9"/>
        <v>108</v>
      </c>
      <c r="C171" s="16">
        <f t="shared" si="9"/>
        <v>0</v>
      </c>
      <c r="D171" s="16">
        <f t="shared" si="9"/>
        <v>203</v>
      </c>
      <c r="E171" s="16">
        <f t="shared" si="9"/>
        <v>1</v>
      </c>
      <c r="F171" s="16">
        <f t="shared" si="9"/>
        <v>1742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02061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172" s="16">
        <f t="shared" si="10"/>
        <v>0</v>
      </c>
      <c r="D172" s="16">
        <f t="shared" si="10"/>
        <v>206</v>
      </c>
      <c r="E172" s="16">
        <f t="shared" si="10"/>
        <v>1</v>
      </c>
      <c r="F172" s="16">
        <f t="shared" si="10"/>
        <v>475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02091</v>
      </c>
      <c r="B173" s="16">
        <f t="shared" si="10"/>
        <v>108</v>
      </c>
      <c r="C173" s="16">
        <f t="shared" si="10"/>
        <v>0</v>
      </c>
      <c r="D173" s="16">
        <f t="shared" si="10"/>
        <v>209</v>
      </c>
      <c r="E173" s="16">
        <f t="shared" si="10"/>
        <v>1</v>
      </c>
      <c r="F173" s="16">
        <f t="shared" si="10"/>
        <v>475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02121</v>
      </c>
      <c r="B174" s="16">
        <f t="shared" si="10"/>
        <v>108</v>
      </c>
      <c r="C174" s="16">
        <f t="shared" si="10"/>
        <v>0</v>
      </c>
      <c r="D174" s="16">
        <f t="shared" si="10"/>
        <v>212</v>
      </c>
      <c r="E174" s="16">
        <f t="shared" si="10"/>
        <v>1</v>
      </c>
      <c r="F174" s="16">
        <f t="shared" si="10"/>
        <v>475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02151</v>
      </c>
      <c r="B175" s="16">
        <f t="shared" si="10"/>
        <v>108</v>
      </c>
      <c r="C175" s="16">
        <f t="shared" si="10"/>
        <v>0</v>
      </c>
      <c r="D175" s="16">
        <f t="shared" si="10"/>
        <v>215</v>
      </c>
      <c r="E175" s="16">
        <f t="shared" si="10"/>
        <v>1</v>
      </c>
      <c r="F175" s="16">
        <f t="shared" si="10"/>
        <v>1742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02181</v>
      </c>
      <c r="B176" s="16">
        <f t="shared" si="10"/>
        <v>108</v>
      </c>
      <c r="C176" s="16">
        <f t="shared" si="10"/>
        <v>0</v>
      </c>
      <c r="D176" s="16">
        <f t="shared" si="10"/>
        <v>218</v>
      </c>
      <c r="E176" s="16">
        <f t="shared" si="10"/>
        <v>1</v>
      </c>
      <c r="F176" s="16">
        <f t="shared" si="10"/>
        <v>475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02211</v>
      </c>
      <c r="B177" s="16">
        <f t="shared" si="10"/>
        <v>108</v>
      </c>
      <c r="C177" s="16">
        <f t="shared" si="10"/>
        <v>0</v>
      </c>
      <c r="D177" s="16">
        <f t="shared" si="10"/>
        <v>221</v>
      </c>
      <c r="E177" s="16">
        <f t="shared" si="10"/>
        <v>1</v>
      </c>
      <c r="F177" s="16">
        <f t="shared" si="10"/>
        <v>475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02241</v>
      </c>
      <c r="B178" s="16">
        <f t="shared" si="10"/>
        <v>108</v>
      </c>
      <c r="C178" s="16">
        <f t="shared" si="10"/>
        <v>0</v>
      </c>
      <c r="D178" s="16">
        <f t="shared" si="10"/>
        <v>224</v>
      </c>
      <c r="E178" s="16">
        <f t="shared" si="10"/>
        <v>1</v>
      </c>
      <c r="F178" s="16">
        <f t="shared" si="10"/>
        <v>475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02271</v>
      </c>
      <c r="B179" s="16">
        <f t="shared" si="10"/>
        <v>108</v>
      </c>
      <c r="C179" s="16">
        <f t="shared" si="10"/>
        <v>0</v>
      </c>
      <c r="D179" s="16">
        <f t="shared" si="10"/>
        <v>227</v>
      </c>
      <c r="E179" s="16">
        <f t="shared" si="10"/>
        <v>1</v>
      </c>
      <c r="F179" s="16">
        <f t="shared" si="10"/>
        <v>396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02301</v>
      </c>
      <c r="B180" s="16">
        <f t="shared" si="10"/>
        <v>108</v>
      </c>
      <c r="C180" s="16">
        <f t="shared" si="10"/>
        <v>0</v>
      </c>
      <c r="D180" s="16">
        <f t="shared" si="10"/>
        <v>230</v>
      </c>
      <c r="E180" s="16">
        <f t="shared" si="10"/>
        <v>1</v>
      </c>
      <c r="F180" s="16">
        <f t="shared" si="10"/>
        <v>108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02331</v>
      </c>
      <c r="B181" s="16">
        <f t="shared" si="10"/>
        <v>108</v>
      </c>
      <c r="C181" s="16">
        <f t="shared" si="10"/>
        <v>0</v>
      </c>
      <c r="D181" s="16">
        <f t="shared" si="10"/>
        <v>233</v>
      </c>
      <c r="E181" s="16">
        <f t="shared" si="10"/>
        <v>1</v>
      </c>
      <c r="F181" s="16">
        <f t="shared" si="10"/>
        <v>108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02361</v>
      </c>
      <c r="B182" s="16">
        <f t="shared" si="10"/>
        <v>108</v>
      </c>
      <c r="C182" s="16">
        <f t="shared" si="10"/>
        <v>0</v>
      </c>
      <c r="D182" s="16">
        <f t="shared" si="10"/>
        <v>236</v>
      </c>
      <c r="E182" s="16">
        <f t="shared" si="10"/>
        <v>1</v>
      </c>
      <c r="F182" s="16">
        <f t="shared" si="10"/>
        <v>108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01681</v>
      </c>
      <c r="B183" s="16">
        <f t="shared" si="10"/>
        <v>108</v>
      </c>
      <c r="C183" s="16">
        <f t="shared" si="10"/>
        <v>0</v>
      </c>
      <c r="D183" s="16">
        <f t="shared" si="10"/>
        <v>168</v>
      </c>
      <c r="E183" s="16">
        <f t="shared" si="10"/>
        <v>1</v>
      </c>
      <c r="F183" s="16">
        <f t="shared" si="10"/>
        <v>564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01711</v>
      </c>
      <c r="B184" s="16">
        <f t="shared" si="10"/>
        <v>108</v>
      </c>
      <c r="C184" s="16">
        <f t="shared" si="10"/>
        <v>0</v>
      </c>
      <c r="D184" s="16">
        <f t="shared" si="10"/>
        <v>171</v>
      </c>
      <c r="E184" s="16">
        <f t="shared" si="10"/>
        <v>1</v>
      </c>
      <c r="F184" s="16">
        <f t="shared" si="10"/>
        <v>154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01741</v>
      </c>
      <c r="B185" s="16">
        <f t="shared" si="10"/>
        <v>108</v>
      </c>
      <c r="C185" s="16">
        <f t="shared" si="10"/>
        <v>0</v>
      </c>
      <c r="D185" s="16">
        <f t="shared" si="10"/>
        <v>174</v>
      </c>
      <c r="E185" s="16">
        <f t="shared" si="10"/>
        <v>1</v>
      </c>
      <c r="F185" s="16">
        <f t="shared" si="10"/>
        <v>154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01771</v>
      </c>
      <c r="B186" s="16">
        <f t="shared" si="10"/>
        <v>108</v>
      </c>
      <c r="C186" s="16">
        <f t="shared" si="10"/>
        <v>0</v>
      </c>
      <c r="D186" s="16">
        <f t="shared" si="10"/>
        <v>177</v>
      </c>
      <c r="E186" s="16">
        <f t="shared" si="10"/>
        <v>1</v>
      </c>
      <c r="F186" s="16">
        <f t="shared" si="10"/>
        <v>154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01801</v>
      </c>
      <c r="B187" s="16">
        <f t="shared" si="10"/>
        <v>108</v>
      </c>
      <c r="C187" s="16">
        <f t="shared" si="10"/>
        <v>0</v>
      </c>
      <c r="D187" s="16">
        <f t="shared" si="10"/>
        <v>180</v>
      </c>
      <c r="E187" s="16">
        <f t="shared" si="10"/>
        <v>1</v>
      </c>
      <c r="F187" s="16">
        <f t="shared" si="10"/>
        <v>564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01831</v>
      </c>
      <c r="B188" s="16">
        <f t="shared" si="10"/>
        <v>108</v>
      </c>
      <c r="C188" s="16">
        <f t="shared" si="10"/>
        <v>0</v>
      </c>
      <c r="D188" s="16">
        <f t="shared" si="10"/>
        <v>183</v>
      </c>
      <c r="E188" s="16">
        <f t="shared" si="10"/>
        <v>1</v>
      </c>
      <c r="F188" s="16">
        <f t="shared" si="10"/>
        <v>154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01861</v>
      </c>
      <c r="B189" s="16">
        <f t="shared" si="10"/>
        <v>108</v>
      </c>
      <c r="C189" s="16">
        <f t="shared" si="10"/>
        <v>0</v>
      </c>
      <c r="D189" s="16">
        <f t="shared" si="10"/>
        <v>186</v>
      </c>
      <c r="E189" s="16">
        <f t="shared" si="10"/>
        <v>1</v>
      </c>
      <c r="F189" s="16">
        <f t="shared" si="10"/>
        <v>154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01891</v>
      </c>
      <c r="B190" s="16">
        <f t="shared" si="10"/>
        <v>108</v>
      </c>
      <c r="C190" s="16">
        <f t="shared" si="10"/>
        <v>0</v>
      </c>
      <c r="D190" s="16">
        <f t="shared" si="10"/>
        <v>189</v>
      </c>
      <c r="E190" s="16">
        <f t="shared" si="10"/>
        <v>1</v>
      </c>
      <c r="F190" s="16">
        <f t="shared" si="10"/>
        <v>154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01921</v>
      </c>
      <c r="B191" s="16">
        <f t="shared" si="10"/>
        <v>108</v>
      </c>
      <c r="C191" s="16">
        <f t="shared" si="10"/>
        <v>0</v>
      </c>
      <c r="D191" s="16">
        <f t="shared" si="10"/>
        <v>192</v>
      </c>
      <c r="E191" s="16">
        <f t="shared" si="10"/>
        <v>1</v>
      </c>
      <c r="F191" s="16">
        <f t="shared" si="10"/>
        <v>564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01951</v>
      </c>
      <c r="B192" s="16">
        <f t="shared" si="10"/>
        <v>108</v>
      </c>
      <c r="C192" s="16">
        <f t="shared" si="10"/>
        <v>0</v>
      </c>
      <c r="D192" s="16">
        <f t="shared" si="10"/>
        <v>195</v>
      </c>
      <c r="E192" s="16">
        <f t="shared" si="10"/>
        <v>1</v>
      </c>
      <c r="F192" s="16">
        <f t="shared" si="10"/>
        <v>154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01981</v>
      </c>
      <c r="B193" s="16">
        <f t="shared" si="10"/>
        <v>108</v>
      </c>
      <c r="C193" s="16">
        <f t="shared" si="10"/>
        <v>0</v>
      </c>
      <c r="D193" s="16">
        <f t="shared" si="10"/>
        <v>198</v>
      </c>
      <c r="E193" s="16">
        <f t="shared" si="10"/>
        <v>1</v>
      </c>
      <c r="F193" s="16">
        <f t="shared" si="10"/>
        <v>154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02011</v>
      </c>
      <c r="B194" s="16">
        <f t="shared" si="10"/>
        <v>108</v>
      </c>
      <c r="C194" s="16">
        <f t="shared" si="10"/>
        <v>0</v>
      </c>
      <c r="D194" s="16">
        <f t="shared" si="10"/>
        <v>201</v>
      </c>
      <c r="E194" s="16">
        <f t="shared" si="10"/>
        <v>1</v>
      </c>
      <c r="F194" s="16">
        <f t="shared" si="10"/>
        <v>154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38" si="11">INDIRECT(ADDRESS(ROW()+$A$1,COLUMN(),1,TRUE,$C$1))</f>
        <v>02041</v>
      </c>
      <c r="B195" s="16">
        <f t="shared" si="10"/>
        <v>108</v>
      </c>
      <c r="C195" s="16">
        <f t="shared" si="10"/>
        <v>0</v>
      </c>
      <c r="D195" s="16">
        <f t="shared" si="10"/>
        <v>204</v>
      </c>
      <c r="E195" s="16">
        <f t="shared" si="10"/>
        <v>1</v>
      </c>
      <c r="F195" s="16">
        <f t="shared" si="10"/>
        <v>564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02071</v>
      </c>
      <c r="B196" s="16">
        <f t="shared" si="10"/>
        <v>108</v>
      </c>
      <c r="C196" s="16">
        <f t="shared" si="10"/>
        <v>0</v>
      </c>
      <c r="D196" s="16">
        <f t="shared" si="10"/>
        <v>207</v>
      </c>
      <c r="E196" s="16">
        <f t="shared" si="10"/>
        <v>1</v>
      </c>
      <c r="F196" s="16">
        <f t="shared" si="10"/>
        <v>154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02101</v>
      </c>
      <c r="B197" s="16">
        <f t="shared" si="10"/>
        <v>108</v>
      </c>
      <c r="C197" s="16">
        <f t="shared" si="10"/>
        <v>0</v>
      </c>
      <c r="D197" s="16">
        <f t="shared" si="10"/>
        <v>210</v>
      </c>
      <c r="E197" s="16">
        <f t="shared" si="10"/>
        <v>1</v>
      </c>
      <c r="F197" s="16">
        <f t="shared" si="10"/>
        <v>154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02131</v>
      </c>
      <c r="B198" s="16">
        <f t="shared" si="12"/>
        <v>108</v>
      </c>
      <c r="C198" s="16">
        <f t="shared" si="12"/>
        <v>0</v>
      </c>
      <c r="D198" s="16">
        <f t="shared" si="12"/>
        <v>213</v>
      </c>
      <c r="E198" s="16">
        <f t="shared" si="12"/>
        <v>1</v>
      </c>
      <c r="F198" s="16">
        <f t="shared" si="12"/>
        <v>154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02161</v>
      </c>
      <c r="B199" s="16">
        <f t="shared" si="12"/>
        <v>108</v>
      </c>
      <c r="C199" s="16">
        <f t="shared" si="12"/>
        <v>0</v>
      </c>
      <c r="D199" s="16">
        <f t="shared" si="12"/>
        <v>216</v>
      </c>
      <c r="E199" s="16">
        <f t="shared" si="12"/>
        <v>1</v>
      </c>
      <c r="F199" s="16">
        <f t="shared" si="12"/>
        <v>564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02191</v>
      </c>
      <c r="B200" s="16">
        <f t="shared" si="12"/>
        <v>108</v>
      </c>
      <c r="C200" s="16">
        <f t="shared" si="12"/>
        <v>0</v>
      </c>
      <c r="D200" s="16">
        <f t="shared" si="12"/>
        <v>219</v>
      </c>
      <c r="E200" s="16">
        <f t="shared" si="12"/>
        <v>1</v>
      </c>
      <c r="F200" s="16">
        <f t="shared" si="12"/>
        <v>154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02221</v>
      </c>
      <c r="B201" s="16">
        <f t="shared" si="12"/>
        <v>108</v>
      </c>
      <c r="C201" s="16">
        <f t="shared" si="12"/>
        <v>0</v>
      </c>
      <c r="D201" s="16">
        <f t="shared" si="12"/>
        <v>222</v>
      </c>
      <c r="E201" s="16">
        <f t="shared" si="12"/>
        <v>1</v>
      </c>
      <c r="F201" s="16">
        <f t="shared" si="12"/>
        <v>154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02251</v>
      </c>
      <c r="B202" s="16">
        <f t="shared" si="12"/>
        <v>108</v>
      </c>
      <c r="C202" s="16">
        <f t="shared" si="12"/>
        <v>0</v>
      </c>
      <c r="D202" s="16">
        <f t="shared" si="12"/>
        <v>225</v>
      </c>
      <c r="E202" s="16">
        <f t="shared" si="12"/>
        <v>1</v>
      </c>
      <c r="F202" s="16">
        <f t="shared" si="12"/>
        <v>154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02281</v>
      </c>
      <c r="B203" s="16">
        <f t="shared" si="12"/>
        <v>108</v>
      </c>
      <c r="C203" s="16">
        <f t="shared" si="12"/>
        <v>0</v>
      </c>
      <c r="D203" s="16">
        <f t="shared" si="12"/>
        <v>228</v>
      </c>
      <c r="E203" s="16">
        <f t="shared" si="12"/>
        <v>1</v>
      </c>
      <c r="F203" s="16">
        <f t="shared" si="12"/>
        <v>63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02311</v>
      </c>
      <c r="B204" s="16">
        <f t="shared" si="12"/>
        <v>108</v>
      </c>
      <c r="C204" s="16">
        <f t="shared" si="12"/>
        <v>0</v>
      </c>
      <c r="D204" s="16">
        <f t="shared" si="12"/>
        <v>231</v>
      </c>
      <c r="E204" s="16">
        <f t="shared" si="12"/>
        <v>1</v>
      </c>
      <c r="F204" s="16">
        <f t="shared" si="12"/>
        <v>17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02341</v>
      </c>
      <c r="B205" s="16">
        <f t="shared" si="12"/>
        <v>108</v>
      </c>
      <c r="C205" s="16">
        <f t="shared" si="12"/>
        <v>0</v>
      </c>
      <c r="D205" s="16">
        <f t="shared" si="12"/>
        <v>234</v>
      </c>
      <c r="E205" s="16">
        <f t="shared" si="12"/>
        <v>1</v>
      </c>
      <c r="F205" s="16">
        <f t="shared" si="12"/>
        <v>17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02371</v>
      </c>
      <c r="B206" s="16">
        <f t="shared" si="12"/>
        <v>108</v>
      </c>
      <c r="C206" s="16">
        <f t="shared" si="12"/>
        <v>0</v>
      </c>
      <c r="D206" s="16">
        <f t="shared" si="12"/>
        <v>237</v>
      </c>
      <c r="E206" s="16">
        <f t="shared" si="12"/>
        <v>1</v>
      </c>
      <c r="F206" s="16">
        <f t="shared" si="12"/>
        <v>17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02381</v>
      </c>
      <c r="B207" s="16">
        <f t="shared" si="12"/>
        <v>108</v>
      </c>
      <c r="C207" s="16">
        <f t="shared" si="12"/>
        <v>0</v>
      </c>
      <c r="D207" s="16">
        <f t="shared" si="12"/>
        <v>238</v>
      </c>
      <c r="E207" s="16">
        <f t="shared" si="12"/>
        <v>1</v>
      </c>
      <c r="F207" s="16">
        <f t="shared" si="12"/>
        <v>1125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02391</v>
      </c>
      <c r="B208" s="16">
        <f t="shared" si="12"/>
        <v>108</v>
      </c>
      <c r="C208" s="16">
        <f t="shared" si="12"/>
        <v>0</v>
      </c>
      <c r="D208" s="16">
        <f t="shared" si="12"/>
        <v>239</v>
      </c>
      <c r="E208" s="16">
        <f t="shared" si="12"/>
        <v>1</v>
      </c>
      <c r="F208" s="16">
        <f t="shared" si="12"/>
        <v>396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02401</v>
      </c>
      <c r="B209" s="16">
        <f t="shared" si="12"/>
        <v>108</v>
      </c>
      <c r="C209" s="16">
        <f t="shared" si="12"/>
        <v>0</v>
      </c>
      <c r="D209" s="16">
        <f t="shared" si="12"/>
        <v>240</v>
      </c>
      <c r="E209" s="16">
        <f t="shared" si="12"/>
        <v>1</v>
      </c>
      <c r="F209" s="16">
        <f t="shared" si="12"/>
        <v>63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02411</v>
      </c>
      <c r="B210" s="16">
        <f t="shared" si="12"/>
        <v>108</v>
      </c>
      <c r="C210" s="16">
        <f t="shared" si="12"/>
        <v>0</v>
      </c>
      <c r="D210" s="16">
        <f t="shared" si="12"/>
        <v>241</v>
      </c>
      <c r="E210" s="16">
        <f t="shared" si="12"/>
        <v>1</v>
      </c>
      <c r="F210" s="16">
        <f t="shared" si="12"/>
        <v>307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02421</v>
      </c>
      <c r="B211" s="16">
        <f t="shared" si="12"/>
        <v>108</v>
      </c>
      <c r="C211" s="16">
        <f t="shared" si="12"/>
        <v>0</v>
      </c>
      <c r="D211" s="16">
        <f t="shared" si="12"/>
        <v>242</v>
      </c>
      <c r="E211" s="16">
        <f t="shared" si="12"/>
        <v>1</v>
      </c>
      <c r="F211" s="16">
        <f t="shared" si="12"/>
        <v>108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02431</v>
      </c>
      <c r="B212" s="16">
        <f t="shared" si="12"/>
        <v>108</v>
      </c>
      <c r="C212" s="16">
        <f t="shared" si="12"/>
        <v>0</v>
      </c>
      <c r="D212" s="16">
        <f t="shared" si="12"/>
        <v>243</v>
      </c>
      <c r="E212" s="16">
        <f t="shared" si="12"/>
        <v>1</v>
      </c>
      <c r="F212" s="16">
        <f t="shared" si="12"/>
        <v>17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02441</v>
      </c>
      <c r="B213" s="16">
        <f t="shared" si="12"/>
        <v>108</v>
      </c>
      <c r="C213" s="16">
        <f t="shared" si="12"/>
        <v>0</v>
      </c>
      <c r="D213" s="16">
        <f t="shared" si="12"/>
        <v>244</v>
      </c>
      <c r="E213" s="16">
        <f t="shared" si="12"/>
        <v>1</v>
      </c>
      <c r="F213" s="16">
        <f t="shared" si="12"/>
        <v>307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02451</v>
      </c>
      <c r="B214" s="16">
        <f t="shared" si="12"/>
        <v>108</v>
      </c>
      <c r="C214" s="16">
        <f t="shared" si="12"/>
        <v>0</v>
      </c>
      <c r="D214" s="16">
        <f t="shared" si="12"/>
        <v>245</v>
      </c>
      <c r="E214" s="16">
        <f t="shared" si="12"/>
        <v>1</v>
      </c>
      <c r="F214" s="16">
        <f t="shared" si="12"/>
        <v>108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02461</v>
      </c>
      <c r="B215" s="16">
        <f t="shared" si="12"/>
        <v>108</v>
      </c>
      <c r="C215" s="16">
        <f t="shared" si="12"/>
        <v>0</v>
      </c>
      <c r="D215" s="16">
        <f t="shared" si="12"/>
        <v>246</v>
      </c>
      <c r="E215" s="16">
        <f t="shared" si="12"/>
        <v>1</v>
      </c>
      <c r="F215" s="16">
        <f t="shared" si="12"/>
        <v>17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02471</v>
      </c>
      <c r="B216" s="16">
        <f t="shared" si="12"/>
        <v>108</v>
      </c>
      <c r="C216" s="16">
        <f t="shared" si="12"/>
        <v>0</v>
      </c>
      <c r="D216" s="16">
        <f t="shared" si="12"/>
        <v>247</v>
      </c>
      <c r="E216" s="16">
        <f t="shared" si="12"/>
        <v>1</v>
      </c>
      <c r="F216" s="16">
        <f t="shared" si="12"/>
        <v>307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02481</v>
      </c>
      <c r="B217" s="16">
        <f t="shared" si="12"/>
        <v>108</v>
      </c>
      <c r="C217" s="16">
        <f t="shared" si="12"/>
        <v>0</v>
      </c>
      <c r="D217" s="16">
        <f t="shared" si="12"/>
        <v>248</v>
      </c>
      <c r="E217" s="16">
        <f t="shared" si="12"/>
        <v>1</v>
      </c>
      <c r="F217" s="16">
        <f t="shared" si="12"/>
        <v>108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02491</v>
      </c>
      <c r="B218" s="16">
        <f t="shared" si="12"/>
        <v>108</v>
      </c>
      <c r="C218" s="16">
        <f t="shared" si="12"/>
        <v>0</v>
      </c>
      <c r="D218" s="16">
        <f t="shared" si="12"/>
        <v>249</v>
      </c>
      <c r="E218" s="16">
        <f t="shared" si="12"/>
        <v>1</v>
      </c>
      <c r="F218" s="16">
        <f t="shared" si="12"/>
        <v>17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02501</v>
      </c>
      <c r="B219" s="16">
        <f t="shared" si="12"/>
        <v>108</v>
      </c>
      <c r="C219" s="16">
        <f t="shared" si="12"/>
        <v>0</v>
      </c>
      <c r="D219" s="16">
        <f t="shared" si="12"/>
        <v>250</v>
      </c>
      <c r="E219" s="16">
        <f t="shared" si="12"/>
        <v>1</v>
      </c>
      <c r="F219" s="16">
        <f t="shared" si="12"/>
        <v>1125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02511</v>
      </c>
      <c r="B220" s="16">
        <f t="shared" si="12"/>
        <v>108</v>
      </c>
      <c r="C220" s="16">
        <f t="shared" si="12"/>
        <v>0</v>
      </c>
      <c r="D220" s="16">
        <f t="shared" si="12"/>
        <v>251</v>
      </c>
      <c r="E220" s="16">
        <f t="shared" si="12"/>
        <v>1</v>
      </c>
      <c r="F220" s="16">
        <f t="shared" si="12"/>
        <v>396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02521</v>
      </c>
      <c r="B221" s="16">
        <f t="shared" si="12"/>
        <v>108</v>
      </c>
      <c r="C221" s="16">
        <f t="shared" si="12"/>
        <v>0</v>
      </c>
      <c r="D221" s="16">
        <f t="shared" si="12"/>
        <v>252</v>
      </c>
      <c r="E221" s="16">
        <f t="shared" si="12"/>
        <v>1</v>
      </c>
      <c r="F221" s="16">
        <f t="shared" si="12"/>
        <v>63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02531</v>
      </c>
      <c r="B222" s="16">
        <f t="shared" si="12"/>
        <v>108</v>
      </c>
      <c r="C222" s="16">
        <f t="shared" si="12"/>
        <v>0</v>
      </c>
      <c r="D222" s="16">
        <f t="shared" si="12"/>
        <v>253</v>
      </c>
      <c r="E222" s="16">
        <f t="shared" si="12"/>
        <v>1</v>
      </c>
      <c r="F222" s="16">
        <f t="shared" si="12"/>
        <v>307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02541</v>
      </c>
      <c r="B223" s="16">
        <f t="shared" ref="B223:K23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108</v>
      </c>
      <c r="C223" s="16">
        <f t="shared" si="13"/>
        <v>0</v>
      </c>
      <c r="D223" s="16">
        <f t="shared" si="13"/>
        <v>254</v>
      </c>
      <c r="E223" s="16">
        <f t="shared" si="13"/>
        <v>1</v>
      </c>
      <c r="F223" s="16">
        <f t="shared" si="13"/>
        <v>108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02551</v>
      </c>
      <c r="B224" s="16">
        <f t="shared" si="13"/>
        <v>108</v>
      </c>
      <c r="C224" s="16">
        <f t="shared" si="13"/>
        <v>0</v>
      </c>
      <c r="D224" s="16">
        <f t="shared" si="13"/>
        <v>255</v>
      </c>
      <c r="E224" s="16">
        <f t="shared" si="13"/>
        <v>1</v>
      </c>
      <c r="F224" s="16">
        <f t="shared" si="13"/>
        <v>17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02561</v>
      </c>
      <c r="B225" s="16">
        <f t="shared" si="13"/>
        <v>108</v>
      </c>
      <c r="C225" s="16">
        <f t="shared" si="13"/>
        <v>0</v>
      </c>
      <c r="D225" s="16">
        <f t="shared" si="13"/>
        <v>256</v>
      </c>
      <c r="E225" s="16">
        <f t="shared" si="13"/>
        <v>1</v>
      </c>
      <c r="F225" s="16">
        <f t="shared" si="13"/>
        <v>307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02571</v>
      </c>
      <c r="B226" s="16">
        <f t="shared" si="13"/>
        <v>108</v>
      </c>
      <c r="C226" s="16">
        <f t="shared" si="13"/>
        <v>0</v>
      </c>
      <c r="D226" s="16">
        <f t="shared" si="13"/>
        <v>257</v>
      </c>
      <c r="E226" s="16">
        <f t="shared" si="13"/>
        <v>1</v>
      </c>
      <c r="F226" s="16">
        <f t="shared" si="13"/>
        <v>108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02581</v>
      </c>
      <c r="B227" s="16">
        <f t="shared" si="13"/>
        <v>108</v>
      </c>
      <c r="C227" s="16">
        <f t="shared" si="13"/>
        <v>0</v>
      </c>
      <c r="D227" s="16">
        <f t="shared" si="13"/>
        <v>258</v>
      </c>
      <c r="E227" s="16">
        <f t="shared" si="13"/>
        <v>1</v>
      </c>
      <c r="F227" s="16">
        <f t="shared" si="13"/>
        <v>17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02591</v>
      </c>
      <c r="B228" s="16">
        <f t="shared" si="13"/>
        <v>108</v>
      </c>
      <c r="C228" s="16">
        <f t="shared" si="13"/>
        <v>0</v>
      </c>
      <c r="D228" s="16">
        <f t="shared" si="13"/>
        <v>259</v>
      </c>
      <c r="E228" s="16">
        <f t="shared" si="13"/>
        <v>1</v>
      </c>
      <c r="F228" s="16">
        <f t="shared" si="13"/>
        <v>307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02601</v>
      </c>
      <c r="B229" s="16">
        <f t="shared" si="13"/>
        <v>108</v>
      </c>
      <c r="C229" s="16">
        <f t="shared" si="13"/>
        <v>0</v>
      </c>
      <c r="D229" s="16">
        <f t="shared" si="13"/>
        <v>260</v>
      </c>
      <c r="E229" s="16">
        <f t="shared" si="13"/>
        <v>1</v>
      </c>
      <c r="F229" s="16">
        <f t="shared" si="13"/>
        <v>108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02611</v>
      </c>
      <c r="B230" s="16">
        <f t="shared" si="13"/>
        <v>108</v>
      </c>
      <c r="C230" s="16">
        <f t="shared" si="13"/>
        <v>0</v>
      </c>
      <c r="D230" s="16">
        <f t="shared" si="13"/>
        <v>261</v>
      </c>
      <c r="E230" s="16">
        <f t="shared" si="13"/>
        <v>1</v>
      </c>
      <c r="F230" s="16">
        <f t="shared" si="13"/>
        <v>17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03201</v>
      </c>
      <c r="B231" s="16">
        <f t="shared" si="13"/>
        <v>108</v>
      </c>
      <c r="C231" s="16">
        <f t="shared" si="13"/>
        <v>0</v>
      </c>
      <c r="D231" s="16">
        <f t="shared" si="13"/>
        <v>320</v>
      </c>
      <c r="E231" s="16">
        <f t="shared" si="13"/>
        <v>1</v>
      </c>
      <c r="F231" s="16">
        <f t="shared" si="13"/>
        <v>1386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03211</v>
      </c>
      <c r="B232" s="16">
        <f t="shared" si="13"/>
        <v>108</v>
      </c>
      <c r="C232" s="16">
        <f t="shared" si="13"/>
        <v>0</v>
      </c>
      <c r="D232" s="16">
        <f t="shared" si="13"/>
        <v>321</v>
      </c>
      <c r="E232" s="16">
        <f t="shared" si="13"/>
        <v>1</v>
      </c>
      <c r="F232" s="16">
        <f t="shared" si="13"/>
        <v>158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03221</v>
      </c>
      <c r="B233" s="16">
        <f t="shared" si="13"/>
        <v>108</v>
      </c>
      <c r="C233" s="16">
        <f t="shared" si="13"/>
        <v>0</v>
      </c>
      <c r="D233" s="16">
        <f t="shared" si="13"/>
        <v>322</v>
      </c>
      <c r="E233" s="16">
        <f t="shared" si="13"/>
        <v>1</v>
      </c>
      <c r="F233" s="16">
        <f t="shared" si="13"/>
        <v>378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03231</v>
      </c>
      <c r="B234" s="16">
        <f t="shared" si="13"/>
        <v>108</v>
      </c>
      <c r="C234" s="16">
        <f t="shared" si="13"/>
        <v>0</v>
      </c>
      <c r="D234" s="16">
        <f t="shared" si="13"/>
        <v>323</v>
      </c>
      <c r="E234" s="16">
        <f t="shared" si="13"/>
        <v>1</v>
      </c>
      <c r="F234" s="16">
        <f t="shared" si="13"/>
        <v>43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03241</v>
      </c>
      <c r="B235" s="16">
        <f t="shared" si="13"/>
        <v>108</v>
      </c>
      <c r="C235" s="16">
        <f t="shared" si="13"/>
        <v>0</v>
      </c>
      <c r="D235" s="16">
        <f t="shared" si="13"/>
        <v>324</v>
      </c>
      <c r="E235" s="16">
        <f t="shared" si="13"/>
        <v>1</v>
      </c>
      <c r="F235" s="16">
        <f t="shared" si="13"/>
        <v>378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03251</v>
      </c>
      <c r="B236" s="16">
        <f t="shared" si="13"/>
        <v>108</v>
      </c>
      <c r="C236" s="16">
        <f t="shared" si="13"/>
        <v>0</v>
      </c>
      <c r="D236" s="16">
        <f t="shared" si="13"/>
        <v>325</v>
      </c>
      <c r="E236" s="16">
        <f t="shared" si="13"/>
        <v>1</v>
      </c>
      <c r="F236" s="16">
        <f t="shared" si="13"/>
        <v>43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03261</v>
      </c>
      <c r="B237" s="16">
        <f t="shared" si="13"/>
        <v>108</v>
      </c>
      <c r="C237" s="16">
        <f t="shared" si="13"/>
        <v>0</v>
      </c>
      <c r="D237" s="16">
        <f t="shared" si="13"/>
        <v>326</v>
      </c>
      <c r="E237" s="16">
        <f t="shared" si="13"/>
        <v>1</v>
      </c>
      <c r="F237" s="16">
        <f t="shared" si="13"/>
        <v>378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03271</v>
      </c>
      <c r="B238" s="16">
        <f t="shared" si="13"/>
        <v>108</v>
      </c>
      <c r="C238" s="16">
        <f t="shared" si="13"/>
        <v>0</v>
      </c>
      <c r="D238" s="16">
        <f t="shared" si="13"/>
        <v>327</v>
      </c>
      <c r="E238" s="16">
        <f t="shared" si="13"/>
        <v>1</v>
      </c>
      <c r="F238" s="16">
        <f t="shared" si="13"/>
        <v>43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1:K23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26" sqref="O26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gacha_unit_tables_109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4178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109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1139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109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1139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109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1139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109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4178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109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1139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109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1139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109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1139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109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4178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109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1139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109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1139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109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1139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109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4178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109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1139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109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1139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109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1139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4178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109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1139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109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1139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109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1139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109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4760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109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1298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109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1298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109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1298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109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4760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109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1298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109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1298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109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1298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109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4760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109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1298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109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1298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109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1298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109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4760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109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1298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109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1298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109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1298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109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4760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109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1298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109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1298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109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1298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109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972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109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265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109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265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109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265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109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372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109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102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109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102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109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102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109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372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109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102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109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102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109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102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109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372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109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102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109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102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109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102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109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372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109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102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109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102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109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102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109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372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109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102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109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102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109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102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109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40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109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11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109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11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11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109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972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109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40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109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265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109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11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109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265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109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11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109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265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109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11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109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972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109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40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109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265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109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11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109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265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109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11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109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265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109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11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109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972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109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40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109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265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109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11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109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265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109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11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109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265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109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11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01261</v>
      </c>
      <c r="B95" s="16">
        <f t="shared" si="5"/>
        <v>109</v>
      </c>
      <c r="C95" s="16">
        <f t="shared" si="5"/>
        <v>0</v>
      </c>
      <c r="D95" s="16">
        <f t="shared" si="5"/>
        <v>126</v>
      </c>
      <c r="E95" s="16">
        <f t="shared" si="5"/>
        <v>1</v>
      </c>
      <c r="F95" s="16">
        <f t="shared" si="5"/>
        <v>5061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01281</v>
      </c>
      <c r="B96" s="16">
        <f t="shared" si="6"/>
        <v>109</v>
      </c>
      <c r="C96" s="16">
        <f t="shared" si="6"/>
        <v>0</v>
      </c>
      <c r="D96" s="16">
        <f t="shared" si="6"/>
        <v>128</v>
      </c>
      <c r="E96" s="16">
        <f t="shared" si="6"/>
        <v>1</v>
      </c>
      <c r="F96" s="16">
        <f t="shared" si="6"/>
        <v>1380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01301</v>
      </c>
      <c r="B97" s="16">
        <f t="shared" si="6"/>
        <v>109</v>
      </c>
      <c r="C97" s="16">
        <f t="shared" si="6"/>
        <v>0</v>
      </c>
      <c r="D97" s="16">
        <f t="shared" si="6"/>
        <v>130</v>
      </c>
      <c r="E97" s="16">
        <f t="shared" si="6"/>
        <v>1</v>
      </c>
      <c r="F97" s="16">
        <f t="shared" si="6"/>
        <v>1380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01321</v>
      </c>
      <c r="B98" s="16">
        <f t="shared" si="6"/>
        <v>109</v>
      </c>
      <c r="C98" s="16">
        <f t="shared" si="6"/>
        <v>0</v>
      </c>
      <c r="D98" s="16">
        <f t="shared" si="6"/>
        <v>132</v>
      </c>
      <c r="E98" s="16">
        <f t="shared" si="6"/>
        <v>1</v>
      </c>
      <c r="F98" s="16">
        <f t="shared" si="6"/>
        <v>1380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01341</v>
      </c>
      <c r="B99" s="16">
        <f t="shared" si="6"/>
        <v>109</v>
      </c>
      <c r="C99" s="16">
        <f t="shared" si="6"/>
        <v>0</v>
      </c>
      <c r="D99" s="16">
        <f t="shared" si="6"/>
        <v>134</v>
      </c>
      <c r="E99" s="16">
        <f t="shared" si="6"/>
        <v>1</v>
      </c>
      <c r="F99" s="16">
        <f t="shared" si="6"/>
        <v>5061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01361</v>
      </c>
      <c r="B100" s="16">
        <f t="shared" si="6"/>
        <v>109</v>
      </c>
      <c r="C100" s="16">
        <f t="shared" si="6"/>
        <v>0</v>
      </c>
      <c r="D100" s="16">
        <f t="shared" si="6"/>
        <v>136</v>
      </c>
      <c r="E100" s="16">
        <f t="shared" si="6"/>
        <v>1</v>
      </c>
      <c r="F100" s="16">
        <f t="shared" si="6"/>
        <v>1380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01381</v>
      </c>
      <c r="B101" s="16">
        <f t="shared" si="6"/>
        <v>109</v>
      </c>
      <c r="C101" s="16">
        <f t="shared" si="6"/>
        <v>0</v>
      </c>
      <c r="D101" s="16">
        <f t="shared" si="6"/>
        <v>138</v>
      </c>
      <c r="E101" s="16">
        <f t="shared" si="6"/>
        <v>1</v>
      </c>
      <c r="F101" s="16">
        <f t="shared" si="6"/>
        <v>1380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01401</v>
      </c>
      <c r="B102" s="16">
        <f t="shared" si="6"/>
        <v>109</v>
      </c>
      <c r="C102" s="16">
        <f t="shared" si="6"/>
        <v>0</v>
      </c>
      <c r="D102" s="16">
        <f t="shared" si="6"/>
        <v>140</v>
      </c>
      <c r="E102" s="16">
        <f t="shared" si="6"/>
        <v>1</v>
      </c>
      <c r="F102" s="16">
        <f t="shared" si="6"/>
        <v>1380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01421</v>
      </c>
      <c r="B103" s="16">
        <f t="shared" si="6"/>
        <v>109</v>
      </c>
      <c r="C103" s="16">
        <f t="shared" si="6"/>
        <v>0</v>
      </c>
      <c r="D103" s="16">
        <f t="shared" si="6"/>
        <v>142</v>
      </c>
      <c r="E103" s="16">
        <f t="shared" si="6"/>
        <v>1</v>
      </c>
      <c r="F103" s="16">
        <f t="shared" si="6"/>
        <v>5061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01441</v>
      </c>
      <c r="B104" s="16">
        <f t="shared" si="6"/>
        <v>109</v>
      </c>
      <c r="C104" s="16">
        <f t="shared" si="6"/>
        <v>0</v>
      </c>
      <c r="D104" s="16">
        <f t="shared" si="6"/>
        <v>144</v>
      </c>
      <c r="E104" s="16">
        <f t="shared" si="6"/>
        <v>1</v>
      </c>
      <c r="F104" s="16">
        <f t="shared" si="6"/>
        <v>1380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01461</v>
      </c>
      <c r="B105" s="16">
        <f t="shared" si="6"/>
        <v>109</v>
      </c>
      <c r="C105" s="16">
        <f t="shared" si="6"/>
        <v>0</v>
      </c>
      <c r="D105" s="16">
        <f t="shared" si="6"/>
        <v>146</v>
      </c>
      <c r="E105" s="16">
        <f t="shared" si="6"/>
        <v>1</v>
      </c>
      <c r="F105" s="16">
        <f t="shared" si="6"/>
        <v>1380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01481</v>
      </c>
      <c r="B106" s="16">
        <f t="shared" si="6"/>
        <v>109</v>
      </c>
      <c r="C106" s="16">
        <f t="shared" si="6"/>
        <v>0</v>
      </c>
      <c r="D106" s="16">
        <f t="shared" si="6"/>
        <v>148</v>
      </c>
      <c r="E106" s="16">
        <f t="shared" si="6"/>
        <v>1</v>
      </c>
      <c r="F106" s="16">
        <f t="shared" si="6"/>
        <v>1380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01501</v>
      </c>
      <c r="B107" s="16">
        <f t="shared" si="6"/>
        <v>109</v>
      </c>
      <c r="C107" s="16">
        <f t="shared" si="6"/>
        <v>0</v>
      </c>
      <c r="D107" s="16">
        <f t="shared" si="6"/>
        <v>150</v>
      </c>
      <c r="E107" s="16">
        <f t="shared" si="6"/>
        <v>1</v>
      </c>
      <c r="F107" s="16">
        <f t="shared" si="6"/>
        <v>5061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01521</v>
      </c>
      <c r="B108" s="16">
        <f t="shared" si="6"/>
        <v>109</v>
      </c>
      <c r="C108" s="16">
        <f t="shared" si="6"/>
        <v>0</v>
      </c>
      <c r="D108" s="16">
        <f t="shared" si="6"/>
        <v>152</v>
      </c>
      <c r="E108" s="16">
        <f t="shared" si="6"/>
        <v>1</v>
      </c>
      <c r="F108" s="16">
        <f t="shared" si="6"/>
        <v>1380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01541</v>
      </c>
      <c r="B109" s="16">
        <f t="shared" si="6"/>
        <v>109</v>
      </c>
      <c r="C109" s="16">
        <f t="shared" si="6"/>
        <v>0</v>
      </c>
      <c r="D109" s="16">
        <f t="shared" si="6"/>
        <v>154</v>
      </c>
      <c r="E109" s="16">
        <f t="shared" si="6"/>
        <v>1</v>
      </c>
      <c r="F109" s="16">
        <f t="shared" si="6"/>
        <v>1380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01561</v>
      </c>
      <c r="B110" s="16">
        <f t="shared" si="6"/>
        <v>109</v>
      </c>
      <c r="C110" s="16">
        <f t="shared" si="6"/>
        <v>0</v>
      </c>
      <c r="D110" s="16">
        <f t="shared" si="6"/>
        <v>156</v>
      </c>
      <c r="E110" s="16">
        <f t="shared" si="6"/>
        <v>1</v>
      </c>
      <c r="F110" s="16">
        <f t="shared" si="6"/>
        <v>1380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01581</v>
      </c>
      <c r="B111" s="16">
        <f t="shared" si="6"/>
        <v>109</v>
      </c>
      <c r="C111" s="16">
        <f t="shared" si="6"/>
        <v>0</v>
      </c>
      <c r="D111" s="16">
        <f t="shared" si="6"/>
        <v>158</v>
      </c>
      <c r="E111" s="16">
        <f t="shared" si="6"/>
        <v>1</v>
      </c>
      <c r="F111" s="16">
        <f t="shared" si="6"/>
        <v>5061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01601</v>
      </c>
      <c r="B112" s="16">
        <f t="shared" si="6"/>
        <v>109</v>
      </c>
      <c r="C112" s="16">
        <f t="shared" si="6"/>
        <v>0</v>
      </c>
      <c r="D112" s="16">
        <f t="shared" si="6"/>
        <v>160</v>
      </c>
      <c r="E112" s="16">
        <f t="shared" si="6"/>
        <v>1</v>
      </c>
      <c r="F112" s="16">
        <f t="shared" si="6"/>
        <v>1380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01621</v>
      </c>
      <c r="B113" s="16">
        <f t="shared" si="6"/>
        <v>109</v>
      </c>
      <c r="C113" s="16">
        <f t="shared" si="6"/>
        <v>0</v>
      </c>
      <c r="D113" s="16">
        <f t="shared" si="6"/>
        <v>162</v>
      </c>
      <c r="E113" s="16">
        <f t="shared" si="6"/>
        <v>1</v>
      </c>
      <c r="F113" s="16">
        <f t="shared" si="6"/>
        <v>1380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01641</v>
      </c>
      <c r="B114" s="16">
        <f t="shared" si="6"/>
        <v>109</v>
      </c>
      <c r="C114" s="16">
        <f t="shared" si="6"/>
        <v>0</v>
      </c>
      <c r="D114" s="16">
        <f t="shared" si="6"/>
        <v>164</v>
      </c>
      <c r="E114" s="16">
        <f t="shared" si="6"/>
        <v>1</v>
      </c>
      <c r="F114" s="16">
        <f t="shared" si="6"/>
        <v>1380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01661</v>
      </c>
      <c r="B115" s="16">
        <f t="shared" si="6"/>
        <v>109</v>
      </c>
      <c r="C115" s="16">
        <f t="shared" si="6"/>
        <v>0</v>
      </c>
      <c r="D115" s="16">
        <f t="shared" si="6"/>
        <v>166</v>
      </c>
      <c r="E115" s="16">
        <f t="shared" si="6"/>
        <v>1</v>
      </c>
      <c r="F115" s="16">
        <f t="shared" si="6"/>
        <v>5511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01691</v>
      </c>
      <c r="B116" s="16">
        <f t="shared" si="6"/>
        <v>109</v>
      </c>
      <c r="C116" s="16">
        <f t="shared" si="6"/>
        <v>0</v>
      </c>
      <c r="D116" s="16">
        <f t="shared" si="6"/>
        <v>169</v>
      </c>
      <c r="E116" s="16">
        <f t="shared" si="6"/>
        <v>1</v>
      </c>
      <c r="F116" s="16">
        <f t="shared" si="6"/>
        <v>1503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01721</v>
      </c>
      <c r="B117" s="16">
        <f t="shared" si="6"/>
        <v>109</v>
      </c>
      <c r="C117" s="16">
        <f t="shared" si="6"/>
        <v>0</v>
      </c>
      <c r="D117" s="16">
        <f t="shared" si="6"/>
        <v>172</v>
      </c>
      <c r="E117" s="16">
        <f t="shared" si="6"/>
        <v>1</v>
      </c>
      <c r="F117" s="16">
        <f t="shared" si="6"/>
        <v>1503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01751</v>
      </c>
      <c r="B118" s="16">
        <f t="shared" si="6"/>
        <v>109</v>
      </c>
      <c r="C118" s="16">
        <f t="shared" si="6"/>
        <v>0</v>
      </c>
      <c r="D118" s="16">
        <f t="shared" si="6"/>
        <v>175</v>
      </c>
      <c r="E118" s="16">
        <f t="shared" si="6"/>
        <v>1</v>
      </c>
      <c r="F118" s="16">
        <f t="shared" si="6"/>
        <v>1503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01781</v>
      </c>
      <c r="B119" s="16">
        <f t="shared" si="6"/>
        <v>109</v>
      </c>
      <c r="C119" s="16">
        <f t="shared" si="6"/>
        <v>0</v>
      </c>
      <c r="D119" s="16">
        <f t="shared" si="6"/>
        <v>178</v>
      </c>
      <c r="E119" s="16">
        <f t="shared" si="6"/>
        <v>1</v>
      </c>
      <c r="F119" s="16">
        <f t="shared" si="6"/>
        <v>5511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01811</v>
      </c>
      <c r="B120" s="16">
        <f t="shared" si="6"/>
        <v>109</v>
      </c>
      <c r="C120" s="16">
        <f t="shared" si="6"/>
        <v>0</v>
      </c>
      <c r="D120" s="16">
        <f t="shared" si="6"/>
        <v>181</v>
      </c>
      <c r="E120" s="16">
        <f t="shared" si="6"/>
        <v>1</v>
      </c>
      <c r="F120" s="16">
        <f t="shared" si="6"/>
        <v>1503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01841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121" s="16">
        <f t="shared" si="7"/>
        <v>0</v>
      </c>
      <c r="D121" s="16">
        <f t="shared" si="7"/>
        <v>184</v>
      </c>
      <c r="E121" s="16">
        <f t="shared" si="7"/>
        <v>1</v>
      </c>
      <c r="F121" s="16">
        <f t="shared" si="7"/>
        <v>1503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01871</v>
      </c>
      <c r="B122" s="16">
        <f t="shared" si="7"/>
        <v>109</v>
      </c>
      <c r="C122" s="16">
        <f t="shared" si="7"/>
        <v>0</v>
      </c>
      <c r="D122" s="16">
        <f t="shared" si="7"/>
        <v>187</v>
      </c>
      <c r="E122" s="16">
        <f t="shared" si="7"/>
        <v>1</v>
      </c>
      <c r="F122" s="16">
        <f t="shared" si="7"/>
        <v>1503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01901</v>
      </c>
      <c r="B123" s="16">
        <f t="shared" si="7"/>
        <v>109</v>
      </c>
      <c r="C123" s="16">
        <f t="shared" si="7"/>
        <v>0</v>
      </c>
      <c r="D123" s="16">
        <f t="shared" si="7"/>
        <v>190</v>
      </c>
      <c r="E123" s="16">
        <f t="shared" si="7"/>
        <v>1</v>
      </c>
      <c r="F123" s="16">
        <f t="shared" si="7"/>
        <v>5511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01931</v>
      </c>
      <c r="B124" s="16">
        <f t="shared" si="7"/>
        <v>109</v>
      </c>
      <c r="C124" s="16">
        <f t="shared" si="7"/>
        <v>0</v>
      </c>
      <c r="D124" s="16">
        <f t="shared" si="7"/>
        <v>193</v>
      </c>
      <c r="E124" s="16">
        <f t="shared" si="7"/>
        <v>1</v>
      </c>
      <c r="F124" s="16">
        <f t="shared" si="7"/>
        <v>1503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01961</v>
      </c>
      <c r="B125" s="16">
        <f t="shared" si="7"/>
        <v>109</v>
      </c>
      <c r="C125" s="16">
        <f t="shared" si="7"/>
        <v>0</v>
      </c>
      <c r="D125" s="16">
        <f t="shared" si="7"/>
        <v>196</v>
      </c>
      <c r="E125" s="16">
        <f t="shared" si="7"/>
        <v>1</v>
      </c>
      <c r="F125" s="16">
        <f t="shared" si="7"/>
        <v>1503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01991</v>
      </c>
      <c r="B126" s="16">
        <f t="shared" si="7"/>
        <v>109</v>
      </c>
      <c r="C126" s="16">
        <f t="shared" si="7"/>
        <v>0</v>
      </c>
      <c r="D126" s="16">
        <f t="shared" si="7"/>
        <v>199</v>
      </c>
      <c r="E126" s="16">
        <f t="shared" si="7"/>
        <v>1</v>
      </c>
      <c r="F126" s="16">
        <f t="shared" si="7"/>
        <v>1503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02021</v>
      </c>
      <c r="B127" s="16">
        <f t="shared" si="7"/>
        <v>109</v>
      </c>
      <c r="C127" s="16">
        <f t="shared" si="7"/>
        <v>0</v>
      </c>
      <c r="D127" s="16">
        <f t="shared" si="7"/>
        <v>202</v>
      </c>
      <c r="E127" s="16">
        <f t="shared" si="7"/>
        <v>1</v>
      </c>
      <c r="F127" s="16">
        <f t="shared" si="7"/>
        <v>5511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02051</v>
      </c>
      <c r="B128" s="16">
        <f t="shared" si="7"/>
        <v>109</v>
      </c>
      <c r="C128" s="16">
        <f t="shared" si="7"/>
        <v>0</v>
      </c>
      <c r="D128" s="16">
        <f t="shared" si="7"/>
        <v>205</v>
      </c>
      <c r="E128" s="16">
        <f t="shared" si="7"/>
        <v>1</v>
      </c>
      <c r="F128" s="16">
        <f t="shared" si="7"/>
        <v>1503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02081</v>
      </c>
      <c r="B129" s="16">
        <f t="shared" si="7"/>
        <v>109</v>
      </c>
      <c r="C129" s="16">
        <f t="shared" si="7"/>
        <v>0</v>
      </c>
      <c r="D129" s="16">
        <f t="shared" si="7"/>
        <v>208</v>
      </c>
      <c r="E129" s="16">
        <f t="shared" si="7"/>
        <v>1</v>
      </c>
      <c r="F129" s="16">
        <f t="shared" si="7"/>
        <v>1503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02111</v>
      </c>
      <c r="B130" s="16">
        <f t="shared" si="7"/>
        <v>109</v>
      </c>
      <c r="C130" s="16">
        <f t="shared" si="7"/>
        <v>0</v>
      </c>
      <c r="D130" s="16">
        <f t="shared" si="7"/>
        <v>211</v>
      </c>
      <c r="E130" s="16">
        <f t="shared" si="7"/>
        <v>1</v>
      </c>
      <c r="F130" s="16">
        <f t="shared" si="7"/>
        <v>1503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02141</v>
      </c>
      <c r="B131" s="16">
        <f t="shared" si="7"/>
        <v>109</v>
      </c>
      <c r="C131" s="16">
        <f t="shared" si="7"/>
        <v>0</v>
      </c>
      <c r="D131" s="16">
        <f t="shared" si="7"/>
        <v>214</v>
      </c>
      <c r="E131" s="16">
        <f t="shared" si="7"/>
        <v>1</v>
      </c>
      <c r="F131" s="16">
        <f t="shared" si="7"/>
        <v>5511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02171</v>
      </c>
      <c r="B132" s="16">
        <f t="shared" si="7"/>
        <v>109</v>
      </c>
      <c r="C132" s="16">
        <f t="shared" si="7"/>
        <v>0</v>
      </c>
      <c r="D132" s="16">
        <f t="shared" si="7"/>
        <v>217</v>
      </c>
      <c r="E132" s="16">
        <f t="shared" si="7"/>
        <v>1</v>
      </c>
      <c r="F132" s="16">
        <f t="shared" si="7"/>
        <v>1503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02201</v>
      </c>
      <c r="B133" s="16">
        <f t="shared" si="7"/>
        <v>109</v>
      </c>
      <c r="C133" s="16">
        <f t="shared" si="7"/>
        <v>0</v>
      </c>
      <c r="D133" s="16">
        <f t="shared" si="7"/>
        <v>220</v>
      </c>
      <c r="E133" s="16">
        <f t="shared" si="7"/>
        <v>1</v>
      </c>
      <c r="F133" s="16">
        <f t="shared" si="7"/>
        <v>1503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02231</v>
      </c>
      <c r="B134" s="16">
        <f t="shared" si="7"/>
        <v>109</v>
      </c>
      <c r="C134" s="16">
        <f t="shared" si="7"/>
        <v>0</v>
      </c>
      <c r="D134" s="16">
        <f t="shared" si="7"/>
        <v>223</v>
      </c>
      <c r="E134" s="16">
        <f t="shared" si="7"/>
        <v>1</v>
      </c>
      <c r="F134" s="16">
        <f t="shared" si="7"/>
        <v>1503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02261</v>
      </c>
      <c r="B135" s="16">
        <f t="shared" si="7"/>
        <v>109</v>
      </c>
      <c r="C135" s="16">
        <f t="shared" si="7"/>
        <v>0</v>
      </c>
      <c r="D135" s="16">
        <f t="shared" si="7"/>
        <v>226</v>
      </c>
      <c r="E135" s="16">
        <f t="shared" si="7"/>
        <v>1</v>
      </c>
      <c r="F135" s="16">
        <f t="shared" si="7"/>
        <v>1125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02291</v>
      </c>
      <c r="B136" s="16">
        <f t="shared" si="7"/>
        <v>109</v>
      </c>
      <c r="C136" s="16">
        <f t="shared" si="7"/>
        <v>0</v>
      </c>
      <c r="D136" s="16">
        <f t="shared" si="7"/>
        <v>229</v>
      </c>
      <c r="E136" s="16">
        <f t="shared" si="7"/>
        <v>1</v>
      </c>
      <c r="F136" s="16">
        <f t="shared" si="7"/>
        <v>307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02321</v>
      </c>
      <c r="B137" s="16">
        <f t="shared" si="7"/>
        <v>109</v>
      </c>
      <c r="C137" s="16">
        <f t="shared" si="7"/>
        <v>0</v>
      </c>
      <c r="D137" s="16">
        <f t="shared" si="7"/>
        <v>232</v>
      </c>
      <c r="E137" s="16">
        <f t="shared" si="7"/>
        <v>1</v>
      </c>
      <c r="F137" s="16">
        <f t="shared" si="7"/>
        <v>307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02351</v>
      </c>
      <c r="B138" s="16">
        <f t="shared" si="7"/>
        <v>109</v>
      </c>
      <c r="C138" s="16">
        <f t="shared" si="7"/>
        <v>0</v>
      </c>
      <c r="D138" s="16">
        <f t="shared" si="7"/>
        <v>235</v>
      </c>
      <c r="E138" s="16">
        <f t="shared" si="7"/>
        <v>1</v>
      </c>
      <c r="F138" s="16">
        <f t="shared" si="7"/>
        <v>307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01271</v>
      </c>
      <c r="B139" s="16">
        <f t="shared" si="7"/>
        <v>109</v>
      </c>
      <c r="C139" s="16">
        <f t="shared" si="7"/>
        <v>0</v>
      </c>
      <c r="D139" s="16">
        <f t="shared" si="7"/>
        <v>127</v>
      </c>
      <c r="E139" s="16">
        <f t="shared" si="7"/>
        <v>1</v>
      </c>
      <c r="F139" s="16">
        <f t="shared" si="7"/>
        <v>1703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01291</v>
      </c>
      <c r="B140" s="16">
        <f t="shared" si="7"/>
        <v>109</v>
      </c>
      <c r="C140" s="16">
        <f t="shared" si="7"/>
        <v>0</v>
      </c>
      <c r="D140" s="16">
        <f t="shared" si="7"/>
        <v>129</v>
      </c>
      <c r="E140" s="16">
        <f t="shared" si="7"/>
        <v>1</v>
      </c>
      <c r="F140" s="16">
        <f t="shared" si="7"/>
        <v>464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01311</v>
      </c>
      <c r="B141" s="16">
        <f t="shared" si="7"/>
        <v>109</v>
      </c>
      <c r="C141" s="16">
        <f t="shared" si="7"/>
        <v>0</v>
      </c>
      <c r="D141" s="16">
        <f t="shared" si="7"/>
        <v>131</v>
      </c>
      <c r="E141" s="16">
        <f t="shared" si="7"/>
        <v>1</v>
      </c>
      <c r="F141" s="16">
        <f t="shared" si="7"/>
        <v>464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01331</v>
      </c>
      <c r="B142" s="16">
        <f t="shared" si="7"/>
        <v>109</v>
      </c>
      <c r="C142" s="16">
        <f t="shared" si="7"/>
        <v>0</v>
      </c>
      <c r="D142" s="16">
        <f t="shared" si="7"/>
        <v>133</v>
      </c>
      <c r="E142" s="16">
        <f t="shared" si="7"/>
        <v>1</v>
      </c>
      <c r="F142" s="16">
        <f t="shared" si="7"/>
        <v>464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01351</v>
      </c>
      <c r="B143" s="16">
        <f t="shared" si="7"/>
        <v>109</v>
      </c>
      <c r="C143" s="16">
        <f t="shared" si="7"/>
        <v>0</v>
      </c>
      <c r="D143" s="16">
        <f t="shared" si="7"/>
        <v>135</v>
      </c>
      <c r="E143" s="16">
        <f t="shared" si="7"/>
        <v>1</v>
      </c>
      <c r="F143" s="16">
        <f t="shared" si="7"/>
        <v>1703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01371</v>
      </c>
      <c r="B144" s="16">
        <f t="shared" si="7"/>
        <v>109</v>
      </c>
      <c r="C144" s="16">
        <f t="shared" si="7"/>
        <v>0</v>
      </c>
      <c r="D144" s="16">
        <f t="shared" si="7"/>
        <v>137</v>
      </c>
      <c r="E144" s="16">
        <f t="shared" si="7"/>
        <v>1</v>
      </c>
      <c r="F144" s="16">
        <f t="shared" si="7"/>
        <v>464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01391</v>
      </c>
      <c r="B145" s="16">
        <f t="shared" si="7"/>
        <v>109</v>
      </c>
      <c r="C145" s="16">
        <f t="shared" si="7"/>
        <v>0</v>
      </c>
      <c r="D145" s="16">
        <f t="shared" si="7"/>
        <v>139</v>
      </c>
      <c r="E145" s="16">
        <f t="shared" si="7"/>
        <v>1</v>
      </c>
      <c r="F145" s="16">
        <f t="shared" si="7"/>
        <v>464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01411</v>
      </c>
      <c r="B146" s="16">
        <f t="shared" si="7"/>
        <v>109</v>
      </c>
      <c r="C146" s="16">
        <f t="shared" si="7"/>
        <v>0</v>
      </c>
      <c r="D146" s="16">
        <f t="shared" si="7"/>
        <v>141</v>
      </c>
      <c r="E146" s="16">
        <f t="shared" si="7"/>
        <v>1</v>
      </c>
      <c r="F146" s="16">
        <f t="shared" si="7"/>
        <v>464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01431</v>
      </c>
      <c r="B147" s="16">
        <f t="shared" si="9"/>
        <v>109</v>
      </c>
      <c r="C147" s="16">
        <f t="shared" si="9"/>
        <v>0</v>
      </c>
      <c r="D147" s="16">
        <f t="shared" si="9"/>
        <v>143</v>
      </c>
      <c r="E147" s="16">
        <f t="shared" si="9"/>
        <v>1</v>
      </c>
      <c r="F147" s="16">
        <f t="shared" si="9"/>
        <v>1703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01451</v>
      </c>
      <c r="B148" s="16">
        <f t="shared" si="9"/>
        <v>109</v>
      </c>
      <c r="C148" s="16">
        <f t="shared" si="9"/>
        <v>0</v>
      </c>
      <c r="D148" s="16">
        <f t="shared" si="9"/>
        <v>145</v>
      </c>
      <c r="E148" s="16">
        <f t="shared" si="9"/>
        <v>1</v>
      </c>
      <c r="F148" s="16">
        <f t="shared" si="9"/>
        <v>464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01471</v>
      </c>
      <c r="B149" s="16">
        <f t="shared" si="9"/>
        <v>109</v>
      </c>
      <c r="C149" s="16">
        <f t="shared" si="9"/>
        <v>0</v>
      </c>
      <c r="D149" s="16">
        <f t="shared" si="9"/>
        <v>147</v>
      </c>
      <c r="E149" s="16">
        <f t="shared" si="9"/>
        <v>1</v>
      </c>
      <c r="F149" s="16">
        <f t="shared" si="9"/>
        <v>464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01491</v>
      </c>
      <c r="B150" s="16">
        <f t="shared" si="9"/>
        <v>109</v>
      </c>
      <c r="C150" s="16">
        <f t="shared" si="9"/>
        <v>0</v>
      </c>
      <c r="D150" s="16">
        <f t="shared" si="9"/>
        <v>149</v>
      </c>
      <c r="E150" s="16">
        <f t="shared" si="9"/>
        <v>1</v>
      </c>
      <c r="F150" s="16">
        <f t="shared" si="9"/>
        <v>464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01511</v>
      </c>
      <c r="B151" s="16">
        <f t="shared" si="9"/>
        <v>109</v>
      </c>
      <c r="C151" s="16">
        <f t="shared" si="9"/>
        <v>0</v>
      </c>
      <c r="D151" s="16">
        <f t="shared" si="9"/>
        <v>151</v>
      </c>
      <c r="E151" s="16">
        <f t="shared" si="9"/>
        <v>1</v>
      </c>
      <c r="F151" s="16">
        <f t="shared" si="9"/>
        <v>1703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01531</v>
      </c>
      <c r="B152" s="16">
        <f t="shared" si="9"/>
        <v>109</v>
      </c>
      <c r="C152" s="16">
        <f t="shared" si="9"/>
        <v>0</v>
      </c>
      <c r="D152" s="16">
        <f t="shared" si="9"/>
        <v>153</v>
      </c>
      <c r="E152" s="16">
        <f t="shared" si="9"/>
        <v>1</v>
      </c>
      <c r="F152" s="16">
        <f t="shared" si="9"/>
        <v>464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01551</v>
      </c>
      <c r="B153" s="16">
        <f t="shared" si="9"/>
        <v>109</v>
      </c>
      <c r="C153" s="16">
        <f t="shared" si="9"/>
        <v>0</v>
      </c>
      <c r="D153" s="16">
        <f t="shared" si="9"/>
        <v>155</v>
      </c>
      <c r="E153" s="16">
        <f t="shared" si="9"/>
        <v>1</v>
      </c>
      <c r="F153" s="16">
        <f t="shared" si="9"/>
        <v>464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01571</v>
      </c>
      <c r="B154" s="16">
        <f t="shared" si="9"/>
        <v>109</v>
      </c>
      <c r="C154" s="16">
        <f t="shared" si="9"/>
        <v>0</v>
      </c>
      <c r="D154" s="16">
        <f t="shared" si="9"/>
        <v>157</v>
      </c>
      <c r="E154" s="16">
        <f t="shared" si="9"/>
        <v>1</v>
      </c>
      <c r="F154" s="16">
        <f t="shared" si="9"/>
        <v>464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01591</v>
      </c>
      <c r="B155" s="16">
        <f t="shared" si="9"/>
        <v>109</v>
      </c>
      <c r="C155" s="16">
        <f t="shared" si="9"/>
        <v>0</v>
      </c>
      <c r="D155" s="16">
        <f t="shared" si="9"/>
        <v>159</v>
      </c>
      <c r="E155" s="16">
        <f t="shared" si="9"/>
        <v>1</v>
      </c>
      <c r="F155" s="16">
        <f t="shared" si="9"/>
        <v>1703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01611</v>
      </c>
      <c r="B156" s="16">
        <f t="shared" si="9"/>
        <v>109</v>
      </c>
      <c r="C156" s="16">
        <f t="shared" si="9"/>
        <v>0</v>
      </c>
      <c r="D156" s="16">
        <f t="shared" si="9"/>
        <v>161</v>
      </c>
      <c r="E156" s="16">
        <f t="shared" si="9"/>
        <v>1</v>
      </c>
      <c r="F156" s="16">
        <f t="shared" si="9"/>
        <v>464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01631</v>
      </c>
      <c r="B157" s="16">
        <f t="shared" si="9"/>
        <v>109</v>
      </c>
      <c r="C157" s="16">
        <f t="shared" si="9"/>
        <v>0</v>
      </c>
      <c r="D157" s="16">
        <f t="shared" si="9"/>
        <v>163</v>
      </c>
      <c r="E157" s="16">
        <f t="shared" si="9"/>
        <v>1</v>
      </c>
      <c r="F157" s="16">
        <f t="shared" si="9"/>
        <v>464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01651</v>
      </c>
      <c r="B158" s="16">
        <f t="shared" si="9"/>
        <v>109</v>
      </c>
      <c r="C158" s="16">
        <f t="shared" si="9"/>
        <v>0</v>
      </c>
      <c r="D158" s="16">
        <f t="shared" si="9"/>
        <v>165</v>
      </c>
      <c r="E158" s="16">
        <f t="shared" si="9"/>
        <v>1</v>
      </c>
      <c r="F158" s="16">
        <f t="shared" si="9"/>
        <v>464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01671</v>
      </c>
      <c r="B159" s="16">
        <f t="shared" si="9"/>
        <v>109</v>
      </c>
      <c r="C159" s="16">
        <f t="shared" si="9"/>
        <v>0</v>
      </c>
      <c r="D159" s="16">
        <f t="shared" si="9"/>
        <v>167</v>
      </c>
      <c r="E159" s="16">
        <f t="shared" si="9"/>
        <v>1</v>
      </c>
      <c r="F159" s="16">
        <f t="shared" si="9"/>
        <v>1742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01701</v>
      </c>
      <c r="B160" s="16">
        <f t="shared" si="9"/>
        <v>109</v>
      </c>
      <c r="C160" s="16">
        <f t="shared" si="9"/>
        <v>0</v>
      </c>
      <c r="D160" s="16">
        <f t="shared" si="9"/>
        <v>170</v>
      </c>
      <c r="E160" s="16">
        <f t="shared" si="9"/>
        <v>1</v>
      </c>
      <c r="F160" s="16">
        <f t="shared" si="9"/>
        <v>475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01731</v>
      </c>
      <c r="B161" s="16">
        <f t="shared" si="9"/>
        <v>109</v>
      </c>
      <c r="C161" s="16">
        <f t="shared" si="9"/>
        <v>0</v>
      </c>
      <c r="D161" s="16">
        <f t="shared" si="9"/>
        <v>173</v>
      </c>
      <c r="E161" s="16">
        <f t="shared" si="9"/>
        <v>1</v>
      </c>
      <c r="F161" s="16">
        <f t="shared" si="9"/>
        <v>475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01761</v>
      </c>
      <c r="B162" s="16">
        <f t="shared" si="9"/>
        <v>109</v>
      </c>
      <c r="C162" s="16">
        <f t="shared" si="9"/>
        <v>0</v>
      </c>
      <c r="D162" s="16">
        <f t="shared" si="9"/>
        <v>176</v>
      </c>
      <c r="E162" s="16">
        <f t="shared" si="9"/>
        <v>1</v>
      </c>
      <c r="F162" s="16">
        <f t="shared" si="9"/>
        <v>475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01791</v>
      </c>
      <c r="B163" s="16">
        <f t="shared" si="9"/>
        <v>109</v>
      </c>
      <c r="C163" s="16">
        <f t="shared" si="9"/>
        <v>0</v>
      </c>
      <c r="D163" s="16">
        <f t="shared" si="9"/>
        <v>179</v>
      </c>
      <c r="E163" s="16">
        <f t="shared" si="9"/>
        <v>1</v>
      </c>
      <c r="F163" s="16">
        <f t="shared" si="9"/>
        <v>1742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01821</v>
      </c>
      <c r="B164" s="16">
        <f t="shared" si="9"/>
        <v>109</v>
      </c>
      <c r="C164" s="16">
        <f t="shared" si="9"/>
        <v>0</v>
      </c>
      <c r="D164" s="16">
        <f t="shared" si="9"/>
        <v>182</v>
      </c>
      <c r="E164" s="16">
        <f t="shared" si="9"/>
        <v>1</v>
      </c>
      <c r="F164" s="16">
        <f t="shared" si="9"/>
        <v>475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01851</v>
      </c>
      <c r="B165" s="16">
        <f t="shared" si="9"/>
        <v>109</v>
      </c>
      <c r="C165" s="16">
        <f t="shared" si="9"/>
        <v>0</v>
      </c>
      <c r="D165" s="16">
        <f t="shared" si="9"/>
        <v>185</v>
      </c>
      <c r="E165" s="16">
        <f t="shared" si="9"/>
        <v>1</v>
      </c>
      <c r="F165" s="16">
        <f t="shared" si="9"/>
        <v>475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01881</v>
      </c>
      <c r="B166" s="16">
        <f t="shared" si="9"/>
        <v>109</v>
      </c>
      <c r="C166" s="16">
        <f t="shared" si="9"/>
        <v>0</v>
      </c>
      <c r="D166" s="16">
        <f t="shared" si="9"/>
        <v>188</v>
      </c>
      <c r="E166" s="16">
        <f t="shared" si="9"/>
        <v>1</v>
      </c>
      <c r="F166" s="16">
        <f t="shared" si="9"/>
        <v>475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01911</v>
      </c>
      <c r="B167" s="16">
        <f t="shared" si="9"/>
        <v>109</v>
      </c>
      <c r="C167" s="16">
        <f t="shared" si="9"/>
        <v>0</v>
      </c>
      <c r="D167" s="16">
        <f t="shared" si="9"/>
        <v>191</v>
      </c>
      <c r="E167" s="16">
        <f t="shared" si="9"/>
        <v>1</v>
      </c>
      <c r="F167" s="16">
        <f t="shared" si="9"/>
        <v>1742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01941</v>
      </c>
      <c r="B168" s="16">
        <f t="shared" si="9"/>
        <v>109</v>
      </c>
      <c r="C168" s="16">
        <f t="shared" si="9"/>
        <v>0</v>
      </c>
      <c r="D168" s="16">
        <f t="shared" si="9"/>
        <v>194</v>
      </c>
      <c r="E168" s="16">
        <f t="shared" si="9"/>
        <v>1</v>
      </c>
      <c r="F168" s="16">
        <f t="shared" si="9"/>
        <v>475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01971</v>
      </c>
      <c r="B169" s="16">
        <f t="shared" si="9"/>
        <v>109</v>
      </c>
      <c r="C169" s="16">
        <f t="shared" si="9"/>
        <v>0</v>
      </c>
      <c r="D169" s="16">
        <f t="shared" si="9"/>
        <v>197</v>
      </c>
      <c r="E169" s="16">
        <f t="shared" si="9"/>
        <v>1</v>
      </c>
      <c r="F169" s="16">
        <f t="shared" si="9"/>
        <v>475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02001</v>
      </c>
      <c r="B170" s="16">
        <f t="shared" si="9"/>
        <v>109</v>
      </c>
      <c r="C170" s="16">
        <f t="shared" si="9"/>
        <v>0</v>
      </c>
      <c r="D170" s="16">
        <f t="shared" si="9"/>
        <v>200</v>
      </c>
      <c r="E170" s="16">
        <f t="shared" si="9"/>
        <v>1</v>
      </c>
      <c r="F170" s="16">
        <f t="shared" si="9"/>
        <v>475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02031</v>
      </c>
      <c r="B171" s="16">
        <f t="shared" si="9"/>
        <v>109</v>
      </c>
      <c r="C171" s="16">
        <f t="shared" si="9"/>
        <v>0</v>
      </c>
      <c r="D171" s="16">
        <f t="shared" si="9"/>
        <v>203</v>
      </c>
      <c r="E171" s="16">
        <f t="shared" si="9"/>
        <v>1</v>
      </c>
      <c r="F171" s="16">
        <f t="shared" si="9"/>
        <v>1742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02061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172" s="16">
        <f t="shared" si="10"/>
        <v>0</v>
      </c>
      <c r="D172" s="16">
        <f t="shared" si="10"/>
        <v>206</v>
      </c>
      <c r="E172" s="16">
        <f t="shared" si="10"/>
        <v>1</v>
      </c>
      <c r="F172" s="16">
        <f t="shared" si="10"/>
        <v>475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02091</v>
      </c>
      <c r="B173" s="16">
        <f t="shared" si="10"/>
        <v>109</v>
      </c>
      <c r="C173" s="16">
        <f t="shared" si="10"/>
        <v>0</v>
      </c>
      <c r="D173" s="16">
        <f t="shared" si="10"/>
        <v>209</v>
      </c>
      <c r="E173" s="16">
        <f t="shared" si="10"/>
        <v>1</v>
      </c>
      <c r="F173" s="16">
        <f t="shared" si="10"/>
        <v>475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02121</v>
      </c>
      <c r="B174" s="16">
        <f t="shared" si="10"/>
        <v>109</v>
      </c>
      <c r="C174" s="16">
        <f t="shared" si="10"/>
        <v>0</v>
      </c>
      <c r="D174" s="16">
        <f t="shared" si="10"/>
        <v>212</v>
      </c>
      <c r="E174" s="16">
        <f t="shared" si="10"/>
        <v>1</v>
      </c>
      <c r="F174" s="16">
        <f t="shared" si="10"/>
        <v>475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02151</v>
      </c>
      <c r="B175" s="16">
        <f t="shared" si="10"/>
        <v>109</v>
      </c>
      <c r="C175" s="16">
        <f t="shared" si="10"/>
        <v>0</v>
      </c>
      <c r="D175" s="16">
        <f t="shared" si="10"/>
        <v>215</v>
      </c>
      <c r="E175" s="16">
        <f t="shared" si="10"/>
        <v>1</v>
      </c>
      <c r="F175" s="16">
        <f t="shared" si="10"/>
        <v>1742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02181</v>
      </c>
      <c r="B176" s="16">
        <f t="shared" si="10"/>
        <v>109</v>
      </c>
      <c r="C176" s="16">
        <f t="shared" si="10"/>
        <v>0</v>
      </c>
      <c r="D176" s="16">
        <f t="shared" si="10"/>
        <v>218</v>
      </c>
      <c r="E176" s="16">
        <f t="shared" si="10"/>
        <v>1</v>
      </c>
      <c r="F176" s="16">
        <f t="shared" si="10"/>
        <v>475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02211</v>
      </c>
      <c r="B177" s="16">
        <f t="shared" si="10"/>
        <v>109</v>
      </c>
      <c r="C177" s="16">
        <f t="shared" si="10"/>
        <v>0</v>
      </c>
      <c r="D177" s="16">
        <f t="shared" si="10"/>
        <v>221</v>
      </c>
      <c r="E177" s="16">
        <f t="shared" si="10"/>
        <v>1</v>
      </c>
      <c r="F177" s="16">
        <f t="shared" si="10"/>
        <v>475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02241</v>
      </c>
      <c r="B178" s="16">
        <f t="shared" si="10"/>
        <v>109</v>
      </c>
      <c r="C178" s="16">
        <f t="shared" si="10"/>
        <v>0</v>
      </c>
      <c r="D178" s="16">
        <f t="shared" si="10"/>
        <v>224</v>
      </c>
      <c r="E178" s="16">
        <f t="shared" si="10"/>
        <v>1</v>
      </c>
      <c r="F178" s="16">
        <f t="shared" si="10"/>
        <v>475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02271</v>
      </c>
      <c r="B179" s="16">
        <f t="shared" si="10"/>
        <v>109</v>
      </c>
      <c r="C179" s="16">
        <f t="shared" si="10"/>
        <v>0</v>
      </c>
      <c r="D179" s="16">
        <f t="shared" si="10"/>
        <v>227</v>
      </c>
      <c r="E179" s="16">
        <f t="shared" si="10"/>
        <v>1</v>
      </c>
      <c r="F179" s="16">
        <f t="shared" si="10"/>
        <v>396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02301</v>
      </c>
      <c r="B180" s="16">
        <f t="shared" si="10"/>
        <v>109</v>
      </c>
      <c r="C180" s="16">
        <f t="shared" si="10"/>
        <v>0</v>
      </c>
      <c r="D180" s="16">
        <f t="shared" si="10"/>
        <v>230</v>
      </c>
      <c r="E180" s="16">
        <f t="shared" si="10"/>
        <v>1</v>
      </c>
      <c r="F180" s="16">
        <f t="shared" si="10"/>
        <v>108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02331</v>
      </c>
      <c r="B181" s="16">
        <f t="shared" si="10"/>
        <v>109</v>
      </c>
      <c r="C181" s="16">
        <f t="shared" si="10"/>
        <v>0</v>
      </c>
      <c r="D181" s="16">
        <f t="shared" si="10"/>
        <v>233</v>
      </c>
      <c r="E181" s="16">
        <f t="shared" si="10"/>
        <v>1</v>
      </c>
      <c r="F181" s="16">
        <f t="shared" si="10"/>
        <v>108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02361</v>
      </c>
      <c r="B182" s="16">
        <f t="shared" si="10"/>
        <v>109</v>
      </c>
      <c r="C182" s="16">
        <f t="shared" si="10"/>
        <v>0</v>
      </c>
      <c r="D182" s="16">
        <f t="shared" si="10"/>
        <v>236</v>
      </c>
      <c r="E182" s="16">
        <f t="shared" si="10"/>
        <v>1</v>
      </c>
      <c r="F182" s="16">
        <f t="shared" si="10"/>
        <v>108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01681</v>
      </c>
      <c r="B183" s="16">
        <f t="shared" si="10"/>
        <v>109</v>
      </c>
      <c r="C183" s="16">
        <f t="shared" si="10"/>
        <v>0</v>
      </c>
      <c r="D183" s="16">
        <f t="shared" si="10"/>
        <v>168</v>
      </c>
      <c r="E183" s="16">
        <f t="shared" si="10"/>
        <v>1</v>
      </c>
      <c r="F183" s="16">
        <f t="shared" si="10"/>
        <v>564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01711</v>
      </c>
      <c r="B184" s="16">
        <f t="shared" si="10"/>
        <v>109</v>
      </c>
      <c r="C184" s="16">
        <f t="shared" si="10"/>
        <v>0</v>
      </c>
      <c r="D184" s="16">
        <f t="shared" si="10"/>
        <v>171</v>
      </c>
      <c r="E184" s="16">
        <f t="shared" si="10"/>
        <v>1</v>
      </c>
      <c r="F184" s="16">
        <f t="shared" si="10"/>
        <v>154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01741</v>
      </c>
      <c r="B185" s="16">
        <f t="shared" si="10"/>
        <v>109</v>
      </c>
      <c r="C185" s="16">
        <f t="shared" si="10"/>
        <v>0</v>
      </c>
      <c r="D185" s="16">
        <f t="shared" si="10"/>
        <v>174</v>
      </c>
      <c r="E185" s="16">
        <f t="shared" si="10"/>
        <v>1</v>
      </c>
      <c r="F185" s="16">
        <f t="shared" si="10"/>
        <v>154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01771</v>
      </c>
      <c r="B186" s="16">
        <f t="shared" si="10"/>
        <v>109</v>
      </c>
      <c r="C186" s="16">
        <f t="shared" si="10"/>
        <v>0</v>
      </c>
      <c r="D186" s="16">
        <f t="shared" si="10"/>
        <v>177</v>
      </c>
      <c r="E186" s="16">
        <f t="shared" si="10"/>
        <v>1</v>
      </c>
      <c r="F186" s="16">
        <f t="shared" si="10"/>
        <v>154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01801</v>
      </c>
      <c r="B187" s="16">
        <f t="shared" si="10"/>
        <v>109</v>
      </c>
      <c r="C187" s="16">
        <f t="shared" si="10"/>
        <v>0</v>
      </c>
      <c r="D187" s="16">
        <f t="shared" si="10"/>
        <v>180</v>
      </c>
      <c r="E187" s="16">
        <f t="shared" si="10"/>
        <v>1</v>
      </c>
      <c r="F187" s="16">
        <f t="shared" si="10"/>
        <v>564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01831</v>
      </c>
      <c r="B188" s="16">
        <f t="shared" si="10"/>
        <v>109</v>
      </c>
      <c r="C188" s="16">
        <f t="shared" si="10"/>
        <v>0</v>
      </c>
      <c r="D188" s="16">
        <f t="shared" si="10"/>
        <v>183</v>
      </c>
      <c r="E188" s="16">
        <f t="shared" si="10"/>
        <v>1</v>
      </c>
      <c r="F188" s="16">
        <f t="shared" si="10"/>
        <v>154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01861</v>
      </c>
      <c r="B189" s="16">
        <f t="shared" si="10"/>
        <v>109</v>
      </c>
      <c r="C189" s="16">
        <f t="shared" si="10"/>
        <v>0</v>
      </c>
      <c r="D189" s="16">
        <f t="shared" si="10"/>
        <v>186</v>
      </c>
      <c r="E189" s="16">
        <f t="shared" si="10"/>
        <v>1</v>
      </c>
      <c r="F189" s="16">
        <f t="shared" si="10"/>
        <v>154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01891</v>
      </c>
      <c r="B190" s="16">
        <f t="shared" si="10"/>
        <v>109</v>
      </c>
      <c r="C190" s="16">
        <f t="shared" si="10"/>
        <v>0</v>
      </c>
      <c r="D190" s="16">
        <f t="shared" si="10"/>
        <v>189</v>
      </c>
      <c r="E190" s="16">
        <f t="shared" si="10"/>
        <v>1</v>
      </c>
      <c r="F190" s="16">
        <f t="shared" si="10"/>
        <v>154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01921</v>
      </c>
      <c r="B191" s="16">
        <f t="shared" si="10"/>
        <v>109</v>
      </c>
      <c r="C191" s="16">
        <f t="shared" si="10"/>
        <v>0</v>
      </c>
      <c r="D191" s="16">
        <f t="shared" si="10"/>
        <v>192</v>
      </c>
      <c r="E191" s="16">
        <f t="shared" si="10"/>
        <v>1</v>
      </c>
      <c r="F191" s="16">
        <f t="shared" si="10"/>
        <v>564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01951</v>
      </c>
      <c r="B192" s="16">
        <f t="shared" si="10"/>
        <v>109</v>
      </c>
      <c r="C192" s="16">
        <f t="shared" si="10"/>
        <v>0</v>
      </c>
      <c r="D192" s="16">
        <f t="shared" si="10"/>
        <v>195</v>
      </c>
      <c r="E192" s="16">
        <f t="shared" si="10"/>
        <v>1</v>
      </c>
      <c r="F192" s="16">
        <f t="shared" si="10"/>
        <v>154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01981</v>
      </c>
      <c r="B193" s="16">
        <f t="shared" si="10"/>
        <v>109</v>
      </c>
      <c r="C193" s="16">
        <f t="shared" si="10"/>
        <v>0</v>
      </c>
      <c r="D193" s="16">
        <f t="shared" si="10"/>
        <v>198</v>
      </c>
      <c r="E193" s="16">
        <f t="shared" si="10"/>
        <v>1</v>
      </c>
      <c r="F193" s="16">
        <f t="shared" si="10"/>
        <v>154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02011</v>
      </c>
      <c r="B194" s="16">
        <f t="shared" si="10"/>
        <v>109</v>
      </c>
      <c r="C194" s="16">
        <f t="shared" si="10"/>
        <v>0</v>
      </c>
      <c r="D194" s="16">
        <f t="shared" si="10"/>
        <v>201</v>
      </c>
      <c r="E194" s="16">
        <f t="shared" si="10"/>
        <v>1</v>
      </c>
      <c r="F194" s="16">
        <f t="shared" si="10"/>
        <v>154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38" si="11">INDIRECT(ADDRESS(ROW()+$A$1,COLUMN(),1,TRUE,$C$1))</f>
        <v>02041</v>
      </c>
      <c r="B195" s="16">
        <f t="shared" si="10"/>
        <v>109</v>
      </c>
      <c r="C195" s="16">
        <f t="shared" si="10"/>
        <v>0</v>
      </c>
      <c r="D195" s="16">
        <f t="shared" si="10"/>
        <v>204</v>
      </c>
      <c r="E195" s="16">
        <f t="shared" si="10"/>
        <v>1</v>
      </c>
      <c r="F195" s="16">
        <f t="shared" si="10"/>
        <v>564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02071</v>
      </c>
      <c r="B196" s="16">
        <f t="shared" si="10"/>
        <v>109</v>
      </c>
      <c r="C196" s="16">
        <f t="shared" si="10"/>
        <v>0</v>
      </c>
      <c r="D196" s="16">
        <f t="shared" si="10"/>
        <v>207</v>
      </c>
      <c r="E196" s="16">
        <f t="shared" si="10"/>
        <v>1</v>
      </c>
      <c r="F196" s="16">
        <f t="shared" si="10"/>
        <v>154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02101</v>
      </c>
      <c r="B197" s="16">
        <f t="shared" si="10"/>
        <v>109</v>
      </c>
      <c r="C197" s="16">
        <f t="shared" si="10"/>
        <v>0</v>
      </c>
      <c r="D197" s="16">
        <f t="shared" si="10"/>
        <v>210</v>
      </c>
      <c r="E197" s="16">
        <f t="shared" si="10"/>
        <v>1</v>
      </c>
      <c r="F197" s="16">
        <f t="shared" si="10"/>
        <v>154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02131</v>
      </c>
      <c r="B198" s="16">
        <f t="shared" si="12"/>
        <v>109</v>
      </c>
      <c r="C198" s="16">
        <f t="shared" si="12"/>
        <v>0</v>
      </c>
      <c r="D198" s="16">
        <f t="shared" si="12"/>
        <v>213</v>
      </c>
      <c r="E198" s="16">
        <f t="shared" si="12"/>
        <v>1</v>
      </c>
      <c r="F198" s="16">
        <f t="shared" si="12"/>
        <v>154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02161</v>
      </c>
      <c r="B199" s="16">
        <f t="shared" si="12"/>
        <v>109</v>
      </c>
      <c r="C199" s="16">
        <f t="shared" si="12"/>
        <v>0</v>
      </c>
      <c r="D199" s="16">
        <f t="shared" si="12"/>
        <v>216</v>
      </c>
      <c r="E199" s="16">
        <f t="shared" si="12"/>
        <v>1</v>
      </c>
      <c r="F199" s="16">
        <f t="shared" si="12"/>
        <v>564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02191</v>
      </c>
      <c r="B200" s="16">
        <f t="shared" si="12"/>
        <v>109</v>
      </c>
      <c r="C200" s="16">
        <f t="shared" si="12"/>
        <v>0</v>
      </c>
      <c r="D200" s="16">
        <f t="shared" si="12"/>
        <v>219</v>
      </c>
      <c r="E200" s="16">
        <f t="shared" si="12"/>
        <v>1</v>
      </c>
      <c r="F200" s="16">
        <f t="shared" si="12"/>
        <v>154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02221</v>
      </c>
      <c r="B201" s="16">
        <f t="shared" si="12"/>
        <v>109</v>
      </c>
      <c r="C201" s="16">
        <f t="shared" si="12"/>
        <v>0</v>
      </c>
      <c r="D201" s="16">
        <f t="shared" si="12"/>
        <v>222</v>
      </c>
      <c r="E201" s="16">
        <f t="shared" si="12"/>
        <v>1</v>
      </c>
      <c r="F201" s="16">
        <f t="shared" si="12"/>
        <v>154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02251</v>
      </c>
      <c r="B202" s="16">
        <f t="shared" si="12"/>
        <v>109</v>
      </c>
      <c r="C202" s="16">
        <f t="shared" si="12"/>
        <v>0</v>
      </c>
      <c r="D202" s="16">
        <f t="shared" si="12"/>
        <v>225</v>
      </c>
      <c r="E202" s="16">
        <f t="shared" si="12"/>
        <v>1</v>
      </c>
      <c r="F202" s="16">
        <f t="shared" si="12"/>
        <v>154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02281</v>
      </c>
      <c r="B203" s="16">
        <f t="shared" si="12"/>
        <v>109</v>
      </c>
      <c r="C203" s="16">
        <f t="shared" si="12"/>
        <v>0</v>
      </c>
      <c r="D203" s="16">
        <f t="shared" si="12"/>
        <v>228</v>
      </c>
      <c r="E203" s="16">
        <f t="shared" si="12"/>
        <v>1</v>
      </c>
      <c r="F203" s="16">
        <f t="shared" si="12"/>
        <v>63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02311</v>
      </c>
      <c r="B204" s="16">
        <f t="shared" si="12"/>
        <v>109</v>
      </c>
      <c r="C204" s="16">
        <f t="shared" si="12"/>
        <v>0</v>
      </c>
      <c r="D204" s="16">
        <f t="shared" si="12"/>
        <v>231</v>
      </c>
      <c r="E204" s="16">
        <f t="shared" si="12"/>
        <v>1</v>
      </c>
      <c r="F204" s="16">
        <f t="shared" si="12"/>
        <v>17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02341</v>
      </c>
      <c r="B205" s="16">
        <f t="shared" si="12"/>
        <v>109</v>
      </c>
      <c r="C205" s="16">
        <f t="shared" si="12"/>
        <v>0</v>
      </c>
      <c r="D205" s="16">
        <f t="shared" si="12"/>
        <v>234</v>
      </c>
      <c r="E205" s="16">
        <f t="shared" si="12"/>
        <v>1</v>
      </c>
      <c r="F205" s="16">
        <f t="shared" si="12"/>
        <v>17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02371</v>
      </c>
      <c r="B206" s="16">
        <f t="shared" si="12"/>
        <v>109</v>
      </c>
      <c r="C206" s="16">
        <f t="shared" si="12"/>
        <v>0</v>
      </c>
      <c r="D206" s="16">
        <f t="shared" si="12"/>
        <v>237</v>
      </c>
      <c r="E206" s="16">
        <f t="shared" si="12"/>
        <v>1</v>
      </c>
      <c r="F206" s="16">
        <f t="shared" si="12"/>
        <v>17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02381</v>
      </c>
      <c r="B207" s="16">
        <f t="shared" si="12"/>
        <v>109</v>
      </c>
      <c r="C207" s="16">
        <f t="shared" si="12"/>
        <v>0</v>
      </c>
      <c r="D207" s="16">
        <f t="shared" si="12"/>
        <v>238</v>
      </c>
      <c r="E207" s="16">
        <f t="shared" si="12"/>
        <v>1</v>
      </c>
      <c r="F207" s="16">
        <f t="shared" si="12"/>
        <v>1125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02391</v>
      </c>
      <c r="B208" s="16">
        <f t="shared" si="12"/>
        <v>109</v>
      </c>
      <c r="C208" s="16">
        <f t="shared" si="12"/>
        <v>0</v>
      </c>
      <c r="D208" s="16">
        <f t="shared" si="12"/>
        <v>239</v>
      </c>
      <c r="E208" s="16">
        <f t="shared" si="12"/>
        <v>1</v>
      </c>
      <c r="F208" s="16">
        <f t="shared" si="12"/>
        <v>396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02401</v>
      </c>
      <c r="B209" s="16">
        <f t="shared" si="12"/>
        <v>109</v>
      </c>
      <c r="C209" s="16">
        <f t="shared" si="12"/>
        <v>0</v>
      </c>
      <c r="D209" s="16">
        <f t="shared" si="12"/>
        <v>240</v>
      </c>
      <c r="E209" s="16">
        <f t="shared" si="12"/>
        <v>1</v>
      </c>
      <c r="F209" s="16">
        <f t="shared" si="12"/>
        <v>63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02411</v>
      </c>
      <c r="B210" s="16">
        <f t="shared" si="12"/>
        <v>109</v>
      </c>
      <c r="C210" s="16">
        <f t="shared" si="12"/>
        <v>0</v>
      </c>
      <c r="D210" s="16">
        <f t="shared" si="12"/>
        <v>241</v>
      </c>
      <c r="E210" s="16">
        <f t="shared" si="12"/>
        <v>1</v>
      </c>
      <c r="F210" s="16">
        <f t="shared" si="12"/>
        <v>307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02421</v>
      </c>
      <c r="B211" s="16">
        <f t="shared" si="12"/>
        <v>109</v>
      </c>
      <c r="C211" s="16">
        <f t="shared" si="12"/>
        <v>0</v>
      </c>
      <c r="D211" s="16">
        <f t="shared" si="12"/>
        <v>242</v>
      </c>
      <c r="E211" s="16">
        <f t="shared" si="12"/>
        <v>1</v>
      </c>
      <c r="F211" s="16">
        <f t="shared" si="12"/>
        <v>108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02431</v>
      </c>
      <c r="B212" s="16">
        <f t="shared" si="12"/>
        <v>109</v>
      </c>
      <c r="C212" s="16">
        <f t="shared" si="12"/>
        <v>0</v>
      </c>
      <c r="D212" s="16">
        <f t="shared" si="12"/>
        <v>243</v>
      </c>
      <c r="E212" s="16">
        <f t="shared" si="12"/>
        <v>1</v>
      </c>
      <c r="F212" s="16">
        <f t="shared" si="12"/>
        <v>17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02441</v>
      </c>
      <c r="B213" s="16">
        <f t="shared" si="12"/>
        <v>109</v>
      </c>
      <c r="C213" s="16">
        <f t="shared" si="12"/>
        <v>0</v>
      </c>
      <c r="D213" s="16">
        <f t="shared" si="12"/>
        <v>244</v>
      </c>
      <c r="E213" s="16">
        <f t="shared" si="12"/>
        <v>1</v>
      </c>
      <c r="F213" s="16">
        <f t="shared" si="12"/>
        <v>307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02451</v>
      </c>
      <c r="B214" s="16">
        <f t="shared" si="12"/>
        <v>109</v>
      </c>
      <c r="C214" s="16">
        <f t="shared" si="12"/>
        <v>0</v>
      </c>
      <c r="D214" s="16">
        <f t="shared" si="12"/>
        <v>245</v>
      </c>
      <c r="E214" s="16">
        <f t="shared" si="12"/>
        <v>1</v>
      </c>
      <c r="F214" s="16">
        <f t="shared" si="12"/>
        <v>108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02461</v>
      </c>
      <c r="B215" s="16">
        <f t="shared" si="12"/>
        <v>109</v>
      </c>
      <c r="C215" s="16">
        <f t="shared" si="12"/>
        <v>0</v>
      </c>
      <c r="D215" s="16">
        <f t="shared" si="12"/>
        <v>246</v>
      </c>
      <c r="E215" s="16">
        <f t="shared" si="12"/>
        <v>1</v>
      </c>
      <c r="F215" s="16">
        <f t="shared" si="12"/>
        <v>17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02471</v>
      </c>
      <c r="B216" s="16">
        <f t="shared" si="12"/>
        <v>109</v>
      </c>
      <c r="C216" s="16">
        <f t="shared" si="12"/>
        <v>0</v>
      </c>
      <c r="D216" s="16">
        <f t="shared" si="12"/>
        <v>247</v>
      </c>
      <c r="E216" s="16">
        <f t="shared" si="12"/>
        <v>1</v>
      </c>
      <c r="F216" s="16">
        <f t="shared" si="12"/>
        <v>307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02481</v>
      </c>
      <c r="B217" s="16">
        <f t="shared" si="12"/>
        <v>109</v>
      </c>
      <c r="C217" s="16">
        <f t="shared" si="12"/>
        <v>0</v>
      </c>
      <c r="D217" s="16">
        <f t="shared" si="12"/>
        <v>248</v>
      </c>
      <c r="E217" s="16">
        <f t="shared" si="12"/>
        <v>1</v>
      </c>
      <c r="F217" s="16">
        <f t="shared" si="12"/>
        <v>108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02491</v>
      </c>
      <c r="B218" s="16">
        <f t="shared" si="12"/>
        <v>109</v>
      </c>
      <c r="C218" s="16">
        <f t="shared" si="12"/>
        <v>0</v>
      </c>
      <c r="D218" s="16">
        <f t="shared" si="12"/>
        <v>249</v>
      </c>
      <c r="E218" s="16">
        <f t="shared" si="12"/>
        <v>1</v>
      </c>
      <c r="F218" s="16">
        <f t="shared" si="12"/>
        <v>17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02501</v>
      </c>
      <c r="B219" s="16">
        <f t="shared" si="12"/>
        <v>109</v>
      </c>
      <c r="C219" s="16">
        <f t="shared" si="12"/>
        <v>0</v>
      </c>
      <c r="D219" s="16">
        <f t="shared" si="12"/>
        <v>250</v>
      </c>
      <c r="E219" s="16">
        <f t="shared" si="12"/>
        <v>1</v>
      </c>
      <c r="F219" s="16">
        <f t="shared" si="12"/>
        <v>1125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02511</v>
      </c>
      <c r="B220" s="16">
        <f t="shared" si="12"/>
        <v>109</v>
      </c>
      <c r="C220" s="16">
        <f t="shared" si="12"/>
        <v>0</v>
      </c>
      <c r="D220" s="16">
        <f t="shared" si="12"/>
        <v>251</v>
      </c>
      <c r="E220" s="16">
        <f t="shared" si="12"/>
        <v>1</v>
      </c>
      <c r="F220" s="16">
        <f t="shared" si="12"/>
        <v>396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02521</v>
      </c>
      <c r="B221" s="16">
        <f t="shared" si="12"/>
        <v>109</v>
      </c>
      <c r="C221" s="16">
        <f t="shared" si="12"/>
        <v>0</v>
      </c>
      <c r="D221" s="16">
        <f t="shared" si="12"/>
        <v>252</v>
      </c>
      <c r="E221" s="16">
        <f t="shared" si="12"/>
        <v>1</v>
      </c>
      <c r="F221" s="16">
        <f t="shared" si="12"/>
        <v>63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02531</v>
      </c>
      <c r="B222" s="16">
        <f t="shared" si="12"/>
        <v>109</v>
      </c>
      <c r="C222" s="16">
        <f t="shared" si="12"/>
        <v>0</v>
      </c>
      <c r="D222" s="16">
        <f t="shared" si="12"/>
        <v>253</v>
      </c>
      <c r="E222" s="16">
        <f t="shared" si="12"/>
        <v>1</v>
      </c>
      <c r="F222" s="16">
        <f t="shared" si="12"/>
        <v>307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02541</v>
      </c>
      <c r="B223" s="16">
        <f t="shared" ref="B223:K23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109</v>
      </c>
      <c r="C223" s="16">
        <f t="shared" si="13"/>
        <v>0</v>
      </c>
      <c r="D223" s="16">
        <f t="shared" si="13"/>
        <v>254</v>
      </c>
      <c r="E223" s="16">
        <f t="shared" si="13"/>
        <v>1</v>
      </c>
      <c r="F223" s="16">
        <f t="shared" si="13"/>
        <v>108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02551</v>
      </c>
      <c r="B224" s="16">
        <f t="shared" si="13"/>
        <v>109</v>
      </c>
      <c r="C224" s="16">
        <f t="shared" si="13"/>
        <v>0</v>
      </c>
      <c r="D224" s="16">
        <f t="shared" si="13"/>
        <v>255</v>
      </c>
      <c r="E224" s="16">
        <f t="shared" si="13"/>
        <v>1</v>
      </c>
      <c r="F224" s="16">
        <f t="shared" si="13"/>
        <v>17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02561</v>
      </c>
      <c r="B225" s="16">
        <f t="shared" si="13"/>
        <v>109</v>
      </c>
      <c r="C225" s="16">
        <f t="shared" si="13"/>
        <v>0</v>
      </c>
      <c r="D225" s="16">
        <f t="shared" si="13"/>
        <v>256</v>
      </c>
      <c r="E225" s="16">
        <f t="shared" si="13"/>
        <v>1</v>
      </c>
      <c r="F225" s="16">
        <f t="shared" si="13"/>
        <v>307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02571</v>
      </c>
      <c r="B226" s="16">
        <f t="shared" si="13"/>
        <v>109</v>
      </c>
      <c r="C226" s="16">
        <f t="shared" si="13"/>
        <v>0</v>
      </c>
      <c r="D226" s="16">
        <f t="shared" si="13"/>
        <v>257</v>
      </c>
      <c r="E226" s="16">
        <f t="shared" si="13"/>
        <v>1</v>
      </c>
      <c r="F226" s="16">
        <f t="shared" si="13"/>
        <v>108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02581</v>
      </c>
      <c r="B227" s="16">
        <f t="shared" si="13"/>
        <v>109</v>
      </c>
      <c r="C227" s="16">
        <f t="shared" si="13"/>
        <v>0</v>
      </c>
      <c r="D227" s="16">
        <f t="shared" si="13"/>
        <v>258</v>
      </c>
      <c r="E227" s="16">
        <f t="shared" si="13"/>
        <v>1</v>
      </c>
      <c r="F227" s="16">
        <f t="shared" si="13"/>
        <v>17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02591</v>
      </c>
      <c r="B228" s="16">
        <f t="shared" si="13"/>
        <v>109</v>
      </c>
      <c r="C228" s="16">
        <f t="shared" si="13"/>
        <v>0</v>
      </c>
      <c r="D228" s="16">
        <f t="shared" si="13"/>
        <v>259</v>
      </c>
      <c r="E228" s="16">
        <f t="shared" si="13"/>
        <v>1</v>
      </c>
      <c r="F228" s="16">
        <f t="shared" si="13"/>
        <v>307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02601</v>
      </c>
      <c r="B229" s="16">
        <f t="shared" si="13"/>
        <v>109</v>
      </c>
      <c r="C229" s="16">
        <f t="shared" si="13"/>
        <v>0</v>
      </c>
      <c r="D229" s="16">
        <f t="shared" si="13"/>
        <v>260</v>
      </c>
      <c r="E229" s="16">
        <f t="shared" si="13"/>
        <v>1</v>
      </c>
      <c r="F229" s="16">
        <f t="shared" si="13"/>
        <v>108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02611</v>
      </c>
      <c r="B230" s="16">
        <f t="shared" si="13"/>
        <v>109</v>
      </c>
      <c r="C230" s="16">
        <f t="shared" si="13"/>
        <v>0</v>
      </c>
      <c r="D230" s="16">
        <f t="shared" si="13"/>
        <v>261</v>
      </c>
      <c r="E230" s="16">
        <f t="shared" si="13"/>
        <v>1</v>
      </c>
      <c r="F230" s="16">
        <f t="shared" si="13"/>
        <v>17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03201</v>
      </c>
      <c r="B231" s="16">
        <f t="shared" si="13"/>
        <v>109</v>
      </c>
      <c r="C231" s="16">
        <f t="shared" si="13"/>
        <v>0</v>
      </c>
      <c r="D231" s="16">
        <f t="shared" si="13"/>
        <v>320</v>
      </c>
      <c r="E231" s="16">
        <f t="shared" si="13"/>
        <v>1</v>
      </c>
      <c r="F231" s="16">
        <f t="shared" si="13"/>
        <v>1386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03211</v>
      </c>
      <c r="B232" s="16">
        <f t="shared" si="13"/>
        <v>109</v>
      </c>
      <c r="C232" s="16">
        <f t="shared" si="13"/>
        <v>0</v>
      </c>
      <c r="D232" s="16">
        <f t="shared" si="13"/>
        <v>321</v>
      </c>
      <c r="E232" s="16">
        <f t="shared" si="13"/>
        <v>1</v>
      </c>
      <c r="F232" s="16">
        <f t="shared" si="13"/>
        <v>158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03221</v>
      </c>
      <c r="B233" s="16">
        <f t="shared" si="13"/>
        <v>109</v>
      </c>
      <c r="C233" s="16">
        <f t="shared" si="13"/>
        <v>0</v>
      </c>
      <c r="D233" s="16">
        <f t="shared" si="13"/>
        <v>322</v>
      </c>
      <c r="E233" s="16">
        <f t="shared" si="13"/>
        <v>1</v>
      </c>
      <c r="F233" s="16">
        <f t="shared" si="13"/>
        <v>378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03231</v>
      </c>
      <c r="B234" s="16">
        <f t="shared" si="13"/>
        <v>109</v>
      </c>
      <c r="C234" s="16">
        <f t="shared" si="13"/>
        <v>0</v>
      </c>
      <c r="D234" s="16">
        <f t="shared" si="13"/>
        <v>323</v>
      </c>
      <c r="E234" s="16">
        <f t="shared" si="13"/>
        <v>1</v>
      </c>
      <c r="F234" s="16">
        <f t="shared" si="13"/>
        <v>43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03241</v>
      </c>
      <c r="B235" s="16">
        <f t="shared" si="13"/>
        <v>109</v>
      </c>
      <c r="C235" s="16">
        <f t="shared" si="13"/>
        <v>0</v>
      </c>
      <c r="D235" s="16">
        <f t="shared" si="13"/>
        <v>324</v>
      </c>
      <c r="E235" s="16">
        <f t="shared" si="13"/>
        <v>1</v>
      </c>
      <c r="F235" s="16">
        <f t="shared" si="13"/>
        <v>378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03251</v>
      </c>
      <c r="B236" s="16">
        <f t="shared" si="13"/>
        <v>109</v>
      </c>
      <c r="C236" s="16">
        <f t="shared" si="13"/>
        <v>0</v>
      </c>
      <c r="D236" s="16">
        <f t="shared" si="13"/>
        <v>325</v>
      </c>
      <c r="E236" s="16">
        <f t="shared" si="13"/>
        <v>1</v>
      </c>
      <c r="F236" s="16">
        <f t="shared" si="13"/>
        <v>43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03261</v>
      </c>
      <c r="B237" s="16">
        <f t="shared" si="13"/>
        <v>109</v>
      </c>
      <c r="C237" s="16">
        <f t="shared" si="13"/>
        <v>0</v>
      </c>
      <c r="D237" s="16">
        <f t="shared" si="13"/>
        <v>326</v>
      </c>
      <c r="E237" s="16">
        <f t="shared" si="13"/>
        <v>1</v>
      </c>
      <c r="F237" s="16">
        <f t="shared" si="13"/>
        <v>378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03271</v>
      </c>
      <c r="B238" s="16">
        <f t="shared" si="13"/>
        <v>109</v>
      </c>
      <c r="C238" s="16">
        <f t="shared" si="13"/>
        <v>0</v>
      </c>
      <c r="D238" s="16">
        <f t="shared" si="13"/>
        <v>327</v>
      </c>
      <c r="E238" s="16">
        <f t="shared" si="13"/>
        <v>1</v>
      </c>
      <c r="F238" s="16">
        <f t="shared" si="13"/>
        <v>43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K238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L21" sqref="L21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gacha_unit_tables_110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4178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110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1139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110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1139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110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1139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110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4178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110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1139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110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1139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110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1139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110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4178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110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1139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110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1139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110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1139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110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4178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110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1139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110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1139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110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1139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4178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110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1139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110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1139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110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1139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110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4760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110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1298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110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1298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110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1298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110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4760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110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1298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110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1298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110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1298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110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4760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110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1298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110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1298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110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1298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110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4760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110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1298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110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1298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110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1298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110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4760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110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1298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110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1298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110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1298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110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972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110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265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110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265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110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265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11681</v>
      </c>
      <c r="B47" s="16">
        <f t="shared" si="3"/>
        <v>110</v>
      </c>
      <c r="C47" s="16">
        <f t="shared" si="3"/>
        <v>1</v>
      </c>
      <c r="D47" s="16">
        <f t="shared" si="3"/>
        <v>168</v>
      </c>
      <c r="E47" s="16">
        <f t="shared" si="3"/>
        <v>1</v>
      </c>
      <c r="F47" s="16">
        <f t="shared" si="3"/>
        <v>372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11711</v>
      </c>
      <c r="B48" s="16">
        <f t="shared" si="3"/>
        <v>110</v>
      </c>
      <c r="C48" s="16">
        <f t="shared" si="3"/>
        <v>1</v>
      </c>
      <c r="D48" s="16">
        <f t="shared" si="3"/>
        <v>171</v>
      </c>
      <c r="E48" s="16">
        <f t="shared" si="3"/>
        <v>1</v>
      </c>
      <c r="F48" s="16">
        <f t="shared" si="3"/>
        <v>102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11741</v>
      </c>
      <c r="B49" s="16">
        <f t="shared" si="3"/>
        <v>110</v>
      </c>
      <c r="C49" s="16">
        <f t="shared" si="3"/>
        <v>1</v>
      </c>
      <c r="D49" s="16">
        <f t="shared" si="3"/>
        <v>174</v>
      </c>
      <c r="E49" s="16">
        <f t="shared" si="3"/>
        <v>1</v>
      </c>
      <c r="F49" s="16">
        <f t="shared" si="3"/>
        <v>102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11771</v>
      </c>
      <c r="B50" s="16">
        <f t="shared" si="3"/>
        <v>110</v>
      </c>
      <c r="C50" s="16">
        <f t="shared" si="3"/>
        <v>1</v>
      </c>
      <c r="D50" s="16">
        <f t="shared" si="3"/>
        <v>177</v>
      </c>
      <c r="E50" s="16">
        <f t="shared" si="3"/>
        <v>1</v>
      </c>
      <c r="F50" s="16">
        <f t="shared" si="3"/>
        <v>102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11801</v>
      </c>
      <c r="B51" s="16">
        <f t="shared" si="3"/>
        <v>110</v>
      </c>
      <c r="C51" s="16">
        <f t="shared" si="3"/>
        <v>1</v>
      </c>
      <c r="D51" s="16">
        <f t="shared" si="3"/>
        <v>180</v>
      </c>
      <c r="E51" s="16">
        <f t="shared" si="3"/>
        <v>1</v>
      </c>
      <c r="F51" s="16">
        <f t="shared" si="3"/>
        <v>372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11831</v>
      </c>
      <c r="B52" s="16">
        <f t="shared" si="3"/>
        <v>110</v>
      </c>
      <c r="C52" s="16">
        <f t="shared" si="3"/>
        <v>1</v>
      </c>
      <c r="D52" s="16">
        <f t="shared" si="3"/>
        <v>183</v>
      </c>
      <c r="E52" s="16">
        <f t="shared" si="3"/>
        <v>1</v>
      </c>
      <c r="F52" s="16">
        <f t="shared" si="3"/>
        <v>102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11861</v>
      </c>
      <c r="B53" s="16">
        <f t="shared" si="3"/>
        <v>110</v>
      </c>
      <c r="C53" s="16">
        <f t="shared" si="3"/>
        <v>1</v>
      </c>
      <c r="D53" s="16">
        <f t="shared" si="3"/>
        <v>186</v>
      </c>
      <c r="E53" s="16">
        <f t="shared" si="3"/>
        <v>1</v>
      </c>
      <c r="F53" s="16">
        <f t="shared" si="3"/>
        <v>102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11891</v>
      </c>
      <c r="B54" s="16">
        <f t="shared" si="3"/>
        <v>110</v>
      </c>
      <c r="C54" s="16">
        <f t="shared" si="3"/>
        <v>1</v>
      </c>
      <c r="D54" s="16">
        <f t="shared" si="3"/>
        <v>189</v>
      </c>
      <c r="E54" s="16">
        <f t="shared" si="3"/>
        <v>1</v>
      </c>
      <c r="F54" s="16">
        <f t="shared" si="3"/>
        <v>102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11921</v>
      </c>
      <c r="B55" s="16">
        <f t="shared" si="3"/>
        <v>110</v>
      </c>
      <c r="C55" s="16">
        <f t="shared" si="3"/>
        <v>1</v>
      </c>
      <c r="D55" s="16">
        <f t="shared" si="3"/>
        <v>192</v>
      </c>
      <c r="E55" s="16">
        <f t="shared" si="3"/>
        <v>1</v>
      </c>
      <c r="F55" s="16">
        <f t="shared" si="3"/>
        <v>372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11951</v>
      </c>
      <c r="B56" s="16">
        <f t="shared" si="3"/>
        <v>110</v>
      </c>
      <c r="C56" s="16">
        <f t="shared" si="3"/>
        <v>1</v>
      </c>
      <c r="D56" s="16">
        <f t="shared" si="3"/>
        <v>195</v>
      </c>
      <c r="E56" s="16">
        <f t="shared" si="3"/>
        <v>1</v>
      </c>
      <c r="F56" s="16">
        <f t="shared" si="3"/>
        <v>102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11981</v>
      </c>
      <c r="B57" s="16">
        <f t="shared" si="3"/>
        <v>110</v>
      </c>
      <c r="C57" s="16">
        <f t="shared" si="3"/>
        <v>1</v>
      </c>
      <c r="D57" s="16">
        <f t="shared" si="3"/>
        <v>198</v>
      </c>
      <c r="E57" s="16">
        <f t="shared" si="3"/>
        <v>1</v>
      </c>
      <c r="F57" s="16">
        <f t="shared" si="3"/>
        <v>102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12011</v>
      </c>
      <c r="B58" s="16">
        <f t="shared" si="3"/>
        <v>110</v>
      </c>
      <c r="C58" s="16">
        <f t="shared" si="3"/>
        <v>1</v>
      </c>
      <c r="D58" s="16">
        <f t="shared" si="3"/>
        <v>201</v>
      </c>
      <c r="E58" s="16">
        <f t="shared" si="3"/>
        <v>1</v>
      </c>
      <c r="F58" s="16">
        <f t="shared" si="3"/>
        <v>102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12041</v>
      </c>
      <c r="B59" s="16">
        <f t="shared" si="3"/>
        <v>110</v>
      </c>
      <c r="C59" s="16">
        <f t="shared" si="3"/>
        <v>1</v>
      </c>
      <c r="D59" s="16">
        <f t="shared" si="3"/>
        <v>204</v>
      </c>
      <c r="E59" s="16">
        <f t="shared" si="3"/>
        <v>1</v>
      </c>
      <c r="F59" s="16">
        <f t="shared" si="3"/>
        <v>372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12071</v>
      </c>
      <c r="B60" s="16">
        <f t="shared" si="3"/>
        <v>110</v>
      </c>
      <c r="C60" s="16">
        <f t="shared" si="3"/>
        <v>1</v>
      </c>
      <c r="D60" s="16">
        <f t="shared" si="3"/>
        <v>207</v>
      </c>
      <c r="E60" s="16">
        <f t="shared" si="3"/>
        <v>1</v>
      </c>
      <c r="F60" s="16">
        <f t="shared" si="3"/>
        <v>102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12101</v>
      </c>
      <c r="B61" s="16">
        <f t="shared" si="3"/>
        <v>110</v>
      </c>
      <c r="C61" s="16">
        <f t="shared" si="3"/>
        <v>1</v>
      </c>
      <c r="D61" s="16">
        <f t="shared" si="3"/>
        <v>210</v>
      </c>
      <c r="E61" s="16">
        <f t="shared" si="3"/>
        <v>1</v>
      </c>
      <c r="F61" s="16">
        <f t="shared" si="3"/>
        <v>102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12131</v>
      </c>
      <c r="B62" s="16">
        <f t="shared" si="3"/>
        <v>110</v>
      </c>
      <c r="C62" s="16">
        <f t="shared" si="3"/>
        <v>1</v>
      </c>
      <c r="D62" s="16">
        <f t="shared" si="3"/>
        <v>213</v>
      </c>
      <c r="E62" s="16">
        <f t="shared" si="3"/>
        <v>1</v>
      </c>
      <c r="F62" s="16">
        <f t="shared" si="3"/>
        <v>102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12161</v>
      </c>
      <c r="B63" s="16">
        <f t="shared" si="3"/>
        <v>110</v>
      </c>
      <c r="C63" s="16">
        <f t="shared" si="3"/>
        <v>1</v>
      </c>
      <c r="D63" s="16">
        <f t="shared" si="3"/>
        <v>216</v>
      </c>
      <c r="E63" s="16">
        <f t="shared" si="3"/>
        <v>1</v>
      </c>
      <c r="F63" s="16">
        <f t="shared" si="3"/>
        <v>372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12191</v>
      </c>
      <c r="B64" s="16">
        <f t="shared" si="3"/>
        <v>110</v>
      </c>
      <c r="C64" s="16">
        <f t="shared" si="3"/>
        <v>1</v>
      </c>
      <c r="D64" s="16">
        <f t="shared" si="3"/>
        <v>219</v>
      </c>
      <c r="E64" s="16">
        <f t="shared" si="3"/>
        <v>1</v>
      </c>
      <c r="F64" s="16">
        <f t="shared" si="3"/>
        <v>102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12221</v>
      </c>
      <c r="B65" s="16">
        <f t="shared" si="3"/>
        <v>110</v>
      </c>
      <c r="C65" s="16">
        <f t="shared" si="3"/>
        <v>1</v>
      </c>
      <c r="D65" s="16">
        <f t="shared" si="3"/>
        <v>222</v>
      </c>
      <c r="E65" s="16">
        <f t="shared" si="3"/>
        <v>1</v>
      </c>
      <c r="F65" s="16">
        <f t="shared" si="3"/>
        <v>102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12251</v>
      </c>
      <c r="B66" s="16">
        <f t="shared" si="3"/>
        <v>110</v>
      </c>
      <c r="C66" s="16">
        <f t="shared" si="3"/>
        <v>1</v>
      </c>
      <c r="D66" s="16">
        <f t="shared" si="3"/>
        <v>225</v>
      </c>
      <c r="E66" s="16">
        <f t="shared" si="3"/>
        <v>1</v>
      </c>
      <c r="F66" s="16">
        <f t="shared" si="3"/>
        <v>102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12281</v>
      </c>
      <c r="B67" s="16">
        <f t="shared" si="3"/>
        <v>110</v>
      </c>
      <c r="C67" s="16">
        <f t="shared" si="3"/>
        <v>1</v>
      </c>
      <c r="D67" s="16">
        <f t="shared" si="3"/>
        <v>228</v>
      </c>
      <c r="E67" s="16">
        <f t="shared" si="3"/>
        <v>1</v>
      </c>
      <c r="F67" s="16">
        <f t="shared" si="3"/>
        <v>40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12311</v>
      </c>
      <c r="B68" s="16">
        <f t="shared" si="3"/>
        <v>110</v>
      </c>
      <c r="C68" s="16">
        <f t="shared" si="3"/>
        <v>1</v>
      </c>
      <c r="D68" s="16">
        <f t="shared" si="3"/>
        <v>231</v>
      </c>
      <c r="E68" s="16">
        <f t="shared" si="3"/>
        <v>1</v>
      </c>
      <c r="F68" s="16">
        <f t="shared" si="3"/>
        <v>11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12341</v>
      </c>
      <c r="B69" s="16">
        <f t="shared" si="3"/>
        <v>110</v>
      </c>
      <c r="C69" s="16">
        <f t="shared" si="3"/>
        <v>1</v>
      </c>
      <c r="D69" s="16">
        <f t="shared" si="3"/>
        <v>234</v>
      </c>
      <c r="E69" s="16">
        <f t="shared" si="3"/>
        <v>1</v>
      </c>
      <c r="F69" s="16">
        <f t="shared" si="3"/>
        <v>11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12371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70" s="16">
        <f t="shared" si="5"/>
        <v>1</v>
      </c>
      <c r="D70" s="16">
        <f t="shared" si="5"/>
        <v>237</v>
      </c>
      <c r="E70" s="16">
        <f t="shared" si="5"/>
        <v>1</v>
      </c>
      <c r="F70" s="16">
        <f t="shared" si="5"/>
        <v>11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12391</v>
      </c>
      <c r="B71" s="16">
        <f t="shared" si="5"/>
        <v>110</v>
      </c>
      <c r="C71" s="16">
        <f t="shared" si="5"/>
        <v>1</v>
      </c>
      <c r="D71" s="16">
        <f t="shared" si="5"/>
        <v>239</v>
      </c>
      <c r="E71" s="16">
        <f t="shared" si="5"/>
        <v>1</v>
      </c>
      <c r="F71" s="16">
        <f t="shared" si="5"/>
        <v>972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12401</v>
      </c>
      <c r="B72" s="16">
        <f t="shared" si="5"/>
        <v>110</v>
      </c>
      <c r="C72" s="16">
        <f t="shared" si="5"/>
        <v>1</v>
      </c>
      <c r="D72" s="16">
        <f t="shared" si="5"/>
        <v>240</v>
      </c>
      <c r="E72" s="16">
        <f t="shared" si="5"/>
        <v>1</v>
      </c>
      <c r="F72" s="16">
        <f t="shared" si="5"/>
        <v>40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12421</v>
      </c>
      <c r="B73" s="16">
        <f t="shared" si="5"/>
        <v>110</v>
      </c>
      <c r="C73" s="16">
        <f t="shared" si="5"/>
        <v>1</v>
      </c>
      <c r="D73" s="16">
        <f t="shared" si="5"/>
        <v>242</v>
      </c>
      <c r="E73" s="16">
        <f t="shared" si="5"/>
        <v>1</v>
      </c>
      <c r="F73" s="16">
        <f t="shared" si="5"/>
        <v>265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12431</v>
      </c>
      <c r="B74" s="16">
        <f t="shared" si="5"/>
        <v>110</v>
      </c>
      <c r="C74" s="16">
        <f t="shared" si="5"/>
        <v>1</v>
      </c>
      <c r="D74" s="16">
        <f t="shared" si="5"/>
        <v>243</v>
      </c>
      <c r="E74" s="16">
        <f t="shared" si="5"/>
        <v>1</v>
      </c>
      <c r="F74" s="16">
        <f t="shared" si="5"/>
        <v>11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12451</v>
      </c>
      <c r="B75" s="16">
        <f t="shared" si="5"/>
        <v>110</v>
      </c>
      <c r="C75" s="16">
        <f t="shared" si="5"/>
        <v>1</v>
      </c>
      <c r="D75" s="16">
        <f t="shared" si="5"/>
        <v>245</v>
      </c>
      <c r="E75" s="16">
        <f t="shared" si="5"/>
        <v>1</v>
      </c>
      <c r="F75" s="16">
        <f t="shared" si="5"/>
        <v>265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12461</v>
      </c>
      <c r="B76" s="16">
        <f t="shared" si="5"/>
        <v>110</v>
      </c>
      <c r="C76" s="16">
        <f t="shared" si="5"/>
        <v>1</v>
      </c>
      <c r="D76" s="16">
        <f t="shared" si="5"/>
        <v>246</v>
      </c>
      <c r="E76" s="16">
        <f t="shared" si="5"/>
        <v>1</v>
      </c>
      <c r="F76" s="16">
        <f t="shared" si="5"/>
        <v>11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12481</v>
      </c>
      <c r="B77" s="16">
        <f t="shared" si="5"/>
        <v>110</v>
      </c>
      <c r="C77" s="16">
        <f t="shared" si="5"/>
        <v>1</v>
      </c>
      <c r="D77" s="16">
        <f t="shared" si="5"/>
        <v>248</v>
      </c>
      <c r="E77" s="16">
        <f t="shared" si="5"/>
        <v>1</v>
      </c>
      <c r="F77" s="16">
        <f t="shared" si="5"/>
        <v>265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12491</v>
      </c>
      <c r="B78" s="16">
        <f t="shared" si="5"/>
        <v>110</v>
      </c>
      <c r="C78" s="16">
        <f t="shared" si="5"/>
        <v>1</v>
      </c>
      <c r="D78" s="16">
        <f t="shared" si="5"/>
        <v>249</v>
      </c>
      <c r="E78" s="16">
        <f t="shared" si="5"/>
        <v>1</v>
      </c>
      <c r="F78" s="16">
        <f t="shared" si="5"/>
        <v>11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12511</v>
      </c>
      <c r="B79" s="16">
        <f t="shared" si="5"/>
        <v>110</v>
      </c>
      <c r="C79" s="16">
        <f t="shared" si="5"/>
        <v>1</v>
      </c>
      <c r="D79" s="16">
        <f t="shared" si="5"/>
        <v>251</v>
      </c>
      <c r="E79" s="16">
        <f t="shared" si="5"/>
        <v>1</v>
      </c>
      <c r="F79" s="16">
        <f t="shared" si="5"/>
        <v>972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12521</v>
      </c>
      <c r="B80" s="16">
        <f t="shared" si="5"/>
        <v>110</v>
      </c>
      <c r="C80" s="16">
        <f t="shared" si="5"/>
        <v>1</v>
      </c>
      <c r="D80" s="16">
        <f t="shared" si="5"/>
        <v>252</v>
      </c>
      <c r="E80" s="16">
        <f t="shared" si="5"/>
        <v>1</v>
      </c>
      <c r="F80" s="16">
        <f t="shared" si="5"/>
        <v>40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12541</v>
      </c>
      <c r="B81" s="16">
        <f t="shared" si="5"/>
        <v>110</v>
      </c>
      <c r="C81" s="16">
        <f t="shared" si="5"/>
        <v>1</v>
      </c>
      <c r="D81" s="16">
        <f t="shared" si="5"/>
        <v>254</v>
      </c>
      <c r="E81" s="16">
        <f t="shared" si="5"/>
        <v>1</v>
      </c>
      <c r="F81" s="16">
        <f t="shared" si="5"/>
        <v>265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12551</v>
      </c>
      <c r="B82" s="16">
        <f t="shared" si="5"/>
        <v>110</v>
      </c>
      <c r="C82" s="16">
        <f t="shared" si="5"/>
        <v>1</v>
      </c>
      <c r="D82" s="16">
        <f t="shared" si="5"/>
        <v>255</v>
      </c>
      <c r="E82" s="16">
        <f t="shared" si="5"/>
        <v>1</v>
      </c>
      <c r="F82" s="16">
        <f t="shared" si="5"/>
        <v>11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12571</v>
      </c>
      <c r="B83" s="16">
        <f t="shared" si="5"/>
        <v>110</v>
      </c>
      <c r="C83" s="16">
        <f t="shared" si="5"/>
        <v>1</v>
      </c>
      <c r="D83" s="16">
        <f t="shared" si="5"/>
        <v>257</v>
      </c>
      <c r="E83" s="16">
        <f t="shared" si="5"/>
        <v>1</v>
      </c>
      <c r="F83" s="16">
        <f t="shared" si="5"/>
        <v>265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12581</v>
      </c>
      <c r="B84" s="16">
        <f t="shared" si="5"/>
        <v>110</v>
      </c>
      <c r="C84" s="16">
        <f t="shared" si="5"/>
        <v>1</v>
      </c>
      <c r="D84" s="16">
        <f t="shared" si="5"/>
        <v>258</v>
      </c>
      <c r="E84" s="16">
        <f t="shared" si="5"/>
        <v>1</v>
      </c>
      <c r="F84" s="16">
        <f t="shared" si="5"/>
        <v>11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12601</v>
      </c>
      <c r="B85" s="16">
        <f t="shared" si="5"/>
        <v>110</v>
      </c>
      <c r="C85" s="16">
        <f t="shared" si="5"/>
        <v>1</v>
      </c>
      <c r="D85" s="16">
        <f t="shared" si="5"/>
        <v>260</v>
      </c>
      <c r="E85" s="16">
        <f t="shared" si="5"/>
        <v>1</v>
      </c>
      <c r="F85" s="16">
        <f t="shared" si="5"/>
        <v>265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12611</v>
      </c>
      <c r="B86" s="16">
        <f t="shared" si="5"/>
        <v>110</v>
      </c>
      <c r="C86" s="16">
        <f t="shared" si="5"/>
        <v>1</v>
      </c>
      <c r="D86" s="16">
        <f t="shared" si="5"/>
        <v>261</v>
      </c>
      <c r="E86" s="16">
        <f t="shared" si="5"/>
        <v>1</v>
      </c>
      <c r="F86" s="16">
        <f t="shared" si="5"/>
        <v>11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13201</v>
      </c>
      <c r="B87" s="16">
        <f t="shared" si="5"/>
        <v>110</v>
      </c>
      <c r="C87" s="16">
        <f t="shared" si="5"/>
        <v>1</v>
      </c>
      <c r="D87" s="16">
        <f t="shared" si="5"/>
        <v>320</v>
      </c>
      <c r="E87" s="16">
        <f t="shared" si="5"/>
        <v>1</v>
      </c>
      <c r="F87" s="16">
        <f t="shared" si="5"/>
        <v>972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13211</v>
      </c>
      <c r="B88" s="16">
        <f t="shared" si="5"/>
        <v>110</v>
      </c>
      <c r="C88" s="16">
        <f t="shared" si="5"/>
        <v>1</v>
      </c>
      <c r="D88" s="16">
        <f t="shared" si="5"/>
        <v>321</v>
      </c>
      <c r="E88" s="16">
        <f t="shared" si="5"/>
        <v>1</v>
      </c>
      <c r="F88" s="16">
        <f t="shared" si="5"/>
        <v>40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13221</v>
      </c>
      <c r="B89" s="16">
        <f t="shared" si="5"/>
        <v>110</v>
      </c>
      <c r="C89" s="16">
        <f t="shared" si="5"/>
        <v>1</v>
      </c>
      <c r="D89" s="16">
        <f t="shared" si="5"/>
        <v>322</v>
      </c>
      <c r="E89" s="16">
        <f t="shared" si="5"/>
        <v>1</v>
      </c>
      <c r="F89" s="16">
        <f t="shared" si="5"/>
        <v>265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13231</v>
      </c>
      <c r="B90" s="16">
        <f t="shared" si="5"/>
        <v>110</v>
      </c>
      <c r="C90" s="16">
        <f t="shared" si="5"/>
        <v>1</v>
      </c>
      <c r="D90" s="16">
        <f t="shared" si="5"/>
        <v>323</v>
      </c>
      <c r="E90" s="16">
        <f t="shared" si="5"/>
        <v>1</v>
      </c>
      <c r="F90" s="16">
        <f t="shared" si="5"/>
        <v>11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13241</v>
      </c>
      <c r="B91" s="16">
        <f t="shared" si="5"/>
        <v>110</v>
      </c>
      <c r="C91" s="16">
        <f t="shared" si="5"/>
        <v>1</v>
      </c>
      <c r="D91" s="16">
        <f t="shared" si="5"/>
        <v>324</v>
      </c>
      <c r="E91" s="16">
        <f t="shared" si="5"/>
        <v>1</v>
      </c>
      <c r="F91" s="16">
        <f t="shared" si="5"/>
        <v>265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13251</v>
      </c>
      <c r="B92" s="16">
        <f t="shared" si="5"/>
        <v>110</v>
      </c>
      <c r="C92" s="16">
        <f t="shared" si="5"/>
        <v>1</v>
      </c>
      <c r="D92" s="16">
        <f t="shared" si="5"/>
        <v>325</v>
      </c>
      <c r="E92" s="16">
        <f t="shared" si="5"/>
        <v>1</v>
      </c>
      <c r="F92" s="16">
        <f t="shared" si="5"/>
        <v>11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13261</v>
      </c>
      <c r="B93" s="16">
        <f t="shared" si="5"/>
        <v>110</v>
      </c>
      <c r="C93" s="16">
        <f t="shared" si="5"/>
        <v>1</v>
      </c>
      <c r="D93" s="16">
        <f t="shared" si="5"/>
        <v>326</v>
      </c>
      <c r="E93" s="16">
        <f t="shared" si="5"/>
        <v>1</v>
      </c>
      <c r="F93" s="16">
        <f t="shared" si="5"/>
        <v>265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13271</v>
      </c>
      <c r="B94" s="16">
        <f t="shared" si="5"/>
        <v>110</v>
      </c>
      <c r="C94" s="16">
        <f t="shared" si="5"/>
        <v>1</v>
      </c>
      <c r="D94" s="16">
        <f t="shared" si="5"/>
        <v>327</v>
      </c>
      <c r="E94" s="16">
        <f t="shared" si="5"/>
        <v>1</v>
      </c>
      <c r="F94" s="16">
        <f t="shared" si="5"/>
        <v>11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01261</v>
      </c>
      <c r="B95" s="16">
        <f t="shared" si="5"/>
        <v>110</v>
      </c>
      <c r="C95" s="16">
        <f t="shared" si="5"/>
        <v>0</v>
      </c>
      <c r="D95" s="16">
        <f t="shared" si="5"/>
        <v>126</v>
      </c>
      <c r="E95" s="16">
        <f t="shared" si="5"/>
        <v>1</v>
      </c>
      <c r="F95" s="16">
        <f t="shared" si="5"/>
        <v>5061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01281</v>
      </c>
      <c r="B96" s="16">
        <f t="shared" si="6"/>
        <v>110</v>
      </c>
      <c r="C96" s="16">
        <f t="shared" si="6"/>
        <v>0</v>
      </c>
      <c r="D96" s="16">
        <f t="shared" si="6"/>
        <v>128</v>
      </c>
      <c r="E96" s="16">
        <f t="shared" si="6"/>
        <v>1</v>
      </c>
      <c r="F96" s="16">
        <f t="shared" si="6"/>
        <v>1380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01301</v>
      </c>
      <c r="B97" s="16">
        <f t="shared" si="6"/>
        <v>110</v>
      </c>
      <c r="C97" s="16">
        <f t="shared" si="6"/>
        <v>0</v>
      </c>
      <c r="D97" s="16">
        <f t="shared" si="6"/>
        <v>130</v>
      </c>
      <c r="E97" s="16">
        <f t="shared" si="6"/>
        <v>1</v>
      </c>
      <c r="F97" s="16">
        <f t="shared" si="6"/>
        <v>1380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01321</v>
      </c>
      <c r="B98" s="16">
        <f t="shared" si="6"/>
        <v>110</v>
      </c>
      <c r="C98" s="16">
        <f t="shared" si="6"/>
        <v>0</v>
      </c>
      <c r="D98" s="16">
        <f t="shared" si="6"/>
        <v>132</v>
      </c>
      <c r="E98" s="16">
        <f t="shared" si="6"/>
        <v>1</v>
      </c>
      <c r="F98" s="16">
        <f t="shared" si="6"/>
        <v>1380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01341</v>
      </c>
      <c r="B99" s="16">
        <f t="shared" si="6"/>
        <v>110</v>
      </c>
      <c r="C99" s="16">
        <f t="shared" si="6"/>
        <v>0</v>
      </c>
      <c r="D99" s="16">
        <f t="shared" si="6"/>
        <v>134</v>
      </c>
      <c r="E99" s="16">
        <f t="shared" si="6"/>
        <v>1</v>
      </c>
      <c r="F99" s="16">
        <f t="shared" si="6"/>
        <v>5061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01361</v>
      </c>
      <c r="B100" s="16">
        <f t="shared" si="6"/>
        <v>110</v>
      </c>
      <c r="C100" s="16">
        <f t="shared" si="6"/>
        <v>0</v>
      </c>
      <c r="D100" s="16">
        <f t="shared" si="6"/>
        <v>136</v>
      </c>
      <c r="E100" s="16">
        <f t="shared" si="6"/>
        <v>1</v>
      </c>
      <c r="F100" s="16">
        <f t="shared" si="6"/>
        <v>1380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01381</v>
      </c>
      <c r="B101" s="16">
        <f t="shared" si="6"/>
        <v>110</v>
      </c>
      <c r="C101" s="16">
        <f t="shared" si="6"/>
        <v>0</v>
      </c>
      <c r="D101" s="16">
        <f t="shared" si="6"/>
        <v>138</v>
      </c>
      <c r="E101" s="16">
        <f t="shared" si="6"/>
        <v>1</v>
      </c>
      <c r="F101" s="16">
        <f t="shared" si="6"/>
        <v>1380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01401</v>
      </c>
      <c r="B102" s="16">
        <f t="shared" si="6"/>
        <v>110</v>
      </c>
      <c r="C102" s="16">
        <f t="shared" si="6"/>
        <v>0</v>
      </c>
      <c r="D102" s="16">
        <f t="shared" si="6"/>
        <v>140</v>
      </c>
      <c r="E102" s="16">
        <f t="shared" si="6"/>
        <v>1</v>
      </c>
      <c r="F102" s="16">
        <f t="shared" si="6"/>
        <v>1380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01421</v>
      </c>
      <c r="B103" s="16">
        <f t="shared" si="6"/>
        <v>110</v>
      </c>
      <c r="C103" s="16">
        <f t="shared" si="6"/>
        <v>0</v>
      </c>
      <c r="D103" s="16">
        <f t="shared" si="6"/>
        <v>142</v>
      </c>
      <c r="E103" s="16">
        <f t="shared" si="6"/>
        <v>1</v>
      </c>
      <c r="F103" s="16">
        <f t="shared" si="6"/>
        <v>5061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01441</v>
      </c>
      <c r="B104" s="16">
        <f t="shared" si="6"/>
        <v>110</v>
      </c>
      <c r="C104" s="16">
        <f t="shared" si="6"/>
        <v>0</v>
      </c>
      <c r="D104" s="16">
        <f t="shared" si="6"/>
        <v>144</v>
      </c>
      <c r="E104" s="16">
        <f t="shared" si="6"/>
        <v>1</v>
      </c>
      <c r="F104" s="16">
        <f t="shared" si="6"/>
        <v>1380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01461</v>
      </c>
      <c r="B105" s="16">
        <f t="shared" si="6"/>
        <v>110</v>
      </c>
      <c r="C105" s="16">
        <f t="shared" si="6"/>
        <v>0</v>
      </c>
      <c r="D105" s="16">
        <f t="shared" si="6"/>
        <v>146</v>
      </c>
      <c r="E105" s="16">
        <f t="shared" si="6"/>
        <v>1</v>
      </c>
      <c r="F105" s="16">
        <f t="shared" si="6"/>
        <v>1380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01481</v>
      </c>
      <c r="B106" s="16">
        <f t="shared" si="6"/>
        <v>110</v>
      </c>
      <c r="C106" s="16">
        <f t="shared" si="6"/>
        <v>0</v>
      </c>
      <c r="D106" s="16">
        <f t="shared" si="6"/>
        <v>148</v>
      </c>
      <c r="E106" s="16">
        <f t="shared" si="6"/>
        <v>1</v>
      </c>
      <c r="F106" s="16">
        <f t="shared" si="6"/>
        <v>1380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01501</v>
      </c>
      <c r="B107" s="16">
        <f t="shared" si="6"/>
        <v>110</v>
      </c>
      <c r="C107" s="16">
        <f t="shared" si="6"/>
        <v>0</v>
      </c>
      <c r="D107" s="16">
        <f t="shared" si="6"/>
        <v>150</v>
      </c>
      <c r="E107" s="16">
        <f t="shared" si="6"/>
        <v>1</v>
      </c>
      <c r="F107" s="16">
        <f t="shared" si="6"/>
        <v>5061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01521</v>
      </c>
      <c r="B108" s="16">
        <f t="shared" si="6"/>
        <v>110</v>
      </c>
      <c r="C108" s="16">
        <f t="shared" si="6"/>
        <v>0</v>
      </c>
      <c r="D108" s="16">
        <f t="shared" si="6"/>
        <v>152</v>
      </c>
      <c r="E108" s="16">
        <f t="shared" si="6"/>
        <v>1</v>
      </c>
      <c r="F108" s="16">
        <f t="shared" si="6"/>
        <v>1380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01541</v>
      </c>
      <c r="B109" s="16">
        <f t="shared" si="6"/>
        <v>110</v>
      </c>
      <c r="C109" s="16">
        <f t="shared" si="6"/>
        <v>0</v>
      </c>
      <c r="D109" s="16">
        <f t="shared" si="6"/>
        <v>154</v>
      </c>
      <c r="E109" s="16">
        <f t="shared" si="6"/>
        <v>1</v>
      </c>
      <c r="F109" s="16">
        <f t="shared" si="6"/>
        <v>1380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01561</v>
      </c>
      <c r="B110" s="16">
        <f t="shared" si="6"/>
        <v>110</v>
      </c>
      <c r="C110" s="16">
        <f t="shared" si="6"/>
        <v>0</v>
      </c>
      <c r="D110" s="16">
        <f t="shared" si="6"/>
        <v>156</v>
      </c>
      <c r="E110" s="16">
        <f t="shared" si="6"/>
        <v>1</v>
      </c>
      <c r="F110" s="16">
        <f t="shared" si="6"/>
        <v>1380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01581</v>
      </c>
      <c r="B111" s="16">
        <f t="shared" si="6"/>
        <v>110</v>
      </c>
      <c r="C111" s="16">
        <f t="shared" si="6"/>
        <v>0</v>
      </c>
      <c r="D111" s="16">
        <f t="shared" si="6"/>
        <v>158</v>
      </c>
      <c r="E111" s="16">
        <f t="shared" si="6"/>
        <v>1</v>
      </c>
      <c r="F111" s="16">
        <f t="shared" si="6"/>
        <v>5061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01601</v>
      </c>
      <c r="B112" s="16">
        <f t="shared" si="6"/>
        <v>110</v>
      </c>
      <c r="C112" s="16">
        <f t="shared" si="6"/>
        <v>0</v>
      </c>
      <c r="D112" s="16">
        <f t="shared" si="6"/>
        <v>160</v>
      </c>
      <c r="E112" s="16">
        <f t="shared" si="6"/>
        <v>1</v>
      </c>
      <c r="F112" s="16">
        <f t="shared" si="6"/>
        <v>1380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01621</v>
      </c>
      <c r="B113" s="16">
        <f t="shared" si="6"/>
        <v>110</v>
      </c>
      <c r="C113" s="16">
        <f t="shared" si="6"/>
        <v>0</v>
      </c>
      <c r="D113" s="16">
        <f t="shared" si="6"/>
        <v>162</v>
      </c>
      <c r="E113" s="16">
        <f t="shared" si="6"/>
        <v>1</v>
      </c>
      <c r="F113" s="16">
        <f t="shared" si="6"/>
        <v>1380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01641</v>
      </c>
      <c r="B114" s="16">
        <f t="shared" si="6"/>
        <v>110</v>
      </c>
      <c r="C114" s="16">
        <f t="shared" si="6"/>
        <v>0</v>
      </c>
      <c r="D114" s="16">
        <f t="shared" si="6"/>
        <v>164</v>
      </c>
      <c r="E114" s="16">
        <f t="shared" si="6"/>
        <v>1</v>
      </c>
      <c r="F114" s="16">
        <f t="shared" si="6"/>
        <v>1380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01661</v>
      </c>
      <c r="B115" s="16">
        <f t="shared" si="6"/>
        <v>110</v>
      </c>
      <c r="C115" s="16">
        <f t="shared" si="6"/>
        <v>0</v>
      </c>
      <c r="D115" s="16">
        <f t="shared" si="6"/>
        <v>166</v>
      </c>
      <c r="E115" s="16">
        <f t="shared" si="6"/>
        <v>1</v>
      </c>
      <c r="F115" s="16">
        <f t="shared" si="6"/>
        <v>5511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01691</v>
      </c>
      <c r="B116" s="16">
        <f t="shared" si="6"/>
        <v>110</v>
      </c>
      <c r="C116" s="16">
        <f t="shared" si="6"/>
        <v>0</v>
      </c>
      <c r="D116" s="16">
        <f t="shared" si="6"/>
        <v>169</v>
      </c>
      <c r="E116" s="16">
        <f t="shared" si="6"/>
        <v>1</v>
      </c>
      <c r="F116" s="16">
        <f t="shared" si="6"/>
        <v>1503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01721</v>
      </c>
      <c r="B117" s="16">
        <f t="shared" si="6"/>
        <v>110</v>
      </c>
      <c r="C117" s="16">
        <f t="shared" si="6"/>
        <v>0</v>
      </c>
      <c r="D117" s="16">
        <f t="shared" si="6"/>
        <v>172</v>
      </c>
      <c r="E117" s="16">
        <f t="shared" si="6"/>
        <v>1</v>
      </c>
      <c r="F117" s="16">
        <f t="shared" si="6"/>
        <v>1503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01751</v>
      </c>
      <c r="B118" s="16">
        <f t="shared" si="6"/>
        <v>110</v>
      </c>
      <c r="C118" s="16">
        <f t="shared" si="6"/>
        <v>0</v>
      </c>
      <c r="D118" s="16">
        <f t="shared" si="6"/>
        <v>175</v>
      </c>
      <c r="E118" s="16">
        <f t="shared" si="6"/>
        <v>1</v>
      </c>
      <c r="F118" s="16">
        <f t="shared" si="6"/>
        <v>1503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01781</v>
      </c>
      <c r="B119" s="16">
        <f t="shared" si="6"/>
        <v>110</v>
      </c>
      <c r="C119" s="16">
        <f t="shared" si="6"/>
        <v>0</v>
      </c>
      <c r="D119" s="16">
        <f t="shared" si="6"/>
        <v>178</v>
      </c>
      <c r="E119" s="16">
        <f t="shared" si="6"/>
        <v>1</v>
      </c>
      <c r="F119" s="16">
        <f t="shared" si="6"/>
        <v>5511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01811</v>
      </c>
      <c r="B120" s="16">
        <f t="shared" si="6"/>
        <v>110</v>
      </c>
      <c r="C120" s="16">
        <f t="shared" si="6"/>
        <v>0</v>
      </c>
      <c r="D120" s="16">
        <f t="shared" si="6"/>
        <v>181</v>
      </c>
      <c r="E120" s="16">
        <f t="shared" si="6"/>
        <v>1</v>
      </c>
      <c r="F120" s="16">
        <f t="shared" si="6"/>
        <v>1503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01841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121" s="16">
        <f t="shared" si="7"/>
        <v>0</v>
      </c>
      <c r="D121" s="16">
        <f t="shared" si="7"/>
        <v>184</v>
      </c>
      <c r="E121" s="16">
        <f t="shared" si="7"/>
        <v>1</v>
      </c>
      <c r="F121" s="16">
        <f t="shared" si="7"/>
        <v>1503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01871</v>
      </c>
      <c r="B122" s="16">
        <f t="shared" si="7"/>
        <v>110</v>
      </c>
      <c r="C122" s="16">
        <f t="shared" si="7"/>
        <v>0</v>
      </c>
      <c r="D122" s="16">
        <f t="shared" si="7"/>
        <v>187</v>
      </c>
      <c r="E122" s="16">
        <f t="shared" si="7"/>
        <v>1</v>
      </c>
      <c r="F122" s="16">
        <f t="shared" si="7"/>
        <v>1503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01901</v>
      </c>
      <c r="B123" s="16">
        <f t="shared" si="7"/>
        <v>110</v>
      </c>
      <c r="C123" s="16">
        <f t="shared" si="7"/>
        <v>0</v>
      </c>
      <c r="D123" s="16">
        <f t="shared" si="7"/>
        <v>190</v>
      </c>
      <c r="E123" s="16">
        <f t="shared" si="7"/>
        <v>1</v>
      </c>
      <c r="F123" s="16">
        <f t="shared" si="7"/>
        <v>5511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01931</v>
      </c>
      <c r="B124" s="16">
        <f t="shared" si="7"/>
        <v>110</v>
      </c>
      <c r="C124" s="16">
        <f t="shared" si="7"/>
        <v>0</v>
      </c>
      <c r="D124" s="16">
        <f t="shared" si="7"/>
        <v>193</v>
      </c>
      <c r="E124" s="16">
        <f t="shared" si="7"/>
        <v>1</v>
      </c>
      <c r="F124" s="16">
        <f t="shared" si="7"/>
        <v>1503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01961</v>
      </c>
      <c r="B125" s="16">
        <f t="shared" si="7"/>
        <v>110</v>
      </c>
      <c r="C125" s="16">
        <f t="shared" si="7"/>
        <v>0</v>
      </c>
      <c r="D125" s="16">
        <f t="shared" si="7"/>
        <v>196</v>
      </c>
      <c r="E125" s="16">
        <f t="shared" si="7"/>
        <v>1</v>
      </c>
      <c r="F125" s="16">
        <f t="shared" si="7"/>
        <v>1503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01991</v>
      </c>
      <c r="B126" s="16">
        <f t="shared" si="7"/>
        <v>110</v>
      </c>
      <c r="C126" s="16">
        <f t="shared" si="7"/>
        <v>0</v>
      </c>
      <c r="D126" s="16">
        <f t="shared" si="7"/>
        <v>199</v>
      </c>
      <c r="E126" s="16">
        <f t="shared" si="7"/>
        <v>1</v>
      </c>
      <c r="F126" s="16">
        <f t="shared" si="7"/>
        <v>1503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02021</v>
      </c>
      <c r="B127" s="16">
        <f t="shared" si="7"/>
        <v>110</v>
      </c>
      <c r="C127" s="16">
        <f t="shared" si="7"/>
        <v>0</v>
      </c>
      <c r="D127" s="16">
        <f t="shared" si="7"/>
        <v>202</v>
      </c>
      <c r="E127" s="16">
        <f t="shared" si="7"/>
        <v>1</v>
      </c>
      <c r="F127" s="16">
        <f t="shared" si="7"/>
        <v>5511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02051</v>
      </c>
      <c r="B128" s="16">
        <f t="shared" si="7"/>
        <v>110</v>
      </c>
      <c r="C128" s="16">
        <f t="shared" si="7"/>
        <v>0</v>
      </c>
      <c r="D128" s="16">
        <f t="shared" si="7"/>
        <v>205</v>
      </c>
      <c r="E128" s="16">
        <f t="shared" si="7"/>
        <v>1</v>
      </c>
      <c r="F128" s="16">
        <f t="shared" si="7"/>
        <v>1503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02081</v>
      </c>
      <c r="B129" s="16">
        <f t="shared" si="7"/>
        <v>110</v>
      </c>
      <c r="C129" s="16">
        <f t="shared" si="7"/>
        <v>0</v>
      </c>
      <c r="D129" s="16">
        <f t="shared" si="7"/>
        <v>208</v>
      </c>
      <c r="E129" s="16">
        <f t="shared" si="7"/>
        <v>1</v>
      </c>
      <c r="F129" s="16">
        <f t="shared" si="7"/>
        <v>1503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02111</v>
      </c>
      <c r="B130" s="16">
        <f t="shared" si="7"/>
        <v>110</v>
      </c>
      <c r="C130" s="16">
        <f t="shared" si="7"/>
        <v>0</v>
      </c>
      <c r="D130" s="16">
        <f t="shared" si="7"/>
        <v>211</v>
      </c>
      <c r="E130" s="16">
        <f t="shared" si="7"/>
        <v>1</v>
      </c>
      <c r="F130" s="16">
        <f t="shared" si="7"/>
        <v>1503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94" si="8">INDIRECT(ADDRESS(ROW()+$A$1,COLUMN(),1,TRUE,$C$1))</f>
        <v>02141</v>
      </c>
      <c r="B131" s="16">
        <f t="shared" si="7"/>
        <v>110</v>
      </c>
      <c r="C131" s="16">
        <f t="shared" si="7"/>
        <v>0</v>
      </c>
      <c r="D131" s="16">
        <f t="shared" si="7"/>
        <v>214</v>
      </c>
      <c r="E131" s="16">
        <f t="shared" si="7"/>
        <v>1</v>
      </c>
      <c r="F131" s="16">
        <f t="shared" si="7"/>
        <v>5511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02171</v>
      </c>
      <c r="B132" s="16">
        <f t="shared" si="7"/>
        <v>110</v>
      </c>
      <c r="C132" s="16">
        <f t="shared" si="7"/>
        <v>0</v>
      </c>
      <c r="D132" s="16">
        <f t="shared" si="7"/>
        <v>217</v>
      </c>
      <c r="E132" s="16">
        <f t="shared" si="7"/>
        <v>1</v>
      </c>
      <c r="F132" s="16">
        <f t="shared" si="7"/>
        <v>1503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02201</v>
      </c>
      <c r="B133" s="16">
        <f t="shared" si="7"/>
        <v>110</v>
      </c>
      <c r="C133" s="16">
        <f t="shared" si="7"/>
        <v>0</v>
      </c>
      <c r="D133" s="16">
        <f t="shared" si="7"/>
        <v>220</v>
      </c>
      <c r="E133" s="16">
        <f t="shared" si="7"/>
        <v>1</v>
      </c>
      <c r="F133" s="16">
        <f t="shared" si="7"/>
        <v>1503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02231</v>
      </c>
      <c r="B134" s="16">
        <f t="shared" si="7"/>
        <v>110</v>
      </c>
      <c r="C134" s="16">
        <f t="shared" si="7"/>
        <v>0</v>
      </c>
      <c r="D134" s="16">
        <f t="shared" si="7"/>
        <v>223</v>
      </c>
      <c r="E134" s="16">
        <f t="shared" si="7"/>
        <v>1</v>
      </c>
      <c r="F134" s="16">
        <f t="shared" si="7"/>
        <v>1503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02261</v>
      </c>
      <c r="B135" s="16">
        <f t="shared" si="7"/>
        <v>110</v>
      </c>
      <c r="C135" s="16">
        <f t="shared" si="7"/>
        <v>0</v>
      </c>
      <c r="D135" s="16">
        <f t="shared" si="7"/>
        <v>226</v>
      </c>
      <c r="E135" s="16">
        <f t="shared" si="7"/>
        <v>1</v>
      </c>
      <c r="F135" s="16">
        <f t="shared" si="7"/>
        <v>1125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02291</v>
      </c>
      <c r="B136" s="16">
        <f t="shared" si="7"/>
        <v>110</v>
      </c>
      <c r="C136" s="16">
        <f t="shared" si="7"/>
        <v>0</v>
      </c>
      <c r="D136" s="16">
        <f t="shared" si="7"/>
        <v>229</v>
      </c>
      <c r="E136" s="16">
        <f t="shared" si="7"/>
        <v>1</v>
      </c>
      <c r="F136" s="16">
        <f t="shared" si="7"/>
        <v>307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02321</v>
      </c>
      <c r="B137" s="16">
        <f t="shared" si="7"/>
        <v>110</v>
      </c>
      <c r="C137" s="16">
        <f t="shared" si="7"/>
        <v>0</v>
      </c>
      <c r="D137" s="16">
        <f t="shared" si="7"/>
        <v>232</v>
      </c>
      <c r="E137" s="16">
        <f t="shared" si="7"/>
        <v>1</v>
      </c>
      <c r="F137" s="16">
        <f t="shared" si="7"/>
        <v>307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02351</v>
      </c>
      <c r="B138" s="16">
        <f t="shared" si="7"/>
        <v>110</v>
      </c>
      <c r="C138" s="16">
        <f t="shared" si="7"/>
        <v>0</v>
      </c>
      <c r="D138" s="16">
        <f t="shared" si="7"/>
        <v>235</v>
      </c>
      <c r="E138" s="16">
        <f t="shared" si="7"/>
        <v>1</v>
      </c>
      <c r="F138" s="16">
        <f t="shared" si="7"/>
        <v>307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01271</v>
      </c>
      <c r="B139" s="16">
        <f t="shared" si="7"/>
        <v>110</v>
      </c>
      <c r="C139" s="16">
        <f t="shared" si="7"/>
        <v>0</v>
      </c>
      <c r="D139" s="16">
        <f t="shared" si="7"/>
        <v>127</v>
      </c>
      <c r="E139" s="16">
        <f t="shared" si="7"/>
        <v>1</v>
      </c>
      <c r="F139" s="16">
        <f t="shared" si="7"/>
        <v>1703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01291</v>
      </c>
      <c r="B140" s="16">
        <f t="shared" si="7"/>
        <v>110</v>
      </c>
      <c r="C140" s="16">
        <f t="shared" si="7"/>
        <v>0</v>
      </c>
      <c r="D140" s="16">
        <f t="shared" si="7"/>
        <v>129</v>
      </c>
      <c r="E140" s="16">
        <f t="shared" si="7"/>
        <v>1</v>
      </c>
      <c r="F140" s="16">
        <f t="shared" si="7"/>
        <v>464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01311</v>
      </c>
      <c r="B141" s="16">
        <f t="shared" si="7"/>
        <v>110</v>
      </c>
      <c r="C141" s="16">
        <f t="shared" si="7"/>
        <v>0</v>
      </c>
      <c r="D141" s="16">
        <f t="shared" si="7"/>
        <v>131</v>
      </c>
      <c r="E141" s="16">
        <f t="shared" si="7"/>
        <v>1</v>
      </c>
      <c r="F141" s="16">
        <f t="shared" si="7"/>
        <v>464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01331</v>
      </c>
      <c r="B142" s="16">
        <f t="shared" si="7"/>
        <v>110</v>
      </c>
      <c r="C142" s="16">
        <f t="shared" si="7"/>
        <v>0</v>
      </c>
      <c r="D142" s="16">
        <f t="shared" si="7"/>
        <v>133</v>
      </c>
      <c r="E142" s="16">
        <f t="shared" si="7"/>
        <v>1</v>
      </c>
      <c r="F142" s="16">
        <f t="shared" si="7"/>
        <v>464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01351</v>
      </c>
      <c r="B143" s="16">
        <f t="shared" si="7"/>
        <v>110</v>
      </c>
      <c r="C143" s="16">
        <f t="shared" si="7"/>
        <v>0</v>
      </c>
      <c r="D143" s="16">
        <f t="shared" si="7"/>
        <v>135</v>
      </c>
      <c r="E143" s="16">
        <f t="shared" si="7"/>
        <v>1</v>
      </c>
      <c r="F143" s="16">
        <f t="shared" si="7"/>
        <v>1703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01371</v>
      </c>
      <c r="B144" s="16">
        <f t="shared" si="7"/>
        <v>110</v>
      </c>
      <c r="C144" s="16">
        <f t="shared" si="7"/>
        <v>0</v>
      </c>
      <c r="D144" s="16">
        <f t="shared" si="7"/>
        <v>137</v>
      </c>
      <c r="E144" s="16">
        <f t="shared" si="7"/>
        <v>1</v>
      </c>
      <c r="F144" s="16">
        <f t="shared" si="7"/>
        <v>464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01391</v>
      </c>
      <c r="B145" s="16">
        <f t="shared" si="7"/>
        <v>110</v>
      </c>
      <c r="C145" s="16">
        <f t="shared" si="7"/>
        <v>0</v>
      </c>
      <c r="D145" s="16">
        <f t="shared" si="7"/>
        <v>139</v>
      </c>
      <c r="E145" s="16">
        <f t="shared" si="7"/>
        <v>1</v>
      </c>
      <c r="F145" s="16">
        <f t="shared" si="7"/>
        <v>464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01411</v>
      </c>
      <c r="B146" s="16">
        <f t="shared" si="7"/>
        <v>110</v>
      </c>
      <c r="C146" s="16">
        <f t="shared" si="7"/>
        <v>0</v>
      </c>
      <c r="D146" s="16">
        <f t="shared" si="7"/>
        <v>141</v>
      </c>
      <c r="E146" s="16">
        <f t="shared" si="7"/>
        <v>1</v>
      </c>
      <c r="F146" s="16">
        <f t="shared" si="7"/>
        <v>464</v>
      </c>
      <c r="G146" s="16">
        <f t="shared" ref="B146:K171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01431</v>
      </c>
      <c r="B147" s="16">
        <f t="shared" si="9"/>
        <v>110</v>
      </c>
      <c r="C147" s="16">
        <f t="shared" si="9"/>
        <v>0</v>
      </c>
      <c r="D147" s="16">
        <f t="shared" si="9"/>
        <v>143</v>
      </c>
      <c r="E147" s="16">
        <f t="shared" si="9"/>
        <v>1</v>
      </c>
      <c r="F147" s="16">
        <f t="shared" si="9"/>
        <v>1703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01451</v>
      </c>
      <c r="B148" s="16">
        <f t="shared" si="9"/>
        <v>110</v>
      </c>
      <c r="C148" s="16">
        <f t="shared" si="9"/>
        <v>0</v>
      </c>
      <c r="D148" s="16">
        <f t="shared" si="9"/>
        <v>145</v>
      </c>
      <c r="E148" s="16">
        <f t="shared" si="9"/>
        <v>1</v>
      </c>
      <c r="F148" s="16">
        <f t="shared" si="9"/>
        <v>464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01471</v>
      </c>
      <c r="B149" s="16">
        <f t="shared" si="9"/>
        <v>110</v>
      </c>
      <c r="C149" s="16">
        <f t="shared" si="9"/>
        <v>0</v>
      </c>
      <c r="D149" s="16">
        <f t="shared" si="9"/>
        <v>147</v>
      </c>
      <c r="E149" s="16">
        <f t="shared" si="9"/>
        <v>1</v>
      </c>
      <c r="F149" s="16">
        <f t="shared" si="9"/>
        <v>464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01491</v>
      </c>
      <c r="B150" s="16">
        <f t="shared" si="9"/>
        <v>110</v>
      </c>
      <c r="C150" s="16">
        <f t="shared" si="9"/>
        <v>0</v>
      </c>
      <c r="D150" s="16">
        <f t="shared" si="9"/>
        <v>149</v>
      </c>
      <c r="E150" s="16">
        <f t="shared" si="9"/>
        <v>1</v>
      </c>
      <c r="F150" s="16">
        <f t="shared" si="9"/>
        <v>464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01511</v>
      </c>
      <c r="B151" s="16">
        <f t="shared" si="9"/>
        <v>110</v>
      </c>
      <c r="C151" s="16">
        <f t="shared" si="9"/>
        <v>0</v>
      </c>
      <c r="D151" s="16">
        <f t="shared" si="9"/>
        <v>151</v>
      </c>
      <c r="E151" s="16">
        <f t="shared" si="9"/>
        <v>1</v>
      </c>
      <c r="F151" s="16">
        <f t="shared" si="9"/>
        <v>1703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01531</v>
      </c>
      <c r="B152" s="16">
        <f t="shared" si="9"/>
        <v>110</v>
      </c>
      <c r="C152" s="16">
        <f t="shared" si="9"/>
        <v>0</v>
      </c>
      <c r="D152" s="16">
        <f t="shared" si="9"/>
        <v>153</v>
      </c>
      <c r="E152" s="16">
        <f t="shared" si="9"/>
        <v>1</v>
      </c>
      <c r="F152" s="16">
        <f t="shared" si="9"/>
        <v>464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01551</v>
      </c>
      <c r="B153" s="16">
        <f t="shared" si="9"/>
        <v>110</v>
      </c>
      <c r="C153" s="16">
        <f t="shared" si="9"/>
        <v>0</v>
      </c>
      <c r="D153" s="16">
        <f t="shared" si="9"/>
        <v>155</v>
      </c>
      <c r="E153" s="16">
        <f t="shared" si="9"/>
        <v>1</v>
      </c>
      <c r="F153" s="16">
        <f t="shared" si="9"/>
        <v>464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01571</v>
      </c>
      <c r="B154" s="16">
        <f t="shared" si="9"/>
        <v>110</v>
      </c>
      <c r="C154" s="16">
        <f t="shared" si="9"/>
        <v>0</v>
      </c>
      <c r="D154" s="16">
        <f t="shared" si="9"/>
        <v>157</v>
      </c>
      <c r="E154" s="16">
        <f t="shared" si="9"/>
        <v>1</v>
      </c>
      <c r="F154" s="16">
        <f t="shared" si="9"/>
        <v>464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01591</v>
      </c>
      <c r="B155" s="16">
        <f t="shared" si="9"/>
        <v>110</v>
      </c>
      <c r="C155" s="16">
        <f t="shared" si="9"/>
        <v>0</v>
      </c>
      <c r="D155" s="16">
        <f t="shared" si="9"/>
        <v>159</v>
      </c>
      <c r="E155" s="16">
        <f t="shared" si="9"/>
        <v>1</v>
      </c>
      <c r="F155" s="16">
        <f t="shared" si="9"/>
        <v>1703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01611</v>
      </c>
      <c r="B156" s="16">
        <f t="shared" si="9"/>
        <v>110</v>
      </c>
      <c r="C156" s="16">
        <f t="shared" si="9"/>
        <v>0</v>
      </c>
      <c r="D156" s="16">
        <f t="shared" si="9"/>
        <v>161</v>
      </c>
      <c r="E156" s="16">
        <f t="shared" si="9"/>
        <v>1</v>
      </c>
      <c r="F156" s="16">
        <f t="shared" si="9"/>
        <v>464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01631</v>
      </c>
      <c r="B157" s="16">
        <f t="shared" si="9"/>
        <v>110</v>
      </c>
      <c r="C157" s="16">
        <f t="shared" si="9"/>
        <v>0</v>
      </c>
      <c r="D157" s="16">
        <f t="shared" si="9"/>
        <v>163</v>
      </c>
      <c r="E157" s="16">
        <f t="shared" si="9"/>
        <v>1</v>
      </c>
      <c r="F157" s="16">
        <f t="shared" si="9"/>
        <v>464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01651</v>
      </c>
      <c r="B158" s="16">
        <f t="shared" si="9"/>
        <v>110</v>
      </c>
      <c r="C158" s="16">
        <f t="shared" si="9"/>
        <v>0</v>
      </c>
      <c r="D158" s="16">
        <f t="shared" si="9"/>
        <v>165</v>
      </c>
      <c r="E158" s="16">
        <f t="shared" si="9"/>
        <v>1</v>
      </c>
      <c r="F158" s="16">
        <f t="shared" si="9"/>
        <v>464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01671</v>
      </c>
      <c r="B159" s="16">
        <f t="shared" si="9"/>
        <v>110</v>
      </c>
      <c r="C159" s="16">
        <f t="shared" si="9"/>
        <v>0</v>
      </c>
      <c r="D159" s="16">
        <f t="shared" si="9"/>
        <v>167</v>
      </c>
      <c r="E159" s="16">
        <f t="shared" si="9"/>
        <v>1</v>
      </c>
      <c r="F159" s="16">
        <f t="shared" si="9"/>
        <v>1742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01701</v>
      </c>
      <c r="B160" s="16">
        <f t="shared" si="9"/>
        <v>110</v>
      </c>
      <c r="C160" s="16">
        <f t="shared" si="9"/>
        <v>0</v>
      </c>
      <c r="D160" s="16">
        <f t="shared" si="9"/>
        <v>170</v>
      </c>
      <c r="E160" s="16">
        <f t="shared" si="9"/>
        <v>1</v>
      </c>
      <c r="F160" s="16">
        <f t="shared" si="9"/>
        <v>475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01731</v>
      </c>
      <c r="B161" s="16">
        <f t="shared" si="9"/>
        <v>110</v>
      </c>
      <c r="C161" s="16">
        <f t="shared" si="9"/>
        <v>0</v>
      </c>
      <c r="D161" s="16">
        <f t="shared" si="9"/>
        <v>173</v>
      </c>
      <c r="E161" s="16">
        <f t="shared" si="9"/>
        <v>1</v>
      </c>
      <c r="F161" s="16">
        <f t="shared" si="9"/>
        <v>475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01761</v>
      </c>
      <c r="B162" s="16">
        <f t="shared" si="9"/>
        <v>110</v>
      </c>
      <c r="C162" s="16">
        <f t="shared" si="9"/>
        <v>0</v>
      </c>
      <c r="D162" s="16">
        <f t="shared" si="9"/>
        <v>176</v>
      </c>
      <c r="E162" s="16">
        <f t="shared" si="9"/>
        <v>1</v>
      </c>
      <c r="F162" s="16">
        <f t="shared" si="9"/>
        <v>475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01791</v>
      </c>
      <c r="B163" s="16">
        <f t="shared" si="9"/>
        <v>110</v>
      </c>
      <c r="C163" s="16">
        <f t="shared" si="9"/>
        <v>0</v>
      </c>
      <c r="D163" s="16">
        <f t="shared" si="9"/>
        <v>179</v>
      </c>
      <c r="E163" s="16">
        <f t="shared" si="9"/>
        <v>1</v>
      </c>
      <c r="F163" s="16">
        <f t="shared" si="9"/>
        <v>1742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01821</v>
      </c>
      <c r="B164" s="16">
        <f t="shared" si="9"/>
        <v>110</v>
      </c>
      <c r="C164" s="16">
        <f t="shared" si="9"/>
        <v>0</v>
      </c>
      <c r="D164" s="16">
        <f t="shared" si="9"/>
        <v>182</v>
      </c>
      <c r="E164" s="16">
        <f t="shared" si="9"/>
        <v>1</v>
      </c>
      <c r="F164" s="16">
        <f t="shared" si="9"/>
        <v>475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01851</v>
      </c>
      <c r="B165" s="16">
        <f t="shared" si="9"/>
        <v>110</v>
      </c>
      <c r="C165" s="16">
        <f t="shared" si="9"/>
        <v>0</v>
      </c>
      <c r="D165" s="16">
        <f t="shared" si="9"/>
        <v>185</v>
      </c>
      <c r="E165" s="16">
        <f t="shared" si="9"/>
        <v>1</v>
      </c>
      <c r="F165" s="16">
        <f t="shared" si="9"/>
        <v>475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01881</v>
      </c>
      <c r="B166" s="16">
        <f t="shared" si="9"/>
        <v>110</v>
      </c>
      <c r="C166" s="16">
        <f t="shared" si="9"/>
        <v>0</v>
      </c>
      <c r="D166" s="16">
        <f t="shared" si="9"/>
        <v>188</v>
      </c>
      <c r="E166" s="16">
        <f t="shared" si="9"/>
        <v>1</v>
      </c>
      <c r="F166" s="16">
        <f t="shared" si="9"/>
        <v>475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01911</v>
      </c>
      <c r="B167" s="16">
        <f t="shared" si="9"/>
        <v>110</v>
      </c>
      <c r="C167" s="16">
        <f t="shared" si="9"/>
        <v>0</v>
      </c>
      <c r="D167" s="16">
        <f t="shared" si="9"/>
        <v>191</v>
      </c>
      <c r="E167" s="16">
        <f t="shared" si="9"/>
        <v>1</v>
      </c>
      <c r="F167" s="16">
        <f t="shared" si="9"/>
        <v>1742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01941</v>
      </c>
      <c r="B168" s="16">
        <f t="shared" si="9"/>
        <v>110</v>
      </c>
      <c r="C168" s="16">
        <f t="shared" si="9"/>
        <v>0</v>
      </c>
      <c r="D168" s="16">
        <f t="shared" si="9"/>
        <v>194</v>
      </c>
      <c r="E168" s="16">
        <f t="shared" si="9"/>
        <v>1</v>
      </c>
      <c r="F168" s="16">
        <f t="shared" si="9"/>
        <v>475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01971</v>
      </c>
      <c r="B169" s="16">
        <f t="shared" si="9"/>
        <v>110</v>
      </c>
      <c r="C169" s="16">
        <f t="shared" si="9"/>
        <v>0</v>
      </c>
      <c r="D169" s="16">
        <f t="shared" si="9"/>
        <v>197</v>
      </c>
      <c r="E169" s="16">
        <f t="shared" si="9"/>
        <v>1</v>
      </c>
      <c r="F169" s="16">
        <f t="shared" si="9"/>
        <v>475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02001</v>
      </c>
      <c r="B170" s="16">
        <f t="shared" si="9"/>
        <v>110</v>
      </c>
      <c r="C170" s="16">
        <f t="shared" si="9"/>
        <v>0</v>
      </c>
      <c r="D170" s="16">
        <f t="shared" si="9"/>
        <v>200</v>
      </c>
      <c r="E170" s="16">
        <f t="shared" si="9"/>
        <v>1</v>
      </c>
      <c r="F170" s="16">
        <f t="shared" si="9"/>
        <v>475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>
      <c r="A171" s="15" t="str">
        <f t="shared" si="8"/>
        <v>02031</v>
      </c>
      <c r="B171" s="16">
        <f t="shared" si="9"/>
        <v>110</v>
      </c>
      <c r="C171" s="16">
        <f t="shared" si="9"/>
        <v>0</v>
      </c>
      <c r="D171" s="16">
        <f t="shared" si="9"/>
        <v>203</v>
      </c>
      <c r="E171" s="16">
        <f t="shared" si="9"/>
        <v>1</v>
      </c>
      <c r="F171" s="16">
        <f t="shared" si="9"/>
        <v>1742</v>
      </c>
      <c r="G171" s="16">
        <f t="shared" si="9"/>
        <v>0</v>
      </c>
      <c r="H171" s="16">
        <f t="shared" si="9"/>
        <v>0</v>
      </c>
      <c r="I171" s="16">
        <f t="shared" si="9"/>
        <v>0</v>
      </c>
      <c r="J171" s="16">
        <f t="shared" si="9"/>
        <v>0</v>
      </c>
      <c r="K171" s="16">
        <f t="shared" si="9"/>
        <v>1</v>
      </c>
    </row>
    <row r="172" spans="1:11">
      <c r="A172" s="15" t="str">
        <f t="shared" si="8"/>
        <v>02061</v>
      </c>
      <c r="B172" s="16">
        <f t="shared" ref="B172:K197" si="10">VLOOKUP($A172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172" s="16">
        <f t="shared" si="10"/>
        <v>0</v>
      </c>
      <c r="D172" s="16">
        <f t="shared" si="10"/>
        <v>206</v>
      </c>
      <c r="E172" s="16">
        <f t="shared" si="10"/>
        <v>1</v>
      </c>
      <c r="F172" s="16">
        <f t="shared" si="10"/>
        <v>475</v>
      </c>
      <c r="G172" s="16">
        <f t="shared" si="10"/>
        <v>0</v>
      </c>
      <c r="H172" s="16">
        <f t="shared" si="10"/>
        <v>0</v>
      </c>
      <c r="I172" s="16">
        <f t="shared" si="10"/>
        <v>0</v>
      </c>
      <c r="J172" s="16">
        <f t="shared" si="10"/>
        <v>0</v>
      </c>
      <c r="K172" s="16">
        <f t="shared" si="10"/>
        <v>1</v>
      </c>
    </row>
    <row r="173" spans="1:11">
      <c r="A173" s="15" t="str">
        <f t="shared" si="8"/>
        <v>02091</v>
      </c>
      <c r="B173" s="16">
        <f t="shared" si="10"/>
        <v>110</v>
      </c>
      <c r="C173" s="16">
        <f t="shared" si="10"/>
        <v>0</v>
      </c>
      <c r="D173" s="16">
        <f t="shared" si="10"/>
        <v>209</v>
      </c>
      <c r="E173" s="16">
        <f t="shared" si="10"/>
        <v>1</v>
      </c>
      <c r="F173" s="16">
        <f t="shared" si="10"/>
        <v>475</v>
      </c>
      <c r="G173" s="16">
        <f t="shared" si="10"/>
        <v>0</v>
      </c>
      <c r="H173" s="16">
        <f t="shared" si="10"/>
        <v>0</v>
      </c>
      <c r="I173" s="16">
        <f t="shared" si="10"/>
        <v>0</v>
      </c>
      <c r="J173" s="16">
        <f t="shared" si="10"/>
        <v>0</v>
      </c>
      <c r="K173" s="16">
        <f t="shared" si="10"/>
        <v>1</v>
      </c>
    </row>
    <row r="174" spans="1:11">
      <c r="A174" s="15" t="str">
        <f t="shared" si="8"/>
        <v>02121</v>
      </c>
      <c r="B174" s="16">
        <f t="shared" si="10"/>
        <v>110</v>
      </c>
      <c r="C174" s="16">
        <f t="shared" si="10"/>
        <v>0</v>
      </c>
      <c r="D174" s="16">
        <f t="shared" si="10"/>
        <v>212</v>
      </c>
      <c r="E174" s="16">
        <f t="shared" si="10"/>
        <v>1</v>
      </c>
      <c r="F174" s="16">
        <f t="shared" si="10"/>
        <v>475</v>
      </c>
      <c r="G174" s="16">
        <f t="shared" si="10"/>
        <v>0</v>
      </c>
      <c r="H174" s="16">
        <f t="shared" si="10"/>
        <v>0</v>
      </c>
      <c r="I174" s="16">
        <f t="shared" si="10"/>
        <v>0</v>
      </c>
      <c r="J174" s="16">
        <f t="shared" si="10"/>
        <v>0</v>
      </c>
      <c r="K174" s="16">
        <f t="shared" si="10"/>
        <v>1</v>
      </c>
    </row>
    <row r="175" spans="1:11">
      <c r="A175" s="15" t="str">
        <f t="shared" si="8"/>
        <v>02151</v>
      </c>
      <c r="B175" s="16">
        <f t="shared" si="10"/>
        <v>110</v>
      </c>
      <c r="C175" s="16">
        <f t="shared" si="10"/>
        <v>0</v>
      </c>
      <c r="D175" s="16">
        <f t="shared" si="10"/>
        <v>215</v>
      </c>
      <c r="E175" s="16">
        <f t="shared" si="10"/>
        <v>1</v>
      </c>
      <c r="F175" s="16">
        <f t="shared" si="10"/>
        <v>1742</v>
      </c>
      <c r="G175" s="16">
        <f t="shared" si="10"/>
        <v>0</v>
      </c>
      <c r="H175" s="16">
        <f t="shared" si="10"/>
        <v>0</v>
      </c>
      <c r="I175" s="16">
        <f t="shared" si="10"/>
        <v>0</v>
      </c>
      <c r="J175" s="16">
        <f t="shared" si="10"/>
        <v>0</v>
      </c>
      <c r="K175" s="16">
        <f t="shared" si="10"/>
        <v>1</v>
      </c>
    </row>
    <row r="176" spans="1:11">
      <c r="A176" s="15" t="str">
        <f t="shared" si="8"/>
        <v>02181</v>
      </c>
      <c r="B176" s="16">
        <f t="shared" si="10"/>
        <v>110</v>
      </c>
      <c r="C176" s="16">
        <f t="shared" si="10"/>
        <v>0</v>
      </c>
      <c r="D176" s="16">
        <f t="shared" si="10"/>
        <v>218</v>
      </c>
      <c r="E176" s="16">
        <f t="shared" si="10"/>
        <v>1</v>
      </c>
      <c r="F176" s="16">
        <f t="shared" si="10"/>
        <v>475</v>
      </c>
      <c r="G176" s="16">
        <f t="shared" si="10"/>
        <v>0</v>
      </c>
      <c r="H176" s="16">
        <f t="shared" si="10"/>
        <v>0</v>
      </c>
      <c r="I176" s="16">
        <f t="shared" si="10"/>
        <v>0</v>
      </c>
      <c r="J176" s="16">
        <f t="shared" si="10"/>
        <v>0</v>
      </c>
      <c r="K176" s="16">
        <f t="shared" si="10"/>
        <v>1</v>
      </c>
    </row>
    <row r="177" spans="1:11">
      <c r="A177" s="15" t="str">
        <f t="shared" si="8"/>
        <v>02211</v>
      </c>
      <c r="B177" s="16">
        <f t="shared" si="10"/>
        <v>110</v>
      </c>
      <c r="C177" s="16">
        <f t="shared" si="10"/>
        <v>0</v>
      </c>
      <c r="D177" s="16">
        <f t="shared" si="10"/>
        <v>221</v>
      </c>
      <c r="E177" s="16">
        <f t="shared" si="10"/>
        <v>1</v>
      </c>
      <c r="F177" s="16">
        <f t="shared" si="10"/>
        <v>475</v>
      </c>
      <c r="G177" s="16">
        <f t="shared" si="10"/>
        <v>0</v>
      </c>
      <c r="H177" s="16">
        <f t="shared" si="10"/>
        <v>0</v>
      </c>
      <c r="I177" s="16">
        <f t="shared" si="10"/>
        <v>0</v>
      </c>
      <c r="J177" s="16">
        <f t="shared" si="10"/>
        <v>0</v>
      </c>
      <c r="K177" s="16">
        <f t="shared" si="10"/>
        <v>1</v>
      </c>
    </row>
    <row r="178" spans="1:11">
      <c r="A178" s="15" t="str">
        <f t="shared" si="8"/>
        <v>02241</v>
      </c>
      <c r="B178" s="16">
        <f t="shared" si="10"/>
        <v>110</v>
      </c>
      <c r="C178" s="16">
        <f t="shared" si="10"/>
        <v>0</v>
      </c>
      <c r="D178" s="16">
        <f t="shared" si="10"/>
        <v>224</v>
      </c>
      <c r="E178" s="16">
        <f t="shared" si="10"/>
        <v>1</v>
      </c>
      <c r="F178" s="16">
        <f t="shared" si="10"/>
        <v>475</v>
      </c>
      <c r="G178" s="16">
        <f t="shared" si="10"/>
        <v>0</v>
      </c>
      <c r="H178" s="16">
        <f t="shared" si="10"/>
        <v>0</v>
      </c>
      <c r="I178" s="16">
        <f t="shared" si="10"/>
        <v>0</v>
      </c>
      <c r="J178" s="16">
        <f t="shared" si="10"/>
        <v>0</v>
      </c>
      <c r="K178" s="16">
        <f t="shared" si="10"/>
        <v>1</v>
      </c>
    </row>
    <row r="179" spans="1:11">
      <c r="A179" s="15" t="str">
        <f t="shared" si="8"/>
        <v>02271</v>
      </c>
      <c r="B179" s="16">
        <f t="shared" si="10"/>
        <v>110</v>
      </c>
      <c r="C179" s="16">
        <f t="shared" si="10"/>
        <v>0</v>
      </c>
      <c r="D179" s="16">
        <f t="shared" si="10"/>
        <v>227</v>
      </c>
      <c r="E179" s="16">
        <f t="shared" si="10"/>
        <v>1</v>
      </c>
      <c r="F179" s="16">
        <f t="shared" si="10"/>
        <v>396</v>
      </c>
      <c r="G179" s="16">
        <f t="shared" si="10"/>
        <v>0</v>
      </c>
      <c r="H179" s="16">
        <f t="shared" si="10"/>
        <v>0</v>
      </c>
      <c r="I179" s="16">
        <f t="shared" si="10"/>
        <v>0</v>
      </c>
      <c r="J179" s="16">
        <f t="shared" si="10"/>
        <v>0</v>
      </c>
      <c r="K179" s="16">
        <f t="shared" si="10"/>
        <v>1</v>
      </c>
    </row>
    <row r="180" spans="1:11">
      <c r="A180" s="15" t="str">
        <f t="shared" si="8"/>
        <v>02301</v>
      </c>
      <c r="B180" s="16">
        <f t="shared" si="10"/>
        <v>110</v>
      </c>
      <c r="C180" s="16">
        <f t="shared" si="10"/>
        <v>0</v>
      </c>
      <c r="D180" s="16">
        <f t="shared" si="10"/>
        <v>230</v>
      </c>
      <c r="E180" s="16">
        <f t="shared" si="10"/>
        <v>1</v>
      </c>
      <c r="F180" s="16">
        <f t="shared" si="10"/>
        <v>108</v>
      </c>
      <c r="G180" s="16">
        <f t="shared" si="10"/>
        <v>0</v>
      </c>
      <c r="H180" s="16">
        <f t="shared" si="10"/>
        <v>0</v>
      </c>
      <c r="I180" s="16">
        <f t="shared" si="10"/>
        <v>0</v>
      </c>
      <c r="J180" s="16">
        <f t="shared" si="10"/>
        <v>0</v>
      </c>
      <c r="K180" s="16">
        <f t="shared" si="10"/>
        <v>1</v>
      </c>
    </row>
    <row r="181" spans="1:11">
      <c r="A181" s="15" t="str">
        <f t="shared" si="8"/>
        <v>02331</v>
      </c>
      <c r="B181" s="16">
        <f t="shared" si="10"/>
        <v>110</v>
      </c>
      <c r="C181" s="16">
        <f t="shared" si="10"/>
        <v>0</v>
      </c>
      <c r="D181" s="16">
        <f t="shared" si="10"/>
        <v>233</v>
      </c>
      <c r="E181" s="16">
        <f t="shared" si="10"/>
        <v>1</v>
      </c>
      <c r="F181" s="16">
        <f t="shared" si="10"/>
        <v>108</v>
      </c>
      <c r="G181" s="16">
        <f t="shared" si="10"/>
        <v>0</v>
      </c>
      <c r="H181" s="16">
        <f t="shared" si="10"/>
        <v>0</v>
      </c>
      <c r="I181" s="16">
        <f t="shared" si="10"/>
        <v>0</v>
      </c>
      <c r="J181" s="16">
        <f t="shared" si="10"/>
        <v>0</v>
      </c>
      <c r="K181" s="16">
        <f t="shared" si="10"/>
        <v>1</v>
      </c>
    </row>
    <row r="182" spans="1:11">
      <c r="A182" s="15" t="str">
        <f t="shared" si="8"/>
        <v>02361</v>
      </c>
      <c r="B182" s="16">
        <f t="shared" si="10"/>
        <v>110</v>
      </c>
      <c r="C182" s="16">
        <f t="shared" si="10"/>
        <v>0</v>
      </c>
      <c r="D182" s="16">
        <f t="shared" si="10"/>
        <v>236</v>
      </c>
      <c r="E182" s="16">
        <f t="shared" si="10"/>
        <v>1</v>
      </c>
      <c r="F182" s="16">
        <f t="shared" si="10"/>
        <v>108</v>
      </c>
      <c r="G182" s="16">
        <f t="shared" si="10"/>
        <v>0</v>
      </c>
      <c r="H182" s="16">
        <f t="shared" si="10"/>
        <v>0</v>
      </c>
      <c r="I182" s="16">
        <f t="shared" si="10"/>
        <v>0</v>
      </c>
      <c r="J182" s="16">
        <f t="shared" si="10"/>
        <v>0</v>
      </c>
      <c r="K182" s="16">
        <f t="shared" si="10"/>
        <v>1</v>
      </c>
    </row>
    <row r="183" spans="1:11">
      <c r="A183" s="15" t="str">
        <f t="shared" si="8"/>
        <v>01681</v>
      </c>
      <c r="B183" s="16">
        <f t="shared" si="10"/>
        <v>110</v>
      </c>
      <c r="C183" s="16">
        <f t="shared" si="10"/>
        <v>0</v>
      </c>
      <c r="D183" s="16">
        <f t="shared" si="10"/>
        <v>168</v>
      </c>
      <c r="E183" s="16">
        <f t="shared" si="10"/>
        <v>1</v>
      </c>
      <c r="F183" s="16">
        <f t="shared" si="10"/>
        <v>564</v>
      </c>
      <c r="G183" s="16">
        <f t="shared" si="10"/>
        <v>0</v>
      </c>
      <c r="H183" s="16">
        <f t="shared" si="10"/>
        <v>0</v>
      </c>
      <c r="I183" s="16">
        <f t="shared" si="10"/>
        <v>0</v>
      </c>
      <c r="J183" s="16">
        <f t="shared" si="10"/>
        <v>0</v>
      </c>
      <c r="K183" s="16">
        <f t="shared" si="10"/>
        <v>1</v>
      </c>
    </row>
    <row r="184" spans="1:11">
      <c r="A184" s="15" t="str">
        <f t="shared" si="8"/>
        <v>01711</v>
      </c>
      <c r="B184" s="16">
        <f t="shared" si="10"/>
        <v>110</v>
      </c>
      <c r="C184" s="16">
        <f t="shared" si="10"/>
        <v>0</v>
      </c>
      <c r="D184" s="16">
        <f t="shared" si="10"/>
        <v>171</v>
      </c>
      <c r="E184" s="16">
        <f t="shared" si="10"/>
        <v>1</v>
      </c>
      <c r="F184" s="16">
        <f t="shared" si="10"/>
        <v>154</v>
      </c>
      <c r="G184" s="16">
        <f t="shared" si="10"/>
        <v>0</v>
      </c>
      <c r="H184" s="16">
        <f t="shared" si="10"/>
        <v>0</v>
      </c>
      <c r="I184" s="16">
        <f t="shared" si="10"/>
        <v>0</v>
      </c>
      <c r="J184" s="16">
        <f t="shared" si="10"/>
        <v>0</v>
      </c>
      <c r="K184" s="16">
        <f t="shared" si="10"/>
        <v>1</v>
      </c>
    </row>
    <row r="185" spans="1:11">
      <c r="A185" s="15" t="str">
        <f t="shared" si="8"/>
        <v>01741</v>
      </c>
      <c r="B185" s="16">
        <f t="shared" si="10"/>
        <v>110</v>
      </c>
      <c r="C185" s="16">
        <f t="shared" si="10"/>
        <v>0</v>
      </c>
      <c r="D185" s="16">
        <f t="shared" si="10"/>
        <v>174</v>
      </c>
      <c r="E185" s="16">
        <f t="shared" si="10"/>
        <v>1</v>
      </c>
      <c r="F185" s="16">
        <f t="shared" si="10"/>
        <v>154</v>
      </c>
      <c r="G185" s="16">
        <f t="shared" si="10"/>
        <v>0</v>
      </c>
      <c r="H185" s="16">
        <f t="shared" si="10"/>
        <v>0</v>
      </c>
      <c r="I185" s="16">
        <f t="shared" si="10"/>
        <v>0</v>
      </c>
      <c r="J185" s="16">
        <f t="shared" si="10"/>
        <v>0</v>
      </c>
      <c r="K185" s="16">
        <f t="shared" si="10"/>
        <v>1</v>
      </c>
    </row>
    <row r="186" spans="1:11">
      <c r="A186" s="15" t="str">
        <f t="shared" si="8"/>
        <v>01771</v>
      </c>
      <c r="B186" s="16">
        <f t="shared" si="10"/>
        <v>110</v>
      </c>
      <c r="C186" s="16">
        <f t="shared" si="10"/>
        <v>0</v>
      </c>
      <c r="D186" s="16">
        <f t="shared" si="10"/>
        <v>177</v>
      </c>
      <c r="E186" s="16">
        <f t="shared" si="10"/>
        <v>1</v>
      </c>
      <c r="F186" s="16">
        <f t="shared" si="10"/>
        <v>154</v>
      </c>
      <c r="G186" s="16">
        <f t="shared" si="10"/>
        <v>0</v>
      </c>
      <c r="H186" s="16">
        <f t="shared" si="10"/>
        <v>0</v>
      </c>
      <c r="I186" s="16">
        <f t="shared" si="10"/>
        <v>0</v>
      </c>
      <c r="J186" s="16">
        <f t="shared" si="10"/>
        <v>0</v>
      </c>
      <c r="K186" s="16">
        <f t="shared" si="10"/>
        <v>1</v>
      </c>
    </row>
    <row r="187" spans="1:11">
      <c r="A187" s="15" t="str">
        <f t="shared" si="8"/>
        <v>01801</v>
      </c>
      <c r="B187" s="16">
        <f t="shared" si="10"/>
        <v>110</v>
      </c>
      <c r="C187" s="16">
        <f t="shared" si="10"/>
        <v>0</v>
      </c>
      <c r="D187" s="16">
        <f t="shared" si="10"/>
        <v>180</v>
      </c>
      <c r="E187" s="16">
        <f t="shared" si="10"/>
        <v>1</v>
      </c>
      <c r="F187" s="16">
        <f t="shared" si="10"/>
        <v>564</v>
      </c>
      <c r="G187" s="16">
        <f t="shared" si="10"/>
        <v>0</v>
      </c>
      <c r="H187" s="16">
        <f t="shared" si="10"/>
        <v>0</v>
      </c>
      <c r="I187" s="16">
        <f t="shared" si="10"/>
        <v>0</v>
      </c>
      <c r="J187" s="16">
        <f t="shared" si="10"/>
        <v>0</v>
      </c>
      <c r="K187" s="16">
        <f t="shared" si="10"/>
        <v>1</v>
      </c>
    </row>
    <row r="188" spans="1:11">
      <c r="A188" s="15" t="str">
        <f t="shared" si="8"/>
        <v>01831</v>
      </c>
      <c r="B188" s="16">
        <f t="shared" si="10"/>
        <v>110</v>
      </c>
      <c r="C188" s="16">
        <f t="shared" si="10"/>
        <v>0</v>
      </c>
      <c r="D188" s="16">
        <f t="shared" si="10"/>
        <v>183</v>
      </c>
      <c r="E188" s="16">
        <f t="shared" si="10"/>
        <v>1</v>
      </c>
      <c r="F188" s="16">
        <f t="shared" si="10"/>
        <v>154</v>
      </c>
      <c r="G188" s="16">
        <f t="shared" si="10"/>
        <v>0</v>
      </c>
      <c r="H188" s="16">
        <f t="shared" si="10"/>
        <v>0</v>
      </c>
      <c r="I188" s="16">
        <f t="shared" si="10"/>
        <v>0</v>
      </c>
      <c r="J188" s="16">
        <f t="shared" si="10"/>
        <v>0</v>
      </c>
      <c r="K188" s="16">
        <f t="shared" si="10"/>
        <v>1</v>
      </c>
    </row>
    <row r="189" spans="1:11">
      <c r="A189" s="15" t="str">
        <f t="shared" si="8"/>
        <v>01861</v>
      </c>
      <c r="B189" s="16">
        <f t="shared" si="10"/>
        <v>110</v>
      </c>
      <c r="C189" s="16">
        <f t="shared" si="10"/>
        <v>0</v>
      </c>
      <c r="D189" s="16">
        <f t="shared" si="10"/>
        <v>186</v>
      </c>
      <c r="E189" s="16">
        <f t="shared" si="10"/>
        <v>1</v>
      </c>
      <c r="F189" s="16">
        <f t="shared" si="10"/>
        <v>154</v>
      </c>
      <c r="G189" s="16">
        <f t="shared" si="10"/>
        <v>0</v>
      </c>
      <c r="H189" s="16">
        <f t="shared" si="10"/>
        <v>0</v>
      </c>
      <c r="I189" s="16">
        <f t="shared" si="10"/>
        <v>0</v>
      </c>
      <c r="J189" s="16">
        <f t="shared" si="10"/>
        <v>0</v>
      </c>
      <c r="K189" s="16">
        <f t="shared" si="10"/>
        <v>1</v>
      </c>
    </row>
    <row r="190" spans="1:11">
      <c r="A190" s="15" t="str">
        <f t="shared" si="8"/>
        <v>01891</v>
      </c>
      <c r="B190" s="16">
        <f t="shared" si="10"/>
        <v>110</v>
      </c>
      <c r="C190" s="16">
        <f t="shared" si="10"/>
        <v>0</v>
      </c>
      <c r="D190" s="16">
        <f t="shared" si="10"/>
        <v>189</v>
      </c>
      <c r="E190" s="16">
        <f t="shared" si="10"/>
        <v>1</v>
      </c>
      <c r="F190" s="16">
        <f t="shared" si="10"/>
        <v>154</v>
      </c>
      <c r="G190" s="16">
        <f t="shared" si="10"/>
        <v>0</v>
      </c>
      <c r="H190" s="16">
        <f t="shared" si="10"/>
        <v>0</v>
      </c>
      <c r="I190" s="16">
        <f t="shared" si="10"/>
        <v>0</v>
      </c>
      <c r="J190" s="16">
        <f t="shared" si="10"/>
        <v>0</v>
      </c>
      <c r="K190" s="16">
        <f t="shared" si="10"/>
        <v>1</v>
      </c>
    </row>
    <row r="191" spans="1:11">
      <c r="A191" s="15" t="str">
        <f t="shared" si="8"/>
        <v>01921</v>
      </c>
      <c r="B191" s="16">
        <f t="shared" si="10"/>
        <v>110</v>
      </c>
      <c r="C191" s="16">
        <f t="shared" si="10"/>
        <v>0</v>
      </c>
      <c r="D191" s="16">
        <f t="shared" si="10"/>
        <v>192</v>
      </c>
      <c r="E191" s="16">
        <f t="shared" si="10"/>
        <v>1</v>
      </c>
      <c r="F191" s="16">
        <f t="shared" si="10"/>
        <v>564</v>
      </c>
      <c r="G191" s="16">
        <f t="shared" si="10"/>
        <v>0</v>
      </c>
      <c r="H191" s="16">
        <f t="shared" si="10"/>
        <v>0</v>
      </c>
      <c r="I191" s="16">
        <f t="shared" si="10"/>
        <v>0</v>
      </c>
      <c r="J191" s="16">
        <f t="shared" si="10"/>
        <v>0</v>
      </c>
      <c r="K191" s="16">
        <f t="shared" si="10"/>
        <v>1</v>
      </c>
    </row>
    <row r="192" spans="1:11">
      <c r="A192" s="15" t="str">
        <f t="shared" si="8"/>
        <v>01951</v>
      </c>
      <c r="B192" s="16">
        <f t="shared" si="10"/>
        <v>110</v>
      </c>
      <c r="C192" s="16">
        <f t="shared" si="10"/>
        <v>0</v>
      </c>
      <c r="D192" s="16">
        <f t="shared" si="10"/>
        <v>195</v>
      </c>
      <c r="E192" s="16">
        <f t="shared" si="10"/>
        <v>1</v>
      </c>
      <c r="F192" s="16">
        <f t="shared" si="10"/>
        <v>154</v>
      </c>
      <c r="G192" s="16">
        <f t="shared" si="10"/>
        <v>0</v>
      </c>
      <c r="H192" s="16">
        <f t="shared" si="10"/>
        <v>0</v>
      </c>
      <c r="I192" s="16">
        <f t="shared" si="10"/>
        <v>0</v>
      </c>
      <c r="J192" s="16">
        <f t="shared" si="10"/>
        <v>0</v>
      </c>
      <c r="K192" s="16">
        <f t="shared" si="10"/>
        <v>1</v>
      </c>
    </row>
    <row r="193" spans="1:11">
      <c r="A193" s="15" t="str">
        <f t="shared" si="8"/>
        <v>01981</v>
      </c>
      <c r="B193" s="16">
        <f t="shared" si="10"/>
        <v>110</v>
      </c>
      <c r="C193" s="16">
        <f t="shared" si="10"/>
        <v>0</v>
      </c>
      <c r="D193" s="16">
        <f t="shared" si="10"/>
        <v>198</v>
      </c>
      <c r="E193" s="16">
        <f t="shared" si="10"/>
        <v>1</v>
      </c>
      <c r="F193" s="16">
        <f t="shared" si="10"/>
        <v>154</v>
      </c>
      <c r="G193" s="16">
        <f t="shared" si="10"/>
        <v>0</v>
      </c>
      <c r="H193" s="16">
        <f t="shared" si="10"/>
        <v>0</v>
      </c>
      <c r="I193" s="16">
        <f t="shared" si="10"/>
        <v>0</v>
      </c>
      <c r="J193" s="16">
        <f t="shared" si="10"/>
        <v>0</v>
      </c>
      <c r="K193" s="16">
        <f t="shared" si="10"/>
        <v>1</v>
      </c>
    </row>
    <row r="194" spans="1:11">
      <c r="A194" s="15" t="str">
        <f t="shared" si="8"/>
        <v>02011</v>
      </c>
      <c r="B194" s="16">
        <f t="shared" si="10"/>
        <v>110</v>
      </c>
      <c r="C194" s="16">
        <f t="shared" si="10"/>
        <v>0</v>
      </c>
      <c r="D194" s="16">
        <f t="shared" si="10"/>
        <v>201</v>
      </c>
      <c r="E194" s="16">
        <f t="shared" si="10"/>
        <v>1</v>
      </c>
      <c r="F194" s="16">
        <f t="shared" si="10"/>
        <v>154</v>
      </c>
      <c r="G194" s="16">
        <f t="shared" si="10"/>
        <v>0</v>
      </c>
      <c r="H194" s="16">
        <f t="shared" si="10"/>
        <v>0</v>
      </c>
      <c r="I194" s="16">
        <f t="shared" si="10"/>
        <v>0</v>
      </c>
      <c r="J194" s="16">
        <f t="shared" si="10"/>
        <v>0</v>
      </c>
      <c r="K194" s="16">
        <f t="shared" si="10"/>
        <v>1</v>
      </c>
    </row>
    <row r="195" spans="1:11">
      <c r="A195" s="15" t="str">
        <f t="shared" ref="A195:A238" si="11">INDIRECT(ADDRESS(ROW()+$A$1,COLUMN(),1,TRUE,$C$1))</f>
        <v>02041</v>
      </c>
      <c r="B195" s="16">
        <f t="shared" si="10"/>
        <v>110</v>
      </c>
      <c r="C195" s="16">
        <f t="shared" si="10"/>
        <v>0</v>
      </c>
      <c r="D195" s="16">
        <f t="shared" si="10"/>
        <v>204</v>
      </c>
      <c r="E195" s="16">
        <f t="shared" si="10"/>
        <v>1</v>
      </c>
      <c r="F195" s="16">
        <f t="shared" si="10"/>
        <v>564</v>
      </c>
      <c r="G195" s="16">
        <f t="shared" si="10"/>
        <v>0</v>
      </c>
      <c r="H195" s="16">
        <f t="shared" si="10"/>
        <v>0</v>
      </c>
      <c r="I195" s="16">
        <f t="shared" si="10"/>
        <v>0</v>
      </c>
      <c r="J195" s="16">
        <f t="shared" si="10"/>
        <v>0</v>
      </c>
      <c r="K195" s="16">
        <f t="shared" si="10"/>
        <v>1</v>
      </c>
    </row>
    <row r="196" spans="1:11">
      <c r="A196" s="15" t="str">
        <f t="shared" si="11"/>
        <v>02071</v>
      </c>
      <c r="B196" s="16">
        <f t="shared" si="10"/>
        <v>110</v>
      </c>
      <c r="C196" s="16">
        <f t="shared" si="10"/>
        <v>0</v>
      </c>
      <c r="D196" s="16">
        <f t="shared" si="10"/>
        <v>207</v>
      </c>
      <c r="E196" s="16">
        <f t="shared" si="10"/>
        <v>1</v>
      </c>
      <c r="F196" s="16">
        <f t="shared" si="10"/>
        <v>154</v>
      </c>
      <c r="G196" s="16">
        <f t="shared" si="10"/>
        <v>0</v>
      </c>
      <c r="H196" s="16">
        <f t="shared" si="10"/>
        <v>0</v>
      </c>
      <c r="I196" s="16">
        <f t="shared" si="10"/>
        <v>0</v>
      </c>
      <c r="J196" s="16">
        <f t="shared" si="10"/>
        <v>0</v>
      </c>
      <c r="K196" s="16">
        <f t="shared" si="10"/>
        <v>1</v>
      </c>
    </row>
    <row r="197" spans="1:11">
      <c r="A197" s="15" t="str">
        <f t="shared" si="11"/>
        <v>02101</v>
      </c>
      <c r="B197" s="16">
        <f t="shared" si="10"/>
        <v>110</v>
      </c>
      <c r="C197" s="16">
        <f t="shared" si="10"/>
        <v>0</v>
      </c>
      <c r="D197" s="16">
        <f t="shared" si="10"/>
        <v>210</v>
      </c>
      <c r="E197" s="16">
        <f t="shared" si="10"/>
        <v>1</v>
      </c>
      <c r="F197" s="16">
        <f t="shared" si="10"/>
        <v>154</v>
      </c>
      <c r="G197" s="16">
        <f t="shared" ref="B197:K222" si="12">VLOOKUP($A197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97" s="16">
        <f t="shared" si="12"/>
        <v>0</v>
      </c>
      <c r="I197" s="16">
        <f t="shared" si="12"/>
        <v>0</v>
      </c>
      <c r="J197" s="16">
        <f t="shared" si="12"/>
        <v>0</v>
      </c>
      <c r="K197" s="16">
        <f t="shared" si="12"/>
        <v>1</v>
      </c>
    </row>
    <row r="198" spans="1:11">
      <c r="A198" s="15" t="str">
        <f t="shared" si="11"/>
        <v>02131</v>
      </c>
      <c r="B198" s="16">
        <f t="shared" si="12"/>
        <v>110</v>
      </c>
      <c r="C198" s="16">
        <f t="shared" si="12"/>
        <v>0</v>
      </c>
      <c r="D198" s="16">
        <f t="shared" si="12"/>
        <v>213</v>
      </c>
      <c r="E198" s="16">
        <f t="shared" si="12"/>
        <v>1</v>
      </c>
      <c r="F198" s="16">
        <f t="shared" si="12"/>
        <v>154</v>
      </c>
      <c r="G198" s="16">
        <f t="shared" si="12"/>
        <v>0</v>
      </c>
      <c r="H198" s="16">
        <f t="shared" si="12"/>
        <v>0</v>
      </c>
      <c r="I198" s="16">
        <f t="shared" si="12"/>
        <v>0</v>
      </c>
      <c r="J198" s="16">
        <f t="shared" si="12"/>
        <v>0</v>
      </c>
      <c r="K198" s="16">
        <f t="shared" si="12"/>
        <v>1</v>
      </c>
    </row>
    <row r="199" spans="1:11">
      <c r="A199" s="15" t="str">
        <f t="shared" si="11"/>
        <v>02161</v>
      </c>
      <c r="B199" s="16">
        <f t="shared" si="12"/>
        <v>110</v>
      </c>
      <c r="C199" s="16">
        <f t="shared" si="12"/>
        <v>0</v>
      </c>
      <c r="D199" s="16">
        <f t="shared" si="12"/>
        <v>216</v>
      </c>
      <c r="E199" s="16">
        <f t="shared" si="12"/>
        <v>1</v>
      </c>
      <c r="F199" s="16">
        <f t="shared" si="12"/>
        <v>564</v>
      </c>
      <c r="G199" s="16">
        <f t="shared" si="12"/>
        <v>0</v>
      </c>
      <c r="H199" s="16">
        <f t="shared" si="12"/>
        <v>0</v>
      </c>
      <c r="I199" s="16">
        <f t="shared" si="12"/>
        <v>0</v>
      </c>
      <c r="J199" s="16">
        <f t="shared" si="12"/>
        <v>0</v>
      </c>
      <c r="K199" s="16">
        <f t="shared" si="12"/>
        <v>1</v>
      </c>
    </row>
    <row r="200" spans="1:11">
      <c r="A200" s="15" t="str">
        <f t="shared" si="11"/>
        <v>02191</v>
      </c>
      <c r="B200" s="16">
        <f t="shared" si="12"/>
        <v>110</v>
      </c>
      <c r="C200" s="16">
        <f t="shared" si="12"/>
        <v>0</v>
      </c>
      <c r="D200" s="16">
        <f t="shared" si="12"/>
        <v>219</v>
      </c>
      <c r="E200" s="16">
        <f t="shared" si="12"/>
        <v>1</v>
      </c>
      <c r="F200" s="16">
        <f t="shared" si="12"/>
        <v>154</v>
      </c>
      <c r="G200" s="16">
        <f t="shared" si="12"/>
        <v>0</v>
      </c>
      <c r="H200" s="16">
        <f t="shared" si="12"/>
        <v>0</v>
      </c>
      <c r="I200" s="16">
        <f t="shared" si="12"/>
        <v>0</v>
      </c>
      <c r="J200" s="16">
        <f t="shared" si="12"/>
        <v>0</v>
      </c>
      <c r="K200" s="16">
        <f t="shared" si="12"/>
        <v>1</v>
      </c>
    </row>
    <row r="201" spans="1:11">
      <c r="A201" s="15" t="str">
        <f t="shared" si="11"/>
        <v>02221</v>
      </c>
      <c r="B201" s="16">
        <f t="shared" si="12"/>
        <v>110</v>
      </c>
      <c r="C201" s="16">
        <f t="shared" si="12"/>
        <v>0</v>
      </c>
      <c r="D201" s="16">
        <f t="shared" si="12"/>
        <v>222</v>
      </c>
      <c r="E201" s="16">
        <f t="shared" si="12"/>
        <v>1</v>
      </c>
      <c r="F201" s="16">
        <f t="shared" si="12"/>
        <v>154</v>
      </c>
      <c r="G201" s="16">
        <f t="shared" si="12"/>
        <v>0</v>
      </c>
      <c r="H201" s="16">
        <f t="shared" si="12"/>
        <v>0</v>
      </c>
      <c r="I201" s="16">
        <f t="shared" si="12"/>
        <v>0</v>
      </c>
      <c r="J201" s="16">
        <f t="shared" si="12"/>
        <v>0</v>
      </c>
      <c r="K201" s="16">
        <f t="shared" si="12"/>
        <v>1</v>
      </c>
    </row>
    <row r="202" spans="1:11">
      <c r="A202" s="15" t="str">
        <f t="shared" si="11"/>
        <v>02251</v>
      </c>
      <c r="B202" s="16">
        <f t="shared" si="12"/>
        <v>110</v>
      </c>
      <c r="C202" s="16">
        <f t="shared" si="12"/>
        <v>0</v>
      </c>
      <c r="D202" s="16">
        <f t="shared" si="12"/>
        <v>225</v>
      </c>
      <c r="E202" s="16">
        <f t="shared" si="12"/>
        <v>1</v>
      </c>
      <c r="F202" s="16">
        <f t="shared" si="12"/>
        <v>154</v>
      </c>
      <c r="G202" s="16">
        <f t="shared" si="12"/>
        <v>0</v>
      </c>
      <c r="H202" s="16">
        <f t="shared" si="12"/>
        <v>0</v>
      </c>
      <c r="I202" s="16">
        <f t="shared" si="12"/>
        <v>0</v>
      </c>
      <c r="J202" s="16">
        <f t="shared" si="12"/>
        <v>0</v>
      </c>
      <c r="K202" s="16">
        <f t="shared" si="12"/>
        <v>1</v>
      </c>
    </row>
    <row r="203" spans="1:11">
      <c r="A203" s="15" t="str">
        <f t="shared" si="11"/>
        <v>02281</v>
      </c>
      <c r="B203" s="16">
        <f t="shared" si="12"/>
        <v>110</v>
      </c>
      <c r="C203" s="16">
        <f t="shared" si="12"/>
        <v>0</v>
      </c>
      <c r="D203" s="16">
        <f t="shared" si="12"/>
        <v>228</v>
      </c>
      <c r="E203" s="16">
        <f t="shared" si="12"/>
        <v>1</v>
      </c>
      <c r="F203" s="16">
        <f t="shared" si="12"/>
        <v>63</v>
      </c>
      <c r="G203" s="16">
        <f t="shared" si="12"/>
        <v>0</v>
      </c>
      <c r="H203" s="16">
        <f t="shared" si="12"/>
        <v>0</v>
      </c>
      <c r="I203" s="16">
        <f t="shared" si="12"/>
        <v>0</v>
      </c>
      <c r="J203" s="16">
        <f t="shared" si="12"/>
        <v>0</v>
      </c>
      <c r="K203" s="16">
        <f t="shared" si="12"/>
        <v>1</v>
      </c>
    </row>
    <row r="204" spans="1:11">
      <c r="A204" s="15" t="str">
        <f t="shared" si="11"/>
        <v>02311</v>
      </c>
      <c r="B204" s="16">
        <f t="shared" si="12"/>
        <v>110</v>
      </c>
      <c r="C204" s="16">
        <f t="shared" si="12"/>
        <v>0</v>
      </c>
      <c r="D204" s="16">
        <f t="shared" si="12"/>
        <v>231</v>
      </c>
      <c r="E204" s="16">
        <f t="shared" si="12"/>
        <v>1</v>
      </c>
      <c r="F204" s="16">
        <f t="shared" si="12"/>
        <v>17</v>
      </c>
      <c r="G204" s="16">
        <f t="shared" si="12"/>
        <v>0</v>
      </c>
      <c r="H204" s="16">
        <f t="shared" si="12"/>
        <v>0</v>
      </c>
      <c r="I204" s="16">
        <f t="shared" si="12"/>
        <v>0</v>
      </c>
      <c r="J204" s="16">
        <f t="shared" si="12"/>
        <v>0</v>
      </c>
      <c r="K204" s="16">
        <f t="shared" si="12"/>
        <v>1</v>
      </c>
    </row>
    <row r="205" spans="1:11">
      <c r="A205" s="15" t="str">
        <f t="shared" si="11"/>
        <v>02341</v>
      </c>
      <c r="B205" s="16">
        <f t="shared" si="12"/>
        <v>110</v>
      </c>
      <c r="C205" s="16">
        <f t="shared" si="12"/>
        <v>0</v>
      </c>
      <c r="D205" s="16">
        <f t="shared" si="12"/>
        <v>234</v>
      </c>
      <c r="E205" s="16">
        <f t="shared" si="12"/>
        <v>1</v>
      </c>
      <c r="F205" s="16">
        <f t="shared" si="12"/>
        <v>17</v>
      </c>
      <c r="G205" s="16">
        <f t="shared" si="12"/>
        <v>0</v>
      </c>
      <c r="H205" s="16">
        <f t="shared" si="12"/>
        <v>0</v>
      </c>
      <c r="I205" s="16">
        <f t="shared" si="12"/>
        <v>0</v>
      </c>
      <c r="J205" s="16">
        <f t="shared" si="12"/>
        <v>0</v>
      </c>
      <c r="K205" s="16">
        <f t="shared" si="12"/>
        <v>1</v>
      </c>
    </row>
    <row r="206" spans="1:11">
      <c r="A206" s="15" t="str">
        <f t="shared" si="11"/>
        <v>02371</v>
      </c>
      <c r="B206" s="16">
        <f t="shared" si="12"/>
        <v>110</v>
      </c>
      <c r="C206" s="16">
        <f t="shared" si="12"/>
        <v>0</v>
      </c>
      <c r="D206" s="16">
        <f t="shared" si="12"/>
        <v>237</v>
      </c>
      <c r="E206" s="16">
        <f t="shared" si="12"/>
        <v>1</v>
      </c>
      <c r="F206" s="16">
        <f t="shared" si="12"/>
        <v>17</v>
      </c>
      <c r="G206" s="16">
        <f t="shared" si="12"/>
        <v>0</v>
      </c>
      <c r="H206" s="16">
        <f t="shared" si="12"/>
        <v>0</v>
      </c>
      <c r="I206" s="16">
        <f t="shared" si="12"/>
        <v>0</v>
      </c>
      <c r="J206" s="16">
        <f t="shared" si="12"/>
        <v>0</v>
      </c>
      <c r="K206" s="16">
        <f t="shared" si="12"/>
        <v>1</v>
      </c>
    </row>
    <row r="207" spans="1:11">
      <c r="A207" s="15" t="str">
        <f t="shared" si="11"/>
        <v>02381</v>
      </c>
      <c r="B207" s="16">
        <f t="shared" si="12"/>
        <v>110</v>
      </c>
      <c r="C207" s="16">
        <f t="shared" si="12"/>
        <v>0</v>
      </c>
      <c r="D207" s="16">
        <f t="shared" si="12"/>
        <v>238</v>
      </c>
      <c r="E207" s="16">
        <f t="shared" si="12"/>
        <v>1</v>
      </c>
      <c r="F207" s="16">
        <f t="shared" si="12"/>
        <v>1125</v>
      </c>
      <c r="G207" s="16">
        <f t="shared" si="12"/>
        <v>0</v>
      </c>
      <c r="H207" s="16">
        <f t="shared" si="12"/>
        <v>0</v>
      </c>
      <c r="I207" s="16">
        <f t="shared" si="12"/>
        <v>0</v>
      </c>
      <c r="J207" s="16">
        <f t="shared" si="12"/>
        <v>0</v>
      </c>
      <c r="K207" s="16">
        <f t="shared" si="12"/>
        <v>1</v>
      </c>
    </row>
    <row r="208" spans="1:11">
      <c r="A208" s="15" t="str">
        <f t="shared" si="11"/>
        <v>02391</v>
      </c>
      <c r="B208" s="16">
        <f t="shared" si="12"/>
        <v>110</v>
      </c>
      <c r="C208" s="16">
        <f t="shared" si="12"/>
        <v>0</v>
      </c>
      <c r="D208" s="16">
        <f t="shared" si="12"/>
        <v>239</v>
      </c>
      <c r="E208" s="16">
        <f t="shared" si="12"/>
        <v>1</v>
      </c>
      <c r="F208" s="16">
        <f t="shared" si="12"/>
        <v>396</v>
      </c>
      <c r="G208" s="16">
        <f t="shared" si="12"/>
        <v>0</v>
      </c>
      <c r="H208" s="16">
        <f t="shared" si="12"/>
        <v>0</v>
      </c>
      <c r="I208" s="16">
        <f t="shared" si="12"/>
        <v>0</v>
      </c>
      <c r="J208" s="16">
        <f t="shared" si="12"/>
        <v>0</v>
      </c>
      <c r="K208" s="16">
        <f t="shared" si="12"/>
        <v>1</v>
      </c>
    </row>
    <row r="209" spans="1:11">
      <c r="A209" s="15" t="str">
        <f t="shared" si="11"/>
        <v>02401</v>
      </c>
      <c r="B209" s="16">
        <f t="shared" si="12"/>
        <v>110</v>
      </c>
      <c r="C209" s="16">
        <f t="shared" si="12"/>
        <v>0</v>
      </c>
      <c r="D209" s="16">
        <f t="shared" si="12"/>
        <v>240</v>
      </c>
      <c r="E209" s="16">
        <f t="shared" si="12"/>
        <v>1</v>
      </c>
      <c r="F209" s="16">
        <f t="shared" si="12"/>
        <v>63</v>
      </c>
      <c r="G209" s="16">
        <f t="shared" si="12"/>
        <v>0</v>
      </c>
      <c r="H209" s="16">
        <f t="shared" si="12"/>
        <v>0</v>
      </c>
      <c r="I209" s="16">
        <f t="shared" si="12"/>
        <v>0</v>
      </c>
      <c r="J209" s="16">
        <f t="shared" si="12"/>
        <v>0</v>
      </c>
      <c r="K209" s="16">
        <f t="shared" si="12"/>
        <v>1</v>
      </c>
    </row>
    <row r="210" spans="1:11">
      <c r="A210" s="15" t="str">
        <f t="shared" si="11"/>
        <v>02411</v>
      </c>
      <c r="B210" s="16">
        <f t="shared" si="12"/>
        <v>110</v>
      </c>
      <c r="C210" s="16">
        <f t="shared" si="12"/>
        <v>0</v>
      </c>
      <c r="D210" s="16">
        <f t="shared" si="12"/>
        <v>241</v>
      </c>
      <c r="E210" s="16">
        <f t="shared" si="12"/>
        <v>1</v>
      </c>
      <c r="F210" s="16">
        <f t="shared" si="12"/>
        <v>307</v>
      </c>
      <c r="G210" s="16">
        <f t="shared" si="12"/>
        <v>0</v>
      </c>
      <c r="H210" s="16">
        <f t="shared" si="12"/>
        <v>0</v>
      </c>
      <c r="I210" s="16">
        <f t="shared" si="12"/>
        <v>0</v>
      </c>
      <c r="J210" s="16">
        <f t="shared" si="12"/>
        <v>0</v>
      </c>
      <c r="K210" s="16">
        <f t="shared" si="12"/>
        <v>1</v>
      </c>
    </row>
    <row r="211" spans="1:11">
      <c r="A211" s="15" t="str">
        <f t="shared" si="11"/>
        <v>02421</v>
      </c>
      <c r="B211" s="16">
        <f t="shared" si="12"/>
        <v>110</v>
      </c>
      <c r="C211" s="16">
        <f t="shared" si="12"/>
        <v>0</v>
      </c>
      <c r="D211" s="16">
        <f t="shared" si="12"/>
        <v>242</v>
      </c>
      <c r="E211" s="16">
        <f t="shared" si="12"/>
        <v>1</v>
      </c>
      <c r="F211" s="16">
        <f t="shared" si="12"/>
        <v>108</v>
      </c>
      <c r="G211" s="16">
        <f t="shared" si="12"/>
        <v>0</v>
      </c>
      <c r="H211" s="16">
        <f t="shared" si="12"/>
        <v>0</v>
      </c>
      <c r="I211" s="16">
        <f t="shared" si="12"/>
        <v>0</v>
      </c>
      <c r="J211" s="16">
        <f t="shared" si="12"/>
        <v>0</v>
      </c>
      <c r="K211" s="16">
        <f t="shared" si="12"/>
        <v>1</v>
      </c>
    </row>
    <row r="212" spans="1:11">
      <c r="A212" s="15" t="str">
        <f t="shared" si="11"/>
        <v>02431</v>
      </c>
      <c r="B212" s="16">
        <f t="shared" si="12"/>
        <v>110</v>
      </c>
      <c r="C212" s="16">
        <f t="shared" si="12"/>
        <v>0</v>
      </c>
      <c r="D212" s="16">
        <f t="shared" si="12"/>
        <v>243</v>
      </c>
      <c r="E212" s="16">
        <f t="shared" si="12"/>
        <v>1</v>
      </c>
      <c r="F212" s="16">
        <f t="shared" si="12"/>
        <v>17</v>
      </c>
      <c r="G212" s="16">
        <f t="shared" si="12"/>
        <v>0</v>
      </c>
      <c r="H212" s="16">
        <f t="shared" si="12"/>
        <v>0</v>
      </c>
      <c r="I212" s="16">
        <f t="shared" si="12"/>
        <v>0</v>
      </c>
      <c r="J212" s="16">
        <f t="shared" si="12"/>
        <v>0</v>
      </c>
      <c r="K212" s="16">
        <f t="shared" si="12"/>
        <v>1</v>
      </c>
    </row>
    <row r="213" spans="1:11">
      <c r="A213" s="15" t="str">
        <f t="shared" si="11"/>
        <v>02441</v>
      </c>
      <c r="B213" s="16">
        <f t="shared" si="12"/>
        <v>110</v>
      </c>
      <c r="C213" s="16">
        <f t="shared" si="12"/>
        <v>0</v>
      </c>
      <c r="D213" s="16">
        <f t="shared" si="12"/>
        <v>244</v>
      </c>
      <c r="E213" s="16">
        <f t="shared" si="12"/>
        <v>1</v>
      </c>
      <c r="F213" s="16">
        <f t="shared" si="12"/>
        <v>307</v>
      </c>
      <c r="G213" s="16">
        <f t="shared" si="12"/>
        <v>0</v>
      </c>
      <c r="H213" s="16">
        <f t="shared" si="12"/>
        <v>0</v>
      </c>
      <c r="I213" s="16">
        <f t="shared" si="12"/>
        <v>0</v>
      </c>
      <c r="J213" s="16">
        <f t="shared" si="12"/>
        <v>0</v>
      </c>
      <c r="K213" s="16">
        <f t="shared" si="12"/>
        <v>1</v>
      </c>
    </row>
    <row r="214" spans="1:11">
      <c r="A214" s="15" t="str">
        <f t="shared" si="11"/>
        <v>02451</v>
      </c>
      <c r="B214" s="16">
        <f t="shared" si="12"/>
        <v>110</v>
      </c>
      <c r="C214" s="16">
        <f t="shared" si="12"/>
        <v>0</v>
      </c>
      <c r="D214" s="16">
        <f t="shared" si="12"/>
        <v>245</v>
      </c>
      <c r="E214" s="16">
        <f t="shared" si="12"/>
        <v>1</v>
      </c>
      <c r="F214" s="16">
        <f t="shared" si="12"/>
        <v>108</v>
      </c>
      <c r="G214" s="16">
        <f t="shared" si="12"/>
        <v>0</v>
      </c>
      <c r="H214" s="16">
        <f t="shared" si="12"/>
        <v>0</v>
      </c>
      <c r="I214" s="16">
        <f t="shared" si="12"/>
        <v>0</v>
      </c>
      <c r="J214" s="16">
        <f t="shared" si="12"/>
        <v>0</v>
      </c>
      <c r="K214" s="16">
        <f t="shared" si="12"/>
        <v>1</v>
      </c>
    </row>
    <row r="215" spans="1:11">
      <c r="A215" s="15" t="str">
        <f t="shared" si="11"/>
        <v>02461</v>
      </c>
      <c r="B215" s="16">
        <f t="shared" si="12"/>
        <v>110</v>
      </c>
      <c r="C215" s="16">
        <f t="shared" si="12"/>
        <v>0</v>
      </c>
      <c r="D215" s="16">
        <f t="shared" si="12"/>
        <v>246</v>
      </c>
      <c r="E215" s="16">
        <f t="shared" si="12"/>
        <v>1</v>
      </c>
      <c r="F215" s="16">
        <f t="shared" si="12"/>
        <v>17</v>
      </c>
      <c r="G215" s="16">
        <f t="shared" si="12"/>
        <v>0</v>
      </c>
      <c r="H215" s="16">
        <f t="shared" si="12"/>
        <v>0</v>
      </c>
      <c r="I215" s="16">
        <f t="shared" si="12"/>
        <v>0</v>
      </c>
      <c r="J215" s="16">
        <f t="shared" si="12"/>
        <v>0</v>
      </c>
      <c r="K215" s="16">
        <f t="shared" si="12"/>
        <v>1</v>
      </c>
    </row>
    <row r="216" spans="1:11">
      <c r="A216" s="15" t="str">
        <f t="shared" si="11"/>
        <v>02471</v>
      </c>
      <c r="B216" s="16">
        <f t="shared" si="12"/>
        <v>110</v>
      </c>
      <c r="C216" s="16">
        <f t="shared" si="12"/>
        <v>0</v>
      </c>
      <c r="D216" s="16">
        <f t="shared" si="12"/>
        <v>247</v>
      </c>
      <c r="E216" s="16">
        <f t="shared" si="12"/>
        <v>1</v>
      </c>
      <c r="F216" s="16">
        <f t="shared" si="12"/>
        <v>307</v>
      </c>
      <c r="G216" s="16">
        <f t="shared" si="12"/>
        <v>0</v>
      </c>
      <c r="H216" s="16">
        <f t="shared" si="12"/>
        <v>0</v>
      </c>
      <c r="I216" s="16">
        <f t="shared" si="12"/>
        <v>0</v>
      </c>
      <c r="J216" s="16">
        <f t="shared" si="12"/>
        <v>0</v>
      </c>
      <c r="K216" s="16">
        <f t="shared" si="12"/>
        <v>1</v>
      </c>
    </row>
    <row r="217" spans="1:11">
      <c r="A217" s="15" t="str">
        <f t="shared" si="11"/>
        <v>02481</v>
      </c>
      <c r="B217" s="16">
        <f t="shared" si="12"/>
        <v>110</v>
      </c>
      <c r="C217" s="16">
        <f t="shared" si="12"/>
        <v>0</v>
      </c>
      <c r="D217" s="16">
        <f t="shared" si="12"/>
        <v>248</v>
      </c>
      <c r="E217" s="16">
        <f t="shared" si="12"/>
        <v>1</v>
      </c>
      <c r="F217" s="16">
        <f t="shared" si="12"/>
        <v>108</v>
      </c>
      <c r="G217" s="16">
        <f t="shared" si="12"/>
        <v>0</v>
      </c>
      <c r="H217" s="16">
        <f t="shared" si="12"/>
        <v>0</v>
      </c>
      <c r="I217" s="16">
        <f t="shared" si="12"/>
        <v>0</v>
      </c>
      <c r="J217" s="16">
        <f t="shared" si="12"/>
        <v>0</v>
      </c>
      <c r="K217" s="16">
        <f t="shared" si="12"/>
        <v>1</v>
      </c>
    </row>
    <row r="218" spans="1:11">
      <c r="A218" s="15" t="str">
        <f t="shared" si="11"/>
        <v>02491</v>
      </c>
      <c r="B218" s="16">
        <f t="shared" si="12"/>
        <v>110</v>
      </c>
      <c r="C218" s="16">
        <f t="shared" si="12"/>
        <v>0</v>
      </c>
      <c r="D218" s="16">
        <f t="shared" si="12"/>
        <v>249</v>
      </c>
      <c r="E218" s="16">
        <f t="shared" si="12"/>
        <v>1</v>
      </c>
      <c r="F218" s="16">
        <f t="shared" si="12"/>
        <v>17</v>
      </c>
      <c r="G218" s="16">
        <f t="shared" si="12"/>
        <v>0</v>
      </c>
      <c r="H218" s="16">
        <f t="shared" si="12"/>
        <v>0</v>
      </c>
      <c r="I218" s="16">
        <f t="shared" si="12"/>
        <v>0</v>
      </c>
      <c r="J218" s="16">
        <f t="shared" si="12"/>
        <v>0</v>
      </c>
      <c r="K218" s="16">
        <f t="shared" si="12"/>
        <v>1</v>
      </c>
    </row>
    <row r="219" spans="1:11">
      <c r="A219" s="15" t="str">
        <f t="shared" si="11"/>
        <v>02501</v>
      </c>
      <c r="B219" s="16">
        <f t="shared" si="12"/>
        <v>110</v>
      </c>
      <c r="C219" s="16">
        <f t="shared" si="12"/>
        <v>0</v>
      </c>
      <c r="D219" s="16">
        <f t="shared" si="12"/>
        <v>250</v>
      </c>
      <c r="E219" s="16">
        <f t="shared" si="12"/>
        <v>1</v>
      </c>
      <c r="F219" s="16">
        <f t="shared" si="12"/>
        <v>1125</v>
      </c>
      <c r="G219" s="16">
        <f t="shared" si="12"/>
        <v>0</v>
      </c>
      <c r="H219" s="16">
        <f t="shared" si="12"/>
        <v>0</v>
      </c>
      <c r="I219" s="16">
        <f t="shared" si="12"/>
        <v>0</v>
      </c>
      <c r="J219" s="16">
        <f t="shared" si="12"/>
        <v>0</v>
      </c>
      <c r="K219" s="16">
        <f t="shared" si="12"/>
        <v>1</v>
      </c>
    </row>
    <row r="220" spans="1:11">
      <c r="A220" s="15" t="str">
        <f t="shared" si="11"/>
        <v>02511</v>
      </c>
      <c r="B220" s="16">
        <f t="shared" si="12"/>
        <v>110</v>
      </c>
      <c r="C220" s="16">
        <f t="shared" si="12"/>
        <v>0</v>
      </c>
      <c r="D220" s="16">
        <f t="shared" si="12"/>
        <v>251</v>
      </c>
      <c r="E220" s="16">
        <f t="shared" si="12"/>
        <v>1</v>
      </c>
      <c r="F220" s="16">
        <f t="shared" si="12"/>
        <v>396</v>
      </c>
      <c r="G220" s="16">
        <f t="shared" si="12"/>
        <v>0</v>
      </c>
      <c r="H220" s="16">
        <f t="shared" si="12"/>
        <v>0</v>
      </c>
      <c r="I220" s="16">
        <f t="shared" si="12"/>
        <v>0</v>
      </c>
      <c r="J220" s="16">
        <f t="shared" si="12"/>
        <v>0</v>
      </c>
      <c r="K220" s="16">
        <f t="shared" si="12"/>
        <v>1</v>
      </c>
    </row>
    <row r="221" spans="1:11">
      <c r="A221" s="15" t="str">
        <f t="shared" si="11"/>
        <v>02521</v>
      </c>
      <c r="B221" s="16">
        <f t="shared" si="12"/>
        <v>110</v>
      </c>
      <c r="C221" s="16">
        <f t="shared" si="12"/>
        <v>0</v>
      </c>
      <c r="D221" s="16">
        <f t="shared" si="12"/>
        <v>252</v>
      </c>
      <c r="E221" s="16">
        <f t="shared" si="12"/>
        <v>1</v>
      </c>
      <c r="F221" s="16">
        <f t="shared" si="12"/>
        <v>63</v>
      </c>
      <c r="G221" s="16">
        <f t="shared" si="12"/>
        <v>0</v>
      </c>
      <c r="H221" s="16">
        <f t="shared" si="12"/>
        <v>0</v>
      </c>
      <c r="I221" s="16">
        <f t="shared" si="12"/>
        <v>0</v>
      </c>
      <c r="J221" s="16">
        <f t="shared" si="12"/>
        <v>0</v>
      </c>
      <c r="K221" s="16">
        <f t="shared" si="12"/>
        <v>1</v>
      </c>
    </row>
    <row r="222" spans="1:11">
      <c r="A222" s="15" t="str">
        <f t="shared" si="11"/>
        <v>02531</v>
      </c>
      <c r="B222" s="16">
        <f t="shared" si="12"/>
        <v>110</v>
      </c>
      <c r="C222" s="16">
        <f t="shared" si="12"/>
        <v>0</v>
      </c>
      <c r="D222" s="16">
        <f t="shared" si="12"/>
        <v>253</v>
      </c>
      <c r="E222" s="16">
        <f t="shared" si="12"/>
        <v>1</v>
      </c>
      <c r="F222" s="16">
        <f t="shared" si="12"/>
        <v>307</v>
      </c>
      <c r="G222" s="16">
        <f t="shared" si="12"/>
        <v>0</v>
      </c>
      <c r="H222" s="16">
        <f t="shared" si="12"/>
        <v>0</v>
      </c>
      <c r="I222" s="16">
        <f t="shared" si="12"/>
        <v>0</v>
      </c>
      <c r="J222" s="16">
        <f t="shared" si="12"/>
        <v>0</v>
      </c>
      <c r="K222" s="16">
        <f t="shared" si="12"/>
        <v>1</v>
      </c>
    </row>
    <row r="223" spans="1:11">
      <c r="A223" s="15" t="str">
        <f t="shared" si="11"/>
        <v>02541</v>
      </c>
      <c r="B223" s="16">
        <f t="shared" ref="B223:K238" si="13">VLOOKUP($A223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110</v>
      </c>
      <c r="C223" s="16">
        <f t="shared" si="13"/>
        <v>0</v>
      </c>
      <c r="D223" s="16">
        <f t="shared" si="13"/>
        <v>254</v>
      </c>
      <c r="E223" s="16">
        <f t="shared" si="13"/>
        <v>1</v>
      </c>
      <c r="F223" s="16">
        <f t="shared" si="13"/>
        <v>108</v>
      </c>
      <c r="G223" s="16">
        <f t="shared" si="13"/>
        <v>0</v>
      </c>
      <c r="H223" s="16">
        <f t="shared" si="13"/>
        <v>0</v>
      </c>
      <c r="I223" s="16">
        <f t="shared" si="13"/>
        <v>0</v>
      </c>
      <c r="J223" s="16">
        <f t="shared" si="13"/>
        <v>0</v>
      </c>
      <c r="K223" s="16">
        <f t="shared" si="13"/>
        <v>1</v>
      </c>
    </row>
    <row r="224" spans="1:11">
      <c r="A224" s="15" t="str">
        <f t="shared" si="11"/>
        <v>02551</v>
      </c>
      <c r="B224" s="16">
        <f t="shared" si="13"/>
        <v>110</v>
      </c>
      <c r="C224" s="16">
        <f t="shared" si="13"/>
        <v>0</v>
      </c>
      <c r="D224" s="16">
        <f t="shared" si="13"/>
        <v>255</v>
      </c>
      <c r="E224" s="16">
        <f t="shared" si="13"/>
        <v>1</v>
      </c>
      <c r="F224" s="16">
        <f t="shared" si="13"/>
        <v>17</v>
      </c>
      <c r="G224" s="16">
        <f t="shared" si="13"/>
        <v>0</v>
      </c>
      <c r="H224" s="16">
        <f t="shared" si="13"/>
        <v>0</v>
      </c>
      <c r="I224" s="16">
        <f t="shared" si="13"/>
        <v>0</v>
      </c>
      <c r="J224" s="16">
        <f t="shared" si="13"/>
        <v>0</v>
      </c>
      <c r="K224" s="16">
        <f t="shared" si="13"/>
        <v>1</v>
      </c>
    </row>
    <row r="225" spans="1:11">
      <c r="A225" s="15" t="str">
        <f t="shared" si="11"/>
        <v>02561</v>
      </c>
      <c r="B225" s="16">
        <f t="shared" si="13"/>
        <v>110</v>
      </c>
      <c r="C225" s="16">
        <f t="shared" si="13"/>
        <v>0</v>
      </c>
      <c r="D225" s="16">
        <f t="shared" si="13"/>
        <v>256</v>
      </c>
      <c r="E225" s="16">
        <f t="shared" si="13"/>
        <v>1</v>
      </c>
      <c r="F225" s="16">
        <f t="shared" si="13"/>
        <v>307</v>
      </c>
      <c r="G225" s="16">
        <f t="shared" si="13"/>
        <v>0</v>
      </c>
      <c r="H225" s="16">
        <f t="shared" si="13"/>
        <v>0</v>
      </c>
      <c r="I225" s="16">
        <f t="shared" si="13"/>
        <v>0</v>
      </c>
      <c r="J225" s="16">
        <f t="shared" si="13"/>
        <v>0</v>
      </c>
      <c r="K225" s="16">
        <f t="shared" si="13"/>
        <v>1</v>
      </c>
    </row>
    <row r="226" spans="1:11">
      <c r="A226" s="15" t="str">
        <f t="shared" si="11"/>
        <v>02571</v>
      </c>
      <c r="B226" s="16">
        <f t="shared" si="13"/>
        <v>110</v>
      </c>
      <c r="C226" s="16">
        <f t="shared" si="13"/>
        <v>0</v>
      </c>
      <c r="D226" s="16">
        <f t="shared" si="13"/>
        <v>257</v>
      </c>
      <c r="E226" s="16">
        <f t="shared" si="13"/>
        <v>1</v>
      </c>
      <c r="F226" s="16">
        <f t="shared" si="13"/>
        <v>108</v>
      </c>
      <c r="G226" s="16">
        <f t="shared" si="13"/>
        <v>0</v>
      </c>
      <c r="H226" s="16">
        <f t="shared" si="13"/>
        <v>0</v>
      </c>
      <c r="I226" s="16">
        <f t="shared" si="13"/>
        <v>0</v>
      </c>
      <c r="J226" s="16">
        <f t="shared" si="13"/>
        <v>0</v>
      </c>
      <c r="K226" s="16">
        <f t="shared" si="13"/>
        <v>1</v>
      </c>
    </row>
    <row r="227" spans="1:11">
      <c r="A227" s="15" t="str">
        <f t="shared" si="11"/>
        <v>02581</v>
      </c>
      <c r="B227" s="16">
        <f t="shared" si="13"/>
        <v>110</v>
      </c>
      <c r="C227" s="16">
        <f t="shared" si="13"/>
        <v>0</v>
      </c>
      <c r="D227" s="16">
        <f t="shared" si="13"/>
        <v>258</v>
      </c>
      <c r="E227" s="16">
        <f t="shared" si="13"/>
        <v>1</v>
      </c>
      <c r="F227" s="16">
        <f t="shared" si="13"/>
        <v>17</v>
      </c>
      <c r="G227" s="16">
        <f t="shared" si="13"/>
        <v>0</v>
      </c>
      <c r="H227" s="16">
        <f t="shared" si="13"/>
        <v>0</v>
      </c>
      <c r="I227" s="16">
        <f t="shared" si="13"/>
        <v>0</v>
      </c>
      <c r="J227" s="16">
        <f t="shared" si="13"/>
        <v>0</v>
      </c>
      <c r="K227" s="16">
        <f t="shared" si="13"/>
        <v>1</v>
      </c>
    </row>
    <row r="228" spans="1:11">
      <c r="A228" s="15" t="str">
        <f t="shared" si="11"/>
        <v>02591</v>
      </c>
      <c r="B228" s="16">
        <f t="shared" si="13"/>
        <v>110</v>
      </c>
      <c r="C228" s="16">
        <f t="shared" si="13"/>
        <v>0</v>
      </c>
      <c r="D228" s="16">
        <f t="shared" si="13"/>
        <v>259</v>
      </c>
      <c r="E228" s="16">
        <f t="shared" si="13"/>
        <v>1</v>
      </c>
      <c r="F228" s="16">
        <f t="shared" si="13"/>
        <v>307</v>
      </c>
      <c r="G228" s="16">
        <f t="shared" si="13"/>
        <v>0</v>
      </c>
      <c r="H228" s="16">
        <f t="shared" si="13"/>
        <v>0</v>
      </c>
      <c r="I228" s="16">
        <f t="shared" si="13"/>
        <v>0</v>
      </c>
      <c r="J228" s="16">
        <f t="shared" si="13"/>
        <v>0</v>
      </c>
      <c r="K228" s="16">
        <f t="shared" si="13"/>
        <v>1</v>
      </c>
    </row>
    <row r="229" spans="1:11">
      <c r="A229" s="15" t="str">
        <f t="shared" si="11"/>
        <v>02601</v>
      </c>
      <c r="B229" s="16">
        <f t="shared" si="13"/>
        <v>110</v>
      </c>
      <c r="C229" s="16">
        <f t="shared" si="13"/>
        <v>0</v>
      </c>
      <c r="D229" s="16">
        <f t="shared" si="13"/>
        <v>260</v>
      </c>
      <c r="E229" s="16">
        <f t="shared" si="13"/>
        <v>1</v>
      </c>
      <c r="F229" s="16">
        <f t="shared" si="13"/>
        <v>108</v>
      </c>
      <c r="G229" s="16">
        <f t="shared" si="13"/>
        <v>0</v>
      </c>
      <c r="H229" s="16">
        <f t="shared" si="13"/>
        <v>0</v>
      </c>
      <c r="I229" s="16">
        <f t="shared" si="13"/>
        <v>0</v>
      </c>
      <c r="J229" s="16">
        <f t="shared" si="13"/>
        <v>0</v>
      </c>
      <c r="K229" s="16">
        <f t="shared" si="13"/>
        <v>1</v>
      </c>
    </row>
    <row r="230" spans="1:11">
      <c r="A230" s="15" t="str">
        <f t="shared" si="11"/>
        <v>02611</v>
      </c>
      <c r="B230" s="16">
        <f t="shared" si="13"/>
        <v>110</v>
      </c>
      <c r="C230" s="16">
        <f t="shared" si="13"/>
        <v>0</v>
      </c>
      <c r="D230" s="16">
        <f t="shared" si="13"/>
        <v>261</v>
      </c>
      <c r="E230" s="16">
        <f t="shared" si="13"/>
        <v>1</v>
      </c>
      <c r="F230" s="16">
        <f t="shared" si="13"/>
        <v>17</v>
      </c>
      <c r="G230" s="16">
        <f t="shared" si="13"/>
        <v>0</v>
      </c>
      <c r="H230" s="16">
        <f t="shared" si="13"/>
        <v>0</v>
      </c>
      <c r="I230" s="16">
        <f t="shared" si="13"/>
        <v>0</v>
      </c>
      <c r="J230" s="16">
        <f t="shared" si="13"/>
        <v>0</v>
      </c>
      <c r="K230" s="16">
        <f t="shared" si="13"/>
        <v>1</v>
      </c>
    </row>
    <row r="231" spans="1:11">
      <c r="A231" s="15" t="str">
        <f t="shared" si="11"/>
        <v>03201</v>
      </c>
      <c r="B231" s="16">
        <f t="shared" si="13"/>
        <v>110</v>
      </c>
      <c r="C231" s="16">
        <f t="shared" si="13"/>
        <v>0</v>
      </c>
      <c r="D231" s="16">
        <f t="shared" si="13"/>
        <v>320</v>
      </c>
      <c r="E231" s="16">
        <f t="shared" si="13"/>
        <v>1</v>
      </c>
      <c r="F231" s="16">
        <f t="shared" si="13"/>
        <v>1386</v>
      </c>
      <c r="G231" s="16">
        <f t="shared" si="13"/>
        <v>0</v>
      </c>
      <c r="H231" s="16">
        <f t="shared" si="13"/>
        <v>0</v>
      </c>
      <c r="I231" s="16">
        <f t="shared" si="13"/>
        <v>0</v>
      </c>
      <c r="J231" s="16">
        <f t="shared" si="13"/>
        <v>0</v>
      </c>
      <c r="K231" s="16">
        <f t="shared" si="13"/>
        <v>1</v>
      </c>
    </row>
    <row r="232" spans="1:11">
      <c r="A232" s="15" t="str">
        <f t="shared" si="11"/>
        <v>03211</v>
      </c>
      <c r="B232" s="16">
        <f t="shared" si="13"/>
        <v>110</v>
      </c>
      <c r="C232" s="16">
        <f t="shared" si="13"/>
        <v>0</v>
      </c>
      <c r="D232" s="16">
        <f t="shared" si="13"/>
        <v>321</v>
      </c>
      <c r="E232" s="16">
        <f t="shared" si="13"/>
        <v>1</v>
      </c>
      <c r="F232" s="16">
        <f t="shared" si="13"/>
        <v>158</v>
      </c>
      <c r="G232" s="16">
        <f t="shared" si="13"/>
        <v>0</v>
      </c>
      <c r="H232" s="16">
        <f t="shared" si="13"/>
        <v>0</v>
      </c>
      <c r="I232" s="16">
        <f t="shared" si="13"/>
        <v>0</v>
      </c>
      <c r="J232" s="16">
        <f t="shared" si="13"/>
        <v>0</v>
      </c>
      <c r="K232" s="16">
        <f t="shared" si="13"/>
        <v>1</v>
      </c>
    </row>
    <row r="233" spans="1:11">
      <c r="A233" s="15" t="str">
        <f t="shared" si="11"/>
        <v>03221</v>
      </c>
      <c r="B233" s="16">
        <f t="shared" si="13"/>
        <v>110</v>
      </c>
      <c r="C233" s="16">
        <f t="shared" si="13"/>
        <v>0</v>
      </c>
      <c r="D233" s="16">
        <f t="shared" si="13"/>
        <v>322</v>
      </c>
      <c r="E233" s="16">
        <f t="shared" si="13"/>
        <v>1</v>
      </c>
      <c r="F233" s="16">
        <f t="shared" si="13"/>
        <v>378</v>
      </c>
      <c r="G233" s="16">
        <f t="shared" si="13"/>
        <v>0</v>
      </c>
      <c r="H233" s="16">
        <f t="shared" si="13"/>
        <v>0</v>
      </c>
      <c r="I233" s="16">
        <f t="shared" si="13"/>
        <v>0</v>
      </c>
      <c r="J233" s="16">
        <f t="shared" si="13"/>
        <v>0</v>
      </c>
      <c r="K233" s="16">
        <f t="shared" si="13"/>
        <v>1</v>
      </c>
    </row>
    <row r="234" spans="1:11">
      <c r="A234" s="15" t="str">
        <f t="shared" si="11"/>
        <v>03231</v>
      </c>
      <c r="B234" s="16">
        <f t="shared" si="13"/>
        <v>110</v>
      </c>
      <c r="C234" s="16">
        <f t="shared" si="13"/>
        <v>0</v>
      </c>
      <c r="D234" s="16">
        <f t="shared" si="13"/>
        <v>323</v>
      </c>
      <c r="E234" s="16">
        <f t="shared" si="13"/>
        <v>1</v>
      </c>
      <c r="F234" s="16">
        <f t="shared" si="13"/>
        <v>43</v>
      </c>
      <c r="G234" s="16">
        <f t="shared" si="13"/>
        <v>0</v>
      </c>
      <c r="H234" s="16">
        <f t="shared" si="13"/>
        <v>0</v>
      </c>
      <c r="I234" s="16">
        <f t="shared" si="13"/>
        <v>0</v>
      </c>
      <c r="J234" s="16">
        <f t="shared" si="13"/>
        <v>0</v>
      </c>
      <c r="K234" s="16">
        <f t="shared" si="13"/>
        <v>1</v>
      </c>
    </row>
    <row r="235" spans="1:11">
      <c r="A235" s="15" t="str">
        <f t="shared" si="11"/>
        <v>03241</v>
      </c>
      <c r="B235" s="16">
        <f t="shared" si="13"/>
        <v>110</v>
      </c>
      <c r="C235" s="16">
        <f t="shared" si="13"/>
        <v>0</v>
      </c>
      <c r="D235" s="16">
        <f t="shared" si="13"/>
        <v>324</v>
      </c>
      <c r="E235" s="16">
        <f t="shared" si="13"/>
        <v>1</v>
      </c>
      <c r="F235" s="16">
        <f t="shared" si="13"/>
        <v>378</v>
      </c>
      <c r="G235" s="16">
        <f t="shared" si="13"/>
        <v>0</v>
      </c>
      <c r="H235" s="16">
        <f t="shared" si="13"/>
        <v>0</v>
      </c>
      <c r="I235" s="16">
        <f t="shared" si="13"/>
        <v>0</v>
      </c>
      <c r="J235" s="16">
        <f t="shared" si="13"/>
        <v>0</v>
      </c>
      <c r="K235" s="16">
        <f t="shared" si="13"/>
        <v>1</v>
      </c>
    </row>
    <row r="236" spans="1:11">
      <c r="A236" s="15" t="str">
        <f t="shared" si="11"/>
        <v>03251</v>
      </c>
      <c r="B236" s="16">
        <f t="shared" si="13"/>
        <v>110</v>
      </c>
      <c r="C236" s="16">
        <f t="shared" si="13"/>
        <v>0</v>
      </c>
      <c r="D236" s="16">
        <f t="shared" si="13"/>
        <v>325</v>
      </c>
      <c r="E236" s="16">
        <f t="shared" si="13"/>
        <v>1</v>
      </c>
      <c r="F236" s="16">
        <f t="shared" si="13"/>
        <v>43</v>
      </c>
      <c r="G236" s="16">
        <f t="shared" si="13"/>
        <v>0</v>
      </c>
      <c r="H236" s="16">
        <f t="shared" si="13"/>
        <v>0</v>
      </c>
      <c r="I236" s="16">
        <f t="shared" si="13"/>
        <v>0</v>
      </c>
      <c r="J236" s="16">
        <f t="shared" si="13"/>
        <v>0</v>
      </c>
      <c r="K236" s="16">
        <f t="shared" si="13"/>
        <v>1</v>
      </c>
    </row>
    <row r="237" spans="1:11">
      <c r="A237" s="15" t="str">
        <f t="shared" si="11"/>
        <v>03261</v>
      </c>
      <c r="B237" s="16">
        <f t="shared" si="13"/>
        <v>110</v>
      </c>
      <c r="C237" s="16">
        <f t="shared" si="13"/>
        <v>0</v>
      </c>
      <c r="D237" s="16">
        <f t="shared" si="13"/>
        <v>326</v>
      </c>
      <c r="E237" s="16">
        <f t="shared" si="13"/>
        <v>1</v>
      </c>
      <c r="F237" s="16">
        <f t="shared" si="13"/>
        <v>378</v>
      </c>
      <c r="G237" s="16">
        <f t="shared" si="13"/>
        <v>0</v>
      </c>
      <c r="H237" s="16">
        <f t="shared" si="13"/>
        <v>0</v>
      </c>
      <c r="I237" s="16">
        <f t="shared" si="13"/>
        <v>0</v>
      </c>
      <c r="J237" s="16">
        <f t="shared" si="13"/>
        <v>0</v>
      </c>
      <c r="K237" s="16">
        <f t="shared" si="13"/>
        <v>1</v>
      </c>
    </row>
    <row r="238" spans="1:11">
      <c r="A238" s="15" t="str">
        <f t="shared" si="11"/>
        <v>03271</v>
      </c>
      <c r="B238" s="16">
        <f t="shared" si="13"/>
        <v>110</v>
      </c>
      <c r="C238" s="16">
        <f t="shared" si="13"/>
        <v>0</v>
      </c>
      <c r="D238" s="16">
        <f t="shared" si="13"/>
        <v>327</v>
      </c>
      <c r="E238" s="16">
        <f t="shared" si="13"/>
        <v>1</v>
      </c>
      <c r="F238" s="16">
        <f t="shared" si="13"/>
        <v>43</v>
      </c>
      <c r="G238" s="16">
        <f t="shared" si="13"/>
        <v>0</v>
      </c>
      <c r="H238" s="16">
        <f t="shared" si="13"/>
        <v>0</v>
      </c>
      <c r="I238" s="16">
        <f t="shared" si="13"/>
        <v>0</v>
      </c>
      <c r="J238" s="16">
        <f t="shared" si="13"/>
        <v>0</v>
      </c>
      <c r="K238" s="16">
        <f t="shared" si="13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K237"/>
  <sheetViews>
    <sheetView workbookViewId="0">
      <pane xSplit="1" ySplit="2" topLeftCell="E3" activePane="bottomRight" state="frozen"/>
      <selection pane="topRight" activeCell="B1" sqref="B1"/>
      <selection pane="bottomLeft" activeCell="A3" sqref="A3"/>
      <selection pane="bottomRight" activeCell="J29" sqref="J29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gacha_unit_tables_111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1072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111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1072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111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1072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111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1072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111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1072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111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1072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111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1072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111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1072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111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1072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111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1072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111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1072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111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1072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111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1072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111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1072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111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1072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111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1072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1072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111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1072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111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1072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111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1072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111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1133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111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1133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111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1133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111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1133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111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1133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111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1133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111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1133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111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1133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111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1133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111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1133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111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1133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111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1133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111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1133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111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1133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111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1133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111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1133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111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1133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111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1133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111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1133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111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1133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111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1020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111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687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111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1020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111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1020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12311</v>
      </c>
      <c r="B47" s="16">
        <f t="shared" si="3"/>
        <v>111</v>
      </c>
      <c r="C47" s="16">
        <f t="shared" si="3"/>
        <v>1</v>
      </c>
      <c r="D47" s="16">
        <f t="shared" si="3"/>
        <v>231</v>
      </c>
      <c r="E47" s="16">
        <f t="shared" si="3"/>
        <v>1</v>
      </c>
      <c r="F47" s="16">
        <f t="shared" si="3"/>
        <v>1083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12391</v>
      </c>
      <c r="B48" s="16">
        <f t="shared" si="3"/>
        <v>111</v>
      </c>
      <c r="C48" s="16">
        <f t="shared" si="3"/>
        <v>1</v>
      </c>
      <c r="D48" s="16">
        <f t="shared" si="3"/>
        <v>239</v>
      </c>
      <c r="E48" s="16">
        <f t="shared" si="3"/>
        <v>1</v>
      </c>
      <c r="F48" s="16">
        <f t="shared" si="3"/>
        <v>1020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12421</v>
      </c>
      <c r="B49" s="16">
        <f t="shared" si="3"/>
        <v>111</v>
      </c>
      <c r="C49" s="16">
        <f t="shared" si="3"/>
        <v>1</v>
      </c>
      <c r="D49" s="16">
        <f t="shared" si="3"/>
        <v>242</v>
      </c>
      <c r="E49" s="16">
        <f t="shared" si="3"/>
        <v>1</v>
      </c>
      <c r="F49" s="16">
        <f t="shared" si="3"/>
        <v>1020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12451</v>
      </c>
      <c r="B50" s="16">
        <f t="shared" si="3"/>
        <v>111</v>
      </c>
      <c r="C50" s="16">
        <f t="shared" si="3"/>
        <v>1</v>
      </c>
      <c r="D50" s="16">
        <f t="shared" si="3"/>
        <v>245</v>
      </c>
      <c r="E50" s="16">
        <f t="shared" si="3"/>
        <v>1</v>
      </c>
      <c r="F50" s="16">
        <f t="shared" si="3"/>
        <v>1020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12481</v>
      </c>
      <c r="B51" s="16">
        <f t="shared" si="3"/>
        <v>111</v>
      </c>
      <c r="C51" s="16">
        <f t="shared" si="3"/>
        <v>1</v>
      </c>
      <c r="D51" s="16">
        <f t="shared" si="3"/>
        <v>248</v>
      </c>
      <c r="E51" s="16">
        <f t="shared" si="3"/>
        <v>1</v>
      </c>
      <c r="F51" s="16">
        <f t="shared" si="3"/>
        <v>687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12491</v>
      </c>
      <c r="B52" s="16">
        <f t="shared" si="3"/>
        <v>111</v>
      </c>
      <c r="C52" s="16">
        <f t="shared" si="3"/>
        <v>1</v>
      </c>
      <c r="D52" s="16">
        <f t="shared" si="3"/>
        <v>249</v>
      </c>
      <c r="E52" s="16">
        <f t="shared" si="3"/>
        <v>1</v>
      </c>
      <c r="F52" s="16">
        <f t="shared" si="3"/>
        <v>1083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12511</v>
      </c>
      <c r="B53" s="16">
        <f t="shared" si="3"/>
        <v>111</v>
      </c>
      <c r="C53" s="16">
        <f t="shared" si="3"/>
        <v>1</v>
      </c>
      <c r="D53" s="16">
        <f t="shared" si="3"/>
        <v>251</v>
      </c>
      <c r="E53" s="16">
        <f t="shared" si="3"/>
        <v>1</v>
      </c>
      <c r="F53" s="16">
        <f t="shared" si="3"/>
        <v>1020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12541</v>
      </c>
      <c r="B54" s="16">
        <f t="shared" si="3"/>
        <v>111</v>
      </c>
      <c r="C54" s="16">
        <f t="shared" si="3"/>
        <v>1</v>
      </c>
      <c r="D54" s="16">
        <f t="shared" si="3"/>
        <v>254</v>
      </c>
      <c r="E54" s="16">
        <f t="shared" si="3"/>
        <v>1</v>
      </c>
      <c r="F54" s="16">
        <f t="shared" si="3"/>
        <v>1020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12571</v>
      </c>
      <c r="B55" s="16">
        <f t="shared" si="3"/>
        <v>111</v>
      </c>
      <c r="C55" s="16">
        <f t="shared" si="3"/>
        <v>1</v>
      </c>
      <c r="D55" s="16">
        <f t="shared" si="3"/>
        <v>257</v>
      </c>
      <c r="E55" s="16">
        <f t="shared" si="3"/>
        <v>1</v>
      </c>
      <c r="F55" s="16">
        <f t="shared" si="3"/>
        <v>1020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12601</v>
      </c>
      <c r="B56" s="16">
        <f t="shared" si="3"/>
        <v>111</v>
      </c>
      <c r="C56" s="16">
        <f t="shared" si="3"/>
        <v>1</v>
      </c>
      <c r="D56" s="16">
        <f t="shared" si="3"/>
        <v>260</v>
      </c>
      <c r="E56" s="16">
        <f t="shared" si="3"/>
        <v>1</v>
      </c>
      <c r="F56" s="16">
        <f t="shared" si="3"/>
        <v>1020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13201</v>
      </c>
      <c r="B57" s="16">
        <f t="shared" si="3"/>
        <v>111</v>
      </c>
      <c r="C57" s="16">
        <f t="shared" si="3"/>
        <v>1</v>
      </c>
      <c r="D57" s="16">
        <f t="shared" si="3"/>
        <v>320</v>
      </c>
      <c r="E57" s="16">
        <f t="shared" si="3"/>
        <v>1</v>
      </c>
      <c r="F57" s="16">
        <f t="shared" si="3"/>
        <v>189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13221</v>
      </c>
      <c r="B58" s="16">
        <f t="shared" si="3"/>
        <v>111</v>
      </c>
      <c r="C58" s="16">
        <f t="shared" si="3"/>
        <v>1</v>
      </c>
      <c r="D58" s="16">
        <f t="shared" si="3"/>
        <v>322</v>
      </c>
      <c r="E58" s="16">
        <f t="shared" si="3"/>
        <v>1</v>
      </c>
      <c r="F58" s="16">
        <f t="shared" si="3"/>
        <v>189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13241</v>
      </c>
      <c r="B59" s="16">
        <f t="shared" si="3"/>
        <v>111</v>
      </c>
      <c r="C59" s="16">
        <f t="shared" si="3"/>
        <v>1</v>
      </c>
      <c r="D59" s="16">
        <f t="shared" si="3"/>
        <v>324</v>
      </c>
      <c r="E59" s="16">
        <f t="shared" si="3"/>
        <v>1</v>
      </c>
      <c r="F59" s="16">
        <f t="shared" si="3"/>
        <v>396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13251</v>
      </c>
      <c r="B60" s="16">
        <f t="shared" si="3"/>
        <v>111</v>
      </c>
      <c r="C60" s="16">
        <f t="shared" si="3"/>
        <v>1</v>
      </c>
      <c r="D60" s="16">
        <f t="shared" si="3"/>
        <v>325</v>
      </c>
      <c r="E60" s="16">
        <f t="shared" si="3"/>
        <v>1</v>
      </c>
      <c r="F60" s="16">
        <f t="shared" si="3"/>
        <v>194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13261</v>
      </c>
      <c r="B61" s="16">
        <f t="shared" si="3"/>
        <v>111</v>
      </c>
      <c r="C61" s="16">
        <f t="shared" si="3"/>
        <v>1</v>
      </c>
      <c r="D61" s="16">
        <f t="shared" si="3"/>
        <v>326</v>
      </c>
      <c r="E61" s="16">
        <f t="shared" si="3"/>
        <v>1</v>
      </c>
      <c r="F61" s="16">
        <f t="shared" si="3"/>
        <v>189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01261</v>
      </c>
      <c r="B62" s="16">
        <f t="shared" si="3"/>
        <v>111</v>
      </c>
      <c r="C62" s="16">
        <f t="shared" si="3"/>
        <v>0</v>
      </c>
      <c r="D62" s="16">
        <f t="shared" si="3"/>
        <v>126</v>
      </c>
      <c r="E62" s="16">
        <f t="shared" si="3"/>
        <v>1</v>
      </c>
      <c r="F62" s="16">
        <f t="shared" si="3"/>
        <v>1683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01281</v>
      </c>
      <c r="B63" s="16">
        <f t="shared" si="3"/>
        <v>111</v>
      </c>
      <c r="C63" s="16">
        <f t="shared" si="3"/>
        <v>0</v>
      </c>
      <c r="D63" s="16">
        <f t="shared" si="3"/>
        <v>128</v>
      </c>
      <c r="E63" s="16">
        <f t="shared" si="3"/>
        <v>1</v>
      </c>
      <c r="F63" s="16">
        <f t="shared" si="3"/>
        <v>1683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01301</v>
      </c>
      <c r="B64" s="16">
        <f t="shared" si="3"/>
        <v>111</v>
      </c>
      <c r="C64" s="16">
        <f t="shared" si="3"/>
        <v>0</v>
      </c>
      <c r="D64" s="16">
        <f t="shared" si="3"/>
        <v>130</v>
      </c>
      <c r="E64" s="16">
        <f t="shared" si="3"/>
        <v>1</v>
      </c>
      <c r="F64" s="16">
        <f t="shared" si="3"/>
        <v>1683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01321</v>
      </c>
      <c r="B65" s="16">
        <f t="shared" si="3"/>
        <v>111</v>
      </c>
      <c r="C65" s="16">
        <f t="shared" si="3"/>
        <v>0</v>
      </c>
      <c r="D65" s="16">
        <f t="shared" si="3"/>
        <v>132</v>
      </c>
      <c r="E65" s="16">
        <f t="shared" si="3"/>
        <v>1</v>
      </c>
      <c r="F65" s="16">
        <f t="shared" si="3"/>
        <v>1683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01341</v>
      </c>
      <c r="B66" s="16">
        <f t="shared" si="3"/>
        <v>111</v>
      </c>
      <c r="C66" s="16">
        <f t="shared" si="3"/>
        <v>0</v>
      </c>
      <c r="D66" s="16">
        <f t="shared" si="3"/>
        <v>134</v>
      </c>
      <c r="E66" s="16">
        <f t="shared" si="3"/>
        <v>1</v>
      </c>
      <c r="F66" s="16">
        <f t="shared" si="3"/>
        <v>1683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01361</v>
      </c>
      <c r="B67" s="16">
        <f t="shared" si="3"/>
        <v>111</v>
      </c>
      <c r="C67" s="16">
        <f t="shared" si="3"/>
        <v>0</v>
      </c>
      <c r="D67" s="16">
        <f t="shared" si="3"/>
        <v>136</v>
      </c>
      <c r="E67" s="16">
        <f t="shared" si="3"/>
        <v>1</v>
      </c>
      <c r="F67" s="16">
        <f t="shared" si="3"/>
        <v>1683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01381</v>
      </c>
      <c r="B68" s="16">
        <f t="shared" si="3"/>
        <v>111</v>
      </c>
      <c r="C68" s="16">
        <f t="shared" si="3"/>
        <v>0</v>
      </c>
      <c r="D68" s="16">
        <f t="shared" si="3"/>
        <v>138</v>
      </c>
      <c r="E68" s="16">
        <f t="shared" si="3"/>
        <v>1</v>
      </c>
      <c r="F68" s="16">
        <f t="shared" si="3"/>
        <v>1683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01401</v>
      </c>
      <c r="B69" s="16">
        <f t="shared" si="3"/>
        <v>111</v>
      </c>
      <c r="C69" s="16">
        <f t="shared" si="3"/>
        <v>0</v>
      </c>
      <c r="D69" s="16">
        <f t="shared" si="3"/>
        <v>140</v>
      </c>
      <c r="E69" s="16">
        <f t="shared" si="3"/>
        <v>1</v>
      </c>
      <c r="F69" s="16">
        <f t="shared" si="3"/>
        <v>1683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01421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</v>
      </c>
      <c r="C70" s="16">
        <f t="shared" si="5"/>
        <v>0</v>
      </c>
      <c r="D70" s="16">
        <f t="shared" si="5"/>
        <v>142</v>
      </c>
      <c r="E70" s="16">
        <f t="shared" si="5"/>
        <v>1</v>
      </c>
      <c r="F70" s="16">
        <f t="shared" si="5"/>
        <v>1683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01441</v>
      </c>
      <c r="B71" s="16">
        <f t="shared" si="5"/>
        <v>111</v>
      </c>
      <c r="C71" s="16">
        <f t="shared" si="5"/>
        <v>0</v>
      </c>
      <c r="D71" s="16">
        <f t="shared" si="5"/>
        <v>144</v>
      </c>
      <c r="E71" s="16">
        <f t="shared" si="5"/>
        <v>1</v>
      </c>
      <c r="F71" s="16">
        <f t="shared" si="5"/>
        <v>1683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01461</v>
      </c>
      <c r="B72" s="16">
        <f t="shared" si="5"/>
        <v>111</v>
      </c>
      <c r="C72" s="16">
        <f t="shared" si="5"/>
        <v>0</v>
      </c>
      <c r="D72" s="16">
        <f t="shared" si="5"/>
        <v>146</v>
      </c>
      <c r="E72" s="16">
        <f t="shared" si="5"/>
        <v>1</v>
      </c>
      <c r="F72" s="16">
        <f t="shared" si="5"/>
        <v>1683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01481</v>
      </c>
      <c r="B73" s="16">
        <f t="shared" si="5"/>
        <v>111</v>
      </c>
      <c r="C73" s="16">
        <f t="shared" si="5"/>
        <v>0</v>
      </c>
      <c r="D73" s="16">
        <f t="shared" si="5"/>
        <v>148</v>
      </c>
      <c r="E73" s="16">
        <f t="shared" si="5"/>
        <v>1</v>
      </c>
      <c r="F73" s="16">
        <f t="shared" si="5"/>
        <v>1683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01501</v>
      </c>
      <c r="B74" s="16">
        <f t="shared" si="5"/>
        <v>111</v>
      </c>
      <c r="C74" s="16">
        <f t="shared" si="5"/>
        <v>0</v>
      </c>
      <c r="D74" s="16">
        <f t="shared" si="5"/>
        <v>150</v>
      </c>
      <c r="E74" s="16">
        <f t="shared" si="5"/>
        <v>1</v>
      </c>
      <c r="F74" s="16">
        <f t="shared" si="5"/>
        <v>1683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01521</v>
      </c>
      <c r="B75" s="16">
        <f t="shared" si="5"/>
        <v>111</v>
      </c>
      <c r="C75" s="16">
        <f t="shared" si="5"/>
        <v>0</v>
      </c>
      <c r="D75" s="16">
        <f t="shared" si="5"/>
        <v>152</v>
      </c>
      <c r="E75" s="16">
        <f t="shared" si="5"/>
        <v>1</v>
      </c>
      <c r="F75" s="16">
        <f t="shared" si="5"/>
        <v>1683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01541</v>
      </c>
      <c r="B76" s="16">
        <f t="shared" si="5"/>
        <v>111</v>
      </c>
      <c r="C76" s="16">
        <f t="shared" si="5"/>
        <v>0</v>
      </c>
      <c r="D76" s="16">
        <f t="shared" si="5"/>
        <v>154</v>
      </c>
      <c r="E76" s="16">
        <f t="shared" si="5"/>
        <v>1</v>
      </c>
      <c r="F76" s="16">
        <f t="shared" si="5"/>
        <v>1683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01561</v>
      </c>
      <c r="B77" s="16">
        <f t="shared" si="5"/>
        <v>111</v>
      </c>
      <c r="C77" s="16">
        <f t="shared" si="5"/>
        <v>0</v>
      </c>
      <c r="D77" s="16">
        <f t="shared" si="5"/>
        <v>156</v>
      </c>
      <c r="E77" s="16">
        <f t="shared" si="5"/>
        <v>1</v>
      </c>
      <c r="F77" s="16">
        <f t="shared" si="5"/>
        <v>1683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01581</v>
      </c>
      <c r="B78" s="16">
        <f t="shared" si="5"/>
        <v>111</v>
      </c>
      <c r="C78" s="16">
        <f t="shared" si="5"/>
        <v>0</v>
      </c>
      <c r="D78" s="16">
        <f t="shared" si="5"/>
        <v>158</v>
      </c>
      <c r="E78" s="16">
        <f t="shared" si="5"/>
        <v>1</v>
      </c>
      <c r="F78" s="16">
        <f t="shared" si="5"/>
        <v>1683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01601</v>
      </c>
      <c r="B79" s="16">
        <f t="shared" si="5"/>
        <v>111</v>
      </c>
      <c r="C79" s="16">
        <f t="shared" si="5"/>
        <v>0</v>
      </c>
      <c r="D79" s="16">
        <f t="shared" si="5"/>
        <v>160</v>
      </c>
      <c r="E79" s="16">
        <f t="shared" si="5"/>
        <v>1</v>
      </c>
      <c r="F79" s="16">
        <f t="shared" si="5"/>
        <v>1683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01621</v>
      </c>
      <c r="B80" s="16">
        <f t="shared" si="5"/>
        <v>111</v>
      </c>
      <c r="C80" s="16">
        <f t="shared" si="5"/>
        <v>0</v>
      </c>
      <c r="D80" s="16">
        <f t="shared" si="5"/>
        <v>162</v>
      </c>
      <c r="E80" s="16">
        <f t="shared" si="5"/>
        <v>1</v>
      </c>
      <c r="F80" s="16">
        <f t="shared" si="5"/>
        <v>1683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01641</v>
      </c>
      <c r="B81" s="16">
        <f t="shared" si="5"/>
        <v>111</v>
      </c>
      <c r="C81" s="16">
        <f t="shared" si="5"/>
        <v>0</v>
      </c>
      <c r="D81" s="16">
        <f t="shared" si="5"/>
        <v>164</v>
      </c>
      <c r="E81" s="16">
        <f t="shared" si="5"/>
        <v>1</v>
      </c>
      <c r="F81" s="16">
        <f t="shared" si="5"/>
        <v>1683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01661</v>
      </c>
      <c r="B82" s="16">
        <f t="shared" si="5"/>
        <v>111</v>
      </c>
      <c r="C82" s="16">
        <f t="shared" si="5"/>
        <v>0</v>
      </c>
      <c r="D82" s="16">
        <f t="shared" si="5"/>
        <v>166</v>
      </c>
      <c r="E82" s="16">
        <f t="shared" si="5"/>
        <v>1</v>
      </c>
      <c r="F82" s="16">
        <f t="shared" si="5"/>
        <v>1722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01691</v>
      </c>
      <c r="B83" s="16">
        <f t="shared" si="5"/>
        <v>111</v>
      </c>
      <c r="C83" s="16">
        <f t="shared" si="5"/>
        <v>0</v>
      </c>
      <c r="D83" s="16">
        <f t="shared" si="5"/>
        <v>169</v>
      </c>
      <c r="E83" s="16">
        <f t="shared" si="5"/>
        <v>1</v>
      </c>
      <c r="F83" s="16">
        <f t="shared" si="5"/>
        <v>1722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01721</v>
      </c>
      <c r="B84" s="16">
        <f t="shared" si="5"/>
        <v>111</v>
      </c>
      <c r="C84" s="16">
        <f t="shared" si="5"/>
        <v>0</v>
      </c>
      <c r="D84" s="16">
        <f t="shared" si="5"/>
        <v>172</v>
      </c>
      <c r="E84" s="16">
        <f t="shared" si="5"/>
        <v>1</v>
      </c>
      <c r="F84" s="16">
        <f t="shared" si="5"/>
        <v>1722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01751</v>
      </c>
      <c r="B85" s="16">
        <f t="shared" si="5"/>
        <v>111</v>
      </c>
      <c r="C85" s="16">
        <f t="shared" si="5"/>
        <v>0</v>
      </c>
      <c r="D85" s="16">
        <f t="shared" si="5"/>
        <v>175</v>
      </c>
      <c r="E85" s="16">
        <f t="shared" si="5"/>
        <v>1</v>
      </c>
      <c r="F85" s="16">
        <f t="shared" si="5"/>
        <v>1722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01781</v>
      </c>
      <c r="B86" s="16">
        <f t="shared" si="5"/>
        <v>111</v>
      </c>
      <c r="C86" s="16">
        <f t="shared" si="5"/>
        <v>0</v>
      </c>
      <c r="D86" s="16">
        <f t="shared" si="5"/>
        <v>178</v>
      </c>
      <c r="E86" s="16">
        <f t="shared" si="5"/>
        <v>1</v>
      </c>
      <c r="F86" s="16">
        <f t="shared" si="5"/>
        <v>1722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01811</v>
      </c>
      <c r="B87" s="16">
        <f t="shared" si="5"/>
        <v>111</v>
      </c>
      <c r="C87" s="16">
        <f t="shared" si="5"/>
        <v>0</v>
      </c>
      <c r="D87" s="16">
        <f t="shared" si="5"/>
        <v>181</v>
      </c>
      <c r="E87" s="16">
        <f t="shared" si="5"/>
        <v>1</v>
      </c>
      <c r="F87" s="16">
        <f t="shared" si="5"/>
        <v>1722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01841</v>
      </c>
      <c r="B88" s="16">
        <f t="shared" si="5"/>
        <v>111</v>
      </c>
      <c r="C88" s="16">
        <f t="shared" si="5"/>
        <v>0</v>
      </c>
      <c r="D88" s="16">
        <f t="shared" si="5"/>
        <v>184</v>
      </c>
      <c r="E88" s="16">
        <f t="shared" si="5"/>
        <v>1</v>
      </c>
      <c r="F88" s="16">
        <f t="shared" si="5"/>
        <v>1722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01871</v>
      </c>
      <c r="B89" s="16">
        <f t="shared" si="5"/>
        <v>111</v>
      </c>
      <c r="C89" s="16">
        <f t="shared" si="5"/>
        <v>0</v>
      </c>
      <c r="D89" s="16">
        <f t="shared" si="5"/>
        <v>187</v>
      </c>
      <c r="E89" s="16">
        <f t="shared" si="5"/>
        <v>1</v>
      </c>
      <c r="F89" s="16">
        <f t="shared" si="5"/>
        <v>1722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01901</v>
      </c>
      <c r="B90" s="16">
        <f t="shared" si="5"/>
        <v>111</v>
      </c>
      <c r="C90" s="16">
        <f t="shared" si="5"/>
        <v>0</v>
      </c>
      <c r="D90" s="16">
        <f t="shared" si="5"/>
        <v>190</v>
      </c>
      <c r="E90" s="16">
        <f t="shared" si="5"/>
        <v>1</v>
      </c>
      <c r="F90" s="16">
        <f t="shared" si="5"/>
        <v>1722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01931</v>
      </c>
      <c r="B91" s="16">
        <f t="shared" si="5"/>
        <v>111</v>
      </c>
      <c r="C91" s="16">
        <f t="shared" si="5"/>
        <v>0</v>
      </c>
      <c r="D91" s="16">
        <f t="shared" si="5"/>
        <v>193</v>
      </c>
      <c r="E91" s="16">
        <f t="shared" si="5"/>
        <v>1</v>
      </c>
      <c r="F91" s="16">
        <f t="shared" si="5"/>
        <v>1722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01961</v>
      </c>
      <c r="B92" s="16">
        <f t="shared" si="5"/>
        <v>111</v>
      </c>
      <c r="C92" s="16">
        <f t="shared" si="5"/>
        <v>0</v>
      </c>
      <c r="D92" s="16">
        <f t="shared" si="5"/>
        <v>196</v>
      </c>
      <c r="E92" s="16">
        <f t="shared" si="5"/>
        <v>1</v>
      </c>
      <c r="F92" s="16">
        <f t="shared" si="5"/>
        <v>1722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01991</v>
      </c>
      <c r="B93" s="16">
        <f t="shared" si="5"/>
        <v>111</v>
      </c>
      <c r="C93" s="16">
        <f t="shared" si="5"/>
        <v>0</v>
      </c>
      <c r="D93" s="16">
        <f t="shared" si="5"/>
        <v>199</v>
      </c>
      <c r="E93" s="16">
        <f t="shared" si="5"/>
        <v>1</v>
      </c>
      <c r="F93" s="16">
        <f t="shared" si="5"/>
        <v>1722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02021</v>
      </c>
      <c r="B94" s="16">
        <f t="shared" si="5"/>
        <v>111</v>
      </c>
      <c r="C94" s="16">
        <f t="shared" si="5"/>
        <v>0</v>
      </c>
      <c r="D94" s="16">
        <f t="shared" si="5"/>
        <v>202</v>
      </c>
      <c r="E94" s="16">
        <f t="shared" si="5"/>
        <v>1</v>
      </c>
      <c r="F94" s="16">
        <f t="shared" si="5"/>
        <v>1722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02051</v>
      </c>
      <c r="B95" s="16">
        <f t="shared" si="5"/>
        <v>111</v>
      </c>
      <c r="C95" s="16">
        <f t="shared" si="5"/>
        <v>0</v>
      </c>
      <c r="D95" s="16">
        <f t="shared" si="5"/>
        <v>205</v>
      </c>
      <c r="E95" s="16">
        <f t="shared" si="5"/>
        <v>1</v>
      </c>
      <c r="F95" s="16">
        <f t="shared" si="5"/>
        <v>1722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02081</v>
      </c>
      <c r="B96" s="16">
        <f t="shared" si="6"/>
        <v>111</v>
      </c>
      <c r="C96" s="16">
        <f t="shared" si="6"/>
        <v>0</v>
      </c>
      <c r="D96" s="16">
        <f t="shared" si="6"/>
        <v>208</v>
      </c>
      <c r="E96" s="16">
        <f t="shared" si="6"/>
        <v>1</v>
      </c>
      <c r="F96" s="16">
        <f t="shared" si="6"/>
        <v>1722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02111</v>
      </c>
      <c r="B97" s="16">
        <f t="shared" si="6"/>
        <v>111</v>
      </c>
      <c r="C97" s="16">
        <f t="shared" si="6"/>
        <v>0</v>
      </c>
      <c r="D97" s="16">
        <f t="shared" si="6"/>
        <v>211</v>
      </c>
      <c r="E97" s="16">
        <f t="shared" si="6"/>
        <v>1</v>
      </c>
      <c r="F97" s="16">
        <f t="shared" si="6"/>
        <v>1722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02141</v>
      </c>
      <c r="B98" s="16">
        <f t="shared" si="6"/>
        <v>111</v>
      </c>
      <c r="C98" s="16">
        <f t="shared" si="6"/>
        <v>0</v>
      </c>
      <c r="D98" s="16">
        <f t="shared" si="6"/>
        <v>214</v>
      </c>
      <c r="E98" s="16">
        <f t="shared" si="6"/>
        <v>1</v>
      </c>
      <c r="F98" s="16">
        <f t="shared" si="6"/>
        <v>1722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02171</v>
      </c>
      <c r="B99" s="16">
        <f t="shared" si="6"/>
        <v>111</v>
      </c>
      <c r="C99" s="16">
        <f t="shared" si="6"/>
        <v>0</v>
      </c>
      <c r="D99" s="16">
        <f t="shared" si="6"/>
        <v>217</v>
      </c>
      <c r="E99" s="16">
        <f t="shared" si="6"/>
        <v>1</v>
      </c>
      <c r="F99" s="16">
        <f t="shared" si="6"/>
        <v>1722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02201</v>
      </c>
      <c r="B100" s="16">
        <f t="shared" si="6"/>
        <v>111</v>
      </c>
      <c r="C100" s="16">
        <f t="shared" si="6"/>
        <v>0</v>
      </c>
      <c r="D100" s="16">
        <f t="shared" si="6"/>
        <v>220</v>
      </c>
      <c r="E100" s="16">
        <f t="shared" si="6"/>
        <v>1</v>
      </c>
      <c r="F100" s="16">
        <f t="shared" si="6"/>
        <v>1722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02231</v>
      </c>
      <c r="B101" s="16">
        <f t="shared" si="6"/>
        <v>111</v>
      </c>
      <c r="C101" s="16">
        <f t="shared" si="6"/>
        <v>0</v>
      </c>
      <c r="D101" s="16">
        <f t="shared" si="6"/>
        <v>223</v>
      </c>
      <c r="E101" s="16">
        <f t="shared" si="6"/>
        <v>1</v>
      </c>
      <c r="F101" s="16">
        <f t="shared" si="6"/>
        <v>1722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02261</v>
      </c>
      <c r="B102" s="16">
        <f t="shared" si="6"/>
        <v>111</v>
      </c>
      <c r="C102" s="16">
        <f t="shared" si="6"/>
        <v>0</v>
      </c>
      <c r="D102" s="16">
        <f t="shared" si="6"/>
        <v>226</v>
      </c>
      <c r="E102" s="16">
        <f t="shared" si="6"/>
        <v>1</v>
      </c>
      <c r="F102" s="16">
        <f t="shared" si="6"/>
        <v>929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02321</v>
      </c>
      <c r="B103" s="16">
        <f t="shared" si="6"/>
        <v>111</v>
      </c>
      <c r="C103" s="16">
        <f t="shared" si="6"/>
        <v>0</v>
      </c>
      <c r="D103" s="16">
        <f t="shared" si="6"/>
        <v>232</v>
      </c>
      <c r="E103" s="16">
        <f t="shared" si="6"/>
        <v>1</v>
      </c>
      <c r="F103" s="16">
        <f t="shared" si="6"/>
        <v>929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02351</v>
      </c>
      <c r="B104" s="16">
        <f t="shared" si="6"/>
        <v>111</v>
      </c>
      <c r="C104" s="16">
        <f t="shared" si="6"/>
        <v>0</v>
      </c>
      <c r="D104" s="16">
        <f t="shared" si="6"/>
        <v>235</v>
      </c>
      <c r="E104" s="16">
        <f t="shared" si="6"/>
        <v>1</v>
      </c>
      <c r="F104" s="16">
        <f t="shared" si="6"/>
        <v>929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01271</v>
      </c>
      <c r="B105" s="16">
        <f t="shared" si="6"/>
        <v>111</v>
      </c>
      <c r="C105" s="16">
        <f t="shared" si="6"/>
        <v>0</v>
      </c>
      <c r="D105" s="16">
        <f t="shared" si="6"/>
        <v>127</v>
      </c>
      <c r="E105" s="16">
        <f t="shared" si="6"/>
        <v>1</v>
      </c>
      <c r="F105" s="16">
        <f t="shared" si="6"/>
        <v>477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01291</v>
      </c>
      <c r="B106" s="16">
        <f t="shared" si="6"/>
        <v>111</v>
      </c>
      <c r="C106" s="16">
        <f t="shared" si="6"/>
        <v>0</v>
      </c>
      <c r="D106" s="16">
        <f t="shared" si="6"/>
        <v>129</v>
      </c>
      <c r="E106" s="16">
        <f t="shared" si="6"/>
        <v>1</v>
      </c>
      <c r="F106" s="16">
        <f t="shared" si="6"/>
        <v>477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01311</v>
      </c>
      <c r="B107" s="16">
        <f t="shared" si="6"/>
        <v>111</v>
      </c>
      <c r="C107" s="16">
        <f t="shared" si="6"/>
        <v>0</v>
      </c>
      <c r="D107" s="16">
        <f t="shared" si="6"/>
        <v>131</v>
      </c>
      <c r="E107" s="16">
        <f t="shared" si="6"/>
        <v>1</v>
      </c>
      <c r="F107" s="16">
        <f t="shared" si="6"/>
        <v>477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01331</v>
      </c>
      <c r="B108" s="16">
        <f t="shared" si="6"/>
        <v>111</v>
      </c>
      <c r="C108" s="16">
        <f t="shared" si="6"/>
        <v>0</v>
      </c>
      <c r="D108" s="16">
        <f t="shared" si="6"/>
        <v>133</v>
      </c>
      <c r="E108" s="16">
        <f t="shared" si="6"/>
        <v>1</v>
      </c>
      <c r="F108" s="16">
        <f t="shared" si="6"/>
        <v>477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01351</v>
      </c>
      <c r="B109" s="16">
        <f t="shared" si="6"/>
        <v>111</v>
      </c>
      <c r="C109" s="16">
        <f t="shared" si="6"/>
        <v>0</v>
      </c>
      <c r="D109" s="16">
        <f t="shared" si="6"/>
        <v>135</v>
      </c>
      <c r="E109" s="16">
        <f t="shared" si="6"/>
        <v>1</v>
      </c>
      <c r="F109" s="16">
        <f t="shared" si="6"/>
        <v>477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01371</v>
      </c>
      <c r="B110" s="16">
        <f t="shared" si="6"/>
        <v>111</v>
      </c>
      <c r="C110" s="16">
        <f t="shared" si="6"/>
        <v>0</v>
      </c>
      <c r="D110" s="16">
        <f t="shared" si="6"/>
        <v>137</v>
      </c>
      <c r="E110" s="16">
        <f t="shared" si="6"/>
        <v>1</v>
      </c>
      <c r="F110" s="16">
        <f t="shared" si="6"/>
        <v>477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01391</v>
      </c>
      <c r="B111" s="16">
        <f t="shared" si="6"/>
        <v>111</v>
      </c>
      <c r="C111" s="16">
        <f t="shared" si="6"/>
        <v>0</v>
      </c>
      <c r="D111" s="16">
        <f t="shared" si="6"/>
        <v>139</v>
      </c>
      <c r="E111" s="16">
        <f t="shared" si="6"/>
        <v>1</v>
      </c>
      <c r="F111" s="16">
        <f t="shared" si="6"/>
        <v>477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01411</v>
      </c>
      <c r="B112" s="16">
        <f t="shared" si="6"/>
        <v>111</v>
      </c>
      <c r="C112" s="16">
        <f t="shared" si="6"/>
        <v>0</v>
      </c>
      <c r="D112" s="16">
        <f t="shared" si="6"/>
        <v>141</v>
      </c>
      <c r="E112" s="16">
        <f t="shared" si="6"/>
        <v>1</v>
      </c>
      <c r="F112" s="16">
        <f t="shared" si="6"/>
        <v>477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01431</v>
      </c>
      <c r="B113" s="16">
        <f t="shared" si="6"/>
        <v>111</v>
      </c>
      <c r="C113" s="16">
        <f t="shared" si="6"/>
        <v>0</v>
      </c>
      <c r="D113" s="16">
        <f t="shared" si="6"/>
        <v>143</v>
      </c>
      <c r="E113" s="16">
        <f t="shared" si="6"/>
        <v>1</v>
      </c>
      <c r="F113" s="16">
        <f t="shared" si="6"/>
        <v>477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01451</v>
      </c>
      <c r="B114" s="16">
        <f t="shared" si="6"/>
        <v>111</v>
      </c>
      <c r="C114" s="16">
        <f t="shared" si="6"/>
        <v>0</v>
      </c>
      <c r="D114" s="16">
        <f t="shared" si="6"/>
        <v>145</v>
      </c>
      <c r="E114" s="16">
        <f t="shared" si="6"/>
        <v>1</v>
      </c>
      <c r="F114" s="16">
        <f t="shared" si="6"/>
        <v>477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01471</v>
      </c>
      <c r="B115" s="16">
        <f t="shared" si="6"/>
        <v>111</v>
      </c>
      <c r="C115" s="16">
        <f t="shared" si="6"/>
        <v>0</v>
      </c>
      <c r="D115" s="16">
        <f t="shared" si="6"/>
        <v>147</v>
      </c>
      <c r="E115" s="16">
        <f t="shared" si="6"/>
        <v>1</v>
      </c>
      <c r="F115" s="16">
        <f t="shared" si="6"/>
        <v>477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01491</v>
      </c>
      <c r="B116" s="16">
        <f t="shared" si="6"/>
        <v>111</v>
      </c>
      <c r="C116" s="16">
        <f t="shared" si="6"/>
        <v>0</v>
      </c>
      <c r="D116" s="16">
        <f t="shared" si="6"/>
        <v>149</v>
      </c>
      <c r="E116" s="16">
        <f t="shared" si="6"/>
        <v>1</v>
      </c>
      <c r="F116" s="16">
        <f t="shared" si="6"/>
        <v>477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01511</v>
      </c>
      <c r="B117" s="16">
        <f t="shared" si="6"/>
        <v>111</v>
      </c>
      <c r="C117" s="16">
        <f t="shared" si="6"/>
        <v>0</v>
      </c>
      <c r="D117" s="16">
        <f t="shared" si="6"/>
        <v>151</v>
      </c>
      <c r="E117" s="16">
        <f t="shared" si="6"/>
        <v>1</v>
      </c>
      <c r="F117" s="16">
        <f t="shared" si="6"/>
        <v>477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01531</v>
      </c>
      <c r="B118" s="16">
        <f t="shared" si="6"/>
        <v>111</v>
      </c>
      <c r="C118" s="16">
        <f t="shared" si="6"/>
        <v>0</v>
      </c>
      <c r="D118" s="16">
        <f t="shared" si="6"/>
        <v>153</v>
      </c>
      <c r="E118" s="16">
        <f t="shared" si="6"/>
        <v>1</v>
      </c>
      <c r="F118" s="16">
        <f t="shared" si="6"/>
        <v>477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01551</v>
      </c>
      <c r="B119" s="16">
        <f t="shared" si="6"/>
        <v>111</v>
      </c>
      <c r="C119" s="16">
        <f t="shared" si="6"/>
        <v>0</v>
      </c>
      <c r="D119" s="16">
        <f t="shared" si="6"/>
        <v>155</v>
      </c>
      <c r="E119" s="16">
        <f t="shared" si="6"/>
        <v>1</v>
      </c>
      <c r="F119" s="16">
        <f t="shared" si="6"/>
        <v>477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01571</v>
      </c>
      <c r="B120" s="16">
        <f t="shared" si="6"/>
        <v>111</v>
      </c>
      <c r="C120" s="16">
        <f t="shared" si="6"/>
        <v>0</v>
      </c>
      <c r="D120" s="16">
        <f t="shared" si="6"/>
        <v>157</v>
      </c>
      <c r="E120" s="16">
        <f t="shared" si="6"/>
        <v>1</v>
      </c>
      <c r="F120" s="16">
        <f t="shared" si="6"/>
        <v>477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01591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111</v>
      </c>
      <c r="C121" s="16">
        <f t="shared" si="7"/>
        <v>0</v>
      </c>
      <c r="D121" s="16">
        <f t="shared" si="7"/>
        <v>159</v>
      </c>
      <c r="E121" s="16">
        <f t="shared" si="7"/>
        <v>1</v>
      </c>
      <c r="F121" s="16">
        <f t="shared" si="7"/>
        <v>477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01611</v>
      </c>
      <c r="B122" s="16">
        <f t="shared" si="7"/>
        <v>111</v>
      </c>
      <c r="C122" s="16">
        <f t="shared" si="7"/>
        <v>0</v>
      </c>
      <c r="D122" s="16">
        <f t="shared" si="7"/>
        <v>161</v>
      </c>
      <c r="E122" s="16">
        <f t="shared" si="7"/>
        <v>1</v>
      </c>
      <c r="F122" s="16">
        <f t="shared" si="7"/>
        <v>477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01631</v>
      </c>
      <c r="B123" s="16">
        <f t="shared" si="7"/>
        <v>111</v>
      </c>
      <c r="C123" s="16">
        <f t="shared" si="7"/>
        <v>0</v>
      </c>
      <c r="D123" s="16">
        <f t="shared" si="7"/>
        <v>163</v>
      </c>
      <c r="E123" s="16">
        <f t="shared" si="7"/>
        <v>1</v>
      </c>
      <c r="F123" s="16">
        <f t="shared" si="7"/>
        <v>477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01651</v>
      </c>
      <c r="B124" s="16">
        <f t="shared" si="7"/>
        <v>111</v>
      </c>
      <c r="C124" s="16">
        <f t="shared" si="7"/>
        <v>0</v>
      </c>
      <c r="D124" s="16">
        <f t="shared" si="7"/>
        <v>165</v>
      </c>
      <c r="E124" s="16">
        <f t="shared" si="7"/>
        <v>1</v>
      </c>
      <c r="F124" s="16">
        <f t="shared" si="7"/>
        <v>477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01671</v>
      </c>
      <c r="B125" s="16">
        <f t="shared" si="7"/>
        <v>111</v>
      </c>
      <c r="C125" s="16">
        <f t="shared" si="7"/>
        <v>0</v>
      </c>
      <c r="D125" s="16">
        <f t="shared" si="7"/>
        <v>167</v>
      </c>
      <c r="E125" s="16">
        <f t="shared" si="7"/>
        <v>1</v>
      </c>
      <c r="F125" s="16">
        <f t="shared" si="7"/>
        <v>477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01701</v>
      </c>
      <c r="B126" s="16">
        <f t="shared" si="7"/>
        <v>111</v>
      </c>
      <c r="C126" s="16">
        <f t="shared" si="7"/>
        <v>0</v>
      </c>
      <c r="D126" s="16">
        <f t="shared" si="7"/>
        <v>170</v>
      </c>
      <c r="E126" s="16">
        <f t="shared" si="7"/>
        <v>1</v>
      </c>
      <c r="F126" s="16">
        <f t="shared" si="7"/>
        <v>477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01731</v>
      </c>
      <c r="B127" s="16">
        <f t="shared" si="7"/>
        <v>111</v>
      </c>
      <c r="C127" s="16">
        <f t="shared" si="7"/>
        <v>0</v>
      </c>
      <c r="D127" s="16">
        <f t="shared" si="7"/>
        <v>173</v>
      </c>
      <c r="E127" s="16">
        <f t="shared" si="7"/>
        <v>1</v>
      </c>
      <c r="F127" s="16">
        <f t="shared" si="7"/>
        <v>477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01761</v>
      </c>
      <c r="B128" s="16">
        <f t="shared" si="7"/>
        <v>111</v>
      </c>
      <c r="C128" s="16">
        <f t="shared" si="7"/>
        <v>0</v>
      </c>
      <c r="D128" s="16">
        <f t="shared" si="7"/>
        <v>176</v>
      </c>
      <c r="E128" s="16">
        <f t="shared" si="7"/>
        <v>1</v>
      </c>
      <c r="F128" s="16">
        <f t="shared" si="7"/>
        <v>477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01791</v>
      </c>
      <c r="B129" s="16">
        <f t="shared" si="7"/>
        <v>111</v>
      </c>
      <c r="C129" s="16">
        <f t="shared" si="7"/>
        <v>0</v>
      </c>
      <c r="D129" s="16">
        <f t="shared" si="7"/>
        <v>179</v>
      </c>
      <c r="E129" s="16">
        <f t="shared" si="7"/>
        <v>1</v>
      </c>
      <c r="F129" s="16">
        <f t="shared" si="7"/>
        <v>477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01821</v>
      </c>
      <c r="B130" s="16">
        <f t="shared" si="7"/>
        <v>111</v>
      </c>
      <c r="C130" s="16">
        <f t="shared" si="7"/>
        <v>0</v>
      </c>
      <c r="D130" s="16">
        <f t="shared" si="7"/>
        <v>182</v>
      </c>
      <c r="E130" s="16">
        <f t="shared" si="7"/>
        <v>1</v>
      </c>
      <c r="F130" s="16">
        <f t="shared" si="7"/>
        <v>477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70" si="8">INDIRECT(ADDRESS(ROW()+$A$1,COLUMN(),1,TRUE,$C$1))</f>
        <v>01851</v>
      </c>
      <c r="B131" s="16">
        <f t="shared" si="7"/>
        <v>111</v>
      </c>
      <c r="C131" s="16">
        <f t="shared" si="7"/>
        <v>0</v>
      </c>
      <c r="D131" s="16">
        <f t="shared" si="7"/>
        <v>185</v>
      </c>
      <c r="E131" s="16">
        <f t="shared" si="7"/>
        <v>1</v>
      </c>
      <c r="F131" s="16">
        <f t="shared" si="7"/>
        <v>477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01881</v>
      </c>
      <c r="B132" s="16">
        <f t="shared" si="7"/>
        <v>111</v>
      </c>
      <c r="C132" s="16">
        <f t="shared" si="7"/>
        <v>0</v>
      </c>
      <c r="D132" s="16">
        <f t="shared" si="7"/>
        <v>188</v>
      </c>
      <c r="E132" s="16">
        <f t="shared" si="7"/>
        <v>1</v>
      </c>
      <c r="F132" s="16">
        <f t="shared" si="7"/>
        <v>477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01911</v>
      </c>
      <c r="B133" s="16">
        <f t="shared" si="7"/>
        <v>111</v>
      </c>
      <c r="C133" s="16">
        <f t="shared" si="7"/>
        <v>0</v>
      </c>
      <c r="D133" s="16">
        <f t="shared" si="7"/>
        <v>191</v>
      </c>
      <c r="E133" s="16">
        <f t="shared" si="7"/>
        <v>1</v>
      </c>
      <c r="F133" s="16">
        <f t="shared" si="7"/>
        <v>477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01941</v>
      </c>
      <c r="B134" s="16">
        <f t="shared" si="7"/>
        <v>111</v>
      </c>
      <c r="C134" s="16">
        <f t="shared" si="7"/>
        <v>0</v>
      </c>
      <c r="D134" s="16">
        <f t="shared" si="7"/>
        <v>194</v>
      </c>
      <c r="E134" s="16">
        <f t="shared" si="7"/>
        <v>1</v>
      </c>
      <c r="F134" s="16">
        <f t="shared" si="7"/>
        <v>477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01971</v>
      </c>
      <c r="B135" s="16">
        <f t="shared" si="7"/>
        <v>111</v>
      </c>
      <c r="C135" s="16">
        <f t="shared" si="7"/>
        <v>0</v>
      </c>
      <c r="D135" s="16">
        <f t="shared" si="7"/>
        <v>197</v>
      </c>
      <c r="E135" s="16">
        <f t="shared" si="7"/>
        <v>1</v>
      </c>
      <c r="F135" s="16">
        <f t="shared" si="7"/>
        <v>477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02001</v>
      </c>
      <c r="B136" s="16">
        <f t="shared" si="7"/>
        <v>111</v>
      </c>
      <c r="C136" s="16">
        <f t="shared" si="7"/>
        <v>0</v>
      </c>
      <c r="D136" s="16">
        <f t="shared" si="7"/>
        <v>200</v>
      </c>
      <c r="E136" s="16">
        <f t="shared" si="7"/>
        <v>1</v>
      </c>
      <c r="F136" s="16">
        <f t="shared" si="7"/>
        <v>477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02031</v>
      </c>
      <c r="B137" s="16">
        <f t="shared" si="7"/>
        <v>111</v>
      </c>
      <c r="C137" s="16">
        <f t="shared" si="7"/>
        <v>0</v>
      </c>
      <c r="D137" s="16">
        <f t="shared" si="7"/>
        <v>203</v>
      </c>
      <c r="E137" s="16">
        <f t="shared" si="7"/>
        <v>1</v>
      </c>
      <c r="F137" s="16">
        <f t="shared" si="7"/>
        <v>477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02061</v>
      </c>
      <c r="B138" s="16">
        <f t="shared" si="7"/>
        <v>111</v>
      </c>
      <c r="C138" s="16">
        <f t="shared" si="7"/>
        <v>0</v>
      </c>
      <c r="D138" s="16">
        <f t="shared" si="7"/>
        <v>206</v>
      </c>
      <c r="E138" s="16">
        <f t="shared" si="7"/>
        <v>1</v>
      </c>
      <c r="F138" s="16">
        <f t="shared" si="7"/>
        <v>477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02091</v>
      </c>
      <c r="B139" s="16">
        <f t="shared" si="7"/>
        <v>111</v>
      </c>
      <c r="C139" s="16">
        <f t="shared" si="7"/>
        <v>0</v>
      </c>
      <c r="D139" s="16">
        <f t="shared" si="7"/>
        <v>209</v>
      </c>
      <c r="E139" s="16">
        <f t="shared" si="7"/>
        <v>1</v>
      </c>
      <c r="F139" s="16">
        <f t="shared" si="7"/>
        <v>477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02121</v>
      </c>
      <c r="B140" s="16">
        <f t="shared" si="7"/>
        <v>111</v>
      </c>
      <c r="C140" s="16">
        <f t="shared" si="7"/>
        <v>0</v>
      </c>
      <c r="D140" s="16">
        <f t="shared" si="7"/>
        <v>212</v>
      </c>
      <c r="E140" s="16">
        <f t="shared" si="7"/>
        <v>1</v>
      </c>
      <c r="F140" s="16">
        <f t="shared" si="7"/>
        <v>477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02151</v>
      </c>
      <c r="B141" s="16">
        <f t="shared" si="7"/>
        <v>111</v>
      </c>
      <c r="C141" s="16">
        <f t="shared" si="7"/>
        <v>0</v>
      </c>
      <c r="D141" s="16">
        <f t="shared" si="7"/>
        <v>215</v>
      </c>
      <c r="E141" s="16">
        <f t="shared" si="7"/>
        <v>1</v>
      </c>
      <c r="F141" s="16">
        <f t="shared" si="7"/>
        <v>477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02181</v>
      </c>
      <c r="B142" s="16">
        <f t="shared" si="7"/>
        <v>111</v>
      </c>
      <c r="C142" s="16">
        <f t="shared" si="7"/>
        <v>0</v>
      </c>
      <c r="D142" s="16">
        <f t="shared" si="7"/>
        <v>218</v>
      </c>
      <c r="E142" s="16">
        <f t="shared" si="7"/>
        <v>1</v>
      </c>
      <c r="F142" s="16">
        <f t="shared" si="7"/>
        <v>477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02211</v>
      </c>
      <c r="B143" s="16">
        <f t="shared" si="7"/>
        <v>111</v>
      </c>
      <c r="C143" s="16">
        <f t="shared" si="7"/>
        <v>0</v>
      </c>
      <c r="D143" s="16">
        <f t="shared" si="7"/>
        <v>221</v>
      </c>
      <c r="E143" s="16">
        <f t="shared" si="7"/>
        <v>1</v>
      </c>
      <c r="F143" s="16">
        <f t="shared" si="7"/>
        <v>477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02241</v>
      </c>
      <c r="B144" s="16">
        <f t="shared" si="7"/>
        <v>111</v>
      </c>
      <c r="C144" s="16">
        <f t="shared" si="7"/>
        <v>0</v>
      </c>
      <c r="D144" s="16">
        <f t="shared" si="7"/>
        <v>224</v>
      </c>
      <c r="E144" s="16">
        <f t="shared" si="7"/>
        <v>1</v>
      </c>
      <c r="F144" s="16">
        <f t="shared" si="7"/>
        <v>477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02271</v>
      </c>
      <c r="B145" s="16">
        <f t="shared" si="7"/>
        <v>111</v>
      </c>
      <c r="C145" s="16">
        <f t="shared" si="7"/>
        <v>0</v>
      </c>
      <c r="D145" s="16">
        <f t="shared" si="7"/>
        <v>227</v>
      </c>
      <c r="E145" s="16">
        <f t="shared" si="7"/>
        <v>1</v>
      </c>
      <c r="F145" s="16">
        <f t="shared" si="7"/>
        <v>436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02301</v>
      </c>
      <c r="B146" s="16">
        <f t="shared" si="7"/>
        <v>111</v>
      </c>
      <c r="C146" s="16">
        <f t="shared" si="7"/>
        <v>0</v>
      </c>
      <c r="D146" s="16">
        <f t="shared" si="7"/>
        <v>230</v>
      </c>
      <c r="E146" s="16">
        <f t="shared" si="7"/>
        <v>1</v>
      </c>
      <c r="F146" s="16">
        <f t="shared" si="7"/>
        <v>1308</v>
      </c>
      <c r="G146" s="16">
        <f t="shared" ref="B146:K170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02331</v>
      </c>
      <c r="B147" s="16">
        <f t="shared" si="9"/>
        <v>111</v>
      </c>
      <c r="C147" s="16">
        <f t="shared" si="9"/>
        <v>0</v>
      </c>
      <c r="D147" s="16">
        <f t="shared" si="9"/>
        <v>233</v>
      </c>
      <c r="E147" s="16">
        <f t="shared" si="9"/>
        <v>1</v>
      </c>
      <c r="F147" s="16">
        <f t="shared" si="9"/>
        <v>436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02361</v>
      </c>
      <c r="B148" s="16">
        <f t="shared" si="9"/>
        <v>111</v>
      </c>
      <c r="C148" s="16">
        <f t="shared" si="9"/>
        <v>0</v>
      </c>
      <c r="D148" s="16">
        <f t="shared" si="9"/>
        <v>236</v>
      </c>
      <c r="E148" s="16">
        <f t="shared" si="9"/>
        <v>1</v>
      </c>
      <c r="F148" s="16">
        <f t="shared" si="9"/>
        <v>436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02311</v>
      </c>
      <c r="B149" s="16">
        <f t="shared" si="9"/>
        <v>111</v>
      </c>
      <c r="C149" s="16">
        <f t="shared" si="9"/>
        <v>0</v>
      </c>
      <c r="D149" s="16">
        <f t="shared" si="9"/>
        <v>231</v>
      </c>
      <c r="E149" s="16">
        <f t="shared" si="9"/>
        <v>1</v>
      </c>
      <c r="F149" s="16">
        <f t="shared" si="9"/>
        <v>1962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02381</v>
      </c>
      <c r="B150" s="16">
        <f t="shared" si="9"/>
        <v>111</v>
      </c>
      <c r="C150" s="16">
        <f t="shared" si="9"/>
        <v>0</v>
      </c>
      <c r="D150" s="16">
        <f t="shared" si="9"/>
        <v>238</v>
      </c>
      <c r="E150" s="16">
        <f t="shared" si="9"/>
        <v>1</v>
      </c>
      <c r="F150" s="16">
        <f t="shared" si="9"/>
        <v>929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02391</v>
      </c>
      <c r="B151" s="16">
        <f t="shared" si="9"/>
        <v>111</v>
      </c>
      <c r="C151" s="16">
        <f t="shared" si="9"/>
        <v>0</v>
      </c>
      <c r="D151" s="16">
        <f t="shared" si="9"/>
        <v>239</v>
      </c>
      <c r="E151" s="16">
        <f t="shared" si="9"/>
        <v>1</v>
      </c>
      <c r="F151" s="16">
        <f t="shared" si="9"/>
        <v>436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02411</v>
      </c>
      <c r="B152" s="16">
        <f t="shared" si="9"/>
        <v>111</v>
      </c>
      <c r="C152" s="16">
        <f t="shared" si="9"/>
        <v>0</v>
      </c>
      <c r="D152" s="16">
        <f t="shared" si="9"/>
        <v>241</v>
      </c>
      <c r="E152" s="16">
        <f t="shared" si="9"/>
        <v>1</v>
      </c>
      <c r="F152" s="16">
        <f t="shared" si="9"/>
        <v>929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02421</v>
      </c>
      <c r="B153" s="16">
        <f t="shared" si="9"/>
        <v>111</v>
      </c>
      <c r="C153" s="16">
        <f t="shared" si="9"/>
        <v>0</v>
      </c>
      <c r="D153" s="16">
        <f t="shared" si="9"/>
        <v>242</v>
      </c>
      <c r="E153" s="16">
        <f t="shared" si="9"/>
        <v>1</v>
      </c>
      <c r="F153" s="16">
        <f t="shared" si="9"/>
        <v>436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02441</v>
      </c>
      <c r="B154" s="16">
        <f t="shared" si="9"/>
        <v>111</v>
      </c>
      <c r="C154" s="16">
        <f t="shared" si="9"/>
        <v>0</v>
      </c>
      <c r="D154" s="16">
        <f t="shared" si="9"/>
        <v>244</v>
      </c>
      <c r="E154" s="16">
        <f t="shared" si="9"/>
        <v>1</v>
      </c>
      <c r="F154" s="16">
        <f t="shared" si="9"/>
        <v>929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02451</v>
      </c>
      <c r="B155" s="16">
        <f t="shared" si="9"/>
        <v>111</v>
      </c>
      <c r="C155" s="16">
        <f t="shared" si="9"/>
        <v>0</v>
      </c>
      <c r="D155" s="16">
        <f t="shared" si="9"/>
        <v>245</v>
      </c>
      <c r="E155" s="16">
        <f t="shared" si="9"/>
        <v>1</v>
      </c>
      <c r="F155" s="16">
        <f t="shared" si="9"/>
        <v>436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02481</v>
      </c>
      <c r="B156" s="16">
        <f t="shared" si="9"/>
        <v>111</v>
      </c>
      <c r="C156" s="16">
        <f t="shared" si="9"/>
        <v>0</v>
      </c>
      <c r="D156" s="16">
        <f t="shared" si="9"/>
        <v>248</v>
      </c>
      <c r="E156" s="16">
        <f t="shared" si="9"/>
        <v>1</v>
      </c>
      <c r="F156" s="16">
        <f t="shared" si="9"/>
        <v>1308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02491</v>
      </c>
      <c r="B157" s="16">
        <f t="shared" si="9"/>
        <v>111</v>
      </c>
      <c r="C157" s="16">
        <f t="shared" si="9"/>
        <v>0</v>
      </c>
      <c r="D157" s="16">
        <f t="shared" si="9"/>
        <v>249</v>
      </c>
      <c r="E157" s="16">
        <f t="shared" si="9"/>
        <v>1</v>
      </c>
      <c r="F157" s="16">
        <f t="shared" si="9"/>
        <v>1962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02501</v>
      </c>
      <c r="B158" s="16">
        <f t="shared" si="9"/>
        <v>111</v>
      </c>
      <c r="C158" s="16">
        <f t="shared" si="9"/>
        <v>0</v>
      </c>
      <c r="D158" s="16">
        <f t="shared" si="9"/>
        <v>250</v>
      </c>
      <c r="E158" s="16">
        <f t="shared" si="9"/>
        <v>1</v>
      </c>
      <c r="F158" s="16">
        <f t="shared" si="9"/>
        <v>929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02511</v>
      </c>
      <c r="B159" s="16">
        <f t="shared" si="9"/>
        <v>111</v>
      </c>
      <c r="C159" s="16">
        <f t="shared" si="9"/>
        <v>0</v>
      </c>
      <c r="D159" s="16">
        <f t="shared" si="9"/>
        <v>251</v>
      </c>
      <c r="E159" s="16">
        <f t="shared" si="9"/>
        <v>1</v>
      </c>
      <c r="F159" s="16">
        <f t="shared" si="9"/>
        <v>436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02531</v>
      </c>
      <c r="B160" s="16">
        <f t="shared" si="9"/>
        <v>111</v>
      </c>
      <c r="C160" s="16">
        <f t="shared" si="9"/>
        <v>0</v>
      </c>
      <c r="D160" s="16">
        <f t="shared" si="9"/>
        <v>253</v>
      </c>
      <c r="E160" s="16">
        <f t="shared" si="9"/>
        <v>1</v>
      </c>
      <c r="F160" s="16">
        <f t="shared" si="9"/>
        <v>929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02541</v>
      </c>
      <c r="B161" s="16">
        <f t="shared" si="9"/>
        <v>111</v>
      </c>
      <c r="C161" s="16">
        <f t="shared" si="9"/>
        <v>0</v>
      </c>
      <c r="D161" s="16">
        <f t="shared" si="9"/>
        <v>254</v>
      </c>
      <c r="E161" s="16">
        <f t="shared" si="9"/>
        <v>1</v>
      </c>
      <c r="F161" s="16">
        <f t="shared" si="9"/>
        <v>436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02561</v>
      </c>
      <c r="B162" s="16">
        <f t="shared" si="9"/>
        <v>111</v>
      </c>
      <c r="C162" s="16">
        <f t="shared" si="9"/>
        <v>0</v>
      </c>
      <c r="D162" s="16">
        <f t="shared" si="9"/>
        <v>256</v>
      </c>
      <c r="E162" s="16">
        <f t="shared" si="9"/>
        <v>1</v>
      </c>
      <c r="F162" s="16">
        <f t="shared" si="9"/>
        <v>929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02571</v>
      </c>
      <c r="B163" s="16">
        <f t="shared" si="9"/>
        <v>111</v>
      </c>
      <c r="C163" s="16">
        <f t="shared" si="9"/>
        <v>0</v>
      </c>
      <c r="D163" s="16">
        <f t="shared" si="9"/>
        <v>257</v>
      </c>
      <c r="E163" s="16">
        <f t="shared" si="9"/>
        <v>1</v>
      </c>
      <c r="F163" s="16">
        <f t="shared" si="9"/>
        <v>436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02591</v>
      </c>
      <c r="B164" s="16">
        <f t="shared" si="9"/>
        <v>111</v>
      </c>
      <c r="C164" s="16">
        <f t="shared" si="9"/>
        <v>0</v>
      </c>
      <c r="D164" s="16">
        <f t="shared" si="9"/>
        <v>259</v>
      </c>
      <c r="E164" s="16">
        <f t="shared" si="9"/>
        <v>1</v>
      </c>
      <c r="F164" s="16">
        <f t="shared" si="9"/>
        <v>929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02601</v>
      </c>
      <c r="B165" s="16">
        <f t="shared" si="9"/>
        <v>111</v>
      </c>
      <c r="C165" s="16">
        <f t="shared" si="9"/>
        <v>0</v>
      </c>
      <c r="D165" s="16">
        <f t="shared" si="9"/>
        <v>260</v>
      </c>
      <c r="E165" s="16">
        <f t="shared" si="9"/>
        <v>1</v>
      </c>
      <c r="F165" s="16">
        <f t="shared" si="9"/>
        <v>436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03201</v>
      </c>
      <c r="B166" s="16">
        <f t="shared" si="9"/>
        <v>111</v>
      </c>
      <c r="C166" s="16">
        <f t="shared" si="9"/>
        <v>0</v>
      </c>
      <c r="D166" s="16">
        <f t="shared" si="9"/>
        <v>320</v>
      </c>
      <c r="E166" s="16">
        <f t="shared" si="9"/>
        <v>1</v>
      </c>
      <c r="F166" s="16">
        <f t="shared" si="9"/>
        <v>182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03221</v>
      </c>
      <c r="B167" s="16">
        <f t="shared" si="9"/>
        <v>111</v>
      </c>
      <c r="C167" s="16">
        <f t="shared" si="9"/>
        <v>0</v>
      </c>
      <c r="D167" s="16">
        <f t="shared" si="9"/>
        <v>322</v>
      </c>
      <c r="E167" s="16">
        <f t="shared" si="9"/>
        <v>1</v>
      </c>
      <c r="F167" s="16">
        <f t="shared" si="9"/>
        <v>182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03241</v>
      </c>
      <c r="B168" s="16">
        <f t="shared" si="9"/>
        <v>111</v>
      </c>
      <c r="C168" s="16">
        <f t="shared" si="9"/>
        <v>0</v>
      </c>
      <c r="D168" s="16">
        <f t="shared" si="9"/>
        <v>324</v>
      </c>
      <c r="E168" s="16">
        <f t="shared" si="9"/>
        <v>1</v>
      </c>
      <c r="F168" s="16">
        <f t="shared" si="9"/>
        <v>654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03251</v>
      </c>
      <c r="B169" s="16">
        <f t="shared" si="9"/>
        <v>111</v>
      </c>
      <c r="C169" s="16">
        <f t="shared" si="9"/>
        <v>0</v>
      </c>
      <c r="D169" s="16">
        <f t="shared" si="9"/>
        <v>325</v>
      </c>
      <c r="E169" s="16">
        <f t="shared" si="9"/>
        <v>1</v>
      </c>
      <c r="F169" s="16">
        <f t="shared" si="9"/>
        <v>436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03261</v>
      </c>
      <c r="B170" s="16">
        <f t="shared" si="9"/>
        <v>111</v>
      </c>
      <c r="C170" s="16">
        <f t="shared" si="9"/>
        <v>0</v>
      </c>
      <c r="D170" s="16">
        <f t="shared" si="9"/>
        <v>326</v>
      </c>
      <c r="E170" s="16">
        <f t="shared" si="9"/>
        <v>1</v>
      </c>
      <c r="F170" s="16">
        <f t="shared" si="9"/>
        <v>182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K23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21" sqref="D21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gacha_unit_tables_112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1072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112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1072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112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1072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112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1072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112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1072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112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1072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112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1072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112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1072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112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1072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112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1072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112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1072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112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1072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112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1072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112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1072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112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1072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112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1072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1072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112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1072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112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1072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112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1072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112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1133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112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1133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112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1133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112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1133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112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1133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112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1133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112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1133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112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1133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112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1133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112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1133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112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1133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112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1133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112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1133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112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1133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112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1133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112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1133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112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1133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112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1133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112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1133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112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1133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112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1020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112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687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112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1020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112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1020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12311</v>
      </c>
      <c r="B47" s="16">
        <f t="shared" si="3"/>
        <v>112</v>
      </c>
      <c r="C47" s="16">
        <f t="shared" si="3"/>
        <v>1</v>
      </c>
      <c r="D47" s="16">
        <f t="shared" si="3"/>
        <v>231</v>
      </c>
      <c r="E47" s="16">
        <f t="shared" si="3"/>
        <v>1</v>
      </c>
      <c r="F47" s="16">
        <f t="shared" si="3"/>
        <v>1083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12391</v>
      </c>
      <c r="B48" s="16">
        <f t="shared" si="3"/>
        <v>112</v>
      </c>
      <c r="C48" s="16">
        <f t="shared" si="3"/>
        <v>1</v>
      </c>
      <c r="D48" s="16">
        <f t="shared" si="3"/>
        <v>239</v>
      </c>
      <c r="E48" s="16">
        <f t="shared" si="3"/>
        <v>1</v>
      </c>
      <c r="F48" s="16">
        <f t="shared" si="3"/>
        <v>1020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12421</v>
      </c>
      <c r="B49" s="16">
        <f t="shared" si="3"/>
        <v>112</v>
      </c>
      <c r="C49" s="16">
        <f t="shared" si="3"/>
        <v>1</v>
      </c>
      <c r="D49" s="16">
        <f t="shared" si="3"/>
        <v>242</v>
      </c>
      <c r="E49" s="16">
        <f t="shared" si="3"/>
        <v>1</v>
      </c>
      <c r="F49" s="16">
        <f t="shared" si="3"/>
        <v>1020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12451</v>
      </c>
      <c r="B50" s="16">
        <f t="shared" si="3"/>
        <v>112</v>
      </c>
      <c r="C50" s="16">
        <f t="shared" si="3"/>
        <v>1</v>
      </c>
      <c r="D50" s="16">
        <f t="shared" si="3"/>
        <v>245</v>
      </c>
      <c r="E50" s="16">
        <f t="shared" si="3"/>
        <v>1</v>
      </c>
      <c r="F50" s="16">
        <f t="shared" si="3"/>
        <v>1020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12481</v>
      </c>
      <c r="B51" s="16">
        <f t="shared" si="3"/>
        <v>112</v>
      </c>
      <c r="C51" s="16">
        <f t="shared" si="3"/>
        <v>1</v>
      </c>
      <c r="D51" s="16">
        <f t="shared" si="3"/>
        <v>248</v>
      </c>
      <c r="E51" s="16">
        <f t="shared" si="3"/>
        <v>1</v>
      </c>
      <c r="F51" s="16">
        <f t="shared" si="3"/>
        <v>687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12491</v>
      </c>
      <c r="B52" s="16">
        <f t="shared" si="3"/>
        <v>112</v>
      </c>
      <c r="C52" s="16">
        <f t="shared" si="3"/>
        <v>1</v>
      </c>
      <c r="D52" s="16">
        <f t="shared" si="3"/>
        <v>249</v>
      </c>
      <c r="E52" s="16">
        <f t="shared" si="3"/>
        <v>1</v>
      </c>
      <c r="F52" s="16">
        <f t="shared" si="3"/>
        <v>1083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12511</v>
      </c>
      <c r="B53" s="16">
        <f t="shared" si="3"/>
        <v>112</v>
      </c>
      <c r="C53" s="16">
        <f t="shared" si="3"/>
        <v>1</v>
      </c>
      <c r="D53" s="16">
        <f t="shared" si="3"/>
        <v>251</v>
      </c>
      <c r="E53" s="16">
        <f t="shared" si="3"/>
        <v>1</v>
      </c>
      <c r="F53" s="16">
        <f t="shared" si="3"/>
        <v>1020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12541</v>
      </c>
      <c r="B54" s="16">
        <f t="shared" si="3"/>
        <v>112</v>
      </c>
      <c r="C54" s="16">
        <f t="shared" si="3"/>
        <v>1</v>
      </c>
      <c r="D54" s="16">
        <f t="shared" si="3"/>
        <v>254</v>
      </c>
      <c r="E54" s="16">
        <f t="shared" si="3"/>
        <v>1</v>
      </c>
      <c r="F54" s="16">
        <f t="shared" si="3"/>
        <v>1020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12571</v>
      </c>
      <c r="B55" s="16">
        <f t="shared" si="3"/>
        <v>112</v>
      </c>
      <c r="C55" s="16">
        <f t="shared" si="3"/>
        <v>1</v>
      </c>
      <c r="D55" s="16">
        <f t="shared" si="3"/>
        <v>257</v>
      </c>
      <c r="E55" s="16">
        <f t="shared" si="3"/>
        <v>1</v>
      </c>
      <c r="F55" s="16">
        <f t="shared" si="3"/>
        <v>1020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12601</v>
      </c>
      <c r="B56" s="16">
        <f t="shared" si="3"/>
        <v>112</v>
      </c>
      <c r="C56" s="16">
        <f t="shared" si="3"/>
        <v>1</v>
      </c>
      <c r="D56" s="16">
        <f t="shared" si="3"/>
        <v>260</v>
      </c>
      <c r="E56" s="16">
        <f t="shared" si="3"/>
        <v>1</v>
      </c>
      <c r="F56" s="16">
        <f t="shared" si="3"/>
        <v>1020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13201</v>
      </c>
      <c r="B57" s="16">
        <f t="shared" si="3"/>
        <v>112</v>
      </c>
      <c r="C57" s="16">
        <f t="shared" si="3"/>
        <v>1</v>
      </c>
      <c r="D57" s="16">
        <f t="shared" si="3"/>
        <v>320</v>
      </c>
      <c r="E57" s="16">
        <f t="shared" si="3"/>
        <v>1</v>
      </c>
      <c r="F57" s="16">
        <f t="shared" si="3"/>
        <v>189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13221</v>
      </c>
      <c r="B58" s="16">
        <f t="shared" si="3"/>
        <v>112</v>
      </c>
      <c r="C58" s="16">
        <f t="shared" si="3"/>
        <v>1</v>
      </c>
      <c r="D58" s="16">
        <f t="shared" si="3"/>
        <v>322</v>
      </c>
      <c r="E58" s="16">
        <f t="shared" si="3"/>
        <v>1</v>
      </c>
      <c r="F58" s="16">
        <f t="shared" si="3"/>
        <v>189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13241</v>
      </c>
      <c r="B59" s="16">
        <f t="shared" si="3"/>
        <v>112</v>
      </c>
      <c r="C59" s="16">
        <f t="shared" si="3"/>
        <v>1</v>
      </c>
      <c r="D59" s="16">
        <f t="shared" si="3"/>
        <v>324</v>
      </c>
      <c r="E59" s="16">
        <f t="shared" si="3"/>
        <v>1</v>
      </c>
      <c r="F59" s="16">
        <f t="shared" si="3"/>
        <v>396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13251</v>
      </c>
      <c r="B60" s="16">
        <f t="shared" si="3"/>
        <v>112</v>
      </c>
      <c r="C60" s="16">
        <f t="shared" si="3"/>
        <v>1</v>
      </c>
      <c r="D60" s="16">
        <f t="shared" si="3"/>
        <v>325</v>
      </c>
      <c r="E60" s="16">
        <f t="shared" si="3"/>
        <v>1</v>
      </c>
      <c r="F60" s="16">
        <f t="shared" si="3"/>
        <v>194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13261</v>
      </c>
      <c r="B61" s="16">
        <f t="shared" si="3"/>
        <v>112</v>
      </c>
      <c r="C61" s="16">
        <f t="shared" si="3"/>
        <v>1</v>
      </c>
      <c r="D61" s="16">
        <f t="shared" si="3"/>
        <v>326</v>
      </c>
      <c r="E61" s="16">
        <f t="shared" si="3"/>
        <v>1</v>
      </c>
      <c r="F61" s="16">
        <f t="shared" si="3"/>
        <v>189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01261</v>
      </c>
      <c r="B62" s="16">
        <f t="shared" si="3"/>
        <v>112</v>
      </c>
      <c r="C62" s="16">
        <f t="shared" si="3"/>
        <v>0</v>
      </c>
      <c r="D62" s="16">
        <f t="shared" si="3"/>
        <v>126</v>
      </c>
      <c r="E62" s="16">
        <f t="shared" si="3"/>
        <v>1</v>
      </c>
      <c r="F62" s="16">
        <f t="shared" si="3"/>
        <v>1683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01281</v>
      </c>
      <c r="B63" s="16">
        <f t="shared" si="3"/>
        <v>112</v>
      </c>
      <c r="C63" s="16">
        <f t="shared" si="3"/>
        <v>0</v>
      </c>
      <c r="D63" s="16">
        <f t="shared" si="3"/>
        <v>128</v>
      </c>
      <c r="E63" s="16">
        <f t="shared" si="3"/>
        <v>1</v>
      </c>
      <c r="F63" s="16">
        <f t="shared" si="3"/>
        <v>1683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01301</v>
      </c>
      <c r="B64" s="16">
        <f t="shared" si="3"/>
        <v>112</v>
      </c>
      <c r="C64" s="16">
        <f t="shared" si="3"/>
        <v>0</v>
      </c>
      <c r="D64" s="16">
        <f t="shared" si="3"/>
        <v>130</v>
      </c>
      <c r="E64" s="16">
        <f t="shared" si="3"/>
        <v>1</v>
      </c>
      <c r="F64" s="16">
        <f t="shared" si="3"/>
        <v>1683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01321</v>
      </c>
      <c r="B65" s="16">
        <f t="shared" si="3"/>
        <v>112</v>
      </c>
      <c r="C65" s="16">
        <f t="shared" si="3"/>
        <v>0</v>
      </c>
      <c r="D65" s="16">
        <f t="shared" si="3"/>
        <v>132</v>
      </c>
      <c r="E65" s="16">
        <f t="shared" si="3"/>
        <v>1</v>
      </c>
      <c r="F65" s="16">
        <f t="shared" si="3"/>
        <v>1683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01341</v>
      </c>
      <c r="B66" s="16">
        <f t="shared" si="3"/>
        <v>112</v>
      </c>
      <c r="C66" s="16">
        <f t="shared" si="3"/>
        <v>0</v>
      </c>
      <c r="D66" s="16">
        <f t="shared" si="3"/>
        <v>134</v>
      </c>
      <c r="E66" s="16">
        <f t="shared" si="3"/>
        <v>1</v>
      </c>
      <c r="F66" s="16">
        <f t="shared" si="3"/>
        <v>1683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01361</v>
      </c>
      <c r="B67" s="16">
        <f t="shared" si="3"/>
        <v>112</v>
      </c>
      <c r="C67" s="16">
        <f t="shared" si="3"/>
        <v>0</v>
      </c>
      <c r="D67" s="16">
        <f t="shared" si="3"/>
        <v>136</v>
      </c>
      <c r="E67" s="16">
        <f t="shared" si="3"/>
        <v>1</v>
      </c>
      <c r="F67" s="16">
        <f t="shared" si="3"/>
        <v>1683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01381</v>
      </c>
      <c r="B68" s="16">
        <f t="shared" si="3"/>
        <v>112</v>
      </c>
      <c r="C68" s="16">
        <f t="shared" si="3"/>
        <v>0</v>
      </c>
      <c r="D68" s="16">
        <f t="shared" si="3"/>
        <v>138</v>
      </c>
      <c r="E68" s="16">
        <f t="shared" si="3"/>
        <v>1</v>
      </c>
      <c r="F68" s="16">
        <f t="shared" si="3"/>
        <v>1683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01401</v>
      </c>
      <c r="B69" s="16">
        <f t="shared" si="3"/>
        <v>112</v>
      </c>
      <c r="C69" s="16">
        <f t="shared" si="3"/>
        <v>0</v>
      </c>
      <c r="D69" s="16">
        <f t="shared" si="3"/>
        <v>140</v>
      </c>
      <c r="E69" s="16">
        <f t="shared" si="3"/>
        <v>1</v>
      </c>
      <c r="F69" s="16">
        <f t="shared" si="3"/>
        <v>1683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01421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</v>
      </c>
      <c r="C70" s="16">
        <f t="shared" si="5"/>
        <v>0</v>
      </c>
      <c r="D70" s="16">
        <f t="shared" si="5"/>
        <v>142</v>
      </c>
      <c r="E70" s="16">
        <f t="shared" si="5"/>
        <v>1</v>
      </c>
      <c r="F70" s="16">
        <f t="shared" si="5"/>
        <v>1683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01441</v>
      </c>
      <c r="B71" s="16">
        <f t="shared" si="5"/>
        <v>112</v>
      </c>
      <c r="C71" s="16">
        <f t="shared" si="5"/>
        <v>0</v>
      </c>
      <c r="D71" s="16">
        <f t="shared" si="5"/>
        <v>144</v>
      </c>
      <c r="E71" s="16">
        <f t="shared" si="5"/>
        <v>1</v>
      </c>
      <c r="F71" s="16">
        <f t="shared" si="5"/>
        <v>1683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01461</v>
      </c>
      <c r="B72" s="16">
        <f t="shared" si="5"/>
        <v>112</v>
      </c>
      <c r="C72" s="16">
        <f t="shared" si="5"/>
        <v>0</v>
      </c>
      <c r="D72" s="16">
        <f t="shared" si="5"/>
        <v>146</v>
      </c>
      <c r="E72" s="16">
        <f t="shared" si="5"/>
        <v>1</v>
      </c>
      <c r="F72" s="16">
        <f t="shared" si="5"/>
        <v>1683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01481</v>
      </c>
      <c r="B73" s="16">
        <f t="shared" si="5"/>
        <v>112</v>
      </c>
      <c r="C73" s="16">
        <f t="shared" si="5"/>
        <v>0</v>
      </c>
      <c r="D73" s="16">
        <f t="shared" si="5"/>
        <v>148</v>
      </c>
      <c r="E73" s="16">
        <f t="shared" si="5"/>
        <v>1</v>
      </c>
      <c r="F73" s="16">
        <f t="shared" si="5"/>
        <v>1683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01501</v>
      </c>
      <c r="B74" s="16">
        <f t="shared" si="5"/>
        <v>112</v>
      </c>
      <c r="C74" s="16">
        <f t="shared" si="5"/>
        <v>0</v>
      </c>
      <c r="D74" s="16">
        <f t="shared" si="5"/>
        <v>150</v>
      </c>
      <c r="E74" s="16">
        <f t="shared" si="5"/>
        <v>1</v>
      </c>
      <c r="F74" s="16">
        <f t="shared" si="5"/>
        <v>1683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01521</v>
      </c>
      <c r="B75" s="16">
        <f t="shared" si="5"/>
        <v>112</v>
      </c>
      <c r="C75" s="16">
        <f t="shared" si="5"/>
        <v>0</v>
      </c>
      <c r="D75" s="16">
        <f t="shared" si="5"/>
        <v>152</v>
      </c>
      <c r="E75" s="16">
        <f t="shared" si="5"/>
        <v>1</v>
      </c>
      <c r="F75" s="16">
        <f t="shared" si="5"/>
        <v>1683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01541</v>
      </c>
      <c r="B76" s="16">
        <f t="shared" si="5"/>
        <v>112</v>
      </c>
      <c r="C76" s="16">
        <f t="shared" si="5"/>
        <v>0</v>
      </c>
      <c r="D76" s="16">
        <f t="shared" si="5"/>
        <v>154</v>
      </c>
      <c r="E76" s="16">
        <f t="shared" si="5"/>
        <v>1</v>
      </c>
      <c r="F76" s="16">
        <f t="shared" si="5"/>
        <v>1683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01561</v>
      </c>
      <c r="B77" s="16">
        <f t="shared" si="5"/>
        <v>112</v>
      </c>
      <c r="C77" s="16">
        <f t="shared" si="5"/>
        <v>0</v>
      </c>
      <c r="D77" s="16">
        <f t="shared" si="5"/>
        <v>156</v>
      </c>
      <c r="E77" s="16">
        <f t="shared" si="5"/>
        <v>1</v>
      </c>
      <c r="F77" s="16">
        <f t="shared" si="5"/>
        <v>1683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01581</v>
      </c>
      <c r="B78" s="16">
        <f t="shared" si="5"/>
        <v>112</v>
      </c>
      <c r="C78" s="16">
        <f t="shared" si="5"/>
        <v>0</v>
      </c>
      <c r="D78" s="16">
        <f t="shared" si="5"/>
        <v>158</v>
      </c>
      <c r="E78" s="16">
        <f t="shared" si="5"/>
        <v>1</v>
      </c>
      <c r="F78" s="16">
        <f t="shared" si="5"/>
        <v>1683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01601</v>
      </c>
      <c r="B79" s="16">
        <f t="shared" si="5"/>
        <v>112</v>
      </c>
      <c r="C79" s="16">
        <f t="shared" si="5"/>
        <v>0</v>
      </c>
      <c r="D79" s="16">
        <f t="shared" si="5"/>
        <v>160</v>
      </c>
      <c r="E79" s="16">
        <f t="shared" si="5"/>
        <v>1</v>
      </c>
      <c r="F79" s="16">
        <f t="shared" si="5"/>
        <v>1683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01621</v>
      </c>
      <c r="B80" s="16">
        <f t="shared" si="5"/>
        <v>112</v>
      </c>
      <c r="C80" s="16">
        <f t="shared" si="5"/>
        <v>0</v>
      </c>
      <c r="D80" s="16">
        <f t="shared" si="5"/>
        <v>162</v>
      </c>
      <c r="E80" s="16">
        <f t="shared" si="5"/>
        <v>1</v>
      </c>
      <c r="F80" s="16">
        <f t="shared" si="5"/>
        <v>1683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01641</v>
      </c>
      <c r="B81" s="16">
        <f t="shared" si="5"/>
        <v>112</v>
      </c>
      <c r="C81" s="16">
        <f t="shared" si="5"/>
        <v>0</v>
      </c>
      <c r="D81" s="16">
        <f t="shared" si="5"/>
        <v>164</v>
      </c>
      <c r="E81" s="16">
        <f t="shared" si="5"/>
        <v>1</v>
      </c>
      <c r="F81" s="16">
        <f t="shared" si="5"/>
        <v>1683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01661</v>
      </c>
      <c r="B82" s="16">
        <f t="shared" si="5"/>
        <v>112</v>
      </c>
      <c r="C82" s="16">
        <f t="shared" si="5"/>
        <v>0</v>
      </c>
      <c r="D82" s="16">
        <f t="shared" si="5"/>
        <v>166</v>
      </c>
      <c r="E82" s="16">
        <f t="shared" si="5"/>
        <v>1</v>
      </c>
      <c r="F82" s="16">
        <f t="shared" si="5"/>
        <v>1722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01691</v>
      </c>
      <c r="B83" s="16">
        <f t="shared" si="5"/>
        <v>112</v>
      </c>
      <c r="C83" s="16">
        <f t="shared" si="5"/>
        <v>0</v>
      </c>
      <c r="D83" s="16">
        <f t="shared" si="5"/>
        <v>169</v>
      </c>
      <c r="E83" s="16">
        <f t="shared" si="5"/>
        <v>1</v>
      </c>
      <c r="F83" s="16">
        <f t="shared" si="5"/>
        <v>1722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01721</v>
      </c>
      <c r="B84" s="16">
        <f t="shared" si="5"/>
        <v>112</v>
      </c>
      <c r="C84" s="16">
        <f t="shared" si="5"/>
        <v>0</v>
      </c>
      <c r="D84" s="16">
        <f t="shared" si="5"/>
        <v>172</v>
      </c>
      <c r="E84" s="16">
        <f t="shared" si="5"/>
        <v>1</v>
      </c>
      <c r="F84" s="16">
        <f t="shared" si="5"/>
        <v>1722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01751</v>
      </c>
      <c r="B85" s="16">
        <f t="shared" si="5"/>
        <v>112</v>
      </c>
      <c r="C85" s="16">
        <f t="shared" si="5"/>
        <v>0</v>
      </c>
      <c r="D85" s="16">
        <f t="shared" si="5"/>
        <v>175</v>
      </c>
      <c r="E85" s="16">
        <f t="shared" si="5"/>
        <v>1</v>
      </c>
      <c r="F85" s="16">
        <f t="shared" si="5"/>
        <v>1722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01781</v>
      </c>
      <c r="B86" s="16">
        <f t="shared" si="5"/>
        <v>112</v>
      </c>
      <c r="C86" s="16">
        <f t="shared" si="5"/>
        <v>0</v>
      </c>
      <c r="D86" s="16">
        <f t="shared" si="5"/>
        <v>178</v>
      </c>
      <c r="E86" s="16">
        <f t="shared" si="5"/>
        <v>1</v>
      </c>
      <c r="F86" s="16">
        <f t="shared" si="5"/>
        <v>1722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01811</v>
      </c>
      <c r="B87" s="16">
        <f t="shared" si="5"/>
        <v>112</v>
      </c>
      <c r="C87" s="16">
        <f t="shared" si="5"/>
        <v>0</v>
      </c>
      <c r="D87" s="16">
        <f t="shared" si="5"/>
        <v>181</v>
      </c>
      <c r="E87" s="16">
        <f t="shared" si="5"/>
        <v>1</v>
      </c>
      <c r="F87" s="16">
        <f t="shared" si="5"/>
        <v>1722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01841</v>
      </c>
      <c r="B88" s="16">
        <f t="shared" si="5"/>
        <v>112</v>
      </c>
      <c r="C88" s="16">
        <f t="shared" si="5"/>
        <v>0</v>
      </c>
      <c r="D88" s="16">
        <f t="shared" si="5"/>
        <v>184</v>
      </c>
      <c r="E88" s="16">
        <f t="shared" si="5"/>
        <v>1</v>
      </c>
      <c r="F88" s="16">
        <f t="shared" si="5"/>
        <v>1722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01871</v>
      </c>
      <c r="B89" s="16">
        <f t="shared" si="5"/>
        <v>112</v>
      </c>
      <c r="C89" s="16">
        <f t="shared" si="5"/>
        <v>0</v>
      </c>
      <c r="D89" s="16">
        <f t="shared" si="5"/>
        <v>187</v>
      </c>
      <c r="E89" s="16">
        <f t="shared" si="5"/>
        <v>1</v>
      </c>
      <c r="F89" s="16">
        <f t="shared" si="5"/>
        <v>1722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01901</v>
      </c>
      <c r="B90" s="16">
        <f t="shared" si="5"/>
        <v>112</v>
      </c>
      <c r="C90" s="16">
        <f t="shared" si="5"/>
        <v>0</v>
      </c>
      <c r="D90" s="16">
        <f t="shared" si="5"/>
        <v>190</v>
      </c>
      <c r="E90" s="16">
        <f t="shared" si="5"/>
        <v>1</v>
      </c>
      <c r="F90" s="16">
        <f t="shared" si="5"/>
        <v>1722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01931</v>
      </c>
      <c r="B91" s="16">
        <f t="shared" si="5"/>
        <v>112</v>
      </c>
      <c r="C91" s="16">
        <f t="shared" si="5"/>
        <v>0</v>
      </c>
      <c r="D91" s="16">
        <f t="shared" si="5"/>
        <v>193</v>
      </c>
      <c r="E91" s="16">
        <f t="shared" si="5"/>
        <v>1</v>
      </c>
      <c r="F91" s="16">
        <f t="shared" si="5"/>
        <v>1722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01961</v>
      </c>
      <c r="B92" s="16">
        <f t="shared" si="5"/>
        <v>112</v>
      </c>
      <c r="C92" s="16">
        <f t="shared" si="5"/>
        <v>0</v>
      </c>
      <c r="D92" s="16">
        <f t="shared" si="5"/>
        <v>196</v>
      </c>
      <c r="E92" s="16">
        <f t="shared" si="5"/>
        <v>1</v>
      </c>
      <c r="F92" s="16">
        <f t="shared" si="5"/>
        <v>1722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01991</v>
      </c>
      <c r="B93" s="16">
        <f t="shared" si="5"/>
        <v>112</v>
      </c>
      <c r="C93" s="16">
        <f t="shared" si="5"/>
        <v>0</v>
      </c>
      <c r="D93" s="16">
        <f t="shared" si="5"/>
        <v>199</v>
      </c>
      <c r="E93" s="16">
        <f t="shared" si="5"/>
        <v>1</v>
      </c>
      <c r="F93" s="16">
        <f t="shared" si="5"/>
        <v>1722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02021</v>
      </c>
      <c r="B94" s="16">
        <f t="shared" si="5"/>
        <v>112</v>
      </c>
      <c r="C94" s="16">
        <f t="shared" si="5"/>
        <v>0</v>
      </c>
      <c r="D94" s="16">
        <f t="shared" si="5"/>
        <v>202</v>
      </c>
      <c r="E94" s="16">
        <f t="shared" si="5"/>
        <v>1</v>
      </c>
      <c r="F94" s="16">
        <f t="shared" si="5"/>
        <v>1722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02051</v>
      </c>
      <c r="B95" s="16">
        <f t="shared" si="5"/>
        <v>112</v>
      </c>
      <c r="C95" s="16">
        <f t="shared" si="5"/>
        <v>0</v>
      </c>
      <c r="D95" s="16">
        <f t="shared" si="5"/>
        <v>205</v>
      </c>
      <c r="E95" s="16">
        <f t="shared" si="5"/>
        <v>1</v>
      </c>
      <c r="F95" s="16">
        <f t="shared" si="5"/>
        <v>1722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02081</v>
      </c>
      <c r="B96" s="16">
        <f t="shared" si="6"/>
        <v>112</v>
      </c>
      <c r="C96" s="16">
        <f t="shared" si="6"/>
        <v>0</v>
      </c>
      <c r="D96" s="16">
        <f t="shared" si="6"/>
        <v>208</v>
      </c>
      <c r="E96" s="16">
        <f t="shared" si="6"/>
        <v>1</v>
      </c>
      <c r="F96" s="16">
        <f t="shared" si="6"/>
        <v>1722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02111</v>
      </c>
      <c r="B97" s="16">
        <f t="shared" si="6"/>
        <v>112</v>
      </c>
      <c r="C97" s="16">
        <f t="shared" si="6"/>
        <v>0</v>
      </c>
      <c r="D97" s="16">
        <f t="shared" si="6"/>
        <v>211</v>
      </c>
      <c r="E97" s="16">
        <f t="shared" si="6"/>
        <v>1</v>
      </c>
      <c r="F97" s="16">
        <f t="shared" si="6"/>
        <v>1722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02141</v>
      </c>
      <c r="B98" s="16">
        <f t="shared" si="6"/>
        <v>112</v>
      </c>
      <c r="C98" s="16">
        <f t="shared" si="6"/>
        <v>0</v>
      </c>
      <c r="D98" s="16">
        <f t="shared" si="6"/>
        <v>214</v>
      </c>
      <c r="E98" s="16">
        <f t="shared" si="6"/>
        <v>1</v>
      </c>
      <c r="F98" s="16">
        <f t="shared" si="6"/>
        <v>1722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02171</v>
      </c>
      <c r="B99" s="16">
        <f t="shared" si="6"/>
        <v>112</v>
      </c>
      <c r="C99" s="16">
        <f t="shared" si="6"/>
        <v>0</v>
      </c>
      <c r="D99" s="16">
        <f t="shared" si="6"/>
        <v>217</v>
      </c>
      <c r="E99" s="16">
        <f t="shared" si="6"/>
        <v>1</v>
      </c>
      <c r="F99" s="16">
        <f t="shared" si="6"/>
        <v>1722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02201</v>
      </c>
      <c r="B100" s="16">
        <f t="shared" si="6"/>
        <v>112</v>
      </c>
      <c r="C100" s="16">
        <f t="shared" si="6"/>
        <v>0</v>
      </c>
      <c r="D100" s="16">
        <f t="shared" si="6"/>
        <v>220</v>
      </c>
      <c r="E100" s="16">
        <f t="shared" si="6"/>
        <v>1</v>
      </c>
      <c r="F100" s="16">
        <f t="shared" si="6"/>
        <v>1722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02231</v>
      </c>
      <c r="B101" s="16">
        <f t="shared" si="6"/>
        <v>112</v>
      </c>
      <c r="C101" s="16">
        <f t="shared" si="6"/>
        <v>0</v>
      </c>
      <c r="D101" s="16">
        <f t="shared" si="6"/>
        <v>223</v>
      </c>
      <c r="E101" s="16">
        <f t="shared" si="6"/>
        <v>1</v>
      </c>
      <c r="F101" s="16">
        <f t="shared" si="6"/>
        <v>1722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02261</v>
      </c>
      <c r="B102" s="16">
        <f t="shared" si="6"/>
        <v>112</v>
      </c>
      <c r="C102" s="16">
        <f t="shared" si="6"/>
        <v>0</v>
      </c>
      <c r="D102" s="16">
        <f t="shared" si="6"/>
        <v>226</v>
      </c>
      <c r="E102" s="16">
        <f t="shared" si="6"/>
        <v>1</v>
      </c>
      <c r="F102" s="16">
        <f t="shared" si="6"/>
        <v>929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02321</v>
      </c>
      <c r="B103" s="16">
        <f t="shared" si="6"/>
        <v>112</v>
      </c>
      <c r="C103" s="16">
        <f t="shared" si="6"/>
        <v>0</v>
      </c>
      <c r="D103" s="16">
        <f t="shared" si="6"/>
        <v>232</v>
      </c>
      <c r="E103" s="16">
        <f t="shared" si="6"/>
        <v>1</v>
      </c>
      <c r="F103" s="16">
        <f t="shared" si="6"/>
        <v>929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02351</v>
      </c>
      <c r="B104" s="16">
        <f t="shared" si="6"/>
        <v>112</v>
      </c>
      <c r="C104" s="16">
        <f t="shared" si="6"/>
        <v>0</v>
      </c>
      <c r="D104" s="16">
        <f t="shared" si="6"/>
        <v>235</v>
      </c>
      <c r="E104" s="16">
        <f t="shared" si="6"/>
        <v>1</v>
      </c>
      <c r="F104" s="16">
        <f t="shared" si="6"/>
        <v>929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01271</v>
      </c>
      <c r="B105" s="16">
        <f t="shared" si="6"/>
        <v>112</v>
      </c>
      <c r="C105" s="16">
        <f t="shared" si="6"/>
        <v>0</v>
      </c>
      <c r="D105" s="16">
        <f t="shared" si="6"/>
        <v>127</v>
      </c>
      <c r="E105" s="16">
        <f t="shared" si="6"/>
        <v>1</v>
      </c>
      <c r="F105" s="16">
        <f t="shared" si="6"/>
        <v>477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01291</v>
      </c>
      <c r="B106" s="16">
        <f t="shared" si="6"/>
        <v>112</v>
      </c>
      <c r="C106" s="16">
        <f t="shared" si="6"/>
        <v>0</v>
      </c>
      <c r="D106" s="16">
        <f t="shared" si="6"/>
        <v>129</v>
      </c>
      <c r="E106" s="16">
        <f t="shared" si="6"/>
        <v>1</v>
      </c>
      <c r="F106" s="16">
        <f t="shared" si="6"/>
        <v>477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01311</v>
      </c>
      <c r="B107" s="16">
        <f t="shared" si="6"/>
        <v>112</v>
      </c>
      <c r="C107" s="16">
        <f t="shared" si="6"/>
        <v>0</v>
      </c>
      <c r="D107" s="16">
        <f t="shared" si="6"/>
        <v>131</v>
      </c>
      <c r="E107" s="16">
        <f t="shared" si="6"/>
        <v>1</v>
      </c>
      <c r="F107" s="16">
        <f t="shared" si="6"/>
        <v>477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01331</v>
      </c>
      <c r="B108" s="16">
        <f t="shared" si="6"/>
        <v>112</v>
      </c>
      <c r="C108" s="16">
        <f t="shared" si="6"/>
        <v>0</v>
      </c>
      <c r="D108" s="16">
        <f t="shared" si="6"/>
        <v>133</v>
      </c>
      <c r="E108" s="16">
        <f t="shared" si="6"/>
        <v>1</v>
      </c>
      <c r="F108" s="16">
        <f t="shared" si="6"/>
        <v>477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01351</v>
      </c>
      <c r="B109" s="16">
        <f t="shared" si="6"/>
        <v>112</v>
      </c>
      <c r="C109" s="16">
        <f t="shared" si="6"/>
        <v>0</v>
      </c>
      <c r="D109" s="16">
        <f t="shared" si="6"/>
        <v>135</v>
      </c>
      <c r="E109" s="16">
        <f t="shared" si="6"/>
        <v>1</v>
      </c>
      <c r="F109" s="16">
        <f t="shared" si="6"/>
        <v>477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01371</v>
      </c>
      <c r="B110" s="16">
        <f t="shared" si="6"/>
        <v>112</v>
      </c>
      <c r="C110" s="16">
        <f t="shared" si="6"/>
        <v>0</v>
      </c>
      <c r="D110" s="16">
        <f t="shared" si="6"/>
        <v>137</v>
      </c>
      <c r="E110" s="16">
        <f t="shared" si="6"/>
        <v>1</v>
      </c>
      <c r="F110" s="16">
        <f t="shared" si="6"/>
        <v>477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01391</v>
      </c>
      <c r="B111" s="16">
        <f t="shared" si="6"/>
        <v>112</v>
      </c>
      <c r="C111" s="16">
        <f t="shared" si="6"/>
        <v>0</v>
      </c>
      <c r="D111" s="16">
        <f t="shared" si="6"/>
        <v>139</v>
      </c>
      <c r="E111" s="16">
        <f t="shared" si="6"/>
        <v>1</v>
      </c>
      <c r="F111" s="16">
        <f t="shared" si="6"/>
        <v>477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01411</v>
      </c>
      <c r="B112" s="16">
        <f t="shared" si="6"/>
        <v>112</v>
      </c>
      <c r="C112" s="16">
        <f t="shared" si="6"/>
        <v>0</v>
      </c>
      <c r="D112" s="16">
        <f t="shared" si="6"/>
        <v>141</v>
      </c>
      <c r="E112" s="16">
        <f t="shared" si="6"/>
        <v>1</v>
      </c>
      <c r="F112" s="16">
        <f t="shared" si="6"/>
        <v>477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01431</v>
      </c>
      <c r="B113" s="16">
        <f t="shared" si="6"/>
        <v>112</v>
      </c>
      <c r="C113" s="16">
        <f t="shared" si="6"/>
        <v>0</v>
      </c>
      <c r="D113" s="16">
        <f t="shared" si="6"/>
        <v>143</v>
      </c>
      <c r="E113" s="16">
        <f t="shared" si="6"/>
        <v>1</v>
      </c>
      <c r="F113" s="16">
        <f t="shared" si="6"/>
        <v>477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01451</v>
      </c>
      <c r="B114" s="16">
        <f t="shared" si="6"/>
        <v>112</v>
      </c>
      <c r="C114" s="16">
        <f t="shared" si="6"/>
        <v>0</v>
      </c>
      <c r="D114" s="16">
        <f t="shared" si="6"/>
        <v>145</v>
      </c>
      <c r="E114" s="16">
        <f t="shared" si="6"/>
        <v>1</v>
      </c>
      <c r="F114" s="16">
        <f t="shared" si="6"/>
        <v>477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01471</v>
      </c>
      <c r="B115" s="16">
        <f t="shared" si="6"/>
        <v>112</v>
      </c>
      <c r="C115" s="16">
        <f t="shared" si="6"/>
        <v>0</v>
      </c>
      <c r="D115" s="16">
        <f t="shared" si="6"/>
        <v>147</v>
      </c>
      <c r="E115" s="16">
        <f t="shared" si="6"/>
        <v>1</v>
      </c>
      <c r="F115" s="16">
        <f t="shared" si="6"/>
        <v>477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01491</v>
      </c>
      <c r="B116" s="16">
        <f t="shared" si="6"/>
        <v>112</v>
      </c>
      <c r="C116" s="16">
        <f t="shared" si="6"/>
        <v>0</v>
      </c>
      <c r="D116" s="16">
        <f t="shared" si="6"/>
        <v>149</v>
      </c>
      <c r="E116" s="16">
        <f t="shared" si="6"/>
        <v>1</v>
      </c>
      <c r="F116" s="16">
        <f t="shared" si="6"/>
        <v>477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01511</v>
      </c>
      <c r="B117" s="16">
        <f t="shared" si="6"/>
        <v>112</v>
      </c>
      <c r="C117" s="16">
        <f t="shared" si="6"/>
        <v>0</v>
      </c>
      <c r="D117" s="16">
        <f t="shared" si="6"/>
        <v>151</v>
      </c>
      <c r="E117" s="16">
        <f t="shared" si="6"/>
        <v>1</v>
      </c>
      <c r="F117" s="16">
        <f t="shared" si="6"/>
        <v>477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01531</v>
      </c>
      <c r="B118" s="16">
        <f t="shared" si="6"/>
        <v>112</v>
      </c>
      <c r="C118" s="16">
        <f t="shared" si="6"/>
        <v>0</v>
      </c>
      <c r="D118" s="16">
        <f t="shared" si="6"/>
        <v>153</v>
      </c>
      <c r="E118" s="16">
        <f t="shared" si="6"/>
        <v>1</v>
      </c>
      <c r="F118" s="16">
        <f t="shared" si="6"/>
        <v>477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01551</v>
      </c>
      <c r="B119" s="16">
        <f t="shared" si="6"/>
        <v>112</v>
      </c>
      <c r="C119" s="16">
        <f t="shared" si="6"/>
        <v>0</v>
      </c>
      <c r="D119" s="16">
        <f t="shared" si="6"/>
        <v>155</v>
      </c>
      <c r="E119" s="16">
        <f t="shared" si="6"/>
        <v>1</v>
      </c>
      <c r="F119" s="16">
        <f t="shared" si="6"/>
        <v>477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01571</v>
      </c>
      <c r="B120" s="16">
        <f t="shared" si="6"/>
        <v>112</v>
      </c>
      <c r="C120" s="16">
        <f t="shared" si="6"/>
        <v>0</v>
      </c>
      <c r="D120" s="16">
        <f t="shared" si="6"/>
        <v>157</v>
      </c>
      <c r="E120" s="16">
        <f t="shared" si="6"/>
        <v>1</v>
      </c>
      <c r="F120" s="16">
        <f t="shared" si="6"/>
        <v>477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01591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</v>
      </c>
      <c r="C121" s="16">
        <f t="shared" si="7"/>
        <v>0</v>
      </c>
      <c r="D121" s="16">
        <f t="shared" si="7"/>
        <v>159</v>
      </c>
      <c r="E121" s="16">
        <f t="shared" si="7"/>
        <v>1</v>
      </c>
      <c r="F121" s="16">
        <f t="shared" si="7"/>
        <v>477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01611</v>
      </c>
      <c r="B122" s="16">
        <f t="shared" si="7"/>
        <v>112</v>
      </c>
      <c r="C122" s="16">
        <f t="shared" si="7"/>
        <v>0</v>
      </c>
      <c r="D122" s="16">
        <f t="shared" si="7"/>
        <v>161</v>
      </c>
      <c r="E122" s="16">
        <f t="shared" si="7"/>
        <v>1</v>
      </c>
      <c r="F122" s="16">
        <f t="shared" si="7"/>
        <v>477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01631</v>
      </c>
      <c r="B123" s="16">
        <f t="shared" si="7"/>
        <v>112</v>
      </c>
      <c r="C123" s="16">
        <f t="shared" si="7"/>
        <v>0</v>
      </c>
      <c r="D123" s="16">
        <f t="shared" si="7"/>
        <v>163</v>
      </c>
      <c r="E123" s="16">
        <f t="shared" si="7"/>
        <v>1</v>
      </c>
      <c r="F123" s="16">
        <f t="shared" si="7"/>
        <v>477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01651</v>
      </c>
      <c r="B124" s="16">
        <f t="shared" si="7"/>
        <v>112</v>
      </c>
      <c r="C124" s="16">
        <f t="shared" si="7"/>
        <v>0</v>
      </c>
      <c r="D124" s="16">
        <f t="shared" si="7"/>
        <v>165</v>
      </c>
      <c r="E124" s="16">
        <f t="shared" si="7"/>
        <v>1</v>
      </c>
      <c r="F124" s="16">
        <f t="shared" si="7"/>
        <v>477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01671</v>
      </c>
      <c r="B125" s="16">
        <f t="shared" si="7"/>
        <v>112</v>
      </c>
      <c r="C125" s="16">
        <f t="shared" si="7"/>
        <v>0</v>
      </c>
      <c r="D125" s="16">
        <f t="shared" si="7"/>
        <v>167</v>
      </c>
      <c r="E125" s="16">
        <f t="shared" si="7"/>
        <v>1</v>
      </c>
      <c r="F125" s="16">
        <f t="shared" si="7"/>
        <v>477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01701</v>
      </c>
      <c r="B126" s="16">
        <f t="shared" si="7"/>
        <v>112</v>
      </c>
      <c r="C126" s="16">
        <f t="shared" si="7"/>
        <v>0</v>
      </c>
      <c r="D126" s="16">
        <f t="shared" si="7"/>
        <v>170</v>
      </c>
      <c r="E126" s="16">
        <f t="shared" si="7"/>
        <v>1</v>
      </c>
      <c r="F126" s="16">
        <f t="shared" si="7"/>
        <v>477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01731</v>
      </c>
      <c r="B127" s="16">
        <f t="shared" si="7"/>
        <v>112</v>
      </c>
      <c r="C127" s="16">
        <f t="shared" si="7"/>
        <v>0</v>
      </c>
      <c r="D127" s="16">
        <f t="shared" si="7"/>
        <v>173</v>
      </c>
      <c r="E127" s="16">
        <f t="shared" si="7"/>
        <v>1</v>
      </c>
      <c r="F127" s="16">
        <f t="shared" si="7"/>
        <v>477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01761</v>
      </c>
      <c r="B128" s="16">
        <f t="shared" si="7"/>
        <v>112</v>
      </c>
      <c r="C128" s="16">
        <f t="shared" si="7"/>
        <v>0</v>
      </c>
      <c r="D128" s="16">
        <f t="shared" si="7"/>
        <v>176</v>
      </c>
      <c r="E128" s="16">
        <f t="shared" si="7"/>
        <v>1</v>
      </c>
      <c r="F128" s="16">
        <f t="shared" si="7"/>
        <v>477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01791</v>
      </c>
      <c r="B129" s="16">
        <f t="shared" si="7"/>
        <v>112</v>
      </c>
      <c r="C129" s="16">
        <f t="shared" si="7"/>
        <v>0</v>
      </c>
      <c r="D129" s="16">
        <f t="shared" si="7"/>
        <v>179</v>
      </c>
      <c r="E129" s="16">
        <f t="shared" si="7"/>
        <v>1</v>
      </c>
      <c r="F129" s="16">
        <f t="shared" si="7"/>
        <v>477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01821</v>
      </c>
      <c r="B130" s="16">
        <f t="shared" si="7"/>
        <v>112</v>
      </c>
      <c r="C130" s="16">
        <f t="shared" si="7"/>
        <v>0</v>
      </c>
      <c r="D130" s="16">
        <f t="shared" si="7"/>
        <v>182</v>
      </c>
      <c r="E130" s="16">
        <f t="shared" si="7"/>
        <v>1</v>
      </c>
      <c r="F130" s="16">
        <f t="shared" si="7"/>
        <v>477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70" si="8">INDIRECT(ADDRESS(ROW()+$A$1,COLUMN(),1,TRUE,$C$1))</f>
        <v>01851</v>
      </c>
      <c r="B131" s="16">
        <f t="shared" si="7"/>
        <v>112</v>
      </c>
      <c r="C131" s="16">
        <f t="shared" si="7"/>
        <v>0</v>
      </c>
      <c r="D131" s="16">
        <f t="shared" si="7"/>
        <v>185</v>
      </c>
      <c r="E131" s="16">
        <f t="shared" si="7"/>
        <v>1</v>
      </c>
      <c r="F131" s="16">
        <f t="shared" si="7"/>
        <v>477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01881</v>
      </c>
      <c r="B132" s="16">
        <f t="shared" si="7"/>
        <v>112</v>
      </c>
      <c r="C132" s="16">
        <f t="shared" si="7"/>
        <v>0</v>
      </c>
      <c r="D132" s="16">
        <f t="shared" si="7"/>
        <v>188</v>
      </c>
      <c r="E132" s="16">
        <f t="shared" si="7"/>
        <v>1</v>
      </c>
      <c r="F132" s="16">
        <f t="shared" si="7"/>
        <v>477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01911</v>
      </c>
      <c r="B133" s="16">
        <f t="shared" si="7"/>
        <v>112</v>
      </c>
      <c r="C133" s="16">
        <f t="shared" si="7"/>
        <v>0</v>
      </c>
      <c r="D133" s="16">
        <f t="shared" si="7"/>
        <v>191</v>
      </c>
      <c r="E133" s="16">
        <f t="shared" si="7"/>
        <v>1</v>
      </c>
      <c r="F133" s="16">
        <f t="shared" si="7"/>
        <v>477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01941</v>
      </c>
      <c r="B134" s="16">
        <f t="shared" si="7"/>
        <v>112</v>
      </c>
      <c r="C134" s="16">
        <f t="shared" si="7"/>
        <v>0</v>
      </c>
      <c r="D134" s="16">
        <f t="shared" si="7"/>
        <v>194</v>
      </c>
      <c r="E134" s="16">
        <f t="shared" si="7"/>
        <v>1</v>
      </c>
      <c r="F134" s="16">
        <f t="shared" si="7"/>
        <v>477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01971</v>
      </c>
      <c r="B135" s="16">
        <f t="shared" si="7"/>
        <v>112</v>
      </c>
      <c r="C135" s="16">
        <f t="shared" si="7"/>
        <v>0</v>
      </c>
      <c r="D135" s="16">
        <f t="shared" si="7"/>
        <v>197</v>
      </c>
      <c r="E135" s="16">
        <f t="shared" si="7"/>
        <v>1</v>
      </c>
      <c r="F135" s="16">
        <f t="shared" si="7"/>
        <v>477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02001</v>
      </c>
      <c r="B136" s="16">
        <f t="shared" si="7"/>
        <v>112</v>
      </c>
      <c r="C136" s="16">
        <f t="shared" si="7"/>
        <v>0</v>
      </c>
      <c r="D136" s="16">
        <f t="shared" si="7"/>
        <v>200</v>
      </c>
      <c r="E136" s="16">
        <f t="shared" si="7"/>
        <v>1</v>
      </c>
      <c r="F136" s="16">
        <f t="shared" si="7"/>
        <v>477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02031</v>
      </c>
      <c r="B137" s="16">
        <f t="shared" si="7"/>
        <v>112</v>
      </c>
      <c r="C137" s="16">
        <f t="shared" si="7"/>
        <v>0</v>
      </c>
      <c r="D137" s="16">
        <f t="shared" si="7"/>
        <v>203</v>
      </c>
      <c r="E137" s="16">
        <f t="shared" si="7"/>
        <v>1</v>
      </c>
      <c r="F137" s="16">
        <f t="shared" si="7"/>
        <v>477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02061</v>
      </c>
      <c r="B138" s="16">
        <f t="shared" si="7"/>
        <v>112</v>
      </c>
      <c r="C138" s="16">
        <f t="shared" si="7"/>
        <v>0</v>
      </c>
      <c r="D138" s="16">
        <f t="shared" si="7"/>
        <v>206</v>
      </c>
      <c r="E138" s="16">
        <f t="shared" si="7"/>
        <v>1</v>
      </c>
      <c r="F138" s="16">
        <f t="shared" si="7"/>
        <v>477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02091</v>
      </c>
      <c r="B139" s="16">
        <f t="shared" si="7"/>
        <v>112</v>
      </c>
      <c r="C139" s="16">
        <f t="shared" si="7"/>
        <v>0</v>
      </c>
      <c r="D139" s="16">
        <f t="shared" si="7"/>
        <v>209</v>
      </c>
      <c r="E139" s="16">
        <f t="shared" si="7"/>
        <v>1</v>
      </c>
      <c r="F139" s="16">
        <f t="shared" si="7"/>
        <v>477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02121</v>
      </c>
      <c r="B140" s="16">
        <f t="shared" si="7"/>
        <v>112</v>
      </c>
      <c r="C140" s="16">
        <f t="shared" si="7"/>
        <v>0</v>
      </c>
      <c r="D140" s="16">
        <f t="shared" si="7"/>
        <v>212</v>
      </c>
      <c r="E140" s="16">
        <f t="shared" si="7"/>
        <v>1</v>
      </c>
      <c r="F140" s="16">
        <f t="shared" si="7"/>
        <v>477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02151</v>
      </c>
      <c r="B141" s="16">
        <f t="shared" si="7"/>
        <v>112</v>
      </c>
      <c r="C141" s="16">
        <f t="shared" si="7"/>
        <v>0</v>
      </c>
      <c r="D141" s="16">
        <f t="shared" si="7"/>
        <v>215</v>
      </c>
      <c r="E141" s="16">
        <f t="shared" si="7"/>
        <v>1</v>
      </c>
      <c r="F141" s="16">
        <f t="shared" si="7"/>
        <v>477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02181</v>
      </c>
      <c r="B142" s="16">
        <f t="shared" si="7"/>
        <v>112</v>
      </c>
      <c r="C142" s="16">
        <f t="shared" si="7"/>
        <v>0</v>
      </c>
      <c r="D142" s="16">
        <f t="shared" si="7"/>
        <v>218</v>
      </c>
      <c r="E142" s="16">
        <f t="shared" si="7"/>
        <v>1</v>
      </c>
      <c r="F142" s="16">
        <f t="shared" si="7"/>
        <v>477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02211</v>
      </c>
      <c r="B143" s="16">
        <f t="shared" si="7"/>
        <v>112</v>
      </c>
      <c r="C143" s="16">
        <f t="shared" si="7"/>
        <v>0</v>
      </c>
      <c r="D143" s="16">
        <f t="shared" si="7"/>
        <v>221</v>
      </c>
      <c r="E143" s="16">
        <f t="shared" si="7"/>
        <v>1</v>
      </c>
      <c r="F143" s="16">
        <f t="shared" si="7"/>
        <v>477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02241</v>
      </c>
      <c r="B144" s="16">
        <f t="shared" si="7"/>
        <v>112</v>
      </c>
      <c r="C144" s="16">
        <f t="shared" si="7"/>
        <v>0</v>
      </c>
      <c r="D144" s="16">
        <f t="shared" si="7"/>
        <v>224</v>
      </c>
      <c r="E144" s="16">
        <f t="shared" si="7"/>
        <v>1</v>
      </c>
      <c r="F144" s="16">
        <f t="shared" si="7"/>
        <v>477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02271</v>
      </c>
      <c r="B145" s="16">
        <f t="shared" si="7"/>
        <v>112</v>
      </c>
      <c r="C145" s="16">
        <f t="shared" si="7"/>
        <v>0</v>
      </c>
      <c r="D145" s="16">
        <f t="shared" si="7"/>
        <v>227</v>
      </c>
      <c r="E145" s="16">
        <f t="shared" si="7"/>
        <v>1</v>
      </c>
      <c r="F145" s="16">
        <f t="shared" si="7"/>
        <v>436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02301</v>
      </c>
      <c r="B146" s="16">
        <f t="shared" si="7"/>
        <v>112</v>
      </c>
      <c r="C146" s="16">
        <f t="shared" si="7"/>
        <v>0</v>
      </c>
      <c r="D146" s="16">
        <f t="shared" si="7"/>
        <v>230</v>
      </c>
      <c r="E146" s="16">
        <f t="shared" si="7"/>
        <v>1</v>
      </c>
      <c r="F146" s="16">
        <f t="shared" si="7"/>
        <v>1308</v>
      </c>
      <c r="G146" s="16">
        <f t="shared" ref="B146:K170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02331</v>
      </c>
      <c r="B147" s="16">
        <f t="shared" si="9"/>
        <v>112</v>
      </c>
      <c r="C147" s="16">
        <f t="shared" si="9"/>
        <v>0</v>
      </c>
      <c r="D147" s="16">
        <f t="shared" si="9"/>
        <v>233</v>
      </c>
      <c r="E147" s="16">
        <f t="shared" si="9"/>
        <v>1</v>
      </c>
      <c r="F147" s="16">
        <f t="shared" si="9"/>
        <v>436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02361</v>
      </c>
      <c r="B148" s="16">
        <f t="shared" si="9"/>
        <v>112</v>
      </c>
      <c r="C148" s="16">
        <f t="shared" si="9"/>
        <v>0</v>
      </c>
      <c r="D148" s="16">
        <f t="shared" si="9"/>
        <v>236</v>
      </c>
      <c r="E148" s="16">
        <f t="shared" si="9"/>
        <v>1</v>
      </c>
      <c r="F148" s="16">
        <f t="shared" si="9"/>
        <v>436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02311</v>
      </c>
      <c r="B149" s="16">
        <f t="shared" si="9"/>
        <v>112</v>
      </c>
      <c r="C149" s="16">
        <f t="shared" si="9"/>
        <v>0</v>
      </c>
      <c r="D149" s="16">
        <f t="shared" si="9"/>
        <v>231</v>
      </c>
      <c r="E149" s="16">
        <f t="shared" si="9"/>
        <v>1</v>
      </c>
      <c r="F149" s="16">
        <f t="shared" si="9"/>
        <v>1962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02381</v>
      </c>
      <c r="B150" s="16">
        <f t="shared" si="9"/>
        <v>112</v>
      </c>
      <c r="C150" s="16">
        <f t="shared" si="9"/>
        <v>0</v>
      </c>
      <c r="D150" s="16">
        <f t="shared" si="9"/>
        <v>238</v>
      </c>
      <c r="E150" s="16">
        <f t="shared" si="9"/>
        <v>1</v>
      </c>
      <c r="F150" s="16">
        <f t="shared" si="9"/>
        <v>929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02391</v>
      </c>
      <c r="B151" s="16">
        <f t="shared" si="9"/>
        <v>112</v>
      </c>
      <c r="C151" s="16">
        <f t="shared" si="9"/>
        <v>0</v>
      </c>
      <c r="D151" s="16">
        <f t="shared" si="9"/>
        <v>239</v>
      </c>
      <c r="E151" s="16">
        <f t="shared" si="9"/>
        <v>1</v>
      </c>
      <c r="F151" s="16">
        <f t="shared" si="9"/>
        <v>436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02411</v>
      </c>
      <c r="B152" s="16">
        <f t="shared" si="9"/>
        <v>112</v>
      </c>
      <c r="C152" s="16">
        <f t="shared" si="9"/>
        <v>0</v>
      </c>
      <c r="D152" s="16">
        <f t="shared" si="9"/>
        <v>241</v>
      </c>
      <c r="E152" s="16">
        <f t="shared" si="9"/>
        <v>1</v>
      </c>
      <c r="F152" s="16">
        <f t="shared" si="9"/>
        <v>929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02421</v>
      </c>
      <c r="B153" s="16">
        <f t="shared" si="9"/>
        <v>112</v>
      </c>
      <c r="C153" s="16">
        <f t="shared" si="9"/>
        <v>0</v>
      </c>
      <c r="D153" s="16">
        <f t="shared" si="9"/>
        <v>242</v>
      </c>
      <c r="E153" s="16">
        <f t="shared" si="9"/>
        <v>1</v>
      </c>
      <c r="F153" s="16">
        <f t="shared" si="9"/>
        <v>436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02441</v>
      </c>
      <c r="B154" s="16">
        <f t="shared" si="9"/>
        <v>112</v>
      </c>
      <c r="C154" s="16">
        <f t="shared" si="9"/>
        <v>0</v>
      </c>
      <c r="D154" s="16">
        <f t="shared" si="9"/>
        <v>244</v>
      </c>
      <c r="E154" s="16">
        <f t="shared" si="9"/>
        <v>1</v>
      </c>
      <c r="F154" s="16">
        <f t="shared" si="9"/>
        <v>929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02451</v>
      </c>
      <c r="B155" s="16">
        <f t="shared" si="9"/>
        <v>112</v>
      </c>
      <c r="C155" s="16">
        <f t="shared" si="9"/>
        <v>0</v>
      </c>
      <c r="D155" s="16">
        <f t="shared" si="9"/>
        <v>245</v>
      </c>
      <c r="E155" s="16">
        <f t="shared" si="9"/>
        <v>1</v>
      </c>
      <c r="F155" s="16">
        <f t="shared" si="9"/>
        <v>436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02481</v>
      </c>
      <c r="B156" s="16">
        <f t="shared" si="9"/>
        <v>112</v>
      </c>
      <c r="C156" s="16">
        <f t="shared" si="9"/>
        <v>0</v>
      </c>
      <c r="D156" s="16">
        <f t="shared" si="9"/>
        <v>248</v>
      </c>
      <c r="E156" s="16">
        <f t="shared" si="9"/>
        <v>1</v>
      </c>
      <c r="F156" s="16">
        <f t="shared" si="9"/>
        <v>1308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02491</v>
      </c>
      <c r="B157" s="16">
        <f t="shared" si="9"/>
        <v>112</v>
      </c>
      <c r="C157" s="16">
        <f t="shared" si="9"/>
        <v>0</v>
      </c>
      <c r="D157" s="16">
        <f t="shared" si="9"/>
        <v>249</v>
      </c>
      <c r="E157" s="16">
        <f t="shared" si="9"/>
        <v>1</v>
      </c>
      <c r="F157" s="16">
        <f t="shared" si="9"/>
        <v>1962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02501</v>
      </c>
      <c r="B158" s="16">
        <f t="shared" si="9"/>
        <v>112</v>
      </c>
      <c r="C158" s="16">
        <f t="shared" si="9"/>
        <v>0</v>
      </c>
      <c r="D158" s="16">
        <f t="shared" si="9"/>
        <v>250</v>
      </c>
      <c r="E158" s="16">
        <f t="shared" si="9"/>
        <v>1</v>
      </c>
      <c r="F158" s="16">
        <f t="shared" si="9"/>
        <v>929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02511</v>
      </c>
      <c r="B159" s="16">
        <f t="shared" si="9"/>
        <v>112</v>
      </c>
      <c r="C159" s="16">
        <f t="shared" si="9"/>
        <v>0</v>
      </c>
      <c r="D159" s="16">
        <f t="shared" si="9"/>
        <v>251</v>
      </c>
      <c r="E159" s="16">
        <f t="shared" si="9"/>
        <v>1</v>
      </c>
      <c r="F159" s="16">
        <f t="shared" si="9"/>
        <v>436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02531</v>
      </c>
      <c r="B160" s="16">
        <f t="shared" si="9"/>
        <v>112</v>
      </c>
      <c r="C160" s="16">
        <f t="shared" si="9"/>
        <v>0</v>
      </c>
      <c r="D160" s="16">
        <f t="shared" si="9"/>
        <v>253</v>
      </c>
      <c r="E160" s="16">
        <f t="shared" si="9"/>
        <v>1</v>
      </c>
      <c r="F160" s="16">
        <f t="shared" si="9"/>
        <v>929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02541</v>
      </c>
      <c r="B161" s="16">
        <f t="shared" si="9"/>
        <v>112</v>
      </c>
      <c r="C161" s="16">
        <f t="shared" si="9"/>
        <v>0</v>
      </c>
      <c r="D161" s="16">
        <f t="shared" si="9"/>
        <v>254</v>
      </c>
      <c r="E161" s="16">
        <f t="shared" si="9"/>
        <v>1</v>
      </c>
      <c r="F161" s="16">
        <f t="shared" si="9"/>
        <v>436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02561</v>
      </c>
      <c r="B162" s="16">
        <f t="shared" si="9"/>
        <v>112</v>
      </c>
      <c r="C162" s="16">
        <f t="shared" si="9"/>
        <v>0</v>
      </c>
      <c r="D162" s="16">
        <f t="shared" si="9"/>
        <v>256</v>
      </c>
      <c r="E162" s="16">
        <f t="shared" si="9"/>
        <v>1</v>
      </c>
      <c r="F162" s="16">
        <f t="shared" si="9"/>
        <v>929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02571</v>
      </c>
      <c r="B163" s="16">
        <f t="shared" si="9"/>
        <v>112</v>
      </c>
      <c r="C163" s="16">
        <f t="shared" si="9"/>
        <v>0</v>
      </c>
      <c r="D163" s="16">
        <f t="shared" si="9"/>
        <v>257</v>
      </c>
      <c r="E163" s="16">
        <f t="shared" si="9"/>
        <v>1</v>
      </c>
      <c r="F163" s="16">
        <f t="shared" si="9"/>
        <v>436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02591</v>
      </c>
      <c r="B164" s="16">
        <f t="shared" si="9"/>
        <v>112</v>
      </c>
      <c r="C164" s="16">
        <f t="shared" si="9"/>
        <v>0</v>
      </c>
      <c r="D164" s="16">
        <f t="shared" si="9"/>
        <v>259</v>
      </c>
      <c r="E164" s="16">
        <f t="shared" si="9"/>
        <v>1</v>
      </c>
      <c r="F164" s="16">
        <f t="shared" si="9"/>
        <v>929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02601</v>
      </c>
      <c r="B165" s="16">
        <f t="shared" si="9"/>
        <v>112</v>
      </c>
      <c r="C165" s="16">
        <f t="shared" si="9"/>
        <v>0</v>
      </c>
      <c r="D165" s="16">
        <f t="shared" si="9"/>
        <v>260</v>
      </c>
      <c r="E165" s="16">
        <f t="shared" si="9"/>
        <v>1</v>
      </c>
      <c r="F165" s="16">
        <f t="shared" si="9"/>
        <v>436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03201</v>
      </c>
      <c r="B166" s="16">
        <f t="shared" si="9"/>
        <v>112</v>
      </c>
      <c r="C166" s="16">
        <f t="shared" si="9"/>
        <v>0</v>
      </c>
      <c r="D166" s="16">
        <f t="shared" si="9"/>
        <v>320</v>
      </c>
      <c r="E166" s="16">
        <f t="shared" si="9"/>
        <v>1</v>
      </c>
      <c r="F166" s="16">
        <f t="shared" si="9"/>
        <v>182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03221</v>
      </c>
      <c r="B167" s="16">
        <f t="shared" si="9"/>
        <v>112</v>
      </c>
      <c r="C167" s="16">
        <f t="shared" si="9"/>
        <v>0</v>
      </c>
      <c r="D167" s="16">
        <f t="shared" si="9"/>
        <v>322</v>
      </c>
      <c r="E167" s="16">
        <f t="shared" si="9"/>
        <v>1</v>
      </c>
      <c r="F167" s="16">
        <f t="shared" si="9"/>
        <v>182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03241</v>
      </c>
      <c r="B168" s="16">
        <f t="shared" si="9"/>
        <v>112</v>
      </c>
      <c r="C168" s="16">
        <f t="shared" si="9"/>
        <v>0</v>
      </c>
      <c r="D168" s="16">
        <f t="shared" si="9"/>
        <v>324</v>
      </c>
      <c r="E168" s="16">
        <f t="shared" si="9"/>
        <v>1</v>
      </c>
      <c r="F168" s="16">
        <f t="shared" si="9"/>
        <v>654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03251</v>
      </c>
      <c r="B169" s="16">
        <f t="shared" si="9"/>
        <v>112</v>
      </c>
      <c r="C169" s="16">
        <f t="shared" si="9"/>
        <v>0</v>
      </c>
      <c r="D169" s="16">
        <f t="shared" si="9"/>
        <v>325</v>
      </c>
      <c r="E169" s="16">
        <f t="shared" si="9"/>
        <v>1</v>
      </c>
      <c r="F169" s="16">
        <f t="shared" si="9"/>
        <v>436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03261</v>
      </c>
      <c r="B170" s="16">
        <f t="shared" si="9"/>
        <v>112</v>
      </c>
      <c r="C170" s="16">
        <f t="shared" si="9"/>
        <v>0</v>
      </c>
      <c r="D170" s="16">
        <f t="shared" si="9"/>
        <v>326</v>
      </c>
      <c r="E170" s="16">
        <f t="shared" si="9"/>
        <v>1</v>
      </c>
      <c r="F170" s="16">
        <f t="shared" si="9"/>
        <v>182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K237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C1" sqref="C1"/>
    </sheetView>
  </sheetViews>
  <sheetFormatPr baseColWidth="12" defaultRowHeight="18" x14ac:dyDescent="0"/>
  <cols>
    <col min="1" max="1" width="11.1640625" style="13" bestFit="1" customWidth="1"/>
    <col min="2" max="2" width="9" style="9" bestFit="1" customWidth="1"/>
    <col min="3" max="3" width="19.33203125" style="9" bestFit="1" customWidth="1"/>
    <col min="4" max="4" width="11.6640625" style="9" bestFit="1" customWidth="1"/>
    <col min="5" max="5" width="9.1640625" style="9" bestFit="1" customWidth="1"/>
    <col min="6" max="6" width="7" style="9" bestFit="1" customWidth="1"/>
    <col min="7" max="16384" width="12.83203125" style="9"/>
  </cols>
  <sheetData>
    <row r="1" spans="1:11" s="11" customFormat="1">
      <c r="A1" s="11">
        <f>MATCH(A2,INDIRECT(C1&amp;"!A:A"),0)-2</f>
        <v>-1</v>
      </c>
      <c r="B1" s="12" t="str">
        <f>"$"&amp;2+$A$1&amp;":$"&amp;2+$A$1</f>
        <v>$1:$1</v>
      </c>
      <c r="C1" s="11" t="str">
        <f>SUBSTITUTE(RIGHT(CELL("filename",$C$1),LEN(CELL("filename",$C$1))-FIND("]",CELL("filename",$C$1))),".tmp","")</f>
        <v>gacha_unit_tables_113</v>
      </c>
    </row>
    <row r="2" spans="1:11" s="14" customFormat="1">
      <c r="A2" s="13" t="s">
        <v>14</v>
      </c>
      <c r="B2" s="14" t="s">
        <v>8</v>
      </c>
      <c r="C2" s="14" t="s">
        <v>16</v>
      </c>
      <c r="D2" s="14" t="s">
        <v>0</v>
      </c>
      <c r="E2" s="14" t="s">
        <v>17</v>
      </c>
      <c r="F2" s="14" t="s">
        <v>18</v>
      </c>
      <c r="G2" s="14" t="s">
        <v>19</v>
      </c>
      <c r="H2" s="14" t="s">
        <v>20</v>
      </c>
      <c r="I2" s="14" t="s">
        <v>21</v>
      </c>
      <c r="J2" s="14" t="s">
        <v>22</v>
      </c>
      <c r="K2" s="14" t="s">
        <v>23</v>
      </c>
    </row>
    <row r="3" spans="1:11">
      <c r="A3" s="15" t="str">
        <f t="shared" ref="A3:A66" si="0">INDIRECT(ADDRESS(ROW()+$A$1,COLUMN(),1,TRUE,$C$1))</f>
        <v>11271</v>
      </c>
      <c r="B3" s="16">
        <f t="shared" ref="B3:K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113</v>
      </c>
      <c r="C3" s="16">
        <f t="shared" si="1"/>
        <v>1</v>
      </c>
      <c r="D3" s="16">
        <f t="shared" si="1"/>
        <v>127</v>
      </c>
      <c r="E3" s="16">
        <f t="shared" si="1"/>
        <v>1</v>
      </c>
      <c r="F3" s="16">
        <f t="shared" si="1"/>
        <v>1072</v>
      </c>
      <c r="G3" s="16">
        <f t="shared" si="1"/>
        <v>0</v>
      </c>
      <c r="H3" s="16">
        <f t="shared" si="1"/>
        <v>0</v>
      </c>
      <c r="I3" s="16">
        <f t="shared" si="1"/>
        <v>0</v>
      </c>
      <c r="J3" s="16">
        <f t="shared" si="1"/>
        <v>0</v>
      </c>
      <c r="K3" s="16">
        <f t="shared" si="1"/>
        <v>1</v>
      </c>
    </row>
    <row r="4" spans="1:11">
      <c r="A4" s="15" t="str">
        <f t="shared" si="0"/>
        <v>11291</v>
      </c>
      <c r="B4" s="16">
        <f t="shared" si="1"/>
        <v>113</v>
      </c>
      <c r="C4" s="16">
        <f t="shared" si="1"/>
        <v>1</v>
      </c>
      <c r="D4" s="16">
        <f t="shared" si="1"/>
        <v>129</v>
      </c>
      <c r="E4" s="16">
        <f t="shared" si="1"/>
        <v>1</v>
      </c>
      <c r="F4" s="16">
        <f t="shared" si="1"/>
        <v>1072</v>
      </c>
      <c r="G4" s="16">
        <f t="shared" si="1"/>
        <v>0</v>
      </c>
      <c r="H4" s="16">
        <f t="shared" si="1"/>
        <v>0</v>
      </c>
      <c r="I4" s="16">
        <f t="shared" si="1"/>
        <v>0</v>
      </c>
      <c r="J4" s="16">
        <f t="shared" si="1"/>
        <v>0</v>
      </c>
      <c r="K4" s="16">
        <f t="shared" si="1"/>
        <v>1</v>
      </c>
    </row>
    <row r="5" spans="1:11">
      <c r="A5" s="15" t="str">
        <f t="shared" si="0"/>
        <v>11311</v>
      </c>
      <c r="B5" s="16">
        <f t="shared" si="1"/>
        <v>113</v>
      </c>
      <c r="C5" s="16">
        <f t="shared" si="1"/>
        <v>1</v>
      </c>
      <c r="D5" s="16">
        <f t="shared" si="1"/>
        <v>131</v>
      </c>
      <c r="E5" s="16">
        <f t="shared" si="1"/>
        <v>1</v>
      </c>
      <c r="F5" s="16">
        <f t="shared" si="1"/>
        <v>1072</v>
      </c>
      <c r="G5" s="16">
        <f t="shared" si="1"/>
        <v>0</v>
      </c>
      <c r="H5" s="16">
        <f t="shared" si="1"/>
        <v>0</v>
      </c>
      <c r="I5" s="16">
        <f t="shared" si="1"/>
        <v>0</v>
      </c>
      <c r="J5" s="16">
        <f t="shared" si="1"/>
        <v>0</v>
      </c>
      <c r="K5" s="16">
        <f t="shared" si="1"/>
        <v>1</v>
      </c>
    </row>
    <row r="6" spans="1:11">
      <c r="A6" s="15" t="str">
        <f t="shared" si="0"/>
        <v>11331</v>
      </c>
      <c r="B6" s="16">
        <f t="shared" si="1"/>
        <v>113</v>
      </c>
      <c r="C6" s="16">
        <f t="shared" si="1"/>
        <v>1</v>
      </c>
      <c r="D6" s="16">
        <f t="shared" si="1"/>
        <v>133</v>
      </c>
      <c r="E6" s="16">
        <f t="shared" si="1"/>
        <v>1</v>
      </c>
      <c r="F6" s="16">
        <f t="shared" si="1"/>
        <v>1072</v>
      </c>
      <c r="G6" s="16">
        <f t="shared" si="1"/>
        <v>0</v>
      </c>
      <c r="H6" s="16">
        <f t="shared" si="1"/>
        <v>0</v>
      </c>
      <c r="I6" s="16">
        <f t="shared" si="1"/>
        <v>0</v>
      </c>
      <c r="J6" s="16">
        <f t="shared" si="1"/>
        <v>0</v>
      </c>
      <c r="K6" s="16">
        <f t="shared" si="1"/>
        <v>1</v>
      </c>
    </row>
    <row r="7" spans="1:11">
      <c r="A7" s="15" t="str">
        <f t="shared" si="0"/>
        <v>11351</v>
      </c>
      <c r="B7" s="16">
        <f t="shared" si="1"/>
        <v>113</v>
      </c>
      <c r="C7" s="16">
        <f t="shared" si="1"/>
        <v>1</v>
      </c>
      <c r="D7" s="16">
        <f t="shared" si="1"/>
        <v>135</v>
      </c>
      <c r="E7" s="16">
        <f t="shared" si="1"/>
        <v>1</v>
      </c>
      <c r="F7" s="16">
        <f t="shared" si="1"/>
        <v>1072</v>
      </c>
      <c r="G7" s="16">
        <f t="shared" si="1"/>
        <v>0</v>
      </c>
      <c r="H7" s="16">
        <f t="shared" si="1"/>
        <v>0</v>
      </c>
      <c r="I7" s="16">
        <f t="shared" si="1"/>
        <v>0</v>
      </c>
      <c r="J7" s="16">
        <f t="shared" si="1"/>
        <v>0</v>
      </c>
      <c r="K7" s="16">
        <f t="shared" si="1"/>
        <v>1</v>
      </c>
    </row>
    <row r="8" spans="1:11">
      <c r="A8" s="15" t="str">
        <f t="shared" si="0"/>
        <v>11371</v>
      </c>
      <c r="B8" s="16">
        <f t="shared" si="1"/>
        <v>113</v>
      </c>
      <c r="C8" s="16">
        <f t="shared" si="1"/>
        <v>1</v>
      </c>
      <c r="D8" s="16">
        <f t="shared" si="1"/>
        <v>137</v>
      </c>
      <c r="E8" s="16">
        <f t="shared" si="1"/>
        <v>1</v>
      </c>
      <c r="F8" s="16">
        <f t="shared" si="1"/>
        <v>1072</v>
      </c>
      <c r="G8" s="16">
        <f t="shared" si="1"/>
        <v>0</v>
      </c>
      <c r="H8" s="16">
        <f t="shared" si="1"/>
        <v>0</v>
      </c>
      <c r="I8" s="16">
        <f t="shared" si="1"/>
        <v>0</v>
      </c>
      <c r="J8" s="16">
        <f t="shared" si="1"/>
        <v>0</v>
      </c>
      <c r="K8" s="16">
        <f t="shared" si="1"/>
        <v>1</v>
      </c>
    </row>
    <row r="9" spans="1:11">
      <c r="A9" s="15" t="str">
        <f t="shared" si="0"/>
        <v>11391</v>
      </c>
      <c r="B9" s="16">
        <f t="shared" si="1"/>
        <v>113</v>
      </c>
      <c r="C9" s="16">
        <f t="shared" si="1"/>
        <v>1</v>
      </c>
      <c r="D9" s="16">
        <f t="shared" si="1"/>
        <v>139</v>
      </c>
      <c r="E9" s="16">
        <f t="shared" si="1"/>
        <v>1</v>
      </c>
      <c r="F9" s="16">
        <f t="shared" si="1"/>
        <v>1072</v>
      </c>
      <c r="G9" s="16">
        <f t="shared" si="1"/>
        <v>0</v>
      </c>
      <c r="H9" s="16">
        <f t="shared" si="1"/>
        <v>0</v>
      </c>
      <c r="I9" s="16">
        <f t="shared" si="1"/>
        <v>0</v>
      </c>
      <c r="J9" s="16">
        <f t="shared" si="1"/>
        <v>0</v>
      </c>
      <c r="K9" s="16">
        <f t="shared" si="1"/>
        <v>1</v>
      </c>
    </row>
    <row r="10" spans="1:11">
      <c r="A10" s="15" t="str">
        <f t="shared" si="0"/>
        <v>11411</v>
      </c>
      <c r="B10" s="16">
        <f t="shared" si="1"/>
        <v>113</v>
      </c>
      <c r="C10" s="16">
        <f t="shared" si="1"/>
        <v>1</v>
      </c>
      <c r="D10" s="16">
        <f t="shared" si="1"/>
        <v>141</v>
      </c>
      <c r="E10" s="16">
        <f t="shared" si="1"/>
        <v>1</v>
      </c>
      <c r="F10" s="16">
        <f t="shared" si="1"/>
        <v>1072</v>
      </c>
      <c r="G10" s="16">
        <f t="shared" si="1"/>
        <v>0</v>
      </c>
      <c r="H10" s="16">
        <f t="shared" si="1"/>
        <v>0</v>
      </c>
      <c r="I10" s="16">
        <f t="shared" si="1"/>
        <v>0</v>
      </c>
      <c r="J10" s="16">
        <f t="shared" si="1"/>
        <v>0</v>
      </c>
      <c r="K10" s="16">
        <f t="shared" si="1"/>
        <v>1</v>
      </c>
    </row>
    <row r="11" spans="1:11">
      <c r="A11" s="15" t="str">
        <f t="shared" si="0"/>
        <v>11431</v>
      </c>
      <c r="B11" s="16">
        <f t="shared" si="1"/>
        <v>113</v>
      </c>
      <c r="C11" s="16">
        <f t="shared" si="1"/>
        <v>1</v>
      </c>
      <c r="D11" s="16">
        <f t="shared" si="1"/>
        <v>143</v>
      </c>
      <c r="E11" s="16">
        <f t="shared" si="1"/>
        <v>1</v>
      </c>
      <c r="F11" s="16">
        <f t="shared" si="1"/>
        <v>1072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1</v>
      </c>
    </row>
    <row r="12" spans="1:11">
      <c r="A12" s="15" t="str">
        <f t="shared" si="0"/>
        <v>11451</v>
      </c>
      <c r="B12" s="16">
        <f t="shared" si="1"/>
        <v>113</v>
      </c>
      <c r="C12" s="16">
        <f t="shared" si="1"/>
        <v>1</v>
      </c>
      <c r="D12" s="16">
        <f t="shared" si="1"/>
        <v>145</v>
      </c>
      <c r="E12" s="16">
        <f t="shared" si="1"/>
        <v>1</v>
      </c>
      <c r="F12" s="16">
        <f t="shared" si="1"/>
        <v>1072</v>
      </c>
      <c r="G12" s="16">
        <f t="shared" si="1"/>
        <v>0</v>
      </c>
      <c r="H12" s="16">
        <f t="shared" si="1"/>
        <v>0</v>
      </c>
      <c r="I12" s="16">
        <f t="shared" si="1"/>
        <v>0</v>
      </c>
      <c r="J12" s="16">
        <f t="shared" si="1"/>
        <v>0</v>
      </c>
      <c r="K12" s="16">
        <f t="shared" si="1"/>
        <v>1</v>
      </c>
    </row>
    <row r="13" spans="1:11">
      <c r="A13" s="15" t="str">
        <f t="shared" si="0"/>
        <v>11471</v>
      </c>
      <c r="B13" s="16">
        <f t="shared" si="1"/>
        <v>113</v>
      </c>
      <c r="C13" s="16">
        <f t="shared" si="1"/>
        <v>1</v>
      </c>
      <c r="D13" s="16">
        <f t="shared" si="1"/>
        <v>147</v>
      </c>
      <c r="E13" s="16">
        <f t="shared" si="1"/>
        <v>1</v>
      </c>
      <c r="F13" s="16">
        <f t="shared" si="1"/>
        <v>1072</v>
      </c>
      <c r="G13" s="16">
        <f t="shared" si="1"/>
        <v>0</v>
      </c>
      <c r="H13" s="16">
        <f t="shared" si="1"/>
        <v>0</v>
      </c>
      <c r="I13" s="16">
        <f t="shared" si="1"/>
        <v>0</v>
      </c>
      <c r="J13" s="16">
        <f t="shared" si="1"/>
        <v>0</v>
      </c>
      <c r="K13" s="16">
        <f t="shared" si="1"/>
        <v>1</v>
      </c>
    </row>
    <row r="14" spans="1:11">
      <c r="A14" s="15" t="str">
        <f t="shared" si="0"/>
        <v>11491</v>
      </c>
      <c r="B14" s="16">
        <f t="shared" si="1"/>
        <v>113</v>
      </c>
      <c r="C14" s="16">
        <f t="shared" si="1"/>
        <v>1</v>
      </c>
      <c r="D14" s="16">
        <f t="shared" si="1"/>
        <v>149</v>
      </c>
      <c r="E14" s="16">
        <f t="shared" si="1"/>
        <v>1</v>
      </c>
      <c r="F14" s="16">
        <f t="shared" si="1"/>
        <v>1072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1</v>
      </c>
    </row>
    <row r="15" spans="1:11">
      <c r="A15" s="15" t="str">
        <f t="shared" si="0"/>
        <v>11511</v>
      </c>
      <c r="B15" s="16">
        <f t="shared" si="1"/>
        <v>113</v>
      </c>
      <c r="C15" s="16">
        <f t="shared" si="1"/>
        <v>1</v>
      </c>
      <c r="D15" s="16">
        <f t="shared" si="1"/>
        <v>151</v>
      </c>
      <c r="E15" s="16">
        <f t="shared" si="1"/>
        <v>1</v>
      </c>
      <c r="F15" s="16">
        <f t="shared" si="1"/>
        <v>1072</v>
      </c>
      <c r="G15" s="16">
        <f t="shared" si="1"/>
        <v>0</v>
      </c>
      <c r="H15" s="16">
        <f t="shared" si="1"/>
        <v>0</v>
      </c>
      <c r="I15" s="16">
        <f t="shared" si="1"/>
        <v>0</v>
      </c>
      <c r="J15" s="16">
        <f t="shared" si="1"/>
        <v>0</v>
      </c>
      <c r="K15" s="16">
        <f t="shared" si="1"/>
        <v>1</v>
      </c>
    </row>
    <row r="16" spans="1:11">
      <c r="A16" s="15" t="str">
        <f t="shared" si="0"/>
        <v>11531</v>
      </c>
      <c r="B16" s="16">
        <f t="shared" si="1"/>
        <v>113</v>
      </c>
      <c r="C16" s="16">
        <f t="shared" si="1"/>
        <v>1</v>
      </c>
      <c r="D16" s="16">
        <f t="shared" si="1"/>
        <v>153</v>
      </c>
      <c r="E16" s="16">
        <f t="shared" si="1"/>
        <v>1</v>
      </c>
      <c r="F16" s="16">
        <f t="shared" si="1"/>
        <v>1072</v>
      </c>
      <c r="G16" s="16">
        <f t="shared" si="1"/>
        <v>0</v>
      </c>
      <c r="H16" s="16">
        <f t="shared" si="1"/>
        <v>0</v>
      </c>
      <c r="I16" s="16">
        <f t="shared" si="1"/>
        <v>0</v>
      </c>
      <c r="J16" s="16">
        <f t="shared" si="1"/>
        <v>0</v>
      </c>
      <c r="K16" s="16">
        <f t="shared" si="1"/>
        <v>1</v>
      </c>
    </row>
    <row r="17" spans="1:11">
      <c r="A17" s="15" t="str">
        <f t="shared" si="0"/>
        <v>11551</v>
      </c>
      <c r="B17" s="16">
        <f t="shared" si="1"/>
        <v>113</v>
      </c>
      <c r="C17" s="16">
        <f t="shared" si="1"/>
        <v>1</v>
      </c>
      <c r="D17" s="16">
        <f t="shared" si="1"/>
        <v>155</v>
      </c>
      <c r="E17" s="16">
        <f t="shared" si="1"/>
        <v>1</v>
      </c>
      <c r="F17" s="16">
        <f t="shared" si="1"/>
        <v>1072</v>
      </c>
      <c r="G17" s="16">
        <f t="shared" si="1"/>
        <v>0</v>
      </c>
      <c r="H17" s="16">
        <f t="shared" si="1"/>
        <v>0</v>
      </c>
      <c r="I17" s="16">
        <f t="shared" si="1"/>
        <v>0</v>
      </c>
      <c r="J17" s="16">
        <f t="shared" si="1"/>
        <v>0</v>
      </c>
      <c r="K17" s="16">
        <f t="shared" si="1"/>
        <v>1</v>
      </c>
    </row>
    <row r="18" spans="1:11">
      <c r="A18" s="15" t="str">
        <f t="shared" si="0"/>
        <v>11571</v>
      </c>
      <c r="B18" s="16">
        <f t="shared" si="1"/>
        <v>113</v>
      </c>
      <c r="C18" s="16">
        <f t="shared" si="1"/>
        <v>1</v>
      </c>
      <c r="D18" s="16">
        <f t="shared" si="1"/>
        <v>157</v>
      </c>
      <c r="E18" s="16">
        <f t="shared" si="1"/>
        <v>1</v>
      </c>
      <c r="F18" s="16">
        <f t="shared" si="1"/>
        <v>1072</v>
      </c>
      <c r="G18" s="16">
        <f t="shared" si="1"/>
        <v>0</v>
      </c>
      <c r="H18" s="16">
        <f t="shared" si="1"/>
        <v>0</v>
      </c>
      <c r="I18" s="16">
        <f t="shared" si="1"/>
        <v>0</v>
      </c>
      <c r="J18" s="16">
        <f t="shared" si="1"/>
        <v>0</v>
      </c>
      <c r="K18" s="16">
        <f t="shared" si="1"/>
        <v>1</v>
      </c>
    </row>
    <row r="19" spans="1:11">
      <c r="A19" s="15" t="str">
        <f t="shared" si="0"/>
        <v>11591</v>
      </c>
      <c r="B19" s="16">
        <f t="shared" ref="B19:K44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113</v>
      </c>
      <c r="C19" s="16">
        <f t="shared" si="2"/>
        <v>1</v>
      </c>
      <c r="D19" s="16">
        <f t="shared" si="2"/>
        <v>159</v>
      </c>
      <c r="E19" s="16">
        <f t="shared" si="2"/>
        <v>1</v>
      </c>
      <c r="F19" s="16">
        <f t="shared" si="2"/>
        <v>1072</v>
      </c>
      <c r="G19" s="16">
        <f t="shared" si="2"/>
        <v>0</v>
      </c>
      <c r="H19" s="16">
        <f t="shared" si="2"/>
        <v>0</v>
      </c>
      <c r="I19" s="16">
        <f t="shared" si="2"/>
        <v>0</v>
      </c>
      <c r="J19" s="16">
        <f t="shared" si="2"/>
        <v>0</v>
      </c>
      <c r="K19" s="16">
        <f t="shared" si="2"/>
        <v>1</v>
      </c>
    </row>
    <row r="20" spans="1:11">
      <c r="A20" s="15" t="str">
        <f t="shared" si="0"/>
        <v>11611</v>
      </c>
      <c r="B20" s="16">
        <f t="shared" si="2"/>
        <v>113</v>
      </c>
      <c r="C20" s="16">
        <f t="shared" si="2"/>
        <v>1</v>
      </c>
      <c r="D20" s="16">
        <f t="shared" si="2"/>
        <v>161</v>
      </c>
      <c r="E20" s="16">
        <f t="shared" si="2"/>
        <v>1</v>
      </c>
      <c r="F20" s="16">
        <f t="shared" si="2"/>
        <v>1072</v>
      </c>
      <c r="G20" s="16">
        <f t="shared" si="2"/>
        <v>0</v>
      </c>
      <c r="H20" s="16">
        <f t="shared" si="2"/>
        <v>0</v>
      </c>
      <c r="I20" s="16">
        <f t="shared" si="2"/>
        <v>0</v>
      </c>
      <c r="J20" s="16">
        <f t="shared" si="2"/>
        <v>0</v>
      </c>
      <c r="K20" s="16">
        <f t="shared" si="2"/>
        <v>1</v>
      </c>
    </row>
    <row r="21" spans="1:11">
      <c r="A21" s="15" t="str">
        <f t="shared" si="0"/>
        <v>11631</v>
      </c>
      <c r="B21" s="16">
        <f t="shared" si="2"/>
        <v>113</v>
      </c>
      <c r="C21" s="16">
        <f t="shared" si="2"/>
        <v>1</v>
      </c>
      <c r="D21" s="16">
        <f t="shared" si="2"/>
        <v>163</v>
      </c>
      <c r="E21" s="16">
        <f t="shared" si="2"/>
        <v>1</v>
      </c>
      <c r="F21" s="16">
        <f t="shared" si="2"/>
        <v>1072</v>
      </c>
      <c r="G21" s="16">
        <f t="shared" si="2"/>
        <v>0</v>
      </c>
      <c r="H21" s="16">
        <f t="shared" si="2"/>
        <v>0</v>
      </c>
      <c r="I21" s="16">
        <f t="shared" si="2"/>
        <v>0</v>
      </c>
      <c r="J21" s="16">
        <f t="shared" si="2"/>
        <v>0</v>
      </c>
      <c r="K21" s="16">
        <f t="shared" si="2"/>
        <v>1</v>
      </c>
    </row>
    <row r="22" spans="1:11">
      <c r="A22" s="15" t="str">
        <f t="shared" si="0"/>
        <v>11651</v>
      </c>
      <c r="B22" s="16">
        <f t="shared" si="2"/>
        <v>113</v>
      </c>
      <c r="C22" s="16">
        <f t="shared" si="2"/>
        <v>1</v>
      </c>
      <c r="D22" s="16">
        <f t="shared" si="2"/>
        <v>165</v>
      </c>
      <c r="E22" s="16">
        <f t="shared" si="2"/>
        <v>1</v>
      </c>
      <c r="F22" s="16">
        <f t="shared" si="2"/>
        <v>1072</v>
      </c>
      <c r="G22" s="16">
        <f t="shared" si="2"/>
        <v>0</v>
      </c>
      <c r="H22" s="16">
        <f t="shared" si="2"/>
        <v>0</v>
      </c>
      <c r="I22" s="16">
        <f t="shared" si="2"/>
        <v>0</v>
      </c>
      <c r="J22" s="16">
        <f t="shared" si="2"/>
        <v>0</v>
      </c>
      <c r="K22" s="16">
        <f t="shared" si="2"/>
        <v>1</v>
      </c>
    </row>
    <row r="23" spans="1:11">
      <c r="A23" s="15" t="str">
        <f t="shared" si="0"/>
        <v>11671</v>
      </c>
      <c r="B23" s="16">
        <f t="shared" si="2"/>
        <v>113</v>
      </c>
      <c r="C23" s="16">
        <f t="shared" si="2"/>
        <v>1</v>
      </c>
      <c r="D23" s="16">
        <f t="shared" si="2"/>
        <v>167</v>
      </c>
      <c r="E23" s="16">
        <f t="shared" si="2"/>
        <v>1</v>
      </c>
      <c r="F23" s="16">
        <f t="shared" si="2"/>
        <v>1133</v>
      </c>
      <c r="G23" s="16">
        <f t="shared" si="2"/>
        <v>0</v>
      </c>
      <c r="H23" s="16">
        <f t="shared" si="2"/>
        <v>0</v>
      </c>
      <c r="I23" s="16">
        <f t="shared" si="2"/>
        <v>0</v>
      </c>
      <c r="J23" s="16">
        <f t="shared" si="2"/>
        <v>0</v>
      </c>
      <c r="K23" s="16">
        <f t="shared" si="2"/>
        <v>1</v>
      </c>
    </row>
    <row r="24" spans="1:11">
      <c r="A24" s="15" t="str">
        <f t="shared" si="0"/>
        <v>11701</v>
      </c>
      <c r="B24" s="16">
        <f t="shared" si="2"/>
        <v>113</v>
      </c>
      <c r="C24" s="16">
        <f t="shared" si="2"/>
        <v>1</v>
      </c>
      <c r="D24" s="16">
        <f t="shared" si="2"/>
        <v>170</v>
      </c>
      <c r="E24" s="16">
        <f t="shared" si="2"/>
        <v>1</v>
      </c>
      <c r="F24" s="16">
        <f t="shared" si="2"/>
        <v>1133</v>
      </c>
      <c r="G24" s="16">
        <f t="shared" si="2"/>
        <v>0</v>
      </c>
      <c r="H24" s="16">
        <f t="shared" si="2"/>
        <v>0</v>
      </c>
      <c r="I24" s="16">
        <f t="shared" si="2"/>
        <v>0</v>
      </c>
      <c r="J24" s="16">
        <f t="shared" si="2"/>
        <v>0</v>
      </c>
      <c r="K24" s="16">
        <f t="shared" si="2"/>
        <v>1</v>
      </c>
    </row>
    <row r="25" spans="1:11">
      <c r="A25" s="15" t="str">
        <f t="shared" si="0"/>
        <v>11731</v>
      </c>
      <c r="B25" s="16">
        <f t="shared" si="2"/>
        <v>113</v>
      </c>
      <c r="C25" s="16">
        <f t="shared" si="2"/>
        <v>1</v>
      </c>
      <c r="D25" s="16">
        <f t="shared" si="2"/>
        <v>173</v>
      </c>
      <c r="E25" s="16">
        <f t="shared" si="2"/>
        <v>1</v>
      </c>
      <c r="F25" s="16">
        <f t="shared" si="2"/>
        <v>1133</v>
      </c>
      <c r="G25" s="16">
        <f t="shared" si="2"/>
        <v>0</v>
      </c>
      <c r="H25" s="16">
        <f t="shared" si="2"/>
        <v>0</v>
      </c>
      <c r="I25" s="16">
        <f t="shared" si="2"/>
        <v>0</v>
      </c>
      <c r="J25" s="16">
        <f t="shared" si="2"/>
        <v>0</v>
      </c>
      <c r="K25" s="16">
        <f t="shared" si="2"/>
        <v>1</v>
      </c>
    </row>
    <row r="26" spans="1:11">
      <c r="A26" s="15" t="str">
        <f t="shared" si="0"/>
        <v>11761</v>
      </c>
      <c r="B26" s="16">
        <f t="shared" si="2"/>
        <v>113</v>
      </c>
      <c r="C26" s="16">
        <f t="shared" si="2"/>
        <v>1</v>
      </c>
      <c r="D26" s="16">
        <f t="shared" si="2"/>
        <v>176</v>
      </c>
      <c r="E26" s="16">
        <f t="shared" si="2"/>
        <v>1</v>
      </c>
      <c r="F26" s="16">
        <f t="shared" si="2"/>
        <v>1133</v>
      </c>
      <c r="G26" s="16">
        <f t="shared" si="2"/>
        <v>0</v>
      </c>
      <c r="H26" s="16">
        <f t="shared" si="2"/>
        <v>0</v>
      </c>
      <c r="I26" s="16">
        <f t="shared" si="2"/>
        <v>0</v>
      </c>
      <c r="J26" s="16">
        <f t="shared" si="2"/>
        <v>0</v>
      </c>
      <c r="K26" s="16">
        <f t="shared" si="2"/>
        <v>1</v>
      </c>
    </row>
    <row r="27" spans="1:11">
      <c r="A27" s="15" t="str">
        <f t="shared" si="0"/>
        <v>11791</v>
      </c>
      <c r="B27" s="16">
        <f t="shared" si="2"/>
        <v>113</v>
      </c>
      <c r="C27" s="16">
        <f t="shared" si="2"/>
        <v>1</v>
      </c>
      <c r="D27" s="16">
        <f t="shared" si="2"/>
        <v>179</v>
      </c>
      <c r="E27" s="16">
        <f t="shared" si="2"/>
        <v>1</v>
      </c>
      <c r="F27" s="16">
        <f t="shared" si="2"/>
        <v>1133</v>
      </c>
      <c r="G27" s="16">
        <f t="shared" si="2"/>
        <v>0</v>
      </c>
      <c r="H27" s="16">
        <f t="shared" si="2"/>
        <v>0</v>
      </c>
      <c r="I27" s="16">
        <f t="shared" si="2"/>
        <v>0</v>
      </c>
      <c r="J27" s="16">
        <f t="shared" si="2"/>
        <v>0</v>
      </c>
      <c r="K27" s="16">
        <f t="shared" si="2"/>
        <v>1</v>
      </c>
    </row>
    <row r="28" spans="1:11">
      <c r="A28" s="15" t="str">
        <f t="shared" si="0"/>
        <v>11821</v>
      </c>
      <c r="B28" s="16">
        <f t="shared" si="2"/>
        <v>113</v>
      </c>
      <c r="C28" s="16">
        <f t="shared" si="2"/>
        <v>1</v>
      </c>
      <c r="D28" s="16">
        <f t="shared" si="2"/>
        <v>182</v>
      </c>
      <c r="E28" s="16">
        <f t="shared" si="2"/>
        <v>1</v>
      </c>
      <c r="F28" s="16">
        <f t="shared" si="2"/>
        <v>1133</v>
      </c>
      <c r="G28" s="16">
        <f t="shared" si="2"/>
        <v>0</v>
      </c>
      <c r="H28" s="16">
        <f t="shared" si="2"/>
        <v>0</v>
      </c>
      <c r="I28" s="16">
        <f t="shared" si="2"/>
        <v>0</v>
      </c>
      <c r="J28" s="16">
        <f t="shared" si="2"/>
        <v>0</v>
      </c>
      <c r="K28" s="16">
        <f t="shared" si="2"/>
        <v>1</v>
      </c>
    </row>
    <row r="29" spans="1:11">
      <c r="A29" s="15" t="str">
        <f t="shared" si="0"/>
        <v>11851</v>
      </c>
      <c r="B29" s="16">
        <f t="shared" si="2"/>
        <v>113</v>
      </c>
      <c r="C29" s="16">
        <f t="shared" si="2"/>
        <v>1</v>
      </c>
      <c r="D29" s="16">
        <f t="shared" si="2"/>
        <v>185</v>
      </c>
      <c r="E29" s="16">
        <f t="shared" si="2"/>
        <v>1</v>
      </c>
      <c r="F29" s="16">
        <f t="shared" si="2"/>
        <v>1133</v>
      </c>
      <c r="G29" s="16">
        <f t="shared" si="2"/>
        <v>0</v>
      </c>
      <c r="H29" s="16">
        <f t="shared" si="2"/>
        <v>0</v>
      </c>
      <c r="I29" s="16">
        <f t="shared" si="2"/>
        <v>0</v>
      </c>
      <c r="J29" s="16">
        <f t="shared" si="2"/>
        <v>0</v>
      </c>
      <c r="K29" s="16">
        <f t="shared" si="2"/>
        <v>1</v>
      </c>
    </row>
    <row r="30" spans="1:11">
      <c r="A30" s="15" t="str">
        <f t="shared" si="0"/>
        <v>11881</v>
      </c>
      <c r="B30" s="16">
        <f t="shared" si="2"/>
        <v>113</v>
      </c>
      <c r="C30" s="16">
        <f t="shared" si="2"/>
        <v>1</v>
      </c>
      <c r="D30" s="16">
        <f t="shared" si="2"/>
        <v>188</v>
      </c>
      <c r="E30" s="16">
        <f t="shared" si="2"/>
        <v>1</v>
      </c>
      <c r="F30" s="16">
        <f t="shared" si="2"/>
        <v>1133</v>
      </c>
      <c r="G30" s="16">
        <f t="shared" si="2"/>
        <v>0</v>
      </c>
      <c r="H30" s="16">
        <f t="shared" si="2"/>
        <v>0</v>
      </c>
      <c r="I30" s="16">
        <f t="shared" si="2"/>
        <v>0</v>
      </c>
      <c r="J30" s="16">
        <f t="shared" si="2"/>
        <v>0</v>
      </c>
      <c r="K30" s="16">
        <f t="shared" si="2"/>
        <v>1</v>
      </c>
    </row>
    <row r="31" spans="1:11">
      <c r="A31" s="15" t="str">
        <f t="shared" si="0"/>
        <v>11911</v>
      </c>
      <c r="B31" s="16">
        <f t="shared" si="2"/>
        <v>113</v>
      </c>
      <c r="C31" s="16">
        <f t="shared" si="2"/>
        <v>1</v>
      </c>
      <c r="D31" s="16">
        <f t="shared" si="2"/>
        <v>191</v>
      </c>
      <c r="E31" s="16">
        <f t="shared" si="2"/>
        <v>1</v>
      </c>
      <c r="F31" s="16">
        <f t="shared" si="2"/>
        <v>1133</v>
      </c>
      <c r="G31" s="16">
        <f t="shared" si="2"/>
        <v>0</v>
      </c>
      <c r="H31" s="16">
        <f t="shared" si="2"/>
        <v>0</v>
      </c>
      <c r="I31" s="16">
        <f t="shared" si="2"/>
        <v>0</v>
      </c>
      <c r="J31" s="16">
        <f t="shared" si="2"/>
        <v>0</v>
      </c>
      <c r="K31" s="16">
        <f t="shared" si="2"/>
        <v>1</v>
      </c>
    </row>
    <row r="32" spans="1:11">
      <c r="A32" s="15" t="str">
        <f t="shared" si="0"/>
        <v>11941</v>
      </c>
      <c r="B32" s="16">
        <f t="shared" si="2"/>
        <v>113</v>
      </c>
      <c r="C32" s="16">
        <f t="shared" si="2"/>
        <v>1</v>
      </c>
      <c r="D32" s="16">
        <f t="shared" si="2"/>
        <v>194</v>
      </c>
      <c r="E32" s="16">
        <f t="shared" si="2"/>
        <v>1</v>
      </c>
      <c r="F32" s="16">
        <f t="shared" si="2"/>
        <v>1133</v>
      </c>
      <c r="G32" s="16">
        <f t="shared" si="2"/>
        <v>0</v>
      </c>
      <c r="H32" s="16">
        <f t="shared" si="2"/>
        <v>0</v>
      </c>
      <c r="I32" s="16">
        <f t="shared" si="2"/>
        <v>0</v>
      </c>
      <c r="J32" s="16">
        <f t="shared" si="2"/>
        <v>0</v>
      </c>
      <c r="K32" s="16">
        <f t="shared" si="2"/>
        <v>1</v>
      </c>
    </row>
    <row r="33" spans="1:11">
      <c r="A33" s="15" t="str">
        <f t="shared" si="0"/>
        <v>11971</v>
      </c>
      <c r="B33" s="16">
        <f t="shared" si="2"/>
        <v>113</v>
      </c>
      <c r="C33" s="16">
        <f t="shared" si="2"/>
        <v>1</v>
      </c>
      <c r="D33" s="16">
        <f t="shared" si="2"/>
        <v>197</v>
      </c>
      <c r="E33" s="16">
        <f t="shared" si="2"/>
        <v>1</v>
      </c>
      <c r="F33" s="16">
        <f t="shared" si="2"/>
        <v>1133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1</v>
      </c>
    </row>
    <row r="34" spans="1:11">
      <c r="A34" s="15" t="str">
        <f t="shared" si="0"/>
        <v>12001</v>
      </c>
      <c r="B34" s="16">
        <f t="shared" si="2"/>
        <v>113</v>
      </c>
      <c r="C34" s="16">
        <f t="shared" si="2"/>
        <v>1</v>
      </c>
      <c r="D34" s="16">
        <f t="shared" si="2"/>
        <v>200</v>
      </c>
      <c r="E34" s="16">
        <f t="shared" si="2"/>
        <v>1</v>
      </c>
      <c r="F34" s="16">
        <f t="shared" si="2"/>
        <v>1133</v>
      </c>
      <c r="G34" s="16">
        <f t="shared" si="2"/>
        <v>0</v>
      </c>
      <c r="H34" s="16">
        <f t="shared" si="2"/>
        <v>0</v>
      </c>
      <c r="I34" s="16">
        <f t="shared" si="2"/>
        <v>0</v>
      </c>
      <c r="J34" s="16">
        <f t="shared" si="2"/>
        <v>0</v>
      </c>
      <c r="K34" s="16">
        <f t="shared" si="2"/>
        <v>1</v>
      </c>
    </row>
    <row r="35" spans="1:11">
      <c r="A35" s="15" t="str">
        <f t="shared" si="0"/>
        <v>12031</v>
      </c>
      <c r="B35" s="16">
        <f t="shared" si="2"/>
        <v>113</v>
      </c>
      <c r="C35" s="16">
        <f t="shared" si="2"/>
        <v>1</v>
      </c>
      <c r="D35" s="16">
        <f t="shared" si="2"/>
        <v>203</v>
      </c>
      <c r="E35" s="16">
        <f t="shared" si="2"/>
        <v>1</v>
      </c>
      <c r="F35" s="16">
        <f t="shared" si="2"/>
        <v>1133</v>
      </c>
      <c r="G35" s="16">
        <f t="shared" si="2"/>
        <v>0</v>
      </c>
      <c r="H35" s="16">
        <f t="shared" si="2"/>
        <v>0</v>
      </c>
      <c r="I35" s="16">
        <f t="shared" si="2"/>
        <v>0</v>
      </c>
      <c r="J35" s="16">
        <f t="shared" si="2"/>
        <v>0</v>
      </c>
      <c r="K35" s="16">
        <f t="shared" si="2"/>
        <v>1</v>
      </c>
    </row>
    <row r="36" spans="1:11">
      <c r="A36" s="15" t="str">
        <f t="shared" si="0"/>
        <v>12061</v>
      </c>
      <c r="B36" s="16">
        <f t="shared" si="2"/>
        <v>113</v>
      </c>
      <c r="C36" s="16">
        <f t="shared" si="2"/>
        <v>1</v>
      </c>
      <c r="D36" s="16">
        <f t="shared" si="2"/>
        <v>206</v>
      </c>
      <c r="E36" s="16">
        <f t="shared" si="2"/>
        <v>1</v>
      </c>
      <c r="F36" s="16">
        <f t="shared" si="2"/>
        <v>1133</v>
      </c>
      <c r="G36" s="16">
        <f t="shared" si="2"/>
        <v>0</v>
      </c>
      <c r="H36" s="16">
        <f t="shared" si="2"/>
        <v>0</v>
      </c>
      <c r="I36" s="16">
        <f t="shared" si="2"/>
        <v>0</v>
      </c>
      <c r="J36" s="16">
        <f t="shared" si="2"/>
        <v>0</v>
      </c>
      <c r="K36" s="16">
        <f t="shared" si="2"/>
        <v>1</v>
      </c>
    </row>
    <row r="37" spans="1:11">
      <c r="A37" s="15" t="str">
        <f t="shared" si="0"/>
        <v>12091</v>
      </c>
      <c r="B37" s="16">
        <f t="shared" si="2"/>
        <v>113</v>
      </c>
      <c r="C37" s="16">
        <f t="shared" si="2"/>
        <v>1</v>
      </c>
      <c r="D37" s="16">
        <f t="shared" si="2"/>
        <v>209</v>
      </c>
      <c r="E37" s="16">
        <f t="shared" si="2"/>
        <v>1</v>
      </c>
      <c r="F37" s="16">
        <f t="shared" si="2"/>
        <v>1133</v>
      </c>
      <c r="G37" s="16">
        <f t="shared" si="2"/>
        <v>0</v>
      </c>
      <c r="H37" s="16">
        <f t="shared" si="2"/>
        <v>0</v>
      </c>
      <c r="I37" s="16">
        <f t="shared" si="2"/>
        <v>0</v>
      </c>
      <c r="J37" s="16">
        <f t="shared" si="2"/>
        <v>0</v>
      </c>
      <c r="K37" s="16">
        <f t="shared" si="2"/>
        <v>1</v>
      </c>
    </row>
    <row r="38" spans="1:11">
      <c r="A38" s="15" t="str">
        <f t="shared" si="0"/>
        <v>12121</v>
      </c>
      <c r="B38" s="16">
        <f t="shared" si="2"/>
        <v>113</v>
      </c>
      <c r="C38" s="16">
        <f t="shared" si="2"/>
        <v>1</v>
      </c>
      <c r="D38" s="16">
        <f t="shared" si="2"/>
        <v>212</v>
      </c>
      <c r="E38" s="16">
        <f t="shared" si="2"/>
        <v>1</v>
      </c>
      <c r="F38" s="16">
        <f t="shared" si="2"/>
        <v>1133</v>
      </c>
      <c r="G38" s="16">
        <f t="shared" si="2"/>
        <v>0</v>
      </c>
      <c r="H38" s="16">
        <f t="shared" si="2"/>
        <v>0</v>
      </c>
      <c r="I38" s="16">
        <f t="shared" si="2"/>
        <v>0</v>
      </c>
      <c r="J38" s="16">
        <f t="shared" si="2"/>
        <v>0</v>
      </c>
      <c r="K38" s="16">
        <f t="shared" si="2"/>
        <v>1</v>
      </c>
    </row>
    <row r="39" spans="1:11">
      <c r="A39" s="15" t="str">
        <f t="shared" si="0"/>
        <v>12151</v>
      </c>
      <c r="B39" s="16">
        <f t="shared" si="2"/>
        <v>113</v>
      </c>
      <c r="C39" s="16">
        <f t="shared" si="2"/>
        <v>1</v>
      </c>
      <c r="D39" s="16">
        <f t="shared" si="2"/>
        <v>215</v>
      </c>
      <c r="E39" s="16">
        <f t="shared" si="2"/>
        <v>1</v>
      </c>
      <c r="F39" s="16">
        <f t="shared" si="2"/>
        <v>1133</v>
      </c>
      <c r="G39" s="16">
        <f t="shared" si="2"/>
        <v>0</v>
      </c>
      <c r="H39" s="16">
        <f t="shared" si="2"/>
        <v>0</v>
      </c>
      <c r="I39" s="16">
        <f t="shared" si="2"/>
        <v>0</v>
      </c>
      <c r="J39" s="16">
        <f t="shared" si="2"/>
        <v>0</v>
      </c>
      <c r="K39" s="16">
        <f t="shared" si="2"/>
        <v>1</v>
      </c>
    </row>
    <row r="40" spans="1:11">
      <c r="A40" s="15" t="str">
        <f t="shared" si="0"/>
        <v>12181</v>
      </c>
      <c r="B40" s="16">
        <f t="shared" si="2"/>
        <v>113</v>
      </c>
      <c r="C40" s="16">
        <f t="shared" si="2"/>
        <v>1</v>
      </c>
      <c r="D40" s="16">
        <f t="shared" si="2"/>
        <v>218</v>
      </c>
      <c r="E40" s="16">
        <f t="shared" si="2"/>
        <v>1</v>
      </c>
      <c r="F40" s="16">
        <f t="shared" si="2"/>
        <v>1133</v>
      </c>
      <c r="G40" s="16">
        <f t="shared" si="2"/>
        <v>0</v>
      </c>
      <c r="H40" s="16">
        <f t="shared" si="2"/>
        <v>0</v>
      </c>
      <c r="I40" s="16">
        <f t="shared" si="2"/>
        <v>0</v>
      </c>
      <c r="J40" s="16">
        <f t="shared" si="2"/>
        <v>0</v>
      </c>
      <c r="K40" s="16">
        <f t="shared" si="2"/>
        <v>1</v>
      </c>
    </row>
    <row r="41" spans="1:11">
      <c r="A41" s="15" t="str">
        <f t="shared" si="0"/>
        <v>12211</v>
      </c>
      <c r="B41" s="16">
        <f t="shared" si="2"/>
        <v>113</v>
      </c>
      <c r="C41" s="16">
        <f t="shared" si="2"/>
        <v>1</v>
      </c>
      <c r="D41" s="16">
        <f t="shared" si="2"/>
        <v>221</v>
      </c>
      <c r="E41" s="16">
        <f t="shared" si="2"/>
        <v>1</v>
      </c>
      <c r="F41" s="16">
        <f t="shared" si="2"/>
        <v>1133</v>
      </c>
      <c r="G41" s="16">
        <f t="shared" si="2"/>
        <v>0</v>
      </c>
      <c r="H41" s="16">
        <f t="shared" si="2"/>
        <v>0</v>
      </c>
      <c r="I41" s="16">
        <f t="shared" si="2"/>
        <v>0</v>
      </c>
      <c r="J41" s="16">
        <f t="shared" si="2"/>
        <v>0</v>
      </c>
      <c r="K41" s="16">
        <f t="shared" si="2"/>
        <v>1</v>
      </c>
    </row>
    <row r="42" spans="1:11">
      <c r="A42" s="15" t="str">
        <f t="shared" si="0"/>
        <v>12241</v>
      </c>
      <c r="B42" s="16">
        <f t="shared" si="2"/>
        <v>113</v>
      </c>
      <c r="C42" s="16">
        <f t="shared" si="2"/>
        <v>1</v>
      </c>
      <c r="D42" s="16">
        <f t="shared" si="2"/>
        <v>224</v>
      </c>
      <c r="E42" s="16">
        <f t="shared" si="2"/>
        <v>1</v>
      </c>
      <c r="F42" s="16">
        <f t="shared" si="2"/>
        <v>1133</v>
      </c>
      <c r="G42" s="16">
        <f t="shared" si="2"/>
        <v>0</v>
      </c>
      <c r="H42" s="16">
        <f t="shared" si="2"/>
        <v>0</v>
      </c>
      <c r="I42" s="16">
        <f t="shared" si="2"/>
        <v>0</v>
      </c>
      <c r="J42" s="16">
        <f t="shared" si="2"/>
        <v>0</v>
      </c>
      <c r="K42" s="16">
        <f t="shared" si="2"/>
        <v>1</v>
      </c>
    </row>
    <row r="43" spans="1:11">
      <c r="A43" s="15" t="str">
        <f t="shared" si="0"/>
        <v>12271</v>
      </c>
      <c r="B43" s="16">
        <f t="shared" si="2"/>
        <v>113</v>
      </c>
      <c r="C43" s="16">
        <f t="shared" si="2"/>
        <v>1</v>
      </c>
      <c r="D43" s="16">
        <f t="shared" si="2"/>
        <v>227</v>
      </c>
      <c r="E43" s="16">
        <f t="shared" si="2"/>
        <v>1</v>
      </c>
      <c r="F43" s="16">
        <f t="shared" si="2"/>
        <v>1020</v>
      </c>
      <c r="G43" s="16">
        <f t="shared" si="2"/>
        <v>0</v>
      </c>
      <c r="H43" s="16">
        <f t="shared" si="2"/>
        <v>0</v>
      </c>
      <c r="I43" s="16">
        <f t="shared" si="2"/>
        <v>0</v>
      </c>
      <c r="J43" s="16">
        <f t="shared" si="2"/>
        <v>0</v>
      </c>
      <c r="K43" s="16">
        <f t="shared" si="2"/>
        <v>1</v>
      </c>
    </row>
    <row r="44" spans="1:11">
      <c r="A44" s="15" t="str">
        <f t="shared" si="0"/>
        <v>12301</v>
      </c>
      <c r="B44" s="16">
        <f t="shared" si="2"/>
        <v>113</v>
      </c>
      <c r="C44" s="16">
        <f t="shared" si="2"/>
        <v>1</v>
      </c>
      <c r="D44" s="16">
        <f t="shared" si="2"/>
        <v>230</v>
      </c>
      <c r="E44" s="16">
        <f t="shared" si="2"/>
        <v>1</v>
      </c>
      <c r="F44" s="16">
        <f t="shared" si="2"/>
        <v>687</v>
      </c>
      <c r="G44" s="16">
        <f t="shared" ref="B44:K69" si="3">VLOOKUP($A44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44" s="16">
        <f t="shared" si="3"/>
        <v>0</v>
      </c>
      <c r="I44" s="16">
        <f t="shared" si="3"/>
        <v>0</v>
      </c>
      <c r="J44" s="16">
        <f t="shared" si="3"/>
        <v>0</v>
      </c>
      <c r="K44" s="16">
        <f t="shared" si="3"/>
        <v>1</v>
      </c>
    </row>
    <row r="45" spans="1:11">
      <c r="A45" s="15" t="str">
        <f t="shared" si="0"/>
        <v>12331</v>
      </c>
      <c r="B45" s="16">
        <f t="shared" si="3"/>
        <v>113</v>
      </c>
      <c r="C45" s="16">
        <f t="shared" si="3"/>
        <v>1</v>
      </c>
      <c r="D45" s="16">
        <f t="shared" si="3"/>
        <v>233</v>
      </c>
      <c r="E45" s="16">
        <f t="shared" si="3"/>
        <v>1</v>
      </c>
      <c r="F45" s="16">
        <f t="shared" si="3"/>
        <v>1020</v>
      </c>
      <c r="G45" s="16">
        <f t="shared" si="3"/>
        <v>0</v>
      </c>
      <c r="H45" s="16">
        <f t="shared" si="3"/>
        <v>0</v>
      </c>
      <c r="I45" s="16">
        <f t="shared" si="3"/>
        <v>0</v>
      </c>
      <c r="J45" s="16">
        <f t="shared" si="3"/>
        <v>0</v>
      </c>
      <c r="K45" s="16">
        <f t="shared" si="3"/>
        <v>1</v>
      </c>
    </row>
    <row r="46" spans="1:11">
      <c r="A46" s="15" t="str">
        <f t="shared" si="0"/>
        <v>12361</v>
      </c>
      <c r="B46" s="16">
        <f t="shared" si="3"/>
        <v>113</v>
      </c>
      <c r="C46" s="16">
        <f t="shared" si="3"/>
        <v>1</v>
      </c>
      <c r="D46" s="16">
        <f t="shared" si="3"/>
        <v>236</v>
      </c>
      <c r="E46" s="16">
        <f t="shared" si="3"/>
        <v>1</v>
      </c>
      <c r="F46" s="16">
        <f t="shared" si="3"/>
        <v>1020</v>
      </c>
      <c r="G46" s="16">
        <f t="shared" si="3"/>
        <v>0</v>
      </c>
      <c r="H46" s="16">
        <f t="shared" si="3"/>
        <v>0</v>
      </c>
      <c r="I46" s="16">
        <f t="shared" si="3"/>
        <v>0</v>
      </c>
      <c r="J46" s="16">
        <f t="shared" si="3"/>
        <v>0</v>
      </c>
      <c r="K46" s="16">
        <f t="shared" si="3"/>
        <v>1</v>
      </c>
    </row>
    <row r="47" spans="1:11">
      <c r="A47" s="15" t="str">
        <f t="shared" si="0"/>
        <v>12311</v>
      </c>
      <c r="B47" s="16">
        <f t="shared" si="3"/>
        <v>113</v>
      </c>
      <c r="C47" s="16">
        <f t="shared" si="3"/>
        <v>1</v>
      </c>
      <c r="D47" s="16">
        <f t="shared" si="3"/>
        <v>231</v>
      </c>
      <c r="E47" s="16">
        <f t="shared" si="3"/>
        <v>1</v>
      </c>
      <c r="F47" s="16">
        <f t="shared" si="3"/>
        <v>1083</v>
      </c>
      <c r="G47" s="16">
        <f t="shared" si="3"/>
        <v>0</v>
      </c>
      <c r="H47" s="16">
        <f t="shared" si="3"/>
        <v>0</v>
      </c>
      <c r="I47" s="16">
        <f t="shared" si="3"/>
        <v>0</v>
      </c>
      <c r="J47" s="16">
        <f t="shared" si="3"/>
        <v>0</v>
      </c>
      <c r="K47" s="16">
        <f t="shared" si="3"/>
        <v>1</v>
      </c>
    </row>
    <row r="48" spans="1:11">
      <c r="A48" s="15" t="str">
        <f t="shared" si="0"/>
        <v>12391</v>
      </c>
      <c r="B48" s="16">
        <f t="shared" si="3"/>
        <v>113</v>
      </c>
      <c r="C48" s="16">
        <f t="shared" si="3"/>
        <v>1</v>
      </c>
      <c r="D48" s="16">
        <f t="shared" si="3"/>
        <v>239</v>
      </c>
      <c r="E48" s="16">
        <f t="shared" si="3"/>
        <v>1</v>
      </c>
      <c r="F48" s="16">
        <f t="shared" si="3"/>
        <v>1020</v>
      </c>
      <c r="G48" s="16">
        <f t="shared" si="3"/>
        <v>0</v>
      </c>
      <c r="H48" s="16">
        <f t="shared" si="3"/>
        <v>0</v>
      </c>
      <c r="I48" s="16">
        <f t="shared" si="3"/>
        <v>0</v>
      </c>
      <c r="J48" s="16">
        <f t="shared" si="3"/>
        <v>0</v>
      </c>
      <c r="K48" s="16">
        <f t="shared" si="3"/>
        <v>1</v>
      </c>
    </row>
    <row r="49" spans="1:11">
      <c r="A49" s="15" t="str">
        <f t="shared" si="0"/>
        <v>12421</v>
      </c>
      <c r="B49" s="16">
        <f t="shared" si="3"/>
        <v>113</v>
      </c>
      <c r="C49" s="16">
        <f t="shared" si="3"/>
        <v>1</v>
      </c>
      <c r="D49" s="16">
        <f t="shared" si="3"/>
        <v>242</v>
      </c>
      <c r="E49" s="16">
        <f t="shared" si="3"/>
        <v>1</v>
      </c>
      <c r="F49" s="16">
        <f t="shared" si="3"/>
        <v>1020</v>
      </c>
      <c r="G49" s="16">
        <f t="shared" si="3"/>
        <v>0</v>
      </c>
      <c r="H49" s="16">
        <f t="shared" si="3"/>
        <v>0</v>
      </c>
      <c r="I49" s="16">
        <f t="shared" si="3"/>
        <v>0</v>
      </c>
      <c r="J49" s="16">
        <f t="shared" si="3"/>
        <v>0</v>
      </c>
      <c r="K49" s="16">
        <f t="shared" si="3"/>
        <v>1</v>
      </c>
    </row>
    <row r="50" spans="1:11">
      <c r="A50" s="15" t="str">
        <f t="shared" si="0"/>
        <v>12451</v>
      </c>
      <c r="B50" s="16">
        <f t="shared" si="3"/>
        <v>113</v>
      </c>
      <c r="C50" s="16">
        <f t="shared" si="3"/>
        <v>1</v>
      </c>
      <c r="D50" s="16">
        <f t="shared" si="3"/>
        <v>245</v>
      </c>
      <c r="E50" s="16">
        <f t="shared" si="3"/>
        <v>1</v>
      </c>
      <c r="F50" s="16">
        <f t="shared" si="3"/>
        <v>1020</v>
      </c>
      <c r="G50" s="16">
        <f t="shared" si="3"/>
        <v>0</v>
      </c>
      <c r="H50" s="16">
        <f t="shared" si="3"/>
        <v>0</v>
      </c>
      <c r="I50" s="16">
        <f t="shared" si="3"/>
        <v>0</v>
      </c>
      <c r="J50" s="16">
        <f t="shared" si="3"/>
        <v>0</v>
      </c>
      <c r="K50" s="16">
        <f t="shared" si="3"/>
        <v>1</v>
      </c>
    </row>
    <row r="51" spans="1:11">
      <c r="A51" s="15" t="str">
        <f t="shared" si="0"/>
        <v>12481</v>
      </c>
      <c r="B51" s="16">
        <f t="shared" si="3"/>
        <v>113</v>
      </c>
      <c r="C51" s="16">
        <f t="shared" si="3"/>
        <v>1</v>
      </c>
      <c r="D51" s="16">
        <f t="shared" si="3"/>
        <v>248</v>
      </c>
      <c r="E51" s="16">
        <f t="shared" si="3"/>
        <v>1</v>
      </c>
      <c r="F51" s="16">
        <f t="shared" si="3"/>
        <v>687</v>
      </c>
      <c r="G51" s="16">
        <f t="shared" si="3"/>
        <v>0</v>
      </c>
      <c r="H51" s="16">
        <f t="shared" si="3"/>
        <v>0</v>
      </c>
      <c r="I51" s="16">
        <f t="shared" si="3"/>
        <v>0</v>
      </c>
      <c r="J51" s="16">
        <f t="shared" si="3"/>
        <v>0</v>
      </c>
      <c r="K51" s="16">
        <f t="shared" si="3"/>
        <v>1</v>
      </c>
    </row>
    <row r="52" spans="1:11">
      <c r="A52" s="15" t="str">
        <f t="shared" si="0"/>
        <v>12491</v>
      </c>
      <c r="B52" s="16">
        <f t="shared" si="3"/>
        <v>113</v>
      </c>
      <c r="C52" s="16">
        <f t="shared" si="3"/>
        <v>1</v>
      </c>
      <c r="D52" s="16">
        <f t="shared" si="3"/>
        <v>249</v>
      </c>
      <c r="E52" s="16">
        <f t="shared" si="3"/>
        <v>1</v>
      </c>
      <c r="F52" s="16">
        <f t="shared" si="3"/>
        <v>1083</v>
      </c>
      <c r="G52" s="16">
        <f t="shared" si="3"/>
        <v>0</v>
      </c>
      <c r="H52" s="16">
        <f t="shared" si="3"/>
        <v>0</v>
      </c>
      <c r="I52" s="16">
        <f t="shared" si="3"/>
        <v>0</v>
      </c>
      <c r="J52" s="16">
        <f t="shared" si="3"/>
        <v>0</v>
      </c>
      <c r="K52" s="16">
        <f t="shared" si="3"/>
        <v>1</v>
      </c>
    </row>
    <row r="53" spans="1:11">
      <c r="A53" s="15" t="str">
        <f t="shared" si="0"/>
        <v>12511</v>
      </c>
      <c r="B53" s="16">
        <f t="shared" si="3"/>
        <v>113</v>
      </c>
      <c r="C53" s="16">
        <f t="shared" si="3"/>
        <v>1</v>
      </c>
      <c r="D53" s="16">
        <f t="shared" si="3"/>
        <v>251</v>
      </c>
      <c r="E53" s="16">
        <f t="shared" si="3"/>
        <v>1</v>
      </c>
      <c r="F53" s="16">
        <f t="shared" si="3"/>
        <v>1020</v>
      </c>
      <c r="G53" s="16">
        <f t="shared" si="3"/>
        <v>0</v>
      </c>
      <c r="H53" s="16">
        <f t="shared" si="3"/>
        <v>0</v>
      </c>
      <c r="I53" s="16">
        <f t="shared" si="3"/>
        <v>0</v>
      </c>
      <c r="J53" s="16">
        <f t="shared" si="3"/>
        <v>0</v>
      </c>
      <c r="K53" s="16">
        <f t="shared" si="3"/>
        <v>1</v>
      </c>
    </row>
    <row r="54" spans="1:11">
      <c r="A54" s="15" t="str">
        <f t="shared" si="0"/>
        <v>12541</v>
      </c>
      <c r="B54" s="16">
        <f t="shared" si="3"/>
        <v>113</v>
      </c>
      <c r="C54" s="16">
        <f t="shared" si="3"/>
        <v>1</v>
      </c>
      <c r="D54" s="16">
        <f t="shared" si="3"/>
        <v>254</v>
      </c>
      <c r="E54" s="16">
        <f t="shared" si="3"/>
        <v>1</v>
      </c>
      <c r="F54" s="16">
        <f t="shared" si="3"/>
        <v>1020</v>
      </c>
      <c r="G54" s="16">
        <f t="shared" si="3"/>
        <v>0</v>
      </c>
      <c r="H54" s="16">
        <f t="shared" si="3"/>
        <v>0</v>
      </c>
      <c r="I54" s="16">
        <f t="shared" si="3"/>
        <v>0</v>
      </c>
      <c r="J54" s="16">
        <f t="shared" si="3"/>
        <v>0</v>
      </c>
      <c r="K54" s="16">
        <f t="shared" si="3"/>
        <v>1</v>
      </c>
    </row>
    <row r="55" spans="1:11">
      <c r="A55" s="15" t="str">
        <f t="shared" si="0"/>
        <v>12571</v>
      </c>
      <c r="B55" s="16">
        <f t="shared" si="3"/>
        <v>113</v>
      </c>
      <c r="C55" s="16">
        <f t="shared" si="3"/>
        <v>1</v>
      </c>
      <c r="D55" s="16">
        <f t="shared" si="3"/>
        <v>257</v>
      </c>
      <c r="E55" s="16">
        <f t="shared" si="3"/>
        <v>1</v>
      </c>
      <c r="F55" s="16">
        <f t="shared" si="3"/>
        <v>1020</v>
      </c>
      <c r="G55" s="16">
        <f t="shared" si="3"/>
        <v>0</v>
      </c>
      <c r="H55" s="16">
        <f t="shared" si="3"/>
        <v>0</v>
      </c>
      <c r="I55" s="16">
        <f t="shared" si="3"/>
        <v>0</v>
      </c>
      <c r="J55" s="16">
        <f t="shared" si="3"/>
        <v>0</v>
      </c>
      <c r="K55" s="16">
        <f t="shared" si="3"/>
        <v>1</v>
      </c>
    </row>
    <row r="56" spans="1:11">
      <c r="A56" s="15" t="str">
        <f t="shared" si="0"/>
        <v>12601</v>
      </c>
      <c r="B56" s="16">
        <f t="shared" si="3"/>
        <v>113</v>
      </c>
      <c r="C56" s="16">
        <f t="shared" si="3"/>
        <v>1</v>
      </c>
      <c r="D56" s="16">
        <f t="shared" si="3"/>
        <v>260</v>
      </c>
      <c r="E56" s="16">
        <f t="shared" si="3"/>
        <v>1</v>
      </c>
      <c r="F56" s="16">
        <f t="shared" si="3"/>
        <v>1020</v>
      </c>
      <c r="G56" s="16">
        <f t="shared" si="3"/>
        <v>0</v>
      </c>
      <c r="H56" s="16">
        <f t="shared" si="3"/>
        <v>0</v>
      </c>
      <c r="I56" s="16">
        <f t="shared" si="3"/>
        <v>0</v>
      </c>
      <c r="J56" s="16">
        <f t="shared" si="3"/>
        <v>0</v>
      </c>
      <c r="K56" s="16">
        <f t="shared" si="3"/>
        <v>1</v>
      </c>
    </row>
    <row r="57" spans="1:11">
      <c r="A57" s="15" t="str">
        <f t="shared" si="0"/>
        <v>13201</v>
      </c>
      <c r="B57" s="16">
        <f t="shared" si="3"/>
        <v>113</v>
      </c>
      <c r="C57" s="16">
        <f t="shared" si="3"/>
        <v>1</v>
      </c>
      <c r="D57" s="16">
        <f t="shared" si="3"/>
        <v>320</v>
      </c>
      <c r="E57" s="16">
        <f t="shared" si="3"/>
        <v>1</v>
      </c>
      <c r="F57" s="16">
        <f t="shared" si="3"/>
        <v>189</v>
      </c>
      <c r="G57" s="16">
        <f t="shared" si="3"/>
        <v>0</v>
      </c>
      <c r="H57" s="16">
        <f t="shared" si="3"/>
        <v>0</v>
      </c>
      <c r="I57" s="16">
        <f t="shared" si="3"/>
        <v>0</v>
      </c>
      <c r="J57" s="16">
        <f t="shared" si="3"/>
        <v>0</v>
      </c>
      <c r="K57" s="16">
        <f t="shared" si="3"/>
        <v>1</v>
      </c>
    </row>
    <row r="58" spans="1:11">
      <c r="A58" s="15" t="str">
        <f t="shared" si="0"/>
        <v>13221</v>
      </c>
      <c r="B58" s="16">
        <f t="shared" si="3"/>
        <v>113</v>
      </c>
      <c r="C58" s="16">
        <f t="shared" si="3"/>
        <v>1</v>
      </c>
      <c r="D58" s="16">
        <f t="shared" si="3"/>
        <v>322</v>
      </c>
      <c r="E58" s="16">
        <f t="shared" si="3"/>
        <v>1</v>
      </c>
      <c r="F58" s="16">
        <f t="shared" si="3"/>
        <v>189</v>
      </c>
      <c r="G58" s="16">
        <f t="shared" si="3"/>
        <v>0</v>
      </c>
      <c r="H58" s="16">
        <f t="shared" si="3"/>
        <v>0</v>
      </c>
      <c r="I58" s="16">
        <f t="shared" si="3"/>
        <v>0</v>
      </c>
      <c r="J58" s="16">
        <f t="shared" si="3"/>
        <v>0</v>
      </c>
      <c r="K58" s="16">
        <f t="shared" si="3"/>
        <v>1</v>
      </c>
    </row>
    <row r="59" spans="1:11">
      <c r="A59" s="15" t="str">
        <f t="shared" si="0"/>
        <v>13241</v>
      </c>
      <c r="B59" s="16">
        <f t="shared" si="3"/>
        <v>113</v>
      </c>
      <c r="C59" s="16">
        <f t="shared" si="3"/>
        <v>1</v>
      </c>
      <c r="D59" s="16">
        <f t="shared" si="3"/>
        <v>324</v>
      </c>
      <c r="E59" s="16">
        <f t="shared" si="3"/>
        <v>1</v>
      </c>
      <c r="F59" s="16">
        <f t="shared" si="3"/>
        <v>396</v>
      </c>
      <c r="G59" s="16">
        <f t="shared" si="3"/>
        <v>0</v>
      </c>
      <c r="H59" s="16">
        <f t="shared" si="3"/>
        <v>0</v>
      </c>
      <c r="I59" s="16">
        <f t="shared" si="3"/>
        <v>0</v>
      </c>
      <c r="J59" s="16">
        <f t="shared" si="3"/>
        <v>0</v>
      </c>
      <c r="K59" s="16">
        <f t="shared" si="3"/>
        <v>1</v>
      </c>
    </row>
    <row r="60" spans="1:11">
      <c r="A60" s="15" t="str">
        <f t="shared" si="0"/>
        <v>13251</v>
      </c>
      <c r="B60" s="16">
        <f t="shared" si="3"/>
        <v>113</v>
      </c>
      <c r="C60" s="16">
        <f t="shared" si="3"/>
        <v>1</v>
      </c>
      <c r="D60" s="16">
        <f t="shared" si="3"/>
        <v>325</v>
      </c>
      <c r="E60" s="16">
        <f t="shared" si="3"/>
        <v>1</v>
      </c>
      <c r="F60" s="16">
        <f t="shared" si="3"/>
        <v>194</v>
      </c>
      <c r="G60" s="16">
        <f t="shared" si="3"/>
        <v>0</v>
      </c>
      <c r="H60" s="16">
        <f t="shared" si="3"/>
        <v>0</v>
      </c>
      <c r="I60" s="16">
        <f t="shared" si="3"/>
        <v>0</v>
      </c>
      <c r="J60" s="16">
        <f t="shared" si="3"/>
        <v>0</v>
      </c>
      <c r="K60" s="16">
        <f t="shared" si="3"/>
        <v>1</v>
      </c>
    </row>
    <row r="61" spans="1:11">
      <c r="A61" s="15" t="str">
        <f t="shared" si="0"/>
        <v>13261</v>
      </c>
      <c r="B61" s="16">
        <f t="shared" si="3"/>
        <v>113</v>
      </c>
      <c r="C61" s="16">
        <f t="shared" si="3"/>
        <v>1</v>
      </c>
      <c r="D61" s="16">
        <f t="shared" si="3"/>
        <v>326</v>
      </c>
      <c r="E61" s="16">
        <f t="shared" si="3"/>
        <v>1</v>
      </c>
      <c r="F61" s="16">
        <f t="shared" si="3"/>
        <v>189</v>
      </c>
      <c r="G61" s="16">
        <f t="shared" si="3"/>
        <v>0</v>
      </c>
      <c r="H61" s="16">
        <f t="shared" si="3"/>
        <v>0</v>
      </c>
      <c r="I61" s="16">
        <f t="shared" si="3"/>
        <v>0</v>
      </c>
      <c r="J61" s="16">
        <f t="shared" si="3"/>
        <v>0</v>
      </c>
      <c r="K61" s="16">
        <f t="shared" si="3"/>
        <v>1</v>
      </c>
    </row>
    <row r="62" spans="1:11">
      <c r="A62" s="15" t="str">
        <f t="shared" si="0"/>
        <v>01261</v>
      </c>
      <c r="B62" s="16">
        <f t="shared" si="3"/>
        <v>113</v>
      </c>
      <c r="C62" s="16">
        <f t="shared" si="3"/>
        <v>0</v>
      </c>
      <c r="D62" s="16">
        <f t="shared" si="3"/>
        <v>126</v>
      </c>
      <c r="E62" s="16">
        <f t="shared" si="3"/>
        <v>1</v>
      </c>
      <c r="F62" s="16">
        <f t="shared" si="3"/>
        <v>1683</v>
      </c>
      <c r="G62" s="16">
        <f t="shared" si="3"/>
        <v>0</v>
      </c>
      <c r="H62" s="16">
        <f t="shared" si="3"/>
        <v>0</v>
      </c>
      <c r="I62" s="16">
        <f t="shared" si="3"/>
        <v>0</v>
      </c>
      <c r="J62" s="16">
        <f t="shared" si="3"/>
        <v>0</v>
      </c>
      <c r="K62" s="16">
        <f t="shared" si="3"/>
        <v>1</v>
      </c>
    </row>
    <row r="63" spans="1:11">
      <c r="A63" s="15" t="str">
        <f t="shared" si="0"/>
        <v>01281</v>
      </c>
      <c r="B63" s="16">
        <f t="shared" si="3"/>
        <v>113</v>
      </c>
      <c r="C63" s="16">
        <f t="shared" si="3"/>
        <v>0</v>
      </c>
      <c r="D63" s="16">
        <f t="shared" si="3"/>
        <v>128</v>
      </c>
      <c r="E63" s="16">
        <f t="shared" si="3"/>
        <v>1</v>
      </c>
      <c r="F63" s="16">
        <f t="shared" si="3"/>
        <v>1683</v>
      </c>
      <c r="G63" s="16">
        <f t="shared" si="3"/>
        <v>0</v>
      </c>
      <c r="H63" s="16">
        <f t="shared" si="3"/>
        <v>0</v>
      </c>
      <c r="I63" s="16">
        <f t="shared" si="3"/>
        <v>0</v>
      </c>
      <c r="J63" s="16">
        <f t="shared" si="3"/>
        <v>0</v>
      </c>
      <c r="K63" s="16">
        <f t="shared" si="3"/>
        <v>1</v>
      </c>
    </row>
    <row r="64" spans="1:11">
      <c r="A64" s="15" t="str">
        <f t="shared" si="0"/>
        <v>01301</v>
      </c>
      <c r="B64" s="16">
        <f t="shared" si="3"/>
        <v>113</v>
      </c>
      <c r="C64" s="16">
        <f t="shared" si="3"/>
        <v>0</v>
      </c>
      <c r="D64" s="16">
        <f t="shared" si="3"/>
        <v>130</v>
      </c>
      <c r="E64" s="16">
        <f t="shared" si="3"/>
        <v>1</v>
      </c>
      <c r="F64" s="16">
        <f t="shared" si="3"/>
        <v>1683</v>
      </c>
      <c r="G64" s="16">
        <f t="shared" si="3"/>
        <v>0</v>
      </c>
      <c r="H64" s="16">
        <f t="shared" si="3"/>
        <v>0</v>
      </c>
      <c r="I64" s="16">
        <f t="shared" si="3"/>
        <v>0</v>
      </c>
      <c r="J64" s="16">
        <f t="shared" si="3"/>
        <v>0</v>
      </c>
      <c r="K64" s="16">
        <f t="shared" si="3"/>
        <v>1</v>
      </c>
    </row>
    <row r="65" spans="1:11">
      <c r="A65" s="15" t="str">
        <f t="shared" si="0"/>
        <v>01321</v>
      </c>
      <c r="B65" s="16">
        <f t="shared" si="3"/>
        <v>113</v>
      </c>
      <c r="C65" s="16">
        <f t="shared" si="3"/>
        <v>0</v>
      </c>
      <c r="D65" s="16">
        <f t="shared" si="3"/>
        <v>132</v>
      </c>
      <c r="E65" s="16">
        <f t="shared" si="3"/>
        <v>1</v>
      </c>
      <c r="F65" s="16">
        <f t="shared" si="3"/>
        <v>1683</v>
      </c>
      <c r="G65" s="16">
        <f t="shared" si="3"/>
        <v>0</v>
      </c>
      <c r="H65" s="16">
        <f t="shared" si="3"/>
        <v>0</v>
      </c>
      <c r="I65" s="16">
        <f t="shared" si="3"/>
        <v>0</v>
      </c>
      <c r="J65" s="16">
        <f t="shared" si="3"/>
        <v>0</v>
      </c>
      <c r="K65" s="16">
        <f t="shared" si="3"/>
        <v>1</v>
      </c>
    </row>
    <row r="66" spans="1:11">
      <c r="A66" s="15" t="str">
        <f t="shared" si="0"/>
        <v>01341</v>
      </c>
      <c r="B66" s="16">
        <f t="shared" si="3"/>
        <v>113</v>
      </c>
      <c r="C66" s="16">
        <f t="shared" si="3"/>
        <v>0</v>
      </c>
      <c r="D66" s="16">
        <f t="shared" si="3"/>
        <v>134</v>
      </c>
      <c r="E66" s="16">
        <f t="shared" si="3"/>
        <v>1</v>
      </c>
      <c r="F66" s="16">
        <f t="shared" si="3"/>
        <v>1683</v>
      </c>
      <c r="G66" s="16">
        <f t="shared" si="3"/>
        <v>0</v>
      </c>
      <c r="H66" s="16">
        <f t="shared" si="3"/>
        <v>0</v>
      </c>
      <c r="I66" s="16">
        <f t="shared" si="3"/>
        <v>0</v>
      </c>
      <c r="J66" s="16">
        <f t="shared" si="3"/>
        <v>0</v>
      </c>
      <c r="K66" s="16">
        <f t="shared" si="3"/>
        <v>1</v>
      </c>
    </row>
    <row r="67" spans="1:11">
      <c r="A67" s="15" t="str">
        <f t="shared" ref="A67:A130" si="4">INDIRECT(ADDRESS(ROW()+$A$1,COLUMN(),1,TRUE,$C$1))</f>
        <v>01361</v>
      </c>
      <c r="B67" s="16">
        <f t="shared" si="3"/>
        <v>113</v>
      </c>
      <c r="C67" s="16">
        <f t="shared" si="3"/>
        <v>0</v>
      </c>
      <c r="D67" s="16">
        <f t="shared" si="3"/>
        <v>136</v>
      </c>
      <c r="E67" s="16">
        <f t="shared" si="3"/>
        <v>1</v>
      </c>
      <c r="F67" s="16">
        <f t="shared" si="3"/>
        <v>1683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1</v>
      </c>
    </row>
    <row r="68" spans="1:11">
      <c r="A68" s="15" t="str">
        <f t="shared" si="4"/>
        <v>01381</v>
      </c>
      <c r="B68" s="16">
        <f t="shared" si="3"/>
        <v>113</v>
      </c>
      <c r="C68" s="16">
        <f t="shared" si="3"/>
        <v>0</v>
      </c>
      <c r="D68" s="16">
        <f t="shared" si="3"/>
        <v>138</v>
      </c>
      <c r="E68" s="16">
        <f t="shared" si="3"/>
        <v>1</v>
      </c>
      <c r="F68" s="16">
        <f t="shared" si="3"/>
        <v>1683</v>
      </c>
      <c r="G68" s="16">
        <f t="shared" si="3"/>
        <v>0</v>
      </c>
      <c r="H68" s="16">
        <f t="shared" si="3"/>
        <v>0</v>
      </c>
      <c r="I68" s="16">
        <f t="shared" si="3"/>
        <v>0</v>
      </c>
      <c r="J68" s="16">
        <f t="shared" si="3"/>
        <v>0</v>
      </c>
      <c r="K68" s="16">
        <f t="shared" si="3"/>
        <v>1</v>
      </c>
    </row>
    <row r="69" spans="1:11">
      <c r="A69" s="15" t="str">
        <f t="shared" si="4"/>
        <v>01401</v>
      </c>
      <c r="B69" s="16">
        <f t="shared" si="3"/>
        <v>113</v>
      </c>
      <c r="C69" s="16">
        <f t="shared" si="3"/>
        <v>0</v>
      </c>
      <c r="D69" s="16">
        <f t="shared" si="3"/>
        <v>140</v>
      </c>
      <c r="E69" s="16">
        <f t="shared" si="3"/>
        <v>1</v>
      </c>
      <c r="F69" s="16">
        <f t="shared" si="3"/>
        <v>1683</v>
      </c>
      <c r="G69" s="16">
        <f t="shared" si="3"/>
        <v>0</v>
      </c>
      <c r="H69" s="16">
        <f t="shared" si="3"/>
        <v>0</v>
      </c>
      <c r="I69" s="16">
        <f t="shared" si="3"/>
        <v>0</v>
      </c>
      <c r="J69" s="16">
        <f t="shared" si="3"/>
        <v>0</v>
      </c>
      <c r="K69" s="16">
        <f t="shared" si="3"/>
        <v>1</v>
      </c>
    </row>
    <row r="70" spans="1:11">
      <c r="A70" s="15" t="str">
        <f t="shared" si="4"/>
        <v>01421</v>
      </c>
      <c r="B70" s="16">
        <f t="shared" ref="B70:K95" si="5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113</v>
      </c>
      <c r="C70" s="16">
        <f t="shared" si="5"/>
        <v>0</v>
      </c>
      <c r="D70" s="16">
        <f t="shared" si="5"/>
        <v>142</v>
      </c>
      <c r="E70" s="16">
        <f t="shared" si="5"/>
        <v>1</v>
      </c>
      <c r="F70" s="16">
        <f t="shared" si="5"/>
        <v>1683</v>
      </c>
      <c r="G70" s="16">
        <f t="shared" si="5"/>
        <v>0</v>
      </c>
      <c r="H70" s="16">
        <f t="shared" si="5"/>
        <v>0</v>
      </c>
      <c r="I70" s="16">
        <f t="shared" si="5"/>
        <v>0</v>
      </c>
      <c r="J70" s="16">
        <f t="shared" si="5"/>
        <v>0</v>
      </c>
      <c r="K70" s="16">
        <f t="shared" si="5"/>
        <v>1</v>
      </c>
    </row>
    <row r="71" spans="1:11">
      <c r="A71" s="15" t="str">
        <f t="shared" si="4"/>
        <v>01441</v>
      </c>
      <c r="B71" s="16">
        <f t="shared" si="5"/>
        <v>113</v>
      </c>
      <c r="C71" s="16">
        <f t="shared" si="5"/>
        <v>0</v>
      </c>
      <c r="D71" s="16">
        <f t="shared" si="5"/>
        <v>144</v>
      </c>
      <c r="E71" s="16">
        <f t="shared" si="5"/>
        <v>1</v>
      </c>
      <c r="F71" s="16">
        <f t="shared" si="5"/>
        <v>1683</v>
      </c>
      <c r="G71" s="16">
        <f t="shared" si="5"/>
        <v>0</v>
      </c>
      <c r="H71" s="16">
        <f t="shared" si="5"/>
        <v>0</v>
      </c>
      <c r="I71" s="16">
        <f t="shared" si="5"/>
        <v>0</v>
      </c>
      <c r="J71" s="16">
        <f t="shared" si="5"/>
        <v>0</v>
      </c>
      <c r="K71" s="16">
        <f t="shared" si="5"/>
        <v>1</v>
      </c>
    </row>
    <row r="72" spans="1:11">
      <c r="A72" s="15" t="str">
        <f t="shared" si="4"/>
        <v>01461</v>
      </c>
      <c r="B72" s="16">
        <f t="shared" si="5"/>
        <v>113</v>
      </c>
      <c r="C72" s="16">
        <f t="shared" si="5"/>
        <v>0</v>
      </c>
      <c r="D72" s="16">
        <f t="shared" si="5"/>
        <v>146</v>
      </c>
      <c r="E72" s="16">
        <f t="shared" si="5"/>
        <v>1</v>
      </c>
      <c r="F72" s="16">
        <f t="shared" si="5"/>
        <v>1683</v>
      </c>
      <c r="G72" s="16">
        <f t="shared" si="5"/>
        <v>0</v>
      </c>
      <c r="H72" s="16">
        <f t="shared" si="5"/>
        <v>0</v>
      </c>
      <c r="I72" s="16">
        <f t="shared" si="5"/>
        <v>0</v>
      </c>
      <c r="J72" s="16">
        <f t="shared" si="5"/>
        <v>0</v>
      </c>
      <c r="K72" s="16">
        <f t="shared" si="5"/>
        <v>1</v>
      </c>
    </row>
    <row r="73" spans="1:11">
      <c r="A73" s="15" t="str">
        <f t="shared" si="4"/>
        <v>01481</v>
      </c>
      <c r="B73" s="16">
        <f t="shared" si="5"/>
        <v>113</v>
      </c>
      <c r="C73" s="16">
        <f t="shared" si="5"/>
        <v>0</v>
      </c>
      <c r="D73" s="16">
        <f t="shared" si="5"/>
        <v>148</v>
      </c>
      <c r="E73" s="16">
        <f t="shared" si="5"/>
        <v>1</v>
      </c>
      <c r="F73" s="16">
        <f t="shared" si="5"/>
        <v>1683</v>
      </c>
      <c r="G73" s="16">
        <f t="shared" si="5"/>
        <v>0</v>
      </c>
      <c r="H73" s="16">
        <f t="shared" si="5"/>
        <v>0</v>
      </c>
      <c r="I73" s="16">
        <f t="shared" si="5"/>
        <v>0</v>
      </c>
      <c r="J73" s="16">
        <f t="shared" si="5"/>
        <v>0</v>
      </c>
      <c r="K73" s="16">
        <f t="shared" si="5"/>
        <v>1</v>
      </c>
    </row>
    <row r="74" spans="1:11">
      <c r="A74" s="15" t="str">
        <f t="shared" si="4"/>
        <v>01501</v>
      </c>
      <c r="B74" s="16">
        <f t="shared" si="5"/>
        <v>113</v>
      </c>
      <c r="C74" s="16">
        <f t="shared" si="5"/>
        <v>0</v>
      </c>
      <c r="D74" s="16">
        <f t="shared" si="5"/>
        <v>150</v>
      </c>
      <c r="E74" s="16">
        <f t="shared" si="5"/>
        <v>1</v>
      </c>
      <c r="F74" s="16">
        <f t="shared" si="5"/>
        <v>1683</v>
      </c>
      <c r="G74" s="16">
        <f t="shared" si="5"/>
        <v>0</v>
      </c>
      <c r="H74" s="16">
        <f t="shared" si="5"/>
        <v>0</v>
      </c>
      <c r="I74" s="16">
        <f t="shared" si="5"/>
        <v>0</v>
      </c>
      <c r="J74" s="16">
        <f t="shared" si="5"/>
        <v>0</v>
      </c>
      <c r="K74" s="16">
        <f t="shared" si="5"/>
        <v>1</v>
      </c>
    </row>
    <row r="75" spans="1:11">
      <c r="A75" s="15" t="str">
        <f t="shared" si="4"/>
        <v>01521</v>
      </c>
      <c r="B75" s="16">
        <f t="shared" si="5"/>
        <v>113</v>
      </c>
      <c r="C75" s="16">
        <f t="shared" si="5"/>
        <v>0</v>
      </c>
      <c r="D75" s="16">
        <f t="shared" si="5"/>
        <v>152</v>
      </c>
      <c r="E75" s="16">
        <f t="shared" si="5"/>
        <v>1</v>
      </c>
      <c r="F75" s="16">
        <f t="shared" si="5"/>
        <v>1683</v>
      </c>
      <c r="G75" s="16">
        <f t="shared" si="5"/>
        <v>0</v>
      </c>
      <c r="H75" s="16">
        <f t="shared" si="5"/>
        <v>0</v>
      </c>
      <c r="I75" s="16">
        <f t="shared" si="5"/>
        <v>0</v>
      </c>
      <c r="J75" s="16">
        <f t="shared" si="5"/>
        <v>0</v>
      </c>
      <c r="K75" s="16">
        <f t="shared" si="5"/>
        <v>1</v>
      </c>
    </row>
    <row r="76" spans="1:11">
      <c r="A76" s="15" t="str">
        <f t="shared" si="4"/>
        <v>01541</v>
      </c>
      <c r="B76" s="16">
        <f t="shared" si="5"/>
        <v>113</v>
      </c>
      <c r="C76" s="16">
        <f t="shared" si="5"/>
        <v>0</v>
      </c>
      <c r="D76" s="16">
        <f t="shared" si="5"/>
        <v>154</v>
      </c>
      <c r="E76" s="16">
        <f t="shared" si="5"/>
        <v>1</v>
      </c>
      <c r="F76" s="16">
        <f t="shared" si="5"/>
        <v>1683</v>
      </c>
      <c r="G76" s="16">
        <f t="shared" si="5"/>
        <v>0</v>
      </c>
      <c r="H76" s="16">
        <f t="shared" si="5"/>
        <v>0</v>
      </c>
      <c r="I76" s="16">
        <f t="shared" si="5"/>
        <v>0</v>
      </c>
      <c r="J76" s="16">
        <f t="shared" si="5"/>
        <v>0</v>
      </c>
      <c r="K76" s="16">
        <f t="shared" si="5"/>
        <v>1</v>
      </c>
    </row>
    <row r="77" spans="1:11">
      <c r="A77" s="15" t="str">
        <f t="shared" si="4"/>
        <v>01561</v>
      </c>
      <c r="B77" s="16">
        <f t="shared" si="5"/>
        <v>113</v>
      </c>
      <c r="C77" s="16">
        <f t="shared" si="5"/>
        <v>0</v>
      </c>
      <c r="D77" s="16">
        <f t="shared" si="5"/>
        <v>156</v>
      </c>
      <c r="E77" s="16">
        <f t="shared" si="5"/>
        <v>1</v>
      </c>
      <c r="F77" s="16">
        <f t="shared" si="5"/>
        <v>1683</v>
      </c>
      <c r="G77" s="16">
        <f t="shared" si="5"/>
        <v>0</v>
      </c>
      <c r="H77" s="16">
        <f t="shared" si="5"/>
        <v>0</v>
      </c>
      <c r="I77" s="16">
        <f t="shared" si="5"/>
        <v>0</v>
      </c>
      <c r="J77" s="16">
        <f t="shared" si="5"/>
        <v>0</v>
      </c>
      <c r="K77" s="16">
        <f t="shared" si="5"/>
        <v>1</v>
      </c>
    </row>
    <row r="78" spans="1:11">
      <c r="A78" s="15" t="str">
        <f t="shared" si="4"/>
        <v>01581</v>
      </c>
      <c r="B78" s="16">
        <f t="shared" si="5"/>
        <v>113</v>
      </c>
      <c r="C78" s="16">
        <f t="shared" si="5"/>
        <v>0</v>
      </c>
      <c r="D78" s="16">
        <f t="shared" si="5"/>
        <v>158</v>
      </c>
      <c r="E78" s="16">
        <f t="shared" si="5"/>
        <v>1</v>
      </c>
      <c r="F78" s="16">
        <f t="shared" si="5"/>
        <v>1683</v>
      </c>
      <c r="G78" s="16">
        <f t="shared" si="5"/>
        <v>0</v>
      </c>
      <c r="H78" s="16">
        <f t="shared" si="5"/>
        <v>0</v>
      </c>
      <c r="I78" s="16">
        <f t="shared" si="5"/>
        <v>0</v>
      </c>
      <c r="J78" s="16">
        <f t="shared" si="5"/>
        <v>0</v>
      </c>
      <c r="K78" s="16">
        <f t="shared" si="5"/>
        <v>1</v>
      </c>
    </row>
    <row r="79" spans="1:11">
      <c r="A79" s="15" t="str">
        <f t="shared" si="4"/>
        <v>01601</v>
      </c>
      <c r="B79" s="16">
        <f t="shared" si="5"/>
        <v>113</v>
      </c>
      <c r="C79" s="16">
        <f t="shared" si="5"/>
        <v>0</v>
      </c>
      <c r="D79" s="16">
        <f t="shared" si="5"/>
        <v>160</v>
      </c>
      <c r="E79" s="16">
        <f t="shared" si="5"/>
        <v>1</v>
      </c>
      <c r="F79" s="16">
        <f t="shared" si="5"/>
        <v>1683</v>
      </c>
      <c r="G79" s="16">
        <f t="shared" si="5"/>
        <v>0</v>
      </c>
      <c r="H79" s="16">
        <f t="shared" si="5"/>
        <v>0</v>
      </c>
      <c r="I79" s="16">
        <f t="shared" si="5"/>
        <v>0</v>
      </c>
      <c r="J79" s="16">
        <f t="shared" si="5"/>
        <v>0</v>
      </c>
      <c r="K79" s="16">
        <f t="shared" si="5"/>
        <v>1</v>
      </c>
    </row>
    <row r="80" spans="1:11">
      <c r="A80" s="15" t="str">
        <f t="shared" si="4"/>
        <v>01621</v>
      </c>
      <c r="B80" s="16">
        <f t="shared" si="5"/>
        <v>113</v>
      </c>
      <c r="C80" s="16">
        <f t="shared" si="5"/>
        <v>0</v>
      </c>
      <c r="D80" s="16">
        <f t="shared" si="5"/>
        <v>162</v>
      </c>
      <c r="E80" s="16">
        <f t="shared" si="5"/>
        <v>1</v>
      </c>
      <c r="F80" s="16">
        <f t="shared" si="5"/>
        <v>1683</v>
      </c>
      <c r="G80" s="16">
        <f t="shared" si="5"/>
        <v>0</v>
      </c>
      <c r="H80" s="16">
        <f t="shared" si="5"/>
        <v>0</v>
      </c>
      <c r="I80" s="16">
        <f t="shared" si="5"/>
        <v>0</v>
      </c>
      <c r="J80" s="16">
        <f t="shared" si="5"/>
        <v>0</v>
      </c>
      <c r="K80" s="16">
        <f t="shared" si="5"/>
        <v>1</v>
      </c>
    </row>
    <row r="81" spans="1:11">
      <c r="A81" s="15" t="str">
        <f t="shared" si="4"/>
        <v>01641</v>
      </c>
      <c r="B81" s="16">
        <f t="shared" si="5"/>
        <v>113</v>
      </c>
      <c r="C81" s="16">
        <f t="shared" si="5"/>
        <v>0</v>
      </c>
      <c r="D81" s="16">
        <f t="shared" si="5"/>
        <v>164</v>
      </c>
      <c r="E81" s="16">
        <f t="shared" si="5"/>
        <v>1</v>
      </c>
      <c r="F81" s="16">
        <f t="shared" si="5"/>
        <v>1683</v>
      </c>
      <c r="G81" s="16">
        <f t="shared" si="5"/>
        <v>0</v>
      </c>
      <c r="H81" s="16">
        <f t="shared" si="5"/>
        <v>0</v>
      </c>
      <c r="I81" s="16">
        <f t="shared" si="5"/>
        <v>0</v>
      </c>
      <c r="J81" s="16">
        <f t="shared" si="5"/>
        <v>0</v>
      </c>
      <c r="K81" s="16">
        <f t="shared" si="5"/>
        <v>1</v>
      </c>
    </row>
    <row r="82" spans="1:11">
      <c r="A82" s="15" t="str">
        <f t="shared" si="4"/>
        <v>01661</v>
      </c>
      <c r="B82" s="16">
        <f t="shared" si="5"/>
        <v>113</v>
      </c>
      <c r="C82" s="16">
        <f t="shared" si="5"/>
        <v>0</v>
      </c>
      <c r="D82" s="16">
        <f t="shared" si="5"/>
        <v>166</v>
      </c>
      <c r="E82" s="16">
        <f t="shared" si="5"/>
        <v>1</v>
      </c>
      <c r="F82" s="16">
        <f t="shared" si="5"/>
        <v>1722</v>
      </c>
      <c r="G82" s="16">
        <f t="shared" si="5"/>
        <v>0</v>
      </c>
      <c r="H82" s="16">
        <f t="shared" si="5"/>
        <v>0</v>
      </c>
      <c r="I82" s="16">
        <f t="shared" si="5"/>
        <v>0</v>
      </c>
      <c r="J82" s="16">
        <f t="shared" si="5"/>
        <v>0</v>
      </c>
      <c r="K82" s="16">
        <f t="shared" si="5"/>
        <v>1</v>
      </c>
    </row>
    <row r="83" spans="1:11">
      <c r="A83" s="15" t="str">
        <f t="shared" si="4"/>
        <v>01691</v>
      </c>
      <c r="B83" s="16">
        <f t="shared" si="5"/>
        <v>113</v>
      </c>
      <c r="C83" s="16">
        <f t="shared" si="5"/>
        <v>0</v>
      </c>
      <c r="D83" s="16">
        <f t="shared" si="5"/>
        <v>169</v>
      </c>
      <c r="E83" s="16">
        <f t="shared" si="5"/>
        <v>1</v>
      </c>
      <c r="F83" s="16">
        <f t="shared" si="5"/>
        <v>1722</v>
      </c>
      <c r="G83" s="16">
        <f t="shared" si="5"/>
        <v>0</v>
      </c>
      <c r="H83" s="16">
        <f t="shared" si="5"/>
        <v>0</v>
      </c>
      <c r="I83" s="16">
        <f t="shared" si="5"/>
        <v>0</v>
      </c>
      <c r="J83" s="16">
        <f t="shared" si="5"/>
        <v>0</v>
      </c>
      <c r="K83" s="16">
        <f t="shared" si="5"/>
        <v>1</v>
      </c>
    </row>
    <row r="84" spans="1:11">
      <c r="A84" s="15" t="str">
        <f t="shared" si="4"/>
        <v>01721</v>
      </c>
      <c r="B84" s="16">
        <f t="shared" si="5"/>
        <v>113</v>
      </c>
      <c r="C84" s="16">
        <f t="shared" si="5"/>
        <v>0</v>
      </c>
      <c r="D84" s="16">
        <f t="shared" si="5"/>
        <v>172</v>
      </c>
      <c r="E84" s="16">
        <f t="shared" si="5"/>
        <v>1</v>
      </c>
      <c r="F84" s="16">
        <f t="shared" si="5"/>
        <v>1722</v>
      </c>
      <c r="G84" s="16">
        <f t="shared" si="5"/>
        <v>0</v>
      </c>
      <c r="H84" s="16">
        <f t="shared" si="5"/>
        <v>0</v>
      </c>
      <c r="I84" s="16">
        <f t="shared" si="5"/>
        <v>0</v>
      </c>
      <c r="J84" s="16">
        <f t="shared" si="5"/>
        <v>0</v>
      </c>
      <c r="K84" s="16">
        <f t="shared" si="5"/>
        <v>1</v>
      </c>
    </row>
    <row r="85" spans="1:11">
      <c r="A85" s="15" t="str">
        <f t="shared" si="4"/>
        <v>01751</v>
      </c>
      <c r="B85" s="16">
        <f t="shared" si="5"/>
        <v>113</v>
      </c>
      <c r="C85" s="16">
        <f t="shared" si="5"/>
        <v>0</v>
      </c>
      <c r="D85" s="16">
        <f t="shared" si="5"/>
        <v>175</v>
      </c>
      <c r="E85" s="16">
        <f t="shared" si="5"/>
        <v>1</v>
      </c>
      <c r="F85" s="16">
        <f t="shared" si="5"/>
        <v>1722</v>
      </c>
      <c r="G85" s="16">
        <f t="shared" si="5"/>
        <v>0</v>
      </c>
      <c r="H85" s="16">
        <f t="shared" si="5"/>
        <v>0</v>
      </c>
      <c r="I85" s="16">
        <f t="shared" si="5"/>
        <v>0</v>
      </c>
      <c r="J85" s="16">
        <f t="shared" si="5"/>
        <v>0</v>
      </c>
      <c r="K85" s="16">
        <f t="shared" si="5"/>
        <v>1</v>
      </c>
    </row>
    <row r="86" spans="1:11">
      <c r="A86" s="15" t="str">
        <f t="shared" si="4"/>
        <v>01781</v>
      </c>
      <c r="B86" s="16">
        <f t="shared" si="5"/>
        <v>113</v>
      </c>
      <c r="C86" s="16">
        <f t="shared" si="5"/>
        <v>0</v>
      </c>
      <c r="D86" s="16">
        <f t="shared" si="5"/>
        <v>178</v>
      </c>
      <c r="E86" s="16">
        <f t="shared" si="5"/>
        <v>1</v>
      </c>
      <c r="F86" s="16">
        <f t="shared" si="5"/>
        <v>1722</v>
      </c>
      <c r="G86" s="16">
        <f t="shared" si="5"/>
        <v>0</v>
      </c>
      <c r="H86" s="16">
        <f t="shared" si="5"/>
        <v>0</v>
      </c>
      <c r="I86" s="16">
        <f t="shared" si="5"/>
        <v>0</v>
      </c>
      <c r="J86" s="16">
        <f t="shared" si="5"/>
        <v>0</v>
      </c>
      <c r="K86" s="16">
        <f t="shared" si="5"/>
        <v>1</v>
      </c>
    </row>
    <row r="87" spans="1:11">
      <c r="A87" s="15" t="str">
        <f t="shared" si="4"/>
        <v>01811</v>
      </c>
      <c r="B87" s="16">
        <f t="shared" si="5"/>
        <v>113</v>
      </c>
      <c r="C87" s="16">
        <f t="shared" si="5"/>
        <v>0</v>
      </c>
      <c r="D87" s="16">
        <f t="shared" si="5"/>
        <v>181</v>
      </c>
      <c r="E87" s="16">
        <f t="shared" si="5"/>
        <v>1</v>
      </c>
      <c r="F87" s="16">
        <f t="shared" si="5"/>
        <v>1722</v>
      </c>
      <c r="G87" s="16">
        <f t="shared" si="5"/>
        <v>0</v>
      </c>
      <c r="H87" s="16">
        <f t="shared" si="5"/>
        <v>0</v>
      </c>
      <c r="I87" s="16">
        <f t="shared" si="5"/>
        <v>0</v>
      </c>
      <c r="J87" s="16">
        <f t="shared" si="5"/>
        <v>0</v>
      </c>
      <c r="K87" s="16">
        <f t="shared" si="5"/>
        <v>1</v>
      </c>
    </row>
    <row r="88" spans="1:11">
      <c r="A88" s="15" t="str">
        <f t="shared" si="4"/>
        <v>01841</v>
      </c>
      <c r="B88" s="16">
        <f t="shared" si="5"/>
        <v>113</v>
      </c>
      <c r="C88" s="16">
        <f t="shared" si="5"/>
        <v>0</v>
      </c>
      <c r="D88" s="16">
        <f t="shared" si="5"/>
        <v>184</v>
      </c>
      <c r="E88" s="16">
        <f t="shared" si="5"/>
        <v>1</v>
      </c>
      <c r="F88" s="16">
        <f t="shared" si="5"/>
        <v>1722</v>
      </c>
      <c r="G88" s="16">
        <f t="shared" si="5"/>
        <v>0</v>
      </c>
      <c r="H88" s="16">
        <f t="shared" si="5"/>
        <v>0</v>
      </c>
      <c r="I88" s="16">
        <f t="shared" si="5"/>
        <v>0</v>
      </c>
      <c r="J88" s="16">
        <f t="shared" si="5"/>
        <v>0</v>
      </c>
      <c r="K88" s="16">
        <f t="shared" si="5"/>
        <v>1</v>
      </c>
    </row>
    <row r="89" spans="1:11">
      <c r="A89" s="15" t="str">
        <f t="shared" si="4"/>
        <v>01871</v>
      </c>
      <c r="B89" s="16">
        <f t="shared" si="5"/>
        <v>113</v>
      </c>
      <c r="C89" s="16">
        <f t="shared" si="5"/>
        <v>0</v>
      </c>
      <c r="D89" s="16">
        <f t="shared" si="5"/>
        <v>187</v>
      </c>
      <c r="E89" s="16">
        <f t="shared" si="5"/>
        <v>1</v>
      </c>
      <c r="F89" s="16">
        <f t="shared" si="5"/>
        <v>1722</v>
      </c>
      <c r="G89" s="16">
        <f t="shared" si="5"/>
        <v>0</v>
      </c>
      <c r="H89" s="16">
        <f t="shared" si="5"/>
        <v>0</v>
      </c>
      <c r="I89" s="16">
        <f t="shared" si="5"/>
        <v>0</v>
      </c>
      <c r="J89" s="16">
        <f t="shared" si="5"/>
        <v>0</v>
      </c>
      <c r="K89" s="16">
        <f t="shared" si="5"/>
        <v>1</v>
      </c>
    </row>
    <row r="90" spans="1:11">
      <c r="A90" s="15" t="str">
        <f t="shared" si="4"/>
        <v>01901</v>
      </c>
      <c r="B90" s="16">
        <f t="shared" si="5"/>
        <v>113</v>
      </c>
      <c r="C90" s="16">
        <f t="shared" si="5"/>
        <v>0</v>
      </c>
      <c r="D90" s="16">
        <f t="shared" si="5"/>
        <v>190</v>
      </c>
      <c r="E90" s="16">
        <f t="shared" si="5"/>
        <v>1</v>
      </c>
      <c r="F90" s="16">
        <f t="shared" si="5"/>
        <v>1722</v>
      </c>
      <c r="G90" s="16">
        <f t="shared" si="5"/>
        <v>0</v>
      </c>
      <c r="H90" s="16">
        <f t="shared" si="5"/>
        <v>0</v>
      </c>
      <c r="I90" s="16">
        <f t="shared" si="5"/>
        <v>0</v>
      </c>
      <c r="J90" s="16">
        <f t="shared" si="5"/>
        <v>0</v>
      </c>
      <c r="K90" s="16">
        <f t="shared" si="5"/>
        <v>1</v>
      </c>
    </row>
    <row r="91" spans="1:11">
      <c r="A91" s="15" t="str">
        <f t="shared" si="4"/>
        <v>01931</v>
      </c>
      <c r="B91" s="16">
        <f t="shared" si="5"/>
        <v>113</v>
      </c>
      <c r="C91" s="16">
        <f t="shared" si="5"/>
        <v>0</v>
      </c>
      <c r="D91" s="16">
        <f t="shared" si="5"/>
        <v>193</v>
      </c>
      <c r="E91" s="16">
        <f t="shared" si="5"/>
        <v>1</v>
      </c>
      <c r="F91" s="16">
        <f t="shared" si="5"/>
        <v>1722</v>
      </c>
      <c r="G91" s="16">
        <f t="shared" si="5"/>
        <v>0</v>
      </c>
      <c r="H91" s="16">
        <f t="shared" si="5"/>
        <v>0</v>
      </c>
      <c r="I91" s="16">
        <f t="shared" si="5"/>
        <v>0</v>
      </c>
      <c r="J91" s="16">
        <f t="shared" si="5"/>
        <v>0</v>
      </c>
      <c r="K91" s="16">
        <f t="shared" si="5"/>
        <v>1</v>
      </c>
    </row>
    <row r="92" spans="1:11">
      <c r="A92" s="15" t="str">
        <f t="shared" si="4"/>
        <v>01961</v>
      </c>
      <c r="B92" s="16">
        <f t="shared" si="5"/>
        <v>113</v>
      </c>
      <c r="C92" s="16">
        <f t="shared" si="5"/>
        <v>0</v>
      </c>
      <c r="D92" s="16">
        <f t="shared" si="5"/>
        <v>196</v>
      </c>
      <c r="E92" s="16">
        <f t="shared" si="5"/>
        <v>1</v>
      </c>
      <c r="F92" s="16">
        <f t="shared" si="5"/>
        <v>1722</v>
      </c>
      <c r="G92" s="16">
        <f t="shared" si="5"/>
        <v>0</v>
      </c>
      <c r="H92" s="16">
        <f t="shared" si="5"/>
        <v>0</v>
      </c>
      <c r="I92" s="16">
        <f t="shared" si="5"/>
        <v>0</v>
      </c>
      <c r="J92" s="16">
        <f t="shared" si="5"/>
        <v>0</v>
      </c>
      <c r="K92" s="16">
        <f t="shared" si="5"/>
        <v>1</v>
      </c>
    </row>
    <row r="93" spans="1:11">
      <c r="A93" s="15" t="str">
        <f t="shared" si="4"/>
        <v>01991</v>
      </c>
      <c r="B93" s="16">
        <f t="shared" si="5"/>
        <v>113</v>
      </c>
      <c r="C93" s="16">
        <f t="shared" si="5"/>
        <v>0</v>
      </c>
      <c r="D93" s="16">
        <f t="shared" si="5"/>
        <v>199</v>
      </c>
      <c r="E93" s="16">
        <f t="shared" si="5"/>
        <v>1</v>
      </c>
      <c r="F93" s="16">
        <f t="shared" si="5"/>
        <v>1722</v>
      </c>
      <c r="G93" s="16">
        <f t="shared" si="5"/>
        <v>0</v>
      </c>
      <c r="H93" s="16">
        <f t="shared" si="5"/>
        <v>0</v>
      </c>
      <c r="I93" s="16">
        <f t="shared" si="5"/>
        <v>0</v>
      </c>
      <c r="J93" s="16">
        <f t="shared" si="5"/>
        <v>0</v>
      </c>
      <c r="K93" s="16">
        <f t="shared" si="5"/>
        <v>1</v>
      </c>
    </row>
    <row r="94" spans="1:11">
      <c r="A94" s="15" t="str">
        <f t="shared" si="4"/>
        <v>02021</v>
      </c>
      <c r="B94" s="16">
        <f t="shared" si="5"/>
        <v>113</v>
      </c>
      <c r="C94" s="16">
        <f t="shared" si="5"/>
        <v>0</v>
      </c>
      <c r="D94" s="16">
        <f t="shared" si="5"/>
        <v>202</v>
      </c>
      <c r="E94" s="16">
        <f t="shared" si="5"/>
        <v>1</v>
      </c>
      <c r="F94" s="16">
        <f t="shared" si="5"/>
        <v>1722</v>
      </c>
      <c r="G94" s="16">
        <f t="shared" si="5"/>
        <v>0</v>
      </c>
      <c r="H94" s="16">
        <f t="shared" si="5"/>
        <v>0</v>
      </c>
      <c r="I94" s="16">
        <f t="shared" si="5"/>
        <v>0</v>
      </c>
      <c r="J94" s="16">
        <f t="shared" si="5"/>
        <v>0</v>
      </c>
      <c r="K94" s="16">
        <f t="shared" si="5"/>
        <v>1</v>
      </c>
    </row>
    <row r="95" spans="1:11">
      <c r="A95" s="15" t="str">
        <f t="shared" si="4"/>
        <v>02051</v>
      </c>
      <c r="B95" s="16">
        <f t="shared" si="5"/>
        <v>113</v>
      </c>
      <c r="C95" s="16">
        <f t="shared" si="5"/>
        <v>0</v>
      </c>
      <c r="D95" s="16">
        <f t="shared" si="5"/>
        <v>205</v>
      </c>
      <c r="E95" s="16">
        <f t="shared" si="5"/>
        <v>1</v>
      </c>
      <c r="F95" s="16">
        <f t="shared" si="5"/>
        <v>1722</v>
      </c>
      <c r="G95" s="16">
        <f t="shared" ref="B95:K120" si="6">VLOOKUP($A95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95" s="16">
        <f t="shared" si="6"/>
        <v>0</v>
      </c>
      <c r="I95" s="16">
        <f t="shared" si="6"/>
        <v>0</v>
      </c>
      <c r="J95" s="16">
        <f t="shared" si="6"/>
        <v>0</v>
      </c>
      <c r="K95" s="16">
        <f t="shared" si="6"/>
        <v>1</v>
      </c>
    </row>
    <row r="96" spans="1:11">
      <c r="A96" s="15" t="str">
        <f t="shared" si="4"/>
        <v>02081</v>
      </c>
      <c r="B96" s="16">
        <f t="shared" si="6"/>
        <v>113</v>
      </c>
      <c r="C96" s="16">
        <f t="shared" si="6"/>
        <v>0</v>
      </c>
      <c r="D96" s="16">
        <f t="shared" si="6"/>
        <v>208</v>
      </c>
      <c r="E96" s="16">
        <f t="shared" si="6"/>
        <v>1</v>
      </c>
      <c r="F96" s="16">
        <f t="shared" si="6"/>
        <v>1722</v>
      </c>
      <c r="G96" s="16">
        <f t="shared" si="6"/>
        <v>0</v>
      </c>
      <c r="H96" s="16">
        <f t="shared" si="6"/>
        <v>0</v>
      </c>
      <c r="I96" s="16">
        <f t="shared" si="6"/>
        <v>0</v>
      </c>
      <c r="J96" s="16">
        <f t="shared" si="6"/>
        <v>0</v>
      </c>
      <c r="K96" s="16">
        <f t="shared" si="6"/>
        <v>1</v>
      </c>
    </row>
    <row r="97" spans="1:11">
      <c r="A97" s="15" t="str">
        <f t="shared" si="4"/>
        <v>02111</v>
      </c>
      <c r="B97" s="16">
        <f t="shared" si="6"/>
        <v>113</v>
      </c>
      <c r="C97" s="16">
        <f t="shared" si="6"/>
        <v>0</v>
      </c>
      <c r="D97" s="16">
        <f t="shared" si="6"/>
        <v>211</v>
      </c>
      <c r="E97" s="16">
        <f t="shared" si="6"/>
        <v>1</v>
      </c>
      <c r="F97" s="16">
        <f t="shared" si="6"/>
        <v>1722</v>
      </c>
      <c r="G97" s="16">
        <f t="shared" si="6"/>
        <v>0</v>
      </c>
      <c r="H97" s="16">
        <f t="shared" si="6"/>
        <v>0</v>
      </c>
      <c r="I97" s="16">
        <f t="shared" si="6"/>
        <v>0</v>
      </c>
      <c r="J97" s="16">
        <f t="shared" si="6"/>
        <v>0</v>
      </c>
      <c r="K97" s="16">
        <f t="shared" si="6"/>
        <v>1</v>
      </c>
    </row>
    <row r="98" spans="1:11">
      <c r="A98" s="15" t="str">
        <f t="shared" si="4"/>
        <v>02141</v>
      </c>
      <c r="B98" s="16">
        <f t="shared" si="6"/>
        <v>113</v>
      </c>
      <c r="C98" s="16">
        <f t="shared" si="6"/>
        <v>0</v>
      </c>
      <c r="D98" s="16">
        <f t="shared" si="6"/>
        <v>214</v>
      </c>
      <c r="E98" s="16">
        <f t="shared" si="6"/>
        <v>1</v>
      </c>
      <c r="F98" s="16">
        <f t="shared" si="6"/>
        <v>1722</v>
      </c>
      <c r="G98" s="16">
        <f t="shared" si="6"/>
        <v>0</v>
      </c>
      <c r="H98" s="16">
        <f t="shared" si="6"/>
        <v>0</v>
      </c>
      <c r="I98" s="16">
        <f t="shared" si="6"/>
        <v>0</v>
      </c>
      <c r="J98" s="16">
        <f t="shared" si="6"/>
        <v>0</v>
      </c>
      <c r="K98" s="16">
        <f t="shared" si="6"/>
        <v>1</v>
      </c>
    </row>
    <row r="99" spans="1:11">
      <c r="A99" s="15" t="str">
        <f t="shared" si="4"/>
        <v>02171</v>
      </c>
      <c r="B99" s="16">
        <f t="shared" si="6"/>
        <v>113</v>
      </c>
      <c r="C99" s="16">
        <f t="shared" si="6"/>
        <v>0</v>
      </c>
      <c r="D99" s="16">
        <f t="shared" si="6"/>
        <v>217</v>
      </c>
      <c r="E99" s="16">
        <f t="shared" si="6"/>
        <v>1</v>
      </c>
      <c r="F99" s="16">
        <f t="shared" si="6"/>
        <v>1722</v>
      </c>
      <c r="G99" s="16">
        <f t="shared" si="6"/>
        <v>0</v>
      </c>
      <c r="H99" s="16">
        <f t="shared" si="6"/>
        <v>0</v>
      </c>
      <c r="I99" s="16">
        <f t="shared" si="6"/>
        <v>0</v>
      </c>
      <c r="J99" s="16">
        <f t="shared" si="6"/>
        <v>0</v>
      </c>
      <c r="K99" s="16">
        <f t="shared" si="6"/>
        <v>1</v>
      </c>
    </row>
    <row r="100" spans="1:11">
      <c r="A100" s="15" t="str">
        <f t="shared" si="4"/>
        <v>02201</v>
      </c>
      <c r="B100" s="16">
        <f t="shared" si="6"/>
        <v>113</v>
      </c>
      <c r="C100" s="16">
        <f t="shared" si="6"/>
        <v>0</v>
      </c>
      <c r="D100" s="16">
        <f t="shared" si="6"/>
        <v>220</v>
      </c>
      <c r="E100" s="16">
        <f t="shared" si="6"/>
        <v>1</v>
      </c>
      <c r="F100" s="16">
        <f t="shared" si="6"/>
        <v>1722</v>
      </c>
      <c r="G100" s="16">
        <f t="shared" si="6"/>
        <v>0</v>
      </c>
      <c r="H100" s="16">
        <f t="shared" si="6"/>
        <v>0</v>
      </c>
      <c r="I100" s="16">
        <f t="shared" si="6"/>
        <v>0</v>
      </c>
      <c r="J100" s="16">
        <f t="shared" si="6"/>
        <v>0</v>
      </c>
      <c r="K100" s="16">
        <f t="shared" si="6"/>
        <v>1</v>
      </c>
    </row>
    <row r="101" spans="1:11">
      <c r="A101" s="15" t="str">
        <f t="shared" si="4"/>
        <v>02231</v>
      </c>
      <c r="B101" s="16">
        <f t="shared" si="6"/>
        <v>113</v>
      </c>
      <c r="C101" s="16">
        <f t="shared" si="6"/>
        <v>0</v>
      </c>
      <c r="D101" s="16">
        <f t="shared" si="6"/>
        <v>223</v>
      </c>
      <c r="E101" s="16">
        <f t="shared" si="6"/>
        <v>1</v>
      </c>
      <c r="F101" s="16">
        <f t="shared" si="6"/>
        <v>1722</v>
      </c>
      <c r="G101" s="16">
        <f t="shared" si="6"/>
        <v>0</v>
      </c>
      <c r="H101" s="16">
        <f t="shared" si="6"/>
        <v>0</v>
      </c>
      <c r="I101" s="16">
        <f t="shared" si="6"/>
        <v>0</v>
      </c>
      <c r="J101" s="16">
        <f t="shared" si="6"/>
        <v>0</v>
      </c>
      <c r="K101" s="16">
        <f t="shared" si="6"/>
        <v>1</v>
      </c>
    </row>
    <row r="102" spans="1:11">
      <c r="A102" s="15" t="str">
        <f t="shared" si="4"/>
        <v>02261</v>
      </c>
      <c r="B102" s="16">
        <f t="shared" si="6"/>
        <v>113</v>
      </c>
      <c r="C102" s="16">
        <f t="shared" si="6"/>
        <v>0</v>
      </c>
      <c r="D102" s="16">
        <f t="shared" si="6"/>
        <v>226</v>
      </c>
      <c r="E102" s="16">
        <f t="shared" si="6"/>
        <v>1</v>
      </c>
      <c r="F102" s="16">
        <f t="shared" si="6"/>
        <v>929</v>
      </c>
      <c r="G102" s="16">
        <f t="shared" si="6"/>
        <v>0</v>
      </c>
      <c r="H102" s="16">
        <f t="shared" si="6"/>
        <v>0</v>
      </c>
      <c r="I102" s="16">
        <f t="shared" si="6"/>
        <v>0</v>
      </c>
      <c r="J102" s="16">
        <f t="shared" si="6"/>
        <v>0</v>
      </c>
      <c r="K102" s="16">
        <f t="shared" si="6"/>
        <v>1</v>
      </c>
    </row>
    <row r="103" spans="1:11">
      <c r="A103" s="15" t="str">
        <f t="shared" si="4"/>
        <v>02321</v>
      </c>
      <c r="B103" s="16">
        <f t="shared" si="6"/>
        <v>113</v>
      </c>
      <c r="C103" s="16">
        <f t="shared" si="6"/>
        <v>0</v>
      </c>
      <c r="D103" s="16">
        <f t="shared" si="6"/>
        <v>232</v>
      </c>
      <c r="E103" s="16">
        <f t="shared" si="6"/>
        <v>1</v>
      </c>
      <c r="F103" s="16">
        <f t="shared" si="6"/>
        <v>929</v>
      </c>
      <c r="G103" s="16">
        <f t="shared" si="6"/>
        <v>0</v>
      </c>
      <c r="H103" s="16">
        <f t="shared" si="6"/>
        <v>0</v>
      </c>
      <c r="I103" s="16">
        <f t="shared" si="6"/>
        <v>0</v>
      </c>
      <c r="J103" s="16">
        <f t="shared" si="6"/>
        <v>0</v>
      </c>
      <c r="K103" s="16">
        <f t="shared" si="6"/>
        <v>1</v>
      </c>
    </row>
    <row r="104" spans="1:11">
      <c r="A104" s="15" t="str">
        <f t="shared" si="4"/>
        <v>02351</v>
      </c>
      <c r="B104" s="16">
        <f t="shared" si="6"/>
        <v>113</v>
      </c>
      <c r="C104" s="16">
        <f t="shared" si="6"/>
        <v>0</v>
      </c>
      <c r="D104" s="16">
        <f t="shared" si="6"/>
        <v>235</v>
      </c>
      <c r="E104" s="16">
        <f t="shared" si="6"/>
        <v>1</v>
      </c>
      <c r="F104" s="16">
        <f t="shared" si="6"/>
        <v>929</v>
      </c>
      <c r="G104" s="16">
        <f t="shared" si="6"/>
        <v>0</v>
      </c>
      <c r="H104" s="16">
        <f t="shared" si="6"/>
        <v>0</v>
      </c>
      <c r="I104" s="16">
        <f t="shared" si="6"/>
        <v>0</v>
      </c>
      <c r="J104" s="16">
        <f t="shared" si="6"/>
        <v>0</v>
      </c>
      <c r="K104" s="16">
        <f t="shared" si="6"/>
        <v>1</v>
      </c>
    </row>
    <row r="105" spans="1:11">
      <c r="A105" s="15" t="str">
        <f t="shared" si="4"/>
        <v>01271</v>
      </c>
      <c r="B105" s="16">
        <f t="shared" si="6"/>
        <v>113</v>
      </c>
      <c r="C105" s="16">
        <f t="shared" si="6"/>
        <v>0</v>
      </c>
      <c r="D105" s="16">
        <f t="shared" si="6"/>
        <v>127</v>
      </c>
      <c r="E105" s="16">
        <f t="shared" si="6"/>
        <v>1</v>
      </c>
      <c r="F105" s="16">
        <f t="shared" si="6"/>
        <v>477</v>
      </c>
      <c r="G105" s="16">
        <f t="shared" si="6"/>
        <v>0</v>
      </c>
      <c r="H105" s="16">
        <f t="shared" si="6"/>
        <v>0</v>
      </c>
      <c r="I105" s="16">
        <f t="shared" si="6"/>
        <v>0</v>
      </c>
      <c r="J105" s="16">
        <f t="shared" si="6"/>
        <v>0</v>
      </c>
      <c r="K105" s="16">
        <f t="shared" si="6"/>
        <v>1</v>
      </c>
    </row>
    <row r="106" spans="1:11">
      <c r="A106" s="15" t="str">
        <f t="shared" si="4"/>
        <v>01291</v>
      </c>
      <c r="B106" s="16">
        <f t="shared" si="6"/>
        <v>113</v>
      </c>
      <c r="C106" s="16">
        <f t="shared" si="6"/>
        <v>0</v>
      </c>
      <c r="D106" s="16">
        <f t="shared" si="6"/>
        <v>129</v>
      </c>
      <c r="E106" s="16">
        <f t="shared" si="6"/>
        <v>1</v>
      </c>
      <c r="F106" s="16">
        <f t="shared" si="6"/>
        <v>477</v>
      </c>
      <c r="G106" s="16">
        <f t="shared" si="6"/>
        <v>0</v>
      </c>
      <c r="H106" s="16">
        <f t="shared" si="6"/>
        <v>0</v>
      </c>
      <c r="I106" s="16">
        <f t="shared" si="6"/>
        <v>0</v>
      </c>
      <c r="J106" s="16">
        <f t="shared" si="6"/>
        <v>0</v>
      </c>
      <c r="K106" s="16">
        <f t="shared" si="6"/>
        <v>1</v>
      </c>
    </row>
    <row r="107" spans="1:11">
      <c r="A107" s="15" t="str">
        <f t="shared" si="4"/>
        <v>01311</v>
      </c>
      <c r="B107" s="16">
        <f t="shared" si="6"/>
        <v>113</v>
      </c>
      <c r="C107" s="16">
        <f t="shared" si="6"/>
        <v>0</v>
      </c>
      <c r="D107" s="16">
        <f t="shared" si="6"/>
        <v>131</v>
      </c>
      <c r="E107" s="16">
        <f t="shared" si="6"/>
        <v>1</v>
      </c>
      <c r="F107" s="16">
        <f t="shared" si="6"/>
        <v>477</v>
      </c>
      <c r="G107" s="16">
        <f t="shared" si="6"/>
        <v>0</v>
      </c>
      <c r="H107" s="16">
        <f t="shared" si="6"/>
        <v>0</v>
      </c>
      <c r="I107" s="16">
        <f t="shared" si="6"/>
        <v>0</v>
      </c>
      <c r="J107" s="16">
        <f t="shared" si="6"/>
        <v>0</v>
      </c>
      <c r="K107" s="16">
        <f t="shared" si="6"/>
        <v>1</v>
      </c>
    </row>
    <row r="108" spans="1:11">
      <c r="A108" s="15" t="str">
        <f t="shared" si="4"/>
        <v>01331</v>
      </c>
      <c r="B108" s="16">
        <f t="shared" si="6"/>
        <v>113</v>
      </c>
      <c r="C108" s="16">
        <f t="shared" si="6"/>
        <v>0</v>
      </c>
      <c r="D108" s="16">
        <f t="shared" si="6"/>
        <v>133</v>
      </c>
      <c r="E108" s="16">
        <f t="shared" si="6"/>
        <v>1</v>
      </c>
      <c r="F108" s="16">
        <f t="shared" si="6"/>
        <v>477</v>
      </c>
      <c r="G108" s="16">
        <f t="shared" si="6"/>
        <v>0</v>
      </c>
      <c r="H108" s="16">
        <f t="shared" si="6"/>
        <v>0</v>
      </c>
      <c r="I108" s="16">
        <f t="shared" si="6"/>
        <v>0</v>
      </c>
      <c r="J108" s="16">
        <f t="shared" si="6"/>
        <v>0</v>
      </c>
      <c r="K108" s="16">
        <f t="shared" si="6"/>
        <v>1</v>
      </c>
    </row>
    <row r="109" spans="1:11">
      <c r="A109" s="15" t="str">
        <f t="shared" si="4"/>
        <v>01351</v>
      </c>
      <c r="B109" s="16">
        <f t="shared" si="6"/>
        <v>113</v>
      </c>
      <c r="C109" s="16">
        <f t="shared" si="6"/>
        <v>0</v>
      </c>
      <c r="D109" s="16">
        <f t="shared" si="6"/>
        <v>135</v>
      </c>
      <c r="E109" s="16">
        <f t="shared" si="6"/>
        <v>1</v>
      </c>
      <c r="F109" s="16">
        <f t="shared" si="6"/>
        <v>477</v>
      </c>
      <c r="G109" s="16">
        <f t="shared" si="6"/>
        <v>0</v>
      </c>
      <c r="H109" s="16">
        <f t="shared" si="6"/>
        <v>0</v>
      </c>
      <c r="I109" s="16">
        <f t="shared" si="6"/>
        <v>0</v>
      </c>
      <c r="J109" s="16">
        <f t="shared" si="6"/>
        <v>0</v>
      </c>
      <c r="K109" s="16">
        <f t="shared" si="6"/>
        <v>1</v>
      </c>
    </row>
    <row r="110" spans="1:11">
      <c r="A110" s="15" t="str">
        <f t="shared" si="4"/>
        <v>01371</v>
      </c>
      <c r="B110" s="16">
        <f t="shared" si="6"/>
        <v>113</v>
      </c>
      <c r="C110" s="16">
        <f t="shared" si="6"/>
        <v>0</v>
      </c>
      <c r="D110" s="16">
        <f t="shared" si="6"/>
        <v>137</v>
      </c>
      <c r="E110" s="16">
        <f t="shared" si="6"/>
        <v>1</v>
      </c>
      <c r="F110" s="16">
        <f t="shared" si="6"/>
        <v>477</v>
      </c>
      <c r="G110" s="16">
        <f t="shared" si="6"/>
        <v>0</v>
      </c>
      <c r="H110" s="16">
        <f t="shared" si="6"/>
        <v>0</v>
      </c>
      <c r="I110" s="16">
        <f t="shared" si="6"/>
        <v>0</v>
      </c>
      <c r="J110" s="16">
        <f t="shared" si="6"/>
        <v>0</v>
      </c>
      <c r="K110" s="16">
        <f t="shared" si="6"/>
        <v>1</v>
      </c>
    </row>
    <row r="111" spans="1:11">
      <c r="A111" s="15" t="str">
        <f t="shared" si="4"/>
        <v>01391</v>
      </c>
      <c r="B111" s="16">
        <f t="shared" si="6"/>
        <v>113</v>
      </c>
      <c r="C111" s="16">
        <f t="shared" si="6"/>
        <v>0</v>
      </c>
      <c r="D111" s="16">
        <f t="shared" si="6"/>
        <v>139</v>
      </c>
      <c r="E111" s="16">
        <f t="shared" si="6"/>
        <v>1</v>
      </c>
      <c r="F111" s="16">
        <f t="shared" si="6"/>
        <v>477</v>
      </c>
      <c r="G111" s="16">
        <f t="shared" si="6"/>
        <v>0</v>
      </c>
      <c r="H111" s="16">
        <f t="shared" si="6"/>
        <v>0</v>
      </c>
      <c r="I111" s="16">
        <f t="shared" si="6"/>
        <v>0</v>
      </c>
      <c r="J111" s="16">
        <f t="shared" si="6"/>
        <v>0</v>
      </c>
      <c r="K111" s="16">
        <f t="shared" si="6"/>
        <v>1</v>
      </c>
    </row>
    <row r="112" spans="1:11">
      <c r="A112" s="15" t="str">
        <f t="shared" si="4"/>
        <v>01411</v>
      </c>
      <c r="B112" s="16">
        <f t="shared" si="6"/>
        <v>113</v>
      </c>
      <c r="C112" s="16">
        <f t="shared" si="6"/>
        <v>0</v>
      </c>
      <c r="D112" s="16">
        <f t="shared" si="6"/>
        <v>141</v>
      </c>
      <c r="E112" s="16">
        <f t="shared" si="6"/>
        <v>1</v>
      </c>
      <c r="F112" s="16">
        <f t="shared" si="6"/>
        <v>477</v>
      </c>
      <c r="G112" s="16">
        <f t="shared" si="6"/>
        <v>0</v>
      </c>
      <c r="H112" s="16">
        <f t="shared" si="6"/>
        <v>0</v>
      </c>
      <c r="I112" s="16">
        <f t="shared" si="6"/>
        <v>0</v>
      </c>
      <c r="J112" s="16">
        <f t="shared" si="6"/>
        <v>0</v>
      </c>
      <c r="K112" s="16">
        <f t="shared" si="6"/>
        <v>1</v>
      </c>
    </row>
    <row r="113" spans="1:11">
      <c r="A113" s="15" t="str">
        <f t="shared" si="4"/>
        <v>01431</v>
      </c>
      <c r="B113" s="16">
        <f t="shared" si="6"/>
        <v>113</v>
      </c>
      <c r="C113" s="16">
        <f t="shared" si="6"/>
        <v>0</v>
      </c>
      <c r="D113" s="16">
        <f t="shared" si="6"/>
        <v>143</v>
      </c>
      <c r="E113" s="16">
        <f t="shared" si="6"/>
        <v>1</v>
      </c>
      <c r="F113" s="16">
        <f t="shared" si="6"/>
        <v>477</v>
      </c>
      <c r="G113" s="16">
        <f t="shared" si="6"/>
        <v>0</v>
      </c>
      <c r="H113" s="16">
        <f t="shared" si="6"/>
        <v>0</v>
      </c>
      <c r="I113" s="16">
        <f t="shared" si="6"/>
        <v>0</v>
      </c>
      <c r="J113" s="16">
        <f t="shared" si="6"/>
        <v>0</v>
      </c>
      <c r="K113" s="16">
        <f t="shared" si="6"/>
        <v>1</v>
      </c>
    </row>
    <row r="114" spans="1:11">
      <c r="A114" s="15" t="str">
        <f t="shared" si="4"/>
        <v>01451</v>
      </c>
      <c r="B114" s="16">
        <f t="shared" si="6"/>
        <v>113</v>
      </c>
      <c r="C114" s="16">
        <f t="shared" si="6"/>
        <v>0</v>
      </c>
      <c r="D114" s="16">
        <f t="shared" si="6"/>
        <v>145</v>
      </c>
      <c r="E114" s="16">
        <f t="shared" si="6"/>
        <v>1</v>
      </c>
      <c r="F114" s="16">
        <f t="shared" si="6"/>
        <v>477</v>
      </c>
      <c r="G114" s="16">
        <f t="shared" si="6"/>
        <v>0</v>
      </c>
      <c r="H114" s="16">
        <f t="shared" si="6"/>
        <v>0</v>
      </c>
      <c r="I114" s="16">
        <f t="shared" si="6"/>
        <v>0</v>
      </c>
      <c r="J114" s="16">
        <f t="shared" si="6"/>
        <v>0</v>
      </c>
      <c r="K114" s="16">
        <f t="shared" si="6"/>
        <v>1</v>
      </c>
    </row>
    <row r="115" spans="1:11">
      <c r="A115" s="15" t="str">
        <f t="shared" si="4"/>
        <v>01471</v>
      </c>
      <c r="B115" s="16">
        <f t="shared" si="6"/>
        <v>113</v>
      </c>
      <c r="C115" s="16">
        <f t="shared" si="6"/>
        <v>0</v>
      </c>
      <c r="D115" s="16">
        <f t="shared" si="6"/>
        <v>147</v>
      </c>
      <c r="E115" s="16">
        <f t="shared" si="6"/>
        <v>1</v>
      </c>
      <c r="F115" s="16">
        <f t="shared" si="6"/>
        <v>477</v>
      </c>
      <c r="G115" s="16">
        <f t="shared" si="6"/>
        <v>0</v>
      </c>
      <c r="H115" s="16">
        <f t="shared" si="6"/>
        <v>0</v>
      </c>
      <c r="I115" s="16">
        <f t="shared" si="6"/>
        <v>0</v>
      </c>
      <c r="J115" s="16">
        <f t="shared" si="6"/>
        <v>0</v>
      </c>
      <c r="K115" s="16">
        <f t="shared" si="6"/>
        <v>1</v>
      </c>
    </row>
    <row r="116" spans="1:11">
      <c r="A116" s="15" t="str">
        <f t="shared" si="4"/>
        <v>01491</v>
      </c>
      <c r="B116" s="16">
        <f t="shared" si="6"/>
        <v>113</v>
      </c>
      <c r="C116" s="16">
        <f t="shared" si="6"/>
        <v>0</v>
      </c>
      <c r="D116" s="16">
        <f t="shared" si="6"/>
        <v>149</v>
      </c>
      <c r="E116" s="16">
        <f t="shared" si="6"/>
        <v>1</v>
      </c>
      <c r="F116" s="16">
        <f t="shared" si="6"/>
        <v>477</v>
      </c>
      <c r="G116" s="16">
        <f t="shared" si="6"/>
        <v>0</v>
      </c>
      <c r="H116" s="16">
        <f t="shared" si="6"/>
        <v>0</v>
      </c>
      <c r="I116" s="16">
        <f t="shared" si="6"/>
        <v>0</v>
      </c>
      <c r="J116" s="16">
        <f t="shared" si="6"/>
        <v>0</v>
      </c>
      <c r="K116" s="16">
        <f t="shared" si="6"/>
        <v>1</v>
      </c>
    </row>
    <row r="117" spans="1:11">
      <c r="A117" s="15" t="str">
        <f t="shared" si="4"/>
        <v>01511</v>
      </c>
      <c r="B117" s="16">
        <f t="shared" si="6"/>
        <v>113</v>
      </c>
      <c r="C117" s="16">
        <f t="shared" si="6"/>
        <v>0</v>
      </c>
      <c r="D117" s="16">
        <f t="shared" si="6"/>
        <v>151</v>
      </c>
      <c r="E117" s="16">
        <f t="shared" si="6"/>
        <v>1</v>
      </c>
      <c r="F117" s="16">
        <f t="shared" si="6"/>
        <v>477</v>
      </c>
      <c r="G117" s="16">
        <f t="shared" si="6"/>
        <v>0</v>
      </c>
      <c r="H117" s="16">
        <f t="shared" si="6"/>
        <v>0</v>
      </c>
      <c r="I117" s="16">
        <f t="shared" si="6"/>
        <v>0</v>
      </c>
      <c r="J117" s="16">
        <f t="shared" si="6"/>
        <v>0</v>
      </c>
      <c r="K117" s="16">
        <f t="shared" si="6"/>
        <v>1</v>
      </c>
    </row>
    <row r="118" spans="1:11">
      <c r="A118" s="15" t="str">
        <f t="shared" si="4"/>
        <v>01531</v>
      </c>
      <c r="B118" s="16">
        <f t="shared" si="6"/>
        <v>113</v>
      </c>
      <c r="C118" s="16">
        <f t="shared" si="6"/>
        <v>0</v>
      </c>
      <c r="D118" s="16">
        <f t="shared" si="6"/>
        <v>153</v>
      </c>
      <c r="E118" s="16">
        <f t="shared" si="6"/>
        <v>1</v>
      </c>
      <c r="F118" s="16">
        <f t="shared" si="6"/>
        <v>477</v>
      </c>
      <c r="G118" s="16">
        <f t="shared" si="6"/>
        <v>0</v>
      </c>
      <c r="H118" s="16">
        <f t="shared" si="6"/>
        <v>0</v>
      </c>
      <c r="I118" s="16">
        <f t="shared" si="6"/>
        <v>0</v>
      </c>
      <c r="J118" s="16">
        <f t="shared" si="6"/>
        <v>0</v>
      </c>
      <c r="K118" s="16">
        <f t="shared" si="6"/>
        <v>1</v>
      </c>
    </row>
    <row r="119" spans="1:11">
      <c r="A119" s="15" t="str">
        <f t="shared" si="4"/>
        <v>01551</v>
      </c>
      <c r="B119" s="16">
        <f t="shared" si="6"/>
        <v>113</v>
      </c>
      <c r="C119" s="16">
        <f t="shared" si="6"/>
        <v>0</v>
      </c>
      <c r="D119" s="16">
        <f t="shared" si="6"/>
        <v>155</v>
      </c>
      <c r="E119" s="16">
        <f t="shared" si="6"/>
        <v>1</v>
      </c>
      <c r="F119" s="16">
        <f t="shared" si="6"/>
        <v>477</v>
      </c>
      <c r="G119" s="16">
        <f t="shared" si="6"/>
        <v>0</v>
      </c>
      <c r="H119" s="16">
        <f t="shared" si="6"/>
        <v>0</v>
      </c>
      <c r="I119" s="16">
        <f t="shared" si="6"/>
        <v>0</v>
      </c>
      <c r="J119" s="16">
        <f t="shared" si="6"/>
        <v>0</v>
      </c>
      <c r="K119" s="16">
        <f t="shared" si="6"/>
        <v>1</v>
      </c>
    </row>
    <row r="120" spans="1:11">
      <c r="A120" s="15" t="str">
        <f t="shared" si="4"/>
        <v>01571</v>
      </c>
      <c r="B120" s="16">
        <f t="shared" si="6"/>
        <v>113</v>
      </c>
      <c r="C120" s="16">
        <f t="shared" si="6"/>
        <v>0</v>
      </c>
      <c r="D120" s="16">
        <f t="shared" si="6"/>
        <v>157</v>
      </c>
      <c r="E120" s="16">
        <f t="shared" si="6"/>
        <v>1</v>
      </c>
      <c r="F120" s="16">
        <f t="shared" si="6"/>
        <v>477</v>
      </c>
      <c r="G120" s="16">
        <f t="shared" si="6"/>
        <v>0</v>
      </c>
      <c r="H120" s="16">
        <f t="shared" si="6"/>
        <v>0</v>
      </c>
      <c r="I120" s="16">
        <f t="shared" si="6"/>
        <v>0</v>
      </c>
      <c r="J120" s="16">
        <f t="shared" si="6"/>
        <v>0</v>
      </c>
      <c r="K120" s="16">
        <f t="shared" si="6"/>
        <v>1</v>
      </c>
    </row>
    <row r="121" spans="1:11">
      <c r="A121" s="15" t="str">
        <f t="shared" si="4"/>
        <v>01591</v>
      </c>
      <c r="B121" s="16">
        <f t="shared" ref="B121:K146" si="7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113</v>
      </c>
      <c r="C121" s="16">
        <f t="shared" si="7"/>
        <v>0</v>
      </c>
      <c r="D121" s="16">
        <f t="shared" si="7"/>
        <v>159</v>
      </c>
      <c r="E121" s="16">
        <f t="shared" si="7"/>
        <v>1</v>
      </c>
      <c r="F121" s="16">
        <f t="shared" si="7"/>
        <v>477</v>
      </c>
      <c r="G121" s="16">
        <f t="shared" si="7"/>
        <v>0</v>
      </c>
      <c r="H121" s="16">
        <f t="shared" si="7"/>
        <v>0</v>
      </c>
      <c r="I121" s="16">
        <f t="shared" si="7"/>
        <v>0</v>
      </c>
      <c r="J121" s="16">
        <f t="shared" si="7"/>
        <v>0</v>
      </c>
      <c r="K121" s="16">
        <f t="shared" si="7"/>
        <v>1</v>
      </c>
    </row>
    <row r="122" spans="1:11">
      <c r="A122" s="15" t="str">
        <f t="shared" si="4"/>
        <v>01611</v>
      </c>
      <c r="B122" s="16">
        <f t="shared" si="7"/>
        <v>113</v>
      </c>
      <c r="C122" s="16">
        <f t="shared" si="7"/>
        <v>0</v>
      </c>
      <c r="D122" s="16">
        <f t="shared" si="7"/>
        <v>161</v>
      </c>
      <c r="E122" s="16">
        <f t="shared" si="7"/>
        <v>1</v>
      </c>
      <c r="F122" s="16">
        <f t="shared" si="7"/>
        <v>477</v>
      </c>
      <c r="G122" s="16">
        <f t="shared" si="7"/>
        <v>0</v>
      </c>
      <c r="H122" s="16">
        <f t="shared" si="7"/>
        <v>0</v>
      </c>
      <c r="I122" s="16">
        <f t="shared" si="7"/>
        <v>0</v>
      </c>
      <c r="J122" s="16">
        <f t="shared" si="7"/>
        <v>0</v>
      </c>
      <c r="K122" s="16">
        <f t="shared" si="7"/>
        <v>1</v>
      </c>
    </row>
    <row r="123" spans="1:11">
      <c r="A123" s="15" t="str">
        <f t="shared" si="4"/>
        <v>01631</v>
      </c>
      <c r="B123" s="16">
        <f t="shared" si="7"/>
        <v>113</v>
      </c>
      <c r="C123" s="16">
        <f t="shared" si="7"/>
        <v>0</v>
      </c>
      <c r="D123" s="16">
        <f t="shared" si="7"/>
        <v>163</v>
      </c>
      <c r="E123" s="16">
        <f t="shared" si="7"/>
        <v>1</v>
      </c>
      <c r="F123" s="16">
        <f t="shared" si="7"/>
        <v>477</v>
      </c>
      <c r="G123" s="16">
        <f t="shared" si="7"/>
        <v>0</v>
      </c>
      <c r="H123" s="16">
        <f t="shared" si="7"/>
        <v>0</v>
      </c>
      <c r="I123" s="16">
        <f t="shared" si="7"/>
        <v>0</v>
      </c>
      <c r="J123" s="16">
        <f t="shared" si="7"/>
        <v>0</v>
      </c>
      <c r="K123" s="16">
        <f t="shared" si="7"/>
        <v>1</v>
      </c>
    </row>
    <row r="124" spans="1:11">
      <c r="A124" s="15" t="str">
        <f t="shared" si="4"/>
        <v>01651</v>
      </c>
      <c r="B124" s="16">
        <f t="shared" si="7"/>
        <v>113</v>
      </c>
      <c r="C124" s="16">
        <f t="shared" si="7"/>
        <v>0</v>
      </c>
      <c r="D124" s="16">
        <f t="shared" si="7"/>
        <v>165</v>
      </c>
      <c r="E124" s="16">
        <f t="shared" si="7"/>
        <v>1</v>
      </c>
      <c r="F124" s="16">
        <f t="shared" si="7"/>
        <v>477</v>
      </c>
      <c r="G124" s="16">
        <f t="shared" si="7"/>
        <v>0</v>
      </c>
      <c r="H124" s="16">
        <f t="shared" si="7"/>
        <v>0</v>
      </c>
      <c r="I124" s="16">
        <f t="shared" si="7"/>
        <v>0</v>
      </c>
      <c r="J124" s="16">
        <f t="shared" si="7"/>
        <v>0</v>
      </c>
      <c r="K124" s="16">
        <f t="shared" si="7"/>
        <v>1</v>
      </c>
    </row>
    <row r="125" spans="1:11">
      <c r="A125" s="15" t="str">
        <f t="shared" si="4"/>
        <v>01671</v>
      </c>
      <c r="B125" s="16">
        <f t="shared" si="7"/>
        <v>113</v>
      </c>
      <c r="C125" s="16">
        <f t="shared" si="7"/>
        <v>0</v>
      </c>
      <c r="D125" s="16">
        <f t="shared" si="7"/>
        <v>167</v>
      </c>
      <c r="E125" s="16">
        <f t="shared" si="7"/>
        <v>1</v>
      </c>
      <c r="F125" s="16">
        <f t="shared" si="7"/>
        <v>477</v>
      </c>
      <c r="G125" s="16">
        <f t="shared" si="7"/>
        <v>0</v>
      </c>
      <c r="H125" s="16">
        <f t="shared" si="7"/>
        <v>0</v>
      </c>
      <c r="I125" s="16">
        <f t="shared" si="7"/>
        <v>0</v>
      </c>
      <c r="J125" s="16">
        <f t="shared" si="7"/>
        <v>0</v>
      </c>
      <c r="K125" s="16">
        <f t="shared" si="7"/>
        <v>1</v>
      </c>
    </row>
    <row r="126" spans="1:11">
      <c r="A126" s="15" t="str">
        <f t="shared" si="4"/>
        <v>01701</v>
      </c>
      <c r="B126" s="16">
        <f t="shared" si="7"/>
        <v>113</v>
      </c>
      <c r="C126" s="16">
        <f t="shared" si="7"/>
        <v>0</v>
      </c>
      <c r="D126" s="16">
        <f t="shared" si="7"/>
        <v>170</v>
      </c>
      <c r="E126" s="16">
        <f t="shared" si="7"/>
        <v>1</v>
      </c>
      <c r="F126" s="16">
        <f t="shared" si="7"/>
        <v>477</v>
      </c>
      <c r="G126" s="16">
        <f t="shared" si="7"/>
        <v>0</v>
      </c>
      <c r="H126" s="16">
        <f t="shared" si="7"/>
        <v>0</v>
      </c>
      <c r="I126" s="16">
        <f t="shared" si="7"/>
        <v>0</v>
      </c>
      <c r="J126" s="16">
        <f t="shared" si="7"/>
        <v>0</v>
      </c>
      <c r="K126" s="16">
        <f t="shared" si="7"/>
        <v>1</v>
      </c>
    </row>
    <row r="127" spans="1:11">
      <c r="A127" s="15" t="str">
        <f t="shared" si="4"/>
        <v>01731</v>
      </c>
      <c r="B127" s="16">
        <f t="shared" si="7"/>
        <v>113</v>
      </c>
      <c r="C127" s="16">
        <f t="shared" si="7"/>
        <v>0</v>
      </c>
      <c r="D127" s="16">
        <f t="shared" si="7"/>
        <v>173</v>
      </c>
      <c r="E127" s="16">
        <f t="shared" si="7"/>
        <v>1</v>
      </c>
      <c r="F127" s="16">
        <f t="shared" si="7"/>
        <v>477</v>
      </c>
      <c r="G127" s="16">
        <f t="shared" si="7"/>
        <v>0</v>
      </c>
      <c r="H127" s="16">
        <f t="shared" si="7"/>
        <v>0</v>
      </c>
      <c r="I127" s="16">
        <f t="shared" si="7"/>
        <v>0</v>
      </c>
      <c r="J127" s="16">
        <f t="shared" si="7"/>
        <v>0</v>
      </c>
      <c r="K127" s="16">
        <f t="shared" si="7"/>
        <v>1</v>
      </c>
    </row>
    <row r="128" spans="1:11">
      <c r="A128" s="15" t="str">
        <f t="shared" si="4"/>
        <v>01761</v>
      </c>
      <c r="B128" s="16">
        <f t="shared" si="7"/>
        <v>113</v>
      </c>
      <c r="C128" s="16">
        <f t="shared" si="7"/>
        <v>0</v>
      </c>
      <c r="D128" s="16">
        <f t="shared" si="7"/>
        <v>176</v>
      </c>
      <c r="E128" s="16">
        <f t="shared" si="7"/>
        <v>1</v>
      </c>
      <c r="F128" s="16">
        <f t="shared" si="7"/>
        <v>477</v>
      </c>
      <c r="G128" s="16">
        <f t="shared" si="7"/>
        <v>0</v>
      </c>
      <c r="H128" s="16">
        <f t="shared" si="7"/>
        <v>0</v>
      </c>
      <c r="I128" s="16">
        <f t="shared" si="7"/>
        <v>0</v>
      </c>
      <c r="J128" s="16">
        <f t="shared" si="7"/>
        <v>0</v>
      </c>
      <c r="K128" s="16">
        <f t="shared" si="7"/>
        <v>1</v>
      </c>
    </row>
    <row r="129" spans="1:11">
      <c r="A129" s="15" t="str">
        <f t="shared" si="4"/>
        <v>01791</v>
      </c>
      <c r="B129" s="16">
        <f t="shared" si="7"/>
        <v>113</v>
      </c>
      <c r="C129" s="16">
        <f t="shared" si="7"/>
        <v>0</v>
      </c>
      <c r="D129" s="16">
        <f t="shared" si="7"/>
        <v>179</v>
      </c>
      <c r="E129" s="16">
        <f t="shared" si="7"/>
        <v>1</v>
      </c>
      <c r="F129" s="16">
        <f t="shared" si="7"/>
        <v>477</v>
      </c>
      <c r="G129" s="16">
        <f t="shared" si="7"/>
        <v>0</v>
      </c>
      <c r="H129" s="16">
        <f t="shared" si="7"/>
        <v>0</v>
      </c>
      <c r="I129" s="16">
        <f t="shared" si="7"/>
        <v>0</v>
      </c>
      <c r="J129" s="16">
        <f t="shared" si="7"/>
        <v>0</v>
      </c>
      <c r="K129" s="16">
        <f t="shared" si="7"/>
        <v>1</v>
      </c>
    </row>
    <row r="130" spans="1:11">
      <c r="A130" s="15" t="str">
        <f t="shared" si="4"/>
        <v>01821</v>
      </c>
      <c r="B130" s="16">
        <f t="shared" si="7"/>
        <v>113</v>
      </c>
      <c r="C130" s="16">
        <f t="shared" si="7"/>
        <v>0</v>
      </c>
      <c r="D130" s="16">
        <f t="shared" si="7"/>
        <v>182</v>
      </c>
      <c r="E130" s="16">
        <f t="shared" si="7"/>
        <v>1</v>
      </c>
      <c r="F130" s="16">
        <f t="shared" si="7"/>
        <v>477</v>
      </c>
      <c r="G130" s="16">
        <f t="shared" si="7"/>
        <v>0</v>
      </c>
      <c r="H130" s="16">
        <f t="shared" si="7"/>
        <v>0</v>
      </c>
      <c r="I130" s="16">
        <f t="shared" si="7"/>
        <v>0</v>
      </c>
      <c r="J130" s="16">
        <f t="shared" si="7"/>
        <v>0</v>
      </c>
      <c r="K130" s="16">
        <f t="shared" si="7"/>
        <v>1</v>
      </c>
    </row>
    <row r="131" spans="1:11">
      <c r="A131" s="15" t="str">
        <f t="shared" ref="A131:A170" si="8">INDIRECT(ADDRESS(ROW()+$A$1,COLUMN(),1,TRUE,$C$1))</f>
        <v>01851</v>
      </c>
      <c r="B131" s="16">
        <f t="shared" si="7"/>
        <v>113</v>
      </c>
      <c r="C131" s="16">
        <f t="shared" si="7"/>
        <v>0</v>
      </c>
      <c r="D131" s="16">
        <f t="shared" si="7"/>
        <v>185</v>
      </c>
      <c r="E131" s="16">
        <f t="shared" si="7"/>
        <v>1</v>
      </c>
      <c r="F131" s="16">
        <f t="shared" si="7"/>
        <v>477</v>
      </c>
      <c r="G131" s="16">
        <f t="shared" si="7"/>
        <v>0</v>
      </c>
      <c r="H131" s="16">
        <f t="shared" si="7"/>
        <v>0</v>
      </c>
      <c r="I131" s="16">
        <f t="shared" si="7"/>
        <v>0</v>
      </c>
      <c r="J131" s="16">
        <f t="shared" si="7"/>
        <v>0</v>
      </c>
      <c r="K131" s="16">
        <f t="shared" si="7"/>
        <v>1</v>
      </c>
    </row>
    <row r="132" spans="1:11">
      <c r="A132" s="15" t="str">
        <f t="shared" si="8"/>
        <v>01881</v>
      </c>
      <c r="B132" s="16">
        <f t="shared" si="7"/>
        <v>113</v>
      </c>
      <c r="C132" s="16">
        <f t="shared" si="7"/>
        <v>0</v>
      </c>
      <c r="D132" s="16">
        <f t="shared" si="7"/>
        <v>188</v>
      </c>
      <c r="E132" s="16">
        <f t="shared" si="7"/>
        <v>1</v>
      </c>
      <c r="F132" s="16">
        <f t="shared" si="7"/>
        <v>477</v>
      </c>
      <c r="G132" s="16">
        <f t="shared" si="7"/>
        <v>0</v>
      </c>
      <c r="H132" s="16">
        <f t="shared" si="7"/>
        <v>0</v>
      </c>
      <c r="I132" s="16">
        <f t="shared" si="7"/>
        <v>0</v>
      </c>
      <c r="J132" s="16">
        <f t="shared" si="7"/>
        <v>0</v>
      </c>
      <c r="K132" s="16">
        <f t="shared" si="7"/>
        <v>1</v>
      </c>
    </row>
    <row r="133" spans="1:11">
      <c r="A133" s="15" t="str">
        <f t="shared" si="8"/>
        <v>01911</v>
      </c>
      <c r="B133" s="16">
        <f t="shared" si="7"/>
        <v>113</v>
      </c>
      <c r="C133" s="16">
        <f t="shared" si="7"/>
        <v>0</v>
      </c>
      <c r="D133" s="16">
        <f t="shared" si="7"/>
        <v>191</v>
      </c>
      <c r="E133" s="16">
        <f t="shared" si="7"/>
        <v>1</v>
      </c>
      <c r="F133" s="16">
        <f t="shared" si="7"/>
        <v>477</v>
      </c>
      <c r="G133" s="16">
        <f t="shared" si="7"/>
        <v>0</v>
      </c>
      <c r="H133" s="16">
        <f t="shared" si="7"/>
        <v>0</v>
      </c>
      <c r="I133" s="16">
        <f t="shared" si="7"/>
        <v>0</v>
      </c>
      <c r="J133" s="16">
        <f t="shared" si="7"/>
        <v>0</v>
      </c>
      <c r="K133" s="16">
        <f t="shared" si="7"/>
        <v>1</v>
      </c>
    </row>
    <row r="134" spans="1:11">
      <c r="A134" s="15" t="str">
        <f t="shared" si="8"/>
        <v>01941</v>
      </c>
      <c r="B134" s="16">
        <f t="shared" si="7"/>
        <v>113</v>
      </c>
      <c r="C134" s="16">
        <f t="shared" si="7"/>
        <v>0</v>
      </c>
      <c r="D134" s="16">
        <f t="shared" si="7"/>
        <v>194</v>
      </c>
      <c r="E134" s="16">
        <f t="shared" si="7"/>
        <v>1</v>
      </c>
      <c r="F134" s="16">
        <f t="shared" si="7"/>
        <v>477</v>
      </c>
      <c r="G134" s="16">
        <f t="shared" si="7"/>
        <v>0</v>
      </c>
      <c r="H134" s="16">
        <f t="shared" si="7"/>
        <v>0</v>
      </c>
      <c r="I134" s="16">
        <f t="shared" si="7"/>
        <v>0</v>
      </c>
      <c r="J134" s="16">
        <f t="shared" si="7"/>
        <v>0</v>
      </c>
      <c r="K134" s="16">
        <f t="shared" si="7"/>
        <v>1</v>
      </c>
    </row>
    <row r="135" spans="1:11">
      <c r="A135" s="15" t="str">
        <f t="shared" si="8"/>
        <v>01971</v>
      </c>
      <c r="B135" s="16">
        <f t="shared" si="7"/>
        <v>113</v>
      </c>
      <c r="C135" s="16">
        <f t="shared" si="7"/>
        <v>0</v>
      </c>
      <c r="D135" s="16">
        <f t="shared" si="7"/>
        <v>197</v>
      </c>
      <c r="E135" s="16">
        <f t="shared" si="7"/>
        <v>1</v>
      </c>
      <c r="F135" s="16">
        <f t="shared" si="7"/>
        <v>477</v>
      </c>
      <c r="G135" s="16">
        <f t="shared" si="7"/>
        <v>0</v>
      </c>
      <c r="H135" s="16">
        <f t="shared" si="7"/>
        <v>0</v>
      </c>
      <c r="I135" s="16">
        <f t="shared" si="7"/>
        <v>0</v>
      </c>
      <c r="J135" s="16">
        <f t="shared" si="7"/>
        <v>0</v>
      </c>
      <c r="K135" s="16">
        <f t="shared" si="7"/>
        <v>1</v>
      </c>
    </row>
    <row r="136" spans="1:11">
      <c r="A136" s="15" t="str">
        <f t="shared" si="8"/>
        <v>02001</v>
      </c>
      <c r="B136" s="16">
        <f t="shared" si="7"/>
        <v>113</v>
      </c>
      <c r="C136" s="16">
        <f t="shared" si="7"/>
        <v>0</v>
      </c>
      <c r="D136" s="16">
        <f t="shared" si="7"/>
        <v>200</v>
      </c>
      <c r="E136" s="16">
        <f t="shared" si="7"/>
        <v>1</v>
      </c>
      <c r="F136" s="16">
        <f t="shared" si="7"/>
        <v>477</v>
      </c>
      <c r="G136" s="16">
        <f t="shared" si="7"/>
        <v>0</v>
      </c>
      <c r="H136" s="16">
        <f t="shared" si="7"/>
        <v>0</v>
      </c>
      <c r="I136" s="16">
        <f t="shared" si="7"/>
        <v>0</v>
      </c>
      <c r="J136" s="16">
        <f t="shared" si="7"/>
        <v>0</v>
      </c>
      <c r="K136" s="16">
        <f t="shared" si="7"/>
        <v>1</v>
      </c>
    </row>
    <row r="137" spans="1:11">
      <c r="A137" s="15" t="str">
        <f t="shared" si="8"/>
        <v>02031</v>
      </c>
      <c r="B137" s="16">
        <f t="shared" si="7"/>
        <v>113</v>
      </c>
      <c r="C137" s="16">
        <f t="shared" si="7"/>
        <v>0</v>
      </c>
      <c r="D137" s="16">
        <f t="shared" si="7"/>
        <v>203</v>
      </c>
      <c r="E137" s="16">
        <f t="shared" si="7"/>
        <v>1</v>
      </c>
      <c r="F137" s="16">
        <f t="shared" si="7"/>
        <v>477</v>
      </c>
      <c r="G137" s="16">
        <f t="shared" si="7"/>
        <v>0</v>
      </c>
      <c r="H137" s="16">
        <f t="shared" si="7"/>
        <v>0</v>
      </c>
      <c r="I137" s="16">
        <f t="shared" si="7"/>
        <v>0</v>
      </c>
      <c r="J137" s="16">
        <f t="shared" si="7"/>
        <v>0</v>
      </c>
      <c r="K137" s="16">
        <f t="shared" si="7"/>
        <v>1</v>
      </c>
    </row>
    <row r="138" spans="1:11">
      <c r="A138" s="15" t="str">
        <f t="shared" si="8"/>
        <v>02061</v>
      </c>
      <c r="B138" s="16">
        <f t="shared" si="7"/>
        <v>113</v>
      </c>
      <c r="C138" s="16">
        <f t="shared" si="7"/>
        <v>0</v>
      </c>
      <c r="D138" s="16">
        <f t="shared" si="7"/>
        <v>206</v>
      </c>
      <c r="E138" s="16">
        <f t="shared" si="7"/>
        <v>1</v>
      </c>
      <c r="F138" s="16">
        <f t="shared" si="7"/>
        <v>477</v>
      </c>
      <c r="G138" s="16">
        <f t="shared" si="7"/>
        <v>0</v>
      </c>
      <c r="H138" s="16">
        <f t="shared" si="7"/>
        <v>0</v>
      </c>
      <c r="I138" s="16">
        <f t="shared" si="7"/>
        <v>0</v>
      </c>
      <c r="J138" s="16">
        <f t="shared" si="7"/>
        <v>0</v>
      </c>
      <c r="K138" s="16">
        <f t="shared" si="7"/>
        <v>1</v>
      </c>
    </row>
    <row r="139" spans="1:11">
      <c r="A139" s="15" t="str">
        <f t="shared" si="8"/>
        <v>02091</v>
      </c>
      <c r="B139" s="16">
        <f t="shared" si="7"/>
        <v>113</v>
      </c>
      <c r="C139" s="16">
        <f t="shared" si="7"/>
        <v>0</v>
      </c>
      <c r="D139" s="16">
        <f t="shared" si="7"/>
        <v>209</v>
      </c>
      <c r="E139" s="16">
        <f t="shared" si="7"/>
        <v>1</v>
      </c>
      <c r="F139" s="16">
        <f t="shared" si="7"/>
        <v>477</v>
      </c>
      <c r="G139" s="16">
        <f t="shared" si="7"/>
        <v>0</v>
      </c>
      <c r="H139" s="16">
        <f t="shared" si="7"/>
        <v>0</v>
      </c>
      <c r="I139" s="16">
        <f t="shared" si="7"/>
        <v>0</v>
      </c>
      <c r="J139" s="16">
        <f t="shared" si="7"/>
        <v>0</v>
      </c>
      <c r="K139" s="16">
        <f t="shared" si="7"/>
        <v>1</v>
      </c>
    </row>
    <row r="140" spans="1:11">
      <c r="A140" s="15" t="str">
        <f t="shared" si="8"/>
        <v>02121</v>
      </c>
      <c r="B140" s="16">
        <f t="shared" si="7"/>
        <v>113</v>
      </c>
      <c r="C140" s="16">
        <f t="shared" si="7"/>
        <v>0</v>
      </c>
      <c r="D140" s="16">
        <f t="shared" si="7"/>
        <v>212</v>
      </c>
      <c r="E140" s="16">
        <f t="shared" si="7"/>
        <v>1</v>
      </c>
      <c r="F140" s="16">
        <f t="shared" si="7"/>
        <v>477</v>
      </c>
      <c r="G140" s="16">
        <f t="shared" si="7"/>
        <v>0</v>
      </c>
      <c r="H140" s="16">
        <f t="shared" si="7"/>
        <v>0</v>
      </c>
      <c r="I140" s="16">
        <f t="shared" si="7"/>
        <v>0</v>
      </c>
      <c r="J140" s="16">
        <f t="shared" si="7"/>
        <v>0</v>
      </c>
      <c r="K140" s="16">
        <f t="shared" si="7"/>
        <v>1</v>
      </c>
    </row>
    <row r="141" spans="1:11">
      <c r="A141" s="15" t="str">
        <f t="shared" si="8"/>
        <v>02151</v>
      </c>
      <c r="B141" s="16">
        <f t="shared" si="7"/>
        <v>113</v>
      </c>
      <c r="C141" s="16">
        <f t="shared" si="7"/>
        <v>0</v>
      </c>
      <c r="D141" s="16">
        <f t="shared" si="7"/>
        <v>215</v>
      </c>
      <c r="E141" s="16">
        <f t="shared" si="7"/>
        <v>1</v>
      </c>
      <c r="F141" s="16">
        <f t="shared" si="7"/>
        <v>477</v>
      </c>
      <c r="G141" s="16">
        <f t="shared" si="7"/>
        <v>0</v>
      </c>
      <c r="H141" s="16">
        <f t="shared" si="7"/>
        <v>0</v>
      </c>
      <c r="I141" s="16">
        <f t="shared" si="7"/>
        <v>0</v>
      </c>
      <c r="J141" s="16">
        <f t="shared" si="7"/>
        <v>0</v>
      </c>
      <c r="K141" s="16">
        <f t="shared" si="7"/>
        <v>1</v>
      </c>
    </row>
    <row r="142" spans="1:11">
      <c r="A142" s="15" t="str">
        <f t="shared" si="8"/>
        <v>02181</v>
      </c>
      <c r="B142" s="16">
        <f t="shared" si="7"/>
        <v>113</v>
      </c>
      <c r="C142" s="16">
        <f t="shared" si="7"/>
        <v>0</v>
      </c>
      <c r="D142" s="16">
        <f t="shared" si="7"/>
        <v>218</v>
      </c>
      <c r="E142" s="16">
        <f t="shared" si="7"/>
        <v>1</v>
      </c>
      <c r="F142" s="16">
        <f t="shared" si="7"/>
        <v>477</v>
      </c>
      <c r="G142" s="16">
        <f t="shared" si="7"/>
        <v>0</v>
      </c>
      <c r="H142" s="16">
        <f t="shared" si="7"/>
        <v>0</v>
      </c>
      <c r="I142" s="16">
        <f t="shared" si="7"/>
        <v>0</v>
      </c>
      <c r="J142" s="16">
        <f t="shared" si="7"/>
        <v>0</v>
      </c>
      <c r="K142" s="16">
        <f t="shared" si="7"/>
        <v>1</v>
      </c>
    </row>
    <row r="143" spans="1:11">
      <c r="A143" s="15" t="str">
        <f t="shared" si="8"/>
        <v>02211</v>
      </c>
      <c r="B143" s="16">
        <f t="shared" si="7"/>
        <v>113</v>
      </c>
      <c r="C143" s="16">
        <f t="shared" si="7"/>
        <v>0</v>
      </c>
      <c r="D143" s="16">
        <f t="shared" si="7"/>
        <v>221</v>
      </c>
      <c r="E143" s="16">
        <f t="shared" si="7"/>
        <v>1</v>
      </c>
      <c r="F143" s="16">
        <f t="shared" si="7"/>
        <v>477</v>
      </c>
      <c r="G143" s="16">
        <f t="shared" si="7"/>
        <v>0</v>
      </c>
      <c r="H143" s="16">
        <f t="shared" si="7"/>
        <v>0</v>
      </c>
      <c r="I143" s="16">
        <f t="shared" si="7"/>
        <v>0</v>
      </c>
      <c r="J143" s="16">
        <f t="shared" si="7"/>
        <v>0</v>
      </c>
      <c r="K143" s="16">
        <f t="shared" si="7"/>
        <v>1</v>
      </c>
    </row>
    <row r="144" spans="1:11">
      <c r="A144" s="15" t="str">
        <f t="shared" si="8"/>
        <v>02241</v>
      </c>
      <c r="B144" s="16">
        <f t="shared" si="7"/>
        <v>113</v>
      </c>
      <c r="C144" s="16">
        <f t="shared" si="7"/>
        <v>0</v>
      </c>
      <c r="D144" s="16">
        <f t="shared" si="7"/>
        <v>224</v>
      </c>
      <c r="E144" s="16">
        <f t="shared" si="7"/>
        <v>1</v>
      </c>
      <c r="F144" s="16">
        <f t="shared" si="7"/>
        <v>477</v>
      </c>
      <c r="G144" s="16">
        <f t="shared" si="7"/>
        <v>0</v>
      </c>
      <c r="H144" s="16">
        <f t="shared" si="7"/>
        <v>0</v>
      </c>
      <c r="I144" s="16">
        <f t="shared" si="7"/>
        <v>0</v>
      </c>
      <c r="J144" s="16">
        <f t="shared" si="7"/>
        <v>0</v>
      </c>
      <c r="K144" s="16">
        <f t="shared" si="7"/>
        <v>1</v>
      </c>
    </row>
    <row r="145" spans="1:11">
      <c r="A145" s="15" t="str">
        <f t="shared" si="8"/>
        <v>02271</v>
      </c>
      <c r="B145" s="16">
        <f t="shared" si="7"/>
        <v>113</v>
      </c>
      <c r="C145" s="16">
        <f t="shared" si="7"/>
        <v>0</v>
      </c>
      <c r="D145" s="16">
        <f t="shared" si="7"/>
        <v>227</v>
      </c>
      <c r="E145" s="16">
        <f t="shared" si="7"/>
        <v>1</v>
      </c>
      <c r="F145" s="16">
        <f t="shared" si="7"/>
        <v>436</v>
      </c>
      <c r="G145" s="16">
        <f t="shared" si="7"/>
        <v>0</v>
      </c>
      <c r="H145" s="16">
        <f t="shared" si="7"/>
        <v>0</v>
      </c>
      <c r="I145" s="16">
        <f t="shared" si="7"/>
        <v>0</v>
      </c>
      <c r="J145" s="16">
        <f t="shared" si="7"/>
        <v>0</v>
      </c>
      <c r="K145" s="16">
        <f t="shared" si="7"/>
        <v>1</v>
      </c>
    </row>
    <row r="146" spans="1:11">
      <c r="A146" s="15" t="str">
        <f t="shared" si="8"/>
        <v>02301</v>
      </c>
      <c r="B146" s="16">
        <f t="shared" si="7"/>
        <v>113</v>
      </c>
      <c r="C146" s="16">
        <f t="shared" si="7"/>
        <v>0</v>
      </c>
      <c r="D146" s="16">
        <f t="shared" si="7"/>
        <v>230</v>
      </c>
      <c r="E146" s="16">
        <f t="shared" si="7"/>
        <v>1</v>
      </c>
      <c r="F146" s="16">
        <f t="shared" si="7"/>
        <v>1308</v>
      </c>
      <c r="G146" s="16">
        <f t="shared" ref="B146:K170" si="9">VLOOKUP($A146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</v>
      </c>
      <c r="H146" s="16">
        <f t="shared" si="9"/>
        <v>0</v>
      </c>
      <c r="I146" s="16">
        <f t="shared" si="9"/>
        <v>0</v>
      </c>
      <c r="J146" s="16">
        <f t="shared" si="9"/>
        <v>0</v>
      </c>
      <c r="K146" s="16">
        <f t="shared" si="9"/>
        <v>1</v>
      </c>
    </row>
    <row r="147" spans="1:11">
      <c r="A147" s="15" t="str">
        <f t="shared" si="8"/>
        <v>02331</v>
      </c>
      <c r="B147" s="16">
        <f t="shared" si="9"/>
        <v>113</v>
      </c>
      <c r="C147" s="16">
        <f t="shared" si="9"/>
        <v>0</v>
      </c>
      <c r="D147" s="16">
        <f t="shared" si="9"/>
        <v>233</v>
      </c>
      <c r="E147" s="16">
        <f t="shared" si="9"/>
        <v>1</v>
      </c>
      <c r="F147" s="16">
        <f t="shared" si="9"/>
        <v>436</v>
      </c>
      <c r="G147" s="16">
        <f t="shared" si="9"/>
        <v>0</v>
      </c>
      <c r="H147" s="16">
        <f t="shared" si="9"/>
        <v>0</v>
      </c>
      <c r="I147" s="16">
        <f t="shared" si="9"/>
        <v>0</v>
      </c>
      <c r="J147" s="16">
        <f t="shared" si="9"/>
        <v>0</v>
      </c>
      <c r="K147" s="16">
        <f t="shared" si="9"/>
        <v>1</v>
      </c>
    </row>
    <row r="148" spans="1:11">
      <c r="A148" s="15" t="str">
        <f t="shared" si="8"/>
        <v>02361</v>
      </c>
      <c r="B148" s="16">
        <f t="shared" si="9"/>
        <v>113</v>
      </c>
      <c r="C148" s="16">
        <f t="shared" si="9"/>
        <v>0</v>
      </c>
      <c r="D148" s="16">
        <f t="shared" si="9"/>
        <v>236</v>
      </c>
      <c r="E148" s="16">
        <f t="shared" si="9"/>
        <v>1</v>
      </c>
      <c r="F148" s="16">
        <f t="shared" si="9"/>
        <v>436</v>
      </c>
      <c r="G148" s="16">
        <f t="shared" si="9"/>
        <v>0</v>
      </c>
      <c r="H148" s="16">
        <f t="shared" si="9"/>
        <v>0</v>
      </c>
      <c r="I148" s="16">
        <f t="shared" si="9"/>
        <v>0</v>
      </c>
      <c r="J148" s="16">
        <f t="shared" si="9"/>
        <v>0</v>
      </c>
      <c r="K148" s="16">
        <f t="shared" si="9"/>
        <v>1</v>
      </c>
    </row>
    <row r="149" spans="1:11">
      <c r="A149" s="15" t="str">
        <f t="shared" si="8"/>
        <v>02311</v>
      </c>
      <c r="B149" s="16">
        <f t="shared" si="9"/>
        <v>113</v>
      </c>
      <c r="C149" s="16">
        <f t="shared" si="9"/>
        <v>0</v>
      </c>
      <c r="D149" s="16">
        <f t="shared" si="9"/>
        <v>231</v>
      </c>
      <c r="E149" s="16">
        <f t="shared" si="9"/>
        <v>1</v>
      </c>
      <c r="F149" s="16">
        <f t="shared" si="9"/>
        <v>1962</v>
      </c>
      <c r="G149" s="16">
        <f t="shared" si="9"/>
        <v>0</v>
      </c>
      <c r="H149" s="16">
        <f t="shared" si="9"/>
        <v>0</v>
      </c>
      <c r="I149" s="16">
        <f t="shared" si="9"/>
        <v>0</v>
      </c>
      <c r="J149" s="16">
        <f t="shared" si="9"/>
        <v>0</v>
      </c>
      <c r="K149" s="16">
        <f t="shared" si="9"/>
        <v>1</v>
      </c>
    </row>
    <row r="150" spans="1:11">
      <c r="A150" s="15" t="str">
        <f t="shared" si="8"/>
        <v>02381</v>
      </c>
      <c r="B150" s="16">
        <f t="shared" si="9"/>
        <v>113</v>
      </c>
      <c r="C150" s="16">
        <f t="shared" si="9"/>
        <v>0</v>
      </c>
      <c r="D150" s="16">
        <f t="shared" si="9"/>
        <v>238</v>
      </c>
      <c r="E150" s="16">
        <f t="shared" si="9"/>
        <v>1</v>
      </c>
      <c r="F150" s="16">
        <f t="shared" si="9"/>
        <v>929</v>
      </c>
      <c r="G150" s="16">
        <f t="shared" si="9"/>
        <v>0</v>
      </c>
      <c r="H150" s="16">
        <f t="shared" si="9"/>
        <v>0</v>
      </c>
      <c r="I150" s="16">
        <f t="shared" si="9"/>
        <v>0</v>
      </c>
      <c r="J150" s="16">
        <f t="shared" si="9"/>
        <v>0</v>
      </c>
      <c r="K150" s="16">
        <f t="shared" si="9"/>
        <v>1</v>
      </c>
    </row>
    <row r="151" spans="1:11">
      <c r="A151" s="15" t="str">
        <f t="shared" si="8"/>
        <v>02391</v>
      </c>
      <c r="B151" s="16">
        <f t="shared" si="9"/>
        <v>113</v>
      </c>
      <c r="C151" s="16">
        <f t="shared" si="9"/>
        <v>0</v>
      </c>
      <c r="D151" s="16">
        <f t="shared" si="9"/>
        <v>239</v>
      </c>
      <c r="E151" s="16">
        <f t="shared" si="9"/>
        <v>1</v>
      </c>
      <c r="F151" s="16">
        <f t="shared" si="9"/>
        <v>436</v>
      </c>
      <c r="G151" s="16">
        <f t="shared" si="9"/>
        <v>0</v>
      </c>
      <c r="H151" s="16">
        <f t="shared" si="9"/>
        <v>0</v>
      </c>
      <c r="I151" s="16">
        <f t="shared" si="9"/>
        <v>0</v>
      </c>
      <c r="J151" s="16">
        <f t="shared" si="9"/>
        <v>0</v>
      </c>
      <c r="K151" s="16">
        <f t="shared" si="9"/>
        <v>1</v>
      </c>
    </row>
    <row r="152" spans="1:11">
      <c r="A152" s="15" t="str">
        <f t="shared" si="8"/>
        <v>02411</v>
      </c>
      <c r="B152" s="16">
        <f t="shared" si="9"/>
        <v>113</v>
      </c>
      <c r="C152" s="16">
        <f t="shared" si="9"/>
        <v>0</v>
      </c>
      <c r="D152" s="16">
        <f t="shared" si="9"/>
        <v>241</v>
      </c>
      <c r="E152" s="16">
        <f t="shared" si="9"/>
        <v>1</v>
      </c>
      <c r="F152" s="16">
        <f t="shared" si="9"/>
        <v>929</v>
      </c>
      <c r="G152" s="16">
        <f t="shared" si="9"/>
        <v>0</v>
      </c>
      <c r="H152" s="16">
        <f t="shared" si="9"/>
        <v>0</v>
      </c>
      <c r="I152" s="16">
        <f t="shared" si="9"/>
        <v>0</v>
      </c>
      <c r="J152" s="16">
        <f t="shared" si="9"/>
        <v>0</v>
      </c>
      <c r="K152" s="16">
        <f t="shared" si="9"/>
        <v>1</v>
      </c>
    </row>
    <row r="153" spans="1:11">
      <c r="A153" s="15" t="str">
        <f t="shared" si="8"/>
        <v>02421</v>
      </c>
      <c r="B153" s="16">
        <f t="shared" si="9"/>
        <v>113</v>
      </c>
      <c r="C153" s="16">
        <f t="shared" si="9"/>
        <v>0</v>
      </c>
      <c r="D153" s="16">
        <f t="shared" si="9"/>
        <v>242</v>
      </c>
      <c r="E153" s="16">
        <f t="shared" si="9"/>
        <v>1</v>
      </c>
      <c r="F153" s="16">
        <f t="shared" si="9"/>
        <v>436</v>
      </c>
      <c r="G153" s="16">
        <f t="shared" si="9"/>
        <v>0</v>
      </c>
      <c r="H153" s="16">
        <f t="shared" si="9"/>
        <v>0</v>
      </c>
      <c r="I153" s="16">
        <f t="shared" si="9"/>
        <v>0</v>
      </c>
      <c r="J153" s="16">
        <f t="shared" si="9"/>
        <v>0</v>
      </c>
      <c r="K153" s="16">
        <f t="shared" si="9"/>
        <v>1</v>
      </c>
    </row>
    <row r="154" spans="1:11">
      <c r="A154" s="15" t="str">
        <f t="shared" si="8"/>
        <v>02441</v>
      </c>
      <c r="B154" s="16">
        <f t="shared" si="9"/>
        <v>113</v>
      </c>
      <c r="C154" s="16">
        <f t="shared" si="9"/>
        <v>0</v>
      </c>
      <c r="D154" s="16">
        <f t="shared" si="9"/>
        <v>244</v>
      </c>
      <c r="E154" s="16">
        <f t="shared" si="9"/>
        <v>1</v>
      </c>
      <c r="F154" s="16">
        <f t="shared" si="9"/>
        <v>929</v>
      </c>
      <c r="G154" s="16">
        <f t="shared" si="9"/>
        <v>0</v>
      </c>
      <c r="H154" s="16">
        <f t="shared" si="9"/>
        <v>0</v>
      </c>
      <c r="I154" s="16">
        <f t="shared" si="9"/>
        <v>0</v>
      </c>
      <c r="J154" s="16">
        <f t="shared" si="9"/>
        <v>0</v>
      </c>
      <c r="K154" s="16">
        <f t="shared" si="9"/>
        <v>1</v>
      </c>
    </row>
    <row r="155" spans="1:11">
      <c r="A155" s="15" t="str">
        <f t="shared" si="8"/>
        <v>02451</v>
      </c>
      <c r="B155" s="16">
        <f t="shared" si="9"/>
        <v>113</v>
      </c>
      <c r="C155" s="16">
        <f t="shared" si="9"/>
        <v>0</v>
      </c>
      <c r="D155" s="16">
        <f t="shared" si="9"/>
        <v>245</v>
      </c>
      <c r="E155" s="16">
        <f t="shared" si="9"/>
        <v>1</v>
      </c>
      <c r="F155" s="16">
        <f t="shared" si="9"/>
        <v>436</v>
      </c>
      <c r="G155" s="16">
        <f t="shared" si="9"/>
        <v>0</v>
      </c>
      <c r="H155" s="16">
        <f t="shared" si="9"/>
        <v>0</v>
      </c>
      <c r="I155" s="16">
        <f t="shared" si="9"/>
        <v>0</v>
      </c>
      <c r="J155" s="16">
        <f t="shared" si="9"/>
        <v>0</v>
      </c>
      <c r="K155" s="16">
        <f t="shared" si="9"/>
        <v>1</v>
      </c>
    </row>
    <row r="156" spans="1:11">
      <c r="A156" s="15" t="str">
        <f t="shared" si="8"/>
        <v>02481</v>
      </c>
      <c r="B156" s="16">
        <f t="shared" si="9"/>
        <v>113</v>
      </c>
      <c r="C156" s="16">
        <f t="shared" si="9"/>
        <v>0</v>
      </c>
      <c r="D156" s="16">
        <f t="shared" si="9"/>
        <v>248</v>
      </c>
      <c r="E156" s="16">
        <f t="shared" si="9"/>
        <v>1</v>
      </c>
      <c r="F156" s="16">
        <f t="shared" si="9"/>
        <v>1308</v>
      </c>
      <c r="G156" s="16">
        <f t="shared" si="9"/>
        <v>0</v>
      </c>
      <c r="H156" s="16">
        <f t="shared" si="9"/>
        <v>0</v>
      </c>
      <c r="I156" s="16">
        <f t="shared" si="9"/>
        <v>0</v>
      </c>
      <c r="J156" s="16">
        <f t="shared" si="9"/>
        <v>0</v>
      </c>
      <c r="K156" s="16">
        <f t="shared" si="9"/>
        <v>1</v>
      </c>
    </row>
    <row r="157" spans="1:11">
      <c r="A157" s="15" t="str">
        <f t="shared" si="8"/>
        <v>02491</v>
      </c>
      <c r="B157" s="16">
        <f t="shared" si="9"/>
        <v>113</v>
      </c>
      <c r="C157" s="16">
        <f t="shared" si="9"/>
        <v>0</v>
      </c>
      <c r="D157" s="16">
        <f t="shared" si="9"/>
        <v>249</v>
      </c>
      <c r="E157" s="16">
        <f t="shared" si="9"/>
        <v>1</v>
      </c>
      <c r="F157" s="16">
        <f t="shared" si="9"/>
        <v>1962</v>
      </c>
      <c r="G157" s="16">
        <f t="shared" si="9"/>
        <v>0</v>
      </c>
      <c r="H157" s="16">
        <f t="shared" si="9"/>
        <v>0</v>
      </c>
      <c r="I157" s="16">
        <f t="shared" si="9"/>
        <v>0</v>
      </c>
      <c r="J157" s="16">
        <f t="shared" si="9"/>
        <v>0</v>
      </c>
      <c r="K157" s="16">
        <f t="shared" si="9"/>
        <v>1</v>
      </c>
    </row>
    <row r="158" spans="1:11">
      <c r="A158" s="15" t="str">
        <f t="shared" si="8"/>
        <v>02501</v>
      </c>
      <c r="B158" s="16">
        <f t="shared" si="9"/>
        <v>113</v>
      </c>
      <c r="C158" s="16">
        <f t="shared" si="9"/>
        <v>0</v>
      </c>
      <c r="D158" s="16">
        <f t="shared" si="9"/>
        <v>250</v>
      </c>
      <c r="E158" s="16">
        <f t="shared" si="9"/>
        <v>1</v>
      </c>
      <c r="F158" s="16">
        <f t="shared" si="9"/>
        <v>929</v>
      </c>
      <c r="G158" s="16">
        <f t="shared" si="9"/>
        <v>0</v>
      </c>
      <c r="H158" s="16">
        <f t="shared" si="9"/>
        <v>0</v>
      </c>
      <c r="I158" s="16">
        <f t="shared" si="9"/>
        <v>0</v>
      </c>
      <c r="J158" s="16">
        <f t="shared" si="9"/>
        <v>0</v>
      </c>
      <c r="K158" s="16">
        <f t="shared" si="9"/>
        <v>1</v>
      </c>
    </row>
    <row r="159" spans="1:11">
      <c r="A159" s="15" t="str">
        <f t="shared" si="8"/>
        <v>02511</v>
      </c>
      <c r="B159" s="16">
        <f t="shared" si="9"/>
        <v>113</v>
      </c>
      <c r="C159" s="16">
        <f t="shared" si="9"/>
        <v>0</v>
      </c>
      <c r="D159" s="16">
        <f t="shared" si="9"/>
        <v>251</v>
      </c>
      <c r="E159" s="16">
        <f t="shared" si="9"/>
        <v>1</v>
      </c>
      <c r="F159" s="16">
        <f t="shared" si="9"/>
        <v>436</v>
      </c>
      <c r="G159" s="16">
        <f t="shared" si="9"/>
        <v>0</v>
      </c>
      <c r="H159" s="16">
        <f t="shared" si="9"/>
        <v>0</v>
      </c>
      <c r="I159" s="16">
        <f t="shared" si="9"/>
        <v>0</v>
      </c>
      <c r="J159" s="16">
        <f t="shared" si="9"/>
        <v>0</v>
      </c>
      <c r="K159" s="16">
        <f t="shared" si="9"/>
        <v>1</v>
      </c>
    </row>
    <row r="160" spans="1:11">
      <c r="A160" s="15" t="str">
        <f t="shared" si="8"/>
        <v>02531</v>
      </c>
      <c r="B160" s="16">
        <f t="shared" si="9"/>
        <v>113</v>
      </c>
      <c r="C160" s="16">
        <f t="shared" si="9"/>
        <v>0</v>
      </c>
      <c r="D160" s="16">
        <f t="shared" si="9"/>
        <v>253</v>
      </c>
      <c r="E160" s="16">
        <f t="shared" si="9"/>
        <v>1</v>
      </c>
      <c r="F160" s="16">
        <f t="shared" si="9"/>
        <v>929</v>
      </c>
      <c r="G160" s="16">
        <f t="shared" si="9"/>
        <v>0</v>
      </c>
      <c r="H160" s="16">
        <f t="shared" si="9"/>
        <v>0</v>
      </c>
      <c r="I160" s="16">
        <f t="shared" si="9"/>
        <v>0</v>
      </c>
      <c r="J160" s="16">
        <f t="shared" si="9"/>
        <v>0</v>
      </c>
      <c r="K160" s="16">
        <f t="shared" si="9"/>
        <v>1</v>
      </c>
    </row>
    <row r="161" spans="1:11">
      <c r="A161" s="15" t="str">
        <f t="shared" si="8"/>
        <v>02541</v>
      </c>
      <c r="B161" s="16">
        <f t="shared" si="9"/>
        <v>113</v>
      </c>
      <c r="C161" s="16">
        <f t="shared" si="9"/>
        <v>0</v>
      </c>
      <c r="D161" s="16">
        <f t="shared" si="9"/>
        <v>254</v>
      </c>
      <c r="E161" s="16">
        <f t="shared" si="9"/>
        <v>1</v>
      </c>
      <c r="F161" s="16">
        <f t="shared" si="9"/>
        <v>436</v>
      </c>
      <c r="G161" s="16">
        <f t="shared" si="9"/>
        <v>0</v>
      </c>
      <c r="H161" s="16">
        <f t="shared" si="9"/>
        <v>0</v>
      </c>
      <c r="I161" s="16">
        <f t="shared" si="9"/>
        <v>0</v>
      </c>
      <c r="J161" s="16">
        <f t="shared" si="9"/>
        <v>0</v>
      </c>
      <c r="K161" s="16">
        <f t="shared" si="9"/>
        <v>1</v>
      </c>
    </row>
    <row r="162" spans="1:11">
      <c r="A162" s="15" t="str">
        <f t="shared" si="8"/>
        <v>02561</v>
      </c>
      <c r="B162" s="16">
        <f t="shared" si="9"/>
        <v>113</v>
      </c>
      <c r="C162" s="16">
        <f t="shared" si="9"/>
        <v>0</v>
      </c>
      <c r="D162" s="16">
        <f t="shared" si="9"/>
        <v>256</v>
      </c>
      <c r="E162" s="16">
        <f t="shared" si="9"/>
        <v>1</v>
      </c>
      <c r="F162" s="16">
        <f t="shared" si="9"/>
        <v>929</v>
      </c>
      <c r="G162" s="16">
        <f t="shared" si="9"/>
        <v>0</v>
      </c>
      <c r="H162" s="16">
        <f t="shared" si="9"/>
        <v>0</v>
      </c>
      <c r="I162" s="16">
        <f t="shared" si="9"/>
        <v>0</v>
      </c>
      <c r="J162" s="16">
        <f t="shared" si="9"/>
        <v>0</v>
      </c>
      <c r="K162" s="16">
        <f t="shared" si="9"/>
        <v>1</v>
      </c>
    </row>
    <row r="163" spans="1:11">
      <c r="A163" s="15" t="str">
        <f t="shared" si="8"/>
        <v>02571</v>
      </c>
      <c r="B163" s="16">
        <f t="shared" si="9"/>
        <v>113</v>
      </c>
      <c r="C163" s="16">
        <f t="shared" si="9"/>
        <v>0</v>
      </c>
      <c r="D163" s="16">
        <f t="shared" si="9"/>
        <v>257</v>
      </c>
      <c r="E163" s="16">
        <f t="shared" si="9"/>
        <v>1</v>
      </c>
      <c r="F163" s="16">
        <f t="shared" si="9"/>
        <v>436</v>
      </c>
      <c r="G163" s="16">
        <f t="shared" si="9"/>
        <v>0</v>
      </c>
      <c r="H163" s="16">
        <f t="shared" si="9"/>
        <v>0</v>
      </c>
      <c r="I163" s="16">
        <f t="shared" si="9"/>
        <v>0</v>
      </c>
      <c r="J163" s="16">
        <f t="shared" si="9"/>
        <v>0</v>
      </c>
      <c r="K163" s="16">
        <f t="shared" si="9"/>
        <v>1</v>
      </c>
    </row>
    <row r="164" spans="1:11">
      <c r="A164" s="15" t="str">
        <f t="shared" si="8"/>
        <v>02591</v>
      </c>
      <c r="B164" s="16">
        <f t="shared" si="9"/>
        <v>113</v>
      </c>
      <c r="C164" s="16">
        <f t="shared" si="9"/>
        <v>0</v>
      </c>
      <c r="D164" s="16">
        <f t="shared" si="9"/>
        <v>259</v>
      </c>
      <c r="E164" s="16">
        <f t="shared" si="9"/>
        <v>1</v>
      </c>
      <c r="F164" s="16">
        <f t="shared" si="9"/>
        <v>929</v>
      </c>
      <c r="G164" s="16">
        <f t="shared" si="9"/>
        <v>0</v>
      </c>
      <c r="H164" s="16">
        <f t="shared" si="9"/>
        <v>0</v>
      </c>
      <c r="I164" s="16">
        <f t="shared" si="9"/>
        <v>0</v>
      </c>
      <c r="J164" s="16">
        <f t="shared" si="9"/>
        <v>0</v>
      </c>
      <c r="K164" s="16">
        <f t="shared" si="9"/>
        <v>1</v>
      </c>
    </row>
    <row r="165" spans="1:11">
      <c r="A165" s="15" t="str">
        <f t="shared" si="8"/>
        <v>02601</v>
      </c>
      <c r="B165" s="16">
        <f t="shared" si="9"/>
        <v>113</v>
      </c>
      <c r="C165" s="16">
        <f t="shared" si="9"/>
        <v>0</v>
      </c>
      <c r="D165" s="16">
        <f t="shared" si="9"/>
        <v>260</v>
      </c>
      <c r="E165" s="16">
        <f t="shared" si="9"/>
        <v>1</v>
      </c>
      <c r="F165" s="16">
        <f t="shared" si="9"/>
        <v>436</v>
      </c>
      <c r="G165" s="16">
        <f t="shared" si="9"/>
        <v>0</v>
      </c>
      <c r="H165" s="16">
        <f t="shared" si="9"/>
        <v>0</v>
      </c>
      <c r="I165" s="16">
        <f t="shared" si="9"/>
        <v>0</v>
      </c>
      <c r="J165" s="16">
        <f t="shared" si="9"/>
        <v>0</v>
      </c>
      <c r="K165" s="16">
        <f t="shared" si="9"/>
        <v>1</v>
      </c>
    </row>
    <row r="166" spans="1:11">
      <c r="A166" s="15" t="str">
        <f t="shared" si="8"/>
        <v>03201</v>
      </c>
      <c r="B166" s="16">
        <f t="shared" si="9"/>
        <v>113</v>
      </c>
      <c r="C166" s="16">
        <f t="shared" si="9"/>
        <v>0</v>
      </c>
      <c r="D166" s="16">
        <f t="shared" si="9"/>
        <v>320</v>
      </c>
      <c r="E166" s="16">
        <f t="shared" si="9"/>
        <v>1</v>
      </c>
      <c r="F166" s="16">
        <f t="shared" si="9"/>
        <v>182</v>
      </c>
      <c r="G166" s="16">
        <f t="shared" si="9"/>
        <v>0</v>
      </c>
      <c r="H166" s="16">
        <f t="shared" si="9"/>
        <v>0</v>
      </c>
      <c r="I166" s="16">
        <f t="shared" si="9"/>
        <v>0</v>
      </c>
      <c r="J166" s="16">
        <f t="shared" si="9"/>
        <v>0</v>
      </c>
      <c r="K166" s="16">
        <f t="shared" si="9"/>
        <v>1</v>
      </c>
    </row>
    <row r="167" spans="1:11">
      <c r="A167" s="15" t="str">
        <f t="shared" si="8"/>
        <v>03221</v>
      </c>
      <c r="B167" s="16">
        <f t="shared" si="9"/>
        <v>113</v>
      </c>
      <c r="C167" s="16">
        <f t="shared" si="9"/>
        <v>0</v>
      </c>
      <c r="D167" s="16">
        <f t="shared" si="9"/>
        <v>322</v>
      </c>
      <c r="E167" s="16">
        <f t="shared" si="9"/>
        <v>1</v>
      </c>
      <c r="F167" s="16">
        <f t="shared" si="9"/>
        <v>182</v>
      </c>
      <c r="G167" s="16">
        <f t="shared" si="9"/>
        <v>0</v>
      </c>
      <c r="H167" s="16">
        <f t="shared" si="9"/>
        <v>0</v>
      </c>
      <c r="I167" s="16">
        <f t="shared" si="9"/>
        <v>0</v>
      </c>
      <c r="J167" s="16">
        <f t="shared" si="9"/>
        <v>0</v>
      </c>
      <c r="K167" s="16">
        <f t="shared" si="9"/>
        <v>1</v>
      </c>
    </row>
    <row r="168" spans="1:11">
      <c r="A168" s="15" t="str">
        <f t="shared" si="8"/>
        <v>03241</v>
      </c>
      <c r="B168" s="16">
        <f t="shared" si="9"/>
        <v>113</v>
      </c>
      <c r="C168" s="16">
        <f t="shared" si="9"/>
        <v>0</v>
      </c>
      <c r="D168" s="16">
        <f t="shared" si="9"/>
        <v>324</v>
      </c>
      <c r="E168" s="16">
        <f t="shared" si="9"/>
        <v>1</v>
      </c>
      <c r="F168" s="16">
        <f t="shared" si="9"/>
        <v>654</v>
      </c>
      <c r="G168" s="16">
        <f t="shared" si="9"/>
        <v>0</v>
      </c>
      <c r="H168" s="16">
        <f t="shared" si="9"/>
        <v>0</v>
      </c>
      <c r="I168" s="16">
        <f t="shared" si="9"/>
        <v>0</v>
      </c>
      <c r="J168" s="16">
        <f t="shared" si="9"/>
        <v>0</v>
      </c>
      <c r="K168" s="16">
        <f t="shared" si="9"/>
        <v>1</v>
      </c>
    </row>
    <row r="169" spans="1:11">
      <c r="A169" s="15" t="str">
        <f t="shared" si="8"/>
        <v>03251</v>
      </c>
      <c r="B169" s="16">
        <f t="shared" si="9"/>
        <v>113</v>
      </c>
      <c r="C169" s="16">
        <f t="shared" si="9"/>
        <v>0</v>
      </c>
      <c r="D169" s="16">
        <f t="shared" si="9"/>
        <v>325</v>
      </c>
      <c r="E169" s="16">
        <f t="shared" si="9"/>
        <v>1</v>
      </c>
      <c r="F169" s="16">
        <f t="shared" si="9"/>
        <v>436</v>
      </c>
      <c r="G169" s="16">
        <f t="shared" si="9"/>
        <v>0</v>
      </c>
      <c r="H169" s="16">
        <f t="shared" si="9"/>
        <v>0</v>
      </c>
      <c r="I169" s="16">
        <f t="shared" si="9"/>
        <v>0</v>
      </c>
      <c r="J169" s="16">
        <f t="shared" si="9"/>
        <v>0</v>
      </c>
      <c r="K169" s="16">
        <f t="shared" si="9"/>
        <v>1</v>
      </c>
    </row>
    <row r="170" spans="1:11">
      <c r="A170" s="15" t="str">
        <f t="shared" si="8"/>
        <v>03261</v>
      </c>
      <c r="B170" s="16">
        <f t="shared" si="9"/>
        <v>113</v>
      </c>
      <c r="C170" s="16">
        <f t="shared" si="9"/>
        <v>0</v>
      </c>
      <c r="D170" s="16">
        <f t="shared" si="9"/>
        <v>326</v>
      </c>
      <c r="E170" s="16">
        <f t="shared" si="9"/>
        <v>1</v>
      </c>
      <c r="F170" s="16">
        <f t="shared" si="9"/>
        <v>182</v>
      </c>
      <c r="G170" s="16">
        <f t="shared" si="9"/>
        <v>0</v>
      </c>
      <c r="H170" s="16">
        <f t="shared" si="9"/>
        <v>0</v>
      </c>
      <c r="I170" s="16">
        <f t="shared" si="9"/>
        <v>0</v>
      </c>
      <c r="J170" s="16">
        <f t="shared" si="9"/>
        <v>0</v>
      </c>
      <c r="K170" s="16">
        <f t="shared" si="9"/>
        <v>1</v>
      </c>
    </row>
    <row r="171" spans="1:11" customFormat="1" ht="14"/>
    <row r="172" spans="1:11" customFormat="1" ht="14"/>
    <row r="173" spans="1:11" customFormat="1" ht="14"/>
    <row r="174" spans="1:11" customFormat="1" ht="14"/>
    <row r="175" spans="1:11" customFormat="1" ht="14"/>
    <row r="176" spans="1:11" customFormat="1" ht="14"/>
    <row r="177" customFormat="1" ht="14"/>
    <row r="178" customFormat="1" ht="14"/>
    <row r="179" customFormat="1" ht="14"/>
    <row r="180" customFormat="1" ht="14"/>
    <row r="181" customFormat="1" ht="14"/>
    <row r="182" customFormat="1" ht="14"/>
    <row r="183" customFormat="1" ht="14"/>
    <row r="184" customFormat="1" ht="14"/>
    <row r="185" customFormat="1" ht="14"/>
    <row r="186" customFormat="1" ht="14"/>
    <row r="187" customFormat="1" ht="14"/>
    <row r="188" customFormat="1" ht="14"/>
    <row r="189" customFormat="1" ht="14"/>
    <row r="190" customFormat="1" ht="14"/>
    <row r="191" customFormat="1" ht="14"/>
    <row r="192" customFormat="1" ht="14"/>
    <row r="193" customFormat="1" ht="14"/>
    <row r="194" customFormat="1" ht="14"/>
    <row r="195" customFormat="1" ht="14"/>
    <row r="196" customFormat="1" ht="14"/>
    <row r="197" customFormat="1" ht="14"/>
    <row r="198" customFormat="1" ht="14"/>
    <row r="199" customFormat="1" ht="14"/>
    <row r="200" customFormat="1" ht="14"/>
    <row r="201" customFormat="1" ht="14"/>
    <row r="202" customFormat="1" ht="14"/>
    <row r="203" customFormat="1" ht="14"/>
    <row r="204" customFormat="1" ht="14"/>
    <row r="205" customFormat="1" ht="14"/>
    <row r="206" customFormat="1" ht="14"/>
    <row r="207" customFormat="1" ht="14"/>
    <row r="208" customFormat="1" ht="14"/>
    <row r="209" customFormat="1" ht="14"/>
    <row r="210" customFormat="1" ht="14"/>
    <row r="211" customFormat="1" ht="14"/>
    <row r="212" customFormat="1" ht="14"/>
    <row r="213" customFormat="1" ht="14"/>
    <row r="214" customFormat="1" ht="14"/>
    <row r="215" customFormat="1" ht="14"/>
    <row r="216" customFormat="1" ht="14"/>
    <row r="217" customFormat="1" ht="14"/>
    <row r="218" customFormat="1" ht="14"/>
    <row r="219" customFormat="1" ht="14"/>
    <row r="220" customFormat="1" ht="14"/>
    <row r="221" customFormat="1" ht="14"/>
    <row r="222" customFormat="1" ht="14"/>
    <row r="223" customFormat="1" ht="14"/>
    <row r="224" customFormat="1" ht="14"/>
    <row r="225" customFormat="1" ht="14"/>
    <row r="226" customFormat="1" ht="14"/>
    <row r="227" customFormat="1" ht="14"/>
    <row r="228" customFormat="1" ht="14"/>
    <row r="229" customFormat="1" ht="14"/>
    <row r="230" customFormat="1" ht="14"/>
    <row r="231" customFormat="1" ht="14"/>
    <row r="232" customFormat="1" ht="14"/>
    <row r="233" customFormat="1" ht="14"/>
    <row r="234" customFormat="1" ht="14"/>
    <row r="235" customFormat="1" ht="14"/>
    <row r="236" customFormat="1" ht="14"/>
    <row r="237" customFormat="1" ht="14"/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gacha_unit_tables_102</vt:lpstr>
      <vt:lpstr>gacha_unit_tables_103</vt:lpstr>
      <vt:lpstr>gacha_unit_tables_104</vt:lpstr>
      <vt:lpstr>gacha_unit_tables_105</vt:lpstr>
      <vt:lpstr>gacha_unit_tables_106</vt:lpstr>
      <vt:lpstr>gacha_unit_tables_107</vt:lpstr>
      <vt:lpstr>gacha_unit_tables_108</vt:lpstr>
      <vt:lpstr>gacha_unit_tables_109</vt:lpstr>
      <vt:lpstr>gacha_unit_tables_110</vt:lpstr>
      <vt:lpstr>gacha_unit_tables_111</vt:lpstr>
      <vt:lpstr>gacha_unit_tables_112</vt:lpstr>
      <vt:lpstr>gacha_unit_tables_113</vt:lpstr>
      <vt:lpstr>gacha_unit_tables_102_tmp</vt:lpstr>
      <vt:lpstr>gacha_unit_tables_103_tmp</vt:lpstr>
      <vt:lpstr>gacha_unit_tables_104_tmp</vt:lpstr>
      <vt:lpstr>gacha_unit_tables_105_tmp</vt:lpstr>
      <vt:lpstr>gacha_unit_tables_106_tmp</vt:lpstr>
      <vt:lpstr>gacha_unit_tables_107.tmp</vt:lpstr>
      <vt:lpstr>gacha_unit_tables_108.tmp</vt:lpstr>
      <vt:lpstr>gacha_unit_tables_109.tmp</vt:lpstr>
      <vt:lpstr>gacha_unit_tables_110.tmp</vt:lpstr>
      <vt:lpstr>gacha_unit_tables_111.tmp</vt:lpstr>
      <vt:lpstr>gacha_unit_tables_112.tmp</vt:lpstr>
      <vt:lpstr>gacha_unit_tables_113.tmp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吉澤 曜祐</cp:lastModifiedBy>
  <dcterms:created xsi:type="dcterms:W3CDTF">2015-04-01T12:34:09Z</dcterms:created>
  <dcterms:modified xsi:type="dcterms:W3CDTF">2015-09-29T06:33:59Z</dcterms:modified>
</cp:coreProperties>
</file>