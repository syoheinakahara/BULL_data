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016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.Mori/GitHub/BULL_data/master_excel/"/>
    </mc:Choice>
  </mc:AlternateContent>
  <bookViews>
    <workbookView xWindow="360" yWindow="720" windowWidth="30920" windowHeight="14820" tabRatio="740" activeTab="7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s" sheetId="10" r:id="rId5"/>
    <sheet name="enemy_skill_sets" sheetId="9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  <externalReference r:id="rId18"/>
  </externalReferences>
  <definedNames>
    <definedName name="_xlnm._FilterDatabase" localSheetId="3" hidden="1">enemy_habitat_S!$B$1:$AA$2</definedName>
    <definedName name="_xlnm._FilterDatabase" localSheetId="2" hidden="1">enemy_habitats!$B$1:$AJ$1</definedName>
    <definedName name="_xlnm._FilterDatabase" localSheetId="5" hidden="1">enemy_skill_sets!$A$1:$R$1</definedName>
    <definedName name="_xlnm._FilterDatabase" localSheetId="6" hidden="1">enemy_skill_triggers!$A$1:$G$1</definedName>
    <definedName name="_xlnm._FilterDatabase" localSheetId="4" hidden="1">enemy_skills!$A$1:$AB$1</definedName>
    <definedName name="_xlnm._FilterDatabase" localSheetId="10" hidden="1">stage_bonuses!$B$1:$I$1</definedName>
    <definedName name="_xlnm._FilterDatabase" localSheetId="8" hidden="1">stage_hints_complete!$B$1:$L$2</definedName>
    <definedName name="_xlnm._FilterDatabase" localSheetId="9" hidden="1">stage_hints_failure!$B$1:$M$2</definedName>
    <definedName name="Excel_BuiltIn__FilterDatabase_6_1" localSheetId="5">[1]unit_skills!#REF!</definedName>
    <definedName name="Excel_BuiltIn__FilterDatabase_6_1" localSheetId="6">[1]unit_skills!#REF!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6" i="10" l="1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Q18" i="1"/>
  <c r="Q19" i="1"/>
  <c r="Y4" i="7"/>
  <c r="W4" i="7"/>
  <c r="U4" i="7"/>
  <c r="R4" i="7"/>
  <c r="Q4" i="7"/>
  <c r="P4" i="7"/>
  <c r="O4" i="7"/>
  <c r="N4" i="7"/>
  <c r="H4" i="7"/>
  <c r="G10" i="2"/>
  <c r="A10" i="2"/>
  <c r="G11" i="2"/>
  <c r="A11" i="2"/>
  <c r="G12" i="2"/>
  <c r="A12" i="2"/>
  <c r="G13" i="2"/>
  <c r="A13" i="2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J4" i="7"/>
  <c r="I4" i="7"/>
  <c r="D4" i="7"/>
  <c r="F4" i="7"/>
  <c r="E4" i="7"/>
  <c r="A4" i="7"/>
  <c r="Y3" i="7"/>
  <c r="W3" i="7"/>
  <c r="U3" i="7"/>
  <c r="R3" i="7"/>
  <c r="Q3" i="7"/>
  <c r="P3" i="7"/>
  <c r="O3" i="7"/>
  <c r="N3" i="7"/>
  <c r="H3" i="7"/>
  <c r="J3" i="7"/>
  <c r="I3" i="7"/>
  <c r="D3" i="7"/>
  <c r="F3" i="7"/>
  <c r="E3" i="7"/>
  <c r="A3" i="7"/>
  <c r="AD22" i="1"/>
  <c r="AF22" i="1"/>
  <c r="AI22" i="1"/>
  <c r="AG22" i="1"/>
  <c r="AE22" i="1"/>
  <c r="E7" i="9"/>
  <c r="X22" i="1"/>
  <c r="V22" i="1"/>
  <c r="T22" i="1"/>
  <c r="Q22" i="1"/>
  <c r="P22" i="1"/>
  <c r="O22" i="1"/>
  <c r="N22" i="1"/>
  <c r="M22" i="1"/>
  <c r="H22" i="1"/>
  <c r="J22" i="1"/>
  <c r="I22" i="1"/>
  <c r="D22" i="1"/>
  <c r="F22" i="1"/>
  <c r="E22" i="1"/>
  <c r="A22" i="1"/>
  <c r="AD21" i="1"/>
  <c r="AF21" i="1"/>
  <c r="AI21" i="1"/>
  <c r="AG21" i="1"/>
  <c r="AE21" i="1"/>
  <c r="E5" i="9"/>
  <c r="X21" i="1"/>
  <c r="V21" i="1"/>
  <c r="T21" i="1"/>
  <c r="Q21" i="1"/>
  <c r="P21" i="1"/>
  <c r="O21" i="1"/>
  <c r="N21" i="1"/>
  <c r="M21" i="1"/>
  <c r="H21" i="1"/>
  <c r="J21" i="1"/>
  <c r="I21" i="1"/>
  <c r="D21" i="1"/>
  <c r="F21" i="1"/>
  <c r="E21" i="1"/>
  <c r="A21" i="1"/>
  <c r="AD20" i="1"/>
  <c r="AF20" i="1"/>
  <c r="AI20" i="1"/>
  <c r="AG20" i="1"/>
  <c r="AE20" i="1"/>
  <c r="E4" i="9"/>
  <c r="X20" i="1"/>
  <c r="V20" i="1"/>
  <c r="T20" i="1"/>
  <c r="Q20" i="1"/>
  <c r="P20" i="1"/>
  <c r="O20" i="1"/>
  <c r="N20" i="1"/>
  <c r="M20" i="1"/>
  <c r="H20" i="1"/>
  <c r="J20" i="1"/>
  <c r="I20" i="1"/>
  <c r="D20" i="1"/>
  <c r="F20" i="1"/>
  <c r="E20" i="1"/>
  <c r="A20" i="1"/>
  <c r="AD19" i="1"/>
  <c r="AF19" i="1"/>
  <c r="AI19" i="1"/>
  <c r="AG19" i="1"/>
  <c r="AE19" i="1"/>
  <c r="E3" i="9"/>
  <c r="X19" i="1"/>
  <c r="V19" i="1"/>
  <c r="T19" i="1"/>
  <c r="P19" i="1"/>
  <c r="O19" i="1"/>
  <c r="N19" i="1"/>
  <c r="M19" i="1"/>
  <c r="H19" i="1"/>
  <c r="J19" i="1"/>
  <c r="I19" i="1"/>
  <c r="D19" i="1"/>
  <c r="F19" i="1"/>
  <c r="E19" i="1"/>
  <c r="A19" i="1"/>
  <c r="AD18" i="1"/>
  <c r="AF18" i="1"/>
  <c r="AI18" i="1"/>
  <c r="AG18" i="1"/>
  <c r="AE18" i="1"/>
  <c r="E2" i="9"/>
  <c r="X18" i="1"/>
  <c r="V18" i="1"/>
  <c r="T18" i="1"/>
  <c r="P18" i="1"/>
  <c r="O18" i="1"/>
  <c r="N18" i="1"/>
  <c r="M18" i="1"/>
  <c r="H18" i="1"/>
  <c r="J18" i="1"/>
  <c r="I18" i="1"/>
  <c r="D18" i="1"/>
  <c r="F18" i="1"/>
  <c r="E18" i="1"/>
  <c r="A18" i="1"/>
  <c r="AD17" i="1"/>
  <c r="AF17" i="1"/>
  <c r="AI17" i="1"/>
  <c r="AG17" i="1"/>
  <c r="AE17" i="1"/>
  <c r="X17" i="1"/>
  <c r="V17" i="1"/>
  <c r="T17" i="1"/>
  <c r="Q17" i="1"/>
  <c r="P17" i="1"/>
  <c r="O17" i="1"/>
  <c r="N17" i="1"/>
  <c r="M17" i="1"/>
  <c r="H17" i="1"/>
  <c r="J17" i="1"/>
  <c r="I17" i="1"/>
  <c r="D17" i="1"/>
  <c r="F17" i="1"/>
  <c r="E17" i="1"/>
  <c r="A17" i="1"/>
  <c r="AD16" i="1"/>
  <c r="AF16" i="1"/>
  <c r="AI16" i="1"/>
  <c r="AG16" i="1"/>
  <c r="AE16" i="1"/>
  <c r="X16" i="1"/>
  <c r="V16" i="1"/>
  <c r="T16" i="1"/>
  <c r="Q16" i="1"/>
  <c r="P16" i="1"/>
  <c r="O16" i="1"/>
  <c r="N16" i="1"/>
  <c r="M16" i="1"/>
  <c r="H16" i="1"/>
  <c r="J16" i="1"/>
  <c r="I16" i="1"/>
  <c r="D16" i="1"/>
  <c r="F16" i="1"/>
  <c r="E16" i="1"/>
  <c r="A16" i="1"/>
  <c r="H13" i="2"/>
  <c r="E13" i="2"/>
  <c r="D13" i="2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B13" i="2"/>
  <c r="H12" i="2"/>
  <c r="E12" i="2"/>
  <c r="D12" i="2"/>
  <c r="B12" i="2"/>
  <c r="H11" i="2"/>
  <c r="E11" i="2"/>
  <c r="D11" i="2"/>
  <c r="B11" i="2"/>
  <c r="H10" i="2"/>
  <c r="E10" i="2"/>
  <c r="D10" i="2"/>
  <c r="B10" i="2"/>
  <c r="AD15" i="1"/>
  <c r="AF15" i="1"/>
  <c r="AI15" i="1"/>
  <c r="AG15" i="1"/>
  <c r="AE15" i="1"/>
  <c r="X15" i="1"/>
  <c r="V15" i="1"/>
  <c r="T15" i="1"/>
  <c r="Q15" i="1"/>
  <c r="P15" i="1"/>
  <c r="O15" i="1"/>
  <c r="N15" i="1"/>
  <c r="M15" i="1"/>
  <c r="J15" i="1"/>
  <c r="I15" i="1"/>
  <c r="D15" i="1"/>
  <c r="F15" i="1"/>
  <c r="E15" i="1"/>
  <c r="A15" i="1"/>
  <c r="AD14" i="1"/>
  <c r="AF14" i="1"/>
  <c r="AI14" i="1"/>
  <c r="AG14" i="1"/>
  <c r="AE14" i="1"/>
  <c r="X14" i="1"/>
  <c r="V14" i="1"/>
  <c r="T14" i="1"/>
  <c r="Q14" i="1"/>
  <c r="P14" i="1"/>
  <c r="O14" i="1"/>
  <c r="N14" i="1"/>
  <c r="M14" i="1"/>
  <c r="J14" i="1"/>
  <c r="I14" i="1"/>
  <c r="D14" i="1"/>
  <c r="F14" i="1"/>
  <c r="E14" i="1"/>
  <c r="A14" i="1"/>
  <c r="AD13" i="1"/>
  <c r="AF13" i="1"/>
  <c r="AI13" i="1"/>
  <c r="AG13" i="1"/>
  <c r="AE13" i="1"/>
  <c r="X13" i="1"/>
  <c r="V13" i="1"/>
  <c r="T13" i="1"/>
  <c r="Q13" i="1"/>
  <c r="P13" i="1"/>
  <c r="O13" i="1"/>
  <c r="N13" i="1"/>
  <c r="M13" i="1"/>
  <c r="J13" i="1"/>
  <c r="I13" i="1"/>
  <c r="D13" i="1"/>
  <c r="F13" i="1"/>
  <c r="E13" i="1"/>
  <c r="A13" i="1"/>
  <c r="AD12" i="1"/>
  <c r="AF12" i="1"/>
  <c r="AI12" i="1"/>
  <c r="AG12" i="1"/>
  <c r="AE12" i="1"/>
  <c r="X12" i="1"/>
  <c r="V12" i="1"/>
  <c r="T12" i="1"/>
  <c r="Q12" i="1"/>
  <c r="P12" i="1"/>
  <c r="O12" i="1"/>
  <c r="N12" i="1"/>
  <c r="M12" i="1"/>
  <c r="J12" i="1"/>
  <c r="I12" i="1"/>
  <c r="D12" i="1"/>
  <c r="F12" i="1"/>
  <c r="E12" i="1"/>
  <c r="A12" i="1"/>
  <c r="AD11" i="1"/>
  <c r="AF11" i="1"/>
  <c r="AI11" i="1"/>
  <c r="AG11" i="1"/>
  <c r="AE11" i="1"/>
  <c r="X11" i="1"/>
  <c r="V11" i="1"/>
  <c r="T11" i="1"/>
  <c r="Q11" i="1"/>
  <c r="P11" i="1"/>
  <c r="O11" i="1"/>
  <c r="N11" i="1"/>
  <c r="M11" i="1"/>
  <c r="J11" i="1"/>
  <c r="I11" i="1"/>
  <c r="D11" i="1"/>
  <c r="F11" i="1"/>
  <c r="E11" i="1"/>
  <c r="A11" i="1"/>
  <c r="AD10" i="1"/>
  <c r="AF10" i="1"/>
  <c r="AI10" i="1"/>
  <c r="AG10" i="1"/>
  <c r="AE10" i="1"/>
  <c r="X10" i="1"/>
  <c r="V10" i="1"/>
  <c r="T10" i="1"/>
  <c r="Q10" i="1"/>
  <c r="P10" i="1"/>
  <c r="O10" i="1"/>
  <c r="N10" i="1"/>
  <c r="M10" i="1"/>
  <c r="J10" i="1"/>
  <c r="I10" i="1"/>
  <c r="D10" i="1"/>
  <c r="F10" i="1"/>
  <c r="E10" i="1"/>
  <c r="A10" i="1"/>
  <c r="AD9" i="1"/>
  <c r="AF9" i="1"/>
  <c r="AI9" i="1"/>
  <c r="AG9" i="1"/>
  <c r="AE9" i="1"/>
  <c r="X9" i="1"/>
  <c r="V9" i="1"/>
  <c r="T9" i="1"/>
  <c r="Q9" i="1"/>
  <c r="P9" i="1"/>
  <c r="O9" i="1"/>
  <c r="N9" i="1"/>
  <c r="M9" i="1"/>
  <c r="J9" i="1"/>
  <c r="I9" i="1"/>
  <c r="D9" i="1"/>
  <c r="F9" i="1"/>
  <c r="E9" i="1"/>
  <c r="A9" i="1"/>
  <c r="H9" i="2"/>
  <c r="E9" i="2"/>
  <c r="D9" i="2"/>
  <c r="B9" i="2"/>
  <c r="H8" i="2"/>
  <c r="E8" i="2"/>
  <c r="D8" i="2"/>
  <c r="B8" i="2"/>
  <c r="H7" i="2"/>
  <c r="E7" i="2"/>
  <c r="D7" i="2"/>
  <c r="B7" i="2"/>
  <c r="H6" i="2"/>
  <c r="E6" i="2"/>
  <c r="D6" i="2"/>
  <c r="B6" i="2"/>
  <c r="C32" i="18"/>
  <c r="D32" i="18"/>
  <c r="C31" i="18"/>
  <c r="D31" i="18"/>
  <c r="C30" i="18"/>
  <c r="D30" i="18"/>
  <c r="C29" i="18"/>
  <c r="D29" i="18"/>
  <c r="C28" i="18"/>
  <c r="D28" i="18"/>
  <c r="C27" i="18"/>
  <c r="D27" i="18"/>
  <c r="C26" i="18"/>
  <c r="D26" i="18"/>
  <c r="C25" i="18"/>
  <c r="D25" i="18"/>
  <c r="C24" i="18"/>
  <c r="D24" i="18"/>
  <c r="C23" i="18"/>
  <c r="D23" i="18"/>
  <c r="C22" i="18"/>
  <c r="D22" i="18"/>
  <c r="C21" i="18"/>
  <c r="D21" i="18"/>
  <c r="C20" i="18"/>
  <c r="D20" i="18"/>
  <c r="C19" i="18"/>
  <c r="D19" i="18"/>
  <c r="C18" i="18"/>
  <c r="D18" i="18"/>
  <c r="C17" i="18"/>
  <c r="D17" i="18"/>
  <c r="C16" i="18"/>
  <c r="D16" i="18"/>
  <c r="C15" i="18"/>
  <c r="D15" i="18"/>
  <c r="C14" i="18"/>
  <c r="D14" i="18"/>
  <c r="C13" i="18"/>
  <c r="D13" i="18"/>
  <c r="B16" i="21"/>
  <c r="I16" i="21"/>
  <c r="J16" i="21"/>
  <c r="G16" i="21"/>
  <c r="F16" i="21"/>
  <c r="D16" i="21"/>
  <c r="C16" i="21"/>
  <c r="B15" i="21"/>
  <c r="I15" i="21"/>
  <c r="J15" i="21"/>
  <c r="G15" i="21"/>
  <c r="F15" i="21"/>
  <c r="D15" i="21"/>
  <c r="C15" i="21"/>
  <c r="B14" i="21"/>
  <c r="I14" i="21"/>
  <c r="J14" i="21"/>
  <c r="G14" i="21"/>
  <c r="F14" i="21"/>
  <c r="D14" i="21"/>
  <c r="C14" i="21"/>
  <c r="B13" i="21"/>
  <c r="I13" i="21"/>
  <c r="J13" i="21"/>
  <c r="G13" i="21"/>
  <c r="F13" i="21"/>
  <c r="D13" i="21"/>
  <c r="C13" i="21"/>
  <c r="B12" i="21"/>
  <c r="I12" i="21"/>
  <c r="J12" i="21"/>
  <c r="G12" i="21"/>
  <c r="F12" i="21"/>
  <c r="D12" i="21"/>
  <c r="C12" i="21"/>
  <c r="B11" i="21"/>
  <c r="I11" i="21"/>
  <c r="J11" i="21"/>
  <c r="G11" i="21"/>
  <c r="F11" i="21"/>
  <c r="D11" i="21"/>
  <c r="C11" i="21"/>
  <c r="B10" i="21"/>
  <c r="I10" i="21"/>
  <c r="J10" i="21"/>
  <c r="G10" i="21"/>
  <c r="F10" i="21"/>
  <c r="D10" i="21"/>
  <c r="C10" i="21"/>
  <c r="B9" i="21"/>
  <c r="I9" i="21"/>
  <c r="J9" i="21"/>
  <c r="G9" i="21"/>
  <c r="F9" i="21"/>
  <c r="D9" i="21"/>
  <c r="C9" i="21"/>
  <c r="B8" i="21"/>
  <c r="I8" i="21"/>
  <c r="J8" i="21"/>
  <c r="G8" i="21"/>
  <c r="F8" i="21"/>
  <c r="D8" i="21"/>
  <c r="C8" i="21"/>
  <c r="B7" i="21"/>
  <c r="I7" i="21"/>
  <c r="J7" i="21"/>
  <c r="G7" i="21"/>
  <c r="F7" i="21"/>
  <c r="D7" i="21"/>
  <c r="C7" i="21"/>
  <c r="B6" i="21"/>
  <c r="I6" i="21"/>
  <c r="J6" i="21"/>
  <c r="G6" i="21"/>
  <c r="F6" i="21"/>
  <c r="D6" i="21"/>
  <c r="C6" i="21"/>
  <c r="B5" i="21"/>
  <c r="I5" i="21"/>
  <c r="J5" i="21"/>
  <c r="G5" i="21"/>
  <c r="F5" i="21"/>
  <c r="D5" i="21"/>
  <c r="C5" i="21"/>
  <c r="B4" i="21"/>
  <c r="I4" i="21"/>
  <c r="J4" i="21"/>
  <c r="G4" i="21"/>
  <c r="F4" i="21"/>
  <c r="D4" i="21"/>
  <c r="C4" i="21"/>
  <c r="B3" i="21"/>
  <c r="I3" i="21"/>
  <c r="J3" i="21"/>
  <c r="G3" i="21"/>
  <c r="F3" i="21"/>
  <c r="D3" i="21"/>
  <c r="C3" i="21"/>
  <c r="C12" i="18"/>
  <c r="D12" i="18"/>
  <c r="C11" i="18"/>
  <c r="D11" i="18"/>
  <c r="C10" i="18"/>
  <c r="D10" i="18"/>
  <c r="C9" i="18"/>
  <c r="D9" i="18"/>
  <c r="C8" i="18"/>
  <c r="D8" i="18"/>
  <c r="C7" i="18"/>
  <c r="D7" i="18"/>
  <c r="C6" i="18"/>
  <c r="D6" i="18"/>
  <c r="C5" i="18"/>
  <c r="D5" i="18"/>
  <c r="C3" i="18"/>
  <c r="D3" i="18"/>
  <c r="C4" i="18"/>
  <c r="D4" i="18"/>
  <c r="G15" i="9"/>
  <c r="H15" i="9"/>
  <c r="I15" i="9"/>
  <c r="J15" i="9"/>
  <c r="K15" i="9"/>
  <c r="L15" i="9"/>
  <c r="M15" i="9"/>
  <c r="N15" i="9"/>
  <c r="J16" i="11"/>
  <c r="O15" i="9"/>
  <c r="D15" i="9"/>
  <c r="E15" i="9"/>
  <c r="A15" i="9"/>
  <c r="J30" i="11"/>
  <c r="J29" i="11"/>
  <c r="O29" i="9"/>
  <c r="N29" i="9"/>
  <c r="M29" i="9"/>
  <c r="L29" i="9"/>
  <c r="K29" i="9"/>
  <c r="J29" i="9"/>
  <c r="I29" i="9"/>
  <c r="H29" i="9"/>
  <c r="G29" i="9"/>
  <c r="E29" i="9"/>
  <c r="D29" i="9"/>
  <c r="A29" i="9"/>
  <c r="O28" i="9"/>
  <c r="N28" i="9"/>
  <c r="M28" i="9"/>
  <c r="L28" i="9"/>
  <c r="K28" i="9"/>
  <c r="J28" i="9"/>
  <c r="I28" i="9"/>
  <c r="H28" i="9"/>
  <c r="G28" i="9"/>
  <c r="E28" i="9"/>
  <c r="D28" i="9"/>
  <c r="A28" i="9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J28" i="11"/>
  <c r="O27" i="9"/>
  <c r="N27" i="9"/>
  <c r="M27" i="9"/>
  <c r="L27" i="9"/>
  <c r="K27" i="9"/>
  <c r="J27" i="9"/>
  <c r="I27" i="9"/>
  <c r="H27" i="9"/>
  <c r="G27" i="9"/>
  <c r="E27" i="9"/>
  <c r="D27" i="9"/>
  <c r="A27" i="9"/>
  <c r="J27" i="11"/>
  <c r="O26" i="9"/>
  <c r="N26" i="9"/>
  <c r="M26" i="9"/>
  <c r="L26" i="9"/>
  <c r="K26" i="9"/>
  <c r="J26" i="9"/>
  <c r="I26" i="9"/>
  <c r="H26" i="9"/>
  <c r="G26" i="9"/>
  <c r="E26" i="9"/>
  <c r="D26" i="9"/>
  <c r="A26" i="9"/>
  <c r="J26" i="11"/>
  <c r="O25" i="9"/>
  <c r="N25" i="9"/>
  <c r="M25" i="9"/>
  <c r="L25" i="9"/>
  <c r="K25" i="9"/>
  <c r="J25" i="9"/>
  <c r="I25" i="9"/>
  <c r="H25" i="9"/>
  <c r="G25" i="9"/>
  <c r="E25" i="9"/>
  <c r="D25" i="9"/>
  <c r="A25" i="9"/>
  <c r="J25" i="11"/>
  <c r="O24" i="9"/>
  <c r="N24" i="9"/>
  <c r="M24" i="9"/>
  <c r="L24" i="9"/>
  <c r="K24" i="9"/>
  <c r="J24" i="9"/>
  <c r="I24" i="9"/>
  <c r="H24" i="9"/>
  <c r="G24" i="9"/>
  <c r="E24" i="9"/>
  <c r="D24" i="9"/>
  <c r="A24" i="9"/>
  <c r="J24" i="11"/>
  <c r="O23" i="9"/>
  <c r="N23" i="9"/>
  <c r="M23" i="9"/>
  <c r="L23" i="9"/>
  <c r="K23" i="9"/>
  <c r="J23" i="9"/>
  <c r="I23" i="9"/>
  <c r="H23" i="9"/>
  <c r="G23" i="9"/>
  <c r="E23" i="9"/>
  <c r="D23" i="9"/>
  <c r="A23" i="9"/>
  <c r="J23" i="11"/>
  <c r="O22" i="9"/>
  <c r="N22" i="9"/>
  <c r="M22" i="9"/>
  <c r="L22" i="9"/>
  <c r="K22" i="9"/>
  <c r="J22" i="9"/>
  <c r="I22" i="9"/>
  <c r="H22" i="9"/>
  <c r="G22" i="9"/>
  <c r="E22" i="9"/>
  <c r="D22" i="9"/>
  <c r="A22" i="9"/>
  <c r="J22" i="11"/>
  <c r="O21" i="9"/>
  <c r="N21" i="9"/>
  <c r="M21" i="9"/>
  <c r="L21" i="9"/>
  <c r="K21" i="9"/>
  <c r="J21" i="9"/>
  <c r="I21" i="9"/>
  <c r="H21" i="9"/>
  <c r="G21" i="9"/>
  <c r="E21" i="9"/>
  <c r="D21" i="9"/>
  <c r="A21" i="9"/>
  <c r="J21" i="11"/>
  <c r="O20" i="9"/>
  <c r="N20" i="9"/>
  <c r="M20" i="9"/>
  <c r="L20" i="9"/>
  <c r="K20" i="9"/>
  <c r="J20" i="9"/>
  <c r="I20" i="9"/>
  <c r="H20" i="9"/>
  <c r="G20" i="9"/>
  <c r="E20" i="9"/>
  <c r="D20" i="9"/>
  <c r="A20" i="9"/>
  <c r="J20" i="11"/>
  <c r="O19" i="9"/>
  <c r="N19" i="9"/>
  <c r="M19" i="9"/>
  <c r="L19" i="9"/>
  <c r="K19" i="9"/>
  <c r="J19" i="9"/>
  <c r="I19" i="9"/>
  <c r="H19" i="9"/>
  <c r="G19" i="9"/>
  <c r="E19" i="9"/>
  <c r="D19" i="9"/>
  <c r="A19" i="9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J19" i="11"/>
  <c r="J18" i="11"/>
  <c r="J17" i="11"/>
  <c r="J15" i="11"/>
  <c r="J14" i="11"/>
  <c r="J13" i="11"/>
  <c r="J12" i="11"/>
  <c r="D11" i="9"/>
  <c r="O18" i="9"/>
  <c r="N18" i="9"/>
  <c r="M18" i="9"/>
  <c r="L18" i="9"/>
  <c r="K18" i="9"/>
  <c r="J18" i="9"/>
  <c r="I18" i="9"/>
  <c r="H18" i="9"/>
  <c r="G18" i="9"/>
  <c r="E18" i="9"/>
  <c r="D18" i="9"/>
  <c r="A18" i="9"/>
  <c r="O17" i="9"/>
  <c r="N17" i="9"/>
  <c r="M17" i="9"/>
  <c r="L17" i="9"/>
  <c r="K17" i="9"/>
  <c r="J17" i="9"/>
  <c r="I17" i="9"/>
  <c r="H17" i="9"/>
  <c r="G17" i="9"/>
  <c r="E17" i="9"/>
  <c r="D17" i="9"/>
  <c r="A17" i="9"/>
  <c r="O16" i="9"/>
  <c r="N16" i="9"/>
  <c r="M16" i="9"/>
  <c r="L16" i="9"/>
  <c r="K16" i="9"/>
  <c r="J16" i="9"/>
  <c r="I16" i="9"/>
  <c r="H16" i="9"/>
  <c r="G16" i="9"/>
  <c r="E16" i="9"/>
  <c r="D16" i="9"/>
  <c r="A16" i="9"/>
  <c r="O14" i="9"/>
  <c r="N14" i="9"/>
  <c r="M14" i="9"/>
  <c r="L14" i="9"/>
  <c r="K14" i="9"/>
  <c r="J14" i="9"/>
  <c r="I14" i="9"/>
  <c r="H14" i="9"/>
  <c r="G14" i="9"/>
  <c r="E14" i="9"/>
  <c r="D14" i="9"/>
  <c r="A14" i="9"/>
  <c r="O13" i="9"/>
  <c r="N13" i="9"/>
  <c r="M13" i="9"/>
  <c r="L13" i="9"/>
  <c r="K13" i="9"/>
  <c r="J13" i="9"/>
  <c r="I13" i="9"/>
  <c r="H13" i="9"/>
  <c r="G13" i="9"/>
  <c r="E13" i="9"/>
  <c r="D13" i="9"/>
  <c r="A13" i="9"/>
  <c r="O12" i="9"/>
  <c r="N12" i="9"/>
  <c r="M12" i="9"/>
  <c r="L12" i="9"/>
  <c r="K12" i="9"/>
  <c r="J12" i="9"/>
  <c r="I12" i="9"/>
  <c r="H12" i="9"/>
  <c r="G12" i="9"/>
  <c r="E12" i="9"/>
  <c r="D12" i="9"/>
  <c r="A12" i="9"/>
  <c r="O11" i="9"/>
  <c r="N11" i="9"/>
  <c r="M11" i="9"/>
  <c r="L11" i="9"/>
  <c r="K11" i="9"/>
  <c r="J11" i="9"/>
  <c r="I11" i="9"/>
  <c r="H11" i="9"/>
  <c r="G11" i="9"/>
  <c r="E11" i="9"/>
  <c r="A11" i="9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J11" i="11"/>
  <c r="J10" i="11"/>
  <c r="J9" i="11"/>
  <c r="O10" i="9"/>
  <c r="N10" i="9"/>
  <c r="M10" i="9"/>
  <c r="L10" i="9"/>
  <c r="K10" i="9"/>
  <c r="J10" i="9"/>
  <c r="I10" i="9"/>
  <c r="H10" i="9"/>
  <c r="G10" i="9"/>
  <c r="E10" i="9"/>
  <c r="D10" i="9"/>
  <c r="A10" i="9"/>
  <c r="O9" i="9"/>
  <c r="N9" i="9"/>
  <c r="M9" i="9"/>
  <c r="L9" i="9"/>
  <c r="K9" i="9"/>
  <c r="J9" i="9"/>
  <c r="I9" i="9"/>
  <c r="H9" i="9"/>
  <c r="G9" i="9"/>
  <c r="E9" i="9"/>
  <c r="D9" i="9"/>
  <c r="A9" i="9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J8" i="11"/>
  <c r="J7" i="11"/>
  <c r="J6" i="11"/>
  <c r="J5" i="11"/>
  <c r="J4" i="11"/>
  <c r="O8" i="9"/>
  <c r="N8" i="9"/>
  <c r="M8" i="9"/>
  <c r="L8" i="9"/>
  <c r="K8" i="9"/>
  <c r="J8" i="9"/>
  <c r="I8" i="9"/>
  <c r="H8" i="9"/>
  <c r="G8" i="9"/>
  <c r="E8" i="9"/>
  <c r="D8" i="9"/>
  <c r="A8" i="9"/>
  <c r="O7" i="9"/>
  <c r="N7" i="9"/>
  <c r="M7" i="9"/>
  <c r="L7" i="9"/>
  <c r="K7" i="9"/>
  <c r="J7" i="9"/>
  <c r="I7" i="9"/>
  <c r="H7" i="9"/>
  <c r="G7" i="9"/>
  <c r="D7" i="9"/>
  <c r="A7" i="9"/>
  <c r="O6" i="9"/>
  <c r="N6" i="9"/>
  <c r="M6" i="9"/>
  <c r="L6" i="9"/>
  <c r="K6" i="9"/>
  <c r="J6" i="9"/>
  <c r="I6" i="9"/>
  <c r="H6" i="9"/>
  <c r="G6" i="9"/>
  <c r="E6" i="9"/>
  <c r="D6" i="9"/>
  <c r="A6" i="9"/>
  <c r="O5" i="9"/>
  <c r="N5" i="9"/>
  <c r="M5" i="9"/>
  <c r="L5" i="9"/>
  <c r="K5" i="9"/>
  <c r="J5" i="9"/>
  <c r="I5" i="9"/>
  <c r="H5" i="9"/>
  <c r="G5" i="9"/>
  <c r="D5" i="9"/>
  <c r="A5" i="9"/>
  <c r="O4" i="9"/>
  <c r="N4" i="9"/>
  <c r="M4" i="9"/>
  <c r="L4" i="9"/>
  <c r="K4" i="9"/>
  <c r="J4" i="9"/>
  <c r="I4" i="9"/>
  <c r="H4" i="9"/>
  <c r="G4" i="9"/>
  <c r="D4" i="9"/>
  <c r="A4" i="9"/>
  <c r="O3" i="9"/>
  <c r="N3" i="9"/>
  <c r="M3" i="9"/>
  <c r="L3" i="9"/>
  <c r="K3" i="9"/>
  <c r="J3" i="9"/>
  <c r="I3" i="9"/>
  <c r="H3" i="9"/>
  <c r="G3" i="9"/>
  <c r="D3" i="9"/>
  <c r="A3" i="9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AD2" i="1"/>
  <c r="AF2" i="1"/>
  <c r="AI2" i="1"/>
  <c r="AD8" i="1"/>
  <c r="AF8" i="1"/>
  <c r="AI8" i="1"/>
  <c r="AD3" i="1"/>
  <c r="AF3" i="1"/>
  <c r="AI3" i="1"/>
  <c r="AD4" i="1"/>
  <c r="AF4" i="1"/>
  <c r="AI4" i="1"/>
  <c r="AD5" i="1"/>
  <c r="AF5" i="1"/>
  <c r="AI5" i="1"/>
  <c r="AD6" i="1"/>
  <c r="AF6" i="1"/>
  <c r="AI6" i="1"/>
  <c r="AD7" i="1"/>
  <c r="AF7" i="1"/>
  <c r="AI7" i="1"/>
  <c r="AG8" i="1"/>
  <c r="AE8" i="1"/>
  <c r="X8" i="1"/>
  <c r="V8" i="1"/>
  <c r="T8" i="1"/>
  <c r="Q8" i="1"/>
  <c r="P8" i="1"/>
  <c r="O8" i="1"/>
  <c r="N8" i="1"/>
  <c r="M8" i="1"/>
  <c r="J8" i="1"/>
  <c r="I8" i="1"/>
  <c r="D8" i="1"/>
  <c r="F8" i="1"/>
  <c r="E8" i="1"/>
  <c r="A8" i="1"/>
  <c r="AG7" i="1"/>
  <c r="AE7" i="1"/>
  <c r="X7" i="1"/>
  <c r="V7" i="1"/>
  <c r="T7" i="1"/>
  <c r="Q7" i="1"/>
  <c r="P7" i="1"/>
  <c r="O7" i="1"/>
  <c r="N7" i="1"/>
  <c r="M7" i="1"/>
  <c r="J7" i="1"/>
  <c r="I7" i="1"/>
  <c r="D7" i="1"/>
  <c r="F7" i="1"/>
  <c r="E7" i="1"/>
  <c r="A7" i="1"/>
  <c r="AG6" i="1"/>
  <c r="AE6" i="1"/>
  <c r="X6" i="1"/>
  <c r="V6" i="1"/>
  <c r="T6" i="1"/>
  <c r="Q6" i="1"/>
  <c r="P6" i="1"/>
  <c r="O6" i="1"/>
  <c r="N6" i="1"/>
  <c r="M6" i="1"/>
  <c r="J6" i="1"/>
  <c r="I6" i="1"/>
  <c r="D6" i="1"/>
  <c r="F6" i="1"/>
  <c r="E6" i="1"/>
  <c r="A6" i="1"/>
  <c r="AG5" i="1"/>
  <c r="AE5" i="1"/>
  <c r="X5" i="1"/>
  <c r="V5" i="1"/>
  <c r="T5" i="1"/>
  <c r="Q5" i="1"/>
  <c r="P5" i="1"/>
  <c r="O5" i="1"/>
  <c r="N5" i="1"/>
  <c r="M5" i="1"/>
  <c r="J5" i="1"/>
  <c r="I5" i="1"/>
  <c r="D5" i="1"/>
  <c r="F5" i="1"/>
  <c r="E5" i="1"/>
  <c r="A5" i="1"/>
  <c r="AG4" i="1"/>
  <c r="AE4" i="1"/>
  <c r="X4" i="1"/>
  <c r="V4" i="1"/>
  <c r="T4" i="1"/>
  <c r="Q4" i="1"/>
  <c r="P4" i="1"/>
  <c r="O4" i="1"/>
  <c r="N4" i="1"/>
  <c r="M4" i="1"/>
  <c r="J4" i="1"/>
  <c r="I4" i="1"/>
  <c r="D4" i="1"/>
  <c r="F4" i="1"/>
  <c r="E4" i="1"/>
  <c r="A4" i="1"/>
  <c r="AG3" i="1"/>
  <c r="AE3" i="1"/>
  <c r="X3" i="1"/>
  <c r="V3" i="1"/>
  <c r="T3" i="1"/>
  <c r="Q3" i="1"/>
  <c r="P3" i="1"/>
  <c r="O3" i="1"/>
  <c r="N3" i="1"/>
  <c r="M3" i="1"/>
  <c r="J3" i="1"/>
  <c r="I3" i="1"/>
  <c r="D3" i="1"/>
  <c r="F3" i="1"/>
  <c r="E3" i="1"/>
  <c r="A3" i="1"/>
  <c r="H5" i="2"/>
  <c r="E5" i="2"/>
  <c r="D5" i="2"/>
  <c r="B5" i="2"/>
  <c r="H4" i="2"/>
  <c r="E4" i="2"/>
  <c r="D4" i="2"/>
  <c r="B4" i="2"/>
  <c r="H3" i="2"/>
  <c r="E3" i="2"/>
  <c r="D3" i="2"/>
  <c r="B3" i="2"/>
  <c r="H2" i="2"/>
  <c r="D2" i="9"/>
  <c r="J2" i="11"/>
  <c r="M2" i="10"/>
  <c r="T2" i="10"/>
  <c r="W2" i="10"/>
  <c r="V2" i="10"/>
  <c r="X2" i="10"/>
  <c r="U2" i="10"/>
  <c r="Y2" i="10"/>
  <c r="N2" i="10"/>
  <c r="Q2" i="10"/>
  <c r="P2" i="10"/>
  <c r="R2" i="10"/>
  <c r="O2" i="10"/>
  <c r="S2" i="10"/>
  <c r="G2" i="10"/>
  <c r="J2" i="10"/>
  <c r="I2" i="10"/>
  <c r="K2" i="10"/>
  <c r="H2" i="10"/>
  <c r="L2" i="10"/>
  <c r="W2" i="7"/>
  <c r="U2" i="7"/>
  <c r="V2" i="1"/>
  <c r="T2" i="1"/>
  <c r="E13" i="16"/>
  <c r="B61" i="19"/>
  <c r="C61" i="19"/>
  <c r="D61" i="19"/>
  <c r="F61" i="19"/>
  <c r="G61" i="19"/>
  <c r="B62" i="19"/>
  <c r="C62" i="19"/>
  <c r="D62" i="19"/>
  <c r="F62" i="19"/>
  <c r="G62" i="19"/>
  <c r="B63" i="19"/>
  <c r="C63" i="19"/>
  <c r="D63" i="19"/>
  <c r="F63" i="19"/>
  <c r="G63" i="19"/>
  <c r="B64" i="19"/>
  <c r="C64" i="19"/>
  <c r="D64" i="19"/>
  <c r="F64" i="19"/>
  <c r="G64" i="19"/>
  <c r="B65" i="19"/>
  <c r="C65" i="19"/>
  <c r="D65" i="19"/>
  <c r="F65" i="19"/>
  <c r="G65" i="19"/>
  <c r="B66" i="19"/>
  <c r="C66" i="19"/>
  <c r="D66" i="19"/>
  <c r="F66" i="19"/>
  <c r="G66" i="19"/>
  <c r="B67" i="19"/>
  <c r="C67" i="19"/>
  <c r="D67" i="19"/>
  <c r="F67" i="19"/>
  <c r="G67" i="19"/>
  <c r="B68" i="19"/>
  <c r="C68" i="19"/>
  <c r="D68" i="19"/>
  <c r="F68" i="19"/>
  <c r="G68" i="19"/>
  <c r="B69" i="19"/>
  <c r="C69" i="19"/>
  <c r="D69" i="19"/>
  <c r="F69" i="19"/>
  <c r="G69" i="19"/>
  <c r="B70" i="19"/>
  <c r="C70" i="19"/>
  <c r="D70" i="19"/>
  <c r="F70" i="19"/>
  <c r="G70" i="19"/>
  <c r="B71" i="19"/>
  <c r="C71" i="19"/>
  <c r="D71" i="19"/>
  <c r="F71" i="19"/>
  <c r="G71" i="19"/>
  <c r="B72" i="19"/>
  <c r="C72" i="19"/>
  <c r="D72" i="19"/>
  <c r="F72" i="19"/>
  <c r="G72" i="19"/>
  <c r="B73" i="19"/>
  <c r="C73" i="19"/>
  <c r="D73" i="19"/>
  <c r="F73" i="19"/>
  <c r="G73" i="19"/>
  <c r="B74" i="19"/>
  <c r="C74" i="19"/>
  <c r="D74" i="19"/>
  <c r="F74" i="19"/>
  <c r="G74" i="19"/>
  <c r="B75" i="19"/>
  <c r="C75" i="19"/>
  <c r="D75" i="19"/>
  <c r="F75" i="19"/>
  <c r="G75" i="19"/>
  <c r="B76" i="19"/>
  <c r="C76" i="19"/>
  <c r="D76" i="19"/>
  <c r="F76" i="19"/>
  <c r="G76" i="19"/>
  <c r="B77" i="19"/>
  <c r="C77" i="19"/>
  <c r="D77" i="19"/>
  <c r="F77" i="19"/>
  <c r="G77" i="19"/>
  <c r="B78" i="19"/>
  <c r="C78" i="19"/>
  <c r="D78" i="19"/>
  <c r="F78" i="19"/>
  <c r="G78" i="19"/>
  <c r="B79" i="19"/>
  <c r="C79" i="19"/>
  <c r="D79" i="19"/>
  <c r="F79" i="19"/>
  <c r="G79" i="19"/>
  <c r="B80" i="19"/>
  <c r="C80" i="19"/>
  <c r="D80" i="19"/>
  <c r="F80" i="19"/>
  <c r="G80" i="19"/>
  <c r="B81" i="19"/>
  <c r="C81" i="19"/>
  <c r="D81" i="19"/>
  <c r="F81" i="19"/>
  <c r="G81" i="19"/>
  <c r="B82" i="19"/>
  <c r="C82" i="19"/>
  <c r="D82" i="19"/>
  <c r="F82" i="19"/>
  <c r="G82" i="19"/>
  <c r="B83" i="19"/>
  <c r="C83" i="19"/>
  <c r="D83" i="19"/>
  <c r="F83" i="19"/>
  <c r="G83" i="19"/>
  <c r="B84" i="19"/>
  <c r="C84" i="19"/>
  <c r="D84" i="19"/>
  <c r="F84" i="19"/>
  <c r="G84" i="19"/>
  <c r="B85" i="19"/>
  <c r="C85" i="19"/>
  <c r="D85" i="19"/>
  <c r="F85" i="19"/>
  <c r="G85" i="19"/>
  <c r="B86" i="19"/>
  <c r="C86" i="19"/>
  <c r="D86" i="19"/>
  <c r="F86" i="19"/>
  <c r="G86" i="19"/>
  <c r="B87" i="19"/>
  <c r="C87" i="19"/>
  <c r="D87" i="19"/>
  <c r="F87" i="19"/>
  <c r="G87" i="19"/>
  <c r="B88" i="19"/>
  <c r="C88" i="19"/>
  <c r="D88" i="19"/>
  <c r="F88" i="19"/>
  <c r="G88" i="19"/>
  <c r="B89" i="19"/>
  <c r="C89" i="19"/>
  <c r="D89" i="19"/>
  <c r="F89" i="19"/>
  <c r="G89" i="19"/>
  <c r="B90" i="19"/>
  <c r="C90" i="19"/>
  <c r="D90" i="19"/>
  <c r="F90" i="19"/>
  <c r="G90" i="19"/>
  <c r="B91" i="19"/>
  <c r="C91" i="19"/>
  <c r="D91" i="19"/>
  <c r="F91" i="19"/>
  <c r="G91" i="19"/>
  <c r="B92" i="19"/>
  <c r="C92" i="19"/>
  <c r="D92" i="19"/>
  <c r="F92" i="19"/>
  <c r="G92" i="19"/>
  <c r="B93" i="19"/>
  <c r="C93" i="19"/>
  <c r="D93" i="19"/>
  <c r="F93" i="19"/>
  <c r="G93" i="19"/>
  <c r="K60" i="19"/>
  <c r="L60" i="19"/>
  <c r="K61" i="19"/>
  <c r="L61" i="19"/>
  <c r="K62" i="19"/>
  <c r="L62" i="19"/>
  <c r="K63" i="19"/>
  <c r="L63" i="19"/>
  <c r="K64" i="19"/>
  <c r="L64" i="19"/>
  <c r="K65" i="19"/>
  <c r="L65" i="19"/>
  <c r="K66" i="19"/>
  <c r="L66" i="19"/>
  <c r="K67" i="19"/>
  <c r="L67" i="19"/>
  <c r="K68" i="19"/>
  <c r="L68" i="19"/>
  <c r="K69" i="19"/>
  <c r="L69" i="19"/>
  <c r="K70" i="19"/>
  <c r="L70" i="19"/>
  <c r="K71" i="19"/>
  <c r="L71" i="19"/>
  <c r="K72" i="19"/>
  <c r="L72" i="19"/>
  <c r="K73" i="19"/>
  <c r="L73" i="19"/>
  <c r="K74" i="19"/>
  <c r="L74" i="19"/>
  <c r="K75" i="19"/>
  <c r="L75" i="19"/>
  <c r="K76" i="19"/>
  <c r="L76" i="19"/>
  <c r="K77" i="19"/>
  <c r="L77" i="19"/>
  <c r="K78" i="19"/>
  <c r="L78" i="19"/>
  <c r="K79" i="19"/>
  <c r="L79" i="19"/>
  <c r="K80" i="19"/>
  <c r="L80" i="19"/>
  <c r="K81" i="19"/>
  <c r="L81" i="19"/>
  <c r="K82" i="19"/>
  <c r="L82" i="19"/>
  <c r="K83" i="19"/>
  <c r="L83" i="19"/>
  <c r="K84" i="19"/>
  <c r="L84" i="19"/>
  <c r="K85" i="19"/>
  <c r="L85" i="19"/>
  <c r="K86" i="19"/>
  <c r="L86" i="19"/>
  <c r="K87" i="19"/>
  <c r="L87" i="19"/>
  <c r="K88" i="19"/>
  <c r="L88" i="19"/>
  <c r="K89" i="19"/>
  <c r="L89" i="19"/>
  <c r="K90" i="19"/>
  <c r="L90" i="19"/>
  <c r="K91" i="19"/>
  <c r="L91" i="19"/>
  <c r="K92" i="19"/>
  <c r="L92" i="19"/>
  <c r="K93" i="19"/>
  <c r="L93" i="19"/>
  <c r="B60" i="19"/>
  <c r="C60" i="19"/>
  <c r="D60" i="19"/>
  <c r="F60" i="19"/>
  <c r="G60" i="19"/>
  <c r="B29" i="19"/>
  <c r="C29" i="19"/>
  <c r="D29" i="19"/>
  <c r="F29" i="19"/>
  <c r="G29" i="19"/>
  <c r="B30" i="19"/>
  <c r="C30" i="19"/>
  <c r="D30" i="19"/>
  <c r="F30" i="19"/>
  <c r="G30" i="19"/>
  <c r="B31" i="19"/>
  <c r="C31" i="19"/>
  <c r="D31" i="19"/>
  <c r="F31" i="19"/>
  <c r="G31" i="19"/>
  <c r="B32" i="19"/>
  <c r="C32" i="19"/>
  <c r="D32" i="19"/>
  <c r="F32" i="19"/>
  <c r="G32" i="19"/>
  <c r="B33" i="19"/>
  <c r="C33" i="19"/>
  <c r="D33" i="19"/>
  <c r="F33" i="19"/>
  <c r="G33" i="19"/>
  <c r="B34" i="19"/>
  <c r="C34" i="19"/>
  <c r="D34" i="19"/>
  <c r="F34" i="19"/>
  <c r="G34" i="19"/>
  <c r="B35" i="19"/>
  <c r="C35" i="19"/>
  <c r="D35" i="19"/>
  <c r="F35" i="19"/>
  <c r="G35" i="19"/>
  <c r="B36" i="19"/>
  <c r="C36" i="19"/>
  <c r="D36" i="19"/>
  <c r="F36" i="19"/>
  <c r="G36" i="19"/>
  <c r="B37" i="19"/>
  <c r="C37" i="19"/>
  <c r="D37" i="19"/>
  <c r="F37" i="19"/>
  <c r="G37" i="19"/>
  <c r="B38" i="19"/>
  <c r="C38" i="19"/>
  <c r="D38" i="19"/>
  <c r="F38" i="19"/>
  <c r="G38" i="19"/>
  <c r="B39" i="19"/>
  <c r="C39" i="19"/>
  <c r="D39" i="19"/>
  <c r="F39" i="19"/>
  <c r="G39" i="19"/>
  <c r="B40" i="19"/>
  <c r="C40" i="19"/>
  <c r="D40" i="19"/>
  <c r="F40" i="19"/>
  <c r="G40" i="19"/>
  <c r="B41" i="19"/>
  <c r="C41" i="19"/>
  <c r="D41" i="19"/>
  <c r="F41" i="19"/>
  <c r="G41" i="19"/>
  <c r="B42" i="19"/>
  <c r="C42" i="19"/>
  <c r="D42" i="19"/>
  <c r="F42" i="19"/>
  <c r="G42" i="19"/>
  <c r="B43" i="19"/>
  <c r="C43" i="19"/>
  <c r="D43" i="19"/>
  <c r="F43" i="19"/>
  <c r="G43" i="19"/>
  <c r="B44" i="19"/>
  <c r="C44" i="19"/>
  <c r="D44" i="19"/>
  <c r="F44" i="19"/>
  <c r="G44" i="19"/>
  <c r="B45" i="19"/>
  <c r="C45" i="19"/>
  <c r="D45" i="19"/>
  <c r="F45" i="19"/>
  <c r="G45" i="19"/>
  <c r="B46" i="19"/>
  <c r="C46" i="19"/>
  <c r="D46" i="19"/>
  <c r="F46" i="19"/>
  <c r="G46" i="19"/>
  <c r="B47" i="19"/>
  <c r="C47" i="19"/>
  <c r="D47" i="19"/>
  <c r="F47" i="19"/>
  <c r="G47" i="19"/>
  <c r="B48" i="19"/>
  <c r="C48" i="19"/>
  <c r="D48" i="19"/>
  <c r="F48" i="19"/>
  <c r="G48" i="19"/>
  <c r="B49" i="19"/>
  <c r="C49" i="19"/>
  <c r="D49" i="19"/>
  <c r="F49" i="19"/>
  <c r="G49" i="19"/>
  <c r="B50" i="19"/>
  <c r="C50" i="19"/>
  <c r="D50" i="19"/>
  <c r="F50" i="19"/>
  <c r="G50" i="19"/>
  <c r="B51" i="19"/>
  <c r="C51" i="19"/>
  <c r="D51" i="19"/>
  <c r="F51" i="19"/>
  <c r="G51" i="19"/>
  <c r="B52" i="19"/>
  <c r="C52" i="19"/>
  <c r="D52" i="19"/>
  <c r="F52" i="19"/>
  <c r="G52" i="19"/>
  <c r="B53" i="19"/>
  <c r="C53" i="19"/>
  <c r="D53" i="19"/>
  <c r="F53" i="19"/>
  <c r="G53" i="19"/>
  <c r="B54" i="19"/>
  <c r="C54" i="19"/>
  <c r="D54" i="19"/>
  <c r="F54" i="19"/>
  <c r="G54" i="19"/>
  <c r="B55" i="19"/>
  <c r="C55" i="19"/>
  <c r="D55" i="19"/>
  <c r="F55" i="19"/>
  <c r="G55" i="19"/>
  <c r="B56" i="19"/>
  <c r="C56" i="19"/>
  <c r="D56" i="19"/>
  <c r="F56" i="19"/>
  <c r="G56" i="19"/>
  <c r="B57" i="19"/>
  <c r="C57" i="19"/>
  <c r="D57" i="19"/>
  <c r="F57" i="19"/>
  <c r="G57" i="19"/>
  <c r="B58" i="19"/>
  <c r="C58" i="19"/>
  <c r="D58" i="19"/>
  <c r="F58" i="19"/>
  <c r="G58" i="19"/>
  <c r="B59" i="19"/>
  <c r="C59" i="19"/>
  <c r="D59" i="19"/>
  <c r="F59" i="19"/>
  <c r="G59" i="19"/>
  <c r="K28" i="19"/>
  <c r="L28" i="19"/>
  <c r="K29" i="19"/>
  <c r="L29" i="19"/>
  <c r="K30" i="19"/>
  <c r="L30" i="19"/>
  <c r="K31" i="19"/>
  <c r="L31" i="19"/>
  <c r="K32" i="19"/>
  <c r="L32" i="19"/>
  <c r="K33" i="19"/>
  <c r="L33" i="19"/>
  <c r="K34" i="19"/>
  <c r="L34" i="19"/>
  <c r="K35" i="19"/>
  <c r="L35" i="19"/>
  <c r="K36" i="19"/>
  <c r="L36" i="19"/>
  <c r="K37" i="19"/>
  <c r="L37" i="19"/>
  <c r="K38" i="19"/>
  <c r="L38" i="19"/>
  <c r="K39" i="19"/>
  <c r="L39" i="19"/>
  <c r="K40" i="19"/>
  <c r="L40" i="19"/>
  <c r="K41" i="19"/>
  <c r="L41" i="19"/>
  <c r="K42" i="19"/>
  <c r="L42" i="19"/>
  <c r="K43" i="19"/>
  <c r="L43" i="19"/>
  <c r="K44" i="19"/>
  <c r="L44" i="19"/>
  <c r="K45" i="19"/>
  <c r="L45" i="19"/>
  <c r="K46" i="19"/>
  <c r="L46" i="19"/>
  <c r="K47" i="19"/>
  <c r="L47" i="19"/>
  <c r="K48" i="19"/>
  <c r="L48" i="19"/>
  <c r="K49" i="19"/>
  <c r="L49" i="19"/>
  <c r="K50" i="19"/>
  <c r="L50" i="19"/>
  <c r="K51" i="19"/>
  <c r="L51" i="19"/>
  <c r="K52" i="19"/>
  <c r="L52" i="19"/>
  <c r="K53" i="19"/>
  <c r="L53" i="19"/>
  <c r="K54" i="19"/>
  <c r="L54" i="19"/>
  <c r="K55" i="19"/>
  <c r="L55" i="19"/>
  <c r="K56" i="19"/>
  <c r="L56" i="19"/>
  <c r="K57" i="19"/>
  <c r="L57" i="19"/>
  <c r="K58" i="19"/>
  <c r="L58" i="19"/>
  <c r="K59" i="19"/>
  <c r="L59" i="19"/>
  <c r="B28" i="19"/>
  <c r="C28" i="19"/>
  <c r="D28" i="19"/>
  <c r="F28" i="19"/>
  <c r="G28" i="19"/>
  <c r="B3" i="19"/>
  <c r="C3" i="19"/>
  <c r="D3" i="19"/>
  <c r="F3" i="19"/>
  <c r="G3" i="19"/>
  <c r="B4" i="19"/>
  <c r="C4" i="19"/>
  <c r="D4" i="19"/>
  <c r="F4" i="19"/>
  <c r="G4" i="19"/>
  <c r="B5" i="19"/>
  <c r="C5" i="19"/>
  <c r="D5" i="19"/>
  <c r="F5" i="19"/>
  <c r="G5" i="19"/>
  <c r="B6" i="19"/>
  <c r="C6" i="19"/>
  <c r="D6" i="19"/>
  <c r="F6" i="19"/>
  <c r="G6" i="19"/>
  <c r="B7" i="19"/>
  <c r="C7" i="19"/>
  <c r="D7" i="19"/>
  <c r="F7" i="19"/>
  <c r="G7" i="19"/>
  <c r="B8" i="19"/>
  <c r="C8" i="19"/>
  <c r="D8" i="19"/>
  <c r="F8" i="19"/>
  <c r="G8" i="19"/>
  <c r="B9" i="19"/>
  <c r="C9" i="19"/>
  <c r="D9" i="19"/>
  <c r="F9" i="19"/>
  <c r="G9" i="19"/>
  <c r="B10" i="19"/>
  <c r="C10" i="19"/>
  <c r="D10" i="19"/>
  <c r="F10" i="19"/>
  <c r="G10" i="19"/>
  <c r="B11" i="19"/>
  <c r="C11" i="19"/>
  <c r="D11" i="19"/>
  <c r="F11" i="19"/>
  <c r="G11" i="19"/>
  <c r="B12" i="19"/>
  <c r="C12" i="19"/>
  <c r="D12" i="19"/>
  <c r="F12" i="19"/>
  <c r="G12" i="19"/>
  <c r="B13" i="19"/>
  <c r="C13" i="19"/>
  <c r="D13" i="19"/>
  <c r="F13" i="19"/>
  <c r="G13" i="19"/>
  <c r="B14" i="19"/>
  <c r="C14" i="19"/>
  <c r="D14" i="19"/>
  <c r="F14" i="19"/>
  <c r="G14" i="19"/>
  <c r="B15" i="19"/>
  <c r="C15" i="19"/>
  <c r="D15" i="19"/>
  <c r="F15" i="19"/>
  <c r="G15" i="19"/>
  <c r="B16" i="19"/>
  <c r="C16" i="19"/>
  <c r="D16" i="19"/>
  <c r="F16" i="19"/>
  <c r="G16" i="19"/>
  <c r="B17" i="19"/>
  <c r="C17" i="19"/>
  <c r="D17" i="19"/>
  <c r="F17" i="19"/>
  <c r="G17" i="19"/>
  <c r="B18" i="19"/>
  <c r="C18" i="19"/>
  <c r="D18" i="19"/>
  <c r="F18" i="19"/>
  <c r="G18" i="19"/>
  <c r="B19" i="19"/>
  <c r="C19" i="19"/>
  <c r="D19" i="19"/>
  <c r="F19" i="19"/>
  <c r="G19" i="19"/>
  <c r="B20" i="19"/>
  <c r="C20" i="19"/>
  <c r="D20" i="19"/>
  <c r="F20" i="19"/>
  <c r="G20" i="19"/>
  <c r="B21" i="19"/>
  <c r="C21" i="19"/>
  <c r="D21" i="19"/>
  <c r="F21" i="19"/>
  <c r="G21" i="19"/>
  <c r="B22" i="19"/>
  <c r="C22" i="19"/>
  <c r="D22" i="19"/>
  <c r="F22" i="19"/>
  <c r="G22" i="19"/>
  <c r="B23" i="19"/>
  <c r="C23" i="19"/>
  <c r="D23" i="19"/>
  <c r="F23" i="19"/>
  <c r="G23" i="19"/>
  <c r="B24" i="19"/>
  <c r="C24" i="19"/>
  <c r="D24" i="19"/>
  <c r="F24" i="19"/>
  <c r="G24" i="19"/>
  <c r="B25" i="19"/>
  <c r="C25" i="19"/>
  <c r="D25" i="19"/>
  <c r="F25" i="19"/>
  <c r="G25" i="19"/>
  <c r="B26" i="19"/>
  <c r="C26" i="19"/>
  <c r="D26" i="19"/>
  <c r="F26" i="19"/>
  <c r="G26" i="19"/>
  <c r="B27" i="19"/>
  <c r="C27" i="19"/>
  <c r="D27" i="19"/>
  <c r="F27" i="19"/>
  <c r="G27" i="19"/>
  <c r="K27" i="19"/>
  <c r="L27" i="19"/>
  <c r="K3" i="19"/>
  <c r="L3" i="19"/>
  <c r="K4" i="19"/>
  <c r="L4" i="19"/>
  <c r="K5" i="19"/>
  <c r="L5" i="19"/>
  <c r="K6" i="19"/>
  <c r="L6" i="19"/>
  <c r="K7" i="19"/>
  <c r="L7" i="19"/>
  <c r="K8" i="19"/>
  <c r="L8" i="19"/>
  <c r="K9" i="19"/>
  <c r="L9" i="19"/>
  <c r="K10" i="19"/>
  <c r="L10" i="19"/>
  <c r="K11" i="19"/>
  <c r="L11" i="19"/>
  <c r="K12" i="19"/>
  <c r="L12" i="19"/>
  <c r="K13" i="19"/>
  <c r="L13" i="19"/>
  <c r="K14" i="19"/>
  <c r="L14" i="19"/>
  <c r="K15" i="19"/>
  <c r="L15" i="19"/>
  <c r="K16" i="19"/>
  <c r="L16" i="19"/>
  <c r="K17" i="19"/>
  <c r="L17" i="19"/>
  <c r="K18" i="19"/>
  <c r="L18" i="19"/>
  <c r="K19" i="19"/>
  <c r="L19" i="19"/>
  <c r="K20" i="19"/>
  <c r="L20" i="19"/>
  <c r="K21" i="19"/>
  <c r="L21" i="19"/>
  <c r="K22" i="19"/>
  <c r="L22" i="19"/>
  <c r="K23" i="19"/>
  <c r="L23" i="19"/>
  <c r="K24" i="19"/>
  <c r="L24" i="19"/>
  <c r="K25" i="19"/>
  <c r="L25" i="19"/>
  <c r="K26" i="19"/>
  <c r="L26" i="19"/>
  <c r="K2" i="19"/>
  <c r="L2" i="19"/>
  <c r="B2" i="21"/>
  <c r="I2" i="21"/>
  <c r="J2" i="21"/>
  <c r="G2" i="21"/>
  <c r="F2" i="21"/>
  <c r="D2" i="21"/>
  <c r="C2" i="21"/>
  <c r="E12" i="16"/>
  <c r="E11" i="16"/>
  <c r="B2" i="19"/>
  <c r="G2" i="19"/>
  <c r="F2" i="19"/>
  <c r="D2" i="19"/>
  <c r="C2" i="19"/>
  <c r="E10" i="16"/>
  <c r="A2" i="18"/>
  <c r="C2" i="18"/>
  <c r="D2" i="18"/>
  <c r="J3" i="11"/>
  <c r="O2" i="9"/>
  <c r="N2" i="9"/>
  <c r="M2" i="9"/>
  <c r="L2" i="9"/>
  <c r="K2" i="9"/>
  <c r="J2" i="9"/>
  <c r="I2" i="9"/>
  <c r="H2" i="9"/>
  <c r="G2" i="9"/>
  <c r="E9" i="16"/>
  <c r="Y2" i="7"/>
  <c r="R2" i="7"/>
  <c r="Q2" i="7"/>
  <c r="P2" i="7"/>
  <c r="O2" i="7"/>
  <c r="N2" i="7"/>
  <c r="AG2" i="1"/>
  <c r="AE2" i="1"/>
  <c r="X2" i="1"/>
  <c r="Q2" i="1"/>
  <c r="P2" i="1"/>
  <c r="O2" i="1"/>
  <c r="N2" i="1"/>
  <c r="M2" i="1"/>
  <c r="M3" i="10"/>
  <c r="T3" i="10"/>
  <c r="V3" i="10"/>
  <c r="N3" i="10"/>
  <c r="P3" i="10"/>
  <c r="G3" i="10"/>
  <c r="I3" i="10"/>
  <c r="X3" i="10"/>
  <c r="W3" i="10"/>
  <c r="U3" i="10"/>
  <c r="Y3" i="10"/>
  <c r="R3" i="10"/>
  <c r="Q3" i="10"/>
  <c r="O3" i="10"/>
  <c r="S3" i="10"/>
  <c r="K3" i="10"/>
  <c r="J3" i="10"/>
  <c r="H3" i="10"/>
  <c r="L3" i="10"/>
  <c r="H2" i="7"/>
  <c r="J2" i="7"/>
  <c r="E8" i="16"/>
  <c r="E7" i="16"/>
  <c r="E6" i="16"/>
  <c r="E5" i="16"/>
  <c r="E4" i="16"/>
  <c r="E3" i="16"/>
  <c r="E2" i="16"/>
  <c r="A2" i="1"/>
  <c r="A2" i="9"/>
  <c r="J2" i="1"/>
  <c r="I2" i="1"/>
  <c r="D2" i="1"/>
  <c r="F2" i="1"/>
  <c r="E2" i="1"/>
  <c r="A2" i="7"/>
  <c r="I2" i="7"/>
  <c r="D2" i="7"/>
  <c r="F2" i="7"/>
  <c r="E2" i="7"/>
  <c r="D2" i="2"/>
  <c r="E2" i="2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<sst xmlns="http://schemas.openxmlformats.org/spreadsheetml/2006/main" count="1097" uniqueCount="338">
  <si>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</si>
  <si>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</si>
  <si>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</si>
  <si>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</si>
  <si>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</si>
  <si>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</si>
  <si>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</si>
  <si>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</si>
  <si>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</si>
  <si>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</si>
  <si>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</si>
  <si>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</si>
  <si>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</si>
  <si>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</si>
  <si>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</si>
  <si>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</si>
  <si>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</si>
  <si>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</si>
  <si>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</si>
  <si>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</si>
  <si>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</si>
  <si>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</si>
  <si>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</si>
  <si>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</si>
  <si>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</si>
  <si>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</si>
  <si>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</si>
  <si>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</si>
  <si>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</si>
  <si>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</si>
  <si>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</si>
  <si>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</si>
  <si>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</si>
  <si>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</si>
  <si>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</si>
  <si>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</si>
  <si>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</si>
  <si>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</si>
  <si>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</si>
  <si>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</si>
  <si>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</si>
  <si>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</si>
  <si>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</si>
  <si>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</si>
  <si>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</si>
  <si>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</si>
  <si>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</si>
  <si>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</si>
  <si>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</si>
  <si>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</si>
  <si>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</si>
  <si>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</si>
  <si>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</si>
  <si>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</si>
  <si>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</si>
  <si>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</si>
  <si>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</si>
  <si>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</si>
  <si>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</si>
  <si>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</si>
  <si>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</si>
  <si>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</si>
  <si>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</si>
  <si>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</si>
  <si>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</si>
  <si>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</si>
  <si>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</si>
  <si>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</si>
  <si>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</si>
  <si>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</si>
  <si>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</si>
  <si>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</si>
  <si>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</si>
  <si>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</si>
  <si>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</si>
  <si>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</si>
  <si>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</si>
  <si>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</si>
  <si>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</si>
  <si>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</si>
  <si>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</si>
  <si>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</si>
  <si>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</si>
  <si>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</si>
  <si>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</si>
  <si>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</si>
  <si>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</si>
  <si>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</si>
  <si>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</si>
  <si>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</si>
  <si>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</si>
  <si>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</si>
  <si>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</si>
  <si>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</si>
  <si>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</si>
  <si>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</si>
  <si>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</si>
  <si>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</si>
  <si>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</si>
  <si>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</si>
  <si>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</si>
  <si>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</si>
  <si>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</si>
  <si>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</si>
  <si>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</si>
  <si>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</si>
  <si>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</si>
  <si>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</si>
  <si>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</si>
  <si>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</si>
  <si>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</si>
  <si>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</si>
  <si>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</si>
  <si>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</si>
  <si>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</si>
  <si>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</si>
  <si>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</si>
  <si>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</si>
  <si>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</si>
  <si>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</si>
  <si>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</si>
  <si>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</si>
  <si>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</si>
  <si>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</si>
  <si>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</si>
  <si>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</si>
  <si>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</si>
  <si>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</si>
  <si>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</si>
  <si>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</si>
  <si>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</si>
  <si>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</si>
  <si>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</si>
  <si>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</si>
  <si>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</si>
  <si>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</si>
  <si>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</si>
  <si>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</si>
  <si>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</si>
  <si>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</si>
  <si>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</si>
  <si>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</si>
  <si>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</si>
  <si>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</si>
  <si>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</si>
  <si>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</si>
  <si>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</si>
  <si>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</si>
  <si>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</si>
  <si>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</si>
  <si>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</si>
  <si>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</si>
  <si>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</si>
  <si>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</si>
  <si>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</si>
  <si>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</si>
  <si>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</si>
  <si>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</si>
  <si>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</si>
  <si>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</si>
  <si>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</si>
  <si>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</si>
  <si>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</si>
  <si>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</si>
  <si>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</si>
  <si>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</si>
  <si>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</si>
  <si>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</si>
  <si>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</si>
  <si>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</si>
  <si>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null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</si>
  <si>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</si>
  <si>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</si>
  <si>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</si>
  <si>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</si>
  <si>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</si>
  <si>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</si>
  <si>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</si>
  <si>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</si>
  <si>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</si>
  <si>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</si>
  <si>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</si>
  <si>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</si>
  <si>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</si>
  <si>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</si>
  <si>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</si>
  <si>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</si>
  <si>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</si>
  <si>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</si>
  <si>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</si>
  <si>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</si>
  <si>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</si>
  <si>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</si>
  <si>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</si>
  <si>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</si>
  <si>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</si>
  <si>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</si>
  <si>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</si>
  <si>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</si>
  <si>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</si>
  <si>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</si>
  <si>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</si>
  <si>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</si>
  <si>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</si>
  <si>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</si>
  <si>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</si>
  <si>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</si>
  <si>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</si>
  <si>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</si>
  <si>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</si>
  <si>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</si>
  <si>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</si>
  <si>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NULL</t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</si>
  <si>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</si>
  <si>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</si>
  <si>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</si>
  <si>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</si>
  <si>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</si>
  <si>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</si>
  <si>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</si>
  <si>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</si>
  <si>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</si>
  <si>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</si>
  <si>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</si>
  <si>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</si>
  <si>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</si>
  <si>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</si>
  <si>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</si>
  <si>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</si>
  <si>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</si>
  <si>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</si>
  <si>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</si>
  <si>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</si>
  <si>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</si>
  <si>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</si>
  <si>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</si>
  <si>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</si>
  <si>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</si>
  <si>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</si>
  <si>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</si>
  <si>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</si>
  <si>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</si>
  <si>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</si>
  <si>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</si>
  <si>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</si>
  <si>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</si>
  <si>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</si>
  <si>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</si>
  <si>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</si>
  <si>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</si>
  <si>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</si>
  <si>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</si>
  <si>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old</t>
  </si>
  <si>
    <t>null</t>
    <phoneticPr fontId="5"/>
  </si>
  <si>
    <t>null</t>
    <phoneticPr fontId="5"/>
  </si>
  <si>
    <t>[effect:enhance_enemy, target:myself, turn:2, status:defense, val:0.3, calc:add, animation:enemy_enhance_defense]</t>
    <phoneticPr fontId="5"/>
  </si>
  <si>
    <t>[effect:freq_turn, target:enemy_animal, turn:2, val:1, animation:enemy_freq_turn]</t>
    <phoneticPr fontId="5"/>
  </si>
  <si>
    <t>null</t>
    <phoneticPr fontId="5"/>
  </si>
  <si>
    <t>[effect:rush, count:2, val:0.5]</t>
    <phoneticPr fontId="5"/>
  </si>
  <si>
    <t>3回連続攻撃</t>
    <phoneticPr fontId="5"/>
  </si>
  <si>
    <t>2回連続攻撃</t>
    <phoneticPr fontId="5"/>
  </si>
  <si>
    <t>[effect:rush, count:3, val:0.4]</t>
    <phoneticPr fontId="5"/>
  </si>
  <si>
    <t>[effect:enhance_enemy, target:enemy_animal, turn:3, status:attack, val:0.4, calc:mul, animation:enemy_enhance_attack]</t>
    <phoneticPr fontId="5"/>
  </si>
  <si>
    <t>猪突猛進</t>
    <phoneticPr fontId="5"/>
  </si>
  <si>
    <t>いくぞお前ら！</t>
    <phoneticPr fontId="5"/>
  </si>
  <si>
    <t>甲羅硬化</t>
    <phoneticPr fontId="5"/>
  </si>
  <si>
    <t>なんだお前ー！？侵入者か！？</t>
    <phoneticPr fontId="5"/>
  </si>
  <si>
    <t>ボッコボコにしてやんよ！</t>
    <phoneticPr fontId="5"/>
  </si>
  <si>
    <t>よしキタ！大成功！ぶおぉぉぉぉん！</t>
    <phoneticPr fontId="5"/>
  </si>
  <si>
    <t>そろそろ本気を出すよ！</t>
    <phoneticPr fontId="5"/>
  </si>
  <si>
    <t>2ターン敵全体の攻撃力UP</t>
    <phoneticPr fontId="5"/>
  </si>
  <si>
    <t>力よ集まれ！そして風となれー！！ぶおぉぉぉぉん！</t>
    <phoneticPr fontId="5"/>
  </si>
  <si>
    <t>[effect:enhance_enemy, target:enemy_all, turn:2, status:attack, val:0.4, calc:mul, animation:enemy_enhance_attack]</t>
    <phoneticPr fontId="5"/>
  </si>
  <si>
    <t>酔連撃</t>
    <phoneticPr fontId="5"/>
  </si>
  <si>
    <t>link</t>
    <phoneticPr fontId="5"/>
  </si>
  <si>
    <t>unit</t>
    <phoneticPr fontId="5"/>
  </si>
  <si>
    <t>チェン・リーはHPが少ないです
優先して倒しましょう</t>
    <phoneticPr fontId="5"/>
  </si>
  <si>
    <t>２ゲージ目のHPが5割を切ると
パズズは強力な攻撃を行います
フィーバーで一気に押し切りましょう</t>
    <phoneticPr fontId="5"/>
  </si>
  <si>
    <t>赤属性のパネル吸収攻撃を使用してきます
毎回パネルの吸収量も違うため
緑属性のパーティで編成する場合は
気をつけましょう</t>
    <phoneticPr fontId="5"/>
  </si>
  <si>
    <t>[effect:enemy_message, val1:1.2, val2:1.8]</t>
    <phoneticPr fontId="5"/>
  </si>
  <si>
    <t>[effect:change_block, new_block:block_red, target:block_all, count:15, val:0, animation:change_block],[effect:enemy_message, val1:1.2, val2:1.4]</t>
    <phoneticPr fontId="5"/>
  </si>
  <si>
    <t>[effect:change_block, new_block:block_red, target:block_all, count:15, val:0, animation:change_block],[effect:enemy_message, val1:1.2, val2:1.4]</t>
    <phoneticPr fontId="5"/>
  </si>
  <si>
    <t>僕に抵抗？させないって〜</t>
    <phoneticPr fontId="5"/>
  </si>
  <si>
    <t>2ターン自身の防御力UP</t>
    <phoneticPr fontId="5"/>
  </si>
  <si>
    <t>3ターン味方の攻撃力UP</t>
    <phoneticPr fontId="5"/>
  </si>
  <si>
    <t>ゆららはトトよりHPが少ないです
まずはゆららから倒して
エネミーの集中攻撃を回避してみましょう</t>
    <phoneticPr fontId="5"/>
  </si>
  <si>
    <t>ベヒモスは玄武より攻撃力が高く
HPが低い特徴があります
ベヒモスを先に倒しましょう</t>
    <phoneticPr fontId="5"/>
  </si>
  <si>
    <t>く〜！僕はもっとやれるんだぞ〜〜！</t>
    <phoneticPr fontId="5"/>
  </si>
  <si>
    <t>こうなったら超必殺技を見せるしかないね！</t>
    <phoneticPr fontId="5"/>
  </si>
  <si>
    <t>[effect:enemy_message, val1:1.8, val2:2]</t>
    <phoneticPr fontId="5"/>
  </si>
  <si>
    <t>大地の力</t>
    <phoneticPr fontId="5"/>
  </si>
  <si>
    <t>ランダムで15個を赤パネルに変換</t>
    <rPh sb="7" eb="8">
      <t>コ</t>
    </rPh>
    <phoneticPr fontId="5"/>
  </si>
  <si>
    <t>次のターン強力な攻撃</t>
    <rPh sb="0" eb="1">
      <t>ツギノ</t>
    </rPh>
    <rPh sb="5" eb="7">
      <t>キョウリョｋ</t>
    </rPh>
    <rPh sb="8" eb="10">
      <t>コウゲｋ</t>
    </rPh>
    <phoneticPr fontId="5"/>
  </si>
  <si>
    <t>手加減してあげよっか〜</t>
    <phoneticPr fontId="5"/>
  </si>
  <si>
    <t>ちょちょいのちょ〜いだ！</t>
    <phoneticPr fontId="5"/>
  </si>
  <si>
    <t>いっくぞ〜！</t>
    <phoneticPr fontId="5"/>
  </si>
  <si>
    <t>思いっきりやっちゃうぞ〜！</t>
    <phoneticPr fontId="5"/>
  </si>
  <si>
    <t>熱風攻撃！くらえ〜！</t>
    <phoneticPr fontId="5"/>
  </si>
  <si>
    <t>ゲゲッ！失敗したかも！</t>
    <phoneticPr fontId="5"/>
  </si>
  <si>
    <t>僕に勝とうなんて千年早いって〜</t>
    <phoneticPr fontId="5"/>
  </si>
  <si>
    <t>よーしキター！ぶおぉぉぉぉん！</t>
    <phoneticPr fontId="5"/>
  </si>
  <si>
    <t>手加減してあげよっか〜</t>
    <phoneticPr fontId="5"/>
  </si>
  <si>
    <t>僕に勝とうなんて千年早いって〜</t>
    <phoneticPr fontId="5"/>
  </si>
  <si>
    <t>ちょちょいのちょ〜いだ！</t>
    <phoneticPr fontId="5"/>
  </si>
  <si>
    <t>いっくぞ〜！</t>
    <phoneticPr fontId="5"/>
  </si>
  <si>
    <t>思いっきりやっちゃうぞ〜！</t>
    <phoneticPr fontId="5"/>
  </si>
  <si>
    <t>熱風攻撃！くらえ〜！</t>
    <phoneticPr fontId="5"/>
  </si>
  <si>
    <t>やったー大成功！ぶおぉぉぉぉん！</t>
    <phoneticPr fontId="5"/>
  </si>
  <si>
    <t>ゲゲッ！失敗したかも！</t>
    <phoneticPr fontId="5"/>
  </si>
  <si>
    <t>赤パネルを1個吸収し、赤属性で攻撃</t>
    <phoneticPr fontId="5"/>
  </si>
  <si>
    <t>赤パネルを2個吸収し、赤属性で攻撃</t>
  </si>
  <si>
    <t>赤パネルを3個吸収し、赤属性で攻撃</t>
  </si>
  <si>
    <t>赤パネルを4個吸収し、赤属性で攻撃</t>
  </si>
  <si>
    <t>赤パネルを5個吸収し、赤属性で攻撃</t>
  </si>
  <si>
    <t>赤パネルを6個吸収し、赤属性で攻撃</t>
  </si>
  <si>
    <t>赤パネルを7個吸収し、赤属性で攻撃</t>
  </si>
  <si>
    <t>赤パネルを8個吸収し、赤属性で攻撃</t>
  </si>
  <si>
    <t>赤パネルを全て吸収し、赤属性で攻撃</t>
    <rPh sb="5" eb="6">
      <t>スベｔ</t>
    </rPh>
    <phoneticPr fontId="5"/>
  </si>
  <si>
    <t>2ターン敵の種族アニマルの攻撃頻度UP</t>
    <phoneticPr fontId="5"/>
  </si>
  <si>
    <t>もっと本気出しちゃうもんね！</t>
    <rPh sb="3" eb="6">
      <t>ホｎ</t>
    </rPh>
    <phoneticPr fontId="5"/>
  </si>
  <si>
    <t>[effect:fix_speed, target:myself, turn:1]</t>
    <phoneticPr fontId="5"/>
  </si>
  <si>
    <t>old</t>
    <phoneticPr fontId="5"/>
  </si>
  <si>
    <t>[effect:break_attack, target:unit_all, val:0.06, lowest_val:0, count:1, color:red, block01:block_red],[effect:enemy_message, val1:1.2, val2:1.4]</t>
  </si>
  <si>
    <t>[effect:break_attack, target:unit_all, val:0.06, lowest_val:0, count:2, color:red, block01:block_red],[effect:enemy_message, val1:1.2, val2:1.4]</t>
  </si>
  <si>
    <t>[effect:break_attack, target:unit_all, val:0.06, lowest_val:0, count:3, color:red, block01:block_red],[effect:enemy_message, val1:1.2, val2:1.4]</t>
  </si>
  <si>
    <t>[effect:break_attack, target:unit_all, val:0.06, lowest_val:0, count:4, color:red, block01:block_red],[effect:enemy_message, val1:1.2, val2:1.4]</t>
  </si>
  <si>
    <t>[effect:break_attack, target:unit_all, val:0.06, lowest_val:0, count:5, color:red, block01:block_red],[effect:enemy_message, val1:1.2, val2:1.4]</t>
  </si>
  <si>
    <t>[effect:break_attack, target:unit_all, val:0.06, lowest_val:0, count:6, color:red, block01:block_red],[effect:enemy_message, val1:1.2, val2:1.4]</t>
  </si>
  <si>
    <t>[effect:break_attack, target:unit_all, val:0.06, lowest_val:0, count:7, color:red, block01:block_red],[effect:enemy_message, val1:1.2, val2:1.4]</t>
  </si>
  <si>
    <t>[effect:break_attack, target:unit_all, val:0.06, lowest_val:0, count:-1, color:red, block01:block_red],[effect:enemy_message, val1:1.2, val2:1.4]</t>
  </si>
  <si>
    <t>[effect:break_attack, target:unit_all, val:0.06, lowest_val:0, count:2,color:red, block01:block_red],[effect:enemy_message, val1:1.2, val2:1.4]</t>
    <phoneticPr fontId="5"/>
  </si>
  <si>
    <t>[effect:break_attack, target:unit_all, val:0.06, lowest_val:0, count:3,color:red, block01:block_red],[effect:enemy_message, val1:1.2, val2:1.4]</t>
    <phoneticPr fontId="5"/>
  </si>
  <si>
    <t>[effect:break_attack, target:unit_all, val:0.06, lowest_val:0, count:4,color:red, block01:block_red],[effect:enemy_message, val1:1.2, val2:1.4]</t>
    <phoneticPr fontId="5"/>
  </si>
  <si>
    <t>[effect:break_attack, target:unit_all, val:0.06, lowest_val:0, count:5,color:red, block01:block_red],[effect:enemy_message, val1:1.2, val2:1.4]</t>
    <phoneticPr fontId="5"/>
  </si>
  <si>
    <t>[effect:break_attack, target:unit_all, val:0.06, lowest_val:0, count:6,color:red, block01:block_red],[effect:enemy_message, val1:1.2, val2:1.4]</t>
    <phoneticPr fontId="5"/>
  </si>
  <si>
    <t>[effect:break_attack, target:unit_all, val:0.06, lowest_val:0, count:7,color:red, block01:block_red],[effect:enemy_message, val1:1.2, val2:1.4]</t>
    <phoneticPr fontId="5"/>
  </si>
  <si>
    <t>[effect:break_attack, target:unit_all, val:0.06, lowest_val:0, count:-1,color:red, block01:block_red],[effect:enemy_message, val1:1.2, val2:1.4]</t>
    <phoneticPr fontId="5"/>
  </si>
  <si>
    <t>[effect:break_attack, target:unit_all, val:0.06, lowest_val:1000, count:-1,color:red, block01:block_red],[effect:enemy_message, val1:1.2, val2:1.4]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</si>
</sst>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23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6" fillId="0" borderId="3" xfId="0" applyFont="1" applyFill="1" applyBorder="1" applyAlignment="1">
      <alignment vertical="center"/>
    </xf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31" fillId="14" borderId="7" xfId="0" applyFont="1" applyFill="1" applyBorder="1"/>
    <xf numFmtId="38" fontId="16" fillId="14" borderId="7" xfId="628" applyFont="1" applyFill="1" applyBorder="1" applyAlignment="1"/>
    <xf numFmtId="0" fontId="16" fillId="6" borderId="7" xfId="11" applyFont="1" applyFill="1" applyBorder="1" applyAlignment="1">
      <alignment horizontal="left"/>
    </xf>
    <xf numFmtId="0" fontId="26" fillId="0" borderId="0" xfId="0" applyFont="1"/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1" fontId="32" fillId="3" borderId="7" xfId="0" applyNumberFormat="1" applyFont="1" applyFill="1" applyBorder="1" applyAlignment="1">
      <alignment vertical="center"/>
    </xf>
    <xf numFmtId="0" fontId="12" fillId="32" borderId="0" xfId="0" applyFont="1" applyFill="1" applyAlignment="1">
      <alignment vertical="center"/>
    </xf>
    <xf numFmtId="0" fontId="4" fillId="32" borderId="0" xfId="0" applyFont="1" applyFill="1" applyAlignment="1">
      <alignment vertical="center"/>
    </xf>
    <xf numFmtId="0" fontId="4" fillId="32" borderId="0" xfId="0" applyFont="1" applyFill="1" applyAlignment="1">
      <alignment horizontal="center" vertical="center"/>
    </xf>
    <xf numFmtId="0" fontId="16" fillId="0" borderId="7" xfId="0" applyFont="1" applyFill="1" applyBorder="1" applyAlignment="1">
      <alignment vertical="center" wrapText="1"/>
    </xf>
    <xf numFmtId="0" fontId="16" fillId="32" borderId="7" xfId="0" applyFont="1" applyFill="1" applyBorder="1" applyAlignment="1">
      <alignment vertical="center" wrapText="1"/>
    </xf>
    <xf numFmtId="38" fontId="16" fillId="0" borderId="7" xfId="628" applyFont="1" applyFill="1" applyBorder="1" applyAlignment="1">
      <alignment wrapText="1"/>
    </xf>
    <xf numFmtId="0" fontId="0" fillId="33" borderId="7" xfId="0" applyFill="1" applyBorder="1"/>
    <xf numFmtId="0" fontId="0" fillId="34" borderId="7" xfId="0" applyFill="1" applyBorder="1"/>
    <xf numFmtId="177" fontId="8" fillId="35" borderId="4" xfId="0" applyNumberFormat="1" applyFont="1" applyFill="1" applyBorder="1" applyAlignment="1">
      <alignment vertical="center"/>
    </xf>
    <xf numFmtId="0" fontId="8" fillId="35" borderId="4" xfId="0" applyFont="1" applyFill="1" applyBorder="1" applyAlignment="1">
      <alignment vertical="center"/>
    </xf>
    <xf numFmtId="0" fontId="8" fillId="34" borderId="4" xfId="0" applyFont="1" applyFill="1" applyBorder="1" applyAlignment="1">
      <alignment vertical="center"/>
    </xf>
    <xf numFmtId="177" fontId="8" fillId="34" borderId="4" xfId="0" applyNumberFormat="1" applyFont="1" applyFill="1" applyBorder="1" applyAlignment="1">
      <alignment vertical="center"/>
    </xf>
    <xf numFmtId="0" fontId="16" fillId="34" borderId="7" xfId="0" applyFont="1" applyFill="1" applyBorder="1" applyAlignment="1">
      <alignment vertical="center"/>
    </xf>
    <xf numFmtId="0" fontId="16" fillId="34" borderId="7" xfId="0" applyFont="1" applyFill="1" applyBorder="1" applyAlignment="1">
      <alignment vertical="center" wrapText="1"/>
    </xf>
    <xf numFmtId="0" fontId="16" fillId="34" borderId="7" xfId="0" applyFont="1" applyFill="1" applyBorder="1" applyAlignment="1">
      <alignment horizontal="left" vertical="center"/>
    </xf>
    <xf numFmtId="0" fontId="16" fillId="34" borderId="7" xfId="0" applyFont="1" applyFill="1" applyBorder="1" applyAlignment="1">
      <alignment horizontal="left" vertical="center" wrapText="1"/>
    </xf>
    <xf numFmtId="14" fontId="16" fillId="34" borderId="7" xfId="0" applyNumberFormat="1" applyFont="1" applyFill="1" applyBorder="1" applyAlignment="1">
      <alignment horizontal="left" vertical="center"/>
    </xf>
    <xf numFmtId="0" fontId="16" fillId="34" borderId="0" xfId="0" applyFont="1" applyFill="1" applyAlignment="1">
      <alignment vertical="center"/>
    </xf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2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tyles" Target="styles.xml"/><Relationship Id="rId21" Type="http://schemas.openxmlformats.org/officeDocument/2006/relationships/sharedStrings" Target="sharedStrings.xml"/><Relationship Id="rId22" Type="http://schemas.openxmlformats.org/officeDocument/2006/relationships/calcChain" Target="calcChain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externalLink" Target="externalLinks/externalLink7.xml"/><Relationship Id="rId19" Type="http://schemas.openxmlformats.org/officeDocument/2006/relationships/theme" Target="theme/theme1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BULL_data/master_excel/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12001</v>
          </cell>
        </row>
        <row r="89">
          <cell r="A89">
            <v>12002</v>
          </cell>
        </row>
        <row r="90">
          <cell r="A90">
            <v>12003</v>
          </cell>
        </row>
        <row r="91">
          <cell r="A91">
            <v>12004</v>
          </cell>
        </row>
        <row r="92">
          <cell r="A92">
            <v>13001</v>
          </cell>
        </row>
        <row r="93">
          <cell r="A93">
            <v>13101</v>
          </cell>
        </row>
        <row r="94">
          <cell r="A94">
            <v>13300</v>
          </cell>
        </row>
        <row r="95">
          <cell r="A95">
            <v>13301</v>
          </cell>
        </row>
        <row r="96">
          <cell r="A96">
            <v>13302</v>
          </cell>
        </row>
        <row r="97">
          <cell r="A97">
            <v>13400</v>
          </cell>
        </row>
        <row r="98">
          <cell r="A98">
            <v>14001</v>
          </cell>
        </row>
        <row r="99">
          <cell r="A99">
            <v>14002</v>
          </cell>
        </row>
        <row r="100">
          <cell r="A100">
            <v>14003</v>
          </cell>
        </row>
        <row r="101">
          <cell r="A101">
            <v>14004</v>
          </cell>
        </row>
        <row r="102">
          <cell r="A102">
            <v>14005</v>
          </cell>
        </row>
        <row r="103">
          <cell r="A103">
            <v>14006</v>
          </cell>
        </row>
        <row r="104">
          <cell r="A104">
            <v>15027</v>
          </cell>
        </row>
        <row r="105">
          <cell r="A105">
            <v>15028</v>
          </cell>
        </row>
        <row r="106">
          <cell r="A106">
            <v>15029</v>
          </cell>
        </row>
        <row r="107">
          <cell r="A107">
            <v>15030</v>
          </cell>
        </row>
        <row r="108">
          <cell r="A108">
            <v>15031</v>
          </cell>
        </row>
        <row r="109">
          <cell r="A109">
            <v>20001</v>
          </cell>
        </row>
        <row r="110">
          <cell r="A110">
            <v>20002</v>
          </cell>
        </row>
        <row r="111">
          <cell r="A111">
            <v>20003</v>
          </cell>
        </row>
        <row r="112">
          <cell r="A112">
            <v>20004</v>
          </cell>
        </row>
        <row r="113">
          <cell r="A113">
            <v>20005</v>
          </cell>
        </row>
        <row r="114">
          <cell r="A114">
            <v>20006</v>
          </cell>
        </row>
        <row r="115">
          <cell r="A115">
            <v>20007</v>
          </cell>
        </row>
        <row r="116">
          <cell r="A116">
            <v>20008</v>
          </cell>
        </row>
        <row r="117">
          <cell r="A117">
            <v>20009</v>
          </cell>
        </row>
        <row r="118">
          <cell r="A118">
            <v>20010</v>
          </cell>
        </row>
        <row r="119">
          <cell r="A119">
            <v>20011</v>
          </cell>
        </row>
        <row r="120">
          <cell r="A120">
            <v>20012</v>
          </cell>
        </row>
        <row r="121">
          <cell r="A121">
            <v>20013</v>
          </cell>
        </row>
        <row r="122">
          <cell r="A122">
            <v>20014</v>
          </cell>
        </row>
        <row r="123">
          <cell r="A123">
            <v>20015</v>
          </cell>
        </row>
        <row r="124">
          <cell r="A124">
            <v>20016</v>
          </cell>
        </row>
        <row r="125">
          <cell r="A125">
            <v>20017</v>
          </cell>
        </row>
        <row r="126">
          <cell r="A126">
            <v>20018</v>
          </cell>
        </row>
        <row r="127">
          <cell r="A127">
            <v>20019</v>
          </cell>
        </row>
        <row r="128">
          <cell r="A128">
            <v>20020</v>
          </cell>
        </row>
        <row r="129">
          <cell r="A129">
            <v>20021</v>
          </cell>
        </row>
        <row r="130">
          <cell r="A130">
            <v>20022</v>
          </cell>
        </row>
        <row r="131">
          <cell r="A131">
            <v>30001</v>
          </cell>
        </row>
        <row r="132">
          <cell r="A132">
            <v>30002</v>
          </cell>
        </row>
        <row r="133">
          <cell r="A133">
            <v>30003</v>
          </cell>
        </row>
        <row r="134">
          <cell r="A134">
            <v>30004</v>
          </cell>
        </row>
        <row r="135">
          <cell r="A135">
            <v>30005</v>
          </cell>
        </row>
        <row r="136">
          <cell r="A136">
            <v>30006</v>
          </cell>
        </row>
        <row r="137">
          <cell r="A137">
            <v>30007</v>
          </cell>
        </row>
        <row r="138">
          <cell r="A138">
            <v>30008</v>
          </cell>
        </row>
        <row r="139">
          <cell r="A139">
            <v>30009</v>
          </cell>
        </row>
        <row r="140">
          <cell r="A140">
            <v>30010</v>
          </cell>
        </row>
        <row r="141">
          <cell r="A141">
            <v>30011</v>
          </cell>
        </row>
        <row r="142">
          <cell r="A142">
            <v>30012</v>
          </cell>
        </row>
        <row r="143">
          <cell r="A143">
            <v>30013</v>
          </cell>
        </row>
        <row r="144">
          <cell r="A144">
            <v>30014</v>
          </cell>
        </row>
        <row r="145">
          <cell r="A145">
            <v>30015</v>
          </cell>
        </row>
        <row r="146">
          <cell r="A146">
            <v>30016</v>
          </cell>
        </row>
        <row r="147">
          <cell r="A147">
            <v>30017</v>
          </cell>
        </row>
        <row r="148">
          <cell r="A148">
            <v>30018</v>
          </cell>
        </row>
        <row r="149">
          <cell r="A149">
            <v>30019</v>
          </cell>
        </row>
        <row r="150">
          <cell r="A150">
            <v>30020</v>
          </cell>
        </row>
        <row r="151">
          <cell r="A151">
            <v>30021</v>
          </cell>
        </row>
        <row r="152">
          <cell r="A152">
            <v>30022</v>
          </cell>
        </row>
        <row r="153">
          <cell r="A153">
            <v>30023</v>
          </cell>
        </row>
        <row r="154">
          <cell r="A154">
            <v>30024</v>
          </cell>
        </row>
        <row r="155">
          <cell r="A155">
            <v>30025</v>
          </cell>
        </row>
        <row r="156">
          <cell r="A156">
            <v>30026</v>
          </cell>
        </row>
        <row r="157">
          <cell r="A157">
            <v>30027</v>
          </cell>
        </row>
        <row r="158">
          <cell r="A158">
            <v>30028</v>
          </cell>
        </row>
        <row r="159">
          <cell r="A159">
            <v>30029</v>
          </cell>
        </row>
        <row r="160">
          <cell r="A160">
            <v>30030</v>
          </cell>
        </row>
        <row r="161">
          <cell r="A161">
            <v>30031</v>
          </cell>
        </row>
        <row r="162">
          <cell r="A162">
            <v>30032</v>
          </cell>
        </row>
        <row r="163">
          <cell r="A163">
            <v>30033</v>
          </cell>
        </row>
        <row r="164">
          <cell r="A164">
            <v>30034</v>
          </cell>
        </row>
        <row r="165">
          <cell r="A165">
            <v>30035</v>
          </cell>
        </row>
        <row r="166">
          <cell r="A166">
            <v>30036</v>
          </cell>
        </row>
        <row r="167">
          <cell r="A167">
            <v>30037</v>
          </cell>
        </row>
        <row r="168">
          <cell r="A168">
            <v>30038</v>
          </cell>
        </row>
        <row r="169">
          <cell r="A169">
            <v>30039</v>
          </cell>
        </row>
        <row r="170">
          <cell r="A170">
            <v>30040</v>
          </cell>
        </row>
        <row r="171">
          <cell r="A171">
            <v>30041</v>
          </cell>
        </row>
        <row r="172">
          <cell r="A172">
            <v>30042</v>
          </cell>
        </row>
        <row r="173">
          <cell r="A173">
            <v>30043</v>
          </cell>
        </row>
        <row r="174">
          <cell r="A174">
            <v>30044</v>
          </cell>
        </row>
        <row r="175">
          <cell r="A175">
            <v>30045</v>
          </cell>
        </row>
        <row r="176">
          <cell r="A176">
            <v>30046</v>
          </cell>
        </row>
        <row r="177">
          <cell r="A177">
            <v>30047</v>
          </cell>
        </row>
        <row r="178">
          <cell r="A178">
            <v>30048</v>
          </cell>
        </row>
        <row r="179">
          <cell r="A179">
            <v>39001</v>
          </cell>
        </row>
        <row r="180">
          <cell r="A180">
            <v>39002</v>
          </cell>
        </row>
        <row r="181">
          <cell r="A181">
            <v>39003</v>
          </cell>
        </row>
        <row r="182">
          <cell r="A182">
            <v>39004</v>
          </cell>
        </row>
        <row r="183">
          <cell r="A183">
            <v>39005</v>
          </cell>
        </row>
        <row r="184">
          <cell r="A184">
            <v>39006</v>
          </cell>
        </row>
        <row r="185">
          <cell r="A185">
            <v>39007</v>
          </cell>
        </row>
        <row r="186">
          <cell r="A186">
            <v>39008</v>
          </cell>
        </row>
        <row r="187">
          <cell r="A187">
            <v>39009</v>
          </cell>
        </row>
        <row r="188">
          <cell r="A188">
            <v>39010</v>
          </cell>
        </row>
        <row r="189">
          <cell r="A189">
            <v>39011</v>
          </cell>
        </row>
        <row r="190">
          <cell r="A190">
            <v>39012</v>
          </cell>
        </row>
        <row r="191">
          <cell r="A191">
            <v>40001</v>
          </cell>
        </row>
        <row r="192">
          <cell r="A192">
            <v>40002</v>
          </cell>
        </row>
        <row r="193">
          <cell r="A193">
            <v>40003</v>
          </cell>
        </row>
        <row r="194">
          <cell r="A194">
            <v>40004</v>
          </cell>
        </row>
        <row r="195">
          <cell r="A195">
            <v>40005</v>
          </cell>
        </row>
        <row r="196">
          <cell r="A196">
            <v>40006</v>
          </cell>
        </row>
        <row r="197">
          <cell r="A197">
            <v>40007</v>
          </cell>
        </row>
        <row r="198">
          <cell r="A198">
            <v>40008</v>
          </cell>
        </row>
        <row r="199">
          <cell r="A199">
            <v>40009</v>
          </cell>
        </row>
        <row r="200">
          <cell r="A200">
            <v>40010</v>
          </cell>
        </row>
        <row r="201">
          <cell r="A201">
            <v>40011</v>
          </cell>
        </row>
        <row r="202">
          <cell r="A202">
            <v>40012</v>
          </cell>
        </row>
        <row r="203">
          <cell r="A203">
            <v>40013</v>
          </cell>
        </row>
        <row r="204">
          <cell r="A204">
            <v>40014</v>
          </cell>
        </row>
        <row r="205">
          <cell r="A205">
            <v>40015</v>
          </cell>
        </row>
        <row r="206">
          <cell r="A206">
            <v>40016</v>
          </cell>
        </row>
        <row r="207">
          <cell r="A207">
            <v>40017</v>
          </cell>
        </row>
        <row r="208">
          <cell r="A208">
            <v>40018</v>
          </cell>
        </row>
        <row r="209">
          <cell r="A209">
            <v>40019</v>
          </cell>
        </row>
        <row r="210">
          <cell r="A210">
            <v>40021</v>
          </cell>
        </row>
        <row r="211">
          <cell r="A211">
            <v>40022</v>
          </cell>
        </row>
        <row r="212">
          <cell r="A212">
            <v>40023</v>
          </cell>
        </row>
        <row r="213">
          <cell r="A213">
            <v>40024</v>
          </cell>
        </row>
        <row r="214">
          <cell r="A214">
            <v>40025</v>
          </cell>
        </row>
        <row r="215">
          <cell r="A215">
            <v>40026</v>
          </cell>
        </row>
        <row r="216">
          <cell r="A216">
            <v>40027</v>
          </cell>
        </row>
        <row r="217">
          <cell r="A217">
            <v>40028</v>
          </cell>
        </row>
        <row r="218">
          <cell r="A218">
            <v>40029</v>
          </cell>
        </row>
        <row r="219">
          <cell r="A219">
            <v>40030</v>
          </cell>
        </row>
        <row r="220">
          <cell r="A220">
            <v>40031</v>
          </cell>
        </row>
        <row r="221">
          <cell r="A221">
            <v>40032</v>
          </cell>
        </row>
        <row r="222">
          <cell r="A222">
            <v>40033</v>
          </cell>
        </row>
        <row r="223">
          <cell r="A223">
            <v>40034</v>
          </cell>
        </row>
        <row r="224">
          <cell r="A224">
            <v>40035</v>
          </cell>
        </row>
        <row r="225">
          <cell r="A225">
            <v>40036</v>
          </cell>
        </row>
        <row r="226">
          <cell r="A226">
            <v>40037</v>
          </cell>
        </row>
        <row r="227">
          <cell r="A227">
            <v>40038</v>
          </cell>
        </row>
        <row r="228">
          <cell r="A228">
            <v>40039</v>
          </cell>
        </row>
        <row r="229">
          <cell r="A229">
            <v>40040</v>
          </cell>
        </row>
        <row r="230">
          <cell r="A230">
            <v>40041</v>
          </cell>
        </row>
        <row r="231">
          <cell r="A231">
            <v>40042</v>
          </cell>
        </row>
        <row r="232">
          <cell r="A232">
            <v>40043</v>
          </cell>
        </row>
        <row r="233">
          <cell r="A233">
            <v>48001</v>
          </cell>
        </row>
        <row r="234">
          <cell r="A234">
            <v>48002</v>
          </cell>
        </row>
        <row r="235">
          <cell r="A235">
            <v>48003</v>
          </cell>
        </row>
        <row r="236">
          <cell r="A236">
            <v>48004</v>
          </cell>
        </row>
        <row r="237">
          <cell r="A237">
            <v>48005</v>
          </cell>
        </row>
        <row r="238">
          <cell r="A238">
            <v>48006</v>
          </cell>
        </row>
        <row r="239">
          <cell r="A239">
            <v>48007</v>
          </cell>
        </row>
        <row r="240">
          <cell r="A240">
            <v>48008</v>
          </cell>
        </row>
        <row r="241">
          <cell r="A241">
            <v>48009</v>
          </cell>
        </row>
        <row r="242">
          <cell r="A242">
            <v>48010</v>
          </cell>
        </row>
        <row r="243">
          <cell r="A243">
            <v>48011</v>
          </cell>
        </row>
        <row r="244">
          <cell r="A244">
            <v>48501</v>
          </cell>
        </row>
        <row r="245">
          <cell r="A245">
            <v>48502</v>
          </cell>
        </row>
        <row r="246">
          <cell r="A246">
            <v>48701</v>
          </cell>
        </row>
        <row r="247">
          <cell r="A247">
            <v>41001</v>
          </cell>
        </row>
        <row r="248">
          <cell r="A248">
            <v>41002</v>
          </cell>
        </row>
        <row r="249">
          <cell r="A249">
            <v>41003</v>
          </cell>
        </row>
        <row r="250">
          <cell r="A250">
            <v>41004</v>
          </cell>
        </row>
        <row r="251">
          <cell r="A251">
            <v>41005</v>
          </cell>
        </row>
        <row r="252">
          <cell r="A252">
            <v>41006</v>
          </cell>
        </row>
        <row r="253">
          <cell r="A253">
            <v>41007</v>
          </cell>
        </row>
        <row r="254">
          <cell r="A254">
            <v>41008</v>
          </cell>
        </row>
        <row r="255">
          <cell r="A255">
            <v>41009</v>
          </cell>
        </row>
        <row r="256">
          <cell r="A256">
            <v>41010</v>
          </cell>
        </row>
        <row r="257">
          <cell r="A257">
            <v>41011</v>
          </cell>
        </row>
        <row r="258">
          <cell r="A258">
            <v>41012</v>
          </cell>
        </row>
        <row r="259">
          <cell r="A259">
            <v>41013</v>
          </cell>
        </row>
        <row r="260">
          <cell r="A260">
            <v>41014</v>
          </cell>
        </row>
        <row r="261">
          <cell r="A261">
            <v>41015</v>
          </cell>
        </row>
        <row r="262">
          <cell r="A262">
            <v>47001</v>
          </cell>
        </row>
        <row r="263">
          <cell r="A263">
            <v>47002</v>
          </cell>
        </row>
        <row r="264">
          <cell r="A264">
            <v>47003</v>
          </cell>
        </row>
        <row r="265">
          <cell r="A265">
            <v>47004</v>
          </cell>
        </row>
        <row r="266">
          <cell r="A266">
            <v>47005</v>
          </cell>
        </row>
        <row r="267">
          <cell r="A267">
            <v>47006</v>
          </cell>
        </row>
        <row r="268">
          <cell r="A268">
            <v>47007</v>
          </cell>
        </row>
        <row r="269">
          <cell r="A269">
            <v>47008</v>
          </cell>
        </row>
        <row r="270">
          <cell r="A270">
            <v>47009</v>
          </cell>
        </row>
        <row r="271">
          <cell r="A271">
            <v>47010</v>
          </cell>
        </row>
        <row r="272">
          <cell r="A272">
            <v>47011</v>
          </cell>
        </row>
        <row r="273">
          <cell r="A273">
            <v>49001</v>
          </cell>
        </row>
        <row r="274">
          <cell r="A274">
            <v>49002</v>
          </cell>
        </row>
        <row r="275">
          <cell r="A275">
            <v>49003</v>
          </cell>
        </row>
        <row r="276">
          <cell r="A276">
            <v>49004</v>
          </cell>
        </row>
        <row r="277">
          <cell r="A277">
            <v>49005</v>
          </cell>
        </row>
        <row r="278">
          <cell r="A278">
            <v>49006</v>
          </cell>
        </row>
        <row r="279">
          <cell r="A279">
            <v>49007</v>
          </cell>
        </row>
        <row r="280">
          <cell r="A280">
            <v>49008</v>
          </cell>
        </row>
        <row r="281">
          <cell r="A281">
            <v>49009</v>
          </cell>
        </row>
        <row r="282">
          <cell r="A282">
            <v>49010</v>
          </cell>
        </row>
        <row r="283">
          <cell r="A283">
            <v>49011</v>
          </cell>
        </row>
        <row r="284">
          <cell r="A284">
            <v>49012</v>
          </cell>
        </row>
        <row r="285">
          <cell r="A285">
            <v>49013</v>
          </cell>
        </row>
        <row r="286">
          <cell r="A286">
            <v>49014</v>
          </cell>
        </row>
        <row r="287">
          <cell r="A287">
            <v>49015</v>
          </cell>
        </row>
        <row r="288">
          <cell r="A288">
            <v>50001</v>
          </cell>
        </row>
        <row r="289">
          <cell r="A289">
            <v>50002</v>
          </cell>
        </row>
        <row r="290">
          <cell r="A290">
            <v>50003</v>
          </cell>
        </row>
        <row r="291">
          <cell r="A291">
            <v>50004</v>
          </cell>
        </row>
        <row r="292">
          <cell r="A292">
            <v>50005</v>
          </cell>
        </row>
        <row r="293">
          <cell r="A293">
            <v>50006</v>
          </cell>
        </row>
        <row r="294">
          <cell r="A294">
            <v>50007</v>
          </cell>
        </row>
        <row r="295">
          <cell r="A295">
            <v>50008</v>
          </cell>
        </row>
        <row r="296">
          <cell r="A296">
            <v>50009</v>
          </cell>
        </row>
        <row r="297">
          <cell r="A297">
            <v>50010</v>
          </cell>
        </row>
        <row r="298">
          <cell r="A298">
            <v>50011</v>
          </cell>
        </row>
        <row r="299">
          <cell r="A299">
            <v>50012</v>
          </cell>
        </row>
        <row r="300">
          <cell r="A300">
            <v>50013</v>
          </cell>
        </row>
        <row r="301">
          <cell r="A301">
            <v>50014</v>
          </cell>
        </row>
        <row r="302">
          <cell r="A302">
            <v>51001</v>
          </cell>
        </row>
        <row r="303">
          <cell r="A303">
            <v>51002</v>
          </cell>
        </row>
        <row r="304">
          <cell r="A304">
            <v>58001</v>
          </cell>
        </row>
        <row r="305">
          <cell r="A305">
            <v>59001</v>
          </cell>
        </row>
        <row r="306">
          <cell r="A306">
            <v>59002</v>
          </cell>
        </row>
        <row r="307">
          <cell r="A307">
            <v>60001</v>
          </cell>
        </row>
        <row r="308">
          <cell r="A308">
            <v>60002</v>
          </cell>
        </row>
        <row r="309">
          <cell r="A309">
            <v>60003</v>
          </cell>
        </row>
        <row r="310">
          <cell r="A310">
            <v>60004</v>
          </cell>
        </row>
        <row r="311">
          <cell r="A311">
            <v>60005</v>
          </cell>
        </row>
        <row r="312">
          <cell r="A312">
            <v>60006</v>
          </cell>
        </row>
        <row r="313">
          <cell r="A313">
            <v>60007</v>
          </cell>
        </row>
        <row r="314">
          <cell r="A314">
            <v>60010</v>
          </cell>
        </row>
        <row r="315">
          <cell r="A315">
            <v>60011</v>
          </cell>
        </row>
        <row r="316">
          <cell r="A316">
            <v>61011</v>
          </cell>
        </row>
        <row r="317">
          <cell r="A317">
            <v>60012</v>
          </cell>
        </row>
        <row r="318">
          <cell r="A318">
            <v>60013</v>
          </cell>
        </row>
        <row r="319">
          <cell r="A319">
            <v>60014</v>
          </cell>
        </row>
        <row r="320">
          <cell r="A320">
            <v>60015</v>
          </cell>
        </row>
        <row r="321">
          <cell r="A321">
            <v>60016</v>
          </cell>
        </row>
        <row r="322">
          <cell r="A322">
            <v>60017</v>
          </cell>
        </row>
        <row r="323">
          <cell r="A323">
            <v>60018</v>
          </cell>
        </row>
        <row r="324">
          <cell r="A324">
            <v>60019</v>
          </cell>
        </row>
        <row r="325">
          <cell r="A325">
            <v>60020</v>
          </cell>
        </row>
        <row r="326">
          <cell r="A326">
            <v>60025</v>
          </cell>
        </row>
        <row r="327">
          <cell r="A327">
            <v>60026</v>
          </cell>
        </row>
        <row r="328">
          <cell r="A328">
            <v>60027</v>
          </cell>
        </row>
        <row r="329">
          <cell r="A329">
            <v>60028</v>
          </cell>
        </row>
        <row r="330">
          <cell r="A330">
            <v>65525</v>
          </cell>
        </row>
        <row r="331">
          <cell r="A331">
            <v>65526</v>
          </cell>
        </row>
        <row r="332">
          <cell r="A332">
            <v>65527</v>
          </cell>
        </row>
        <row r="333">
          <cell r="A333">
            <v>65528</v>
          </cell>
        </row>
        <row r="334">
          <cell r="A334">
            <v>65529</v>
          </cell>
        </row>
        <row r="335">
          <cell r="A335">
            <v>65530</v>
          </cell>
        </row>
        <row r="336">
          <cell r="A336">
            <v>65531</v>
          </cell>
        </row>
        <row r="337">
          <cell r="A337">
            <v>65532</v>
          </cell>
        </row>
        <row r="338">
          <cell r="A338">
            <v>65533</v>
          </cell>
        </row>
        <row r="339">
          <cell r="A339">
            <v>65534</v>
          </cell>
        </row>
        <row r="340">
          <cell r="A340">
            <v>65535</v>
          </cell>
        </row>
        <row r="341">
          <cell r="A341">
            <v>60021</v>
          </cell>
        </row>
        <row r="342">
          <cell r="A342">
            <v>60022</v>
          </cell>
        </row>
        <row r="343">
          <cell r="A343">
            <v>60023</v>
          </cell>
        </row>
        <row r="344">
          <cell r="A344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12001_1</v>
          </cell>
        </row>
        <row r="300">
          <cell r="A300" t="str">
            <v>12001_2</v>
          </cell>
        </row>
        <row r="301">
          <cell r="A301" t="str">
            <v>12001_3</v>
          </cell>
        </row>
        <row r="302">
          <cell r="A302" t="str">
            <v>12002_1</v>
          </cell>
        </row>
        <row r="303">
          <cell r="A303" t="str">
            <v>12002_2</v>
          </cell>
        </row>
        <row r="304">
          <cell r="A304" t="str">
            <v>12003_1</v>
          </cell>
        </row>
        <row r="305">
          <cell r="A305" t="str">
            <v>12003_2</v>
          </cell>
        </row>
        <row r="306">
          <cell r="A306" t="str">
            <v>12003_3</v>
          </cell>
        </row>
        <row r="307">
          <cell r="A307" t="str">
            <v>12003_4</v>
          </cell>
        </row>
        <row r="308">
          <cell r="A308" t="str">
            <v>12004_1</v>
          </cell>
        </row>
        <row r="309">
          <cell r="A309" t="str">
            <v>13001_1</v>
          </cell>
        </row>
        <row r="310">
          <cell r="A310" t="str">
            <v>13001_2</v>
          </cell>
        </row>
        <row r="311">
          <cell r="A311" t="str">
            <v>13001_3</v>
          </cell>
        </row>
        <row r="312">
          <cell r="A312" t="str">
            <v>13001_4</v>
          </cell>
        </row>
        <row r="313">
          <cell r="A313" t="str">
            <v>13001_5</v>
          </cell>
        </row>
        <row r="314">
          <cell r="A314" t="str">
            <v>13001_6</v>
          </cell>
        </row>
        <row r="315">
          <cell r="A315" t="str">
            <v>13001_7</v>
          </cell>
        </row>
        <row r="316">
          <cell r="A316" t="str">
            <v>13001_8</v>
          </cell>
        </row>
        <row r="317">
          <cell r="A317" t="str">
            <v>13001_9</v>
          </cell>
        </row>
        <row r="318">
          <cell r="A318" t="str">
            <v>13001_10</v>
          </cell>
        </row>
        <row r="319">
          <cell r="A319" t="str">
            <v>13001_11</v>
          </cell>
        </row>
        <row r="320">
          <cell r="A320" t="str">
            <v>13001_12</v>
          </cell>
        </row>
        <row r="321">
          <cell r="A321" t="str">
            <v>13001_13</v>
          </cell>
        </row>
        <row r="322">
          <cell r="A322" t="str">
            <v>13001_14</v>
          </cell>
        </row>
        <row r="323">
          <cell r="A323" t="str">
            <v>13001_15</v>
          </cell>
        </row>
        <row r="324">
          <cell r="A324" t="str">
            <v>13001_16</v>
          </cell>
        </row>
        <row r="325">
          <cell r="A325" t="str">
            <v>13001_17</v>
          </cell>
        </row>
        <row r="326">
          <cell r="A326" t="str">
            <v>13001_18</v>
          </cell>
        </row>
        <row r="327">
          <cell r="A327" t="str">
            <v>13001_19</v>
          </cell>
        </row>
        <row r="328">
          <cell r="A328" t="str">
            <v>13001_20</v>
          </cell>
        </row>
        <row r="329">
          <cell r="A329" t="str">
            <v>13001_21</v>
          </cell>
        </row>
        <row r="330">
          <cell r="A330" t="str">
            <v>13001_22</v>
          </cell>
        </row>
        <row r="331">
          <cell r="A331" t="str">
            <v>13001_23</v>
          </cell>
        </row>
        <row r="332">
          <cell r="A332" t="str">
            <v>13001_24</v>
          </cell>
        </row>
        <row r="333">
          <cell r="A333" t="str">
            <v>13001_25</v>
          </cell>
        </row>
        <row r="334">
          <cell r="A334" t="str">
            <v>13101_1</v>
          </cell>
        </row>
        <row r="335">
          <cell r="A335" t="str">
            <v>13101_2</v>
          </cell>
        </row>
        <row r="336">
          <cell r="A336" t="str">
            <v>13101_3</v>
          </cell>
        </row>
        <row r="337">
          <cell r="A337" t="str">
            <v>13101_4</v>
          </cell>
        </row>
        <row r="338">
          <cell r="A338" t="str">
            <v>13101_5</v>
          </cell>
        </row>
        <row r="339">
          <cell r="A339" t="str">
            <v>13101_6</v>
          </cell>
        </row>
        <row r="340">
          <cell r="A340" t="str">
            <v>13101_7</v>
          </cell>
        </row>
        <row r="341">
          <cell r="A341" t="str">
            <v>13101_8</v>
          </cell>
        </row>
        <row r="342">
          <cell r="A342" t="str">
            <v>13101_9</v>
          </cell>
        </row>
        <row r="343">
          <cell r="A343" t="str">
            <v>13101_10</v>
          </cell>
        </row>
        <row r="344">
          <cell r="A344" t="str">
            <v>13101_11</v>
          </cell>
        </row>
        <row r="345">
          <cell r="A345" t="str">
            <v>13101_12</v>
          </cell>
        </row>
        <row r="346">
          <cell r="A346" t="str">
            <v>13101_13</v>
          </cell>
        </row>
        <row r="347">
          <cell r="A347" t="str">
            <v>13101_14</v>
          </cell>
        </row>
        <row r="348">
          <cell r="A348" t="str">
            <v>13101_15</v>
          </cell>
        </row>
        <row r="349">
          <cell r="A349" t="str">
            <v>13101_16</v>
          </cell>
        </row>
        <row r="350">
          <cell r="A350" t="str">
            <v>13101_17</v>
          </cell>
        </row>
        <row r="351">
          <cell r="A351" t="str">
            <v>13101_18</v>
          </cell>
        </row>
        <row r="352">
          <cell r="A352" t="str">
            <v>13101_19</v>
          </cell>
        </row>
        <row r="353">
          <cell r="A353" t="str">
            <v>13101_20</v>
          </cell>
        </row>
        <row r="354">
          <cell r="A354" t="str">
            <v>13101_21</v>
          </cell>
        </row>
        <row r="355">
          <cell r="A355" t="str">
            <v>13101_22</v>
          </cell>
        </row>
        <row r="356">
          <cell r="A356" t="str">
            <v>13101_23</v>
          </cell>
        </row>
        <row r="357">
          <cell r="A357" t="str">
            <v>13101_24</v>
          </cell>
        </row>
        <row r="358">
          <cell r="A358" t="str">
            <v>13101_25</v>
          </cell>
        </row>
        <row r="359">
          <cell r="A359" t="str">
            <v>13300_1</v>
          </cell>
        </row>
        <row r="360">
          <cell r="A360" t="str">
            <v>13300_2</v>
          </cell>
        </row>
        <row r="361">
          <cell r="A361" t="str">
            <v>13300_3</v>
          </cell>
        </row>
        <row r="362">
          <cell r="A362" t="str">
            <v>13300_4</v>
          </cell>
        </row>
        <row r="363">
          <cell r="A363" t="str">
            <v>13300_5</v>
          </cell>
        </row>
        <row r="364">
          <cell r="A364" t="str">
            <v>13300_6</v>
          </cell>
        </row>
        <row r="365">
          <cell r="A365" t="str">
            <v>13300_7</v>
          </cell>
        </row>
        <row r="366">
          <cell r="A366" t="str">
            <v>13300_8</v>
          </cell>
        </row>
        <row r="367">
          <cell r="A367" t="str">
            <v>13300_9</v>
          </cell>
        </row>
        <row r="368">
          <cell r="A368" t="str">
            <v>13300_10</v>
          </cell>
        </row>
        <row r="369">
          <cell r="A369" t="str">
            <v>13300_11</v>
          </cell>
        </row>
        <row r="370">
          <cell r="A370" t="str">
            <v>13300_12</v>
          </cell>
        </row>
        <row r="371">
          <cell r="A371" t="str">
            <v>13300_13</v>
          </cell>
        </row>
        <row r="372">
          <cell r="A372" t="str">
            <v>13300_14</v>
          </cell>
        </row>
        <row r="373">
          <cell r="A373" t="str">
            <v>13300_15</v>
          </cell>
        </row>
        <row r="374">
          <cell r="A374" t="str">
            <v>13301_1</v>
          </cell>
        </row>
        <row r="375">
          <cell r="A375" t="str">
            <v>13301_2</v>
          </cell>
        </row>
        <row r="376">
          <cell r="A376" t="str">
            <v>13301_3</v>
          </cell>
        </row>
        <row r="377">
          <cell r="A377" t="str">
            <v>13301_4</v>
          </cell>
        </row>
        <row r="378">
          <cell r="A378" t="str">
            <v>13301_5</v>
          </cell>
        </row>
        <row r="379">
          <cell r="A379" t="str">
            <v>13301_6</v>
          </cell>
        </row>
        <row r="380">
          <cell r="A380" t="str">
            <v>13301_7</v>
          </cell>
        </row>
        <row r="381">
          <cell r="A381" t="str">
            <v>13301_8</v>
          </cell>
        </row>
        <row r="382">
          <cell r="A382" t="str">
            <v>13301_9</v>
          </cell>
        </row>
        <row r="383">
          <cell r="A383" t="str">
            <v>13301_10</v>
          </cell>
        </row>
        <row r="384">
          <cell r="A384" t="str">
            <v>13301_11</v>
          </cell>
        </row>
        <row r="385">
          <cell r="A385" t="str">
            <v>13301_12</v>
          </cell>
        </row>
        <row r="386">
          <cell r="A386" t="str">
            <v>13301_13</v>
          </cell>
        </row>
        <row r="387">
          <cell r="A387" t="str">
            <v>13301_14</v>
          </cell>
        </row>
        <row r="388">
          <cell r="A388" t="str">
            <v>13301_15</v>
          </cell>
        </row>
        <row r="389">
          <cell r="A389" t="str">
            <v>13302_1</v>
          </cell>
        </row>
        <row r="390">
          <cell r="A390" t="str">
            <v>13302_2</v>
          </cell>
        </row>
        <row r="391">
          <cell r="A391" t="str">
            <v>13302_3</v>
          </cell>
        </row>
        <row r="392">
          <cell r="A392" t="str">
            <v>13302_4</v>
          </cell>
        </row>
        <row r="393">
          <cell r="A393" t="str">
            <v>13302_5</v>
          </cell>
        </row>
        <row r="394">
          <cell r="A394" t="str">
            <v>13302_6</v>
          </cell>
        </row>
        <row r="395">
          <cell r="A395" t="str">
            <v>13302_7</v>
          </cell>
        </row>
        <row r="396">
          <cell r="A396" t="str">
            <v>13302_8</v>
          </cell>
        </row>
        <row r="397">
          <cell r="A397" t="str">
            <v>13302_9</v>
          </cell>
        </row>
        <row r="398">
          <cell r="A398" t="str">
            <v>13302_10</v>
          </cell>
        </row>
        <row r="399">
          <cell r="A399" t="str">
            <v>13302_11</v>
          </cell>
        </row>
        <row r="400">
          <cell r="A400" t="str">
            <v>13302_12</v>
          </cell>
        </row>
        <row r="401">
          <cell r="A401" t="str">
            <v>13302_13</v>
          </cell>
        </row>
        <row r="402">
          <cell r="A402" t="str">
            <v>13302_14</v>
          </cell>
        </row>
        <row r="403">
          <cell r="A403" t="str">
            <v>13302_15</v>
          </cell>
        </row>
        <row r="404">
          <cell r="A404" t="str">
            <v>13400_1</v>
          </cell>
        </row>
        <row r="405">
          <cell r="A405" t="str">
            <v>13400_2</v>
          </cell>
        </row>
        <row r="406">
          <cell r="A406" t="str">
            <v>13400_3</v>
          </cell>
        </row>
        <row r="407">
          <cell r="A407" t="str">
            <v>13400_4</v>
          </cell>
        </row>
        <row r="408">
          <cell r="A408" t="str">
            <v>13400_5</v>
          </cell>
        </row>
        <row r="409">
          <cell r="A409" t="str">
            <v>13400_6</v>
          </cell>
        </row>
        <row r="410">
          <cell r="A410" t="str">
            <v>13400_7</v>
          </cell>
        </row>
        <row r="411">
          <cell r="A411" t="str">
            <v>13400_8</v>
          </cell>
        </row>
        <row r="412">
          <cell r="A412" t="str">
            <v>13400_9</v>
          </cell>
        </row>
        <row r="413">
          <cell r="A413" t="str">
            <v>13400_10</v>
          </cell>
        </row>
        <row r="414">
          <cell r="A414" t="str">
            <v>13400_11</v>
          </cell>
        </row>
        <row r="415">
          <cell r="A415" t="str">
            <v>13400_12</v>
          </cell>
        </row>
        <row r="416">
          <cell r="A416" t="str">
            <v>13400_13</v>
          </cell>
        </row>
        <row r="417">
          <cell r="A417" t="str">
            <v>13400_14</v>
          </cell>
        </row>
        <row r="418">
          <cell r="A418" t="str">
            <v>13400_15</v>
          </cell>
        </row>
        <row r="419">
          <cell r="A419" t="str">
            <v>14001_1</v>
          </cell>
        </row>
        <row r="420">
          <cell r="A420" t="str">
            <v>14001_2</v>
          </cell>
        </row>
        <row r="421">
          <cell r="A421" t="str">
            <v>14001_3</v>
          </cell>
        </row>
        <row r="422">
          <cell r="A422" t="str">
            <v>14001_4</v>
          </cell>
        </row>
        <row r="423">
          <cell r="A423" t="str">
            <v>14001_5</v>
          </cell>
        </row>
        <row r="424">
          <cell r="A424" t="str">
            <v>14001_6</v>
          </cell>
        </row>
        <row r="425">
          <cell r="A425" t="str">
            <v>14001_7</v>
          </cell>
        </row>
        <row r="426">
          <cell r="A426" t="str">
            <v>14001_8</v>
          </cell>
        </row>
        <row r="427">
          <cell r="A427" t="str">
            <v>14002_1</v>
          </cell>
        </row>
        <row r="428">
          <cell r="A428" t="str">
            <v>14002_2</v>
          </cell>
        </row>
        <row r="429">
          <cell r="A429" t="str">
            <v>14003_1</v>
          </cell>
        </row>
        <row r="430">
          <cell r="A430" t="str">
            <v>14003_2</v>
          </cell>
        </row>
        <row r="431">
          <cell r="A431" t="str">
            <v>14003_3</v>
          </cell>
        </row>
        <row r="432">
          <cell r="A432" t="str">
            <v>14003_4</v>
          </cell>
        </row>
        <row r="433">
          <cell r="A433" t="str">
            <v>14004_1</v>
          </cell>
        </row>
        <row r="434">
          <cell r="A434" t="str">
            <v>14004_2</v>
          </cell>
        </row>
        <row r="435">
          <cell r="A435" t="str">
            <v>14004_3</v>
          </cell>
        </row>
        <row r="436">
          <cell r="A436" t="str">
            <v>14004_4</v>
          </cell>
        </row>
        <row r="437">
          <cell r="A437" t="str">
            <v>14005_1</v>
          </cell>
        </row>
        <row r="438">
          <cell r="A438" t="str">
            <v>14006_1</v>
          </cell>
        </row>
        <row r="439">
          <cell r="A439" t="str">
            <v>15027_1</v>
          </cell>
        </row>
        <row r="440">
          <cell r="A440" t="str">
            <v>15027_2</v>
          </cell>
        </row>
        <row r="441">
          <cell r="A441" t="str">
            <v>15027_3</v>
          </cell>
        </row>
        <row r="442">
          <cell r="A442" t="str">
            <v>15027_4</v>
          </cell>
        </row>
        <row r="443">
          <cell r="A443" t="str">
            <v>15028_1</v>
          </cell>
        </row>
        <row r="444">
          <cell r="A444" t="str">
            <v>15028_2</v>
          </cell>
        </row>
        <row r="445">
          <cell r="A445" t="str">
            <v>15028_3</v>
          </cell>
        </row>
        <row r="446">
          <cell r="A446" t="str">
            <v>15028_4</v>
          </cell>
        </row>
        <row r="447">
          <cell r="A447" t="str">
            <v>15029_1</v>
          </cell>
        </row>
        <row r="448">
          <cell r="A448" t="str">
            <v>15029_2</v>
          </cell>
        </row>
        <row r="449">
          <cell r="A449" t="str">
            <v>15029_3</v>
          </cell>
        </row>
        <row r="450">
          <cell r="A450" t="str">
            <v>15029_4</v>
          </cell>
        </row>
        <row r="451">
          <cell r="A451" t="str">
            <v>15030_1</v>
          </cell>
        </row>
        <row r="452">
          <cell r="A452" t="str">
            <v>15030_2</v>
          </cell>
        </row>
        <row r="453">
          <cell r="A453" t="str">
            <v>15030_3</v>
          </cell>
        </row>
        <row r="454">
          <cell r="A454" t="str">
            <v>15030_4</v>
          </cell>
        </row>
        <row r="455">
          <cell r="A455" t="str">
            <v>15031_1</v>
          </cell>
        </row>
        <row r="456">
          <cell r="A456" t="str">
            <v>15031_2</v>
          </cell>
        </row>
        <row r="457">
          <cell r="A457" t="str">
            <v>15031_3</v>
          </cell>
        </row>
        <row r="458">
          <cell r="A458" t="str">
            <v>15031_4</v>
          </cell>
        </row>
        <row r="459">
          <cell r="A459" t="str">
            <v>20001_1</v>
          </cell>
        </row>
        <row r="460">
          <cell r="A460" t="str">
            <v>20001_2</v>
          </cell>
        </row>
        <row r="461">
          <cell r="A461" t="str">
            <v>20001_3</v>
          </cell>
        </row>
        <row r="462">
          <cell r="A462" t="str">
            <v>20002_1</v>
          </cell>
        </row>
        <row r="463">
          <cell r="A463" t="str">
            <v>20002_2</v>
          </cell>
        </row>
        <row r="464">
          <cell r="A464" t="str">
            <v>20002_3</v>
          </cell>
        </row>
        <row r="465">
          <cell r="A465" t="str">
            <v>20003_1</v>
          </cell>
        </row>
        <row r="466">
          <cell r="A466" t="str">
            <v>20003_2</v>
          </cell>
        </row>
        <row r="467">
          <cell r="A467" t="str">
            <v>20003_3</v>
          </cell>
        </row>
        <row r="468">
          <cell r="A468" t="str">
            <v>20004_1</v>
          </cell>
        </row>
        <row r="469">
          <cell r="A469" t="str">
            <v>20004_2</v>
          </cell>
        </row>
        <row r="470">
          <cell r="A470" t="str">
            <v>20004_3</v>
          </cell>
        </row>
        <row r="471">
          <cell r="A471" t="str">
            <v>20005_1</v>
          </cell>
        </row>
        <row r="472">
          <cell r="A472" t="str">
            <v>20005_2</v>
          </cell>
        </row>
        <row r="473">
          <cell r="A473" t="str">
            <v>20005_3</v>
          </cell>
        </row>
        <row r="474">
          <cell r="A474" t="str">
            <v>20006_1</v>
          </cell>
        </row>
        <row r="475">
          <cell r="A475" t="str">
            <v>20006_2</v>
          </cell>
        </row>
        <row r="476">
          <cell r="A476" t="str">
            <v>20006_3</v>
          </cell>
        </row>
        <row r="477">
          <cell r="A477" t="str">
            <v>20007_1</v>
          </cell>
        </row>
        <row r="478">
          <cell r="A478" t="str">
            <v>20007_2</v>
          </cell>
        </row>
        <row r="479">
          <cell r="A479" t="str">
            <v>20007_3</v>
          </cell>
        </row>
        <row r="480">
          <cell r="A480" t="str">
            <v>20008_1</v>
          </cell>
        </row>
        <row r="481">
          <cell r="A481" t="str">
            <v>20008_2</v>
          </cell>
        </row>
        <row r="482">
          <cell r="A482" t="str">
            <v>20008_3</v>
          </cell>
        </row>
        <row r="483">
          <cell r="A483" t="str">
            <v>20009_1</v>
          </cell>
        </row>
        <row r="484">
          <cell r="A484" t="str">
            <v>20009_2</v>
          </cell>
        </row>
        <row r="485">
          <cell r="A485" t="str">
            <v>20009_3</v>
          </cell>
        </row>
        <row r="486">
          <cell r="A486" t="str">
            <v>20010_1</v>
          </cell>
        </row>
        <row r="487">
          <cell r="A487" t="str">
            <v>20010_2</v>
          </cell>
        </row>
        <row r="488">
          <cell r="A488" t="str">
            <v>20010_3</v>
          </cell>
        </row>
        <row r="489">
          <cell r="A489" t="str">
            <v>20011_1</v>
          </cell>
        </row>
        <row r="490">
          <cell r="A490" t="str">
            <v>20011_2</v>
          </cell>
        </row>
        <row r="491">
          <cell r="A491" t="str">
            <v>20011_3</v>
          </cell>
        </row>
        <row r="492">
          <cell r="A492" t="str">
            <v>20012_1</v>
          </cell>
        </row>
        <row r="493">
          <cell r="A493" t="str">
            <v>20012_2</v>
          </cell>
        </row>
        <row r="494">
          <cell r="A494" t="str">
            <v>20012_3</v>
          </cell>
        </row>
        <row r="495">
          <cell r="A495" t="str">
            <v>20013_1</v>
          </cell>
        </row>
        <row r="496">
          <cell r="A496" t="str">
            <v>20013_2</v>
          </cell>
        </row>
        <row r="497">
          <cell r="A497" t="str">
            <v>20013_3</v>
          </cell>
        </row>
        <row r="498">
          <cell r="A498" t="str">
            <v>20014_1</v>
          </cell>
        </row>
        <row r="499">
          <cell r="A499" t="str">
            <v>20014_2</v>
          </cell>
        </row>
        <row r="500">
          <cell r="A500" t="str">
            <v>20014_3</v>
          </cell>
        </row>
        <row r="501">
          <cell r="A501" t="str">
            <v>20015_1</v>
          </cell>
        </row>
        <row r="502">
          <cell r="A502" t="str">
            <v>20015_2</v>
          </cell>
        </row>
        <row r="503">
          <cell r="A503" t="str">
            <v>20015_3</v>
          </cell>
        </row>
        <row r="504">
          <cell r="A504" t="str">
            <v>20016_1</v>
          </cell>
        </row>
        <row r="505">
          <cell r="A505" t="str">
            <v>20016_2</v>
          </cell>
        </row>
        <row r="506">
          <cell r="A506" t="str">
            <v>20016_3</v>
          </cell>
        </row>
        <row r="507">
          <cell r="A507" t="str">
            <v>20017_1</v>
          </cell>
        </row>
        <row r="508">
          <cell r="A508" t="str">
            <v>20017_2</v>
          </cell>
        </row>
        <row r="509">
          <cell r="A509" t="str">
            <v>20017_3</v>
          </cell>
        </row>
        <row r="510">
          <cell r="A510" t="str">
            <v>20018_1</v>
          </cell>
        </row>
        <row r="511">
          <cell r="A511" t="str">
            <v>20018_2</v>
          </cell>
        </row>
        <row r="512">
          <cell r="A512" t="str">
            <v>20018_3</v>
          </cell>
        </row>
        <row r="513">
          <cell r="A513" t="str">
            <v>20019_1</v>
          </cell>
        </row>
        <row r="514">
          <cell r="A514" t="str">
            <v>20019_2</v>
          </cell>
        </row>
        <row r="515">
          <cell r="A515" t="str">
            <v>20019_3</v>
          </cell>
        </row>
        <row r="516">
          <cell r="A516" t="str">
            <v>20020_1</v>
          </cell>
        </row>
        <row r="517">
          <cell r="A517" t="str">
            <v>20020_2</v>
          </cell>
        </row>
        <row r="518">
          <cell r="A518" t="str">
            <v>20020_3</v>
          </cell>
        </row>
        <row r="519">
          <cell r="A519" t="str">
            <v>20021_1</v>
          </cell>
        </row>
        <row r="520">
          <cell r="A520" t="str">
            <v>20021_2</v>
          </cell>
        </row>
        <row r="521">
          <cell r="A521" t="str">
            <v>20021_3</v>
          </cell>
        </row>
        <row r="522">
          <cell r="A522" t="str">
            <v>20022_1</v>
          </cell>
        </row>
        <row r="523">
          <cell r="A523" t="str">
            <v>30001_1</v>
          </cell>
        </row>
        <row r="524">
          <cell r="A524" t="str">
            <v>30001_2</v>
          </cell>
        </row>
        <row r="525">
          <cell r="A525" t="str">
            <v>30001_3</v>
          </cell>
        </row>
        <row r="526">
          <cell r="A526" t="str">
            <v>30002_1</v>
          </cell>
        </row>
        <row r="527">
          <cell r="A527" t="str">
            <v>30002_2</v>
          </cell>
        </row>
        <row r="528">
          <cell r="A528" t="str">
            <v>30002_3</v>
          </cell>
        </row>
        <row r="529">
          <cell r="A529" t="str">
            <v>30003_1</v>
          </cell>
        </row>
        <row r="530">
          <cell r="A530" t="str">
            <v>30003_2</v>
          </cell>
        </row>
        <row r="531">
          <cell r="A531" t="str">
            <v>30003_3</v>
          </cell>
        </row>
        <row r="532">
          <cell r="A532" t="str">
            <v>30004_1</v>
          </cell>
        </row>
        <row r="533">
          <cell r="A533" t="str">
            <v>30004_2</v>
          </cell>
        </row>
        <row r="534">
          <cell r="A534" t="str">
            <v>30004_3</v>
          </cell>
        </row>
        <row r="535">
          <cell r="A535" t="str">
            <v>30005_1</v>
          </cell>
        </row>
        <row r="536">
          <cell r="A536" t="str">
            <v>30005_2</v>
          </cell>
        </row>
        <row r="537">
          <cell r="A537" t="str">
            <v>30005_3</v>
          </cell>
        </row>
        <row r="538">
          <cell r="A538" t="str">
            <v>30006_1</v>
          </cell>
        </row>
        <row r="539">
          <cell r="A539" t="str">
            <v>30006_2</v>
          </cell>
        </row>
        <row r="540">
          <cell r="A540" t="str">
            <v>30006_3</v>
          </cell>
        </row>
        <row r="541">
          <cell r="A541" t="str">
            <v>30007_1</v>
          </cell>
        </row>
        <row r="542">
          <cell r="A542" t="str">
            <v>30007_2</v>
          </cell>
        </row>
        <row r="543">
          <cell r="A543" t="str">
            <v>30007_3</v>
          </cell>
        </row>
        <row r="544">
          <cell r="A544" t="str">
            <v>30008_1</v>
          </cell>
        </row>
        <row r="545">
          <cell r="A545" t="str">
            <v>30008_2</v>
          </cell>
        </row>
        <row r="546">
          <cell r="A546" t="str">
            <v>30008_3</v>
          </cell>
        </row>
        <row r="547">
          <cell r="A547" t="str">
            <v>30009_3</v>
          </cell>
        </row>
        <row r="548">
          <cell r="A548" t="str">
            <v>30009_1</v>
          </cell>
        </row>
        <row r="549">
          <cell r="A549" t="str">
            <v>30009_2</v>
          </cell>
        </row>
        <row r="550">
          <cell r="A550" t="str">
            <v>30010_1</v>
          </cell>
        </row>
        <row r="551">
          <cell r="A551" t="str">
            <v>30010_2</v>
          </cell>
        </row>
        <row r="552">
          <cell r="A552" t="str">
            <v>30010_3</v>
          </cell>
        </row>
        <row r="553">
          <cell r="A553" t="str">
            <v>30011_1</v>
          </cell>
        </row>
        <row r="554">
          <cell r="A554" t="str">
            <v>30011_2</v>
          </cell>
        </row>
        <row r="555">
          <cell r="A555" t="str">
            <v>30011_3</v>
          </cell>
        </row>
        <row r="556">
          <cell r="A556" t="str">
            <v>30012_1</v>
          </cell>
        </row>
        <row r="557">
          <cell r="A557" t="str">
            <v>30012_2</v>
          </cell>
        </row>
        <row r="558">
          <cell r="A558" t="str">
            <v>30012_3</v>
          </cell>
        </row>
        <row r="559">
          <cell r="A559" t="str">
            <v>30013_1</v>
          </cell>
        </row>
        <row r="560">
          <cell r="A560" t="str">
            <v>30013_2</v>
          </cell>
        </row>
        <row r="561">
          <cell r="A561" t="str">
            <v>30014_1</v>
          </cell>
        </row>
        <row r="562">
          <cell r="A562" t="str">
            <v>30014_2</v>
          </cell>
        </row>
        <row r="563">
          <cell r="A563" t="str">
            <v>30015_1</v>
          </cell>
        </row>
        <row r="564">
          <cell r="A564" t="str">
            <v>30015_2</v>
          </cell>
        </row>
        <row r="565">
          <cell r="A565" t="str">
            <v>30016_1</v>
          </cell>
        </row>
        <row r="566">
          <cell r="A566" t="str">
            <v>30016_2</v>
          </cell>
        </row>
        <row r="567">
          <cell r="A567" t="str">
            <v>30017_1</v>
          </cell>
        </row>
        <row r="568">
          <cell r="A568" t="str">
            <v>30017_2</v>
          </cell>
        </row>
        <row r="569">
          <cell r="A569" t="str">
            <v>30018_1</v>
          </cell>
        </row>
        <row r="570">
          <cell r="A570" t="str">
            <v>30018_2</v>
          </cell>
        </row>
        <row r="571">
          <cell r="A571" t="str">
            <v>30019_1</v>
          </cell>
        </row>
        <row r="572">
          <cell r="A572" t="str">
            <v>30019_2</v>
          </cell>
        </row>
        <row r="573">
          <cell r="A573" t="str">
            <v>30020_1</v>
          </cell>
        </row>
        <row r="574">
          <cell r="A574" t="str">
            <v>30020_2</v>
          </cell>
        </row>
        <row r="575">
          <cell r="A575" t="str">
            <v>30021_1</v>
          </cell>
        </row>
        <row r="576">
          <cell r="A576" t="str">
            <v>30021_2</v>
          </cell>
        </row>
        <row r="577">
          <cell r="A577" t="str">
            <v>30021_3</v>
          </cell>
        </row>
        <row r="578">
          <cell r="A578" t="str">
            <v>30022_1</v>
          </cell>
        </row>
        <row r="579">
          <cell r="A579" t="str">
            <v>30022_2</v>
          </cell>
        </row>
        <row r="580">
          <cell r="A580" t="str">
            <v>30023_1</v>
          </cell>
        </row>
        <row r="581">
          <cell r="A581" t="str">
            <v>30023_2</v>
          </cell>
        </row>
        <row r="582">
          <cell r="A582" t="str">
            <v>30023_3</v>
          </cell>
        </row>
        <row r="583">
          <cell r="A583" t="str">
            <v>30024_1</v>
          </cell>
        </row>
        <row r="584">
          <cell r="A584" t="str">
            <v>30024_2</v>
          </cell>
        </row>
        <row r="585">
          <cell r="A585" t="str">
            <v>30024_3</v>
          </cell>
        </row>
        <row r="586">
          <cell r="A586" t="str">
            <v>30025_1</v>
          </cell>
        </row>
        <row r="587">
          <cell r="A587" t="str">
            <v>30025_2</v>
          </cell>
        </row>
        <row r="588">
          <cell r="A588" t="str">
            <v>30025_3</v>
          </cell>
        </row>
        <row r="589">
          <cell r="A589" t="str">
            <v>30026_1</v>
          </cell>
        </row>
        <row r="590">
          <cell r="A590" t="str">
            <v>30026_2</v>
          </cell>
        </row>
        <row r="591">
          <cell r="A591" t="str">
            <v>30026_3</v>
          </cell>
        </row>
        <row r="592">
          <cell r="A592" t="str">
            <v>30027_1</v>
          </cell>
        </row>
        <row r="593">
          <cell r="A593" t="str">
            <v>30027_2</v>
          </cell>
        </row>
        <row r="594">
          <cell r="A594" t="str">
            <v>30027_3</v>
          </cell>
        </row>
        <row r="595">
          <cell r="A595" t="str">
            <v>30028_1</v>
          </cell>
        </row>
        <row r="596">
          <cell r="A596" t="str">
            <v>30028_2</v>
          </cell>
        </row>
        <row r="597">
          <cell r="A597" t="str">
            <v>30028_3</v>
          </cell>
        </row>
        <row r="598">
          <cell r="A598" t="str">
            <v>30029_1</v>
          </cell>
        </row>
        <row r="599">
          <cell r="A599" t="str">
            <v>30029_2</v>
          </cell>
        </row>
        <row r="600">
          <cell r="A600" t="str">
            <v>30029_3</v>
          </cell>
        </row>
        <row r="601">
          <cell r="A601" t="str">
            <v>30030_1</v>
          </cell>
        </row>
        <row r="602">
          <cell r="A602" t="str">
            <v>30030_2</v>
          </cell>
        </row>
        <row r="603">
          <cell r="A603" t="str">
            <v>30030_3</v>
          </cell>
        </row>
        <row r="604">
          <cell r="A604" t="str">
            <v>30031_1</v>
          </cell>
        </row>
        <row r="605">
          <cell r="A605" t="str">
            <v>30031_2</v>
          </cell>
        </row>
        <row r="606">
          <cell r="A606" t="str">
            <v>30031_3</v>
          </cell>
        </row>
        <row r="607">
          <cell r="A607" t="str">
            <v>30032_1</v>
          </cell>
        </row>
        <row r="608">
          <cell r="A608" t="str">
            <v>30032_2</v>
          </cell>
        </row>
        <row r="609">
          <cell r="A609" t="str">
            <v>30032_3</v>
          </cell>
        </row>
        <row r="610">
          <cell r="A610" t="str">
            <v>30033_1</v>
          </cell>
        </row>
        <row r="611">
          <cell r="A611" t="str">
            <v>30033_2</v>
          </cell>
        </row>
        <row r="612">
          <cell r="A612" t="str">
            <v>30033_3</v>
          </cell>
        </row>
        <row r="613">
          <cell r="A613" t="str">
            <v>30034_1</v>
          </cell>
        </row>
        <row r="614">
          <cell r="A614" t="str">
            <v>30034_2</v>
          </cell>
        </row>
        <row r="615">
          <cell r="A615" t="str">
            <v>30034_3</v>
          </cell>
        </row>
        <row r="616">
          <cell r="A616" t="str">
            <v>30035_1</v>
          </cell>
        </row>
        <row r="617">
          <cell r="A617" t="str">
            <v>30035_2</v>
          </cell>
        </row>
        <row r="618">
          <cell r="A618" t="str">
            <v>30035_3</v>
          </cell>
        </row>
        <row r="619">
          <cell r="A619" t="str">
            <v>30036_1</v>
          </cell>
        </row>
        <row r="620">
          <cell r="A620" t="str">
            <v>30036_2</v>
          </cell>
        </row>
        <row r="621">
          <cell r="A621" t="str">
            <v>30036_3</v>
          </cell>
        </row>
        <row r="622">
          <cell r="A622" t="str">
            <v>30037_1</v>
          </cell>
        </row>
        <row r="623">
          <cell r="A623" t="str">
            <v>30037_2</v>
          </cell>
        </row>
        <row r="624">
          <cell r="A624" t="str">
            <v>30037_3</v>
          </cell>
        </row>
        <row r="625">
          <cell r="A625" t="str">
            <v>30038_1</v>
          </cell>
        </row>
        <row r="626">
          <cell r="A626" t="str">
            <v>30038_2</v>
          </cell>
        </row>
        <row r="627">
          <cell r="A627" t="str">
            <v>30038_3</v>
          </cell>
        </row>
        <row r="628">
          <cell r="A628" t="str">
            <v>30039_1</v>
          </cell>
        </row>
        <row r="629">
          <cell r="A629" t="str">
            <v>30039_2</v>
          </cell>
        </row>
        <row r="630">
          <cell r="A630" t="str">
            <v>30039_3</v>
          </cell>
        </row>
        <row r="631">
          <cell r="A631" t="str">
            <v>30040_1</v>
          </cell>
        </row>
        <row r="632">
          <cell r="A632" t="str">
            <v>30040_2</v>
          </cell>
        </row>
        <row r="633">
          <cell r="A633" t="str">
            <v>30040_3</v>
          </cell>
        </row>
        <row r="634">
          <cell r="A634" t="str">
            <v>30041_1</v>
          </cell>
        </row>
        <row r="635">
          <cell r="A635" t="str">
            <v>30041_2</v>
          </cell>
        </row>
        <row r="636">
          <cell r="A636" t="str">
            <v>30041_3</v>
          </cell>
        </row>
        <row r="637">
          <cell r="A637" t="str">
            <v>30042_1</v>
          </cell>
        </row>
        <row r="638">
          <cell r="A638" t="str">
            <v>30042_2</v>
          </cell>
        </row>
        <row r="639">
          <cell r="A639" t="str">
            <v>30042_3</v>
          </cell>
        </row>
        <row r="640">
          <cell r="A640" t="str">
            <v>30043_1</v>
          </cell>
        </row>
        <row r="641">
          <cell r="A641" t="str">
            <v>30043_2</v>
          </cell>
        </row>
        <row r="642">
          <cell r="A642" t="str">
            <v>30043_3</v>
          </cell>
        </row>
        <row r="643">
          <cell r="A643" t="str">
            <v>30044_1</v>
          </cell>
        </row>
        <row r="644">
          <cell r="A644" t="str">
            <v>30044_2</v>
          </cell>
        </row>
        <row r="645">
          <cell r="A645" t="str">
            <v>30044_3</v>
          </cell>
        </row>
        <row r="646">
          <cell r="A646" t="str">
            <v>30045_1</v>
          </cell>
        </row>
        <row r="647">
          <cell r="A647" t="str">
            <v>30045_2</v>
          </cell>
        </row>
        <row r="648">
          <cell r="A648" t="str">
            <v>30045_3</v>
          </cell>
        </row>
        <row r="649">
          <cell r="A649" t="str">
            <v>30046_1</v>
          </cell>
        </row>
        <row r="650">
          <cell r="A650" t="str">
            <v>30046_2</v>
          </cell>
        </row>
        <row r="651">
          <cell r="A651" t="str">
            <v>30046_3</v>
          </cell>
        </row>
        <row r="652">
          <cell r="A652" t="str">
            <v>30047_1</v>
          </cell>
        </row>
        <row r="653">
          <cell r="A653" t="str">
            <v>30047_2</v>
          </cell>
        </row>
        <row r="654">
          <cell r="A654" t="str">
            <v>30047_3</v>
          </cell>
        </row>
        <row r="655">
          <cell r="A655" t="str">
            <v>30048_1</v>
          </cell>
        </row>
        <row r="656">
          <cell r="A656" t="str">
            <v>30048_2</v>
          </cell>
        </row>
        <row r="657">
          <cell r="A657" t="str">
            <v>30048_3</v>
          </cell>
        </row>
        <row r="658">
          <cell r="A658" t="str">
            <v>39001_1</v>
          </cell>
        </row>
        <row r="659">
          <cell r="A659" t="str">
            <v>39001_2</v>
          </cell>
        </row>
        <row r="660">
          <cell r="A660" t="str">
            <v>39001_3</v>
          </cell>
        </row>
        <row r="661">
          <cell r="A661" t="str">
            <v>39001_4</v>
          </cell>
        </row>
        <row r="662">
          <cell r="A662" t="str">
            <v>39001_5</v>
          </cell>
        </row>
        <row r="663">
          <cell r="A663" t="str">
            <v>39002_1</v>
          </cell>
        </row>
        <row r="664">
          <cell r="A664" t="str">
            <v>39002_2</v>
          </cell>
        </row>
        <row r="665">
          <cell r="A665" t="str">
            <v>39002_3</v>
          </cell>
        </row>
        <row r="666">
          <cell r="A666" t="str">
            <v>39002_4</v>
          </cell>
        </row>
        <row r="667">
          <cell r="A667" t="str">
            <v>39003_1</v>
          </cell>
        </row>
        <row r="668">
          <cell r="A668" t="str">
            <v>39003_2</v>
          </cell>
        </row>
        <row r="669">
          <cell r="A669" t="str">
            <v>39003_3</v>
          </cell>
        </row>
        <row r="670">
          <cell r="A670" t="str">
            <v>39003_4</v>
          </cell>
        </row>
        <row r="671">
          <cell r="A671" t="str">
            <v>39004_1</v>
          </cell>
        </row>
        <row r="672">
          <cell r="A672" t="str">
            <v>39004_2</v>
          </cell>
        </row>
        <row r="673">
          <cell r="A673" t="str">
            <v>39004_3</v>
          </cell>
        </row>
        <row r="674">
          <cell r="A674" t="str">
            <v>39004_4</v>
          </cell>
        </row>
        <row r="675">
          <cell r="A675" t="str">
            <v>39005_1</v>
          </cell>
        </row>
        <row r="676">
          <cell r="A676" t="str">
            <v>39005_2</v>
          </cell>
        </row>
        <row r="677">
          <cell r="A677" t="str">
            <v>39005_3</v>
          </cell>
        </row>
        <row r="678">
          <cell r="A678" t="str">
            <v>39005_4</v>
          </cell>
        </row>
        <row r="679">
          <cell r="A679" t="str">
            <v>39005_5</v>
          </cell>
        </row>
        <row r="680">
          <cell r="A680" t="str">
            <v>39006_1</v>
          </cell>
        </row>
        <row r="681">
          <cell r="A681" t="str">
            <v>39006_2</v>
          </cell>
        </row>
        <row r="682">
          <cell r="A682" t="str">
            <v>39006_3</v>
          </cell>
        </row>
        <row r="683">
          <cell r="A683" t="str">
            <v>39006_4</v>
          </cell>
        </row>
        <row r="684">
          <cell r="A684" t="str">
            <v>39007_1</v>
          </cell>
        </row>
        <row r="685">
          <cell r="A685" t="str">
            <v>39007_2</v>
          </cell>
        </row>
        <row r="686">
          <cell r="A686" t="str">
            <v>39007_3</v>
          </cell>
        </row>
        <row r="687">
          <cell r="A687" t="str">
            <v>39007_4</v>
          </cell>
        </row>
        <row r="688">
          <cell r="A688" t="str">
            <v>39008_1</v>
          </cell>
        </row>
        <row r="689">
          <cell r="A689" t="str">
            <v>39008_2</v>
          </cell>
        </row>
        <row r="690">
          <cell r="A690" t="str">
            <v>39008_3</v>
          </cell>
        </row>
        <row r="691">
          <cell r="A691" t="str">
            <v>39008_4</v>
          </cell>
        </row>
        <row r="692">
          <cell r="A692" t="str">
            <v>39008_5</v>
          </cell>
        </row>
        <row r="693">
          <cell r="A693" t="str">
            <v>39009_1</v>
          </cell>
        </row>
        <row r="694">
          <cell r="A694" t="str">
            <v>39009_2</v>
          </cell>
        </row>
        <row r="695">
          <cell r="A695" t="str">
            <v>39009_3</v>
          </cell>
        </row>
        <row r="696">
          <cell r="A696" t="str">
            <v>39009_4</v>
          </cell>
        </row>
        <row r="697">
          <cell r="A697" t="str">
            <v>39009_5</v>
          </cell>
        </row>
        <row r="698">
          <cell r="A698" t="str">
            <v>39010_1</v>
          </cell>
        </row>
        <row r="699">
          <cell r="A699" t="str">
            <v>39010_2</v>
          </cell>
        </row>
        <row r="700">
          <cell r="A700" t="str">
            <v>39010_3</v>
          </cell>
        </row>
        <row r="701">
          <cell r="A701" t="str">
            <v>39010_4</v>
          </cell>
        </row>
        <row r="702">
          <cell r="A702" t="str">
            <v>39011_1</v>
          </cell>
        </row>
        <row r="703">
          <cell r="A703" t="str">
            <v>39011_2</v>
          </cell>
        </row>
        <row r="704">
          <cell r="A704" t="str">
            <v>39011_3</v>
          </cell>
        </row>
        <row r="705">
          <cell r="A705" t="str">
            <v>39011_4</v>
          </cell>
        </row>
        <row r="706">
          <cell r="A706" t="str">
            <v>39012_1</v>
          </cell>
        </row>
        <row r="707">
          <cell r="A707" t="str">
            <v>39012_2</v>
          </cell>
        </row>
        <row r="708">
          <cell r="A708" t="str">
            <v>39012_3</v>
          </cell>
        </row>
        <row r="709">
          <cell r="A709" t="str">
            <v>39012_4</v>
          </cell>
        </row>
        <row r="710">
          <cell r="A710" t="str">
            <v>39012_5</v>
          </cell>
        </row>
        <row r="711">
          <cell r="A711" t="str">
            <v>40001_1</v>
          </cell>
        </row>
        <row r="712">
          <cell r="A712" t="str">
            <v>40002_1</v>
          </cell>
        </row>
        <row r="713">
          <cell r="A713" t="str">
            <v>40002_2</v>
          </cell>
        </row>
        <row r="714">
          <cell r="A714" t="str">
            <v>40002_3</v>
          </cell>
        </row>
        <row r="715">
          <cell r="A715" t="str">
            <v>40003_1</v>
          </cell>
        </row>
        <row r="716">
          <cell r="A716" t="str">
            <v>40004_1</v>
          </cell>
        </row>
        <row r="717">
          <cell r="A717" t="str">
            <v>40005_1</v>
          </cell>
        </row>
        <row r="718">
          <cell r="A718" t="str">
            <v>40006_1</v>
          </cell>
        </row>
        <row r="719">
          <cell r="A719" t="str">
            <v>40007_1</v>
          </cell>
        </row>
        <row r="720">
          <cell r="A720" t="str">
            <v>40008_1</v>
          </cell>
        </row>
        <row r="721">
          <cell r="A721" t="str">
            <v>40009_1</v>
          </cell>
        </row>
        <row r="722">
          <cell r="A722" t="str">
            <v>40010_1</v>
          </cell>
        </row>
        <row r="723">
          <cell r="A723" t="str">
            <v>40011_1</v>
          </cell>
        </row>
        <row r="724">
          <cell r="A724" t="str">
            <v>40012_1</v>
          </cell>
        </row>
        <row r="725">
          <cell r="A725" t="str">
            <v>40013_1</v>
          </cell>
        </row>
        <row r="726">
          <cell r="A726" t="str">
            <v>40014_1</v>
          </cell>
        </row>
        <row r="727">
          <cell r="A727" t="str">
            <v>40015_1</v>
          </cell>
        </row>
        <row r="728">
          <cell r="A728" t="str">
            <v>40016_1</v>
          </cell>
        </row>
        <row r="729">
          <cell r="A729" t="str">
            <v>40016_2</v>
          </cell>
        </row>
        <row r="730">
          <cell r="A730" t="str">
            <v>40017_1</v>
          </cell>
        </row>
        <row r="731">
          <cell r="A731" t="str">
            <v>40017_2</v>
          </cell>
        </row>
        <row r="732">
          <cell r="A732" t="str">
            <v>40017_3</v>
          </cell>
        </row>
        <row r="733">
          <cell r="A733" t="str">
            <v>40018_1</v>
          </cell>
        </row>
        <row r="734">
          <cell r="A734" t="str">
            <v>40018_2</v>
          </cell>
        </row>
        <row r="735">
          <cell r="A735" t="str">
            <v>40018_3</v>
          </cell>
        </row>
        <row r="736">
          <cell r="A736" t="str">
            <v>40019_1</v>
          </cell>
        </row>
        <row r="737">
          <cell r="A737" t="str">
            <v>40019_2</v>
          </cell>
        </row>
        <row r="738">
          <cell r="A738" t="str">
            <v>40019_3</v>
          </cell>
        </row>
        <row r="739">
          <cell r="A739" t="str">
            <v>40021_1</v>
          </cell>
        </row>
        <row r="740">
          <cell r="A740" t="str">
            <v>40021_2</v>
          </cell>
        </row>
        <row r="741">
          <cell r="A741" t="str">
            <v>40022_1</v>
          </cell>
        </row>
        <row r="742">
          <cell r="A742" t="str">
            <v>40022_2</v>
          </cell>
        </row>
        <row r="743">
          <cell r="A743" t="str">
            <v>40023_1</v>
          </cell>
        </row>
        <row r="744">
          <cell r="A744" t="str">
            <v>40023_2</v>
          </cell>
        </row>
        <row r="745">
          <cell r="A745" t="str">
            <v>40024_1</v>
          </cell>
        </row>
        <row r="746">
          <cell r="A746" t="str">
            <v>40024_2</v>
          </cell>
        </row>
        <row r="747">
          <cell r="A747" t="str">
            <v>40025_1</v>
          </cell>
        </row>
        <row r="748">
          <cell r="A748" t="str">
            <v>40025_2</v>
          </cell>
        </row>
        <row r="749">
          <cell r="A749" t="str">
            <v>40026_1</v>
          </cell>
        </row>
        <row r="750">
          <cell r="A750" t="str">
            <v>40026_2</v>
          </cell>
        </row>
        <row r="751">
          <cell r="A751" t="str">
            <v>40027_1</v>
          </cell>
        </row>
        <row r="752">
          <cell r="A752" t="str">
            <v>40027_2</v>
          </cell>
        </row>
        <row r="753">
          <cell r="A753" t="str">
            <v>40028_1</v>
          </cell>
        </row>
        <row r="754">
          <cell r="A754" t="str">
            <v>40028_2</v>
          </cell>
        </row>
        <row r="755">
          <cell r="A755" t="str">
            <v>40029_1</v>
          </cell>
        </row>
        <row r="756">
          <cell r="A756" t="str">
            <v>40029_2</v>
          </cell>
        </row>
        <row r="757">
          <cell r="A757" t="str">
            <v>40030_1</v>
          </cell>
        </row>
        <row r="758">
          <cell r="A758" t="str">
            <v>40030_2</v>
          </cell>
        </row>
        <row r="759">
          <cell r="A759" t="str">
            <v>40031_1</v>
          </cell>
        </row>
        <row r="760">
          <cell r="A760" t="str">
            <v>40031_2</v>
          </cell>
        </row>
        <row r="761">
          <cell r="A761" t="str">
            <v>40032_1</v>
          </cell>
        </row>
        <row r="762">
          <cell r="A762" t="str">
            <v>40032_2</v>
          </cell>
        </row>
        <row r="763">
          <cell r="A763" t="str">
            <v>40033_1</v>
          </cell>
        </row>
        <row r="764">
          <cell r="A764" t="str">
            <v>40033_2</v>
          </cell>
        </row>
        <row r="765">
          <cell r="A765" t="str">
            <v>40034_1</v>
          </cell>
        </row>
        <row r="766">
          <cell r="A766" t="str">
            <v>40034_2</v>
          </cell>
        </row>
        <row r="767">
          <cell r="A767" t="str">
            <v>40035_1</v>
          </cell>
        </row>
        <row r="768">
          <cell r="A768" t="str">
            <v>40035_2</v>
          </cell>
        </row>
        <row r="769">
          <cell r="A769" t="str">
            <v>40036_1</v>
          </cell>
        </row>
        <row r="770">
          <cell r="A770" t="str">
            <v>40036_2</v>
          </cell>
        </row>
        <row r="771">
          <cell r="A771" t="str">
            <v>40037_1</v>
          </cell>
        </row>
        <row r="772">
          <cell r="A772" t="str">
            <v>40037_2</v>
          </cell>
        </row>
        <row r="773">
          <cell r="A773" t="str">
            <v>40038_1</v>
          </cell>
        </row>
        <row r="774">
          <cell r="A774" t="str">
            <v>40038_2</v>
          </cell>
        </row>
        <row r="775">
          <cell r="A775" t="str">
            <v>40039_1</v>
          </cell>
        </row>
        <row r="776">
          <cell r="A776" t="str">
            <v>40039_2</v>
          </cell>
        </row>
        <row r="777">
          <cell r="A777" t="str">
            <v>40040_1</v>
          </cell>
        </row>
        <row r="778">
          <cell r="A778" t="str">
            <v>40040_2</v>
          </cell>
        </row>
        <row r="779">
          <cell r="A779" t="str">
            <v>40041_1</v>
          </cell>
        </row>
        <row r="780">
          <cell r="A780" t="str">
            <v>40041_2</v>
          </cell>
        </row>
        <row r="781">
          <cell r="A781" t="str">
            <v>40042_1</v>
          </cell>
        </row>
        <row r="782">
          <cell r="A782" t="str">
            <v>40042_2</v>
          </cell>
        </row>
        <row r="783">
          <cell r="A783" t="str">
            <v>40043_1</v>
          </cell>
        </row>
        <row r="784">
          <cell r="A784" t="str">
            <v>40043_2</v>
          </cell>
        </row>
        <row r="785">
          <cell r="A785" t="str">
            <v>41001_1</v>
          </cell>
        </row>
        <row r="786">
          <cell r="A786" t="str">
            <v>41001_2</v>
          </cell>
        </row>
        <row r="787">
          <cell r="A787" t="str">
            <v>41001_3</v>
          </cell>
        </row>
        <row r="788">
          <cell r="A788" t="str">
            <v>41002_1</v>
          </cell>
        </row>
        <row r="789">
          <cell r="A789" t="str">
            <v>41002_2</v>
          </cell>
        </row>
        <row r="790">
          <cell r="A790" t="str">
            <v>41002_3</v>
          </cell>
        </row>
        <row r="791">
          <cell r="A791" t="str">
            <v>41003_1</v>
          </cell>
        </row>
        <row r="792">
          <cell r="A792" t="str">
            <v>41003_2</v>
          </cell>
        </row>
        <row r="793">
          <cell r="A793" t="str">
            <v>41003_3</v>
          </cell>
        </row>
        <row r="794">
          <cell r="A794" t="str">
            <v>41004_1</v>
          </cell>
        </row>
        <row r="795">
          <cell r="A795" t="str">
            <v>41004_2</v>
          </cell>
        </row>
        <row r="796">
          <cell r="A796" t="str">
            <v>41004_3</v>
          </cell>
        </row>
        <row r="797">
          <cell r="A797" t="str">
            <v>41005_1</v>
          </cell>
        </row>
        <row r="798">
          <cell r="A798" t="str">
            <v>41005_2</v>
          </cell>
        </row>
        <row r="799">
          <cell r="A799" t="str">
            <v>41005_3</v>
          </cell>
        </row>
        <row r="800">
          <cell r="A800" t="str">
            <v>41006_1</v>
          </cell>
        </row>
        <row r="801">
          <cell r="A801" t="str">
            <v>41006_2</v>
          </cell>
        </row>
        <row r="802">
          <cell r="A802" t="str">
            <v>41006_3</v>
          </cell>
        </row>
        <row r="803">
          <cell r="A803" t="str">
            <v>41007_1</v>
          </cell>
        </row>
        <row r="804">
          <cell r="A804" t="str">
            <v>41007_2</v>
          </cell>
        </row>
        <row r="805">
          <cell r="A805" t="str">
            <v>41007_3</v>
          </cell>
        </row>
        <row r="806">
          <cell r="A806" t="str">
            <v>41008_1</v>
          </cell>
        </row>
        <row r="807">
          <cell r="A807" t="str">
            <v>41008_2</v>
          </cell>
        </row>
        <row r="808">
          <cell r="A808" t="str">
            <v>41008_3</v>
          </cell>
        </row>
        <row r="809">
          <cell r="A809" t="str">
            <v>41009_1</v>
          </cell>
        </row>
        <row r="810">
          <cell r="A810" t="str">
            <v>41009_2</v>
          </cell>
        </row>
        <row r="811">
          <cell r="A811" t="str">
            <v>41009_3</v>
          </cell>
        </row>
        <row r="812">
          <cell r="A812" t="str">
            <v>41010_1</v>
          </cell>
        </row>
        <row r="813">
          <cell r="A813" t="str">
            <v>41010_2</v>
          </cell>
        </row>
        <row r="814">
          <cell r="A814" t="str">
            <v>41010_3</v>
          </cell>
        </row>
        <row r="815">
          <cell r="A815" t="str">
            <v>41011_1</v>
          </cell>
        </row>
        <row r="816">
          <cell r="A816" t="str">
            <v>41011_2</v>
          </cell>
        </row>
        <row r="817">
          <cell r="A817" t="str">
            <v>41012_1</v>
          </cell>
        </row>
        <row r="818">
          <cell r="A818" t="str">
            <v>41012_2</v>
          </cell>
        </row>
        <row r="819">
          <cell r="A819" t="str">
            <v>41013_1</v>
          </cell>
        </row>
        <row r="820">
          <cell r="A820" t="str">
            <v>41013_2</v>
          </cell>
        </row>
        <row r="821">
          <cell r="A821" t="str">
            <v>41014_1</v>
          </cell>
        </row>
        <row r="822">
          <cell r="A822" t="str">
            <v>41014_2</v>
          </cell>
        </row>
        <row r="823">
          <cell r="A823" t="str">
            <v>41015_1</v>
          </cell>
        </row>
        <row r="824">
          <cell r="A824" t="str">
            <v>41015_2</v>
          </cell>
        </row>
        <row r="825">
          <cell r="A825" t="str">
            <v>47001_1</v>
          </cell>
        </row>
        <row r="826">
          <cell r="A826" t="str">
            <v>47001_2</v>
          </cell>
        </row>
        <row r="827">
          <cell r="A827" t="str">
            <v>47002_1</v>
          </cell>
        </row>
        <row r="828">
          <cell r="A828" t="str">
            <v>47002_2</v>
          </cell>
        </row>
        <row r="829">
          <cell r="A829" t="str">
            <v>47003_1</v>
          </cell>
        </row>
        <row r="830">
          <cell r="A830" t="str">
            <v>47003_2</v>
          </cell>
        </row>
        <row r="831">
          <cell r="A831" t="str">
            <v>47003_3</v>
          </cell>
        </row>
        <row r="832">
          <cell r="A832" t="str">
            <v>47003_4</v>
          </cell>
        </row>
        <row r="833">
          <cell r="A833" t="str">
            <v>47004_1</v>
          </cell>
        </row>
        <row r="834">
          <cell r="A834" t="str">
            <v>47004_2</v>
          </cell>
        </row>
        <row r="835">
          <cell r="A835" t="str">
            <v>47004_3</v>
          </cell>
        </row>
        <row r="836">
          <cell r="A836" t="str">
            <v>47004_4</v>
          </cell>
        </row>
        <row r="837">
          <cell r="A837" t="str">
            <v>47005_1</v>
          </cell>
        </row>
        <row r="838">
          <cell r="A838" t="str">
            <v>47006_1</v>
          </cell>
        </row>
        <row r="839">
          <cell r="A839" t="str">
            <v>47006_2</v>
          </cell>
        </row>
        <row r="840">
          <cell r="A840" t="str">
            <v>47007_1</v>
          </cell>
        </row>
        <row r="841">
          <cell r="A841" t="str">
            <v>47007_2</v>
          </cell>
        </row>
        <row r="842">
          <cell r="A842" t="str">
            <v>47008_1</v>
          </cell>
        </row>
        <row r="843">
          <cell r="A843" t="str">
            <v>47008_2</v>
          </cell>
        </row>
        <row r="844">
          <cell r="A844" t="str">
            <v>47009_1</v>
          </cell>
        </row>
        <row r="845">
          <cell r="A845" t="str">
            <v>47009_2</v>
          </cell>
        </row>
        <row r="846">
          <cell r="A846" t="str">
            <v>47010_1</v>
          </cell>
        </row>
        <row r="847">
          <cell r="A847" t="str">
            <v>47010_2</v>
          </cell>
        </row>
        <row r="848">
          <cell r="A848" t="str">
            <v>47011_1</v>
          </cell>
        </row>
        <row r="849">
          <cell r="A849" t="str">
            <v>48001_1</v>
          </cell>
        </row>
        <row r="850">
          <cell r="A850" t="str">
            <v>48002_1</v>
          </cell>
        </row>
        <row r="851">
          <cell r="A851" t="str">
            <v>48002_2</v>
          </cell>
        </row>
        <row r="852">
          <cell r="A852" t="str">
            <v>48002_3</v>
          </cell>
        </row>
        <row r="853">
          <cell r="A853" t="str">
            <v>48003_1</v>
          </cell>
        </row>
        <row r="854">
          <cell r="A854" t="str">
            <v>48003_2</v>
          </cell>
        </row>
        <row r="855">
          <cell r="A855" t="str">
            <v>48004_1</v>
          </cell>
        </row>
        <row r="856">
          <cell r="A856" t="str">
            <v>48004_2</v>
          </cell>
        </row>
        <row r="857">
          <cell r="A857" t="str">
            <v>48005_1</v>
          </cell>
        </row>
        <row r="858">
          <cell r="A858" t="str">
            <v>48005_2</v>
          </cell>
        </row>
        <row r="859">
          <cell r="A859" t="str">
            <v>48006_1</v>
          </cell>
        </row>
        <row r="860">
          <cell r="A860" t="str">
            <v>48006_2</v>
          </cell>
        </row>
        <row r="861">
          <cell r="A861" t="str">
            <v>48007_1</v>
          </cell>
        </row>
        <row r="862">
          <cell r="A862" t="str">
            <v>48007_2</v>
          </cell>
        </row>
        <row r="863">
          <cell r="A863" t="str">
            <v>48008_1</v>
          </cell>
        </row>
        <row r="864">
          <cell r="A864" t="str">
            <v>48008_2</v>
          </cell>
        </row>
        <row r="865">
          <cell r="A865" t="str">
            <v>48009_1</v>
          </cell>
        </row>
        <row r="866">
          <cell r="A866" t="str">
            <v>48009_2</v>
          </cell>
        </row>
        <row r="867">
          <cell r="A867" t="str">
            <v>48010_1</v>
          </cell>
        </row>
        <row r="868">
          <cell r="A868" t="str">
            <v>48011_1</v>
          </cell>
        </row>
        <row r="869">
          <cell r="A869" t="str">
            <v>48011_2</v>
          </cell>
        </row>
        <row r="870">
          <cell r="A870" t="str">
            <v>48501_1</v>
          </cell>
        </row>
        <row r="871">
          <cell r="A871" t="str">
            <v>48501_2</v>
          </cell>
        </row>
        <row r="872">
          <cell r="A872" t="str">
            <v>48502_1</v>
          </cell>
        </row>
        <row r="873">
          <cell r="A873" t="str">
            <v>48502_2</v>
          </cell>
        </row>
        <row r="874">
          <cell r="A874" t="str">
            <v>48701_1</v>
          </cell>
        </row>
        <row r="875">
          <cell r="A875" t="str">
            <v>48701_2</v>
          </cell>
        </row>
        <row r="876">
          <cell r="A876" t="str">
            <v>49001_1</v>
          </cell>
        </row>
        <row r="877">
          <cell r="A877" t="str">
            <v>49002_1</v>
          </cell>
        </row>
        <row r="878">
          <cell r="A878" t="str">
            <v>49002_2</v>
          </cell>
        </row>
        <row r="879">
          <cell r="A879" t="str">
            <v>49003_1</v>
          </cell>
        </row>
        <row r="880">
          <cell r="A880" t="str">
            <v>49003_2</v>
          </cell>
        </row>
        <row r="881">
          <cell r="A881" t="str">
            <v>49004_1</v>
          </cell>
        </row>
        <row r="882">
          <cell r="A882" t="str">
            <v>49004_2</v>
          </cell>
        </row>
        <row r="883">
          <cell r="A883" t="str">
            <v>49004_3</v>
          </cell>
        </row>
        <row r="884">
          <cell r="A884" t="str">
            <v>49005_1</v>
          </cell>
        </row>
        <row r="885">
          <cell r="A885" t="str">
            <v>49006_1</v>
          </cell>
        </row>
        <row r="886">
          <cell r="A886" t="str">
            <v>49006_2</v>
          </cell>
        </row>
        <row r="887">
          <cell r="A887" t="str">
            <v>49007_1</v>
          </cell>
        </row>
        <row r="888">
          <cell r="A888" t="str">
            <v>49007_2</v>
          </cell>
        </row>
        <row r="889">
          <cell r="A889" t="str">
            <v>49007_3</v>
          </cell>
        </row>
        <row r="890">
          <cell r="A890" t="str">
            <v>49008_1</v>
          </cell>
        </row>
        <row r="891">
          <cell r="A891" t="str">
            <v>49009_1</v>
          </cell>
        </row>
        <row r="892">
          <cell r="A892" t="str">
            <v>49010_1</v>
          </cell>
        </row>
        <row r="893">
          <cell r="A893" t="str">
            <v>49011_1</v>
          </cell>
        </row>
        <row r="894">
          <cell r="A894" t="str">
            <v>49012_1</v>
          </cell>
        </row>
        <row r="895">
          <cell r="A895" t="str">
            <v>49013_1</v>
          </cell>
        </row>
        <row r="896">
          <cell r="A896" t="str">
            <v>49014_1</v>
          </cell>
        </row>
        <row r="897">
          <cell r="A897" t="str">
            <v>49014_2</v>
          </cell>
        </row>
        <row r="898">
          <cell r="A898" t="str">
            <v>49015_1</v>
          </cell>
        </row>
        <row r="899">
          <cell r="A899" t="str">
            <v>49015_2</v>
          </cell>
        </row>
        <row r="900">
          <cell r="A900" t="str">
            <v>49015_3</v>
          </cell>
        </row>
        <row r="901">
          <cell r="A901" t="str">
            <v>50001_1</v>
          </cell>
        </row>
        <row r="902">
          <cell r="A902" t="str">
            <v>50002_1</v>
          </cell>
        </row>
        <row r="903">
          <cell r="A903" t="str">
            <v>50003_1</v>
          </cell>
        </row>
        <row r="904">
          <cell r="A904" t="str">
            <v>50004_1</v>
          </cell>
        </row>
        <row r="905">
          <cell r="A905" t="str">
            <v>50005_1</v>
          </cell>
        </row>
        <row r="906">
          <cell r="A906" t="str">
            <v>50006_1</v>
          </cell>
        </row>
        <row r="907">
          <cell r="A907" t="str">
            <v>50007_1</v>
          </cell>
        </row>
        <row r="908">
          <cell r="A908" t="str">
            <v>50008_1</v>
          </cell>
        </row>
        <row r="909">
          <cell r="A909" t="str">
            <v>50009_1</v>
          </cell>
        </row>
        <row r="910">
          <cell r="A910" t="str">
            <v>50010_1</v>
          </cell>
        </row>
        <row r="911">
          <cell r="A911" t="str">
            <v>50011_1</v>
          </cell>
        </row>
        <row r="912">
          <cell r="A912" t="str">
            <v>50012_1</v>
          </cell>
        </row>
        <row r="913">
          <cell r="A913" t="str">
            <v>50013_1</v>
          </cell>
        </row>
        <row r="914">
          <cell r="A914" t="str">
            <v>50014_1</v>
          </cell>
        </row>
        <row r="915">
          <cell r="A915" t="str">
            <v>51001_1</v>
          </cell>
        </row>
        <row r="916">
          <cell r="A916" t="str">
            <v>51002_1</v>
          </cell>
        </row>
        <row r="917">
          <cell r="A917" t="str">
            <v>58001_1</v>
          </cell>
        </row>
        <row r="918">
          <cell r="A918" t="str">
            <v>59001_1</v>
          </cell>
        </row>
        <row r="919">
          <cell r="A919" t="str">
            <v>59002_1</v>
          </cell>
        </row>
        <row r="920">
          <cell r="A920" t="str">
            <v>60001_1</v>
          </cell>
        </row>
        <row r="921">
          <cell r="A921" t="str">
            <v>60002_1</v>
          </cell>
        </row>
        <row r="922">
          <cell r="A922" t="str">
            <v>60002_2</v>
          </cell>
        </row>
        <row r="923">
          <cell r="A923" t="str">
            <v>60003_1</v>
          </cell>
        </row>
        <row r="924">
          <cell r="A924" t="str">
            <v>60003_2</v>
          </cell>
        </row>
        <row r="925">
          <cell r="A925" t="str">
            <v>60003_3</v>
          </cell>
        </row>
        <row r="926">
          <cell r="A926" t="str">
            <v>60004_1</v>
          </cell>
        </row>
        <row r="927">
          <cell r="A927" t="str">
            <v>60005_1</v>
          </cell>
        </row>
        <row r="928">
          <cell r="A928" t="str">
            <v>60006_1</v>
          </cell>
        </row>
        <row r="929">
          <cell r="A929" t="str">
            <v>60006_2</v>
          </cell>
        </row>
        <row r="930">
          <cell r="A930" t="str">
            <v>60006_3</v>
          </cell>
        </row>
        <row r="931">
          <cell r="A931" t="str">
            <v>60007_1</v>
          </cell>
        </row>
        <row r="932">
          <cell r="A932" t="str">
            <v>60007_2</v>
          </cell>
        </row>
        <row r="933">
          <cell r="A933" t="str">
            <v>60007_3</v>
          </cell>
        </row>
        <row r="934">
          <cell r="A934" t="str">
            <v>60010_1</v>
          </cell>
        </row>
        <row r="935">
          <cell r="A935" t="str">
            <v>60011_1</v>
          </cell>
        </row>
        <row r="936">
          <cell r="A936" t="str">
            <v>60011_2</v>
          </cell>
        </row>
        <row r="937">
          <cell r="A937" t="str">
            <v>60012_1</v>
          </cell>
        </row>
        <row r="938">
          <cell r="A938" t="str">
            <v>60013_1</v>
          </cell>
        </row>
        <row r="939">
          <cell r="A939" t="str">
            <v>60013_2</v>
          </cell>
        </row>
        <row r="940">
          <cell r="A940" t="str">
            <v>60013_3</v>
          </cell>
        </row>
        <row r="941">
          <cell r="A941" t="str">
            <v>60014_1</v>
          </cell>
        </row>
        <row r="942">
          <cell r="A942" t="str">
            <v>60015_1</v>
          </cell>
        </row>
        <row r="943">
          <cell r="A943" t="str">
            <v>60016_1</v>
          </cell>
        </row>
        <row r="944">
          <cell r="A944" t="str">
            <v>60017_1</v>
          </cell>
        </row>
        <row r="945">
          <cell r="A945" t="str">
            <v>60018_1</v>
          </cell>
        </row>
        <row r="946">
          <cell r="A946" t="str">
            <v>60019_1</v>
          </cell>
        </row>
        <row r="947">
          <cell r="A947" t="str">
            <v>60020_1</v>
          </cell>
        </row>
        <row r="948">
          <cell r="A948" t="str">
            <v>60021_3</v>
          </cell>
        </row>
        <row r="949">
          <cell r="A949" t="str">
            <v>60022_3</v>
          </cell>
        </row>
        <row r="950">
          <cell r="A950" t="str">
            <v>60023_3</v>
          </cell>
        </row>
        <row r="951">
          <cell r="A951" t="str">
            <v>60024_3</v>
          </cell>
        </row>
        <row r="952">
          <cell r="A952" t="str">
            <v>60025_1</v>
          </cell>
        </row>
        <row r="953">
          <cell r="A953" t="str">
            <v>60026_1</v>
          </cell>
        </row>
        <row r="954">
          <cell r="A954" t="str">
            <v>61011_1</v>
          </cell>
        </row>
        <row r="955">
          <cell r="A955" t="str">
            <v>60027_1</v>
          </cell>
        </row>
        <row r="956">
          <cell r="A956" t="str">
            <v>60028_1</v>
          </cell>
        </row>
        <row r="957">
          <cell r="A957" t="str">
            <v>65525_1</v>
          </cell>
        </row>
        <row r="958">
          <cell r="A958" t="str">
            <v>65526_1</v>
          </cell>
        </row>
        <row r="959">
          <cell r="A959" t="str">
            <v>65526_2</v>
          </cell>
        </row>
        <row r="960">
          <cell r="A960" t="str">
            <v>65527_1</v>
          </cell>
        </row>
        <row r="961">
          <cell r="A961" t="str">
            <v>65528_1</v>
          </cell>
        </row>
        <row r="962">
          <cell r="A962" t="str">
            <v>65529_1</v>
          </cell>
        </row>
        <row r="963">
          <cell r="A963" t="str">
            <v>65530_1</v>
          </cell>
        </row>
        <row r="964">
          <cell r="A964" t="str">
            <v>65531_1</v>
          </cell>
        </row>
        <row r="965">
          <cell r="A965" t="str">
            <v>65531_2</v>
          </cell>
        </row>
        <row r="966">
          <cell r="A966" t="str">
            <v>65532_1</v>
          </cell>
        </row>
        <row r="967">
          <cell r="A967" t="str">
            <v>65532_2</v>
          </cell>
        </row>
        <row r="968">
          <cell r="A968" t="str">
            <v>65533_1</v>
          </cell>
        </row>
        <row r="969">
          <cell r="A969" t="str">
            <v>65533_2</v>
          </cell>
        </row>
        <row r="970">
          <cell r="A970" t="str">
            <v>65534_1</v>
          </cell>
        </row>
        <row r="971">
          <cell r="A971" t="str">
            <v>65534_2</v>
          </cell>
        </row>
        <row r="972">
          <cell r="A972" t="str">
            <v>65535_1</v>
          </cell>
        </row>
        <row r="973">
          <cell r="A973" t="str">
            <v>65535_2</v>
          </cell>
        </row>
        <row r="974">
          <cell r="A974" t="str">
            <v>65535_3</v>
          </cell>
        </row>
        <row r="975">
          <cell r="A975" t="str">
            <v>65535_4</v>
          </cell>
        </row>
        <row r="976">
          <cell r="A976" t="str">
            <v>65535_5</v>
          </cell>
        </row>
        <row r="977">
          <cell r="A977" t="str">
            <v>65535_6</v>
          </cell>
        </row>
        <row r="978">
          <cell r="A978" t="str">
            <v>65535_7</v>
          </cell>
        </row>
        <row r="979">
          <cell r="A979" t="str">
            <v>65535_8</v>
          </cell>
        </row>
        <row r="980">
          <cell r="A980" t="str">
            <v>65535_9</v>
          </cell>
        </row>
        <row r="981">
          <cell r="A981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1407</v>
          </cell>
        </row>
        <row r="1337">
          <cell r="A1337">
            <v>1408</v>
          </cell>
        </row>
        <row r="1338">
          <cell r="A1338">
            <v>1409</v>
          </cell>
        </row>
        <row r="1339">
          <cell r="A1339">
            <v>1410</v>
          </cell>
        </row>
        <row r="1340">
          <cell r="A1340">
            <v>1504</v>
          </cell>
        </row>
        <row r="1341">
          <cell r="A1341">
            <v>1505</v>
          </cell>
        </row>
        <row r="1342">
          <cell r="A1342">
            <v>1506</v>
          </cell>
        </row>
        <row r="1343">
          <cell r="A1343">
            <v>1507</v>
          </cell>
        </row>
        <row r="1344">
          <cell r="A1344">
            <v>1508</v>
          </cell>
        </row>
        <row r="1345">
          <cell r="A1345">
            <v>1509</v>
          </cell>
        </row>
        <row r="1346">
          <cell r="A1346">
            <v>1510</v>
          </cell>
        </row>
        <row r="1347">
          <cell r="A1347">
            <v>1511</v>
          </cell>
        </row>
        <row r="1348">
          <cell r="A1348">
            <v>1512</v>
          </cell>
        </row>
        <row r="1349">
          <cell r="A1349">
            <v>1523</v>
          </cell>
        </row>
        <row r="1350">
          <cell r="A1350">
            <v>1524</v>
          </cell>
        </row>
        <row r="1351">
          <cell r="A1351">
            <v>1525</v>
          </cell>
        </row>
        <row r="1352">
          <cell r="A1352">
            <v>1526</v>
          </cell>
        </row>
        <row r="1353">
          <cell r="A1353">
            <v>5001</v>
          </cell>
        </row>
        <row r="1354">
          <cell r="A1354">
            <v>5002</v>
          </cell>
        </row>
        <row r="1355">
          <cell r="A1355">
            <v>5003</v>
          </cell>
        </row>
        <row r="1356">
          <cell r="A1356">
            <v>5004</v>
          </cell>
        </row>
        <row r="1357">
          <cell r="A1357">
            <v>5005</v>
          </cell>
        </row>
        <row r="1358">
          <cell r="A1358">
            <v>5006</v>
          </cell>
        </row>
        <row r="1359">
          <cell r="A1359">
            <v>5007</v>
          </cell>
        </row>
        <row r="1360">
          <cell r="A1360">
            <v>5008</v>
          </cell>
        </row>
        <row r="1361">
          <cell r="A1361">
            <v>6001</v>
          </cell>
        </row>
        <row r="1362">
          <cell r="A1362">
            <v>6002</v>
          </cell>
        </row>
        <row r="1363">
          <cell r="A1363">
            <v>6003</v>
          </cell>
        </row>
        <row r="1364">
          <cell r="A1364">
            <v>6004</v>
          </cell>
        </row>
        <row r="1365">
          <cell r="A1365">
            <v>6005</v>
          </cell>
        </row>
        <row r="1366">
          <cell r="A1366">
            <v>6006</v>
          </cell>
        </row>
        <row r="1367">
          <cell r="A1367">
            <v>6007</v>
          </cell>
        </row>
        <row r="1368">
          <cell r="A1368">
            <v>6008</v>
          </cell>
        </row>
        <row r="1369">
          <cell r="A1369">
            <v>6009</v>
          </cell>
        </row>
        <row r="1370">
          <cell r="A1370">
            <v>6010</v>
          </cell>
        </row>
        <row r="1371">
          <cell r="A1371">
            <v>6011</v>
          </cell>
        </row>
        <row r="1372">
          <cell r="A1372">
            <v>6012</v>
          </cell>
        </row>
        <row r="1373">
          <cell r="A1373">
            <v>6013</v>
          </cell>
        </row>
        <row r="1374">
          <cell r="A1374">
            <v>6014</v>
          </cell>
        </row>
        <row r="1375">
          <cell r="A1375">
            <v>6015</v>
          </cell>
        </row>
        <row r="1376">
          <cell r="A1376">
            <v>6016</v>
          </cell>
        </row>
        <row r="1377">
          <cell r="A1377">
            <v>6017</v>
          </cell>
        </row>
        <row r="1378">
          <cell r="A1378">
            <v>6018</v>
          </cell>
        </row>
        <row r="1379">
          <cell r="A1379">
            <v>6019</v>
          </cell>
        </row>
        <row r="1380">
          <cell r="A1380">
            <v>6020</v>
          </cell>
        </row>
        <row r="1381">
          <cell r="A1381">
            <v>8001</v>
          </cell>
        </row>
        <row r="1382">
          <cell r="A1382">
            <v>8002</v>
          </cell>
        </row>
        <row r="1383">
          <cell r="A1383">
            <v>8003</v>
          </cell>
        </row>
        <row r="1384">
          <cell r="A1384">
            <v>8004</v>
          </cell>
        </row>
        <row r="1385">
          <cell r="A1385">
            <v>8005</v>
          </cell>
        </row>
        <row r="1386">
          <cell r="A1386">
            <v>8006</v>
          </cell>
        </row>
        <row r="1387">
          <cell r="A1387">
            <v>8007</v>
          </cell>
        </row>
        <row r="1388">
          <cell r="A1388">
            <v>8008</v>
          </cell>
        </row>
        <row r="1389">
          <cell r="A1389">
            <v>8009</v>
          </cell>
        </row>
        <row r="1390">
          <cell r="A1390">
            <v>8010</v>
          </cell>
        </row>
        <row r="1391">
          <cell r="A1391">
            <v>8011</v>
          </cell>
        </row>
        <row r="1392">
          <cell r="A1392">
            <v>8012</v>
          </cell>
        </row>
        <row r="1393">
          <cell r="A1393">
            <v>8013</v>
          </cell>
        </row>
        <row r="1394">
          <cell r="A1394">
            <v>8014</v>
          </cell>
        </row>
        <row r="1395">
          <cell r="A1395">
            <v>8015</v>
          </cell>
        </row>
        <row r="1396">
          <cell r="A1396">
            <v>8016</v>
          </cell>
        </row>
        <row r="1397">
          <cell r="A1397">
            <v>8017</v>
          </cell>
        </row>
        <row r="1398">
          <cell r="A1398">
            <v>8018</v>
          </cell>
        </row>
        <row r="1399">
          <cell r="A1399">
            <v>8019</v>
          </cell>
        </row>
        <row r="1400">
          <cell r="A1400">
            <v>8020</v>
          </cell>
        </row>
        <row r="1401">
          <cell r="A1401">
            <v>8021</v>
          </cell>
        </row>
        <row r="1402">
          <cell r="A1402">
            <v>8022</v>
          </cell>
        </row>
        <row r="1403">
          <cell r="A1403">
            <v>8023</v>
          </cell>
        </row>
        <row r="1404">
          <cell r="A1404">
            <v>8024</v>
          </cell>
        </row>
        <row r="1405">
          <cell r="A1405">
            <v>8025</v>
          </cell>
        </row>
        <row r="1406">
          <cell r="A1406">
            <v>8026</v>
          </cell>
        </row>
        <row r="1407">
          <cell r="A1407">
            <v>8027</v>
          </cell>
        </row>
        <row r="1408">
          <cell r="A1408">
            <v>8028</v>
          </cell>
        </row>
        <row r="1409">
          <cell r="A1409">
            <v>8029</v>
          </cell>
        </row>
        <row r="1410">
          <cell r="A1410">
            <v>8030</v>
          </cell>
        </row>
        <row r="1411">
          <cell r="A1411">
            <v>8031</v>
          </cell>
        </row>
        <row r="1412">
          <cell r="A1412">
            <v>8032</v>
          </cell>
        </row>
        <row r="1413">
          <cell r="A1413">
            <v>8033</v>
          </cell>
        </row>
        <row r="1414">
          <cell r="A1414">
            <v>8034</v>
          </cell>
        </row>
        <row r="1415">
          <cell r="A1415">
            <v>8035</v>
          </cell>
        </row>
        <row r="1416">
          <cell r="A1416">
            <v>8036</v>
          </cell>
        </row>
        <row r="1417">
          <cell r="A1417">
            <v>8037</v>
          </cell>
        </row>
        <row r="1418">
          <cell r="A1418">
            <v>8038</v>
          </cell>
        </row>
        <row r="1419">
          <cell r="A1419">
            <v>8039</v>
          </cell>
        </row>
        <row r="1420">
          <cell r="A1420">
            <v>8040</v>
          </cell>
        </row>
        <row r="1421">
          <cell r="A1421">
            <v>8041</v>
          </cell>
        </row>
        <row r="1422">
          <cell r="A1422">
            <v>8042</v>
          </cell>
        </row>
        <row r="1423">
          <cell r="A1423">
            <v>8043</v>
          </cell>
        </row>
        <row r="1424">
          <cell r="A1424">
            <v>8044</v>
          </cell>
        </row>
        <row r="1425">
          <cell r="A1425">
            <v>8045</v>
          </cell>
        </row>
        <row r="1426">
          <cell r="A1426">
            <v>8046</v>
          </cell>
        </row>
        <row r="1427">
          <cell r="A1427">
            <v>8047</v>
          </cell>
        </row>
        <row r="1428">
          <cell r="A1428">
            <v>8048</v>
          </cell>
        </row>
        <row r="1429">
          <cell r="A1429">
            <v>8049</v>
          </cell>
        </row>
        <row r="1430">
          <cell r="A1430">
            <v>8050</v>
          </cell>
        </row>
        <row r="1431">
          <cell r="A1431">
            <v>8051</v>
          </cell>
        </row>
        <row r="1432">
          <cell r="A1432">
            <v>8052</v>
          </cell>
        </row>
        <row r="1433">
          <cell r="A1433">
            <v>8053</v>
          </cell>
        </row>
        <row r="1434">
          <cell r="A1434">
            <v>8054</v>
          </cell>
        </row>
        <row r="1435">
          <cell r="A1435">
            <v>8055</v>
          </cell>
        </row>
        <row r="1436">
          <cell r="A1436">
            <v>8056</v>
          </cell>
        </row>
        <row r="1437">
          <cell r="A1437">
            <v>8057</v>
          </cell>
        </row>
        <row r="1438">
          <cell r="A1438">
            <v>8058</v>
          </cell>
        </row>
        <row r="1439">
          <cell r="A1439">
            <v>8059</v>
          </cell>
        </row>
        <row r="1440">
          <cell r="A1440">
            <v>8060</v>
          </cell>
        </row>
        <row r="1441">
          <cell r="A1441">
            <v>8061</v>
          </cell>
        </row>
        <row r="1442">
          <cell r="A1442">
            <v>8062</v>
          </cell>
        </row>
        <row r="1443">
          <cell r="A1443">
            <v>8063</v>
          </cell>
        </row>
        <row r="1444">
          <cell r="A1444">
            <v>8064</v>
          </cell>
        </row>
        <row r="1445">
          <cell r="A1445">
            <v>8065</v>
          </cell>
        </row>
        <row r="1446">
          <cell r="A1446">
            <v>8066</v>
          </cell>
        </row>
        <row r="1447">
          <cell r="A1447">
            <v>8067</v>
          </cell>
        </row>
        <row r="1448">
          <cell r="A1448">
            <v>8068</v>
          </cell>
        </row>
        <row r="1449">
          <cell r="A1449">
            <v>8069</v>
          </cell>
        </row>
        <row r="1450">
          <cell r="A1450">
            <v>8070</v>
          </cell>
        </row>
        <row r="1451">
          <cell r="A1451">
            <v>8071</v>
          </cell>
        </row>
        <row r="1452">
          <cell r="A1452">
            <v>8072</v>
          </cell>
        </row>
        <row r="1453">
          <cell r="A1453">
            <v>8073</v>
          </cell>
        </row>
        <row r="1454">
          <cell r="A1454">
            <v>8074</v>
          </cell>
        </row>
        <row r="1455">
          <cell r="A1455">
            <v>8077</v>
          </cell>
        </row>
        <row r="1456">
          <cell r="A1456">
            <v>8078</v>
          </cell>
        </row>
        <row r="1457">
          <cell r="A1457">
            <v>8079</v>
          </cell>
        </row>
        <row r="1458">
          <cell r="A1458">
            <v>8080</v>
          </cell>
        </row>
        <row r="1459">
          <cell r="A1459">
            <v>8081</v>
          </cell>
        </row>
        <row r="1460">
          <cell r="A1460">
            <v>8082</v>
          </cell>
        </row>
        <row r="1461">
          <cell r="A1461">
            <v>8083</v>
          </cell>
        </row>
        <row r="1462">
          <cell r="A1462">
            <v>8084</v>
          </cell>
        </row>
        <row r="1463">
          <cell r="A1463">
            <v>8087</v>
          </cell>
        </row>
        <row r="1464">
          <cell r="A1464">
            <v>8088</v>
          </cell>
        </row>
        <row r="1465">
          <cell r="A1465">
            <v>8089</v>
          </cell>
        </row>
        <row r="1466">
          <cell r="A1466">
            <v>8090</v>
          </cell>
        </row>
        <row r="1467">
          <cell r="A1467">
            <v>8095</v>
          </cell>
        </row>
        <row r="1468">
          <cell r="A1468">
            <v>8096</v>
          </cell>
        </row>
        <row r="1469">
          <cell r="A1469">
            <v>8097</v>
          </cell>
        </row>
        <row r="1470">
          <cell r="A1470">
            <v>8098</v>
          </cell>
        </row>
        <row r="1471">
          <cell r="A1471">
            <v>8099</v>
          </cell>
        </row>
        <row r="1472">
          <cell r="A1472">
            <v>9001</v>
          </cell>
        </row>
        <row r="1473">
          <cell r="A1473">
            <v>9002</v>
          </cell>
        </row>
        <row r="1474">
          <cell r="A1474">
            <v>9003</v>
          </cell>
        </row>
        <row r="1475">
          <cell r="A1475">
            <v>9004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1389</v>
          </cell>
        </row>
        <row r="1373">
          <cell r="A1373">
            <v>1390</v>
          </cell>
        </row>
        <row r="1374">
          <cell r="A1374">
            <v>1399</v>
          </cell>
        </row>
        <row r="1375">
          <cell r="A1375">
            <v>1400</v>
          </cell>
        </row>
        <row r="1376">
          <cell r="A1376">
            <v>1401</v>
          </cell>
        </row>
        <row r="1377">
          <cell r="A1377">
            <v>1402</v>
          </cell>
        </row>
        <row r="1378">
          <cell r="A1378">
            <v>1403</v>
          </cell>
        </row>
        <row r="1379">
          <cell r="A1379">
            <v>1404</v>
          </cell>
        </row>
        <row r="1380">
          <cell r="A1380">
            <v>1405</v>
          </cell>
        </row>
        <row r="1381">
          <cell r="A1381">
            <v>1406</v>
          </cell>
        </row>
        <row r="1382">
          <cell r="A1382">
            <v>1407</v>
          </cell>
        </row>
        <row r="1383">
          <cell r="A1383">
            <v>1408</v>
          </cell>
        </row>
        <row r="1384">
          <cell r="A1384">
            <v>1409</v>
          </cell>
        </row>
        <row r="1385">
          <cell r="A1385">
            <v>1410</v>
          </cell>
        </row>
        <row r="1386">
          <cell r="A1386">
            <v>1411</v>
          </cell>
        </row>
        <row r="1387">
          <cell r="A1387">
            <v>1412</v>
          </cell>
        </row>
        <row r="1388">
          <cell r="A1388">
            <v>1413</v>
          </cell>
        </row>
        <row r="1389">
          <cell r="A1389">
            <v>1414</v>
          </cell>
        </row>
        <row r="1390">
          <cell r="A1390">
            <v>1415</v>
          </cell>
        </row>
        <row r="1391">
          <cell r="A1391">
            <v>1416</v>
          </cell>
        </row>
        <row r="1392">
          <cell r="A1392">
            <v>1417</v>
          </cell>
        </row>
        <row r="1393">
          <cell r="A1393">
            <v>1418</v>
          </cell>
        </row>
        <row r="1394">
          <cell r="A1394">
            <v>1419</v>
          </cell>
        </row>
        <row r="1395">
          <cell r="A1395">
            <v>1420</v>
          </cell>
        </row>
        <row r="1396">
          <cell r="A1396">
            <v>1421</v>
          </cell>
        </row>
        <row r="1397">
          <cell r="A1397">
            <v>1422</v>
          </cell>
        </row>
        <row r="1398">
          <cell r="A1398">
            <v>1423</v>
          </cell>
        </row>
        <row r="1399">
          <cell r="A1399">
            <v>1424</v>
          </cell>
        </row>
        <row r="1400">
          <cell r="A1400">
            <v>1425</v>
          </cell>
        </row>
        <row r="1401">
          <cell r="A1401">
            <v>1426</v>
          </cell>
        </row>
        <row r="1402">
          <cell r="A1402">
            <v>1433</v>
          </cell>
        </row>
        <row r="1403">
          <cell r="A1403">
            <v>1434</v>
          </cell>
        </row>
        <row r="1404">
          <cell r="A1404">
            <v>1435</v>
          </cell>
        </row>
        <row r="1405">
          <cell r="A1405">
            <v>1454</v>
          </cell>
        </row>
        <row r="1406">
          <cell r="A1406">
            <v>1455</v>
          </cell>
        </row>
        <row r="1407">
          <cell r="A1407">
            <v>1458</v>
          </cell>
        </row>
        <row r="1408">
          <cell r="A1408">
            <v>1459</v>
          </cell>
        </row>
        <row r="1409">
          <cell r="A1409">
            <v>1460</v>
          </cell>
        </row>
        <row r="1410">
          <cell r="A1410">
            <v>1461</v>
          </cell>
        </row>
        <row r="1411">
          <cell r="A1411">
            <v>1462</v>
          </cell>
        </row>
        <row r="1412">
          <cell r="A1412">
            <v>1463</v>
          </cell>
        </row>
        <row r="1413">
          <cell r="A1413">
            <v>1464</v>
          </cell>
        </row>
        <row r="1414">
          <cell r="A1414">
            <v>1465</v>
          </cell>
        </row>
        <row r="1415">
          <cell r="A1415">
            <v>1466</v>
          </cell>
        </row>
        <row r="1416">
          <cell r="A1416">
            <v>1467</v>
          </cell>
        </row>
        <row r="1417">
          <cell r="A1417">
            <v>1468</v>
          </cell>
        </row>
        <row r="1418">
          <cell r="A1418">
            <v>1469</v>
          </cell>
        </row>
        <row r="1419">
          <cell r="A1419">
            <v>1470</v>
          </cell>
        </row>
        <row r="1420">
          <cell r="A1420">
            <v>1488</v>
          </cell>
        </row>
        <row r="1421">
          <cell r="A1421">
            <v>1489</v>
          </cell>
        </row>
        <row r="1422">
          <cell r="A1422">
            <v>1504</v>
          </cell>
        </row>
        <row r="1423">
          <cell r="A1423">
            <v>1505</v>
          </cell>
        </row>
        <row r="1424">
          <cell r="A1424">
            <v>1506</v>
          </cell>
        </row>
        <row r="1425">
          <cell r="A1425">
            <v>1507</v>
          </cell>
        </row>
        <row r="1426">
          <cell r="A1426">
            <v>1508</v>
          </cell>
        </row>
        <row r="1427">
          <cell r="A1427">
            <v>1509</v>
          </cell>
        </row>
        <row r="1428">
          <cell r="A1428">
            <v>1510</v>
          </cell>
        </row>
        <row r="1429">
          <cell r="A1429">
            <v>1511</v>
          </cell>
        </row>
        <row r="1430">
          <cell r="A1430">
            <v>1512</v>
          </cell>
        </row>
        <row r="1431">
          <cell r="A1431">
            <v>1513</v>
          </cell>
        </row>
        <row r="1432">
          <cell r="A1432">
            <v>1514</v>
          </cell>
        </row>
        <row r="1433">
          <cell r="A1433">
            <v>1515</v>
          </cell>
        </row>
        <row r="1434">
          <cell r="A1434">
            <v>1516</v>
          </cell>
        </row>
        <row r="1435">
          <cell r="A1435">
            <v>1517</v>
          </cell>
        </row>
        <row r="1436">
          <cell r="A1436">
            <v>1518</v>
          </cell>
        </row>
        <row r="1437">
          <cell r="A1437">
            <v>1519</v>
          </cell>
        </row>
        <row r="1438">
          <cell r="A1438">
            <v>1520</v>
          </cell>
        </row>
        <row r="1439">
          <cell r="A1439">
            <v>1521</v>
          </cell>
        </row>
        <row r="1440">
          <cell r="A1440">
            <v>1522</v>
          </cell>
        </row>
        <row r="1441">
          <cell r="A1441">
            <v>1523</v>
          </cell>
        </row>
        <row r="1442">
          <cell r="A1442">
            <v>1524</v>
          </cell>
        </row>
        <row r="1443">
          <cell r="A1443">
            <v>1525</v>
          </cell>
        </row>
        <row r="1444">
          <cell r="A1444">
            <v>1526</v>
          </cell>
        </row>
        <row r="1445">
          <cell r="A1445">
            <v>1527</v>
          </cell>
        </row>
        <row r="1446">
          <cell r="A1446">
            <v>1528</v>
          </cell>
        </row>
        <row r="1447">
          <cell r="A1447">
            <v>1529</v>
          </cell>
        </row>
        <row r="1448">
          <cell r="A1448">
            <v>1530</v>
          </cell>
        </row>
        <row r="1449">
          <cell r="A1449">
            <v>1531</v>
          </cell>
        </row>
        <row r="1450">
          <cell r="A1450">
            <v>1532</v>
          </cell>
        </row>
        <row r="1451">
          <cell r="A1451">
            <v>1533</v>
          </cell>
        </row>
        <row r="1452">
          <cell r="A1452">
            <v>1534</v>
          </cell>
        </row>
        <row r="1453">
          <cell r="A1453">
            <v>1535</v>
          </cell>
        </row>
        <row r="1454">
          <cell r="A1454">
            <v>1536</v>
          </cell>
        </row>
        <row r="1455">
          <cell r="A1455">
            <v>1537</v>
          </cell>
        </row>
        <row r="1456">
          <cell r="A1456">
            <v>1538</v>
          </cell>
        </row>
        <row r="1457">
          <cell r="A1457">
            <v>1539</v>
          </cell>
        </row>
        <row r="1458">
          <cell r="A1458">
            <v>1540</v>
          </cell>
        </row>
        <row r="1459">
          <cell r="A1459">
            <v>1541</v>
          </cell>
        </row>
        <row r="1460">
          <cell r="A1460">
            <v>1542</v>
          </cell>
        </row>
        <row r="1461">
          <cell r="A1461">
            <v>1543</v>
          </cell>
        </row>
        <row r="1462">
          <cell r="A1462">
            <v>1544</v>
          </cell>
        </row>
        <row r="1463">
          <cell r="A1463">
            <v>1545</v>
          </cell>
        </row>
        <row r="1464">
          <cell r="A1464">
            <v>1546</v>
          </cell>
        </row>
        <row r="1465">
          <cell r="A1465">
            <v>1547</v>
          </cell>
        </row>
        <row r="1466">
          <cell r="A1466">
            <v>1548</v>
          </cell>
        </row>
        <row r="1467">
          <cell r="A1467">
            <v>1549</v>
          </cell>
        </row>
        <row r="1468">
          <cell r="A1468">
            <v>1550</v>
          </cell>
        </row>
        <row r="1469">
          <cell r="A1469">
            <v>5001</v>
          </cell>
        </row>
        <row r="1470">
          <cell r="A1470">
            <v>5002</v>
          </cell>
        </row>
        <row r="1471">
          <cell r="A1471">
            <v>5003</v>
          </cell>
        </row>
        <row r="1472">
          <cell r="A1472">
            <v>5004</v>
          </cell>
        </row>
        <row r="1473">
          <cell r="A1473">
            <v>5005</v>
          </cell>
        </row>
        <row r="1474">
          <cell r="A1474">
            <v>5006</v>
          </cell>
        </row>
        <row r="1475">
          <cell r="A1475">
            <v>5007</v>
          </cell>
        </row>
        <row r="1476">
          <cell r="A1476">
            <v>5008</v>
          </cell>
        </row>
        <row r="1477">
          <cell r="A1477">
            <v>6001</v>
          </cell>
        </row>
        <row r="1478">
          <cell r="A1478">
            <v>6002</v>
          </cell>
        </row>
        <row r="1479">
          <cell r="A1479">
            <v>6003</v>
          </cell>
        </row>
        <row r="1480">
          <cell r="A1480">
            <v>6004</v>
          </cell>
        </row>
        <row r="1481">
          <cell r="A1481">
            <v>6005</v>
          </cell>
        </row>
        <row r="1482">
          <cell r="A1482">
            <v>6006</v>
          </cell>
        </row>
        <row r="1483">
          <cell r="A1483">
            <v>6007</v>
          </cell>
        </row>
        <row r="1484">
          <cell r="A1484">
            <v>6008</v>
          </cell>
        </row>
        <row r="1485">
          <cell r="A1485">
            <v>6009</v>
          </cell>
        </row>
        <row r="1486">
          <cell r="A1486">
            <v>6010</v>
          </cell>
        </row>
        <row r="1487">
          <cell r="A1487">
            <v>6011</v>
          </cell>
        </row>
        <row r="1488">
          <cell r="A1488">
            <v>6012</v>
          </cell>
        </row>
        <row r="1489">
          <cell r="A1489">
            <v>6013</v>
          </cell>
        </row>
        <row r="1490">
          <cell r="A1490">
            <v>6014</v>
          </cell>
        </row>
        <row r="1491">
          <cell r="A1491">
            <v>6015</v>
          </cell>
        </row>
        <row r="1492">
          <cell r="A1492">
            <v>6016</v>
          </cell>
        </row>
        <row r="1493">
          <cell r="A1493">
            <v>6017</v>
          </cell>
        </row>
        <row r="1494">
          <cell r="A1494">
            <v>6018</v>
          </cell>
        </row>
        <row r="1495">
          <cell r="A1495">
            <v>6019</v>
          </cell>
        </row>
        <row r="1496">
          <cell r="A1496">
            <v>6020</v>
          </cell>
        </row>
        <row r="1497">
          <cell r="A1497">
            <v>8001</v>
          </cell>
        </row>
        <row r="1498">
          <cell r="A1498">
            <v>8002</v>
          </cell>
        </row>
        <row r="1499">
          <cell r="A1499">
            <v>8003</v>
          </cell>
        </row>
        <row r="1500">
          <cell r="A1500">
            <v>8004</v>
          </cell>
        </row>
        <row r="1501">
          <cell r="A1501">
            <v>8005</v>
          </cell>
        </row>
        <row r="1502">
          <cell r="A1502">
            <v>8006</v>
          </cell>
        </row>
        <row r="1503">
          <cell r="A1503">
            <v>8007</v>
          </cell>
        </row>
        <row r="1504">
          <cell r="A1504">
            <v>8008</v>
          </cell>
        </row>
        <row r="1505">
          <cell r="A1505">
            <v>8009</v>
          </cell>
        </row>
        <row r="1506">
          <cell r="A1506">
            <v>8010</v>
          </cell>
        </row>
        <row r="1507">
          <cell r="A1507">
            <v>8011</v>
          </cell>
        </row>
        <row r="1508">
          <cell r="A1508">
            <v>8012</v>
          </cell>
        </row>
        <row r="1509">
          <cell r="A1509">
            <v>8013</v>
          </cell>
        </row>
        <row r="1510">
          <cell r="A1510">
            <v>8014</v>
          </cell>
        </row>
        <row r="1511">
          <cell r="A1511">
            <v>8015</v>
          </cell>
        </row>
        <row r="1512">
          <cell r="A1512">
            <v>8016</v>
          </cell>
        </row>
        <row r="1513">
          <cell r="A1513">
            <v>8017</v>
          </cell>
        </row>
        <row r="1514">
          <cell r="A1514">
            <v>8018</v>
          </cell>
        </row>
        <row r="1515">
          <cell r="A1515">
            <v>8019</v>
          </cell>
        </row>
        <row r="1516">
          <cell r="A1516">
            <v>8020</v>
          </cell>
        </row>
        <row r="1517">
          <cell r="A1517">
            <v>8021</v>
          </cell>
        </row>
        <row r="1518">
          <cell r="A1518">
            <v>8022</v>
          </cell>
        </row>
        <row r="1519">
          <cell r="A1519">
            <v>8023</v>
          </cell>
        </row>
        <row r="1520">
          <cell r="A1520">
            <v>8024</v>
          </cell>
        </row>
        <row r="1521">
          <cell r="A1521">
            <v>8025</v>
          </cell>
        </row>
        <row r="1522">
          <cell r="A1522">
            <v>8026</v>
          </cell>
        </row>
        <row r="1523">
          <cell r="A1523">
            <v>8027</v>
          </cell>
        </row>
        <row r="1524">
          <cell r="A1524">
            <v>8028</v>
          </cell>
        </row>
        <row r="1525">
          <cell r="A1525">
            <v>8029</v>
          </cell>
        </row>
        <row r="1526">
          <cell r="A1526">
            <v>8030</v>
          </cell>
        </row>
        <row r="1527">
          <cell r="A1527">
            <v>8031</v>
          </cell>
        </row>
        <row r="1528">
          <cell r="A1528">
            <v>8032</v>
          </cell>
        </row>
        <row r="1529">
          <cell r="A1529">
            <v>8033</v>
          </cell>
        </row>
        <row r="1530">
          <cell r="A1530">
            <v>8034</v>
          </cell>
        </row>
        <row r="1531">
          <cell r="A1531">
            <v>8035</v>
          </cell>
        </row>
        <row r="1532">
          <cell r="A1532">
            <v>8036</v>
          </cell>
        </row>
        <row r="1533">
          <cell r="A1533">
            <v>8037</v>
          </cell>
        </row>
        <row r="1534">
          <cell r="A1534">
            <v>8038</v>
          </cell>
        </row>
        <row r="1535">
          <cell r="A1535">
            <v>8039</v>
          </cell>
        </row>
        <row r="1536">
          <cell r="A1536">
            <v>8040</v>
          </cell>
        </row>
        <row r="1537">
          <cell r="A1537">
            <v>8041</v>
          </cell>
        </row>
        <row r="1538">
          <cell r="A1538">
            <v>8042</v>
          </cell>
        </row>
        <row r="1539">
          <cell r="A1539">
            <v>8043</v>
          </cell>
        </row>
        <row r="1540">
          <cell r="A1540">
            <v>8044</v>
          </cell>
        </row>
        <row r="1541">
          <cell r="A1541">
            <v>8045</v>
          </cell>
        </row>
        <row r="1542">
          <cell r="A1542">
            <v>8046</v>
          </cell>
        </row>
        <row r="1543">
          <cell r="A1543">
            <v>8047</v>
          </cell>
        </row>
        <row r="1544">
          <cell r="A1544">
            <v>8048</v>
          </cell>
        </row>
        <row r="1545">
          <cell r="A1545">
            <v>8049</v>
          </cell>
        </row>
        <row r="1546">
          <cell r="A1546">
            <v>8050</v>
          </cell>
        </row>
        <row r="1547">
          <cell r="A1547">
            <v>8051</v>
          </cell>
        </row>
        <row r="1548">
          <cell r="A1548">
            <v>8052</v>
          </cell>
        </row>
        <row r="1549">
          <cell r="A1549">
            <v>8053</v>
          </cell>
        </row>
        <row r="1550">
          <cell r="A1550">
            <v>8054</v>
          </cell>
        </row>
        <row r="1551">
          <cell r="A1551">
            <v>8055</v>
          </cell>
        </row>
        <row r="1552">
          <cell r="A1552">
            <v>8056</v>
          </cell>
        </row>
        <row r="1553">
          <cell r="A1553">
            <v>8057</v>
          </cell>
        </row>
        <row r="1554">
          <cell r="A1554">
            <v>8058</v>
          </cell>
        </row>
        <row r="1555">
          <cell r="A1555">
            <v>8059</v>
          </cell>
        </row>
        <row r="1556">
          <cell r="A1556">
            <v>8060</v>
          </cell>
        </row>
        <row r="1557">
          <cell r="A1557">
            <v>8061</v>
          </cell>
        </row>
        <row r="1558">
          <cell r="A1558">
            <v>8062</v>
          </cell>
        </row>
        <row r="1559">
          <cell r="A1559">
            <v>8063</v>
          </cell>
        </row>
        <row r="1560">
          <cell r="A1560">
            <v>8064</v>
          </cell>
        </row>
        <row r="1561">
          <cell r="A1561">
            <v>8065</v>
          </cell>
        </row>
        <row r="1562">
          <cell r="A1562">
            <v>8066</v>
          </cell>
        </row>
        <row r="1563">
          <cell r="A1563">
            <v>8067</v>
          </cell>
        </row>
        <row r="1564">
          <cell r="A1564">
            <v>8068</v>
          </cell>
        </row>
        <row r="1565">
          <cell r="A1565">
            <v>8069</v>
          </cell>
        </row>
        <row r="1566">
          <cell r="A1566">
            <v>8070</v>
          </cell>
        </row>
        <row r="1567">
          <cell r="A1567">
            <v>8071</v>
          </cell>
        </row>
        <row r="1568">
          <cell r="A1568">
            <v>8072</v>
          </cell>
        </row>
        <row r="1569">
          <cell r="A1569">
            <v>8073</v>
          </cell>
        </row>
        <row r="1570">
          <cell r="A1570">
            <v>8074</v>
          </cell>
        </row>
        <row r="1571">
          <cell r="A1571">
            <v>8075</v>
          </cell>
        </row>
        <row r="1572">
          <cell r="A1572">
            <v>8076</v>
          </cell>
        </row>
        <row r="1573">
          <cell r="A1573">
            <v>8077</v>
          </cell>
        </row>
        <row r="1574">
          <cell r="A1574">
            <v>8078</v>
          </cell>
        </row>
        <row r="1575">
          <cell r="A1575">
            <v>8079</v>
          </cell>
        </row>
        <row r="1576">
          <cell r="A1576">
            <v>8080</v>
          </cell>
        </row>
        <row r="1577">
          <cell r="A1577">
            <v>8081</v>
          </cell>
        </row>
        <row r="1578">
          <cell r="A1578">
            <v>8082</v>
          </cell>
        </row>
        <row r="1579">
          <cell r="A1579">
            <v>8083</v>
          </cell>
        </row>
        <row r="1580">
          <cell r="A1580">
            <v>8084</v>
          </cell>
        </row>
        <row r="1581">
          <cell r="A1581">
            <v>8087</v>
          </cell>
        </row>
        <row r="1582">
          <cell r="A1582">
            <v>8088</v>
          </cell>
        </row>
        <row r="1583">
          <cell r="A1583">
            <v>8089</v>
          </cell>
        </row>
        <row r="1584">
          <cell r="A1584">
            <v>8090</v>
          </cell>
        </row>
        <row r="1585">
          <cell r="A1585">
            <v>8095</v>
          </cell>
        </row>
        <row r="1586">
          <cell r="A1586">
            <v>8096</v>
          </cell>
        </row>
        <row r="1587">
          <cell r="A1587">
            <v>8097</v>
          </cell>
        </row>
        <row r="1588">
          <cell r="A1588">
            <v>8098</v>
          </cell>
        </row>
        <row r="1589">
          <cell r="A1589">
            <v>8099</v>
          </cell>
        </row>
        <row r="1590">
          <cell r="A1590">
            <v>9001</v>
          </cell>
        </row>
        <row r="1591">
          <cell r="A1591">
            <v>9002</v>
          </cell>
        </row>
        <row r="1592">
          <cell r="A1592">
            <v>9003</v>
          </cell>
        </row>
        <row r="1593">
          <cell r="A1593">
            <v>9004</v>
          </cell>
        </row>
        <row r="1594">
          <cell r="A1594">
            <v>10001</v>
          </cell>
        </row>
        <row r="1595">
          <cell r="A1595">
            <v>10002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ソロ専用タワーオブザクイーン</v>
          </cell>
          <cell r="D20" t="str">
            <v>ソロ専用の「タワーオブザクイーン」は_x000D_期間限定で定期的に開催されます_x000D_ここでしか獲得できない報酬もあるようです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果実を使って限界突破</v>
          </cell>
          <cell r="D25" t="str">
            <v>攻めの果実 癒しの果実_x000D_生命の果実をユニット強化に使うと_x000D_ステータスが限界突破します（計99個迄）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「秘術の果実」を強化に使うと_x000D_スキルレベルを上げることができます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タワーオブザクイーンのボス</v>
          </cell>
          <cell r="D38" t="str">
            <v>「タワーオブザクイーン」最上階のボスは_x000D_15階の初回クリア報酬で獲得できるほか_x000D_その階にて低確率でドロップもします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 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H25" sqref="H25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131</v>
      </c>
      <c r="B1" s="55" t="s">
        <v>101</v>
      </c>
      <c r="C1" s="55" t="s">
        <v>102</v>
      </c>
      <c r="D1" s="55" t="s">
        <v>103</v>
      </c>
      <c r="E1" s="55" t="s">
        <v>104</v>
      </c>
      <c r="F1" s="55" t="s">
        <v>105</v>
      </c>
      <c r="G1" s="55" t="s">
        <v>106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</row>
    <row r="2" spans="1:30" x14ac:dyDescent="0.15">
      <c r="A2" s="61" t="s">
        <v>252</v>
      </c>
      <c r="B2" s="57" t="s">
        <v>107</v>
      </c>
      <c r="C2" s="63">
        <v>20020</v>
      </c>
      <c r="D2" s="57" t="s">
        <v>108</v>
      </c>
      <c r="E2" s="56" t="str">
        <f>B2&amp;C2&amp;D2</f>
        <v>floors_20020.tmp</v>
      </c>
      <c r="F2" s="57" t="s">
        <v>109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</row>
    <row r="3" spans="1:30" x14ac:dyDescent="0.15">
      <c r="A3" s="61" t="s">
        <v>252</v>
      </c>
      <c r="B3" s="57" t="s">
        <v>110</v>
      </c>
      <c r="C3" s="63">
        <v>20020</v>
      </c>
      <c r="D3" s="57" t="s">
        <v>108</v>
      </c>
      <c r="E3" s="56" t="str">
        <f>B3&amp;C3&amp;D3</f>
        <v>enemy_habitats_20020.tmp</v>
      </c>
      <c r="F3" s="57" t="s">
        <v>111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54</v>
      </c>
      <c r="AD3" s="58" t="s">
        <v>180</v>
      </c>
    </row>
    <row r="4" spans="1:30" x14ac:dyDescent="0.15">
      <c r="A4" s="61" t="s">
        <v>252</v>
      </c>
      <c r="B4" s="57" t="s">
        <v>112</v>
      </c>
      <c r="C4" s="63">
        <v>20020</v>
      </c>
      <c r="D4" s="57" t="s">
        <v>108</v>
      </c>
      <c r="E4" s="56" t="str">
        <f>B4&amp;C4&amp;D4</f>
        <v>enemy_habitat_S_20020.tmp</v>
      </c>
      <c r="F4" s="57" t="s">
        <v>113</v>
      </c>
      <c r="G4" s="58" t="s">
        <v>0</v>
      </c>
      <c r="H4" s="58" t="s">
        <v>1</v>
      </c>
      <c r="I4" s="58" t="s">
        <v>13</v>
      </c>
      <c r="J4" s="58" t="s">
        <v>54</v>
      </c>
      <c r="K4" s="58" t="s">
        <v>55</v>
      </c>
      <c r="L4" s="58" t="s">
        <v>56</v>
      </c>
      <c r="M4" s="58" t="s">
        <v>57</v>
      </c>
      <c r="N4" s="58" t="s">
        <v>58</v>
      </c>
      <c r="O4" s="58" t="s">
        <v>59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</row>
    <row r="5" spans="1:30" x14ac:dyDescent="0.15">
      <c r="A5" s="61" t="s">
        <v>252</v>
      </c>
      <c r="B5" s="57" t="s">
        <v>114</v>
      </c>
      <c r="C5" s="63">
        <v>20020</v>
      </c>
      <c r="D5" s="57" t="s">
        <v>108</v>
      </c>
      <c r="E5" s="56" t="str">
        <f>B5&amp;C5&amp;D5</f>
        <v>enemy_skill_sets_20020.tmp</v>
      </c>
      <c r="F5" s="57" t="s">
        <v>115</v>
      </c>
      <c r="G5" s="59" t="s">
        <v>22</v>
      </c>
      <c r="H5" s="59" t="s">
        <v>100</v>
      </c>
      <c r="I5" s="59" t="s">
        <v>95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</row>
    <row r="6" spans="1:30" x14ac:dyDescent="0.15">
      <c r="A6" s="61" t="s">
        <v>252</v>
      </c>
      <c r="B6" s="57" t="s">
        <v>116</v>
      </c>
      <c r="C6" s="63">
        <v>20020</v>
      </c>
      <c r="D6" s="57" t="s">
        <v>117</v>
      </c>
      <c r="E6" s="56" t="str">
        <f t="shared" ref="E6:E10" si="0">B6&amp;C6&amp;D6</f>
        <v>enemy_skills_tmp_20020.tmp</v>
      </c>
      <c r="F6" s="57" t="s">
        <v>91</v>
      </c>
      <c r="G6" s="58" t="s">
        <v>79</v>
      </c>
      <c r="H6" s="58" t="s">
        <v>80</v>
      </c>
      <c r="I6" s="58" t="s">
        <v>81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</row>
    <row r="7" spans="1:30" x14ac:dyDescent="0.15">
      <c r="A7" s="61" t="s">
        <v>252</v>
      </c>
      <c r="B7" s="57" t="s">
        <v>118</v>
      </c>
      <c r="C7" s="63">
        <v>20020</v>
      </c>
      <c r="D7" s="57" t="s">
        <v>108</v>
      </c>
      <c r="E7" s="56" t="str">
        <f>B7&amp;C7&amp;D7</f>
        <v>enemy_skills_i18n_20020.tmp</v>
      </c>
      <c r="F7" s="57" t="s">
        <v>119</v>
      </c>
      <c r="G7" s="58" t="s">
        <v>79</v>
      </c>
      <c r="H7" s="58" t="s">
        <v>92</v>
      </c>
      <c r="I7" s="58" t="s">
        <v>93</v>
      </c>
      <c r="J7" s="58" t="s">
        <v>94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</row>
    <row r="8" spans="1:30" x14ac:dyDescent="0.15">
      <c r="A8" s="61" t="s">
        <v>252</v>
      </c>
      <c r="B8" s="57" t="s">
        <v>120</v>
      </c>
      <c r="C8" s="63">
        <v>20020</v>
      </c>
      <c r="D8" s="57" t="s">
        <v>121</v>
      </c>
      <c r="E8" s="56" t="str">
        <f t="shared" si="0"/>
        <v>enemy_skill_triggers_20020.tmp</v>
      </c>
      <c r="F8" s="57" t="s">
        <v>122</v>
      </c>
      <c r="G8" s="58" t="s">
        <v>95</v>
      </c>
      <c r="H8" s="58" t="s">
        <v>96</v>
      </c>
      <c r="I8" s="58" t="s">
        <v>97</v>
      </c>
      <c r="J8" s="58" t="s">
        <v>98</v>
      </c>
      <c r="K8" s="58" t="s">
        <v>123</v>
      </c>
      <c r="L8" s="58" t="s">
        <v>99</v>
      </c>
      <c r="M8" s="58" t="s">
        <v>124</v>
      </c>
      <c r="N8" s="58" t="s">
        <v>125</v>
      </c>
      <c r="O8" s="58" t="s">
        <v>126</v>
      </c>
      <c r="P8" s="58" t="s">
        <v>67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</row>
    <row r="9" spans="1:30" x14ac:dyDescent="0.15">
      <c r="A9" s="61" t="s">
        <v>252</v>
      </c>
      <c r="B9" s="68" t="s">
        <v>179</v>
      </c>
      <c r="C9" s="63">
        <v>20020</v>
      </c>
      <c r="D9" s="68" t="s">
        <v>173</v>
      </c>
      <c r="E9" s="69" t="str">
        <f t="shared" si="0"/>
        <v>stage_bug_bonuses_20020.tmp</v>
      </c>
      <c r="F9" s="68" t="s">
        <v>174</v>
      </c>
      <c r="G9" s="65" t="s">
        <v>151</v>
      </c>
      <c r="H9" s="65" t="s">
        <v>175</v>
      </c>
      <c r="I9" s="65" t="s">
        <v>176</v>
      </c>
      <c r="J9" s="67" t="s">
        <v>177</v>
      </c>
      <c r="K9" s="65" t="s">
        <v>178</v>
      </c>
      <c r="L9" s="65" t="s">
        <v>157</v>
      </c>
      <c r="M9" s="65" t="s">
        <v>158</v>
      </c>
      <c r="N9" s="65" t="s">
        <v>159</v>
      </c>
      <c r="O9" s="65" t="s">
        <v>160</v>
      </c>
      <c r="P9" s="65" t="s">
        <v>161</v>
      </c>
      <c r="Q9" s="65" t="s">
        <v>162</v>
      </c>
      <c r="R9" s="65" t="s">
        <v>163</v>
      </c>
      <c r="S9" s="65" t="s">
        <v>164</v>
      </c>
      <c r="T9" s="65" t="s">
        <v>165</v>
      </c>
      <c r="U9" s="65" t="s">
        <v>166</v>
      </c>
      <c r="V9" s="65" t="s">
        <v>167</v>
      </c>
      <c r="W9" s="65" t="s">
        <v>168</v>
      </c>
      <c r="X9" s="57"/>
      <c r="Y9" s="57"/>
      <c r="Z9" s="57"/>
      <c r="AA9" s="57"/>
      <c r="AB9" s="57"/>
      <c r="AC9" s="57"/>
      <c r="AD9" s="57"/>
    </row>
    <row r="10" spans="1:30" s="76" customFormat="1" x14ac:dyDescent="0.15">
      <c r="A10" s="61" t="s">
        <v>321</v>
      </c>
      <c r="B10" s="68" t="s">
        <v>203</v>
      </c>
      <c r="C10" s="63">
        <v>20020</v>
      </c>
      <c r="D10" s="68" t="s">
        <v>182</v>
      </c>
      <c r="E10" s="69" t="str">
        <f t="shared" si="0"/>
        <v>stage_hints_data_c_20020.tmp</v>
      </c>
      <c r="F10" s="68" t="s">
        <v>211</v>
      </c>
      <c r="G10" s="74" t="s">
        <v>183</v>
      </c>
      <c r="H10" s="74" t="s">
        <v>175</v>
      </c>
      <c r="I10" s="75" t="s">
        <v>184</v>
      </c>
      <c r="J10" s="67" t="s">
        <v>185</v>
      </c>
      <c r="K10" s="67" t="s">
        <v>186</v>
      </c>
      <c r="L10" s="100"/>
      <c r="M10" s="100"/>
      <c r="N10" s="100"/>
      <c r="O10" s="100"/>
      <c r="P10" s="100"/>
      <c r="Q10" s="100"/>
      <c r="R10" s="100"/>
      <c r="S10" s="100"/>
      <c r="T10" s="100"/>
      <c r="U10" s="100"/>
      <c r="V10" s="100"/>
      <c r="W10" s="100"/>
      <c r="X10" s="100"/>
      <c r="Y10" s="100"/>
      <c r="Z10" s="100"/>
      <c r="AA10" s="100"/>
      <c r="AB10" s="100"/>
      <c r="AC10" s="100"/>
      <c r="AD10" s="100"/>
    </row>
    <row r="11" spans="1:30" s="76" customFormat="1" x14ac:dyDescent="0.15">
      <c r="A11" s="61" t="s">
        <v>252</v>
      </c>
      <c r="B11" s="68" t="s">
        <v>204</v>
      </c>
      <c r="C11" s="63">
        <v>20020</v>
      </c>
      <c r="D11" s="68" t="s">
        <v>173</v>
      </c>
      <c r="E11" s="69" t="str">
        <f t="shared" ref="E11:E13" si="1">B11&amp;C11&amp;D11</f>
        <v>stage_hints_data_f_20020.tmp</v>
      </c>
      <c r="F11" s="68" t="s">
        <v>213</v>
      </c>
      <c r="G11" s="74" t="s">
        <v>183</v>
      </c>
      <c r="H11" s="74" t="s">
        <v>175</v>
      </c>
      <c r="I11" s="75" t="s">
        <v>184</v>
      </c>
      <c r="J11" s="67" t="s">
        <v>185</v>
      </c>
      <c r="K11" s="67" t="s">
        <v>186</v>
      </c>
      <c r="L11" s="100"/>
      <c r="M11" s="100"/>
      <c r="N11" s="100"/>
      <c r="O11" s="100"/>
      <c r="P11" s="100"/>
      <c r="Q11" s="100"/>
      <c r="R11" s="100"/>
      <c r="S11" s="100"/>
      <c r="T11" s="100"/>
      <c r="U11" s="100"/>
      <c r="V11" s="100"/>
      <c r="W11" s="100"/>
      <c r="X11" s="100"/>
      <c r="Y11" s="100"/>
      <c r="Z11" s="100"/>
      <c r="AA11" s="100"/>
      <c r="AB11" s="100"/>
      <c r="AC11" s="100"/>
      <c r="AD11" s="100"/>
    </row>
    <row r="12" spans="1:30" s="76" customFormat="1" x14ac:dyDescent="0.15">
      <c r="A12" s="61" t="s">
        <v>252</v>
      </c>
      <c r="B12" s="68" t="s">
        <v>205</v>
      </c>
      <c r="C12" s="63">
        <v>20020</v>
      </c>
      <c r="D12" s="68" t="s">
        <v>173</v>
      </c>
      <c r="E12" s="69" t="str">
        <f t="shared" si="1"/>
        <v>stage_hints_i18n_20020.tmp</v>
      </c>
      <c r="F12" s="68" t="s">
        <v>214</v>
      </c>
      <c r="G12" s="75" t="s">
        <v>206</v>
      </c>
      <c r="H12" s="96" t="s">
        <v>207</v>
      </c>
      <c r="I12" s="74" t="s">
        <v>208</v>
      </c>
      <c r="J12" s="101" t="s">
        <v>209</v>
      </c>
      <c r="K12" s="67" t="s">
        <v>210</v>
      </c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  <c r="AB12" s="100"/>
      <c r="AC12" s="100"/>
      <c r="AD12" s="100"/>
    </row>
    <row r="13" spans="1:30" s="76" customFormat="1" x14ac:dyDescent="0.15">
      <c r="A13" s="61" t="s">
        <v>252</v>
      </c>
      <c r="B13" s="68" t="s">
        <v>249</v>
      </c>
      <c r="C13" s="63">
        <v>20020</v>
      </c>
      <c r="D13" s="68" t="s">
        <v>230</v>
      </c>
      <c r="E13" s="69" t="str">
        <f t="shared" si="1"/>
        <v>stage_bonuses_20020.tmp</v>
      </c>
      <c r="F13" s="68" t="s">
        <v>229</v>
      </c>
      <c r="G13" s="74" t="s">
        <v>231</v>
      </c>
      <c r="H13" s="74" t="s">
        <v>232</v>
      </c>
      <c r="I13" s="74" t="s">
        <v>233</v>
      </c>
      <c r="J13" s="74" t="s">
        <v>234</v>
      </c>
      <c r="K13" s="74" t="s">
        <v>235</v>
      </c>
      <c r="L13" s="74" t="s">
        <v>236</v>
      </c>
      <c r="M13" s="74" t="s">
        <v>237</v>
      </c>
      <c r="N13" s="74" t="s">
        <v>238</v>
      </c>
      <c r="O13" s="74" t="s">
        <v>239</v>
      </c>
      <c r="P13" s="74" t="s">
        <v>240</v>
      </c>
      <c r="Q13" s="74" t="s">
        <v>241</v>
      </c>
      <c r="R13" s="74" t="s">
        <v>242</v>
      </c>
      <c r="S13" s="74" t="s">
        <v>243</v>
      </c>
      <c r="T13" s="74" t="s">
        <v>244</v>
      </c>
      <c r="U13" s="74" t="s">
        <v>245</v>
      </c>
      <c r="V13" s="74" t="s">
        <v>246</v>
      </c>
      <c r="W13" s="74" t="s">
        <v>247</v>
      </c>
      <c r="X13" s="74" t="s">
        <v>248</v>
      </c>
      <c r="Y13" s="100"/>
      <c r="Z13" s="100"/>
      <c r="AA13" s="100"/>
      <c r="AB13" s="100"/>
      <c r="AC13" s="100"/>
      <c r="AD13" s="100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3"/>
  <sheetViews>
    <sheetView showGridLines="0" workbookViewId="0">
      <pane ySplit="1" topLeftCell="A2" activePane="bottomLeft" state="frozen"/>
      <selection activeCell="V2" sqref="V2:X34"/>
      <selection pane="bottomLeft" activeCell="C13" sqref="C13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4" width="14.83203125" style="3" customWidth="1" outlineLevel="1"/>
    <col min="5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0" customHeight="1" x14ac:dyDescent="0.15">
      <c r="A2" s="16" t="str">
        <f t="shared" ref="A2:A13" si="0">G2&amp;"-"&amp;I2</f>
        <v>20020_3-1</v>
      </c>
      <c r="B2" s="16" t="str">
        <f>IF(COUNTIF(enemy_habitats!$H:$H,A2),"OK","NG")</f>
        <v>OK</v>
      </c>
      <c r="C2" s="7">
        <v>20020</v>
      </c>
      <c r="D2" s="11" t="str">
        <f ca="1">VLOOKUP($C2,OFFSET([2]quests!$A$1,0,0,COUNTA([2]quests!$A:$A),MATCH(D$1,[2]quests!$1:$1,0)-MATCH($C$1,[2]quests!$1:$1,0)+1),MATCH(D$1,[2]quests!$1:$1,0)-MATCH($C$1,[2]quests!$1:$1,0)+1,FALSE)</f>
        <v>変幻自在の風</v>
      </c>
      <c r="E2" s="18" t="str">
        <f ca="1">VLOOKUP($C2,OFFSET([2]quests!$A$1,0,0,COUNTA([2]quests!$A:$A),MATCH(E$1,[2]quests!$1:$1,0)-MATCH($C$1,[2]quests!$1:$1,0)+1),MATCH(E$1,[2]quests!$1:$1,0)-MATCH($C$1,[2]quests!$1:$1,0)+1,FALSE)</f>
        <v>メソポタミア01</v>
      </c>
      <c r="F2" s="21">
        <v>3</v>
      </c>
      <c r="G2" s="23" t="str">
        <f t="shared" ref="G2:G13" si="1">C2&amp;"_"&amp;F2</f>
        <v>20020_3</v>
      </c>
      <c r="H2" s="15" t="str">
        <f ca="1">VLOOKUP($G2,OFFSET([2]stages!$A$1,0,0,COUNTA([2]stages!$A:$A),MATCH(H$1,[2]stages!$2:$2,0)-MATCH($G$1,[2]stages!$2:$2,0)+1),MATCH(H$1,[2]stages!$2:$2,0)-MATCH($G$1,[2]stages!$2:$2,0)+1,FALSE)</f>
        <v>【上級】変幻自在の風</v>
      </c>
      <c r="I2" s="21">
        <v>1</v>
      </c>
      <c r="J2" s="12">
        <v>60</v>
      </c>
      <c r="K2" s="12">
        <v>60</v>
      </c>
    </row>
    <row r="3" spans="1:11" ht="20" customHeight="1" x14ac:dyDescent="0.15">
      <c r="A3" s="16" t="str">
        <f t="shared" si="0"/>
        <v>20020_3-2</v>
      </c>
      <c r="B3" s="16" t="str">
        <f>IF(COUNTIF(enemy_habitats!$H:$H,A3),"OK","NG")</f>
        <v>OK</v>
      </c>
      <c r="C3" s="7">
        <v>20020</v>
      </c>
      <c r="D3" s="11" t="str">
        <f ca="1">VLOOKUP($C3,OFFSET([2]quests!$A$1,0,0,COUNTA([2]quests!$A:$A),MATCH(D$1,[2]quests!$1:$1,0)-MATCH($C$1,[2]quests!$1:$1,0)+1),MATCH(D$1,[2]quests!$1:$1,0)-MATCH($C$1,[2]quests!$1:$1,0)+1,FALSE)</f>
        <v>変幻自在の風</v>
      </c>
      <c r="E3" s="18" t="str">
        <f ca="1">VLOOKUP($C3,OFFSET([2]quests!$A$1,0,0,COUNTA([2]quests!$A:$A),MATCH(E$1,[2]quests!$1:$1,0)-MATCH($C$1,[2]quests!$1:$1,0)+1),MATCH(E$1,[2]quests!$1:$1,0)-MATCH($C$1,[2]quests!$1:$1,0)+1,FALSE)</f>
        <v>メソポタミア01</v>
      </c>
      <c r="F3" s="21">
        <v>3</v>
      </c>
      <c r="G3" s="23" t="str">
        <f t="shared" si="1"/>
        <v>20020_3</v>
      </c>
      <c r="H3" s="15" t="str">
        <f ca="1">VLOOKUP($G3,OFFSET([2]stages!$A$1,0,0,COUNTA([2]stages!$A:$A),MATCH(H$1,[2]stages!$2:$2,0)-MATCH($G$1,[2]stages!$2:$2,0)+1),MATCH(H$1,[2]stages!$2:$2,0)-MATCH($G$1,[2]stages!$2:$2,0)+1,FALSE)</f>
        <v>【上級】変幻自在の風</v>
      </c>
      <c r="I3" s="21">
        <v>2</v>
      </c>
      <c r="J3" s="12">
        <v>40</v>
      </c>
      <c r="K3" s="12">
        <v>40</v>
      </c>
    </row>
    <row r="4" spans="1:11" ht="20" customHeight="1" x14ac:dyDescent="0.15">
      <c r="A4" s="16" t="str">
        <f t="shared" si="0"/>
        <v>20020_3-3</v>
      </c>
      <c r="B4" s="16" t="str">
        <f>IF(COUNTIF(enemy_habitats!$H:$H,A4),"OK","NG")</f>
        <v>OK</v>
      </c>
      <c r="C4" s="7">
        <v>20020</v>
      </c>
      <c r="D4" s="11" t="str">
        <f ca="1">VLOOKUP($C4,OFFSET([2]quests!$A$1,0,0,COUNTA([2]quests!$A:$A),MATCH(D$1,[2]quests!$1:$1,0)-MATCH($C$1,[2]quests!$1:$1,0)+1),MATCH(D$1,[2]quests!$1:$1,0)-MATCH($C$1,[2]quests!$1:$1,0)+1,FALSE)</f>
        <v>変幻自在の風</v>
      </c>
      <c r="E4" s="18" t="str">
        <f ca="1">VLOOKUP($C4,OFFSET([2]quests!$A$1,0,0,COUNTA([2]quests!$A:$A),MATCH(E$1,[2]quests!$1:$1,0)-MATCH($C$1,[2]quests!$1:$1,0)+1),MATCH(E$1,[2]quests!$1:$1,0)-MATCH($C$1,[2]quests!$1:$1,0)+1,FALSE)</f>
        <v>メソポタミア01</v>
      </c>
      <c r="F4" s="21">
        <v>3</v>
      </c>
      <c r="G4" s="23" t="str">
        <f t="shared" si="1"/>
        <v>20020_3</v>
      </c>
      <c r="H4" s="15" t="str">
        <f ca="1">VLOOKUP($G4,OFFSET([2]stages!$A$1,0,0,COUNTA([2]stages!$A:$A),MATCH(H$1,[2]stages!$2:$2,0)-MATCH($G$1,[2]stages!$2:$2,0)+1),MATCH(H$1,[2]stages!$2:$2,0)-MATCH($G$1,[2]stages!$2:$2,0)+1,FALSE)</f>
        <v>【上級】変幻自在の風</v>
      </c>
      <c r="I4" s="21">
        <v>3</v>
      </c>
      <c r="J4" s="12">
        <v>20</v>
      </c>
      <c r="K4" s="12">
        <v>60</v>
      </c>
    </row>
    <row r="5" spans="1:11" ht="20" customHeight="1" x14ac:dyDescent="0.15">
      <c r="A5" s="16" t="str">
        <f t="shared" si="0"/>
        <v>20020_3-4</v>
      </c>
      <c r="B5" s="16" t="str">
        <f>IF(COUNTIF(enemy_habitats!$H:$H,A5),"OK","NG")</f>
        <v>OK</v>
      </c>
      <c r="C5" s="7">
        <v>20020</v>
      </c>
      <c r="D5" s="11" t="str">
        <f ca="1">VLOOKUP($C5,OFFSET([2]quests!$A$1,0,0,COUNTA([2]quests!$A:$A),MATCH(D$1,[2]quests!$1:$1,0)-MATCH($C$1,[2]quests!$1:$1,0)+1),MATCH(D$1,[2]quests!$1:$1,0)-MATCH($C$1,[2]quests!$1:$1,0)+1,FALSE)</f>
        <v>変幻自在の風</v>
      </c>
      <c r="E5" s="18" t="str">
        <f ca="1">VLOOKUP($C5,OFFSET([2]quests!$A$1,0,0,COUNTA([2]quests!$A:$A),MATCH(E$1,[2]quests!$1:$1,0)-MATCH($C$1,[2]quests!$1:$1,0)+1),MATCH(E$1,[2]quests!$1:$1,0)-MATCH($C$1,[2]quests!$1:$1,0)+1,FALSE)</f>
        <v>メソポタミア01</v>
      </c>
      <c r="F5" s="21">
        <v>3</v>
      </c>
      <c r="G5" s="23" t="str">
        <f t="shared" si="1"/>
        <v>20020_3</v>
      </c>
      <c r="H5" s="15" t="str">
        <f ca="1">VLOOKUP($G5,OFFSET([2]stages!$A$1,0,0,COUNTA([2]stages!$A:$A),MATCH(H$1,[2]stages!$2:$2,0)-MATCH($G$1,[2]stages!$2:$2,0)+1),MATCH(H$1,[2]stages!$2:$2,0)-MATCH($G$1,[2]stages!$2:$2,0)+1,FALSE)</f>
        <v>【上級】変幻自在の風</v>
      </c>
      <c r="I5" s="21">
        <v>4</v>
      </c>
      <c r="J5" s="12">
        <v>60</v>
      </c>
      <c r="K5" s="12">
        <v>60</v>
      </c>
    </row>
    <row r="6" spans="1:11" ht="20" customHeight="1" x14ac:dyDescent="0.15">
      <c r="A6" s="16" t="str">
        <f t="shared" si="0"/>
        <v>20020_2-1</v>
      </c>
      <c r="B6" s="16" t="str">
        <f>IF(COUNTIF(enemy_habitats!$H:$H,A6),"OK","NG")</f>
        <v>OK</v>
      </c>
      <c r="C6" s="7">
        <v>20020</v>
      </c>
      <c r="D6" s="11" t="str">
        <f ca="1">VLOOKUP($C6,OFFSET([2]quests!$A$1,0,0,COUNTA([2]quests!$A:$A),MATCH(D$1,[2]quests!$1:$1,0)-MATCH($C$1,[2]quests!$1:$1,0)+1),MATCH(D$1,[2]quests!$1:$1,0)-MATCH($C$1,[2]quests!$1:$1,0)+1,FALSE)</f>
        <v>変幻自在の風</v>
      </c>
      <c r="E6" s="18" t="str">
        <f ca="1">VLOOKUP($C6,OFFSET([2]quests!$A$1,0,0,COUNTA([2]quests!$A:$A),MATCH(E$1,[2]quests!$1:$1,0)-MATCH($C$1,[2]quests!$1:$1,0)+1),MATCH(E$1,[2]quests!$1:$1,0)-MATCH($C$1,[2]quests!$1:$1,0)+1,FALSE)</f>
        <v>メソポタミア01</v>
      </c>
      <c r="F6" s="21">
        <v>2</v>
      </c>
      <c r="G6" s="23" t="str">
        <f t="shared" si="1"/>
        <v>20020_2</v>
      </c>
      <c r="H6" s="15" t="str">
        <f ca="1">VLOOKUP($G6,OFFSET([2]stages!$A$1,0,0,COUNTA([2]stages!$A:$A),MATCH(H$1,[2]stages!$2:$2,0)-MATCH($G$1,[2]stages!$2:$2,0)+1),MATCH(H$1,[2]stages!$2:$2,0)-MATCH($G$1,[2]stages!$2:$2,0)+1,FALSE)</f>
        <v>【中級】変幻自在の風</v>
      </c>
      <c r="I6" s="21">
        <v>1</v>
      </c>
      <c r="J6" s="12">
        <v>60</v>
      </c>
      <c r="K6" s="12">
        <v>60</v>
      </c>
    </row>
    <row r="7" spans="1:11" ht="20" customHeight="1" x14ac:dyDescent="0.15">
      <c r="A7" s="16" t="str">
        <f t="shared" si="0"/>
        <v>20020_2-2</v>
      </c>
      <c r="B7" s="16" t="str">
        <f>IF(COUNTIF(enemy_habitats!$H:$H,A7),"OK","NG")</f>
        <v>OK</v>
      </c>
      <c r="C7" s="7">
        <v>20020</v>
      </c>
      <c r="D7" s="11" t="str">
        <f ca="1">VLOOKUP($C7,OFFSET([2]quests!$A$1,0,0,COUNTA([2]quests!$A:$A),MATCH(D$1,[2]quests!$1:$1,0)-MATCH($C$1,[2]quests!$1:$1,0)+1),MATCH(D$1,[2]quests!$1:$1,0)-MATCH($C$1,[2]quests!$1:$1,0)+1,FALSE)</f>
        <v>変幻自在の風</v>
      </c>
      <c r="E7" s="18" t="str">
        <f ca="1">VLOOKUP($C7,OFFSET([2]quests!$A$1,0,0,COUNTA([2]quests!$A:$A),MATCH(E$1,[2]quests!$1:$1,0)-MATCH($C$1,[2]quests!$1:$1,0)+1),MATCH(E$1,[2]quests!$1:$1,0)-MATCH($C$1,[2]quests!$1:$1,0)+1,FALSE)</f>
        <v>メソポタミア01</v>
      </c>
      <c r="F7" s="21">
        <v>2</v>
      </c>
      <c r="G7" s="23" t="str">
        <f t="shared" si="1"/>
        <v>20020_2</v>
      </c>
      <c r="H7" s="15" t="str">
        <f ca="1">VLOOKUP($G7,OFFSET([2]stages!$A$1,0,0,COUNTA([2]stages!$A:$A),MATCH(H$1,[2]stages!$2:$2,0)-MATCH($G$1,[2]stages!$2:$2,0)+1),MATCH(H$1,[2]stages!$2:$2,0)-MATCH($G$1,[2]stages!$2:$2,0)+1,FALSE)</f>
        <v>【中級】変幻自在の風</v>
      </c>
      <c r="I7" s="21">
        <v>2</v>
      </c>
      <c r="J7" s="12">
        <v>40</v>
      </c>
      <c r="K7" s="12">
        <v>40</v>
      </c>
    </row>
    <row r="8" spans="1:11" ht="20" customHeight="1" x14ac:dyDescent="0.15">
      <c r="A8" s="16" t="str">
        <f t="shared" si="0"/>
        <v>20020_2-3</v>
      </c>
      <c r="B8" s="16" t="str">
        <f>IF(COUNTIF(enemy_habitats!$H:$H,A8),"OK","NG")</f>
        <v>OK</v>
      </c>
      <c r="C8" s="7">
        <v>20020</v>
      </c>
      <c r="D8" s="11" t="str">
        <f ca="1">VLOOKUP($C8,OFFSET([2]quests!$A$1,0,0,COUNTA([2]quests!$A:$A),MATCH(D$1,[2]quests!$1:$1,0)-MATCH($C$1,[2]quests!$1:$1,0)+1),MATCH(D$1,[2]quests!$1:$1,0)-MATCH($C$1,[2]quests!$1:$1,0)+1,FALSE)</f>
        <v>変幻自在の風</v>
      </c>
      <c r="E8" s="18" t="str">
        <f ca="1">VLOOKUP($C8,OFFSET([2]quests!$A$1,0,0,COUNTA([2]quests!$A:$A),MATCH(E$1,[2]quests!$1:$1,0)-MATCH($C$1,[2]quests!$1:$1,0)+1),MATCH(E$1,[2]quests!$1:$1,0)-MATCH($C$1,[2]quests!$1:$1,0)+1,FALSE)</f>
        <v>メソポタミア01</v>
      </c>
      <c r="F8" s="21">
        <v>2</v>
      </c>
      <c r="G8" s="23" t="str">
        <f t="shared" si="1"/>
        <v>20020_2</v>
      </c>
      <c r="H8" s="15" t="str">
        <f ca="1">VLOOKUP($G8,OFFSET([2]stages!$A$1,0,0,COUNTA([2]stages!$A:$A),MATCH(H$1,[2]stages!$2:$2,0)-MATCH($G$1,[2]stages!$2:$2,0)+1),MATCH(H$1,[2]stages!$2:$2,0)-MATCH($G$1,[2]stages!$2:$2,0)+1,FALSE)</f>
        <v>【中級】変幻自在の風</v>
      </c>
      <c r="I8" s="21">
        <v>3</v>
      </c>
      <c r="J8" s="12">
        <v>20</v>
      </c>
      <c r="K8" s="12">
        <v>60</v>
      </c>
    </row>
    <row r="9" spans="1:11" ht="20" customHeight="1" x14ac:dyDescent="0.15">
      <c r="A9" s="16" t="str">
        <f t="shared" si="0"/>
        <v>20020_2-4</v>
      </c>
      <c r="B9" s="16" t="str">
        <f>IF(COUNTIF(enemy_habitats!$H:$H,A9),"OK","NG")</f>
        <v>OK</v>
      </c>
      <c r="C9" s="7">
        <v>20020</v>
      </c>
      <c r="D9" s="11" t="str">
        <f ca="1">VLOOKUP($C9,OFFSET([2]quests!$A$1,0,0,COUNTA([2]quests!$A:$A),MATCH(D$1,[2]quests!$1:$1,0)-MATCH($C$1,[2]quests!$1:$1,0)+1),MATCH(D$1,[2]quests!$1:$1,0)-MATCH($C$1,[2]quests!$1:$1,0)+1,FALSE)</f>
        <v>変幻自在の風</v>
      </c>
      <c r="E9" s="18" t="str">
        <f ca="1">VLOOKUP($C9,OFFSET([2]quests!$A$1,0,0,COUNTA([2]quests!$A:$A),MATCH(E$1,[2]quests!$1:$1,0)-MATCH($C$1,[2]quests!$1:$1,0)+1),MATCH(E$1,[2]quests!$1:$1,0)-MATCH($C$1,[2]quests!$1:$1,0)+1,FALSE)</f>
        <v>メソポタミア01</v>
      </c>
      <c r="F9" s="21">
        <v>2</v>
      </c>
      <c r="G9" s="23" t="str">
        <f t="shared" si="1"/>
        <v>20020_2</v>
      </c>
      <c r="H9" s="15" t="str">
        <f ca="1">VLOOKUP($G9,OFFSET([2]stages!$A$1,0,0,COUNTA([2]stages!$A:$A),MATCH(H$1,[2]stages!$2:$2,0)-MATCH($G$1,[2]stages!$2:$2,0)+1),MATCH(H$1,[2]stages!$2:$2,0)-MATCH($G$1,[2]stages!$2:$2,0)+1,FALSE)</f>
        <v>【中級】変幻自在の風</v>
      </c>
      <c r="I9" s="21">
        <v>4</v>
      </c>
      <c r="J9" s="12">
        <v>60</v>
      </c>
      <c r="K9" s="12">
        <v>60</v>
      </c>
    </row>
    <row r="10" spans="1:11" ht="20" customHeight="1" x14ac:dyDescent="0.15">
      <c r="A10" s="16" t="str">
        <f t="shared" si="0"/>
        <v>20020_1-1</v>
      </c>
      <c r="B10" s="16" t="str">
        <f>IF(COUNTIF(enemy_habitats!$H:$H,A10),"OK","NG")</f>
        <v>OK</v>
      </c>
      <c r="C10" s="7">
        <v>20020</v>
      </c>
      <c r="D10" s="11" t="str">
        <f ca="1">VLOOKUP($C10,OFFSET([2]quests!$A$1,0,0,COUNTA([2]quests!$A:$A),MATCH(D$1,[2]quests!$1:$1,0)-MATCH($C$1,[2]quests!$1:$1,0)+1),MATCH(D$1,[2]quests!$1:$1,0)-MATCH($C$1,[2]quests!$1:$1,0)+1,FALSE)</f>
        <v>変幻自在の風</v>
      </c>
      <c r="E10" s="18" t="str">
        <f ca="1">VLOOKUP($C10,OFFSET([2]quests!$A$1,0,0,COUNTA([2]quests!$A:$A),MATCH(E$1,[2]quests!$1:$1,0)-MATCH($C$1,[2]quests!$1:$1,0)+1),MATCH(E$1,[2]quests!$1:$1,0)-MATCH($C$1,[2]quests!$1:$1,0)+1,FALSE)</f>
        <v>メソポタミア01</v>
      </c>
      <c r="F10" s="21">
        <v>1</v>
      </c>
      <c r="G10" s="23" t="str">
        <f t="shared" si="1"/>
        <v>20020_1</v>
      </c>
      <c r="H10" s="15" t="str">
        <f ca="1">VLOOKUP($G10,OFFSET([2]stages!$A$1,0,0,COUNTA([2]stages!$A:$A),MATCH(H$1,[2]stages!$2:$2,0)-MATCH($G$1,[2]stages!$2:$2,0)+1),MATCH(H$1,[2]stages!$2:$2,0)-MATCH($G$1,[2]stages!$2:$2,0)+1,FALSE)</f>
        <v>【初級】変幻自在の風</v>
      </c>
      <c r="I10" s="21">
        <v>1</v>
      </c>
      <c r="J10" s="12">
        <v>60</v>
      </c>
      <c r="K10" s="12">
        <v>60</v>
      </c>
    </row>
    <row r="11" spans="1:11" ht="20" customHeight="1" x14ac:dyDescent="0.15">
      <c r="A11" s="16" t="str">
        <f t="shared" si="0"/>
        <v>20020_1-2</v>
      </c>
      <c r="B11" s="16" t="str">
        <f>IF(COUNTIF(enemy_habitats!$H:$H,A11),"OK","NG")</f>
        <v>OK</v>
      </c>
      <c r="C11" s="7">
        <v>20020</v>
      </c>
      <c r="D11" s="11" t="str">
        <f ca="1">VLOOKUP($C11,OFFSET([2]quests!$A$1,0,0,COUNTA([2]quests!$A:$A),MATCH(D$1,[2]quests!$1:$1,0)-MATCH($C$1,[2]quests!$1:$1,0)+1),MATCH(D$1,[2]quests!$1:$1,0)-MATCH($C$1,[2]quests!$1:$1,0)+1,FALSE)</f>
        <v>変幻自在の風</v>
      </c>
      <c r="E11" s="18" t="str">
        <f ca="1">VLOOKUP($C11,OFFSET([2]quests!$A$1,0,0,COUNTA([2]quests!$A:$A),MATCH(E$1,[2]quests!$1:$1,0)-MATCH($C$1,[2]quests!$1:$1,0)+1),MATCH(E$1,[2]quests!$1:$1,0)-MATCH($C$1,[2]quests!$1:$1,0)+1,FALSE)</f>
        <v>メソポタミア01</v>
      </c>
      <c r="F11" s="21">
        <v>1</v>
      </c>
      <c r="G11" s="23" t="str">
        <f t="shared" si="1"/>
        <v>20020_1</v>
      </c>
      <c r="H11" s="15" t="str">
        <f ca="1">VLOOKUP($G11,OFFSET([2]stages!$A$1,0,0,COUNTA([2]stages!$A:$A),MATCH(H$1,[2]stages!$2:$2,0)-MATCH($G$1,[2]stages!$2:$2,0)+1),MATCH(H$1,[2]stages!$2:$2,0)-MATCH($G$1,[2]stages!$2:$2,0)+1,FALSE)</f>
        <v>【初級】変幻自在の風</v>
      </c>
      <c r="I11" s="21">
        <v>2</v>
      </c>
      <c r="J11" s="12">
        <v>40</v>
      </c>
      <c r="K11" s="12">
        <v>40</v>
      </c>
    </row>
    <row r="12" spans="1:11" ht="20" customHeight="1" x14ac:dyDescent="0.15">
      <c r="A12" s="16" t="str">
        <f t="shared" si="0"/>
        <v>20020_1-3</v>
      </c>
      <c r="B12" s="16" t="str">
        <f>IF(COUNTIF(enemy_habitats!$H:$H,A12),"OK","NG")</f>
        <v>OK</v>
      </c>
      <c r="C12" s="7">
        <v>20020</v>
      </c>
      <c r="D12" s="11" t="str">
        <f ca="1">VLOOKUP($C12,OFFSET([2]quests!$A$1,0,0,COUNTA([2]quests!$A:$A),MATCH(D$1,[2]quests!$1:$1,0)-MATCH($C$1,[2]quests!$1:$1,0)+1),MATCH(D$1,[2]quests!$1:$1,0)-MATCH($C$1,[2]quests!$1:$1,0)+1,FALSE)</f>
        <v>変幻自在の風</v>
      </c>
      <c r="E12" s="18" t="str">
        <f ca="1">VLOOKUP($C12,OFFSET([2]quests!$A$1,0,0,COUNTA([2]quests!$A:$A),MATCH(E$1,[2]quests!$1:$1,0)-MATCH($C$1,[2]quests!$1:$1,0)+1),MATCH(E$1,[2]quests!$1:$1,0)-MATCH($C$1,[2]quests!$1:$1,0)+1,FALSE)</f>
        <v>メソポタミア01</v>
      </c>
      <c r="F12" s="21">
        <v>1</v>
      </c>
      <c r="G12" s="23" t="str">
        <f t="shared" si="1"/>
        <v>20020_1</v>
      </c>
      <c r="H12" s="15" t="str">
        <f ca="1">VLOOKUP($G12,OFFSET([2]stages!$A$1,0,0,COUNTA([2]stages!$A:$A),MATCH(H$1,[2]stages!$2:$2,0)-MATCH($G$1,[2]stages!$2:$2,0)+1),MATCH(H$1,[2]stages!$2:$2,0)-MATCH($G$1,[2]stages!$2:$2,0)+1,FALSE)</f>
        <v>【初級】変幻自在の風</v>
      </c>
      <c r="I12" s="21">
        <v>3</v>
      </c>
      <c r="J12" s="12">
        <v>20</v>
      </c>
      <c r="K12" s="12">
        <v>60</v>
      </c>
    </row>
    <row r="13" spans="1:11" ht="20" customHeight="1" x14ac:dyDescent="0.15">
      <c r="A13" s="16" t="str">
        <f t="shared" si="0"/>
        <v>20020_1-4</v>
      </c>
      <c r="B13" s="16" t="str">
        <f>IF(COUNTIF(enemy_habitats!$H:$H,A13),"OK","NG")</f>
        <v>OK</v>
      </c>
      <c r="C13" s="7">
        <v>20020</v>
      </c>
      <c r="D13" s="11" t="str">
        <f ca="1">VLOOKUP($C13,OFFSET([2]quests!$A$1,0,0,COUNTA([2]quests!$A:$A),MATCH(D$1,[2]quests!$1:$1,0)-MATCH($C$1,[2]quests!$1:$1,0)+1),MATCH(D$1,[2]quests!$1:$1,0)-MATCH($C$1,[2]quests!$1:$1,0)+1,FALSE)</f>
        <v>変幻自在の風</v>
      </c>
      <c r="E13" s="18" t="str">
        <f ca="1">VLOOKUP($C13,OFFSET([2]quests!$A$1,0,0,COUNTA([2]quests!$A:$A),MATCH(E$1,[2]quests!$1:$1,0)-MATCH($C$1,[2]quests!$1:$1,0)+1),MATCH(E$1,[2]quests!$1:$1,0)-MATCH($C$1,[2]quests!$1:$1,0)+1,FALSE)</f>
        <v>メソポタミア01</v>
      </c>
      <c r="F13" s="21">
        <v>1</v>
      </c>
      <c r="G13" s="23" t="str">
        <f t="shared" si="1"/>
        <v>20020_1</v>
      </c>
      <c r="H13" s="15" t="str">
        <f ca="1">VLOOKUP($G13,OFFSET([2]stages!$A$1,0,0,COUNTA([2]stages!$A:$A),MATCH(H$1,[2]stages!$2:$2,0)-MATCH($G$1,[2]stages!$2:$2,0)+1),MATCH(H$1,[2]stages!$2:$2,0)-MATCH($G$1,[2]stages!$2:$2,0)+1,FALSE)</f>
        <v>【初級】変幻自在の風</v>
      </c>
      <c r="I13" s="21">
        <v>4</v>
      </c>
      <c r="J13" s="12">
        <v>60</v>
      </c>
      <c r="K13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50"/>
  <sheetViews>
    <sheetView showGridLines="0" zoomScale="90" zoomScaleNormal="90" zoomScalePageLayoutView="90" workbookViewId="0">
      <pane xSplit="17" ySplit="1" topLeftCell="AH2" activePane="bottomRight" state="frozen"/>
      <selection pane="topRight" activeCell="N1" sqref="N1"/>
      <selection pane="bottomLeft" activeCell="A2" sqref="A2"/>
      <selection pane="bottomRight" activeCell="AJ16" sqref="AJ16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18.66406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4.83203125" style="14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3" customWidth="1" outlineLevel="1"/>
    <col min="32" max="32" width="8" style="14" customWidth="1" outlineLevel="1"/>
    <col min="33" max="33" width="12" style="14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29" t="s">
        <v>250</v>
      </c>
      <c r="U1" s="26" t="s">
        <v>50</v>
      </c>
      <c r="V1" s="29" t="s">
        <v>251</v>
      </c>
      <c r="W1" s="26" t="s">
        <v>52</v>
      </c>
      <c r="X1" s="29" t="s">
        <v>31</v>
      </c>
      <c r="Y1" s="28" t="s">
        <v>4</v>
      </c>
      <c r="Z1" s="28" t="s">
        <v>5</v>
      </c>
      <c r="AA1" s="28" t="s">
        <v>6</v>
      </c>
      <c r="AB1" s="28" t="s">
        <v>7</v>
      </c>
      <c r="AC1" s="28" t="s">
        <v>8</v>
      </c>
      <c r="AD1" s="33" t="s">
        <v>9</v>
      </c>
      <c r="AE1" s="34" t="s">
        <v>16</v>
      </c>
      <c r="AF1" s="34" t="s">
        <v>17</v>
      </c>
      <c r="AG1" s="34" t="s">
        <v>27</v>
      </c>
      <c r="AH1" s="33" t="s">
        <v>10</v>
      </c>
      <c r="AI1" s="28" t="s">
        <v>11</v>
      </c>
      <c r="AJ1" s="28" t="s">
        <v>12</v>
      </c>
      <c r="AK1" s="28" t="s">
        <v>38</v>
      </c>
      <c r="AL1" s="28" t="s">
        <v>40</v>
      </c>
      <c r="AM1" s="28" t="s">
        <v>42</v>
      </c>
      <c r="AN1" s="28" t="s">
        <v>44</v>
      </c>
      <c r="AO1" s="28" t="s">
        <v>46</v>
      </c>
      <c r="AP1" s="36" t="s">
        <v>181</v>
      </c>
    </row>
    <row r="2" spans="1:42" ht="21" customHeight="1" x14ac:dyDescent="0.15">
      <c r="A2" s="16" t="str">
        <f t="shared" ref="A2:A8" si="0">B2&amp;"_"&amp;C2&amp;"-"&amp;G2&amp;"/"&amp;L2&amp;"&lt;lv"&amp;R2&amp;"&gt;s"&amp;AC2</f>
        <v>20020_3-1/362&lt;lv40&gt;s2</v>
      </c>
      <c r="B2" s="22">
        <v>20020</v>
      </c>
      <c r="C2" s="21">
        <v>3</v>
      </c>
      <c r="D2" s="2" t="str">
        <f t="shared" ref="D2:D8" si="1">B2&amp;"_"&amp;C2</f>
        <v>20020_3</v>
      </c>
      <c r="E2" s="4" t="str">
        <f ca="1">VLOOKUP($B2,OFFSET([2]quests!$A$1,0,0,COUNTA([2]quests!$A:$A),MATCH(E$1,[2]quests!$1:$1,0)-MATCH($B$1,[2]quests!$1:$1,0)+1),MATCH(E$1,[2]quests!$1:$1,0)-MATCH($B$1,[2]quests!$1:$1,0)+1,FALSE)</f>
        <v>変幻自在の風</v>
      </c>
      <c r="F2" s="4" t="str">
        <f ca="1">VLOOKUP($D2,OFFSET([2]stages!$A$1,0,0,COUNTA([2]stages!$A:$A),MATCH(F$1,[2]stages!$2:$2,0)-MATCH($D$1,[2]stages!$2:$2,0)+1),MATCH(F$1,[2]stages!$2:$2,0)-MATCH($D$1,[2]stages!$2:$2,0)+1,FALSE)</f>
        <v>【上級】変幻自在の風</v>
      </c>
      <c r="G2" s="21">
        <v>1</v>
      </c>
      <c r="H2" s="15" t="str">
        <f t="shared" ref="H2:H8" si="2">B2&amp;"_"&amp;C2&amp;"-"&amp;G2</f>
        <v>20020_3-1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 t="s">
        <v>254</v>
      </c>
      <c r="L2" s="20">
        <v>362</v>
      </c>
      <c r="M2" s="17" t="str">
        <f ca="1">VLOOKUP($L2,OFFSET([3]enemies!$A$1,0,0,COUNTA([3]enemies!$A:$A),MATCH(M$1,[3]enemies!$1:$1,0)-MATCH($L$1,[3]enemies!$1:$1,0)+1),MATCH(M$1,[3]enemies!$1:$1,0)-MATCH($L$1,[3]enemies!$1:$1,0)+1,FALSE)</f>
        <v>ゆらら</v>
      </c>
      <c r="N2" s="17" t="str">
        <f ca="1">VLOOKUP($L2,OFFSET([3]enemies!$A$1,0,0,COUNTA([3]enemies!$A:$A),MATCH(N$1,[3]enemies!$1:$1,0)-MATCH($L$1,[3]enemies!$1:$1,0)+1),MATCH(N$1,[3]enemies!$1:$1,0)-MATCH($L$1,[3]enemies!$1:$1,0)+1,FALSE)</f>
        <v>green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Drop1S</v>
      </c>
      <c r="P2" s="17" t="str">
        <f ca="1">VLOOKUP($L2,OFFSET([3]enemies!$A$1,0,0,COUNTA([3]enemies!$A:$A),MATCH(P$1,[3]enemies!$1:$1,0)-MATCH($L$1,[3]enemies!$1:$1,0)+1),MATCH(P$1,[3]enemies!$1:$1,0)-MATCH($L$1,[3]enemies!$1:$1,0)+1,FALSE)</f>
        <v>animal</v>
      </c>
      <c r="Q2" s="17">
        <f ca="1">VLOOKUP($L2,OFFSET([3]enemies!$A$1,0,0,COUNTA([3]enemies!$A:$A),MATCH(Q$1,[3]enemies!$1:$1,0)-MATCH($L$1,[3]enemies!$1:$1,0)+1),MATCH(Q$1,[3]enemies!$1:$1,0)-MATCH($L$1,[3]enemies!$1:$1,0)+1,FALSE)</f>
        <v>15</v>
      </c>
      <c r="R2" s="5">
        <v>40</v>
      </c>
      <c r="S2" s="25">
        <v>1.6</v>
      </c>
      <c r="T2" s="104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12190.400000000001</v>
      </c>
      <c r="U2" s="25">
        <v>0.7</v>
      </c>
      <c r="V2" s="104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1691.1999999999998</v>
      </c>
      <c r="W2" s="5">
        <v>0</v>
      </c>
      <c r="X2" s="4" t="e">
        <f ca="1">VLOOKUP($Y2,OFFSET(enemy_skill_sets!$B$1,0,0,COUNTA(enemy_skill_sets!$B:$B),MATCH(M$1,enemy_skill_sets!$1:$1,0)-MATCH($Y$1,enemy_skill_sets!$1:$1,0)+2),MATCH(M$1,enemy_skill_sets!$1:$1,0)-MATCH($Y$1,enemy_skill_sets!$1:$1,0)+2,FALSE)</f>
        <v>#N/A</v>
      </c>
      <c r="Y2" s="62">
        <v>0</v>
      </c>
      <c r="Z2" s="6">
        <v>2</v>
      </c>
      <c r="AA2" s="6">
        <v>100</v>
      </c>
      <c r="AB2" s="6">
        <v>0</v>
      </c>
      <c r="AC2" s="17">
        <v>2</v>
      </c>
      <c r="AD2" s="24">
        <f t="shared" ref="AD2:AD8" si="3">L2</f>
        <v>362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ゆらら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2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Drop1S</v>
      </c>
      <c r="AH2" s="7">
        <v>1</v>
      </c>
      <c r="AI2" s="24">
        <f t="shared" ref="AI2:AI8" ca="1" si="4">AF2</f>
        <v>2</v>
      </c>
      <c r="AJ2" s="8">
        <v>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70">
        <v>1</v>
      </c>
    </row>
    <row r="3" spans="1:42" ht="21" customHeight="1" x14ac:dyDescent="0.15">
      <c r="A3" s="16" t="str">
        <f t="shared" si="0"/>
        <v>20020_3-1/366&lt;lv40&gt;s2</v>
      </c>
      <c r="B3" s="22">
        <v>20020</v>
      </c>
      <c r="C3" s="21">
        <v>3</v>
      </c>
      <c r="D3" s="2" t="str">
        <f t="shared" si="1"/>
        <v>20020_3</v>
      </c>
      <c r="E3" s="4" t="str">
        <f ca="1">VLOOKUP($B3,OFFSET([2]quests!$A$1,0,0,COUNTA([2]quests!$A:$A),MATCH(E$1,[2]quests!$1:$1,0)-MATCH($B$1,[2]quests!$1:$1,0)+1),MATCH(E$1,[2]quests!$1:$1,0)-MATCH($B$1,[2]quests!$1:$1,0)+1,FALSE)</f>
        <v>変幻自在の風</v>
      </c>
      <c r="F3" s="4" t="str">
        <f ca="1">VLOOKUP($D3,OFFSET([2]stages!$A$1,0,0,COUNTA([2]stages!$A:$A),MATCH(F$1,[2]stages!$2:$2,0)-MATCH($D$1,[2]stages!$2:$2,0)+1),MATCH(F$1,[2]stages!$2:$2,0)-MATCH($D$1,[2]stages!$2:$2,0)+1,FALSE)</f>
        <v>【上級】変幻自在の風</v>
      </c>
      <c r="G3" s="21">
        <v>1</v>
      </c>
      <c r="H3" s="15" t="str">
        <f t="shared" si="2"/>
        <v>20020_3-1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 t="s">
        <v>254</v>
      </c>
      <c r="L3" s="20">
        <v>366</v>
      </c>
      <c r="M3" s="17" t="str">
        <f ca="1">VLOOKUP($L3,OFFSET([3]enemies!$A$1,0,0,COUNTA([3]enemies!$A:$A),MATCH(M$1,[3]enemies!$1:$1,0)-MATCH($L$1,[3]enemies!$1:$1,0)+1),MATCH(M$1,[3]enemies!$1:$1,0)-MATCH($L$1,[3]enemies!$1:$1,0)+1,FALSE)</f>
        <v>トト</v>
      </c>
      <c r="N3" s="17" t="str">
        <f ca="1">VLOOKUP($L3,OFFSET([3]enemies!$A$1,0,0,COUNTA([3]enemies!$A:$A),MATCH(N$1,[3]enemies!$1:$1,0)-MATCH($L$1,[3]enemies!$1:$1,0)+1),MATCH(N$1,[3]enemies!$1:$1,0)-MATCH($L$1,[3]enemies!$1:$1,0)+1,FALSE)</f>
        <v>yellow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Drop1S</v>
      </c>
      <c r="P3" s="17" t="str">
        <f ca="1">VLOOKUP($L3,OFFSET([3]enemies!$A$1,0,0,COUNTA([3]enemies!$A:$A),MATCH(P$1,[3]enemies!$1:$1,0)-MATCH($L$1,[3]enemies!$1:$1,0)+1),MATCH(P$1,[3]enemies!$1:$1,0)-MATCH($L$1,[3]enemies!$1:$1,0)+1,FALSE)</f>
        <v>animal</v>
      </c>
      <c r="Q3" s="17">
        <f ca="1">VLOOKUP($L3,OFFSET([3]enemies!$A$1,0,0,COUNTA([3]enemies!$A:$A),MATCH(Q$1,[3]enemies!$1:$1,0)-MATCH($L$1,[3]enemies!$1:$1,0)+1),MATCH(Q$1,[3]enemies!$1:$1,0)-MATCH($L$1,[3]enemies!$1:$1,0)+1,FALSE)</f>
        <v>15</v>
      </c>
      <c r="R3" s="5">
        <v>40</v>
      </c>
      <c r="S3" s="25">
        <v>2.2000000000000002</v>
      </c>
      <c r="T3" s="104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17894.800000000003</v>
      </c>
      <c r="U3" s="25">
        <v>0.5</v>
      </c>
      <c r="V3" s="104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1383</v>
      </c>
      <c r="W3" s="5">
        <v>0</v>
      </c>
      <c r="X3" s="4" t="e">
        <f ca="1">VLOOKUP($Y3,OFFSET(enemy_skill_sets!$B$1,0,0,COUNTA(enemy_skill_sets!$B:$B),MATCH(M$1,enemy_skill_sets!$1:$1,0)-MATCH($Y$1,enemy_skill_sets!$1:$1,0)+2),MATCH(M$1,enemy_skill_sets!$1:$1,0)-MATCH($Y$1,enemy_skill_sets!$1:$1,0)+2,FALSE)</f>
        <v>#N/A</v>
      </c>
      <c r="Y3" s="62">
        <v>0</v>
      </c>
      <c r="Z3" s="6">
        <v>2</v>
      </c>
      <c r="AA3" s="6">
        <v>100</v>
      </c>
      <c r="AB3" s="6">
        <v>1</v>
      </c>
      <c r="AC3" s="17">
        <v>2</v>
      </c>
      <c r="AD3" s="24">
        <f t="shared" si="3"/>
        <v>366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トト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2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Drop1S</v>
      </c>
      <c r="AH3" s="7">
        <v>1</v>
      </c>
      <c r="AI3" s="24">
        <f t="shared" ca="1" si="4"/>
        <v>2</v>
      </c>
      <c r="AJ3" s="8">
        <v>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70">
        <v>1</v>
      </c>
    </row>
    <row r="4" spans="1:42" ht="21" customHeight="1" x14ac:dyDescent="0.15">
      <c r="A4" s="16" t="str">
        <f t="shared" si="0"/>
        <v>20020_3-2/88&lt;lv40&gt;s2</v>
      </c>
      <c r="B4" s="22">
        <v>20020</v>
      </c>
      <c r="C4" s="21">
        <v>3</v>
      </c>
      <c r="D4" s="2" t="str">
        <f t="shared" si="1"/>
        <v>20020_3</v>
      </c>
      <c r="E4" s="4" t="str">
        <f ca="1">VLOOKUP($B4,OFFSET([2]quests!$A$1,0,0,COUNTA([2]quests!$A:$A),MATCH(E$1,[2]quests!$1:$1,0)-MATCH($B$1,[2]quests!$1:$1,0)+1),MATCH(E$1,[2]quests!$1:$1,0)-MATCH($B$1,[2]quests!$1:$1,0)+1,FALSE)</f>
        <v>変幻自在の風</v>
      </c>
      <c r="F4" s="4" t="str">
        <f ca="1">VLOOKUP($D4,OFFSET([2]stages!$A$1,0,0,COUNTA([2]stages!$A:$A),MATCH(F$1,[2]stages!$2:$2,0)-MATCH($D$1,[2]stages!$2:$2,0)+1),MATCH(F$1,[2]stages!$2:$2,0)-MATCH($D$1,[2]stages!$2:$2,0)+1,FALSE)</f>
        <v>【上級】変幻自在の風</v>
      </c>
      <c r="G4" s="21">
        <v>2</v>
      </c>
      <c r="H4" s="15" t="str">
        <f t="shared" si="2"/>
        <v>20020_3-2</v>
      </c>
      <c r="I4" s="4">
        <f ca="1">VLOOKUP($H4,OFFSET(floors!$A$1,0,0,COUNTA(floors!$A:$A),MATCH(I$1,floors!$1:$1,0)-MATCH($H$1,floors!$1:$1,0)+1),MATCH(I$1,floors!$1:$1,0)-MATCH($H$1,floors!$1:$1,0)+1,FALSE)</f>
        <v>40</v>
      </c>
      <c r="J4" s="4">
        <f ca="1">VLOOKUP($H4,OFFSET(floors!$A$1,0,0,COUNTA(floors!$A:$A),MATCH(J$1,floors!$1:$1,0)-MATCH($H$1,floors!$1:$1,0)+1),MATCH(J$1,floors!$1:$1,0)-MATCH($H$1,floors!$1:$1,0)+1,FALSE)</f>
        <v>40</v>
      </c>
      <c r="K4" s="38" t="s">
        <v>254</v>
      </c>
      <c r="L4" s="20">
        <v>88</v>
      </c>
      <c r="M4" s="17" t="str">
        <f ca="1">VLOOKUP($L4,OFFSET([3]enemies!$A$1,0,0,COUNTA([3]enemies!$A:$A),MATCH(M$1,[3]enemies!$1:$1,0)-MATCH($L$1,[3]enemies!$1:$1,0)+1),MATCH(M$1,[3]enemies!$1:$1,0)-MATCH($L$1,[3]enemies!$1:$1,0)+1,FALSE)</f>
        <v>玄武</v>
      </c>
      <c r="N4" s="17" t="str">
        <f ca="1">VLOOKUP($L4,OFFSET([3]enemies!$A$1,0,0,COUNTA([3]enemies!$A:$A),MATCH(N$1,[3]enemies!$1:$1,0)-MATCH($L$1,[3]enemies!$1:$1,0)+1),MATCH(N$1,[3]enemies!$1:$1,0)-MATCH($L$1,[3]enemies!$1:$1,0)+1,FALSE)</f>
        <v>green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Drop2N</v>
      </c>
      <c r="P4" s="17" t="str">
        <f ca="1">VLOOKUP($L4,OFFSET([3]enemies!$A$1,0,0,COUNTA([3]enemies!$A:$A),MATCH(P$1,[3]enemies!$1:$1,0)-MATCH($L$1,[3]enemies!$1:$1,0)+1),MATCH(P$1,[3]enemies!$1:$1,0)-MATCH($L$1,[3]enemies!$1:$1,0)+1,FALSE)</f>
        <v>dragon</v>
      </c>
      <c r="Q4" s="17">
        <f ca="1">VLOOKUP($L4,OFFSET([3]enemies!$A$1,0,0,COUNTA([3]enemies!$A:$A),MATCH(Q$1,[3]enemies!$1:$1,0)-MATCH($L$1,[3]enemies!$1:$1,0)+1),MATCH(Q$1,[3]enemies!$1:$1,0)-MATCH($L$1,[3]enemies!$1:$1,0)+1,FALSE)</f>
        <v>20</v>
      </c>
      <c r="R4" s="5">
        <v>40</v>
      </c>
      <c r="S4" s="25">
        <v>1.2</v>
      </c>
      <c r="T4" s="104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57831.6</v>
      </c>
      <c r="U4" s="25">
        <v>0.5</v>
      </c>
      <c r="V4" s="104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1884.5</v>
      </c>
      <c r="W4" s="5">
        <v>0</v>
      </c>
      <c r="X4" s="4" t="str">
        <f ca="1">VLOOKUP($Y4,OFFSET(enemy_skill_sets!$B$1,0,0,COUNTA(enemy_skill_sets!$B:$B),MATCH(M$1,enemy_skill_sets!$1:$1,0)-MATCH($Y$1,enemy_skill_sets!$1:$1,0)+2),MATCH(M$1,enemy_skill_sets!$1:$1,0)-MATCH($Y$1,enemy_skill_sets!$1:$1,0)+2,FALSE)</f>
        <v>3ターン味方の攻撃力UP</v>
      </c>
      <c r="Y4" s="62">
        <v>20020001</v>
      </c>
      <c r="Z4" s="6">
        <v>1</v>
      </c>
      <c r="AA4" s="6">
        <v>100</v>
      </c>
      <c r="AB4" s="6">
        <v>0</v>
      </c>
      <c r="AC4" s="17">
        <v>2</v>
      </c>
      <c r="AD4" s="24">
        <f t="shared" si="3"/>
        <v>88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玄武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3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Drop2N</v>
      </c>
      <c r="AH4" s="7">
        <v>1</v>
      </c>
      <c r="AI4" s="24">
        <f t="shared" ca="1" si="4"/>
        <v>3</v>
      </c>
      <c r="AJ4" s="8">
        <v>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70">
        <v>1</v>
      </c>
    </row>
    <row r="5" spans="1:42" ht="21" customHeight="1" x14ac:dyDescent="0.15">
      <c r="A5" s="16" t="str">
        <f t="shared" si="0"/>
        <v>20020_3-2/181&lt;lv40&gt;s1</v>
      </c>
      <c r="B5" s="22">
        <v>20020</v>
      </c>
      <c r="C5" s="21">
        <v>3</v>
      </c>
      <c r="D5" s="2" t="str">
        <f t="shared" si="1"/>
        <v>20020_3</v>
      </c>
      <c r="E5" s="4" t="str">
        <f ca="1">VLOOKUP($B5,OFFSET([2]quests!$A$1,0,0,COUNTA([2]quests!$A:$A),MATCH(E$1,[2]quests!$1:$1,0)-MATCH($B$1,[2]quests!$1:$1,0)+1),MATCH(E$1,[2]quests!$1:$1,0)-MATCH($B$1,[2]quests!$1:$1,0)+1,FALSE)</f>
        <v>変幻自在の風</v>
      </c>
      <c r="F5" s="4" t="str">
        <f ca="1">VLOOKUP($D5,OFFSET([2]stages!$A$1,0,0,COUNTA([2]stages!$A:$A),MATCH(F$1,[2]stages!$2:$2,0)-MATCH($D$1,[2]stages!$2:$2,0)+1),MATCH(F$1,[2]stages!$2:$2,0)-MATCH($D$1,[2]stages!$2:$2,0)+1,FALSE)</f>
        <v>【上級】変幻自在の風</v>
      </c>
      <c r="G5" s="21">
        <v>2</v>
      </c>
      <c r="H5" s="15" t="str">
        <f t="shared" si="2"/>
        <v>20020_3-2</v>
      </c>
      <c r="I5" s="4">
        <f ca="1">VLOOKUP($H5,OFFSET(floors!$A$1,0,0,COUNTA(floors!$A:$A),MATCH(I$1,floors!$1:$1,0)-MATCH($H$1,floors!$1:$1,0)+1),MATCH(I$1,floors!$1:$1,0)-MATCH($H$1,floors!$1:$1,0)+1,FALSE)</f>
        <v>40</v>
      </c>
      <c r="J5" s="4">
        <f ca="1">VLOOKUP($H5,OFFSET(floors!$A$1,0,0,COUNTA(floors!$A:$A),MATCH(J$1,floors!$1:$1,0)-MATCH($H$1,floors!$1:$1,0)+1),MATCH(J$1,floors!$1:$1,0)-MATCH($H$1,floors!$1:$1,0)+1,FALSE)</f>
        <v>40</v>
      </c>
      <c r="K5" s="38" t="s">
        <v>254</v>
      </c>
      <c r="L5" s="20">
        <v>181</v>
      </c>
      <c r="M5" s="17" t="str">
        <f ca="1">VLOOKUP($L5,OFFSET([3]enemies!$A$1,0,0,COUNTA([3]enemies!$A:$A),MATCH(M$1,[3]enemies!$1:$1,0)-MATCH($L$1,[3]enemies!$1:$1,0)+1),MATCH(M$1,[3]enemies!$1:$1,0)-MATCH($L$1,[3]enemies!$1:$1,0)+1,FALSE)</f>
        <v>ベヒモス</v>
      </c>
      <c r="N5" s="17" t="str">
        <f ca="1">VLOOKUP($L5,OFFSET([3]enemies!$A$1,0,0,COUNTA([3]enemies!$A:$A),MATCH(N$1,[3]enemies!$1:$1,0)-MATCH($L$1,[3]enemies!$1:$1,0)+1),MATCH(N$1,[3]enemies!$1:$1,0)-MATCH($L$1,[3]enemies!$1:$1,0)+1,FALSE)</f>
        <v>green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PremiumN</v>
      </c>
      <c r="P5" s="17" t="str">
        <f ca="1">VLOOKUP($L5,OFFSET([3]enemies!$A$1,0,0,COUNTA([3]enemies!$A:$A),MATCH(P$1,[3]enemies!$1:$1,0)-MATCH($L$1,[3]enemies!$1:$1,0)+1),MATCH(P$1,[3]enemies!$1:$1,0)-MATCH($L$1,[3]enemies!$1:$1,0)+1,FALSE)</f>
        <v>animal</v>
      </c>
      <c r="Q5" s="17">
        <f ca="1">VLOOKUP($L5,OFFSET([3]enemies!$A$1,0,0,COUNTA([3]enemies!$A:$A),MATCH(Q$1,[3]enemies!$1:$1,0)-MATCH($L$1,[3]enemies!$1:$1,0)+1),MATCH(Q$1,[3]enemies!$1:$1,0)-MATCH($L$1,[3]enemies!$1:$1,0)+1,FALSE)</f>
        <v>20</v>
      </c>
      <c r="R5" s="5">
        <v>40</v>
      </c>
      <c r="S5" s="25">
        <v>0.6</v>
      </c>
      <c r="T5" s="104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40509.599999999999</v>
      </c>
      <c r="U5" s="25">
        <v>0.6</v>
      </c>
      <c r="V5" s="104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2135.4</v>
      </c>
      <c r="W5" s="5">
        <v>0</v>
      </c>
      <c r="X5" s="4" t="str">
        <f ca="1">VLOOKUP($Y5,OFFSET(enemy_skill_sets!$B$1,0,0,COUNTA(enemy_skill_sets!$B:$B),MATCH(M$1,enemy_skill_sets!$1:$1,0)-MATCH($Y$1,enemy_skill_sets!$1:$1,0)+2),MATCH(M$1,enemy_skill_sets!$1:$1,0)-MATCH($Y$1,enemy_skill_sets!$1:$1,0)+2,FALSE)</f>
        <v>3回連続攻撃</v>
      </c>
      <c r="Y5" s="62">
        <v>20020003</v>
      </c>
      <c r="Z5" s="6">
        <v>1</v>
      </c>
      <c r="AA5" s="6">
        <v>100</v>
      </c>
      <c r="AB5" s="6">
        <v>0</v>
      </c>
      <c r="AC5" s="17">
        <v>1</v>
      </c>
      <c r="AD5" s="24">
        <f t="shared" si="3"/>
        <v>181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ベヒモス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3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PremiumN</v>
      </c>
      <c r="AH5" s="7">
        <v>1</v>
      </c>
      <c r="AI5" s="24">
        <f t="shared" ca="1" si="4"/>
        <v>3</v>
      </c>
      <c r="AJ5" s="8">
        <v>0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70">
        <v>1</v>
      </c>
    </row>
    <row r="6" spans="1:42" ht="21" customHeight="1" x14ac:dyDescent="0.15">
      <c r="A6" s="16" t="str">
        <f t="shared" si="0"/>
        <v>20020_3-3/57&lt;lv40&gt;s2</v>
      </c>
      <c r="B6" s="22">
        <v>20020</v>
      </c>
      <c r="C6" s="21">
        <v>3</v>
      </c>
      <c r="D6" s="2" t="str">
        <f t="shared" si="1"/>
        <v>20020_3</v>
      </c>
      <c r="E6" s="4" t="str">
        <f ca="1">VLOOKUP($B6,OFFSET([2]quests!$A$1,0,0,COUNTA([2]quests!$A:$A),MATCH(E$1,[2]quests!$1:$1,0)-MATCH($B$1,[2]quests!$1:$1,0)+1),MATCH(E$1,[2]quests!$1:$1,0)-MATCH($B$1,[2]quests!$1:$1,0)+1,FALSE)</f>
        <v>変幻自在の風</v>
      </c>
      <c r="F6" s="4" t="str">
        <f ca="1">VLOOKUP($D6,OFFSET([2]stages!$A$1,0,0,COUNTA([2]stages!$A:$A),MATCH(F$1,[2]stages!$2:$2,0)-MATCH($D$1,[2]stages!$2:$2,0)+1),MATCH(F$1,[2]stages!$2:$2,0)-MATCH($D$1,[2]stages!$2:$2,0)+1,FALSE)</f>
        <v>【上級】変幻自在の風</v>
      </c>
      <c r="G6" s="21">
        <v>3</v>
      </c>
      <c r="H6" s="15" t="str">
        <f t="shared" si="2"/>
        <v>20020_3-3</v>
      </c>
      <c r="I6" s="4">
        <f ca="1">VLOOKUP($H6,OFFSET(floors!$A$1,0,0,COUNTA(floors!$A:$A),MATCH(I$1,floors!$1:$1,0)-MATCH($H$1,floors!$1:$1,0)+1),MATCH(I$1,floors!$1:$1,0)-MATCH($H$1,floors!$1:$1,0)+1,FALSE)</f>
        <v>20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 t="s">
        <v>254</v>
      </c>
      <c r="L6" s="20">
        <v>57</v>
      </c>
      <c r="M6" s="17" t="str">
        <f ca="1">VLOOKUP($L6,OFFSET([3]enemies!$A$1,0,0,COUNTA([3]enemies!$A:$A),MATCH(M$1,[3]enemies!$1:$1,0)-MATCH($L$1,[3]enemies!$1:$1,0)+1),MATCH(M$1,[3]enemies!$1:$1,0)-MATCH($L$1,[3]enemies!$1:$1,0)+1,FALSE)</f>
        <v>チェン・リー</v>
      </c>
      <c r="N6" s="17" t="str">
        <f ca="1">VLOOKUP($L6,OFFSET([3]enemies!$A$1,0,0,COUNTA([3]enemies!$A:$A),MATCH(N$1,[3]enemies!$1:$1,0)-MATCH($L$1,[3]enemies!$1:$1,0)+1),MATCH(N$1,[3]enemies!$1:$1,0)-MATCH($L$1,[3]enemies!$1:$1,0)+1,FALSE)</f>
        <v>red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Drop1N</v>
      </c>
      <c r="P6" s="17" t="str">
        <f ca="1">VLOOKUP($L6,OFFSET([3]enemies!$A$1,0,0,COUNTA([3]enemies!$A:$A),MATCH(P$1,[3]enemies!$1:$1,0)-MATCH($L$1,[3]enemies!$1:$1,0)+1),MATCH(P$1,[3]enemies!$1:$1,0)-MATCH($L$1,[3]enemies!$1:$1,0)+1,FALSE)</f>
        <v>animal</v>
      </c>
      <c r="Q6" s="17">
        <f ca="1">VLOOKUP($L6,OFFSET([3]enemies!$A$1,0,0,COUNTA([3]enemies!$A:$A),MATCH(Q$1,[3]enemies!$1:$1,0)-MATCH($L$1,[3]enemies!$1:$1,0)+1),MATCH(Q$1,[3]enemies!$1:$1,0)-MATCH($L$1,[3]enemies!$1:$1,0)+1,FALSE)</f>
        <v>15</v>
      </c>
      <c r="R6" s="5">
        <v>40</v>
      </c>
      <c r="S6" s="25">
        <v>1</v>
      </c>
      <c r="T6" s="104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8300</v>
      </c>
      <c r="U6" s="25">
        <v>0.3</v>
      </c>
      <c r="V6" s="104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838.19999999999993</v>
      </c>
      <c r="W6" s="5">
        <v>0</v>
      </c>
      <c r="X6" s="4" t="str">
        <f ca="1">VLOOKUP($Y6,OFFSET(enemy_skill_sets!$B$1,0,0,COUNTA(enemy_skill_sets!$B:$B),MATCH(M$1,enemy_skill_sets!$1:$1,0)-MATCH($Y$1,enemy_skill_sets!$1:$1,0)+2),MATCH(M$1,enemy_skill_sets!$1:$1,0)-MATCH($Y$1,enemy_skill_sets!$1:$1,0)+2,FALSE)</f>
        <v>2回連続攻撃</v>
      </c>
      <c r="Y6" s="62">
        <v>20020004</v>
      </c>
      <c r="Z6" s="6">
        <v>2</v>
      </c>
      <c r="AA6" s="6">
        <v>100</v>
      </c>
      <c r="AB6" s="6">
        <v>0</v>
      </c>
      <c r="AC6" s="17">
        <v>2</v>
      </c>
      <c r="AD6" s="24">
        <f t="shared" si="3"/>
        <v>57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チェン・リー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2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Drop1N</v>
      </c>
      <c r="AH6" s="7">
        <v>1</v>
      </c>
      <c r="AI6" s="24">
        <f t="shared" ca="1" si="4"/>
        <v>2</v>
      </c>
      <c r="AJ6" s="8">
        <v>0</v>
      </c>
      <c r="AK6" s="7">
        <v>0</v>
      </c>
      <c r="AL6" s="7">
        <v>0</v>
      </c>
      <c r="AM6" s="7">
        <v>0</v>
      </c>
      <c r="AN6" s="7">
        <v>0</v>
      </c>
      <c r="AO6" s="7">
        <v>1</v>
      </c>
      <c r="AP6" s="70">
        <v>1</v>
      </c>
    </row>
    <row r="7" spans="1:42" ht="21" customHeight="1" x14ac:dyDescent="0.15">
      <c r="A7" s="16" t="str">
        <f t="shared" si="0"/>
        <v>20020_3-3/161&lt;lv40&gt;s2</v>
      </c>
      <c r="B7" s="22">
        <v>20020</v>
      </c>
      <c r="C7" s="21">
        <v>3</v>
      </c>
      <c r="D7" s="2" t="str">
        <f t="shared" si="1"/>
        <v>20020_3</v>
      </c>
      <c r="E7" s="4" t="str">
        <f ca="1">VLOOKUP($B7,OFFSET([2]quests!$A$1,0,0,COUNTA([2]quests!$A:$A),MATCH(E$1,[2]quests!$1:$1,0)-MATCH($B$1,[2]quests!$1:$1,0)+1),MATCH(E$1,[2]quests!$1:$1,0)-MATCH($B$1,[2]quests!$1:$1,0)+1,FALSE)</f>
        <v>変幻自在の風</v>
      </c>
      <c r="F7" s="4" t="str">
        <f ca="1">VLOOKUP($D7,OFFSET([2]stages!$A$1,0,0,COUNTA([2]stages!$A:$A),MATCH(F$1,[2]stages!$2:$2,0)-MATCH($D$1,[2]stages!$2:$2,0)+1),MATCH(F$1,[2]stages!$2:$2,0)-MATCH($D$1,[2]stages!$2:$2,0)+1,FALSE)</f>
        <v>【上級】変幻自在の風</v>
      </c>
      <c r="G7" s="21">
        <v>3</v>
      </c>
      <c r="H7" s="15" t="str">
        <f t="shared" si="2"/>
        <v>20020_3-3</v>
      </c>
      <c r="I7" s="4">
        <f ca="1">VLOOKUP($H7,OFFSET(floors!$A$1,0,0,COUNTA(floors!$A:$A),MATCH(I$1,floors!$1:$1,0)-MATCH($H$1,floors!$1:$1,0)+1),MATCH(I$1,floors!$1:$1,0)-MATCH($H$1,floors!$1:$1,0)+1,FALSE)</f>
        <v>20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 t="s">
        <v>254</v>
      </c>
      <c r="L7" s="20">
        <v>161</v>
      </c>
      <c r="M7" s="17" t="str">
        <f ca="1">VLOOKUP($L7,OFFSET([3]enemies!$A$1,0,0,COUNTA([3]enemies!$A:$A),MATCH(M$1,[3]enemies!$1:$1,0)-MATCH($L$1,[3]enemies!$1:$1,0)+1),MATCH(M$1,[3]enemies!$1:$1,0)-MATCH($L$1,[3]enemies!$1:$1,0)+1,FALSE)</f>
        <v>咆哮の先導者 クリエ</v>
      </c>
      <c r="N7" s="17" t="str">
        <f ca="1">VLOOKUP($L7,OFFSET([3]enemies!$A$1,0,0,COUNTA([3]enemies!$A:$A),MATCH(N$1,[3]enemies!$1:$1,0)-MATCH($L$1,[3]enemies!$1:$1,0)+1),MATCH(N$1,[3]enemies!$1:$1,0)-MATCH($L$1,[3]enemies!$1:$1,0)+1,FALSE)</f>
        <v>green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PremiumW</v>
      </c>
      <c r="P7" s="17" t="str">
        <f ca="1">VLOOKUP($L7,OFFSET([3]enemies!$A$1,0,0,COUNTA([3]enemies!$A:$A),MATCH(P$1,[3]enemies!$1:$1,0)-MATCH($L$1,[3]enemies!$1:$1,0)+1),MATCH(P$1,[3]enemies!$1:$1,0)-MATCH($L$1,[3]enemies!$1:$1,0)+1,FALSE)</f>
        <v>human</v>
      </c>
      <c r="Q7" s="17">
        <f ca="1">VLOOKUP($L7,OFFSET([3]enemies!$A$1,0,0,COUNTA([3]enemies!$A:$A),MATCH(Q$1,[3]enemies!$1:$1,0)-MATCH($L$1,[3]enemies!$1:$1,0)+1),MATCH(Q$1,[3]enemies!$1:$1,0)-MATCH($L$1,[3]enemies!$1:$1,0)+1,FALSE)</f>
        <v>30</v>
      </c>
      <c r="R7" s="5">
        <v>40</v>
      </c>
      <c r="S7" s="25">
        <v>0.8</v>
      </c>
      <c r="T7" s="104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62072.800000000003</v>
      </c>
      <c r="U7" s="25">
        <v>0.6</v>
      </c>
      <c r="V7" s="104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1884.6</v>
      </c>
      <c r="W7" s="5">
        <v>0</v>
      </c>
      <c r="X7" s="4" t="str">
        <f ca="1">VLOOKUP($Y7,OFFSET(enemy_skill_sets!$B$1,0,0,COUNTA(enemy_skill_sets!$B:$B),MATCH(M$1,enemy_skill_sets!$1:$1,0)-MATCH($Y$1,enemy_skill_sets!$1:$1,0)+2),MATCH(M$1,enemy_skill_sets!$1:$1,0)-MATCH($Y$1,enemy_skill_sets!$1:$1,0)+2,FALSE)</f>
        <v>2ターン敵の種族アニマルの攻撃頻度UP</v>
      </c>
      <c r="Y7" s="62">
        <v>20020005</v>
      </c>
      <c r="Z7" s="6">
        <v>1</v>
      </c>
      <c r="AA7" s="6">
        <v>100</v>
      </c>
      <c r="AB7" s="6">
        <v>1</v>
      </c>
      <c r="AC7" s="17">
        <v>2</v>
      </c>
      <c r="AD7" s="24">
        <f t="shared" si="3"/>
        <v>161</v>
      </c>
      <c r="AE7" s="4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咆哮の先導者 クリエ</v>
      </c>
      <c r="AF7" s="4">
        <f ca="1">VLOOKUP($AD7,OFFSET([4]characters!$A$1,0,0,COUNTA([4]characters!$A:$A),MATCH(AF$1,[4]characters!$1:$1,0)-MATCH("character_id",[4]characters!$1:$1,0)+1),MATCH(AF$1,[4]characters!$1:$1,0)-MATCH("character_id",[4]characters!$1:$1,0)+1,FALSE)</f>
        <v>4</v>
      </c>
      <c r="AG7" s="4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PremiumW</v>
      </c>
      <c r="AH7" s="7">
        <v>1</v>
      </c>
      <c r="AI7" s="24">
        <f t="shared" ca="1" si="4"/>
        <v>4</v>
      </c>
      <c r="AJ7" s="8">
        <v>0</v>
      </c>
      <c r="AK7" s="7">
        <v>0</v>
      </c>
      <c r="AL7" s="7">
        <v>0</v>
      </c>
      <c r="AM7" s="7">
        <v>0</v>
      </c>
      <c r="AN7" s="7">
        <v>0</v>
      </c>
      <c r="AO7" s="7">
        <v>1</v>
      </c>
      <c r="AP7" s="70">
        <v>1</v>
      </c>
    </row>
    <row r="8" spans="1:42" ht="21" customHeight="1" x14ac:dyDescent="0.15">
      <c r="A8" s="16" t="str">
        <f t="shared" si="0"/>
        <v>20020_3-4/1059&lt;lv40&gt;s2</v>
      </c>
      <c r="B8" s="22">
        <v>20020</v>
      </c>
      <c r="C8" s="21">
        <v>3</v>
      </c>
      <c r="D8" s="2" t="str">
        <f t="shared" si="1"/>
        <v>20020_3</v>
      </c>
      <c r="E8" s="4" t="str">
        <f ca="1">VLOOKUP($B8,OFFSET([2]quests!$A$1,0,0,COUNTA([2]quests!$A:$A),MATCH(E$1,[2]quests!$1:$1,0)-MATCH($B$1,[2]quests!$1:$1,0)+1),MATCH(E$1,[2]quests!$1:$1,0)-MATCH($B$1,[2]quests!$1:$1,0)+1,FALSE)</f>
        <v>変幻自在の風</v>
      </c>
      <c r="F8" s="4" t="str">
        <f ca="1">VLOOKUP($D8,OFFSET([2]stages!$A$1,0,0,COUNTA([2]stages!$A:$A),MATCH(F$1,[2]stages!$2:$2,0)-MATCH($D$1,[2]stages!$2:$2,0)+1),MATCH(F$1,[2]stages!$2:$2,0)-MATCH($D$1,[2]stages!$2:$2,0)+1,FALSE)</f>
        <v>【上級】変幻自在の風</v>
      </c>
      <c r="G8" s="21">
        <v>4</v>
      </c>
      <c r="H8" s="15" t="str">
        <f t="shared" si="2"/>
        <v>20020_3-4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8">
        <v>1</v>
      </c>
      <c r="L8" s="20">
        <v>1059</v>
      </c>
      <c r="M8" s="17" t="str">
        <f ca="1">VLOOKUP($L8,OFFSET([3]enemies!$A$1,0,0,COUNTA([3]enemies!$A:$A),MATCH(M$1,[3]enemies!$1:$1,0)-MATCH($L$1,[3]enemies!$1:$1,0)+1),MATCH(M$1,[3]enemies!$1:$1,0)-MATCH($L$1,[3]enemies!$1:$1,0)+1,FALSE)</f>
        <v>パズズ</v>
      </c>
      <c r="N8" s="17" t="str">
        <f ca="1">VLOOKUP($L8,OFFSET([3]enemies!$A$1,0,0,COUNTA([3]enemies!$A:$A),MATCH(N$1,[3]enemies!$1:$1,0)-MATCH($L$1,[3]enemies!$1:$1,0)+1),MATCH(N$1,[3]enemies!$1:$1,0)-MATCH($L$1,[3]enemies!$1:$1,0)+1,FALSE)</f>
        <v>green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Drop2N</v>
      </c>
      <c r="P8" s="17" t="str">
        <f ca="1">VLOOKUP($L8,OFFSET([3]enemies!$A$1,0,0,COUNTA([3]enemies!$A:$A),MATCH(P$1,[3]enemies!$1:$1,0)-MATCH($L$1,[3]enemies!$1:$1,0)+1),MATCH(P$1,[3]enemies!$1:$1,0)-MATCH($L$1,[3]enemies!$1:$1,0)+1,FALSE)</f>
        <v>god</v>
      </c>
      <c r="Q8" s="17">
        <f ca="1">VLOOKUP($L8,OFFSET([3]enemies!$A$1,0,0,COUNTA([3]enemies!$A:$A),MATCH(Q$1,[3]enemies!$1:$1,0)-MATCH($L$1,[3]enemies!$1:$1,0)+1),MATCH(Q$1,[3]enemies!$1:$1,0)-MATCH($L$1,[3]enemies!$1:$1,0)+1,FALSE)</f>
        <v>30</v>
      </c>
      <c r="R8" s="5">
        <v>40</v>
      </c>
      <c r="S8" s="25">
        <v>2.5</v>
      </c>
      <c r="T8" s="104">
        <f ca="1">ROUND(VLOOKUP(R8,[3]enemy_base_stats!$A:$F,2,FALSE) *INDIRECT("[EnemyMasterData.xlsm]enemies!Y"&amp;(L8+1))*  INDIRECT("[EnemyMasterData.xlsm]enemies!J"&amp;(L8+1))* INDIRECT("[EnemyMasterData.xlsm]enemies!O"&amp;(L8+1))* INDIRECT("[EnemyMasterData.xlsm]enemies!E"&amp;(L8+1))* INDIRECT("[EnemyMasterData.xlsm]enemies!S"&amp;(L8+1))* INDIRECT("[EnemyMasterData.xlsm]enemies!AD"&amp;(L8+1))*[4]ステータス!$B$2,0)*S8</f>
        <v>132070</v>
      </c>
      <c r="U8" s="25">
        <v>0.9</v>
      </c>
      <c r="V8" s="104">
        <f ca="1">ROUND(VLOOKUP(R8,[3]enemy_base_stats!$A:$F,3,FALSE) *INDIRECT("[EnemyMasterData.xlsm]enemies!Z"&amp;(L8+1))*  INDIRECT("[EnemyMasterData.xlsm]enemies!K"&amp;(L8+1))* INDIRECT("[EnemyMasterData.xlsm]enemies!P"&amp;(L8+1))* INDIRECT("[EnemyMasterData.xlsm]enemies!F"&amp;(L8+1))* INDIRECT("[EnemyMasterData.xlsm]enemies!T"&amp;(L8+1))* INDIRECT("[EnemyMasterData.xlsm]enemies!AE"&amp;(L8+1))*[4]ステータス!$C$2,0)*U8</f>
        <v>3785.4</v>
      </c>
      <c r="W8" s="5">
        <v>0</v>
      </c>
      <c r="X8" s="4" t="str">
        <f ca="1">VLOOKUP($Y8,OFFSET(enemy_skill_sets!$B$1,0,0,COUNTA(enemy_skill_sets!$B:$B),MATCH(M$1,enemy_skill_sets!$1:$1,0)-MATCH($Y$1,enemy_skill_sets!$1:$1,0)+2),MATCH(M$1,enemy_skill_sets!$1:$1,0)-MATCH($Y$1,enemy_skill_sets!$1:$1,0)+2,FALSE)</f>
        <v>ボッコボコにしてやんよ！</v>
      </c>
      <c r="Y8" s="62">
        <v>20020006</v>
      </c>
      <c r="Z8" s="6">
        <v>1</v>
      </c>
      <c r="AA8" s="6">
        <v>100</v>
      </c>
      <c r="AB8" s="6">
        <v>1</v>
      </c>
      <c r="AC8" s="17">
        <v>2</v>
      </c>
      <c r="AD8" s="24">
        <f t="shared" si="3"/>
        <v>1059</v>
      </c>
      <c r="AE8" s="4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パズズ</v>
      </c>
      <c r="AF8" s="4">
        <f ca="1">VLOOKUP($AD8,OFFSET([4]characters!$A$1,0,0,COUNTA([4]characters!$A:$A),MATCH(AF$1,[4]characters!$1:$1,0)-MATCH("character_id",[4]characters!$1:$1,0)+1),MATCH(AF$1,[4]characters!$1:$1,0)-MATCH("character_id",[4]characters!$1:$1,0)+1,FALSE)</f>
        <v>4</v>
      </c>
      <c r="AG8" s="4" t="str">
        <f ca="1">VLOOKUP($AD8,OFFSET([4]characters!$A$1,0,0,COUNTA([4]characters!$A:$A),MATCH(AG$1,[4]characters!$1:$1,0)-MATCH("character_id",[4]characters!$1:$1,0)+1),MATCH(AG$1,[4]characters!$1:$1,0)-MATCH("character_id",[4]characters!$1:$1,0)+1,FALSE)</f>
        <v>Drop2N</v>
      </c>
      <c r="AH8" s="7">
        <v>1</v>
      </c>
      <c r="AI8" s="24">
        <f t="shared" ca="1" si="4"/>
        <v>4</v>
      </c>
      <c r="AJ8" s="8">
        <v>100</v>
      </c>
      <c r="AK8" s="7">
        <v>0</v>
      </c>
      <c r="AL8" s="7">
        <v>0</v>
      </c>
      <c r="AM8" s="7">
        <v>0</v>
      </c>
      <c r="AN8" s="7">
        <v>0</v>
      </c>
      <c r="AO8" s="7">
        <v>1</v>
      </c>
      <c r="AP8" s="70">
        <v>1</v>
      </c>
    </row>
    <row r="9" spans="1:42" ht="21" customHeight="1" x14ac:dyDescent="0.15">
      <c r="A9" s="16" t="str">
        <f t="shared" ref="A9:A15" si="5">B9&amp;"_"&amp;C9&amp;"-"&amp;G9&amp;"/"&amp;L9&amp;"&lt;lv"&amp;R9&amp;"&gt;s"&amp;AC9</f>
        <v>20020_2-1/362&lt;lv30&gt;s2</v>
      </c>
      <c r="B9" s="22">
        <v>20020</v>
      </c>
      <c r="C9" s="21">
        <v>2</v>
      </c>
      <c r="D9" s="2" t="str">
        <f t="shared" ref="D9:D15" si="6">B9&amp;"_"&amp;C9</f>
        <v>20020_2</v>
      </c>
      <c r="E9" s="4" t="str">
        <f ca="1">VLOOKUP($B9,OFFSET([2]quests!$A$1,0,0,COUNTA([2]quests!$A:$A),MATCH(E$1,[2]quests!$1:$1,0)-MATCH($B$1,[2]quests!$1:$1,0)+1),MATCH(E$1,[2]quests!$1:$1,0)-MATCH($B$1,[2]quests!$1:$1,0)+1,FALSE)</f>
        <v>変幻自在の風</v>
      </c>
      <c r="F9" s="4" t="str">
        <f ca="1">VLOOKUP($D9,OFFSET([2]stages!$A$1,0,0,COUNTA([2]stages!$A:$A),MATCH(F$1,[2]stages!$2:$2,0)-MATCH($D$1,[2]stages!$2:$2,0)+1),MATCH(F$1,[2]stages!$2:$2,0)-MATCH($D$1,[2]stages!$2:$2,0)+1,FALSE)</f>
        <v>【中級】変幻自在の風</v>
      </c>
      <c r="G9" s="21">
        <v>1</v>
      </c>
      <c r="H9" s="15" t="str">
        <f t="shared" ref="H9:H15" si="7">B9&amp;"_"&amp;C9&amp;"-"&amp;G9</f>
        <v>20020_2-1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8" t="s">
        <v>53</v>
      </c>
      <c r="L9" s="20">
        <v>362</v>
      </c>
      <c r="M9" s="17" t="str">
        <f ca="1">VLOOKUP($L9,OFFSET([3]enemies!$A$1,0,0,COUNTA([3]enemies!$A:$A),MATCH(M$1,[3]enemies!$1:$1,0)-MATCH($L$1,[3]enemies!$1:$1,0)+1),MATCH(M$1,[3]enemies!$1:$1,0)-MATCH($L$1,[3]enemies!$1:$1,0)+1,FALSE)</f>
        <v>ゆらら</v>
      </c>
      <c r="N9" s="17" t="str">
        <f ca="1">VLOOKUP($L9,OFFSET([3]enemies!$A$1,0,0,COUNTA([3]enemies!$A:$A),MATCH(N$1,[3]enemies!$1:$1,0)-MATCH($L$1,[3]enemies!$1:$1,0)+1),MATCH(N$1,[3]enemies!$1:$1,0)-MATCH($L$1,[3]enemies!$1:$1,0)+1,FALSE)</f>
        <v>green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Drop1S</v>
      </c>
      <c r="P9" s="17" t="str">
        <f ca="1">VLOOKUP($L9,OFFSET([3]enemies!$A$1,0,0,COUNTA([3]enemies!$A:$A),MATCH(P$1,[3]enemies!$1:$1,0)-MATCH($L$1,[3]enemies!$1:$1,0)+1),MATCH(P$1,[3]enemies!$1:$1,0)-MATCH($L$1,[3]enemies!$1:$1,0)+1,FALSE)</f>
        <v>animal</v>
      </c>
      <c r="Q9" s="17">
        <f ca="1">VLOOKUP($L9,OFFSET([3]enemies!$A$1,0,0,COUNTA([3]enemies!$A:$A),MATCH(Q$1,[3]enemies!$1:$1,0)-MATCH($L$1,[3]enemies!$1:$1,0)+1),MATCH(Q$1,[3]enemies!$1:$1,0)-MATCH($L$1,[3]enemies!$1:$1,0)+1,FALSE)</f>
        <v>15</v>
      </c>
      <c r="R9" s="114">
        <v>30</v>
      </c>
      <c r="S9" s="25">
        <v>1.6</v>
      </c>
      <c r="T9" s="104">
        <f ca="1">ROUND(VLOOKUP(R9,[3]enemy_base_stats!$A:$F,2,FALSE) *INDIRECT("[EnemyMasterData.xlsm]enemies!Y"&amp;(L9+1))*  INDIRECT("[EnemyMasterData.xlsm]enemies!J"&amp;(L9+1))* INDIRECT("[EnemyMasterData.xlsm]enemies!O"&amp;(L9+1))* INDIRECT("[EnemyMasterData.xlsm]enemies!E"&amp;(L9+1))* INDIRECT("[EnemyMasterData.xlsm]enemies!S"&amp;(L9+1))* INDIRECT("[EnemyMasterData.xlsm]enemies!AD"&amp;(L9+1))*[4]ステータス!$B$2,0)*S9</f>
        <v>9252.8000000000011</v>
      </c>
      <c r="U9" s="113">
        <v>0.7</v>
      </c>
      <c r="V9" s="104">
        <f ca="1">ROUND(VLOOKUP(R9,[3]enemy_base_stats!$A:$F,3,FALSE) *INDIRECT("[EnemyMasterData.xlsm]enemies!Z"&amp;(L9+1))*  INDIRECT("[EnemyMasterData.xlsm]enemies!K"&amp;(L9+1))* INDIRECT("[EnemyMasterData.xlsm]enemies!P"&amp;(L9+1))* INDIRECT("[EnemyMasterData.xlsm]enemies!F"&amp;(L9+1))* INDIRECT("[EnemyMasterData.xlsm]enemies!T"&amp;(L9+1))* INDIRECT("[EnemyMasterData.xlsm]enemies!AE"&amp;(L9+1))*[4]ステータス!$C$2,0)*U9</f>
        <v>1283.8</v>
      </c>
      <c r="W9" s="5">
        <v>0</v>
      </c>
      <c r="X9" s="4" t="e">
        <f ca="1">VLOOKUP($Y9,OFFSET(enemy_skill_sets!$B$1,0,0,COUNTA(enemy_skill_sets!$B:$B),MATCH(M$1,enemy_skill_sets!$1:$1,0)-MATCH($Y$1,enemy_skill_sets!$1:$1,0)+2),MATCH(M$1,enemy_skill_sets!$1:$1,0)-MATCH($Y$1,enemy_skill_sets!$1:$1,0)+2,FALSE)</f>
        <v>#N/A</v>
      </c>
      <c r="Y9" s="62">
        <v>0</v>
      </c>
      <c r="Z9" s="6">
        <v>2</v>
      </c>
      <c r="AA9" s="6">
        <v>100</v>
      </c>
      <c r="AB9" s="6">
        <v>0</v>
      </c>
      <c r="AC9" s="17">
        <v>2</v>
      </c>
      <c r="AD9" s="24">
        <f t="shared" ref="AD9:AD15" si="8">L9</f>
        <v>362</v>
      </c>
      <c r="AE9" s="4" t="str">
        <f ca="1">VLOOKUP($AD9,OFFSET([4]characters!$A$1,0,0,COUNTA([4]characters!$A:$A),MATCH(AE$1,[4]characters!$1:$1,0)-MATCH("character_id",[4]characters!$1:$1,0)+1),MATCH(AE$1,[4]characters!$1:$1,0)-MATCH("character_id",[4]characters!$1:$1,0)+1,FALSE)</f>
        <v>ゆらら</v>
      </c>
      <c r="AF9" s="4">
        <f ca="1">VLOOKUP($AD9,OFFSET([4]characters!$A$1,0,0,COUNTA([4]characters!$A:$A),MATCH(AF$1,[4]characters!$1:$1,0)-MATCH("character_id",[4]characters!$1:$1,0)+1),MATCH(AF$1,[4]characters!$1:$1,0)-MATCH("character_id",[4]characters!$1:$1,0)+1,FALSE)</f>
        <v>2</v>
      </c>
      <c r="AG9" s="4" t="str">
        <f ca="1">VLOOKUP($AD9,OFFSET([4]characters!$A$1,0,0,COUNTA([4]characters!$A:$A),MATCH(AG$1,[4]characters!$1:$1,0)-MATCH("character_id",[4]characters!$1:$1,0)+1),MATCH(AG$1,[4]characters!$1:$1,0)-MATCH("character_id",[4]characters!$1:$1,0)+1,FALSE)</f>
        <v>Drop1S</v>
      </c>
      <c r="AH9" s="7">
        <v>1</v>
      </c>
      <c r="AI9" s="24">
        <f t="shared" ref="AI9:AI15" ca="1" si="9">AF9</f>
        <v>2</v>
      </c>
      <c r="AJ9" s="8">
        <v>0</v>
      </c>
      <c r="AK9" s="7">
        <v>0</v>
      </c>
      <c r="AL9" s="7">
        <v>0</v>
      </c>
      <c r="AM9" s="7">
        <v>0</v>
      </c>
      <c r="AN9" s="7">
        <v>0</v>
      </c>
      <c r="AO9" s="7">
        <v>1</v>
      </c>
      <c r="AP9" s="70">
        <v>1</v>
      </c>
    </row>
    <row r="10" spans="1:42" ht="21" customHeight="1" x14ac:dyDescent="0.15">
      <c r="A10" s="16" t="str">
        <f t="shared" si="5"/>
        <v>20020_2-1/366&lt;lv28&gt;s2</v>
      </c>
      <c r="B10" s="22">
        <v>20020</v>
      </c>
      <c r="C10" s="21">
        <v>2</v>
      </c>
      <c r="D10" s="2" t="str">
        <f t="shared" si="6"/>
        <v>20020_2</v>
      </c>
      <c r="E10" s="4" t="str">
        <f ca="1">VLOOKUP($B10,OFFSET([2]quests!$A$1,0,0,COUNTA([2]quests!$A:$A),MATCH(E$1,[2]quests!$1:$1,0)-MATCH($B$1,[2]quests!$1:$1,0)+1),MATCH(E$1,[2]quests!$1:$1,0)-MATCH($B$1,[2]quests!$1:$1,0)+1,FALSE)</f>
        <v>変幻自在の風</v>
      </c>
      <c r="F10" s="4" t="str">
        <f ca="1">VLOOKUP($D10,OFFSET([2]stages!$A$1,0,0,COUNTA([2]stages!$A:$A),MATCH(F$1,[2]stages!$2:$2,0)-MATCH($D$1,[2]stages!$2:$2,0)+1),MATCH(F$1,[2]stages!$2:$2,0)-MATCH($D$1,[2]stages!$2:$2,0)+1,FALSE)</f>
        <v>【中級】変幻自在の風</v>
      </c>
      <c r="G10" s="21">
        <v>1</v>
      </c>
      <c r="H10" s="15" t="str">
        <f t="shared" si="7"/>
        <v>20020_2-1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38" t="s">
        <v>53</v>
      </c>
      <c r="L10" s="20">
        <v>366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トト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yellow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Drop1S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animal</v>
      </c>
      <c r="Q10" s="17">
        <f ca="1">VLOOKUP($L10,OFFSET([3]enemies!$A$1,0,0,COUNTA([3]enemies!$A:$A),MATCH(Q$1,[3]enemies!$1:$1,0)-MATCH($L$1,[3]enemies!$1:$1,0)+1),MATCH(Q$1,[3]enemies!$1:$1,0)-MATCH($L$1,[3]enemies!$1:$1,0)+1,FALSE)</f>
        <v>15</v>
      </c>
      <c r="R10" s="114">
        <v>28</v>
      </c>
      <c r="S10" s="25">
        <v>2.2000000000000002</v>
      </c>
      <c r="T10" s="104">
        <f ca="1">ROUND(VLOOKUP(R10,[3]enemy_base_stats!$A:$F,2,FALSE) *INDIRECT("[EnemyMasterData.xlsm]enemies!Y"&amp;(L10+1))*  INDIRECT("[EnemyMasterData.xlsm]enemies!J"&amp;(L10+1))* INDIRECT("[EnemyMasterData.xlsm]enemies!O"&amp;(L10+1))* INDIRECT("[EnemyMasterData.xlsm]enemies!E"&amp;(L10+1))* INDIRECT("[EnemyMasterData.xlsm]enemies!S"&amp;(L10+1))* INDIRECT("[EnemyMasterData.xlsm]enemies!AD"&amp;(L10+1))*[4]ステータス!$B$2,0)*S10</f>
        <v>12720.400000000001</v>
      </c>
      <c r="U10" s="113">
        <v>0.5</v>
      </c>
      <c r="V10" s="104">
        <f ca="1">ROUND(VLOOKUP(R10,[3]enemy_base_stats!$A:$F,3,FALSE) *INDIRECT("[EnemyMasterData.xlsm]enemies!Z"&amp;(L10+1))*  INDIRECT("[EnemyMasterData.xlsm]enemies!K"&amp;(L10+1))* INDIRECT("[EnemyMasterData.xlsm]enemies!P"&amp;(L10+1))* INDIRECT("[EnemyMasterData.xlsm]enemies!F"&amp;(L10+1))* INDIRECT("[EnemyMasterData.xlsm]enemies!T"&amp;(L10+1))* INDIRECT("[EnemyMasterData.xlsm]enemies!AE"&amp;(L10+1))*[4]ステータス!$C$2,0)*U10</f>
        <v>983</v>
      </c>
      <c r="W10" s="5">
        <v>0</v>
      </c>
      <c r="X10" s="4" t="e">
        <f ca="1">VLOOKUP($Y10,OFFSET(enemy_skill_sets!$B$1,0,0,COUNTA(enemy_skill_sets!$B:$B),MATCH(M$1,enemy_skill_sets!$1:$1,0)-MATCH($Y$1,enemy_skill_sets!$1:$1,0)+2),MATCH(M$1,enemy_skill_sets!$1:$1,0)-MATCH($Y$1,enemy_skill_sets!$1:$1,0)+2,FALSE)</f>
        <v>#N/A</v>
      </c>
      <c r="Y10" s="62">
        <v>0</v>
      </c>
      <c r="Z10" s="6">
        <v>2</v>
      </c>
      <c r="AA10" s="6">
        <v>100</v>
      </c>
      <c r="AB10" s="6">
        <v>1</v>
      </c>
      <c r="AC10" s="17">
        <v>2</v>
      </c>
      <c r="AD10" s="24">
        <f t="shared" si="8"/>
        <v>366</v>
      </c>
      <c r="AE10" s="4" t="str">
        <f ca="1">VLOOKUP($AD10,OFFSET([4]characters!$A$1,0,0,COUNTA([4]characters!$A:$A),MATCH(AE$1,[4]characters!$1:$1,0)-MATCH("character_id",[4]characters!$1:$1,0)+1),MATCH(AE$1,[4]characters!$1:$1,0)-MATCH("character_id",[4]characters!$1:$1,0)+1,FALSE)</f>
        <v>トト</v>
      </c>
      <c r="AF10" s="4">
        <f ca="1">VLOOKUP($AD10,OFFSET([4]characters!$A$1,0,0,COUNTA([4]characters!$A:$A),MATCH(AF$1,[4]characters!$1:$1,0)-MATCH("character_id",[4]characters!$1:$1,0)+1),MATCH(AF$1,[4]characters!$1:$1,0)-MATCH("character_id",[4]characters!$1:$1,0)+1,FALSE)</f>
        <v>2</v>
      </c>
      <c r="AG10" s="4" t="str">
        <f ca="1">VLOOKUP($AD10,OFFSET([4]characters!$A$1,0,0,COUNTA([4]characters!$A:$A),MATCH(AG$1,[4]characters!$1:$1,0)-MATCH("character_id",[4]characters!$1:$1,0)+1),MATCH(AG$1,[4]characters!$1:$1,0)-MATCH("character_id",[4]characters!$1:$1,0)+1,FALSE)</f>
        <v>Drop1S</v>
      </c>
      <c r="AH10" s="7">
        <v>1</v>
      </c>
      <c r="AI10" s="24">
        <f t="shared" ca="1" si="9"/>
        <v>2</v>
      </c>
      <c r="AJ10" s="8">
        <v>0</v>
      </c>
      <c r="AK10" s="7">
        <v>0</v>
      </c>
      <c r="AL10" s="7">
        <v>0</v>
      </c>
      <c r="AM10" s="7">
        <v>0</v>
      </c>
      <c r="AN10" s="7">
        <v>0</v>
      </c>
      <c r="AO10" s="7">
        <v>1</v>
      </c>
      <c r="AP10" s="70">
        <v>1</v>
      </c>
    </row>
    <row r="11" spans="1:42" ht="21" customHeight="1" x14ac:dyDescent="0.15">
      <c r="A11" s="16" t="str">
        <f t="shared" si="5"/>
        <v>20020_2-2/88&lt;lv25&gt;s2</v>
      </c>
      <c r="B11" s="22">
        <v>20020</v>
      </c>
      <c r="C11" s="21">
        <v>2</v>
      </c>
      <c r="D11" s="2" t="str">
        <f t="shared" si="6"/>
        <v>20020_2</v>
      </c>
      <c r="E11" s="4" t="str">
        <f ca="1">VLOOKUP($B11,OFFSET([2]quests!$A$1,0,0,COUNTA([2]quests!$A:$A),MATCH(E$1,[2]quests!$1:$1,0)-MATCH($B$1,[2]quests!$1:$1,0)+1),MATCH(E$1,[2]quests!$1:$1,0)-MATCH($B$1,[2]quests!$1:$1,0)+1,FALSE)</f>
        <v>変幻自在の風</v>
      </c>
      <c r="F11" s="4" t="str">
        <f ca="1">VLOOKUP($D11,OFFSET([2]stages!$A$1,0,0,COUNTA([2]stages!$A:$A),MATCH(F$1,[2]stages!$2:$2,0)-MATCH($D$1,[2]stages!$2:$2,0)+1),MATCH(F$1,[2]stages!$2:$2,0)-MATCH($D$1,[2]stages!$2:$2,0)+1,FALSE)</f>
        <v>【中級】変幻自在の風</v>
      </c>
      <c r="G11" s="21">
        <v>2</v>
      </c>
      <c r="H11" s="15" t="str">
        <f t="shared" si="7"/>
        <v>20020_2-2</v>
      </c>
      <c r="I11" s="4">
        <f ca="1">VLOOKUP($H11,OFFSET(floors!$A$1,0,0,COUNTA(floors!$A:$A),MATCH(I$1,floors!$1:$1,0)-MATCH($H$1,floors!$1:$1,0)+1),MATCH(I$1,floors!$1:$1,0)-MATCH($H$1,floors!$1:$1,0)+1,FALSE)</f>
        <v>40</v>
      </c>
      <c r="J11" s="4">
        <f ca="1">VLOOKUP($H11,OFFSET(floors!$A$1,0,0,COUNTA(floors!$A:$A),MATCH(J$1,floors!$1:$1,0)-MATCH($H$1,floors!$1:$1,0)+1),MATCH(J$1,floors!$1:$1,0)-MATCH($H$1,floors!$1:$1,0)+1,FALSE)</f>
        <v>40</v>
      </c>
      <c r="K11" s="38" t="s">
        <v>53</v>
      </c>
      <c r="L11" s="20">
        <v>88</v>
      </c>
      <c r="M11" s="17" t="str">
        <f ca="1">VLOOKUP($L11,OFFSET([3]enemies!$A$1,0,0,COUNTA([3]enemies!$A:$A),MATCH(M$1,[3]enemies!$1:$1,0)-MATCH($L$1,[3]enemies!$1:$1,0)+1),MATCH(M$1,[3]enemies!$1:$1,0)-MATCH($L$1,[3]enemies!$1:$1,0)+1,FALSE)</f>
        <v>玄武</v>
      </c>
      <c r="N11" s="17" t="str">
        <f ca="1">VLOOKUP($L11,OFFSET([3]enemies!$A$1,0,0,COUNTA([3]enemies!$A:$A),MATCH(N$1,[3]enemies!$1:$1,0)-MATCH($L$1,[3]enemies!$1:$1,0)+1),MATCH(N$1,[3]enemies!$1:$1,0)-MATCH($L$1,[3]enemies!$1:$1,0)+1,FALSE)</f>
        <v>green</v>
      </c>
      <c r="O11" s="17" t="str">
        <f ca="1">VLOOKUP($L11,OFFSET([4]characters!$A$1,0,0,COUNTA([4]characters!$A:$A),MATCH(O$1,[4]characters!$1:$1,0)-MATCH($L$1,[4]characters!$1:$1,0)+1),MATCH(O$1,[4]characters!$1:$1,0)-MATCH($L$1,[4]characters!$1:$1,0)+1,FALSE)</f>
        <v>Drop2N</v>
      </c>
      <c r="P11" s="17" t="str">
        <f ca="1">VLOOKUP($L11,OFFSET([3]enemies!$A$1,0,0,COUNTA([3]enemies!$A:$A),MATCH(P$1,[3]enemies!$1:$1,0)-MATCH($L$1,[3]enemies!$1:$1,0)+1),MATCH(P$1,[3]enemies!$1:$1,0)-MATCH($L$1,[3]enemies!$1:$1,0)+1,FALSE)</f>
        <v>dragon</v>
      </c>
      <c r="Q11" s="17">
        <f ca="1">VLOOKUP($L11,OFFSET([3]enemies!$A$1,0,0,COUNTA([3]enemies!$A:$A),MATCH(Q$1,[3]enemies!$1:$1,0)-MATCH($L$1,[3]enemies!$1:$1,0)+1),MATCH(Q$1,[3]enemies!$1:$1,0)-MATCH($L$1,[3]enemies!$1:$1,0)+1,FALSE)</f>
        <v>20</v>
      </c>
      <c r="R11" s="114">
        <v>25</v>
      </c>
      <c r="S11" s="25">
        <v>1.3</v>
      </c>
      <c r="T11" s="104">
        <f ca="1">ROUND(VLOOKUP(R11,[3]enemy_base_stats!$A:$F,2,FALSE) *INDIRECT("[EnemyMasterData.xlsm]enemies!Y"&amp;(L11+1))*  INDIRECT("[EnemyMasterData.xlsm]enemies!J"&amp;(L11+1))* INDIRECT("[EnemyMasterData.xlsm]enemies!O"&amp;(L11+1))* INDIRECT("[EnemyMasterData.xlsm]enemies!E"&amp;(L11+1))* INDIRECT("[EnemyMasterData.xlsm]enemies!S"&amp;(L11+1))* INDIRECT("[EnemyMasterData.xlsm]enemies!AD"&amp;(L11+1))*[4]ステータス!$B$2,0)*S11</f>
        <v>40006.200000000004</v>
      </c>
      <c r="U11" s="113">
        <v>0.6</v>
      </c>
      <c r="V11" s="104">
        <f ca="1">ROUND(VLOOKUP(R11,[3]enemy_base_stats!$A:$F,3,FALSE) *INDIRECT("[EnemyMasterData.xlsm]enemies!Z"&amp;(L11+1))*  INDIRECT("[EnemyMasterData.xlsm]enemies!K"&amp;(L11+1))* INDIRECT("[EnemyMasterData.xlsm]enemies!P"&amp;(L11+1))* INDIRECT("[EnemyMasterData.xlsm]enemies!F"&amp;(L11+1))* INDIRECT("[EnemyMasterData.xlsm]enemies!T"&amp;(L11+1))* INDIRECT("[EnemyMasterData.xlsm]enemies!AE"&amp;(L11+1))*[4]ステータス!$C$2,0)*U11</f>
        <v>1443.6</v>
      </c>
      <c r="W11" s="5">
        <v>0</v>
      </c>
      <c r="X11" s="4" t="str">
        <f ca="1">VLOOKUP($Y11,OFFSET(enemy_skill_sets!$B$1,0,0,COUNTA(enemy_skill_sets!$B:$B),MATCH(M$1,enemy_skill_sets!$1:$1,0)-MATCH($Y$1,enemy_skill_sets!$1:$1,0)+2),MATCH(M$1,enemy_skill_sets!$1:$1,0)-MATCH($Y$1,enemy_skill_sets!$1:$1,0)+2,FALSE)</f>
        <v>3ターン味方の攻撃力UP</v>
      </c>
      <c r="Y11" s="62">
        <v>20020001</v>
      </c>
      <c r="Z11" s="6">
        <v>1</v>
      </c>
      <c r="AA11" s="6">
        <v>100</v>
      </c>
      <c r="AB11" s="6">
        <v>0</v>
      </c>
      <c r="AC11" s="17">
        <v>2</v>
      </c>
      <c r="AD11" s="24">
        <f t="shared" si="8"/>
        <v>88</v>
      </c>
      <c r="AE11" s="4" t="str">
        <f ca="1">VLOOKUP($AD11,OFFSET([4]characters!$A$1,0,0,COUNTA([4]characters!$A:$A),MATCH(AE$1,[4]characters!$1:$1,0)-MATCH("character_id",[4]characters!$1:$1,0)+1),MATCH(AE$1,[4]characters!$1:$1,0)-MATCH("character_id",[4]characters!$1:$1,0)+1,FALSE)</f>
        <v>玄武</v>
      </c>
      <c r="AF11" s="4">
        <f ca="1">VLOOKUP($AD11,OFFSET([4]characters!$A$1,0,0,COUNTA([4]characters!$A:$A),MATCH(AF$1,[4]characters!$1:$1,0)-MATCH("character_id",[4]characters!$1:$1,0)+1),MATCH(AF$1,[4]characters!$1:$1,0)-MATCH("character_id",[4]characters!$1:$1,0)+1,FALSE)</f>
        <v>3</v>
      </c>
      <c r="AG11" s="4" t="str">
        <f ca="1">VLOOKUP($AD11,OFFSET([4]characters!$A$1,0,0,COUNTA([4]characters!$A:$A),MATCH(AG$1,[4]characters!$1:$1,0)-MATCH("character_id",[4]characters!$1:$1,0)+1),MATCH(AG$1,[4]characters!$1:$1,0)-MATCH("character_id",[4]characters!$1:$1,0)+1,FALSE)</f>
        <v>Drop2N</v>
      </c>
      <c r="AH11" s="7">
        <v>1</v>
      </c>
      <c r="AI11" s="24">
        <f t="shared" ca="1" si="9"/>
        <v>3</v>
      </c>
      <c r="AJ11" s="8">
        <v>0</v>
      </c>
      <c r="AK11" s="7">
        <v>0</v>
      </c>
      <c r="AL11" s="7">
        <v>0</v>
      </c>
      <c r="AM11" s="7">
        <v>0</v>
      </c>
      <c r="AN11" s="7">
        <v>0</v>
      </c>
      <c r="AO11" s="7">
        <v>1</v>
      </c>
      <c r="AP11" s="70">
        <v>1</v>
      </c>
    </row>
    <row r="12" spans="1:42" ht="21" customHeight="1" x14ac:dyDescent="0.15">
      <c r="A12" s="16" t="str">
        <f t="shared" si="5"/>
        <v>20020_2-2/181&lt;lv30&gt;s1</v>
      </c>
      <c r="B12" s="22">
        <v>20020</v>
      </c>
      <c r="C12" s="21">
        <v>2</v>
      </c>
      <c r="D12" s="2" t="str">
        <f t="shared" si="6"/>
        <v>20020_2</v>
      </c>
      <c r="E12" s="4" t="str">
        <f ca="1">VLOOKUP($B12,OFFSET([2]quests!$A$1,0,0,COUNTA([2]quests!$A:$A),MATCH(E$1,[2]quests!$1:$1,0)-MATCH($B$1,[2]quests!$1:$1,0)+1),MATCH(E$1,[2]quests!$1:$1,0)-MATCH($B$1,[2]quests!$1:$1,0)+1,FALSE)</f>
        <v>変幻自在の風</v>
      </c>
      <c r="F12" s="4" t="str">
        <f ca="1">VLOOKUP($D12,OFFSET([2]stages!$A$1,0,0,COUNTA([2]stages!$A:$A),MATCH(F$1,[2]stages!$2:$2,0)-MATCH($D$1,[2]stages!$2:$2,0)+1),MATCH(F$1,[2]stages!$2:$2,0)-MATCH($D$1,[2]stages!$2:$2,0)+1,FALSE)</f>
        <v>【中級】変幻自在の風</v>
      </c>
      <c r="G12" s="21">
        <v>2</v>
      </c>
      <c r="H12" s="15" t="str">
        <f t="shared" si="7"/>
        <v>20020_2-2</v>
      </c>
      <c r="I12" s="4">
        <f ca="1">VLOOKUP($H12,OFFSET(floors!$A$1,0,0,COUNTA(floors!$A:$A),MATCH(I$1,floors!$1:$1,0)-MATCH($H$1,floors!$1:$1,0)+1),MATCH(I$1,floors!$1:$1,0)-MATCH($H$1,floors!$1:$1,0)+1,FALSE)</f>
        <v>40</v>
      </c>
      <c r="J12" s="4">
        <f ca="1">VLOOKUP($H12,OFFSET(floors!$A$1,0,0,COUNTA(floors!$A:$A),MATCH(J$1,floors!$1:$1,0)-MATCH($H$1,floors!$1:$1,0)+1),MATCH(J$1,floors!$1:$1,0)-MATCH($H$1,floors!$1:$1,0)+1,FALSE)</f>
        <v>40</v>
      </c>
      <c r="K12" s="38" t="s">
        <v>53</v>
      </c>
      <c r="L12" s="20">
        <v>181</v>
      </c>
      <c r="M12" s="17" t="str">
        <f ca="1">VLOOKUP($L12,OFFSET([3]enemies!$A$1,0,0,COUNTA([3]enemies!$A:$A),MATCH(M$1,[3]enemies!$1:$1,0)-MATCH($L$1,[3]enemies!$1:$1,0)+1),MATCH(M$1,[3]enemies!$1:$1,0)-MATCH($L$1,[3]enemies!$1:$1,0)+1,FALSE)</f>
        <v>ベヒモス</v>
      </c>
      <c r="N12" s="17" t="str">
        <f ca="1">VLOOKUP($L12,OFFSET([3]enemies!$A$1,0,0,COUNTA([3]enemies!$A:$A),MATCH(N$1,[3]enemies!$1:$1,0)-MATCH($L$1,[3]enemies!$1:$1,0)+1),MATCH(N$1,[3]enemies!$1:$1,0)-MATCH($L$1,[3]enemies!$1:$1,0)+1,FALSE)</f>
        <v>green</v>
      </c>
      <c r="O12" s="17" t="str">
        <f ca="1">VLOOKUP($L12,OFFSET([4]characters!$A$1,0,0,COUNTA([4]characters!$A:$A),MATCH(O$1,[4]characters!$1:$1,0)-MATCH($L$1,[4]characters!$1:$1,0)+1),MATCH(O$1,[4]characters!$1:$1,0)-MATCH($L$1,[4]characters!$1:$1,0)+1,FALSE)</f>
        <v>PremiumN</v>
      </c>
      <c r="P12" s="17" t="str">
        <f ca="1">VLOOKUP($L12,OFFSET([3]enemies!$A$1,0,0,COUNTA([3]enemies!$A:$A),MATCH(P$1,[3]enemies!$1:$1,0)-MATCH($L$1,[3]enemies!$1:$1,0)+1),MATCH(P$1,[3]enemies!$1:$1,0)-MATCH($L$1,[3]enemies!$1:$1,0)+1,FALSE)</f>
        <v>animal</v>
      </c>
      <c r="Q12" s="17">
        <f ca="1">VLOOKUP($L12,OFFSET([3]enemies!$A$1,0,0,COUNTA([3]enemies!$A:$A),MATCH(Q$1,[3]enemies!$1:$1,0)-MATCH($L$1,[3]enemies!$1:$1,0)+1),MATCH(Q$1,[3]enemies!$1:$1,0)-MATCH($L$1,[3]enemies!$1:$1,0)+1,FALSE)</f>
        <v>20</v>
      </c>
      <c r="R12" s="114">
        <v>30</v>
      </c>
      <c r="S12" s="25">
        <v>0.7</v>
      </c>
      <c r="T12" s="104">
        <f ca="1">ROUND(VLOOKUP(R12,[3]enemy_base_stats!$A:$F,2,FALSE) *INDIRECT("[EnemyMasterData.xlsm]enemies!Y"&amp;(L12+1))*  INDIRECT("[EnemyMasterData.xlsm]enemies!J"&amp;(L12+1))* INDIRECT("[EnemyMasterData.xlsm]enemies!O"&amp;(L12+1))* INDIRECT("[EnemyMasterData.xlsm]enemies!E"&amp;(L12+1))* INDIRECT("[EnemyMasterData.xlsm]enemies!S"&amp;(L12+1))* INDIRECT("[EnemyMasterData.xlsm]enemies!AD"&amp;(L12+1))*[4]ステータス!$B$2,0)*S12</f>
        <v>35872.899999999994</v>
      </c>
      <c r="U12" s="113">
        <v>0.7</v>
      </c>
      <c r="V12" s="104">
        <f ca="1">ROUND(VLOOKUP(R12,[3]enemy_base_stats!$A:$F,3,FALSE) *INDIRECT("[EnemyMasterData.xlsm]enemies!Z"&amp;(L12+1))*  INDIRECT("[EnemyMasterData.xlsm]enemies!K"&amp;(L12+1))* INDIRECT("[EnemyMasterData.xlsm]enemies!P"&amp;(L12+1))* INDIRECT("[EnemyMasterData.xlsm]enemies!F"&amp;(L12+1))* INDIRECT("[EnemyMasterData.xlsm]enemies!T"&amp;(L12+1))* INDIRECT("[EnemyMasterData.xlsm]enemies!AE"&amp;(L12+1))*[4]ステータス!$C$2,0)*U12</f>
        <v>1891.3999999999999</v>
      </c>
      <c r="W12" s="5">
        <v>0</v>
      </c>
      <c r="X12" s="4" t="str">
        <f ca="1">VLOOKUP($Y12,OFFSET(enemy_skill_sets!$B$1,0,0,COUNTA(enemy_skill_sets!$B:$B),MATCH(M$1,enemy_skill_sets!$1:$1,0)-MATCH($Y$1,enemy_skill_sets!$1:$1,0)+2),MATCH(M$1,enemy_skill_sets!$1:$1,0)-MATCH($Y$1,enemy_skill_sets!$1:$1,0)+2,FALSE)</f>
        <v>3回連続攻撃</v>
      </c>
      <c r="Y12" s="62">
        <v>20020003</v>
      </c>
      <c r="Z12" s="6">
        <v>1</v>
      </c>
      <c r="AA12" s="6">
        <v>100</v>
      </c>
      <c r="AB12" s="6">
        <v>0</v>
      </c>
      <c r="AC12" s="17">
        <v>1</v>
      </c>
      <c r="AD12" s="24">
        <f t="shared" si="8"/>
        <v>181</v>
      </c>
      <c r="AE12" s="4" t="str">
        <f ca="1">VLOOKUP($AD12,OFFSET([4]characters!$A$1,0,0,COUNTA([4]characters!$A:$A),MATCH(AE$1,[4]characters!$1:$1,0)-MATCH("character_id",[4]characters!$1:$1,0)+1),MATCH(AE$1,[4]characters!$1:$1,0)-MATCH("character_id",[4]characters!$1:$1,0)+1,FALSE)</f>
        <v>ベヒモス</v>
      </c>
      <c r="AF12" s="4">
        <f ca="1">VLOOKUP($AD12,OFFSET([4]characters!$A$1,0,0,COUNTA([4]characters!$A:$A),MATCH(AF$1,[4]characters!$1:$1,0)-MATCH("character_id",[4]characters!$1:$1,0)+1),MATCH(AF$1,[4]characters!$1:$1,0)-MATCH("character_id",[4]characters!$1:$1,0)+1,FALSE)</f>
        <v>3</v>
      </c>
      <c r="AG12" s="4" t="str">
        <f ca="1">VLOOKUP($AD12,OFFSET([4]characters!$A$1,0,0,COUNTA([4]characters!$A:$A),MATCH(AG$1,[4]characters!$1:$1,0)-MATCH("character_id",[4]characters!$1:$1,0)+1),MATCH(AG$1,[4]characters!$1:$1,0)-MATCH("character_id",[4]characters!$1:$1,0)+1,FALSE)</f>
        <v>PremiumN</v>
      </c>
      <c r="AH12" s="7">
        <v>1</v>
      </c>
      <c r="AI12" s="24">
        <f t="shared" ca="1" si="9"/>
        <v>3</v>
      </c>
      <c r="AJ12" s="8">
        <v>0</v>
      </c>
      <c r="AK12" s="7">
        <v>0</v>
      </c>
      <c r="AL12" s="7">
        <v>0</v>
      </c>
      <c r="AM12" s="7">
        <v>0</v>
      </c>
      <c r="AN12" s="7">
        <v>0</v>
      </c>
      <c r="AO12" s="7">
        <v>1</v>
      </c>
      <c r="AP12" s="70">
        <v>1</v>
      </c>
    </row>
    <row r="13" spans="1:42" ht="21" customHeight="1" x14ac:dyDescent="0.15">
      <c r="A13" s="16" t="str">
        <f t="shared" si="5"/>
        <v>20020_2-3/57&lt;lv30&gt;s2</v>
      </c>
      <c r="B13" s="22">
        <v>20020</v>
      </c>
      <c r="C13" s="21">
        <v>2</v>
      </c>
      <c r="D13" s="2" t="str">
        <f t="shared" si="6"/>
        <v>20020_2</v>
      </c>
      <c r="E13" s="4" t="str">
        <f ca="1">VLOOKUP($B13,OFFSET([2]quests!$A$1,0,0,COUNTA([2]quests!$A:$A),MATCH(E$1,[2]quests!$1:$1,0)-MATCH($B$1,[2]quests!$1:$1,0)+1),MATCH(E$1,[2]quests!$1:$1,0)-MATCH($B$1,[2]quests!$1:$1,0)+1,FALSE)</f>
        <v>変幻自在の風</v>
      </c>
      <c r="F13" s="4" t="str">
        <f ca="1">VLOOKUP($D13,OFFSET([2]stages!$A$1,0,0,COUNTA([2]stages!$A:$A),MATCH(F$1,[2]stages!$2:$2,0)-MATCH($D$1,[2]stages!$2:$2,0)+1),MATCH(F$1,[2]stages!$2:$2,0)-MATCH($D$1,[2]stages!$2:$2,0)+1,FALSE)</f>
        <v>【中級】変幻自在の風</v>
      </c>
      <c r="G13" s="21">
        <v>3</v>
      </c>
      <c r="H13" s="15" t="str">
        <f t="shared" si="7"/>
        <v>20020_2-3</v>
      </c>
      <c r="I13" s="4">
        <f ca="1">VLOOKUP($H13,OFFSET(floors!$A$1,0,0,COUNTA(floors!$A:$A),MATCH(I$1,floors!$1:$1,0)-MATCH($H$1,floors!$1:$1,0)+1),MATCH(I$1,floors!$1:$1,0)-MATCH($H$1,floors!$1:$1,0)+1,FALSE)</f>
        <v>20</v>
      </c>
      <c r="J13" s="4">
        <f ca="1">VLOOKUP($H13,OFFSET(floors!$A$1,0,0,COUNTA(floors!$A:$A),MATCH(J$1,floors!$1:$1,0)-MATCH($H$1,floors!$1:$1,0)+1),MATCH(J$1,floors!$1:$1,0)-MATCH($H$1,floors!$1:$1,0)+1,FALSE)</f>
        <v>60</v>
      </c>
      <c r="K13" s="38" t="s">
        <v>53</v>
      </c>
      <c r="L13" s="20">
        <v>57</v>
      </c>
      <c r="M13" s="17" t="str">
        <f ca="1">VLOOKUP($L13,OFFSET([3]enemies!$A$1,0,0,COUNTA([3]enemies!$A:$A),MATCH(M$1,[3]enemies!$1:$1,0)-MATCH($L$1,[3]enemies!$1:$1,0)+1),MATCH(M$1,[3]enemies!$1:$1,0)-MATCH($L$1,[3]enemies!$1:$1,0)+1,FALSE)</f>
        <v>チェン・リー</v>
      </c>
      <c r="N13" s="17" t="str">
        <f ca="1">VLOOKUP($L13,OFFSET([3]enemies!$A$1,0,0,COUNTA([3]enemies!$A:$A),MATCH(N$1,[3]enemies!$1:$1,0)-MATCH($L$1,[3]enemies!$1:$1,0)+1),MATCH(N$1,[3]enemies!$1:$1,0)-MATCH($L$1,[3]enemies!$1:$1,0)+1,FALSE)</f>
        <v>red</v>
      </c>
      <c r="O13" s="17" t="str">
        <f ca="1">VLOOKUP($L13,OFFSET([4]characters!$A$1,0,0,COUNTA([4]characters!$A:$A),MATCH(O$1,[4]characters!$1:$1,0)-MATCH($L$1,[4]characters!$1:$1,0)+1),MATCH(O$1,[4]characters!$1:$1,0)-MATCH($L$1,[4]characters!$1:$1,0)+1,FALSE)</f>
        <v>Drop1N</v>
      </c>
      <c r="P13" s="17" t="str">
        <f ca="1">VLOOKUP($L13,OFFSET([3]enemies!$A$1,0,0,COUNTA([3]enemies!$A:$A),MATCH(P$1,[3]enemies!$1:$1,0)-MATCH($L$1,[3]enemies!$1:$1,0)+1),MATCH(P$1,[3]enemies!$1:$1,0)-MATCH($L$1,[3]enemies!$1:$1,0)+1,FALSE)</f>
        <v>animal</v>
      </c>
      <c r="Q13" s="17">
        <f ca="1">VLOOKUP($L13,OFFSET([3]enemies!$A$1,0,0,COUNTA([3]enemies!$A:$A),MATCH(Q$1,[3]enemies!$1:$1,0)-MATCH($L$1,[3]enemies!$1:$1,0)+1),MATCH(Q$1,[3]enemies!$1:$1,0)-MATCH($L$1,[3]enemies!$1:$1,0)+1,FALSE)</f>
        <v>15</v>
      </c>
      <c r="R13" s="114">
        <v>30</v>
      </c>
      <c r="S13" s="25">
        <v>1.5</v>
      </c>
      <c r="T13" s="104">
        <f ca="1">ROUND(VLOOKUP(R13,[3]enemy_base_stats!$A:$F,2,FALSE) *INDIRECT("[EnemyMasterData.xlsm]enemies!Y"&amp;(L13+1))*  INDIRECT("[EnemyMasterData.xlsm]enemies!J"&amp;(L13+1))* INDIRECT("[EnemyMasterData.xlsm]enemies!O"&amp;(L13+1))* INDIRECT("[EnemyMasterData.xlsm]enemies!E"&amp;(L13+1))* INDIRECT("[EnemyMasterData.xlsm]enemies!S"&amp;(L13+1))* INDIRECT("[EnemyMasterData.xlsm]enemies!AD"&amp;(L13+1))*[4]ステータス!$B$2,0)*S13</f>
        <v>9450</v>
      </c>
      <c r="U13" s="113">
        <v>0.6</v>
      </c>
      <c r="V13" s="104">
        <f ca="1">ROUND(VLOOKUP(R13,[3]enemy_base_stats!$A:$F,3,FALSE) *INDIRECT("[EnemyMasterData.xlsm]enemies!Z"&amp;(L13+1))*  INDIRECT("[EnemyMasterData.xlsm]enemies!K"&amp;(L13+1))* INDIRECT("[EnemyMasterData.xlsm]enemies!P"&amp;(L13+1))* INDIRECT("[EnemyMasterData.xlsm]enemies!F"&amp;(L13+1))* INDIRECT("[EnemyMasterData.xlsm]enemies!T"&amp;(L13+1))* INDIRECT("[EnemyMasterData.xlsm]enemies!AE"&amp;(L13+1))*[4]ステータス!$C$2,0)*U13</f>
        <v>1272.5999999999999</v>
      </c>
      <c r="W13" s="5">
        <v>0</v>
      </c>
      <c r="X13" s="4" t="str">
        <f ca="1">VLOOKUP($Y13,OFFSET(enemy_skill_sets!$B$1,0,0,COUNTA(enemy_skill_sets!$B:$B),MATCH(M$1,enemy_skill_sets!$1:$1,0)-MATCH($Y$1,enemy_skill_sets!$1:$1,0)+2),MATCH(M$1,enemy_skill_sets!$1:$1,0)-MATCH($Y$1,enemy_skill_sets!$1:$1,0)+2,FALSE)</f>
        <v>2回連続攻撃</v>
      </c>
      <c r="Y13" s="62">
        <v>20020004</v>
      </c>
      <c r="Z13" s="6">
        <v>2</v>
      </c>
      <c r="AA13" s="6">
        <v>100</v>
      </c>
      <c r="AB13" s="6">
        <v>0</v>
      </c>
      <c r="AC13" s="17">
        <v>2</v>
      </c>
      <c r="AD13" s="24">
        <f t="shared" si="8"/>
        <v>57</v>
      </c>
      <c r="AE13" s="4" t="str">
        <f ca="1">VLOOKUP($AD13,OFFSET([4]characters!$A$1,0,0,COUNTA([4]characters!$A:$A),MATCH(AE$1,[4]characters!$1:$1,0)-MATCH("character_id",[4]characters!$1:$1,0)+1),MATCH(AE$1,[4]characters!$1:$1,0)-MATCH("character_id",[4]characters!$1:$1,0)+1,FALSE)</f>
        <v>チェン・リー</v>
      </c>
      <c r="AF13" s="4">
        <f ca="1">VLOOKUP($AD13,OFFSET([4]characters!$A$1,0,0,COUNTA([4]characters!$A:$A),MATCH(AF$1,[4]characters!$1:$1,0)-MATCH("character_id",[4]characters!$1:$1,0)+1),MATCH(AF$1,[4]characters!$1:$1,0)-MATCH("character_id",[4]characters!$1:$1,0)+1,FALSE)</f>
        <v>2</v>
      </c>
      <c r="AG13" s="4" t="str">
        <f ca="1">VLOOKUP($AD13,OFFSET([4]characters!$A$1,0,0,COUNTA([4]characters!$A:$A),MATCH(AG$1,[4]characters!$1:$1,0)-MATCH("character_id",[4]characters!$1:$1,0)+1),MATCH(AG$1,[4]characters!$1:$1,0)-MATCH("character_id",[4]characters!$1:$1,0)+1,FALSE)</f>
        <v>Drop1N</v>
      </c>
      <c r="AH13" s="7">
        <v>1</v>
      </c>
      <c r="AI13" s="24">
        <f t="shared" ca="1" si="9"/>
        <v>2</v>
      </c>
      <c r="AJ13" s="8">
        <v>0</v>
      </c>
      <c r="AK13" s="7">
        <v>0</v>
      </c>
      <c r="AL13" s="7">
        <v>0</v>
      </c>
      <c r="AM13" s="7">
        <v>0</v>
      </c>
      <c r="AN13" s="7">
        <v>0</v>
      </c>
      <c r="AO13" s="7">
        <v>1</v>
      </c>
      <c r="AP13" s="70">
        <v>1</v>
      </c>
    </row>
    <row r="14" spans="1:42" ht="21" customHeight="1" x14ac:dyDescent="0.15">
      <c r="A14" s="16" t="str">
        <f t="shared" si="5"/>
        <v>20020_2-3/161&lt;lv30&gt;s2</v>
      </c>
      <c r="B14" s="22">
        <v>20020</v>
      </c>
      <c r="C14" s="21">
        <v>2</v>
      </c>
      <c r="D14" s="2" t="str">
        <f t="shared" si="6"/>
        <v>20020_2</v>
      </c>
      <c r="E14" s="4" t="str">
        <f ca="1">VLOOKUP($B14,OFFSET([2]quests!$A$1,0,0,COUNTA([2]quests!$A:$A),MATCH(E$1,[2]quests!$1:$1,0)-MATCH($B$1,[2]quests!$1:$1,0)+1),MATCH(E$1,[2]quests!$1:$1,0)-MATCH($B$1,[2]quests!$1:$1,0)+1,FALSE)</f>
        <v>変幻自在の風</v>
      </c>
      <c r="F14" s="4" t="str">
        <f ca="1">VLOOKUP($D14,OFFSET([2]stages!$A$1,0,0,COUNTA([2]stages!$A:$A),MATCH(F$1,[2]stages!$2:$2,0)-MATCH($D$1,[2]stages!$2:$2,0)+1),MATCH(F$1,[2]stages!$2:$2,0)-MATCH($D$1,[2]stages!$2:$2,0)+1,FALSE)</f>
        <v>【中級】変幻自在の風</v>
      </c>
      <c r="G14" s="21">
        <v>3</v>
      </c>
      <c r="H14" s="15" t="str">
        <f t="shared" si="7"/>
        <v>20020_2-3</v>
      </c>
      <c r="I14" s="4">
        <f ca="1">VLOOKUP($H14,OFFSET(floors!$A$1,0,0,COUNTA(floors!$A:$A),MATCH(I$1,floors!$1:$1,0)-MATCH($H$1,floors!$1:$1,0)+1),MATCH(I$1,floors!$1:$1,0)-MATCH($H$1,floors!$1:$1,0)+1,FALSE)</f>
        <v>20</v>
      </c>
      <c r="J14" s="4">
        <f ca="1">VLOOKUP($H14,OFFSET(floors!$A$1,0,0,COUNTA(floors!$A:$A),MATCH(J$1,floors!$1:$1,0)-MATCH($H$1,floors!$1:$1,0)+1),MATCH(J$1,floors!$1:$1,0)-MATCH($H$1,floors!$1:$1,0)+1,FALSE)</f>
        <v>60</v>
      </c>
      <c r="K14" s="38" t="s">
        <v>53</v>
      </c>
      <c r="L14" s="20">
        <v>161</v>
      </c>
      <c r="M14" s="17" t="str">
        <f ca="1">VLOOKUP($L14,OFFSET([3]enemies!$A$1,0,0,COUNTA([3]enemies!$A:$A),MATCH(M$1,[3]enemies!$1:$1,0)-MATCH($L$1,[3]enemies!$1:$1,0)+1),MATCH(M$1,[3]enemies!$1:$1,0)-MATCH($L$1,[3]enemies!$1:$1,0)+1,FALSE)</f>
        <v>咆哮の先導者 クリエ</v>
      </c>
      <c r="N14" s="17" t="str">
        <f ca="1">VLOOKUP($L14,OFFSET([3]enemies!$A$1,0,0,COUNTA([3]enemies!$A:$A),MATCH(N$1,[3]enemies!$1:$1,0)-MATCH($L$1,[3]enemies!$1:$1,0)+1),MATCH(N$1,[3]enemies!$1:$1,0)-MATCH($L$1,[3]enemies!$1:$1,0)+1,FALSE)</f>
        <v>green</v>
      </c>
      <c r="O14" s="17" t="str">
        <f ca="1">VLOOKUP($L14,OFFSET([4]characters!$A$1,0,0,COUNTA([4]characters!$A:$A),MATCH(O$1,[4]characters!$1:$1,0)-MATCH($L$1,[4]characters!$1:$1,0)+1),MATCH(O$1,[4]characters!$1:$1,0)-MATCH($L$1,[4]characters!$1:$1,0)+1,FALSE)</f>
        <v>PremiumW</v>
      </c>
      <c r="P14" s="17" t="str">
        <f ca="1">VLOOKUP($L14,OFFSET([3]enemies!$A$1,0,0,COUNTA([3]enemies!$A:$A),MATCH(P$1,[3]enemies!$1:$1,0)-MATCH($L$1,[3]enemies!$1:$1,0)+1),MATCH(P$1,[3]enemies!$1:$1,0)-MATCH($L$1,[3]enemies!$1:$1,0)+1,FALSE)</f>
        <v>human</v>
      </c>
      <c r="Q14" s="17">
        <f ca="1">VLOOKUP($L14,OFFSET([3]enemies!$A$1,0,0,COUNTA([3]enemies!$A:$A),MATCH(Q$1,[3]enemies!$1:$1,0)-MATCH($L$1,[3]enemies!$1:$1,0)+1),MATCH(Q$1,[3]enemies!$1:$1,0)-MATCH($L$1,[3]enemies!$1:$1,0)+1,FALSE)</f>
        <v>30</v>
      </c>
      <c r="R14" s="114">
        <v>30</v>
      </c>
      <c r="S14" s="25">
        <v>1</v>
      </c>
      <c r="T14" s="104">
        <f ca="1">ROUND(VLOOKUP(R14,[3]enemy_base_stats!$A:$F,2,FALSE) *INDIRECT("[EnemyMasterData.xlsm]enemies!Y"&amp;(L14+1))*  INDIRECT("[EnemyMasterData.xlsm]enemies!J"&amp;(L14+1))* INDIRECT("[EnemyMasterData.xlsm]enemies!O"&amp;(L14+1))* INDIRECT("[EnemyMasterData.xlsm]enemies!E"&amp;(L14+1))* INDIRECT("[EnemyMasterData.xlsm]enemies!S"&amp;(L14+1))* INDIRECT("[EnemyMasterData.xlsm]enemies!AD"&amp;(L14+1))*[4]ステータス!$B$2,0)*S14</f>
        <v>58894</v>
      </c>
      <c r="U14" s="113">
        <v>0.8</v>
      </c>
      <c r="V14" s="104">
        <f ca="1">ROUND(VLOOKUP(R14,[3]enemy_base_stats!$A:$F,3,FALSE) *INDIRECT("[EnemyMasterData.xlsm]enemies!Z"&amp;(L14+1))*  INDIRECT("[EnemyMasterData.xlsm]enemies!K"&amp;(L14+1))* INDIRECT("[EnemyMasterData.xlsm]enemies!P"&amp;(L14+1))* INDIRECT("[EnemyMasterData.xlsm]enemies!F"&amp;(L14+1))* INDIRECT("[EnemyMasterData.xlsm]enemies!T"&amp;(L14+1))* INDIRECT("[EnemyMasterData.xlsm]enemies!AE"&amp;(L14+1))*[4]ステータス!$C$2,0)*U14</f>
        <v>1907.2</v>
      </c>
      <c r="W14" s="5">
        <v>0</v>
      </c>
      <c r="X14" s="4" t="str">
        <f ca="1">VLOOKUP($Y14,OFFSET(enemy_skill_sets!$B$1,0,0,COUNTA(enemy_skill_sets!$B:$B),MATCH(M$1,enemy_skill_sets!$1:$1,0)-MATCH($Y$1,enemy_skill_sets!$1:$1,0)+2),MATCH(M$1,enemy_skill_sets!$1:$1,0)-MATCH($Y$1,enemy_skill_sets!$1:$1,0)+2,FALSE)</f>
        <v>2ターン敵の種族アニマルの攻撃頻度UP</v>
      </c>
      <c r="Y14" s="62">
        <v>20020005</v>
      </c>
      <c r="Z14" s="6">
        <v>1</v>
      </c>
      <c r="AA14" s="6">
        <v>100</v>
      </c>
      <c r="AB14" s="6">
        <v>1</v>
      </c>
      <c r="AC14" s="17">
        <v>2</v>
      </c>
      <c r="AD14" s="24">
        <f t="shared" si="8"/>
        <v>161</v>
      </c>
      <c r="AE14" s="4" t="str">
        <f ca="1">VLOOKUP($AD14,OFFSET([4]characters!$A$1,0,0,COUNTA([4]characters!$A:$A),MATCH(AE$1,[4]characters!$1:$1,0)-MATCH("character_id",[4]characters!$1:$1,0)+1),MATCH(AE$1,[4]characters!$1:$1,0)-MATCH("character_id",[4]characters!$1:$1,0)+1,FALSE)</f>
        <v>咆哮の先導者 クリエ</v>
      </c>
      <c r="AF14" s="4">
        <f ca="1">VLOOKUP($AD14,OFFSET([4]characters!$A$1,0,0,COUNTA([4]characters!$A:$A),MATCH(AF$1,[4]characters!$1:$1,0)-MATCH("character_id",[4]characters!$1:$1,0)+1),MATCH(AF$1,[4]characters!$1:$1,0)-MATCH("character_id",[4]characters!$1:$1,0)+1,FALSE)</f>
        <v>4</v>
      </c>
      <c r="AG14" s="4" t="str">
        <f ca="1">VLOOKUP($AD14,OFFSET([4]characters!$A$1,0,0,COUNTA([4]characters!$A:$A),MATCH(AG$1,[4]characters!$1:$1,0)-MATCH("character_id",[4]characters!$1:$1,0)+1),MATCH(AG$1,[4]characters!$1:$1,0)-MATCH("character_id",[4]characters!$1:$1,0)+1,FALSE)</f>
        <v>PremiumW</v>
      </c>
      <c r="AH14" s="7">
        <v>1</v>
      </c>
      <c r="AI14" s="24">
        <f t="shared" ca="1" si="9"/>
        <v>4</v>
      </c>
      <c r="AJ14" s="8">
        <v>0</v>
      </c>
      <c r="AK14" s="7">
        <v>0</v>
      </c>
      <c r="AL14" s="7">
        <v>0</v>
      </c>
      <c r="AM14" s="7">
        <v>0</v>
      </c>
      <c r="AN14" s="7">
        <v>0</v>
      </c>
      <c r="AO14" s="7">
        <v>1</v>
      </c>
      <c r="AP14" s="70">
        <v>1</v>
      </c>
    </row>
    <row r="15" spans="1:42" ht="21" customHeight="1" x14ac:dyDescent="0.15">
      <c r="A15" s="16" t="str">
        <f t="shared" si="5"/>
        <v>20020_2-4/1059&lt;lv30&gt;s2</v>
      </c>
      <c r="B15" s="22">
        <v>20020</v>
      </c>
      <c r="C15" s="21">
        <v>2</v>
      </c>
      <c r="D15" s="2" t="str">
        <f t="shared" si="6"/>
        <v>20020_2</v>
      </c>
      <c r="E15" s="4" t="str">
        <f ca="1">VLOOKUP($B15,OFFSET([2]quests!$A$1,0,0,COUNTA([2]quests!$A:$A),MATCH(E$1,[2]quests!$1:$1,0)-MATCH($B$1,[2]quests!$1:$1,0)+1),MATCH(E$1,[2]quests!$1:$1,0)-MATCH($B$1,[2]quests!$1:$1,0)+1,FALSE)</f>
        <v>変幻自在の風</v>
      </c>
      <c r="F15" s="4" t="str">
        <f ca="1">VLOOKUP($D15,OFFSET([2]stages!$A$1,0,0,COUNTA([2]stages!$A:$A),MATCH(F$1,[2]stages!$2:$2,0)-MATCH($D$1,[2]stages!$2:$2,0)+1),MATCH(F$1,[2]stages!$2:$2,0)-MATCH($D$1,[2]stages!$2:$2,0)+1,FALSE)</f>
        <v>【中級】変幻自在の風</v>
      </c>
      <c r="G15" s="21">
        <v>4</v>
      </c>
      <c r="H15" s="15" t="str">
        <f t="shared" si="7"/>
        <v>20020_2-4</v>
      </c>
      <c r="I15" s="4">
        <f ca="1">VLOOKUP($H15,OFFSET(floors!$A$1,0,0,COUNTA(floors!$A:$A),MATCH(I$1,floors!$1:$1,0)-MATCH($H$1,floors!$1:$1,0)+1),MATCH(I$1,floors!$1:$1,0)-MATCH($H$1,floors!$1:$1,0)+1,FALSE)</f>
        <v>60</v>
      </c>
      <c r="J15" s="4">
        <f ca="1">VLOOKUP($H15,OFFSET(floors!$A$1,0,0,COUNTA(floors!$A:$A),MATCH(J$1,floors!$1:$1,0)-MATCH($H$1,floors!$1:$1,0)+1),MATCH(J$1,floors!$1:$1,0)-MATCH($H$1,floors!$1:$1,0)+1,FALSE)</f>
        <v>60</v>
      </c>
      <c r="K15" s="38">
        <v>1</v>
      </c>
      <c r="L15" s="20">
        <v>1059</v>
      </c>
      <c r="M15" s="17" t="str">
        <f ca="1">VLOOKUP($L15,OFFSET([3]enemies!$A$1,0,0,COUNTA([3]enemies!$A:$A),MATCH(M$1,[3]enemies!$1:$1,0)-MATCH($L$1,[3]enemies!$1:$1,0)+1),MATCH(M$1,[3]enemies!$1:$1,0)-MATCH($L$1,[3]enemies!$1:$1,0)+1,FALSE)</f>
        <v>パズズ</v>
      </c>
      <c r="N15" s="17" t="str">
        <f ca="1">VLOOKUP($L15,OFFSET([3]enemies!$A$1,0,0,COUNTA([3]enemies!$A:$A),MATCH(N$1,[3]enemies!$1:$1,0)-MATCH($L$1,[3]enemies!$1:$1,0)+1),MATCH(N$1,[3]enemies!$1:$1,0)-MATCH($L$1,[3]enemies!$1:$1,0)+1,FALSE)</f>
        <v>green</v>
      </c>
      <c r="O15" s="17" t="str">
        <f ca="1">VLOOKUP($L15,OFFSET([4]characters!$A$1,0,0,COUNTA([4]characters!$A:$A),MATCH(O$1,[4]characters!$1:$1,0)-MATCH($L$1,[4]characters!$1:$1,0)+1),MATCH(O$1,[4]characters!$1:$1,0)-MATCH($L$1,[4]characters!$1:$1,0)+1,FALSE)</f>
        <v>Drop2N</v>
      </c>
      <c r="P15" s="17" t="str">
        <f ca="1">VLOOKUP($L15,OFFSET([3]enemies!$A$1,0,0,COUNTA([3]enemies!$A:$A),MATCH(P$1,[3]enemies!$1:$1,0)-MATCH($L$1,[3]enemies!$1:$1,0)+1),MATCH(P$1,[3]enemies!$1:$1,0)-MATCH($L$1,[3]enemies!$1:$1,0)+1,FALSE)</f>
        <v>god</v>
      </c>
      <c r="Q15" s="17">
        <f ca="1">VLOOKUP($L15,OFFSET([3]enemies!$A$1,0,0,COUNTA([3]enemies!$A:$A),MATCH(Q$1,[3]enemies!$1:$1,0)-MATCH($L$1,[3]enemies!$1:$1,0)+1),MATCH(Q$1,[3]enemies!$1:$1,0)-MATCH($L$1,[3]enemies!$1:$1,0)+1,FALSE)</f>
        <v>30</v>
      </c>
      <c r="R15" s="114">
        <v>30</v>
      </c>
      <c r="S15" s="25">
        <v>2.2000000000000002</v>
      </c>
      <c r="T15" s="104">
        <f ca="1">ROUND(VLOOKUP(R15,[3]enemy_base_stats!$A:$F,2,FALSE) *INDIRECT("[EnemyMasterData.xlsm]enemies!Y"&amp;(L15+1))*  INDIRECT("[EnemyMasterData.xlsm]enemies!J"&amp;(L15+1))* INDIRECT("[EnemyMasterData.xlsm]enemies!O"&amp;(L15+1))* INDIRECT("[EnemyMasterData.xlsm]enemies!E"&amp;(L15+1))* INDIRECT("[EnemyMasterData.xlsm]enemies!S"&amp;(L15+1))* INDIRECT("[EnemyMasterData.xlsm]enemies!AD"&amp;(L15+1))*[4]ステータス!$B$2,0)*S15</f>
        <v>88215.6</v>
      </c>
      <c r="U15" s="113">
        <v>0.9</v>
      </c>
      <c r="V15" s="104">
        <f ca="1">ROUND(VLOOKUP(R15,[3]enemy_base_stats!$A:$F,3,FALSE) *INDIRECT("[EnemyMasterData.xlsm]enemies!Z"&amp;(L15+1))*  INDIRECT("[EnemyMasterData.xlsm]enemies!K"&amp;(L15+1))* INDIRECT("[EnemyMasterData.xlsm]enemies!P"&amp;(L15+1))* INDIRECT("[EnemyMasterData.xlsm]enemies!F"&amp;(L15+1))* INDIRECT("[EnemyMasterData.xlsm]enemies!T"&amp;(L15+1))* INDIRECT("[EnemyMasterData.xlsm]enemies!AE"&amp;(L15+1))*[4]ステータス!$C$2,0)*U15</f>
        <v>2873.7000000000003</v>
      </c>
      <c r="W15" s="5">
        <v>0</v>
      </c>
      <c r="X15" s="4" t="str">
        <f ca="1">VLOOKUP($Y15,OFFSET(enemy_skill_sets!$B$1,0,0,COUNTA(enemy_skill_sets!$B:$B),MATCH(M$1,enemy_skill_sets!$1:$1,0)-MATCH($Y$1,enemy_skill_sets!$1:$1,0)+2),MATCH(M$1,enemy_skill_sets!$1:$1,0)-MATCH($Y$1,enemy_skill_sets!$1:$1,0)+2,FALSE)</f>
        <v>ボッコボコにしてやんよ！</v>
      </c>
      <c r="Y15" s="62">
        <v>20020006</v>
      </c>
      <c r="Z15" s="6">
        <v>1</v>
      </c>
      <c r="AA15" s="6">
        <v>100</v>
      </c>
      <c r="AB15" s="6">
        <v>1</v>
      </c>
      <c r="AC15" s="17">
        <v>2</v>
      </c>
      <c r="AD15" s="24">
        <f t="shared" si="8"/>
        <v>1059</v>
      </c>
      <c r="AE15" s="4" t="str">
        <f ca="1">VLOOKUP($AD15,OFFSET([4]characters!$A$1,0,0,COUNTA([4]characters!$A:$A),MATCH(AE$1,[4]characters!$1:$1,0)-MATCH("character_id",[4]characters!$1:$1,0)+1),MATCH(AE$1,[4]characters!$1:$1,0)-MATCH("character_id",[4]characters!$1:$1,0)+1,FALSE)</f>
        <v>パズズ</v>
      </c>
      <c r="AF15" s="4">
        <f ca="1">VLOOKUP($AD15,OFFSET([4]characters!$A$1,0,0,COUNTA([4]characters!$A:$A),MATCH(AF$1,[4]characters!$1:$1,0)-MATCH("character_id",[4]characters!$1:$1,0)+1),MATCH(AF$1,[4]characters!$1:$1,0)-MATCH("character_id",[4]characters!$1:$1,0)+1,FALSE)</f>
        <v>4</v>
      </c>
      <c r="AG15" s="4" t="str">
        <f ca="1">VLOOKUP($AD15,OFFSET([4]characters!$A$1,0,0,COUNTA([4]characters!$A:$A),MATCH(AG$1,[4]characters!$1:$1,0)-MATCH("character_id",[4]characters!$1:$1,0)+1),MATCH(AG$1,[4]characters!$1:$1,0)-MATCH("character_id",[4]characters!$1:$1,0)+1,FALSE)</f>
        <v>Drop2N</v>
      </c>
      <c r="AH15" s="7">
        <v>1</v>
      </c>
      <c r="AI15" s="24">
        <f t="shared" ca="1" si="9"/>
        <v>4</v>
      </c>
      <c r="AJ15" s="8">
        <v>50</v>
      </c>
      <c r="AK15" s="7">
        <v>0</v>
      </c>
      <c r="AL15" s="7">
        <v>0</v>
      </c>
      <c r="AM15" s="7">
        <v>0</v>
      </c>
      <c r="AN15" s="7">
        <v>0</v>
      </c>
      <c r="AO15" s="7">
        <v>1</v>
      </c>
      <c r="AP15" s="70">
        <v>1</v>
      </c>
    </row>
    <row r="16" spans="1:42" ht="21" customHeight="1" x14ac:dyDescent="0.15">
      <c r="A16" s="16" t="str">
        <f t="shared" ref="A16:A22" si="10">B16&amp;"_"&amp;C16&amp;"-"&amp;G16&amp;"/"&amp;L16&amp;"&lt;lv"&amp;R16&amp;"&gt;s"&amp;AC16</f>
        <v>20020_1-1/362&lt;lv15&gt;s2</v>
      </c>
      <c r="B16" s="22">
        <v>20020</v>
      </c>
      <c r="C16" s="21">
        <v>1</v>
      </c>
      <c r="D16" s="2" t="str">
        <f t="shared" ref="D16:D22" si="11">B16&amp;"_"&amp;C16</f>
        <v>20020_1</v>
      </c>
      <c r="E16" s="4" t="str">
        <f ca="1">VLOOKUP($B16,OFFSET([2]quests!$A$1,0,0,COUNTA([2]quests!$A:$A),MATCH(E$1,[2]quests!$1:$1,0)-MATCH($B$1,[2]quests!$1:$1,0)+1),MATCH(E$1,[2]quests!$1:$1,0)-MATCH($B$1,[2]quests!$1:$1,0)+1,FALSE)</f>
        <v>変幻自在の風</v>
      </c>
      <c r="F16" s="4" t="str">
        <f ca="1">VLOOKUP($D16,OFFSET([2]stages!$A$1,0,0,COUNTA([2]stages!$A:$A),MATCH(F$1,[2]stages!$2:$2,0)-MATCH($D$1,[2]stages!$2:$2,0)+1),MATCH(F$1,[2]stages!$2:$2,0)-MATCH($D$1,[2]stages!$2:$2,0)+1,FALSE)</f>
        <v>【初級】変幻自在の風</v>
      </c>
      <c r="G16" s="21">
        <v>1</v>
      </c>
      <c r="H16" s="15" t="str">
        <f t="shared" ref="H16:H22" si="12">B16&amp;"_"&amp;C16&amp;"-"&amp;G16</f>
        <v>20020_1-1</v>
      </c>
      <c r="I16" s="4">
        <f ca="1">VLOOKUP($H16,OFFSET(floors!$A$1,0,0,COUNTA(floors!$A:$A),MATCH(I$1,floors!$1:$1,0)-MATCH($H$1,floors!$1:$1,0)+1),MATCH(I$1,floors!$1:$1,0)-MATCH($H$1,floors!$1:$1,0)+1,FALSE)</f>
        <v>60</v>
      </c>
      <c r="J16" s="4">
        <f ca="1">VLOOKUP($H16,OFFSET(floors!$A$1,0,0,COUNTA(floors!$A:$A),MATCH(J$1,floors!$1:$1,0)-MATCH($H$1,floors!$1:$1,0)+1),MATCH(J$1,floors!$1:$1,0)-MATCH($H$1,floors!$1:$1,0)+1,FALSE)</f>
        <v>60</v>
      </c>
      <c r="K16" s="38" t="s">
        <v>53</v>
      </c>
      <c r="L16" s="20">
        <v>362</v>
      </c>
      <c r="M16" s="17" t="str">
        <f ca="1">VLOOKUP($L16,OFFSET([3]enemies!$A$1,0,0,COUNTA([3]enemies!$A:$A),MATCH(M$1,[3]enemies!$1:$1,0)-MATCH($L$1,[3]enemies!$1:$1,0)+1),MATCH(M$1,[3]enemies!$1:$1,0)-MATCH($L$1,[3]enemies!$1:$1,0)+1,FALSE)</f>
        <v>ゆらら</v>
      </c>
      <c r="N16" s="17" t="str">
        <f ca="1">VLOOKUP($L16,OFFSET([3]enemies!$A$1,0,0,COUNTA([3]enemies!$A:$A),MATCH(N$1,[3]enemies!$1:$1,0)-MATCH($L$1,[3]enemies!$1:$1,0)+1),MATCH(N$1,[3]enemies!$1:$1,0)-MATCH($L$1,[3]enemies!$1:$1,0)+1,FALSE)</f>
        <v>green</v>
      </c>
      <c r="O16" s="17" t="str">
        <f ca="1">VLOOKUP($L16,OFFSET([4]characters!$A$1,0,0,COUNTA([4]characters!$A:$A),MATCH(O$1,[4]characters!$1:$1,0)-MATCH($L$1,[4]characters!$1:$1,0)+1),MATCH(O$1,[4]characters!$1:$1,0)-MATCH($L$1,[4]characters!$1:$1,0)+1,FALSE)</f>
        <v>Drop1S</v>
      </c>
      <c r="P16" s="17" t="str">
        <f ca="1">VLOOKUP($L16,OFFSET([3]enemies!$A$1,0,0,COUNTA([3]enemies!$A:$A),MATCH(P$1,[3]enemies!$1:$1,0)-MATCH($L$1,[3]enemies!$1:$1,0)+1),MATCH(P$1,[3]enemies!$1:$1,0)-MATCH($L$1,[3]enemies!$1:$1,0)+1,FALSE)</f>
        <v>animal</v>
      </c>
      <c r="Q16" s="17">
        <f ca="1">VLOOKUP($L16,OFFSET([3]enemies!$A$1,0,0,COUNTA([3]enemies!$A:$A),MATCH(Q$1,[3]enemies!$1:$1,0)-MATCH($L$1,[3]enemies!$1:$1,0)+1),MATCH(Q$1,[3]enemies!$1:$1,0)-MATCH($L$1,[3]enemies!$1:$1,0)+1,FALSE)</f>
        <v>15</v>
      </c>
      <c r="R16" s="115">
        <v>15</v>
      </c>
      <c r="S16" s="25">
        <v>1.6</v>
      </c>
      <c r="T16" s="104">
        <f ca="1">ROUND(VLOOKUP(R16,[3]enemy_base_stats!$A:$F,2,FALSE) *INDIRECT("[EnemyMasterData.xlsm]enemies!Y"&amp;(L16+1))*  INDIRECT("[EnemyMasterData.xlsm]enemies!J"&amp;(L16+1))* INDIRECT("[EnemyMasterData.xlsm]enemies!O"&amp;(L16+1))* INDIRECT("[EnemyMasterData.xlsm]enemies!E"&amp;(L16+1))* INDIRECT("[EnemyMasterData.xlsm]enemies!S"&amp;(L16+1))* INDIRECT("[EnemyMasterData.xlsm]enemies!AD"&amp;(L16+1))*[4]ステータス!$B$2,0)*S16</f>
        <v>4846.4000000000005</v>
      </c>
      <c r="U16" s="116">
        <v>0.7</v>
      </c>
      <c r="V16" s="104">
        <f ca="1">ROUND(VLOOKUP(R16,[3]enemy_base_stats!$A:$F,3,FALSE) *INDIRECT("[EnemyMasterData.xlsm]enemies!Z"&amp;(L16+1))*  INDIRECT("[EnemyMasterData.xlsm]enemies!K"&amp;(L16+1))* INDIRECT("[EnemyMasterData.xlsm]enemies!P"&amp;(L16+1))* INDIRECT("[EnemyMasterData.xlsm]enemies!F"&amp;(L16+1))* INDIRECT("[EnemyMasterData.xlsm]enemies!T"&amp;(L16+1))* INDIRECT("[EnemyMasterData.xlsm]enemies!AE"&amp;(L16+1))*[4]ステータス!$C$2,0)*U16</f>
        <v>672</v>
      </c>
      <c r="W16" s="5">
        <v>0</v>
      </c>
      <c r="X16" s="4" t="e">
        <f ca="1">VLOOKUP($Y16,OFFSET(enemy_skill_sets!$B$1,0,0,COUNTA(enemy_skill_sets!$B:$B),MATCH(M$1,enemy_skill_sets!$1:$1,0)-MATCH($Y$1,enemy_skill_sets!$1:$1,0)+2),MATCH(M$1,enemy_skill_sets!$1:$1,0)-MATCH($Y$1,enemy_skill_sets!$1:$1,0)+2,FALSE)</f>
        <v>#N/A</v>
      </c>
      <c r="Y16" s="62">
        <v>0</v>
      </c>
      <c r="Z16" s="6">
        <v>2</v>
      </c>
      <c r="AA16" s="6">
        <v>100</v>
      </c>
      <c r="AB16" s="6">
        <v>0</v>
      </c>
      <c r="AC16" s="17">
        <v>2</v>
      </c>
      <c r="AD16" s="24">
        <f t="shared" ref="AD16:AD22" si="13">L16</f>
        <v>362</v>
      </c>
      <c r="AE16" s="4" t="str">
        <f ca="1">VLOOKUP($AD16,OFFSET([4]characters!$A$1,0,0,COUNTA([4]characters!$A:$A),MATCH(AE$1,[4]characters!$1:$1,0)-MATCH("character_id",[4]characters!$1:$1,0)+1),MATCH(AE$1,[4]characters!$1:$1,0)-MATCH("character_id",[4]characters!$1:$1,0)+1,FALSE)</f>
        <v>ゆらら</v>
      </c>
      <c r="AF16" s="4">
        <f ca="1">VLOOKUP($AD16,OFFSET([4]characters!$A$1,0,0,COUNTA([4]characters!$A:$A),MATCH(AF$1,[4]characters!$1:$1,0)-MATCH("character_id",[4]characters!$1:$1,0)+1),MATCH(AF$1,[4]characters!$1:$1,0)-MATCH("character_id",[4]characters!$1:$1,0)+1,FALSE)</f>
        <v>2</v>
      </c>
      <c r="AG16" s="4" t="str">
        <f ca="1">VLOOKUP($AD16,OFFSET([4]characters!$A$1,0,0,COUNTA([4]characters!$A:$A),MATCH(AG$1,[4]characters!$1:$1,0)-MATCH("character_id",[4]characters!$1:$1,0)+1),MATCH(AG$1,[4]characters!$1:$1,0)-MATCH("character_id",[4]characters!$1:$1,0)+1,FALSE)</f>
        <v>Drop1S</v>
      </c>
      <c r="AH16" s="7">
        <v>1</v>
      </c>
      <c r="AI16" s="24">
        <f t="shared" ref="AI16:AI22" ca="1" si="14">AF16</f>
        <v>2</v>
      </c>
      <c r="AJ16" s="8">
        <v>0</v>
      </c>
      <c r="AK16" s="7">
        <v>0</v>
      </c>
      <c r="AL16" s="7">
        <v>0</v>
      </c>
      <c r="AM16" s="7">
        <v>0</v>
      </c>
      <c r="AN16" s="7">
        <v>0</v>
      </c>
      <c r="AO16" s="7">
        <v>1</v>
      </c>
      <c r="AP16" s="70">
        <v>1</v>
      </c>
    </row>
    <row r="17" spans="1:42" ht="21" customHeight="1" x14ac:dyDescent="0.15">
      <c r="A17" s="16" t="str">
        <f t="shared" si="10"/>
        <v>20020_1-1/366&lt;lv13&gt;s2</v>
      </c>
      <c r="B17" s="22">
        <v>20020</v>
      </c>
      <c r="C17" s="21">
        <v>1</v>
      </c>
      <c r="D17" s="2" t="str">
        <f t="shared" si="11"/>
        <v>20020_1</v>
      </c>
      <c r="E17" s="4" t="str">
        <f ca="1">VLOOKUP($B17,OFFSET([2]quests!$A$1,0,0,COUNTA([2]quests!$A:$A),MATCH(E$1,[2]quests!$1:$1,0)-MATCH($B$1,[2]quests!$1:$1,0)+1),MATCH(E$1,[2]quests!$1:$1,0)-MATCH($B$1,[2]quests!$1:$1,0)+1,FALSE)</f>
        <v>変幻自在の風</v>
      </c>
      <c r="F17" s="4" t="str">
        <f ca="1">VLOOKUP($D17,OFFSET([2]stages!$A$1,0,0,COUNTA([2]stages!$A:$A),MATCH(F$1,[2]stages!$2:$2,0)-MATCH($D$1,[2]stages!$2:$2,0)+1),MATCH(F$1,[2]stages!$2:$2,0)-MATCH($D$1,[2]stages!$2:$2,0)+1,FALSE)</f>
        <v>【初級】変幻自在の風</v>
      </c>
      <c r="G17" s="21">
        <v>1</v>
      </c>
      <c r="H17" s="15" t="str">
        <f t="shared" si="12"/>
        <v>20020_1-1</v>
      </c>
      <c r="I17" s="4">
        <f ca="1">VLOOKUP($H17,OFFSET(floors!$A$1,0,0,COUNTA(floors!$A:$A),MATCH(I$1,floors!$1:$1,0)-MATCH($H$1,floors!$1:$1,0)+1),MATCH(I$1,floors!$1:$1,0)-MATCH($H$1,floors!$1:$1,0)+1,FALSE)</f>
        <v>60</v>
      </c>
      <c r="J17" s="4">
        <f ca="1">VLOOKUP($H17,OFFSET(floors!$A$1,0,0,COUNTA(floors!$A:$A),MATCH(J$1,floors!$1:$1,0)-MATCH($H$1,floors!$1:$1,0)+1),MATCH(J$1,floors!$1:$1,0)-MATCH($H$1,floors!$1:$1,0)+1,FALSE)</f>
        <v>60</v>
      </c>
      <c r="K17" s="38" t="s">
        <v>53</v>
      </c>
      <c r="L17" s="20">
        <v>366</v>
      </c>
      <c r="M17" s="17" t="str">
        <f ca="1">VLOOKUP($L17,OFFSET([3]enemies!$A$1,0,0,COUNTA([3]enemies!$A:$A),MATCH(M$1,[3]enemies!$1:$1,0)-MATCH($L$1,[3]enemies!$1:$1,0)+1),MATCH(M$1,[3]enemies!$1:$1,0)-MATCH($L$1,[3]enemies!$1:$1,0)+1,FALSE)</f>
        <v>トト</v>
      </c>
      <c r="N17" s="17" t="str">
        <f ca="1">VLOOKUP($L17,OFFSET([3]enemies!$A$1,0,0,COUNTA([3]enemies!$A:$A),MATCH(N$1,[3]enemies!$1:$1,0)-MATCH($L$1,[3]enemies!$1:$1,0)+1),MATCH(N$1,[3]enemies!$1:$1,0)-MATCH($L$1,[3]enemies!$1:$1,0)+1,FALSE)</f>
        <v>yellow</v>
      </c>
      <c r="O17" s="17" t="str">
        <f ca="1">VLOOKUP($L17,OFFSET([4]characters!$A$1,0,0,COUNTA([4]characters!$A:$A),MATCH(O$1,[4]characters!$1:$1,0)-MATCH($L$1,[4]characters!$1:$1,0)+1),MATCH(O$1,[4]characters!$1:$1,0)-MATCH($L$1,[4]characters!$1:$1,0)+1,FALSE)</f>
        <v>Drop1S</v>
      </c>
      <c r="P17" s="17" t="str">
        <f ca="1">VLOOKUP($L17,OFFSET([3]enemies!$A$1,0,0,COUNTA([3]enemies!$A:$A),MATCH(P$1,[3]enemies!$1:$1,0)-MATCH($L$1,[3]enemies!$1:$1,0)+1),MATCH(P$1,[3]enemies!$1:$1,0)-MATCH($L$1,[3]enemies!$1:$1,0)+1,FALSE)</f>
        <v>animal</v>
      </c>
      <c r="Q17" s="17">
        <f ca="1">VLOOKUP($L17,OFFSET([3]enemies!$A$1,0,0,COUNTA([3]enemies!$A:$A),MATCH(Q$1,[3]enemies!$1:$1,0)-MATCH($L$1,[3]enemies!$1:$1,0)+1),MATCH(Q$1,[3]enemies!$1:$1,0)-MATCH($L$1,[3]enemies!$1:$1,0)+1,FALSE)</f>
        <v>15</v>
      </c>
      <c r="R17" s="115">
        <v>13</v>
      </c>
      <c r="S17" s="25">
        <v>2</v>
      </c>
      <c r="T17" s="104">
        <f ca="1">ROUND(VLOOKUP(R17,[3]enemy_base_stats!$A:$F,2,FALSE) *INDIRECT("[EnemyMasterData.xlsm]enemies!Y"&amp;(L17+1))*  INDIRECT("[EnemyMasterData.xlsm]enemies!J"&amp;(L17+1))* INDIRECT("[EnemyMasterData.xlsm]enemies!O"&amp;(L17+1))* INDIRECT("[EnemyMasterData.xlsm]enemies!E"&amp;(L17+1))* INDIRECT("[EnemyMasterData.xlsm]enemies!S"&amp;(L17+1))* INDIRECT("[EnemyMasterData.xlsm]enemies!AD"&amp;(L17+1))*[4]ステータス!$B$2,0)*S17</f>
        <v>5684</v>
      </c>
      <c r="U17" s="116">
        <v>0.6</v>
      </c>
      <c r="V17" s="104">
        <f ca="1">ROUND(VLOOKUP(R17,[3]enemy_base_stats!$A:$F,3,FALSE) *INDIRECT("[EnemyMasterData.xlsm]enemies!Z"&amp;(L17+1))*  INDIRECT("[EnemyMasterData.xlsm]enemies!K"&amp;(L17+1))* INDIRECT("[EnemyMasterData.xlsm]enemies!P"&amp;(L17+1))* INDIRECT("[EnemyMasterData.xlsm]enemies!F"&amp;(L17+1))* INDIRECT("[EnemyMasterData.xlsm]enemies!T"&amp;(L17+1))* INDIRECT("[EnemyMasterData.xlsm]enemies!AE"&amp;(L17+1))*[4]ステータス!$C$2,0)*U17</f>
        <v>580.19999999999993</v>
      </c>
      <c r="W17" s="5">
        <v>0</v>
      </c>
      <c r="X17" s="4" t="e">
        <f ca="1">VLOOKUP($Y17,OFFSET(enemy_skill_sets!$B$1,0,0,COUNTA(enemy_skill_sets!$B:$B),MATCH(M$1,enemy_skill_sets!$1:$1,0)-MATCH($Y$1,enemy_skill_sets!$1:$1,0)+2),MATCH(M$1,enemy_skill_sets!$1:$1,0)-MATCH($Y$1,enemy_skill_sets!$1:$1,0)+2,FALSE)</f>
        <v>#N/A</v>
      </c>
      <c r="Y17" s="62">
        <v>0</v>
      </c>
      <c r="Z17" s="6">
        <v>2</v>
      </c>
      <c r="AA17" s="6">
        <v>100</v>
      </c>
      <c r="AB17" s="6">
        <v>1</v>
      </c>
      <c r="AC17" s="17">
        <v>2</v>
      </c>
      <c r="AD17" s="24">
        <f t="shared" si="13"/>
        <v>366</v>
      </c>
      <c r="AE17" s="4" t="str">
        <f ca="1">VLOOKUP($AD17,OFFSET([4]characters!$A$1,0,0,COUNTA([4]characters!$A:$A),MATCH(AE$1,[4]characters!$1:$1,0)-MATCH("character_id",[4]characters!$1:$1,0)+1),MATCH(AE$1,[4]characters!$1:$1,0)-MATCH("character_id",[4]characters!$1:$1,0)+1,FALSE)</f>
        <v>トト</v>
      </c>
      <c r="AF17" s="4">
        <f ca="1">VLOOKUP($AD17,OFFSET([4]characters!$A$1,0,0,COUNTA([4]characters!$A:$A),MATCH(AF$1,[4]characters!$1:$1,0)-MATCH("character_id",[4]characters!$1:$1,0)+1),MATCH(AF$1,[4]characters!$1:$1,0)-MATCH("character_id",[4]characters!$1:$1,0)+1,FALSE)</f>
        <v>2</v>
      </c>
      <c r="AG17" s="4" t="str">
        <f ca="1">VLOOKUP($AD17,OFFSET([4]characters!$A$1,0,0,COUNTA([4]characters!$A:$A),MATCH(AG$1,[4]characters!$1:$1,0)-MATCH("character_id",[4]characters!$1:$1,0)+1),MATCH(AG$1,[4]characters!$1:$1,0)-MATCH("character_id",[4]characters!$1:$1,0)+1,FALSE)</f>
        <v>Drop1S</v>
      </c>
      <c r="AH17" s="7">
        <v>1</v>
      </c>
      <c r="AI17" s="24">
        <f t="shared" ca="1" si="14"/>
        <v>2</v>
      </c>
      <c r="AJ17" s="8">
        <v>0</v>
      </c>
      <c r="AK17" s="7">
        <v>0</v>
      </c>
      <c r="AL17" s="7">
        <v>0</v>
      </c>
      <c r="AM17" s="7">
        <v>0</v>
      </c>
      <c r="AN17" s="7">
        <v>0</v>
      </c>
      <c r="AO17" s="7">
        <v>1</v>
      </c>
      <c r="AP17" s="70">
        <v>1</v>
      </c>
    </row>
    <row r="18" spans="1:42" ht="21" customHeight="1" x14ac:dyDescent="0.15">
      <c r="A18" s="16" t="str">
        <f t="shared" si="10"/>
        <v>20020_1-2/88&lt;lv18&gt;s2</v>
      </c>
      <c r="B18" s="22">
        <v>20020</v>
      </c>
      <c r="C18" s="21">
        <v>1</v>
      </c>
      <c r="D18" s="2" t="str">
        <f t="shared" si="11"/>
        <v>20020_1</v>
      </c>
      <c r="E18" s="4" t="str">
        <f ca="1">VLOOKUP($B18,OFFSET([2]quests!$A$1,0,0,COUNTA([2]quests!$A:$A),MATCH(E$1,[2]quests!$1:$1,0)-MATCH($B$1,[2]quests!$1:$1,0)+1),MATCH(E$1,[2]quests!$1:$1,0)-MATCH($B$1,[2]quests!$1:$1,0)+1,FALSE)</f>
        <v>変幻自在の風</v>
      </c>
      <c r="F18" s="4" t="str">
        <f ca="1">VLOOKUP($D18,OFFSET([2]stages!$A$1,0,0,COUNTA([2]stages!$A:$A),MATCH(F$1,[2]stages!$2:$2,0)-MATCH($D$1,[2]stages!$2:$2,0)+1),MATCH(F$1,[2]stages!$2:$2,0)-MATCH($D$1,[2]stages!$2:$2,0)+1,FALSE)</f>
        <v>【初級】変幻自在の風</v>
      </c>
      <c r="G18" s="21">
        <v>2</v>
      </c>
      <c r="H18" s="15" t="str">
        <f t="shared" si="12"/>
        <v>20020_1-2</v>
      </c>
      <c r="I18" s="4">
        <f ca="1">VLOOKUP($H18,OFFSET(floors!$A$1,0,0,COUNTA(floors!$A:$A),MATCH(I$1,floors!$1:$1,0)-MATCH($H$1,floors!$1:$1,0)+1),MATCH(I$1,floors!$1:$1,0)-MATCH($H$1,floors!$1:$1,0)+1,FALSE)</f>
        <v>40</v>
      </c>
      <c r="J18" s="4">
        <f ca="1">VLOOKUP($H18,OFFSET(floors!$A$1,0,0,COUNTA(floors!$A:$A),MATCH(J$1,floors!$1:$1,0)-MATCH($H$1,floors!$1:$1,0)+1),MATCH(J$1,floors!$1:$1,0)-MATCH($H$1,floors!$1:$1,0)+1,FALSE)</f>
        <v>40</v>
      </c>
      <c r="K18" s="38" t="s">
        <v>53</v>
      </c>
      <c r="L18" s="20">
        <v>88</v>
      </c>
      <c r="M18" s="17" t="str">
        <f ca="1">VLOOKUP($L18,OFFSET([3]enemies!$A$1,0,0,COUNTA([3]enemies!$A:$A),MATCH(M$1,[3]enemies!$1:$1,0)-MATCH($L$1,[3]enemies!$1:$1,0)+1),MATCH(M$1,[3]enemies!$1:$1,0)-MATCH($L$1,[3]enemies!$1:$1,0)+1,FALSE)</f>
        <v>玄武</v>
      </c>
      <c r="N18" s="17" t="str">
        <f ca="1">VLOOKUP($L18,OFFSET([3]enemies!$A$1,0,0,COUNTA([3]enemies!$A:$A),MATCH(N$1,[3]enemies!$1:$1,0)-MATCH($L$1,[3]enemies!$1:$1,0)+1),MATCH(N$1,[3]enemies!$1:$1,0)-MATCH($L$1,[3]enemies!$1:$1,0)+1,FALSE)</f>
        <v>green</v>
      </c>
      <c r="O18" s="17" t="str">
        <f ca="1">VLOOKUP($L18,OFFSET([4]characters!$A$1,0,0,COUNTA([4]characters!$A:$A),MATCH(O$1,[4]characters!$1:$1,0)-MATCH($L$1,[4]characters!$1:$1,0)+1),MATCH(O$1,[4]characters!$1:$1,0)-MATCH($L$1,[4]characters!$1:$1,0)+1,FALSE)</f>
        <v>Drop2N</v>
      </c>
      <c r="P18" s="17" t="str">
        <f ca="1">VLOOKUP($L18,OFFSET([3]enemies!$A$1,0,0,COUNTA([3]enemies!$A:$A),MATCH(P$1,[3]enemies!$1:$1,0)-MATCH($L$1,[3]enemies!$1:$1,0)+1),MATCH(P$1,[3]enemies!$1:$1,0)-MATCH($L$1,[3]enemies!$1:$1,0)+1,FALSE)</f>
        <v>dragon</v>
      </c>
      <c r="Q18" s="17">
        <f ca="1">VLOOKUP($L18,OFFSET([3]enemies!$A$1,0,0,COUNTA([3]enemies!$A:$A),MATCH(Q$1,[3]enemies!$1:$1,0)-MATCH($L$1,[3]enemies!$1:$1,0)+1),MATCH(Q$1,[3]enemies!$1:$1,0)-MATCH($L$1,[3]enemies!$1:$1,0)+1,FALSE)</f>
        <v>20</v>
      </c>
      <c r="R18" s="115">
        <v>18</v>
      </c>
      <c r="S18" s="25">
        <v>1</v>
      </c>
      <c r="T18" s="104">
        <f ca="1">ROUND(VLOOKUP(R18,[3]enemy_base_stats!$A:$F,2,FALSE) *INDIRECT("[EnemyMasterData.xlsm]enemies!Y"&amp;(L18+1))*  INDIRECT("[EnemyMasterData.xlsm]enemies!J"&amp;(L18+1))* INDIRECT("[EnemyMasterData.xlsm]enemies!O"&amp;(L18+1))* INDIRECT("[EnemyMasterData.xlsm]enemies!E"&amp;(L18+1))* INDIRECT("[EnemyMasterData.xlsm]enemies!S"&amp;(L18+1))* INDIRECT("[EnemyMasterData.xlsm]enemies!AD"&amp;(L18+1))*[4]ステータス!$B$2,0)*S18</f>
        <v>22645</v>
      </c>
      <c r="U18" s="116">
        <v>0.4</v>
      </c>
      <c r="V18" s="104">
        <f ca="1">ROUND(VLOOKUP(R18,[3]enemy_base_stats!$A:$F,3,FALSE) *INDIRECT("[EnemyMasterData.xlsm]enemies!Z"&amp;(L18+1))*  INDIRECT("[EnemyMasterData.xlsm]enemies!K"&amp;(L18+1))* INDIRECT("[EnemyMasterData.xlsm]enemies!P"&amp;(L18+1))* INDIRECT("[EnemyMasterData.xlsm]enemies!F"&amp;(L18+1))* INDIRECT("[EnemyMasterData.xlsm]enemies!T"&amp;(L18+1))* INDIRECT("[EnemyMasterData.xlsm]enemies!AE"&amp;(L18+1))*[4]ステータス!$C$2,0)*U18</f>
        <v>708.40000000000009</v>
      </c>
      <c r="W18" s="5">
        <v>0</v>
      </c>
      <c r="X18" s="4" t="str">
        <f ca="1">VLOOKUP($Y18,OFFSET(enemy_skill_sets!$B$1,0,0,COUNTA(enemy_skill_sets!$B:$B),MATCH(M$1,enemy_skill_sets!$1:$1,0)-MATCH($Y$1,enemy_skill_sets!$1:$1,0)+2),MATCH(M$1,enemy_skill_sets!$1:$1,0)-MATCH($Y$1,enemy_skill_sets!$1:$1,0)+2,FALSE)</f>
        <v>3ターン味方の攻撃力UP</v>
      </c>
      <c r="Y18" s="62">
        <v>20020001</v>
      </c>
      <c r="Z18" s="6">
        <v>1</v>
      </c>
      <c r="AA18" s="6">
        <v>100</v>
      </c>
      <c r="AB18" s="6">
        <v>0</v>
      </c>
      <c r="AC18" s="17">
        <v>2</v>
      </c>
      <c r="AD18" s="24">
        <f t="shared" si="13"/>
        <v>88</v>
      </c>
      <c r="AE18" s="4" t="str">
        <f ca="1">VLOOKUP($AD18,OFFSET([4]characters!$A$1,0,0,COUNTA([4]characters!$A:$A),MATCH(AE$1,[4]characters!$1:$1,0)-MATCH("character_id",[4]characters!$1:$1,0)+1),MATCH(AE$1,[4]characters!$1:$1,0)-MATCH("character_id",[4]characters!$1:$1,0)+1,FALSE)</f>
        <v>玄武</v>
      </c>
      <c r="AF18" s="4">
        <f ca="1">VLOOKUP($AD18,OFFSET([4]characters!$A$1,0,0,COUNTA([4]characters!$A:$A),MATCH(AF$1,[4]characters!$1:$1,0)-MATCH("character_id",[4]characters!$1:$1,0)+1),MATCH(AF$1,[4]characters!$1:$1,0)-MATCH("character_id",[4]characters!$1:$1,0)+1,FALSE)</f>
        <v>3</v>
      </c>
      <c r="AG18" s="4" t="str">
        <f ca="1">VLOOKUP($AD18,OFFSET([4]characters!$A$1,0,0,COUNTA([4]characters!$A:$A),MATCH(AG$1,[4]characters!$1:$1,0)-MATCH("character_id",[4]characters!$1:$1,0)+1),MATCH(AG$1,[4]characters!$1:$1,0)-MATCH("character_id",[4]characters!$1:$1,0)+1,FALSE)</f>
        <v>Drop2N</v>
      </c>
      <c r="AH18" s="7">
        <v>1</v>
      </c>
      <c r="AI18" s="24">
        <f t="shared" ca="1" si="14"/>
        <v>3</v>
      </c>
      <c r="AJ18" s="8">
        <v>0</v>
      </c>
      <c r="AK18" s="7">
        <v>0</v>
      </c>
      <c r="AL18" s="7">
        <v>0</v>
      </c>
      <c r="AM18" s="7">
        <v>0</v>
      </c>
      <c r="AN18" s="7">
        <v>0</v>
      </c>
      <c r="AO18" s="7">
        <v>1</v>
      </c>
      <c r="AP18" s="70">
        <v>1</v>
      </c>
    </row>
    <row r="19" spans="1:42" ht="21" customHeight="1" x14ac:dyDescent="0.15">
      <c r="A19" s="16" t="str">
        <f t="shared" si="10"/>
        <v>20020_1-2/181&lt;lv15&gt;s1</v>
      </c>
      <c r="B19" s="22">
        <v>20020</v>
      </c>
      <c r="C19" s="21">
        <v>1</v>
      </c>
      <c r="D19" s="2" t="str">
        <f t="shared" si="11"/>
        <v>20020_1</v>
      </c>
      <c r="E19" s="4" t="str">
        <f ca="1">VLOOKUP($B19,OFFSET([2]quests!$A$1,0,0,COUNTA([2]quests!$A:$A),MATCH(E$1,[2]quests!$1:$1,0)-MATCH($B$1,[2]quests!$1:$1,0)+1),MATCH(E$1,[2]quests!$1:$1,0)-MATCH($B$1,[2]quests!$1:$1,0)+1,FALSE)</f>
        <v>変幻自在の風</v>
      </c>
      <c r="F19" s="4" t="str">
        <f ca="1">VLOOKUP($D19,OFFSET([2]stages!$A$1,0,0,COUNTA([2]stages!$A:$A),MATCH(F$1,[2]stages!$2:$2,0)-MATCH($D$1,[2]stages!$2:$2,0)+1),MATCH(F$1,[2]stages!$2:$2,0)-MATCH($D$1,[2]stages!$2:$2,0)+1,FALSE)</f>
        <v>【初級】変幻自在の風</v>
      </c>
      <c r="G19" s="21">
        <v>2</v>
      </c>
      <c r="H19" s="15" t="str">
        <f t="shared" si="12"/>
        <v>20020_1-2</v>
      </c>
      <c r="I19" s="4">
        <f ca="1">VLOOKUP($H19,OFFSET(floors!$A$1,0,0,COUNTA(floors!$A:$A),MATCH(I$1,floors!$1:$1,0)-MATCH($H$1,floors!$1:$1,0)+1),MATCH(I$1,floors!$1:$1,0)-MATCH($H$1,floors!$1:$1,0)+1,FALSE)</f>
        <v>40</v>
      </c>
      <c r="J19" s="4">
        <f ca="1">VLOOKUP($H19,OFFSET(floors!$A$1,0,0,COUNTA(floors!$A:$A),MATCH(J$1,floors!$1:$1,0)-MATCH($H$1,floors!$1:$1,0)+1),MATCH(J$1,floors!$1:$1,0)-MATCH($H$1,floors!$1:$1,0)+1,FALSE)</f>
        <v>40</v>
      </c>
      <c r="K19" s="38" t="s">
        <v>53</v>
      </c>
      <c r="L19" s="20">
        <v>181</v>
      </c>
      <c r="M19" s="17" t="str">
        <f ca="1">VLOOKUP($L19,OFFSET([3]enemies!$A$1,0,0,COUNTA([3]enemies!$A:$A),MATCH(M$1,[3]enemies!$1:$1,0)-MATCH($L$1,[3]enemies!$1:$1,0)+1),MATCH(M$1,[3]enemies!$1:$1,0)-MATCH($L$1,[3]enemies!$1:$1,0)+1,FALSE)</f>
        <v>ベヒモス</v>
      </c>
      <c r="N19" s="17" t="str">
        <f ca="1">VLOOKUP($L19,OFFSET([3]enemies!$A$1,0,0,COUNTA([3]enemies!$A:$A),MATCH(N$1,[3]enemies!$1:$1,0)-MATCH($L$1,[3]enemies!$1:$1,0)+1),MATCH(N$1,[3]enemies!$1:$1,0)-MATCH($L$1,[3]enemies!$1:$1,0)+1,FALSE)</f>
        <v>green</v>
      </c>
      <c r="O19" s="17" t="str">
        <f ca="1">VLOOKUP($L19,OFFSET([4]characters!$A$1,0,0,COUNTA([4]characters!$A:$A),MATCH(O$1,[4]characters!$1:$1,0)-MATCH($L$1,[4]characters!$1:$1,0)+1),MATCH(O$1,[4]characters!$1:$1,0)-MATCH($L$1,[4]characters!$1:$1,0)+1,FALSE)</f>
        <v>PremiumN</v>
      </c>
      <c r="P19" s="17" t="str">
        <f ca="1">VLOOKUP($L19,OFFSET([3]enemies!$A$1,0,0,COUNTA([3]enemies!$A:$A),MATCH(P$1,[3]enemies!$1:$1,0)-MATCH($L$1,[3]enemies!$1:$1,0)+1),MATCH(P$1,[3]enemies!$1:$1,0)-MATCH($L$1,[3]enemies!$1:$1,0)+1,FALSE)</f>
        <v>animal</v>
      </c>
      <c r="Q19" s="17">
        <f ca="1">VLOOKUP($L19,OFFSET([3]enemies!$A$1,0,0,COUNTA([3]enemies!$A:$A),MATCH(Q$1,[3]enemies!$1:$1,0)-MATCH($L$1,[3]enemies!$1:$1,0)+1),MATCH(Q$1,[3]enemies!$1:$1,0)-MATCH($L$1,[3]enemies!$1:$1,0)+1,FALSE)</f>
        <v>20</v>
      </c>
      <c r="R19" s="115">
        <v>15</v>
      </c>
      <c r="S19" s="25">
        <v>0.6</v>
      </c>
      <c r="T19" s="104">
        <f ca="1">ROUND(VLOOKUP(R19,[3]enemy_base_stats!$A:$F,2,FALSE) *INDIRECT("[EnemyMasterData.xlsm]enemies!Y"&amp;(L19+1))*  INDIRECT("[EnemyMasterData.xlsm]enemies!J"&amp;(L19+1))* INDIRECT("[EnemyMasterData.xlsm]enemies!O"&amp;(L19+1))* INDIRECT("[EnemyMasterData.xlsm]enemies!E"&amp;(L19+1))* INDIRECT("[EnemyMasterData.xlsm]enemies!S"&amp;(L19+1))* INDIRECT("[EnemyMasterData.xlsm]enemies!AD"&amp;(L19+1))*[4]ステータス!$B$2,0)*S19</f>
        <v>16106.4</v>
      </c>
      <c r="U19" s="116">
        <v>0.7</v>
      </c>
      <c r="V19" s="104">
        <f ca="1">ROUND(VLOOKUP(R19,[3]enemy_base_stats!$A:$F,3,FALSE) *INDIRECT("[EnemyMasterData.xlsm]enemies!Z"&amp;(L19+1))*  INDIRECT("[EnemyMasterData.xlsm]enemies!K"&amp;(L19+1))* INDIRECT("[EnemyMasterData.xlsm]enemies!P"&amp;(L19+1))* INDIRECT("[EnemyMasterData.xlsm]enemies!F"&amp;(L19+1))* INDIRECT("[EnemyMasterData.xlsm]enemies!T"&amp;(L19+1))* INDIRECT("[EnemyMasterData.xlsm]enemies!AE"&amp;(L19+1))*[4]ステータス!$C$2,0)*U19</f>
        <v>990.49999999999989</v>
      </c>
      <c r="W19" s="5">
        <v>0</v>
      </c>
      <c r="X19" s="4" t="str">
        <f ca="1">VLOOKUP($Y19,OFFSET(enemy_skill_sets!$B$1,0,0,COUNTA(enemy_skill_sets!$B:$B),MATCH(M$1,enemy_skill_sets!$1:$1,0)-MATCH($Y$1,enemy_skill_sets!$1:$1,0)+2),MATCH(M$1,enemy_skill_sets!$1:$1,0)-MATCH($Y$1,enemy_skill_sets!$1:$1,0)+2,FALSE)</f>
        <v>3回連続攻撃</v>
      </c>
      <c r="Y19" s="62">
        <v>20020003</v>
      </c>
      <c r="Z19" s="6">
        <v>1</v>
      </c>
      <c r="AA19" s="6">
        <v>100</v>
      </c>
      <c r="AB19" s="6">
        <v>0</v>
      </c>
      <c r="AC19" s="17">
        <v>1</v>
      </c>
      <c r="AD19" s="24">
        <f t="shared" si="13"/>
        <v>181</v>
      </c>
      <c r="AE19" s="4" t="str">
        <f ca="1">VLOOKUP($AD19,OFFSET([4]characters!$A$1,0,0,COUNTA([4]characters!$A:$A),MATCH(AE$1,[4]characters!$1:$1,0)-MATCH("character_id",[4]characters!$1:$1,0)+1),MATCH(AE$1,[4]characters!$1:$1,0)-MATCH("character_id",[4]characters!$1:$1,0)+1,FALSE)</f>
        <v>ベヒモス</v>
      </c>
      <c r="AF19" s="4">
        <f ca="1">VLOOKUP($AD19,OFFSET([4]characters!$A$1,0,0,COUNTA([4]characters!$A:$A),MATCH(AF$1,[4]characters!$1:$1,0)-MATCH("character_id",[4]characters!$1:$1,0)+1),MATCH(AF$1,[4]characters!$1:$1,0)-MATCH("character_id",[4]characters!$1:$1,0)+1,FALSE)</f>
        <v>3</v>
      </c>
      <c r="AG19" s="4" t="str">
        <f ca="1">VLOOKUP($AD19,OFFSET([4]characters!$A$1,0,0,COUNTA([4]characters!$A:$A),MATCH(AG$1,[4]characters!$1:$1,0)-MATCH("character_id",[4]characters!$1:$1,0)+1),MATCH(AG$1,[4]characters!$1:$1,0)-MATCH("character_id",[4]characters!$1:$1,0)+1,FALSE)</f>
        <v>PremiumN</v>
      </c>
      <c r="AH19" s="7">
        <v>1</v>
      </c>
      <c r="AI19" s="24">
        <f t="shared" ca="1" si="14"/>
        <v>3</v>
      </c>
      <c r="AJ19" s="8">
        <v>0</v>
      </c>
      <c r="AK19" s="7">
        <v>0</v>
      </c>
      <c r="AL19" s="7">
        <v>0</v>
      </c>
      <c r="AM19" s="7">
        <v>0</v>
      </c>
      <c r="AN19" s="7">
        <v>0</v>
      </c>
      <c r="AO19" s="7">
        <v>1</v>
      </c>
      <c r="AP19" s="70">
        <v>1</v>
      </c>
    </row>
    <row r="20" spans="1:42" ht="21" customHeight="1" x14ac:dyDescent="0.15">
      <c r="A20" s="16" t="str">
        <f t="shared" si="10"/>
        <v>20020_1-3/57&lt;lv15&gt;s2</v>
      </c>
      <c r="B20" s="22">
        <v>20020</v>
      </c>
      <c r="C20" s="21">
        <v>1</v>
      </c>
      <c r="D20" s="2" t="str">
        <f t="shared" si="11"/>
        <v>20020_1</v>
      </c>
      <c r="E20" s="4" t="str">
        <f ca="1">VLOOKUP($B20,OFFSET([2]quests!$A$1,0,0,COUNTA([2]quests!$A:$A),MATCH(E$1,[2]quests!$1:$1,0)-MATCH($B$1,[2]quests!$1:$1,0)+1),MATCH(E$1,[2]quests!$1:$1,0)-MATCH($B$1,[2]quests!$1:$1,0)+1,FALSE)</f>
        <v>変幻自在の風</v>
      </c>
      <c r="F20" s="4" t="str">
        <f ca="1">VLOOKUP($D20,OFFSET([2]stages!$A$1,0,0,COUNTA([2]stages!$A:$A),MATCH(F$1,[2]stages!$2:$2,0)-MATCH($D$1,[2]stages!$2:$2,0)+1),MATCH(F$1,[2]stages!$2:$2,0)-MATCH($D$1,[2]stages!$2:$2,0)+1,FALSE)</f>
        <v>【初級】変幻自在の風</v>
      </c>
      <c r="G20" s="21">
        <v>3</v>
      </c>
      <c r="H20" s="15" t="str">
        <f t="shared" si="12"/>
        <v>20020_1-3</v>
      </c>
      <c r="I20" s="4">
        <f ca="1">VLOOKUP($H20,OFFSET(floors!$A$1,0,0,COUNTA(floors!$A:$A),MATCH(I$1,floors!$1:$1,0)-MATCH($H$1,floors!$1:$1,0)+1),MATCH(I$1,floors!$1:$1,0)-MATCH($H$1,floors!$1:$1,0)+1,FALSE)</f>
        <v>20</v>
      </c>
      <c r="J20" s="4">
        <f ca="1">VLOOKUP($H20,OFFSET(floors!$A$1,0,0,COUNTA(floors!$A:$A),MATCH(J$1,floors!$1:$1,0)-MATCH($H$1,floors!$1:$1,0)+1),MATCH(J$1,floors!$1:$1,0)-MATCH($H$1,floors!$1:$1,0)+1,FALSE)</f>
        <v>60</v>
      </c>
      <c r="K20" s="38" t="s">
        <v>53</v>
      </c>
      <c r="L20" s="20">
        <v>57</v>
      </c>
      <c r="M20" s="17" t="str">
        <f ca="1">VLOOKUP($L20,OFFSET([3]enemies!$A$1,0,0,COUNTA([3]enemies!$A:$A),MATCH(M$1,[3]enemies!$1:$1,0)-MATCH($L$1,[3]enemies!$1:$1,0)+1),MATCH(M$1,[3]enemies!$1:$1,0)-MATCH($L$1,[3]enemies!$1:$1,0)+1,FALSE)</f>
        <v>チェン・リー</v>
      </c>
      <c r="N20" s="17" t="str">
        <f ca="1">VLOOKUP($L20,OFFSET([3]enemies!$A$1,0,0,COUNTA([3]enemies!$A:$A),MATCH(N$1,[3]enemies!$1:$1,0)-MATCH($L$1,[3]enemies!$1:$1,0)+1),MATCH(N$1,[3]enemies!$1:$1,0)-MATCH($L$1,[3]enemies!$1:$1,0)+1,FALSE)</f>
        <v>red</v>
      </c>
      <c r="O20" s="17" t="str">
        <f ca="1">VLOOKUP($L20,OFFSET([4]characters!$A$1,0,0,COUNTA([4]characters!$A:$A),MATCH(O$1,[4]characters!$1:$1,0)-MATCH($L$1,[4]characters!$1:$1,0)+1),MATCH(O$1,[4]characters!$1:$1,0)-MATCH($L$1,[4]characters!$1:$1,0)+1,FALSE)</f>
        <v>Drop1N</v>
      </c>
      <c r="P20" s="17" t="str">
        <f ca="1">VLOOKUP($L20,OFFSET([3]enemies!$A$1,0,0,COUNTA([3]enemies!$A:$A),MATCH(P$1,[3]enemies!$1:$1,0)-MATCH($L$1,[3]enemies!$1:$1,0)+1),MATCH(P$1,[3]enemies!$1:$1,0)-MATCH($L$1,[3]enemies!$1:$1,0)+1,FALSE)</f>
        <v>animal</v>
      </c>
      <c r="Q20" s="17">
        <f ca="1">VLOOKUP($L20,OFFSET([3]enemies!$A$1,0,0,COUNTA([3]enemies!$A:$A),MATCH(Q$1,[3]enemies!$1:$1,0)-MATCH($L$1,[3]enemies!$1:$1,0)+1),MATCH(Q$1,[3]enemies!$1:$1,0)-MATCH($L$1,[3]enemies!$1:$1,0)+1,FALSE)</f>
        <v>15</v>
      </c>
      <c r="R20" s="115">
        <v>15</v>
      </c>
      <c r="S20" s="25">
        <v>1.5</v>
      </c>
      <c r="T20" s="104">
        <f ca="1">ROUND(VLOOKUP(R20,[3]enemy_base_stats!$A:$F,2,FALSE) *INDIRECT("[EnemyMasterData.xlsm]enemies!Y"&amp;(L20+1))*  INDIRECT("[EnemyMasterData.xlsm]enemies!J"&amp;(L20+1))* INDIRECT("[EnemyMasterData.xlsm]enemies!O"&amp;(L20+1))* INDIRECT("[EnemyMasterData.xlsm]enemies!E"&amp;(L20+1))* INDIRECT("[EnemyMasterData.xlsm]enemies!S"&amp;(L20+1))* INDIRECT("[EnemyMasterData.xlsm]enemies!AD"&amp;(L20+1))*[4]ステータス!$B$2,0)*S20</f>
        <v>4950</v>
      </c>
      <c r="U20" s="116">
        <v>0.8</v>
      </c>
      <c r="V20" s="104">
        <f ca="1">ROUND(VLOOKUP(R20,[3]enemy_base_stats!$A:$F,3,FALSE) *INDIRECT("[EnemyMasterData.xlsm]enemies!Z"&amp;(L20+1))*  INDIRECT("[EnemyMasterData.xlsm]enemies!K"&amp;(L20+1))* INDIRECT("[EnemyMasterData.xlsm]enemies!P"&amp;(L20+1))* INDIRECT("[EnemyMasterData.xlsm]enemies!F"&amp;(L20+1))* INDIRECT("[EnemyMasterData.xlsm]enemies!T"&amp;(L20+1))* INDIRECT("[EnemyMasterData.xlsm]enemies!AE"&amp;(L20+1))*[4]ステータス!$C$2,0)*U20</f>
        <v>888.80000000000007</v>
      </c>
      <c r="W20" s="5">
        <v>0</v>
      </c>
      <c r="X20" s="4" t="str">
        <f ca="1">VLOOKUP($Y20,OFFSET(enemy_skill_sets!$B$1,0,0,COUNTA(enemy_skill_sets!$B:$B),MATCH(M$1,enemy_skill_sets!$1:$1,0)-MATCH($Y$1,enemy_skill_sets!$1:$1,0)+2),MATCH(M$1,enemy_skill_sets!$1:$1,0)-MATCH($Y$1,enemy_skill_sets!$1:$1,0)+2,FALSE)</f>
        <v>2回連続攻撃</v>
      </c>
      <c r="Y20" s="62">
        <v>20020004</v>
      </c>
      <c r="Z20" s="6">
        <v>2</v>
      </c>
      <c r="AA20" s="6">
        <v>100</v>
      </c>
      <c r="AB20" s="6">
        <v>0</v>
      </c>
      <c r="AC20" s="17">
        <v>2</v>
      </c>
      <c r="AD20" s="24">
        <f t="shared" si="13"/>
        <v>57</v>
      </c>
      <c r="AE20" s="4" t="str">
        <f ca="1">VLOOKUP($AD20,OFFSET([4]characters!$A$1,0,0,COUNTA([4]characters!$A:$A),MATCH(AE$1,[4]characters!$1:$1,0)-MATCH("character_id",[4]characters!$1:$1,0)+1),MATCH(AE$1,[4]characters!$1:$1,0)-MATCH("character_id",[4]characters!$1:$1,0)+1,FALSE)</f>
        <v>チェン・リー</v>
      </c>
      <c r="AF20" s="4">
        <f ca="1">VLOOKUP($AD20,OFFSET([4]characters!$A$1,0,0,COUNTA([4]characters!$A:$A),MATCH(AF$1,[4]characters!$1:$1,0)-MATCH("character_id",[4]characters!$1:$1,0)+1),MATCH(AF$1,[4]characters!$1:$1,0)-MATCH("character_id",[4]characters!$1:$1,0)+1,FALSE)</f>
        <v>2</v>
      </c>
      <c r="AG20" s="4" t="str">
        <f ca="1">VLOOKUP($AD20,OFFSET([4]characters!$A$1,0,0,COUNTA([4]characters!$A:$A),MATCH(AG$1,[4]characters!$1:$1,0)-MATCH("character_id",[4]characters!$1:$1,0)+1),MATCH(AG$1,[4]characters!$1:$1,0)-MATCH("character_id",[4]characters!$1:$1,0)+1,FALSE)</f>
        <v>Drop1N</v>
      </c>
      <c r="AH20" s="7">
        <v>1</v>
      </c>
      <c r="AI20" s="24">
        <f t="shared" ca="1" si="14"/>
        <v>2</v>
      </c>
      <c r="AJ20" s="8">
        <v>0</v>
      </c>
      <c r="AK20" s="7">
        <v>0</v>
      </c>
      <c r="AL20" s="7">
        <v>0</v>
      </c>
      <c r="AM20" s="7">
        <v>0</v>
      </c>
      <c r="AN20" s="7">
        <v>0</v>
      </c>
      <c r="AO20" s="7">
        <v>1</v>
      </c>
      <c r="AP20" s="70">
        <v>1</v>
      </c>
    </row>
    <row r="21" spans="1:42" ht="21" customHeight="1" x14ac:dyDescent="0.15">
      <c r="A21" s="16" t="str">
        <f t="shared" si="10"/>
        <v>20020_1-3/161&lt;lv15&gt;s2</v>
      </c>
      <c r="B21" s="22">
        <v>20020</v>
      </c>
      <c r="C21" s="21">
        <v>1</v>
      </c>
      <c r="D21" s="2" t="str">
        <f t="shared" si="11"/>
        <v>20020_1</v>
      </c>
      <c r="E21" s="4" t="str">
        <f ca="1">VLOOKUP($B21,OFFSET([2]quests!$A$1,0,0,COUNTA([2]quests!$A:$A),MATCH(E$1,[2]quests!$1:$1,0)-MATCH($B$1,[2]quests!$1:$1,0)+1),MATCH(E$1,[2]quests!$1:$1,0)-MATCH($B$1,[2]quests!$1:$1,0)+1,FALSE)</f>
        <v>変幻自在の風</v>
      </c>
      <c r="F21" s="4" t="str">
        <f ca="1">VLOOKUP($D21,OFFSET([2]stages!$A$1,0,0,COUNTA([2]stages!$A:$A),MATCH(F$1,[2]stages!$2:$2,0)-MATCH($D$1,[2]stages!$2:$2,0)+1),MATCH(F$1,[2]stages!$2:$2,0)-MATCH($D$1,[2]stages!$2:$2,0)+1,FALSE)</f>
        <v>【初級】変幻自在の風</v>
      </c>
      <c r="G21" s="21">
        <v>3</v>
      </c>
      <c r="H21" s="15" t="str">
        <f t="shared" si="12"/>
        <v>20020_1-3</v>
      </c>
      <c r="I21" s="4">
        <f ca="1">VLOOKUP($H21,OFFSET(floors!$A$1,0,0,COUNTA(floors!$A:$A),MATCH(I$1,floors!$1:$1,0)-MATCH($H$1,floors!$1:$1,0)+1),MATCH(I$1,floors!$1:$1,0)-MATCH($H$1,floors!$1:$1,0)+1,FALSE)</f>
        <v>20</v>
      </c>
      <c r="J21" s="4">
        <f ca="1">VLOOKUP($H21,OFFSET(floors!$A$1,0,0,COUNTA(floors!$A:$A),MATCH(J$1,floors!$1:$1,0)-MATCH($H$1,floors!$1:$1,0)+1),MATCH(J$1,floors!$1:$1,0)-MATCH($H$1,floors!$1:$1,0)+1,FALSE)</f>
        <v>60</v>
      </c>
      <c r="K21" s="38" t="s">
        <v>53</v>
      </c>
      <c r="L21" s="20">
        <v>161</v>
      </c>
      <c r="M21" s="17" t="str">
        <f ca="1">VLOOKUP($L21,OFFSET([3]enemies!$A$1,0,0,COUNTA([3]enemies!$A:$A),MATCH(M$1,[3]enemies!$1:$1,0)-MATCH($L$1,[3]enemies!$1:$1,0)+1),MATCH(M$1,[3]enemies!$1:$1,0)-MATCH($L$1,[3]enemies!$1:$1,0)+1,FALSE)</f>
        <v>咆哮の先導者 クリエ</v>
      </c>
      <c r="N21" s="17" t="str">
        <f ca="1">VLOOKUP($L21,OFFSET([3]enemies!$A$1,0,0,COUNTA([3]enemies!$A:$A),MATCH(N$1,[3]enemies!$1:$1,0)-MATCH($L$1,[3]enemies!$1:$1,0)+1),MATCH(N$1,[3]enemies!$1:$1,0)-MATCH($L$1,[3]enemies!$1:$1,0)+1,FALSE)</f>
        <v>green</v>
      </c>
      <c r="O21" s="17" t="str">
        <f ca="1">VLOOKUP($L21,OFFSET([4]characters!$A$1,0,0,COUNTA([4]characters!$A:$A),MATCH(O$1,[4]characters!$1:$1,0)-MATCH($L$1,[4]characters!$1:$1,0)+1),MATCH(O$1,[4]characters!$1:$1,0)-MATCH($L$1,[4]characters!$1:$1,0)+1,FALSE)</f>
        <v>PremiumW</v>
      </c>
      <c r="P21" s="17" t="str">
        <f ca="1">VLOOKUP($L21,OFFSET([3]enemies!$A$1,0,0,COUNTA([3]enemies!$A:$A),MATCH(P$1,[3]enemies!$1:$1,0)-MATCH($L$1,[3]enemies!$1:$1,0)+1),MATCH(P$1,[3]enemies!$1:$1,0)-MATCH($L$1,[3]enemies!$1:$1,0)+1,FALSE)</f>
        <v>human</v>
      </c>
      <c r="Q21" s="17">
        <f ca="1">VLOOKUP($L21,OFFSET([3]enemies!$A$1,0,0,COUNTA([3]enemies!$A:$A),MATCH(Q$1,[3]enemies!$1:$1,0)-MATCH($L$1,[3]enemies!$1:$1,0)+1),MATCH(Q$1,[3]enemies!$1:$1,0)-MATCH($L$1,[3]enemies!$1:$1,0)+1,FALSE)</f>
        <v>30</v>
      </c>
      <c r="R21" s="115">
        <v>15</v>
      </c>
      <c r="S21" s="25">
        <v>0.8</v>
      </c>
      <c r="T21" s="104">
        <f ca="1">ROUND(VLOOKUP(R21,[3]enemy_base_stats!$A:$F,2,FALSE) *INDIRECT("[EnemyMasterData.xlsm]enemies!Y"&amp;(L21+1))*  INDIRECT("[EnemyMasterData.xlsm]enemies!J"&amp;(L21+1))* INDIRECT("[EnemyMasterData.xlsm]enemies!O"&amp;(L21+1))* INDIRECT("[EnemyMasterData.xlsm]enemies!E"&amp;(L21+1))* INDIRECT("[EnemyMasterData.xlsm]enemies!S"&amp;(L21+1))* INDIRECT("[EnemyMasterData.xlsm]enemies!AD"&amp;(L21+1))*[4]ステータス!$B$2,0)*S21</f>
        <v>24679.200000000001</v>
      </c>
      <c r="U21" s="116">
        <v>1</v>
      </c>
      <c r="V21" s="104">
        <f ca="1">ROUND(VLOOKUP(R21,[3]enemy_base_stats!$A:$F,3,FALSE) *INDIRECT("[EnemyMasterData.xlsm]enemies!Z"&amp;(L21+1))*  INDIRECT("[EnemyMasterData.xlsm]enemies!K"&amp;(L21+1))* INDIRECT("[EnemyMasterData.xlsm]enemies!P"&amp;(L21+1))* INDIRECT("[EnemyMasterData.xlsm]enemies!F"&amp;(L21+1))* INDIRECT("[EnemyMasterData.xlsm]enemies!T"&amp;(L21+1))* INDIRECT("[EnemyMasterData.xlsm]enemies!AE"&amp;(L21+1))*[4]ステータス!$C$2,0)*U21</f>
        <v>1249</v>
      </c>
      <c r="W21" s="5">
        <v>0</v>
      </c>
      <c r="X21" s="4" t="str">
        <f ca="1">VLOOKUP($Y21,OFFSET(enemy_skill_sets!$B$1,0,0,COUNTA(enemy_skill_sets!$B:$B),MATCH(M$1,enemy_skill_sets!$1:$1,0)-MATCH($Y$1,enemy_skill_sets!$1:$1,0)+2),MATCH(M$1,enemy_skill_sets!$1:$1,0)-MATCH($Y$1,enemy_skill_sets!$1:$1,0)+2,FALSE)</f>
        <v>2ターン敵の種族アニマルの攻撃頻度UP</v>
      </c>
      <c r="Y21" s="62">
        <v>20020005</v>
      </c>
      <c r="Z21" s="6">
        <v>1</v>
      </c>
      <c r="AA21" s="6">
        <v>100</v>
      </c>
      <c r="AB21" s="6">
        <v>1</v>
      </c>
      <c r="AC21" s="17">
        <v>2</v>
      </c>
      <c r="AD21" s="24">
        <f t="shared" si="13"/>
        <v>161</v>
      </c>
      <c r="AE21" s="4" t="str">
        <f ca="1">VLOOKUP($AD21,OFFSET([4]characters!$A$1,0,0,COUNTA([4]characters!$A:$A),MATCH(AE$1,[4]characters!$1:$1,0)-MATCH("character_id",[4]characters!$1:$1,0)+1),MATCH(AE$1,[4]characters!$1:$1,0)-MATCH("character_id",[4]characters!$1:$1,0)+1,FALSE)</f>
        <v>咆哮の先導者 クリエ</v>
      </c>
      <c r="AF21" s="4">
        <f ca="1">VLOOKUP($AD21,OFFSET([4]characters!$A$1,0,0,COUNTA([4]characters!$A:$A),MATCH(AF$1,[4]characters!$1:$1,0)-MATCH("character_id",[4]characters!$1:$1,0)+1),MATCH(AF$1,[4]characters!$1:$1,0)-MATCH("character_id",[4]characters!$1:$1,0)+1,FALSE)</f>
        <v>4</v>
      </c>
      <c r="AG21" s="4" t="str">
        <f ca="1">VLOOKUP($AD21,OFFSET([4]characters!$A$1,0,0,COUNTA([4]characters!$A:$A),MATCH(AG$1,[4]characters!$1:$1,0)-MATCH("character_id",[4]characters!$1:$1,0)+1),MATCH(AG$1,[4]characters!$1:$1,0)-MATCH("character_id",[4]characters!$1:$1,0)+1,FALSE)</f>
        <v>PremiumW</v>
      </c>
      <c r="AH21" s="7">
        <v>1</v>
      </c>
      <c r="AI21" s="24">
        <f t="shared" ca="1" si="14"/>
        <v>4</v>
      </c>
      <c r="AJ21" s="8">
        <v>0</v>
      </c>
      <c r="AK21" s="7">
        <v>0</v>
      </c>
      <c r="AL21" s="7">
        <v>0</v>
      </c>
      <c r="AM21" s="7">
        <v>0</v>
      </c>
      <c r="AN21" s="7">
        <v>0</v>
      </c>
      <c r="AO21" s="7">
        <v>1</v>
      </c>
      <c r="AP21" s="70">
        <v>1</v>
      </c>
    </row>
    <row r="22" spans="1:42" ht="21" customHeight="1" x14ac:dyDescent="0.15">
      <c r="A22" s="16" t="str">
        <f t="shared" si="10"/>
        <v>20020_1-4/1059&lt;lv15&gt;s2</v>
      </c>
      <c r="B22" s="22">
        <v>20020</v>
      </c>
      <c r="C22" s="21">
        <v>1</v>
      </c>
      <c r="D22" s="2" t="str">
        <f t="shared" si="11"/>
        <v>20020_1</v>
      </c>
      <c r="E22" s="4" t="str">
        <f ca="1">VLOOKUP($B22,OFFSET([2]quests!$A$1,0,0,COUNTA([2]quests!$A:$A),MATCH(E$1,[2]quests!$1:$1,0)-MATCH($B$1,[2]quests!$1:$1,0)+1),MATCH(E$1,[2]quests!$1:$1,0)-MATCH($B$1,[2]quests!$1:$1,0)+1,FALSE)</f>
        <v>変幻自在の風</v>
      </c>
      <c r="F22" s="4" t="str">
        <f ca="1">VLOOKUP($D22,OFFSET([2]stages!$A$1,0,0,COUNTA([2]stages!$A:$A),MATCH(F$1,[2]stages!$2:$2,0)-MATCH($D$1,[2]stages!$2:$2,0)+1),MATCH(F$1,[2]stages!$2:$2,0)-MATCH($D$1,[2]stages!$2:$2,0)+1,FALSE)</f>
        <v>【初級】変幻自在の風</v>
      </c>
      <c r="G22" s="21">
        <v>4</v>
      </c>
      <c r="H22" s="15" t="str">
        <f t="shared" si="12"/>
        <v>20020_1-4</v>
      </c>
      <c r="I22" s="4">
        <f ca="1">VLOOKUP($H22,OFFSET(floors!$A$1,0,0,COUNTA(floors!$A:$A),MATCH(I$1,floors!$1:$1,0)-MATCH($H$1,floors!$1:$1,0)+1),MATCH(I$1,floors!$1:$1,0)-MATCH($H$1,floors!$1:$1,0)+1,FALSE)</f>
        <v>60</v>
      </c>
      <c r="J22" s="4">
        <f ca="1">VLOOKUP($H22,OFFSET(floors!$A$1,0,0,COUNTA(floors!$A:$A),MATCH(J$1,floors!$1:$1,0)-MATCH($H$1,floors!$1:$1,0)+1),MATCH(J$1,floors!$1:$1,0)-MATCH($H$1,floors!$1:$1,0)+1,FALSE)</f>
        <v>60</v>
      </c>
      <c r="K22" s="38">
        <v>1</v>
      </c>
      <c r="L22" s="20">
        <v>1059</v>
      </c>
      <c r="M22" s="17" t="str">
        <f ca="1">VLOOKUP($L22,OFFSET([3]enemies!$A$1,0,0,COUNTA([3]enemies!$A:$A),MATCH(M$1,[3]enemies!$1:$1,0)-MATCH($L$1,[3]enemies!$1:$1,0)+1),MATCH(M$1,[3]enemies!$1:$1,0)-MATCH($L$1,[3]enemies!$1:$1,0)+1,FALSE)</f>
        <v>パズズ</v>
      </c>
      <c r="N22" s="17" t="str">
        <f ca="1">VLOOKUP($L22,OFFSET([3]enemies!$A$1,0,0,COUNTA([3]enemies!$A:$A),MATCH(N$1,[3]enemies!$1:$1,0)-MATCH($L$1,[3]enemies!$1:$1,0)+1),MATCH(N$1,[3]enemies!$1:$1,0)-MATCH($L$1,[3]enemies!$1:$1,0)+1,FALSE)</f>
        <v>green</v>
      </c>
      <c r="O22" s="17" t="str">
        <f ca="1">VLOOKUP($L22,OFFSET([4]characters!$A$1,0,0,COUNTA([4]characters!$A:$A),MATCH(O$1,[4]characters!$1:$1,0)-MATCH($L$1,[4]characters!$1:$1,0)+1),MATCH(O$1,[4]characters!$1:$1,0)-MATCH($L$1,[4]characters!$1:$1,0)+1,FALSE)</f>
        <v>Drop2N</v>
      </c>
      <c r="P22" s="17" t="str">
        <f ca="1">VLOOKUP($L22,OFFSET([3]enemies!$A$1,0,0,COUNTA([3]enemies!$A:$A),MATCH(P$1,[3]enemies!$1:$1,0)-MATCH($L$1,[3]enemies!$1:$1,0)+1),MATCH(P$1,[3]enemies!$1:$1,0)-MATCH($L$1,[3]enemies!$1:$1,0)+1,FALSE)</f>
        <v>god</v>
      </c>
      <c r="Q22" s="17">
        <f ca="1">VLOOKUP($L22,OFFSET([3]enemies!$A$1,0,0,COUNTA([3]enemies!$A:$A),MATCH(Q$1,[3]enemies!$1:$1,0)-MATCH($L$1,[3]enemies!$1:$1,0)+1),MATCH(Q$1,[3]enemies!$1:$1,0)-MATCH($L$1,[3]enemies!$1:$1,0)+1,FALSE)</f>
        <v>30</v>
      </c>
      <c r="R22" s="115">
        <v>15</v>
      </c>
      <c r="S22" s="25">
        <v>2.2999999999999998</v>
      </c>
      <c r="T22" s="104">
        <f ca="1">ROUND(VLOOKUP(R22,[3]enemy_base_stats!$A:$F,2,FALSE) *INDIRECT("[EnemyMasterData.xlsm]enemies!Y"&amp;(L22+1))*  INDIRECT("[EnemyMasterData.xlsm]enemies!J"&amp;(L22+1))* INDIRECT("[EnemyMasterData.xlsm]enemies!O"&amp;(L22+1))* INDIRECT("[EnemyMasterData.xlsm]enemies!E"&amp;(L22+1))* INDIRECT("[EnemyMasterData.xlsm]enemies!S"&amp;(L22+1))* INDIRECT("[EnemyMasterData.xlsm]enemies!AD"&amp;(L22+1))*[4]ステータス!$B$2,0)*S22</f>
        <v>48309.2</v>
      </c>
      <c r="U22" s="116">
        <v>0.9</v>
      </c>
      <c r="V22" s="104">
        <f ca="1">ROUND(VLOOKUP(R22,[3]enemy_base_stats!$A:$F,3,FALSE) *INDIRECT("[EnemyMasterData.xlsm]enemies!Z"&amp;(L22+1))*  INDIRECT("[EnemyMasterData.xlsm]enemies!K"&amp;(L22+1))* INDIRECT("[EnemyMasterData.xlsm]enemies!P"&amp;(L22+1))* INDIRECT("[EnemyMasterData.xlsm]enemies!F"&amp;(L22+1))* INDIRECT("[EnemyMasterData.xlsm]enemies!T"&amp;(L22+1))* INDIRECT("[EnemyMasterData.xlsm]enemies!AE"&amp;(L22+1))*[4]ステータス!$C$2,0)*U22</f>
        <v>1504.8</v>
      </c>
      <c r="W22" s="5">
        <v>0</v>
      </c>
      <c r="X22" s="4" t="str">
        <f ca="1">VLOOKUP($Y22,OFFSET(enemy_skill_sets!$B$1,0,0,COUNTA(enemy_skill_sets!$B:$B),MATCH(M$1,enemy_skill_sets!$1:$1,0)-MATCH($Y$1,enemy_skill_sets!$1:$1,0)+2),MATCH(M$1,enemy_skill_sets!$1:$1,0)-MATCH($Y$1,enemy_skill_sets!$1:$1,0)+2,FALSE)</f>
        <v>ボッコボコにしてやんよ！</v>
      </c>
      <c r="Y22" s="62">
        <v>20020006</v>
      </c>
      <c r="Z22" s="6">
        <v>1</v>
      </c>
      <c r="AA22" s="6">
        <v>100</v>
      </c>
      <c r="AB22" s="6">
        <v>1</v>
      </c>
      <c r="AC22" s="17">
        <v>2</v>
      </c>
      <c r="AD22" s="24">
        <f t="shared" si="13"/>
        <v>1059</v>
      </c>
      <c r="AE22" s="4" t="str">
        <f ca="1">VLOOKUP($AD22,OFFSET([4]characters!$A$1,0,0,COUNTA([4]characters!$A:$A),MATCH(AE$1,[4]characters!$1:$1,0)-MATCH("character_id",[4]characters!$1:$1,0)+1),MATCH(AE$1,[4]characters!$1:$1,0)-MATCH("character_id",[4]characters!$1:$1,0)+1,FALSE)</f>
        <v>パズズ</v>
      </c>
      <c r="AF22" s="4">
        <f ca="1">VLOOKUP($AD22,OFFSET([4]characters!$A$1,0,0,COUNTA([4]characters!$A:$A),MATCH(AF$1,[4]characters!$1:$1,0)-MATCH("character_id",[4]characters!$1:$1,0)+1),MATCH(AF$1,[4]characters!$1:$1,0)-MATCH("character_id",[4]characters!$1:$1,0)+1,FALSE)</f>
        <v>4</v>
      </c>
      <c r="AG22" s="4" t="str">
        <f ca="1">VLOOKUP($AD22,OFFSET([4]characters!$A$1,0,0,COUNTA([4]characters!$A:$A),MATCH(AG$1,[4]characters!$1:$1,0)-MATCH("character_id",[4]characters!$1:$1,0)+1),MATCH(AG$1,[4]characters!$1:$1,0)-MATCH("character_id",[4]characters!$1:$1,0)+1,FALSE)</f>
        <v>Drop2N</v>
      </c>
      <c r="AH22" s="7">
        <v>1</v>
      </c>
      <c r="AI22" s="24">
        <f t="shared" ca="1" si="14"/>
        <v>4</v>
      </c>
      <c r="AJ22" s="8">
        <v>20</v>
      </c>
      <c r="AK22" s="7">
        <v>0</v>
      </c>
      <c r="AL22" s="7">
        <v>0</v>
      </c>
      <c r="AM22" s="7">
        <v>0</v>
      </c>
      <c r="AN22" s="7">
        <v>0</v>
      </c>
      <c r="AO22" s="7">
        <v>1</v>
      </c>
      <c r="AP22" s="70">
        <v>1</v>
      </c>
    </row>
    <row r="23" spans="1:42" s="106" customFormat="1" ht="21" customHeight="1" x14ac:dyDescent="0.15">
      <c r="A23" s="105"/>
      <c r="L23" s="107"/>
      <c r="AE23" s="107"/>
    </row>
    <row r="24" spans="1:42" s="106" customFormat="1" ht="21" customHeight="1" x14ac:dyDescent="0.15">
      <c r="A24" s="105"/>
      <c r="L24" s="107"/>
      <c r="AE24" s="107"/>
    </row>
    <row r="25" spans="1:42" s="106" customFormat="1" ht="21" customHeight="1" x14ac:dyDescent="0.15">
      <c r="A25" s="105"/>
      <c r="L25" s="107"/>
      <c r="AE25" s="107"/>
    </row>
    <row r="26" spans="1:42" s="106" customFormat="1" ht="21" customHeight="1" x14ac:dyDescent="0.15">
      <c r="A26" s="105"/>
      <c r="L26" s="107"/>
      <c r="AE26" s="107"/>
    </row>
    <row r="27" spans="1:42" s="106" customFormat="1" ht="21" customHeight="1" x14ac:dyDescent="0.15">
      <c r="A27" s="105"/>
      <c r="L27" s="107"/>
      <c r="AE27" s="107"/>
    </row>
    <row r="28" spans="1:42" s="106" customFormat="1" ht="21" customHeight="1" x14ac:dyDescent="0.15">
      <c r="A28" s="105"/>
      <c r="L28" s="107"/>
      <c r="AE28" s="107"/>
    </row>
    <row r="29" spans="1:42" s="106" customFormat="1" ht="21" customHeight="1" x14ac:dyDescent="0.15">
      <c r="A29" s="105"/>
      <c r="L29" s="107"/>
      <c r="AE29" s="107"/>
    </row>
    <row r="30" spans="1:42" s="106" customFormat="1" ht="21" customHeight="1" x14ac:dyDescent="0.15">
      <c r="A30" s="105"/>
      <c r="L30" s="107"/>
      <c r="AE30" s="107"/>
    </row>
    <row r="31" spans="1:42" s="106" customFormat="1" ht="21" customHeight="1" x14ac:dyDescent="0.15">
      <c r="A31" s="105"/>
      <c r="L31" s="107"/>
      <c r="AE31" s="107"/>
    </row>
    <row r="32" spans="1:42" s="106" customFormat="1" ht="21" customHeight="1" x14ac:dyDescent="0.15">
      <c r="A32" s="105"/>
      <c r="L32" s="107"/>
      <c r="AE32" s="107"/>
    </row>
    <row r="33" spans="1:31" s="106" customFormat="1" ht="21" customHeight="1" x14ac:dyDescent="0.15">
      <c r="A33" s="105"/>
      <c r="L33" s="107"/>
      <c r="AE33" s="107"/>
    </row>
    <row r="34" spans="1:31" s="106" customFormat="1" ht="21" customHeight="1" x14ac:dyDescent="0.15">
      <c r="A34" s="105"/>
      <c r="L34" s="107"/>
      <c r="AE34" s="107"/>
    </row>
    <row r="35" spans="1:31" s="106" customFormat="1" ht="21" customHeight="1" x14ac:dyDescent="0.15">
      <c r="A35" s="105"/>
      <c r="L35" s="107"/>
      <c r="AE35" s="107"/>
    </row>
    <row r="36" spans="1:31" s="106" customFormat="1" ht="21" customHeight="1" x14ac:dyDescent="0.15">
      <c r="A36" s="105"/>
      <c r="L36" s="107"/>
      <c r="AE36" s="107"/>
    </row>
    <row r="37" spans="1:31" s="106" customFormat="1" ht="21" customHeight="1" x14ac:dyDescent="0.15">
      <c r="A37" s="105"/>
      <c r="L37" s="107"/>
      <c r="AE37" s="107"/>
    </row>
    <row r="38" spans="1:31" s="106" customFormat="1" ht="21" customHeight="1" x14ac:dyDescent="0.15">
      <c r="A38" s="105"/>
      <c r="L38" s="107"/>
      <c r="AE38" s="107"/>
    </row>
    <row r="39" spans="1:31" s="106" customFormat="1" ht="21" customHeight="1" x14ac:dyDescent="0.15">
      <c r="A39" s="105"/>
      <c r="L39" s="107"/>
      <c r="AE39" s="107"/>
    </row>
    <row r="40" spans="1:31" s="106" customFormat="1" ht="21" customHeight="1" x14ac:dyDescent="0.15">
      <c r="A40" s="105"/>
      <c r="L40" s="107"/>
      <c r="AE40" s="107"/>
    </row>
    <row r="41" spans="1:31" s="106" customFormat="1" ht="21" customHeight="1" x14ac:dyDescent="0.15">
      <c r="A41" s="105"/>
      <c r="L41" s="107"/>
      <c r="AE41" s="107"/>
    </row>
    <row r="42" spans="1:31" s="106" customFormat="1" ht="21" customHeight="1" x14ac:dyDescent="0.15">
      <c r="A42" s="105"/>
      <c r="L42" s="107"/>
      <c r="AE42" s="107"/>
    </row>
    <row r="43" spans="1:31" s="106" customFormat="1" ht="21" customHeight="1" x14ac:dyDescent="0.15">
      <c r="A43" s="105"/>
      <c r="L43" s="107"/>
      <c r="AE43" s="107"/>
    </row>
    <row r="44" spans="1:31" s="106" customFormat="1" ht="21" customHeight="1" x14ac:dyDescent="0.15">
      <c r="A44" s="105"/>
      <c r="L44" s="107"/>
      <c r="AE44" s="107"/>
    </row>
    <row r="45" spans="1:31" s="106" customFormat="1" ht="21" customHeight="1" x14ac:dyDescent="0.15">
      <c r="A45" s="105"/>
      <c r="L45" s="107"/>
      <c r="AE45" s="107"/>
    </row>
    <row r="46" spans="1:31" s="106" customFormat="1" ht="21" customHeight="1" x14ac:dyDescent="0.15">
      <c r="A46" s="105"/>
      <c r="L46" s="107"/>
      <c r="AE46" s="107"/>
    </row>
    <row r="47" spans="1:31" s="106" customFormat="1" ht="21" customHeight="1" x14ac:dyDescent="0.15">
      <c r="A47" s="105"/>
      <c r="L47" s="107"/>
      <c r="AE47" s="107"/>
    </row>
    <row r="48" spans="1:31" s="106" customFormat="1" ht="21" customHeight="1" x14ac:dyDescent="0.15">
      <c r="A48" s="105"/>
      <c r="L48" s="107"/>
      <c r="AE48" s="107"/>
    </row>
    <row r="49" spans="1:31" s="106" customFormat="1" ht="21" customHeight="1" x14ac:dyDescent="0.15">
      <c r="A49" s="105"/>
      <c r="L49" s="107"/>
      <c r="AE49" s="107"/>
    </row>
    <row r="50" spans="1:31" s="106" customFormat="1" ht="21" customHeight="1" x14ac:dyDescent="0.15">
      <c r="A50" s="105"/>
      <c r="L50" s="107"/>
      <c r="AE50" s="107"/>
    </row>
  </sheetData>
  <sheetProtection selectLockedCells="1" selectUnlockedCells="1"/>
  <autoFilter ref="B1:AJ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4"/>
  <sheetViews>
    <sheetView showGridLines="0" zoomScale="75" zoomScaleNormal="75" zoomScalePageLayoutView="75" workbookViewId="0">
      <pane xSplit="18" ySplit="1" topLeftCell="X2" activePane="bottomRight" state="frozen"/>
      <selection activeCell="E25" sqref="E25"/>
      <selection pane="topRight" activeCell="E25" sqref="E25"/>
      <selection pane="bottomLeft" activeCell="E25" sqref="E25"/>
      <selection pane="bottomRight" activeCell="AA5" sqref="AA5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102" t="s">
        <v>250</v>
      </c>
      <c r="V1" s="26" t="s">
        <v>50</v>
      </c>
      <c r="W1" s="102" t="s">
        <v>251</v>
      </c>
      <c r="X1" s="26" t="s">
        <v>52</v>
      </c>
      <c r="Y1" s="28" t="s">
        <v>130</v>
      </c>
      <c r="Z1" s="29" t="s">
        <v>129</v>
      </c>
      <c r="AA1" s="28" t="s">
        <v>8</v>
      </c>
    </row>
    <row r="2" spans="1:27" ht="21" customHeight="1" x14ac:dyDescent="0.15">
      <c r="A2" s="16" t="str">
        <f>B2&amp;"_"&amp;C2&amp;"-"&amp;G2&amp;"/"&amp;M2&amp;"&lt;lv"&amp;S2&amp;"&gt;sq"&amp;K2&amp;"st"&amp;L2</f>
        <v>20020_3-4/1060&lt;lv40&gt;sq1st2</v>
      </c>
      <c r="B2" s="22">
        <v>20020</v>
      </c>
      <c r="C2" s="21">
        <v>3</v>
      </c>
      <c r="D2" s="2" t="str">
        <f>B2&amp;"_"&amp;C2</f>
        <v>20020_3</v>
      </c>
      <c r="E2" s="4" t="str">
        <f ca="1">VLOOKUP($B2,OFFSET([2]quests!$A$1,0,0,COUNTA([2]quests!$A:$A),MATCH(E$1,[2]quests!$1:$1,0)-MATCH($B$1,[2]quests!$1:$1,0)+1),MATCH(E$1,[2]quests!$1:$1,0)-MATCH($B$1,[2]quests!$1:$1,0)+1,FALSE)</f>
        <v>変幻自在の風</v>
      </c>
      <c r="F2" s="4" t="str">
        <f ca="1">VLOOKUP($D2,OFFSET([2]stages!$A$1,0,0,COUNTA([2]stages!$A:$A),MATCH(F$1,[2]stages!$2:$2,0)-MATCH($D$1,[2]stages!$2:$2,0)+1),MATCH(F$1,[2]stages!$2:$2,0)-MATCH($D$1,[2]stages!$2:$2,0)+1,FALSE)</f>
        <v>【上級】変幻自在の風</v>
      </c>
      <c r="G2" s="21">
        <v>4</v>
      </c>
      <c r="H2" s="15" t="str">
        <f>B2&amp;"_"&amp;C2&amp;"-"&amp;G2</f>
        <v>20020_3-4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1060</v>
      </c>
      <c r="N2" s="17" t="str">
        <f ca="1">VLOOKUP($M2,OFFSET([3]enemies!$A$1,0,0,COUNTA([3]enemies!$A:$A),MATCH(N$1,[3]enemies!$1:$1,0)-MATCH($M$1,[3]enemies!$1:$1,0)+1),MATCH(N$1,[3]enemies!$1:$1,0)-MATCH($M$1,[3]enemies!$1:$1,0)+1,FALSE)</f>
        <v>熱扇風の幼魔 パズズ</v>
      </c>
      <c r="O2" s="17" t="str">
        <f ca="1">VLOOKUP($M2,OFFSET([3]enemies!$A$1,0,0,COUNTA([3]enemies!$A:$A),MATCH(O$1,[3]enemies!$1:$1,0)-MATCH($M$1,[3]enemies!$1:$1,0)+1),MATCH(O$1,[3]enemies!$1:$1,0)-MATCH($M$1,[3]enemies!$1:$1,0)+1,FALSE)</f>
        <v>green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Drop2N</v>
      </c>
      <c r="Q2" s="17" t="str">
        <f ca="1">VLOOKUP($M2,OFFSET([3]enemies!$A$1,0,0,COUNTA([3]enemies!$A:$A),MATCH(Q$1,[3]enemies!$1:$1,0)-MATCH($M$1,[3]enemies!$1:$1,0)+1),MATCH(Q$1,[3]enemies!$1:$1,0)-MATCH($M$1,[3]enemies!$1:$1,0)+1,FALSE)</f>
        <v>god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40</v>
      </c>
      <c r="T2" s="25">
        <v>2.2000000000000002</v>
      </c>
      <c r="U2" s="103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151982.6</v>
      </c>
      <c r="V2" s="25">
        <v>1</v>
      </c>
      <c r="W2" s="103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4530</v>
      </c>
      <c r="X2" s="5">
        <v>0</v>
      </c>
      <c r="Y2" s="4" t="e">
        <f ca="1">VLOOKUP($Z2,OFFSET([5]enemy_skill_sets!$B$1,0,0,COUNTA([5]enemy_skill_sets!$B:$B),MATCH(N$1,[5]enemy_skill_sets!$1:$1,0)-MATCH($Z$1,[5]enemy_skill_sets!$1:$1,0)+2),MATCH(N$1,[5]enemy_skill_sets!$1:$1,0)-MATCH($Z$1,[5]enemy_skill_sets!$1:$1,0)+2,FALSE)</f>
        <v>#VALUE!</v>
      </c>
      <c r="Z2" s="4">
        <v>20020007</v>
      </c>
      <c r="AA2" s="71">
        <v>1</v>
      </c>
    </row>
    <row r="3" spans="1:27" ht="21" customHeight="1" x14ac:dyDescent="0.15">
      <c r="A3" s="16" t="str">
        <f>B3&amp;"_"&amp;C3&amp;"-"&amp;G3&amp;"/"&amp;M3&amp;"&lt;lv"&amp;S3&amp;"&gt;sq"&amp;K3&amp;"st"&amp;L3</f>
        <v>20020_2-4/1060&lt;lv32&gt;sq1st2</v>
      </c>
      <c r="B3" s="22">
        <v>20020</v>
      </c>
      <c r="C3" s="21">
        <v>2</v>
      </c>
      <c r="D3" s="2" t="str">
        <f>B3&amp;"_"&amp;C3</f>
        <v>20020_2</v>
      </c>
      <c r="E3" s="4" t="str">
        <f ca="1">VLOOKUP($B3,OFFSET([2]quests!$A$1,0,0,COUNTA([2]quests!$A:$A),MATCH(E$1,[2]quests!$1:$1,0)-MATCH($B$1,[2]quests!$1:$1,0)+1),MATCH(E$1,[2]quests!$1:$1,0)-MATCH($B$1,[2]quests!$1:$1,0)+1,FALSE)</f>
        <v>変幻自在の風</v>
      </c>
      <c r="F3" s="4" t="str">
        <f ca="1">VLOOKUP($D3,OFFSET([2]stages!$A$1,0,0,COUNTA([2]stages!$A:$A),MATCH(F$1,[2]stages!$2:$2,0)-MATCH($D$1,[2]stages!$2:$2,0)+1),MATCH(F$1,[2]stages!$2:$2,0)-MATCH($D$1,[2]stages!$2:$2,0)+1,FALSE)</f>
        <v>【中級】変幻自在の風</v>
      </c>
      <c r="G3" s="21">
        <v>4</v>
      </c>
      <c r="H3" s="15" t="str">
        <f>B3&amp;"_"&amp;C3&amp;"-"&amp;G3</f>
        <v>20020_2-4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1</v>
      </c>
      <c r="L3" s="38">
        <v>2</v>
      </c>
      <c r="M3" s="20">
        <v>1060</v>
      </c>
      <c r="N3" s="17" t="str">
        <f ca="1">VLOOKUP($M3,OFFSET([3]enemies!$A$1,0,0,COUNTA([3]enemies!$A:$A),MATCH(N$1,[3]enemies!$1:$1,0)-MATCH($M$1,[3]enemies!$1:$1,0)+1),MATCH(N$1,[3]enemies!$1:$1,0)-MATCH($M$1,[3]enemies!$1:$1,0)+1,FALSE)</f>
        <v>熱扇風の幼魔 パズズ</v>
      </c>
      <c r="O3" s="17" t="str">
        <f ca="1">VLOOKUP($M3,OFFSET([3]enemies!$A$1,0,0,COUNTA([3]enemies!$A:$A),MATCH(O$1,[3]enemies!$1:$1,0)-MATCH($M$1,[3]enemies!$1:$1,0)+1),MATCH(O$1,[3]enemies!$1:$1,0)-MATCH($M$1,[3]enemies!$1:$1,0)+1,FALSE)</f>
        <v>green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Drop2N</v>
      </c>
      <c r="Q3" s="17" t="str">
        <f ca="1">VLOOKUP($M3,OFFSET([3]enemies!$A$1,0,0,COUNTA([3]enemies!$A:$A),MATCH(Q$1,[3]enemies!$1:$1,0)-MATCH($M$1,[3]enemies!$1:$1,0)+1),MATCH(Q$1,[3]enemies!$1:$1,0)-MATCH($M$1,[3]enemies!$1:$1,0)+1,FALSE)</f>
        <v>god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32</v>
      </c>
      <c r="T3" s="25">
        <v>2</v>
      </c>
      <c r="U3" s="103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111530</v>
      </c>
      <c r="V3" s="25">
        <v>1</v>
      </c>
      <c r="W3" s="103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3657</v>
      </c>
      <c r="X3" s="5">
        <v>0</v>
      </c>
      <c r="Y3" s="4" t="e">
        <f ca="1">VLOOKUP($Z3,OFFSET([5]enemy_skill_sets!$B$1,0,0,COUNTA([5]enemy_skill_sets!$B:$B),MATCH(N$1,[5]enemy_skill_sets!$1:$1,0)-MATCH($Z$1,[5]enemy_skill_sets!$1:$1,0)+2),MATCH(N$1,[5]enemy_skill_sets!$1:$1,0)-MATCH($Z$1,[5]enemy_skill_sets!$1:$1,0)+2,FALSE)</f>
        <v>#VALUE!</v>
      </c>
      <c r="Z3" s="4">
        <v>20020007</v>
      </c>
      <c r="AA3" s="71">
        <v>1</v>
      </c>
    </row>
    <row r="4" spans="1:27" ht="21" customHeight="1" x14ac:dyDescent="0.15">
      <c r="A4" s="16" t="str">
        <f>B4&amp;"_"&amp;C4&amp;"-"&amp;G4&amp;"/"&amp;M4&amp;"&lt;lv"&amp;S4&amp;"&gt;sq"&amp;K4&amp;"st"&amp;L4</f>
        <v>20020_1-4/1060&lt;lv22&gt;sq1st2</v>
      </c>
      <c r="B4" s="22">
        <v>20020</v>
      </c>
      <c r="C4" s="21">
        <v>1</v>
      </c>
      <c r="D4" s="2" t="str">
        <f>B4&amp;"_"&amp;C4</f>
        <v>20020_1</v>
      </c>
      <c r="E4" s="4" t="str">
        <f ca="1">VLOOKUP($B4,OFFSET([2]quests!$A$1,0,0,COUNTA([2]quests!$A:$A),MATCH(E$1,[2]quests!$1:$1,0)-MATCH($B$1,[2]quests!$1:$1,0)+1),MATCH(E$1,[2]quests!$1:$1,0)-MATCH($B$1,[2]quests!$1:$1,0)+1,FALSE)</f>
        <v>変幻自在の風</v>
      </c>
      <c r="F4" s="4" t="str">
        <f ca="1">VLOOKUP($D4,OFFSET([2]stages!$A$1,0,0,COUNTA([2]stages!$A:$A),MATCH(F$1,[2]stages!$2:$2,0)-MATCH($D$1,[2]stages!$2:$2,0)+1),MATCH(F$1,[2]stages!$2:$2,0)-MATCH($D$1,[2]stages!$2:$2,0)+1,FALSE)</f>
        <v>【初級】変幻自在の風</v>
      </c>
      <c r="G4" s="21">
        <v>4</v>
      </c>
      <c r="H4" s="15" t="str">
        <f>B4&amp;"_"&amp;C4&amp;"-"&amp;G4</f>
        <v>20020_1-4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1</v>
      </c>
      <c r="L4" s="38">
        <v>2</v>
      </c>
      <c r="M4" s="20">
        <v>1060</v>
      </c>
      <c r="N4" s="17" t="str">
        <f ca="1">VLOOKUP($M4,OFFSET([3]enemies!$A$1,0,0,COUNTA([3]enemies!$A:$A),MATCH(N$1,[3]enemies!$1:$1,0)-MATCH($M$1,[3]enemies!$1:$1,0)+1),MATCH(N$1,[3]enemies!$1:$1,0)-MATCH($M$1,[3]enemies!$1:$1,0)+1,FALSE)</f>
        <v>熱扇風の幼魔 パズズ</v>
      </c>
      <c r="O4" s="17" t="str">
        <f ca="1">VLOOKUP($M4,OFFSET([3]enemies!$A$1,0,0,COUNTA([3]enemies!$A:$A),MATCH(O$1,[3]enemies!$1:$1,0)-MATCH($M$1,[3]enemies!$1:$1,0)+1),MATCH(O$1,[3]enemies!$1:$1,0)-MATCH($M$1,[3]enemies!$1:$1,0)+1,FALSE)</f>
        <v>green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Drop2N</v>
      </c>
      <c r="Q4" s="17" t="str">
        <f ca="1">VLOOKUP($M4,OFFSET([3]enemies!$A$1,0,0,COUNTA([3]enemies!$A:$A),MATCH(Q$1,[3]enemies!$1:$1,0)-MATCH($M$1,[3]enemies!$1:$1,0)+1),MATCH(Q$1,[3]enemies!$1:$1,0)-MATCH($M$1,[3]enemies!$1:$1,0)+1,FALSE)</f>
        <v>god</v>
      </c>
      <c r="R4" s="17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22</v>
      </c>
      <c r="T4" s="25">
        <v>2</v>
      </c>
      <c r="U4" s="103">
        <f ca="1">ROUND(VLOOKUP(S4,[3]enemy_base_stats!$A:$F,2,FALSE) *INDIRECT("[EnemyMasterData.xlsm]enemies!Y"&amp;(M4+1))*  INDIRECT("[EnemyMasterData.xlsm]enemies!J"&amp;(M4+1))* INDIRECT("[EnemyMasterData.xlsm]enemies!O"&amp;(M4+1))* INDIRECT("[EnemyMasterData.xlsm]enemies!E"&amp;(M4+1))* INDIRECT("[EnemyMasterData.xlsm]enemies!S"&amp;(M4+1))* INDIRECT("[EnemyMasterData.xlsm]enemies!AD"&amp;(M4+1))*[4]ステータス!$B$2,0)*T4</f>
        <v>78238</v>
      </c>
      <c r="V4" s="25">
        <v>1</v>
      </c>
      <c r="W4" s="103">
        <f ca="1">ROUND(VLOOKUP(S4,[3]enemy_base_stats!$A:$F,3,FALSE) *INDIRECT("[EnemyMasterData.xlsm]enemies!Z"&amp;(M4+1))*  INDIRECT("[EnemyMasterData.xlsm]enemies!K"&amp;(M4+1))* INDIRECT("[EnemyMasterData.xlsm]enemies!P"&amp;(M4+1))* INDIRECT("[EnemyMasterData.xlsm]enemies!F"&amp;(M4+1))* INDIRECT("[EnemyMasterData.xlsm]enemies!T"&amp;(M4+1))* INDIRECT("[EnemyMasterData.xlsm]enemies!AE"&amp;(M4+1))*[4]ステータス!$C$2,0)*V4</f>
        <v>2565</v>
      </c>
      <c r="X4" s="5">
        <v>0</v>
      </c>
      <c r="Y4" s="4" t="e">
        <f ca="1">VLOOKUP($Z4,OFFSET([5]enemy_skill_sets!$B$1,0,0,COUNTA([5]enemy_skill_sets!$B:$B),MATCH(N$1,[5]enemy_skill_sets!$1:$1,0)-MATCH($Z$1,[5]enemy_skill_sets!$1:$1,0)+2),MATCH(N$1,[5]enemy_skill_sets!$1:$1,0)-MATCH($Z$1,[5]enemy_skill_sets!$1:$1,0)+2,FALSE)</f>
        <v>#VALUE!</v>
      </c>
      <c r="Z4" s="4">
        <v>20020007</v>
      </c>
      <c r="AA4" s="71">
        <v>1</v>
      </c>
    </row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30"/>
  <sheetViews>
    <sheetView showGridLines="0" zoomScale="160" zoomScaleNormal="90" zoomScalePageLayoutView="90" workbookViewId="0">
      <pane ySplit="1" topLeftCell="A27" activePane="bottomLeft" state="frozenSplit"/>
      <selection pane="bottomLeft" activeCell="B32" sqref="B32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67.1640625" style="49" customWidth="1"/>
    <col min="3" max="4" width="12.83203125" style="49"/>
    <col min="5" max="5" width="23.6640625" style="49" bestFit="1" customWidth="1"/>
    <col min="6" max="6" width="44.1640625" style="49" bestFit="1" customWidth="1"/>
    <col min="7" max="7" width="52" style="49" customWidth="1" outlineLevel="1"/>
    <col min="8" max="8" width="18.33203125" style="49" customWidth="1" outlineLevel="1"/>
    <col min="9" max="11" width="18.6640625" style="49" customWidth="1" outlineLevel="1"/>
    <col min="12" max="12" width="23.6640625" style="49" customWidth="1"/>
    <col min="13" max="18" width="23.6640625" style="49" customWidth="1" outlineLevel="1"/>
    <col min="19" max="19" width="23.6640625" style="49" customWidth="1"/>
    <col min="20" max="24" width="23.6640625" style="49" customWidth="1" outlineLevel="1"/>
    <col min="25" max="25" width="23.6640625" style="49" customWidth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79</v>
      </c>
      <c r="B1" s="40" t="s">
        <v>80</v>
      </c>
      <c r="C1" s="40" t="s">
        <v>81</v>
      </c>
      <c r="D1" s="40" t="s">
        <v>127</v>
      </c>
      <c r="E1" s="40" t="s">
        <v>82</v>
      </c>
      <c r="F1" s="40" t="s">
        <v>83</v>
      </c>
      <c r="G1" s="41" t="s">
        <v>133</v>
      </c>
      <c r="H1" s="41" t="s">
        <v>139</v>
      </c>
      <c r="I1" s="41" t="s">
        <v>141</v>
      </c>
      <c r="J1" s="41" t="s">
        <v>140</v>
      </c>
      <c r="K1" s="41" t="s">
        <v>142</v>
      </c>
      <c r="L1" s="41" t="s">
        <v>134</v>
      </c>
      <c r="M1" s="41" t="s">
        <v>132</v>
      </c>
      <c r="N1" s="41" t="s">
        <v>135</v>
      </c>
      <c r="O1" s="41" t="s">
        <v>143</v>
      </c>
      <c r="P1" s="41" t="s">
        <v>144</v>
      </c>
      <c r="Q1" s="41" t="s">
        <v>145</v>
      </c>
      <c r="R1" s="41" t="s">
        <v>146</v>
      </c>
      <c r="S1" s="41" t="s">
        <v>136</v>
      </c>
      <c r="T1" s="41" t="s">
        <v>137</v>
      </c>
      <c r="U1" s="41" t="s">
        <v>147</v>
      </c>
      <c r="V1" s="41" t="s">
        <v>148</v>
      </c>
      <c r="W1" s="41" t="s">
        <v>149</v>
      </c>
      <c r="X1" s="41" t="s">
        <v>150</v>
      </c>
      <c r="Y1" s="41" t="s">
        <v>138</v>
      </c>
      <c r="Z1" s="41" t="s">
        <v>76</v>
      </c>
      <c r="AA1" s="41" t="s">
        <v>77</v>
      </c>
      <c r="AB1" s="41" t="s">
        <v>78</v>
      </c>
    </row>
    <row r="2" spans="1:28" ht="21" customHeight="1" x14ac:dyDescent="0.15">
      <c r="A2" s="47">
        <v>20020001</v>
      </c>
      <c r="B2" s="108" t="s">
        <v>255</v>
      </c>
      <c r="C2" s="50">
        <v>3</v>
      </c>
      <c r="D2" s="50" t="s">
        <v>128</v>
      </c>
      <c r="E2" s="51" t="s">
        <v>265</v>
      </c>
      <c r="F2" s="51" t="s">
        <v>283</v>
      </c>
      <c r="G2" s="64" t="str">
        <f t="shared" ref="G2:G9" si="0">IFERROR(LEFT(B2,FIND("],",B2)),B2)</f>
        <v>[effect:enhance_enemy, target:myself, turn:2, status:defense, val:0.3, calc:add, animation:enemy_enhance_defense]</v>
      </c>
      <c r="H2" s="64">
        <f t="shared" ref="H2:H9" si="1">FIND("effect:",G2)+7</f>
        <v>9</v>
      </c>
      <c r="I2" s="64">
        <f t="shared" ref="I2:I9" si="2">IFERROR(FIND(",",G2),LEN(G2))</f>
        <v>22</v>
      </c>
      <c r="J2" s="64">
        <f t="shared" ref="J2:J9" si="3">FIND("target:",G2)+7</f>
        <v>31</v>
      </c>
      <c r="K2" s="64">
        <f t="shared" ref="K2:K9" si="4">FIND(",",G2,I2+1)</f>
        <v>37</v>
      </c>
      <c r="L2" s="64" t="str">
        <f>IFERROR(VLOOKUP(MID(G2,J2,K2-J2),[6]skilldef!$C:$D,2,FALSE),"-") &amp; " / " &amp; IFERROR(VLOOKUP(MID(G2,H2,I2-H2),[6]skilldef!$A:$B,2,FALSE),"-")</f>
        <v>自分自身に / ステータス強化</v>
      </c>
      <c r="M2" s="64" t="str">
        <f t="shared" ref="M2:M9" si="5">IFERROR(RIGHT(B2,LEN(B2)-FIND("],",B2)-1),"none")</f>
        <v>none</v>
      </c>
      <c r="N2" s="48" t="str">
        <f>IFERROR(LEFT(M2,FIND("],",M2)+#REF!),M2)</f>
        <v>none</v>
      </c>
      <c r="O2" s="64" t="e">
        <f t="shared" ref="O2:O9" si="6">FIND("effect:",N2)+7</f>
        <v>#VALUE!</v>
      </c>
      <c r="P2" s="64">
        <f t="shared" ref="P2:P9" si="7">IFERROR(FIND(",",N2),LEN(N2))</f>
        <v>4</v>
      </c>
      <c r="Q2" s="64" t="e">
        <f t="shared" ref="Q2:Q9" si="8">FIND("target:",N2)+7</f>
        <v>#VALUE!</v>
      </c>
      <c r="R2" s="64" t="e">
        <f t="shared" ref="R2:R9" si="9">FIND(",",N2,P2+1)</f>
        <v>#VALUE!</v>
      </c>
      <c r="S2" s="64" t="str">
        <f>IFERROR(VLOOKUP(MID(N2,Q2,R2-Q2),[6]skilldef!$C:$D,2,FALSE),"-") &amp; " / " &amp; IFERROR(VLOOKUP(MID(N2,O2,P2-O2),[6]skilldef!$A:$B,2,FALSE),"-")</f>
        <v>- / -</v>
      </c>
      <c r="T2" s="48" t="str">
        <f t="shared" ref="T2:T9" si="10">IFERROR(RIGHT(M2,LEN(M2)-FIND("],",M2)-1),"none")</f>
        <v>none</v>
      </c>
      <c r="U2" s="64" t="e">
        <f t="shared" ref="U2:U9" si="11">FIND("effect:",T2)+7</f>
        <v>#VALUE!</v>
      </c>
      <c r="V2" s="64">
        <f t="shared" ref="V2:V9" si="12">IFERROR(FIND(",",T2),LEN(T2))</f>
        <v>4</v>
      </c>
      <c r="W2" s="64" t="e">
        <f t="shared" ref="W2:W9" si="13">FIND("target:",T2)+7</f>
        <v>#VALUE!</v>
      </c>
      <c r="X2" s="64" t="e">
        <f t="shared" ref="X2:X9" si="14">FIND(",",T2,V2+1)</f>
        <v>#VALUE!</v>
      </c>
      <c r="Y2" s="64" t="str">
        <f>IFERROR(VLOOKUP(MID(T2,W2,X2-W2),[6]skilldef!$C:$D,2,FALSE),"-") &amp; " / " &amp; IFERROR(VLOOKUP(MID(T2,U2,V2-U2),[6]skilldef!$A:$B,2,FALSE),"-")</f>
        <v>- / -</v>
      </c>
      <c r="Z2" s="50"/>
      <c r="AA2" s="52"/>
      <c r="AB2" s="50"/>
    </row>
    <row r="3" spans="1:28" ht="21" customHeight="1" x14ac:dyDescent="0.15">
      <c r="A3" s="47">
        <v>20020002</v>
      </c>
      <c r="B3" s="109" t="s">
        <v>262</v>
      </c>
      <c r="C3" s="50">
        <v>3</v>
      </c>
      <c r="D3" s="50" t="s">
        <v>128</v>
      </c>
      <c r="E3" s="51" t="s">
        <v>290</v>
      </c>
      <c r="F3" s="51" t="s">
        <v>284</v>
      </c>
      <c r="G3" s="64" t="str">
        <f t="shared" si="0"/>
        <v>[effect:enhance_enemy, target:enemy_animal, turn:3, status:attack, val:0.4, calc:mul, animation:enemy_enhance_attack]</v>
      </c>
      <c r="H3" s="64">
        <f t="shared" si="1"/>
        <v>9</v>
      </c>
      <c r="I3" s="64">
        <f t="shared" si="2"/>
        <v>22</v>
      </c>
      <c r="J3" s="64">
        <f t="shared" si="3"/>
        <v>31</v>
      </c>
      <c r="K3" s="64">
        <f t="shared" si="4"/>
        <v>43</v>
      </c>
      <c r="L3" s="64" t="str">
        <f>IFERROR(VLOOKUP(MID(G3,J3,K3-J3),[6]skilldef!$C:$D,2,FALSE),"-") &amp; " / " &amp; IFERROR(VLOOKUP(MID(G3,H3,I3-H3),[6]skilldef!$A:$B,2,FALSE),"-")</f>
        <v>- / ステータス強化</v>
      </c>
      <c r="M3" s="64" t="str">
        <f t="shared" si="5"/>
        <v>none</v>
      </c>
      <c r="N3" s="48" t="str">
        <f>IFERROR(LEFT(M3,FIND("],",M3)+#REF!),M3)</f>
        <v>none</v>
      </c>
      <c r="O3" s="64" t="e">
        <f t="shared" si="6"/>
        <v>#VALUE!</v>
      </c>
      <c r="P3" s="64">
        <f t="shared" si="7"/>
        <v>4</v>
      </c>
      <c r="Q3" s="64" t="e">
        <f t="shared" si="8"/>
        <v>#VALUE!</v>
      </c>
      <c r="R3" s="64" t="e">
        <f t="shared" si="9"/>
        <v>#VALUE!</v>
      </c>
      <c r="S3" s="64" t="str">
        <f>IFERROR(VLOOKUP(MID(N3,Q3,R3-Q3),[6]skilldef!$C:$D,2,FALSE),"-") &amp; " / " &amp; IFERROR(VLOOKUP(MID(N3,O3,P3-O3),[6]skilldef!$A:$B,2,FALSE),"-")</f>
        <v>- / -</v>
      </c>
      <c r="T3" s="48" t="str">
        <f t="shared" si="10"/>
        <v>none</v>
      </c>
      <c r="U3" s="64" t="e">
        <f t="shared" si="11"/>
        <v>#VALUE!</v>
      </c>
      <c r="V3" s="64">
        <f t="shared" si="12"/>
        <v>4</v>
      </c>
      <c r="W3" s="64" t="e">
        <f t="shared" si="13"/>
        <v>#VALUE!</v>
      </c>
      <c r="X3" s="64" t="e">
        <f t="shared" si="14"/>
        <v>#VALUE!</v>
      </c>
      <c r="Y3" s="64" t="str">
        <f>IFERROR(VLOOKUP(MID(T3,W3,X3-W3),[6]skilldef!$C:$D,2,FALSE),"-") &amp; " / " &amp; IFERROR(VLOOKUP(MID(T3,U3,V3-U3),[6]skilldef!$A:$B,2,FALSE),"-")</f>
        <v>- / -</v>
      </c>
      <c r="Z3" s="50"/>
      <c r="AA3" s="52"/>
      <c r="AB3" s="50"/>
    </row>
    <row r="4" spans="1:28" ht="21" customHeight="1" x14ac:dyDescent="0.15">
      <c r="A4" s="47">
        <v>20020003</v>
      </c>
      <c r="B4" s="109" t="s">
        <v>261</v>
      </c>
      <c r="C4" s="50">
        <v>3</v>
      </c>
      <c r="D4" s="50" t="s">
        <v>128</v>
      </c>
      <c r="E4" s="51" t="s">
        <v>263</v>
      </c>
      <c r="F4" s="51" t="s">
        <v>259</v>
      </c>
      <c r="G4" s="64" t="str">
        <f t="shared" si="0"/>
        <v>[effect:rush, count:3, val:0.4]</v>
      </c>
      <c r="H4" s="64">
        <f t="shared" si="1"/>
        <v>9</v>
      </c>
      <c r="I4" s="64">
        <f t="shared" si="2"/>
        <v>13</v>
      </c>
      <c r="J4" s="64" t="e">
        <f t="shared" si="3"/>
        <v>#VALUE!</v>
      </c>
      <c r="K4" s="64">
        <f t="shared" si="4"/>
        <v>22</v>
      </c>
      <c r="L4" s="64" t="str">
        <f>IFERROR(VLOOKUP(MID(G4,J4,K4-J4),[6]skilldef!$C:$D,2,FALSE),"-") &amp; " / " &amp; IFERROR(VLOOKUP(MID(G4,H4,I4-H4),[6]skilldef!$A:$B,2,FALSE),"-")</f>
        <v>- / 連続攻撃</v>
      </c>
      <c r="M4" s="64" t="str">
        <f t="shared" si="5"/>
        <v>none</v>
      </c>
      <c r="N4" s="48" t="str">
        <f>IFERROR(LEFT(M4,FIND("],",M4)+#REF!),M4)</f>
        <v>none</v>
      </c>
      <c r="O4" s="64" t="e">
        <f t="shared" si="6"/>
        <v>#VALUE!</v>
      </c>
      <c r="P4" s="64">
        <f t="shared" si="7"/>
        <v>4</v>
      </c>
      <c r="Q4" s="64" t="e">
        <f t="shared" si="8"/>
        <v>#VALUE!</v>
      </c>
      <c r="R4" s="64" t="e">
        <f t="shared" si="9"/>
        <v>#VALUE!</v>
      </c>
      <c r="S4" s="64" t="str">
        <f>IFERROR(VLOOKUP(MID(N4,Q4,R4-Q4),[6]skilldef!$C:$D,2,FALSE),"-") &amp; " / " &amp; IFERROR(VLOOKUP(MID(N4,O4,P4-O4),[6]skilldef!$A:$B,2,FALSE),"-")</f>
        <v>- / -</v>
      </c>
      <c r="T4" s="48" t="str">
        <f t="shared" si="10"/>
        <v>none</v>
      </c>
      <c r="U4" s="64" t="e">
        <f t="shared" si="11"/>
        <v>#VALUE!</v>
      </c>
      <c r="V4" s="64">
        <f t="shared" si="12"/>
        <v>4</v>
      </c>
      <c r="W4" s="64" t="e">
        <f t="shared" si="13"/>
        <v>#VALUE!</v>
      </c>
      <c r="X4" s="64" t="e">
        <f t="shared" si="14"/>
        <v>#VALUE!</v>
      </c>
      <c r="Y4" s="64" t="str">
        <f>IFERROR(VLOOKUP(MID(T4,W4,X4-W4),[6]skilldef!$C:$D,2,FALSE),"-") &amp; " / " &amp; IFERROR(VLOOKUP(MID(T4,U4,V4-U4),[6]skilldef!$A:$B,2,FALSE),"-")</f>
        <v>- / -</v>
      </c>
      <c r="Z4" s="50"/>
      <c r="AA4" s="52"/>
      <c r="AB4" s="50"/>
    </row>
    <row r="5" spans="1:28" ht="21" customHeight="1" x14ac:dyDescent="0.15">
      <c r="A5" s="47">
        <v>20020004</v>
      </c>
      <c r="B5" s="109" t="s">
        <v>258</v>
      </c>
      <c r="C5" s="50">
        <v>3</v>
      </c>
      <c r="D5" s="50" t="s">
        <v>128</v>
      </c>
      <c r="E5" s="51" t="s">
        <v>273</v>
      </c>
      <c r="F5" s="51" t="s">
        <v>260</v>
      </c>
      <c r="G5" s="64" t="str">
        <f t="shared" ref="G5:G6" si="15">IFERROR(LEFT(B5,FIND("],",B5)),B5)</f>
        <v>[effect:rush, count:2, val:0.5]</v>
      </c>
      <c r="H5" s="64">
        <f t="shared" ref="H5:H6" si="16">FIND("effect:",G5)+7</f>
        <v>9</v>
      </c>
      <c r="I5" s="64">
        <f t="shared" ref="I5:I6" si="17">IFERROR(FIND(",",G5),LEN(G5))</f>
        <v>13</v>
      </c>
      <c r="J5" s="64" t="e">
        <f t="shared" ref="J5:J6" si="18">FIND("target:",G5)+7</f>
        <v>#VALUE!</v>
      </c>
      <c r="K5" s="64">
        <f t="shared" ref="K5:K6" si="19">FIND(",",G5,I5+1)</f>
        <v>22</v>
      </c>
      <c r="L5" s="64" t="str">
        <f>IFERROR(VLOOKUP(MID(G5,J5,K5-J5),[6]skilldef!$C:$D,2,FALSE),"-") &amp; " / " &amp; IFERROR(VLOOKUP(MID(G5,H5,I5-H5),[6]skilldef!$A:$B,2,FALSE),"-")</f>
        <v>- / 連続攻撃</v>
      </c>
      <c r="M5" s="64" t="str">
        <f t="shared" ref="M5:M6" si="20">IFERROR(RIGHT(B5,LEN(B5)-FIND("],",B5)-1),"none")</f>
        <v>none</v>
      </c>
      <c r="N5" s="48" t="str">
        <f>IFERROR(LEFT(M5,FIND("],",M5)+#REF!),M5)</f>
        <v>none</v>
      </c>
      <c r="O5" s="64" t="e">
        <f t="shared" ref="O5:O6" si="21">FIND("effect:",N5)+7</f>
        <v>#VALUE!</v>
      </c>
      <c r="P5" s="64">
        <f t="shared" ref="P5:P6" si="22">IFERROR(FIND(",",N5),LEN(N5))</f>
        <v>4</v>
      </c>
      <c r="Q5" s="64" t="e">
        <f t="shared" ref="Q5:Q6" si="23">FIND("target:",N5)+7</f>
        <v>#VALUE!</v>
      </c>
      <c r="R5" s="64" t="e">
        <f t="shared" ref="R5:R6" si="24">FIND(",",N5,P5+1)</f>
        <v>#VALUE!</v>
      </c>
      <c r="S5" s="64" t="str">
        <f>IFERROR(VLOOKUP(MID(N5,Q5,R5-Q5),[6]skilldef!$C:$D,2,FALSE),"-") &amp; " / " &amp; IFERROR(VLOOKUP(MID(N5,O5,P5-O5),[6]skilldef!$A:$B,2,FALSE),"-")</f>
        <v>- / -</v>
      </c>
      <c r="T5" s="48" t="str">
        <f t="shared" ref="T5:T6" si="25">IFERROR(RIGHT(M5,LEN(M5)-FIND("],",M5)-1),"none")</f>
        <v>none</v>
      </c>
      <c r="U5" s="64" t="e">
        <f t="shared" ref="U5:U6" si="26">FIND("effect:",T5)+7</f>
        <v>#VALUE!</v>
      </c>
      <c r="V5" s="64">
        <f t="shared" ref="V5:V6" si="27">IFERROR(FIND(",",T5),LEN(T5))</f>
        <v>4</v>
      </c>
      <c r="W5" s="64" t="e">
        <f t="shared" ref="W5:W6" si="28">FIND("target:",T5)+7</f>
        <v>#VALUE!</v>
      </c>
      <c r="X5" s="64" t="e">
        <f t="shared" ref="X5:X6" si="29">FIND(",",T5,V5+1)</f>
        <v>#VALUE!</v>
      </c>
      <c r="Y5" s="64" t="str">
        <f>IFERROR(VLOOKUP(MID(T5,W5,X5-W5),[6]skilldef!$C:$D,2,FALSE),"-") &amp; " / " &amp; IFERROR(VLOOKUP(MID(T5,U5,V5-U5),[6]skilldef!$A:$B,2,FALSE),"-")</f>
        <v>- / -</v>
      </c>
      <c r="Z5" s="50"/>
      <c r="AA5" s="52"/>
      <c r="AB5" s="50"/>
    </row>
    <row r="6" spans="1:28" ht="21" customHeight="1" x14ac:dyDescent="0.15">
      <c r="A6" s="47">
        <v>20020005</v>
      </c>
      <c r="B6" s="109" t="s">
        <v>256</v>
      </c>
      <c r="C6" s="50">
        <v>3</v>
      </c>
      <c r="D6" s="50" t="s">
        <v>128</v>
      </c>
      <c r="E6" s="51" t="s">
        <v>264</v>
      </c>
      <c r="F6" s="51" t="s">
        <v>318</v>
      </c>
      <c r="G6" s="64" t="str">
        <f t="shared" si="15"/>
        <v>[effect:freq_turn, target:enemy_animal, turn:2, val:1, animation:enemy_freq_turn]</v>
      </c>
      <c r="H6" s="64">
        <f t="shared" si="16"/>
        <v>9</v>
      </c>
      <c r="I6" s="64">
        <f t="shared" si="17"/>
        <v>18</v>
      </c>
      <c r="J6" s="64">
        <f t="shared" si="18"/>
        <v>27</v>
      </c>
      <c r="K6" s="64">
        <f t="shared" si="19"/>
        <v>39</v>
      </c>
      <c r="L6" s="64" t="str">
        <f>IFERROR(VLOOKUP(MID(G6,J6,K6-J6),[6]skilldef!$C:$D,2,FALSE),"-") &amp; " / " &amp; IFERROR(VLOOKUP(MID(G6,H6,I6-H6),[6]skilldef!$A:$B,2,FALSE),"-")</f>
        <v>- / 攻撃頻度がUP</v>
      </c>
      <c r="M6" s="64" t="str">
        <f t="shared" si="20"/>
        <v>none</v>
      </c>
      <c r="N6" s="48" t="str">
        <f>IFERROR(LEFT(M6,FIND("],",M6)+#REF!),M6)</f>
        <v>none</v>
      </c>
      <c r="O6" s="64" t="e">
        <f t="shared" si="21"/>
        <v>#VALUE!</v>
      </c>
      <c r="P6" s="64">
        <f t="shared" si="22"/>
        <v>4</v>
      </c>
      <c r="Q6" s="64" t="e">
        <f t="shared" si="23"/>
        <v>#VALUE!</v>
      </c>
      <c r="R6" s="64" t="e">
        <f t="shared" si="24"/>
        <v>#VALUE!</v>
      </c>
      <c r="S6" s="64" t="str">
        <f>IFERROR(VLOOKUP(MID(N6,Q6,R6-Q6),[6]skilldef!$C:$D,2,FALSE),"-") &amp; " / " &amp; IFERROR(VLOOKUP(MID(N6,O6,P6-O6),[6]skilldef!$A:$B,2,FALSE),"-")</f>
        <v>- / -</v>
      </c>
      <c r="T6" s="48" t="str">
        <f t="shared" si="25"/>
        <v>none</v>
      </c>
      <c r="U6" s="64" t="e">
        <f t="shared" si="26"/>
        <v>#VALUE!</v>
      </c>
      <c r="V6" s="64">
        <f t="shared" si="27"/>
        <v>4</v>
      </c>
      <c r="W6" s="64" t="e">
        <f t="shared" si="28"/>
        <v>#VALUE!</v>
      </c>
      <c r="X6" s="64" t="e">
        <f t="shared" si="29"/>
        <v>#VALUE!</v>
      </c>
      <c r="Y6" s="64" t="str">
        <f>IFERROR(VLOOKUP(MID(T6,W6,X6-W6),[6]skilldef!$C:$D,2,FALSE),"-") &amp; " / " &amp; IFERROR(VLOOKUP(MID(T6,U6,V6-U6),[6]skilldef!$A:$B,2,FALSE),"-")</f>
        <v>- / -</v>
      </c>
      <c r="Z6" s="50"/>
      <c r="AA6" s="52"/>
      <c r="AB6" s="50"/>
    </row>
    <row r="7" spans="1:28" ht="21" customHeight="1" x14ac:dyDescent="0.15">
      <c r="A7" s="47">
        <v>20020006</v>
      </c>
      <c r="B7" s="109" t="s">
        <v>272</v>
      </c>
      <c r="C7" s="50">
        <v>3</v>
      </c>
      <c r="D7" s="50" t="s">
        <v>128</v>
      </c>
      <c r="E7" s="51" t="s">
        <v>269</v>
      </c>
      <c r="F7" s="51" t="s">
        <v>270</v>
      </c>
      <c r="G7" s="64" t="str">
        <f t="shared" ref="G7" si="30">IFERROR(LEFT(B7,FIND("],",B7)),B7)</f>
        <v>[effect:enhance_enemy, target:enemy_all, turn:2, status:attack, val:0.4, calc:mul, animation:enemy_enhance_attack]</v>
      </c>
      <c r="H7" s="64">
        <f t="shared" ref="H7" si="31">FIND("effect:",G7)+7</f>
        <v>9</v>
      </c>
      <c r="I7" s="64">
        <f t="shared" ref="I7" si="32">IFERROR(FIND(",",G7),LEN(G7))</f>
        <v>22</v>
      </c>
      <c r="J7" s="64">
        <f t="shared" ref="J7" si="33">FIND("target:",G7)+7</f>
        <v>31</v>
      </c>
      <c r="K7" s="64">
        <f t="shared" ref="K7" si="34">FIND(",",G7,I7+1)</f>
        <v>40</v>
      </c>
      <c r="L7" s="64" t="str">
        <f>IFERROR(VLOOKUP(MID(G7,J7,K7-J7),[6]skilldef!$C:$D,2,FALSE),"-") &amp; " / " &amp; IFERROR(VLOOKUP(MID(G7,H7,I7-H7),[6]skilldef!$A:$B,2,FALSE),"-")</f>
        <v>敵全体に / ステータス強化</v>
      </c>
      <c r="M7" s="64" t="str">
        <f t="shared" ref="M7" si="35">IFERROR(RIGHT(B7,LEN(B7)-FIND("],",B7)-1),"none")</f>
        <v>none</v>
      </c>
      <c r="N7" s="48" t="str">
        <f>IFERROR(LEFT(M7,FIND("],",M7)+#REF!),M7)</f>
        <v>none</v>
      </c>
      <c r="O7" s="64" t="e">
        <f t="shared" ref="O7" si="36">FIND("effect:",N7)+7</f>
        <v>#VALUE!</v>
      </c>
      <c r="P7" s="64">
        <f t="shared" ref="P7" si="37">IFERROR(FIND(",",N7),LEN(N7))</f>
        <v>4</v>
      </c>
      <c r="Q7" s="64" t="e">
        <f t="shared" ref="Q7" si="38">FIND("target:",N7)+7</f>
        <v>#VALUE!</v>
      </c>
      <c r="R7" s="64" t="e">
        <f t="shared" ref="R7" si="39">FIND(",",N7,P7+1)</f>
        <v>#VALUE!</v>
      </c>
      <c r="S7" s="64" t="str">
        <f>IFERROR(VLOOKUP(MID(N7,Q7,R7-Q7),[6]skilldef!$C:$D,2,FALSE),"-") &amp; " / " &amp; IFERROR(VLOOKUP(MID(N7,O7,P7-O7),[6]skilldef!$A:$B,2,FALSE),"-")</f>
        <v>- / -</v>
      </c>
      <c r="T7" s="48" t="str">
        <f t="shared" ref="T7" si="40">IFERROR(RIGHT(M7,LEN(M7)-FIND("],",M7)-1),"none")</f>
        <v>none</v>
      </c>
      <c r="U7" s="64" t="e">
        <f t="shared" ref="U7" si="41">FIND("effect:",T7)+7</f>
        <v>#VALUE!</v>
      </c>
      <c r="V7" s="64">
        <f t="shared" ref="V7" si="42">IFERROR(FIND(",",T7),LEN(T7))</f>
        <v>4</v>
      </c>
      <c r="W7" s="64" t="e">
        <f t="shared" ref="W7" si="43">FIND("target:",T7)+7</f>
        <v>#VALUE!</v>
      </c>
      <c r="X7" s="64" t="e">
        <f t="shared" ref="X7" si="44">FIND(",",T7,V7+1)</f>
        <v>#VALUE!</v>
      </c>
      <c r="Y7" s="64" t="str">
        <f>IFERROR(VLOOKUP(MID(T7,W7,X7-W7),[6]skilldef!$C:$D,2,FALSE),"-") &amp; " / " &amp; IFERROR(VLOOKUP(MID(T7,U7,V7-U7),[6]skilldef!$A:$B,2,FALSE),"-")</f>
        <v>- / -</v>
      </c>
      <c r="Z7" s="50"/>
      <c r="AA7" s="52"/>
      <c r="AB7" s="50"/>
    </row>
    <row r="8" spans="1:28" ht="21" customHeight="1" x14ac:dyDescent="0.15">
      <c r="A8" s="47">
        <v>20020007</v>
      </c>
      <c r="B8" s="108" t="s">
        <v>279</v>
      </c>
      <c r="C8" s="50">
        <v>3</v>
      </c>
      <c r="D8" s="50" t="s">
        <v>128</v>
      </c>
      <c r="E8" s="51" t="s">
        <v>266</v>
      </c>
      <c r="F8" s="51" t="s">
        <v>267</v>
      </c>
      <c r="G8" s="64" t="str">
        <f t="shared" si="0"/>
        <v>[effect:enemy_message, val1:1.2, val2:1.8]</v>
      </c>
      <c r="H8" s="64">
        <f t="shared" si="1"/>
        <v>9</v>
      </c>
      <c r="I8" s="64">
        <f t="shared" si="2"/>
        <v>22</v>
      </c>
      <c r="J8" s="64" t="e">
        <f t="shared" si="3"/>
        <v>#VALUE!</v>
      </c>
      <c r="K8" s="64">
        <f t="shared" si="4"/>
        <v>32</v>
      </c>
      <c r="L8" s="64" t="str">
        <f>IFERROR(VLOOKUP(MID(G8,J8,K8-J8),[6]skilldef!$C:$D,2,FALSE),"-") &amp; " / " &amp; IFERROR(VLOOKUP(MID(G8,H8,I8-H8),[6]skilldef!$A:$B,2,FALSE),"-")</f>
        <v>- / -</v>
      </c>
      <c r="M8" s="64" t="str">
        <f t="shared" si="5"/>
        <v>none</v>
      </c>
      <c r="N8" s="48" t="str">
        <f>IFERROR(LEFT(M8,FIND("],",M8)+#REF!),M8)</f>
        <v>none</v>
      </c>
      <c r="O8" s="64" t="e">
        <f t="shared" si="6"/>
        <v>#VALUE!</v>
      </c>
      <c r="P8" s="64">
        <f t="shared" si="7"/>
        <v>4</v>
      </c>
      <c r="Q8" s="64" t="e">
        <f t="shared" si="8"/>
        <v>#VALUE!</v>
      </c>
      <c r="R8" s="64" t="e">
        <f t="shared" si="9"/>
        <v>#VALUE!</v>
      </c>
      <c r="S8" s="64" t="str">
        <f>IFERROR(VLOOKUP(MID(N8,Q8,R8-Q8),[6]skilldef!$C:$D,2,FALSE),"-") &amp; " / " &amp; IFERROR(VLOOKUP(MID(N8,O8,P8-O8),[6]skilldef!$A:$B,2,FALSE),"-")</f>
        <v>- / -</v>
      </c>
      <c r="T8" s="48" t="str">
        <f t="shared" si="10"/>
        <v>none</v>
      </c>
      <c r="U8" s="64" t="e">
        <f t="shared" si="11"/>
        <v>#VALUE!</v>
      </c>
      <c r="V8" s="64">
        <f t="shared" si="12"/>
        <v>4</v>
      </c>
      <c r="W8" s="64" t="e">
        <f t="shared" si="13"/>
        <v>#VALUE!</v>
      </c>
      <c r="X8" s="64" t="e">
        <f t="shared" si="14"/>
        <v>#VALUE!</v>
      </c>
      <c r="Y8" s="64" t="str">
        <f>IFERROR(VLOOKUP(MID(T8,W8,X8-W8),[6]skilldef!$C:$D,2,FALSE),"-") &amp; " / " &amp; IFERROR(VLOOKUP(MID(T8,U8,V8-U8),[6]skilldef!$A:$B,2,FALSE),"-")</f>
        <v>- / -</v>
      </c>
      <c r="Z8" s="50"/>
      <c r="AA8" s="52"/>
      <c r="AB8" s="50"/>
    </row>
    <row r="9" spans="1:28" s="122" customFormat="1" ht="28" x14ac:dyDescent="0.15">
      <c r="A9" s="117">
        <v>20020008</v>
      </c>
      <c r="B9" s="118" t="s">
        <v>322</v>
      </c>
      <c r="C9" s="119">
        <v>3</v>
      </c>
      <c r="D9" s="119" t="s">
        <v>128</v>
      </c>
      <c r="E9" s="120" t="s">
        <v>293</v>
      </c>
      <c r="F9" s="120" t="s">
        <v>309</v>
      </c>
      <c r="G9" s="120" t="str">
        <f t="shared" si="0"/>
        <v>[effect:break_attack, target:unit_all, val:0.06, lowest_val:0, count:1, color:red, block01:block_red]</v>
      </c>
      <c r="H9" s="120">
        <f t="shared" si="1"/>
        <v>9</v>
      </c>
      <c r="I9" s="120">
        <f t="shared" si="2"/>
        <v>21</v>
      </c>
      <c r="J9" s="120">
        <f t="shared" si="3"/>
        <v>30</v>
      </c>
      <c r="K9" s="120">
        <f t="shared" si="4"/>
        <v>38</v>
      </c>
      <c r="L9" s="120" t="str">
        <f>IFERROR(VLOOKUP(MID(G9,J9,K9-J9),[6]skilldef!$C:$D,2,FALSE),"-") &amp; " / " &amp; IFERROR(VLOOKUP(MID(G9,H9,I9-H9),[6]skilldef!$A:$B,2,FALSE),"-")</f>
        <v>味方全体に / -</v>
      </c>
      <c r="M9" s="120" t="str">
        <f t="shared" si="5"/>
        <v>[effect:enemy_message, val1:1.2, val2:1.4]</v>
      </c>
      <c r="N9" s="117" t="str">
        <f>IFERROR(LEFT(M9,FIND("],",M9)+#REF!),M9)</f>
        <v>[effect:enemy_message, val1:1.2, val2:1.4]</v>
      </c>
      <c r="O9" s="120">
        <f t="shared" si="6"/>
        <v>9</v>
      </c>
      <c r="P9" s="120">
        <f t="shared" si="7"/>
        <v>22</v>
      </c>
      <c r="Q9" s="120" t="e">
        <f t="shared" si="8"/>
        <v>#VALUE!</v>
      </c>
      <c r="R9" s="120">
        <f t="shared" si="9"/>
        <v>32</v>
      </c>
      <c r="S9" s="120" t="str">
        <f>IFERROR(VLOOKUP(MID(N9,Q9,R9-Q9),[6]skilldef!$C:$D,2,FALSE),"-") &amp; " / " &amp; IFERROR(VLOOKUP(MID(N9,O9,P9-O9),[6]skilldef!$A:$B,2,FALSE),"-")</f>
        <v>- / -</v>
      </c>
      <c r="T9" s="117" t="str">
        <f t="shared" si="10"/>
        <v>none</v>
      </c>
      <c r="U9" s="120" t="e">
        <f t="shared" si="11"/>
        <v>#VALUE!</v>
      </c>
      <c r="V9" s="120">
        <f t="shared" si="12"/>
        <v>4</v>
      </c>
      <c r="W9" s="120" t="e">
        <f t="shared" si="13"/>
        <v>#VALUE!</v>
      </c>
      <c r="X9" s="120" t="e">
        <f t="shared" si="14"/>
        <v>#VALUE!</v>
      </c>
      <c r="Y9" s="120" t="str">
        <f>IFERROR(VLOOKUP(MID(T9,W9,X9-W9),[6]skilldef!$C:$D,2,FALSE),"-") &amp; " / " &amp; IFERROR(VLOOKUP(MID(T9,U9,V9-U9),[6]skilldef!$A:$B,2,FALSE),"-")</f>
        <v>- / -</v>
      </c>
      <c r="Z9" s="119"/>
      <c r="AA9" s="121"/>
      <c r="AB9" s="119"/>
    </row>
    <row r="10" spans="1:28" s="122" customFormat="1" ht="28" x14ac:dyDescent="0.15">
      <c r="A10" s="117">
        <v>20020009</v>
      </c>
      <c r="B10" s="118" t="s">
        <v>323</v>
      </c>
      <c r="C10" s="119">
        <v>3</v>
      </c>
      <c r="D10" s="119" t="s">
        <v>128</v>
      </c>
      <c r="E10" s="120" t="s">
        <v>299</v>
      </c>
      <c r="F10" s="120" t="s">
        <v>310</v>
      </c>
      <c r="G10" s="120" t="str">
        <f t="shared" ref="G10:G12" si="45">IFERROR(LEFT(B10,FIND("],",B10)),B10)</f>
        <v>[effect:break_attack, target:unit_all, val:0.06, lowest_val:0, count:2, color:red, block01:block_red]</v>
      </c>
      <c r="H10" s="120">
        <f t="shared" ref="H10:H12" si="46">FIND("effect:",G10)+7</f>
        <v>9</v>
      </c>
      <c r="I10" s="120">
        <f t="shared" ref="I10:I12" si="47">IFERROR(FIND(",",G10),LEN(G10))</f>
        <v>21</v>
      </c>
      <c r="J10" s="120">
        <f t="shared" ref="J10:J12" si="48">FIND("target:",G10)+7</f>
        <v>30</v>
      </c>
      <c r="K10" s="120">
        <f t="shared" ref="K10:K12" si="49">FIND(",",G10,I10+1)</f>
        <v>38</v>
      </c>
      <c r="L10" s="120" t="str">
        <f>IFERROR(VLOOKUP(MID(G10,J10,K10-J10),[6]skilldef!$C:$D,2,FALSE),"-") &amp; " / " &amp; IFERROR(VLOOKUP(MID(G10,H10,I10-H10),[6]skilldef!$A:$B,2,FALSE),"-")</f>
        <v>味方全体に / -</v>
      </c>
      <c r="M10" s="120" t="str">
        <f t="shared" ref="M10:M12" si="50">IFERROR(RIGHT(B10,LEN(B10)-FIND("],",B10)-1),"none")</f>
        <v>[effect:enemy_message, val1:1.2, val2:1.4]</v>
      </c>
      <c r="N10" s="117" t="str">
        <f>IFERROR(LEFT(M10,FIND("],",M10)+#REF!),M10)</f>
        <v>[effect:enemy_message, val1:1.2, val2:1.4]</v>
      </c>
      <c r="O10" s="120">
        <f t="shared" ref="O10:O12" si="51">FIND("effect:",N10)+7</f>
        <v>9</v>
      </c>
      <c r="P10" s="120">
        <f t="shared" ref="P10:P12" si="52">IFERROR(FIND(",",N10),LEN(N10))</f>
        <v>22</v>
      </c>
      <c r="Q10" s="120" t="e">
        <f t="shared" ref="Q10:Q12" si="53">FIND("target:",N10)+7</f>
        <v>#VALUE!</v>
      </c>
      <c r="R10" s="120">
        <f t="shared" ref="R10:R12" si="54">FIND(",",N10,P10+1)</f>
        <v>32</v>
      </c>
      <c r="S10" s="120" t="str">
        <f>IFERROR(VLOOKUP(MID(N10,Q10,R10-Q10),[6]skilldef!$C:$D,2,FALSE),"-") &amp; " / " &amp; IFERROR(VLOOKUP(MID(N10,O10,P10-O10),[6]skilldef!$A:$B,2,FALSE),"-")</f>
        <v>- / -</v>
      </c>
      <c r="T10" s="117" t="str">
        <f t="shared" ref="T10:T12" si="55">IFERROR(RIGHT(M10,LEN(M10)-FIND("],",M10)-1),"none")</f>
        <v>none</v>
      </c>
      <c r="U10" s="120" t="e">
        <f t="shared" ref="U10:U12" si="56">FIND("effect:",T10)+7</f>
        <v>#VALUE!</v>
      </c>
      <c r="V10" s="120">
        <f t="shared" ref="V10:V12" si="57">IFERROR(FIND(",",T10),LEN(T10))</f>
        <v>4</v>
      </c>
      <c r="W10" s="120" t="e">
        <f t="shared" ref="W10:W12" si="58">FIND("target:",T10)+7</f>
        <v>#VALUE!</v>
      </c>
      <c r="X10" s="120" t="e">
        <f t="shared" ref="X10:X12" si="59">FIND(",",T10,V10+1)</f>
        <v>#VALUE!</v>
      </c>
      <c r="Y10" s="120" t="str">
        <f>IFERROR(VLOOKUP(MID(T10,W10,X10-W10),[6]skilldef!$C:$D,2,FALSE),"-") &amp; " / " &amp; IFERROR(VLOOKUP(MID(T10,U10,V10-U10),[6]skilldef!$A:$B,2,FALSE),"-")</f>
        <v>- / -</v>
      </c>
      <c r="Z10" s="119"/>
      <c r="AA10" s="121"/>
      <c r="AB10" s="119"/>
    </row>
    <row r="11" spans="1:28" s="122" customFormat="1" ht="28" x14ac:dyDescent="0.15">
      <c r="A11" s="117">
        <v>20020010</v>
      </c>
      <c r="B11" s="118" t="s">
        <v>324</v>
      </c>
      <c r="C11" s="119">
        <v>3</v>
      </c>
      <c r="D11" s="119" t="s">
        <v>128</v>
      </c>
      <c r="E11" s="120" t="s">
        <v>294</v>
      </c>
      <c r="F11" s="120" t="s">
        <v>311</v>
      </c>
      <c r="G11" s="120" t="str">
        <f t="shared" si="45"/>
        <v>[effect:break_attack, target:unit_all, val:0.06, lowest_val:0, count:3, color:red, block01:block_red]</v>
      </c>
      <c r="H11" s="120">
        <f t="shared" si="46"/>
        <v>9</v>
      </c>
      <c r="I11" s="120">
        <f t="shared" si="47"/>
        <v>21</v>
      </c>
      <c r="J11" s="120">
        <f t="shared" si="48"/>
        <v>30</v>
      </c>
      <c r="K11" s="120">
        <f t="shared" si="49"/>
        <v>38</v>
      </c>
      <c r="L11" s="120" t="str">
        <f>IFERROR(VLOOKUP(MID(G11,J11,K11-J11),[6]skilldef!$C:$D,2,FALSE),"-") &amp; " / " &amp; IFERROR(VLOOKUP(MID(G11,H11,I11-H11),[6]skilldef!$A:$B,2,FALSE),"-")</f>
        <v>味方全体に / -</v>
      </c>
      <c r="M11" s="120" t="str">
        <f t="shared" si="50"/>
        <v>[effect:enemy_message, val1:1.2, val2:1.4]</v>
      </c>
      <c r="N11" s="117" t="str">
        <f>IFERROR(LEFT(M11,FIND("],",M11)+#REF!),M11)</f>
        <v>[effect:enemy_message, val1:1.2, val2:1.4]</v>
      </c>
      <c r="O11" s="120">
        <f t="shared" si="51"/>
        <v>9</v>
      </c>
      <c r="P11" s="120">
        <f t="shared" si="52"/>
        <v>22</v>
      </c>
      <c r="Q11" s="120" t="e">
        <f t="shared" si="53"/>
        <v>#VALUE!</v>
      </c>
      <c r="R11" s="120">
        <f t="shared" si="54"/>
        <v>32</v>
      </c>
      <c r="S11" s="120" t="str">
        <f>IFERROR(VLOOKUP(MID(N11,Q11,R11-Q11),[6]skilldef!$C:$D,2,FALSE),"-") &amp; " / " &amp; IFERROR(VLOOKUP(MID(N11,O11,P11-O11),[6]skilldef!$A:$B,2,FALSE),"-")</f>
        <v>- / -</v>
      </c>
      <c r="T11" s="117" t="str">
        <f t="shared" si="55"/>
        <v>none</v>
      </c>
      <c r="U11" s="120" t="e">
        <f t="shared" si="56"/>
        <v>#VALUE!</v>
      </c>
      <c r="V11" s="120">
        <f t="shared" si="57"/>
        <v>4</v>
      </c>
      <c r="W11" s="120" t="e">
        <f t="shared" si="58"/>
        <v>#VALUE!</v>
      </c>
      <c r="X11" s="120" t="e">
        <f t="shared" si="59"/>
        <v>#VALUE!</v>
      </c>
      <c r="Y11" s="120" t="str">
        <f>IFERROR(VLOOKUP(MID(T11,W11,X11-W11),[6]skilldef!$C:$D,2,FALSE),"-") &amp; " / " &amp; IFERROR(VLOOKUP(MID(T11,U11,V11-U11),[6]skilldef!$A:$B,2,FALSE),"-")</f>
        <v>- / -</v>
      </c>
      <c r="Z11" s="119"/>
      <c r="AA11" s="121"/>
      <c r="AB11" s="119"/>
    </row>
    <row r="12" spans="1:28" s="122" customFormat="1" ht="28" x14ac:dyDescent="0.15">
      <c r="A12" s="117">
        <v>20020011</v>
      </c>
      <c r="B12" s="118" t="s">
        <v>325</v>
      </c>
      <c r="C12" s="119">
        <v>3</v>
      </c>
      <c r="D12" s="119" t="s">
        <v>128</v>
      </c>
      <c r="E12" s="120" t="s">
        <v>295</v>
      </c>
      <c r="F12" s="120" t="s">
        <v>312</v>
      </c>
      <c r="G12" s="120" t="str">
        <f t="shared" si="45"/>
        <v>[effect:break_attack, target:unit_all, val:0.06, lowest_val:0, count:4, color:red, block01:block_red]</v>
      </c>
      <c r="H12" s="120">
        <f t="shared" si="46"/>
        <v>9</v>
      </c>
      <c r="I12" s="120">
        <f t="shared" si="47"/>
        <v>21</v>
      </c>
      <c r="J12" s="120">
        <f t="shared" si="48"/>
        <v>30</v>
      </c>
      <c r="K12" s="120">
        <f t="shared" si="49"/>
        <v>38</v>
      </c>
      <c r="L12" s="120" t="str">
        <f>IFERROR(VLOOKUP(MID(G12,J12,K12-J12),[6]skilldef!$C:$D,2,FALSE),"-") &amp; " / " &amp; IFERROR(VLOOKUP(MID(G12,H12,I12-H12),[6]skilldef!$A:$B,2,FALSE),"-")</f>
        <v>味方全体に / -</v>
      </c>
      <c r="M12" s="120" t="str">
        <f t="shared" si="50"/>
        <v>[effect:enemy_message, val1:1.2, val2:1.4]</v>
      </c>
      <c r="N12" s="117" t="str">
        <f>IFERROR(LEFT(M12,FIND("],",M12)+#REF!),M12)</f>
        <v>[effect:enemy_message, val1:1.2, val2:1.4]</v>
      </c>
      <c r="O12" s="120">
        <f t="shared" si="51"/>
        <v>9</v>
      </c>
      <c r="P12" s="120">
        <f t="shared" si="52"/>
        <v>22</v>
      </c>
      <c r="Q12" s="120" t="e">
        <f t="shared" si="53"/>
        <v>#VALUE!</v>
      </c>
      <c r="R12" s="120">
        <f t="shared" si="54"/>
        <v>32</v>
      </c>
      <c r="S12" s="120" t="str">
        <f>IFERROR(VLOOKUP(MID(N12,Q12,R12-Q12),[6]skilldef!$C:$D,2,FALSE),"-") &amp; " / " &amp; IFERROR(VLOOKUP(MID(N12,O12,P12-O12),[6]skilldef!$A:$B,2,FALSE),"-")</f>
        <v>- / -</v>
      </c>
      <c r="T12" s="117" t="str">
        <f t="shared" si="55"/>
        <v>none</v>
      </c>
      <c r="U12" s="120" t="e">
        <f t="shared" si="56"/>
        <v>#VALUE!</v>
      </c>
      <c r="V12" s="120">
        <f t="shared" si="57"/>
        <v>4</v>
      </c>
      <c r="W12" s="120" t="e">
        <f t="shared" si="58"/>
        <v>#VALUE!</v>
      </c>
      <c r="X12" s="120" t="e">
        <f t="shared" si="59"/>
        <v>#VALUE!</v>
      </c>
      <c r="Y12" s="120" t="str">
        <f>IFERROR(VLOOKUP(MID(T12,W12,X12-W12),[6]skilldef!$C:$D,2,FALSE),"-") &amp; " / " &amp; IFERROR(VLOOKUP(MID(T12,U12,V12-U12),[6]skilldef!$A:$B,2,FALSE),"-")</f>
        <v>- / -</v>
      </c>
      <c r="Z12" s="119"/>
      <c r="AA12" s="121"/>
      <c r="AB12" s="119"/>
    </row>
    <row r="13" spans="1:28" s="122" customFormat="1" ht="28" x14ac:dyDescent="0.15">
      <c r="A13" s="117">
        <v>20020012</v>
      </c>
      <c r="B13" s="118" t="s">
        <v>326</v>
      </c>
      <c r="C13" s="119">
        <v>3</v>
      </c>
      <c r="D13" s="119" t="s">
        <v>128</v>
      </c>
      <c r="E13" s="120" t="s">
        <v>282</v>
      </c>
      <c r="F13" s="120" t="s">
        <v>313</v>
      </c>
      <c r="G13" s="120" t="str">
        <f t="shared" ref="G13:G16" si="60">IFERROR(LEFT(B13,FIND("],",B13)),B13)</f>
        <v>[effect:break_attack, target:unit_all, val:0.06, lowest_val:0, count:5, color:red, block01:block_red]</v>
      </c>
      <c r="H13" s="120">
        <f t="shared" ref="H13:H15" si="61">FIND("effect:",G13)+7</f>
        <v>9</v>
      </c>
      <c r="I13" s="120">
        <f t="shared" ref="I13:I15" si="62">IFERROR(FIND(",",G13),LEN(G13))</f>
        <v>21</v>
      </c>
      <c r="J13" s="120">
        <f t="shared" ref="J13:J15" si="63">FIND("target:",G13)+7</f>
        <v>30</v>
      </c>
      <c r="K13" s="120">
        <f t="shared" ref="K13:K15" si="64">FIND(",",G13,I13+1)</f>
        <v>38</v>
      </c>
      <c r="L13" s="120" t="str">
        <f>IFERROR(VLOOKUP(MID(G13,J13,K13-J13),[6]skilldef!$C:$D,2,FALSE),"-") &amp; " / " &amp; IFERROR(VLOOKUP(MID(G13,H13,I13-H13),[6]skilldef!$A:$B,2,FALSE),"-")</f>
        <v>味方全体に / -</v>
      </c>
      <c r="M13" s="120" t="str">
        <f t="shared" ref="M13:M15" si="65">IFERROR(RIGHT(B13,LEN(B13)-FIND("],",B13)-1),"none")</f>
        <v>[effect:enemy_message, val1:1.2, val2:1.4]</v>
      </c>
      <c r="N13" s="117" t="str">
        <f>IFERROR(LEFT(M13,FIND("],",M13)+#REF!),M13)</f>
        <v>[effect:enemy_message, val1:1.2, val2:1.4]</v>
      </c>
      <c r="O13" s="120">
        <f t="shared" ref="O13:O15" si="66">FIND("effect:",N13)+7</f>
        <v>9</v>
      </c>
      <c r="P13" s="120">
        <f t="shared" ref="P13:P15" si="67">IFERROR(FIND(",",N13),LEN(N13))</f>
        <v>22</v>
      </c>
      <c r="Q13" s="120" t="e">
        <f t="shared" ref="Q13:Q15" si="68">FIND("target:",N13)+7</f>
        <v>#VALUE!</v>
      </c>
      <c r="R13" s="120">
        <f t="shared" ref="R13:R15" si="69">FIND(",",N13,P13+1)</f>
        <v>32</v>
      </c>
      <c r="S13" s="120" t="str">
        <f>IFERROR(VLOOKUP(MID(N13,Q13,R13-Q13),[6]skilldef!$C:$D,2,FALSE),"-") &amp; " / " &amp; IFERROR(VLOOKUP(MID(N13,O13,P13-O13),[6]skilldef!$A:$B,2,FALSE),"-")</f>
        <v>- / -</v>
      </c>
      <c r="T13" s="117" t="str">
        <f t="shared" ref="T13:T15" si="70">IFERROR(RIGHT(M13,LEN(M13)-FIND("],",M13)-1),"none")</f>
        <v>none</v>
      </c>
      <c r="U13" s="120" t="e">
        <f t="shared" ref="U13:U15" si="71">FIND("effect:",T13)+7</f>
        <v>#VALUE!</v>
      </c>
      <c r="V13" s="120">
        <f t="shared" ref="V13:V15" si="72">IFERROR(FIND(",",T13),LEN(T13))</f>
        <v>4</v>
      </c>
      <c r="W13" s="120" t="e">
        <f t="shared" ref="W13:W15" si="73">FIND("target:",T13)+7</f>
        <v>#VALUE!</v>
      </c>
      <c r="X13" s="120" t="e">
        <f t="shared" ref="X13:X15" si="74">FIND(",",T13,V13+1)</f>
        <v>#VALUE!</v>
      </c>
      <c r="Y13" s="120" t="str">
        <f>IFERROR(VLOOKUP(MID(T13,W13,X13-W13),[6]skilldef!$C:$D,2,FALSE),"-") &amp; " / " &amp; IFERROR(VLOOKUP(MID(T13,U13,V13-U13),[6]skilldef!$A:$B,2,FALSE),"-")</f>
        <v>- / -</v>
      </c>
      <c r="Z13" s="119"/>
      <c r="AA13" s="121"/>
      <c r="AB13" s="119"/>
    </row>
    <row r="14" spans="1:28" s="122" customFormat="1" ht="28" x14ac:dyDescent="0.15">
      <c r="A14" s="117">
        <v>20020013</v>
      </c>
      <c r="B14" s="118" t="s">
        <v>327</v>
      </c>
      <c r="C14" s="119">
        <v>3</v>
      </c>
      <c r="D14" s="119" t="s">
        <v>128</v>
      </c>
      <c r="E14" s="120" t="s">
        <v>296</v>
      </c>
      <c r="F14" s="120" t="s">
        <v>314</v>
      </c>
      <c r="G14" s="120" t="str">
        <f t="shared" si="60"/>
        <v>[effect:break_attack, target:unit_all, val:0.06, lowest_val:0, count:6, color:red, block01:block_red]</v>
      </c>
      <c r="H14" s="120">
        <f t="shared" si="61"/>
        <v>9</v>
      </c>
      <c r="I14" s="120">
        <f t="shared" si="62"/>
        <v>21</v>
      </c>
      <c r="J14" s="120">
        <f t="shared" si="63"/>
        <v>30</v>
      </c>
      <c r="K14" s="120">
        <f t="shared" si="64"/>
        <v>38</v>
      </c>
      <c r="L14" s="120" t="str">
        <f>IFERROR(VLOOKUP(MID(G14,J14,K14-J14),[6]skilldef!$C:$D,2,FALSE),"-") &amp; " / " &amp; IFERROR(VLOOKUP(MID(G14,H14,I14-H14),[6]skilldef!$A:$B,2,FALSE),"-")</f>
        <v>味方全体に / -</v>
      </c>
      <c r="M14" s="120" t="str">
        <f t="shared" si="65"/>
        <v>[effect:enemy_message, val1:1.2, val2:1.4]</v>
      </c>
      <c r="N14" s="117" t="str">
        <f>IFERROR(LEFT(M14,FIND("],",M14)+#REF!),M14)</f>
        <v>[effect:enemy_message, val1:1.2, val2:1.4]</v>
      </c>
      <c r="O14" s="120">
        <f t="shared" si="66"/>
        <v>9</v>
      </c>
      <c r="P14" s="120">
        <f t="shared" si="67"/>
        <v>22</v>
      </c>
      <c r="Q14" s="120" t="e">
        <f t="shared" si="68"/>
        <v>#VALUE!</v>
      </c>
      <c r="R14" s="120">
        <f t="shared" si="69"/>
        <v>32</v>
      </c>
      <c r="S14" s="120" t="str">
        <f>IFERROR(VLOOKUP(MID(N14,Q14,R14-Q14),[6]skilldef!$C:$D,2,FALSE),"-") &amp; " / " &amp; IFERROR(VLOOKUP(MID(N14,O14,P14-O14),[6]skilldef!$A:$B,2,FALSE),"-")</f>
        <v>- / -</v>
      </c>
      <c r="T14" s="117" t="str">
        <f t="shared" si="70"/>
        <v>none</v>
      </c>
      <c r="U14" s="120" t="e">
        <f t="shared" si="71"/>
        <v>#VALUE!</v>
      </c>
      <c r="V14" s="120">
        <f t="shared" si="72"/>
        <v>4</v>
      </c>
      <c r="W14" s="120" t="e">
        <f t="shared" si="73"/>
        <v>#VALUE!</v>
      </c>
      <c r="X14" s="120" t="e">
        <f t="shared" si="74"/>
        <v>#VALUE!</v>
      </c>
      <c r="Y14" s="120" t="str">
        <f>IFERROR(VLOOKUP(MID(T14,W14,X14-W14),[6]skilldef!$C:$D,2,FALSE),"-") &amp; " / " &amp; IFERROR(VLOOKUP(MID(T14,U14,V14-U14),[6]skilldef!$A:$B,2,FALSE),"-")</f>
        <v>- / -</v>
      </c>
      <c r="Z14" s="119"/>
      <c r="AA14" s="121"/>
      <c r="AB14" s="119"/>
    </row>
    <row r="15" spans="1:28" s="122" customFormat="1" ht="28" x14ac:dyDescent="0.15">
      <c r="A15" s="117">
        <v>20020014</v>
      </c>
      <c r="B15" s="118" t="s">
        <v>328</v>
      </c>
      <c r="C15" s="119">
        <v>3</v>
      </c>
      <c r="D15" s="119" t="s">
        <v>128</v>
      </c>
      <c r="E15" s="120" t="s">
        <v>297</v>
      </c>
      <c r="F15" s="120" t="s">
        <v>315</v>
      </c>
      <c r="G15" s="120" t="str">
        <f t="shared" si="60"/>
        <v>[effect:break_attack, target:unit_all, val:0.06, lowest_val:0, count:7, color:red, block01:block_red]</v>
      </c>
      <c r="H15" s="120">
        <f t="shared" si="61"/>
        <v>9</v>
      </c>
      <c r="I15" s="120">
        <f t="shared" si="62"/>
        <v>21</v>
      </c>
      <c r="J15" s="120">
        <f t="shared" si="63"/>
        <v>30</v>
      </c>
      <c r="K15" s="120">
        <f t="shared" si="64"/>
        <v>38</v>
      </c>
      <c r="L15" s="120" t="str">
        <f>IFERROR(VLOOKUP(MID(G15,J15,K15-J15),[6]skilldef!$C:$D,2,FALSE),"-") &amp; " / " &amp; IFERROR(VLOOKUP(MID(G15,H15,I15-H15),[6]skilldef!$A:$B,2,FALSE),"-")</f>
        <v>味方全体に / -</v>
      </c>
      <c r="M15" s="120" t="str">
        <f t="shared" si="65"/>
        <v>[effect:enemy_message, val1:1.2, val2:1.4]</v>
      </c>
      <c r="N15" s="117" t="str">
        <f>IFERROR(LEFT(M15,FIND("],",M15)+#REF!),M15)</f>
        <v>[effect:enemy_message, val1:1.2, val2:1.4]</v>
      </c>
      <c r="O15" s="120">
        <f t="shared" si="66"/>
        <v>9</v>
      </c>
      <c r="P15" s="120">
        <f t="shared" si="67"/>
        <v>22</v>
      </c>
      <c r="Q15" s="120" t="e">
        <f t="shared" si="68"/>
        <v>#VALUE!</v>
      </c>
      <c r="R15" s="120">
        <f t="shared" si="69"/>
        <v>32</v>
      </c>
      <c r="S15" s="120" t="str">
        <f>IFERROR(VLOOKUP(MID(N15,Q15,R15-Q15),[6]skilldef!$C:$D,2,FALSE),"-") &amp; " / " &amp; IFERROR(VLOOKUP(MID(N15,O15,P15-O15),[6]skilldef!$A:$B,2,FALSE),"-")</f>
        <v>- / -</v>
      </c>
      <c r="T15" s="117" t="str">
        <f t="shared" si="70"/>
        <v>none</v>
      </c>
      <c r="U15" s="120" t="e">
        <f t="shared" si="71"/>
        <v>#VALUE!</v>
      </c>
      <c r="V15" s="120">
        <f t="shared" si="72"/>
        <v>4</v>
      </c>
      <c r="W15" s="120" t="e">
        <f t="shared" si="73"/>
        <v>#VALUE!</v>
      </c>
      <c r="X15" s="120" t="e">
        <f t="shared" si="74"/>
        <v>#VALUE!</v>
      </c>
      <c r="Y15" s="120" t="str">
        <f>IFERROR(VLOOKUP(MID(T15,W15,X15-W15),[6]skilldef!$C:$D,2,FALSE),"-") &amp; " / " &amp; IFERROR(VLOOKUP(MID(T15,U15,V15-U15),[6]skilldef!$A:$B,2,FALSE),"-")</f>
        <v>- / -</v>
      </c>
      <c r="Z15" s="119"/>
      <c r="AA15" s="121"/>
      <c r="AB15" s="119"/>
    </row>
    <row r="16" spans="1:28" s="122" customFormat="1" ht="28" x14ac:dyDescent="0.15">
      <c r="A16" s="117">
        <v>20020015</v>
      </c>
      <c r="B16" s="118" t="s">
        <v>328</v>
      </c>
      <c r="C16" s="119">
        <v>3</v>
      </c>
      <c r="D16" s="119" t="s">
        <v>128</v>
      </c>
      <c r="E16" s="120" t="s">
        <v>300</v>
      </c>
      <c r="F16" s="120" t="s">
        <v>316</v>
      </c>
      <c r="G16" s="120" t="str">
        <f t="shared" si="60"/>
        <v>[effect:break_attack, target:unit_all, val:0.06, lowest_val:0, count:7, color:red, block01:block_red]</v>
      </c>
      <c r="H16" s="120">
        <f t="shared" ref="H16" si="75">FIND("effect:",G16)+7</f>
        <v>9</v>
      </c>
      <c r="I16" s="120">
        <f t="shared" ref="I16" si="76">IFERROR(FIND(",",G16),LEN(G16))</f>
        <v>21</v>
      </c>
      <c r="J16" s="120">
        <f t="shared" ref="J16" si="77">FIND("target:",G16)+7</f>
        <v>30</v>
      </c>
      <c r="K16" s="120">
        <f t="shared" ref="K16" si="78">FIND(",",G16,I16+1)</f>
        <v>38</v>
      </c>
      <c r="L16" s="120" t="str">
        <f>IFERROR(VLOOKUP(MID(G16,J16,K16-J16),[6]skilldef!$C:$D,2,FALSE),"-") &amp; " / " &amp; IFERROR(VLOOKUP(MID(G16,H16,I16-H16),[6]skilldef!$A:$B,2,FALSE),"-")</f>
        <v>味方全体に / -</v>
      </c>
      <c r="M16" s="120" t="str">
        <f t="shared" ref="M16" si="79">IFERROR(RIGHT(B16,LEN(B16)-FIND("],",B16)-1),"none")</f>
        <v>[effect:enemy_message, val1:1.2, val2:1.4]</v>
      </c>
      <c r="N16" s="117" t="str">
        <f>IFERROR(LEFT(M16,FIND("],",M16)+#REF!),M16)</f>
        <v>[effect:enemy_message, val1:1.2, val2:1.4]</v>
      </c>
      <c r="O16" s="120">
        <f t="shared" ref="O16" si="80">FIND("effect:",N16)+7</f>
        <v>9</v>
      </c>
      <c r="P16" s="120">
        <f t="shared" ref="P16" si="81">IFERROR(FIND(",",N16),LEN(N16))</f>
        <v>22</v>
      </c>
      <c r="Q16" s="120" t="e">
        <f t="shared" ref="Q16" si="82">FIND("target:",N16)+7</f>
        <v>#VALUE!</v>
      </c>
      <c r="R16" s="120">
        <f t="shared" ref="R16" si="83">FIND(",",N16,P16+1)</f>
        <v>32</v>
      </c>
      <c r="S16" s="120" t="str">
        <f>IFERROR(VLOOKUP(MID(N16,Q16,R16-Q16),[6]skilldef!$C:$D,2,FALSE),"-") &amp; " / " &amp; IFERROR(VLOOKUP(MID(N16,O16,P16-O16),[6]skilldef!$A:$B,2,FALSE),"-")</f>
        <v>- / -</v>
      </c>
      <c r="T16" s="117" t="str">
        <f t="shared" ref="T16" si="84">IFERROR(RIGHT(M16,LEN(M16)-FIND("],",M16)-1),"none")</f>
        <v>none</v>
      </c>
      <c r="U16" s="120" t="e">
        <f t="shared" ref="U16" si="85">FIND("effect:",T16)+7</f>
        <v>#VALUE!</v>
      </c>
      <c r="V16" s="120">
        <f t="shared" ref="V16" si="86">IFERROR(FIND(",",T16),LEN(T16))</f>
        <v>4</v>
      </c>
      <c r="W16" s="120" t="e">
        <f t="shared" ref="W16" si="87">FIND("target:",T16)+7</f>
        <v>#VALUE!</v>
      </c>
      <c r="X16" s="120" t="e">
        <f t="shared" ref="X16" si="88">FIND(",",T16,V16+1)</f>
        <v>#VALUE!</v>
      </c>
      <c r="Y16" s="120" t="str">
        <f>IFERROR(VLOOKUP(MID(T16,W16,X16-W16),[6]skilldef!$C:$D,2,FALSE),"-") &amp; " / " &amp; IFERROR(VLOOKUP(MID(T16,U16,V16-U16),[6]skilldef!$A:$B,2,FALSE),"-")</f>
        <v>- / -</v>
      </c>
      <c r="Z16" s="119"/>
      <c r="AA16" s="121"/>
      <c r="AB16" s="119"/>
    </row>
    <row r="17" spans="1:28" s="122" customFormat="1" ht="28" x14ac:dyDescent="0.15">
      <c r="A17" s="117">
        <v>20020016</v>
      </c>
      <c r="B17" s="118" t="s">
        <v>329</v>
      </c>
      <c r="C17" s="119">
        <v>3</v>
      </c>
      <c r="D17" s="119" t="s">
        <v>128</v>
      </c>
      <c r="E17" s="120" t="s">
        <v>268</v>
      </c>
      <c r="F17" s="120" t="s">
        <v>317</v>
      </c>
      <c r="G17" s="120" t="str">
        <f t="shared" ref="G17" si="89">IFERROR(LEFT(B17,FIND("],",B17)),B17)</f>
        <v>[effect:break_attack, target:unit_all, val:0.06, lowest_val:0, count:-1, color:red, block01:block_red]</v>
      </c>
      <c r="H17" s="120">
        <f t="shared" ref="H17" si="90">FIND("effect:",G17)+7</f>
        <v>9</v>
      </c>
      <c r="I17" s="120">
        <f t="shared" ref="I17" si="91">IFERROR(FIND(",",G17),LEN(G17))</f>
        <v>21</v>
      </c>
      <c r="J17" s="120">
        <f t="shared" ref="J17" si="92">FIND("target:",G17)+7</f>
        <v>30</v>
      </c>
      <c r="K17" s="120">
        <f t="shared" ref="K17" si="93">FIND(",",G17,I17+1)</f>
        <v>38</v>
      </c>
      <c r="L17" s="120" t="str">
        <f>IFERROR(VLOOKUP(MID(G17,J17,K17-J17),[6]skilldef!$C:$D,2,FALSE),"-") &amp; " / " &amp; IFERROR(VLOOKUP(MID(G17,H17,I17-H17),[6]skilldef!$A:$B,2,FALSE),"-")</f>
        <v>味方全体に / -</v>
      </c>
      <c r="M17" s="120" t="str">
        <f t="shared" ref="M17" si="94">IFERROR(RIGHT(B17,LEN(B17)-FIND("],",B17)-1),"none")</f>
        <v>[effect:enemy_message, val1:1.2, val2:1.4]</v>
      </c>
      <c r="N17" s="117" t="str">
        <f>IFERROR(LEFT(M17,FIND("],",M17)+#REF!),M17)</f>
        <v>[effect:enemy_message, val1:1.2, val2:1.4]</v>
      </c>
      <c r="O17" s="120">
        <f t="shared" ref="O17" si="95">FIND("effect:",N17)+7</f>
        <v>9</v>
      </c>
      <c r="P17" s="120">
        <f t="shared" ref="P17" si="96">IFERROR(FIND(",",N17),LEN(N17))</f>
        <v>22</v>
      </c>
      <c r="Q17" s="120" t="e">
        <f t="shared" ref="Q17" si="97">FIND("target:",N17)+7</f>
        <v>#VALUE!</v>
      </c>
      <c r="R17" s="120">
        <f t="shared" ref="R17" si="98">FIND(",",N17,P17+1)</f>
        <v>32</v>
      </c>
      <c r="S17" s="120" t="str">
        <f>IFERROR(VLOOKUP(MID(N17,Q17,R17-Q17),[6]skilldef!$C:$D,2,FALSE),"-") &amp; " / " &amp; IFERROR(VLOOKUP(MID(N17,O17,P17-O17),[6]skilldef!$A:$B,2,FALSE),"-")</f>
        <v>- / -</v>
      </c>
      <c r="T17" s="117" t="str">
        <f t="shared" ref="T17" si="99">IFERROR(RIGHT(M17,LEN(M17)-FIND("],",M17)-1),"none")</f>
        <v>none</v>
      </c>
      <c r="U17" s="120" t="e">
        <f t="shared" ref="U17" si="100">FIND("effect:",T17)+7</f>
        <v>#VALUE!</v>
      </c>
      <c r="V17" s="120">
        <f t="shared" ref="V17" si="101">IFERROR(FIND(",",T17),LEN(T17))</f>
        <v>4</v>
      </c>
      <c r="W17" s="120" t="e">
        <f t="shared" ref="W17" si="102">FIND("target:",T17)+7</f>
        <v>#VALUE!</v>
      </c>
      <c r="X17" s="120" t="e">
        <f t="shared" ref="X17" si="103">FIND(",",T17,V17+1)</f>
        <v>#VALUE!</v>
      </c>
      <c r="Y17" s="120" t="str">
        <f>IFERROR(VLOOKUP(MID(T17,W17,X17-W17),[6]skilldef!$C:$D,2,FALSE),"-") &amp; " / " &amp; IFERROR(VLOOKUP(MID(T17,U17,V17-U17),[6]skilldef!$A:$B,2,FALSE),"-")</f>
        <v>- / -</v>
      </c>
      <c r="Z17" s="119"/>
      <c r="AA17" s="121"/>
      <c r="AB17" s="119"/>
    </row>
    <row r="18" spans="1:28" s="122" customFormat="1" ht="28" x14ac:dyDescent="0.15">
      <c r="A18" s="117">
        <v>20020017</v>
      </c>
      <c r="B18" s="118" t="s">
        <v>280</v>
      </c>
      <c r="C18" s="119">
        <v>3</v>
      </c>
      <c r="D18" s="119" t="s">
        <v>128</v>
      </c>
      <c r="E18" s="120" t="s">
        <v>298</v>
      </c>
      <c r="F18" s="120" t="s">
        <v>291</v>
      </c>
      <c r="G18" s="120" t="str">
        <f t="shared" ref="G18:G27" si="104">IFERROR(LEFT(B18,FIND("],",B18)),B18)</f>
        <v>[effect:change_block, new_block:block_red, target:block_all, count:15, val:0, animation:change_block]</v>
      </c>
      <c r="H18" s="120">
        <f t="shared" ref="H18:H27" si="105">FIND("effect:",G18)+7</f>
        <v>9</v>
      </c>
      <c r="I18" s="120">
        <f t="shared" ref="I18:I27" si="106">IFERROR(FIND(",",G18),LEN(G18))</f>
        <v>21</v>
      </c>
      <c r="J18" s="120">
        <f t="shared" ref="J18:J27" si="107">FIND("target:",G18)+7</f>
        <v>51</v>
      </c>
      <c r="K18" s="120">
        <f t="shared" ref="K18:K27" si="108">FIND(",",G18,I18+1)</f>
        <v>42</v>
      </c>
      <c r="L18" s="120" t="str">
        <f>IFERROR(VLOOKUP(MID(G18,J18,K18-J18),[6]skilldef!$C:$D,2,FALSE),"-") &amp; " / " &amp; IFERROR(VLOOKUP(MID(G18,H18,I18-H18),[6]skilldef!$A:$B,2,FALSE),"-")</f>
        <v>- / ブロック変換</v>
      </c>
      <c r="M18" s="120" t="str">
        <f t="shared" ref="M18:M27" si="109">IFERROR(RIGHT(B18,LEN(B18)-FIND("],",B18)-1),"none")</f>
        <v>[effect:enemy_message, val1:1.2, val2:1.4]</v>
      </c>
      <c r="N18" s="117" t="str">
        <f>IFERROR(LEFT(M18,FIND("],",M18)+#REF!),M18)</f>
        <v>[effect:enemy_message, val1:1.2, val2:1.4]</v>
      </c>
      <c r="O18" s="120">
        <f t="shared" ref="O18:O27" si="110">FIND("effect:",N18)+7</f>
        <v>9</v>
      </c>
      <c r="P18" s="120">
        <f t="shared" ref="P18:P27" si="111">IFERROR(FIND(",",N18),LEN(N18))</f>
        <v>22</v>
      </c>
      <c r="Q18" s="120" t="e">
        <f t="shared" ref="Q18:Q27" si="112">FIND("target:",N18)+7</f>
        <v>#VALUE!</v>
      </c>
      <c r="R18" s="120">
        <f t="shared" ref="R18:R27" si="113">FIND(",",N18,P18+1)</f>
        <v>32</v>
      </c>
      <c r="S18" s="120" t="str">
        <f>IFERROR(VLOOKUP(MID(N18,Q18,R18-Q18),[6]skilldef!$C:$D,2,FALSE),"-") &amp; " / " &amp; IFERROR(VLOOKUP(MID(N18,O18,P18-O18),[6]skilldef!$A:$B,2,FALSE),"-")</f>
        <v>- / -</v>
      </c>
      <c r="T18" s="117" t="str">
        <f t="shared" ref="T18:T27" si="114">IFERROR(RIGHT(M18,LEN(M18)-FIND("],",M18)-1),"none")</f>
        <v>none</v>
      </c>
      <c r="U18" s="120" t="e">
        <f t="shared" ref="U18:U27" si="115">FIND("effect:",T18)+7</f>
        <v>#VALUE!</v>
      </c>
      <c r="V18" s="120">
        <f t="shared" ref="V18:V27" si="116">IFERROR(FIND(",",T18),LEN(T18))</f>
        <v>4</v>
      </c>
      <c r="W18" s="120" t="e">
        <f t="shared" ref="W18:W27" si="117">FIND("target:",T18)+7</f>
        <v>#VALUE!</v>
      </c>
      <c r="X18" s="120" t="e">
        <f t="shared" ref="X18:X27" si="118">FIND(",",T18,V18+1)</f>
        <v>#VALUE!</v>
      </c>
      <c r="Y18" s="120" t="str">
        <f>IFERROR(VLOOKUP(MID(T18,W18,X18-W18),[6]skilldef!$C:$D,2,FALSE),"-") &amp; " / " &amp; IFERROR(VLOOKUP(MID(T18,U18,V18-U18),[6]skilldef!$A:$B,2,FALSE),"-")</f>
        <v>- / -</v>
      </c>
      <c r="Z18" s="119"/>
      <c r="AA18" s="121"/>
      <c r="AB18" s="119"/>
    </row>
    <row r="19" spans="1:28" s="122" customFormat="1" ht="28" x14ac:dyDescent="0.15">
      <c r="A19" s="117">
        <v>20020018</v>
      </c>
      <c r="B19" s="118" t="s">
        <v>320</v>
      </c>
      <c r="C19" s="119">
        <v>3</v>
      </c>
      <c r="D19" s="119" t="s">
        <v>128</v>
      </c>
      <c r="E19" s="120" t="s">
        <v>287</v>
      </c>
      <c r="F19" s="120" t="s">
        <v>319</v>
      </c>
      <c r="G19" s="120" t="str">
        <f t="shared" si="104"/>
        <v>[effect:fix_speed, target:myself, turn:1]</v>
      </c>
      <c r="H19" s="120">
        <f t="shared" si="105"/>
        <v>9</v>
      </c>
      <c r="I19" s="120">
        <f t="shared" si="106"/>
        <v>18</v>
      </c>
      <c r="J19" s="120">
        <f t="shared" si="107"/>
        <v>27</v>
      </c>
      <c r="K19" s="120">
        <f t="shared" si="108"/>
        <v>33</v>
      </c>
      <c r="L19" s="120" t="str">
        <f>IFERROR(VLOOKUP(MID(G19,J19,K19-J19),[6]skilldef!$C:$D,2,FALSE),"-") &amp; " / " &amp; IFERROR(VLOOKUP(MID(G19,H19,I19-H19),[6]skilldef!$A:$B,2,FALSE),"-")</f>
        <v>自分自身に / 行動値設定</v>
      </c>
      <c r="M19" s="120" t="str">
        <f t="shared" si="109"/>
        <v>none</v>
      </c>
      <c r="N19" s="117" t="str">
        <f>IFERROR(LEFT(M19,FIND("],",M19)+#REF!),M19)</f>
        <v>none</v>
      </c>
      <c r="O19" s="120" t="e">
        <f t="shared" si="110"/>
        <v>#VALUE!</v>
      </c>
      <c r="P19" s="120">
        <f t="shared" si="111"/>
        <v>4</v>
      </c>
      <c r="Q19" s="120" t="e">
        <f t="shared" si="112"/>
        <v>#VALUE!</v>
      </c>
      <c r="R19" s="120" t="e">
        <f t="shared" si="113"/>
        <v>#VALUE!</v>
      </c>
      <c r="S19" s="120" t="str">
        <f>IFERROR(VLOOKUP(MID(N19,Q19,R19-Q19),[6]skilldef!$C:$D,2,FALSE),"-") &amp; " / " &amp; IFERROR(VLOOKUP(MID(N19,O19,P19-O19),[6]skilldef!$A:$B,2,FALSE),"-")</f>
        <v>- / -</v>
      </c>
      <c r="T19" s="117" t="str">
        <f t="shared" si="114"/>
        <v>none</v>
      </c>
      <c r="U19" s="120" t="e">
        <f t="shared" si="115"/>
        <v>#VALUE!</v>
      </c>
      <c r="V19" s="120">
        <f t="shared" si="116"/>
        <v>4</v>
      </c>
      <c r="W19" s="120" t="e">
        <f t="shared" si="117"/>
        <v>#VALUE!</v>
      </c>
      <c r="X19" s="120" t="e">
        <f t="shared" si="118"/>
        <v>#VALUE!</v>
      </c>
      <c r="Y19" s="120" t="str">
        <f>IFERROR(VLOOKUP(MID(T19,W19,X19-W19),[6]skilldef!$C:$D,2,FALSE),"-") &amp; " / " &amp; IFERROR(VLOOKUP(MID(T19,U19,V19-U19),[6]skilldef!$A:$B,2,FALSE),"-")</f>
        <v>- / -</v>
      </c>
      <c r="Z19" s="119"/>
      <c r="AA19" s="121"/>
      <c r="AB19" s="119"/>
    </row>
    <row r="20" spans="1:28" s="122" customFormat="1" ht="28" x14ac:dyDescent="0.15">
      <c r="A20" s="117">
        <v>20020019</v>
      </c>
      <c r="B20" s="118" t="s">
        <v>322</v>
      </c>
      <c r="C20" s="119">
        <v>3</v>
      </c>
      <c r="D20" s="119" t="s">
        <v>128</v>
      </c>
      <c r="E20" s="120" t="s">
        <v>301</v>
      </c>
      <c r="F20" s="120" t="s">
        <v>309</v>
      </c>
      <c r="G20" s="120" t="str">
        <f t="shared" si="104"/>
        <v>[effect:break_attack, target:unit_all, val:0.06, lowest_val:0, count:1, color:red, block01:block_red]</v>
      </c>
      <c r="H20" s="120">
        <f t="shared" si="105"/>
        <v>9</v>
      </c>
      <c r="I20" s="120">
        <f t="shared" si="106"/>
        <v>21</v>
      </c>
      <c r="J20" s="120">
        <f t="shared" si="107"/>
        <v>30</v>
      </c>
      <c r="K20" s="120">
        <f t="shared" si="108"/>
        <v>38</v>
      </c>
      <c r="L20" s="120" t="str">
        <f>IFERROR(VLOOKUP(MID(G20,J20,K20-J20),[6]skilldef!$C:$D,2,FALSE),"-") &amp; " / " &amp; IFERROR(VLOOKUP(MID(G20,H20,I20-H20),[6]skilldef!$A:$B,2,FALSE),"-")</f>
        <v>味方全体に / -</v>
      </c>
      <c r="M20" s="120" t="str">
        <f t="shared" si="109"/>
        <v>[effect:enemy_message, val1:1.2, val2:1.4]</v>
      </c>
      <c r="N20" s="117" t="str">
        <f>IFERROR(LEFT(M20,FIND("],",M20)+#REF!),M20)</f>
        <v>[effect:enemy_message, val1:1.2, val2:1.4]</v>
      </c>
      <c r="O20" s="120">
        <f t="shared" si="110"/>
        <v>9</v>
      </c>
      <c r="P20" s="120">
        <f t="shared" si="111"/>
        <v>22</v>
      </c>
      <c r="Q20" s="120" t="e">
        <f t="shared" si="112"/>
        <v>#VALUE!</v>
      </c>
      <c r="R20" s="120">
        <f t="shared" si="113"/>
        <v>32</v>
      </c>
      <c r="S20" s="120" t="str">
        <f>IFERROR(VLOOKUP(MID(N20,Q20,R20-Q20),[6]skilldef!$C:$D,2,FALSE),"-") &amp; " / " &amp; IFERROR(VLOOKUP(MID(N20,O20,P20-O20),[6]skilldef!$A:$B,2,FALSE),"-")</f>
        <v>- / -</v>
      </c>
      <c r="T20" s="117" t="str">
        <f t="shared" si="114"/>
        <v>none</v>
      </c>
      <c r="U20" s="120" t="e">
        <f t="shared" si="115"/>
        <v>#VALUE!</v>
      </c>
      <c r="V20" s="120">
        <f t="shared" si="116"/>
        <v>4</v>
      </c>
      <c r="W20" s="120" t="e">
        <f t="shared" si="117"/>
        <v>#VALUE!</v>
      </c>
      <c r="X20" s="120" t="e">
        <f t="shared" si="118"/>
        <v>#VALUE!</v>
      </c>
      <c r="Y20" s="120" t="str">
        <f>IFERROR(VLOOKUP(MID(T20,W20,X20-W20),[6]skilldef!$C:$D,2,FALSE),"-") &amp; " / " &amp; IFERROR(VLOOKUP(MID(T20,U20,V20-U20),[6]skilldef!$A:$B,2,FALSE),"-")</f>
        <v>- / -</v>
      </c>
      <c r="Z20" s="119"/>
      <c r="AA20" s="121"/>
      <c r="AB20" s="119"/>
    </row>
    <row r="21" spans="1:28" s="122" customFormat="1" ht="28" x14ac:dyDescent="0.15">
      <c r="A21" s="117">
        <v>20020020</v>
      </c>
      <c r="B21" s="118" t="s">
        <v>330</v>
      </c>
      <c r="C21" s="119">
        <v>3</v>
      </c>
      <c r="D21" s="119" t="s">
        <v>128</v>
      </c>
      <c r="E21" s="120" t="s">
        <v>302</v>
      </c>
      <c r="F21" s="120" t="s">
        <v>310</v>
      </c>
      <c r="G21" s="120" t="str">
        <f t="shared" si="104"/>
        <v>[effect:break_attack, target:unit_all, val:0.06, lowest_val:0, count:2,color:red, block01:block_red]</v>
      </c>
      <c r="H21" s="120">
        <f t="shared" si="105"/>
        <v>9</v>
      </c>
      <c r="I21" s="120">
        <f t="shared" si="106"/>
        <v>21</v>
      </c>
      <c r="J21" s="120">
        <f t="shared" si="107"/>
        <v>30</v>
      </c>
      <c r="K21" s="120">
        <f t="shared" si="108"/>
        <v>38</v>
      </c>
      <c r="L21" s="120" t="str">
        <f>IFERROR(VLOOKUP(MID(G21,J21,K21-J21),[6]skilldef!$C:$D,2,FALSE),"-") &amp; " / " &amp; IFERROR(VLOOKUP(MID(G21,H21,I21-H21),[6]skilldef!$A:$B,2,FALSE),"-")</f>
        <v>味方全体に / -</v>
      </c>
      <c r="M21" s="120" t="str">
        <f t="shared" si="109"/>
        <v>[effect:enemy_message, val1:1.2, val2:1.4]</v>
      </c>
      <c r="N21" s="117" t="str">
        <f>IFERROR(LEFT(M21,FIND("],",M21)+#REF!),M21)</f>
        <v>[effect:enemy_message, val1:1.2, val2:1.4]</v>
      </c>
      <c r="O21" s="120">
        <f t="shared" si="110"/>
        <v>9</v>
      </c>
      <c r="P21" s="120">
        <f t="shared" si="111"/>
        <v>22</v>
      </c>
      <c r="Q21" s="120" t="e">
        <f t="shared" si="112"/>
        <v>#VALUE!</v>
      </c>
      <c r="R21" s="120">
        <f t="shared" si="113"/>
        <v>32</v>
      </c>
      <c r="S21" s="120" t="str">
        <f>IFERROR(VLOOKUP(MID(N21,Q21,R21-Q21),[6]skilldef!$C:$D,2,FALSE),"-") &amp; " / " &amp; IFERROR(VLOOKUP(MID(N21,O21,P21-O21),[6]skilldef!$A:$B,2,FALSE),"-")</f>
        <v>- / -</v>
      </c>
      <c r="T21" s="117" t="str">
        <f t="shared" si="114"/>
        <v>none</v>
      </c>
      <c r="U21" s="120" t="e">
        <f t="shared" si="115"/>
        <v>#VALUE!</v>
      </c>
      <c r="V21" s="120">
        <f t="shared" si="116"/>
        <v>4</v>
      </c>
      <c r="W21" s="120" t="e">
        <f t="shared" si="117"/>
        <v>#VALUE!</v>
      </c>
      <c r="X21" s="120" t="e">
        <f t="shared" si="118"/>
        <v>#VALUE!</v>
      </c>
      <c r="Y21" s="120" t="str">
        <f>IFERROR(VLOOKUP(MID(T21,W21,X21-W21),[6]skilldef!$C:$D,2,FALSE),"-") &amp; " / " &amp; IFERROR(VLOOKUP(MID(T21,U21,V21-U21),[6]skilldef!$A:$B,2,FALSE),"-")</f>
        <v>- / -</v>
      </c>
      <c r="Z21" s="119"/>
      <c r="AA21" s="121"/>
      <c r="AB21" s="119"/>
    </row>
    <row r="22" spans="1:28" s="122" customFormat="1" ht="28" x14ac:dyDescent="0.15">
      <c r="A22" s="117">
        <v>20020021</v>
      </c>
      <c r="B22" s="118" t="s">
        <v>331</v>
      </c>
      <c r="C22" s="119">
        <v>3</v>
      </c>
      <c r="D22" s="119" t="s">
        <v>128</v>
      </c>
      <c r="E22" s="120" t="s">
        <v>303</v>
      </c>
      <c r="F22" s="120" t="s">
        <v>311</v>
      </c>
      <c r="G22" s="120" t="str">
        <f t="shared" si="104"/>
        <v>[effect:break_attack, target:unit_all, val:0.06, lowest_val:0, count:3,color:red, block01:block_red]</v>
      </c>
      <c r="H22" s="120">
        <f t="shared" si="105"/>
        <v>9</v>
      </c>
      <c r="I22" s="120">
        <f t="shared" si="106"/>
        <v>21</v>
      </c>
      <c r="J22" s="120">
        <f t="shared" si="107"/>
        <v>30</v>
      </c>
      <c r="K22" s="120">
        <f t="shared" si="108"/>
        <v>38</v>
      </c>
      <c r="L22" s="120" t="str">
        <f>IFERROR(VLOOKUP(MID(G22,J22,K22-J22),[6]skilldef!$C:$D,2,FALSE),"-") &amp; " / " &amp; IFERROR(VLOOKUP(MID(G22,H22,I22-H22),[6]skilldef!$A:$B,2,FALSE),"-")</f>
        <v>味方全体に / -</v>
      </c>
      <c r="M22" s="120" t="str">
        <f t="shared" si="109"/>
        <v>[effect:enemy_message, val1:1.2, val2:1.4]</v>
      </c>
      <c r="N22" s="117" t="str">
        <f>IFERROR(LEFT(M22,FIND("],",M22)+#REF!),M22)</f>
        <v>[effect:enemy_message, val1:1.2, val2:1.4]</v>
      </c>
      <c r="O22" s="120">
        <f t="shared" si="110"/>
        <v>9</v>
      </c>
      <c r="P22" s="120">
        <f t="shared" si="111"/>
        <v>22</v>
      </c>
      <c r="Q22" s="120" t="e">
        <f t="shared" si="112"/>
        <v>#VALUE!</v>
      </c>
      <c r="R22" s="120">
        <f t="shared" si="113"/>
        <v>32</v>
      </c>
      <c r="S22" s="120" t="str">
        <f>IFERROR(VLOOKUP(MID(N22,Q22,R22-Q22),[6]skilldef!$C:$D,2,FALSE),"-") &amp; " / " &amp; IFERROR(VLOOKUP(MID(N22,O22,P22-O22),[6]skilldef!$A:$B,2,FALSE),"-")</f>
        <v>- / -</v>
      </c>
      <c r="T22" s="117" t="str">
        <f t="shared" si="114"/>
        <v>none</v>
      </c>
      <c r="U22" s="120" t="e">
        <f t="shared" si="115"/>
        <v>#VALUE!</v>
      </c>
      <c r="V22" s="120">
        <f t="shared" si="116"/>
        <v>4</v>
      </c>
      <c r="W22" s="120" t="e">
        <f t="shared" si="117"/>
        <v>#VALUE!</v>
      </c>
      <c r="X22" s="120" t="e">
        <f t="shared" si="118"/>
        <v>#VALUE!</v>
      </c>
      <c r="Y22" s="120" t="str">
        <f>IFERROR(VLOOKUP(MID(T22,W22,X22-W22),[6]skilldef!$C:$D,2,FALSE),"-") &amp; " / " &amp; IFERROR(VLOOKUP(MID(T22,U22,V22-U22),[6]skilldef!$A:$B,2,FALSE),"-")</f>
        <v>- / -</v>
      </c>
      <c r="Z22" s="119"/>
      <c r="AA22" s="121"/>
      <c r="AB22" s="119"/>
    </row>
    <row r="23" spans="1:28" s="122" customFormat="1" ht="28" x14ac:dyDescent="0.15">
      <c r="A23" s="117">
        <v>20020022</v>
      </c>
      <c r="B23" s="118" t="s">
        <v>332</v>
      </c>
      <c r="C23" s="119">
        <v>3</v>
      </c>
      <c r="D23" s="119" t="s">
        <v>128</v>
      </c>
      <c r="E23" s="120" t="s">
        <v>304</v>
      </c>
      <c r="F23" s="120" t="s">
        <v>312</v>
      </c>
      <c r="G23" s="120" t="str">
        <f t="shared" si="104"/>
        <v>[effect:break_attack, target:unit_all, val:0.06, lowest_val:0, count:4,color:red, block01:block_red]</v>
      </c>
      <c r="H23" s="120">
        <f t="shared" si="105"/>
        <v>9</v>
      </c>
      <c r="I23" s="120">
        <f t="shared" si="106"/>
        <v>21</v>
      </c>
      <c r="J23" s="120">
        <f t="shared" si="107"/>
        <v>30</v>
      </c>
      <c r="K23" s="120">
        <f t="shared" si="108"/>
        <v>38</v>
      </c>
      <c r="L23" s="120" t="str">
        <f>IFERROR(VLOOKUP(MID(G23,J23,K23-J23),[6]skilldef!$C:$D,2,FALSE),"-") &amp; " / " &amp; IFERROR(VLOOKUP(MID(G23,H23,I23-H23),[6]skilldef!$A:$B,2,FALSE),"-")</f>
        <v>味方全体に / -</v>
      </c>
      <c r="M23" s="120" t="str">
        <f t="shared" si="109"/>
        <v>[effect:enemy_message, val1:1.2, val2:1.4]</v>
      </c>
      <c r="N23" s="117" t="str">
        <f>IFERROR(LEFT(M23,FIND("],",M23)+#REF!),M23)</f>
        <v>[effect:enemy_message, val1:1.2, val2:1.4]</v>
      </c>
      <c r="O23" s="120">
        <f t="shared" si="110"/>
        <v>9</v>
      </c>
      <c r="P23" s="120">
        <f t="shared" si="111"/>
        <v>22</v>
      </c>
      <c r="Q23" s="120" t="e">
        <f t="shared" si="112"/>
        <v>#VALUE!</v>
      </c>
      <c r="R23" s="120">
        <f t="shared" si="113"/>
        <v>32</v>
      </c>
      <c r="S23" s="120" t="str">
        <f>IFERROR(VLOOKUP(MID(N23,Q23,R23-Q23),[6]skilldef!$C:$D,2,FALSE),"-") &amp; " / " &amp; IFERROR(VLOOKUP(MID(N23,O23,P23-O23),[6]skilldef!$A:$B,2,FALSE),"-")</f>
        <v>- / -</v>
      </c>
      <c r="T23" s="117" t="str">
        <f t="shared" si="114"/>
        <v>none</v>
      </c>
      <c r="U23" s="120" t="e">
        <f t="shared" si="115"/>
        <v>#VALUE!</v>
      </c>
      <c r="V23" s="120">
        <f t="shared" si="116"/>
        <v>4</v>
      </c>
      <c r="W23" s="120" t="e">
        <f t="shared" si="117"/>
        <v>#VALUE!</v>
      </c>
      <c r="X23" s="120" t="e">
        <f t="shared" si="118"/>
        <v>#VALUE!</v>
      </c>
      <c r="Y23" s="120" t="str">
        <f>IFERROR(VLOOKUP(MID(T23,W23,X23-W23),[6]skilldef!$C:$D,2,FALSE),"-") &amp; " / " &amp; IFERROR(VLOOKUP(MID(T23,U23,V23-U23),[6]skilldef!$A:$B,2,FALSE),"-")</f>
        <v>- / -</v>
      </c>
      <c r="Z23" s="119"/>
      <c r="AA23" s="121"/>
      <c r="AB23" s="119"/>
    </row>
    <row r="24" spans="1:28" s="122" customFormat="1" ht="28" x14ac:dyDescent="0.15">
      <c r="A24" s="117">
        <v>20020023</v>
      </c>
      <c r="B24" s="118" t="s">
        <v>333</v>
      </c>
      <c r="C24" s="119">
        <v>3</v>
      </c>
      <c r="D24" s="119" t="s">
        <v>128</v>
      </c>
      <c r="E24" s="120" t="s">
        <v>282</v>
      </c>
      <c r="F24" s="120" t="s">
        <v>313</v>
      </c>
      <c r="G24" s="120" t="str">
        <f t="shared" si="104"/>
        <v>[effect:break_attack, target:unit_all, val:0.06, lowest_val:0, count:5,color:red, block01:block_red]</v>
      </c>
      <c r="H24" s="120">
        <f t="shared" si="105"/>
        <v>9</v>
      </c>
      <c r="I24" s="120">
        <f t="shared" si="106"/>
        <v>21</v>
      </c>
      <c r="J24" s="120">
        <f t="shared" si="107"/>
        <v>30</v>
      </c>
      <c r="K24" s="120">
        <f t="shared" si="108"/>
        <v>38</v>
      </c>
      <c r="L24" s="120" t="str">
        <f>IFERROR(VLOOKUP(MID(G24,J24,K24-J24),[6]skilldef!$C:$D,2,FALSE),"-") &amp; " / " &amp; IFERROR(VLOOKUP(MID(G24,H24,I24-H24),[6]skilldef!$A:$B,2,FALSE),"-")</f>
        <v>味方全体に / -</v>
      </c>
      <c r="M24" s="120" t="str">
        <f t="shared" si="109"/>
        <v>[effect:enemy_message, val1:1.2, val2:1.4]</v>
      </c>
      <c r="N24" s="117" t="str">
        <f>IFERROR(LEFT(M24,FIND("],",M24)+#REF!),M24)</f>
        <v>[effect:enemy_message, val1:1.2, val2:1.4]</v>
      </c>
      <c r="O24" s="120">
        <f t="shared" si="110"/>
        <v>9</v>
      </c>
      <c r="P24" s="120">
        <f t="shared" si="111"/>
        <v>22</v>
      </c>
      <c r="Q24" s="120" t="e">
        <f t="shared" si="112"/>
        <v>#VALUE!</v>
      </c>
      <c r="R24" s="120">
        <f t="shared" si="113"/>
        <v>32</v>
      </c>
      <c r="S24" s="120" t="str">
        <f>IFERROR(VLOOKUP(MID(N24,Q24,R24-Q24),[6]skilldef!$C:$D,2,FALSE),"-") &amp; " / " &amp; IFERROR(VLOOKUP(MID(N24,O24,P24-O24),[6]skilldef!$A:$B,2,FALSE),"-")</f>
        <v>- / -</v>
      </c>
      <c r="T24" s="117" t="str">
        <f t="shared" si="114"/>
        <v>none</v>
      </c>
      <c r="U24" s="120" t="e">
        <f t="shared" si="115"/>
        <v>#VALUE!</v>
      </c>
      <c r="V24" s="120">
        <f t="shared" si="116"/>
        <v>4</v>
      </c>
      <c r="W24" s="120" t="e">
        <f t="shared" si="117"/>
        <v>#VALUE!</v>
      </c>
      <c r="X24" s="120" t="e">
        <f t="shared" si="118"/>
        <v>#VALUE!</v>
      </c>
      <c r="Y24" s="120" t="str">
        <f>IFERROR(VLOOKUP(MID(T24,W24,X24-W24),[6]skilldef!$C:$D,2,FALSE),"-") &amp; " / " &amp; IFERROR(VLOOKUP(MID(T24,U24,V24-U24),[6]skilldef!$A:$B,2,FALSE),"-")</f>
        <v>- / -</v>
      </c>
      <c r="Z24" s="119"/>
      <c r="AA24" s="121"/>
      <c r="AB24" s="119"/>
    </row>
    <row r="25" spans="1:28" s="122" customFormat="1" ht="28" x14ac:dyDescent="0.15">
      <c r="A25" s="117">
        <v>20020024</v>
      </c>
      <c r="B25" s="118" t="s">
        <v>334</v>
      </c>
      <c r="C25" s="119">
        <v>3</v>
      </c>
      <c r="D25" s="119" t="s">
        <v>128</v>
      </c>
      <c r="E25" s="120" t="s">
        <v>305</v>
      </c>
      <c r="F25" s="120" t="s">
        <v>314</v>
      </c>
      <c r="G25" s="120" t="str">
        <f t="shared" si="104"/>
        <v>[effect:break_attack, target:unit_all, val:0.06, lowest_val:0, count:6,color:red, block01:block_red]</v>
      </c>
      <c r="H25" s="120">
        <f t="shared" si="105"/>
        <v>9</v>
      </c>
      <c r="I25" s="120">
        <f t="shared" si="106"/>
        <v>21</v>
      </c>
      <c r="J25" s="120">
        <f t="shared" si="107"/>
        <v>30</v>
      </c>
      <c r="K25" s="120">
        <f t="shared" si="108"/>
        <v>38</v>
      </c>
      <c r="L25" s="120" t="str">
        <f>IFERROR(VLOOKUP(MID(G25,J25,K25-J25),[6]skilldef!$C:$D,2,FALSE),"-") &amp; " / " &amp; IFERROR(VLOOKUP(MID(G25,H25,I25-H25),[6]skilldef!$A:$B,2,FALSE),"-")</f>
        <v>味方全体に / -</v>
      </c>
      <c r="M25" s="120" t="str">
        <f t="shared" si="109"/>
        <v>[effect:enemy_message, val1:1.2, val2:1.4]</v>
      </c>
      <c r="N25" s="117" t="str">
        <f>IFERROR(LEFT(M25,FIND("],",M25)+#REF!),M25)</f>
        <v>[effect:enemy_message, val1:1.2, val2:1.4]</v>
      </c>
      <c r="O25" s="120">
        <f t="shared" si="110"/>
        <v>9</v>
      </c>
      <c r="P25" s="120">
        <f t="shared" si="111"/>
        <v>22</v>
      </c>
      <c r="Q25" s="120" t="e">
        <f t="shared" si="112"/>
        <v>#VALUE!</v>
      </c>
      <c r="R25" s="120">
        <f t="shared" si="113"/>
        <v>32</v>
      </c>
      <c r="S25" s="120" t="str">
        <f>IFERROR(VLOOKUP(MID(N25,Q25,R25-Q25),[6]skilldef!$C:$D,2,FALSE),"-") &amp; " / " &amp; IFERROR(VLOOKUP(MID(N25,O25,P25-O25),[6]skilldef!$A:$B,2,FALSE),"-")</f>
        <v>- / -</v>
      </c>
      <c r="T25" s="117" t="str">
        <f t="shared" si="114"/>
        <v>none</v>
      </c>
      <c r="U25" s="120" t="e">
        <f t="shared" si="115"/>
        <v>#VALUE!</v>
      </c>
      <c r="V25" s="120">
        <f t="shared" si="116"/>
        <v>4</v>
      </c>
      <c r="W25" s="120" t="e">
        <f t="shared" si="117"/>
        <v>#VALUE!</v>
      </c>
      <c r="X25" s="120" t="e">
        <f t="shared" si="118"/>
        <v>#VALUE!</v>
      </c>
      <c r="Y25" s="120" t="str">
        <f>IFERROR(VLOOKUP(MID(T25,W25,X25-W25),[6]skilldef!$C:$D,2,FALSE),"-") &amp; " / " &amp; IFERROR(VLOOKUP(MID(T25,U25,V25-U25),[6]skilldef!$A:$B,2,FALSE),"-")</f>
        <v>- / -</v>
      </c>
      <c r="Z25" s="119"/>
      <c r="AA25" s="121"/>
      <c r="AB25" s="119"/>
    </row>
    <row r="26" spans="1:28" s="122" customFormat="1" ht="28" x14ac:dyDescent="0.15">
      <c r="A26" s="117">
        <v>20020025</v>
      </c>
      <c r="B26" s="118" t="s">
        <v>335</v>
      </c>
      <c r="C26" s="119">
        <v>3</v>
      </c>
      <c r="D26" s="119" t="s">
        <v>128</v>
      </c>
      <c r="E26" s="120" t="s">
        <v>306</v>
      </c>
      <c r="F26" s="120" t="s">
        <v>315</v>
      </c>
      <c r="G26" s="120" t="str">
        <f t="shared" si="104"/>
        <v>[effect:break_attack, target:unit_all, val:0.06, lowest_val:0, count:7,color:red, block01:block_red]</v>
      </c>
      <c r="H26" s="120">
        <f t="shared" si="105"/>
        <v>9</v>
      </c>
      <c r="I26" s="120">
        <f t="shared" si="106"/>
        <v>21</v>
      </c>
      <c r="J26" s="120">
        <f t="shared" si="107"/>
        <v>30</v>
      </c>
      <c r="K26" s="120">
        <f t="shared" si="108"/>
        <v>38</v>
      </c>
      <c r="L26" s="120" t="str">
        <f>IFERROR(VLOOKUP(MID(G26,J26,K26-J26),[6]skilldef!$C:$D,2,FALSE),"-") &amp; " / " &amp; IFERROR(VLOOKUP(MID(G26,H26,I26-H26),[6]skilldef!$A:$B,2,FALSE),"-")</f>
        <v>味方全体に / -</v>
      </c>
      <c r="M26" s="120" t="str">
        <f t="shared" si="109"/>
        <v>[effect:enemy_message, val1:1.2, val2:1.4]</v>
      </c>
      <c r="N26" s="117" t="str">
        <f>IFERROR(LEFT(M26,FIND("],",M26)+#REF!),M26)</f>
        <v>[effect:enemy_message, val1:1.2, val2:1.4]</v>
      </c>
      <c r="O26" s="120">
        <f t="shared" si="110"/>
        <v>9</v>
      </c>
      <c r="P26" s="120">
        <f t="shared" si="111"/>
        <v>22</v>
      </c>
      <c r="Q26" s="120" t="e">
        <f t="shared" si="112"/>
        <v>#VALUE!</v>
      </c>
      <c r="R26" s="120">
        <f t="shared" si="113"/>
        <v>32</v>
      </c>
      <c r="S26" s="120" t="str">
        <f>IFERROR(VLOOKUP(MID(N26,Q26,R26-Q26),[6]skilldef!$C:$D,2,FALSE),"-") &amp; " / " &amp; IFERROR(VLOOKUP(MID(N26,O26,P26-O26),[6]skilldef!$A:$B,2,FALSE),"-")</f>
        <v>- / -</v>
      </c>
      <c r="T26" s="117" t="str">
        <f t="shared" si="114"/>
        <v>none</v>
      </c>
      <c r="U26" s="120" t="e">
        <f t="shared" si="115"/>
        <v>#VALUE!</v>
      </c>
      <c r="V26" s="120">
        <f t="shared" si="116"/>
        <v>4</v>
      </c>
      <c r="W26" s="120" t="e">
        <f t="shared" si="117"/>
        <v>#VALUE!</v>
      </c>
      <c r="X26" s="120" t="e">
        <f t="shared" si="118"/>
        <v>#VALUE!</v>
      </c>
      <c r="Y26" s="120" t="str">
        <f>IFERROR(VLOOKUP(MID(T26,W26,X26-W26),[6]skilldef!$C:$D,2,FALSE),"-") &amp; " / " &amp; IFERROR(VLOOKUP(MID(T26,U26,V26-U26),[6]skilldef!$A:$B,2,FALSE),"-")</f>
        <v>- / -</v>
      </c>
      <c r="Z26" s="119"/>
      <c r="AA26" s="121"/>
      <c r="AB26" s="119"/>
    </row>
    <row r="27" spans="1:28" s="122" customFormat="1" ht="28" x14ac:dyDescent="0.15">
      <c r="A27" s="117">
        <v>20020026</v>
      </c>
      <c r="B27" s="118" t="s">
        <v>336</v>
      </c>
      <c r="C27" s="119">
        <v>3</v>
      </c>
      <c r="D27" s="119" t="s">
        <v>128</v>
      </c>
      <c r="E27" s="120" t="s">
        <v>307</v>
      </c>
      <c r="F27" s="120" t="s">
        <v>317</v>
      </c>
      <c r="G27" s="120" t="str">
        <f t="shared" si="104"/>
        <v>[effect:break_attack, target:unit_all, val:0.06, lowest_val:0, count:-1,color:red, block01:block_red]</v>
      </c>
      <c r="H27" s="120">
        <f t="shared" si="105"/>
        <v>9</v>
      </c>
      <c r="I27" s="120">
        <f t="shared" si="106"/>
        <v>21</v>
      </c>
      <c r="J27" s="120">
        <f t="shared" si="107"/>
        <v>30</v>
      </c>
      <c r="K27" s="120">
        <f t="shared" si="108"/>
        <v>38</v>
      </c>
      <c r="L27" s="120" t="str">
        <f>IFERROR(VLOOKUP(MID(G27,J27,K27-J27),[6]skilldef!$C:$D,2,FALSE),"-") &amp; " / " &amp; IFERROR(VLOOKUP(MID(G27,H27,I27-H27),[6]skilldef!$A:$B,2,FALSE),"-")</f>
        <v>味方全体に / -</v>
      </c>
      <c r="M27" s="120" t="str">
        <f t="shared" si="109"/>
        <v>[effect:enemy_message, val1:1.2, val2:1.4]</v>
      </c>
      <c r="N27" s="117" t="str">
        <f>IFERROR(LEFT(M27,FIND("],",M27)+#REF!),M27)</f>
        <v>[effect:enemy_message, val1:1.2, val2:1.4]</v>
      </c>
      <c r="O27" s="120">
        <f t="shared" si="110"/>
        <v>9</v>
      </c>
      <c r="P27" s="120">
        <f t="shared" si="111"/>
        <v>22</v>
      </c>
      <c r="Q27" s="120" t="e">
        <f t="shared" si="112"/>
        <v>#VALUE!</v>
      </c>
      <c r="R27" s="120">
        <f t="shared" si="113"/>
        <v>32</v>
      </c>
      <c r="S27" s="120" t="str">
        <f>IFERROR(VLOOKUP(MID(N27,Q27,R27-Q27),[6]skilldef!$C:$D,2,FALSE),"-") &amp; " / " &amp; IFERROR(VLOOKUP(MID(N27,O27,P27-O27),[6]skilldef!$A:$B,2,FALSE),"-")</f>
        <v>- / -</v>
      </c>
      <c r="T27" s="117" t="str">
        <f t="shared" si="114"/>
        <v>none</v>
      </c>
      <c r="U27" s="120" t="e">
        <f t="shared" si="115"/>
        <v>#VALUE!</v>
      </c>
      <c r="V27" s="120">
        <f t="shared" si="116"/>
        <v>4</v>
      </c>
      <c r="W27" s="120" t="e">
        <f t="shared" si="117"/>
        <v>#VALUE!</v>
      </c>
      <c r="X27" s="120" t="e">
        <f t="shared" si="118"/>
        <v>#VALUE!</v>
      </c>
      <c r="Y27" s="120" t="str">
        <f>IFERROR(VLOOKUP(MID(T27,W27,X27-W27),[6]skilldef!$C:$D,2,FALSE),"-") &amp; " / " &amp; IFERROR(VLOOKUP(MID(T27,U27,V27-U27),[6]skilldef!$A:$B,2,FALSE),"-")</f>
        <v>- / -</v>
      </c>
      <c r="Z27" s="119"/>
      <c r="AA27" s="121"/>
      <c r="AB27" s="119"/>
    </row>
    <row r="28" spans="1:28" s="122" customFormat="1" ht="28" x14ac:dyDescent="0.15">
      <c r="A28" s="117">
        <v>20020027</v>
      </c>
      <c r="B28" s="118" t="s">
        <v>281</v>
      </c>
      <c r="C28" s="119">
        <v>3</v>
      </c>
      <c r="D28" s="119" t="s">
        <v>128</v>
      </c>
      <c r="E28" s="120" t="s">
        <v>308</v>
      </c>
      <c r="F28" s="120" t="s">
        <v>291</v>
      </c>
      <c r="G28" s="120" t="str">
        <f t="shared" ref="G28" si="119">IFERROR(LEFT(B28,FIND("],",B28)),B28)</f>
        <v>[effect:change_block, new_block:block_red, target:block_all, count:15, val:0, animation:change_block]</v>
      </c>
      <c r="H28" s="120">
        <f t="shared" ref="H28" si="120">FIND("effect:",G28)+7</f>
        <v>9</v>
      </c>
      <c r="I28" s="120">
        <f t="shared" ref="I28" si="121">IFERROR(FIND(",",G28),LEN(G28))</f>
        <v>21</v>
      </c>
      <c r="J28" s="120">
        <f t="shared" ref="J28" si="122">FIND("target:",G28)+7</f>
        <v>51</v>
      </c>
      <c r="K28" s="120">
        <f t="shared" ref="K28" si="123">FIND(",",G28,I28+1)</f>
        <v>42</v>
      </c>
      <c r="L28" s="120" t="str">
        <f>IFERROR(VLOOKUP(MID(G28,J28,K28-J28),[6]skilldef!$C:$D,2,FALSE),"-") &amp; " / " &amp; IFERROR(VLOOKUP(MID(G28,H28,I28-H28),[6]skilldef!$A:$B,2,FALSE),"-")</f>
        <v>- / ブロック変換</v>
      </c>
      <c r="M28" s="120" t="str">
        <f t="shared" ref="M28" si="124">IFERROR(RIGHT(B28,LEN(B28)-FIND("],",B28)-1),"none")</f>
        <v>[effect:enemy_message, val1:1.2, val2:1.4]</v>
      </c>
      <c r="N28" s="117" t="str">
        <f>IFERROR(LEFT(M28,FIND("],",M28)+#REF!),M28)</f>
        <v>[effect:enemy_message, val1:1.2, val2:1.4]</v>
      </c>
      <c r="O28" s="120">
        <f t="shared" ref="O28" si="125">FIND("effect:",N28)+7</f>
        <v>9</v>
      </c>
      <c r="P28" s="120">
        <f t="shared" ref="P28" si="126">IFERROR(FIND(",",N28),LEN(N28))</f>
        <v>22</v>
      </c>
      <c r="Q28" s="120" t="e">
        <f t="shared" ref="Q28" si="127">FIND("target:",N28)+7</f>
        <v>#VALUE!</v>
      </c>
      <c r="R28" s="120">
        <f t="shared" ref="R28" si="128">FIND(",",N28,P28+1)</f>
        <v>32</v>
      </c>
      <c r="S28" s="120" t="str">
        <f>IFERROR(VLOOKUP(MID(N28,Q28,R28-Q28),[6]skilldef!$C:$D,2,FALSE),"-") &amp; " / " &amp; IFERROR(VLOOKUP(MID(N28,O28,P28-O28),[6]skilldef!$A:$B,2,FALSE),"-")</f>
        <v>- / -</v>
      </c>
      <c r="T28" s="117" t="str">
        <f t="shared" ref="T28" si="129">IFERROR(RIGHT(M28,LEN(M28)-FIND("],",M28)-1),"none")</f>
        <v>none</v>
      </c>
      <c r="U28" s="120" t="e">
        <f t="shared" ref="U28" si="130">FIND("effect:",T28)+7</f>
        <v>#VALUE!</v>
      </c>
      <c r="V28" s="120">
        <f t="shared" ref="V28" si="131">IFERROR(FIND(",",T28),LEN(T28))</f>
        <v>4</v>
      </c>
      <c r="W28" s="120" t="e">
        <f t="shared" ref="W28" si="132">FIND("target:",T28)+7</f>
        <v>#VALUE!</v>
      </c>
      <c r="X28" s="120" t="e">
        <f t="shared" ref="X28" si="133">FIND(",",T28,V28+1)</f>
        <v>#VALUE!</v>
      </c>
      <c r="Y28" s="120" t="str">
        <f>IFERROR(VLOOKUP(MID(T28,W28,X28-W28),[6]skilldef!$C:$D,2,FALSE),"-") &amp; " / " &amp; IFERROR(VLOOKUP(MID(T28,U28,V28-U28),[6]skilldef!$A:$B,2,FALSE),"-")</f>
        <v>- / -</v>
      </c>
      <c r="Z28" s="119"/>
      <c r="AA28" s="121"/>
      <c r="AB28" s="119"/>
    </row>
    <row r="29" spans="1:28" s="122" customFormat="1" ht="28" x14ac:dyDescent="0.15">
      <c r="A29" s="117">
        <v>20020028</v>
      </c>
      <c r="B29" s="118" t="s">
        <v>289</v>
      </c>
      <c r="C29" s="119">
        <v>3</v>
      </c>
      <c r="D29" s="119" t="s">
        <v>128</v>
      </c>
      <c r="E29" s="120" t="s">
        <v>288</v>
      </c>
      <c r="F29" s="120" t="s">
        <v>292</v>
      </c>
      <c r="G29" s="120" t="str">
        <f t="shared" ref="G29" si="134">IFERROR(LEFT(B29,FIND("],",B29)),B29)</f>
        <v>[effect:enemy_message, val1:1.8, val2:2]</v>
      </c>
      <c r="H29" s="120">
        <f t="shared" ref="H29" si="135">FIND("effect:",G29)+7</f>
        <v>9</v>
      </c>
      <c r="I29" s="120">
        <f t="shared" ref="I29" si="136">IFERROR(FIND(",",G29),LEN(G29))</f>
        <v>22</v>
      </c>
      <c r="J29" s="120" t="e">
        <f t="shared" ref="J29" si="137">FIND("target:",G29)+7</f>
        <v>#VALUE!</v>
      </c>
      <c r="K29" s="120">
        <f t="shared" ref="K29" si="138">FIND(",",G29,I29+1)</f>
        <v>32</v>
      </c>
      <c r="L29" s="120" t="str">
        <f>IFERROR(VLOOKUP(MID(G29,J29,K29-J29),[6]skilldef!$C:$D,2,FALSE),"-") &amp; " / " &amp; IFERROR(VLOOKUP(MID(G29,H29,I29-H29),[6]skilldef!$A:$B,2,FALSE),"-")</f>
        <v>- / -</v>
      </c>
      <c r="M29" s="120" t="str">
        <f t="shared" ref="M29" si="139">IFERROR(RIGHT(B29,LEN(B29)-FIND("],",B29)-1),"none")</f>
        <v>none</v>
      </c>
      <c r="N29" s="117" t="str">
        <f>IFERROR(LEFT(M29,FIND("],",M29)+#REF!),M29)</f>
        <v>none</v>
      </c>
      <c r="O29" s="120" t="e">
        <f t="shared" ref="O29" si="140">FIND("effect:",N29)+7</f>
        <v>#VALUE!</v>
      </c>
      <c r="P29" s="120">
        <f t="shared" ref="P29" si="141">IFERROR(FIND(",",N29),LEN(N29))</f>
        <v>4</v>
      </c>
      <c r="Q29" s="120" t="e">
        <f t="shared" ref="Q29" si="142">FIND("target:",N29)+7</f>
        <v>#VALUE!</v>
      </c>
      <c r="R29" s="120" t="e">
        <f t="shared" ref="R29" si="143">FIND(",",N29,P29+1)</f>
        <v>#VALUE!</v>
      </c>
      <c r="S29" s="120" t="str">
        <f>IFERROR(VLOOKUP(MID(N29,Q29,R29-Q29),[6]skilldef!$C:$D,2,FALSE),"-") &amp; " / " &amp; IFERROR(VLOOKUP(MID(N29,O29,P29-O29),[6]skilldef!$A:$B,2,FALSE),"-")</f>
        <v>- / -</v>
      </c>
      <c r="T29" s="117" t="str">
        <f t="shared" ref="T29" si="144">IFERROR(RIGHT(M29,LEN(M29)-FIND("],",M29)-1),"none")</f>
        <v>none</v>
      </c>
      <c r="U29" s="120" t="e">
        <f t="shared" ref="U29" si="145">FIND("effect:",T29)+7</f>
        <v>#VALUE!</v>
      </c>
      <c r="V29" s="120">
        <f t="shared" ref="V29" si="146">IFERROR(FIND(",",T29),LEN(T29))</f>
        <v>4</v>
      </c>
      <c r="W29" s="120" t="e">
        <f t="shared" ref="W29" si="147">FIND("target:",T29)+7</f>
        <v>#VALUE!</v>
      </c>
      <c r="X29" s="120" t="e">
        <f t="shared" ref="X29" si="148">FIND(",",T29,V29+1)</f>
        <v>#VALUE!</v>
      </c>
      <c r="Y29" s="120" t="str">
        <f>IFERROR(VLOOKUP(MID(T29,W29,X29-W29),[6]skilldef!$C:$D,2,FALSE),"-") &amp; " / " &amp; IFERROR(VLOOKUP(MID(T29,U29,V29-U29),[6]skilldef!$A:$B,2,FALSE),"-")</f>
        <v>- / -</v>
      </c>
      <c r="Z29" s="119"/>
      <c r="AA29" s="121"/>
      <c r="AB29" s="119"/>
    </row>
    <row r="30" spans="1:28" s="122" customFormat="1" ht="28" x14ac:dyDescent="0.15">
      <c r="A30" s="117">
        <v>20020029</v>
      </c>
      <c r="B30" s="118" t="s">
        <v>337</v>
      </c>
      <c r="C30" s="119">
        <v>3</v>
      </c>
      <c r="D30" s="119" t="s">
        <v>128</v>
      </c>
      <c r="E30" s="120" t="s">
        <v>271</v>
      </c>
      <c r="F30" s="120" t="s">
        <v>317</v>
      </c>
      <c r="G30" s="120" t="str">
        <f t="shared" ref="G30" si="149">IFERROR(LEFT(B30,FIND("],",B30)),B30)</f>
        <v>[effect:break_attack, target:unit_all, val:0.06, lowest_val:1000, count:-1,color:red, block01:block_red]</v>
      </c>
      <c r="H30" s="120">
        <f t="shared" ref="H30" si="150">FIND("effect:",G30)+7</f>
        <v>9</v>
      </c>
      <c r="I30" s="120">
        <f t="shared" ref="I30" si="151">IFERROR(FIND(",",G30),LEN(G30))</f>
        <v>21</v>
      </c>
      <c r="J30" s="120">
        <f t="shared" ref="J30" si="152">FIND("target:",G30)+7</f>
        <v>30</v>
      </c>
      <c r="K30" s="120">
        <f t="shared" ref="K30" si="153">FIND(",",G30,I30+1)</f>
        <v>38</v>
      </c>
      <c r="L30" s="120" t="str">
        <f>IFERROR(VLOOKUP(MID(G30,J30,K30-J30),[6]skilldef!$C:$D,2,FALSE),"-") &amp; " / " &amp; IFERROR(VLOOKUP(MID(G30,H30,I30-H30),[6]skilldef!$A:$B,2,FALSE),"-")</f>
        <v>味方全体に / -</v>
      </c>
      <c r="M30" s="120" t="str">
        <f t="shared" ref="M30" si="154">IFERROR(RIGHT(B30,LEN(B30)-FIND("],",B30)-1),"none")</f>
        <v>[effect:enemy_message, val1:1.2, val2:1.4]</v>
      </c>
      <c r="N30" s="117" t="str">
        <f>IFERROR(LEFT(M30,FIND("],",M30)+#REF!),M30)</f>
        <v>[effect:enemy_message, val1:1.2, val2:1.4]</v>
      </c>
      <c r="O30" s="120">
        <f t="shared" ref="O30" si="155">FIND("effect:",N30)+7</f>
        <v>9</v>
      </c>
      <c r="P30" s="120">
        <f t="shared" ref="P30" si="156">IFERROR(FIND(",",N30),LEN(N30))</f>
        <v>22</v>
      </c>
      <c r="Q30" s="120" t="e">
        <f t="shared" ref="Q30" si="157">FIND("target:",N30)+7</f>
        <v>#VALUE!</v>
      </c>
      <c r="R30" s="120">
        <f t="shared" ref="R30" si="158">FIND(",",N30,P30+1)</f>
        <v>32</v>
      </c>
      <c r="S30" s="120" t="str">
        <f>IFERROR(VLOOKUP(MID(N30,Q30,R30-Q30),[6]skilldef!$C:$D,2,FALSE),"-") &amp; " / " &amp; IFERROR(VLOOKUP(MID(N30,O30,P30-O30),[6]skilldef!$A:$B,2,FALSE),"-")</f>
        <v>- / -</v>
      </c>
      <c r="T30" s="117" t="str">
        <f t="shared" ref="T30" si="159">IFERROR(RIGHT(M30,LEN(M30)-FIND("],",M30)-1),"none")</f>
        <v>none</v>
      </c>
      <c r="U30" s="120" t="e">
        <f t="shared" ref="U30" si="160">FIND("effect:",T30)+7</f>
        <v>#VALUE!</v>
      </c>
      <c r="V30" s="120">
        <f t="shared" ref="V30" si="161">IFERROR(FIND(",",T30),LEN(T30))</f>
        <v>4</v>
      </c>
      <c r="W30" s="120" t="e">
        <f t="shared" ref="W30" si="162">FIND("target:",T30)+7</f>
        <v>#VALUE!</v>
      </c>
      <c r="X30" s="120" t="e">
        <f t="shared" ref="X30" si="163">FIND(",",T30,V30+1)</f>
        <v>#VALUE!</v>
      </c>
      <c r="Y30" s="120" t="str">
        <f>IFERROR(VLOOKUP(MID(T30,W30,X30-W30),[6]skilldef!$C:$D,2,FALSE),"-") &amp; " / " &amp; IFERROR(VLOOKUP(MID(T30,U30,V30-U30),[6]skilldef!$A:$B,2,FALSE),"-")</f>
        <v>- / -</v>
      </c>
      <c r="Z30" s="119"/>
      <c r="AA30" s="121"/>
      <c r="AB30" s="119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29"/>
  <sheetViews>
    <sheetView showGridLines="0" workbookViewId="0">
      <pane xSplit="5" ySplit="1" topLeftCell="F2" activePane="bottomRight" state="frozen"/>
      <selection pane="topRight"/>
      <selection pane="bottomLeft"/>
      <selection pane="bottomRight" activeCell="F7" sqref="F7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 x14ac:dyDescent="0.15">
      <c r="A2" s="39" t="str">
        <f t="shared" ref="A2" si="0">B2&amp;"_"&amp;C2</f>
        <v>20020001_20020002</v>
      </c>
      <c r="B2" s="47">
        <v>20020001</v>
      </c>
      <c r="C2" s="47">
        <v>20020002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大地の力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3ターン味方の攻撃力UP</v>
      </c>
      <c r="F2" s="47">
        <v>20020002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" s="48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 x14ac:dyDescent="0.15">
      <c r="A3" s="39" t="str">
        <f t="shared" ref="A3:A7" si="1">B3&amp;"_"&amp;C3</f>
        <v>20020003_20020003</v>
      </c>
      <c r="B3" s="47">
        <v>20020003</v>
      </c>
      <c r="C3" s="47">
        <v>20020003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猪突猛進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3" s="47">
        <v>20020003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 t="str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48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/>
      <c r="Q3" s="47"/>
      <c r="R3" s="47"/>
    </row>
    <row r="4" spans="1:18" ht="21" customHeight="1" x14ac:dyDescent="0.15">
      <c r="A4" s="39" t="str">
        <f t="shared" si="1"/>
        <v>20020004_20020004</v>
      </c>
      <c r="B4" s="47">
        <v>20020004</v>
      </c>
      <c r="C4" s="47">
        <v>20020004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酔連撃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4" s="47">
        <v>20020004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8" t="str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48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7"/>
      <c r="Q4" s="47"/>
      <c r="R4" s="47"/>
    </row>
    <row r="5" spans="1:18" ht="21" customHeight="1" x14ac:dyDescent="0.15">
      <c r="A5" s="39" t="str">
        <f t="shared" si="1"/>
        <v>20020005_20020005</v>
      </c>
      <c r="B5" s="47">
        <v>20020005</v>
      </c>
      <c r="C5" s="47">
        <v>20020005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いくぞお前ら！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2ターン敵の種族アニマルの攻撃頻度UP</v>
      </c>
      <c r="F5" s="47">
        <v>20020005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" s="48" t="str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8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7"/>
      <c r="Q5" s="47"/>
      <c r="R5" s="47"/>
    </row>
    <row r="6" spans="1:18" ht="21" customHeight="1" x14ac:dyDescent="0.15">
      <c r="A6" s="39" t="str">
        <f t="shared" si="1"/>
        <v>20020005_20020006</v>
      </c>
      <c r="B6" s="47">
        <v>20020005</v>
      </c>
      <c r="C6" s="47">
        <v>20020006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そろそろ本気を出すよ！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2ターン敵全体の攻撃力UP</v>
      </c>
      <c r="F6" s="47">
        <v>20020006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8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8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7"/>
      <c r="Q6" s="47"/>
      <c r="R6" s="47"/>
    </row>
    <row r="7" spans="1:18" ht="21" customHeight="1" x14ac:dyDescent="0.15">
      <c r="A7" s="39" t="str">
        <f t="shared" si="1"/>
        <v>20020006_20020007</v>
      </c>
      <c r="B7" s="117">
        <v>20020006</v>
      </c>
      <c r="C7" s="117">
        <v>20020007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なんだお前ー！？侵入者か！？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ボッコボコにしてやんよ！</v>
      </c>
      <c r="F7" s="117">
        <v>20020007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" s="48" t="str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8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7"/>
      <c r="Q7" s="47"/>
      <c r="R7" s="47"/>
    </row>
    <row r="8" spans="1:18" ht="21" customHeight="1" x14ac:dyDescent="0.15">
      <c r="A8" s="39" t="str">
        <f t="shared" ref="A8" si="2">B8&amp;"_"&amp;C8</f>
        <v>20020006_20020008</v>
      </c>
      <c r="B8" s="117">
        <v>20020006</v>
      </c>
      <c r="C8" s="117">
        <v>20020008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手加減してあげよっか〜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赤パネルを1個吸収し、赤属性で攻撃</v>
      </c>
      <c r="F8" s="117">
        <v>20020008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8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 t="str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" s="48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7"/>
      <c r="Q8" s="47"/>
      <c r="R8" s="47"/>
    </row>
    <row r="9" spans="1:18" ht="21" customHeight="1" x14ac:dyDescent="0.15">
      <c r="A9" s="39" t="str">
        <f t="shared" ref="A9:A10" si="3">B9&amp;"_"&amp;C9</f>
        <v>20020006_20020009</v>
      </c>
      <c r="B9" s="117">
        <v>20020006</v>
      </c>
      <c r="C9" s="117">
        <v>20020009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僕に勝とうなんて千年早いって〜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赤パネルを2個吸収し、赤属性で攻撃</v>
      </c>
      <c r="F9" s="117">
        <v>20020009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8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 t="str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" s="48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9" s="47"/>
      <c r="Q9" s="47"/>
      <c r="R9" s="47"/>
    </row>
    <row r="10" spans="1:18" ht="21" customHeight="1" x14ac:dyDescent="0.15">
      <c r="A10" s="39" t="str">
        <f t="shared" si="3"/>
        <v>20020006_20020010</v>
      </c>
      <c r="B10" s="117">
        <v>20020006</v>
      </c>
      <c r="C10" s="117">
        <v>20020010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ちょちょいのちょ〜いだ！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赤パネルを3個吸収し、赤属性で攻撃</v>
      </c>
      <c r="F10" s="117">
        <v>20020010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8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10" s="48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 t="str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" s="48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10" s="47"/>
      <c r="Q10" s="47"/>
      <c r="R10" s="47"/>
    </row>
    <row r="11" spans="1:18" ht="21" customHeight="1" x14ac:dyDescent="0.15">
      <c r="A11" s="39" t="str">
        <f t="shared" ref="A11:A17" si="4">B11&amp;"_"&amp;C11</f>
        <v>20020006_20020011</v>
      </c>
      <c r="B11" s="117">
        <v>20020006</v>
      </c>
      <c r="C11" s="117">
        <v>20020011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いっくぞ〜！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赤パネルを4個吸収し、赤属性で攻撃</v>
      </c>
      <c r="F11" s="117">
        <v>20020011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8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15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48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15</v>
      </c>
      <c r="P11" s="47"/>
      <c r="Q11" s="47"/>
      <c r="R11" s="47"/>
    </row>
    <row r="12" spans="1:18" ht="21" customHeight="1" x14ac:dyDescent="0.15">
      <c r="A12" s="39" t="str">
        <f t="shared" si="4"/>
        <v>20020006_20020012</v>
      </c>
      <c r="B12" s="117">
        <v>20020006</v>
      </c>
      <c r="C12" s="117">
        <v>20020012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僕に抵抗？させないって〜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赤パネルを5個吸収し、赤属性で攻撃</v>
      </c>
      <c r="F12" s="117">
        <v>20020012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8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15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 t="str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" s="48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15</v>
      </c>
      <c r="P12" s="47"/>
      <c r="Q12" s="47"/>
      <c r="R12" s="47"/>
    </row>
    <row r="13" spans="1:18" ht="21" customHeight="1" x14ac:dyDescent="0.15">
      <c r="A13" s="39" t="str">
        <f t="shared" si="4"/>
        <v>20020006_20020013</v>
      </c>
      <c r="B13" s="117">
        <v>20020006</v>
      </c>
      <c r="C13" s="117">
        <v>20020013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思いっきりやっちゃうぞ〜！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赤パネルを6個吸収し、赤属性で攻撃</v>
      </c>
      <c r="F13" s="117">
        <v>20020013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8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15</v>
      </c>
      <c r="J13" s="48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 t="str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3" s="48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15</v>
      </c>
      <c r="P13" s="47"/>
      <c r="Q13" s="47"/>
      <c r="R13" s="47"/>
    </row>
    <row r="14" spans="1:18" ht="21" customHeight="1" x14ac:dyDescent="0.15">
      <c r="A14" s="39" t="str">
        <f t="shared" si="4"/>
        <v>20020006_20020014</v>
      </c>
      <c r="B14" s="117">
        <v>20020006</v>
      </c>
      <c r="C14" s="117">
        <v>20020014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熱風攻撃！くらえ〜！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赤パネルを7個吸収し、赤属性で攻撃</v>
      </c>
      <c r="F14" s="117">
        <v>20020014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8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15</v>
      </c>
      <c r="J14" s="48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 t="str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4" s="48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8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15</v>
      </c>
      <c r="P14" s="47"/>
      <c r="Q14" s="47"/>
      <c r="R14" s="47"/>
    </row>
    <row r="15" spans="1:18" ht="21" customHeight="1" x14ac:dyDescent="0.15">
      <c r="A15" s="39" t="str">
        <f t="shared" si="4"/>
        <v>20020006_20020015</v>
      </c>
      <c r="B15" s="117">
        <v>20020006</v>
      </c>
      <c r="C15" s="117">
        <v>20020015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よーしキター！ぶおぉぉぉぉん！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赤パネルを8個吸収し、赤属性で攻撃</v>
      </c>
      <c r="F15" s="117">
        <v>20020015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8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7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 t="str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" s="48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</v>
      </c>
      <c r="P15" s="47"/>
      <c r="Q15" s="47"/>
      <c r="R15" s="47"/>
    </row>
    <row r="16" spans="1:18" ht="21" customHeight="1" x14ac:dyDescent="0.15">
      <c r="A16" s="39" t="str">
        <f t="shared" si="4"/>
        <v>20020006_20020016</v>
      </c>
      <c r="B16" s="117">
        <v>20020006</v>
      </c>
      <c r="C16" s="117">
        <v>20020016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よしキタ！大成功！ぶおぉぉぉぉん！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赤パネルを全て吸収し、赤属性で攻撃</v>
      </c>
      <c r="F16" s="117">
        <v>20020016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8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16" s="4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 t="str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" s="48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16" s="47"/>
      <c r="Q16" s="47"/>
      <c r="R16" s="47"/>
    </row>
    <row r="17" spans="1:18" ht="21" customHeight="1" x14ac:dyDescent="0.15">
      <c r="A17" s="39" t="str">
        <f t="shared" si="4"/>
        <v>20020006_20020017</v>
      </c>
      <c r="B17" s="117">
        <v>20020006</v>
      </c>
      <c r="C17" s="117">
        <v>20020017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ゲゲッ！失敗したかも！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ランダムで15個を赤パネルに変換</v>
      </c>
      <c r="F17" s="117">
        <v>20020017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8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5</v>
      </c>
      <c r="J17" s="48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 t="str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7" s="48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5</v>
      </c>
      <c r="P17" s="47"/>
      <c r="Q17" s="47"/>
      <c r="R17" s="47"/>
    </row>
    <row r="18" spans="1:18" ht="21" customHeight="1" x14ac:dyDescent="0.15">
      <c r="A18" s="39" t="str">
        <f t="shared" ref="A18:A27" si="5">B18&amp;"_"&amp;C18</f>
        <v>20020007_20020018</v>
      </c>
      <c r="B18" s="117">
        <v>20020007</v>
      </c>
      <c r="C18" s="117">
        <v>20020018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く〜！僕はもっとやれるんだぞ〜〜！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もっと本気出しちゃうもんね！</v>
      </c>
      <c r="F18" s="117">
        <v>20020018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" s="48" t="str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8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8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7"/>
      <c r="Q18" s="47"/>
      <c r="R18" s="47"/>
    </row>
    <row r="19" spans="1:18" ht="21" customHeight="1" x14ac:dyDescent="0.15">
      <c r="A19" s="39" t="str">
        <f t="shared" si="5"/>
        <v>20020007_20020019</v>
      </c>
      <c r="B19" s="117">
        <v>20020007</v>
      </c>
      <c r="C19" s="117">
        <v>20020019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手加減してあげよっか〜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赤パネルを1個吸収し、赤属性で攻撃</v>
      </c>
      <c r="F19" s="117">
        <v>20020019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8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5</v>
      </c>
      <c r="J19" s="48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 t="str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9" s="48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5</v>
      </c>
      <c r="P19" s="47"/>
      <c r="Q19" s="47"/>
      <c r="R19" s="47"/>
    </row>
    <row r="20" spans="1:18" ht="21" customHeight="1" x14ac:dyDescent="0.15">
      <c r="A20" s="39" t="str">
        <f t="shared" si="5"/>
        <v>20020007_20020020</v>
      </c>
      <c r="B20" s="117">
        <v>20020007</v>
      </c>
      <c r="C20" s="117">
        <v>20020020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僕に勝とうなんて千年早いって〜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赤パネルを2個吸収し、赤属性で攻撃</v>
      </c>
      <c r="F20" s="117">
        <v>20020020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8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8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 t="str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0" s="48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8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7"/>
      <c r="Q20" s="47"/>
      <c r="R20" s="47"/>
    </row>
    <row r="21" spans="1:18" ht="21" customHeight="1" x14ac:dyDescent="0.15">
      <c r="A21" s="39" t="str">
        <f t="shared" si="5"/>
        <v>20020007_20020021</v>
      </c>
      <c r="B21" s="117">
        <v>20020007</v>
      </c>
      <c r="C21" s="117">
        <v>20020021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ちょちょいのちょ〜いだ！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赤パネルを3個吸収し、赤属性で攻撃</v>
      </c>
      <c r="F21" s="117">
        <v>20020021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8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 t="str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1" s="48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21" s="47"/>
      <c r="Q21" s="47"/>
      <c r="R21" s="47"/>
    </row>
    <row r="22" spans="1:18" ht="21" customHeight="1" x14ac:dyDescent="0.15">
      <c r="A22" s="39" t="str">
        <f t="shared" si="5"/>
        <v>20020007_20020022</v>
      </c>
      <c r="B22" s="117">
        <v>20020007</v>
      </c>
      <c r="C22" s="117">
        <v>20020022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いっくぞ〜！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赤パネルを4個吸収し、赤属性で攻撃</v>
      </c>
      <c r="F22" s="117">
        <v>20020022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8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15</v>
      </c>
      <c r="J22" s="48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 t="str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2" s="48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8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15</v>
      </c>
      <c r="P22" s="47"/>
      <c r="Q22" s="47"/>
      <c r="R22" s="47"/>
    </row>
    <row r="23" spans="1:18" ht="21" customHeight="1" x14ac:dyDescent="0.15">
      <c r="A23" s="39" t="str">
        <f t="shared" si="5"/>
        <v>20020007_20020023</v>
      </c>
      <c r="B23" s="117">
        <v>20020007</v>
      </c>
      <c r="C23" s="117">
        <v>20020023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僕に抵抗？させないって〜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赤パネルを5個吸収し、赤属性で攻撃</v>
      </c>
      <c r="F23" s="117">
        <v>20020023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8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15</v>
      </c>
      <c r="J23" s="48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 t="str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3" s="48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8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15</v>
      </c>
      <c r="P23" s="47"/>
      <c r="Q23" s="47"/>
      <c r="R23" s="47"/>
    </row>
    <row r="24" spans="1:18" ht="21" customHeight="1" x14ac:dyDescent="0.15">
      <c r="A24" s="39" t="str">
        <f t="shared" si="5"/>
        <v>20020007_20020024</v>
      </c>
      <c r="B24" s="117">
        <v>20020007</v>
      </c>
      <c r="C24" s="117">
        <v>20020024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思いっきりやっちゃうぞ〜！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赤パネルを6個吸収し、赤属性で攻撃</v>
      </c>
      <c r="F24" s="117">
        <v>20020024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8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15</v>
      </c>
      <c r="J24" s="48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 t="str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4" s="48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15</v>
      </c>
      <c r="P24" s="47"/>
      <c r="Q24" s="47"/>
      <c r="R24" s="47"/>
    </row>
    <row r="25" spans="1:18" ht="21" customHeight="1" x14ac:dyDescent="0.15">
      <c r="A25" s="39" t="str">
        <f t="shared" si="5"/>
        <v>20020007_20020025</v>
      </c>
      <c r="B25" s="117">
        <v>20020007</v>
      </c>
      <c r="C25" s="117">
        <v>20020025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熱風攻撃！くらえ〜！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赤パネルを7個吸収し、赤属性で攻撃</v>
      </c>
      <c r="F25" s="117">
        <v>20020025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8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15</v>
      </c>
      <c r="J25" s="48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 t="str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5" s="48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15</v>
      </c>
      <c r="P25" s="47"/>
      <c r="Q25" s="47"/>
      <c r="R25" s="47"/>
    </row>
    <row r="26" spans="1:18" ht="21" customHeight="1" x14ac:dyDescent="0.15">
      <c r="A26" s="39" t="str">
        <f t="shared" si="5"/>
        <v>20020007_20020026</v>
      </c>
      <c r="B26" s="117">
        <v>20020007</v>
      </c>
      <c r="C26" s="117">
        <v>20020026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やったー大成功！ぶおぉぉぉぉん！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赤パネルを全て吸収し、赤属性で攻撃</v>
      </c>
      <c r="F26" s="117">
        <v>20020026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8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26" s="48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 t="str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6" s="48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8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26" s="47"/>
      <c r="Q26" s="47"/>
      <c r="R26" s="47"/>
    </row>
    <row r="27" spans="1:18" ht="21" customHeight="1" x14ac:dyDescent="0.15">
      <c r="A27" s="39" t="str">
        <f t="shared" si="5"/>
        <v>20020007_20020027</v>
      </c>
      <c r="B27" s="117">
        <v>20020007</v>
      </c>
      <c r="C27" s="117">
        <v>20020027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ゲゲッ！失敗したかも！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ランダムで15個を赤パネルに変換</v>
      </c>
      <c r="F27" s="117">
        <v>20020027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8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5</v>
      </c>
      <c r="J27" s="48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 t="str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7" s="48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8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5</v>
      </c>
      <c r="P27" s="47"/>
      <c r="Q27" s="47"/>
      <c r="R27" s="47"/>
    </row>
    <row r="28" spans="1:18" ht="21" customHeight="1" x14ac:dyDescent="0.15">
      <c r="A28" s="39" t="str">
        <f t="shared" ref="A28:A29" si="6">B28&amp;"_"&amp;C28</f>
        <v>20020007_20020028</v>
      </c>
      <c r="B28" s="117">
        <v>20020007</v>
      </c>
      <c r="C28" s="117">
        <v>20020028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こうなったら超必殺技を見せるしかないね！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次のターン強力な攻撃</v>
      </c>
      <c r="F28" s="117">
        <v>20020028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8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8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48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8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7"/>
      <c r="Q28" s="47"/>
      <c r="R28" s="47"/>
    </row>
    <row r="29" spans="1:18" ht="21" customHeight="1" x14ac:dyDescent="0.15">
      <c r="A29" s="39" t="str">
        <f t="shared" si="6"/>
        <v>20020007_20020029</v>
      </c>
      <c r="B29" s="117">
        <v>20020007</v>
      </c>
      <c r="C29" s="117">
        <v>20020029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力よ集まれ！そして風となれー！！ぶおぉぉぉぉん！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赤パネルを全て吸収し、赤属性で攻撃</v>
      </c>
      <c r="F29" s="117">
        <v>20020029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8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8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48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8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7"/>
      <c r="Q29" s="47"/>
      <c r="R29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30"/>
  <sheetViews>
    <sheetView showGridLines="0" zoomScale="90" zoomScaleNormal="90" zoomScalePageLayoutView="90" workbookViewId="0">
      <pane ySplit="1" topLeftCell="A16" activePane="bottomLeft" state="frozenSplit"/>
      <selection pane="bottomLeft" activeCell="A8" sqref="A6:A8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 x14ac:dyDescent="0.15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3" t="s">
        <v>71</v>
      </c>
      <c r="G1" s="53" t="s">
        <v>72</v>
      </c>
      <c r="H1" s="42" t="s">
        <v>73</v>
      </c>
      <c r="I1" s="42" t="s">
        <v>74</v>
      </c>
      <c r="J1" s="42" t="s">
        <v>75</v>
      </c>
      <c r="K1" s="54" t="s">
        <v>88</v>
      </c>
    </row>
    <row r="2" spans="1:11" ht="21" customHeight="1" x14ac:dyDescent="0.15">
      <c r="A2" s="47">
        <v>20020001</v>
      </c>
      <c r="B2" s="47">
        <v>1</v>
      </c>
      <c r="C2" s="47" t="s">
        <v>53</v>
      </c>
      <c r="D2" s="47">
        <v>100</v>
      </c>
      <c r="E2" s="47" t="s">
        <v>253</v>
      </c>
      <c r="F2" s="47" t="s">
        <v>90</v>
      </c>
      <c r="G2" s="47">
        <v>1</v>
      </c>
      <c r="H2" s="47" t="s">
        <v>53</v>
      </c>
      <c r="I2" s="47" t="s">
        <v>90</v>
      </c>
      <c r="J2" s="48">
        <f t="shared" ref="J2" si="0">D2</f>
        <v>100</v>
      </c>
    </row>
    <row r="3" spans="1:11" ht="21" customHeight="1" x14ac:dyDescent="0.15">
      <c r="A3" s="47">
        <v>20020002</v>
      </c>
      <c r="B3" s="47">
        <v>0</v>
      </c>
      <c r="C3" s="47" t="s">
        <v>89</v>
      </c>
      <c r="D3" s="47">
        <v>100</v>
      </c>
      <c r="E3" s="47" t="s">
        <v>253</v>
      </c>
      <c r="F3" s="47" t="s">
        <v>90</v>
      </c>
      <c r="G3" s="47">
        <v>1</v>
      </c>
      <c r="H3" s="47" t="s">
        <v>53</v>
      </c>
      <c r="I3" s="47" t="s">
        <v>90</v>
      </c>
      <c r="J3" s="48">
        <f t="shared" ref="J3:J4" si="1">D3</f>
        <v>100</v>
      </c>
    </row>
    <row r="4" spans="1:11" ht="21" customHeight="1" x14ac:dyDescent="0.15">
      <c r="A4" s="47">
        <v>20020003</v>
      </c>
      <c r="B4" s="47">
        <v>0</v>
      </c>
      <c r="C4" s="47" t="s">
        <v>53</v>
      </c>
      <c r="D4" s="47">
        <v>100</v>
      </c>
      <c r="E4" s="47" t="s">
        <v>53</v>
      </c>
      <c r="F4" s="47" t="s">
        <v>53</v>
      </c>
      <c r="G4" s="47" t="s">
        <v>53</v>
      </c>
      <c r="H4" s="47" t="s">
        <v>53</v>
      </c>
      <c r="I4" s="47" t="s">
        <v>53</v>
      </c>
      <c r="J4" s="48">
        <f t="shared" si="1"/>
        <v>100</v>
      </c>
    </row>
    <row r="5" spans="1:11" ht="21" customHeight="1" x14ac:dyDescent="0.15">
      <c r="A5" s="47">
        <v>20020004</v>
      </c>
      <c r="B5" s="47">
        <v>0</v>
      </c>
      <c r="C5" s="47" t="s">
        <v>53</v>
      </c>
      <c r="D5" s="47">
        <v>100</v>
      </c>
      <c r="E5" s="47" t="s">
        <v>53</v>
      </c>
      <c r="F5" s="47" t="s">
        <v>53</v>
      </c>
      <c r="G5" s="47" t="s">
        <v>53</v>
      </c>
      <c r="H5" s="47" t="s">
        <v>53</v>
      </c>
      <c r="I5" s="47" t="s">
        <v>53</v>
      </c>
      <c r="J5" s="48">
        <f t="shared" ref="J5:J9" si="2">D5</f>
        <v>100</v>
      </c>
    </row>
    <row r="6" spans="1:11" ht="21" customHeight="1" x14ac:dyDescent="0.15">
      <c r="A6" s="47">
        <v>20020005</v>
      </c>
      <c r="B6" s="47">
        <v>1</v>
      </c>
      <c r="C6" s="47" t="s">
        <v>53</v>
      </c>
      <c r="D6" s="47">
        <v>100</v>
      </c>
      <c r="E6" s="47" t="s">
        <v>53</v>
      </c>
      <c r="F6" s="47" t="s">
        <v>53</v>
      </c>
      <c r="G6" s="47">
        <v>1</v>
      </c>
      <c r="H6" s="47" t="s">
        <v>53</v>
      </c>
      <c r="I6" s="47" t="s">
        <v>53</v>
      </c>
      <c r="J6" s="48">
        <f t="shared" si="2"/>
        <v>100</v>
      </c>
    </row>
    <row r="7" spans="1:11" ht="21" customHeight="1" x14ac:dyDescent="0.15">
      <c r="A7" s="47">
        <v>20020006</v>
      </c>
      <c r="B7" s="47">
        <v>0</v>
      </c>
      <c r="C7" s="47">
        <v>10</v>
      </c>
      <c r="D7" s="47">
        <v>100</v>
      </c>
      <c r="E7" s="47" t="s">
        <v>53</v>
      </c>
      <c r="F7" s="47" t="s">
        <v>53</v>
      </c>
      <c r="G7" s="47">
        <v>1</v>
      </c>
      <c r="H7" s="47">
        <v>1</v>
      </c>
      <c r="I7" s="47" t="s">
        <v>53</v>
      </c>
      <c r="J7" s="48">
        <f t="shared" si="2"/>
        <v>100</v>
      </c>
    </row>
    <row r="8" spans="1:11" ht="21" customHeight="1" x14ac:dyDescent="0.15">
      <c r="A8" s="117">
        <v>20020007</v>
      </c>
      <c r="B8" s="47">
        <v>1</v>
      </c>
      <c r="C8" s="47" t="s">
        <v>53</v>
      </c>
      <c r="D8" s="47">
        <v>100</v>
      </c>
      <c r="E8" s="47" t="s">
        <v>53</v>
      </c>
      <c r="F8" s="47" t="s">
        <v>53</v>
      </c>
      <c r="G8" s="47">
        <v>1</v>
      </c>
      <c r="H8" s="47" t="s">
        <v>53</v>
      </c>
      <c r="I8" s="47" t="s">
        <v>53</v>
      </c>
      <c r="J8" s="48">
        <f t="shared" si="2"/>
        <v>100</v>
      </c>
    </row>
    <row r="9" spans="1:11" ht="21" customHeight="1" x14ac:dyDescent="0.15">
      <c r="A9" s="117">
        <v>20020008</v>
      </c>
      <c r="B9" s="47">
        <v>0</v>
      </c>
      <c r="C9" s="47">
        <v>5</v>
      </c>
      <c r="D9" s="47">
        <v>100</v>
      </c>
      <c r="E9" s="47" t="s">
        <v>53</v>
      </c>
      <c r="F9" s="47" t="s">
        <v>53</v>
      </c>
      <c r="G9" s="47" t="s">
        <v>53</v>
      </c>
      <c r="H9" s="47" t="s">
        <v>53</v>
      </c>
      <c r="I9" s="47" t="s">
        <v>53</v>
      </c>
      <c r="J9" s="48">
        <f t="shared" si="2"/>
        <v>100</v>
      </c>
    </row>
    <row r="10" spans="1:11" ht="21" customHeight="1" x14ac:dyDescent="0.15">
      <c r="A10" s="117">
        <v>20020009</v>
      </c>
      <c r="B10" s="47">
        <v>0</v>
      </c>
      <c r="C10" s="47">
        <v>20</v>
      </c>
      <c r="D10" s="47">
        <v>20</v>
      </c>
      <c r="E10" s="47" t="s">
        <v>53</v>
      </c>
      <c r="F10" s="47" t="s">
        <v>53</v>
      </c>
      <c r="G10" s="47" t="s">
        <v>53</v>
      </c>
      <c r="H10" s="47" t="s">
        <v>53</v>
      </c>
      <c r="I10" s="47" t="s">
        <v>53</v>
      </c>
      <c r="J10" s="48">
        <f t="shared" ref="J10:J11" si="3">D10</f>
        <v>20</v>
      </c>
    </row>
    <row r="11" spans="1:11" ht="21" customHeight="1" x14ac:dyDescent="0.15">
      <c r="A11" s="117">
        <v>20020010</v>
      </c>
      <c r="B11" s="47">
        <v>0</v>
      </c>
      <c r="C11" s="47">
        <v>30</v>
      </c>
      <c r="D11" s="47">
        <v>20</v>
      </c>
      <c r="E11" s="47" t="s">
        <v>53</v>
      </c>
      <c r="F11" s="47" t="s">
        <v>53</v>
      </c>
      <c r="G11" s="47" t="s">
        <v>53</v>
      </c>
      <c r="H11" s="47" t="s">
        <v>53</v>
      </c>
      <c r="I11" s="47" t="s">
        <v>53</v>
      </c>
      <c r="J11" s="48">
        <f t="shared" si="3"/>
        <v>20</v>
      </c>
    </row>
    <row r="12" spans="1:11" ht="21" customHeight="1" x14ac:dyDescent="0.15">
      <c r="A12" s="117">
        <v>20020011</v>
      </c>
      <c r="B12" s="47">
        <v>0</v>
      </c>
      <c r="C12" s="47">
        <v>40</v>
      </c>
      <c r="D12" s="47">
        <v>15</v>
      </c>
      <c r="E12" s="47" t="s">
        <v>53</v>
      </c>
      <c r="F12" s="47" t="s">
        <v>53</v>
      </c>
      <c r="G12" s="47" t="s">
        <v>53</v>
      </c>
      <c r="H12" s="47" t="s">
        <v>53</v>
      </c>
      <c r="I12" s="47" t="s">
        <v>53</v>
      </c>
      <c r="J12" s="48">
        <f t="shared" ref="J12:J22" si="4">D12</f>
        <v>15</v>
      </c>
    </row>
    <row r="13" spans="1:11" ht="21" customHeight="1" x14ac:dyDescent="0.15">
      <c r="A13" s="117">
        <v>20020012</v>
      </c>
      <c r="B13" s="47">
        <v>0</v>
      </c>
      <c r="C13" s="47">
        <v>50</v>
      </c>
      <c r="D13" s="47">
        <v>15</v>
      </c>
      <c r="E13" s="47" t="s">
        <v>53</v>
      </c>
      <c r="F13" s="47" t="s">
        <v>53</v>
      </c>
      <c r="G13" s="47" t="s">
        <v>53</v>
      </c>
      <c r="H13" s="47" t="s">
        <v>53</v>
      </c>
      <c r="I13" s="47" t="s">
        <v>53</v>
      </c>
      <c r="J13" s="48">
        <f t="shared" si="4"/>
        <v>15</v>
      </c>
    </row>
    <row r="14" spans="1:11" ht="21" customHeight="1" x14ac:dyDescent="0.15">
      <c r="A14" s="117">
        <v>20020013</v>
      </c>
      <c r="B14" s="47">
        <v>0</v>
      </c>
      <c r="C14" s="47">
        <v>60</v>
      </c>
      <c r="D14" s="47">
        <v>15</v>
      </c>
      <c r="E14" s="47" t="s">
        <v>53</v>
      </c>
      <c r="F14" s="47" t="s">
        <v>53</v>
      </c>
      <c r="G14" s="47" t="s">
        <v>53</v>
      </c>
      <c r="H14" s="47" t="s">
        <v>53</v>
      </c>
      <c r="I14" s="47" t="s">
        <v>53</v>
      </c>
      <c r="J14" s="48">
        <f t="shared" si="4"/>
        <v>15</v>
      </c>
    </row>
    <row r="15" spans="1:11" ht="21" customHeight="1" x14ac:dyDescent="0.15">
      <c r="A15" s="117">
        <v>20020014</v>
      </c>
      <c r="B15" s="47">
        <v>0</v>
      </c>
      <c r="C15" s="47">
        <v>70</v>
      </c>
      <c r="D15" s="47">
        <v>15</v>
      </c>
      <c r="E15" s="47" t="s">
        <v>53</v>
      </c>
      <c r="F15" s="47" t="s">
        <v>53</v>
      </c>
      <c r="G15" s="47" t="s">
        <v>53</v>
      </c>
      <c r="H15" s="47" t="s">
        <v>53</v>
      </c>
      <c r="I15" s="47" t="s">
        <v>53</v>
      </c>
      <c r="J15" s="48">
        <f t="shared" si="4"/>
        <v>15</v>
      </c>
    </row>
    <row r="16" spans="1:11" ht="21" customHeight="1" x14ac:dyDescent="0.15">
      <c r="A16" s="117">
        <v>20020015</v>
      </c>
      <c r="B16" s="47">
        <v>0</v>
      </c>
      <c r="C16" s="47">
        <v>7</v>
      </c>
      <c r="D16" s="47">
        <v>10</v>
      </c>
      <c r="E16" s="47" t="s">
        <v>53</v>
      </c>
      <c r="F16" s="47" t="s">
        <v>53</v>
      </c>
      <c r="G16" s="47" t="s">
        <v>53</v>
      </c>
      <c r="H16" s="47" t="s">
        <v>53</v>
      </c>
      <c r="I16" s="47" t="s">
        <v>53</v>
      </c>
      <c r="J16" s="48">
        <f t="shared" si="4"/>
        <v>10</v>
      </c>
    </row>
    <row r="17" spans="1:10" ht="21" customHeight="1" x14ac:dyDescent="0.15">
      <c r="A17" s="117">
        <v>20020016</v>
      </c>
      <c r="B17" s="47">
        <v>0</v>
      </c>
      <c r="C17" s="47">
        <v>10</v>
      </c>
      <c r="D17" s="47">
        <v>20</v>
      </c>
      <c r="E17" s="47" t="s">
        <v>53</v>
      </c>
      <c r="F17" s="47" t="s">
        <v>53</v>
      </c>
      <c r="G17" s="47" t="s">
        <v>53</v>
      </c>
      <c r="H17" s="47" t="s">
        <v>53</v>
      </c>
      <c r="I17" s="47" t="s">
        <v>53</v>
      </c>
      <c r="J17" s="48">
        <f t="shared" si="4"/>
        <v>20</v>
      </c>
    </row>
    <row r="18" spans="1:10" ht="21" customHeight="1" x14ac:dyDescent="0.15">
      <c r="A18" s="117">
        <v>20020017</v>
      </c>
      <c r="B18" s="47">
        <v>0</v>
      </c>
      <c r="C18" s="47">
        <v>90</v>
      </c>
      <c r="D18" s="47">
        <v>5</v>
      </c>
      <c r="E18" s="47" t="s">
        <v>53</v>
      </c>
      <c r="F18" s="47" t="s">
        <v>53</v>
      </c>
      <c r="G18" s="47" t="s">
        <v>53</v>
      </c>
      <c r="H18" s="47" t="s">
        <v>53</v>
      </c>
      <c r="I18" s="47" t="s">
        <v>53</v>
      </c>
      <c r="J18" s="48">
        <f t="shared" si="4"/>
        <v>5</v>
      </c>
    </row>
    <row r="19" spans="1:10" ht="21" customHeight="1" x14ac:dyDescent="0.15">
      <c r="A19" s="117">
        <v>20020018</v>
      </c>
      <c r="B19" s="47">
        <v>1</v>
      </c>
      <c r="C19" s="47" t="s">
        <v>257</v>
      </c>
      <c r="D19" s="47">
        <v>100</v>
      </c>
      <c r="E19" s="47" t="s">
        <v>53</v>
      </c>
      <c r="F19" s="47" t="s">
        <v>53</v>
      </c>
      <c r="G19" s="47">
        <v>1</v>
      </c>
      <c r="H19" s="47" t="s">
        <v>53</v>
      </c>
      <c r="I19" s="47" t="s">
        <v>53</v>
      </c>
      <c r="J19" s="48">
        <f t="shared" si="4"/>
        <v>100</v>
      </c>
    </row>
    <row r="20" spans="1:10" ht="21" customHeight="1" x14ac:dyDescent="0.15">
      <c r="A20" s="117">
        <v>20020019</v>
      </c>
      <c r="B20" s="47">
        <v>0</v>
      </c>
      <c r="C20" s="47">
        <v>20</v>
      </c>
      <c r="D20" s="47">
        <v>5</v>
      </c>
      <c r="E20" s="47" t="s">
        <v>53</v>
      </c>
      <c r="F20" s="47" t="s">
        <v>53</v>
      </c>
      <c r="G20" s="47" t="s">
        <v>53</v>
      </c>
      <c r="H20" s="47" t="s">
        <v>53</v>
      </c>
      <c r="I20" s="47" t="s">
        <v>53</v>
      </c>
      <c r="J20" s="48">
        <f t="shared" si="4"/>
        <v>5</v>
      </c>
    </row>
    <row r="21" spans="1:10" ht="21" customHeight="1" x14ac:dyDescent="0.15">
      <c r="A21" s="117">
        <v>20020020</v>
      </c>
      <c r="B21" s="47">
        <v>0</v>
      </c>
      <c r="C21" s="47">
        <v>5</v>
      </c>
      <c r="D21" s="47">
        <v>100</v>
      </c>
      <c r="E21" s="47" t="s">
        <v>53</v>
      </c>
      <c r="F21" s="47" t="s">
        <v>53</v>
      </c>
      <c r="G21" s="47" t="s">
        <v>53</v>
      </c>
      <c r="H21" s="47" t="s">
        <v>53</v>
      </c>
      <c r="I21" s="47" t="s">
        <v>53</v>
      </c>
      <c r="J21" s="48">
        <f t="shared" si="4"/>
        <v>100</v>
      </c>
    </row>
    <row r="22" spans="1:10" ht="21" customHeight="1" x14ac:dyDescent="0.15">
      <c r="A22" s="117">
        <v>20020021</v>
      </c>
      <c r="B22" s="47">
        <v>0</v>
      </c>
      <c r="C22" s="47">
        <v>30</v>
      </c>
      <c r="D22" s="47">
        <v>25</v>
      </c>
      <c r="E22" s="47" t="s">
        <v>53</v>
      </c>
      <c r="F22" s="47" t="s">
        <v>53</v>
      </c>
      <c r="G22" s="47" t="s">
        <v>53</v>
      </c>
      <c r="H22" s="47" t="s">
        <v>53</v>
      </c>
      <c r="I22" s="47" t="s">
        <v>53</v>
      </c>
      <c r="J22" s="48">
        <f t="shared" si="4"/>
        <v>25</v>
      </c>
    </row>
    <row r="23" spans="1:10" ht="21" customHeight="1" x14ac:dyDescent="0.15">
      <c r="A23" s="117">
        <v>20020022</v>
      </c>
      <c r="B23" s="47">
        <v>0</v>
      </c>
      <c r="C23" s="47">
        <v>40</v>
      </c>
      <c r="D23" s="47">
        <v>15</v>
      </c>
      <c r="E23" s="47" t="s">
        <v>53</v>
      </c>
      <c r="F23" s="47" t="s">
        <v>53</v>
      </c>
      <c r="G23" s="47" t="s">
        <v>53</v>
      </c>
      <c r="H23" s="47" t="s">
        <v>53</v>
      </c>
      <c r="I23" s="47" t="s">
        <v>53</v>
      </c>
      <c r="J23" s="48">
        <f t="shared" ref="J23:J28" si="5">D23</f>
        <v>15</v>
      </c>
    </row>
    <row r="24" spans="1:10" ht="21" customHeight="1" x14ac:dyDescent="0.15">
      <c r="A24" s="117">
        <v>20020023</v>
      </c>
      <c r="B24" s="47">
        <v>0</v>
      </c>
      <c r="C24" s="47">
        <v>50</v>
      </c>
      <c r="D24" s="47">
        <v>15</v>
      </c>
      <c r="E24" s="47" t="s">
        <v>53</v>
      </c>
      <c r="F24" s="47" t="s">
        <v>53</v>
      </c>
      <c r="G24" s="47" t="s">
        <v>53</v>
      </c>
      <c r="H24" s="47" t="s">
        <v>53</v>
      </c>
      <c r="I24" s="47" t="s">
        <v>53</v>
      </c>
      <c r="J24" s="48">
        <f t="shared" si="5"/>
        <v>15</v>
      </c>
    </row>
    <row r="25" spans="1:10" ht="21" customHeight="1" x14ac:dyDescent="0.15">
      <c r="A25" s="117">
        <v>20020024</v>
      </c>
      <c r="B25" s="47">
        <v>0</v>
      </c>
      <c r="C25" s="47">
        <v>60</v>
      </c>
      <c r="D25" s="47">
        <v>15</v>
      </c>
      <c r="E25" s="47" t="s">
        <v>53</v>
      </c>
      <c r="F25" s="47" t="s">
        <v>53</v>
      </c>
      <c r="G25" s="47" t="s">
        <v>53</v>
      </c>
      <c r="H25" s="47" t="s">
        <v>53</v>
      </c>
      <c r="I25" s="47" t="s">
        <v>53</v>
      </c>
      <c r="J25" s="48">
        <f t="shared" si="5"/>
        <v>15</v>
      </c>
    </row>
    <row r="26" spans="1:10" ht="21" customHeight="1" x14ac:dyDescent="0.15">
      <c r="A26" s="117">
        <v>20020025</v>
      </c>
      <c r="B26" s="47">
        <v>0</v>
      </c>
      <c r="C26" s="47">
        <v>70</v>
      </c>
      <c r="D26" s="47">
        <v>15</v>
      </c>
      <c r="E26" s="47" t="s">
        <v>53</v>
      </c>
      <c r="F26" s="47" t="s">
        <v>53</v>
      </c>
      <c r="G26" s="47" t="s">
        <v>53</v>
      </c>
      <c r="H26" s="47" t="s">
        <v>53</v>
      </c>
      <c r="I26" s="47" t="s">
        <v>53</v>
      </c>
      <c r="J26" s="48">
        <f t="shared" si="5"/>
        <v>15</v>
      </c>
    </row>
    <row r="27" spans="1:10" ht="21" customHeight="1" x14ac:dyDescent="0.15">
      <c r="A27" s="117">
        <v>20020026</v>
      </c>
      <c r="B27" s="47">
        <v>0</v>
      </c>
      <c r="C27" s="47">
        <v>10</v>
      </c>
      <c r="D27" s="47">
        <v>25</v>
      </c>
      <c r="E27" s="47" t="s">
        <v>53</v>
      </c>
      <c r="F27" s="47" t="s">
        <v>53</v>
      </c>
      <c r="G27" s="47" t="s">
        <v>53</v>
      </c>
      <c r="H27" s="47" t="s">
        <v>53</v>
      </c>
      <c r="I27" s="47" t="s">
        <v>53</v>
      </c>
      <c r="J27" s="48">
        <f t="shared" si="5"/>
        <v>25</v>
      </c>
    </row>
    <row r="28" spans="1:10" ht="21" customHeight="1" x14ac:dyDescent="0.15">
      <c r="A28" s="117">
        <v>20020027</v>
      </c>
      <c r="B28" s="47">
        <v>0</v>
      </c>
      <c r="C28" s="47">
        <v>90</v>
      </c>
      <c r="D28" s="47">
        <v>5</v>
      </c>
      <c r="E28" s="47" t="s">
        <v>53</v>
      </c>
      <c r="F28" s="47" t="s">
        <v>53</v>
      </c>
      <c r="G28" s="47" t="s">
        <v>53</v>
      </c>
      <c r="H28" s="47" t="s">
        <v>53</v>
      </c>
      <c r="I28" s="47" t="s">
        <v>53</v>
      </c>
      <c r="J28" s="48">
        <f t="shared" si="5"/>
        <v>5</v>
      </c>
    </row>
    <row r="29" spans="1:10" ht="21" customHeight="1" x14ac:dyDescent="0.15">
      <c r="A29" s="117">
        <v>20020028</v>
      </c>
      <c r="B29" s="47">
        <v>0</v>
      </c>
      <c r="C29" s="47">
        <v>200</v>
      </c>
      <c r="D29" s="47">
        <v>100</v>
      </c>
      <c r="E29" s="47">
        <v>50</v>
      </c>
      <c r="F29" s="47" t="s">
        <v>53</v>
      </c>
      <c r="G29" s="47">
        <v>1</v>
      </c>
      <c r="H29" s="47" t="s">
        <v>53</v>
      </c>
      <c r="I29" s="47" t="s">
        <v>53</v>
      </c>
      <c r="J29" s="48">
        <f t="shared" ref="J29:J30" si="6">D29</f>
        <v>100</v>
      </c>
    </row>
    <row r="30" spans="1:10" ht="21" customHeight="1" x14ac:dyDescent="0.15">
      <c r="A30" s="117">
        <v>20020029</v>
      </c>
      <c r="B30" s="47">
        <v>0</v>
      </c>
      <c r="C30" s="47">
        <v>100</v>
      </c>
      <c r="D30" s="47">
        <v>100</v>
      </c>
      <c r="E30" s="47">
        <v>50</v>
      </c>
      <c r="F30" s="47" t="s">
        <v>53</v>
      </c>
      <c r="G30" s="47">
        <v>1</v>
      </c>
      <c r="H30" s="47" t="s">
        <v>53</v>
      </c>
      <c r="I30" s="47" t="s">
        <v>53</v>
      </c>
      <c r="J30" s="48">
        <f t="shared" si="6"/>
        <v>100</v>
      </c>
    </row>
  </sheetData>
  <autoFilter ref="A1:G1"/>
  <phoneticPr fontId="5"/>
  <conditionalFormatting sqref="K2">
    <cfRule type="duplicateValues" dxfId="28" priority="53"/>
  </conditionalFormatting>
  <conditionalFormatting sqref="K31:K1048576 K1 K3">
    <cfRule type="duplicateValues" dxfId="27" priority="57"/>
  </conditionalFormatting>
  <conditionalFormatting sqref="K4">
    <cfRule type="duplicateValues" dxfId="26" priority="51"/>
  </conditionalFormatting>
  <conditionalFormatting sqref="K5">
    <cfRule type="duplicateValues" dxfId="25" priority="52"/>
  </conditionalFormatting>
  <conditionalFormatting sqref="K6">
    <cfRule type="duplicateValues" dxfId="24" priority="49"/>
  </conditionalFormatting>
  <conditionalFormatting sqref="K7">
    <cfRule type="duplicateValues" dxfId="23" priority="50"/>
  </conditionalFormatting>
  <conditionalFormatting sqref="K8">
    <cfRule type="duplicateValues" dxfId="22" priority="47"/>
  </conditionalFormatting>
  <conditionalFormatting sqref="K9">
    <cfRule type="duplicateValues" dxfId="21" priority="48"/>
  </conditionalFormatting>
  <conditionalFormatting sqref="K10">
    <cfRule type="duplicateValues" dxfId="20" priority="46"/>
  </conditionalFormatting>
  <conditionalFormatting sqref="K11">
    <cfRule type="duplicateValues" dxfId="19" priority="45"/>
  </conditionalFormatting>
  <conditionalFormatting sqref="K12">
    <cfRule type="duplicateValues" dxfId="18" priority="44"/>
  </conditionalFormatting>
  <conditionalFormatting sqref="K13">
    <cfRule type="duplicateValues" dxfId="17" priority="43"/>
  </conditionalFormatting>
  <conditionalFormatting sqref="K14">
    <cfRule type="duplicateValues" dxfId="16" priority="42"/>
  </conditionalFormatting>
  <conditionalFormatting sqref="K15">
    <cfRule type="duplicateValues" dxfId="15" priority="40"/>
  </conditionalFormatting>
  <conditionalFormatting sqref="K17">
    <cfRule type="duplicateValues" dxfId="14" priority="39"/>
  </conditionalFormatting>
  <conditionalFormatting sqref="K18">
    <cfRule type="duplicateValues" dxfId="13" priority="38"/>
  </conditionalFormatting>
  <conditionalFormatting sqref="K19">
    <cfRule type="duplicateValues" dxfId="12" priority="37"/>
  </conditionalFormatting>
  <conditionalFormatting sqref="K20">
    <cfRule type="duplicateValues" dxfId="11" priority="35"/>
  </conditionalFormatting>
  <conditionalFormatting sqref="K21">
    <cfRule type="duplicateValues" dxfId="10" priority="34"/>
  </conditionalFormatting>
  <conditionalFormatting sqref="K22">
    <cfRule type="duplicateValues" dxfId="9" priority="33"/>
  </conditionalFormatting>
  <conditionalFormatting sqref="K23">
    <cfRule type="duplicateValues" dxfId="8" priority="32"/>
  </conditionalFormatting>
  <conditionalFormatting sqref="K24">
    <cfRule type="duplicateValues" dxfId="7" priority="31"/>
  </conditionalFormatting>
  <conditionalFormatting sqref="K25">
    <cfRule type="duplicateValues" dxfId="6" priority="30"/>
  </conditionalFormatting>
  <conditionalFormatting sqref="K26">
    <cfRule type="duplicateValues" dxfId="5" priority="29"/>
  </conditionalFormatting>
  <conditionalFormatting sqref="K27">
    <cfRule type="duplicateValues" dxfId="4" priority="28"/>
  </conditionalFormatting>
  <conditionalFormatting sqref="K28">
    <cfRule type="duplicateValues" dxfId="3" priority="27"/>
  </conditionalFormatting>
  <conditionalFormatting sqref="K29">
    <cfRule type="duplicateValues" dxfId="2" priority="26"/>
  </conditionalFormatting>
  <conditionalFormatting sqref="K30">
    <cfRule type="duplicateValues" dxfId="1" priority="25"/>
  </conditionalFormatting>
  <conditionalFormatting sqref="K16">
    <cfRule type="duplicateValues" dxfId="0" priority="24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32"/>
  <sheetViews>
    <sheetView tabSelected="1" workbookViewId="0">
      <selection activeCell="M24" sqref="M24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5" t="s">
        <v>151</v>
      </c>
      <c r="B1" s="65" t="s">
        <v>152</v>
      </c>
      <c r="C1" s="66" t="s">
        <v>153</v>
      </c>
      <c r="D1" s="73" t="s">
        <v>154</v>
      </c>
      <c r="E1" s="67" t="s">
        <v>155</v>
      </c>
      <c r="F1" s="65" t="s">
        <v>156</v>
      </c>
      <c r="G1" s="65" t="s">
        <v>157</v>
      </c>
      <c r="H1" s="65" t="s">
        <v>158</v>
      </c>
      <c r="I1" s="65" t="s">
        <v>159</v>
      </c>
      <c r="J1" s="65" t="s">
        <v>160</v>
      </c>
      <c r="K1" s="65" t="s">
        <v>161</v>
      </c>
      <c r="L1" s="65" t="s">
        <v>162</v>
      </c>
      <c r="M1" s="65" t="s">
        <v>163</v>
      </c>
      <c r="N1" s="65" t="s">
        <v>164</v>
      </c>
      <c r="O1" s="65" t="s">
        <v>165</v>
      </c>
      <c r="P1" s="65" t="s">
        <v>166</v>
      </c>
      <c r="Q1" s="65" t="s">
        <v>167</v>
      </c>
      <c r="R1" s="65" t="s">
        <v>168</v>
      </c>
    </row>
    <row r="2" spans="1:18" x14ac:dyDescent="0.15">
      <c r="A2" s="57">
        <f>floors!C2</f>
        <v>20020</v>
      </c>
      <c r="B2" s="57">
        <v>3</v>
      </c>
      <c r="C2" s="72" t="str">
        <f>A2&amp; "_"&amp;B2</f>
        <v>20020_3</v>
      </c>
      <c r="D2" s="11" t="str">
        <f ca="1">VLOOKUP($C2,OFFSET([2]stages!$A$1,0,0,COUNTA([2]stages!$A:$A),MATCH(D$1,[2]stages!$2:$2,0)-MATCH($C$1,[2]stages!$2:$2,0)+1),MATCH(D$1,[2]stages!$2:$2,0)-MATCH($C$1,[2]stages!$2:$2,0)+1,FALSE)</f>
        <v>everyone</v>
      </c>
      <c r="E2" s="57">
        <v>1</v>
      </c>
      <c r="F2" s="112" t="s">
        <v>169</v>
      </c>
      <c r="G2" s="112">
        <v>5000</v>
      </c>
      <c r="H2" s="57" t="s">
        <v>170</v>
      </c>
      <c r="I2" s="57">
        <v>1</v>
      </c>
      <c r="J2" s="57">
        <v>1</v>
      </c>
      <c r="K2" s="57">
        <v>0</v>
      </c>
      <c r="L2" s="57">
        <v>0</v>
      </c>
      <c r="M2" s="57">
        <v>0</v>
      </c>
      <c r="N2" s="57">
        <v>0</v>
      </c>
      <c r="O2" s="57">
        <v>1</v>
      </c>
      <c r="P2" s="112">
        <v>100</v>
      </c>
      <c r="Q2" s="57" t="s">
        <v>171</v>
      </c>
      <c r="R2" s="57" t="s">
        <v>172</v>
      </c>
    </row>
    <row r="3" spans="1:18" x14ac:dyDescent="0.15">
      <c r="A3" s="57">
        <v>20020</v>
      </c>
      <c r="B3" s="57">
        <v>3</v>
      </c>
      <c r="C3" s="72" t="str">
        <f t="shared" ref="C3" si="0">A3&amp; "_"&amp;B3</f>
        <v>20020_3</v>
      </c>
      <c r="D3" s="11" t="str">
        <f ca="1">VLOOKUP($C3,OFFSET([2]stages!$A$1,0,0,COUNTA([2]stages!$A:$A),MATCH(D$1,[2]stages!$2:$2,0)-MATCH($C$1,[2]stages!$2:$2,0)+1),MATCH(D$1,[2]stages!$2:$2,0)-MATCH($C$1,[2]stages!$2:$2,0)+1,FALSE)</f>
        <v>everyone</v>
      </c>
      <c r="E3" s="57">
        <v>2</v>
      </c>
      <c r="F3" s="112" t="s">
        <v>274</v>
      </c>
      <c r="G3" s="112">
        <v>25</v>
      </c>
      <c r="H3" s="57" t="s">
        <v>53</v>
      </c>
      <c r="I3" s="57">
        <v>1</v>
      </c>
      <c r="J3" s="57">
        <v>1</v>
      </c>
      <c r="K3" s="57">
        <v>0</v>
      </c>
      <c r="L3" s="57">
        <v>0</v>
      </c>
      <c r="M3" s="57">
        <v>0</v>
      </c>
      <c r="N3" s="57">
        <v>0</v>
      </c>
      <c r="O3" s="57">
        <v>1</v>
      </c>
      <c r="P3" s="112">
        <v>100</v>
      </c>
      <c r="Q3" s="57" t="s">
        <v>171</v>
      </c>
      <c r="R3" s="57" t="s">
        <v>172</v>
      </c>
    </row>
    <row r="4" spans="1:18" x14ac:dyDescent="0.15">
      <c r="A4" s="57">
        <v>20020</v>
      </c>
      <c r="B4" s="57">
        <v>3</v>
      </c>
      <c r="C4" s="72" t="str">
        <f t="shared" ref="C4" si="1">A4&amp; "_"&amp;B4</f>
        <v>20020_3</v>
      </c>
      <c r="D4" s="11" t="str">
        <f ca="1">VLOOKUP($C4,OFFSET([2]stages!$A$1,0,0,COUNTA([2]stages!$A:$A),MATCH(D$1,[2]stages!$2:$2,0)-MATCH($C$1,[2]stages!$2:$2,0)+1),MATCH(D$1,[2]stages!$2:$2,0)-MATCH($C$1,[2]stages!$2:$2,0)+1,FALSE)</f>
        <v>everyone</v>
      </c>
      <c r="E4" s="57">
        <v>3</v>
      </c>
      <c r="F4" s="112" t="s">
        <v>275</v>
      </c>
      <c r="G4" s="112">
        <v>336</v>
      </c>
      <c r="H4" s="57">
        <v>1</v>
      </c>
      <c r="I4" s="57">
        <v>1</v>
      </c>
      <c r="J4" s="57">
        <v>1</v>
      </c>
      <c r="K4" s="57">
        <v>0</v>
      </c>
      <c r="L4" s="57">
        <v>0</v>
      </c>
      <c r="M4" s="57">
        <v>0</v>
      </c>
      <c r="N4" s="57">
        <v>0</v>
      </c>
      <c r="O4" s="57">
        <v>1</v>
      </c>
      <c r="P4" s="112">
        <v>56</v>
      </c>
      <c r="Q4" s="57" t="s">
        <v>171</v>
      </c>
      <c r="R4" s="57" t="s">
        <v>172</v>
      </c>
    </row>
    <row r="5" spans="1:18" x14ac:dyDescent="0.15">
      <c r="A5" s="57">
        <v>20020</v>
      </c>
      <c r="B5" s="57">
        <v>3</v>
      </c>
      <c r="C5" s="72" t="str">
        <f t="shared" ref="C5:C8" si="2">A5&amp; "_"&amp;B5</f>
        <v>20020_3</v>
      </c>
      <c r="D5" s="11" t="str">
        <f ca="1">VLOOKUP($C5,OFFSET([2]stages!$A$1,0,0,COUNTA([2]stages!$A:$A),MATCH(D$1,[2]stages!$2:$2,0)-MATCH($C$1,[2]stages!$2:$2,0)+1),MATCH(D$1,[2]stages!$2:$2,0)-MATCH($C$1,[2]stages!$2:$2,0)+1,FALSE)</f>
        <v>everyone</v>
      </c>
      <c r="E5" s="57">
        <v>4</v>
      </c>
      <c r="F5" s="112" t="s">
        <v>275</v>
      </c>
      <c r="G5" s="112">
        <v>337</v>
      </c>
      <c r="H5" s="57">
        <v>1</v>
      </c>
      <c r="I5" s="57">
        <v>1</v>
      </c>
      <c r="J5" s="57">
        <v>1</v>
      </c>
      <c r="K5" s="57">
        <v>0</v>
      </c>
      <c r="L5" s="57">
        <v>0</v>
      </c>
      <c r="M5" s="57">
        <v>0</v>
      </c>
      <c r="N5" s="57">
        <v>0</v>
      </c>
      <c r="O5" s="57">
        <v>1</v>
      </c>
      <c r="P5" s="112">
        <v>56</v>
      </c>
      <c r="Q5" s="57" t="s">
        <v>171</v>
      </c>
      <c r="R5" s="57" t="s">
        <v>172</v>
      </c>
    </row>
    <row r="6" spans="1:18" x14ac:dyDescent="0.15">
      <c r="A6" s="57">
        <v>20020</v>
      </c>
      <c r="B6" s="57">
        <v>3</v>
      </c>
      <c r="C6" s="72" t="str">
        <f t="shared" si="2"/>
        <v>20020_3</v>
      </c>
      <c r="D6" s="11" t="str">
        <f ca="1">VLOOKUP($C6,OFFSET([2]stages!$A$1,0,0,COUNTA([2]stages!$A:$A),MATCH(D$1,[2]stages!$2:$2,0)-MATCH($C$1,[2]stages!$2:$2,0)+1),MATCH(D$1,[2]stages!$2:$2,0)-MATCH($C$1,[2]stages!$2:$2,0)+1,FALSE)</f>
        <v>everyone</v>
      </c>
      <c r="E6" s="57">
        <v>5</v>
      </c>
      <c r="F6" s="112" t="s">
        <v>275</v>
      </c>
      <c r="G6" s="112">
        <v>338</v>
      </c>
      <c r="H6" s="57">
        <v>1</v>
      </c>
      <c r="I6" s="57">
        <v>1</v>
      </c>
      <c r="J6" s="57">
        <v>1</v>
      </c>
      <c r="K6" s="57">
        <v>0</v>
      </c>
      <c r="L6" s="57">
        <v>0</v>
      </c>
      <c r="M6" s="57">
        <v>0</v>
      </c>
      <c r="N6" s="57">
        <v>0</v>
      </c>
      <c r="O6" s="57">
        <v>1</v>
      </c>
      <c r="P6" s="112">
        <v>28</v>
      </c>
      <c r="Q6" s="57" t="s">
        <v>171</v>
      </c>
      <c r="R6" s="57" t="s">
        <v>172</v>
      </c>
    </row>
    <row r="7" spans="1:18" x14ac:dyDescent="0.15">
      <c r="A7" s="57">
        <v>20020</v>
      </c>
      <c r="B7" s="57">
        <v>3</v>
      </c>
      <c r="C7" s="72" t="str">
        <f t="shared" si="2"/>
        <v>20020_3</v>
      </c>
      <c r="D7" s="11" t="str">
        <f ca="1">VLOOKUP($C7,OFFSET([2]stages!$A$1,0,0,COUNTA([2]stages!$A:$A),MATCH(D$1,[2]stages!$2:$2,0)-MATCH($C$1,[2]stages!$2:$2,0)+1),MATCH(D$1,[2]stages!$2:$2,0)-MATCH($C$1,[2]stages!$2:$2,0)+1,FALSE)</f>
        <v>everyone</v>
      </c>
      <c r="E7" s="57">
        <v>6</v>
      </c>
      <c r="F7" s="112" t="s">
        <v>275</v>
      </c>
      <c r="G7" s="112">
        <v>350</v>
      </c>
      <c r="H7" s="57">
        <v>1</v>
      </c>
      <c r="I7" s="57">
        <v>1</v>
      </c>
      <c r="J7" s="57">
        <v>1</v>
      </c>
      <c r="K7" s="57">
        <v>0</v>
      </c>
      <c r="L7" s="57">
        <v>0</v>
      </c>
      <c r="M7" s="57">
        <v>0</v>
      </c>
      <c r="N7" s="57">
        <v>0</v>
      </c>
      <c r="O7" s="57">
        <v>1</v>
      </c>
      <c r="P7" s="112">
        <v>100</v>
      </c>
      <c r="Q7" s="57" t="s">
        <v>171</v>
      </c>
      <c r="R7" s="57" t="s">
        <v>172</v>
      </c>
    </row>
    <row r="8" spans="1:18" x14ac:dyDescent="0.15">
      <c r="A8" s="57">
        <v>20020</v>
      </c>
      <c r="B8" s="57">
        <v>3</v>
      </c>
      <c r="C8" s="72" t="str">
        <f t="shared" si="2"/>
        <v>20020_3</v>
      </c>
      <c r="D8" s="11" t="str">
        <f ca="1">VLOOKUP($C8,OFFSET([2]stages!$A$1,0,0,COUNTA([2]stages!$A:$A),MATCH(D$1,[2]stages!$2:$2,0)-MATCH($C$1,[2]stages!$2:$2,0)+1),MATCH(D$1,[2]stages!$2:$2,0)-MATCH($C$1,[2]stages!$2:$2,0)+1,FALSE)</f>
        <v>everyone</v>
      </c>
      <c r="E8" s="57">
        <v>7</v>
      </c>
      <c r="F8" s="112" t="s">
        <v>275</v>
      </c>
      <c r="G8" s="112">
        <v>121</v>
      </c>
      <c r="H8" s="57">
        <v>1</v>
      </c>
      <c r="I8" s="57">
        <v>1</v>
      </c>
      <c r="J8" s="57">
        <v>1</v>
      </c>
      <c r="K8" s="57">
        <v>0</v>
      </c>
      <c r="L8" s="57">
        <v>0</v>
      </c>
      <c r="M8" s="57">
        <v>0</v>
      </c>
      <c r="N8" s="57">
        <v>0</v>
      </c>
      <c r="O8" s="57">
        <v>1</v>
      </c>
      <c r="P8" s="112">
        <v>50</v>
      </c>
      <c r="Q8" s="57" t="s">
        <v>171</v>
      </c>
      <c r="R8" s="57" t="s">
        <v>172</v>
      </c>
    </row>
    <row r="9" spans="1:18" x14ac:dyDescent="0.15">
      <c r="A9" s="57">
        <v>20020</v>
      </c>
      <c r="B9" s="57">
        <v>3</v>
      </c>
      <c r="C9" s="72" t="str">
        <f t="shared" ref="C9:C10" si="3">A9&amp; "_"&amp;B9</f>
        <v>20020_3</v>
      </c>
      <c r="D9" s="11" t="str">
        <f ca="1">VLOOKUP($C9,OFFSET([2]stages!$A$1,0,0,COUNTA([2]stages!$A:$A),MATCH(D$1,[2]stages!$2:$2,0)-MATCH($C$1,[2]stages!$2:$2,0)+1),MATCH(D$1,[2]stages!$2:$2,0)-MATCH($C$1,[2]stages!$2:$2,0)+1,FALSE)</f>
        <v>everyone</v>
      </c>
      <c r="E9" s="57">
        <v>8</v>
      </c>
      <c r="F9" s="112" t="s">
        <v>275</v>
      </c>
      <c r="G9" s="112">
        <v>122</v>
      </c>
      <c r="H9" s="57">
        <v>1</v>
      </c>
      <c r="I9" s="57">
        <v>1</v>
      </c>
      <c r="J9" s="57">
        <v>1</v>
      </c>
      <c r="K9" s="57">
        <v>0</v>
      </c>
      <c r="L9" s="57">
        <v>0</v>
      </c>
      <c r="M9" s="57">
        <v>0</v>
      </c>
      <c r="N9" s="57">
        <v>0</v>
      </c>
      <c r="O9" s="57">
        <v>1</v>
      </c>
      <c r="P9" s="112">
        <v>50</v>
      </c>
      <c r="Q9" s="57" t="s">
        <v>171</v>
      </c>
      <c r="R9" s="57" t="s">
        <v>172</v>
      </c>
    </row>
    <row r="10" spans="1:18" x14ac:dyDescent="0.15">
      <c r="A10" s="57">
        <v>20020</v>
      </c>
      <c r="B10" s="57">
        <v>3</v>
      </c>
      <c r="C10" s="72" t="str">
        <f t="shared" si="3"/>
        <v>20020_3</v>
      </c>
      <c r="D10" s="11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57">
        <v>9</v>
      </c>
      <c r="F10" s="112" t="s">
        <v>275</v>
      </c>
      <c r="G10" s="112">
        <v>123</v>
      </c>
      <c r="H10" s="57">
        <v>1</v>
      </c>
      <c r="I10" s="57">
        <v>1</v>
      </c>
      <c r="J10" s="57">
        <v>1</v>
      </c>
      <c r="K10" s="57">
        <v>0</v>
      </c>
      <c r="L10" s="57">
        <v>0</v>
      </c>
      <c r="M10" s="57">
        <v>0</v>
      </c>
      <c r="N10" s="57">
        <v>0</v>
      </c>
      <c r="O10" s="57">
        <v>1</v>
      </c>
      <c r="P10" s="112">
        <v>50</v>
      </c>
      <c r="Q10" s="57" t="s">
        <v>171</v>
      </c>
      <c r="R10" s="57" t="s">
        <v>172</v>
      </c>
    </row>
    <row r="11" spans="1:18" x14ac:dyDescent="0.15">
      <c r="A11" s="57">
        <v>20020</v>
      </c>
      <c r="B11" s="57">
        <v>3</v>
      </c>
      <c r="C11" s="72" t="str">
        <f t="shared" ref="C11" si="4">A11&amp; "_"&amp;B11</f>
        <v>20020_3</v>
      </c>
      <c r="D11" s="11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57">
        <v>10</v>
      </c>
      <c r="F11" s="112" t="s">
        <v>275</v>
      </c>
      <c r="G11" s="112">
        <v>125</v>
      </c>
      <c r="H11" s="57">
        <v>1</v>
      </c>
      <c r="I11" s="57">
        <v>1</v>
      </c>
      <c r="J11" s="57">
        <v>1</v>
      </c>
      <c r="K11" s="57">
        <v>0</v>
      </c>
      <c r="L11" s="57">
        <v>0</v>
      </c>
      <c r="M11" s="57">
        <v>0</v>
      </c>
      <c r="N11" s="57">
        <v>0</v>
      </c>
      <c r="O11" s="57">
        <v>1</v>
      </c>
      <c r="P11" s="112">
        <v>10</v>
      </c>
      <c r="Q11" s="57" t="s">
        <v>171</v>
      </c>
      <c r="R11" s="57" t="s">
        <v>172</v>
      </c>
    </row>
    <row r="12" spans="1:18" x14ac:dyDescent="0.15">
      <c r="A12" s="57">
        <v>20020</v>
      </c>
      <c r="B12" s="57">
        <v>3</v>
      </c>
      <c r="C12" s="72" t="str">
        <f t="shared" ref="C12" si="5">A12&amp; "_"&amp;B12</f>
        <v>20020_3</v>
      </c>
      <c r="D12" s="11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57">
        <v>11</v>
      </c>
      <c r="F12" s="112" t="s">
        <v>275</v>
      </c>
      <c r="G12" s="112">
        <v>1059</v>
      </c>
      <c r="H12" s="57">
        <v>1</v>
      </c>
      <c r="I12" s="57">
        <v>1</v>
      </c>
      <c r="J12" s="57">
        <v>1</v>
      </c>
      <c r="K12" s="57">
        <v>0</v>
      </c>
      <c r="L12" s="57">
        <v>0</v>
      </c>
      <c r="M12" s="57">
        <v>0</v>
      </c>
      <c r="N12" s="57">
        <v>0</v>
      </c>
      <c r="O12" s="57">
        <v>1</v>
      </c>
      <c r="P12" s="112">
        <v>400</v>
      </c>
      <c r="Q12" s="57" t="s">
        <v>171</v>
      </c>
      <c r="R12" s="57" t="s">
        <v>172</v>
      </c>
    </row>
    <row r="13" spans="1:18" x14ac:dyDescent="0.15">
      <c r="A13" s="57">
        <v>20020</v>
      </c>
      <c r="B13" s="57">
        <v>2</v>
      </c>
      <c r="C13" s="72" t="str">
        <f>A13&amp; "_"&amp;B13</f>
        <v>20020_2</v>
      </c>
      <c r="D13" s="11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57">
        <v>12</v>
      </c>
      <c r="F13" s="111" t="s">
        <v>169</v>
      </c>
      <c r="G13" s="111">
        <v>3200</v>
      </c>
      <c r="H13" s="57" t="s">
        <v>170</v>
      </c>
      <c r="I13" s="57">
        <v>1</v>
      </c>
      <c r="J13" s="57">
        <v>1</v>
      </c>
      <c r="K13" s="57">
        <v>0</v>
      </c>
      <c r="L13" s="57">
        <v>0</v>
      </c>
      <c r="M13" s="57">
        <v>0</v>
      </c>
      <c r="N13" s="57">
        <v>0</v>
      </c>
      <c r="O13" s="57">
        <v>1</v>
      </c>
      <c r="P13" s="111">
        <v>200</v>
      </c>
      <c r="Q13" s="57" t="s">
        <v>171</v>
      </c>
      <c r="R13" s="57" t="s">
        <v>172</v>
      </c>
    </row>
    <row r="14" spans="1:18" x14ac:dyDescent="0.15">
      <c r="A14" s="57">
        <v>20020</v>
      </c>
      <c r="B14" s="57">
        <v>2</v>
      </c>
      <c r="C14" s="72" t="str">
        <f t="shared" ref="C14:C22" si="6">A14&amp; "_"&amp;B14</f>
        <v>20020_2</v>
      </c>
      <c r="D14" s="11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57">
        <v>13</v>
      </c>
      <c r="F14" s="111" t="s">
        <v>274</v>
      </c>
      <c r="G14" s="111">
        <v>20</v>
      </c>
      <c r="H14" s="57" t="s">
        <v>53</v>
      </c>
      <c r="I14" s="57">
        <v>1</v>
      </c>
      <c r="J14" s="57">
        <v>1</v>
      </c>
      <c r="K14" s="57">
        <v>0</v>
      </c>
      <c r="L14" s="57">
        <v>0</v>
      </c>
      <c r="M14" s="57">
        <v>0</v>
      </c>
      <c r="N14" s="57">
        <v>0</v>
      </c>
      <c r="O14" s="57">
        <v>1</v>
      </c>
      <c r="P14" s="111">
        <v>150</v>
      </c>
      <c r="Q14" s="57" t="s">
        <v>171</v>
      </c>
      <c r="R14" s="57" t="s">
        <v>172</v>
      </c>
    </row>
    <row r="15" spans="1:18" x14ac:dyDescent="0.15">
      <c r="A15" s="57">
        <v>20020</v>
      </c>
      <c r="B15" s="57">
        <v>2</v>
      </c>
      <c r="C15" s="72" t="str">
        <f t="shared" si="6"/>
        <v>20020_2</v>
      </c>
      <c r="D15" s="11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57">
        <v>14</v>
      </c>
      <c r="F15" s="111" t="s">
        <v>275</v>
      </c>
      <c r="G15" s="111">
        <v>336</v>
      </c>
      <c r="H15" s="57">
        <v>1</v>
      </c>
      <c r="I15" s="57">
        <v>1</v>
      </c>
      <c r="J15" s="57">
        <v>1</v>
      </c>
      <c r="K15" s="57">
        <v>0</v>
      </c>
      <c r="L15" s="57">
        <v>0</v>
      </c>
      <c r="M15" s="57">
        <v>0</v>
      </c>
      <c r="N15" s="57">
        <v>0</v>
      </c>
      <c r="O15" s="57">
        <v>1</v>
      </c>
      <c r="P15" s="111">
        <v>70</v>
      </c>
      <c r="Q15" s="57" t="s">
        <v>171</v>
      </c>
      <c r="R15" s="57" t="s">
        <v>172</v>
      </c>
    </row>
    <row r="16" spans="1:18" x14ac:dyDescent="0.15">
      <c r="A16" s="57">
        <v>20020</v>
      </c>
      <c r="B16" s="57">
        <v>2</v>
      </c>
      <c r="C16" s="72" t="str">
        <f t="shared" si="6"/>
        <v>20020_2</v>
      </c>
      <c r="D16" s="11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57">
        <v>15</v>
      </c>
      <c r="F16" s="111" t="s">
        <v>275</v>
      </c>
      <c r="G16" s="111">
        <v>337</v>
      </c>
      <c r="H16" s="57">
        <v>1</v>
      </c>
      <c r="I16" s="57">
        <v>1</v>
      </c>
      <c r="J16" s="57">
        <v>1</v>
      </c>
      <c r="K16" s="57">
        <v>0</v>
      </c>
      <c r="L16" s="57">
        <v>0</v>
      </c>
      <c r="M16" s="57">
        <v>0</v>
      </c>
      <c r="N16" s="57">
        <v>0</v>
      </c>
      <c r="O16" s="57">
        <v>1</v>
      </c>
      <c r="P16" s="111">
        <v>70</v>
      </c>
      <c r="Q16" s="57" t="s">
        <v>171</v>
      </c>
      <c r="R16" s="57" t="s">
        <v>172</v>
      </c>
    </row>
    <row r="17" spans="1:18" x14ac:dyDescent="0.15">
      <c r="A17" s="57">
        <v>20020</v>
      </c>
      <c r="B17" s="57">
        <v>2</v>
      </c>
      <c r="C17" s="72" t="str">
        <f t="shared" si="6"/>
        <v>20020_2</v>
      </c>
      <c r="D17" s="11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57">
        <v>17</v>
      </c>
      <c r="F17" s="111" t="s">
        <v>275</v>
      </c>
      <c r="G17" s="111">
        <v>350</v>
      </c>
      <c r="H17" s="57">
        <v>1</v>
      </c>
      <c r="I17" s="57">
        <v>1</v>
      </c>
      <c r="J17" s="57">
        <v>1</v>
      </c>
      <c r="K17" s="57">
        <v>0</v>
      </c>
      <c r="L17" s="57">
        <v>0</v>
      </c>
      <c r="M17" s="57">
        <v>0</v>
      </c>
      <c r="N17" s="57">
        <v>0</v>
      </c>
      <c r="O17" s="57">
        <v>1</v>
      </c>
      <c r="P17" s="111">
        <v>100</v>
      </c>
      <c r="Q17" s="57" t="s">
        <v>171</v>
      </c>
      <c r="R17" s="57" t="s">
        <v>172</v>
      </c>
    </row>
    <row r="18" spans="1:18" x14ac:dyDescent="0.15">
      <c r="A18" s="57">
        <v>20020</v>
      </c>
      <c r="B18" s="57">
        <v>2</v>
      </c>
      <c r="C18" s="72" t="str">
        <f t="shared" si="6"/>
        <v>20020_2</v>
      </c>
      <c r="D18" s="11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57">
        <v>18</v>
      </c>
      <c r="F18" s="111" t="s">
        <v>275</v>
      </c>
      <c r="G18" s="111">
        <v>121</v>
      </c>
      <c r="H18" s="57">
        <v>1</v>
      </c>
      <c r="I18" s="57">
        <v>1</v>
      </c>
      <c r="J18" s="57">
        <v>1</v>
      </c>
      <c r="K18" s="57">
        <v>0</v>
      </c>
      <c r="L18" s="57">
        <v>0</v>
      </c>
      <c r="M18" s="57">
        <v>0</v>
      </c>
      <c r="N18" s="57">
        <v>0</v>
      </c>
      <c r="O18" s="57">
        <v>1</v>
      </c>
      <c r="P18" s="111">
        <v>50</v>
      </c>
      <c r="Q18" s="57" t="s">
        <v>171</v>
      </c>
      <c r="R18" s="57" t="s">
        <v>172</v>
      </c>
    </row>
    <row r="19" spans="1:18" x14ac:dyDescent="0.15">
      <c r="A19" s="57">
        <v>20020</v>
      </c>
      <c r="B19" s="57">
        <v>2</v>
      </c>
      <c r="C19" s="72" t="str">
        <f t="shared" si="6"/>
        <v>20020_2</v>
      </c>
      <c r="D19" s="11" t="str">
        <f ca="1">VLOOKUP($C19,OFFSET([2]stages!$A$1,0,0,COUNTA([2]stages!$A:$A),MATCH(D$1,[2]stages!$2:$2,0)-MATCH($C$1,[2]stages!$2:$2,0)+1),MATCH(D$1,[2]stages!$2:$2,0)-MATCH($C$1,[2]stages!$2:$2,0)+1,FALSE)</f>
        <v>everyone</v>
      </c>
      <c r="E19" s="57">
        <v>19</v>
      </c>
      <c r="F19" s="111" t="s">
        <v>275</v>
      </c>
      <c r="G19" s="111">
        <v>122</v>
      </c>
      <c r="H19" s="57">
        <v>1</v>
      </c>
      <c r="I19" s="57">
        <v>1</v>
      </c>
      <c r="J19" s="57">
        <v>1</v>
      </c>
      <c r="K19" s="57">
        <v>0</v>
      </c>
      <c r="L19" s="57">
        <v>0</v>
      </c>
      <c r="M19" s="57">
        <v>0</v>
      </c>
      <c r="N19" s="57">
        <v>0</v>
      </c>
      <c r="O19" s="57">
        <v>1</v>
      </c>
      <c r="P19" s="111">
        <v>50</v>
      </c>
      <c r="Q19" s="57" t="s">
        <v>171</v>
      </c>
      <c r="R19" s="57" t="s">
        <v>172</v>
      </c>
    </row>
    <row r="20" spans="1:18" x14ac:dyDescent="0.15">
      <c r="A20" s="57">
        <v>20020</v>
      </c>
      <c r="B20" s="57">
        <v>2</v>
      </c>
      <c r="C20" s="72" t="str">
        <f t="shared" si="6"/>
        <v>20020_2</v>
      </c>
      <c r="D20" s="11" t="str">
        <f ca="1">VLOOKUP($C20,OFFSET([2]stages!$A$1,0,0,COUNTA([2]stages!$A:$A),MATCH(D$1,[2]stages!$2:$2,0)-MATCH($C$1,[2]stages!$2:$2,0)+1),MATCH(D$1,[2]stages!$2:$2,0)-MATCH($C$1,[2]stages!$2:$2,0)+1,FALSE)</f>
        <v>everyone</v>
      </c>
      <c r="E20" s="57">
        <v>20</v>
      </c>
      <c r="F20" s="111" t="s">
        <v>275</v>
      </c>
      <c r="G20" s="111">
        <v>123</v>
      </c>
      <c r="H20" s="57">
        <v>1</v>
      </c>
      <c r="I20" s="57">
        <v>1</v>
      </c>
      <c r="J20" s="57">
        <v>1</v>
      </c>
      <c r="K20" s="57">
        <v>0</v>
      </c>
      <c r="L20" s="57">
        <v>0</v>
      </c>
      <c r="M20" s="57">
        <v>0</v>
      </c>
      <c r="N20" s="57">
        <v>0</v>
      </c>
      <c r="O20" s="57">
        <v>1</v>
      </c>
      <c r="P20" s="111">
        <v>50</v>
      </c>
      <c r="Q20" s="57" t="s">
        <v>171</v>
      </c>
      <c r="R20" s="57" t="s">
        <v>172</v>
      </c>
    </row>
    <row r="21" spans="1:18" x14ac:dyDescent="0.15">
      <c r="A21" s="57">
        <v>20020</v>
      </c>
      <c r="B21" s="57">
        <v>2</v>
      </c>
      <c r="C21" s="72" t="str">
        <f t="shared" si="6"/>
        <v>20020_2</v>
      </c>
      <c r="D21" s="11" t="str">
        <f ca="1">VLOOKUP($C21,OFFSET([2]stages!$A$1,0,0,COUNTA([2]stages!$A:$A),MATCH(D$1,[2]stages!$2:$2,0)-MATCH($C$1,[2]stages!$2:$2,0)+1),MATCH(D$1,[2]stages!$2:$2,0)-MATCH($C$1,[2]stages!$2:$2,0)+1,FALSE)</f>
        <v>everyone</v>
      </c>
      <c r="E21" s="57">
        <v>21</v>
      </c>
      <c r="F21" s="111" t="s">
        <v>275</v>
      </c>
      <c r="G21" s="111">
        <v>125</v>
      </c>
      <c r="H21" s="57">
        <v>1</v>
      </c>
      <c r="I21" s="57">
        <v>1</v>
      </c>
      <c r="J21" s="57">
        <v>1</v>
      </c>
      <c r="K21" s="57">
        <v>0</v>
      </c>
      <c r="L21" s="57">
        <v>0</v>
      </c>
      <c r="M21" s="57">
        <v>0</v>
      </c>
      <c r="N21" s="57">
        <v>0</v>
      </c>
      <c r="O21" s="57">
        <v>1</v>
      </c>
      <c r="P21" s="111">
        <v>10</v>
      </c>
      <c r="Q21" s="57" t="s">
        <v>171</v>
      </c>
      <c r="R21" s="57" t="s">
        <v>172</v>
      </c>
    </row>
    <row r="22" spans="1:18" x14ac:dyDescent="0.15">
      <c r="A22" s="57">
        <v>20020</v>
      </c>
      <c r="B22" s="57">
        <v>2</v>
      </c>
      <c r="C22" s="72" t="str">
        <f t="shared" si="6"/>
        <v>20020_2</v>
      </c>
      <c r="D22" s="11" t="str">
        <f ca="1">VLOOKUP($C22,OFFSET([2]stages!$A$1,0,0,COUNTA([2]stages!$A:$A),MATCH(D$1,[2]stages!$2:$2,0)-MATCH($C$1,[2]stages!$2:$2,0)+1),MATCH(D$1,[2]stages!$2:$2,0)-MATCH($C$1,[2]stages!$2:$2,0)+1,FALSE)</f>
        <v>everyone</v>
      </c>
      <c r="E22" s="57">
        <v>22</v>
      </c>
      <c r="F22" s="111" t="s">
        <v>275</v>
      </c>
      <c r="G22" s="111">
        <v>1059</v>
      </c>
      <c r="H22" s="57">
        <v>1</v>
      </c>
      <c r="I22" s="57">
        <v>1</v>
      </c>
      <c r="J22" s="57">
        <v>1</v>
      </c>
      <c r="K22" s="57">
        <v>0</v>
      </c>
      <c r="L22" s="57">
        <v>0</v>
      </c>
      <c r="M22" s="57">
        <v>0</v>
      </c>
      <c r="N22" s="57">
        <v>0</v>
      </c>
      <c r="O22" s="57">
        <v>1</v>
      </c>
      <c r="P22" s="111">
        <v>250</v>
      </c>
      <c r="Q22" s="57" t="s">
        <v>171</v>
      </c>
      <c r="R22" s="57" t="s">
        <v>172</v>
      </c>
    </row>
    <row r="23" spans="1:18" x14ac:dyDescent="0.15">
      <c r="A23" s="57">
        <v>20020</v>
      </c>
      <c r="B23" s="57">
        <v>1</v>
      </c>
      <c r="C23" s="72" t="str">
        <f>A23&amp; "_"&amp;B23</f>
        <v>20020_1</v>
      </c>
      <c r="D23" s="11" t="str">
        <f ca="1">VLOOKUP($C23,OFFSET([2]stages!$A$1,0,0,COUNTA([2]stages!$A:$A),MATCH(D$1,[2]stages!$2:$2,0)-MATCH($C$1,[2]stages!$2:$2,0)+1),MATCH(D$1,[2]stages!$2:$2,0)-MATCH($C$1,[2]stages!$2:$2,0)+1,FALSE)</f>
        <v>everyone</v>
      </c>
      <c r="E23" s="57">
        <v>23</v>
      </c>
      <c r="F23" s="58" t="s">
        <v>169</v>
      </c>
      <c r="G23" s="58">
        <v>1700</v>
      </c>
      <c r="H23" s="57" t="s">
        <v>170</v>
      </c>
      <c r="I23" s="57">
        <v>1</v>
      </c>
      <c r="J23" s="57">
        <v>1</v>
      </c>
      <c r="K23" s="57">
        <v>0</v>
      </c>
      <c r="L23" s="57">
        <v>0</v>
      </c>
      <c r="M23" s="57">
        <v>0</v>
      </c>
      <c r="N23" s="57">
        <v>0</v>
      </c>
      <c r="O23" s="57">
        <v>1</v>
      </c>
      <c r="P23" s="58">
        <v>200</v>
      </c>
      <c r="Q23" s="57" t="s">
        <v>171</v>
      </c>
      <c r="R23" s="57" t="s">
        <v>172</v>
      </c>
    </row>
    <row r="24" spans="1:18" x14ac:dyDescent="0.15">
      <c r="A24" s="57">
        <v>20020</v>
      </c>
      <c r="B24" s="57">
        <v>1</v>
      </c>
      <c r="C24" s="72" t="str">
        <f t="shared" ref="C24:C32" si="7">A24&amp; "_"&amp;B24</f>
        <v>20020_1</v>
      </c>
      <c r="D24" s="11" t="str">
        <f ca="1">VLOOKUP($C24,OFFSET([2]stages!$A$1,0,0,COUNTA([2]stages!$A:$A),MATCH(D$1,[2]stages!$2:$2,0)-MATCH($C$1,[2]stages!$2:$2,0)+1),MATCH(D$1,[2]stages!$2:$2,0)-MATCH($C$1,[2]stages!$2:$2,0)+1,FALSE)</f>
        <v>everyone</v>
      </c>
      <c r="E24" s="57">
        <v>24</v>
      </c>
      <c r="F24" s="58" t="s">
        <v>274</v>
      </c>
      <c r="G24" s="58">
        <v>20</v>
      </c>
      <c r="H24" s="57" t="s">
        <v>53</v>
      </c>
      <c r="I24" s="57">
        <v>1</v>
      </c>
      <c r="J24" s="57">
        <v>1</v>
      </c>
      <c r="K24" s="57">
        <v>0</v>
      </c>
      <c r="L24" s="57">
        <v>0</v>
      </c>
      <c r="M24" s="57">
        <v>0</v>
      </c>
      <c r="N24" s="57">
        <v>0</v>
      </c>
      <c r="O24" s="57">
        <v>1</v>
      </c>
      <c r="P24" s="58">
        <v>200</v>
      </c>
      <c r="Q24" s="57" t="s">
        <v>171</v>
      </c>
      <c r="R24" s="57" t="s">
        <v>172</v>
      </c>
    </row>
    <row r="25" spans="1:18" x14ac:dyDescent="0.15">
      <c r="A25" s="57">
        <v>20020</v>
      </c>
      <c r="B25" s="57">
        <v>1</v>
      </c>
      <c r="C25" s="72" t="str">
        <f t="shared" si="7"/>
        <v>20020_1</v>
      </c>
      <c r="D25" s="11" t="str">
        <f ca="1">VLOOKUP($C25,OFFSET([2]stages!$A$1,0,0,COUNTA([2]stages!$A:$A),MATCH(D$1,[2]stages!$2:$2,0)-MATCH($C$1,[2]stages!$2:$2,0)+1),MATCH(D$1,[2]stages!$2:$2,0)-MATCH($C$1,[2]stages!$2:$2,0)+1,FALSE)</f>
        <v>everyone</v>
      </c>
      <c r="E25" s="57">
        <v>25</v>
      </c>
      <c r="F25" s="58" t="s">
        <v>275</v>
      </c>
      <c r="G25" s="58">
        <v>336</v>
      </c>
      <c r="H25" s="57">
        <v>1</v>
      </c>
      <c r="I25" s="57">
        <v>1</v>
      </c>
      <c r="J25" s="57">
        <v>1</v>
      </c>
      <c r="K25" s="57">
        <v>0</v>
      </c>
      <c r="L25" s="57">
        <v>0</v>
      </c>
      <c r="M25" s="57">
        <v>0</v>
      </c>
      <c r="N25" s="57">
        <v>0</v>
      </c>
      <c r="O25" s="57">
        <v>1</v>
      </c>
      <c r="P25" s="58">
        <v>98</v>
      </c>
      <c r="Q25" s="57" t="s">
        <v>171</v>
      </c>
      <c r="R25" s="57" t="s">
        <v>172</v>
      </c>
    </row>
    <row r="26" spans="1:18" x14ac:dyDescent="0.15">
      <c r="A26" s="57">
        <v>20020</v>
      </c>
      <c r="B26" s="57">
        <v>1</v>
      </c>
      <c r="C26" s="72" t="str">
        <f t="shared" si="7"/>
        <v>20020_1</v>
      </c>
      <c r="D26" s="11" t="str">
        <f ca="1">VLOOKUP($C26,OFFSET([2]stages!$A$1,0,0,COUNTA([2]stages!$A:$A),MATCH(D$1,[2]stages!$2:$2,0)-MATCH($C$1,[2]stages!$2:$2,0)+1),MATCH(D$1,[2]stages!$2:$2,0)-MATCH($C$1,[2]stages!$2:$2,0)+1,FALSE)</f>
        <v>everyone</v>
      </c>
      <c r="E26" s="57">
        <v>26</v>
      </c>
      <c r="F26" s="58" t="s">
        <v>275</v>
      </c>
      <c r="G26" s="58">
        <v>337</v>
      </c>
      <c r="H26" s="57">
        <v>1</v>
      </c>
      <c r="I26" s="57">
        <v>1</v>
      </c>
      <c r="J26" s="57">
        <v>1</v>
      </c>
      <c r="K26" s="57">
        <v>0</v>
      </c>
      <c r="L26" s="57">
        <v>0</v>
      </c>
      <c r="M26" s="57">
        <v>0</v>
      </c>
      <c r="N26" s="57">
        <v>0</v>
      </c>
      <c r="O26" s="57">
        <v>1</v>
      </c>
      <c r="P26" s="58">
        <v>42</v>
      </c>
      <c r="Q26" s="57" t="s">
        <v>171</v>
      </c>
      <c r="R26" s="57" t="s">
        <v>172</v>
      </c>
    </row>
    <row r="27" spans="1:18" x14ac:dyDescent="0.15">
      <c r="A27" s="57">
        <v>20020</v>
      </c>
      <c r="B27" s="57">
        <v>1</v>
      </c>
      <c r="C27" s="72" t="str">
        <f t="shared" si="7"/>
        <v>20020_1</v>
      </c>
      <c r="D27" s="11" t="str">
        <f ca="1">VLOOKUP($C27,OFFSET([2]stages!$A$1,0,0,COUNTA([2]stages!$A:$A),MATCH(D$1,[2]stages!$2:$2,0)-MATCH($C$1,[2]stages!$2:$2,0)+1),MATCH(D$1,[2]stages!$2:$2,0)-MATCH($C$1,[2]stages!$2:$2,0)+1,FALSE)</f>
        <v>everyone</v>
      </c>
      <c r="E27" s="57">
        <v>27</v>
      </c>
      <c r="F27" s="58" t="s">
        <v>275</v>
      </c>
      <c r="G27" s="58">
        <v>350</v>
      </c>
      <c r="H27" s="57">
        <v>1</v>
      </c>
      <c r="I27" s="57">
        <v>1</v>
      </c>
      <c r="J27" s="57">
        <v>1</v>
      </c>
      <c r="K27" s="57">
        <v>0</v>
      </c>
      <c r="L27" s="57">
        <v>0</v>
      </c>
      <c r="M27" s="57">
        <v>0</v>
      </c>
      <c r="N27" s="57">
        <v>0</v>
      </c>
      <c r="O27" s="57">
        <v>1</v>
      </c>
      <c r="P27" s="58">
        <v>100</v>
      </c>
      <c r="Q27" s="57" t="s">
        <v>171</v>
      </c>
      <c r="R27" s="57" t="s">
        <v>172</v>
      </c>
    </row>
    <row r="28" spans="1:18" x14ac:dyDescent="0.15">
      <c r="A28" s="57">
        <v>20020</v>
      </c>
      <c r="B28" s="57">
        <v>1</v>
      </c>
      <c r="C28" s="72" t="str">
        <f t="shared" si="7"/>
        <v>20020_1</v>
      </c>
      <c r="D28" s="11" t="str">
        <f ca="1">VLOOKUP($C28,OFFSET([2]stages!$A$1,0,0,COUNTA([2]stages!$A:$A),MATCH(D$1,[2]stages!$2:$2,0)-MATCH($C$1,[2]stages!$2:$2,0)+1),MATCH(D$1,[2]stages!$2:$2,0)-MATCH($C$1,[2]stages!$2:$2,0)+1,FALSE)</f>
        <v>everyone</v>
      </c>
      <c r="E28" s="57">
        <v>28</v>
      </c>
      <c r="F28" s="58" t="s">
        <v>275</v>
      </c>
      <c r="G28" s="58">
        <v>121</v>
      </c>
      <c r="H28" s="57">
        <v>1</v>
      </c>
      <c r="I28" s="57">
        <v>1</v>
      </c>
      <c r="J28" s="57">
        <v>1</v>
      </c>
      <c r="K28" s="57">
        <v>0</v>
      </c>
      <c r="L28" s="57">
        <v>0</v>
      </c>
      <c r="M28" s="57">
        <v>0</v>
      </c>
      <c r="N28" s="57">
        <v>0</v>
      </c>
      <c r="O28" s="57">
        <v>1</v>
      </c>
      <c r="P28" s="58">
        <v>50</v>
      </c>
      <c r="Q28" s="57" t="s">
        <v>171</v>
      </c>
      <c r="R28" s="57" t="s">
        <v>172</v>
      </c>
    </row>
    <row r="29" spans="1:18" x14ac:dyDescent="0.15">
      <c r="A29" s="57">
        <v>20020</v>
      </c>
      <c r="B29" s="57">
        <v>1</v>
      </c>
      <c r="C29" s="72" t="str">
        <f t="shared" si="7"/>
        <v>20020_1</v>
      </c>
      <c r="D29" s="11" t="str">
        <f ca="1">VLOOKUP($C29,OFFSET([2]stages!$A$1,0,0,COUNTA([2]stages!$A:$A),MATCH(D$1,[2]stages!$2:$2,0)-MATCH($C$1,[2]stages!$2:$2,0)+1),MATCH(D$1,[2]stages!$2:$2,0)-MATCH($C$1,[2]stages!$2:$2,0)+1,FALSE)</f>
        <v>everyone</v>
      </c>
      <c r="E29" s="57">
        <v>29</v>
      </c>
      <c r="F29" s="58" t="s">
        <v>275</v>
      </c>
      <c r="G29" s="58">
        <v>122</v>
      </c>
      <c r="H29" s="57">
        <v>1</v>
      </c>
      <c r="I29" s="57">
        <v>1</v>
      </c>
      <c r="J29" s="57">
        <v>1</v>
      </c>
      <c r="K29" s="57">
        <v>0</v>
      </c>
      <c r="L29" s="57">
        <v>0</v>
      </c>
      <c r="M29" s="57">
        <v>0</v>
      </c>
      <c r="N29" s="57">
        <v>0</v>
      </c>
      <c r="O29" s="57">
        <v>1</v>
      </c>
      <c r="P29" s="58">
        <v>50</v>
      </c>
      <c r="Q29" s="57" t="s">
        <v>171</v>
      </c>
      <c r="R29" s="57" t="s">
        <v>172</v>
      </c>
    </row>
    <row r="30" spans="1:18" x14ac:dyDescent="0.15">
      <c r="A30" s="57">
        <v>20020</v>
      </c>
      <c r="B30" s="57">
        <v>1</v>
      </c>
      <c r="C30" s="72" t="str">
        <f t="shared" si="7"/>
        <v>20020_1</v>
      </c>
      <c r="D30" s="11" t="str">
        <f ca="1">VLOOKUP($C30,OFFSET([2]stages!$A$1,0,0,COUNTA([2]stages!$A:$A),MATCH(D$1,[2]stages!$2:$2,0)-MATCH($C$1,[2]stages!$2:$2,0)+1),MATCH(D$1,[2]stages!$2:$2,0)-MATCH($C$1,[2]stages!$2:$2,0)+1,FALSE)</f>
        <v>everyone</v>
      </c>
      <c r="E30" s="57">
        <v>30</v>
      </c>
      <c r="F30" s="58" t="s">
        <v>275</v>
      </c>
      <c r="G30" s="58">
        <v>123</v>
      </c>
      <c r="H30" s="57">
        <v>1</v>
      </c>
      <c r="I30" s="57">
        <v>1</v>
      </c>
      <c r="J30" s="57">
        <v>1</v>
      </c>
      <c r="K30" s="57">
        <v>0</v>
      </c>
      <c r="L30" s="57">
        <v>0</v>
      </c>
      <c r="M30" s="57">
        <v>0</v>
      </c>
      <c r="N30" s="57">
        <v>0</v>
      </c>
      <c r="O30" s="57">
        <v>1</v>
      </c>
      <c r="P30" s="58">
        <v>50</v>
      </c>
      <c r="Q30" s="57" t="s">
        <v>171</v>
      </c>
      <c r="R30" s="57" t="s">
        <v>172</v>
      </c>
    </row>
    <row r="31" spans="1:18" x14ac:dyDescent="0.15">
      <c r="A31" s="57">
        <v>20020</v>
      </c>
      <c r="B31" s="57">
        <v>1</v>
      </c>
      <c r="C31" s="72" t="str">
        <f t="shared" si="7"/>
        <v>20020_1</v>
      </c>
      <c r="D31" s="11" t="str">
        <f ca="1">VLOOKUP($C31,OFFSET([2]stages!$A$1,0,0,COUNTA([2]stages!$A:$A),MATCH(D$1,[2]stages!$2:$2,0)-MATCH($C$1,[2]stages!$2:$2,0)+1),MATCH(D$1,[2]stages!$2:$2,0)-MATCH($C$1,[2]stages!$2:$2,0)+1,FALSE)</f>
        <v>everyone</v>
      </c>
      <c r="E31" s="57">
        <v>31</v>
      </c>
      <c r="F31" s="58" t="s">
        <v>275</v>
      </c>
      <c r="G31" s="58">
        <v>125</v>
      </c>
      <c r="H31" s="57">
        <v>1</v>
      </c>
      <c r="I31" s="57">
        <v>1</v>
      </c>
      <c r="J31" s="57">
        <v>1</v>
      </c>
      <c r="K31" s="57">
        <v>0</v>
      </c>
      <c r="L31" s="57">
        <v>0</v>
      </c>
      <c r="M31" s="57">
        <v>0</v>
      </c>
      <c r="N31" s="57">
        <v>0</v>
      </c>
      <c r="O31" s="57">
        <v>1</v>
      </c>
      <c r="P31" s="58">
        <v>10</v>
      </c>
      <c r="Q31" s="57" t="s">
        <v>171</v>
      </c>
      <c r="R31" s="57" t="s">
        <v>172</v>
      </c>
    </row>
    <row r="32" spans="1:18" x14ac:dyDescent="0.15">
      <c r="A32" s="57">
        <v>20020</v>
      </c>
      <c r="B32" s="57">
        <v>1</v>
      </c>
      <c r="C32" s="72" t="str">
        <f t="shared" si="7"/>
        <v>20020_1</v>
      </c>
      <c r="D32" s="11" t="str">
        <f ca="1">VLOOKUP($C32,OFFSET([2]stages!$A$1,0,0,COUNTA([2]stages!$A:$A),MATCH(D$1,[2]stages!$2:$2,0)-MATCH($C$1,[2]stages!$2:$2,0)+1),MATCH(D$1,[2]stages!$2:$2,0)-MATCH($C$1,[2]stages!$2:$2,0)+1,FALSE)</f>
        <v>everyone</v>
      </c>
      <c r="E32" s="57">
        <v>32</v>
      </c>
      <c r="F32" s="58" t="s">
        <v>275</v>
      </c>
      <c r="G32" s="58">
        <v>1059</v>
      </c>
      <c r="H32" s="57">
        <v>1</v>
      </c>
      <c r="I32" s="57">
        <v>1</v>
      </c>
      <c r="J32" s="57">
        <v>1</v>
      </c>
      <c r="K32" s="57">
        <v>0</v>
      </c>
      <c r="L32" s="57">
        <v>0</v>
      </c>
      <c r="M32" s="57">
        <v>0</v>
      </c>
      <c r="N32" s="57">
        <v>0</v>
      </c>
      <c r="O32" s="57">
        <v>1</v>
      </c>
      <c r="P32" s="58">
        <v>200</v>
      </c>
      <c r="Q32" s="57" t="s">
        <v>171</v>
      </c>
      <c r="R32" s="57" t="s">
        <v>172</v>
      </c>
    </row>
  </sheetData>
  <phoneticPr fontId="5"/>
  <dataValidations count="1">
    <dataValidation type="list" allowBlank="1" showInputMessage="1" showErrorMessage="1" sqref="F2 F13 F23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93"/>
  <sheetViews>
    <sheetView showGridLines="0" workbookViewId="0">
      <pane ySplit="1" topLeftCell="A2" activePane="bottomLeft" state="frozen"/>
      <selection pane="bottomLeft" activeCell="A94" sqref="A94:XFD134"/>
    </sheetView>
  </sheetViews>
  <sheetFormatPr baseColWidth="12" defaultColWidth="13" defaultRowHeight="15" outlineLevelCol="1" x14ac:dyDescent="0.15"/>
  <cols>
    <col min="1" max="1" width="13" style="89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7" t="s">
        <v>189</v>
      </c>
      <c r="B1" s="74" t="s">
        <v>190</v>
      </c>
      <c r="C1" s="78" t="s">
        <v>191</v>
      </c>
      <c r="D1" s="78" t="s">
        <v>33</v>
      </c>
      <c r="E1" s="74" t="s">
        <v>192</v>
      </c>
      <c r="F1" s="78" t="s">
        <v>193</v>
      </c>
      <c r="G1" s="78" t="s">
        <v>33</v>
      </c>
      <c r="H1" s="74" t="s">
        <v>194</v>
      </c>
      <c r="I1" s="92" t="s">
        <v>196</v>
      </c>
      <c r="J1" s="80" t="s">
        <v>127</v>
      </c>
      <c r="K1" s="79" t="s">
        <v>188</v>
      </c>
      <c r="L1" s="93" t="s">
        <v>187</v>
      </c>
      <c r="M1" s="81" t="s">
        <v>197</v>
      </c>
    </row>
    <row r="2" spans="1:13" x14ac:dyDescent="0.15">
      <c r="A2" s="82" t="s">
        <v>202</v>
      </c>
      <c r="B2" s="83">
        <f>floors!$C$2</f>
        <v>20020</v>
      </c>
      <c r="C2" s="84" t="str">
        <f ca="1">VLOOKUP($B2,OFFSET([2]quests!$A$1,0,0,COUNTA([2]quests!$A:$A),MATCH(C$1,[2]quests!$1:$1,0)-MATCH($B$1,[2]quests!$1:$1,0)+1),MATCH(C$1,[2]quests!$1:$1,0)-MATCH($B$1,[2]quests!$1:$1,0)+1,FALSE)</f>
        <v>変幻自在の風</v>
      </c>
      <c r="D2" s="84" t="str">
        <f ca="1">VLOOKUP($B2,OFFSET([2]quests!$A$1,0,0,COUNTA([2]quests!$A:$A),MATCH(D$1,[2]quests!$1:$1,0)-MATCH($B$1,[2]quests!$1:$1,0)+1),MATCH(D$1,[2]quests!$1:$1,0)-MATCH($B$1,[2]quests!$1:$1,0)+1,FALSE)</f>
        <v>メソポタミア01</v>
      </c>
      <c r="E2" s="88">
        <v>1</v>
      </c>
      <c r="F2" s="84" t="str">
        <f ca="1">VLOOKUP($B2&amp;"_"&amp;$E2,OFFSET([2]stages!$A$1,0,0,COUNTA([2]stages!$A:$A),MATCH(F$1,[2]stages!$2:$2,0)-MATCH("temp_stage",[2]stages!$2:$2,0)+1),MATCH(F$1,[2]stages!$2:$2,0)-MATCH("temp_stage",[2]stages!$2:$2,0)+1,FALSE)</f>
        <v>【初級】変幻自在の風</v>
      </c>
      <c r="G2" s="84" t="str">
        <f ca="1">VLOOKUP($B2&amp;"_"&amp;$E2,OFFSET([2]stages!$A$1,0,0,COUNTA([2]stages!$A:$A),MATCH(G$1,[2]stages!$2:$2,0)-MATCH("temp_stage",[2]stages!$2:$2,0)+1),MATCH(G$1,[2]stages!$2:$2,0)-MATCH("temp_stage",[2]stages!$2:$2,0)+1,FALSE)</f>
        <v>メソポタミア01</v>
      </c>
      <c r="H2" s="86">
        <v>0</v>
      </c>
      <c r="I2">
        <v>1</v>
      </c>
      <c r="J2" s="85" t="s">
        <v>199</v>
      </c>
      <c r="K2" s="94" t="str">
        <f>VLOOKUP(I2,[7]stage_hints!$A:$C,3,FALSE)</f>
        <v>長くつなげて大ダメージ</v>
      </c>
      <c r="L2" s="95" t="str">
        <f>VLOOKUP(I2,[7]stage_hints!$A:$D,4,FALSE)</f>
        <v>パネルを長くつなげるほど_x000D_大ダメージを与えることができます</v>
      </c>
      <c r="M2" s="57" t="s">
        <v>212</v>
      </c>
    </row>
    <row r="3" spans="1:13" x14ac:dyDescent="0.15">
      <c r="A3" s="82" t="s">
        <v>202</v>
      </c>
      <c r="B3" s="83">
        <f>floors!$C$2</f>
        <v>20020</v>
      </c>
      <c r="C3" s="84" t="str">
        <f ca="1">VLOOKUP($B3,OFFSET([2]quests!$A$1,0,0,COUNTA([2]quests!$A:$A),MATCH(C$1,[2]quests!$1:$1,0)-MATCH($B$1,[2]quests!$1:$1,0)+1),MATCH(C$1,[2]quests!$1:$1,0)-MATCH($B$1,[2]quests!$1:$1,0)+1,FALSE)</f>
        <v>変幻自在の風</v>
      </c>
      <c r="D3" s="84" t="str">
        <f ca="1">VLOOKUP($B3,OFFSET([2]quests!$A$1,0,0,COUNTA([2]quests!$A:$A),MATCH(D$1,[2]quests!$1:$1,0)-MATCH($B$1,[2]quests!$1:$1,0)+1),MATCH(D$1,[2]quests!$1:$1,0)-MATCH($B$1,[2]quests!$1:$1,0)+1,FALSE)</f>
        <v>メソポタミア01</v>
      </c>
      <c r="E3" s="88">
        <v>1</v>
      </c>
      <c r="F3" s="84" t="str">
        <f ca="1">VLOOKUP($B3&amp;"_"&amp;$E3,OFFSET([2]stages!$A$1,0,0,COUNTA([2]stages!$A:$A),MATCH(F$1,[2]stages!$2:$2,0)-MATCH("temp_stage",[2]stages!$2:$2,0)+1),MATCH(F$1,[2]stages!$2:$2,0)-MATCH("temp_stage",[2]stages!$2:$2,0)+1,FALSE)</f>
        <v>【初級】変幻自在の風</v>
      </c>
      <c r="G3" s="84" t="str">
        <f ca="1">VLOOKUP($B3&amp;"_"&amp;$E3,OFFSET([2]stages!$A$1,0,0,COUNTA([2]stages!$A:$A),MATCH(G$1,[2]stages!$2:$2,0)-MATCH("temp_stage",[2]stages!$2:$2,0)+1),MATCH(G$1,[2]stages!$2:$2,0)-MATCH("temp_stage",[2]stages!$2:$2,0)+1,FALSE)</f>
        <v>メソポタミア01</v>
      </c>
      <c r="H3" s="86">
        <v>0</v>
      </c>
      <c r="I3">
        <v>2</v>
      </c>
      <c r="J3" s="85" t="s">
        <v>199</v>
      </c>
      <c r="K3" s="94" t="str">
        <f>VLOOKUP(I3,[7]stage_hints!$A:$C,3,FALSE)</f>
        <v>属性の相性</v>
      </c>
      <c r="L3" s="95" t="str">
        <f>VLOOKUP(I3,[7]stage_hints!$A:$D,4,FALSE)</f>
        <v>赤＞青　青＞黄　黄＞緑　緑＞赤_x000D_敵属性に最適なパーティがオススメです</v>
      </c>
      <c r="M3" s="57" t="s">
        <v>212</v>
      </c>
    </row>
    <row r="4" spans="1:13" x14ac:dyDescent="0.15">
      <c r="A4" s="82" t="s">
        <v>202</v>
      </c>
      <c r="B4" s="83">
        <f>floors!$C$2</f>
        <v>20020</v>
      </c>
      <c r="C4" s="84" t="str">
        <f ca="1">VLOOKUP($B4,OFFSET([2]quests!$A$1,0,0,COUNTA([2]quests!$A:$A),MATCH(C$1,[2]quests!$1:$1,0)-MATCH($B$1,[2]quests!$1:$1,0)+1),MATCH(C$1,[2]quests!$1:$1,0)-MATCH($B$1,[2]quests!$1:$1,0)+1,FALSE)</f>
        <v>変幻自在の風</v>
      </c>
      <c r="D4" s="84" t="str">
        <f ca="1">VLOOKUP($B4,OFFSET([2]quests!$A$1,0,0,COUNTA([2]quests!$A:$A),MATCH(D$1,[2]quests!$1:$1,0)-MATCH($B$1,[2]quests!$1:$1,0)+1),MATCH(D$1,[2]quests!$1:$1,0)-MATCH($B$1,[2]quests!$1:$1,0)+1,FALSE)</f>
        <v>メソポタミア01</v>
      </c>
      <c r="E4" s="88">
        <v>1</v>
      </c>
      <c r="F4" s="84" t="str">
        <f ca="1">VLOOKUP($B4&amp;"_"&amp;$E4,OFFSET([2]stages!$A$1,0,0,COUNTA([2]stages!$A:$A),MATCH(F$1,[2]stages!$2:$2,0)-MATCH("temp_stage",[2]stages!$2:$2,0)+1),MATCH(F$1,[2]stages!$2:$2,0)-MATCH("temp_stage",[2]stages!$2:$2,0)+1,FALSE)</f>
        <v>【初級】変幻自在の風</v>
      </c>
      <c r="G4" s="84" t="str">
        <f ca="1">VLOOKUP($B4&amp;"_"&amp;$E4,OFFSET([2]stages!$A$1,0,0,COUNTA([2]stages!$A:$A),MATCH(G$1,[2]stages!$2:$2,0)-MATCH("temp_stage",[2]stages!$2:$2,0)+1),MATCH(G$1,[2]stages!$2:$2,0)-MATCH("temp_stage",[2]stages!$2:$2,0)+1,FALSE)</f>
        <v>メソポタミア01</v>
      </c>
      <c r="H4" s="86">
        <v>0</v>
      </c>
      <c r="I4">
        <v>3</v>
      </c>
      <c r="J4" s="85" t="s">
        <v>199</v>
      </c>
      <c r="K4" s="94" t="str">
        <f>VLOOKUP(I4,[7]stage_hints!$A:$C,3,FALSE)</f>
        <v>ターゲット</v>
      </c>
      <c r="L4" s="95" t="str">
        <f>VLOOKUP(I4,[7]stage_hints!$A:$D,4,FALSE)</f>
        <v>敵ユニットをタップすると_x000D_その敵を狙い撃ちできます</v>
      </c>
      <c r="M4" s="57" t="s">
        <v>212</v>
      </c>
    </row>
    <row r="5" spans="1:13" x14ac:dyDescent="0.15">
      <c r="A5" s="82" t="s">
        <v>202</v>
      </c>
      <c r="B5" s="83">
        <f>floors!$C$2</f>
        <v>20020</v>
      </c>
      <c r="C5" s="84" t="str">
        <f ca="1">VLOOKUP($B5,OFFSET([2]quests!$A$1,0,0,COUNTA([2]quests!$A:$A),MATCH(C$1,[2]quests!$1:$1,0)-MATCH($B$1,[2]quests!$1:$1,0)+1),MATCH(C$1,[2]quests!$1:$1,0)-MATCH($B$1,[2]quests!$1:$1,0)+1,FALSE)</f>
        <v>変幻自在の風</v>
      </c>
      <c r="D5" s="84" t="str">
        <f ca="1">VLOOKUP($B5,OFFSET([2]quests!$A$1,0,0,COUNTA([2]quests!$A:$A),MATCH(D$1,[2]quests!$1:$1,0)-MATCH($B$1,[2]quests!$1:$1,0)+1),MATCH(D$1,[2]quests!$1:$1,0)-MATCH($B$1,[2]quests!$1:$1,0)+1,FALSE)</f>
        <v>メソポタミア01</v>
      </c>
      <c r="E5" s="88">
        <v>1</v>
      </c>
      <c r="F5" s="84" t="str">
        <f ca="1">VLOOKUP($B5&amp;"_"&amp;$E5,OFFSET([2]stages!$A$1,0,0,COUNTA([2]stages!$A:$A),MATCH(F$1,[2]stages!$2:$2,0)-MATCH("temp_stage",[2]stages!$2:$2,0)+1),MATCH(F$1,[2]stages!$2:$2,0)-MATCH("temp_stage",[2]stages!$2:$2,0)+1,FALSE)</f>
        <v>【初級】変幻自在の風</v>
      </c>
      <c r="G5" s="84" t="str">
        <f ca="1">VLOOKUP($B5&amp;"_"&amp;$E5,OFFSET([2]stages!$A$1,0,0,COUNTA([2]stages!$A:$A),MATCH(G$1,[2]stages!$2:$2,0)-MATCH("temp_stage",[2]stages!$2:$2,0)+1),MATCH(G$1,[2]stages!$2:$2,0)-MATCH("temp_stage",[2]stages!$2:$2,0)+1,FALSE)</f>
        <v>メソポタミア01</v>
      </c>
      <c r="H5" s="86">
        <v>0</v>
      </c>
      <c r="I5">
        <v>5</v>
      </c>
      <c r="J5" s="85" t="s">
        <v>199</v>
      </c>
      <c r="K5" s="94" t="str">
        <f>VLOOKUP(I5,[7]stage_hints!$A:$C,3,FALSE)</f>
        <v>ユニット強化でレベルアップ</v>
      </c>
      <c r="L5" s="95" t="str">
        <f>VLOOKUP(I5,[7]stage_hints!$A:$D,4,FALSE)</f>
        <v>「ユニット強化」でレベルアップすると_x000D_勝てない敵にも勝てるようになります</v>
      </c>
      <c r="M5" s="57" t="s">
        <v>212</v>
      </c>
    </row>
    <row r="6" spans="1:13" x14ac:dyDescent="0.15">
      <c r="A6" s="82" t="s">
        <v>202</v>
      </c>
      <c r="B6" s="83">
        <f>floors!$C$2</f>
        <v>20020</v>
      </c>
      <c r="C6" s="84" t="str">
        <f ca="1">VLOOKUP($B6,OFFSET([2]quests!$A$1,0,0,COUNTA([2]quests!$A:$A),MATCH(C$1,[2]quests!$1:$1,0)-MATCH($B$1,[2]quests!$1:$1,0)+1),MATCH(C$1,[2]quests!$1:$1,0)-MATCH($B$1,[2]quests!$1:$1,0)+1,FALSE)</f>
        <v>変幻自在の風</v>
      </c>
      <c r="D6" s="84" t="str">
        <f ca="1">VLOOKUP($B6,OFFSET([2]quests!$A$1,0,0,COUNTA([2]quests!$A:$A),MATCH(D$1,[2]quests!$1:$1,0)-MATCH($B$1,[2]quests!$1:$1,0)+1),MATCH(D$1,[2]quests!$1:$1,0)-MATCH($B$1,[2]quests!$1:$1,0)+1,FALSE)</f>
        <v>メソポタミア01</v>
      </c>
      <c r="E6" s="88">
        <v>1</v>
      </c>
      <c r="F6" s="84" t="str">
        <f ca="1">VLOOKUP($B6&amp;"_"&amp;$E6,OFFSET([2]stages!$A$1,0,0,COUNTA([2]stages!$A:$A),MATCH(F$1,[2]stages!$2:$2,0)-MATCH("temp_stage",[2]stages!$2:$2,0)+1),MATCH(F$1,[2]stages!$2:$2,0)-MATCH("temp_stage",[2]stages!$2:$2,0)+1,FALSE)</f>
        <v>【初級】変幻自在の風</v>
      </c>
      <c r="G6" s="84" t="str">
        <f ca="1">VLOOKUP($B6&amp;"_"&amp;$E6,OFFSET([2]stages!$A$1,0,0,COUNTA([2]stages!$A:$A),MATCH(G$1,[2]stages!$2:$2,0)-MATCH("temp_stage",[2]stages!$2:$2,0)+1),MATCH(G$1,[2]stages!$2:$2,0)-MATCH("temp_stage",[2]stages!$2:$2,0)+1,FALSE)</f>
        <v>メソポタミア01</v>
      </c>
      <c r="H6" s="86">
        <v>0</v>
      </c>
      <c r="I6">
        <v>6</v>
      </c>
      <c r="J6" s="85" t="s">
        <v>199</v>
      </c>
      <c r="K6" s="94" t="str">
        <f>VLOOKUP(I6,[7]stage_hints!$A:$C,3,FALSE)</f>
        <v>ユニット強化の属性ボーナス</v>
      </c>
      <c r="L6" s="95" t="str">
        <f>VLOOKUP(I6,[7]stage_hints!$A:$D,4,FALSE)</f>
        <v>同属性ユニットを強化素材にすると_x000D_経験値が多くもらえます</v>
      </c>
      <c r="M6" s="57" t="s">
        <v>212</v>
      </c>
    </row>
    <row r="7" spans="1:13" x14ac:dyDescent="0.15">
      <c r="A7" s="82" t="s">
        <v>202</v>
      </c>
      <c r="B7" s="83">
        <f>floors!$C$2</f>
        <v>20020</v>
      </c>
      <c r="C7" s="84" t="str">
        <f ca="1">VLOOKUP($B7,OFFSET([2]quests!$A$1,0,0,COUNTA([2]quests!$A:$A),MATCH(C$1,[2]quests!$1:$1,0)-MATCH($B$1,[2]quests!$1:$1,0)+1),MATCH(C$1,[2]quests!$1:$1,0)-MATCH($B$1,[2]quests!$1:$1,0)+1,FALSE)</f>
        <v>変幻自在の風</v>
      </c>
      <c r="D7" s="84" t="str">
        <f ca="1">VLOOKUP($B7,OFFSET([2]quests!$A$1,0,0,COUNTA([2]quests!$A:$A),MATCH(D$1,[2]quests!$1:$1,0)-MATCH($B$1,[2]quests!$1:$1,0)+1),MATCH(D$1,[2]quests!$1:$1,0)-MATCH($B$1,[2]quests!$1:$1,0)+1,FALSE)</f>
        <v>メソポタミア01</v>
      </c>
      <c r="E7" s="88">
        <v>1</v>
      </c>
      <c r="F7" s="84" t="str">
        <f ca="1">VLOOKUP($B7&amp;"_"&amp;$E7,OFFSET([2]stages!$A$1,0,0,COUNTA([2]stages!$A:$A),MATCH(F$1,[2]stages!$2:$2,0)-MATCH("temp_stage",[2]stages!$2:$2,0)+1),MATCH(F$1,[2]stages!$2:$2,0)-MATCH("temp_stage",[2]stages!$2:$2,0)+1,FALSE)</f>
        <v>【初級】変幻自在の風</v>
      </c>
      <c r="G7" s="84" t="str">
        <f ca="1">VLOOKUP($B7&amp;"_"&amp;$E7,OFFSET([2]stages!$A$1,0,0,COUNTA([2]stages!$A:$A),MATCH(G$1,[2]stages!$2:$2,0)-MATCH("temp_stage",[2]stages!$2:$2,0)+1),MATCH(G$1,[2]stages!$2:$2,0)-MATCH("temp_stage",[2]stages!$2:$2,0)+1,FALSE)</f>
        <v>メソポタミア01</v>
      </c>
      <c r="H7" s="86">
        <v>0</v>
      </c>
      <c r="I7">
        <v>7</v>
      </c>
      <c r="J7" s="85" t="s">
        <v>199</v>
      </c>
      <c r="K7" s="94" t="str">
        <f>VLOOKUP(I7,[7]stage_hints!$A:$C,3,FALSE)</f>
        <v>メタルダックで経験値を獲得</v>
      </c>
      <c r="L7" s="95" t="str">
        <f>VLOOKUP(I7,[7]stage_hints!$A:$D,4,FALSE)</f>
        <v>「メタルなアヒル」を強化素材にすると_x000D_大量の経験値がもらえます</v>
      </c>
      <c r="M7" s="57" t="s">
        <v>212</v>
      </c>
    </row>
    <row r="8" spans="1:13" x14ac:dyDescent="0.15">
      <c r="A8" s="82" t="s">
        <v>202</v>
      </c>
      <c r="B8" s="83">
        <f>floors!$C$2</f>
        <v>20020</v>
      </c>
      <c r="C8" s="84" t="str">
        <f ca="1">VLOOKUP($B8,OFFSET([2]quests!$A$1,0,0,COUNTA([2]quests!$A:$A),MATCH(C$1,[2]quests!$1:$1,0)-MATCH($B$1,[2]quests!$1:$1,0)+1),MATCH(C$1,[2]quests!$1:$1,0)-MATCH($B$1,[2]quests!$1:$1,0)+1,FALSE)</f>
        <v>変幻自在の風</v>
      </c>
      <c r="D8" s="84" t="str">
        <f ca="1">VLOOKUP($B8,OFFSET([2]quests!$A$1,0,0,COUNTA([2]quests!$A:$A),MATCH(D$1,[2]quests!$1:$1,0)-MATCH($B$1,[2]quests!$1:$1,0)+1),MATCH(D$1,[2]quests!$1:$1,0)-MATCH($B$1,[2]quests!$1:$1,0)+1,FALSE)</f>
        <v>メソポタミア01</v>
      </c>
      <c r="E8" s="88">
        <v>1</v>
      </c>
      <c r="F8" s="84" t="str">
        <f ca="1">VLOOKUP($B8&amp;"_"&amp;$E8,OFFSET([2]stages!$A$1,0,0,COUNTA([2]stages!$A:$A),MATCH(F$1,[2]stages!$2:$2,0)-MATCH("temp_stage",[2]stages!$2:$2,0)+1),MATCH(F$1,[2]stages!$2:$2,0)-MATCH("temp_stage",[2]stages!$2:$2,0)+1,FALSE)</f>
        <v>【初級】変幻自在の風</v>
      </c>
      <c r="G8" s="84" t="str">
        <f ca="1">VLOOKUP($B8&amp;"_"&amp;$E8,OFFSET([2]stages!$A$1,0,0,COUNTA([2]stages!$A:$A),MATCH(G$1,[2]stages!$2:$2,0)-MATCH("temp_stage",[2]stages!$2:$2,0)+1),MATCH(G$1,[2]stages!$2:$2,0)-MATCH("temp_stage",[2]stages!$2:$2,0)+1,FALSE)</f>
        <v>メソポタミア01</v>
      </c>
      <c r="H8" s="86">
        <v>0</v>
      </c>
      <c r="I8">
        <v>8</v>
      </c>
      <c r="J8" s="85" t="s">
        <v>199</v>
      </c>
      <c r="K8" s="94" t="str">
        <f>VLOOKUP(I8,[7]stage_hints!$A:$C,3,FALSE)</f>
        <v>ゲリラクエストは要チェック</v>
      </c>
      <c r="L8" s="95" t="str">
        <f>VLOOKUP(I8,[7]stage_hints!$A:$D,4,FALSE)</f>
        <v>時間限定の「アヒル捕獲作戦」では_x000D_経験値素材ユニットが多く手に入ります</v>
      </c>
      <c r="M8" s="57" t="s">
        <v>212</v>
      </c>
    </row>
    <row r="9" spans="1:13" x14ac:dyDescent="0.15">
      <c r="A9" s="82" t="s">
        <v>202</v>
      </c>
      <c r="B9" s="83">
        <f>floors!$C$2</f>
        <v>20020</v>
      </c>
      <c r="C9" s="84" t="str">
        <f ca="1">VLOOKUP($B9,OFFSET([2]quests!$A$1,0,0,COUNTA([2]quests!$A:$A),MATCH(C$1,[2]quests!$1:$1,0)-MATCH($B$1,[2]quests!$1:$1,0)+1),MATCH(C$1,[2]quests!$1:$1,0)-MATCH($B$1,[2]quests!$1:$1,0)+1,FALSE)</f>
        <v>変幻自在の風</v>
      </c>
      <c r="D9" s="84" t="str">
        <f ca="1">VLOOKUP($B9,OFFSET([2]quests!$A$1,0,0,COUNTA([2]quests!$A:$A),MATCH(D$1,[2]quests!$1:$1,0)-MATCH($B$1,[2]quests!$1:$1,0)+1),MATCH(D$1,[2]quests!$1:$1,0)-MATCH($B$1,[2]quests!$1:$1,0)+1,FALSE)</f>
        <v>メソポタミア01</v>
      </c>
      <c r="E9" s="88">
        <v>1</v>
      </c>
      <c r="F9" s="84" t="str">
        <f ca="1">VLOOKUP($B9&amp;"_"&amp;$E9,OFFSET([2]stages!$A$1,0,0,COUNTA([2]stages!$A:$A),MATCH(F$1,[2]stages!$2:$2,0)-MATCH("temp_stage",[2]stages!$2:$2,0)+1),MATCH(F$1,[2]stages!$2:$2,0)-MATCH("temp_stage",[2]stages!$2:$2,0)+1,FALSE)</f>
        <v>【初級】変幻自在の風</v>
      </c>
      <c r="G9" s="84" t="str">
        <f ca="1">VLOOKUP($B9&amp;"_"&amp;$E9,OFFSET([2]stages!$A$1,0,0,COUNTA([2]stages!$A:$A),MATCH(G$1,[2]stages!$2:$2,0)-MATCH("temp_stage",[2]stages!$2:$2,0)+1),MATCH(G$1,[2]stages!$2:$2,0)-MATCH("temp_stage",[2]stages!$2:$2,0)+1,FALSE)</f>
        <v>メソポタミア01</v>
      </c>
      <c r="H9" s="86">
        <v>0</v>
      </c>
      <c r="I9">
        <v>9</v>
      </c>
      <c r="J9" s="85" t="s">
        <v>199</v>
      </c>
      <c r="K9" s="94" t="str">
        <f>VLOOKUP(I9,[7]stage_hints!$A:$C,3,FALSE)</f>
        <v>ゴールドダックでビットを獲得</v>
      </c>
      <c r="L9" s="95" t="str">
        <f>VLOOKUP(I9,[7]stage_hints!$A:$D,4,FALSE)</f>
        <v>「ゴールドなアヒル」を売却すると_x000D_大量のビットがもらえます</v>
      </c>
      <c r="M9" s="57" t="s">
        <v>212</v>
      </c>
    </row>
    <row r="10" spans="1:13" x14ac:dyDescent="0.15">
      <c r="A10" s="82" t="s">
        <v>202</v>
      </c>
      <c r="B10" s="83">
        <f>floors!$C$2</f>
        <v>20020</v>
      </c>
      <c r="C10" s="84" t="str">
        <f ca="1">VLOOKUP($B10,OFFSET([2]quests!$A$1,0,0,COUNTA([2]quests!$A:$A),MATCH(C$1,[2]quests!$1:$1,0)-MATCH($B$1,[2]quests!$1:$1,0)+1),MATCH(C$1,[2]quests!$1:$1,0)-MATCH($B$1,[2]quests!$1:$1,0)+1,FALSE)</f>
        <v>変幻自在の風</v>
      </c>
      <c r="D10" s="84" t="str">
        <f ca="1">VLOOKUP($B10,OFFSET([2]quests!$A$1,0,0,COUNTA([2]quests!$A:$A),MATCH(D$1,[2]quests!$1:$1,0)-MATCH($B$1,[2]quests!$1:$1,0)+1),MATCH(D$1,[2]quests!$1:$1,0)-MATCH($B$1,[2]quests!$1:$1,0)+1,FALSE)</f>
        <v>メソポタミア01</v>
      </c>
      <c r="E10" s="88">
        <v>1</v>
      </c>
      <c r="F10" s="84" t="str">
        <f ca="1">VLOOKUP($B10&amp;"_"&amp;$E10,OFFSET([2]stages!$A$1,0,0,COUNTA([2]stages!$A:$A),MATCH(F$1,[2]stages!$2:$2,0)-MATCH("temp_stage",[2]stages!$2:$2,0)+1),MATCH(F$1,[2]stages!$2:$2,0)-MATCH("temp_stage",[2]stages!$2:$2,0)+1,FALSE)</f>
        <v>【初級】変幻自在の風</v>
      </c>
      <c r="G10" s="84" t="str">
        <f ca="1">VLOOKUP($B10&amp;"_"&amp;$E10,OFFSET([2]stages!$A$1,0,0,COUNTA([2]stages!$A:$A),MATCH(G$1,[2]stages!$2:$2,0)-MATCH("temp_stage",[2]stages!$2:$2,0)+1),MATCH(G$1,[2]stages!$2:$2,0)-MATCH("temp_stage",[2]stages!$2:$2,0)+1,FALSE)</f>
        <v>メソポタミア01</v>
      </c>
      <c r="H10" s="86">
        <v>0</v>
      </c>
      <c r="I10">
        <v>10</v>
      </c>
      <c r="J10" s="85" t="s">
        <v>199</v>
      </c>
      <c r="K10" s="94" t="str">
        <f>VLOOKUP(I10,[7]stage_hints!$A:$C,3,FALSE)</f>
        <v>土日に大量のビットを獲得</v>
      </c>
      <c r="L10" s="95" t="str">
        <f>VLOOKUP(I10,[7]stage_hints!$A:$D,4,FALSE)</f>
        <v>土日限定の「ゴールドカジノ」では_x000D_売却素材ユニットが多く手に入ります</v>
      </c>
      <c r="M10" s="57" t="s">
        <v>212</v>
      </c>
    </row>
    <row r="11" spans="1:13" x14ac:dyDescent="0.15">
      <c r="A11" s="82" t="s">
        <v>202</v>
      </c>
      <c r="B11" s="83">
        <f>floors!$C$2</f>
        <v>20020</v>
      </c>
      <c r="C11" s="84" t="str">
        <f ca="1">VLOOKUP($B11,OFFSET([2]quests!$A$1,0,0,COUNTA([2]quests!$A:$A),MATCH(C$1,[2]quests!$1:$1,0)-MATCH($B$1,[2]quests!$1:$1,0)+1),MATCH(C$1,[2]quests!$1:$1,0)-MATCH($B$1,[2]quests!$1:$1,0)+1,FALSE)</f>
        <v>変幻自在の風</v>
      </c>
      <c r="D11" s="84" t="str">
        <f ca="1">VLOOKUP($B11,OFFSET([2]quests!$A$1,0,0,COUNTA([2]quests!$A:$A),MATCH(D$1,[2]quests!$1:$1,0)-MATCH($B$1,[2]quests!$1:$1,0)+1),MATCH(D$1,[2]quests!$1:$1,0)-MATCH($B$1,[2]quests!$1:$1,0)+1,FALSE)</f>
        <v>メソポタミア01</v>
      </c>
      <c r="E11" s="88">
        <v>1</v>
      </c>
      <c r="F11" s="84" t="str">
        <f ca="1">VLOOKUP($B11&amp;"_"&amp;$E11,OFFSET([2]stages!$A$1,0,0,COUNTA([2]stages!$A:$A),MATCH(F$1,[2]stages!$2:$2,0)-MATCH("temp_stage",[2]stages!$2:$2,0)+1),MATCH(F$1,[2]stages!$2:$2,0)-MATCH("temp_stage",[2]stages!$2:$2,0)+1,FALSE)</f>
        <v>【初級】変幻自在の風</v>
      </c>
      <c r="G11" s="84" t="str">
        <f ca="1">VLOOKUP($B11&amp;"_"&amp;$E11,OFFSET([2]stages!$A$1,0,0,COUNTA([2]stages!$A:$A),MATCH(G$1,[2]stages!$2:$2,0)-MATCH("temp_stage",[2]stages!$2:$2,0)+1),MATCH(G$1,[2]stages!$2:$2,0)-MATCH("temp_stage",[2]stages!$2:$2,0)+1,FALSE)</f>
        <v>メソポタミア01</v>
      </c>
      <c r="H11" s="86">
        <v>0</v>
      </c>
      <c r="I11">
        <v>11</v>
      </c>
      <c r="J11" s="85" t="s">
        <v>199</v>
      </c>
      <c r="K11" s="94" t="str">
        <f>VLOOKUP(I11,[7]stage_hints!$A:$C,3,FALSE)</f>
        <v>ランク解放クエスト</v>
      </c>
      <c r="L11" s="95" t="str">
        <f>VLOOKUP(I11,[7]stage_hints!$A:$D,4,FALSE)</f>
        <v>一定ランクに到達すると_x000D_報酬付きのランク開放クエストが現れます</v>
      </c>
      <c r="M11" s="57" t="s">
        <v>212</v>
      </c>
    </row>
    <row r="12" spans="1:13" x14ac:dyDescent="0.15">
      <c r="A12" s="82" t="s">
        <v>202</v>
      </c>
      <c r="B12" s="83">
        <f>floors!$C$2</f>
        <v>20020</v>
      </c>
      <c r="C12" s="84" t="str">
        <f ca="1">VLOOKUP($B12,OFFSET([2]quests!$A$1,0,0,COUNTA([2]quests!$A:$A),MATCH(C$1,[2]quests!$1:$1,0)-MATCH($B$1,[2]quests!$1:$1,0)+1),MATCH(C$1,[2]quests!$1:$1,0)-MATCH($B$1,[2]quests!$1:$1,0)+1,FALSE)</f>
        <v>変幻自在の風</v>
      </c>
      <c r="D12" s="84" t="str">
        <f ca="1">VLOOKUP($B12,OFFSET([2]quests!$A$1,0,0,COUNTA([2]quests!$A:$A),MATCH(D$1,[2]quests!$1:$1,0)-MATCH($B$1,[2]quests!$1:$1,0)+1),MATCH(D$1,[2]quests!$1:$1,0)-MATCH($B$1,[2]quests!$1:$1,0)+1,FALSE)</f>
        <v>メソポタミア01</v>
      </c>
      <c r="E12" s="88">
        <v>1</v>
      </c>
      <c r="F12" s="84" t="str">
        <f ca="1">VLOOKUP($B12&amp;"_"&amp;$E12,OFFSET([2]stages!$A$1,0,0,COUNTA([2]stages!$A:$A),MATCH(F$1,[2]stages!$2:$2,0)-MATCH("temp_stage",[2]stages!$2:$2,0)+1),MATCH(F$1,[2]stages!$2:$2,0)-MATCH("temp_stage",[2]stages!$2:$2,0)+1,FALSE)</f>
        <v>【初級】変幻自在の風</v>
      </c>
      <c r="G12" s="84" t="str">
        <f ca="1">VLOOKUP($B12&amp;"_"&amp;$E12,OFFSET([2]stages!$A$1,0,0,COUNTA([2]stages!$A:$A),MATCH(G$1,[2]stages!$2:$2,0)-MATCH("temp_stage",[2]stages!$2:$2,0)+1),MATCH(G$1,[2]stages!$2:$2,0)-MATCH("temp_stage",[2]stages!$2:$2,0)+1,FALSE)</f>
        <v>メソポタミア01</v>
      </c>
      <c r="H12" s="86">
        <v>0</v>
      </c>
      <c r="I12">
        <v>12</v>
      </c>
      <c r="J12" s="85" t="s">
        <v>199</v>
      </c>
      <c r="K12" s="94" t="str">
        <f>VLOOKUP(I12,[7]stage_hints!$A:$C,3,FALSE)</f>
        <v>ユニットのお気に入り登録</v>
      </c>
      <c r="L12" s="95" t="str">
        <f>VLOOKUP(I12,[7]stage_hints!$A:$D,4,FALSE)</f>
        <v>大事なユニットを誤って消さないように_x000D_フォルダから「お気に入り登録」しましょう</v>
      </c>
      <c r="M12" s="57" t="s">
        <v>212</v>
      </c>
    </row>
    <row r="13" spans="1:13" x14ac:dyDescent="0.15">
      <c r="A13" s="82" t="s">
        <v>202</v>
      </c>
      <c r="B13" s="83">
        <f>floors!$C$2</f>
        <v>20020</v>
      </c>
      <c r="C13" s="84" t="str">
        <f ca="1">VLOOKUP($B13,OFFSET([2]quests!$A$1,0,0,COUNTA([2]quests!$A:$A),MATCH(C$1,[2]quests!$1:$1,0)-MATCH($B$1,[2]quests!$1:$1,0)+1),MATCH(C$1,[2]quests!$1:$1,0)-MATCH($B$1,[2]quests!$1:$1,0)+1,FALSE)</f>
        <v>変幻自在の風</v>
      </c>
      <c r="D13" s="84" t="str">
        <f ca="1">VLOOKUP($B13,OFFSET([2]quests!$A$1,0,0,COUNTA([2]quests!$A:$A),MATCH(D$1,[2]quests!$1:$1,0)-MATCH($B$1,[2]quests!$1:$1,0)+1),MATCH(D$1,[2]quests!$1:$1,0)-MATCH($B$1,[2]quests!$1:$1,0)+1,FALSE)</f>
        <v>メソポタミア01</v>
      </c>
      <c r="E13" s="88">
        <v>1</v>
      </c>
      <c r="F13" s="84" t="str">
        <f ca="1">VLOOKUP($B13&amp;"_"&amp;$E13,OFFSET([2]stages!$A$1,0,0,COUNTA([2]stages!$A:$A),MATCH(F$1,[2]stages!$2:$2,0)-MATCH("temp_stage",[2]stages!$2:$2,0)+1),MATCH(F$1,[2]stages!$2:$2,0)-MATCH("temp_stage",[2]stages!$2:$2,0)+1,FALSE)</f>
        <v>【初級】変幻自在の風</v>
      </c>
      <c r="G13" s="84" t="str">
        <f ca="1">VLOOKUP($B13&amp;"_"&amp;$E13,OFFSET([2]stages!$A$1,0,0,COUNTA([2]stages!$A:$A),MATCH(G$1,[2]stages!$2:$2,0)-MATCH("temp_stage",[2]stages!$2:$2,0)+1),MATCH(G$1,[2]stages!$2:$2,0)-MATCH("temp_stage",[2]stages!$2:$2,0)+1,FALSE)</f>
        <v>メソポタミア01</v>
      </c>
      <c r="H13" s="86">
        <v>0</v>
      </c>
      <c r="I13">
        <v>13</v>
      </c>
      <c r="J13" s="85" t="s">
        <v>199</v>
      </c>
      <c r="K13" s="94" t="str">
        <f>VLOOKUP(I13,[7]stage_hints!$A:$C,3,FALSE)</f>
        <v>ユニットの覚醒</v>
      </c>
      <c r="L13" s="95" t="str">
        <f>VLOOKUP(I13,[7]stage_hints!$A:$D,4,FALSE)</f>
        <v>ユニットを覚醒させると_x000D_比べものにならない強さが手に入ります</v>
      </c>
      <c r="M13" s="57" t="s">
        <v>212</v>
      </c>
    </row>
    <row r="14" spans="1:13" x14ac:dyDescent="0.15">
      <c r="A14" s="82" t="s">
        <v>202</v>
      </c>
      <c r="B14" s="83">
        <f>floors!$C$2</f>
        <v>20020</v>
      </c>
      <c r="C14" s="84" t="str">
        <f ca="1">VLOOKUP($B14,OFFSET([2]quests!$A$1,0,0,COUNTA([2]quests!$A:$A),MATCH(C$1,[2]quests!$1:$1,0)-MATCH($B$1,[2]quests!$1:$1,0)+1),MATCH(C$1,[2]quests!$1:$1,0)-MATCH($B$1,[2]quests!$1:$1,0)+1,FALSE)</f>
        <v>変幻自在の風</v>
      </c>
      <c r="D14" s="84" t="str">
        <f ca="1">VLOOKUP($B14,OFFSET([2]quests!$A$1,0,0,COUNTA([2]quests!$A:$A),MATCH(D$1,[2]quests!$1:$1,0)-MATCH($B$1,[2]quests!$1:$1,0)+1),MATCH(D$1,[2]quests!$1:$1,0)-MATCH($B$1,[2]quests!$1:$1,0)+1,FALSE)</f>
        <v>メソポタミア01</v>
      </c>
      <c r="E14" s="88">
        <v>1</v>
      </c>
      <c r="F14" s="84" t="str">
        <f ca="1">VLOOKUP($B14&amp;"_"&amp;$E14,OFFSET([2]stages!$A$1,0,0,COUNTA([2]stages!$A:$A),MATCH(F$1,[2]stages!$2:$2,0)-MATCH("temp_stage",[2]stages!$2:$2,0)+1),MATCH(F$1,[2]stages!$2:$2,0)-MATCH("temp_stage",[2]stages!$2:$2,0)+1,FALSE)</f>
        <v>【初級】変幻自在の風</v>
      </c>
      <c r="G14" s="84" t="str">
        <f ca="1">VLOOKUP($B14&amp;"_"&amp;$E14,OFFSET([2]stages!$A$1,0,0,COUNTA([2]stages!$A:$A),MATCH(G$1,[2]stages!$2:$2,0)-MATCH("temp_stage",[2]stages!$2:$2,0)+1),MATCH(G$1,[2]stages!$2:$2,0)-MATCH("temp_stage",[2]stages!$2:$2,0)+1,FALSE)</f>
        <v>メソポタミア01</v>
      </c>
      <c r="H14" s="86">
        <v>0</v>
      </c>
      <c r="I14">
        <v>14</v>
      </c>
      <c r="J14" s="85" t="s">
        <v>199</v>
      </c>
      <c r="K14" s="94" t="str">
        <f>VLOOKUP(I14,[7]stage_hints!$A:$C,3,FALSE)</f>
        <v>覚醒するにはレベルを最大に</v>
      </c>
      <c r="L14" s="95" t="str">
        <f>VLOOKUP(I14,[7]stage_hints!$A:$D,4,FALSE)</f>
        <v>覚醒するにはユニットのレベルを_x000D_最大まで上げる必要があります</v>
      </c>
      <c r="M14" s="57" t="s">
        <v>212</v>
      </c>
    </row>
    <row r="15" spans="1:13" x14ac:dyDescent="0.15">
      <c r="A15" s="82" t="s">
        <v>202</v>
      </c>
      <c r="B15" s="83">
        <f>floors!$C$2</f>
        <v>20020</v>
      </c>
      <c r="C15" s="84" t="str">
        <f ca="1">VLOOKUP($B15,OFFSET([2]quests!$A$1,0,0,COUNTA([2]quests!$A:$A),MATCH(C$1,[2]quests!$1:$1,0)-MATCH($B$1,[2]quests!$1:$1,0)+1),MATCH(C$1,[2]quests!$1:$1,0)-MATCH($B$1,[2]quests!$1:$1,0)+1,FALSE)</f>
        <v>変幻自在の風</v>
      </c>
      <c r="D15" s="84" t="str">
        <f ca="1">VLOOKUP($B15,OFFSET([2]quests!$A$1,0,0,COUNTA([2]quests!$A:$A),MATCH(D$1,[2]quests!$1:$1,0)-MATCH($B$1,[2]quests!$1:$1,0)+1),MATCH(D$1,[2]quests!$1:$1,0)-MATCH($B$1,[2]quests!$1:$1,0)+1,FALSE)</f>
        <v>メソポタミア01</v>
      </c>
      <c r="E15" s="88">
        <v>1</v>
      </c>
      <c r="F15" s="84" t="str">
        <f ca="1">VLOOKUP($B15&amp;"_"&amp;$E15,OFFSET([2]stages!$A$1,0,0,COUNTA([2]stages!$A:$A),MATCH(F$1,[2]stages!$2:$2,0)-MATCH("temp_stage",[2]stages!$2:$2,0)+1),MATCH(F$1,[2]stages!$2:$2,0)-MATCH("temp_stage",[2]stages!$2:$2,0)+1,FALSE)</f>
        <v>【初級】変幻自在の風</v>
      </c>
      <c r="G15" s="84" t="str">
        <f ca="1">VLOOKUP($B15&amp;"_"&amp;$E15,OFFSET([2]stages!$A$1,0,0,COUNTA([2]stages!$A:$A),MATCH(G$1,[2]stages!$2:$2,0)-MATCH("temp_stage",[2]stages!$2:$2,0)+1),MATCH(G$1,[2]stages!$2:$2,0)-MATCH("temp_stage",[2]stages!$2:$2,0)+1,FALSE)</f>
        <v>メソポタミア01</v>
      </c>
      <c r="H15" s="86">
        <v>0</v>
      </c>
      <c r="I15">
        <v>15</v>
      </c>
      <c r="J15" s="85" t="s">
        <v>199</v>
      </c>
      <c r="K15" s="94" t="str">
        <f>VLOOKUP(I15,[7]stage_hints!$A:$C,3,FALSE)</f>
        <v>覚醒素材を獲得</v>
      </c>
      <c r="L15" s="95" t="str">
        <f>VLOOKUP(I15,[7]stage_hints!$A:$D,4,FALSE)</f>
        <v>「曜日クエスト」では_x000D_ユニットの覚醒に必要な素材が手に入ります</v>
      </c>
      <c r="M15" s="57" t="s">
        <v>212</v>
      </c>
    </row>
    <row r="16" spans="1:13" x14ac:dyDescent="0.15">
      <c r="A16" s="82" t="s">
        <v>202</v>
      </c>
      <c r="B16" s="83">
        <f>floors!$C$2</f>
        <v>20020</v>
      </c>
      <c r="C16" s="84" t="str">
        <f ca="1">VLOOKUP($B16,OFFSET([2]quests!$A$1,0,0,COUNTA([2]quests!$A:$A),MATCH(C$1,[2]quests!$1:$1,0)-MATCH($B$1,[2]quests!$1:$1,0)+1),MATCH(C$1,[2]quests!$1:$1,0)-MATCH($B$1,[2]quests!$1:$1,0)+1,FALSE)</f>
        <v>変幻自在の風</v>
      </c>
      <c r="D16" s="84" t="str">
        <f ca="1">VLOOKUP($B16,OFFSET([2]quests!$A$1,0,0,COUNTA([2]quests!$A:$A),MATCH(D$1,[2]quests!$1:$1,0)-MATCH($B$1,[2]quests!$1:$1,0)+1),MATCH(D$1,[2]quests!$1:$1,0)-MATCH($B$1,[2]quests!$1:$1,0)+1,FALSE)</f>
        <v>メソポタミア01</v>
      </c>
      <c r="E16" s="88">
        <v>1</v>
      </c>
      <c r="F16" s="84" t="str">
        <f ca="1">VLOOKUP($B16&amp;"_"&amp;$E16,OFFSET([2]stages!$A$1,0,0,COUNTA([2]stages!$A:$A),MATCH(F$1,[2]stages!$2:$2,0)-MATCH("temp_stage",[2]stages!$2:$2,0)+1),MATCH(F$1,[2]stages!$2:$2,0)-MATCH("temp_stage",[2]stages!$2:$2,0)+1,FALSE)</f>
        <v>【初級】変幻自在の風</v>
      </c>
      <c r="G16" s="84" t="str">
        <f ca="1">VLOOKUP($B16&amp;"_"&amp;$E16,OFFSET([2]stages!$A$1,0,0,COUNTA([2]stages!$A:$A),MATCH(G$1,[2]stages!$2:$2,0)-MATCH("temp_stage",[2]stages!$2:$2,0)+1),MATCH(G$1,[2]stages!$2:$2,0)-MATCH("temp_stage",[2]stages!$2:$2,0)+1,FALSE)</f>
        <v>メソポタミア01</v>
      </c>
      <c r="H16" s="86">
        <v>0</v>
      </c>
      <c r="I16">
        <v>16</v>
      </c>
      <c r="J16" s="85" t="s">
        <v>199</v>
      </c>
      <c r="K16" s="94" t="str">
        <f>VLOOKUP(I16,[7]stage_hints!$A:$C,3,FALSE)</f>
        <v>マルチプレイのメリット（その1）</v>
      </c>
      <c r="L16" s="95" t="str">
        <f>VLOOKUP(I16,[7]stage_hints!$A:$D,4,FALSE)</f>
        <v>他のプレイヤーとマルチプレイで遊ぶと_x000D_ポリゴンがもらえます（100人まで）</v>
      </c>
      <c r="M16" s="57" t="s">
        <v>212</v>
      </c>
    </row>
    <row r="17" spans="1:13" x14ac:dyDescent="0.15">
      <c r="A17" s="82" t="s">
        <v>202</v>
      </c>
      <c r="B17" s="83">
        <f>floors!$C$2</f>
        <v>20020</v>
      </c>
      <c r="C17" s="84" t="str">
        <f ca="1">VLOOKUP($B17,OFFSET([2]quests!$A$1,0,0,COUNTA([2]quests!$A:$A),MATCH(C$1,[2]quests!$1:$1,0)-MATCH($B$1,[2]quests!$1:$1,0)+1),MATCH(C$1,[2]quests!$1:$1,0)-MATCH($B$1,[2]quests!$1:$1,0)+1,FALSE)</f>
        <v>変幻自在の風</v>
      </c>
      <c r="D17" s="84" t="str">
        <f ca="1">VLOOKUP($B17,OFFSET([2]quests!$A$1,0,0,COUNTA([2]quests!$A:$A),MATCH(D$1,[2]quests!$1:$1,0)-MATCH($B$1,[2]quests!$1:$1,0)+1),MATCH(D$1,[2]quests!$1:$1,0)-MATCH($B$1,[2]quests!$1:$1,0)+1,FALSE)</f>
        <v>メソポタミア01</v>
      </c>
      <c r="E17" s="88">
        <v>1</v>
      </c>
      <c r="F17" s="84" t="str">
        <f ca="1">VLOOKUP($B17&amp;"_"&amp;$E17,OFFSET([2]stages!$A$1,0,0,COUNTA([2]stages!$A:$A),MATCH(F$1,[2]stages!$2:$2,0)-MATCH("temp_stage",[2]stages!$2:$2,0)+1),MATCH(F$1,[2]stages!$2:$2,0)-MATCH("temp_stage",[2]stages!$2:$2,0)+1,FALSE)</f>
        <v>【初級】変幻自在の風</v>
      </c>
      <c r="G17" s="84" t="str">
        <f ca="1">VLOOKUP($B17&amp;"_"&amp;$E17,OFFSET([2]stages!$A$1,0,0,COUNTA([2]stages!$A:$A),MATCH(G$1,[2]stages!$2:$2,0)-MATCH("temp_stage",[2]stages!$2:$2,0)+1),MATCH(G$1,[2]stages!$2:$2,0)-MATCH("temp_stage",[2]stages!$2:$2,0)+1,FALSE)</f>
        <v>メソポタミア01</v>
      </c>
      <c r="H17" s="86">
        <v>0</v>
      </c>
      <c r="I17">
        <v>17</v>
      </c>
      <c r="J17" s="85" t="s">
        <v>199</v>
      </c>
      <c r="K17" s="94" t="str">
        <f>VLOOKUP(I17,[7]stage_hints!$A:$C,3,FALSE)</f>
        <v>リンクガチャ</v>
      </c>
      <c r="L17" s="95" t="str">
        <f>VLOOKUP(I17,[7]stage_hints!$A:$D,4,FALSE)</f>
        <v>無料のリンクガチャを回して_x000D_経験値素材や売却素材を獲得しましょう</v>
      </c>
      <c r="M17" s="57" t="s">
        <v>212</v>
      </c>
    </row>
    <row r="18" spans="1:13" x14ac:dyDescent="0.15">
      <c r="A18" s="82" t="s">
        <v>202</v>
      </c>
      <c r="B18" s="83">
        <f>floors!$C$2</f>
        <v>20020</v>
      </c>
      <c r="C18" s="84" t="str">
        <f ca="1">VLOOKUP($B18,OFFSET([2]quests!$A$1,0,0,COUNTA([2]quests!$A:$A),MATCH(C$1,[2]quests!$1:$1,0)-MATCH($B$1,[2]quests!$1:$1,0)+1),MATCH(C$1,[2]quests!$1:$1,0)-MATCH($B$1,[2]quests!$1:$1,0)+1,FALSE)</f>
        <v>変幻自在の風</v>
      </c>
      <c r="D18" s="84" t="str">
        <f ca="1">VLOOKUP($B18,OFFSET([2]quests!$A$1,0,0,COUNTA([2]quests!$A:$A),MATCH(D$1,[2]quests!$1:$1,0)-MATCH($B$1,[2]quests!$1:$1,0)+1),MATCH(D$1,[2]quests!$1:$1,0)-MATCH($B$1,[2]quests!$1:$1,0)+1,FALSE)</f>
        <v>メソポタミア01</v>
      </c>
      <c r="E18" s="88">
        <v>1</v>
      </c>
      <c r="F18" s="84" t="str">
        <f ca="1">VLOOKUP($B18&amp;"_"&amp;$E18,OFFSET([2]stages!$A$1,0,0,COUNTA([2]stages!$A:$A),MATCH(F$1,[2]stages!$2:$2,0)-MATCH("temp_stage",[2]stages!$2:$2,0)+1),MATCH(F$1,[2]stages!$2:$2,0)-MATCH("temp_stage",[2]stages!$2:$2,0)+1,FALSE)</f>
        <v>【初級】変幻自在の風</v>
      </c>
      <c r="G18" s="84" t="str">
        <f ca="1">VLOOKUP($B18&amp;"_"&amp;$E18,OFFSET([2]stages!$A$1,0,0,COUNTA([2]stages!$A:$A),MATCH(G$1,[2]stages!$2:$2,0)-MATCH("temp_stage",[2]stages!$2:$2,0)+1),MATCH(G$1,[2]stages!$2:$2,0)-MATCH("temp_stage",[2]stages!$2:$2,0)+1,FALSE)</f>
        <v>メソポタミア01</v>
      </c>
      <c r="H18" s="86">
        <v>0</v>
      </c>
      <c r="I18">
        <v>18</v>
      </c>
      <c r="J18" s="85" t="s">
        <v>199</v>
      </c>
      <c r="K18" s="94" t="str">
        <f>VLOOKUP(I18,[7]stage_hints!$A:$C,3,FALSE)</f>
        <v>マルチプレイのメリット（その2）</v>
      </c>
      <c r="L18" s="95" t="str">
        <f>VLOOKUP(I18,[7]stage_hints!$A:$D,4,FALSE)</f>
        <v>マルチプレイならリンクが2倍もらえます_x000D_リンクガチャをたくさん回しましょう</v>
      </c>
      <c r="M18" s="57" t="s">
        <v>212</v>
      </c>
    </row>
    <row r="19" spans="1:13" x14ac:dyDescent="0.15">
      <c r="A19" s="82" t="s">
        <v>202</v>
      </c>
      <c r="B19" s="83">
        <f>floors!$C$2</f>
        <v>20020</v>
      </c>
      <c r="C19" s="84" t="str">
        <f ca="1">VLOOKUP($B19,OFFSET([2]quests!$A$1,0,0,COUNTA([2]quests!$A:$A),MATCH(C$1,[2]quests!$1:$1,0)-MATCH($B$1,[2]quests!$1:$1,0)+1),MATCH(C$1,[2]quests!$1:$1,0)-MATCH($B$1,[2]quests!$1:$1,0)+1,FALSE)</f>
        <v>変幻自在の風</v>
      </c>
      <c r="D19" s="84" t="str">
        <f ca="1">VLOOKUP($B19,OFFSET([2]quests!$A$1,0,0,COUNTA([2]quests!$A:$A),MATCH(D$1,[2]quests!$1:$1,0)-MATCH($B$1,[2]quests!$1:$1,0)+1),MATCH(D$1,[2]quests!$1:$1,0)-MATCH($B$1,[2]quests!$1:$1,0)+1,FALSE)</f>
        <v>メソポタミア01</v>
      </c>
      <c r="E19" s="88">
        <v>1</v>
      </c>
      <c r="F19" s="84" t="str">
        <f ca="1">VLOOKUP($B19&amp;"_"&amp;$E19,OFFSET([2]stages!$A$1,0,0,COUNTA([2]stages!$A:$A),MATCH(F$1,[2]stages!$2:$2,0)-MATCH("temp_stage",[2]stages!$2:$2,0)+1),MATCH(F$1,[2]stages!$2:$2,0)-MATCH("temp_stage",[2]stages!$2:$2,0)+1,FALSE)</f>
        <v>【初級】変幻自在の風</v>
      </c>
      <c r="G19" s="84" t="str">
        <f ca="1">VLOOKUP($B19&amp;"_"&amp;$E19,OFFSET([2]stages!$A$1,0,0,COUNTA([2]stages!$A:$A),MATCH(G$1,[2]stages!$2:$2,0)-MATCH("temp_stage",[2]stages!$2:$2,0)+1),MATCH(G$1,[2]stages!$2:$2,0)-MATCH("temp_stage",[2]stages!$2:$2,0)+1,FALSE)</f>
        <v>メソポタミア01</v>
      </c>
      <c r="H19" s="86">
        <v>0</v>
      </c>
      <c r="I19">
        <v>19</v>
      </c>
      <c r="J19" s="85" t="s">
        <v>199</v>
      </c>
      <c r="K19" s="94" t="str">
        <f>VLOOKUP(I19,[7]stage_hints!$A:$C,3,FALSE)</f>
        <v>ソロ専用タワーオブザクイーン</v>
      </c>
      <c r="L19" s="95" t="str">
        <f>VLOOKUP(I19,[7]stage_hints!$A:$D,4,FALSE)</f>
        <v>ソロ専用の「タワーオブザクイーン」は_x000D_期間限定で定期的に開催されます_x000D_ここでしか獲得できない報酬もあるようです</v>
      </c>
      <c r="M19" s="57" t="s">
        <v>212</v>
      </c>
    </row>
    <row r="20" spans="1:13" x14ac:dyDescent="0.15">
      <c r="A20" s="82" t="s">
        <v>202</v>
      </c>
      <c r="B20" s="83">
        <f>floors!$C$2</f>
        <v>20020</v>
      </c>
      <c r="C20" s="84" t="str">
        <f ca="1">VLOOKUP($B20,OFFSET([2]quests!$A$1,0,0,COUNTA([2]quests!$A:$A),MATCH(C$1,[2]quests!$1:$1,0)-MATCH($B$1,[2]quests!$1:$1,0)+1),MATCH(C$1,[2]quests!$1:$1,0)-MATCH($B$1,[2]quests!$1:$1,0)+1,FALSE)</f>
        <v>変幻自在の風</v>
      </c>
      <c r="D20" s="84" t="str">
        <f ca="1">VLOOKUP($B20,OFFSET([2]quests!$A$1,0,0,COUNTA([2]quests!$A:$A),MATCH(D$1,[2]quests!$1:$1,0)-MATCH($B$1,[2]quests!$1:$1,0)+1),MATCH(D$1,[2]quests!$1:$1,0)-MATCH($B$1,[2]quests!$1:$1,0)+1,FALSE)</f>
        <v>メソポタミア01</v>
      </c>
      <c r="E20" s="88">
        <v>1</v>
      </c>
      <c r="F20" s="84" t="str">
        <f ca="1">VLOOKUP($B20&amp;"_"&amp;$E20,OFFSET([2]stages!$A$1,0,0,COUNTA([2]stages!$A:$A),MATCH(F$1,[2]stages!$2:$2,0)-MATCH("temp_stage",[2]stages!$2:$2,0)+1),MATCH(F$1,[2]stages!$2:$2,0)-MATCH("temp_stage",[2]stages!$2:$2,0)+1,FALSE)</f>
        <v>【初級】変幻自在の風</v>
      </c>
      <c r="G20" s="84" t="str">
        <f ca="1">VLOOKUP($B20&amp;"_"&amp;$E20,OFFSET([2]stages!$A$1,0,0,COUNTA([2]stages!$A:$A),MATCH(G$1,[2]stages!$2:$2,0)-MATCH("temp_stage",[2]stages!$2:$2,0)+1),MATCH(G$1,[2]stages!$2:$2,0)-MATCH("temp_stage",[2]stages!$2:$2,0)+1,FALSE)</f>
        <v>メソポタミア01</v>
      </c>
      <c r="H20" s="86">
        <v>0</v>
      </c>
      <c r="I20">
        <v>20</v>
      </c>
      <c r="J20" s="85" t="s">
        <v>199</v>
      </c>
      <c r="K20" s="94" t="str">
        <f>VLOOKUP(I20,[7]stage_hints!$A:$C,3,FALSE)</f>
        <v>マルチプレイのメリット（その3）</v>
      </c>
      <c r="L20" s="95" t="str">
        <f>VLOOKUP(I20,[7]stage_hints!$A:$D,4,FALSE)</f>
        <v>マルチプレイへの参加はエナジー消費ゼロ_x000D_いつでも好きなだけ遊ぶことができます</v>
      </c>
      <c r="M20" s="57" t="s">
        <v>212</v>
      </c>
    </row>
    <row r="21" spans="1:13" x14ac:dyDescent="0.15">
      <c r="A21" s="82" t="s">
        <v>202</v>
      </c>
      <c r="B21" s="83">
        <f>floors!$C$2</f>
        <v>20020</v>
      </c>
      <c r="C21" s="84" t="str">
        <f ca="1">VLOOKUP($B21,OFFSET([2]quests!$A$1,0,0,COUNTA([2]quests!$A:$A),MATCH(C$1,[2]quests!$1:$1,0)-MATCH($B$1,[2]quests!$1:$1,0)+1),MATCH(C$1,[2]quests!$1:$1,0)-MATCH($B$1,[2]quests!$1:$1,0)+1,FALSE)</f>
        <v>変幻自在の風</v>
      </c>
      <c r="D21" s="84" t="str">
        <f ca="1">VLOOKUP($B21,OFFSET([2]quests!$A$1,0,0,COUNTA([2]quests!$A:$A),MATCH(D$1,[2]quests!$1:$1,0)-MATCH($B$1,[2]quests!$1:$1,0)+1),MATCH(D$1,[2]quests!$1:$1,0)-MATCH($B$1,[2]quests!$1:$1,0)+1,FALSE)</f>
        <v>メソポタミア01</v>
      </c>
      <c r="E21" s="88">
        <v>1</v>
      </c>
      <c r="F21" s="84" t="str">
        <f ca="1">VLOOKUP($B21&amp;"_"&amp;$E21,OFFSET([2]stages!$A$1,0,0,COUNTA([2]stages!$A:$A),MATCH(F$1,[2]stages!$2:$2,0)-MATCH("temp_stage",[2]stages!$2:$2,0)+1),MATCH(F$1,[2]stages!$2:$2,0)-MATCH("temp_stage",[2]stages!$2:$2,0)+1,FALSE)</f>
        <v>【初級】変幻自在の風</v>
      </c>
      <c r="G21" s="84" t="str">
        <f ca="1">VLOOKUP($B21&amp;"_"&amp;$E21,OFFSET([2]stages!$A$1,0,0,COUNTA([2]stages!$A:$A),MATCH(G$1,[2]stages!$2:$2,0)-MATCH("temp_stage",[2]stages!$2:$2,0)+1),MATCH(G$1,[2]stages!$2:$2,0)-MATCH("temp_stage",[2]stages!$2:$2,0)+1,FALSE)</f>
        <v>メソポタミア01</v>
      </c>
      <c r="H21" s="86">
        <v>0</v>
      </c>
      <c r="I21">
        <v>21</v>
      </c>
      <c r="J21" s="85" t="s">
        <v>199</v>
      </c>
      <c r="K21" s="94" t="str">
        <f>VLOOKUP(I21,[7]stage_hints!$A:$C,3,FALSE)</f>
        <v>スキルを有効に</v>
      </c>
      <c r="L21" s="95" t="str">
        <f>VLOOKUP(I21,[7]stage_hints!$A:$D,4,FALSE)</f>
        <v>ターン経過でユニットのスキルが使えます_x000D_強力スキルでバトルを有利に進めましょう</v>
      </c>
      <c r="M21" s="57" t="s">
        <v>212</v>
      </c>
    </row>
    <row r="22" spans="1:13" x14ac:dyDescent="0.15">
      <c r="A22" s="82" t="s">
        <v>202</v>
      </c>
      <c r="B22" s="83">
        <f>floors!$C$2</f>
        <v>20020</v>
      </c>
      <c r="C22" s="84" t="str">
        <f ca="1">VLOOKUP($B22,OFFSET([2]quests!$A$1,0,0,COUNTA([2]quests!$A:$A),MATCH(C$1,[2]quests!$1:$1,0)-MATCH($B$1,[2]quests!$1:$1,0)+1),MATCH(C$1,[2]quests!$1:$1,0)-MATCH($B$1,[2]quests!$1:$1,0)+1,FALSE)</f>
        <v>変幻自在の風</v>
      </c>
      <c r="D22" s="84" t="str">
        <f ca="1">VLOOKUP($B22,OFFSET([2]quests!$A$1,0,0,COUNTA([2]quests!$A:$A),MATCH(D$1,[2]quests!$1:$1,0)-MATCH($B$1,[2]quests!$1:$1,0)+1),MATCH(D$1,[2]quests!$1:$1,0)-MATCH($B$1,[2]quests!$1:$1,0)+1,FALSE)</f>
        <v>メソポタミア01</v>
      </c>
      <c r="E22" s="88">
        <v>1</v>
      </c>
      <c r="F22" s="84" t="str">
        <f ca="1">VLOOKUP($B22&amp;"_"&amp;$E22,OFFSET([2]stages!$A$1,0,0,COUNTA([2]stages!$A:$A),MATCH(F$1,[2]stages!$2:$2,0)-MATCH("temp_stage",[2]stages!$2:$2,0)+1),MATCH(F$1,[2]stages!$2:$2,0)-MATCH("temp_stage",[2]stages!$2:$2,0)+1,FALSE)</f>
        <v>【初級】変幻自在の風</v>
      </c>
      <c r="G22" s="84" t="str">
        <f ca="1">VLOOKUP($B22&amp;"_"&amp;$E22,OFFSET([2]stages!$A$1,0,0,COUNTA([2]stages!$A:$A),MATCH(G$1,[2]stages!$2:$2,0)-MATCH("temp_stage",[2]stages!$2:$2,0)+1),MATCH(G$1,[2]stages!$2:$2,0)-MATCH("temp_stage",[2]stages!$2:$2,0)+1,FALSE)</f>
        <v>メソポタミア01</v>
      </c>
      <c r="H22" s="86">
        <v>0</v>
      </c>
      <c r="I22">
        <v>22</v>
      </c>
      <c r="J22" s="85" t="s">
        <v>199</v>
      </c>
      <c r="K22" s="94" t="str">
        <f>VLOOKUP(I22,[7]stage_hints!$A:$C,3,FALSE)</f>
        <v>フィーバーで一発逆転（その1）</v>
      </c>
      <c r="L22" s="95" t="str">
        <f>VLOOKUP(I22,[7]stage_hints!$A:$D,4,FALSE)</f>
        <v>フィーバーは攻撃と回復を兼ね備えます_x000D_ピンチからの一発逆転を狙いましょう</v>
      </c>
      <c r="M22" s="57" t="s">
        <v>212</v>
      </c>
    </row>
    <row r="23" spans="1:13" x14ac:dyDescent="0.15">
      <c r="A23" s="82" t="s">
        <v>202</v>
      </c>
      <c r="B23" s="83">
        <f>floors!$C$2</f>
        <v>20020</v>
      </c>
      <c r="C23" s="84" t="str">
        <f ca="1">VLOOKUP($B23,OFFSET([2]quests!$A$1,0,0,COUNTA([2]quests!$A:$A),MATCH(C$1,[2]quests!$1:$1,0)-MATCH($B$1,[2]quests!$1:$1,0)+1),MATCH(C$1,[2]quests!$1:$1,0)-MATCH($B$1,[2]quests!$1:$1,0)+1,FALSE)</f>
        <v>変幻自在の風</v>
      </c>
      <c r="D23" s="84" t="str">
        <f ca="1">VLOOKUP($B23,OFFSET([2]quests!$A$1,0,0,COUNTA([2]quests!$A:$A),MATCH(D$1,[2]quests!$1:$1,0)-MATCH($B$1,[2]quests!$1:$1,0)+1),MATCH(D$1,[2]quests!$1:$1,0)-MATCH($B$1,[2]quests!$1:$1,0)+1,FALSE)</f>
        <v>メソポタミア01</v>
      </c>
      <c r="E23" s="88">
        <v>1</v>
      </c>
      <c r="F23" s="84" t="str">
        <f ca="1">VLOOKUP($B23&amp;"_"&amp;$E23,OFFSET([2]stages!$A$1,0,0,COUNTA([2]stages!$A:$A),MATCH(F$1,[2]stages!$2:$2,0)-MATCH("temp_stage",[2]stages!$2:$2,0)+1),MATCH(F$1,[2]stages!$2:$2,0)-MATCH("temp_stage",[2]stages!$2:$2,0)+1,FALSE)</f>
        <v>【初級】変幻自在の風</v>
      </c>
      <c r="G23" s="84" t="str">
        <f ca="1">VLOOKUP($B23&amp;"_"&amp;$E23,OFFSET([2]stages!$A$1,0,0,COUNTA([2]stages!$A:$A),MATCH(G$1,[2]stages!$2:$2,0)-MATCH("temp_stage",[2]stages!$2:$2,0)+1),MATCH(G$1,[2]stages!$2:$2,0)-MATCH("temp_stage",[2]stages!$2:$2,0)+1,FALSE)</f>
        <v>メソポタミア01</v>
      </c>
      <c r="H23" s="86">
        <v>0</v>
      </c>
      <c r="I23">
        <v>23</v>
      </c>
      <c r="J23" s="85" t="s">
        <v>199</v>
      </c>
      <c r="K23" s="94" t="str">
        <f>VLOOKUP(I23,[7]stage_hints!$A:$C,3,FALSE)</f>
        <v>フィーバーで一発逆転（その2）</v>
      </c>
      <c r="L23" s="95" t="str">
        <f>VLOOKUP(I23,[7]stage_hints!$A:$D,4,FALSE)</f>
        <v>フィーバー中は虹色のボムパネルを狙って_x000D_画面上のパネルを一気に破壊しましょう</v>
      </c>
      <c r="M23" s="57" t="s">
        <v>212</v>
      </c>
    </row>
    <row r="24" spans="1:13" x14ac:dyDescent="0.15">
      <c r="A24" s="82" t="s">
        <v>202</v>
      </c>
      <c r="B24" s="83">
        <f>floors!$C$2</f>
        <v>20020</v>
      </c>
      <c r="C24" s="84" t="str">
        <f ca="1">VLOOKUP($B24,OFFSET([2]quests!$A$1,0,0,COUNTA([2]quests!$A:$A),MATCH(C$1,[2]quests!$1:$1,0)-MATCH($B$1,[2]quests!$1:$1,0)+1),MATCH(C$1,[2]quests!$1:$1,0)-MATCH($B$1,[2]quests!$1:$1,0)+1,FALSE)</f>
        <v>変幻自在の風</v>
      </c>
      <c r="D24" s="84" t="str">
        <f ca="1">VLOOKUP($B24,OFFSET([2]quests!$A$1,0,0,COUNTA([2]quests!$A:$A),MATCH(D$1,[2]quests!$1:$1,0)-MATCH($B$1,[2]quests!$1:$1,0)+1),MATCH(D$1,[2]quests!$1:$1,0)-MATCH($B$1,[2]quests!$1:$1,0)+1,FALSE)</f>
        <v>メソポタミア01</v>
      </c>
      <c r="E24" s="88">
        <v>1</v>
      </c>
      <c r="F24" s="84" t="str">
        <f ca="1">VLOOKUP($B24&amp;"_"&amp;$E24,OFFSET([2]stages!$A$1,0,0,COUNTA([2]stages!$A:$A),MATCH(F$1,[2]stages!$2:$2,0)-MATCH("temp_stage",[2]stages!$2:$2,0)+1),MATCH(F$1,[2]stages!$2:$2,0)-MATCH("temp_stage",[2]stages!$2:$2,0)+1,FALSE)</f>
        <v>【初級】変幻自在の風</v>
      </c>
      <c r="G24" s="84" t="str">
        <f ca="1">VLOOKUP($B24&amp;"_"&amp;$E24,OFFSET([2]stages!$A$1,0,0,COUNTA([2]stages!$A:$A),MATCH(G$1,[2]stages!$2:$2,0)-MATCH("temp_stage",[2]stages!$2:$2,0)+1),MATCH(G$1,[2]stages!$2:$2,0)-MATCH("temp_stage",[2]stages!$2:$2,0)+1,FALSE)</f>
        <v>メソポタミア01</v>
      </c>
      <c r="H24" s="86">
        <v>0</v>
      </c>
      <c r="I24">
        <v>24</v>
      </c>
      <c r="J24" s="85" t="s">
        <v>199</v>
      </c>
      <c r="K24" s="94" t="str">
        <f>VLOOKUP(I24,[7]stage_hints!$A:$C,3,FALSE)</f>
        <v>果実を使って限界突破</v>
      </c>
      <c r="L24" s="95" t="str">
        <f>VLOOKUP(I24,[7]stage_hints!$A:$D,4,FALSE)</f>
        <v>攻めの果実 癒しの果実_x000D_生命の果実をユニット強化に使うと_x000D_ステータスが限界突破します（計99個迄）</v>
      </c>
      <c r="M24" s="57" t="s">
        <v>212</v>
      </c>
    </row>
    <row r="25" spans="1:13" x14ac:dyDescent="0.15">
      <c r="A25" s="82" t="s">
        <v>202</v>
      </c>
      <c r="B25" s="83">
        <f>floors!$C$2</f>
        <v>20020</v>
      </c>
      <c r="C25" s="84" t="str">
        <f ca="1">VLOOKUP($B25,OFFSET([2]quests!$A$1,0,0,COUNTA([2]quests!$A:$A),MATCH(C$1,[2]quests!$1:$1,0)-MATCH($B$1,[2]quests!$1:$1,0)+1),MATCH(C$1,[2]quests!$1:$1,0)-MATCH($B$1,[2]quests!$1:$1,0)+1,FALSE)</f>
        <v>変幻自在の風</v>
      </c>
      <c r="D25" s="84" t="str">
        <f ca="1">VLOOKUP($B25,OFFSET([2]quests!$A$1,0,0,COUNTA([2]quests!$A:$A),MATCH(D$1,[2]quests!$1:$1,0)-MATCH($B$1,[2]quests!$1:$1,0)+1),MATCH(D$1,[2]quests!$1:$1,0)-MATCH($B$1,[2]quests!$1:$1,0)+1,FALSE)</f>
        <v>メソポタミア01</v>
      </c>
      <c r="E25" s="88">
        <v>1</v>
      </c>
      <c r="F25" s="84" t="str">
        <f ca="1">VLOOKUP($B25&amp;"_"&amp;$E25,OFFSET([2]stages!$A$1,0,0,COUNTA([2]stages!$A:$A),MATCH(F$1,[2]stages!$2:$2,0)-MATCH("temp_stage",[2]stages!$2:$2,0)+1),MATCH(F$1,[2]stages!$2:$2,0)-MATCH("temp_stage",[2]stages!$2:$2,0)+1,FALSE)</f>
        <v>【初級】変幻自在の風</v>
      </c>
      <c r="G25" s="84" t="str">
        <f ca="1">VLOOKUP($B25&amp;"_"&amp;$E25,OFFSET([2]stages!$A$1,0,0,COUNTA([2]stages!$A:$A),MATCH(G$1,[2]stages!$2:$2,0)-MATCH("temp_stage",[2]stages!$2:$2,0)+1),MATCH(G$1,[2]stages!$2:$2,0)-MATCH("temp_stage",[2]stages!$2:$2,0)+1,FALSE)</f>
        <v>メソポタミア01</v>
      </c>
      <c r="H25" s="86">
        <v>0</v>
      </c>
      <c r="I25">
        <v>25</v>
      </c>
      <c r="J25" s="85" t="s">
        <v>199</v>
      </c>
      <c r="K25" s="94" t="str">
        <f>VLOOKUP(I25,[7]stage_hints!$A:$C,3,FALSE)</f>
        <v>スキルレベルアップ</v>
      </c>
      <c r="L25" s="95" t="str">
        <f>VLOOKUP(I25,[7]stage_hints!$A:$D,4,FALSE)</f>
        <v>「秘術の果実」を強化に使うと_x000D_スキルレベルを上げることができます</v>
      </c>
      <c r="M25" s="57" t="s">
        <v>212</v>
      </c>
    </row>
    <row r="26" spans="1:13" x14ac:dyDescent="0.15">
      <c r="A26" s="82" t="s">
        <v>202</v>
      </c>
      <c r="B26" s="83">
        <f>floors!$C$2</f>
        <v>20020</v>
      </c>
      <c r="C26" s="84" t="str">
        <f ca="1">VLOOKUP($B26,OFFSET([2]quests!$A$1,0,0,COUNTA([2]quests!$A:$A),MATCH(C$1,[2]quests!$1:$1,0)-MATCH($B$1,[2]quests!$1:$1,0)+1),MATCH(C$1,[2]quests!$1:$1,0)-MATCH($B$1,[2]quests!$1:$1,0)+1,FALSE)</f>
        <v>変幻自在の風</v>
      </c>
      <c r="D26" s="84" t="str">
        <f ca="1">VLOOKUP($B26,OFFSET([2]quests!$A$1,0,0,COUNTA([2]quests!$A:$A),MATCH(D$1,[2]quests!$1:$1,0)-MATCH($B$1,[2]quests!$1:$1,0)+1),MATCH(D$1,[2]quests!$1:$1,0)-MATCH($B$1,[2]quests!$1:$1,0)+1,FALSE)</f>
        <v>メソポタミア01</v>
      </c>
      <c r="E26" s="88">
        <v>1</v>
      </c>
      <c r="F26" s="84" t="str">
        <f ca="1">VLOOKUP($B26&amp;"_"&amp;$E26,OFFSET([2]stages!$A$1,0,0,COUNTA([2]stages!$A:$A),MATCH(F$1,[2]stages!$2:$2,0)-MATCH("temp_stage",[2]stages!$2:$2,0)+1),MATCH(F$1,[2]stages!$2:$2,0)-MATCH("temp_stage",[2]stages!$2:$2,0)+1,FALSE)</f>
        <v>【初級】変幻自在の風</v>
      </c>
      <c r="G26" s="84" t="str">
        <f ca="1">VLOOKUP($B26&amp;"_"&amp;$E26,OFFSET([2]stages!$A$1,0,0,COUNTA([2]stages!$A:$A),MATCH(G$1,[2]stages!$2:$2,0)-MATCH("temp_stage",[2]stages!$2:$2,0)+1),MATCH(G$1,[2]stages!$2:$2,0)-MATCH("temp_stage",[2]stages!$2:$2,0)+1,FALSE)</f>
        <v>メソポタミア01</v>
      </c>
      <c r="H26" s="86">
        <v>0</v>
      </c>
      <c r="I26">
        <v>26</v>
      </c>
      <c r="J26" s="85" t="s">
        <v>199</v>
      </c>
      <c r="K26" s="94" t="str">
        <f>VLOOKUP(I26,[7]stage_hints!$A:$C,3,FALSE)</f>
        <v>スキルレベルの効果</v>
      </c>
      <c r="L26" s="95" t="str">
        <f>VLOOKUP(I26,[7]stage_hints!$A:$D,4,FALSE)</f>
        <v>スキルレベルが上がると_x000D_短いターンでスキルを使うことができます</v>
      </c>
      <c r="M26" s="57" t="s">
        <v>212</v>
      </c>
    </row>
    <row r="27" spans="1:13" x14ac:dyDescent="0.15">
      <c r="A27" s="82" t="s">
        <v>202</v>
      </c>
      <c r="B27" s="83">
        <f>floors!$C$2</f>
        <v>20020</v>
      </c>
      <c r="C27" s="84" t="str">
        <f ca="1">VLOOKUP($B27,OFFSET([2]quests!$A$1,0,0,COUNTA([2]quests!$A:$A),MATCH(C$1,[2]quests!$1:$1,0)-MATCH($B$1,[2]quests!$1:$1,0)+1),MATCH(C$1,[2]quests!$1:$1,0)-MATCH($B$1,[2]quests!$1:$1,0)+1,FALSE)</f>
        <v>変幻自在の風</v>
      </c>
      <c r="D27" s="84" t="str">
        <f ca="1">VLOOKUP($B27,OFFSET([2]quests!$A$1,0,0,COUNTA([2]quests!$A:$A),MATCH(D$1,[2]quests!$1:$1,0)-MATCH($B$1,[2]quests!$1:$1,0)+1),MATCH(D$1,[2]quests!$1:$1,0)-MATCH($B$1,[2]quests!$1:$1,0)+1,FALSE)</f>
        <v>メソポタミア01</v>
      </c>
      <c r="E27" s="88">
        <v>1</v>
      </c>
      <c r="F27" s="84" t="str">
        <f ca="1">VLOOKUP($B27&amp;"_"&amp;$E27,OFFSET([2]stages!$A$1,0,0,COUNTA([2]stages!$A:$A),MATCH(F$1,[2]stages!$2:$2,0)-MATCH("temp_stage",[2]stages!$2:$2,0)+1),MATCH(F$1,[2]stages!$2:$2,0)-MATCH("temp_stage",[2]stages!$2:$2,0)+1,FALSE)</f>
        <v>【初級】変幻自在の風</v>
      </c>
      <c r="G27" s="84" t="str">
        <f ca="1">VLOOKUP($B27&amp;"_"&amp;$E27,OFFSET([2]stages!$A$1,0,0,COUNTA([2]stages!$A:$A),MATCH(G$1,[2]stages!$2:$2,0)-MATCH("temp_stage",[2]stages!$2:$2,0)+1),MATCH(G$1,[2]stages!$2:$2,0)-MATCH("temp_stage",[2]stages!$2:$2,0)+1,FALSE)</f>
        <v>メソポタミア01</v>
      </c>
      <c r="H27" s="86">
        <v>0</v>
      </c>
      <c r="I27">
        <v>39</v>
      </c>
      <c r="J27" s="85" t="s">
        <v>199</v>
      </c>
      <c r="K27" s="94" t="str">
        <f>VLOOKUP(I27,[7]stage_hints!$A:$C,3,FALSE)</f>
        <v>システム適合者を確認</v>
      </c>
      <c r="L27" s="95" t="str">
        <f>VLOOKUP(I27,[7]stage_hints!$A:$D,4,FALSE)</f>
        <v>ALICEが 「アナタ」を呼んでいます</v>
      </c>
      <c r="M27" s="57" t="s">
        <v>212</v>
      </c>
    </row>
    <row r="28" spans="1:13" x14ac:dyDescent="0.15">
      <c r="A28" s="82" t="s">
        <v>202</v>
      </c>
      <c r="B28" s="83">
        <f>floors!$C$2</f>
        <v>20020</v>
      </c>
      <c r="C28" s="84" t="str">
        <f ca="1">VLOOKUP($B28,OFFSET([2]quests!$A$1,0,0,COUNTA([2]quests!$A:$A),MATCH(C$1,[2]quests!$1:$1,0)-MATCH($B$1,[2]quests!$1:$1,0)+1),MATCH(C$1,[2]quests!$1:$1,0)-MATCH($B$1,[2]quests!$1:$1,0)+1,FALSE)</f>
        <v>変幻自在の風</v>
      </c>
      <c r="D28" s="84" t="str">
        <f ca="1">VLOOKUP($B28,OFFSET([2]quests!$A$1,0,0,COUNTA([2]quests!$A:$A),MATCH(D$1,[2]quests!$1:$1,0)-MATCH($B$1,[2]quests!$1:$1,0)+1),MATCH(D$1,[2]quests!$1:$1,0)-MATCH($B$1,[2]quests!$1:$1,0)+1,FALSE)</f>
        <v>メソポタミア01</v>
      </c>
      <c r="E28" s="88">
        <v>2</v>
      </c>
      <c r="F28" s="84" t="str">
        <f ca="1">VLOOKUP($B28&amp;"_"&amp;$E28,OFFSET([2]stages!$A$1,0,0,COUNTA([2]stages!$A:$A),MATCH(F$1,[2]stages!$2:$2,0)-MATCH("temp_stage",[2]stages!$2:$2,0)+1),MATCH(F$1,[2]stages!$2:$2,0)-MATCH("temp_stage",[2]stages!$2:$2,0)+1,FALSE)</f>
        <v>【中級】変幻自在の風</v>
      </c>
      <c r="G28" s="84" t="str">
        <f ca="1">VLOOKUP($B28&amp;"_"&amp;$E28,OFFSET([2]stages!$A$1,0,0,COUNTA([2]stages!$A:$A),MATCH(G$1,[2]stages!$2:$2,0)-MATCH("temp_stage",[2]stages!$2:$2,0)+1),MATCH(G$1,[2]stages!$2:$2,0)-MATCH("temp_stage",[2]stages!$2:$2,0)+1,FALSE)</f>
        <v>メソポタミア01</v>
      </c>
      <c r="H28" s="86">
        <v>0</v>
      </c>
      <c r="I28">
        <v>3</v>
      </c>
      <c r="J28" s="85" t="s">
        <v>199</v>
      </c>
      <c r="K28" s="94" t="str">
        <f>VLOOKUP(I28,[7]stage_hints!$A:$C,3,FALSE)</f>
        <v>ターゲット</v>
      </c>
      <c r="L28" s="95" t="str">
        <f>VLOOKUP(I28,[7]stage_hints!$A:$D,4,FALSE)</f>
        <v>敵ユニットをタップすると_x000D_その敵を狙い撃ちできます</v>
      </c>
      <c r="M28" s="57" t="s">
        <v>212</v>
      </c>
    </row>
    <row r="29" spans="1:13" x14ac:dyDescent="0.15">
      <c r="A29" s="82" t="s">
        <v>202</v>
      </c>
      <c r="B29" s="83">
        <f>floors!$C$2</f>
        <v>20020</v>
      </c>
      <c r="C29" s="84" t="str">
        <f ca="1">VLOOKUP($B29,OFFSET([2]quests!$A$1,0,0,COUNTA([2]quests!$A:$A),MATCH(C$1,[2]quests!$1:$1,0)-MATCH($B$1,[2]quests!$1:$1,0)+1),MATCH(C$1,[2]quests!$1:$1,0)-MATCH($B$1,[2]quests!$1:$1,0)+1,FALSE)</f>
        <v>変幻自在の風</v>
      </c>
      <c r="D29" s="84" t="str">
        <f ca="1">VLOOKUP($B29,OFFSET([2]quests!$A$1,0,0,COUNTA([2]quests!$A:$A),MATCH(D$1,[2]quests!$1:$1,0)-MATCH($B$1,[2]quests!$1:$1,0)+1),MATCH(D$1,[2]quests!$1:$1,0)-MATCH($B$1,[2]quests!$1:$1,0)+1,FALSE)</f>
        <v>メソポタミア01</v>
      </c>
      <c r="E29" s="88">
        <v>2</v>
      </c>
      <c r="F29" s="84" t="str">
        <f ca="1">VLOOKUP($B29&amp;"_"&amp;$E29,OFFSET([2]stages!$A$1,0,0,COUNTA([2]stages!$A:$A),MATCH(F$1,[2]stages!$2:$2,0)-MATCH("temp_stage",[2]stages!$2:$2,0)+1),MATCH(F$1,[2]stages!$2:$2,0)-MATCH("temp_stage",[2]stages!$2:$2,0)+1,FALSE)</f>
        <v>【中級】変幻自在の風</v>
      </c>
      <c r="G29" s="84" t="str">
        <f ca="1">VLOOKUP($B29&amp;"_"&amp;$E29,OFFSET([2]stages!$A$1,0,0,COUNTA([2]stages!$A:$A),MATCH(G$1,[2]stages!$2:$2,0)-MATCH("temp_stage",[2]stages!$2:$2,0)+1),MATCH(G$1,[2]stages!$2:$2,0)-MATCH("temp_stage",[2]stages!$2:$2,0)+1,FALSE)</f>
        <v>メソポタミア01</v>
      </c>
      <c r="H29" s="86">
        <v>0</v>
      </c>
      <c r="I29">
        <v>6</v>
      </c>
      <c r="J29" s="85" t="s">
        <v>199</v>
      </c>
      <c r="K29" s="94" t="str">
        <f>VLOOKUP(I29,[7]stage_hints!$A:$C,3,FALSE)</f>
        <v>ユニット強化の属性ボーナス</v>
      </c>
      <c r="L29" s="95" t="str">
        <f>VLOOKUP(I29,[7]stage_hints!$A:$D,4,FALSE)</f>
        <v>同属性ユニットを強化素材にすると_x000D_経験値が多くもらえます</v>
      </c>
      <c r="M29" s="57" t="s">
        <v>212</v>
      </c>
    </row>
    <row r="30" spans="1:13" x14ac:dyDescent="0.15">
      <c r="A30" s="82" t="s">
        <v>202</v>
      </c>
      <c r="B30" s="83">
        <f>floors!$C$2</f>
        <v>20020</v>
      </c>
      <c r="C30" s="84" t="str">
        <f ca="1">VLOOKUP($B30,OFFSET([2]quests!$A$1,0,0,COUNTA([2]quests!$A:$A),MATCH(C$1,[2]quests!$1:$1,0)-MATCH($B$1,[2]quests!$1:$1,0)+1),MATCH(C$1,[2]quests!$1:$1,0)-MATCH($B$1,[2]quests!$1:$1,0)+1,FALSE)</f>
        <v>変幻自在の風</v>
      </c>
      <c r="D30" s="84" t="str">
        <f ca="1">VLOOKUP($B30,OFFSET([2]quests!$A$1,0,0,COUNTA([2]quests!$A:$A),MATCH(D$1,[2]quests!$1:$1,0)-MATCH($B$1,[2]quests!$1:$1,0)+1),MATCH(D$1,[2]quests!$1:$1,0)-MATCH($B$1,[2]quests!$1:$1,0)+1,FALSE)</f>
        <v>メソポタミア01</v>
      </c>
      <c r="E30" s="88">
        <v>2</v>
      </c>
      <c r="F30" s="84" t="str">
        <f ca="1">VLOOKUP($B30&amp;"_"&amp;$E30,OFFSET([2]stages!$A$1,0,0,COUNTA([2]stages!$A:$A),MATCH(F$1,[2]stages!$2:$2,0)-MATCH("temp_stage",[2]stages!$2:$2,0)+1),MATCH(F$1,[2]stages!$2:$2,0)-MATCH("temp_stage",[2]stages!$2:$2,0)+1,FALSE)</f>
        <v>【中級】変幻自在の風</v>
      </c>
      <c r="G30" s="84" t="str">
        <f ca="1">VLOOKUP($B30&amp;"_"&amp;$E30,OFFSET([2]stages!$A$1,0,0,COUNTA([2]stages!$A:$A),MATCH(G$1,[2]stages!$2:$2,0)-MATCH("temp_stage",[2]stages!$2:$2,0)+1),MATCH(G$1,[2]stages!$2:$2,0)-MATCH("temp_stage",[2]stages!$2:$2,0)+1,FALSE)</f>
        <v>メソポタミア01</v>
      </c>
      <c r="H30" s="86">
        <v>0</v>
      </c>
      <c r="I30">
        <v>7</v>
      </c>
      <c r="J30" s="85" t="s">
        <v>199</v>
      </c>
      <c r="K30" s="94" t="str">
        <f>VLOOKUP(I30,[7]stage_hints!$A:$C,3,FALSE)</f>
        <v>メタルダックで経験値を獲得</v>
      </c>
      <c r="L30" s="95" t="str">
        <f>VLOOKUP(I30,[7]stage_hints!$A:$D,4,FALSE)</f>
        <v>「メタルなアヒル」を強化素材にすると_x000D_大量の経験値がもらえます</v>
      </c>
      <c r="M30" s="57" t="s">
        <v>212</v>
      </c>
    </row>
    <row r="31" spans="1:13" x14ac:dyDescent="0.15">
      <c r="A31" s="82" t="s">
        <v>202</v>
      </c>
      <c r="B31" s="83">
        <f>floors!$C$2</f>
        <v>20020</v>
      </c>
      <c r="C31" s="84" t="str">
        <f ca="1">VLOOKUP($B31,OFFSET([2]quests!$A$1,0,0,COUNTA([2]quests!$A:$A),MATCH(C$1,[2]quests!$1:$1,0)-MATCH($B$1,[2]quests!$1:$1,0)+1),MATCH(C$1,[2]quests!$1:$1,0)-MATCH($B$1,[2]quests!$1:$1,0)+1,FALSE)</f>
        <v>変幻自在の風</v>
      </c>
      <c r="D31" s="84" t="str">
        <f ca="1">VLOOKUP($B31,OFFSET([2]quests!$A$1,0,0,COUNTA([2]quests!$A:$A),MATCH(D$1,[2]quests!$1:$1,0)-MATCH($B$1,[2]quests!$1:$1,0)+1),MATCH(D$1,[2]quests!$1:$1,0)-MATCH($B$1,[2]quests!$1:$1,0)+1,FALSE)</f>
        <v>メソポタミア01</v>
      </c>
      <c r="E31" s="88">
        <v>2</v>
      </c>
      <c r="F31" s="84" t="str">
        <f ca="1">VLOOKUP($B31&amp;"_"&amp;$E31,OFFSET([2]stages!$A$1,0,0,COUNTA([2]stages!$A:$A),MATCH(F$1,[2]stages!$2:$2,0)-MATCH("temp_stage",[2]stages!$2:$2,0)+1),MATCH(F$1,[2]stages!$2:$2,0)-MATCH("temp_stage",[2]stages!$2:$2,0)+1,FALSE)</f>
        <v>【中級】変幻自在の風</v>
      </c>
      <c r="G31" s="84" t="str">
        <f ca="1">VLOOKUP($B31&amp;"_"&amp;$E31,OFFSET([2]stages!$A$1,0,0,COUNTA([2]stages!$A:$A),MATCH(G$1,[2]stages!$2:$2,0)-MATCH("temp_stage",[2]stages!$2:$2,0)+1),MATCH(G$1,[2]stages!$2:$2,0)-MATCH("temp_stage",[2]stages!$2:$2,0)+1,FALSE)</f>
        <v>メソポタミア01</v>
      </c>
      <c r="H31" s="86">
        <v>0</v>
      </c>
      <c r="I31">
        <v>8</v>
      </c>
      <c r="J31" s="85" t="s">
        <v>199</v>
      </c>
      <c r="K31" s="94" t="str">
        <f>VLOOKUP(I31,[7]stage_hints!$A:$C,3,FALSE)</f>
        <v>ゲリラクエストは要チェック</v>
      </c>
      <c r="L31" s="95" t="str">
        <f>VLOOKUP(I31,[7]stage_hints!$A:$D,4,FALSE)</f>
        <v>時間限定の「アヒル捕獲作戦」では_x000D_経験値素材ユニットが多く手に入ります</v>
      </c>
      <c r="M31" s="57" t="s">
        <v>212</v>
      </c>
    </row>
    <row r="32" spans="1:13" x14ac:dyDescent="0.15">
      <c r="A32" s="82" t="s">
        <v>202</v>
      </c>
      <c r="B32" s="83">
        <f>floors!$C$2</f>
        <v>20020</v>
      </c>
      <c r="C32" s="84" t="str">
        <f ca="1">VLOOKUP($B32,OFFSET([2]quests!$A$1,0,0,COUNTA([2]quests!$A:$A),MATCH(C$1,[2]quests!$1:$1,0)-MATCH($B$1,[2]quests!$1:$1,0)+1),MATCH(C$1,[2]quests!$1:$1,0)-MATCH($B$1,[2]quests!$1:$1,0)+1,FALSE)</f>
        <v>変幻自在の風</v>
      </c>
      <c r="D32" s="84" t="str">
        <f ca="1">VLOOKUP($B32,OFFSET([2]quests!$A$1,0,0,COUNTA([2]quests!$A:$A),MATCH(D$1,[2]quests!$1:$1,0)-MATCH($B$1,[2]quests!$1:$1,0)+1),MATCH(D$1,[2]quests!$1:$1,0)-MATCH($B$1,[2]quests!$1:$1,0)+1,FALSE)</f>
        <v>メソポタミア01</v>
      </c>
      <c r="E32" s="88">
        <v>2</v>
      </c>
      <c r="F32" s="84" t="str">
        <f ca="1">VLOOKUP($B32&amp;"_"&amp;$E32,OFFSET([2]stages!$A$1,0,0,COUNTA([2]stages!$A:$A),MATCH(F$1,[2]stages!$2:$2,0)-MATCH("temp_stage",[2]stages!$2:$2,0)+1),MATCH(F$1,[2]stages!$2:$2,0)-MATCH("temp_stage",[2]stages!$2:$2,0)+1,FALSE)</f>
        <v>【中級】変幻自在の風</v>
      </c>
      <c r="G32" s="84" t="str">
        <f ca="1">VLOOKUP($B32&amp;"_"&amp;$E32,OFFSET([2]stages!$A$1,0,0,COUNTA([2]stages!$A:$A),MATCH(G$1,[2]stages!$2:$2,0)-MATCH("temp_stage",[2]stages!$2:$2,0)+1),MATCH(G$1,[2]stages!$2:$2,0)-MATCH("temp_stage",[2]stages!$2:$2,0)+1,FALSE)</f>
        <v>メソポタミア01</v>
      </c>
      <c r="H32" s="86">
        <v>0</v>
      </c>
      <c r="I32">
        <v>9</v>
      </c>
      <c r="J32" s="85" t="s">
        <v>199</v>
      </c>
      <c r="K32" s="94" t="str">
        <f>VLOOKUP(I32,[7]stage_hints!$A:$C,3,FALSE)</f>
        <v>ゴールドダックでビットを獲得</v>
      </c>
      <c r="L32" s="95" t="str">
        <f>VLOOKUP(I32,[7]stage_hints!$A:$D,4,FALSE)</f>
        <v>「ゴールドなアヒル」を売却すると_x000D_大量のビットがもらえます</v>
      </c>
      <c r="M32" s="57" t="s">
        <v>212</v>
      </c>
    </row>
    <row r="33" spans="1:13" x14ac:dyDescent="0.15">
      <c r="A33" s="82" t="s">
        <v>202</v>
      </c>
      <c r="B33" s="83">
        <f>floors!$C$2</f>
        <v>20020</v>
      </c>
      <c r="C33" s="84" t="str">
        <f ca="1">VLOOKUP($B33,OFFSET([2]quests!$A$1,0,0,COUNTA([2]quests!$A:$A),MATCH(C$1,[2]quests!$1:$1,0)-MATCH($B$1,[2]quests!$1:$1,0)+1),MATCH(C$1,[2]quests!$1:$1,0)-MATCH($B$1,[2]quests!$1:$1,0)+1,FALSE)</f>
        <v>変幻自在の風</v>
      </c>
      <c r="D33" s="84" t="str">
        <f ca="1">VLOOKUP($B33,OFFSET([2]quests!$A$1,0,0,COUNTA([2]quests!$A:$A),MATCH(D$1,[2]quests!$1:$1,0)-MATCH($B$1,[2]quests!$1:$1,0)+1),MATCH(D$1,[2]quests!$1:$1,0)-MATCH($B$1,[2]quests!$1:$1,0)+1,FALSE)</f>
        <v>メソポタミア01</v>
      </c>
      <c r="E33" s="88">
        <v>2</v>
      </c>
      <c r="F33" s="84" t="str">
        <f ca="1">VLOOKUP($B33&amp;"_"&amp;$E33,OFFSET([2]stages!$A$1,0,0,COUNTA([2]stages!$A:$A),MATCH(F$1,[2]stages!$2:$2,0)-MATCH("temp_stage",[2]stages!$2:$2,0)+1),MATCH(F$1,[2]stages!$2:$2,0)-MATCH("temp_stage",[2]stages!$2:$2,0)+1,FALSE)</f>
        <v>【中級】変幻自在の風</v>
      </c>
      <c r="G33" s="84" t="str">
        <f ca="1">VLOOKUP($B33&amp;"_"&amp;$E33,OFFSET([2]stages!$A$1,0,0,COUNTA([2]stages!$A:$A),MATCH(G$1,[2]stages!$2:$2,0)-MATCH("temp_stage",[2]stages!$2:$2,0)+1),MATCH(G$1,[2]stages!$2:$2,0)-MATCH("temp_stage",[2]stages!$2:$2,0)+1,FALSE)</f>
        <v>メソポタミア01</v>
      </c>
      <c r="H33" s="86">
        <v>0</v>
      </c>
      <c r="I33">
        <v>10</v>
      </c>
      <c r="J33" s="85" t="s">
        <v>199</v>
      </c>
      <c r="K33" s="94" t="str">
        <f>VLOOKUP(I33,[7]stage_hints!$A:$C,3,FALSE)</f>
        <v>土日に大量のビットを獲得</v>
      </c>
      <c r="L33" s="95" t="str">
        <f>VLOOKUP(I33,[7]stage_hints!$A:$D,4,FALSE)</f>
        <v>土日限定の「ゴールドカジノ」では_x000D_売却素材ユニットが多く手に入ります</v>
      </c>
      <c r="M33" s="57" t="s">
        <v>212</v>
      </c>
    </row>
    <row r="34" spans="1:13" x14ac:dyDescent="0.15">
      <c r="A34" s="82" t="s">
        <v>202</v>
      </c>
      <c r="B34" s="83">
        <f>floors!$C$2</f>
        <v>20020</v>
      </c>
      <c r="C34" s="84" t="str">
        <f ca="1">VLOOKUP($B34,OFFSET([2]quests!$A$1,0,0,COUNTA([2]quests!$A:$A),MATCH(C$1,[2]quests!$1:$1,0)-MATCH($B$1,[2]quests!$1:$1,0)+1),MATCH(C$1,[2]quests!$1:$1,0)-MATCH($B$1,[2]quests!$1:$1,0)+1,FALSE)</f>
        <v>変幻自在の風</v>
      </c>
      <c r="D34" s="84" t="str">
        <f ca="1">VLOOKUP($B34,OFFSET([2]quests!$A$1,0,0,COUNTA([2]quests!$A:$A),MATCH(D$1,[2]quests!$1:$1,0)-MATCH($B$1,[2]quests!$1:$1,0)+1),MATCH(D$1,[2]quests!$1:$1,0)-MATCH($B$1,[2]quests!$1:$1,0)+1,FALSE)</f>
        <v>メソポタミア01</v>
      </c>
      <c r="E34" s="88">
        <v>2</v>
      </c>
      <c r="F34" s="84" t="str">
        <f ca="1">VLOOKUP($B34&amp;"_"&amp;$E34,OFFSET([2]stages!$A$1,0,0,COUNTA([2]stages!$A:$A),MATCH(F$1,[2]stages!$2:$2,0)-MATCH("temp_stage",[2]stages!$2:$2,0)+1),MATCH(F$1,[2]stages!$2:$2,0)-MATCH("temp_stage",[2]stages!$2:$2,0)+1,FALSE)</f>
        <v>【中級】変幻自在の風</v>
      </c>
      <c r="G34" s="84" t="str">
        <f ca="1">VLOOKUP($B34&amp;"_"&amp;$E34,OFFSET([2]stages!$A$1,0,0,COUNTA([2]stages!$A:$A),MATCH(G$1,[2]stages!$2:$2,0)-MATCH("temp_stage",[2]stages!$2:$2,0)+1),MATCH(G$1,[2]stages!$2:$2,0)-MATCH("temp_stage",[2]stages!$2:$2,0)+1,FALSE)</f>
        <v>メソポタミア01</v>
      </c>
      <c r="H34" s="86">
        <v>0</v>
      </c>
      <c r="I34">
        <v>11</v>
      </c>
      <c r="J34" s="85" t="s">
        <v>199</v>
      </c>
      <c r="K34" s="94" t="str">
        <f>VLOOKUP(I34,[7]stage_hints!$A:$C,3,FALSE)</f>
        <v>ランク解放クエスト</v>
      </c>
      <c r="L34" s="95" t="str">
        <f>VLOOKUP(I34,[7]stage_hints!$A:$D,4,FALSE)</f>
        <v>一定ランクに到達すると_x000D_報酬付きのランク開放クエストが現れます</v>
      </c>
      <c r="M34" s="57" t="s">
        <v>212</v>
      </c>
    </row>
    <row r="35" spans="1:13" x14ac:dyDescent="0.15">
      <c r="A35" s="82" t="s">
        <v>202</v>
      </c>
      <c r="B35" s="83">
        <f>floors!$C$2</f>
        <v>20020</v>
      </c>
      <c r="C35" s="84" t="str">
        <f ca="1">VLOOKUP($B35,OFFSET([2]quests!$A$1,0,0,COUNTA([2]quests!$A:$A),MATCH(C$1,[2]quests!$1:$1,0)-MATCH($B$1,[2]quests!$1:$1,0)+1),MATCH(C$1,[2]quests!$1:$1,0)-MATCH($B$1,[2]quests!$1:$1,0)+1,FALSE)</f>
        <v>変幻自在の風</v>
      </c>
      <c r="D35" s="84" t="str">
        <f ca="1">VLOOKUP($B35,OFFSET([2]quests!$A$1,0,0,COUNTA([2]quests!$A:$A),MATCH(D$1,[2]quests!$1:$1,0)-MATCH($B$1,[2]quests!$1:$1,0)+1),MATCH(D$1,[2]quests!$1:$1,0)-MATCH($B$1,[2]quests!$1:$1,0)+1,FALSE)</f>
        <v>メソポタミア01</v>
      </c>
      <c r="E35" s="88">
        <v>2</v>
      </c>
      <c r="F35" s="84" t="str">
        <f ca="1">VLOOKUP($B35&amp;"_"&amp;$E35,OFFSET([2]stages!$A$1,0,0,COUNTA([2]stages!$A:$A),MATCH(F$1,[2]stages!$2:$2,0)-MATCH("temp_stage",[2]stages!$2:$2,0)+1),MATCH(F$1,[2]stages!$2:$2,0)-MATCH("temp_stage",[2]stages!$2:$2,0)+1,FALSE)</f>
        <v>【中級】変幻自在の風</v>
      </c>
      <c r="G35" s="84" t="str">
        <f ca="1">VLOOKUP($B35&amp;"_"&amp;$E35,OFFSET([2]stages!$A$1,0,0,COUNTA([2]stages!$A:$A),MATCH(G$1,[2]stages!$2:$2,0)-MATCH("temp_stage",[2]stages!$2:$2,0)+1),MATCH(G$1,[2]stages!$2:$2,0)-MATCH("temp_stage",[2]stages!$2:$2,0)+1,FALSE)</f>
        <v>メソポタミア01</v>
      </c>
      <c r="H35" s="86">
        <v>0</v>
      </c>
      <c r="I35">
        <v>12</v>
      </c>
      <c r="J35" s="85" t="s">
        <v>199</v>
      </c>
      <c r="K35" s="94" t="str">
        <f>VLOOKUP(I35,[7]stage_hints!$A:$C,3,FALSE)</f>
        <v>ユニットのお気に入り登録</v>
      </c>
      <c r="L35" s="95" t="str">
        <f>VLOOKUP(I35,[7]stage_hints!$A:$D,4,FALSE)</f>
        <v>大事なユニットを誤って消さないように_x000D_フォルダから「お気に入り登録」しましょう</v>
      </c>
      <c r="M35" s="57" t="s">
        <v>212</v>
      </c>
    </row>
    <row r="36" spans="1:13" x14ac:dyDescent="0.15">
      <c r="A36" s="82" t="s">
        <v>202</v>
      </c>
      <c r="B36" s="83">
        <f>floors!$C$2</f>
        <v>20020</v>
      </c>
      <c r="C36" s="84" t="str">
        <f ca="1">VLOOKUP($B36,OFFSET([2]quests!$A$1,0,0,COUNTA([2]quests!$A:$A),MATCH(C$1,[2]quests!$1:$1,0)-MATCH($B$1,[2]quests!$1:$1,0)+1),MATCH(C$1,[2]quests!$1:$1,0)-MATCH($B$1,[2]quests!$1:$1,0)+1,FALSE)</f>
        <v>変幻自在の風</v>
      </c>
      <c r="D36" s="84" t="str">
        <f ca="1">VLOOKUP($B36,OFFSET([2]quests!$A$1,0,0,COUNTA([2]quests!$A:$A),MATCH(D$1,[2]quests!$1:$1,0)-MATCH($B$1,[2]quests!$1:$1,0)+1),MATCH(D$1,[2]quests!$1:$1,0)-MATCH($B$1,[2]quests!$1:$1,0)+1,FALSE)</f>
        <v>メソポタミア01</v>
      </c>
      <c r="E36" s="88">
        <v>2</v>
      </c>
      <c r="F36" s="84" t="str">
        <f ca="1">VLOOKUP($B36&amp;"_"&amp;$E36,OFFSET([2]stages!$A$1,0,0,COUNTA([2]stages!$A:$A),MATCH(F$1,[2]stages!$2:$2,0)-MATCH("temp_stage",[2]stages!$2:$2,0)+1),MATCH(F$1,[2]stages!$2:$2,0)-MATCH("temp_stage",[2]stages!$2:$2,0)+1,FALSE)</f>
        <v>【中級】変幻自在の風</v>
      </c>
      <c r="G36" s="84" t="str">
        <f ca="1">VLOOKUP($B36&amp;"_"&amp;$E36,OFFSET([2]stages!$A$1,0,0,COUNTA([2]stages!$A:$A),MATCH(G$1,[2]stages!$2:$2,0)-MATCH("temp_stage",[2]stages!$2:$2,0)+1),MATCH(G$1,[2]stages!$2:$2,0)-MATCH("temp_stage",[2]stages!$2:$2,0)+1,FALSE)</f>
        <v>メソポタミア01</v>
      </c>
      <c r="H36" s="86">
        <v>0</v>
      </c>
      <c r="I36">
        <v>13</v>
      </c>
      <c r="J36" s="85" t="s">
        <v>199</v>
      </c>
      <c r="K36" s="94" t="str">
        <f>VLOOKUP(I36,[7]stage_hints!$A:$C,3,FALSE)</f>
        <v>ユニットの覚醒</v>
      </c>
      <c r="L36" s="95" t="str">
        <f>VLOOKUP(I36,[7]stage_hints!$A:$D,4,FALSE)</f>
        <v>ユニットを覚醒させると_x000D_比べものにならない強さが手に入ります</v>
      </c>
      <c r="M36" s="57" t="s">
        <v>212</v>
      </c>
    </row>
    <row r="37" spans="1:13" x14ac:dyDescent="0.15">
      <c r="A37" s="82" t="s">
        <v>202</v>
      </c>
      <c r="B37" s="83">
        <f>floors!$C$2</f>
        <v>20020</v>
      </c>
      <c r="C37" s="84" t="str">
        <f ca="1">VLOOKUP($B37,OFFSET([2]quests!$A$1,0,0,COUNTA([2]quests!$A:$A),MATCH(C$1,[2]quests!$1:$1,0)-MATCH($B$1,[2]quests!$1:$1,0)+1),MATCH(C$1,[2]quests!$1:$1,0)-MATCH($B$1,[2]quests!$1:$1,0)+1,FALSE)</f>
        <v>変幻自在の風</v>
      </c>
      <c r="D37" s="84" t="str">
        <f ca="1">VLOOKUP($B37,OFFSET([2]quests!$A$1,0,0,COUNTA([2]quests!$A:$A),MATCH(D$1,[2]quests!$1:$1,0)-MATCH($B$1,[2]quests!$1:$1,0)+1),MATCH(D$1,[2]quests!$1:$1,0)-MATCH($B$1,[2]quests!$1:$1,0)+1,FALSE)</f>
        <v>メソポタミア01</v>
      </c>
      <c r="E37" s="88">
        <v>2</v>
      </c>
      <c r="F37" s="84" t="str">
        <f ca="1">VLOOKUP($B37&amp;"_"&amp;$E37,OFFSET([2]stages!$A$1,0,0,COUNTA([2]stages!$A:$A),MATCH(F$1,[2]stages!$2:$2,0)-MATCH("temp_stage",[2]stages!$2:$2,0)+1),MATCH(F$1,[2]stages!$2:$2,0)-MATCH("temp_stage",[2]stages!$2:$2,0)+1,FALSE)</f>
        <v>【中級】変幻自在の風</v>
      </c>
      <c r="G37" s="84" t="str">
        <f ca="1">VLOOKUP($B37&amp;"_"&amp;$E37,OFFSET([2]stages!$A$1,0,0,COUNTA([2]stages!$A:$A),MATCH(G$1,[2]stages!$2:$2,0)-MATCH("temp_stage",[2]stages!$2:$2,0)+1),MATCH(G$1,[2]stages!$2:$2,0)-MATCH("temp_stage",[2]stages!$2:$2,0)+1,FALSE)</f>
        <v>メソポタミア01</v>
      </c>
      <c r="H37" s="86">
        <v>0</v>
      </c>
      <c r="I37">
        <v>14</v>
      </c>
      <c r="J37" s="85" t="s">
        <v>199</v>
      </c>
      <c r="K37" s="94" t="str">
        <f>VLOOKUP(I37,[7]stage_hints!$A:$C,3,FALSE)</f>
        <v>覚醒するにはレベルを最大に</v>
      </c>
      <c r="L37" s="95" t="str">
        <f>VLOOKUP(I37,[7]stage_hints!$A:$D,4,FALSE)</f>
        <v>覚醒するにはユニットのレベルを_x000D_最大まで上げる必要があります</v>
      </c>
      <c r="M37" s="57" t="s">
        <v>212</v>
      </c>
    </row>
    <row r="38" spans="1:13" x14ac:dyDescent="0.15">
      <c r="A38" s="82" t="s">
        <v>202</v>
      </c>
      <c r="B38" s="83">
        <f>floors!$C$2</f>
        <v>20020</v>
      </c>
      <c r="C38" s="84" t="str">
        <f ca="1">VLOOKUP($B38,OFFSET([2]quests!$A$1,0,0,COUNTA([2]quests!$A:$A),MATCH(C$1,[2]quests!$1:$1,0)-MATCH($B$1,[2]quests!$1:$1,0)+1),MATCH(C$1,[2]quests!$1:$1,0)-MATCH($B$1,[2]quests!$1:$1,0)+1,FALSE)</f>
        <v>変幻自在の風</v>
      </c>
      <c r="D38" s="84" t="str">
        <f ca="1">VLOOKUP($B38,OFFSET([2]quests!$A$1,0,0,COUNTA([2]quests!$A:$A),MATCH(D$1,[2]quests!$1:$1,0)-MATCH($B$1,[2]quests!$1:$1,0)+1),MATCH(D$1,[2]quests!$1:$1,0)-MATCH($B$1,[2]quests!$1:$1,0)+1,FALSE)</f>
        <v>メソポタミア01</v>
      </c>
      <c r="E38" s="88">
        <v>2</v>
      </c>
      <c r="F38" s="84" t="str">
        <f ca="1">VLOOKUP($B38&amp;"_"&amp;$E38,OFFSET([2]stages!$A$1,0,0,COUNTA([2]stages!$A:$A),MATCH(F$1,[2]stages!$2:$2,0)-MATCH("temp_stage",[2]stages!$2:$2,0)+1),MATCH(F$1,[2]stages!$2:$2,0)-MATCH("temp_stage",[2]stages!$2:$2,0)+1,FALSE)</f>
        <v>【中級】変幻自在の風</v>
      </c>
      <c r="G38" s="84" t="str">
        <f ca="1">VLOOKUP($B38&amp;"_"&amp;$E38,OFFSET([2]stages!$A$1,0,0,COUNTA([2]stages!$A:$A),MATCH(G$1,[2]stages!$2:$2,0)-MATCH("temp_stage",[2]stages!$2:$2,0)+1),MATCH(G$1,[2]stages!$2:$2,0)-MATCH("temp_stage",[2]stages!$2:$2,0)+1,FALSE)</f>
        <v>メソポタミア01</v>
      </c>
      <c r="H38" s="86">
        <v>0</v>
      </c>
      <c r="I38">
        <v>15</v>
      </c>
      <c r="J38" s="85" t="s">
        <v>199</v>
      </c>
      <c r="K38" s="94" t="str">
        <f>VLOOKUP(I38,[7]stage_hints!$A:$C,3,FALSE)</f>
        <v>覚醒素材を獲得</v>
      </c>
      <c r="L38" s="95" t="str">
        <f>VLOOKUP(I38,[7]stage_hints!$A:$D,4,FALSE)</f>
        <v>「曜日クエスト」では_x000D_ユニットの覚醒に必要な素材が手に入ります</v>
      </c>
      <c r="M38" s="57" t="s">
        <v>212</v>
      </c>
    </row>
    <row r="39" spans="1:13" x14ac:dyDescent="0.15">
      <c r="A39" s="82" t="s">
        <v>202</v>
      </c>
      <c r="B39" s="83">
        <f>floors!$C$2</f>
        <v>20020</v>
      </c>
      <c r="C39" s="84" t="str">
        <f ca="1">VLOOKUP($B39,OFFSET([2]quests!$A$1,0,0,COUNTA([2]quests!$A:$A),MATCH(C$1,[2]quests!$1:$1,0)-MATCH($B$1,[2]quests!$1:$1,0)+1),MATCH(C$1,[2]quests!$1:$1,0)-MATCH($B$1,[2]quests!$1:$1,0)+1,FALSE)</f>
        <v>変幻自在の風</v>
      </c>
      <c r="D39" s="84" t="str">
        <f ca="1">VLOOKUP($B39,OFFSET([2]quests!$A$1,0,0,COUNTA([2]quests!$A:$A),MATCH(D$1,[2]quests!$1:$1,0)-MATCH($B$1,[2]quests!$1:$1,0)+1),MATCH(D$1,[2]quests!$1:$1,0)-MATCH($B$1,[2]quests!$1:$1,0)+1,FALSE)</f>
        <v>メソポタミア01</v>
      </c>
      <c r="E39" s="88">
        <v>2</v>
      </c>
      <c r="F39" s="84" t="str">
        <f ca="1">VLOOKUP($B39&amp;"_"&amp;$E39,OFFSET([2]stages!$A$1,0,0,COUNTA([2]stages!$A:$A),MATCH(F$1,[2]stages!$2:$2,0)-MATCH("temp_stage",[2]stages!$2:$2,0)+1),MATCH(F$1,[2]stages!$2:$2,0)-MATCH("temp_stage",[2]stages!$2:$2,0)+1,FALSE)</f>
        <v>【中級】変幻自在の風</v>
      </c>
      <c r="G39" s="84" t="str">
        <f ca="1">VLOOKUP($B39&amp;"_"&amp;$E39,OFFSET([2]stages!$A$1,0,0,COUNTA([2]stages!$A:$A),MATCH(G$1,[2]stages!$2:$2,0)-MATCH("temp_stage",[2]stages!$2:$2,0)+1),MATCH(G$1,[2]stages!$2:$2,0)-MATCH("temp_stage",[2]stages!$2:$2,0)+1,FALSE)</f>
        <v>メソポタミア01</v>
      </c>
      <c r="H39" s="86">
        <v>0</v>
      </c>
      <c r="I39">
        <v>16</v>
      </c>
      <c r="J39" s="85" t="s">
        <v>199</v>
      </c>
      <c r="K39" s="94" t="str">
        <f>VLOOKUP(I39,[7]stage_hints!$A:$C,3,FALSE)</f>
        <v>マルチプレイのメリット（その1）</v>
      </c>
      <c r="L39" s="95" t="str">
        <f>VLOOKUP(I39,[7]stage_hints!$A:$D,4,FALSE)</f>
        <v>他のプレイヤーとマルチプレイで遊ぶと_x000D_ポリゴンがもらえます（100人まで）</v>
      </c>
      <c r="M39" s="57" t="s">
        <v>212</v>
      </c>
    </row>
    <row r="40" spans="1:13" x14ac:dyDescent="0.15">
      <c r="A40" s="82" t="s">
        <v>202</v>
      </c>
      <c r="B40" s="83">
        <f>floors!$C$2</f>
        <v>20020</v>
      </c>
      <c r="C40" s="84" t="str">
        <f ca="1">VLOOKUP($B40,OFFSET([2]quests!$A$1,0,0,COUNTA([2]quests!$A:$A),MATCH(C$1,[2]quests!$1:$1,0)-MATCH($B$1,[2]quests!$1:$1,0)+1),MATCH(C$1,[2]quests!$1:$1,0)-MATCH($B$1,[2]quests!$1:$1,0)+1,FALSE)</f>
        <v>変幻自在の風</v>
      </c>
      <c r="D40" s="84" t="str">
        <f ca="1">VLOOKUP($B40,OFFSET([2]quests!$A$1,0,0,COUNTA([2]quests!$A:$A),MATCH(D$1,[2]quests!$1:$1,0)-MATCH($B$1,[2]quests!$1:$1,0)+1),MATCH(D$1,[2]quests!$1:$1,0)-MATCH($B$1,[2]quests!$1:$1,0)+1,FALSE)</f>
        <v>メソポタミア01</v>
      </c>
      <c r="E40" s="88">
        <v>2</v>
      </c>
      <c r="F40" s="84" t="str">
        <f ca="1">VLOOKUP($B40&amp;"_"&amp;$E40,OFFSET([2]stages!$A$1,0,0,COUNTA([2]stages!$A:$A),MATCH(F$1,[2]stages!$2:$2,0)-MATCH("temp_stage",[2]stages!$2:$2,0)+1),MATCH(F$1,[2]stages!$2:$2,0)-MATCH("temp_stage",[2]stages!$2:$2,0)+1,FALSE)</f>
        <v>【中級】変幻自在の風</v>
      </c>
      <c r="G40" s="84" t="str">
        <f ca="1">VLOOKUP($B40&amp;"_"&amp;$E40,OFFSET([2]stages!$A$1,0,0,COUNTA([2]stages!$A:$A),MATCH(G$1,[2]stages!$2:$2,0)-MATCH("temp_stage",[2]stages!$2:$2,0)+1),MATCH(G$1,[2]stages!$2:$2,0)-MATCH("temp_stage",[2]stages!$2:$2,0)+1,FALSE)</f>
        <v>メソポタミア01</v>
      </c>
      <c r="H40" s="86">
        <v>0</v>
      </c>
      <c r="I40">
        <v>17</v>
      </c>
      <c r="J40" s="85" t="s">
        <v>199</v>
      </c>
      <c r="K40" s="94" t="str">
        <f>VLOOKUP(I40,[7]stage_hints!$A:$C,3,FALSE)</f>
        <v>リンクガチャ</v>
      </c>
      <c r="L40" s="95" t="str">
        <f>VLOOKUP(I40,[7]stage_hints!$A:$D,4,FALSE)</f>
        <v>無料のリンクガチャを回して_x000D_経験値素材や売却素材を獲得しましょう</v>
      </c>
      <c r="M40" s="57" t="s">
        <v>212</v>
      </c>
    </row>
    <row r="41" spans="1:13" x14ac:dyDescent="0.15">
      <c r="A41" s="82" t="s">
        <v>202</v>
      </c>
      <c r="B41" s="83">
        <f>floors!$C$2</f>
        <v>20020</v>
      </c>
      <c r="C41" s="84" t="str">
        <f ca="1">VLOOKUP($B41,OFFSET([2]quests!$A$1,0,0,COUNTA([2]quests!$A:$A),MATCH(C$1,[2]quests!$1:$1,0)-MATCH($B$1,[2]quests!$1:$1,0)+1),MATCH(C$1,[2]quests!$1:$1,0)-MATCH($B$1,[2]quests!$1:$1,0)+1,FALSE)</f>
        <v>変幻自在の風</v>
      </c>
      <c r="D41" s="84" t="str">
        <f ca="1">VLOOKUP($B41,OFFSET([2]quests!$A$1,0,0,COUNTA([2]quests!$A:$A),MATCH(D$1,[2]quests!$1:$1,0)-MATCH($B$1,[2]quests!$1:$1,0)+1),MATCH(D$1,[2]quests!$1:$1,0)-MATCH($B$1,[2]quests!$1:$1,0)+1,FALSE)</f>
        <v>メソポタミア01</v>
      </c>
      <c r="E41" s="88">
        <v>2</v>
      </c>
      <c r="F41" s="84" t="str">
        <f ca="1">VLOOKUP($B41&amp;"_"&amp;$E41,OFFSET([2]stages!$A$1,0,0,COUNTA([2]stages!$A:$A),MATCH(F$1,[2]stages!$2:$2,0)-MATCH("temp_stage",[2]stages!$2:$2,0)+1),MATCH(F$1,[2]stages!$2:$2,0)-MATCH("temp_stage",[2]stages!$2:$2,0)+1,FALSE)</f>
        <v>【中級】変幻自在の風</v>
      </c>
      <c r="G41" s="84" t="str">
        <f ca="1">VLOOKUP($B41&amp;"_"&amp;$E41,OFFSET([2]stages!$A$1,0,0,COUNTA([2]stages!$A:$A),MATCH(G$1,[2]stages!$2:$2,0)-MATCH("temp_stage",[2]stages!$2:$2,0)+1),MATCH(G$1,[2]stages!$2:$2,0)-MATCH("temp_stage",[2]stages!$2:$2,0)+1,FALSE)</f>
        <v>メソポタミア01</v>
      </c>
      <c r="H41" s="86">
        <v>0</v>
      </c>
      <c r="I41">
        <v>18</v>
      </c>
      <c r="J41" s="85" t="s">
        <v>199</v>
      </c>
      <c r="K41" s="94" t="str">
        <f>VLOOKUP(I41,[7]stage_hints!$A:$C,3,FALSE)</f>
        <v>マルチプレイのメリット（その2）</v>
      </c>
      <c r="L41" s="95" t="str">
        <f>VLOOKUP(I41,[7]stage_hints!$A:$D,4,FALSE)</f>
        <v>マルチプレイならリンクが2倍もらえます_x000D_リンクガチャをたくさん回しましょう</v>
      </c>
      <c r="M41" s="57" t="s">
        <v>212</v>
      </c>
    </row>
    <row r="42" spans="1:13" x14ac:dyDescent="0.15">
      <c r="A42" s="82" t="s">
        <v>202</v>
      </c>
      <c r="B42" s="83">
        <f>floors!$C$2</f>
        <v>20020</v>
      </c>
      <c r="C42" s="84" t="str">
        <f ca="1">VLOOKUP($B42,OFFSET([2]quests!$A$1,0,0,COUNTA([2]quests!$A:$A),MATCH(C$1,[2]quests!$1:$1,0)-MATCH($B$1,[2]quests!$1:$1,0)+1),MATCH(C$1,[2]quests!$1:$1,0)-MATCH($B$1,[2]quests!$1:$1,0)+1,FALSE)</f>
        <v>変幻自在の風</v>
      </c>
      <c r="D42" s="84" t="str">
        <f ca="1">VLOOKUP($B42,OFFSET([2]quests!$A$1,0,0,COUNTA([2]quests!$A:$A),MATCH(D$1,[2]quests!$1:$1,0)-MATCH($B$1,[2]quests!$1:$1,0)+1),MATCH(D$1,[2]quests!$1:$1,0)-MATCH($B$1,[2]quests!$1:$1,0)+1,FALSE)</f>
        <v>メソポタミア01</v>
      </c>
      <c r="E42" s="88">
        <v>2</v>
      </c>
      <c r="F42" s="84" t="str">
        <f ca="1">VLOOKUP($B42&amp;"_"&amp;$E42,OFFSET([2]stages!$A$1,0,0,COUNTA([2]stages!$A:$A),MATCH(F$1,[2]stages!$2:$2,0)-MATCH("temp_stage",[2]stages!$2:$2,0)+1),MATCH(F$1,[2]stages!$2:$2,0)-MATCH("temp_stage",[2]stages!$2:$2,0)+1,FALSE)</f>
        <v>【中級】変幻自在の風</v>
      </c>
      <c r="G42" s="84" t="str">
        <f ca="1">VLOOKUP($B42&amp;"_"&amp;$E42,OFFSET([2]stages!$A$1,0,0,COUNTA([2]stages!$A:$A),MATCH(G$1,[2]stages!$2:$2,0)-MATCH("temp_stage",[2]stages!$2:$2,0)+1),MATCH(G$1,[2]stages!$2:$2,0)-MATCH("temp_stage",[2]stages!$2:$2,0)+1,FALSE)</f>
        <v>メソポタミア01</v>
      </c>
      <c r="H42" s="86">
        <v>0</v>
      </c>
      <c r="I42">
        <v>19</v>
      </c>
      <c r="J42" s="85" t="s">
        <v>199</v>
      </c>
      <c r="K42" s="94" t="str">
        <f>VLOOKUP(I42,[7]stage_hints!$A:$C,3,FALSE)</f>
        <v>ソロ専用タワーオブザクイーン</v>
      </c>
      <c r="L42" s="95" t="str">
        <f>VLOOKUP(I42,[7]stage_hints!$A:$D,4,FALSE)</f>
        <v>ソロ専用の「タワーオブザクイーン」は_x000D_期間限定で定期的に開催されます_x000D_ここでしか獲得できない報酬もあるようです</v>
      </c>
      <c r="M42" s="57" t="s">
        <v>212</v>
      </c>
    </row>
    <row r="43" spans="1:13" x14ac:dyDescent="0.15">
      <c r="A43" s="82" t="s">
        <v>202</v>
      </c>
      <c r="B43" s="83">
        <f>floors!$C$2</f>
        <v>20020</v>
      </c>
      <c r="C43" s="84" t="str">
        <f ca="1">VLOOKUP($B43,OFFSET([2]quests!$A$1,0,0,COUNTA([2]quests!$A:$A),MATCH(C$1,[2]quests!$1:$1,0)-MATCH($B$1,[2]quests!$1:$1,0)+1),MATCH(C$1,[2]quests!$1:$1,0)-MATCH($B$1,[2]quests!$1:$1,0)+1,FALSE)</f>
        <v>変幻自在の風</v>
      </c>
      <c r="D43" s="84" t="str">
        <f ca="1">VLOOKUP($B43,OFFSET([2]quests!$A$1,0,0,COUNTA([2]quests!$A:$A),MATCH(D$1,[2]quests!$1:$1,0)-MATCH($B$1,[2]quests!$1:$1,0)+1),MATCH(D$1,[2]quests!$1:$1,0)-MATCH($B$1,[2]quests!$1:$1,0)+1,FALSE)</f>
        <v>メソポタミア01</v>
      </c>
      <c r="E43" s="88">
        <v>2</v>
      </c>
      <c r="F43" s="84" t="str">
        <f ca="1">VLOOKUP($B43&amp;"_"&amp;$E43,OFFSET([2]stages!$A$1,0,0,COUNTA([2]stages!$A:$A),MATCH(F$1,[2]stages!$2:$2,0)-MATCH("temp_stage",[2]stages!$2:$2,0)+1),MATCH(F$1,[2]stages!$2:$2,0)-MATCH("temp_stage",[2]stages!$2:$2,0)+1,FALSE)</f>
        <v>【中級】変幻自在の風</v>
      </c>
      <c r="G43" s="84" t="str">
        <f ca="1">VLOOKUP($B43&amp;"_"&amp;$E43,OFFSET([2]stages!$A$1,0,0,COUNTA([2]stages!$A:$A),MATCH(G$1,[2]stages!$2:$2,0)-MATCH("temp_stage",[2]stages!$2:$2,0)+1),MATCH(G$1,[2]stages!$2:$2,0)-MATCH("temp_stage",[2]stages!$2:$2,0)+1,FALSE)</f>
        <v>メソポタミア01</v>
      </c>
      <c r="H43" s="86">
        <v>0</v>
      </c>
      <c r="I43">
        <v>20</v>
      </c>
      <c r="J43" s="85" t="s">
        <v>199</v>
      </c>
      <c r="K43" s="94" t="str">
        <f>VLOOKUP(I43,[7]stage_hints!$A:$C,3,FALSE)</f>
        <v>マルチプレイのメリット（その3）</v>
      </c>
      <c r="L43" s="95" t="str">
        <f>VLOOKUP(I43,[7]stage_hints!$A:$D,4,FALSE)</f>
        <v>マルチプレイへの参加はエナジー消費ゼロ_x000D_いつでも好きなだけ遊ぶことができます</v>
      </c>
      <c r="M43" s="57" t="s">
        <v>212</v>
      </c>
    </row>
    <row r="44" spans="1:13" x14ac:dyDescent="0.15">
      <c r="A44" s="82" t="s">
        <v>202</v>
      </c>
      <c r="B44" s="83">
        <f>floors!$C$2</f>
        <v>20020</v>
      </c>
      <c r="C44" s="84" t="str">
        <f ca="1">VLOOKUP($B44,OFFSET([2]quests!$A$1,0,0,COUNTA([2]quests!$A:$A),MATCH(C$1,[2]quests!$1:$1,0)-MATCH($B$1,[2]quests!$1:$1,0)+1),MATCH(C$1,[2]quests!$1:$1,0)-MATCH($B$1,[2]quests!$1:$1,0)+1,FALSE)</f>
        <v>変幻自在の風</v>
      </c>
      <c r="D44" s="84" t="str">
        <f ca="1">VLOOKUP($B44,OFFSET([2]quests!$A$1,0,0,COUNTA([2]quests!$A:$A),MATCH(D$1,[2]quests!$1:$1,0)-MATCH($B$1,[2]quests!$1:$1,0)+1),MATCH(D$1,[2]quests!$1:$1,0)-MATCH($B$1,[2]quests!$1:$1,0)+1,FALSE)</f>
        <v>メソポタミア01</v>
      </c>
      <c r="E44" s="88">
        <v>2</v>
      </c>
      <c r="F44" s="84" t="str">
        <f ca="1">VLOOKUP($B44&amp;"_"&amp;$E44,OFFSET([2]stages!$A$1,0,0,COUNTA([2]stages!$A:$A),MATCH(F$1,[2]stages!$2:$2,0)-MATCH("temp_stage",[2]stages!$2:$2,0)+1),MATCH(F$1,[2]stages!$2:$2,0)-MATCH("temp_stage",[2]stages!$2:$2,0)+1,FALSE)</f>
        <v>【中級】変幻自在の風</v>
      </c>
      <c r="G44" s="84" t="str">
        <f ca="1">VLOOKUP($B44&amp;"_"&amp;$E44,OFFSET([2]stages!$A$1,0,0,COUNTA([2]stages!$A:$A),MATCH(G$1,[2]stages!$2:$2,0)-MATCH("temp_stage",[2]stages!$2:$2,0)+1),MATCH(G$1,[2]stages!$2:$2,0)-MATCH("temp_stage",[2]stages!$2:$2,0)+1,FALSE)</f>
        <v>メソポタミア01</v>
      </c>
      <c r="H44" s="86">
        <v>0</v>
      </c>
      <c r="I44">
        <v>21</v>
      </c>
      <c r="J44" s="85" t="s">
        <v>199</v>
      </c>
      <c r="K44" s="94" t="str">
        <f>VLOOKUP(I44,[7]stage_hints!$A:$C,3,FALSE)</f>
        <v>スキルを有効に</v>
      </c>
      <c r="L44" s="95" t="str">
        <f>VLOOKUP(I44,[7]stage_hints!$A:$D,4,FALSE)</f>
        <v>ターン経過でユニットのスキルが使えます_x000D_強力スキルでバトルを有利に進めましょう</v>
      </c>
      <c r="M44" s="57" t="s">
        <v>212</v>
      </c>
    </row>
    <row r="45" spans="1:13" x14ac:dyDescent="0.15">
      <c r="A45" s="82" t="s">
        <v>202</v>
      </c>
      <c r="B45" s="83">
        <f>floors!$C$2</f>
        <v>20020</v>
      </c>
      <c r="C45" s="84" t="str">
        <f ca="1">VLOOKUP($B45,OFFSET([2]quests!$A$1,0,0,COUNTA([2]quests!$A:$A),MATCH(C$1,[2]quests!$1:$1,0)-MATCH($B$1,[2]quests!$1:$1,0)+1),MATCH(C$1,[2]quests!$1:$1,0)-MATCH($B$1,[2]quests!$1:$1,0)+1,FALSE)</f>
        <v>変幻自在の風</v>
      </c>
      <c r="D45" s="84" t="str">
        <f ca="1">VLOOKUP($B45,OFFSET([2]quests!$A$1,0,0,COUNTA([2]quests!$A:$A),MATCH(D$1,[2]quests!$1:$1,0)-MATCH($B$1,[2]quests!$1:$1,0)+1),MATCH(D$1,[2]quests!$1:$1,0)-MATCH($B$1,[2]quests!$1:$1,0)+1,FALSE)</f>
        <v>メソポタミア01</v>
      </c>
      <c r="E45" s="88">
        <v>2</v>
      </c>
      <c r="F45" s="84" t="str">
        <f ca="1">VLOOKUP($B45&amp;"_"&amp;$E45,OFFSET([2]stages!$A$1,0,0,COUNTA([2]stages!$A:$A),MATCH(F$1,[2]stages!$2:$2,0)-MATCH("temp_stage",[2]stages!$2:$2,0)+1),MATCH(F$1,[2]stages!$2:$2,0)-MATCH("temp_stage",[2]stages!$2:$2,0)+1,FALSE)</f>
        <v>【中級】変幻自在の風</v>
      </c>
      <c r="G45" s="84" t="str">
        <f ca="1">VLOOKUP($B45&amp;"_"&amp;$E45,OFFSET([2]stages!$A$1,0,0,COUNTA([2]stages!$A:$A),MATCH(G$1,[2]stages!$2:$2,0)-MATCH("temp_stage",[2]stages!$2:$2,0)+1),MATCH(G$1,[2]stages!$2:$2,0)-MATCH("temp_stage",[2]stages!$2:$2,0)+1,FALSE)</f>
        <v>メソポタミア01</v>
      </c>
      <c r="H45" s="86">
        <v>0</v>
      </c>
      <c r="I45">
        <v>22</v>
      </c>
      <c r="J45" s="85" t="s">
        <v>199</v>
      </c>
      <c r="K45" s="94" t="str">
        <f>VLOOKUP(I45,[7]stage_hints!$A:$C,3,FALSE)</f>
        <v>フィーバーで一発逆転（その1）</v>
      </c>
      <c r="L45" s="95" t="str">
        <f>VLOOKUP(I45,[7]stage_hints!$A:$D,4,FALSE)</f>
        <v>フィーバーは攻撃と回復を兼ね備えます_x000D_ピンチからの一発逆転を狙いましょう</v>
      </c>
      <c r="M45" s="57" t="s">
        <v>212</v>
      </c>
    </row>
    <row r="46" spans="1:13" x14ac:dyDescent="0.15">
      <c r="A46" s="82" t="s">
        <v>202</v>
      </c>
      <c r="B46" s="83">
        <f>floors!$C$2</f>
        <v>20020</v>
      </c>
      <c r="C46" s="84" t="str">
        <f ca="1">VLOOKUP($B46,OFFSET([2]quests!$A$1,0,0,COUNTA([2]quests!$A:$A),MATCH(C$1,[2]quests!$1:$1,0)-MATCH($B$1,[2]quests!$1:$1,0)+1),MATCH(C$1,[2]quests!$1:$1,0)-MATCH($B$1,[2]quests!$1:$1,0)+1,FALSE)</f>
        <v>変幻自在の風</v>
      </c>
      <c r="D46" s="84" t="str">
        <f ca="1">VLOOKUP($B46,OFFSET([2]quests!$A$1,0,0,COUNTA([2]quests!$A:$A),MATCH(D$1,[2]quests!$1:$1,0)-MATCH($B$1,[2]quests!$1:$1,0)+1),MATCH(D$1,[2]quests!$1:$1,0)-MATCH($B$1,[2]quests!$1:$1,0)+1,FALSE)</f>
        <v>メソポタミア01</v>
      </c>
      <c r="E46" s="88">
        <v>2</v>
      </c>
      <c r="F46" s="84" t="str">
        <f ca="1">VLOOKUP($B46&amp;"_"&amp;$E46,OFFSET([2]stages!$A$1,0,0,COUNTA([2]stages!$A:$A),MATCH(F$1,[2]stages!$2:$2,0)-MATCH("temp_stage",[2]stages!$2:$2,0)+1),MATCH(F$1,[2]stages!$2:$2,0)-MATCH("temp_stage",[2]stages!$2:$2,0)+1,FALSE)</f>
        <v>【中級】変幻自在の風</v>
      </c>
      <c r="G46" s="84" t="str">
        <f ca="1">VLOOKUP($B46&amp;"_"&amp;$E46,OFFSET([2]stages!$A$1,0,0,COUNTA([2]stages!$A:$A),MATCH(G$1,[2]stages!$2:$2,0)-MATCH("temp_stage",[2]stages!$2:$2,0)+1),MATCH(G$1,[2]stages!$2:$2,0)-MATCH("temp_stage",[2]stages!$2:$2,0)+1,FALSE)</f>
        <v>メソポタミア01</v>
      </c>
      <c r="H46" s="86">
        <v>0</v>
      </c>
      <c r="I46">
        <v>23</v>
      </c>
      <c r="J46" s="85" t="s">
        <v>199</v>
      </c>
      <c r="K46" s="94" t="str">
        <f>VLOOKUP(I46,[7]stage_hints!$A:$C,3,FALSE)</f>
        <v>フィーバーで一発逆転（その2）</v>
      </c>
      <c r="L46" s="95" t="str">
        <f>VLOOKUP(I46,[7]stage_hints!$A:$D,4,FALSE)</f>
        <v>フィーバー中は虹色のボムパネルを狙って_x000D_画面上のパネルを一気に破壊しましょう</v>
      </c>
      <c r="M46" s="57" t="s">
        <v>212</v>
      </c>
    </row>
    <row r="47" spans="1:13" x14ac:dyDescent="0.15">
      <c r="A47" s="82" t="s">
        <v>202</v>
      </c>
      <c r="B47" s="83">
        <f>floors!$C$2</f>
        <v>20020</v>
      </c>
      <c r="C47" s="84" t="str">
        <f ca="1">VLOOKUP($B47,OFFSET([2]quests!$A$1,0,0,COUNTA([2]quests!$A:$A),MATCH(C$1,[2]quests!$1:$1,0)-MATCH($B$1,[2]quests!$1:$1,0)+1),MATCH(C$1,[2]quests!$1:$1,0)-MATCH($B$1,[2]quests!$1:$1,0)+1,FALSE)</f>
        <v>変幻自在の風</v>
      </c>
      <c r="D47" s="84" t="str">
        <f ca="1">VLOOKUP($B47,OFFSET([2]quests!$A$1,0,0,COUNTA([2]quests!$A:$A),MATCH(D$1,[2]quests!$1:$1,0)-MATCH($B$1,[2]quests!$1:$1,0)+1),MATCH(D$1,[2]quests!$1:$1,0)-MATCH($B$1,[2]quests!$1:$1,0)+1,FALSE)</f>
        <v>メソポタミア01</v>
      </c>
      <c r="E47" s="88">
        <v>2</v>
      </c>
      <c r="F47" s="84" t="str">
        <f ca="1">VLOOKUP($B47&amp;"_"&amp;$E47,OFFSET([2]stages!$A$1,0,0,COUNTA([2]stages!$A:$A),MATCH(F$1,[2]stages!$2:$2,0)-MATCH("temp_stage",[2]stages!$2:$2,0)+1),MATCH(F$1,[2]stages!$2:$2,0)-MATCH("temp_stage",[2]stages!$2:$2,0)+1,FALSE)</f>
        <v>【中級】変幻自在の風</v>
      </c>
      <c r="G47" s="84" t="str">
        <f ca="1">VLOOKUP($B47&amp;"_"&amp;$E47,OFFSET([2]stages!$A$1,0,0,COUNTA([2]stages!$A:$A),MATCH(G$1,[2]stages!$2:$2,0)-MATCH("temp_stage",[2]stages!$2:$2,0)+1),MATCH(G$1,[2]stages!$2:$2,0)-MATCH("temp_stage",[2]stages!$2:$2,0)+1,FALSE)</f>
        <v>メソポタミア01</v>
      </c>
      <c r="H47" s="86">
        <v>0</v>
      </c>
      <c r="I47">
        <v>24</v>
      </c>
      <c r="J47" s="85" t="s">
        <v>199</v>
      </c>
      <c r="K47" s="94" t="str">
        <f>VLOOKUP(I47,[7]stage_hints!$A:$C,3,FALSE)</f>
        <v>果実を使って限界突破</v>
      </c>
      <c r="L47" s="95" t="str">
        <f>VLOOKUP(I47,[7]stage_hints!$A:$D,4,FALSE)</f>
        <v>攻めの果実 癒しの果実_x000D_生命の果実をユニット強化に使うと_x000D_ステータスが限界突破します（計99個迄）</v>
      </c>
      <c r="M47" s="57" t="s">
        <v>212</v>
      </c>
    </row>
    <row r="48" spans="1:13" x14ac:dyDescent="0.15">
      <c r="A48" s="82" t="s">
        <v>202</v>
      </c>
      <c r="B48" s="83">
        <f>floors!$C$2</f>
        <v>20020</v>
      </c>
      <c r="C48" s="84" t="str">
        <f ca="1">VLOOKUP($B48,OFFSET([2]quests!$A$1,0,0,COUNTA([2]quests!$A:$A),MATCH(C$1,[2]quests!$1:$1,0)-MATCH($B$1,[2]quests!$1:$1,0)+1),MATCH(C$1,[2]quests!$1:$1,0)-MATCH($B$1,[2]quests!$1:$1,0)+1,FALSE)</f>
        <v>変幻自在の風</v>
      </c>
      <c r="D48" s="84" t="str">
        <f ca="1">VLOOKUP($B48,OFFSET([2]quests!$A$1,0,0,COUNTA([2]quests!$A:$A),MATCH(D$1,[2]quests!$1:$1,0)-MATCH($B$1,[2]quests!$1:$1,0)+1),MATCH(D$1,[2]quests!$1:$1,0)-MATCH($B$1,[2]quests!$1:$1,0)+1,FALSE)</f>
        <v>メソポタミア01</v>
      </c>
      <c r="E48" s="88">
        <v>2</v>
      </c>
      <c r="F48" s="84" t="str">
        <f ca="1">VLOOKUP($B48&amp;"_"&amp;$E48,OFFSET([2]stages!$A$1,0,0,COUNTA([2]stages!$A:$A),MATCH(F$1,[2]stages!$2:$2,0)-MATCH("temp_stage",[2]stages!$2:$2,0)+1),MATCH(F$1,[2]stages!$2:$2,0)-MATCH("temp_stage",[2]stages!$2:$2,0)+1,FALSE)</f>
        <v>【中級】変幻自在の風</v>
      </c>
      <c r="G48" s="84" t="str">
        <f ca="1">VLOOKUP($B48&amp;"_"&amp;$E48,OFFSET([2]stages!$A$1,0,0,COUNTA([2]stages!$A:$A),MATCH(G$1,[2]stages!$2:$2,0)-MATCH("temp_stage",[2]stages!$2:$2,0)+1),MATCH(G$1,[2]stages!$2:$2,0)-MATCH("temp_stage",[2]stages!$2:$2,0)+1,FALSE)</f>
        <v>メソポタミア01</v>
      </c>
      <c r="H48" s="86">
        <v>0</v>
      </c>
      <c r="I48">
        <v>25</v>
      </c>
      <c r="J48" s="85" t="s">
        <v>199</v>
      </c>
      <c r="K48" s="94" t="str">
        <f>VLOOKUP(I48,[7]stage_hints!$A:$C,3,FALSE)</f>
        <v>スキルレベルアップ</v>
      </c>
      <c r="L48" s="95" t="str">
        <f>VLOOKUP(I48,[7]stage_hints!$A:$D,4,FALSE)</f>
        <v>「秘術の果実」を強化に使うと_x000D_スキルレベルを上げることができます</v>
      </c>
      <c r="M48" s="57" t="s">
        <v>212</v>
      </c>
    </row>
    <row r="49" spans="1:13" x14ac:dyDescent="0.15">
      <c r="A49" s="82" t="s">
        <v>202</v>
      </c>
      <c r="B49" s="83">
        <f>floors!$C$2</f>
        <v>20020</v>
      </c>
      <c r="C49" s="84" t="str">
        <f ca="1">VLOOKUP($B49,OFFSET([2]quests!$A$1,0,0,COUNTA([2]quests!$A:$A),MATCH(C$1,[2]quests!$1:$1,0)-MATCH($B$1,[2]quests!$1:$1,0)+1),MATCH(C$1,[2]quests!$1:$1,0)-MATCH($B$1,[2]quests!$1:$1,0)+1,FALSE)</f>
        <v>変幻自在の風</v>
      </c>
      <c r="D49" s="84" t="str">
        <f ca="1">VLOOKUP($B49,OFFSET([2]quests!$A$1,0,0,COUNTA([2]quests!$A:$A),MATCH(D$1,[2]quests!$1:$1,0)-MATCH($B$1,[2]quests!$1:$1,0)+1),MATCH(D$1,[2]quests!$1:$1,0)-MATCH($B$1,[2]quests!$1:$1,0)+1,FALSE)</f>
        <v>メソポタミア01</v>
      </c>
      <c r="E49" s="88">
        <v>2</v>
      </c>
      <c r="F49" s="84" t="str">
        <f ca="1">VLOOKUP($B49&amp;"_"&amp;$E49,OFFSET([2]stages!$A$1,0,0,COUNTA([2]stages!$A:$A),MATCH(F$1,[2]stages!$2:$2,0)-MATCH("temp_stage",[2]stages!$2:$2,0)+1),MATCH(F$1,[2]stages!$2:$2,0)-MATCH("temp_stage",[2]stages!$2:$2,0)+1,FALSE)</f>
        <v>【中級】変幻自在の風</v>
      </c>
      <c r="G49" s="84" t="str">
        <f ca="1">VLOOKUP($B49&amp;"_"&amp;$E49,OFFSET([2]stages!$A$1,0,0,COUNTA([2]stages!$A:$A),MATCH(G$1,[2]stages!$2:$2,0)-MATCH("temp_stage",[2]stages!$2:$2,0)+1),MATCH(G$1,[2]stages!$2:$2,0)-MATCH("temp_stage",[2]stages!$2:$2,0)+1,FALSE)</f>
        <v>メソポタミア01</v>
      </c>
      <c r="H49" s="86">
        <v>0</v>
      </c>
      <c r="I49">
        <v>26</v>
      </c>
      <c r="J49" s="85" t="s">
        <v>199</v>
      </c>
      <c r="K49" s="94" t="str">
        <f>VLOOKUP(I49,[7]stage_hints!$A:$C,3,FALSE)</f>
        <v>スキルレベルの効果</v>
      </c>
      <c r="L49" s="95" t="str">
        <f>VLOOKUP(I49,[7]stage_hints!$A:$D,4,FALSE)</f>
        <v>スキルレベルが上がると_x000D_短いターンでスキルを使うことができます</v>
      </c>
      <c r="M49" s="57" t="s">
        <v>212</v>
      </c>
    </row>
    <row r="50" spans="1:13" x14ac:dyDescent="0.15">
      <c r="A50" s="82" t="s">
        <v>202</v>
      </c>
      <c r="B50" s="83">
        <f>floors!$C$2</f>
        <v>20020</v>
      </c>
      <c r="C50" s="84" t="str">
        <f ca="1">VLOOKUP($B50,OFFSET([2]quests!$A$1,0,0,COUNTA([2]quests!$A:$A),MATCH(C$1,[2]quests!$1:$1,0)-MATCH($B$1,[2]quests!$1:$1,0)+1),MATCH(C$1,[2]quests!$1:$1,0)-MATCH($B$1,[2]quests!$1:$1,0)+1,FALSE)</f>
        <v>変幻自在の風</v>
      </c>
      <c r="D50" s="84" t="str">
        <f ca="1">VLOOKUP($B50,OFFSET([2]quests!$A$1,0,0,COUNTA([2]quests!$A:$A),MATCH(D$1,[2]quests!$1:$1,0)-MATCH($B$1,[2]quests!$1:$1,0)+1),MATCH(D$1,[2]quests!$1:$1,0)-MATCH($B$1,[2]quests!$1:$1,0)+1,FALSE)</f>
        <v>メソポタミア01</v>
      </c>
      <c r="E50" s="88">
        <v>2</v>
      </c>
      <c r="F50" s="84" t="str">
        <f ca="1">VLOOKUP($B50&amp;"_"&amp;$E50,OFFSET([2]stages!$A$1,0,0,COUNTA([2]stages!$A:$A),MATCH(F$1,[2]stages!$2:$2,0)-MATCH("temp_stage",[2]stages!$2:$2,0)+1),MATCH(F$1,[2]stages!$2:$2,0)-MATCH("temp_stage",[2]stages!$2:$2,0)+1,FALSE)</f>
        <v>【中級】変幻自在の風</v>
      </c>
      <c r="G50" s="84" t="str">
        <f ca="1">VLOOKUP($B50&amp;"_"&amp;$E50,OFFSET([2]stages!$A$1,0,0,COUNTA([2]stages!$A:$A),MATCH(G$1,[2]stages!$2:$2,0)-MATCH("temp_stage",[2]stages!$2:$2,0)+1),MATCH(G$1,[2]stages!$2:$2,0)-MATCH("temp_stage",[2]stages!$2:$2,0)+1,FALSE)</f>
        <v>メソポタミア01</v>
      </c>
      <c r="H50" s="86">
        <v>0</v>
      </c>
      <c r="I50">
        <v>27</v>
      </c>
      <c r="J50" s="85" t="s">
        <v>199</v>
      </c>
      <c r="K50" s="94" t="str">
        <f>VLOOKUP(I50,[7]stage_hints!$A:$C,3,FALSE)</f>
        <v>ホーム画面からデッキを編成</v>
      </c>
      <c r="L50" s="95" t="str">
        <f>VLOOKUP(I50,[7]stage_hints!$A:$D,4,FALSE)</f>
        <v>ホーム画面でユニットを長押しすると_x000D_すぐにパーティ編成に移動できます</v>
      </c>
      <c r="M50" s="57" t="s">
        <v>212</v>
      </c>
    </row>
    <row r="51" spans="1:13" x14ac:dyDescent="0.15">
      <c r="A51" s="82" t="s">
        <v>202</v>
      </c>
      <c r="B51" s="83">
        <f>floors!$C$2</f>
        <v>20020</v>
      </c>
      <c r="C51" s="84" t="str">
        <f ca="1">VLOOKUP($B51,OFFSET([2]quests!$A$1,0,0,COUNTA([2]quests!$A:$A),MATCH(C$1,[2]quests!$1:$1,0)-MATCH($B$1,[2]quests!$1:$1,0)+1),MATCH(C$1,[2]quests!$1:$1,0)-MATCH($B$1,[2]quests!$1:$1,0)+1,FALSE)</f>
        <v>変幻自在の風</v>
      </c>
      <c r="D51" s="84" t="str">
        <f ca="1">VLOOKUP($B51,OFFSET([2]quests!$A$1,0,0,COUNTA([2]quests!$A:$A),MATCH(D$1,[2]quests!$1:$1,0)-MATCH($B$1,[2]quests!$1:$1,0)+1),MATCH(D$1,[2]quests!$1:$1,0)-MATCH($B$1,[2]quests!$1:$1,0)+1,FALSE)</f>
        <v>メソポタミア01</v>
      </c>
      <c r="E51" s="88">
        <v>2</v>
      </c>
      <c r="F51" s="84" t="str">
        <f ca="1">VLOOKUP($B51&amp;"_"&amp;$E51,OFFSET([2]stages!$A$1,0,0,COUNTA([2]stages!$A:$A),MATCH(F$1,[2]stages!$2:$2,0)-MATCH("temp_stage",[2]stages!$2:$2,0)+1),MATCH(F$1,[2]stages!$2:$2,0)-MATCH("temp_stage",[2]stages!$2:$2,0)+1,FALSE)</f>
        <v>【中級】変幻自在の風</v>
      </c>
      <c r="G51" s="84" t="str">
        <f ca="1">VLOOKUP($B51&amp;"_"&amp;$E51,OFFSET([2]stages!$A$1,0,0,COUNTA([2]stages!$A:$A),MATCH(G$1,[2]stages!$2:$2,0)-MATCH("temp_stage",[2]stages!$2:$2,0)+1),MATCH(G$1,[2]stages!$2:$2,0)-MATCH("temp_stage",[2]stages!$2:$2,0)+1,FALSE)</f>
        <v>メソポタミア01</v>
      </c>
      <c r="H51" s="86">
        <v>0</v>
      </c>
      <c r="I51">
        <v>28</v>
      </c>
      <c r="J51" s="85" t="s">
        <v>199</v>
      </c>
      <c r="K51" s="94" t="str">
        <f>VLOOKUP(I51,[7]stage_hints!$A:$C,3,FALSE)</f>
        <v>ステータス情報は長押しで</v>
      </c>
      <c r="L51" s="95" t="str">
        <f>VLOOKUP(I51,[7]stage_hints!$A:$D,4,FALSE)</f>
        <v>ユニットのアイコンを長押しすると_x000D_ステータス情報を確認することができます</v>
      </c>
      <c r="M51" s="57" t="s">
        <v>212</v>
      </c>
    </row>
    <row r="52" spans="1:13" x14ac:dyDescent="0.15">
      <c r="A52" s="82" t="s">
        <v>202</v>
      </c>
      <c r="B52" s="83">
        <f>floors!$C$2</f>
        <v>20020</v>
      </c>
      <c r="C52" s="84" t="str">
        <f ca="1">VLOOKUP($B52,OFFSET([2]quests!$A$1,0,0,COUNTA([2]quests!$A:$A),MATCH(C$1,[2]quests!$1:$1,0)-MATCH($B$1,[2]quests!$1:$1,0)+1),MATCH(C$1,[2]quests!$1:$1,0)-MATCH($B$1,[2]quests!$1:$1,0)+1,FALSE)</f>
        <v>変幻自在の風</v>
      </c>
      <c r="D52" s="84" t="str">
        <f ca="1">VLOOKUP($B52,OFFSET([2]quests!$A$1,0,0,COUNTA([2]quests!$A:$A),MATCH(D$1,[2]quests!$1:$1,0)-MATCH($B$1,[2]quests!$1:$1,0)+1),MATCH(D$1,[2]quests!$1:$1,0)-MATCH($B$1,[2]quests!$1:$1,0)+1,FALSE)</f>
        <v>メソポタミア01</v>
      </c>
      <c r="E52" s="88">
        <v>2</v>
      </c>
      <c r="F52" s="84" t="str">
        <f ca="1">VLOOKUP($B52&amp;"_"&amp;$E52,OFFSET([2]stages!$A$1,0,0,COUNTA([2]stages!$A:$A),MATCH(F$1,[2]stages!$2:$2,0)-MATCH("temp_stage",[2]stages!$2:$2,0)+1),MATCH(F$1,[2]stages!$2:$2,0)-MATCH("temp_stage",[2]stages!$2:$2,0)+1,FALSE)</f>
        <v>【中級】変幻自在の風</v>
      </c>
      <c r="G52" s="84" t="str">
        <f ca="1">VLOOKUP($B52&amp;"_"&amp;$E52,OFFSET([2]stages!$A$1,0,0,COUNTA([2]stages!$A:$A),MATCH(G$1,[2]stages!$2:$2,0)-MATCH("temp_stage",[2]stages!$2:$2,0)+1),MATCH(G$1,[2]stages!$2:$2,0)-MATCH("temp_stage",[2]stages!$2:$2,0)+1,FALSE)</f>
        <v>メソポタミア01</v>
      </c>
      <c r="H52" s="86">
        <v>0</v>
      </c>
      <c r="I52">
        <v>29</v>
      </c>
      <c r="J52" s="85" t="s">
        <v>199</v>
      </c>
      <c r="K52" s="94" t="str">
        <f>VLOOKUP(I52,[7]stage_hints!$A:$C,3,FALSE)</f>
        <v>「バグ」のメリット</v>
      </c>
      <c r="L52" s="95" t="str">
        <f>VLOOKUP(I52,[7]stage_hints!$A:$D,4,FALSE)</f>
        <v>ユニットの「バグ」を増やすと_x000D_報酬をもらえる確率がアップします</v>
      </c>
      <c r="M52" s="57" t="s">
        <v>212</v>
      </c>
    </row>
    <row r="53" spans="1:13" x14ac:dyDescent="0.15">
      <c r="A53" s="82" t="s">
        <v>202</v>
      </c>
      <c r="B53" s="83">
        <f>floors!$C$2</f>
        <v>20020</v>
      </c>
      <c r="C53" s="84" t="str">
        <f ca="1">VLOOKUP($B53,OFFSET([2]quests!$A$1,0,0,COUNTA([2]quests!$A:$A),MATCH(C$1,[2]quests!$1:$1,0)-MATCH($B$1,[2]quests!$1:$1,0)+1),MATCH(C$1,[2]quests!$1:$1,0)-MATCH($B$1,[2]quests!$1:$1,0)+1,FALSE)</f>
        <v>変幻自在の風</v>
      </c>
      <c r="D53" s="84" t="str">
        <f ca="1">VLOOKUP($B53,OFFSET([2]quests!$A$1,0,0,COUNTA([2]quests!$A:$A),MATCH(D$1,[2]quests!$1:$1,0)-MATCH($B$1,[2]quests!$1:$1,0)+1),MATCH(D$1,[2]quests!$1:$1,0)-MATCH($B$1,[2]quests!$1:$1,0)+1,FALSE)</f>
        <v>メソポタミア01</v>
      </c>
      <c r="E53" s="88">
        <v>2</v>
      </c>
      <c r="F53" s="84" t="str">
        <f ca="1">VLOOKUP($B53&amp;"_"&amp;$E53,OFFSET([2]stages!$A$1,0,0,COUNTA([2]stages!$A:$A),MATCH(F$1,[2]stages!$2:$2,0)-MATCH("temp_stage",[2]stages!$2:$2,0)+1),MATCH(F$1,[2]stages!$2:$2,0)-MATCH("temp_stage",[2]stages!$2:$2,0)+1,FALSE)</f>
        <v>【中級】変幻自在の風</v>
      </c>
      <c r="G53" s="84" t="str">
        <f ca="1">VLOOKUP($B53&amp;"_"&amp;$E53,OFFSET([2]stages!$A$1,0,0,COUNTA([2]stages!$A:$A),MATCH(G$1,[2]stages!$2:$2,0)-MATCH("temp_stage",[2]stages!$2:$2,0)+1),MATCH(G$1,[2]stages!$2:$2,0)-MATCH("temp_stage",[2]stages!$2:$2,0)+1,FALSE)</f>
        <v>メソポタミア01</v>
      </c>
      <c r="H53" s="86">
        <v>0</v>
      </c>
      <c r="I53">
        <v>30</v>
      </c>
      <c r="J53" s="85" t="s">
        <v>199</v>
      </c>
      <c r="K53" s="94" t="str">
        <f>VLOOKUP(I53,[7]stage_hints!$A:$C,3,FALSE)</f>
        <v>「バグ」の増やし方</v>
      </c>
      <c r="L53" s="95" t="str">
        <f>VLOOKUP(I53,[7]stage_hints!$A:$D,4,FALSE)</f>
        <v>同じユニット同士を強化で合成すると_x000D_「バグ」を増やすことができます</v>
      </c>
      <c r="M53" s="57" t="s">
        <v>212</v>
      </c>
    </row>
    <row r="54" spans="1:13" x14ac:dyDescent="0.15">
      <c r="A54" s="82" t="s">
        <v>202</v>
      </c>
      <c r="B54" s="83">
        <f>floors!$C$2</f>
        <v>20020</v>
      </c>
      <c r="C54" s="84" t="str">
        <f ca="1">VLOOKUP($B54,OFFSET([2]quests!$A$1,0,0,COUNTA([2]quests!$A:$A),MATCH(C$1,[2]quests!$1:$1,0)-MATCH($B$1,[2]quests!$1:$1,0)+1),MATCH(C$1,[2]quests!$1:$1,0)-MATCH($B$1,[2]quests!$1:$1,0)+1,FALSE)</f>
        <v>変幻自在の風</v>
      </c>
      <c r="D54" s="84" t="str">
        <f ca="1">VLOOKUP($B54,OFFSET([2]quests!$A$1,0,0,COUNTA([2]quests!$A:$A),MATCH(D$1,[2]quests!$1:$1,0)-MATCH($B$1,[2]quests!$1:$1,0)+1),MATCH(D$1,[2]quests!$1:$1,0)-MATCH($B$1,[2]quests!$1:$1,0)+1,FALSE)</f>
        <v>メソポタミア01</v>
      </c>
      <c r="E54" s="88">
        <v>2</v>
      </c>
      <c r="F54" s="84" t="str">
        <f ca="1">VLOOKUP($B54&amp;"_"&amp;$E54,OFFSET([2]stages!$A$1,0,0,COUNTA([2]stages!$A:$A),MATCH(F$1,[2]stages!$2:$2,0)-MATCH("temp_stage",[2]stages!$2:$2,0)+1),MATCH(F$1,[2]stages!$2:$2,0)-MATCH("temp_stage",[2]stages!$2:$2,0)+1,FALSE)</f>
        <v>【中級】変幻自在の風</v>
      </c>
      <c r="G54" s="84" t="str">
        <f ca="1">VLOOKUP($B54&amp;"_"&amp;$E54,OFFSET([2]stages!$A$1,0,0,COUNTA([2]stages!$A:$A),MATCH(G$1,[2]stages!$2:$2,0)-MATCH("temp_stage",[2]stages!$2:$2,0)+1),MATCH(G$1,[2]stages!$2:$2,0)-MATCH("temp_stage",[2]stages!$2:$2,0)+1,FALSE)</f>
        <v>メソポタミア01</v>
      </c>
      <c r="H54" s="86">
        <v>0</v>
      </c>
      <c r="I54">
        <v>31</v>
      </c>
      <c r="J54" s="85" t="s">
        <v>199</v>
      </c>
      <c r="K54" s="94" t="str">
        <f>VLOOKUP(I54,[7]stage_hints!$A:$C,3,FALSE)</f>
        <v>イベントはお知らせでチェック</v>
      </c>
      <c r="L54" s="95" t="str">
        <f>VLOOKUP(I54,[7]stage_hints!$A:$D,4,FALSE)</f>
        <v>イベント限定ユニットを取り忘れないように_x000D_お知らせをこまめにチェックしましょう</v>
      </c>
      <c r="M54" s="57" t="s">
        <v>212</v>
      </c>
    </row>
    <row r="55" spans="1:13" x14ac:dyDescent="0.15">
      <c r="A55" s="82" t="s">
        <v>202</v>
      </c>
      <c r="B55" s="83">
        <f>floors!$C$2</f>
        <v>20020</v>
      </c>
      <c r="C55" s="84" t="str">
        <f ca="1">VLOOKUP($B55,OFFSET([2]quests!$A$1,0,0,COUNTA([2]quests!$A:$A),MATCH(C$1,[2]quests!$1:$1,0)-MATCH($B$1,[2]quests!$1:$1,0)+1),MATCH(C$1,[2]quests!$1:$1,0)-MATCH($B$1,[2]quests!$1:$1,0)+1,FALSE)</f>
        <v>変幻自在の風</v>
      </c>
      <c r="D55" s="84" t="str">
        <f ca="1">VLOOKUP($B55,OFFSET([2]quests!$A$1,0,0,COUNTA([2]quests!$A:$A),MATCH(D$1,[2]quests!$1:$1,0)-MATCH($B$1,[2]quests!$1:$1,0)+1),MATCH(D$1,[2]quests!$1:$1,0)-MATCH($B$1,[2]quests!$1:$1,0)+1,FALSE)</f>
        <v>メソポタミア01</v>
      </c>
      <c r="E55" s="88">
        <v>2</v>
      </c>
      <c r="F55" s="84" t="str">
        <f ca="1">VLOOKUP($B55&amp;"_"&amp;$E55,OFFSET([2]stages!$A$1,0,0,COUNTA([2]stages!$A:$A),MATCH(F$1,[2]stages!$2:$2,0)-MATCH("temp_stage",[2]stages!$2:$2,0)+1),MATCH(F$1,[2]stages!$2:$2,0)-MATCH("temp_stage",[2]stages!$2:$2,0)+1,FALSE)</f>
        <v>【中級】変幻自在の風</v>
      </c>
      <c r="G55" s="84" t="str">
        <f ca="1">VLOOKUP($B55&amp;"_"&amp;$E55,OFFSET([2]stages!$A$1,0,0,COUNTA([2]stages!$A:$A),MATCH(G$1,[2]stages!$2:$2,0)-MATCH("temp_stage",[2]stages!$2:$2,0)+1),MATCH(G$1,[2]stages!$2:$2,0)-MATCH("temp_stage",[2]stages!$2:$2,0)+1,FALSE)</f>
        <v>メソポタミア01</v>
      </c>
      <c r="H55" s="86">
        <v>0</v>
      </c>
      <c r="I55">
        <v>32</v>
      </c>
      <c r="J55" s="85" t="s">
        <v>199</v>
      </c>
      <c r="K55" s="94" t="str">
        <f>VLOOKUP(I55,[7]stage_hints!$A:$C,3,FALSE)</f>
        <v>敵の連続攻撃には</v>
      </c>
      <c r="L55" s="95" t="str">
        <f>VLOOKUP(I55,[7]stage_hints!$A:$D,4,FALSE)</f>
        <v>カウンタースキルを持つユニットがいれば_x000D_ダメージ回数分の反撃ができます</v>
      </c>
      <c r="M55" s="57" t="s">
        <v>212</v>
      </c>
    </row>
    <row r="56" spans="1:13" x14ac:dyDescent="0.15">
      <c r="A56" s="82" t="s">
        <v>202</v>
      </c>
      <c r="B56" s="83">
        <f>floors!$C$2</f>
        <v>20020</v>
      </c>
      <c r="C56" s="84" t="str">
        <f ca="1">VLOOKUP($B56,OFFSET([2]quests!$A$1,0,0,COUNTA([2]quests!$A:$A),MATCH(C$1,[2]quests!$1:$1,0)-MATCH($B$1,[2]quests!$1:$1,0)+1),MATCH(C$1,[2]quests!$1:$1,0)-MATCH($B$1,[2]quests!$1:$1,0)+1,FALSE)</f>
        <v>変幻自在の風</v>
      </c>
      <c r="D56" s="84" t="str">
        <f ca="1">VLOOKUP($B56,OFFSET([2]quests!$A$1,0,0,COUNTA([2]quests!$A:$A),MATCH(D$1,[2]quests!$1:$1,0)-MATCH($B$1,[2]quests!$1:$1,0)+1),MATCH(D$1,[2]quests!$1:$1,0)-MATCH($B$1,[2]quests!$1:$1,0)+1,FALSE)</f>
        <v>メソポタミア01</v>
      </c>
      <c r="E56" s="88">
        <v>2</v>
      </c>
      <c r="F56" s="84" t="str">
        <f ca="1">VLOOKUP($B56&amp;"_"&amp;$E56,OFFSET([2]stages!$A$1,0,0,COUNTA([2]stages!$A:$A),MATCH(F$1,[2]stages!$2:$2,0)-MATCH("temp_stage",[2]stages!$2:$2,0)+1),MATCH(F$1,[2]stages!$2:$2,0)-MATCH("temp_stage",[2]stages!$2:$2,0)+1,FALSE)</f>
        <v>【中級】変幻自在の風</v>
      </c>
      <c r="G56" s="84" t="str">
        <f ca="1">VLOOKUP($B56&amp;"_"&amp;$E56,OFFSET([2]stages!$A$1,0,0,COUNTA([2]stages!$A:$A),MATCH(G$1,[2]stages!$2:$2,0)-MATCH("temp_stage",[2]stages!$2:$2,0)+1),MATCH(G$1,[2]stages!$2:$2,0)-MATCH("temp_stage",[2]stages!$2:$2,0)+1,FALSE)</f>
        <v>メソポタミア01</v>
      </c>
      <c r="H56" s="86">
        <v>0</v>
      </c>
      <c r="I56">
        <v>33</v>
      </c>
      <c r="J56" s="85" t="s">
        <v>199</v>
      </c>
      <c r="K56" s="94" t="str">
        <f>VLOOKUP(I56,[7]stage_hints!$A:$C,3,FALSE)</f>
        <v>敵のカウンター攻撃には</v>
      </c>
      <c r="L56" s="95" t="str">
        <f>VLOOKUP(I56,[7]stage_hints!$A:$D,4,FALSE)</f>
        <v>カウンターブレイクスキルを持っていれば_x000D_敵のカウンターを解除して攻撃ができます</v>
      </c>
      <c r="M56" s="57" t="s">
        <v>212</v>
      </c>
    </row>
    <row r="57" spans="1:13" x14ac:dyDescent="0.15">
      <c r="A57" s="82" t="s">
        <v>202</v>
      </c>
      <c r="B57" s="83">
        <f>floors!$C$2</f>
        <v>20020</v>
      </c>
      <c r="C57" s="84" t="str">
        <f ca="1">VLOOKUP($B57,OFFSET([2]quests!$A$1,0,0,COUNTA([2]quests!$A:$A),MATCH(C$1,[2]quests!$1:$1,0)-MATCH($B$1,[2]quests!$1:$1,0)+1),MATCH(C$1,[2]quests!$1:$1,0)-MATCH($B$1,[2]quests!$1:$1,0)+1,FALSE)</f>
        <v>変幻自在の風</v>
      </c>
      <c r="D57" s="84" t="str">
        <f ca="1">VLOOKUP($B57,OFFSET([2]quests!$A$1,0,0,COUNTA([2]quests!$A:$A),MATCH(D$1,[2]quests!$1:$1,0)-MATCH($B$1,[2]quests!$1:$1,0)+1),MATCH(D$1,[2]quests!$1:$1,0)-MATCH($B$1,[2]quests!$1:$1,0)+1,FALSE)</f>
        <v>メソポタミア01</v>
      </c>
      <c r="E57" s="88">
        <v>2</v>
      </c>
      <c r="F57" s="84" t="str">
        <f ca="1">VLOOKUP($B57&amp;"_"&amp;$E57,OFFSET([2]stages!$A$1,0,0,COUNTA([2]stages!$A:$A),MATCH(F$1,[2]stages!$2:$2,0)-MATCH("temp_stage",[2]stages!$2:$2,0)+1),MATCH(F$1,[2]stages!$2:$2,0)-MATCH("temp_stage",[2]stages!$2:$2,0)+1,FALSE)</f>
        <v>【中級】変幻自在の風</v>
      </c>
      <c r="G57" s="84" t="str">
        <f ca="1">VLOOKUP($B57&amp;"_"&amp;$E57,OFFSET([2]stages!$A$1,0,0,COUNTA([2]stages!$A:$A),MATCH(G$1,[2]stages!$2:$2,0)-MATCH("temp_stage",[2]stages!$2:$2,0)+1),MATCH(G$1,[2]stages!$2:$2,0)-MATCH("temp_stage",[2]stages!$2:$2,0)+1,FALSE)</f>
        <v>メソポタミア01</v>
      </c>
      <c r="H57" s="86">
        <v>0</v>
      </c>
      <c r="I57">
        <v>34</v>
      </c>
      <c r="J57" s="85" t="s">
        <v>199</v>
      </c>
      <c r="K57" s="94" t="str">
        <f>VLOOKUP(I57,[7]stage_hints!$A:$C,3,FALSE)</f>
        <v>ステータスをスキルで下げられたら</v>
      </c>
      <c r="L57" s="95" t="str">
        <f>VLOOKUP(I57,[7]stage_hints!$A:$D,4,FALSE)</f>
        <v>ステータスダウンのスキルを受けたら_x000D_ステータスアップスキルで上書きしましょう</v>
      </c>
      <c r="M57" s="57" t="s">
        <v>212</v>
      </c>
    </row>
    <row r="58" spans="1:13" x14ac:dyDescent="0.15">
      <c r="A58" s="82" t="s">
        <v>202</v>
      </c>
      <c r="B58" s="83">
        <f>floors!$C$2</f>
        <v>20020</v>
      </c>
      <c r="C58" s="84" t="str">
        <f ca="1">VLOOKUP($B58,OFFSET([2]quests!$A$1,0,0,COUNTA([2]quests!$A:$A),MATCH(C$1,[2]quests!$1:$1,0)-MATCH($B$1,[2]quests!$1:$1,0)+1),MATCH(C$1,[2]quests!$1:$1,0)-MATCH($B$1,[2]quests!$1:$1,0)+1,FALSE)</f>
        <v>変幻自在の風</v>
      </c>
      <c r="D58" s="84" t="str">
        <f ca="1">VLOOKUP($B58,OFFSET([2]quests!$A$1,0,0,COUNTA([2]quests!$A:$A),MATCH(D$1,[2]quests!$1:$1,0)-MATCH($B$1,[2]quests!$1:$1,0)+1),MATCH(D$1,[2]quests!$1:$1,0)-MATCH($B$1,[2]quests!$1:$1,0)+1,FALSE)</f>
        <v>メソポタミア01</v>
      </c>
      <c r="E58" s="88">
        <v>2</v>
      </c>
      <c r="F58" s="84" t="str">
        <f ca="1">VLOOKUP($B58&amp;"_"&amp;$E58,OFFSET([2]stages!$A$1,0,0,COUNTA([2]stages!$A:$A),MATCH(F$1,[2]stages!$2:$2,0)-MATCH("temp_stage",[2]stages!$2:$2,0)+1),MATCH(F$1,[2]stages!$2:$2,0)-MATCH("temp_stage",[2]stages!$2:$2,0)+1,FALSE)</f>
        <v>【中級】変幻自在の風</v>
      </c>
      <c r="G58" s="84" t="str">
        <f ca="1">VLOOKUP($B58&amp;"_"&amp;$E58,OFFSET([2]stages!$A$1,0,0,COUNTA([2]stages!$A:$A),MATCH(G$1,[2]stages!$2:$2,0)-MATCH("temp_stage",[2]stages!$2:$2,0)+1),MATCH(G$1,[2]stages!$2:$2,0)-MATCH("temp_stage",[2]stages!$2:$2,0)+1,FALSE)</f>
        <v>メソポタミア01</v>
      </c>
      <c r="H58" s="86">
        <v>0</v>
      </c>
      <c r="I58">
        <v>35</v>
      </c>
      <c r="J58" s="85" t="s">
        <v>199</v>
      </c>
      <c r="K58" s="94" t="str">
        <f>VLOOKUP(I58,[7]stage_hints!$A:$C,3,FALSE)</f>
        <v>敵のステータスがスキルで上がったら</v>
      </c>
      <c r="L58" s="95" t="str">
        <f>VLOOKUP(I58,[7]stage_hints!$A:$D,4,FALSE)</f>
        <v>敵のステータスがスキルでアップしたときは_x000D_ステータスダウンスキルで上書きしましょう</v>
      </c>
      <c r="M58" s="57" t="s">
        <v>212</v>
      </c>
    </row>
    <row r="59" spans="1:13" x14ac:dyDescent="0.15">
      <c r="A59" s="82" t="s">
        <v>202</v>
      </c>
      <c r="B59" s="83">
        <f>floors!$C$2</f>
        <v>20020</v>
      </c>
      <c r="C59" s="84" t="str">
        <f ca="1">VLOOKUP($B59,OFFSET([2]quests!$A$1,0,0,COUNTA([2]quests!$A:$A),MATCH(C$1,[2]quests!$1:$1,0)-MATCH($B$1,[2]quests!$1:$1,0)+1),MATCH(C$1,[2]quests!$1:$1,0)-MATCH($B$1,[2]quests!$1:$1,0)+1,FALSE)</f>
        <v>変幻自在の風</v>
      </c>
      <c r="D59" s="84" t="str">
        <f ca="1">VLOOKUP($B59,OFFSET([2]quests!$A$1,0,0,COUNTA([2]quests!$A:$A),MATCH(D$1,[2]quests!$1:$1,0)-MATCH($B$1,[2]quests!$1:$1,0)+1),MATCH(D$1,[2]quests!$1:$1,0)-MATCH($B$1,[2]quests!$1:$1,0)+1,FALSE)</f>
        <v>メソポタミア01</v>
      </c>
      <c r="E59" s="88">
        <v>2</v>
      </c>
      <c r="F59" s="84" t="str">
        <f ca="1">VLOOKUP($B59&amp;"_"&amp;$E59,OFFSET([2]stages!$A$1,0,0,COUNTA([2]stages!$A:$A),MATCH(F$1,[2]stages!$2:$2,0)-MATCH("temp_stage",[2]stages!$2:$2,0)+1),MATCH(F$1,[2]stages!$2:$2,0)-MATCH("temp_stage",[2]stages!$2:$2,0)+1,FALSE)</f>
        <v>【中級】変幻自在の風</v>
      </c>
      <c r="G59" s="84" t="str">
        <f ca="1">VLOOKUP($B59&amp;"_"&amp;$E59,OFFSET([2]stages!$A$1,0,0,COUNTA([2]stages!$A:$A),MATCH(G$1,[2]stages!$2:$2,0)-MATCH("temp_stage",[2]stages!$2:$2,0)+1),MATCH(G$1,[2]stages!$2:$2,0)-MATCH("temp_stage",[2]stages!$2:$2,0)+1,FALSE)</f>
        <v>メソポタミア01</v>
      </c>
      <c r="H59" s="86">
        <v>0</v>
      </c>
      <c r="I59">
        <v>39</v>
      </c>
      <c r="J59" s="85" t="s">
        <v>199</v>
      </c>
      <c r="K59" s="94" t="str">
        <f>VLOOKUP(I59,[7]stage_hints!$A:$C,3,FALSE)</f>
        <v>システム適合者を確認</v>
      </c>
      <c r="L59" s="95" t="str">
        <f>VLOOKUP(I59,[7]stage_hints!$A:$D,4,FALSE)</f>
        <v>ALICEが 「アナタ」を呼んでいます</v>
      </c>
      <c r="M59" s="57" t="s">
        <v>212</v>
      </c>
    </row>
    <row r="60" spans="1:13" x14ac:dyDescent="0.15">
      <c r="A60" s="82" t="s">
        <v>202</v>
      </c>
      <c r="B60" s="83">
        <f>floors!$C$2</f>
        <v>20020</v>
      </c>
      <c r="C60" s="84" t="str">
        <f ca="1">VLOOKUP($B60,OFFSET([2]quests!$A$1,0,0,COUNTA([2]quests!$A:$A),MATCH(C$1,[2]quests!$1:$1,0)-MATCH($B$1,[2]quests!$1:$1,0)+1),MATCH(C$1,[2]quests!$1:$1,0)-MATCH($B$1,[2]quests!$1:$1,0)+1,FALSE)</f>
        <v>変幻自在の風</v>
      </c>
      <c r="D60" s="84" t="str">
        <f ca="1">VLOOKUP($B60,OFFSET([2]quests!$A$1,0,0,COUNTA([2]quests!$A:$A),MATCH(D$1,[2]quests!$1:$1,0)-MATCH($B$1,[2]quests!$1:$1,0)+1),MATCH(D$1,[2]quests!$1:$1,0)-MATCH($B$1,[2]quests!$1:$1,0)+1,FALSE)</f>
        <v>メソポタミア01</v>
      </c>
      <c r="E60" s="88">
        <v>3</v>
      </c>
      <c r="F60" s="84" t="str">
        <f ca="1">VLOOKUP($B60&amp;"_"&amp;$E60,OFFSET([2]stages!$A$1,0,0,COUNTA([2]stages!$A:$A),MATCH(F$1,[2]stages!$2:$2,0)-MATCH("temp_stage",[2]stages!$2:$2,0)+1),MATCH(F$1,[2]stages!$2:$2,0)-MATCH("temp_stage",[2]stages!$2:$2,0)+1,FALSE)</f>
        <v>【上級】変幻自在の風</v>
      </c>
      <c r="G60" s="84" t="str">
        <f ca="1">VLOOKUP($B60&amp;"_"&amp;$E60,OFFSET([2]stages!$A$1,0,0,COUNTA([2]stages!$A:$A),MATCH(G$1,[2]stages!$2:$2,0)-MATCH("temp_stage",[2]stages!$2:$2,0)+1),MATCH(G$1,[2]stages!$2:$2,0)-MATCH("temp_stage",[2]stages!$2:$2,0)+1,FALSE)</f>
        <v>メソポタミア01</v>
      </c>
      <c r="H60" s="86">
        <v>0</v>
      </c>
      <c r="I60" s="97">
        <v>3</v>
      </c>
      <c r="J60" s="85" t="s">
        <v>199</v>
      </c>
      <c r="K60" s="94" t="str">
        <f>VLOOKUP(I60,[7]stage_hints!$A:$C,3,FALSE)</f>
        <v>ターゲット</v>
      </c>
      <c r="L60" s="95" t="str">
        <f>VLOOKUP(I60,[7]stage_hints!$A:$D,4,FALSE)</f>
        <v>敵ユニットをタップすると_x000D_その敵を狙い撃ちできます</v>
      </c>
      <c r="M60" s="57" t="s">
        <v>212</v>
      </c>
    </row>
    <row r="61" spans="1:13" x14ac:dyDescent="0.15">
      <c r="A61" s="82" t="s">
        <v>202</v>
      </c>
      <c r="B61" s="83">
        <f>floors!$C$2</f>
        <v>20020</v>
      </c>
      <c r="C61" s="84" t="str">
        <f ca="1">VLOOKUP($B61,OFFSET([2]quests!$A$1,0,0,COUNTA([2]quests!$A:$A),MATCH(C$1,[2]quests!$1:$1,0)-MATCH($B$1,[2]quests!$1:$1,0)+1),MATCH(C$1,[2]quests!$1:$1,0)-MATCH($B$1,[2]quests!$1:$1,0)+1,FALSE)</f>
        <v>変幻自在の風</v>
      </c>
      <c r="D61" s="84" t="str">
        <f ca="1">VLOOKUP($B61,OFFSET([2]quests!$A$1,0,0,COUNTA([2]quests!$A:$A),MATCH(D$1,[2]quests!$1:$1,0)-MATCH($B$1,[2]quests!$1:$1,0)+1),MATCH(D$1,[2]quests!$1:$1,0)-MATCH($B$1,[2]quests!$1:$1,0)+1,FALSE)</f>
        <v>メソポタミア01</v>
      </c>
      <c r="E61" s="88">
        <v>3</v>
      </c>
      <c r="F61" s="84" t="str">
        <f ca="1">VLOOKUP($B61&amp;"_"&amp;$E61,OFFSET([2]stages!$A$1,0,0,COUNTA([2]stages!$A:$A),MATCH(F$1,[2]stages!$2:$2,0)-MATCH("temp_stage",[2]stages!$2:$2,0)+1),MATCH(F$1,[2]stages!$2:$2,0)-MATCH("temp_stage",[2]stages!$2:$2,0)+1,FALSE)</f>
        <v>【上級】変幻自在の風</v>
      </c>
      <c r="G61" s="84" t="str">
        <f ca="1">VLOOKUP($B61&amp;"_"&amp;$E61,OFFSET([2]stages!$A$1,0,0,COUNTA([2]stages!$A:$A),MATCH(G$1,[2]stages!$2:$2,0)-MATCH("temp_stage",[2]stages!$2:$2,0)+1),MATCH(G$1,[2]stages!$2:$2,0)-MATCH("temp_stage",[2]stages!$2:$2,0)+1,FALSE)</f>
        <v>メソポタミア01</v>
      </c>
      <c r="H61" s="86">
        <v>0</v>
      </c>
      <c r="I61" s="97">
        <v>6</v>
      </c>
      <c r="J61" s="85" t="s">
        <v>199</v>
      </c>
      <c r="K61" s="94" t="str">
        <f>VLOOKUP(I61,[7]stage_hints!$A:$C,3,FALSE)</f>
        <v>ユニット強化の属性ボーナス</v>
      </c>
      <c r="L61" s="95" t="str">
        <f>VLOOKUP(I61,[7]stage_hints!$A:$D,4,FALSE)</f>
        <v>同属性ユニットを強化素材にすると_x000D_経験値が多くもらえます</v>
      </c>
      <c r="M61" s="57" t="s">
        <v>212</v>
      </c>
    </row>
    <row r="62" spans="1:13" x14ac:dyDescent="0.15">
      <c r="A62" s="82" t="s">
        <v>202</v>
      </c>
      <c r="B62" s="83">
        <f>floors!$C$2</f>
        <v>20020</v>
      </c>
      <c r="C62" s="84" t="str">
        <f ca="1">VLOOKUP($B62,OFFSET([2]quests!$A$1,0,0,COUNTA([2]quests!$A:$A),MATCH(C$1,[2]quests!$1:$1,0)-MATCH($B$1,[2]quests!$1:$1,0)+1),MATCH(C$1,[2]quests!$1:$1,0)-MATCH($B$1,[2]quests!$1:$1,0)+1,FALSE)</f>
        <v>変幻自在の風</v>
      </c>
      <c r="D62" s="84" t="str">
        <f ca="1">VLOOKUP($B62,OFFSET([2]quests!$A$1,0,0,COUNTA([2]quests!$A:$A),MATCH(D$1,[2]quests!$1:$1,0)-MATCH($B$1,[2]quests!$1:$1,0)+1),MATCH(D$1,[2]quests!$1:$1,0)-MATCH($B$1,[2]quests!$1:$1,0)+1,FALSE)</f>
        <v>メソポタミア01</v>
      </c>
      <c r="E62" s="88">
        <v>3</v>
      </c>
      <c r="F62" s="84" t="str">
        <f ca="1">VLOOKUP($B62&amp;"_"&amp;$E62,OFFSET([2]stages!$A$1,0,0,COUNTA([2]stages!$A:$A),MATCH(F$1,[2]stages!$2:$2,0)-MATCH("temp_stage",[2]stages!$2:$2,0)+1),MATCH(F$1,[2]stages!$2:$2,0)-MATCH("temp_stage",[2]stages!$2:$2,0)+1,FALSE)</f>
        <v>【上級】変幻自在の風</v>
      </c>
      <c r="G62" s="84" t="str">
        <f ca="1">VLOOKUP($B62&amp;"_"&amp;$E62,OFFSET([2]stages!$A$1,0,0,COUNTA([2]stages!$A:$A),MATCH(G$1,[2]stages!$2:$2,0)-MATCH("temp_stage",[2]stages!$2:$2,0)+1),MATCH(G$1,[2]stages!$2:$2,0)-MATCH("temp_stage",[2]stages!$2:$2,0)+1,FALSE)</f>
        <v>メソポタミア01</v>
      </c>
      <c r="H62" s="86">
        <v>0</v>
      </c>
      <c r="I62" s="97">
        <v>7</v>
      </c>
      <c r="J62" s="85" t="s">
        <v>199</v>
      </c>
      <c r="K62" s="94" t="str">
        <f>VLOOKUP(I62,[7]stage_hints!$A:$C,3,FALSE)</f>
        <v>メタルダックで経験値を獲得</v>
      </c>
      <c r="L62" s="95" t="str">
        <f>VLOOKUP(I62,[7]stage_hints!$A:$D,4,FALSE)</f>
        <v>「メタルなアヒル」を強化素材にすると_x000D_大量の経験値がもらえます</v>
      </c>
      <c r="M62" s="57" t="s">
        <v>212</v>
      </c>
    </row>
    <row r="63" spans="1:13" x14ac:dyDescent="0.15">
      <c r="A63" s="82" t="s">
        <v>202</v>
      </c>
      <c r="B63" s="83">
        <f>floors!$C$2</f>
        <v>20020</v>
      </c>
      <c r="C63" s="84" t="str">
        <f ca="1">VLOOKUP($B63,OFFSET([2]quests!$A$1,0,0,COUNTA([2]quests!$A:$A),MATCH(C$1,[2]quests!$1:$1,0)-MATCH($B$1,[2]quests!$1:$1,0)+1),MATCH(C$1,[2]quests!$1:$1,0)-MATCH($B$1,[2]quests!$1:$1,0)+1,FALSE)</f>
        <v>変幻自在の風</v>
      </c>
      <c r="D63" s="84" t="str">
        <f ca="1">VLOOKUP($B63,OFFSET([2]quests!$A$1,0,0,COUNTA([2]quests!$A:$A),MATCH(D$1,[2]quests!$1:$1,0)-MATCH($B$1,[2]quests!$1:$1,0)+1),MATCH(D$1,[2]quests!$1:$1,0)-MATCH($B$1,[2]quests!$1:$1,0)+1,FALSE)</f>
        <v>メソポタミア01</v>
      </c>
      <c r="E63" s="88">
        <v>3</v>
      </c>
      <c r="F63" s="84" t="str">
        <f ca="1">VLOOKUP($B63&amp;"_"&amp;$E63,OFFSET([2]stages!$A$1,0,0,COUNTA([2]stages!$A:$A),MATCH(F$1,[2]stages!$2:$2,0)-MATCH("temp_stage",[2]stages!$2:$2,0)+1),MATCH(F$1,[2]stages!$2:$2,0)-MATCH("temp_stage",[2]stages!$2:$2,0)+1,FALSE)</f>
        <v>【上級】変幻自在の風</v>
      </c>
      <c r="G63" s="84" t="str">
        <f ca="1">VLOOKUP($B63&amp;"_"&amp;$E63,OFFSET([2]stages!$A$1,0,0,COUNTA([2]stages!$A:$A),MATCH(G$1,[2]stages!$2:$2,0)-MATCH("temp_stage",[2]stages!$2:$2,0)+1),MATCH(G$1,[2]stages!$2:$2,0)-MATCH("temp_stage",[2]stages!$2:$2,0)+1,FALSE)</f>
        <v>メソポタミア01</v>
      </c>
      <c r="H63" s="86">
        <v>0</v>
      </c>
      <c r="I63" s="97">
        <v>8</v>
      </c>
      <c r="J63" s="85" t="s">
        <v>199</v>
      </c>
      <c r="K63" s="94" t="str">
        <f>VLOOKUP(I63,[7]stage_hints!$A:$C,3,FALSE)</f>
        <v>ゲリラクエストは要チェック</v>
      </c>
      <c r="L63" s="95" t="str">
        <f>VLOOKUP(I63,[7]stage_hints!$A:$D,4,FALSE)</f>
        <v>時間限定の「アヒル捕獲作戦」では_x000D_経験値素材ユニットが多く手に入ります</v>
      </c>
      <c r="M63" s="57" t="s">
        <v>212</v>
      </c>
    </row>
    <row r="64" spans="1:13" x14ac:dyDescent="0.15">
      <c r="A64" s="82" t="s">
        <v>202</v>
      </c>
      <c r="B64" s="83">
        <f>floors!$C$2</f>
        <v>20020</v>
      </c>
      <c r="C64" s="84" t="str">
        <f ca="1">VLOOKUP($B64,OFFSET([2]quests!$A$1,0,0,COUNTA([2]quests!$A:$A),MATCH(C$1,[2]quests!$1:$1,0)-MATCH($B$1,[2]quests!$1:$1,0)+1),MATCH(C$1,[2]quests!$1:$1,0)-MATCH($B$1,[2]quests!$1:$1,0)+1,FALSE)</f>
        <v>変幻自在の風</v>
      </c>
      <c r="D64" s="84" t="str">
        <f ca="1">VLOOKUP($B64,OFFSET([2]quests!$A$1,0,0,COUNTA([2]quests!$A:$A),MATCH(D$1,[2]quests!$1:$1,0)-MATCH($B$1,[2]quests!$1:$1,0)+1),MATCH(D$1,[2]quests!$1:$1,0)-MATCH($B$1,[2]quests!$1:$1,0)+1,FALSE)</f>
        <v>メソポタミア01</v>
      </c>
      <c r="E64" s="88">
        <v>3</v>
      </c>
      <c r="F64" s="84" t="str">
        <f ca="1">VLOOKUP($B64&amp;"_"&amp;$E64,OFFSET([2]stages!$A$1,0,0,COUNTA([2]stages!$A:$A),MATCH(F$1,[2]stages!$2:$2,0)-MATCH("temp_stage",[2]stages!$2:$2,0)+1),MATCH(F$1,[2]stages!$2:$2,0)-MATCH("temp_stage",[2]stages!$2:$2,0)+1,FALSE)</f>
        <v>【上級】変幻自在の風</v>
      </c>
      <c r="G64" s="84" t="str">
        <f ca="1">VLOOKUP($B64&amp;"_"&amp;$E64,OFFSET([2]stages!$A$1,0,0,COUNTA([2]stages!$A:$A),MATCH(G$1,[2]stages!$2:$2,0)-MATCH("temp_stage",[2]stages!$2:$2,0)+1),MATCH(G$1,[2]stages!$2:$2,0)-MATCH("temp_stage",[2]stages!$2:$2,0)+1,FALSE)</f>
        <v>メソポタミア01</v>
      </c>
      <c r="H64" s="86">
        <v>0</v>
      </c>
      <c r="I64" s="97">
        <v>9</v>
      </c>
      <c r="J64" s="85" t="s">
        <v>199</v>
      </c>
      <c r="K64" s="94" t="str">
        <f>VLOOKUP(I64,[7]stage_hints!$A:$C,3,FALSE)</f>
        <v>ゴールドダックでビットを獲得</v>
      </c>
      <c r="L64" s="95" t="str">
        <f>VLOOKUP(I64,[7]stage_hints!$A:$D,4,FALSE)</f>
        <v>「ゴールドなアヒル」を売却すると_x000D_大量のビットがもらえます</v>
      </c>
      <c r="M64" s="57" t="s">
        <v>212</v>
      </c>
    </row>
    <row r="65" spans="1:13" x14ac:dyDescent="0.15">
      <c r="A65" s="82" t="s">
        <v>202</v>
      </c>
      <c r="B65" s="83">
        <f>floors!$C$2</f>
        <v>20020</v>
      </c>
      <c r="C65" s="84" t="str">
        <f ca="1">VLOOKUP($B65,OFFSET([2]quests!$A$1,0,0,COUNTA([2]quests!$A:$A),MATCH(C$1,[2]quests!$1:$1,0)-MATCH($B$1,[2]quests!$1:$1,0)+1),MATCH(C$1,[2]quests!$1:$1,0)-MATCH($B$1,[2]quests!$1:$1,0)+1,FALSE)</f>
        <v>変幻自在の風</v>
      </c>
      <c r="D65" s="84" t="str">
        <f ca="1">VLOOKUP($B65,OFFSET([2]quests!$A$1,0,0,COUNTA([2]quests!$A:$A),MATCH(D$1,[2]quests!$1:$1,0)-MATCH($B$1,[2]quests!$1:$1,0)+1),MATCH(D$1,[2]quests!$1:$1,0)-MATCH($B$1,[2]quests!$1:$1,0)+1,FALSE)</f>
        <v>メソポタミア01</v>
      </c>
      <c r="E65" s="88">
        <v>3</v>
      </c>
      <c r="F65" s="84" t="str">
        <f ca="1">VLOOKUP($B65&amp;"_"&amp;$E65,OFFSET([2]stages!$A$1,0,0,COUNTA([2]stages!$A:$A),MATCH(F$1,[2]stages!$2:$2,0)-MATCH("temp_stage",[2]stages!$2:$2,0)+1),MATCH(F$1,[2]stages!$2:$2,0)-MATCH("temp_stage",[2]stages!$2:$2,0)+1,FALSE)</f>
        <v>【上級】変幻自在の風</v>
      </c>
      <c r="G65" s="84" t="str">
        <f ca="1">VLOOKUP($B65&amp;"_"&amp;$E65,OFFSET([2]stages!$A$1,0,0,COUNTA([2]stages!$A:$A),MATCH(G$1,[2]stages!$2:$2,0)-MATCH("temp_stage",[2]stages!$2:$2,0)+1),MATCH(G$1,[2]stages!$2:$2,0)-MATCH("temp_stage",[2]stages!$2:$2,0)+1,FALSE)</f>
        <v>メソポタミア01</v>
      </c>
      <c r="H65" s="86">
        <v>0</v>
      </c>
      <c r="I65" s="97">
        <v>10</v>
      </c>
      <c r="J65" s="85" t="s">
        <v>199</v>
      </c>
      <c r="K65" s="94" t="str">
        <f>VLOOKUP(I65,[7]stage_hints!$A:$C,3,FALSE)</f>
        <v>土日に大量のビットを獲得</v>
      </c>
      <c r="L65" s="95" t="str">
        <f>VLOOKUP(I65,[7]stage_hints!$A:$D,4,FALSE)</f>
        <v>土日限定の「ゴールドカジノ」では_x000D_売却素材ユニットが多く手に入ります</v>
      </c>
      <c r="M65" s="57" t="s">
        <v>212</v>
      </c>
    </row>
    <row r="66" spans="1:13" x14ac:dyDescent="0.15">
      <c r="A66" s="82" t="s">
        <v>202</v>
      </c>
      <c r="B66" s="83">
        <f>floors!$C$2</f>
        <v>20020</v>
      </c>
      <c r="C66" s="84" t="str">
        <f ca="1">VLOOKUP($B66,OFFSET([2]quests!$A$1,0,0,COUNTA([2]quests!$A:$A),MATCH(C$1,[2]quests!$1:$1,0)-MATCH($B$1,[2]quests!$1:$1,0)+1),MATCH(C$1,[2]quests!$1:$1,0)-MATCH($B$1,[2]quests!$1:$1,0)+1,FALSE)</f>
        <v>変幻自在の風</v>
      </c>
      <c r="D66" s="84" t="str">
        <f ca="1">VLOOKUP($B66,OFFSET([2]quests!$A$1,0,0,COUNTA([2]quests!$A:$A),MATCH(D$1,[2]quests!$1:$1,0)-MATCH($B$1,[2]quests!$1:$1,0)+1),MATCH(D$1,[2]quests!$1:$1,0)-MATCH($B$1,[2]quests!$1:$1,0)+1,FALSE)</f>
        <v>メソポタミア01</v>
      </c>
      <c r="E66" s="88">
        <v>3</v>
      </c>
      <c r="F66" s="84" t="str">
        <f ca="1">VLOOKUP($B66&amp;"_"&amp;$E66,OFFSET([2]stages!$A$1,0,0,COUNTA([2]stages!$A:$A),MATCH(F$1,[2]stages!$2:$2,0)-MATCH("temp_stage",[2]stages!$2:$2,0)+1),MATCH(F$1,[2]stages!$2:$2,0)-MATCH("temp_stage",[2]stages!$2:$2,0)+1,FALSE)</f>
        <v>【上級】変幻自在の風</v>
      </c>
      <c r="G66" s="84" t="str">
        <f ca="1">VLOOKUP($B66&amp;"_"&amp;$E66,OFFSET([2]stages!$A$1,0,0,COUNTA([2]stages!$A:$A),MATCH(G$1,[2]stages!$2:$2,0)-MATCH("temp_stage",[2]stages!$2:$2,0)+1),MATCH(G$1,[2]stages!$2:$2,0)-MATCH("temp_stage",[2]stages!$2:$2,0)+1,FALSE)</f>
        <v>メソポタミア01</v>
      </c>
      <c r="H66" s="86">
        <v>0</v>
      </c>
      <c r="I66" s="97">
        <v>11</v>
      </c>
      <c r="J66" s="85" t="s">
        <v>199</v>
      </c>
      <c r="K66" s="94" t="str">
        <f>VLOOKUP(I66,[7]stage_hints!$A:$C,3,FALSE)</f>
        <v>ランク解放クエスト</v>
      </c>
      <c r="L66" s="95" t="str">
        <f>VLOOKUP(I66,[7]stage_hints!$A:$D,4,FALSE)</f>
        <v>一定ランクに到達すると_x000D_報酬付きのランク開放クエストが現れます</v>
      </c>
      <c r="M66" s="57" t="s">
        <v>212</v>
      </c>
    </row>
    <row r="67" spans="1:13" x14ac:dyDescent="0.15">
      <c r="A67" s="82" t="s">
        <v>202</v>
      </c>
      <c r="B67" s="83">
        <f>floors!$C$2</f>
        <v>20020</v>
      </c>
      <c r="C67" s="84" t="str">
        <f ca="1">VLOOKUP($B67,OFFSET([2]quests!$A$1,0,0,COUNTA([2]quests!$A:$A),MATCH(C$1,[2]quests!$1:$1,0)-MATCH($B$1,[2]quests!$1:$1,0)+1),MATCH(C$1,[2]quests!$1:$1,0)-MATCH($B$1,[2]quests!$1:$1,0)+1,FALSE)</f>
        <v>変幻自在の風</v>
      </c>
      <c r="D67" s="84" t="str">
        <f ca="1">VLOOKUP($B67,OFFSET([2]quests!$A$1,0,0,COUNTA([2]quests!$A:$A),MATCH(D$1,[2]quests!$1:$1,0)-MATCH($B$1,[2]quests!$1:$1,0)+1),MATCH(D$1,[2]quests!$1:$1,0)-MATCH($B$1,[2]quests!$1:$1,0)+1,FALSE)</f>
        <v>メソポタミア01</v>
      </c>
      <c r="E67" s="88">
        <v>3</v>
      </c>
      <c r="F67" s="84" t="str">
        <f ca="1">VLOOKUP($B67&amp;"_"&amp;$E67,OFFSET([2]stages!$A$1,0,0,COUNTA([2]stages!$A:$A),MATCH(F$1,[2]stages!$2:$2,0)-MATCH("temp_stage",[2]stages!$2:$2,0)+1),MATCH(F$1,[2]stages!$2:$2,0)-MATCH("temp_stage",[2]stages!$2:$2,0)+1,FALSE)</f>
        <v>【上級】変幻自在の風</v>
      </c>
      <c r="G67" s="84" t="str">
        <f ca="1">VLOOKUP($B67&amp;"_"&amp;$E67,OFFSET([2]stages!$A$1,0,0,COUNTA([2]stages!$A:$A),MATCH(G$1,[2]stages!$2:$2,0)-MATCH("temp_stage",[2]stages!$2:$2,0)+1),MATCH(G$1,[2]stages!$2:$2,0)-MATCH("temp_stage",[2]stages!$2:$2,0)+1,FALSE)</f>
        <v>メソポタミア01</v>
      </c>
      <c r="H67" s="86">
        <v>0</v>
      </c>
      <c r="I67" s="97">
        <v>12</v>
      </c>
      <c r="J67" s="85" t="s">
        <v>199</v>
      </c>
      <c r="K67" s="94" t="str">
        <f>VLOOKUP(I67,[7]stage_hints!$A:$C,3,FALSE)</f>
        <v>ユニットのお気に入り登録</v>
      </c>
      <c r="L67" s="95" t="str">
        <f>VLOOKUP(I67,[7]stage_hints!$A:$D,4,FALSE)</f>
        <v>大事なユニットを誤って消さないように_x000D_フォルダから「お気に入り登録」しましょう</v>
      </c>
      <c r="M67" s="57" t="s">
        <v>212</v>
      </c>
    </row>
    <row r="68" spans="1:13" x14ac:dyDescent="0.15">
      <c r="A68" s="82" t="s">
        <v>202</v>
      </c>
      <c r="B68" s="83">
        <f>floors!$C$2</f>
        <v>20020</v>
      </c>
      <c r="C68" s="84" t="str">
        <f ca="1">VLOOKUP($B68,OFFSET([2]quests!$A$1,0,0,COUNTA([2]quests!$A:$A),MATCH(C$1,[2]quests!$1:$1,0)-MATCH($B$1,[2]quests!$1:$1,0)+1),MATCH(C$1,[2]quests!$1:$1,0)-MATCH($B$1,[2]quests!$1:$1,0)+1,FALSE)</f>
        <v>変幻自在の風</v>
      </c>
      <c r="D68" s="84" t="str">
        <f ca="1">VLOOKUP($B68,OFFSET([2]quests!$A$1,0,0,COUNTA([2]quests!$A:$A),MATCH(D$1,[2]quests!$1:$1,0)-MATCH($B$1,[2]quests!$1:$1,0)+1),MATCH(D$1,[2]quests!$1:$1,0)-MATCH($B$1,[2]quests!$1:$1,0)+1,FALSE)</f>
        <v>メソポタミア01</v>
      </c>
      <c r="E68" s="88">
        <v>3</v>
      </c>
      <c r="F68" s="84" t="str">
        <f ca="1">VLOOKUP($B68&amp;"_"&amp;$E68,OFFSET([2]stages!$A$1,0,0,COUNTA([2]stages!$A:$A),MATCH(F$1,[2]stages!$2:$2,0)-MATCH("temp_stage",[2]stages!$2:$2,0)+1),MATCH(F$1,[2]stages!$2:$2,0)-MATCH("temp_stage",[2]stages!$2:$2,0)+1,FALSE)</f>
        <v>【上級】変幻自在の風</v>
      </c>
      <c r="G68" s="84" t="str">
        <f ca="1">VLOOKUP($B68&amp;"_"&amp;$E68,OFFSET([2]stages!$A$1,0,0,COUNTA([2]stages!$A:$A),MATCH(G$1,[2]stages!$2:$2,0)-MATCH("temp_stage",[2]stages!$2:$2,0)+1),MATCH(G$1,[2]stages!$2:$2,0)-MATCH("temp_stage",[2]stages!$2:$2,0)+1,FALSE)</f>
        <v>メソポタミア01</v>
      </c>
      <c r="H68" s="86">
        <v>0</v>
      </c>
      <c r="I68" s="97">
        <v>13</v>
      </c>
      <c r="J68" s="85" t="s">
        <v>199</v>
      </c>
      <c r="K68" s="94" t="str">
        <f>VLOOKUP(I68,[7]stage_hints!$A:$C,3,FALSE)</f>
        <v>ユニットの覚醒</v>
      </c>
      <c r="L68" s="95" t="str">
        <f>VLOOKUP(I68,[7]stage_hints!$A:$D,4,FALSE)</f>
        <v>ユニットを覚醒させると_x000D_比べものにならない強さが手に入ります</v>
      </c>
      <c r="M68" s="57" t="s">
        <v>212</v>
      </c>
    </row>
    <row r="69" spans="1:13" x14ac:dyDescent="0.15">
      <c r="A69" s="82" t="s">
        <v>202</v>
      </c>
      <c r="B69" s="83">
        <f>floors!$C$2</f>
        <v>20020</v>
      </c>
      <c r="C69" s="84" t="str">
        <f ca="1">VLOOKUP($B69,OFFSET([2]quests!$A$1,0,0,COUNTA([2]quests!$A:$A),MATCH(C$1,[2]quests!$1:$1,0)-MATCH($B$1,[2]quests!$1:$1,0)+1),MATCH(C$1,[2]quests!$1:$1,0)-MATCH($B$1,[2]quests!$1:$1,0)+1,FALSE)</f>
        <v>変幻自在の風</v>
      </c>
      <c r="D69" s="84" t="str">
        <f ca="1">VLOOKUP($B69,OFFSET([2]quests!$A$1,0,0,COUNTA([2]quests!$A:$A),MATCH(D$1,[2]quests!$1:$1,0)-MATCH($B$1,[2]quests!$1:$1,0)+1),MATCH(D$1,[2]quests!$1:$1,0)-MATCH($B$1,[2]quests!$1:$1,0)+1,FALSE)</f>
        <v>メソポタミア01</v>
      </c>
      <c r="E69" s="88">
        <v>3</v>
      </c>
      <c r="F69" s="84" t="str">
        <f ca="1">VLOOKUP($B69&amp;"_"&amp;$E69,OFFSET([2]stages!$A$1,0,0,COUNTA([2]stages!$A:$A),MATCH(F$1,[2]stages!$2:$2,0)-MATCH("temp_stage",[2]stages!$2:$2,0)+1),MATCH(F$1,[2]stages!$2:$2,0)-MATCH("temp_stage",[2]stages!$2:$2,0)+1,FALSE)</f>
        <v>【上級】変幻自在の風</v>
      </c>
      <c r="G69" s="84" t="str">
        <f ca="1">VLOOKUP($B69&amp;"_"&amp;$E69,OFFSET([2]stages!$A$1,0,0,COUNTA([2]stages!$A:$A),MATCH(G$1,[2]stages!$2:$2,0)-MATCH("temp_stage",[2]stages!$2:$2,0)+1),MATCH(G$1,[2]stages!$2:$2,0)-MATCH("temp_stage",[2]stages!$2:$2,0)+1,FALSE)</f>
        <v>メソポタミア01</v>
      </c>
      <c r="H69" s="86">
        <v>0</v>
      </c>
      <c r="I69" s="97">
        <v>14</v>
      </c>
      <c r="J69" s="85" t="s">
        <v>199</v>
      </c>
      <c r="K69" s="94" t="str">
        <f>VLOOKUP(I69,[7]stage_hints!$A:$C,3,FALSE)</f>
        <v>覚醒するにはレベルを最大に</v>
      </c>
      <c r="L69" s="95" t="str">
        <f>VLOOKUP(I69,[7]stage_hints!$A:$D,4,FALSE)</f>
        <v>覚醒するにはユニットのレベルを_x000D_最大まで上げる必要があります</v>
      </c>
      <c r="M69" s="57" t="s">
        <v>212</v>
      </c>
    </row>
    <row r="70" spans="1:13" x14ac:dyDescent="0.15">
      <c r="A70" s="82" t="s">
        <v>202</v>
      </c>
      <c r="B70" s="83">
        <f>floors!$C$2</f>
        <v>20020</v>
      </c>
      <c r="C70" s="84" t="str">
        <f ca="1">VLOOKUP($B70,OFFSET([2]quests!$A$1,0,0,COUNTA([2]quests!$A:$A),MATCH(C$1,[2]quests!$1:$1,0)-MATCH($B$1,[2]quests!$1:$1,0)+1),MATCH(C$1,[2]quests!$1:$1,0)-MATCH($B$1,[2]quests!$1:$1,0)+1,FALSE)</f>
        <v>変幻自在の風</v>
      </c>
      <c r="D70" s="84" t="str">
        <f ca="1">VLOOKUP($B70,OFFSET([2]quests!$A$1,0,0,COUNTA([2]quests!$A:$A),MATCH(D$1,[2]quests!$1:$1,0)-MATCH($B$1,[2]quests!$1:$1,0)+1),MATCH(D$1,[2]quests!$1:$1,0)-MATCH($B$1,[2]quests!$1:$1,0)+1,FALSE)</f>
        <v>メソポタミア01</v>
      </c>
      <c r="E70" s="88">
        <v>3</v>
      </c>
      <c r="F70" s="84" t="str">
        <f ca="1">VLOOKUP($B70&amp;"_"&amp;$E70,OFFSET([2]stages!$A$1,0,0,COUNTA([2]stages!$A:$A),MATCH(F$1,[2]stages!$2:$2,0)-MATCH("temp_stage",[2]stages!$2:$2,0)+1),MATCH(F$1,[2]stages!$2:$2,0)-MATCH("temp_stage",[2]stages!$2:$2,0)+1,FALSE)</f>
        <v>【上級】変幻自在の風</v>
      </c>
      <c r="G70" s="84" t="str">
        <f ca="1">VLOOKUP($B70&amp;"_"&amp;$E70,OFFSET([2]stages!$A$1,0,0,COUNTA([2]stages!$A:$A),MATCH(G$1,[2]stages!$2:$2,0)-MATCH("temp_stage",[2]stages!$2:$2,0)+1),MATCH(G$1,[2]stages!$2:$2,0)-MATCH("temp_stage",[2]stages!$2:$2,0)+1,FALSE)</f>
        <v>メソポタミア01</v>
      </c>
      <c r="H70" s="86">
        <v>0</v>
      </c>
      <c r="I70" s="97">
        <v>15</v>
      </c>
      <c r="J70" s="85" t="s">
        <v>199</v>
      </c>
      <c r="K70" s="94" t="str">
        <f>VLOOKUP(I70,[7]stage_hints!$A:$C,3,FALSE)</f>
        <v>覚醒素材を獲得</v>
      </c>
      <c r="L70" s="95" t="str">
        <f>VLOOKUP(I70,[7]stage_hints!$A:$D,4,FALSE)</f>
        <v>「曜日クエスト」では_x000D_ユニットの覚醒に必要な素材が手に入ります</v>
      </c>
      <c r="M70" s="57" t="s">
        <v>212</v>
      </c>
    </row>
    <row r="71" spans="1:13" x14ac:dyDescent="0.15">
      <c r="A71" s="82" t="s">
        <v>202</v>
      </c>
      <c r="B71" s="83">
        <f>floors!$C$2</f>
        <v>20020</v>
      </c>
      <c r="C71" s="84" t="str">
        <f ca="1">VLOOKUP($B71,OFFSET([2]quests!$A$1,0,0,COUNTA([2]quests!$A:$A),MATCH(C$1,[2]quests!$1:$1,0)-MATCH($B$1,[2]quests!$1:$1,0)+1),MATCH(C$1,[2]quests!$1:$1,0)-MATCH($B$1,[2]quests!$1:$1,0)+1,FALSE)</f>
        <v>変幻自在の風</v>
      </c>
      <c r="D71" s="84" t="str">
        <f ca="1">VLOOKUP($B71,OFFSET([2]quests!$A$1,0,0,COUNTA([2]quests!$A:$A),MATCH(D$1,[2]quests!$1:$1,0)-MATCH($B$1,[2]quests!$1:$1,0)+1),MATCH(D$1,[2]quests!$1:$1,0)-MATCH($B$1,[2]quests!$1:$1,0)+1,FALSE)</f>
        <v>メソポタミア01</v>
      </c>
      <c r="E71" s="88">
        <v>3</v>
      </c>
      <c r="F71" s="84" t="str">
        <f ca="1">VLOOKUP($B71&amp;"_"&amp;$E71,OFFSET([2]stages!$A$1,0,0,COUNTA([2]stages!$A:$A),MATCH(F$1,[2]stages!$2:$2,0)-MATCH("temp_stage",[2]stages!$2:$2,0)+1),MATCH(F$1,[2]stages!$2:$2,0)-MATCH("temp_stage",[2]stages!$2:$2,0)+1,FALSE)</f>
        <v>【上級】変幻自在の風</v>
      </c>
      <c r="G71" s="84" t="str">
        <f ca="1">VLOOKUP($B71&amp;"_"&amp;$E71,OFFSET([2]stages!$A$1,0,0,COUNTA([2]stages!$A:$A),MATCH(G$1,[2]stages!$2:$2,0)-MATCH("temp_stage",[2]stages!$2:$2,0)+1),MATCH(G$1,[2]stages!$2:$2,0)-MATCH("temp_stage",[2]stages!$2:$2,0)+1,FALSE)</f>
        <v>メソポタミア01</v>
      </c>
      <c r="H71" s="86">
        <v>0</v>
      </c>
      <c r="I71" s="97">
        <v>16</v>
      </c>
      <c r="J71" s="85" t="s">
        <v>199</v>
      </c>
      <c r="K71" s="94" t="str">
        <f>VLOOKUP(I71,[7]stage_hints!$A:$C,3,FALSE)</f>
        <v>マルチプレイのメリット（その1）</v>
      </c>
      <c r="L71" s="95" t="str">
        <f>VLOOKUP(I71,[7]stage_hints!$A:$D,4,FALSE)</f>
        <v>他のプレイヤーとマルチプレイで遊ぶと_x000D_ポリゴンがもらえます（100人まで）</v>
      </c>
      <c r="M71" s="57" t="s">
        <v>212</v>
      </c>
    </row>
    <row r="72" spans="1:13" x14ac:dyDescent="0.15">
      <c r="A72" s="82" t="s">
        <v>202</v>
      </c>
      <c r="B72" s="83">
        <f>floors!$C$2</f>
        <v>20020</v>
      </c>
      <c r="C72" s="84" t="str">
        <f ca="1">VLOOKUP($B72,OFFSET([2]quests!$A$1,0,0,COUNTA([2]quests!$A:$A),MATCH(C$1,[2]quests!$1:$1,0)-MATCH($B$1,[2]quests!$1:$1,0)+1),MATCH(C$1,[2]quests!$1:$1,0)-MATCH($B$1,[2]quests!$1:$1,0)+1,FALSE)</f>
        <v>変幻自在の風</v>
      </c>
      <c r="D72" s="84" t="str">
        <f ca="1">VLOOKUP($B72,OFFSET([2]quests!$A$1,0,0,COUNTA([2]quests!$A:$A),MATCH(D$1,[2]quests!$1:$1,0)-MATCH($B$1,[2]quests!$1:$1,0)+1),MATCH(D$1,[2]quests!$1:$1,0)-MATCH($B$1,[2]quests!$1:$1,0)+1,FALSE)</f>
        <v>メソポタミア01</v>
      </c>
      <c r="E72" s="88">
        <v>3</v>
      </c>
      <c r="F72" s="84" t="str">
        <f ca="1">VLOOKUP($B72&amp;"_"&amp;$E72,OFFSET([2]stages!$A$1,0,0,COUNTA([2]stages!$A:$A),MATCH(F$1,[2]stages!$2:$2,0)-MATCH("temp_stage",[2]stages!$2:$2,0)+1),MATCH(F$1,[2]stages!$2:$2,0)-MATCH("temp_stage",[2]stages!$2:$2,0)+1,FALSE)</f>
        <v>【上級】変幻自在の風</v>
      </c>
      <c r="G72" s="84" t="str">
        <f ca="1">VLOOKUP($B72&amp;"_"&amp;$E72,OFFSET([2]stages!$A$1,0,0,COUNTA([2]stages!$A:$A),MATCH(G$1,[2]stages!$2:$2,0)-MATCH("temp_stage",[2]stages!$2:$2,0)+1),MATCH(G$1,[2]stages!$2:$2,0)-MATCH("temp_stage",[2]stages!$2:$2,0)+1,FALSE)</f>
        <v>メソポタミア01</v>
      </c>
      <c r="H72" s="86">
        <v>0</v>
      </c>
      <c r="I72" s="97">
        <v>17</v>
      </c>
      <c r="J72" s="85" t="s">
        <v>199</v>
      </c>
      <c r="K72" s="94" t="str">
        <f>VLOOKUP(I72,[7]stage_hints!$A:$C,3,FALSE)</f>
        <v>リンクガチャ</v>
      </c>
      <c r="L72" s="95" t="str">
        <f>VLOOKUP(I72,[7]stage_hints!$A:$D,4,FALSE)</f>
        <v>無料のリンクガチャを回して_x000D_経験値素材や売却素材を獲得しましょう</v>
      </c>
      <c r="M72" s="57" t="s">
        <v>212</v>
      </c>
    </row>
    <row r="73" spans="1:13" x14ac:dyDescent="0.15">
      <c r="A73" s="82" t="s">
        <v>202</v>
      </c>
      <c r="B73" s="83">
        <f>floors!$C$2</f>
        <v>20020</v>
      </c>
      <c r="C73" s="84" t="str">
        <f ca="1">VLOOKUP($B73,OFFSET([2]quests!$A$1,0,0,COUNTA([2]quests!$A:$A),MATCH(C$1,[2]quests!$1:$1,0)-MATCH($B$1,[2]quests!$1:$1,0)+1),MATCH(C$1,[2]quests!$1:$1,0)-MATCH($B$1,[2]quests!$1:$1,0)+1,FALSE)</f>
        <v>変幻自在の風</v>
      </c>
      <c r="D73" s="84" t="str">
        <f ca="1">VLOOKUP($B73,OFFSET([2]quests!$A$1,0,0,COUNTA([2]quests!$A:$A),MATCH(D$1,[2]quests!$1:$1,0)-MATCH($B$1,[2]quests!$1:$1,0)+1),MATCH(D$1,[2]quests!$1:$1,0)-MATCH($B$1,[2]quests!$1:$1,0)+1,FALSE)</f>
        <v>メソポタミア01</v>
      </c>
      <c r="E73" s="88">
        <v>3</v>
      </c>
      <c r="F73" s="84" t="str">
        <f ca="1">VLOOKUP($B73&amp;"_"&amp;$E73,OFFSET([2]stages!$A$1,0,0,COUNTA([2]stages!$A:$A),MATCH(F$1,[2]stages!$2:$2,0)-MATCH("temp_stage",[2]stages!$2:$2,0)+1),MATCH(F$1,[2]stages!$2:$2,0)-MATCH("temp_stage",[2]stages!$2:$2,0)+1,FALSE)</f>
        <v>【上級】変幻自在の風</v>
      </c>
      <c r="G73" s="84" t="str">
        <f ca="1">VLOOKUP($B73&amp;"_"&amp;$E73,OFFSET([2]stages!$A$1,0,0,COUNTA([2]stages!$A:$A),MATCH(G$1,[2]stages!$2:$2,0)-MATCH("temp_stage",[2]stages!$2:$2,0)+1),MATCH(G$1,[2]stages!$2:$2,0)-MATCH("temp_stage",[2]stages!$2:$2,0)+1,FALSE)</f>
        <v>メソポタミア01</v>
      </c>
      <c r="H73" s="86">
        <v>0</v>
      </c>
      <c r="I73" s="97">
        <v>18</v>
      </c>
      <c r="J73" s="85" t="s">
        <v>199</v>
      </c>
      <c r="K73" s="94" t="str">
        <f>VLOOKUP(I73,[7]stage_hints!$A:$C,3,FALSE)</f>
        <v>マルチプレイのメリット（その2）</v>
      </c>
      <c r="L73" s="95" t="str">
        <f>VLOOKUP(I73,[7]stage_hints!$A:$D,4,FALSE)</f>
        <v>マルチプレイならリンクが2倍もらえます_x000D_リンクガチャをたくさん回しましょう</v>
      </c>
      <c r="M73" s="57" t="s">
        <v>212</v>
      </c>
    </row>
    <row r="74" spans="1:13" x14ac:dyDescent="0.15">
      <c r="A74" s="82" t="s">
        <v>202</v>
      </c>
      <c r="B74" s="83">
        <f>floors!$C$2</f>
        <v>20020</v>
      </c>
      <c r="C74" s="84" t="str">
        <f ca="1">VLOOKUP($B74,OFFSET([2]quests!$A$1,0,0,COUNTA([2]quests!$A:$A),MATCH(C$1,[2]quests!$1:$1,0)-MATCH($B$1,[2]quests!$1:$1,0)+1),MATCH(C$1,[2]quests!$1:$1,0)-MATCH($B$1,[2]quests!$1:$1,0)+1,FALSE)</f>
        <v>変幻自在の風</v>
      </c>
      <c r="D74" s="84" t="str">
        <f ca="1">VLOOKUP($B74,OFFSET([2]quests!$A$1,0,0,COUNTA([2]quests!$A:$A),MATCH(D$1,[2]quests!$1:$1,0)-MATCH($B$1,[2]quests!$1:$1,0)+1),MATCH(D$1,[2]quests!$1:$1,0)-MATCH($B$1,[2]quests!$1:$1,0)+1,FALSE)</f>
        <v>メソポタミア01</v>
      </c>
      <c r="E74" s="88">
        <v>3</v>
      </c>
      <c r="F74" s="84" t="str">
        <f ca="1">VLOOKUP($B74&amp;"_"&amp;$E74,OFFSET([2]stages!$A$1,0,0,COUNTA([2]stages!$A:$A),MATCH(F$1,[2]stages!$2:$2,0)-MATCH("temp_stage",[2]stages!$2:$2,0)+1),MATCH(F$1,[2]stages!$2:$2,0)-MATCH("temp_stage",[2]stages!$2:$2,0)+1,FALSE)</f>
        <v>【上級】変幻自在の風</v>
      </c>
      <c r="G74" s="84" t="str">
        <f ca="1">VLOOKUP($B74&amp;"_"&amp;$E74,OFFSET([2]stages!$A$1,0,0,COUNTA([2]stages!$A:$A),MATCH(G$1,[2]stages!$2:$2,0)-MATCH("temp_stage",[2]stages!$2:$2,0)+1),MATCH(G$1,[2]stages!$2:$2,0)-MATCH("temp_stage",[2]stages!$2:$2,0)+1,FALSE)</f>
        <v>メソポタミア01</v>
      </c>
      <c r="H74" s="86">
        <v>0</v>
      </c>
      <c r="I74" s="97">
        <v>19</v>
      </c>
      <c r="J74" s="85" t="s">
        <v>199</v>
      </c>
      <c r="K74" s="94" t="str">
        <f>VLOOKUP(I74,[7]stage_hints!$A:$C,3,FALSE)</f>
        <v>ソロ専用タワーオブザクイーン</v>
      </c>
      <c r="L74" s="95" t="str">
        <f>VLOOKUP(I74,[7]stage_hints!$A:$D,4,FALSE)</f>
        <v>ソロ専用の「タワーオブザクイーン」は_x000D_期間限定で定期的に開催されます_x000D_ここでしか獲得できない報酬もあるようです</v>
      </c>
      <c r="M74" s="57" t="s">
        <v>212</v>
      </c>
    </row>
    <row r="75" spans="1:13" x14ac:dyDescent="0.15">
      <c r="A75" s="82" t="s">
        <v>202</v>
      </c>
      <c r="B75" s="83">
        <f>floors!$C$2</f>
        <v>20020</v>
      </c>
      <c r="C75" s="84" t="str">
        <f ca="1">VLOOKUP($B75,OFFSET([2]quests!$A$1,0,0,COUNTA([2]quests!$A:$A),MATCH(C$1,[2]quests!$1:$1,0)-MATCH($B$1,[2]quests!$1:$1,0)+1),MATCH(C$1,[2]quests!$1:$1,0)-MATCH($B$1,[2]quests!$1:$1,0)+1,FALSE)</f>
        <v>変幻自在の風</v>
      </c>
      <c r="D75" s="84" t="str">
        <f ca="1">VLOOKUP($B75,OFFSET([2]quests!$A$1,0,0,COUNTA([2]quests!$A:$A),MATCH(D$1,[2]quests!$1:$1,0)-MATCH($B$1,[2]quests!$1:$1,0)+1),MATCH(D$1,[2]quests!$1:$1,0)-MATCH($B$1,[2]quests!$1:$1,0)+1,FALSE)</f>
        <v>メソポタミア01</v>
      </c>
      <c r="E75" s="88">
        <v>3</v>
      </c>
      <c r="F75" s="84" t="str">
        <f ca="1">VLOOKUP($B75&amp;"_"&amp;$E75,OFFSET([2]stages!$A$1,0,0,COUNTA([2]stages!$A:$A),MATCH(F$1,[2]stages!$2:$2,0)-MATCH("temp_stage",[2]stages!$2:$2,0)+1),MATCH(F$1,[2]stages!$2:$2,0)-MATCH("temp_stage",[2]stages!$2:$2,0)+1,FALSE)</f>
        <v>【上級】変幻自在の風</v>
      </c>
      <c r="G75" s="84" t="str">
        <f ca="1">VLOOKUP($B75&amp;"_"&amp;$E75,OFFSET([2]stages!$A$1,0,0,COUNTA([2]stages!$A:$A),MATCH(G$1,[2]stages!$2:$2,0)-MATCH("temp_stage",[2]stages!$2:$2,0)+1),MATCH(G$1,[2]stages!$2:$2,0)-MATCH("temp_stage",[2]stages!$2:$2,0)+1,FALSE)</f>
        <v>メソポタミア01</v>
      </c>
      <c r="H75" s="86">
        <v>0</v>
      </c>
      <c r="I75" s="97">
        <v>20</v>
      </c>
      <c r="J75" s="85" t="s">
        <v>199</v>
      </c>
      <c r="K75" s="94" t="str">
        <f>VLOOKUP(I75,[7]stage_hints!$A:$C,3,FALSE)</f>
        <v>マルチプレイのメリット（その3）</v>
      </c>
      <c r="L75" s="95" t="str">
        <f>VLOOKUP(I75,[7]stage_hints!$A:$D,4,FALSE)</f>
        <v>マルチプレイへの参加はエナジー消費ゼロ_x000D_いつでも好きなだけ遊ぶことができます</v>
      </c>
      <c r="M75" s="57" t="s">
        <v>212</v>
      </c>
    </row>
    <row r="76" spans="1:13" x14ac:dyDescent="0.15">
      <c r="A76" s="82" t="s">
        <v>202</v>
      </c>
      <c r="B76" s="83">
        <f>floors!$C$2</f>
        <v>20020</v>
      </c>
      <c r="C76" s="84" t="str">
        <f ca="1">VLOOKUP($B76,OFFSET([2]quests!$A$1,0,0,COUNTA([2]quests!$A:$A),MATCH(C$1,[2]quests!$1:$1,0)-MATCH($B$1,[2]quests!$1:$1,0)+1),MATCH(C$1,[2]quests!$1:$1,0)-MATCH($B$1,[2]quests!$1:$1,0)+1,FALSE)</f>
        <v>変幻自在の風</v>
      </c>
      <c r="D76" s="84" t="str">
        <f ca="1">VLOOKUP($B76,OFFSET([2]quests!$A$1,0,0,COUNTA([2]quests!$A:$A),MATCH(D$1,[2]quests!$1:$1,0)-MATCH($B$1,[2]quests!$1:$1,0)+1),MATCH(D$1,[2]quests!$1:$1,0)-MATCH($B$1,[2]quests!$1:$1,0)+1,FALSE)</f>
        <v>メソポタミア01</v>
      </c>
      <c r="E76" s="88">
        <v>3</v>
      </c>
      <c r="F76" s="84" t="str">
        <f ca="1">VLOOKUP($B76&amp;"_"&amp;$E76,OFFSET([2]stages!$A$1,0,0,COUNTA([2]stages!$A:$A),MATCH(F$1,[2]stages!$2:$2,0)-MATCH("temp_stage",[2]stages!$2:$2,0)+1),MATCH(F$1,[2]stages!$2:$2,0)-MATCH("temp_stage",[2]stages!$2:$2,0)+1,FALSE)</f>
        <v>【上級】変幻自在の風</v>
      </c>
      <c r="G76" s="84" t="str">
        <f ca="1">VLOOKUP($B76&amp;"_"&amp;$E76,OFFSET([2]stages!$A$1,0,0,COUNTA([2]stages!$A:$A),MATCH(G$1,[2]stages!$2:$2,0)-MATCH("temp_stage",[2]stages!$2:$2,0)+1),MATCH(G$1,[2]stages!$2:$2,0)-MATCH("temp_stage",[2]stages!$2:$2,0)+1,FALSE)</f>
        <v>メソポタミア01</v>
      </c>
      <c r="H76" s="86">
        <v>0</v>
      </c>
      <c r="I76" s="97">
        <v>21</v>
      </c>
      <c r="J76" s="85" t="s">
        <v>199</v>
      </c>
      <c r="K76" s="94" t="str">
        <f>VLOOKUP(I76,[7]stage_hints!$A:$C,3,FALSE)</f>
        <v>スキルを有効に</v>
      </c>
      <c r="L76" s="95" t="str">
        <f>VLOOKUP(I76,[7]stage_hints!$A:$D,4,FALSE)</f>
        <v>ターン経過でユニットのスキルが使えます_x000D_強力スキルでバトルを有利に進めましょう</v>
      </c>
      <c r="M76" s="57" t="s">
        <v>212</v>
      </c>
    </row>
    <row r="77" spans="1:13" x14ac:dyDescent="0.15">
      <c r="A77" s="82" t="s">
        <v>202</v>
      </c>
      <c r="B77" s="83">
        <f>floors!$C$2</f>
        <v>20020</v>
      </c>
      <c r="C77" s="84" t="str">
        <f ca="1">VLOOKUP($B77,OFFSET([2]quests!$A$1,0,0,COUNTA([2]quests!$A:$A),MATCH(C$1,[2]quests!$1:$1,0)-MATCH($B$1,[2]quests!$1:$1,0)+1),MATCH(C$1,[2]quests!$1:$1,0)-MATCH($B$1,[2]quests!$1:$1,0)+1,FALSE)</f>
        <v>変幻自在の風</v>
      </c>
      <c r="D77" s="84" t="str">
        <f ca="1">VLOOKUP($B77,OFFSET([2]quests!$A$1,0,0,COUNTA([2]quests!$A:$A),MATCH(D$1,[2]quests!$1:$1,0)-MATCH($B$1,[2]quests!$1:$1,0)+1),MATCH(D$1,[2]quests!$1:$1,0)-MATCH($B$1,[2]quests!$1:$1,0)+1,FALSE)</f>
        <v>メソポタミア01</v>
      </c>
      <c r="E77" s="88">
        <v>3</v>
      </c>
      <c r="F77" s="84" t="str">
        <f ca="1">VLOOKUP($B77&amp;"_"&amp;$E77,OFFSET([2]stages!$A$1,0,0,COUNTA([2]stages!$A:$A),MATCH(F$1,[2]stages!$2:$2,0)-MATCH("temp_stage",[2]stages!$2:$2,0)+1),MATCH(F$1,[2]stages!$2:$2,0)-MATCH("temp_stage",[2]stages!$2:$2,0)+1,FALSE)</f>
        <v>【上級】変幻自在の風</v>
      </c>
      <c r="G77" s="84" t="str">
        <f ca="1">VLOOKUP($B77&amp;"_"&amp;$E77,OFFSET([2]stages!$A$1,0,0,COUNTA([2]stages!$A:$A),MATCH(G$1,[2]stages!$2:$2,0)-MATCH("temp_stage",[2]stages!$2:$2,0)+1),MATCH(G$1,[2]stages!$2:$2,0)-MATCH("temp_stage",[2]stages!$2:$2,0)+1,FALSE)</f>
        <v>メソポタミア01</v>
      </c>
      <c r="H77" s="86">
        <v>0</v>
      </c>
      <c r="I77" s="97">
        <v>22</v>
      </c>
      <c r="J77" s="85" t="s">
        <v>199</v>
      </c>
      <c r="K77" s="94" t="str">
        <f>VLOOKUP(I77,[7]stage_hints!$A:$C,3,FALSE)</f>
        <v>フィーバーで一発逆転（その1）</v>
      </c>
      <c r="L77" s="95" t="str">
        <f>VLOOKUP(I77,[7]stage_hints!$A:$D,4,FALSE)</f>
        <v>フィーバーは攻撃と回復を兼ね備えます_x000D_ピンチからの一発逆転を狙いましょう</v>
      </c>
      <c r="M77" s="57" t="s">
        <v>212</v>
      </c>
    </row>
    <row r="78" spans="1:13" x14ac:dyDescent="0.15">
      <c r="A78" s="82" t="s">
        <v>202</v>
      </c>
      <c r="B78" s="83">
        <f>floors!$C$2</f>
        <v>20020</v>
      </c>
      <c r="C78" s="84" t="str">
        <f ca="1">VLOOKUP($B78,OFFSET([2]quests!$A$1,0,0,COUNTA([2]quests!$A:$A),MATCH(C$1,[2]quests!$1:$1,0)-MATCH($B$1,[2]quests!$1:$1,0)+1),MATCH(C$1,[2]quests!$1:$1,0)-MATCH($B$1,[2]quests!$1:$1,0)+1,FALSE)</f>
        <v>変幻自在の風</v>
      </c>
      <c r="D78" s="84" t="str">
        <f ca="1">VLOOKUP($B78,OFFSET([2]quests!$A$1,0,0,COUNTA([2]quests!$A:$A),MATCH(D$1,[2]quests!$1:$1,0)-MATCH($B$1,[2]quests!$1:$1,0)+1),MATCH(D$1,[2]quests!$1:$1,0)-MATCH($B$1,[2]quests!$1:$1,0)+1,FALSE)</f>
        <v>メソポタミア01</v>
      </c>
      <c r="E78" s="88">
        <v>3</v>
      </c>
      <c r="F78" s="84" t="str">
        <f ca="1">VLOOKUP($B78&amp;"_"&amp;$E78,OFFSET([2]stages!$A$1,0,0,COUNTA([2]stages!$A:$A),MATCH(F$1,[2]stages!$2:$2,0)-MATCH("temp_stage",[2]stages!$2:$2,0)+1),MATCH(F$1,[2]stages!$2:$2,0)-MATCH("temp_stage",[2]stages!$2:$2,0)+1,FALSE)</f>
        <v>【上級】変幻自在の風</v>
      </c>
      <c r="G78" s="84" t="str">
        <f ca="1">VLOOKUP($B78&amp;"_"&amp;$E78,OFFSET([2]stages!$A$1,0,0,COUNTA([2]stages!$A:$A),MATCH(G$1,[2]stages!$2:$2,0)-MATCH("temp_stage",[2]stages!$2:$2,0)+1),MATCH(G$1,[2]stages!$2:$2,0)-MATCH("temp_stage",[2]stages!$2:$2,0)+1,FALSE)</f>
        <v>メソポタミア01</v>
      </c>
      <c r="H78" s="86">
        <v>0</v>
      </c>
      <c r="I78" s="97">
        <v>23</v>
      </c>
      <c r="J78" s="85" t="s">
        <v>199</v>
      </c>
      <c r="K78" s="94" t="str">
        <f>VLOOKUP(I78,[7]stage_hints!$A:$C,3,FALSE)</f>
        <v>フィーバーで一発逆転（その2）</v>
      </c>
      <c r="L78" s="95" t="str">
        <f>VLOOKUP(I78,[7]stage_hints!$A:$D,4,FALSE)</f>
        <v>フィーバー中は虹色のボムパネルを狙って_x000D_画面上のパネルを一気に破壊しましょう</v>
      </c>
      <c r="M78" s="57" t="s">
        <v>212</v>
      </c>
    </row>
    <row r="79" spans="1:13" x14ac:dyDescent="0.15">
      <c r="A79" s="82" t="s">
        <v>202</v>
      </c>
      <c r="B79" s="83">
        <f>floors!$C$2</f>
        <v>20020</v>
      </c>
      <c r="C79" s="84" t="str">
        <f ca="1">VLOOKUP($B79,OFFSET([2]quests!$A$1,0,0,COUNTA([2]quests!$A:$A),MATCH(C$1,[2]quests!$1:$1,0)-MATCH($B$1,[2]quests!$1:$1,0)+1),MATCH(C$1,[2]quests!$1:$1,0)-MATCH($B$1,[2]quests!$1:$1,0)+1,FALSE)</f>
        <v>変幻自在の風</v>
      </c>
      <c r="D79" s="84" t="str">
        <f ca="1">VLOOKUP($B79,OFFSET([2]quests!$A$1,0,0,COUNTA([2]quests!$A:$A),MATCH(D$1,[2]quests!$1:$1,0)-MATCH($B$1,[2]quests!$1:$1,0)+1),MATCH(D$1,[2]quests!$1:$1,0)-MATCH($B$1,[2]quests!$1:$1,0)+1,FALSE)</f>
        <v>メソポタミア01</v>
      </c>
      <c r="E79" s="88">
        <v>3</v>
      </c>
      <c r="F79" s="84" t="str">
        <f ca="1">VLOOKUP($B79&amp;"_"&amp;$E79,OFFSET([2]stages!$A$1,0,0,COUNTA([2]stages!$A:$A),MATCH(F$1,[2]stages!$2:$2,0)-MATCH("temp_stage",[2]stages!$2:$2,0)+1),MATCH(F$1,[2]stages!$2:$2,0)-MATCH("temp_stage",[2]stages!$2:$2,0)+1,FALSE)</f>
        <v>【上級】変幻自在の風</v>
      </c>
      <c r="G79" s="84" t="str">
        <f ca="1">VLOOKUP($B79&amp;"_"&amp;$E79,OFFSET([2]stages!$A$1,0,0,COUNTA([2]stages!$A:$A),MATCH(G$1,[2]stages!$2:$2,0)-MATCH("temp_stage",[2]stages!$2:$2,0)+1),MATCH(G$1,[2]stages!$2:$2,0)-MATCH("temp_stage",[2]stages!$2:$2,0)+1,FALSE)</f>
        <v>メソポタミア01</v>
      </c>
      <c r="H79" s="86">
        <v>0</v>
      </c>
      <c r="I79" s="97">
        <v>24</v>
      </c>
      <c r="J79" s="85" t="s">
        <v>199</v>
      </c>
      <c r="K79" s="94" t="str">
        <f>VLOOKUP(I79,[7]stage_hints!$A:$C,3,FALSE)</f>
        <v>果実を使って限界突破</v>
      </c>
      <c r="L79" s="95" t="str">
        <f>VLOOKUP(I79,[7]stage_hints!$A:$D,4,FALSE)</f>
        <v>攻めの果実 癒しの果実_x000D_生命の果実をユニット強化に使うと_x000D_ステータスが限界突破します（計99個迄）</v>
      </c>
      <c r="M79" s="57" t="s">
        <v>212</v>
      </c>
    </row>
    <row r="80" spans="1:13" x14ac:dyDescent="0.15">
      <c r="A80" s="82" t="s">
        <v>202</v>
      </c>
      <c r="B80" s="83">
        <f>floors!$C$2</f>
        <v>20020</v>
      </c>
      <c r="C80" s="84" t="str">
        <f ca="1">VLOOKUP($B80,OFFSET([2]quests!$A$1,0,0,COUNTA([2]quests!$A:$A),MATCH(C$1,[2]quests!$1:$1,0)-MATCH($B$1,[2]quests!$1:$1,0)+1),MATCH(C$1,[2]quests!$1:$1,0)-MATCH($B$1,[2]quests!$1:$1,0)+1,FALSE)</f>
        <v>変幻自在の風</v>
      </c>
      <c r="D80" s="84" t="str">
        <f ca="1">VLOOKUP($B80,OFFSET([2]quests!$A$1,0,0,COUNTA([2]quests!$A:$A),MATCH(D$1,[2]quests!$1:$1,0)-MATCH($B$1,[2]quests!$1:$1,0)+1),MATCH(D$1,[2]quests!$1:$1,0)-MATCH($B$1,[2]quests!$1:$1,0)+1,FALSE)</f>
        <v>メソポタミア01</v>
      </c>
      <c r="E80" s="88">
        <v>3</v>
      </c>
      <c r="F80" s="84" t="str">
        <f ca="1">VLOOKUP($B80&amp;"_"&amp;$E80,OFFSET([2]stages!$A$1,0,0,COUNTA([2]stages!$A:$A),MATCH(F$1,[2]stages!$2:$2,0)-MATCH("temp_stage",[2]stages!$2:$2,0)+1),MATCH(F$1,[2]stages!$2:$2,0)-MATCH("temp_stage",[2]stages!$2:$2,0)+1,FALSE)</f>
        <v>【上級】変幻自在の風</v>
      </c>
      <c r="G80" s="84" t="str">
        <f ca="1">VLOOKUP($B80&amp;"_"&amp;$E80,OFFSET([2]stages!$A$1,0,0,COUNTA([2]stages!$A:$A),MATCH(G$1,[2]stages!$2:$2,0)-MATCH("temp_stage",[2]stages!$2:$2,0)+1),MATCH(G$1,[2]stages!$2:$2,0)-MATCH("temp_stage",[2]stages!$2:$2,0)+1,FALSE)</f>
        <v>メソポタミア01</v>
      </c>
      <c r="H80" s="86">
        <v>0</v>
      </c>
      <c r="I80" s="97">
        <v>25</v>
      </c>
      <c r="J80" s="85" t="s">
        <v>199</v>
      </c>
      <c r="K80" s="94" t="str">
        <f>VLOOKUP(I80,[7]stage_hints!$A:$C,3,FALSE)</f>
        <v>スキルレベルアップ</v>
      </c>
      <c r="L80" s="95" t="str">
        <f>VLOOKUP(I80,[7]stage_hints!$A:$D,4,FALSE)</f>
        <v>「秘術の果実」を強化に使うと_x000D_スキルレベルを上げることができます</v>
      </c>
      <c r="M80" s="57" t="s">
        <v>212</v>
      </c>
    </row>
    <row r="81" spans="1:13" x14ac:dyDescent="0.15">
      <c r="A81" s="82" t="s">
        <v>202</v>
      </c>
      <c r="B81" s="83">
        <f>floors!$C$2</f>
        <v>20020</v>
      </c>
      <c r="C81" s="84" t="str">
        <f ca="1">VLOOKUP($B81,OFFSET([2]quests!$A$1,0,0,COUNTA([2]quests!$A:$A),MATCH(C$1,[2]quests!$1:$1,0)-MATCH($B$1,[2]quests!$1:$1,0)+1),MATCH(C$1,[2]quests!$1:$1,0)-MATCH($B$1,[2]quests!$1:$1,0)+1,FALSE)</f>
        <v>変幻自在の風</v>
      </c>
      <c r="D81" s="84" t="str">
        <f ca="1">VLOOKUP($B81,OFFSET([2]quests!$A$1,0,0,COUNTA([2]quests!$A:$A),MATCH(D$1,[2]quests!$1:$1,0)-MATCH($B$1,[2]quests!$1:$1,0)+1),MATCH(D$1,[2]quests!$1:$1,0)-MATCH($B$1,[2]quests!$1:$1,0)+1,FALSE)</f>
        <v>メソポタミア01</v>
      </c>
      <c r="E81" s="88">
        <v>3</v>
      </c>
      <c r="F81" s="84" t="str">
        <f ca="1">VLOOKUP($B81&amp;"_"&amp;$E81,OFFSET([2]stages!$A$1,0,0,COUNTA([2]stages!$A:$A),MATCH(F$1,[2]stages!$2:$2,0)-MATCH("temp_stage",[2]stages!$2:$2,0)+1),MATCH(F$1,[2]stages!$2:$2,0)-MATCH("temp_stage",[2]stages!$2:$2,0)+1,FALSE)</f>
        <v>【上級】変幻自在の風</v>
      </c>
      <c r="G81" s="84" t="str">
        <f ca="1">VLOOKUP($B81&amp;"_"&amp;$E81,OFFSET([2]stages!$A$1,0,0,COUNTA([2]stages!$A:$A),MATCH(G$1,[2]stages!$2:$2,0)-MATCH("temp_stage",[2]stages!$2:$2,0)+1),MATCH(G$1,[2]stages!$2:$2,0)-MATCH("temp_stage",[2]stages!$2:$2,0)+1,FALSE)</f>
        <v>メソポタミア01</v>
      </c>
      <c r="H81" s="86">
        <v>0</v>
      </c>
      <c r="I81" s="97">
        <v>26</v>
      </c>
      <c r="J81" s="85" t="s">
        <v>199</v>
      </c>
      <c r="K81" s="94" t="str">
        <f>VLOOKUP(I81,[7]stage_hints!$A:$C,3,FALSE)</f>
        <v>スキルレベルの効果</v>
      </c>
      <c r="L81" s="95" t="str">
        <f>VLOOKUP(I81,[7]stage_hints!$A:$D,4,FALSE)</f>
        <v>スキルレベルが上がると_x000D_短いターンでスキルを使うことができます</v>
      </c>
      <c r="M81" s="57" t="s">
        <v>212</v>
      </c>
    </row>
    <row r="82" spans="1:13" x14ac:dyDescent="0.15">
      <c r="A82" s="82" t="s">
        <v>202</v>
      </c>
      <c r="B82" s="83">
        <f>floors!$C$2</f>
        <v>20020</v>
      </c>
      <c r="C82" s="84" t="str">
        <f ca="1">VLOOKUP($B82,OFFSET([2]quests!$A$1,0,0,COUNTA([2]quests!$A:$A),MATCH(C$1,[2]quests!$1:$1,0)-MATCH($B$1,[2]quests!$1:$1,0)+1),MATCH(C$1,[2]quests!$1:$1,0)-MATCH($B$1,[2]quests!$1:$1,0)+1,FALSE)</f>
        <v>変幻自在の風</v>
      </c>
      <c r="D82" s="84" t="str">
        <f ca="1">VLOOKUP($B82,OFFSET([2]quests!$A$1,0,0,COUNTA([2]quests!$A:$A),MATCH(D$1,[2]quests!$1:$1,0)-MATCH($B$1,[2]quests!$1:$1,0)+1),MATCH(D$1,[2]quests!$1:$1,0)-MATCH($B$1,[2]quests!$1:$1,0)+1,FALSE)</f>
        <v>メソポタミア01</v>
      </c>
      <c r="E82" s="88">
        <v>3</v>
      </c>
      <c r="F82" s="84" t="str">
        <f ca="1">VLOOKUP($B82&amp;"_"&amp;$E82,OFFSET([2]stages!$A$1,0,0,COUNTA([2]stages!$A:$A),MATCH(F$1,[2]stages!$2:$2,0)-MATCH("temp_stage",[2]stages!$2:$2,0)+1),MATCH(F$1,[2]stages!$2:$2,0)-MATCH("temp_stage",[2]stages!$2:$2,0)+1,FALSE)</f>
        <v>【上級】変幻自在の風</v>
      </c>
      <c r="G82" s="84" t="str">
        <f ca="1">VLOOKUP($B82&amp;"_"&amp;$E82,OFFSET([2]stages!$A$1,0,0,COUNTA([2]stages!$A:$A),MATCH(G$1,[2]stages!$2:$2,0)-MATCH("temp_stage",[2]stages!$2:$2,0)+1),MATCH(G$1,[2]stages!$2:$2,0)-MATCH("temp_stage",[2]stages!$2:$2,0)+1,FALSE)</f>
        <v>メソポタミア01</v>
      </c>
      <c r="H82" s="86">
        <v>0</v>
      </c>
      <c r="I82" s="97">
        <v>27</v>
      </c>
      <c r="J82" s="85" t="s">
        <v>199</v>
      </c>
      <c r="K82" s="94" t="str">
        <f>VLOOKUP(I82,[7]stage_hints!$A:$C,3,FALSE)</f>
        <v>ホーム画面からデッキを編成</v>
      </c>
      <c r="L82" s="95" t="str">
        <f>VLOOKUP(I82,[7]stage_hints!$A:$D,4,FALSE)</f>
        <v>ホーム画面でユニットを長押しすると_x000D_すぐにパーティ編成に移動できます</v>
      </c>
      <c r="M82" s="57" t="s">
        <v>212</v>
      </c>
    </row>
    <row r="83" spans="1:13" x14ac:dyDescent="0.15">
      <c r="A83" s="82" t="s">
        <v>202</v>
      </c>
      <c r="B83" s="83">
        <f>floors!$C$2</f>
        <v>20020</v>
      </c>
      <c r="C83" s="84" t="str">
        <f ca="1">VLOOKUP($B83,OFFSET([2]quests!$A$1,0,0,COUNTA([2]quests!$A:$A),MATCH(C$1,[2]quests!$1:$1,0)-MATCH($B$1,[2]quests!$1:$1,0)+1),MATCH(C$1,[2]quests!$1:$1,0)-MATCH($B$1,[2]quests!$1:$1,0)+1,FALSE)</f>
        <v>変幻自在の風</v>
      </c>
      <c r="D83" s="84" t="str">
        <f ca="1">VLOOKUP($B83,OFFSET([2]quests!$A$1,0,0,COUNTA([2]quests!$A:$A),MATCH(D$1,[2]quests!$1:$1,0)-MATCH($B$1,[2]quests!$1:$1,0)+1),MATCH(D$1,[2]quests!$1:$1,0)-MATCH($B$1,[2]quests!$1:$1,0)+1,FALSE)</f>
        <v>メソポタミア01</v>
      </c>
      <c r="E83" s="88">
        <v>3</v>
      </c>
      <c r="F83" s="84" t="str">
        <f ca="1">VLOOKUP($B83&amp;"_"&amp;$E83,OFFSET([2]stages!$A$1,0,0,COUNTA([2]stages!$A:$A),MATCH(F$1,[2]stages!$2:$2,0)-MATCH("temp_stage",[2]stages!$2:$2,0)+1),MATCH(F$1,[2]stages!$2:$2,0)-MATCH("temp_stage",[2]stages!$2:$2,0)+1,FALSE)</f>
        <v>【上級】変幻自在の風</v>
      </c>
      <c r="G83" s="84" t="str">
        <f ca="1">VLOOKUP($B83&amp;"_"&amp;$E83,OFFSET([2]stages!$A$1,0,0,COUNTA([2]stages!$A:$A),MATCH(G$1,[2]stages!$2:$2,0)-MATCH("temp_stage",[2]stages!$2:$2,0)+1),MATCH(G$1,[2]stages!$2:$2,0)-MATCH("temp_stage",[2]stages!$2:$2,0)+1,FALSE)</f>
        <v>メソポタミア01</v>
      </c>
      <c r="H83" s="86">
        <v>0</v>
      </c>
      <c r="I83" s="97">
        <v>28</v>
      </c>
      <c r="J83" s="85" t="s">
        <v>199</v>
      </c>
      <c r="K83" s="94" t="str">
        <f>VLOOKUP(I83,[7]stage_hints!$A:$C,3,FALSE)</f>
        <v>ステータス情報は長押しで</v>
      </c>
      <c r="L83" s="95" t="str">
        <f>VLOOKUP(I83,[7]stage_hints!$A:$D,4,FALSE)</f>
        <v>ユニットのアイコンを長押しすると_x000D_ステータス情報を確認することができます</v>
      </c>
      <c r="M83" s="57" t="s">
        <v>212</v>
      </c>
    </row>
    <row r="84" spans="1:13" x14ac:dyDescent="0.15">
      <c r="A84" s="82" t="s">
        <v>202</v>
      </c>
      <c r="B84" s="83">
        <f>floors!$C$2</f>
        <v>20020</v>
      </c>
      <c r="C84" s="84" t="str">
        <f ca="1">VLOOKUP($B84,OFFSET([2]quests!$A$1,0,0,COUNTA([2]quests!$A:$A),MATCH(C$1,[2]quests!$1:$1,0)-MATCH($B$1,[2]quests!$1:$1,0)+1),MATCH(C$1,[2]quests!$1:$1,0)-MATCH($B$1,[2]quests!$1:$1,0)+1,FALSE)</f>
        <v>変幻自在の風</v>
      </c>
      <c r="D84" s="84" t="str">
        <f ca="1">VLOOKUP($B84,OFFSET([2]quests!$A$1,0,0,COUNTA([2]quests!$A:$A),MATCH(D$1,[2]quests!$1:$1,0)-MATCH($B$1,[2]quests!$1:$1,0)+1),MATCH(D$1,[2]quests!$1:$1,0)-MATCH($B$1,[2]quests!$1:$1,0)+1,FALSE)</f>
        <v>メソポタミア01</v>
      </c>
      <c r="E84" s="88">
        <v>3</v>
      </c>
      <c r="F84" s="84" t="str">
        <f ca="1">VLOOKUP($B84&amp;"_"&amp;$E84,OFFSET([2]stages!$A$1,0,0,COUNTA([2]stages!$A:$A),MATCH(F$1,[2]stages!$2:$2,0)-MATCH("temp_stage",[2]stages!$2:$2,0)+1),MATCH(F$1,[2]stages!$2:$2,0)-MATCH("temp_stage",[2]stages!$2:$2,0)+1,FALSE)</f>
        <v>【上級】変幻自在の風</v>
      </c>
      <c r="G84" s="84" t="str">
        <f ca="1">VLOOKUP($B84&amp;"_"&amp;$E84,OFFSET([2]stages!$A$1,0,0,COUNTA([2]stages!$A:$A),MATCH(G$1,[2]stages!$2:$2,0)-MATCH("temp_stage",[2]stages!$2:$2,0)+1),MATCH(G$1,[2]stages!$2:$2,0)-MATCH("temp_stage",[2]stages!$2:$2,0)+1,FALSE)</f>
        <v>メソポタミア01</v>
      </c>
      <c r="H84" s="86">
        <v>0</v>
      </c>
      <c r="I84" s="97">
        <v>29</v>
      </c>
      <c r="J84" s="85" t="s">
        <v>199</v>
      </c>
      <c r="K84" s="94" t="str">
        <f>VLOOKUP(I84,[7]stage_hints!$A:$C,3,FALSE)</f>
        <v>「バグ」のメリット</v>
      </c>
      <c r="L84" s="95" t="str">
        <f>VLOOKUP(I84,[7]stage_hints!$A:$D,4,FALSE)</f>
        <v>ユニットの「バグ」を増やすと_x000D_報酬をもらえる確率がアップします</v>
      </c>
      <c r="M84" s="57" t="s">
        <v>212</v>
      </c>
    </row>
    <row r="85" spans="1:13" x14ac:dyDescent="0.15">
      <c r="A85" s="82" t="s">
        <v>202</v>
      </c>
      <c r="B85" s="83">
        <f>floors!$C$2</f>
        <v>20020</v>
      </c>
      <c r="C85" s="84" t="str">
        <f ca="1">VLOOKUP($B85,OFFSET([2]quests!$A$1,0,0,COUNTA([2]quests!$A:$A),MATCH(C$1,[2]quests!$1:$1,0)-MATCH($B$1,[2]quests!$1:$1,0)+1),MATCH(C$1,[2]quests!$1:$1,0)-MATCH($B$1,[2]quests!$1:$1,0)+1,FALSE)</f>
        <v>変幻自在の風</v>
      </c>
      <c r="D85" s="84" t="str">
        <f ca="1">VLOOKUP($B85,OFFSET([2]quests!$A$1,0,0,COUNTA([2]quests!$A:$A),MATCH(D$1,[2]quests!$1:$1,0)-MATCH($B$1,[2]quests!$1:$1,0)+1),MATCH(D$1,[2]quests!$1:$1,0)-MATCH($B$1,[2]quests!$1:$1,0)+1,FALSE)</f>
        <v>メソポタミア01</v>
      </c>
      <c r="E85" s="88">
        <v>3</v>
      </c>
      <c r="F85" s="84" t="str">
        <f ca="1">VLOOKUP($B85&amp;"_"&amp;$E85,OFFSET([2]stages!$A$1,0,0,COUNTA([2]stages!$A:$A),MATCH(F$1,[2]stages!$2:$2,0)-MATCH("temp_stage",[2]stages!$2:$2,0)+1),MATCH(F$1,[2]stages!$2:$2,0)-MATCH("temp_stage",[2]stages!$2:$2,0)+1,FALSE)</f>
        <v>【上級】変幻自在の風</v>
      </c>
      <c r="G85" s="84" t="str">
        <f ca="1">VLOOKUP($B85&amp;"_"&amp;$E85,OFFSET([2]stages!$A$1,0,0,COUNTA([2]stages!$A:$A),MATCH(G$1,[2]stages!$2:$2,0)-MATCH("temp_stage",[2]stages!$2:$2,0)+1),MATCH(G$1,[2]stages!$2:$2,0)-MATCH("temp_stage",[2]stages!$2:$2,0)+1,FALSE)</f>
        <v>メソポタミア01</v>
      </c>
      <c r="H85" s="86">
        <v>0</v>
      </c>
      <c r="I85" s="97">
        <v>30</v>
      </c>
      <c r="J85" s="85" t="s">
        <v>199</v>
      </c>
      <c r="K85" s="94" t="str">
        <f>VLOOKUP(I85,[7]stage_hints!$A:$C,3,FALSE)</f>
        <v>「バグ」の増やし方</v>
      </c>
      <c r="L85" s="95" t="str">
        <f>VLOOKUP(I85,[7]stage_hints!$A:$D,4,FALSE)</f>
        <v>同じユニット同士を強化で合成すると_x000D_「バグ」を増やすことができます</v>
      </c>
      <c r="M85" s="57" t="s">
        <v>212</v>
      </c>
    </row>
    <row r="86" spans="1:13" x14ac:dyDescent="0.15">
      <c r="A86" s="82" t="s">
        <v>202</v>
      </c>
      <c r="B86" s="83">
        <f>floors!$C$2</f>
        <v>20020</v>
      </c>
      <c r="C86" s="84" t="str">
        <f ca="1">VLOOKUP($B86,OFFSET([2]quests!$A$1,0,0,COUNTA([2]quests!$A:$A),MATCH(C$1,[2]quests!$1:$1,0)-MATCH($B$1,[2]quests!$1:$1,0)+1),MATCH(C$1,[2]quests!$1:$1,0)-MATCH($B$1,[2]quests!$1:$1,0)+1,FALSE)</f>
        <v>変幻自在の風</v>
      </c>
      <c r="D86" s="84" t="str">
        <f ca="1">VLOOKUP($B86,OFFSET([2]quests!$A$1,0,0,COUNTA([2]quests!$A:$A),MATCH(D$1,[2]quests!$1:$1,0)-MATCH($B$1,[2]quests!$1:$1,0)+1),MATCH(D$1,[2]quests!$1:$1,0)-MATCH($B$1,[2]quests!$1:$1,0)+1,FALSE)</f>
        <v>メソポタミア01</v>
      </c>
      <c r="E86" s="88">
        <v>3</v>
      </c>
      <c r="F86" s="84" t="str">
        <f ca="1">VLOOKUP($B86&amp;"_"&amp;$E86,OFFSET([2]stages!$A$1,0,0,COUNTA([2]stages!$A:$A),MATCH(F$1,[2]stages!$2:$2,0)-MATCH("temp_stage",[2]stages!$2:$2,0)+1),MATCH(F$1,[2]stages!$2:$2,0)-MATCH("temp_stage",[2]stages!$2:$2,0)+1,FALSE)</f>
        <v>【上級】変幻自在の風</v>
      </c>
      <c r="G86" s="84" t="str">
        <f ca="1">VLOOKUP($B86&amp;"_"&amp;$E86,OFFSET([2]stages!$A$1,0,0,COUNTA([2]stages!$A:$A),MATCH(G$1,[2]stages!$2:$2,0)-MATCH("temp_stage",[2]stages!$2:$2,0)+1),MATCH(G$1,[2]stages!$2:$2,0)-MATCH("temp_stage",[2]stages!$2:$2,0)+1,FALSE)</f>
        <v>メソポタミア01</v>
      </c>
      <c r="H86" s="86">
        <v>0</v>
      </c>
      <c r="I86" s="97">
        <v>31</v>
      </c>
      <c r="J86" s="85" t="s">
        <v>199</v>
      </c>
      <c r="K86" s="94" t="str">
        <f>VLOOKUP(I86,[7]stage_hints!$A:$C,3,FALSE)</f>
        <v>イベントはお知らせでチェック</v>
      </c>
      <c r="L86" s="95" t="str">
        <f>VLOOKUP(I86,[7]stage_hints!$A:$D,4,FALSE)</f>
        <v>イベント限定ユニットを取り忘れないように_x000D_お知らせをこまめにチェックしましょう</v>
      </c>
      <c r="M86" s="57" t="s">
        <v>212</v>
      </c>
    </row>
    <row r="87" spans="1:13" x14ac:dyDescent="0.15">
      <c r="A87" s="82" t="s">
        <v>202</v>
      </c>
      <c r="B87" s="83">
        <f>floors!$C$2</f>
        <v>20020</v>
      </c>
      <c r="C87" s="84" t="str">
        <f ca="1">VLOOKUP($B87,OFFSET([2]quests!$A$1,0,0,COUNTA([2]quests!$A:$A),MATCH(C$1,[2]quests!$1:$1,0)-MATCH($B$1,[2]quests!$1:$1,0)+1),MATCH(C$1,[2]quests!$1:$1,0)-MATCH($B$1,[2]quests!$1:$1,0)+1,FALSE)</f>
        <v>変幻自在の風</v>
      </c>
      <c r="D87" s="84" t="str">
        <f ca="1">VLOOKUP($B87,OFFSET([2]quests!$A$1,0,0,COUNTA([2]quests!$A:$A),MATCH(D$1,[2]quests!$1:$1,0)-MATCH($B$1,[2]quests!$1:$1,0)+1),MATCH(D$1,[2]quests!$1:$1,0)-MATCH($B$1,[2]quests!$1:$1,0)+1,FALSE)</f>
        <v>メソポタミア01</v>
      </c>
      <c r="E87" s="88">
        <v>3</v>
      </c>
      <c r="F87" s="84" t="str">
        <f ca="1">VLOOKUP($B87&amp;"_"&amp;$E87,OFFSET([2]stages!$A$1,0,0,COUNTA([2]stages!$A:$A),MATCH(F$1,[2]stages!$2:$2,0)-MATCH("temp_stage",[2]stages!$2:$2,0)+1),MATCH(F$1,[2]stages!$2:$2,0)-MATCH("temp_stage",[2]stages!$2:$2,0)+1,FALSE)</f>
        <v>【上級】変幻自在の風</v>
      </c>
      <c r="G87" s="84" t="str">
        <f ca="1">VLOOKUP($B87&amp;"_"&amp;$E87,OFFSET([2]stages!$A$1,0,0,COUNTA([2]stages!$A:$A),MATCH(G$1,[2]stages!$2:$2,0)-MATCH("temp_stage",[2]stages!$2:$2,0)+1),MATCH(G$1,[2]stages!$2:$2,0)-MATCH("temp_stage",[2]stages!$2:$2,0)+1,FALSE)</f>
        <v>メソポタミア01</v>
      </c>
      <c r="H87" s="86">
        <v>0</v>
      </c>
      <c r="I87" s="97">
        <v>32</v>
      </c>
      <c r="J87" s="85" t="s">
        <v>199</v>
      </c>
      <c r="K87" s="94" t="str">
        <f>VLOOKUP(I87,[7]stage_hints!$A:$C,3,FALSE)</f>
        <v>敵の連続攻撃には</v>
      </c>
      <c r="L87" s="95" t="str">
        <f>VLOOKUP(I87,[7]stage_hints!$A:$D,4,FALSE)</f>
        <v>カウンタースキルを持つユニットがいれば_x000D_ダメージ回数分の反撃ができます</v>
      </c>
      <c r="M87" s="57" t="s">
        <v>212</v>
      </c>
    </row>
    <row r="88" spans="1:13" x14ac:dyDescent="0.15">
      <c r="A88" s="82" t="s">
        <v>202</v>
      </c>
      <c r="B88" s="83">
        <f>floors!$C$2</f>
        <v>20020</v>
      </c>
      <c r="C88" s="84" t="str">
        <f ca="1">VLOOKUP($B88,OFFSET([2]quests!$A$1,0,0,COUNTA([2]quests!$A:$A),MATCH(C$1,[2]quests!$1:$1,0)-MATCH($B$1,[2]quests!$1:$1,0)+1),MATCH(C$1,[2]quests!$1:$1,0)-MATCH($B$1,[2]quests!$1:$1,0)+1,FALSE)</f>
        <v>変幻自在の風</v>
      </c>
      <c r="D88" s="84" t="str">
        <f ca="1">VLOOKUP($B88,OFFSET([2]quests!$A$1,0,0,COUNTA([2]quests!$A:$A),MATCH(D$1,[2]quests!$1:$1,0)-MATCH($B$1,[2]quests!$1:$1,0)+1),MATCH(D$1,[2]quests!$1:$1,0)-MATCH($B$1,[2]quests!$1:$1,0)+1,FALSE)</f>
        <v>メソポタミア01</v>
      </c>
      <c r="E88" s="88">
        <v>3</v>
      </c>
      <c r="F88" s="84" t="str">
        <f ca="1">VLOOKUP($B88&amp;"_"&amp;$E88,OFFSET([2]stages!$A$1,0,0,COUNTA([2]stages!$A:$A),MATCH(F$1,[2]stages!$2:$2,0)-MATCH("temp_stage",[2]stages!$2:$2,0)+1),MATCH(F$1,[2]stages!$2:$2,0)-MATCH("temp_stage",[2]stages!$2:$2,0)+1,FALSE)</f>
        <v>【上級】変幻自在の風</v>
      </c>
      <c r="G88" s="84" t="str">
        <f ca="1">VLOOKUP($B88&amp;"_"&amp;$E88,OFFSET([2]stages!$A$1,0,0,COUNTA([2]stages!$A:$A),MATCH(G$1,[2]stages!$2:$2,0)-MATCH("temp_stage",[2]stages!$2:$2,0)+1),MATCH(G$1,[2]stages!$2:$2,0)-MATCH("temp_stage",[2]stages!$2:$2,0)+1,FALSE)</f>
        <v>メソポタミア01</v>
      </c>
      <c r="H88" s="86">
        <v>0</v>
      </c>
      <c r="I88" s="97">
        <v>33</v>
      </c>
      <c r="J88" s="85" t="s">
        <v>199</v>
      </c>
      <c r="K88" s="94" t="str">
        <f>VLOOKUP(I88,[7]stage_hints!$A:$C,3,FALSE)</f>
        <v>敵のカウンター攻撃には</v>
      </c>
      <c r="L88" s="95" t="str">
        <f>VLOOKUP(I88,[7]stage_hints!$A:$D,4,FALSE)</f>
        <v>カウンターブレイクスキルを持っていれば_x000D_敵のカウンターを解除して攻撃ができます</v>
      </c>
      <c r="M88" s="57" t="s">
        <v>212</v>
      </c>
    </row>
    <row r="89" spans="1:13" x14ac:dyDescent="0.15">
      <c r="A89" s="82" t="s">
        <v>202</v>
      </c>
      <c r="B89" s="83">
        <f>floors!$C$2</f>
        <v>20020</v>
      </c>
      <c r="C89" s="84" t="str">
        <f ca="1">VLOOKUP($B89,OFFSET([2]quests!$A$1,0,0,COUNTA([2]quests!$A:$A),MATCH(C$1,[2]quests!$1:$1,0)-MATCH($B$1,[2]quests!$1:$1,0)+1),MATCH(C$1,[2]quests!$1:$1,0)-MATCH($B$1,[2]quests!$1:$1,0)+1,FALSE)</f>
        <v>変幻自在の風</v>
      </c>
      <c r="D89" s="84" t="str">
        <f ca="1">VLOOKUP($B89,OFFSET([2]quests!$A$1,0,0,COUNTA([2]quests!$A:$A),MATCH(D$1,[2]quests!$1:$1,0)-MATCH($B$1,[2]quests!$1:$1,0)+1),MATCH(D$1,[2]quests!$1:$1,0)-MATCH($B$1,[2]quests!$1:$1,0)+1,FALSE)</f>
        <v>メソポタミア01</v>
      </c>
      <c r="E89" s="88">
        <v>3</v>
      </c>
      <c r="F89" s="84" t="str">
        <f ca="1">VLOOKUP($B89&amp;"_"&amp;$E89,OFFSET([2]stages!$A$1,0,0,COUNTA([2]stages!$A:$A),MATCH(F$1,[2]stages!$2:$2,0)-MATCH("temp_stage",[2]stages!$2:$2,0)+1),MATCH(F$1,[2]stages!$2:$2,0)-MATCH("temp_stage",[2]stages!$2:$2,0)+1,FALSE)</f>
        <v>【上級】変幻自在の風</v>
      </c>
      <c r="G89" s="84" t="str">
        <f ca="1">VLOOKUP($B89&amp;"_"&amp;$E89,OFFSET([2]stages!$A$1,0,0,COUNTA([2]stages!$A:$A),MATCH(G$1,[2]stages!$2:$2,0)-MATCH("temp_stage",[2]stages!$2:$2,0)+1),MATCH(G$1,[2]stages!$2:$2,0)-MATCH("temp_stage",[2]stages!$2:$2,0)+1,FALSE)</f>
        <v>メソポタミア01</v>
      </c>
      <c r="H89" s="86">
        <v>0</v>
      </c>
      <c r="I89" s="97">
        <v>34</v>
      </c>
      <c r="J89" s="85" t="s">
        <v>199</v>
      </c>
      <c r="K89" s="94" t="str">
        <f>VLOOKUP(I89,[7]stage_hints!$A:$C,3,FALSE)</f>
        <v>ステータスをスキルで下げられたら</v>
      </c>
      <c r="L89" s="95" t="str">
        <f>VLOOKUP(I89,[7]stage_hints!$A:$D,4,FALSE)</f>
        <v>ステータスダウンのスキルを受けたら_x000D_ステータスアップスキルで上書きしましょう</v>
      </c>
      <c r="M89" s="57" t="s">
        <v>212</v>
      </c>
    </row>
    <row r="90" spans="1:13" x14ac:dyDescent="0.15">
      <c r="A90" s="82" t="s">
        <v>202</v>
      </c>
      <c r="B90" s="83">
        <f>floors!$C$2</f>
        <v>20020</v>
      </c>
      <c r="C90" s="84" t="str">
        <f ca="1">VLOOKUP($B90,OFFSET([2]quests!$A$1,0,0,COUNTA([2]quests!$A:$A),MATCH(C$1,[2]quests!$1:$1,0)-MATCH($B$1,[2]quests!$1:$1,0)+1),MATCH(C$1,[2]quests!$1:$1,0)-MATCH($B$1,[2]quests!$1:$1,0)+1,FALSE)</f>
        <v>変幻自在の風</v>
      </c>
      <c r="D90" s="84" t="str">
        <f ca="1">VLOOKUP($B90,OFFSET([2]quests!$A$1,0,0,COUNTA([2]quests!$A:$A),MATCH(D$1,[2]quests!$1:$1,0)-MATCH($B$1,[2]quests!$1:$1,0)+1),MATCH(D$1,[2]quests!$1:$1,0)-MATCH($B$1,[2]quests!$1:$1,0)+1,FALSE)</f>
        <v>メソポタミア01</v>
      </c>
      <c r="E90" s="88">
        <v>3</v>
      </c>
      <c r="F90" s="84" t="str">
        <f ca="1">VLOOKUP($B90&amp;"_"&amp;$E90,OFFSET([2]stages!$A$1,0,0,COUNTA([2]stages!$A:$A),MATCH(F$1,[2]stages!$2:$2,0)-MATCH("temp_stage",[2]stages!$2:$2,0)+1),MATCH(F$1,[2]stages!$2:$2,0)-MATCH("temp_stage",[2]stages!$2:$2,0)+1,FALSE)</f>
        <v>【上級】変幻自在の風</v>
      </c>
      <c r="G90" s="84" t="str">
        <f ca="1">VLOOKUP($B90&amp;"_"&amp;$E90,OFFSET([2]stages!$A$1,0,0,COUNTA([2]stages!$A:$A),MATCH(G$1,[2]stages!$2:$2,0)-MATCH("temp_stage",[2]stages!$2:$2,0)+1),MATCH(G$1,[2]stages!$2:$2,0)-MATCH("temp_stage",[2]stages!$2:$2,0)+1,FALSE)</f>
        <v>メソポタミア01</v>
      </c>
      <c r="H90" s="86">
        <v>0</v>
      </c>
      <c r="I90" s="97">
        <v>35</v>
      </c>
      <c r="J90" s="85" t="s">
        <v>199</v>
      </c>
      <c r="K90" s="94" t="str">
        <f>VLOOKUP(I90,[7]stage_hints!$A:$C,3,FALSE)</f>
        <v>敵のステータスがスキルで上がったら</v>
      </c>
      <c r="L90" s="95" t="str">
        <f>VLOOKUP(I90,[7]stage_hints!$A:$D,4,FALSE)</f>
        <v>敵のステータスがスキルでアップしたときは_x000D_ステータスダウンスキルで上書きしましょう</v>
      </c>
      <c r="M90" s="57" t="s">
        <v>212</v>
      </c>
    </row>
    <row r="91" spans="1:13" x14ac:dyDescent="0.15">
      <c r="A91" s="82" t="s">
        <v>202</v>
      </c>
      <c r="B91" s="83">
        <f>floors!$C$2</f>
        <v>20020</v>
      </c>
      <c r="C91" s="84" t="str">
        <f ca="1">VLOOKUP($B91,OFFSET([2]quests!$A$1,0,0,COUNTA([2]quests!$A:$A),MATCH(C$1,[2]quests!$1:$1,0)-MATCH($B$1,[2]quests!$1:$1,0)+1),MATCH(C$1,[2]quests!$1:$1,0)-MATCH($B$1,[2]quests!$1:$1,0)+1,FALSE)</f>
        <v>変幻自在の風</v>
      </c>
      <c r="D91" s="84" t="str">
        <f ca="1">VLOOKUP($B91,OFFSET([2]quests!$A$1,0,0,COUNTA([2]quests!$A:$A),MATCH(D$1,[2]quests!$1:$1,0)-MATCH($B$1,[2]quests!$1:$1,0)+1),MATCH(D$1,[2]quests!$1:$1,0)-MATCH($B$1,[2]quests!$1:$1,0)+1,FALSE)</f>
        <v>メソポタミア01</v>
      </c>
      <c r="E91" s="88">
        <v>3</v>
      </c>
      <c r="F91" s="84" t="str">
        <f ca="1">VLOOKUP($B91&amp;"_"&amp;$E91,OFFSET([2]stages!$A$1,0,0,COUNTA([2]stages!$A:$A),MATCH(F$1,[2]stages!$2:$2,0)-MATCH("temp_stage",[2]stages!$2:$2,0)+1),MATCH(F$1,[2]stages!$2:$2,0)-MATCH("temp_stage",[2]stages!$2:$2,0)+1,FALSE)</f>
        <v>【上級】変幻自在の風</v>
      </c>
      <c r="G91" s="84" t="str">
        <f ca="1">VLOOKUP($B91&amp;"_"&amp;$E91,OFFSET([2]stages!$A$1,0,0,COUNTA([2]stages!$A:$A),MATCH(G$1,[2]stages!$2:$2,0)-MATCH("temp_stage",[2]stages!$2:$2,0)+1),MATCH(G$1,[2]stages!$2:$2,0)-MATCH("temp_stage",[2]stages!$2:$2,0)+1,FALSE)</f>
        <v>メソポタミア01</v>
      </c>
      <c r="H91" s="86">
        <v>0</v>
      </c>
      <c r="I91" s="97">
        <v>36</v>
      </c>
      <c r="J91" s="85" t="s">
        <v>199</v>
      </c>
      <c r="K91" s="94" t="str">
        <f>VLOOKUP(I91,[7]stage_hints!$A:$C,3,FALSE)</f>
        <v>タワーオブザクイーンのボス</v>
      </c>
      <c r="L91" s="95" t="str">
        <f>VLOOKUP(I91,[7]stage_hints!$A:$D,4,FALSE)</f>
        <v>「タワーオブザクイーン」最上階のボスは_x000D_15階の初回クリア報酬で獲得できるほか_x000D_その階にて低確率でドロップもします</v>
      </c>
      <c r="M91" s="57" t="s">
        <v>212</v>
      </c>
    </row>
    <row r="92" spans="1:13" x14ac:dyDescent="0.15">
      <c r="A92" s="82" t="s">
        <v>202</v>
      </c>
      <c r="B92" s="83">
        <f>floors!$C$2</f>
        <v>20020</v>
      </c>
      <c r="C92" s="84" t="str">
        <f ca="1">VLOOKUP($B92,OFFSET([2]quests!$A$1,0,0,COUNTA([2]quests!$A:$A),MATCH(C$1,[2]quests!$1:$1,0)-MATCH($B$1,[2]quests!$1:$1,0)+1),MATCH(C$1,[2]quests!$1:$1,0)-MATCH($B$1,[2]quests!$1:$1,0)+1,FALSE)</f>
        <v>変幻自在の風</v>
      </c>
      <c r="D92" s="84" t="str">
        <f ca="1">VLOOKUP($B92,OFFSET([2]quests!$A$1,0,0,COUNTA([2]quests!$A:$A),MATCH(D$1,[2]quests!$1:$1,0)-MATCH($B$1,[2]quests!$1:$1,0)+1),MATCH(D$1,[2]quests!$1:$1,0)-MATCH($B$1,[2]quests!$1:$1,0)+1,FALSE)</f>
        <v>メソポタミア01</v>
      </c>
      <c r="E92" s="88">
        <v>3</v>
      </c>
      <c r="F92" s="84" t="str">
        <f ca="1">VLOOKUP($B92&amp;"_"&amp;$E92,OFFSET([2]stages!$A$1,0,0,COUNTA([2]stages!$A:$A),MATCH(F$1,[2]stages!$2:$2,0)-MATCH("temp_stage",[2]stages!$2:$2,0)+1),MATCH(F$1,[2]stages!$2:$2,0)-MATCH("temp_stage",[2]stages!$2:$2,0)+1,FALSE)</f>
        <v>【上級】変幻自在の風</v>
      </c>
      <c r="G92" s="84" t="str">
        <f ca="1">VLOOKUP($B92&amp;"_"&amp;$E92,OFFSET([2]stages!$A$1,0,0,COUNTA([2]stages!$A:$A),MATCH(G$1,[2]stages!$2:$2,0)-MATCH("temp_stage",[2]stages!$2:$2,0)+1),MATCH(G$1,[2]stages!$2:$2,0)-MATCH("temp_stage",[2]stages!$2:$2,0)+1,FALSE)</f>
        <v>メソポタミア01</v>
      </c>
      <c r="H92" s="86">
        <v>0</v>
      </c>
      <c r="I92" s="97">
        <v>37</v>
      </c>
      <c r="J92" s="85" t="s">
        <v>199</v>
      </c>
      <c r="K92" s="94" t="str">
        <f>VLOOKUP(I92,[7]stage_hints!$A:$C,3,FALSE)</f>
        <v>限界突破値の引き継ぎ</v>
      </c>
      <c r="L92" s="95" t="str">
        <f>VLOOKUP(I92,[7]stage_hints!$A:$D,4,FALSE)</f>
        <v>同じユニットを強化で合成すると_x000D_限界突破値を引き継げます（覚醒前後も可）</v>
      </c>
      <c r="M92" s="57" t="s">
        <v>212</v>
      </c>
    </row>
    <row r="93" spans="1:13" x14ac:dyDescent="0.15">
      <c r="A93" s="82" t="s">
        <v>202</v>
      </c>
      <c r="B93" s="83">
        <f>floors!$C$2</f>
        <v>20020</v>
      </c>
      <c r="C93" s="84" t="str">
        <f ca="1">VLOOKUP($B93,OFFSET([2]quests!$A$1,0,0,COUNTA([2]quests!$A:$A),MATCH(C$1,[2]quests!$1:$1,0)-MATCH($B$1,[2]quests!$1:$1,0)+1),MATCH(C$1,[2]quests!$1:$1,0)-MATCH($B$1,[2]quests!$1:$1,0)+1,FALSE)</f>
        <v>変幻自在の風</v>
      </c>
      <c r="D93" s="84" t="str">
        <f ca="1">VLOOKUP($B93,OFFSET([2]quests!$A$1,0,0,COUNTA([2]quests!$A:$A),MATCH(D$1,[2]quests!$1:$1,0)-MATCH($B$1,[2]quests!$1:$1,0)+1),MATCH(D$1,[2]quests!$1:$1,0)-MATCH($B$1,[2]quests!$1:$1,0)+1,FALSE)</f>
        <v>メソポタミア01</v>
      </c>
      <c r="E93" s="88">
        <v>3</v>
      </c>
      <c r="F93" s="84" t="str">
        <f ca="1">VLOOKUP($B93&amp;"_"&amp;$E93,OFFSET([2]stages!$A$1,0,0,COUNTA([2]stages!$A:$A),MATCH(F$1,[2]stages!$2:$2,0)-MATCH("temp_stage",[2]stages!$2:$2,0)+1),MATCH(F$1,[2]stages!$2:$2,0)-MATCH("temp_stage",[2]stages!$2:$2,0)+1,FALSE)</f>
        <v>【上級】変幻自在の風</v>
      </c>
      <c r="G93" s="84" t="str">
        <f ca="1">VLOOKUP($B93&amp;"_"&amp;$E93,OFFSET([2]stages!$A$1,0,0,COUNTA([2]stages!$A:$A),MATCH(G$1,[2]stages!$2:$2,0)-MATCH("temp_stage",[2]stages!$2:$2,0)+1),MATCH(G$1,[2]stages!$2:$2,0)-MATCH("temp_stage",[2]stages!$2:$2,0)+1,FALSE)</f>
        <v>メソポタミア01</v>
      </c>
      <c r="H93" s="86">
        <v>0</v>
      </c>
      <c r="I93" s="97">
        <v>39</v>
      </c>
      <c r="J93" s="85" t="s">
        <v>199</v>
      </c>
      <c r="K93" s="94" t="str">
        <f>VLOOKUP(I93,[7]stage_hints!$A:$C,3,FALSE)</f>
        <v>システム適合者を確認</v>
      </c>
      <c r="L93" s="95" t="str">
        <f>VLOOKUP(I93,[7]stage_hints!$A:$D,4,FALSE)</f>
        <v>ALICEが 「アナタ」を呼んでいます</v>
      </c>
      <c r="M93" s="57" t="s">
        <v>212</v>
      </c>
    </row>
  </sheetData>
  <phoneticPr fontId="5"/>
  <dataValidations count="1">
    <dataValidation type="list" allowBlank="1" showInputMessage="1" showErrorMessage="1" sqref="A2:A93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16"/>
  <sheetViews>
    <sheetView showGridLines="0" workbookViewId="0">
      <pane ySplit="1" topLeftCell="A2" activePane="bottomLeft" state="frozen"/>
      <selection pane="bottomLeft" activeCell="Q7" sqref="Q7"/>
    </sheetView>
  </sheetViews>
  <sheetFormatPr baseColWidth="12" defaultColWidth="13" defaultRowHeight="15" outlineLevelCol="1" x14ac:dyDescent="0.15"/>
  <cols>
    <col min="1" max="1" width="13" style="89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7" t="s">
        <v>189</v>
      </c>
      <c r="B1" s="74" t="s">
        <v>151</v>
      </c>
      <c r="C1" s="78" t="s">
        <v>191</v>
      </c>
      <c r="D1" s="78" t="s">
        <v>33</v>
      </c>
      <c r="E1" s="74" t="s">
        <v>192</v>
      </c>
      <c r="F1" s="78" t="s">
        <v>18</v>
      </c>
      <c r="G1" s="78" t="s">
        <v>33</v>
      </c>
      <c r="H1" s="74" t="s">
        <v>194</v>
      </c>
      <c r="I1" s="90" t="s">
        <v>195</v>
      </c>
      <c r="J1" s="92" t="s">
        <v>196</v>
      </c>
      <c r="K1" s="80" t="s">
        <v>127</v>
      </c>
      <c r="L1" s="79" t="s">
        <v>188</v>
      </c>
      <c r="M1" s="93" t="s">
        <v>187</v>
      </c>
      <c r="N1" s="81" t="s">
        <v>197</v>
      </c>
    </row>
    <row r="2" spans="1:14" ht="42" x14ac:dyDescent="0.15">
      <c r="A2" s="82" t="s">
        <v>198</v>
      </c>
      <c r="B2" s="83">
        <f>floors!$C$2</f>
        <v>20020</v>
      </c>
      <c r="C2" s="84" t="str">
        <f ca="1">VLOOKUP($B2,OFFSET([2]quests!$A$1,0,0,COUNTA([2]quests!$A:$A),MATCH(C$1,[2]quests!$1:$1,0)-MATCH($B$1,[2]quests!$1:$1,0)+1),MATCH(C$1,[2]quests!$1:$1,0)-MATCH($B$1,[2]quests!$1:$1,0)+1,FALSE)</f>
        <v>変幻自在の風</v>
      </c>
      <c r="D2" s="84" t="str">
        <f ca="1">VLOOKUP($B2,OFFSET([2]quests!$A$1,0,0,COUNTA([2]quests!$A:$A),MATCH(D$1,[2]quests!$1:$1,0)-MATCH($B$1,[2]quests!$1:$1,0)+1),MATCH(D$1,[2]quests!$1:$1,0)-MATCH($B$1,[2]quests!$1:$1,0)+1,FALSE)</f>
        <v>メソポタミア01</v>
      </c>
      <c r="E2" s="85">
        <v>3</v>
      </c>
      <c r="F2" s="84" t="str">
        <f ca="1">VLOOKUP($B2&amp;"_"&amp;$E2,OFFSET([2]stages!$A$1,0,0,COUNTA([2]stages!$A:$A),MATCH(F$1,[2]stages!$2:$2,0)-MATCH("temp_stage",[2]stages!$2:$2,0)+1),MATCH(F$1,[2]stages!$2:$2,0)-MATCH("temp_stage",[2]stages!$2:$2,0)+1,FALSE)</f>
        <v>【上級】変幻自在の風</v>
      </c>
      <c r="G2" s="84" t="str">
        <f ca="1">VLOOKUP($B2&amp;"_"&amp;$E2,OFFSET([2]stages!$A$1,0,0,COUNTA([2]stages!$A:$A),MATCH(G$1,[2]stages!$2:$2,0)-MATCH("temp_stage",[2]stages!$2:$2,0)+1),MATCH(G$1,[2]stages!$2:$2,0)-MATCH("temp_stage",[2]stages!$2:$2,0)+1,FALSE)</f>
        <v>メソポタミア01</v>
      </c>
      <c r="H2" s="86">
        <v>1</v>
      </c>
      <c r="I2" s="91">
        <f t="shared" ref="I2:I16" si="0">ROW()-1</f>
        <v>1</v>
      </c>
      <c r="J2" s="87" t="str">
        <f t="shared" ref="J2:J16" si="1">B2&amp;TEXT(I2,"00")</f>
        <v>2002001</v>
      </c>
      <c r="K2" s="85" t="s">
        <v>199</v>
      </c>
      <c r="L2" s="88" t="s">
        <v>200</v>
      </c>
      <c r="M2" s="110" t="s">
        <v>285</v>
      </c>
      <c r="N2" s="57" t="s">
        <v>201</v>
      </c>
    </row>
    <row r="3" spans="1:14" ht="42" x14ac:dyDescent="0.15">
      <c r="A3" s="82" t="s">
        <v>198</v>
      </c>
      <c r="B3" s="83">
        <f>floors!$C$2</f>
        <v>20020</v>
      </c>
      <c r="C3" s="84" t="str">
        <f ca="1">VLOOKUP($B3,OFFSET([2]quests!$A$1,0,0,COUNTA([2]quests!$A:$A),MATCH(C$1,[2]quests!$1:$1,0)-MATCH($B$1,[2]quests!$1:$1,0)+1),MATCH(C$1,[2]quests!$1:$1,0)-MATCH($B$1,[2]quests!$1:$1,0)+1,FALSE)</f>
        <v>変幻自在の風</v>
      </c>
      <c r="D3" s="84" t="str">
        <f ca="1">VLOOKUP($B3,OFFSET([2]quests!$A$1,0,0,COUNTA([2]quests!$A:$A),MATCH(D$1,[2]quests!$1:$1,0)-MATCH($B$1,[2]quests!$1:$1,0)+1),MATCH(D$1,[2]quests!$1:$1,0)-MATCH($B$1,[2]quests!$1:$1,0)+1,FALSE)</f>
        <v>メソポタミア01</v>
      </c>
      <c r="E3" s="85">
        <v>3</v>
      </c>
      <c r="F3" s="84" t="str">
        <f ca="1">VLOOKUP($B3&amp;"_"&amp;$E3,OFFSET([2]stages!$A$1,0,0,COUNTA([2]stages!$A:$A),MATCH(F$1,[2]stages!$2:$2,0)-MATCH("temp_stage",[2]stages!$2:$2,0)+1),MATCH(F$1,[2]stages!$2:$2,0)-MATCH("temp_stage",[2]stages!$2:$2,0)+1,FALSE)</f>
        <v>【上級】変幻自在の風</v>
      </c>
      <c r="G3" s="84" t="str">
        <f ca="1">VLOOKUP($B3&amp;"_"&amp;$E3,OFFSET([2]stages!$A$1,0,0,COUNTA([2]stages!$A:$A),MATCH(G$1,[2]stages!$2:$2,0)-MATCH("temp_stage",[2]stages!$2:$2,0)+1),MATCH(G$1,[2]stages!$2:$2,0)-MATCH("temp_stage",[2]stages!$2:$2,0)+1,FALSE)</f>
        <v>メソポタミア01</v>
      </c>
      <c r="H3" s="86">
        <v>2</v>
      </c>
      <c r="I3" s="91">
        <f t="shared" si="0"/>
        <v>2</v>
      </c>
      <c r="J3" s="87" t="str">
        <f t="shared" si="1"/>
        <v>2002002</v>
      </c>
      <c r="K3" s="85" t="s">
        <v>199</v>
      </c>
      <c r="L3" s="88" t="s">
        <v>200</v>
      </c>
      <c r="M3" s="110" t="s">
        <v>286</v>
      </c>
      <c r="N3" s="57" t="s">
        <v>201</v>
      </c>
    </row>
    <row r="4" spans="1:14" ht="28" x14ac:dyDescent="0.15">
      <c r="A4" s="82" t="s">
        <v>198</v>
      </c>
      <c r="B4" s="83">
        <f>floors!$C$2</f>
        <v>20020</v>
      </c>
      <c r="C4" s="84" t="str">
        <f ca="1">VLOOKUP($B4,OFFSET([2]quests!$A$1,0,0,COUNTA([2]quests!$A:$A),MATCH(C$1,[2]quests!$1:$1,0)-MATCH($B$1,[2]quests!$1:$1,0)+1),MATCH(C$1,[2]quests!$1:$1,0)-MATCH($B$1,[2]quests!$1:$1,0)+1,FALSE)</f>
        <v>変幻自在の風</v>
      </c>
      <c r="D4" s="84" t="str">
        <f ca="1">VLOOKUP($B4,OFFSET([2]quests!$A$1,0,0,COUNTA([2]quests!$A:$A),MATCH(D$1,[2]quests!$1:$1,0)-MATCH($B$1,[2]quests!$1:$1,0)+1),MATCH(D$1,[2]quests!$1:$1,0)-MATCH($B$1,[2]quests!$1:$1,0)+1,FALSE)</f>
        <v>メソポタミア01</v>
      </c>
      <c r="E4" s="85">
        <v>3</v>
      </c>
      <c r="F4" s="84" t="str">
        <f ca="1">VLOOKUP($B4&amp;"_"&amp;$E4,OFFSET([2]stages!$A$1,0,0,COUNTA([2]stages!$A:$A),MATCH(F$1,[2]stages!$2:$2,0)-MATCH("temp_stage",[2]stages!$2:$2,0)+1),MATCH(F$1,[2]stages!$2:$2,0)-MATCH("temp_stage",[2]stages!$2:$2,0)+1,FALSE)</f>
        <v>【上級】変幻自在の風</v>
      </c>
      <c r="G4" s="84" t="str">
        <f ca="1">VLOOKUP($B4&amp;"_"&amp;$E4,OFFSET([2]stages!$A$1,0,0,COUNTA([2]stages!$A:$A),MATCH(G$1,[2]stages!$2:$2,0)-MATCH("temp_stage",[2]stages!$2:$2,0)+1),MATCH(G$1,[2]stages!$2:$2,0)-MATCH("temp_stage",[2]stages!$2:$2,0)+1,FALSE)</f>
        <v>メソポタミア01</v>
      </c>
      <c r="H4" s="86">
        <v>3</v>
      </c>
      <c r="I4" s="91">
        <f t="shared" si="0"/>
        <v>3</v>
      </c>
      <c r="J4" s="87" t="str">
        <f t="shared" si="1"/>
        <v>2002003</v>
      </c>
      <c r="K4" s="85" t="s">
        <v>199</v>
      </c>
      <c r="L4" s="88" t="s">
        <v>200</v>
      </c>
      <c r="M4" s="110" t="s">
        <v>276</v>
      </c>
      <c r="N4" s="57" t="s">
        <v>201</v>
      </c>
    </row>
    <row r="5" spans="1:14" ht="42" x14ac:dyDescent="0.15">
      <c r="A5" s="82" t="s">
        <v>198</v>
      </c>
      <c r="B5" s="83">
        <f>floors!$C$2</f>
        <v>20020</v>
      </c>
      <c r="C5" s="84" t="str">
        <f ca="1">VLOOKUP($B5,OFFSET([2]quests!$A$1,0,0,COUNTA([2]quests!$A:$A),MATCH(C$1,[2]quests!$1:$1,0)-MATCH($B$1,[2]quests!$1:$1,0)+1),MATCH(C$1,[2]quests!$1:$1,0)-MATCH($B$1,[2]quests!$1:$1,0)+1,FALSE)</f>
        <v>変幻自在の風</v>
      </c>
      <c r="D5" s="84" t="str">
        <f ca="1">VLOOKUP($B5,OFFSET([2]quests!$A$1,0,0,COUNTA([2]quests!$A:$A),MATCH(D$1,[2]quests!$1:$1,0)-MATCH($B$1,[2]quests!$1:$1,0)+1),MATCH(D$1,[2]quests!$1:$1,0)-MATCH($B$1,[2]quests!$1:$1,0)+1,FALSE)</f>
        <v>メソポタミア01</v>
      </c>
      <c r="E5" s="85">
        <v>3</v>
      </c>
      <c r="F5" s="84" t="str">
        <f ca="1">VLOOKUP($B5&amp;"_"&amp;$E5,OFFSET([2]stages!$A$1,0,0,COUNTA([2]stages!$A:$A),MATCH(F$1,[2]stages!$2:$2,0)-MATCH("temp_stage",[2]stages!$2:$2,0)+1),MATCH(F$1,[2]stages!$2:$2,0)-MATCH("temp_stage",[2]stages!$2:$2,0)+1,FALSE)</f>
        <v>【上級】変幻自在の風</v>
      </c>
      <c r="G5" s="84" t="str">
        <f ca="1">VLOOKUP($B5&amp;"_"&amp;$E5,OFFSET([2]stages!$A$1,0,0,COUNTA([2]stages!$A:$A),MATCH(G$1,[2]stages!$2:$2,0)-MATCH("temp_stage",[2]stages!$2:$2,0)+1),MATCH(G$1,[2]stages!$2:$2,0)-MATCH("temp_stage",[2]stages!$2:$2,0)+1,FALSE)</f>
        <v>メソポタミア01</v>
      </c>
      <c r="H5" s="86">
        <v>4</v>
      </c>
      <c r="I5" s="91">
        <f t="shared" si="0"/>
        <v>4</v>
      </c>
      <c r="J5" s="87" t="str">
        <f t="shared" si="1"/>
        <v>2002004</v>
      </c>
      <c r="K5" s="85" t="s">
        <v>199</v>
      </c>
      <c r="L5" s="88" t="s">
        <v>200</v>
      </c>
      <c r="M5" s="110" t="s">
        <v>277</v>
      </c>
      <c r="N5" s="57" t="s">
        <v>201</v>
      </c>
    </row>
    <row r="6" spans="1:14" ht="56" x14ac:dyDescent="0.15">
      <c r="A6" s="82" t="s">
        <v>198</v>
      </c>
      <c r="B6" s="83">
        <f>floors!$C$2</f>
        <v>20020</v>
      </c>
      <c r="C6" s="84" t="str">
        <f ca="1">VLOOKUP($B6,OFFSET([2]quests!$A$1,0,0,COUNTA([2]quests!$A:$A),MATCH(C$1,[2]quests!$1:$1,0)-MATCH($B$1,[2]quests!$1:$1,0)+1),MATCH(C$1,[2]quests!$1:$1,0)-MATCH($B$1,[2]quests!$1:$1,0)+1,FALSE)</f>
        <v>変幻自在の風</v>
      </c>
      <c r="D6" s="84" t="str">
        <f ca="1">VLOOKUP($B6,OFFSET([2]quests!$A$1,0,0,COUNTA([2]quests!$A:$A),MATCH(D$1,[2]quests!$1:$1,0)-MATCH($B$1,[2]quests!$1:$1,0)+1),MATCH(D$1,[2]quests!$1:$1,0)-MATCH($B$1,[2]quests!$1:$1,0)+1,FALSE)</f>
        <v>メソポタミア01</v>
      </c>
      <c r="E6" s="85">
        <v>3</v>
      </c>
      <c r="F6" s="84" t="str">
        <f ca="1">VLOOKUP($B6&amp;"_"&amp;$E6,OFFSET([2]stages!$A$1,0,0,COUNTA([2]stages!$A:$A),MATCH(F$1,[2]stages!$2:$2,0)-MATCH("temp_stage",[2]stages!$2:$2,0)+1),MATCH(F$1,[2]stages!$2:$2,0)-MATCH("temp_stage",[2]stages!$2:$2,0)+1,FALSE)</f>
        <v>【上級】変幻自在の風</v>
      </c>
      <c r="G6" s="84" t="str">
        <f ca="1">VLOOKUP($B6&amp;"_"&amp;$E6,OFFSET([2]stages!$A$1,0,0,COUNTA([2]stages!$A:$A),MATCH(G$1,[2]stages!$2:$2,0)-MATCH("temp_stage",[2]stages!$2:$2,0)+1),MATCH(G$1,[2]stages!$2:$2,0)-MATCH("temp_stage",[2]stages!$2:$2,0)+1,FALSE)</f>
        <v>メソポタミア01</v>
      </c>
      <c r="H6" s="86">
        <v>4</v>
      </c>
      <c r="I6" s="91">
        <f t="shared" si="0"/>
        <v>5</v>
      </c>
      <c r="J6" s="87" t="str">
        <f t="shared" si="1"/>
        <v>2002005</v>
      </c>
      <c r="K6" s="85" t="s">
        <v>199</v>
      </c>
      <c r="L6" s="88" t="s">
        <v>200</v>
      </c>
      <c r="M6" s="110" t="s">
        <v>278</v>
      </c>
      <c r="N6" s="57" t="s">
        <v>201</v>
      </c>
    </row>
    <row r="7" spans="1:14" ht="42" x14ac:dyDescent="0.15">
      <c r="A7" s="82" t="s">
        <v>198</v>
      </c>
      <c r="B7" s="83">
        <f>floors!$C$2</f>
        <v>20020</v>
      </c>
      <c r="C7" s="84" t="str">
        <f ca="1">VLOOKUP($B7,OFFSET([2]quests!$A$1,0,0,COUNTA([2]quests!$A:$A),MATCH(C$1,[2]quests!$1:$1,0)-MATCH($B$1,[2]quests!$1:$1,0)+1),MATCH(C$1,[2]quests!$1:$1,0)-MATCH($B$1,[2]quests!$1:$1,0)+1,FALSE)</f>
        <v>変幻自在の風</v>
      </c>
      <c r="D7" s="84" t="str">
        <f ca="1">VLOOKUP($B7,OFFSET([2]quests!$A$1,0,0,COUNTA([2]quests!$A:$A),MATCH(D$1,[2]quests!$1:$1,0)-MATCH($B$1,[2]quests!$1:$1,0)+1),MATCH(D$1,[2]quests!$1:$1,0)-MATCH($B$1,[2]quests!$1:$1,0)+1,FALSE)</f>
        <v>メソポタミア01</v>
      </c>
      <c r="E7" s="85">
        <v>2</v>
      </c>
      <c r="F7" s="84" t="str">
        <f ca="1">VLOOKUP($B7&amp;"_"&amp;$E7,OFFSET([2]stages!$A$1,0,0,COUNTA([2]stages!$A:$A),MATCH(F$1,[2]stages!$2:$2,0)-MATCH("temp_stage",[2]stages!$2:$2,0)+1),MATCH(F$1,[2]stages!$2:$2,0)-MATCH("temp_stage",[2]stages!$2:$2,0)+1,FALSE)</f>
        <v>【中級】変幻自在の風</v>
      </c>
      <c r="G7" s="84" t="str">
        <f ca="1">VLOOKUP($B7&amp;"_"&amp;$E7,OFFSET([2]stages!$A$1,0,0,COUNTA([2]stages!$A:$A),MATCH(G$1,[2]stages!$2:$2,0)-MATCH("temp_stage",[2]stages!$2:$2,0)+1),MATCH(G$1,[2]stages!$2:$2,0)-MATCH("temp_stage",[2]stages!$2:$2,0)+1,FALSE)</f>
        <v>メソポタミア01</v>
      </c>
      <c r="H7" s="86">
        <v>1</v>
      </c>
      <c r="I7" s="91">
        <f t="shared" si="0"/>
        <v>6</v>
      </c>
      <c r="J7" s="87" t="str">
        <f t="shared" si="1"/>
        <v>2002006</v>
      </c>
      <c r="K7" s="85" t="s">
        <v>199</v>
      </c>
      <c r="L7" s="88" t="s">
        <v>200</v>
      </c>
      <c r="M7" s="110" t="s">
        <v>285</v>
      </c>
      <c r="N7" s="57" t="s">
        <v>201</v>
      </c>
    </row>
    <row r="8" spans="1:14" ht="42" x14ac:dyDescent="0.15">
      <c r="A8" s="82" t="s">
        <v>198</v>
      </c>
      <c r="B8" s="83">
        <f>floors!$C$2</f>
        <v>20020</v>
      </c>
      <c r="C8" s="84" t="str">
        <f ca="1">VLOOKUP($B8,OFFSET([2]quests!$A$1,0,0,COUNTA([2]quests!$A:$A),MATCH(C$1,[2]quests!$1:$1,0)-MATCH($B$1,[2]quests!$1:$1,0)+1),MATCH(C$1,[2]quests!$1:$1,0)-MATCH($B$1,[2]quests!$1:$1,0)+1,FALSE)</f>
        <v>変幻自在の風</v>
      </c>
      <c r="D8" s="84" t="str">
        <f ca="1">VLOOKUP($B8,OFFSET([2]quests!$A$1,0,0,COUNTA([2]quests!$A:$A),MATCH(D$1,[2]quests!$1:$1,0)-MATCH($B$1,[2]quests!$1:$1,0)+1),MATCH(D$1,[2]quests!$1:$1,0)-MATCH($B$1,[2]quests!$1:$1,0)+1,FALSE)</f>
        <v>メソポタミア01</v>
      </c>
      <c r="E8" s="85">
        <v>2</v>
      </c>
      <c r="F8" s="84" t="str">
        <f ca="1">VLOOKUP($B8&amp;"_"&amp;$E8,OFFSET([2]stages!$A$1,0,0,COUNTA([2]stages!$A:$A),MATCH(F$1,[2]stages!$2:$2,0)-MATCH("temp_stage",[2]stages!$2:$2,0)+1),MATCH(F$1,[2]stages!$2:$2,0)-MATCH("temp_stage",[2]stages!$2:$2,0)+1,FALSE)</f>
        <v>【中級】変幻自在の風</v>
      </c>
      <c r="G8" s="84" t="str">
        <f ca="1">VLOOKUP($B8&amp;"_"&amp;$E8,OFFSET([2]stages!$A$1,0,0,COUNTA([2]stages!$A:$A),MATCH(G$1,[2]stages!$2:$2,0)-MATCH("temp_stage",[2]stages!$2:$2,0)+1),MATCH(G$1,[2]stages!$2:$2,0)-MATCH("temp_stage",[2]stages!$2:$2,0)+1,FALSE)</f>
        <v>メソポタミア01</v>
      </c>
      <c r="H8" s="86">
        <v>2</v>
      </c>
      <c r="I8" s="91">
        <f t="shared" si="0"/>
        <v>7</v>
      </c>
      <c r="J8" s="87" t="str">
        <f t="shared" si="1"/>
        <v>2002007</v>
      </c>
      <c r="K8" s="85" t="s">
        <v>199</v>
      </c>
      <c r="L8" s="88" t="s">
        <v>200</v>
      </c>
      <c r="M8" s="110" t="s">
        <v>286</v>
      </c>
      <c r="N8" s="57" t="s">
        <v>201</v>
      </c>
    </row>
    <row r="9" spans="1:14" ht="28" x14ac:dyDescent="0.15">
      <c r="A9" s="82" t="s">
        <v>198</v>
      </c>
      <c r="B9" s="83">
        <f>floors!$C$2</f>
        <v>20020</v>
      </c>
      <c r="C9" s="84" t="str">
        <f ca="1">VLOOKUP($B9,OFFSET([2]quests!$A$1,0,0,COUNTA([2]quests!$A:$A),MATCH(C$1,[2]quests!$1:$1,0)-MATCH($B$1,[2]quests!$1:$1,0)+1),MATCH(C$1,[2]quests!$1:$1,0)-MATCH($B$1,[2]quests!$1:$1,0)+1,FALSE)</f>
        <v>変幻自在の風</v>
      </c>
      <c r="D9" s="84" t="str">
        <f ca="1">VLOOKUP($B9,OFFSET([2]quests!$A$1,0,0,COUNTA([2]quests!$A:$A),MATCH(D$1,[2]quests!$1:$1,0)-MATCH($B$1,[2]quests!$1:$1,0)+1),MATCH(D$1,[2]quests!$1:$1,0)-MATCH($B$1,[2]quests!$1:$1,0)+1,FALSE)</f>
        <v>メソポタミア01</v>
      </c>
      <c r="E9" s="85">
        <v>2</v>
      </c>
      <c r="F9" s="84" t="str">
        <f ca="1">VLOOKUP($B9&amp;"_"&amp;$E9,OFFSET([2]stages!$A$1,0,0,COUNTA([2]stages!$A:$A),MATCH(F$1,[2]stages!$2:$2,0)-MATCH("temp_stage",[2]stages!$2:$2,0)+1),MATCH(F$1,[2]stages!$2:$2,0)-MATCH("temp_stage",[2]stages!$2:$2,0)+1,FALSE)</f>
        <v>【中級】変幻自在の風</v>
      </c>
      <c r="G9" s="84" t="str">
        <f ca="1">VLOOKUP($B9&amp;"_"&amp;$E9,OFFSET([2]stages!$A$1,0,0,COUNTA([2]stages!$A:$A),MATCH(G$1,[2]stages!$2:$2,0)-MATCH("temp_stage",[2]stages!$2:$2,0)+1),MATCH(G$1,[2]stages!$2:$2,0)-MATCH("temp_stage",[2]stages!$2:$2,0)+1,FALSE)</f>
        <v>メソポタミア01</v>
      </c>
      <c r="H9" s="86">
        <v>3</v>
      </c>
      <c r="I9" s="91">
        <f t="shared" si="0"/>
        <v>8</v>
      </c>
      <c r="J9" s="87" t="str">
        <f t="shared" si="1"/>
        <v>2002008</v>
      </c>
      <c r="K9" s="85" t="s">
        <v>199</v>
      </c>
      <c r="L9" s="88" t="s">
        <v>200</v>
      </c>
      <c r="M9" s="110" t="s">
        <v>276</v>
      </c>
      <c r="N9" s="57" t="s">
        <v>201</v>
      </c>
    </row>
    <row r="10" spans="1:14" ht="42" x14ac:dyDescent="0.15">
      <c r="A10" s="82" t="s">
        <v>198</v>
      </c>
      <c r="B10" s="83">
        <f>floors!$C$2</f>
        <v>20020</v>
      </c>
      <c r="C10" s="84" t="str">
        <f ca="1">VLOOKUP($B10,OFFSET([2]quests!$A$1,0,0,COUNTA([2]quests!$A:$A),MATCH(C$1,[2]quests!$1:$1,0)-MATCH($B$1,[2]quests!$1:$1,0)+1),MATCH(C$1,[2]quests!$1:$1,0)-MATCH($B$1,[2]quests!$1:$1,0)+1,FALSE)</f>
        <v>変幻自在の風</v>
      </c>
      <c r="D10" s="84" t="str">
        <f ca="1">VLOOKUP($B10,OFFSET([2]quests!$A$1,0,0,COUNTA([2]quests!$A:$A),MATCH(D$1,[2]quests!$1:$1,0)-MATCH($B$1,[2]quests!$1:$1,0)+1),MATCH(D$1,[2]quests!$1:$1,0)-MATCH($B$1,[2]quests!$1:$1,0)+1,FALSE)</f>
        <v>メソポタミア01</v>
      </c>
      <c r="E10" s="85">
        <v>2</v>
      </c>
      <c r="F10" s="84" t="str">
        <f ca="1">VLOOKUP($B10&amp;"_"&amp;$E10,OFFSET([2]stages!$A$1,0,0,COUNTA([2]stages!$A:$A),MATCH(F$1,[2]stages!$2:$2,0)-MATCH("temp_stage",[2]stages!$2:$2,0)+1),MATCH(F$1,[2]stages!$2:$2,0)-MATCH("temp_stage",[2]stages!$2:$2,0)+1,FALSE)</f>
        <v>【中級】変幻自在の風</v>
      </c>
      <c r="G10" s="84" t="str">
        <f ca="1">VLOOKUP($B10&amp;"_"&amp;$E10,OFFSET([2]stages!$A$1,0,0,COUNTA([2]stages!$A:$A),MATCH(G$1,[2]stages!$2:$2,0)-MATCH("temp_stage",[2]stages!$2:$2,0)+1),MATCH(G$1,[2]stages!$2:$2,0)-MATCH("temp_stage",[2]stages!$2:$2,0)+1,FALSE)</f>
        <v>メソポタミア01</v>
      </c>
      <c r="H10" s="86">
        <v>4</v>
      </c>
      <c r="I10" s="91">
        <f t="shared" si="0"/>
        <v>9</v>
      </c>
      <c r="J10" s="87" t="str">
        <f t="shared" si="1"/>
        <v>2002009</v>
      </c>
      <c r="K10" s="85" t="s">
        <v>199</v>
      </c>
      <c r="L10" s="88" t="s">
        <v>200</v>
      </c>
      <c r="M10" s="110" t="s">
        <v>277</v>
      </c>
      <c r="N10" s="57" t="s">
        <v>201</v>
      </c>
    </row>
    <row r="11" spans="1:14" ht="56" x14ac:dyDescent="0.15">
      <c r="A11" s="82" t="s">
        <v>198</v>
      </c>
      <c r="B11" s="83">
        <f>floors!$C$2</f>
        <v>20020</v>
      </c>
      <c r="C11" s="84" t="str">
        <f ca="1">VLOOKUP($B11,OFFSET([2]quests!$A$1,0,0,COUNTA([2]quests!$A:$A),MATCH(C$1,[2]quests!$1:$1,0)-MATCH($B$1,[2]quests!$1:$1,0)+1),MATCH(C$1,[2]quests!$1:$1,0)-MATCH($B$1,[2]quests!$1:$1,0)+1,FALSE)</f>
        <v>変幻自在の風</v>
      </c>
      <c r="D11" s="84" t="str">
        <f ca="1">VLOOKUP($B11,OFFSET([2]quests!$A$1,0,0,COUNTA([2]quests!$A:$A),MATCH(D$1,[2]quests!$1:$1,0)-MATCH($B$1,[2]quests!$1:$1,0)+1),MATCH(D$1,[2]quests!$1:$1,0)-MATCH($B$1,[2]quests!$1:$1,0)+1,FALSE)</f>
        <v>メソポタミア01</v>
      </c>
      <c r="E11" s="85">
        <v>2</v>
      </c>
      <c r="F11" s="84" t="str">
        <f ca="1">VLOOKUP($B11&amp;"_"&amp;$E11,OFFSET([2]stages!$A$1,0,0,COUNTA([2]stages!$A:$A),MATCH(F$1,[2]stages!$2:$2,0)-MATCH("temp_stage",[2]stages!$2:$2,0)+1),MATCH(F$1,[2]stages!$2:$2,0)-MATCH("temp_stage",[2]stages!$2:$2,0)+1,FALSE)</f>
        <v>【中級】変幻自在の風</v>
      </c>
      <c r="G11" s="84" t="str">
        <f ca="1">VLOOKUP($B11&amp;"_"&amp;$E11,OFFSET([2]stages!$A$1,0,0,COUNTA([2]stages!$A:$A),MATCH(G$1,[2]stages!$2:$2,0)-MATCH("temp_stage",[2]stages!$2:$2,0)+1),MATCH(G$1,[2]stages!$2:$2,0)-MATCH("temp_stage",[2]stages!$2:$2,0)+1,FALSE)</f>
        <v>メソポタミア01</v>
      </c>
      <c r="H11" s="86">
        <v>4</v>
      </c>
      <c r="I11" s="91">
        <f t="shared" si="0"/>
        <v>10</v>
      </c>
      <c r="J11" s="87" t="str">
        <f t="shared" si="1"/>
        <v>2002010</v>
      </c>
      <c r="K11" s="85" t="s">
        <v>199</v>
      </c>
      <c r="L11" s="88" t="s">
        <v>200</v>
      </c>
      <c r="M11" s="110" t="s">
        <v>278</v>
      </c>
      <c r="N11" s="57" t="s">
        <v>201</v>
      </c>
    </row>
    <row r="12" spans="1:14" ht="42" x14ac:dyDescent="0.15">
      <c r="A12" s="82" t="s">
        <v>198</v>
      </c>
      <c r="B12" s="83">
        <f>floors!$C$2</f>
        <v>20020</v>
      </c>
      <c r="C12" s="84" t="str">
        <f ca="1">VLOOKUP($B12,OFFSET([2]quests!$A$1,0,0,COUNTA([2]quests!$A:$A),MATCH(C$1,[2]quests!$1:$1,0)-MATCH($B$1,[2]quests!$1:$1,0)+1),MATCH(C$1,[2]quests!$1:$1,0)-MATCH($B$1,[2]quests!$1:$1,0)+1,FALSE)</f>
        <v>変幻自在の風</v>
      </c>
      <c r="D12" s="84" t="str">
        <f ca="1">VLOOKUP($B12,OFFSET([2]quests!$A$1,0,0,COUNTA([2]quests!$A:$A),MATCH(D$1,[2]quests!$1:$1,0)-MATCH($B$1,[2]quests!$1:$1,0)+1),MATCH(D$1,[2]quests!$1:$1,0)-MATCH($B$1,[2]quests!$1:$1,0)+1,FALSE)</f>
        <v>メソポタミア01</v>
      </c>
      <c r="E12" s="85">
        <v>1</v>
      </c>
      <c r="F12" s="84" t="str">
        <f ca="1">VLOOKUP($B12&amp;"_"&amp;$E12,OFFSET([2]stages!$A$1,0,0,COUNTA([2]stages!$A:$A),MATCH(F$1,[2]stages!$2:$2,0)-MATCH("temp_stage",[2]stages!$2:$2,0)+1),MATCH(F$1,[2]stages!$2:$2,0)-MATCH("temp_stage",[2]stages!$2:$2,0)+1,FALSE)</f>
        <v>【初級】変幻自在の風</v>
      </c>
      <c r="G12" s="84" t="str">
        <f ca="1">VLOOKUP($B12&amp;"_"&amp;$E12,OFFSET([2]stages!$A$1,0,0,COUNTA([2]stages!$A:$A),MATCH(G$1,[2]stages!$2:$2,0)-MATCH("temp_stage",[2]stages!$2:$2,0)+1),MATCH(G$1,[2]stages!$2:$2,0)-MATCH("temp_stage",[2]stages!$2:$2,0)+1,FALSE)</f>
        <v>メソポタミア01</v>
      </c>
      <c r="H12" s="86">
        <v>1</v>
      </c>
      <c r="I12" s="91">
        <f t="shared" si="0"/>
        <v>11</v>
      </c>
      <c r="J12" s="87" t="str">
        <f t="shared" si="1"/>
        <v>2002011</v>
      </c>
      <c r="K12" s="85" t="s">
        <v>199</v>
      </c>
      <c r="L12" s="88" t="s">
        <v>200</v>
      </c>
      <c r="M12" s="110" t="s">
        <v>285</v>
      </c>
      <c r="N12" s="57" t="s">
        <v>201</v>
      </c>
    </row>
    <row r="13" spans="1:14" ht="42" x14ac:dyDescent="0.15">
      <c r="A13" s="82" t="s">
        <v>198</v>
      </c>
      <c r="B13" s="83">
        <f>floors!$C$2</f>
        <v>20020</v>
      </c>
      <c r="C13" s="84" t="str">
        <f ca="1">VLOOKUP($B13,OFFSET([2]quests!$A$1,0,0,COUNTA([2]quests!$A:$A),MATCH(C$1,[2]quests!$1:$1,0)-MATCH($B$1,[2]quests!$1:$1,0)+1),MATCH(C$1,[2]quests!$1:$1,0)-MATCH($B$1,[2]quests!$1:$1,0)+1,FALSE)</f>
        <v>変幻自在の風</v>
      </c>
      <c r="D13" s="84" t="str">
        <f ca="1">VLOOKUP($B13,OFFSET([2]quests!$A$1,0,0,COUNTA([2]quests!$A:$A),MATCH(D$1,[2]quests!$1:$1,0)-MATCH($B$1,[2]quests!$1:$1,0)+1),MATCH(D$1,[2]quests!$1:$1,0)-MATCH($B$1,[2]quests!$1:$1,0)+1,FALSE)</f>
        <v>メソポタミア01</v>
      </c>
      <c r="E13" s="85">
        <v>1</v>
      </c>
      <c r="F13" s="84" t="str">
        <f ca="1">VLOOKUP($B13&amp;"_"&amp;$E13,OFFSET([2]stages!$A$1,0,0,COUNTA([2]stages!$A:$A),MATCH(F$1,[2]stages!$2:$2,0)-MATCH("temp_stage",[2]stages!$2:$2,0)+1),MATCH(F$1,[2]stages!$2:$2,0)-MATCH("temp_stage",[2]stages!$2:$2,0)+1,FALSE)</f>
        <v>【初級】変幻自在の風</v>
      </c>
      <c r="G13" s="84" t="str">
        <f ca="1">VLOOKUP($B13&amp;"_"&amp;$E13,OFFSET([2]stages!$A$1,0,0,COUNTA([2]stages!$A:$A),MATCH(G$1,[2]stages!$2:$2,0)-MATCH("temp_stage",[2]stages!$2:$2,0)+1),MATCH(G$1,[2]stages!$2:$2,0)-MATCH("temp_stage",[2]stages!$2:$2,0)+1,FALSE)</f>
        <v>メソポタミア01</v>
      </c>
      <c r="H13" s="86">
        <v>2</v>
      </c>
      <c r="I13" s="91">
        <f t="shared" si="0"/>
        <v>12</v>
      </c>
      <c r="J13" s="87" t="str">
        <f t="shared" si="1"/>
        <v>2002012</v>
      </c>
      <c r="K13" s="85" t="s">
        <v>199</v>
      </c>
      <c r="L13" s="88" t="s">
        <v>200</v>
      </c>
      <c r="M13" s="110" t="s">
        <v>286</v>
      </c>
      <c r="N13" s="57" t="s">
        <v>201</v>
      </c>
    </row>
    <row r="14" spans="1:14" ht="28" x14ac:dyDescent="0.15">
      <c r="A14" s="82" t="s">
        <v>198</v>
      </c>
      <c r="B14" s="83">
        <f>floors!$C$2</f>
        <v>20020</v>
      </c>
      <c r="C14" s="84" t="str">
        <f ca="1">VLOOKUP($B14,OFFSET([2]quests!$A$1,0,0,COUNTA([2]quests!$A:$A),MATCH(C$1,[2]quests!$1:$1,0)-MATCH($B$1,[2]quests!$1:$1,0)+1),MATCH(C$1,[2]quests!$1:$1,0)-MATCH($B$1,[2]quests!$1:$1,0)+1,FALSE)</f>
        <v>変幻自在の風</v>
      </c>
      <c r="D14" s="84" t="str">
        <f ca="1">VLOOKUP($B14,OFFSET([2]quests!$A$1,0,0,COUNTA([2]quests!$A:$A),MATCH(D$1,[2]quests!$1:$1,0)-MATCH($B$1,[2]quests!$1:$1,0)+1),MATCH(D$1,[2]quests!$1:$1,0)-MATCH($B$1,[2]quests!$1:$1,0)+1,FALSE)</f>
        <v>メソポタミア01</v>
      </c>
      <c r="E14" s="85">
        <v>1</v>
      </c>
      <c r="F14" s="84" t="str">
        <f ca="1">VLOOKUP($B14&amp;"_"&amp;$E14,OFFSET([2]stages!$A$1,0,0,COUNTA([2]stages!$A:$A),MATCH(F$1,[2]stages!$2:$2,0)-MATCH("temp_stage",[2]stages!$2:$2,0)+1),MATCH(F$1,[2]stages!$2:$2,0)-MATCH("temp_stage",[2]stages!$2:$2,0)+1,FALSE)</f>
        <v>【初級】変幻自在の風</v>
      </c>
      <c r="G14" s="84" t="str">
        <f ca="1">VLOOKUP($B14&amp;"_"&amp;$E14,OFFSET([2]stages!$A$1,0,0,COUNTA([2]stages!$A:$A),MATCH(G$1,[2]stages!$2:$2,0)-MATCH("temp_stage",[2]stages!$2:$2,0)+1),MATCH(G$1,[2]stages!$2:$2,0)-MATCH("temp_stage",[2]stages!$2:$2,0)+1,FALSE)</f>
        <v>メソポタミア01</v>
      </c>
      <c r="H14" s="86">
        <v>3</v>
      </c>
      <c r="I14" s="91">
        <f t="shared" si="0"/>
        <v>13</v>
      </c>
      <c r="J14" s="87" t="str">
        <f t="shared" si="1"/>
        <v>2002013</v>
      </c>
      <c r="K14" s="85" t="s">
        <v>199</v>
      </c>
      <c r="L14" s="88" t="s">
        <v>200</v>
      </c>
      <c r="M14" s="110" t="s">
        <v>276</v>
      </c>
      <c r="N14" s="57" t="s">
        <v>201</v>
      </c>
    </row>
    <row r="15" spans="1:14" ht="42" x14ac:dyDescent="0.15">
      <c r="A15" s="82" t="s">
        <v>198</v>
      </c>
      <c r="B15" s="83">
        <f>floors!$C$2</f>
        <v>20020</v>
      </c>
      <c r="C15" s="84" t="str">
        <f ca="1">VLOOKUP($B15,OFFSET([2]quests!$A$1,0,0,COUNTA([2]quests!$A:$A),MATCH(C$1,[2]quests!$1:$1,0)-MATCH($B$1,[2]quests!$1:$1,0)+1),MATCH(C$1,[2]quests!$1:$1,0)-MATCH($B$1,[2]quests!$1:$1,0)+1,FALSE)</f>
        <v>変幻自在の風</v>
      </c>
      <c r="D15" s="84" t="str">
        <f ca="1">VLOOKUP($B15,OFFSET([2]quests!$A$1,0,0,COUNTA([2]quests!$A:$A),MATCH(D$1,[2]quests!$1:$1,0)-MATCH($B$1,[2]quests!$1:$1,0)+1),MATCH(D$1,[2]quests!$1:$1,0)-MATCH($B$1,[2]quests!$1:$1,0)+1,FALSE)</f>
        <v>メソポタミア01</v>
      </c>
      <c r="E15" s="85">
        <v>1</v>
      </c>
      <c r="F15" s="84" t="str">
        <f ca="1">VLOOKUP($B15&amp;"_"&amp;$E15,OFFSET([2]stages!$A$1,0,0,COUNTA([2]stages!$A:$A),MATCH(F$1,[2]stages!$2:$2,0)-MATCH("temp_stage",[2]stages!$2:$2,0)+1),MATCH(F$1,[2]stages!$2:$2,0)-MATCH("temp_stage",[2]stages!$2:$2,0)+1,FALSE)</f>
        <v>【初級】変幻自在の風</v>
      </c>
      <c r="G15" s="84" t="str">
        <f ca="1">VLOOKUP($B15&amp;"_"&amp;$E15,OFFSET([2]stages!$A$1,0,0,COUNTA([2]stages!$A:$A),MATCH(G$1,[2]stages!$2:$2,0)-MATCH("temp_stage",[2]stages!$2:$2,0)+1),MATCH(G$1,[2]stages!$2:$2,0)-MATCH("temp_stage",[2]stages!$2:$2,0)+1,FALSE)</f>
        <v>メソポタミア01</v>
      </c>
      <c r="H15" s="86">
        <v>4</v>
      </c>
      <c r="I15" s="91">
        <f t="shared" si="0"/>
        <v>14</v>
      </c>
      <c r="J15" s="87" t="str">
        <f t="shared" si="1"/>
        <v>2002014</v>
      </c>
      <c r="K15" s="85" t="s">
        <v>199</v>
      </c>
      <c r="L15" s="88" t="s">
        <v>200</v>
      </c>
      <c r="M15" s="110" t="s">
        <v>277</v>
      </c>
      <c r="N15" s="57" t="s">
        <v>201</v>
      </c>
    </row>
    <row r="16" spans="1:14" ht="56" x14ac:dyDescent="0.15">
      <c r="A16" s="82" t="s">
        <v>198</v>
      </c>
      <c r="B16" s="83">
        <f>floors!$C$2</f>
        <v>20020</v>
      </c>
      <c r="C16" s="84" t="str">
        <f ca="1">VLOOKUP($B16,OFFSET([2]quests!$A$1,0,0,COUNTA([2]quests!$A:$A),MATCH(C$1,[2]quests!$1:$1,0)-MATCH($B$1,[2]quests!$1:$1,0)+1),MATCH(C$1,[2]quests!$1:$1,0)-MATCH($B$1,[2]quests!$1:$1,0)+1,FALSE)</f>
        <v>変幻自在の風</v>
      </c>
      <c r="D16" s="84" t="str">
        <f ca="1">VLOOKUP($B16,OFFSET([2]quests!$A$1,0,0,COUNTA([2]quests!$A:$A),MATCH(D$1,[2]quests!$1:$1,0)-MATCH($B$1,[2]quests!$1:$1,0)+1),MATCH(D$1,[2]quests!$1:$1,0)-MATCH($B$1,[2]quests!$1:$1,0)+1,FALSE)</f>
        <v>メソポタミア01</v>
      </c>
      <c r="E16" s="85">
        <v>1</v>
      </c>
      <c r="F16" s="84" t="str">
        <f ca="1">VLOOKUP($B16&amp;"_"&amp;$E16,OFFSET([2]stages!$A$1,0,0,COUNTA([2]stages!$A:$A),MATCH(F$1,[2]stages!$2:$2,0)-MATCH("temp_stage",[2]stages!$2:$2,0)+1),MATCH(F$1,[2]stages!$2:$2,0)-MATCH("temp_stage",[2]stages!$2:$2,0)+1,FALSE)</f>
        <v>【初級】変幻自在の風</v>
      </c>
      <c r="G16" s="84" t="str">
        <f ca="1">VLOOKUP($B16&amp;"_"&amp;$E16,OFFSET([2]stages!$A$1,0,0,COUNTA([2]stages!$A:$A),MATCH(G$1,[2]stages!$2:$2,0)-MATCH("temp_stage",[2]stages!$2:$2,0)+1),MATCH(G$1,[2]stages!$2:$2,0)-MATCH("temp_stage",[2]stages!$2:$2,0)+1,FALSE)</f>
        <v>メソポタミア01</v>
      </c>
      <c r="H16" s="86">
        <v>4</v>
      </c>
      <c r="I16" s="91">
        <f t="shared" si="0"/>
        <v>15</v>
      </c>
      <c r="J16" s="87" t="str">
        <f t="shared" si="1"/>
        <v>2002015</v>
      </c>
      <c r="K16" s="85" t="s">
        <v>199</v>
      </c>
      <c r="L16" s="88" t="s">
        <v>200</v>
      </c>
      <c r="M16" s="110" t="s">
        <v>278</v>
      </c>
      <c r="N16" s="57" t="s">
        <v>201</v>
      </c>
    </row>
  </sheetData>
  <phoneticPr fontId="5"/>
  <dataValidations count="1">
    <dataValidation type="list" allowBlank="1" showInputMessage="1" showErrorMessage="1" sqref="A2:A16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1"/>
  <sheetViews>
    <sheetView showGridLines="0" workbookViewId="0">
      <pane ySplit="1" topLeftCell="A2" activePane="bottomLeft" state="frozen"/>
      <selection pane="bottomLeft" activeCell="A2" sqref="A2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8" t="s">
        <v>215</v>
      </c>
      <c r="B1" s="99" t="s">
        <v>216</v>
      </c>
      <c r="C1" s="78" t="s">
        <v>217</v>
      </c>
      <c r="D1" s="78" t="s">
        <v>33</v>
      </c>
      <c r="E1" s="99" t="s">
        <v>218</v>
      </c>
      <c r="F1" s="78" t="s">
        <v>219</v>
      </c>
      <c r="G1" s="78" t="s">
        <v>33</v>
      </c>
      <c r="H1" s="99" t="s">
        <v>220</v>
      </c>
      <c r="I1" s="99" t="s">
        <v>221</v>
      </c>
      <c r="J1" s="99" t="s">
        <v>222</v>
      </c>
      <c r="K1" s="74" t="s">
        <v>223</v>
      </c>
      <c r="L1" s="74" t="s">
        <v>224</v>
      </c>
      <c r="M1" s="74" t="s">
        <v>157</v>
      </c>
      <c r="N1" s="78" t="s">
        <v>16</v>
      </c>
      <c r="O1" s="74" t="s">
        <v>225</v>
      </c>
      <c r="P1" s="74" t="s">
        <v>57</v>
      </c>
      <c r="Q1" s="74" t="s">
        <v>226</v>
      </c>
      <c r="R1" s="74" t="s">
        <v>38</v>
      </c>
      <c r="S1" s="74" t="s">
        <v>40</v>
      </c>
      <c r="T1" s="74" t="s">
        <v>42</v>
      </c>
      <c r="U1" s="74" t="s">
        <v>44</v>
      </c>
      <c r="V1" s="74" t="s">
        <v>46</v>
      </c>
      <c r="W1" s="74" t="s">
        <v>227</v>
      </c>
      <c r="X1" s="74" t="s">
        <v>228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enemy_skills</vt:lpstr>
      <vt:lpstr>enemy_skill_sets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2017-03-08T03:58:55Z</dcterms:modified>
</cp:coreProperties>
</file>