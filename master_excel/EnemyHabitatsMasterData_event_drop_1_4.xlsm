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drop_1_4" sheetId="2" r:id="rId1"/>
    <sheet name="enemy_habitats_drop_1_4" sheetId="1" r:id="rId2"/>
    <sheet name="floors_drop_1_4.tmp" sheetId="5" r:id="rId3"/>
    <sheet name="enemy_habitats_drop_1_4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enemy_habitats_drop_1_4!$B$1:$AE$71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9" i="6" l="1"/>
  <c r="R72" i="6"/>
  <c r="R23" i="6"/>
  <c r="R29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Z63" i="1"/>
  <c r="AA63" i="1"/>
  <c r="AB63" i="1"/>
  <c r="Z64" i="1"/>
  <c r="AA64" i="1"/>
  <c r="AB64" i="1"/>
  <c r="Z65" i="1"/>
  <c r="AA65" i="1"/>
  <c r="AB65" i="1"/>
  <c r="Z66" i="1"/>
  <c r="AA66" i="1"/>
  <c r="AB66" i="1"/>
  <c r="Z67" i="1"/>
  <c r="AA67" i="1"/>
  <c r="AB67" i="1"/>
  <c r="Z68" i="1"/>
  <c r="AA68" i="1"/>
  <c r="AB68" i="1"/>
  <c r="Z69" i="1"/>
  <c r="AA69" i="1"/>
  <c r="AB69" i="1"/>
  <c r="Z70" i="1"/>
  <c r="AA70" i="1"/>
  <c r="AB70" i="1"/>
  <c r="Z71" i="1"/>
  <c r="AA71" i="1"/>
  <c r="AB71" i="1"/>
  <c r="AB2" i="1"/>
  <c r="AA2" i="1"/>
  <c r="Z2" i="1"/>
  <c r="X71" i="1"/>
  <c r="X6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2" i="1"/>
  <c r="T71" i="1"/>
  <c r="S71" i="1"/>
  <c r="T67" i="1"/>
  <c r="S67" i="1"/>
  <c r="T66" i="1"/>
  <c r="S66" i="1"/>
  <c r="T60" i="1"/>
  <c r="S60" i="1"/>
  <c r="T61" i="1"/>
  <c r="S61" i="1"/>
  <c r="T62" i="1"/>
  <c r="S62" i="1"/>
  <c r="T63" i="1"/>
  <c r="S63" i="1"/>
  <c r="T64" i="1"/>
  <c r="S64" i="1"/>
  <c r="T59" i="1"/>
  <c r="S59" i="1"/>
  <c r="T54" i="1"/>
  <c r="S54" i="1"/>
  <c r="T55" i="1"/>
  <c r="S55" i="1"/>
  <c r="T56" i="1"/>
  <c r="S56" i="1"/>
  <c r="T57" i="1"/>
  <c r="S57" i="1"/>
  <c r="T53" i="1"/>
  <c r="S53" i="1"/>
  <c r="T50" i="1"/>
  <c r="S50" i="1"/>
  <c r="T51" i="1"/>
  <c r="S51" i="1"/>
  <c r="T49" i="1"/>
  <c r="S49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46" i="1"/>
  <c r="S46" i="1"/>
  <c r="T47" i="1"/>
  <c r="S47" i="1"/>
  <c r="T2" i="1"/>
  <c r="S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J63" i="1"/>
  <c r="K63" i="1"/>
  <c r="L63" i="1"/>
  <c r="M63" i="1"/>
  <c r="N63" i="1"/>
  <c r="J64" i="1"/>
  <c r="K64" i="1"/>
  <c r="L64" i="1"/>
  <c r="M64" i="1"/>
  <c r="N64" i="1"/>
  <c r="J65" i="1"/>
  <c r="K65" i="1"/>
  <c r="L65" i="1"/>
  <c r="M65" i="1"/>
  <c r="N65" i="1"/>
  <c r="J66" i="1"/>
  <c r="K66" i="1"/>
  <c r="L66" i="1"/>
  <c r="M66" i="1"/>
  <c r="N66" i="1"/>
  <c r="J67" i="1"/>
  <c r="K67" i="1"/>
  <c r="L67" i="1"/>
  <c r="M67" i="1"/>
  <c r="N67" i="1"/>
  <c r="J68" i="1"/>
  <c r="K68" i="1"/>
  <c r="L68" i="1"/>
  <c r="M68" i="1"/>
  <c r="N68" i="1"/>
  <c r="J69" i="1"/>
  <c r="K69" i="1"/>
  <c r="L69" i="1"/>
  <c r="M69" i="1"/>
  <c r="N69" i="1"/>
  <c r="J70" i="1"/>
  <c r="K70" i="1"/>
  <c r="L70" i="1"/>
  <c r="M70" i="1"/>
  <c r="N70" i="1"/>
  <c r="J71" i="1"/>
  <c r="K71" i="1"/>
  <c r="L71" i="1"/>
  <c r="M71" i="1"/>
  <c r="N71" i="1"/>
  <c r="N2" i="1"/>
  <c r="M2" i="1"/>
  <c r="L2" i="1"/>
  <c r="K2" i="1"/>
  <c r="J2" i="1"/>
  <c r="C1" i="6"/>
  <c r="A1" i="6"/>
  <c r="A71" i="1"/>
  <c r="A72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B1" i="6"/>
  <c r="W72" i="6"/>
  <c r="V72" i="6"/>
  <c r="U72" i="6"/>
  <c r="T72" i="6"/>
  <c r="S72" i="6"/>
  <c r="AD71" i="1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1" i="6"/>
  <c r="W71" i="6"/>
  <c r="V71" i="6"/>
  <c r="U71" i="6"/>
  <c r="T71" i="6"/>
  <c r="S71" i="6"/>
  <c r="R71" i="6"/>
  <c r="AD70" i="1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R70" i="6"/>
  <c r="AD69" i="1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R69" i="6"/>
  <c r="AD68" i="1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8" i="6"/>
  <c r="W68" i="6"/>
  <c r="V68" i="6"/>
  <c r="U68" i="6"/>
  <c r="T68" i="6"/>
  <c r="S68" i="6"/>
  <c r="R68" i="6"/>
  <c r="AD67" i="1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7" i="6"/>
  <c r="W67" i="6"/>
  <c r="V67" i="6"/>
  <c r="U67" i="6"/>
  <c r="T67" i="6"/>
  <c r="S67" i="6"/>
  <c r="R67" i="6"/>
  <c r="AD66" i="1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R66" i="6"/>
  <c r="AD65" i="1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R65" i="6"/>
  <c r="AD64" i="1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D63" i="1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D62" i="1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D61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D60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D59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D58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D57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D56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D55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D54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D53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A17" i="5"/>
  <c r="B1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71" i="1"/>
  <c r="D71" i="1"/>
  <c r="F71" i="1"/>
  <c r="E71" i="1"/>
  <c r="S70" i="1"/>
  <c r="H70" i="1"/>
  <c r="D70" i="1"/>
  <c r="F70" i="1"/>
  <c r="E70" i="1"/>
  <c r="S69" i="1"/>
  <c r="H69" i="1"/>
  <c r="D69" i="1"/>
  <c r="F69" i="1"/>
  <c r="E69" i="1"/>
  <c r="S68" i="1"/>
  <c r="H68" i="1"/>
  <c r="D68" i="1"/>
  <c r="F68" i="1"/>
  <c r="E68" i="1"/>
  <c r="H67" i="1"/>
  <c r="D67" i="1"/>
  <c r="F67" i="1"/>
  <c r="E67" i="1"/>
  <c r="H66" i="1"/>
  <c r="D66" i="1"/>
  <c r="F66" i="1"/>
  <c r="E66" i="1"/>
  <c r="S65" i="1"/>
  <c r="H65" i="1"/>
  <c r="D65" i="1"/>
  <c r="F65" i="1"/>
  <c r="E65" i="1"/>
  <c r="H64" i="1"/>
  <c r="D64" i="1"/>
  <c r="F64" i="1"/>
  <c r="E64" i="1"/>
  <c r="H63" i="1"/>
  <c r="D63" i="1"/>
  <c r="F63" i="1"/>
  <c r="E63" i="1"/>
  <c r="H62" i="1"/>
  <c r="D62" i="1"/>
  <c r="F62" i="1"/>
  <c r="E62" i="1"/>
  <c r="H61" i="1"/>
  <c r="D61" i="1"/>
  <c r="F61" i="1"/>
  <c r="E61" i="1"/>
  <c r="H60" i="1"/>
  <c r="D60" i="1"/>
  <c r="F60" i="1"/>
  <c r="E60" i="1"/>
  <c r="H59" i="1"/>
  <c r="D59" i="1"/>
  <c r="F59" i="1"/>
  <c r="E59" i="1"/>
  <c r="S58" i="1"/>
  <c r="H58" i="1"/>
  <c r="D58" i="1"/>
  <c r="F58" i="1"/>
  <c r="E58" i="1"/>
  <c r="H57" i="1"/>
  <c r="D57" i="1"/>
  <c r="F57" i="1"/>
  <c r="E57" i="1"/>
  <c r="H56" i="1"/>
  <c r="D56" i="1"/>
  <c r="F56" i="1"/>
  <c r="E56" i="1"/>
  <c r="H55" i="1"/>
  <c r="D55" i="1"/>
  <c r="F55" i="1"/>
  <c r="E55" i="1"/>
  <c r="H54" i="1"/>
  <c r="D54" i="1"/>
  <c r="F54" i="1"/>
  <c r="E54" i="1"/>
  <c r="H53" i="1"/>
  <c r="D53" i="1"/>
  <c r="F53" i="1"/>
  <c r="E53" i="1"/>
  <c r="S52" i="1"/>
  <c r="H52" i="1"/>
  <c r="D52" i="1"/>
  <c r="F52" i="1"/>
  <c r="E52" i="1"/>
  <c r="H51" i="1"/>
  <c r="D51" i="1"/>
  <c r="F51" i="1"/>
  <c r="E51" i="1"/>
  <c r="H50" i="1"/>
  <c r="D50" i="1"/>
  <c r="F50" i="1"/>
  <c r="E50" i="1"/>
  <c r="H49" i="1"/>
  <c r="D49" i="1"/>
  <c r="F49" i="1"/>
  <c r="E49" i="1"/>
  <c r="S48" i="1"/>
  <c r="H48" i="1"/>
  <c r="D48" i="1"/>
  <c r="F48" i="1"/>
  <c r="E48" i="1"/>
  <c r="H47" i="1"/>
  <c r="D47" i="1"/>
  <c r="F47" i="1"/>
  <c r="E47" i="1"/>
  <c r="H46" i="1"/>
  <c r="D46" i="1"/>
  <c r="F46" i="1"/>
  <c r="E46" i="1"/>
  <c r="H45" i="1"/>
  <c r="D45" i="1"/>
  <c r="F45" i="1"/>
  <c r="E45" i="1"/>
  <c r="H44" i="1"/>
  <c r="D44" i="1"/>
  <c r="F44" i="1"/>
  <c r="E44" i="1"/>
  <c r="H43" i="1"/>
  <c r="D43" i="1"/>
  <c r="F43" i="1"/>
  <c r="E43" i="1"/>
  <c r="H42" i="1"/>
  <c r="D42" i="1"/>
  <c r="F42" i="1"/>
  <c r="E42" i="1"/>
  <c r="H41" i="1"/>
  <c r="D41" i="1"/>
  <c r="F41" i="1"/>
  <c r="E41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6" i="1"/>
  <c r="D36" i="1"/>
  <c r="F36" i="1"/>
  <c r="E36" i="1"/>
  <c r="H35" i="1"/>
  <c r="D35" i="1"/>
  <c r="F35" i="1"/>
  <c r="E35" i="1"/>
  <c r="H34" i="1"/>
  <c r="D34" i="1"/>
  <c r="F34" i="1"/>
  <c r="E34" i="1"/>
  <c r="H33" i="1"/>
  <c r="D33" i="1"/>
  <c r="F33" i="1"/>
  <c r="E33" i="1"/>
  <c r="H32" i="1"/>
  <c r="D32" i="1"/>
  <c r="F32" i="1"/>
  <c r="E32" i="1"/>
  <c r="H31" i="1"/>
  <c r="D31" i="1"/>
  <c r="F31" i="1"/>
  <c r="E31" i="1"/>
  <c r="H30" i="1"/>
  <c r="D30" i="1"/>
  <c r="F30" i="1"/>
  <c r="E30" i="1"/>
  <c r="H29" i="1"/>
  <c r="D29" i="1"/>
  <c r="F29" i="1"/>
  <c r="E29" i="1"/>
  <c r="H28" i="1"/>
  <c r="D28" i="1"/>
  <c r="F28" i="1"/>
  <c r="E28" i="1"/>
  <c r="H27" i="1"/>
  <c r="D27" i="1"/>
  <c r="F27" i="1"/>
  <c r="E27" i="1"/>
  <c r="H26" i="1"/>
  <c r="D26" i="1"/>
  <c r="F26" i="1"/>
  <c r="E26" i="1"/>
  <c r="H25" i="1"/>
  <c r="D25" i="1"/>
  <c r="F25" i="1"/>
  <c r="E25" i="1"/>
  <c r="H24" i="1"/>
  <c r="D24" i="1"/>
  <c r="F24" i="1"/>
  <c r="E24" i="1"/>
  <c r="H23" i="1"/>
  <c r="D23" i="1"/>
  <c r="F23" i="1"/>
  <c r="E23" i="1"/>
  <c r="H22" i="1"/>
  <c r="D22" i="1"/>
  <c r="F22" i="1"/>
  <c r="E22" i="1"/>
  <c r="H21" i="1"/>
  <c r="D21" i="1"/>
  <c r="F21" i="1"/>
  <c r="E21" i="1"/>
  <c r="H20" i="1"/>
  <c r="D20" i="1"/>
  <c r="F20" i="1"/>
  <c r="E20" i="1"/>
  <c r="H19" i="1"/>
  <c r="D19" i="1"/>
  <c r="F19" i="1"/>
  <c r="E19" i="1"/>
  <c r="H18" i="1"/>
  <c r="D18" i="1"/>
  <c r="F18" i="1"/>
  <c r="E18" i="1"/>
  <c r="H17" i="1"/>
  <c r="D17" i="1"/>
  <c r="F17" i="1"/>
  <c r="E17" i="1"/>
  <c r="H16" i="1"/>
  <c r="D16" i="1"/>
  <c r="F16" i="1"/>
  <c r="E16" i="1"/>
  <c r="H15" i="1"/>
  <c r="D15" i="1"/>
  <c r="F15" i="1"/>
  <c r="E15" i="1"/>
  <c r="H14" i="1"/>
  <c r="D14" i="1"/>
  <c r="F14" i="1"/>
  <c r="E14" i="1"/>
  <c r="H13" i="1"/>
  <c r="D13" i="1"/>
  <c r="F13" i="1"/>
  <c r="E13" i="1"/>
  <c r="H12" i="1"/>
  <c r="D12" i="1"/>
  <c r="F12" i="1"/>
  <c r="E12" i="1"/>
  <c r="H11" i="1"/>
  <c r="D11" i="1"/>
  <c r="F11" i="1"/>
  <c r="E11" i="1"/>
  <c r="H10" i="1"/>
  <c r="D10" i="1"/>
  <c r="F10" i="1"/>
  <c r="E10" i="1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G16" i="2"/>
  <c r="H16" i="2"/>
  <c r="E16" i="2"/>
  <c r="D16" i="2"/>
  <c r="A16" i="2"/>
  <c r="H2" i="1"/>
  <c r="B16" i="2"/>
  <c r="G15" i="2"/>
  <c r="H15" i="2"/>
  <c r="E15" i="2"/>
  <c r="D15" i="2"/>
  <c r="A15" i="2"/>
  <c r="B15" i="2"/>
  <c r="G14" i="2"/>
  <c r="H14" i="2"/>
  <c r="E14" i="2"/>
  <c r="D14" i="2"/>
  <c r="A14" i="2"/>
  <c r="B14" i="2"/>
  <c r="G13" i="2"/>
  <c r="H13" i="2"/>
  <c r="E13" i="2"/>
  <c r="D13" i="2"/>
  <c r="A13" i="2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3" i="6"/>
  <c r="I3" i="6"/>
  <c r="H3" i="6"/>
  <c r="G3" i="6"/>
  <c r="D2" i="1"/>
  <c r="F2" i="1"/>
  <c r="G2" i="2"/>
  <c r="H2" i="2"/>
  <c r="W3" i="6"/>
  <c r="V3" i="6"/>
  <c r="U3" i="6"/>
  <c r="T3" i="6"/>
  <c r="S3" i="6"/>
  <c r="AD2" i="1"/>
  <c r="A2" i="2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<sst xmlns="http://schemas.openxmlformats.org/spreadsheetml/2006/main" count="76" uniqueCount="55">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</sst>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8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260" applyFont="1" applyFill="1" applyBorder="1" applyAlignment="1">
      <alignment horizontal="right" vertical="center"/>
    </xf>
    <xf numFmtId="0" fontId="2" fillId="0" borderId="7" xfId="260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3" fillId="0" borderId="7" xfId="260" applyFill="1" applyBorder="1" applyAlignment="1">
      <alignment vertical="center"/>
    </xf>
    <xf numFmtId="0" fontId="2" fillId="10" borderId="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vertical="center"/>
    </xf>
    <xf numFmtId="0" fontId="4" fillId="12" borderId="3" xfId="0" applyFont="1" applyFill="1" applyBorder="1" applyAlignment="1">
      <alignment vertical="center"/>
    </xf>
    <xf numFmtId="0" fontId="2" fillId="13" borderId="6" xfId="0" applyFont="1" applyFill="1" applyBorder="1" applyAlignment="1">
      <alignment vertical="center"/>
    </xf>
  </cellXfs>
  <cellStyles count="58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標準" xfId="0" builtinId="0"/>
    <cellStyle name="標準 2 2" xfId="26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</cellStyles>
  <dxfs count="30"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2"/>
        <color indexed="20"/>
      </font>
      <fill>
        <patternFill patternType="solid">
          <fgColor indexed="29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K12" sqref="K12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8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>G2&amp;"-"&amp;I2</f>
        <v>20004_1-1</v>
      </c>
      <c r="B2" s="20" t="str">
        <f>IF(COUNTIF(enemy_habitats_drop_1_4!$H:$H,A2),"OK","NG")</f>
        <v>OK</v>
      </c>
      <c r="C2" s="7">
        <v>20004</v>
      </c>
      <c r="D2" s="11" t="str">
        <f ca="1">VLOOKUP($C2,OFFSET([1]quests!$A$1,0,0,COUNTA([1]quests!$A:$A),MATCH(D$1,[1]quests!$1:$1,0)-MATCH($C$1,[1]quests!$1:$1,0)+1),MATCH(D$1,[1]quests!$1:$1,0)-MATCH($C$1,[1]quests!$1:$1,0)+1,FALSE)</f>
        <v>雷雲からの刺客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ドロップイベント1-4</v>
      </c>
      <c r="F2" s="26">
        <v>1</v>
      </c>
      <c r="G2" s="28" t="str">
        <f>C2&amp;"_"&amp;F2</f>
        <v>20004_1</v>
      </c>
      <c r="H2" s="19" t="str">
        <f ca="1">VLOOKUP($G2,OFFSET([1]stages!$A$1,0,0,COUNTA([1]stages!$A:$A),MATCH(H$1,[1]stages!$2:$2,0)-MATCH($G$1,[1]stages!$2:$2,0)+1),MATCH(H$1,[1]stages!$2:$2,0)-MATCH($G$1,[1]stages!$2:$2,0)+1,FALSE)</f>
        <v>【初級】雷雲からの刺客</v>
      </c>
      <c r="I2" s="26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6" si="0">G3&amp;"-"&amp;I3</f>
        <v>20004_1-2</v>
      </c>
      <c r="B3" s="20" t="str">
        <f>IF(COUNTIF(enemy_habitats_drop_1_4!$H:$H,A3),"OK","NG")</f>
        <v>OK</v>
      </c>
      <c r="C3" s="7">
        <v>20004</v>
      </c>
      <c r="D3" s="11" t="str">
        <f ca="1">VLOOKUP($C3,OFFSET([1]quests!$A$1,0,0,COUNTA([1]quests!$A:$A),MATCH(D$1,[1]quests!$1:$1,0)-MATCH($C$1,[1]quests!$1:$1,0)+1),MATCH(D$1,[1]quests!$1:$1,0)-MATCH($C$1,[1]quests!$1:$1,0)+1,FALSE)</f>
        <v>雷雲からの刺客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ドロップイベント1-4</v>
      </c>
      <c r="F3" s="26">
        <v>1</v>
      </c>
      <c r="G3" s="28" t="str">
        <f t="shared" ref="G3:G16" si="1">C3&amp;"_"&amp;F3</f>
        <v>20004_1</v>
      </c>
      <c r="H3" s="19" t="str">
        <f ca="1">VLOOKUP($G3,OFFSET([1]stages!$A$1,0,0,COUNTA([1]stages!$A:$A),MATCH(H$1,[1]stages!$2:$2,0)-MATCH($G$1,[1]stages!$2:$2,0)+1),MATCH(H$1,[1]stages!$2:$2,0)-MATCH($G$1,[1]stages!$2:$2,0)+1,FALSE)</f>
        <v>【初級】雷雲からの刺客</v>
      </c>
      <c r="I3" s="26">
        <v>2</v>
      </c>
      <c r="J3" s="12">
        <v>45</v>
      </c>
      <c r="K3" s="12">
        <v>45</v>
      </c>
    </row>
    <row r="4" spans="1:11" ht="21" customHeight="1" x14ac:dyDescent="0.15">
      <c r="A4" s="20" t="str">
        <f t="shared" si="0"/>
        <v>20004_1-3</v>
      </c>
      <c r="B4" s="20" t="str">
        <f>IF(COUNTIF(enemy_habitats_drop_1_4!$H:$H,A4),"OK","NG")</f>
        <v>OK</v>
      </c>
      <c r="C4" s="7">
        <v>20004</v>
      </c>
      <c r="D4" s="11" t="str">
        <f ca="1">VLOOKUP($C4,OFFSET([1]quests!$A$1,0,0,COUNTA([1]quests!$A:$A),MATCH(D$1,[1]quests!$1:$1,0)-MATCH($C$1,[1]quests!$1:$1,0)+1),MATCH(D$1,[1]quests!$1:$1,0)-MATCH($C$1,[1]quests!$1:$1,0)+1,FALSE)</f>
        <v>雷雲からの刺客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ドロップイベント1-4</v>
      </c>
      <c r="F4" s="26">
        <v>1</v>
      </c>
      <c r="G4" s="28" t="str">
        <f t="shared" si="1"/>
        <v>20004_1</v>
      </c>
      <c r="H4" s="19" t="str">
        <f ca="1">VLOOKUP($G4,OFFSET([1]stages!$A$1,0,0,COUNTA([1]stages!$A:$A),MATCH(H$1,[1]stages!$2:$2,0)-MATCH($G$1,[1]stages!$2:$2,0)+1),MATCH(H$1,[1]stages!$2:$2,0)-MATCH($G$1,[1]stages!$2:$2,0)+1,FALSE)</f>
        <v>【初級】雷雲からの刺客</v>
      </c>
      <c r="I4" s="26">
        <v>3</v>
      </c>
      <c r="J4" s="12">
        <v>45</v>
      </c>
      <c r="K4" s="12">
        <v>45</v>
      </c>
    </row>
    <row r="5" spans="1:11" ht="21" customHeight="1" x14ac:dyDescent="0.15">
      <c r="A5" s="20" t="str">
        <f t="shared" si="0"/>
        <v>20004_1-4</v>
      </c>
      <c r="B5" s="20" t="str">
        <f>IF(COUNTIF(enemy_habitats_drop_1_4!$H:$H,A5),"OK","NG")</f>
        <v>OK</v>
      </c>
      <c r="C5" s="7">
        <v>20004</v>
      </c>
      <c r="D5" s="11" t="str">
        <f ca="1">VLOOKUP($C5,OFFSET([1]quests!$A$1,0,0,COUNTA([1]quests!$A:$A),MATCH(D$1,[1]quests!$1:$1,0)-MATCH($C$1,[1]quests!$1:$1,0)+1),MATCH(D$1,[1]quests!$1:$1,0)-MATCH($C$1,[1]quests!$1:$1,0)+1,FALSE)</f>
        <v>雷雲からの刺客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ドロップイベント1-4</v>
      </c>
      <c r="F5" s="26">
        <v>1</v>
      </c>
      <c r="G5" s="28" t="str">
        <f t="shared" si="1"/>
        <v>20004_1</v>
      </c>
      <c r="H5" s="19" t="str">
        <f ca="1">VLOOKUP($G5,OFFSET([1]stages!$A$1,0,0,COUNTA([1]stages!$A:$A),MATCH(H$1,[1]stages!$2:$2,0)-MATCH($G$1,[1]stages!$2:$2,0)+1),MATCH(H$1,[1]stages!$2:$2,0)-MATCH($G$1,[1]stages!$2:$2,0)+1,FALSE)</f>
        <v>【初級】雷雲からの刺客</v>
      </c>
      <c r="I5" s="26">
        <v>4</v>
      </c>
      <c r="J5" s="12">
        <v>45</v>
      </c>
      <c r="K5" s="12">
        <v>45</v>
      </c>
    </row>
    <row r="6" spans="1:11" ht="21" customHeight="1" x14ac:dyDescent="0.15">
      <c r="A6" s="20" t="str">
        <f t="shared" si="0"/>
        <v>20004_1-5</v>
      </c>
      <c r="B6" s="20" t="str">
        <f>IF(COUNTIF(enemy_habitats_drop_1_4!$H:$H,A6),"OK","NG")</f>
        <v>OK</v>
      </c>
      <c r="C6" s="7">
        <v>20004</v>
      </c>
      <c r="D6" s="11" t="str">
        <f ca="1">VLOOKUP($C6,OFFSET([1]quests!$A$1,0,0,COUNTA([1]quests!$A:$A),MATCH(D$1,[1]quests!$1:$1,0)-MATCH($C$1,[1]quests!$1:$1,0)+1),MATCH(D$1,[1]quests!$1:$1,0)-MATCH($C$1,[1]quests!$1:$1,0)+1,FALSE)</f>
        <v>雷雲からの刺客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ドロップイベント1-4</v>
      </c>
      <c r="F6" s="26">
        <v>1</v>
      </c>
      <c r="G6" s="28" t="str">
        <f t="shared" si="1"/>
        <v>20004_1</v>
      </c>
      <c r="H6" s="19" t="str">
        <f ca="1">VLOOKUP($G6,OFFSET([1]stages!$A$1,0,0,COUNTA([1]stages!$A:$A),MATCH(H$1,[1]stages!$2:$2,0)-MATCH($G$1,[1]stages!$2:$2,0)+1),MATCH(H$1,[1]stages!$2:$2,0)-MATCH($G$1,[1]stages!$2:$2,0)+1,FALSE)</f>
        <v>【初級】雷雲からの刺客</v>
      </c>
      <c r="I6" s="26">
        <v>5</v>
      </c>
      <c r="J6" s="12">
        <v>20</v>
      </c>
      <c r="K6" s="12">
        <v>20</v>
      </c>
    </row>
    <row r="7" spans="1:11" ht="21" customHeight="1" x14ac:dyDescent="0.15">
      <c r="A7" s="20" t="str">
        <f t="shared" si="0"/>
        <v>20004_2-1</v>
      </c>
      <c r="B7" s="20" t="str">
        <f>IF(COUNTIF(enemy_habitats_drop_1_4!$H:$H,A7),"OK","NG")</f>
        <v>OK</v>
      </c>
      <c r="C7" s="7">
        <v>20004</v>
      </c>
      <c r="D7" s="11" t="str">
        <f ca="1">VLOOKUP($C7,OFFSET([1]quests!$A$1,0,0,COUNTA([1]quests!$A:$A),MATCH(D$1,[1]quests!$1:$1,0)-MATCH($C$1,[1]quests!$1:$1,0)+1),MATCH(D$1,[1]quests!$1:$1,0)-MATCH($C$1,[1]quests!$1:$1,0)+1,FALSE)</f>
        <v>雷雲からの刺客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ドロップイベント1-4</v>
      </c>
      <c r="F7" s="26">
        <v>2</v>
      </c>
      <c r="G7" s="28" t="str">
        <f t="shared" si="1"/>
        <v>20004_2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【中級】雷雲からの刺客</v>
      </c>
      <c r="I7" s="26">
        <v>1</v>
      </c>
      <c r="J7" s="12">
        <v>30</v>
      </c>
      <c r="K7" s="12">
        <v>30</v>
      </c>
    </row>
    <row r="8" spans="1:11" ht="21" customHeight="1" x14ac:dyDescent="0.15">
      <c r="A8" s="20" t="str">
        <f t="shared" si="0"/>
        <v>20004_2-2</v>
      </c>
      <c r="B8" s="20" t="str">
        <f>IF(COUNTIF(enemy_habitats_drop_1_4!$H:$H,A8),"OK","NG")</f>
        <v>OK</v>
      </c>
      <c r="C8" s="7">
        <v>20004</v>
      </c>
      <c r="D8" s="11" t="str">
        <f ca="1">VLOOKUP($C8,OFFSET([1]quests!$A$1,0,0,COUNTA([1]quests!$A:$A),MATCH(D$1,[1]quests!$1:$1,0)-MATCH($C$1,[1]quests!$1:$1,0)+1),MATCH(D$1,[1]quests!$1:$1,0)-MATCH($C$1,[1]quests!$1:$1,0)+1,FALSE)</f>
        <v>雷雲からの刺客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ドロップイベント1-4</v>
      </c>
      <c r="F8" s="26">
        <v>2</v>
      </c>
      <c r="G8" s="28" t="str">
        <f t="shared" si="1"/>
        <v>20004_2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【中級】雷雲からの刺客</v>
      </c>
      <c r="I8" s="26">
        <v>2</v>
      </c>
      <c r="J8" s="12">
        <v>45</v>
      </c>
      <c r="K8" s="12">
        <v>45</v>
      </c>
    </row>
    <row r="9" spans="1:11" ht="21" customHeight="1" x14ac:dyDescent="0.15">
      <c r="A9" s="20" t="str">
        <f t="shared" si="0"/>
        <v>20004_2-3</v>
      </c>
      <c r="B9" s="20" t="str">
        <f>IF(COUNTIF(enemy_habitats_drop_1_4!$H:$H,A9),"OK","NG")</f>
        <v>OK</v>
      </c>
      <c r="C9" s="7">
        <v>20004</v>
      </c>
      <c r="D9" s="11" t="str">
        <f ca="1">VLOOKUP($C9,OFFSET([1]quests!$A$1,0,0,COUNTA([1]quests!$A:$A),MATCH(D$1,[1]quests!$1:$1,0)-MATCH($C$1,[1]quests!$1:$1,0)+1),MATCH(D$1,[1]quests!$1:$1,0)-MATCH($C$1,[1]quests!$1:$1,0)+1,FALSE)</f>
        <v>雷雲からの刺客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ドロップイベント1-4</v>
      </c>
      <c r="F9" s="26">
        <v>2</v>
      </c>
      <c r="G9" s="28" t="str">
        <f t="shared" si="1"/>
        <v>20004_2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【中級】雷雲からの刺客</v>
      </c>
      <c r="I9" s="26">
        <v>3</v>
      </c>
      <c r="J9" s="12">
        <v>45</v>
      </c>
      <c r="K9" s="12">
        <v>45</v>
      </c>
    </row>
    <row r="10" spans="1:11" ht="21" customHeight="1" x14ac:dyDescent="0.15">
      <c r="A10" s="20" t="str">
        <f t="shared" si="0"/>
        <v>20004_2-4</v>
      </c>
      <c r="B10" s="20" t="str">
        <f>IF(COUNTIF(enemy_habitats_drop_1_4!$H:$H,A10),"OK","NG")</f>
        <v>OK</v>
      </c>
      <c r="C10" s="7">
        <v>20004</v>
      </c>
      <c r="D10" s="11" t="str">
        <f ca="1">VLOOKUP($C10,OFFSET([1]quests!$A$1,0,0,COUNTA([1]quests!$A:$A),MATCH(D$1,[1]quests!$1:$1,0)-MATCH($C$1,[1]quests!$1:$1,0)+1),MATCH(D$1,[1]quests!$1:$1,0)-MATCH($C$1,[1]quests!$1:$1,0)+1,FALSE)</f>
        <v>雷雲からの刺客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ドロップイベント1-4</v>
      </c>
      <c r="F10" s="26">
        <v>2</v>
      </c>
      <c r="G10" s="28" t="str">
        <f t="shared" si="1"/>
        <v>20004_2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【中級】雷雲からの刺客</v>
      </c>
      <c r="I10" s="26">
        <v>4</v>
      </c>
      <c r="J10" s="12">
        <v>45</v>
      </c>
      <c r="K10" s="12">
        <v>45</v>
      </c>
    </row>
    <row r="11" spans="1:11" ht="21" customHeight="1" x14ac:dyDescent="0.15">
      <c r="A11" s="20" t="str">
        <f t="shared" si="0"/>
        <v>20004_2-5</v>
      </c>
      <c r="B11" s="20" t="str">
        <f>IF(COUNTIF(enemy_habitats_drop_1_4!$H:$H,A11),"OK","NG")</f>
        <v>OK</v>
      </c>
      <c r="C11" s="7">
        <v>20004</v>
      </c>
      <c r="D11" s="11" t="str">
        <f ca="1">VLOOKUP($C11,OFFSET([1]quests!$A$1,0,0,COUNTA([1]quests!$A:$A),MATCH(D$1,[1]quests!$1:$1,0)-MATCH($C$1,[1]quests!$1:$1,0)+1),MATCH(D$1,[1]quests!$1:$1,0)-MATCH($C$1,[1]quests!$1:$1,0)+1,FALSE)</f>
        <v>雷雲からの刺客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ドロップイベント1-4</v>
      </c>
      <c r="F11" s="26">
        <v>2</v>
      </c>
      <c r="G11" s="28" t="str">
        <f t="shared" si="1"/>
        <v>20004_2</v>
      </c>
      <c r="H11" s="19" t="str">
        <f ca="1">VLOOKUP($G11,OFFSET([1]stages!$A$1,0,0,COUNTA([1]stages!$A:$A),MATCH(H$1,[1]stages!$2:$2,0)-MATCH($G$1,[1]stages!$2:$2,0)+1),MATCH(H$1,[1]stages!$2:$2,0)-MATCH($G$1,[1]stages!$2:$2,0)+1,FALSE)</f>
        <v>【中級】雷雲からの刺客</v>
      </c>
      <c r="I11" s="26">
        <v>5</v>
      </c>
      <c r="J11" s="12">
        <v>20</v>
      </c>
      <c r="K11" s="12">
        <v>20</v>
      </c>
    </row>
    <row r="12" spans="1:11" ht="21" customHeight="1" x14ac:dyDescent="0.15">
      <c r="A12" s="20" t="str">
        <f t="shared" si="0"/>
        <v>20004_3-1</v>
      </c>
      <c r="B12" s="20" t="str">
        <f>IF(COUNTIF(enemy_habitats_drop_1_4!$H:$H,A12),"OK","NG")</f>
        <v>OK</v>
      </c>
      <c r="C12" s="7">
        <v>20004</v>
      </c>
      <c r="D12" s="11" t="str">
        <f ca="1">VLOOKUP($C12,OFFSET([1]quests!$A$1,0,0,COUNTA([1]quests!$A:$A),MATCH(D$1,[1]quests!$1:$1,0)-MATCH($C$1,[1]quests!$1:$1,0)+1),MATCH(D$1,[1]quests!$1:$1,0)-MATCH($C$1,[1]quests!$1:$1,0)+1,FALSE)</f>
        <v>雷雲からの刺客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ドロップイベント1-4</v>
      </c>
      <c r="F12" s="26">
        <v>3</v>
      </c>
      <c r="G12" s="28" t="str">
        <f t="shared" si="1"/>
        <v>20004_3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【上級】雷雲からの刺客</v>
      </c>
      <c r="I12" s="26">
        <v>1</v>
      </c>
      <c r="J12" s="12">
        <v>30</v>
      </c>
      <c r="K12" s="12">
        <v>30</v>
      </c>
    </row>
    <row r="13" spans="1:11" ht="21" customHeight="1" x14ac:dyDescent="0.15">
      <c r="A13" s="20" t="str">
        <f t="shared" si="0"/>
        <v>20004_3-2</v>
      </c>
      <c r="B13" s="20" t="str">
        <f>IF(COUNTIF(enemy_habitats_drop_1_4!$H:$H,A13),"OK","NG")</f>
        <v>OK</v>
      </c>
      <c r="C13" s="7">
        <v>20004</v>
      </c>
      <c r="D13" s="11" t="str">
        <f ca="1">VLOOKUP($C13,OFFSET([1]quests!$A$1,0,0,COUNTA([1]quests!$A:$A),MATCH(D$1,[1]quests!$1:$1,0)-MATCH($C$1,[1]quests!$1:$1,0)+1),MATCH(D$1,[1]quests!$1:$1,0)-MATCH($C$1,[1]quests!$1:$1,0)+1,FALSE)</f>
        <v>雷雲からの刺客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ドロップイベント1-4</v>
      </c>
      <c r="F13" s="26">
        <v>3</v>
      </c>
      <c r="G13" s="28" t="str">
        <f t="shared" si="1"/>
        <v>20004_3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【上級】雷雲からの刺客</v>
      </c>
      <c r="I13" s="26">
        <v>2</v>
      </c>
      <c r="J13" s="12">
        <v>45</v>
      </c>
      <c r="K13" s="12">
        <v>45</v>
      </c>
    </row>
    <row r="14" spans="1:11" ht="21" customHeight="1" x14ac:dyDescent="0.15">
      <c r="A14" s="20" t="str">
        <f t="shared" si="0"/>
        <v>20004_3-3</v>
      </c>
      <c r="B14" s="20" t="str">
        <f>IF(COUNTIF(enemy_habitats_drop_1_4!$H:$H,A14),"OK","NG")</f>
        <v>OK</v>
      </c>
      <c r="C14" s="7">
        <v>20004</v>
      </c>
      <c r="D14" s="11" t="str">
        <f ca="1">VLOOKUP($C14,OFFSET([1]quests!$A$1,0,0,COUNTA([1]quests!$A:$A),MATCH(D$1,[1]quests!$1:$1,0)-MATCH($C$1,[1]quests!$1:$1,0)+1),MATCH(D$1,[1]quests!$1:$1,0)-MATCH($C$1,[1]quests!$1:$1,0)+1,FALSE)</f>
        <v>雷雲からの刺客</v>
      </c>
      <c r="E14" s="24" t="str">
        <f ca="1">VLOOKUP($C14,OFFSET([1]quests!$A$1,0,0,COUNTA([1]quests!$A:$A),MATCH(E$1,[1]quests!$1:$1,0)-MATCH($C$1,[1]quests!$1:$1,0)+1),MATCH(E$1,[1]quests!$1:$1,0)-MATCH($C$1,[1]quests!$1:$1,0)+1,FALSE)</f>
        <v>ドロップイベント1-4</v>
      </c>
      <c r="F14" s="26">
        <v>3</v>
      </c>
      <c r="G14" s="28" t="str">
        <f t="shared" si="1"/>
        <v>20004_3</v>
      </c>
      <c r="H14" s="19" t="str">
        <f ca="1">VLOOKUP($G14,OFFSET([1]stages!$A$1,0,0,COUNTA([1]stages!$A:$A),MATCH(H$1,[1]stages!$2:$2,0)-MATCH($G$1,[1]stages!$2:$2,0)+1),MATCH(H$1,[1]stages!$2:$2,0)-MATCH($G$1,[1]stages!$2:$2,0)+1,FALSE)</f>
        <v>【上級】雷雲からの刺客</v>
      </c>
      <c r="I14" s="26">
        <v>3</v>
      </c>
      <c r="J14" s="12">
        <v>45</v>
      </c>
      <c r="K14" s="12">
        <v>45</v>
      </c>
    </row>
    <row r="15" spans="1:11" ht="21" customHeight="1" x14ac:dyDescent="0.15">
      <c r="A15" s="20" t="str">
        <f t="shared" si="0"/>
        <v>20004_3-4</v>
      </c>
      <c r="B15" s="20" t="str">
        <f>IF(COUNTIF(enemy_habitats_drop_1_4!$H:$H,A15),"OK","NG")</f>
        <v>OK</v>
      </c>
      <c r="C15" s="7">
        <v>20004</v>
      </c>
      <c r="D15" s="11" t="str">
        <f ca="1">VLOOKUP($C15,OFFSET([1]quests!$A$1,0,0,COUNTA([1]quests!$A:$A),MATCH(D$1,[1]quests!$1:$1,0)-MATCH($C$1,[1]quests!$1:$1,0)+1),MATCH(D$1,[1]quests!$1:$1,0)-MATCH($C$1,[1]quests!$1:$1,0)+1,FALSE)</f>
        <v>雷雲からの刺客</v>
      </c>
      <c r="E15" s="24" t="str">
        <f ca="1">VLOOKUP($C15,OFFSET([1]quests!$A$1,0,0,COUNTA([1]quests!$A:$A),MATCH(E$1,[1]quests!$1:$1,0)-MATCH($C$1,[1]quests!$1:$1,0)+1),MATCH(E$1,[1]quests!$1:$1,0)-MATCH($C$1,[1]quests!$1:$1,0)+1,FALSE)</f>
        <v>ドロップイベント1-4</v>
      </c>
      <c r="F15" s="26">
        <v>3</v>
      </c>
      <c r="G15" s="28" t="str">
        <f t="shared" si="1"/>
        <v>20004_3</v>
      </c>
      <c r="H15" s="19" t="str">
        <f ca="1">VLOOKUP($G15,OFFSET([1]stages!$A$1,0,0,COUNTA([1]stages!$A:$A),MATCH(H$1,[1]stages!$2:$2,0)-MATCH($G$1,[1]stages!$2:$2,0)+1),MATCH(H$1,[1]stages!$2:$2,0)-MATCH($G$1,[1]stages!$2:$2,0)+1,FALSE)</f>
        <v>【上級】雷雲からの刺客</v>
      </c>
      <c r="I15" s="26">
        <v>4</v>
      </c>
      <c r="J15" s="12">
        <v>80</v>
      </c>
      <c r="K15" s="12">
        <v>80</v>
      </c>
    </row>
    <row r="16" spans="1:11" ht="21" customHeight="1" x14ac:dyDescent="0.15">
      <c r="A16" s="20" t="str">
        <f t="shared" si="0"/>
        <v>20004_3-5</v>
      </c>
      <c r="B16" s="20" t="str">
        <f>IF(COUNTIF(enemy_habitats_drop_1_4!$H:$H,A16),"OK","NG")</f>
        <v>OK</v>
      </c>
      <c r="C16" s="7">
        <v>20004</v>
      </c>
      <c r="D16" s="11" t="str">
        <f ca="1">VLOOKUP($C16,OFFSET([1]quests!$A$1,0,0,COUNTA([1]quests!$A:$A),MATCH(D$1,[1]quests!$1:$1,0)-MATCH($C$1,[1]quests!$1:$1,0)+1),MATCH(D$1,[1]quests!$1:$1,0)-MATCH($C$1,[1]quests!$1:$1,0)+1,FALSE)</f>
        <v>雷雲からの刺客</v>
      </c>
      <c r="E16" s="24" t="str">
        <f ca="1">VLOOKUP($C16,OFFSET([1]quests!$A$1,0,0,COUNTA([1]quests!$A:$A),MATCH(E$1,[1]quests!$1:$1,0)-MATCH($C$1,[1]quests!$1:$1,0)+1),MATCH(E$1,[1]quests!$1:$1,0)-MATCH($C$1,[1]quests!$1:$1,0)+1,FALSE)</f>
        <v>ドロップイベント1-4</v>
      </c>
      <c r="F16" s="26">
        <v>3</v>
      </c>
      <c r="G16" s="28" t="str">
        <f t="shared" si="1"/>
        <v>20004_3</v>
      </c>
      <c r="H16" s="19" t="str">
        <f ca="1">VLOOKUP($G16,OFFSET([1]stages!$A$1,0,0,COUNTA([1]stages!$A:$A),MATCH(H$1,[1]stages!$2:$2,0)-MATCH($G$1,[1]stages!$2:$2,0)+1),MATCH(H$1,[1]stages!$2:$2,0)-MATCH($G$1,[1]stages!$2:$2,0)+1,FALSE)</f>
        <v>【上級】雷雲からの刺客</v>
      </c>
      <c r="I16" s="26">
        <v>5</v>
      </c>
      <c r="J16" s="12">
        <v>30</v>
      </c>
      <c r="K16" s="1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71"/>
  <sheetViews>
    <sheetView showGridLines="0" zoomScale="75" zoomScaleNormal="75" zoomScalePageLayoutView="75" workbookViewId="0">
      <pane xSplit="14" ySplit="1" topLeftCell="AA38" activePane="bottomRight" state="frozen"/>
      <selection pane="topRight" activeCell="N1" sqref="N1"/>
      <selection pane="bottomLeft" activeCell="A2" sqref="A2"/>
      <selection pane="bottomRight" activeCell="AK51" sqref="AK51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7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ca="1">B2&amp;"_"&amp;C2&amp;"-"&amp;G2&amp;"/"&amp;I2&amp;"&lt;lv"&amp;O2&amp;"&gt;s"&amp;X2</f>
        <v>20004_1-1/7&lt;lv18&gt;s2</v>
      </c>
      <c r="B2" s="27">
        <v>20004</v>
      </c>
      <c r="C2" s="26">
        <v>1</v>
      </c>
      <c r="D2" s="2" t="str">
        <f>B2&amp;"_"&amp;C2</f>
        <v>20004_1</v>
      </c>
      <c r="E2" s="4" t="str">
        <f ca="1">VLOOKUP($B2,OFFSET([1]quests!$A$1,0,0,COUNTA([1]quests!$A:$A),MATCH(E$1,[1]quests!$1:$1,0)-MATCH($B$1,[1]quests!$1:$1,0)+1),MATCH(E$1,[1]quests!$1:$1,0)-MATCH($B$1,[1]quests!$1:$1,0)+1,FALSE)</f>
        <v>雷雲からの刺客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【初級】雷雲からの刺客</v>
      </c>
      <c r="G2" s="26">
        <v>1</v>
      </c>
      <c r="H2" s="19" t="str">
        <f>B2&amp;"_"&amp;C2&amp;"-"&amp;G2</f>
        <v>20004_1-1</v>
      </c>
      <c r="I2" s="41">
        <v>7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エレキポット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yellow</v>
      </c>
      <c r="L2" s="24" t="str">
        <f>VLOOKUP(I2,[3]characters!$A:$J,10,FALSE)</f>
        <v>Drop1T</v>
      </c>
      <c r="M2" s="23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18</v>
      </c>
      <c r="P2" s="30">
        <v>1</v>
      </c>
      <c r="Q2" s="30">
        <v>0.9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1">
        <v>7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7">
        <v>3</v>
      </c>
      <c r="AD2" s="29">
        <f ca="1">AA2</f>
        <v>1</v>
      </c>
      <c r="AE2" s="8">
        <v>25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6" ca="1" si="0">B3&amp;"_"&amp;C3&amp;"-"&amp;G3&amp;"/"&amp;I3&amp;"&lt;lv"&amp;O3&amp;"&gt;s"&amp;X3</f>
        <v>20004_1-1/13&lt;lv18&gt;s2</v>
      </c>
      <c r="B3" s="27">
        <v>20004</v>
      </c>
      <c r="C3" s="26">
        <v>1</v>
      </c>
      <c r="D3" s="2" t="str">
        <f t="shared" ref="D3:D6" si="1">B3&amp;"_"&amp;C3</f>
        <v>20004_1</v>
      </c>
      <c r="E3" s="4" t="str">
        <f ca="1">VLOOKUP($B3,OFFSET([1]quests!$A$1,0,0,COUNTA([1]quests!$A:$A),MATCH(E$1,[1]quests!$1:$1,0)-MATCH($B$1,[1]quests!$1:$1,0)+1),MATCH(E$1,[1]quests!$1:$1,0)-MATCH($B$1,[1]quests!$1:$1,0)+1,FALSE)</f>
        <v>雷雲からの刺客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【初級】雷雲からの刺客</v>
      </c>
      <c r="G3" s="26">
        <v>1</v>
      </c>
      <c r="H3" s="19" t="str">
        <f t="shared" ref="H3:H6" si="2">B3&amp;"_"&amp;C3&amp;"-"&amp;G3</f>
        <v>20004_1-1</v>
      </c>
      <c r="I3" s="42">
        <v>13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ミミ</v>
      </c>
      <c r="K3" s="23" t="str">
        <f ca="1">VLOOKUP($I3,OFFSET([2]enemies!$A$1,0,0,COUNTA([2]enemies!$A:$A),MATCH(K$1,[2]enemies!$1:$1,0)-MATCH($I$1,[2]enemies!$1:$1,0)+1),MATCH(K$1,[2]enemies!$1:$1,0)-MATCH($I$1,[2]enemies!$1:$1,0)+1,FALSE)</f>
        <v>yellow</v>
      </c>
      <c r="L3" s="24" t="str">
        <f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18</v>
      </c>
      <c r="P3" s="30">
        <v>1</v>
      </c>
      <c r="Q3" s="30">
        <v>0.9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2</v>
      </c>
      <c r="Y3" s="42">
        <v>13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1</v>
      </c>
      <c r="AD3" s="29">
        <f t="shared" ref="AD3:AD6" ca="1" si="3">AA3</f>
        <v>1</v>
      </c>
      <c r="AE3" s="8">
        <v>25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20004_1-1/19&lt;lv18&gt;s3</v>
      </c>
      <c r="B4" s="27">
        <v>20004</v>
      </c>
      <c r="C4" s="26">
        <v>1</v>
      </c>
      <c r="D4" s="2" t="str">
        <f t="shared" si="1"/>
        <v>20004_1</v>
      </c>
      <c r="E4" s="4" t="str">
        <f ca="1">VLOOKUP($B4,OFFSET([1]quests!$A$1,0,0,COUNTA([1]quests!$A:$A),MATCH(E$1,[1]quests!$1:$1,0)-MATCH($B$1,[1]quests!$1:$1,0)+1),MATCH(E$1,[1]quests!$1:$1,0)-MATCH($B$1,[1]quests!$1:$1,0)+1,FALSE)</f>
        <v>雷雲からの刺客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【初級】雷雲からの刺客</v>
      </c>
      <c r="G4" s="26">
        <v>1</v>
      </c>
      <c r="H4" s="19" t="str">
        <f t="shared" si="2"/>
        <v>20004_1-1</v>
      </c>
      <c r="I4" s="42">
        <v>19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ティンク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human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18</v>
      </c>
      <c r="P4" s="30">
        <v>1</v>
      </c>
      <c r="Q4" s="30">
        <v>0.9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3</v>
      </c>
      <c r="Y4" s="42">
        <v>19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1</v>
      </c>
      <c r="AD4" s="29">
        <f t="shared" ca="1" si="3"/>
        <v>1</v>
      </c>
      <c r="AE4" s="8">
        <v>25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20004_1-1/31&lt;lv18&gt;s2</v>
      </c>
      <c r="B5" s="27">
        <v>20004</v>
      </c>
      <c r="C5" s="26">
        <v>1</v>
      </c>
      <c r="D5" s="2" t="str">
        <f t="shared" si="1"/>
        <v>20004_1</v>
      </c>
      <c r="E5" s="4" t="str">
        <f ca="1">VLOOKUP($B5,OFFSET([1]quests!$A$1,0,0,COUNTA([1]quests!$A:$A),MATCH(E$1,[1]quests!$1:$1,0)-MATCH($B$1,[1]quests!$1:$1,0)+1),MATCH(E$1,[1]quests!$1:$1,0)-MATCH($B$1,[1]quests!$1:$1,0)+1,FALSE)</f>
        <v>雷雲からの刺客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【初級】雷雲からの刺客</v>
      </c>
      <c r="G5" s="26">
        <v>1</v>
      </c>
      <c r="H5" s="19" t="str">
        <f t="shared" si="2"/>
        <v>20004_1-1</v>
      </c>
      <c r="I5" s="42">
        <v>31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マービー</v>
      </c>
      <c r="K5" s="23" t="str">
        <f ca="1">VLOOKUP($I5,OFFSET([2]enemies!$A$1,0,0,COUNTA([2]enemies!$A:$A),MATCH(K$1,[2]enemies!$1:$1,0)-MATCH($I$1,[2]enemies!$1:$1,0)+1),MATCH(K$1,[2]enemies!$1:$1,0)-MATCH($I$1,[2]enemies!$1:$1,0)+1,FALSE)</f>
        <v>yellow</v>
      </c>
      <c r="L5" s="24" t="str">
        <f>VLOOKUP(I5,[3]characters!$A:$J,10,FALSE)</f>
        <v>Drop1N</v>
      </c>
      <c r="M5" s="23" t="str">
        <f ca="1">VLOOKUP($I5,OFFSET([2]enemies!$A$1,0,0,COUNTA([2]enemies!$A:$A),MATCH(M$1,[2]enemies!$1:$1,0)-MATCH($I$1,[2]enemies!$1:$1,0)+1),MATCH(M$1,[2]enemies!$1:$1,0)-MATCH($I$1,[2]enemies!$1:$1,0)+1,FALSE)</f>
        <v>machine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18</v>
      </c>
      <c r="P5" s="30">
        <v>1</v>
      </c>
      <c r="Q5" s="30">
        <v>0.9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2">
        <v>31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7">
        <v>1</v>
      </c>
      <c r="AD5" s="29">
        <f t="shared" ca="1" si="3"/>
        <v>1</v>
      </c>
      <c r="AE5" s="8">
        <v>25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0"/>
        <v>20004_1-1/47&lt;lv18&gt;s1</v>
      </c>
      <c r="B6" s="27">
        <v>20004</v>
      </c>
      <c r="C6" s="26">
        <v>1</v>
      </c>
      <c r="D6" s="2" t="str">
        <f t="shared" si="1"/>
        <v>20004_1</v>
      </c>
      <c r="E6" s="4" t="str">
        <f ca="1">VLOOKUP($B6,OFFSET([1]quests!$A$1,0,0,COUNTA([1]quests!$A:$A),MATCH(E$1,[1]quests!$1:$1,0)-MATCH($B$1,[1]quests!$1:$1,0)+1),MATCH(E$1,[1]quests!$1:$1,0)-MATCH($B$1,[1]quests!$1:$1,0)+1,FALSE)</f>
        <v>雷雲からの刺客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【初級】雷雲からの刺客</v>
      </c>
      <c r="G6" s="26">
        <v>1</v>
      </c>
      <c r="H6" s="19" t="str">
        <f t="shared" si="2"/>
        <v>20004_1-1</v>
      </c>
      <c r="I6" s="42">
        <v>47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ヒロ</v>
      </c>
      <c r="K6" s="23" t="str">
        <f ca="1">VLOOKUP($I6,OFFSET([2]enemies!$A$1,0,0,COUNTA([2]enemies!$A:$A),MATCH(K$1,[2]enemies!$1:$1,0)-MATCH($I$1,[2]enemies!$1:$1,0)+1),MATCH(K$1,[2]enemies!$1:$1,0)-MATCH($I$1,[2]enemies!$1:$1,0)+1,FALSE)</f>
        <v>yellow</v>
      </c>
      <c r="L6" s="24" t="str">
        <f>VLOOKUP(I6,[3]characters!$A:$J,10,FALSE)</f>
        <v>Drop1N</v>
      </c>
      <c r="M6" s="23" t="str">
        <f ca="1">VLOOKUP($I6,OFFSET([2]enemies!$A$1,0,0,COUNTA([2]enemies!$A:$A),MATCH(M$1,[2]enemies!$1:$1,0)-MATCH($I$1,[2]enemies!$1:$1,0)+1),MATCH(M$1,[2]enemies!$1:$1,0)-MATCH($I$1,[2]enemies!$1:$1,0)+1,FALSE)</f>
        <v>animal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18</v>
      </c>
      <c r="P6" s="30">
        <v>1</v>
      </c>
      <c r="Q6" s="30">
        <v>0.9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1</v>
      </c>
      <c r="Y6" s="42">
        <v>47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7">
        <v>1</v>
      </c>
      <c r="AD6" s="29">
        <f t="shared" ca="1" si="3"/>
        <v>2</v>
      </c>
      <c r="AE6" s="8">
        <v>25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ca="1">B7&amp;"_"&amp;C7&amp;"-"&amp;G7&amp;"/"&amp;I7&amp;"&lt;lv"&amp;O7&amp;"&gt;s"&amp;X7</f>
        <v>20004_1-2/7&lt;lv18&gt;s2</v>
      </c>
      <c r="B7" s="27">
        <v>20004</v>
      </c>
      <c r="C7" s="26">
        <v>1</v>
      </c>
      <c r="D7" s="2" t="str">
        <f>B7&amp;"_"&amp;C7</f>
        <v>20004_1</v>
      </c>
      <c r="E7" s="4" t="str">
        <f ca="1">VLOOKUP($B7,OFFSET([1]quests!$A$1,0,0,COUNTA([1]quests!$A:$A),MATCH(E$1,[1]quests!$1:$1,0)-MATCH($B$1,[1]quests!$1:$1,0)+1),MATCH(E$1,[1]quests!$1:$1,0)-MATCH($B$1,[1]quests!$1:$1,0)+1,FALSE)</f>
        <v>雷雲からの刺客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【初級】雷雲からの刺客</v>
      </c>
      <c r="G7" s="43">
        <v>2</v>
      </c>
      <c r="H7" s="19" t="str">
        <f>B7&amp;"_"&amp;C7&amp;"-"&amp;G7</f>
        <v>20004_1-2</v>
      </c>
      <c r="I7" s="41">
        <v>7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エレキポット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yellow</v>
      </c>
      <c r="L7" s="24" t="str">
        <f>VLOOKUP(I7,[3]characters!$A:$J,10,FALSE)</f>
        <v>Drop1T</v>
      </c>
      <c r="M7" s="23" t="str">
        <f ca="1">VLOOKUP($I7,OFFSET([2]enemies!$A$1,0,0,COUNTA([2]enemies!$A:$A),MATCH(M$1,[2]enemies!$1:$1,0)-MATCH($I$1,[2]enemies!$1:$1,0)+1),MATCH(M$1,[2]enemies!$1:$1,0)-MATCH($I$1,[2]enemies!$1:$1,0)+1,FALSE)</f>
        <v>unknown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18</v>
      </c>
      <c r="P7" s="30">
        <v>1</v>
      </c>
      <c r="Q7" s="30">
        <v>0.9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41">
        <v>7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7" s="7">
        <v>3</v>
      </c>
      <c r="AD7" s="29">
        <f ca="1">AA7</f>
        <v>1</v>
      </c>
      <c r="AE7" s="8">
        <v>25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ref="A8:A11" ca="1" si="4">B8&amp;"_"&amp;C8&amp;"-"&amp;G8&amp;"/"&amp;I8&amp;"&lt;lv"&amp;O8&amp;"&gt;s"&amp;X8</f>
        <v>20004_1-2/13&lt;lv18&gt;s2</v>
      </c>
      <c r="B8" s="27">
        <v>20004</v>
      </c>
      <c r="C8" s="26">
        <v>1</v>
      </c>
      <c r="D8" s="2" t="str">
        <f t="shared" ref="D8:D11" si="5">B8&amp;"_"&amp;C8</f>
        <v>20004_1</v>
      </c>
      <c r="E8" s="4" t="str">
        <f ca="1">VLOOKUP($B8,OFFSET([1]quests!$A$1,0,0,COUNTA([1]quests!$A:$A),MATCH(E$1,[1]quests!$1:$1,0)-MATCH($B$1,[1]quests!$1:$1,0)+1),MATCH(E$1,[1]quests!$1:$1,0)-MATCH($B$1,[1]quests!$1:$1,0)+1,FALSE)</f>
        <v>雷雲からの刺客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【初級】雷雲からの刺客</v>
      </c>
      <c r="G8" s="43">
        <v>2</v>
      </c>
      <c r="H8" s="19" t="str">
        <f t="shared" ref="H8:H11" si="6">B8&amp;"_"&amp;C8&amp;"-"&amp;G8</f>
        <v>20004_1-2</v>
      </c>
      <c r="I8" s="42">
        <v>13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ミミ</v>
      </c>
      <c r="K8" s="23" t="str">
        <f ca="1">VLOOKUP($I8,OFFSET([2]enemies!$A$1,0,0,COUNTA([2]enemies!$A:$A),MATCH(K$1,[2]enemies!$1:$1,0)-MATCH($I$1,[2]enemies!$1:$1,0)+1),MATCH(K$1,[2]enemies!$1:$1,0)-MATCH($I$1,[2]enemies!$1:$1,0)+1,FALSE)</f>
        <v>yellow</v>
      </c>
      <c r="L8" s="24" t="str">
        <f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18</v>
      </c>
      <c r="P8" s="30">
        <v>1</v>
      </c>
      <c r="Q8" s="30">
        <v>0.9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2</v>
      </c>
      <c r="Y8" s="42">
        <v>13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1</v>
      </c>
      <c r="AD8" s="29">
        <f t="shared" ref="AD8:AD11" ca="1" si="7">AA8</f>
        <v>1</v>
      </c>
      <c r="AE8" s="8">
        <v>25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4"/>
        <v>20004_1-2/19&lt;lv18&gt;s3</v>
      </c>
      <c r="B9" s="27">
        <v>20004</v>
      </c>
      <c r="C9" s="26">
        <v>1</v>
      </c>
      <c r="D9" s="2" t="str">
        <f t="shared" si="5"/>
        <v>20004_1</v>
      </c>
      <c r="E9" s="4" t="str">
        <f ca="1">VLOOKUP($B9,OFFSET([1]quests!$A$1,0,0,COUNTA([1]quests!$A:$A),MATCH(E$1,[1]quests!$1:$1,0)-MATCH($B$1,[1]quests!$1:$1,0)+1),MATCH(E$1,[1]quests!$1:$1,0)-MATCH($B$1,[1]quests!$1:$1,0)+1,FALSE)</f>
        <v>雷雲からの刺客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【初級】雷雲からの刺客</v>
      </c>
      <c r="G9" s="43">
        <v>2</v>
      </c>
      <c r="H9" s="19" t="str">
        <f t="shared" si="6"/>
        <v>20004_1-2</v>
      </c>
      <c r="I9" s="42">
        <v>19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ティンク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human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18</v>
      </c>
      <c r="P9" s="30">
        <v>1</v>
      </c>
      <c r="Q9" s="30">
        <v>0.9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3</v>
      </c>
      <c r="Y9" s="42">
        <v>19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1</v>
      </c>
      <c r="AD9" s="29">
        <f t="shared" ca="1" si="7"/>
        <v>1</v>
      </c>
      <c r="AE9" s="8">
        <v>25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4"/>
        <v>20004_1-2/31&lt;lv18&gt;s2</v>
      </c>
      <c r="B10" s="27">
        <v>20004</v>
      </c>
      <c r="C10" s="26">
        <v>1</v>
      </c>
      <c r="D10" s="2" t="str">
        <f t="shared" si="5"/>
        <v>20004_1</v>
      </c>
      <c r="E10" s="4" t="str">
        <f ca="1">VLOOKUP($B10,OFFSET([1]quests!$A$1,0,0,COUNTA([1]quests!$A:$A),MATCH(E$1,[1]quests!$1:$1,0)-MATCH($B$1,[1]quests!$1:$1,0)+1),MATCH(E$1,[1]quests!$1:$1,0)-MATCH($B$1,[1]quests!$1:$1,0)+1,FALSE)</f>
        <v>雷雲からの刺客</v>
      </c>
      <c r="F10" s="4" t="str">
        <f ca="1">VLOOKUP($D10,OFFSET([1]stages!$A$1,0,0,COUNTA([1]stages!$A:$A),MATCH(F$1,[1]stages!$2:$2,0)-MATCH($D$1,[1]stages!$2:$2,0)+1),MATCH(F$1,[1]stages!$2:$2,0)-MATCH($D$1,[1]stages!$2:$2,0)+1,FALSE)</f>
        <v>【初級】雷雲からの刺客</v>
      </c>
      <c r="G10" s="43">
        <v>2</v>
      </c>
      <c r="H10" s="19" t="str">
        <f t="shared" si="6"/>
        <v>20004_1-2</v>
      </c>
      <c r="I10" s="42">
        <v>31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マービー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yellow</v>
      </c>
      <c r="L10" s="24" t="str">
        <f>VLOOKUP(I10,[3]characters!$A:$J,10,FALSE)</f>
        <v>Drop1N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machine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18</v>
      </c>
      <c r="P10" s="30">
        <v>1</v>
      </c>
      <c r="Q10" s="30">
        <v>0.9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2">
        <v>31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0" s="7">
        <v>1</v>
      </c>
      <c r="AD10" s="29">
        <f t="shared" ca="1" si="7"/>
        <v>1</v>
      </c>
      <c r="AE10" s="8">
        <v>25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4"/>
        <v>20004_1-2/47&lt;lv18&gt;s1</v>
      </c>
      <c r="B11" s="27">
        <v>20004</v>
      </c>
      <c r="C11" s="26">
        <v>1</v>
      </c>
      <c r="D11" s="2" t="str">
        <f t="shared" si="5"/>
        <v>20004_1</v>
      </c>
      <c r="E11" s="4" t="str">
        <f ca="1">VLOOKUP($B11,OFFSET([1]quests!$A$1,0,0,COUNTA([1]quests!$A:$A),MATCH(E$1,[1]quests!$1:$1,0)-MATCH($B$1,[1]quests!$1:$1,0)+1),MATCH(E$1,[1]quests!$1:$1,0)-MATCH($B$1,[1]quests!$1:$1,0)+1,FALSE)</f>
        <v>雷雲からの刺客</v>
      </c>
      <c r="F11" s="4" t="str">
        <f ca="1">VLOOKUP($D11,OFFSET([1]stages!$A$1,0,0,COUNTA([1]stages!$A:$A),MATCH(F$1,[1]stages!$2:$2,0)-MATCH($D$1,[1]stages!$2:$2,0)+1),MATCH(F$1,[1]stages!$2:$2,0)-MATCH($D$1,[1]stages!$2:$2,0)+1,FALSE)</f>
        <v>【初級】雷雲からの刺客</v>
      </c>
      <c r="G11" s="43">
        <v>2</v>
      </c>
      <c r="H11" s="19" t="str">
        <f t="shared" si="6"/>
        <v>20004_1-2</v>
      </c>
      <c r="I11" s="42">
        <v>47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ヒロ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yellow</v>
      </c>
      <c r="L11" s="24" t="str">
        <f>VLOOKUP(I11,[3]characters!$A:$J,10,FALSE)</f>
        <v>Drop1N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animal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18</v>
      </c>
      <c r="P11" s="30">
        <v>1</v>
      </c>
      <c r="Q11" s="30">
        <v>0.9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1</v>
      </c>
      <c r="Y11" s="42">
        <v>47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7">
        <v>1</v>
      </c>
      <c r="AD11" s="29">
        <f t="shared" ca="1" si="7"/>
        <v>2</v>
      </c>
      <c r="AE11" s="8">
        <v>25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ca="1">B12&amp;"_"&amp;C12&amp;"-"&amp;G12&amp;"/"&amp;I12&amp;"&lt;lv"&amp;O12&amp;"&gt;s"&amp;X12</f>
        <v>20004_1-3/7&lt;lv18&gt;s2</v>
      </c>
      <c r="B12" s="27">
        <v>20004</v>
      </c>
      <c r="C12" s="26">
        <v>1</v>
      </c>
      <c r="D12" s="2" t="str">
        <f>B12&amp;"_"&amp;C12</f>
        <v>20004_1</v>
      </c>
      <c r="E12" s="4" t="str">
        <f ca="1">VLOOKUP($B12,OFFSET([1]quests!$A$1,0,0,COUNTA([1]quests!$A:$A),MATCH(E$1,[1]quests!$1:$1,0)-MATCH($B$1,[1]quests!$1:$1,0)+1),MATCH(E$1,[1]quests!$1:$1,0)-MATCH($B$1,[1]quests!$1:$1,0)+1,FALSE)</f>
        <v>雷雲からの刺客</v>
      </c>
      <c r="F12" s="4" t="str">
        <f ca="1">VLOOKUP($D12,OFFSET([1]stages!$A$1,0,0,COUNTA([1]stages!$A:$A),MATCH(F$1,[1]stages!$2:$2,0)-MATCH($D$1,[1]stages!$2:$2,0)+1),MATCH(F$1,[1]stages!$2:$2,0)-MATCH($D$1,[1]stages!$2:$2,0)+1,FALSE)</f>
        <v>【初級】雷雲からの刺客</v>
      </c>
      <c r="G12" s="26">
        <v>3</v>
      </c>
      <c r="H12" s="19" t="str">
        <f>B12&amp;"_"&amp;C12&amp;"-"&amp;G12</f>
        <v>20004_1-3</v>
      </c>
      <c r="I12" s="41">
        <v>7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エレキポット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yellow</v>
      </c>
      <c r="L12" s="24" t="str">
        <f>VLOOKUP(I12,[3]characters!$A:$J,10,FALSE)</f>
        <v>Drop1T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18</v>
      </c>
      <c r="P12" s="30">
        <v>1</v>
      </c>
      <c r="Q12" s="30">
        <v>0.9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2</v>
      </c>
      <c r="Y12" s="41">
        <v>7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2" s="7">
        <v>3</v>
      </c>
      <c r="AD12" s="29">
        <f ca="1">AA12</f>
        <v>1</v>
      </c>
      <c r="AE12" s="8">
        <v>25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ref="A13:A16" ca="1" si="8">B13&amp;"_"&amp;C13&amp;"-"&amp;G13&amp;"/"&amp;I13&amp;"&lt;lv"&amp;O13&amp;"&gt;s"&amp;X13</f>
        <v>20004_1-3/13&lt;lv18&gt;s2</v>
      </c>
      <c r="B13" s="27">
        <v>20004</v>
      </c>
      <c r="C13" s="26">
        <v>1</v>
      </c>
      <c r="D13" s="2" t="str">
        <f t="shared" ref="D13:D16" si="9">B13&amp;"_"&amp;C13</f>
        <v>20004_1</v>
      </c>
      <c r="E13" s="4" t="str">
        <f ca="1">VLOOKUP($B13,OFFSET([1]quests!$A$1,0,0,COUNTA([1]quests!$A:$A),MATCH(E$1,[1]quests!$1:$1,0)-MATCH($B$1,[1]quests!$1:$1,0)+1),MATCH(E$1,[1]quests!$1:$1,0)-MATCH($B$1,[1]quests!$1:$1,0)+1,FALSE)</f>
        <v>雷雲からの刺客</v>
      </c>
      <c r="F13" s="4" t="str">
        <f ca="1">VLOOKUP($D13,OFFSET([1]stages!$A$1,0,0,COUNTA([1]stages!$A:$A),MATCH(F$1,[1]stages!$2:$2,0)-MATCH($D$1,[1]stages!$2:$2,0)+1),MATCH(F$1,[1]stages!$2:$2,0)-MATCH($D$1,[1]stages!$2:$2,0)+1,FALSE)</f>
        <v>【初級】雷雲からの刺客</v>
      </c>
      <c r="G13" s="26">
        <v>3</v>
      </c>
      <c r="H13" s="19" t="str">
        <f t="shared" ref="H13:H16" si="10">B13&amp;"_"&amp;C13&amp;"-"&amp;G13</f>
        <v>20004_1-3</v>
      </c>
      <c r="I13" s="42">
        <v>13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ミミ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yellow</v>
      </c>
      <c r="L13" s="24" t="str">
        <f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18</v>
      </c>
      <c r="P13" s="30">
        <v>1</v>
      </c>
      <c r="Q13" s="30">
        <v>0.9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2</v>
      </c>
      <c r="Y13" s="42">
        <v>13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1</v>
      </c>
      <c r="AD13" s="29">
        <f t="shared" ref="AD13:AD16" ca="1" si="11">AA13</f>
        <v>1</v>
      </c>
      <c r="AE13" s="8">
        <v>25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8"/>
        <v>20004_1-3/19&lt;lv18&gt;s3</v>
      </c>
      <c r="B14" s="27">
        <v>20004</v>
      </c>
      <c r="C14" s="26">
        <v>1</v>
      </c>
      <c r="D14" s="2" t="str">
        <f t="shared" si="9"/>
        <v>20004_1</v>
      </c>
      <c r="E14" s="4" t="str">
        <f ca="1">VLOOKUP($B14,OFFSET([1]quests!$A$1,0,0,COUNTA([1]quests!$A:$A),MATCH(E$1,[1]quests!$1:$1,0)-MATCH($B$1,[1]quests!$1:$1,0)+1),MATCH(E$1,[1]quests!$1:$1,0)-MATCH($B$1,[1]quests!$1:$1,0)+1,FALSE)</f>
        <v>雷雲からの刺客</v>
      </c>
      <c r="F14" s="4" t="str">
        <f ca="1">VLOOKUP($D14,OFFSET([1]stages!$A$1,0,0,COUNTA([1]stages!$A:$A),MATCH(F$1,[1]stages!$2:$2,0)-MATCH($D$1,[1]stages!$2:$2,0)+1),MATCH(F$1,[1]stages!$2:$2,0)-MATCH($D$1,[1]stages!$2:$2,0)+1,FALSE)</f>
        <v>【初級】雷雲からの刺客</v>
      </c>
      <c r="G14" s="26">
        <v>3</v>
      </c>
      <c r="H14" s="19" t="str">
        <f t="shared" si="10"/>
        <v>20004_1-3</v>
      </c>
      <c r="I14" s="42">
        <v>19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ティンク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24" t="str">
        <f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human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18</v>
      </c>
      <c r="P14" s="30">
        <v>1</v>
      </c>
      <c r="Q14" s="30">
        <v>0.9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3</v>
      </c>
      <c r="Y14" s="42">
        <v>19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1</v>
      </c>
      <c r="AD14" s="29">
        <f t="shared" ca="1" si="11"/>
        <v>1</v>
      </c>
      <c r="AE14" s="8">
        <v>25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8"/>
        <v>20004_1-3/31&lt;lv18&gt;s2</v>
      </c>
      <c r="B15" s="27">
        <v>20004</v>
      </c>
      <c r="C15" s="26">
        <v>1</v>
      </c>
      <c r="D15" s="2" t="str">
        <f t="shared" si="9"/>
        <v>20004_1</v>
      </c>
      <c r="E15" s="4" t="str">
        <f ca="1">VLOOKUP($B15,OFFSET([1]quests!$A$1,0,0,COUNTA([1]quests!$A:$A),MATCH(E$1,[1]quests!$1:$1,0)-MATCH($B$1,[1]quests!$1:$1,0)+1),MATCH(E$1,[1]quests!$1:$1,0)-MATCH($B$1,[1]quests!$1:$1,0)+1,FALSE)</f>
        <v>雷雲からの刺客</v>
      </c>
      <c r="F15" s="4" t="str">
        <f ca="1">VLOOKUP($D15,OFFSET([1]stages!$A$1,0,0,COUNTA([1]stages!$A:$A),MATCH(F$1,[1]stages!$2:$2,0)-MATCH($D$1,[1]stages!$2:$2,0)+1),MATCH(F$1,[1]stages!$2:$2,0)-MATCH($D$1,[1]stages!$2:$2,0)+1,FALSE)</f>
        <v>【初級】雷雲からの刺客</v>
      </c>
      <c r="G15" s="26">
        <v>3</v>
      </c>
      <c r="H15" s="19" t="str">
        <f t="shared" si="10"/>
        <v>20004_1-3</v>
      </c>
      <c r="I15" s="42">
        <v>31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マービー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yellow</v>
      </c>
      <c r="L15" s="24" t="str">
        <f>VLOOKUP(I15,[3]characters!$A:$J,10,FALSE)</f>
        <v>Drop1N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machine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18</v>
      </c>
      <c r="P15" s="30">
        <v>1</v>
      </c>
      <c r="Q15" s="30">
        <v>0.9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2">
        <v>31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5" s="7">
        <v>1</v>
      </c>
      <c r="AD15" s="29">
        <f t="shared" ca="1" si="11"/>
        <v>1</v>
      </c>
      <c r="AE15" s="8">
        <v>25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8"/>
        <v>20004_1-3/47&lt;lv18&gt;s1</v>
      </c>
      <c r="B16" s="27">
        <v>20004</v>
      </c>
      <c r="C16" s="26">
        <v>1</v>
      </c>
      <c r="D16" s="2" t="str">
        <f t="shared" si="9"/>
        <v>20004_1</v>
      </c>
      <c r="E16" s="4" t="str">
        <f ca="1">VLOOKUP($B16,OFFSET([1]quests!$A$1,0,0,COUNTA([1]quests!$A:$A),MATCH(E$1,[1]quests!$1:$1,0)-MATCH($B$1,[1]quests!$1:$1,0)+1),MATCH(E$1,[1]quests!$1:$1,0)-MATCH($B$1,[1]quests!$1:$1,0)+1,FALSE)</f>
        <v>雷雲からの刺客</v>
      </c>
      <c r="F16" s="4" t="str">
        <f ca="1">VLOOKUP($D16,OFFSET([1]stages!$A$1,0,0,COUNTA([1]stages!$A:$A),MATCH(F$1,[1]stages!$2:$2,0)-MATCH($D$1,[1]stages!$2:$2,0)+1),MATCH(F$1,[1]stages!$2:$2,0)-MATCH($D$1,[1]stages!$2:$2,0)+1,FALSE)</f>
        <v>【初級】雷雲からの刺客</v>
      </c>
      <c r="G16" s="26">
        <v>3</v>
      </c>
      <c r="H16" s="19" t="str">
        <f t="shared" si="10"/>
        <v>20004_1-3</v>
      </c>
      <c r="I16" s="42">
        <v>47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ヒロ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yellow</v>
      </c>
      <c r="L16" s="24" t="str">
        <f>VLOOKUP(I16,[3]characters!$A:$J,10,FALSE)</f>
        <v>Drop1N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18</v>
      </c>
      <c r="P16" s="30">
        <v>1</v>
      </c>
      <c r="Q16" s="30">
        <v>0.9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1</v>
      </c>
      <c r="Y16" s="42">
        <v>47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7">
        <v>1</v>
      </c>
      <c r="AD16" s="29">
        <f t="shared" ca="1" si="11"/>
        <v>2</v>
      </c>
      <c r="AE16" s="8">
        <v>25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ca="1">B17&amp;"_"&amp;C17&amp;"-"&amp;G17&amp;"/"&amp;I17&amp;"&lt;lv"&amp;O17&amp;"&gt;s"&amp;X17</f>
        <v>20004_1-4/7&lt;lv18&gt;s2</v>
      </c>
      <c r="B17" s="27">
        <v>20004</v>
      </c>
      <c r="C17" s="26">
        <v>1</v>
      </c>
      <c r="D17" s="2" t="str">
        <f>B17&amp;"_"&amp;C17</f>
        <v>20004_1</v>
      </c>
      <c r="E17" s="4" t="str">
        <f ca="1">VLOOKUP($B17,OFFSET([1]quests!$A$1,0,0,COUNTA([1]quests!$A:$A),MATCH(E$1,[1]quests!$1:$1,0)-MATCH($B$1,[1]quests!$1:$1,0)+1),MATCH(E$1,[1]quests!$1:$1,0)-MATCH($B$1,[1]quests!$1:$1,0)+1,FALSE)</f>
        <v>雷雲からの刺客</v>
      </c>
      <c r="F17" s="4" t="str">
        <f ca="1">VLOOKUP($D17,OFFSET([1]stages!$A$1,0,0,COUNTA([1]stages!$A:$A),MATCH(F$1,[1]stages!$2:$2,0)-MATCH($D$1,[1]stages!$2:$2,0)+1),MATCH(F$1,[1]stages!$2:$2,0)-MATCH($D$1,[1]stages!$2:$2,0)+1,FALSE)</f>
        <v>【初級】雷雲からの刺客</v>
      </c>
      <c r="G17" s="43">
        <v>4</v>
      </c>
      <c r="H17" s="19" t="str">
        <f>B17&amp;"_"&amp;C17&amp;"-"&amp;G17</f>
        <v>20004_1-4</v>
      </c>
      <c r="I17" s="41">
        <v>7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エレキポット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yellow</v>
      </c>
      <c r="L17" s="24" t="str">
        <f>VLOOKUP(I17,[3]characters!$A:$J,10,FALSE)</f>
        <v>Drop1T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unknown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18</v>
      </c>
      <c r="P17" s="30">
        <v>1</v>
      </c>
      <c r="Q17" s="30">
        <v>0.9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1">
        <v>7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7" s="7">
        <v>3</v>
      </c>
      <c r="AD17" s="29">
        <f ca="1">AA17</f>
        <v>1</v>
      </c>
      <c r="AE17" s="8">
        <v>25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ref="A18:A22" ca="1" si="12">B18&amp;"_"&amp;C18&amp;"-"&amp;G18&amp;"/"&amp;I18&amp;"&lt;lv"&amp;O18&amp;"&gt;s"&amp;X18</f>
        <v>20004_1-4/13&lt;lv18&gt;s2</v>
      </c>
      <c r="B18" s="27">
        <v>20004</v>
      </c>
      <c r="C18" s="26">
        <v>1</v>
      </c>
      <c r="D18" s="2" t="str">
        <f t="shared" ref="D18:D22" si="13">B18&amp;"_"&amp;C18</f>
        <v>20004_1</v>
      </c>
      <c r="E18" s="4" t="str">
        <f ca="1">VLOOKUP($B18,OFFSET([1]quests!$A$1,0,0,COUNTA([1]quests!$A:$A),MATCH(E$1,[1]quests!$1:$1,0)-MATCH($B$1,[1]quests!$1:$1,0)+1),MATCH(E$1,[1]quests!$1:$1,0)-MATCH($B$1,[1]quests!$1:$1,0)+1,FALSE)</f>
        <v>雷雲からの刺客</v>
      </c>
      <c r="F18" s="4" t="str">
        <f ca="1">VLOOKUP($D18,OFFSET([1]stages!$A$1,0,0,COUNTA([1]stages!$A:$A),MATCH(F$1,[1]stages!$2:$2,0)-MATCH($D$1,[1]stages!$2:$2,0)+1),MATCH(F$1,[1]stages!$2:$2,0)-MATCH($D$1,[1]stages!$2:$2,0)+1,FALSE)</f>
        <v>【初級】雷雲からの刺客</v>
      </c>
      <c r="G18" s="43">
        <v>4</v>
      </c>
      <c r="H18" s="19" t="str">
        <f t="shared" ref="H18:H22" si="14">B18&amp;"_"&amp;C18&amp;"-"&amp;G18</f>
        <v>20004_1-4</v>
      </c>
      <c r="I18" s="42">
        <v>13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ミミ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yellow</v>
      </c>
      <c r="L18" s="24" t="str">
        <f>VLOOKUP(I18,[3]characters!$A:$J,10,FALSE)</f>
        <v>Drop1W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5">
        <v>18</v>
      </c>
      <c r="P18" s="30">
        <v>1</v>
      </c>
      <c r="Q18" s="30">
        <v>0.9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6">
        <v>0</v>
      </c>
      <c r="V18" s="6">
        <v>100</v>
      </c>
      <c r="W18" s="6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2</v>
      </c>
      <c r="Y18" s="42">
        <v>13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7">
        <v>1</v>
      </c>
      <c r="AD18" s="29">
        <f t="shared" ref="AD18:AD22" ca="1" si="15">AA18</f>
        <v>1</v>
      </c>
      <c r="AE18" s="8">
        <v>25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12"/>
        <v>20004_1-4/19&lt;lv18&gt;s3</v>
      </c>
      <c r="B19" s="27">
        <v>20004</v>
      </c>
      <c r="C19" s="26">
        <v>1</v>
      </c>
      <c r="D19" s="2" t="str">
        <f t="shared" si="13"/>
        <v>20004_1</v>
      </c>
      <c r="E19" s="4" t="str">
        <f ca="1">VLOOKUP($B19,OFFSET([1]quests!$A$1,0,0,COUNTA([1]quests!$A:$A),MATCH(E$1,[1]quests!$1:$1,0)-MATCH($B$1,[1]quests!$1:$1,0)+1),MATCH(E$1,[1]quests!$1:$1,0)-MATCH($B$1,[1]quests!$1:$1,0)+1,FALSE)</f>
        <v>雷雲からの刺客</v>
      </c>
      <c r="F19" s="4" t="str">
        <f ca="1">VLOOKUP($D19,OFFSET([1]stages!$A$1,0,0,COUNTA([1]stages!$A:$A),MATCH(F$1,[1]stages!$2:$2,0)-MATCH($D$1,[1]stages!$2:$2,0)+1),MATCH(F$1,[1]stages!$2:$2,0)-MATCH($D$1,[1]stages!$2:$2,0)+1,FALSE)</f>
        <v>【初級】雷雲からの刺客</v>
      </c>
      <c r="G19" s="43">
        <v>4</v>
      </c>
      <c r="H19" s="19" t="str">
        <f t="shared" si="14"/>
        <v>20004_1-4</v>
      </c>
      <c r="I19" s="42">
        <v>19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ティンク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4" t="str">
        <f>VLOOKUP(I19,[3]characters!$A:$J,10,FALSE)</f>
        <v>Drop1W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human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18</v>
      </c>
      <c r="P19" s="30">
        <v>1</v>
      </c>
      <c r="Q19" s="30">
        <v>0.9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3</v>
      </c>
      <c r="Y19" s="42">
        <v>19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7">
        <v>1</v>
      </c>
      <c r="AD19" s="29">
        <f t="shared" ca="1" si="15"/>
        <v>1</v>
      </c>
      <c r="AE19" s="8">
        <v>25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12"/>
        <v>20004_1-4/31&lt;lv18&gt;s2</v>
      </c>
      <c r="B20" s="27">
        <v>20004</v>
      </c>
      <c r="C20" s="26">
        <v>1</v>
      </c>
      <c r="D20" s="2" t="str">
        <f t="shared" si="13"/>
        <v>20004_1</v>
      </c>
      <c r="E20" s="4" t="str">
        <f ca="1">VLOOKUP($B20,OFFSET([1]quests!$A$1,0,0,COUNTA([1]quests!$A:$A),MATCH(E$1,[1]quests!$1:$1,0)-MATCH($B$1,[1]quests!$1:$1,0)+1),MATCH(E$1,[1]quests!$1:$1,0)-MATCH($B$1,[1]quests!$1:$1,0)+1,FALSE)</f>
        <v>雷雲からの刺客</v>
      </c>
      <c r="F20" s="4" t="str">
        <f ca="1">VLOOKUP($D20,OFFSET([1]stages!$A$1,0,0,COUNTA([1]stages!$A:$A),MATCH(F$1,[1]stages!$2:$2,0)-MATCH($D$1,[1]stages!$2:$2,0)+1),MATCH(F$1,[1]stages!$2:$2,0)-MATCH($D$1,[1]stages!$2:$2,0)+1,FALSE)</f>
        <v>【初級】雷雲からの刺客</v>
      </c>
      <c r="G20" s="43">
        <v>4</v>
      </c>
      <c r="H20" s="19" t="str">
        <f t="shared" si="14"/>
        <v>20004_1-4</v>
      </c>
      <c r="I20" s="42">
        <v>31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マービー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yellow</v>
      </c>
      <c r="L20" s="24" t="str">
        <f>VLOOKUP(I20,[3]characters!$A:$J,10,FALSE)</f>
        <v>Drop1N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machine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18</v>
      </c>
      <c r="P20" s="30">
        <v>1</v>
      </c>
      <c r="Q20" s="30">
        <v>0.9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2</v>
      </c>
      <c r="Y20" s="42">
        <v>31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7">
        <v>1</v>
      </c>
      <c r="AD20" s="29">
        <f t="shared" ca="1" si="15"/>
        <v>1</v>
      </c>
      <c r="AE20" s="8">
        <v>25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12"/>
        <v>20004_1-4/47&lt;lv18&gt;s1</v>
      </c>
      <c r="B21" s="27">
        <v>20004</v>
      </c>
      <c r="C21" s="26">
        <v>1</v>
      </c>
      <c r="D21" s="2" t="str">
        <f t="shared" si="13"/>
        <v>20004_1</v>
      </c>
      <c r="E21" s="4" t="str">
        <f ca="1">VLOOKUP($B21,OFFSET([1]quests!$A$1,0,0,COUNTA([1]quests!$A:$A),MATCH(E$1,[1]quests!$1:$1,0)-MATCH($B$1,[1]quests!$1:$1,0)+1),MATCH(E$1,[1]quests!$1:$1,0)-MATCH($B$1,[1]quests!$1:$1,0)+1,FALSE)</f>
        <v>雷雲からの刺客</v>
      </c>
      <c r="F21" s="4" t="str">
        <f ca="1">VLOOKUP($D21,OFFSET([1]stages!$A$1,0,0,COUNTA([1]stages!$A:$A),MATCH(F$1,[1]stages!$2:$2,0)-MATCH($D$1,[1]stages!$2:$2,0)+1),MATCH(F$1,[1]stages!$2:$2,0)-MATCH($D$1,[1]stages!$2:$2,0)+1,FALSE)</f>
        <v>【初級】雷雲からの刺客</v>
      </c>
      <c r="G21" s="43">
        <v>4</v>
      </c>
      <c r="H21" s="19" t="str">
        <f t="shared" si="14"/>
        <v>20004_1-4</v>
      </c>
      <c r="I21" s="42">
        <v>47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ヒロ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yellow</v>
      </c>
      <c r="L21" s="24" t="str">
        <f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18</v>
      </c>
      <c r="P21" s="30">
        <v>1</v>
      </c>
      <c r="Q21" s="30">
        <v>0.9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1</v>
      </c>
      <c r="Y21" s="42">
        <v>47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1</v>
      </c>
      <c r="AD21" s="29">
        <f t="shared" ca="1" si="15"/>
        <v>2</v>
      </c>
      <c r="AE21" s="8">
        <v>25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12"/>
        <v>20004_1-5/268&lt;lv27&gt;s4</v>
      </c>
      <c r="B22" s="27">
        <v>20004</v>
      </c>
      <c r="C22" s="26">
        <v>1</v>
      </c>
      <c r="D22" s="2" t="str">
        <f t="shared" si="13"/>
        <v>20004_1</v>
      </c>
      <c r="E22" s="4" t="str">
        <f ca="1">VLOOKUP($B22,OFFSET([1]quests!$A$1,0,0,COUNTA([1]quests!$A:$A),MATCH(E$1,[1]quests!$1:$1,0)-MATCH($B$1,[1]quests!$1:$1,0)+1),MATCH(E$1,[1]quests!$1:$1,0)-MATCH($B$1,[1]quests!$1:$1,0)+1,FALSE)</f>
        <v>雷雲からの刺客</v>
      </c>
      <c r="F22" s="4" t="str">
        <f ca="1">VLOOKUP($D22,OFFSET([1]stages!$A$1,0,0,COUNTA([1]stages!$A:$A),MATCH(F$1,[1]stages!$2:$2,0)-MATCH($D$1,[1]stages!$2:$2,0)+1),MATCH(F$1,[1]stages!$2:$2,0)-MATCH($D$1,[1]stages!$2:$2,0)+1,FALSE)</f>
        <v>【初級】雷雲からの刺客</v>
      </c>
      <c r="G22" s="45">
        <v>5</v>
      </c>
      <c r="H22" s="19" t="str">
        <f t="shared" si="14"/>
        <v>20004_1-5</v>
      </c>
      <c r="I22" s="42">
        <v>268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鵺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yellow</v>
      </c>
      <c r="L22" s="24" t="str">
        <f>VLOOKUP(I22,[3]characters!$A:$J,10,FALSE)</f>
        <v>Drop2W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animal</v>
      </c>
      <c r="N22" s="23">
        <f ca="1">VLOOKUP($I22,OFFSET([2]enemies!$A$1,0,0,COUNTA([2]enemies!$A:$A),MATCH(N$1,[2]enemies!$1:$1,0)-MATCH($I$1,[2]enemies!$1:$1,0)+1),MATCH(N$1,[2]enemies!$1:$1,0)-MATCH($I$1,[2]enemies!$1:$1,0)+1,FALSE)</f>
        <v>20</v>
      </c>
      <c r="O22" s="5">
        <v>27</v>
      </c>
      <c r="P22" s="30">
        <v>3</v>
      </c>
      <c r="Q22" s="30">
        <v>1.6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1</v>
      </c>
      <c r="V22" s="6">
        <v>100</v>
      </c>
      <c r="W22" s="6">
        <v>1</v>
      </c>
      <c r="X22" s="23">
        <f ca="1">VLOOKUP($I22,OFFSET([2]enemies!$A$1,0,0,COUNTA([2]enemies!$A:$A),MATCH(X$1,[2]enemies!$1:$1,0)-MATCH($I$1,[2]enemies!$1:$1,0)+1),MATCH(X$1,[2]enemies!$1:$1,0)-MATCH($I$1,[2]enemies!$1:$1,0)+1,FALSE)</f>
        <v>4</v>
      </c>
      <c r="Y22" s="42">
        <v>268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鵺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3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2" s="7">
        <v>1</v>
      </c>
      <c r="AD22" s="29">
        <f t="shared" ca="1" si="15"/>
        <v>3</v>
      </c>
      <c r="AE22" s="48">
        <v>20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ca="1">B23&amp;"_"&amp;C23&amp;"-"&amp;G23&amp;"/"&amp;I23&amp;"&lt;lv"&amp;O23&amp;"&gt;s"&amp;X23</f>
        <v>20004_2-1/8&lt;lv26&gt;s2</v>
      </c>
      <c r="B23" s="27">
        <v>20004</v>
      </c>
      <c r="C23" s="26">
        <v>2</v>
      </c>
      <c r="D23" s="2" t="str">
        <f>B23&amp;"_"&amp;C23</f>
        <v>20004_2</v>
      </c>
      <c r="E23" s="4" t="str">
        <f ca="1">VLOOKUP($B23,OFFSET([1]quests!$A$1,0,0,COUNTA([1]quests!$A:$A),MATCH(E$1,[1]quests!$1:$1,0)-MATCH($B$1,[1]quests!$1:$1,0)+1),MATCH(E$1,[1]quests!$1:$1,0)-MATCH($B$1,[1]quests!$1:$1,0)+1,FALSE)</f>
        <v>雷雲からの刺客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【中級】雷雲からの刺客</v>
      </c>
      <c r="G23" s="26">
        <v>1</v>
      </c>
      <c r="H23" s="19" t="str">
        <f>B23&amp;"_"&amp;C23&amp;"-"&amp;G23</f>
        <v>20004_2-1</v>
      </c>
      <c r="I23" s="41">
        <v>8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ハイボルテージ エレキポット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>VLOOKUP(I23,[3]characters!$A:$J,10,FALSE)</f>
        <v>Drop1T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unknown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26</v>
      </c>
      <c r="P23" s="30">
        <v>1.4</v>
      </c>
      <c r="Q23" s="30">
        <v>1.1000000000000001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41">
        <v>7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3" s="7">
        <v>5</v>
      </c>
      <c r="AD23" s="29">
        <f ca="1">AA23</f>
        <v>1</v>
      </c>
      <c r="AE23" s="8">
        <v>15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ref="A24:A27" ca="1" si="16">B24&amp;"_"&amp;C24&amp;"-"&amp;G24&amp;"/"&amp;I24&amp;"&lt;lv"&amp;O24&amp;"&gt;s"&amp;X24</f>
        <v>20004_2-1/13&lt;lv26&gt;s2</v>
      </c>
      <c r="B24" s="27">
        <v>20004</v>
      </c>
      <c r="C24" s="26">
        <v>2</v>
      </c>
      <c r="D24" s="2" t="str">
        <f t="shared" ref="D24:D27" si="17">B24&amp;"_"&amp;C24</f>
        <v>20004_2</v>
      </c>
      <c r="E24" s="4" t="str">
        <f ca="1">VLOOKUP($B24,OFFSET([1]quests!$A$1,0,0,COUNTA([1]quests!$A:$A),MATCH(E$1,[1]quests!$1:$1,0)-MATCH($B$1,[1]quests!$1:$1,0)+1),MATCH(E$1,[1]quests!$1:$1,0)-MATCH($B$1,[1]quests!$1:$1,0)+1,FALSE)</f>
        <v>雷雲からの刺客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【中級】雷雲からの刺客</v>
      </c>
      <c r="G24" s="26">
        <v>1</v>
      </c>
      <c r="H24" s="19" t="str">
        <f t="shared" ref="H24:H27" si="18">B24&amp;"_"&amp;C24&amp;"-"&amp;G24</f>
        <v>20004_2-1</v>
      </c>
      <c r="I24" s="42">
        <v>13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ミミ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yellow</v>
      </c>
      <c r="L24" s="24" t="str">
        <f>VLOOKUP(I24,[3]characters!$A:$J,10,FALSE)</f>
        <v>Drop1W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26</v>
      </c>
      <c r="P24" s="30">
        <v>1.4</v>
      </c>
      <c r="Q24" s="30">
        <v>1.1000000000000001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3">
        <f ca="1">VLOOKUP($I24,OFFSET([2]enemies!$A$1,0,0,COUNTA([2]enemies!$A:$A),MATCH(T$1,[2]enemies!$1:$1,0)-MATCH($I$1,[2]enemies!$1:$1,0)+1),MATCH(T$1,[2]enemies!$1:$1,0)-MATCH($I$1,[2]enemies!$1:$1,0)+1,FALSE)</f>
        <v>0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2</v>
      </c>
      <c r="Y24" s="42">
        <v>13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1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4" s="7">
        <v>4</v>
      </c>
      <c r="AD24" s="29">
        <f t="shared" ref="AD24:AD27" ca="1" si="19">AA24</f>
        <v>1</v>
      </c>
      <c r="AE24" s="8">
        <v>15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16"/>
        <v>20004_2-1/19&lt;lv26&gt;s3</v>
      </c>
      <c r="B25" s="27">
        <v>20004</v>
      </c>
      <c r="C25" s="26">
        <v>2</v>
      </c>
      <c r="D25" s="2" t="str">
        <f t="shared" si="17"/>
        <v>20004_2</v>
      </c>
      <c r="E25" s="4" t="str">
        <f ca="1">VLOOKUP($B25,OFFSET([1]quests!$A$1,0,0,COUNTA([1]quests!$A:$A),MATCH(E$1,[1]quests!$1:$1,0)-MATCH($B$1,[1]quests!$1:$1,0)+1),MATCH(E$1,[1]quests!$1:$1,0)-MATCH($B$1,[1]quests!$1:$1,0)+1,FALSE)</f>
        <v>雷雲からの刺客</v>
      </c>
      <c r="F25" s="4" t="str">
        <f ca="1">VLOOKUP($D25,OFFSET([1]stages!$A$1,0,0,COUNTA([1]stages!$A:$A),MATCH(F$1,[1]stages!$2:$2,0)-MATCH($D$1,[1]stages!$2:$2,0)+1),MATCH(F$1,[1]stages!$2:$2,0)-MATCH($D$1,[1]stages!$2:$2,0)+1,FALSE)</f>
        <v>【中級】雷雲からの刺客</v>
      </c>
      <c r="G25" s="26">
        <v>1</v>
      </c>
      <c r="H25" s="19" t="str">
        <f t="shared" si="18"/>
        <v>20004_2-1</v>
      </c>
      <c r="I25" s="42">
        <v>19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ティンク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yellow</v>
      </c>
      <c r="L25" s="24" t="str">
        <f>VLOOKUP(I25,[3]characters!$A:$J,10,FALSE)</f>
        <v>Drop1W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human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26</v>
      </c>
      <c r="P25" s="30">
        <v>1.4</v>
      </c>
      <c r="Q25" s="30">
        <v>1.1000000000000001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3</v>
      </c>
      <c r="Y25" s="42">
        <v>19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5" s="7">
        <v>4</v>
      </c>
      <c r="AD25" s="29">
        <f t="shared" ca="1" si="19"/>
        <v>1</v>
      </c>
      <c r="AE25" s="8">
        <v>15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16"/>
        <v>20004_2-1/47&lt;lv26&gt;s1</v>
      </c>
      <c r="B26" s="27">
        <v>20004</v>
      </c>
      <c r="C26" s="26">
        <v>2</v>
      </c>
      <c r="D26" s="2" t="str">
        <f t="shared" si="17"/>
        <v>20004_2</v>
      </c>
      <c r="E26" s="4" t="str">
        <f ca="1">VLOOKUP($B26,OFFSET([1]quests!$A$1,0,0,COUNTA([1]quests!$A:$A),MATCH(E$1,[1]quests!$1:$1,0)-MATCH($B$1,[1]quests!$1:$1,0)+1),MATCH(E$1,[1]quests!$1:$1,0)-MATCH($B$1,[1]quests!$1:$1,0)+1,FALSE)</f>
        <v>雷雲からの刺客</v>
      </c>
      <c r="F26" s="4" t="str">
        <f ca="1">VLOOKUP($D26,OFFSET([1]stages!$A$1,0,0,COUNTA([1]stages!$A:$A),MATCH(F$1,[1]stages!$2:$2,0)-MATCH($D$1,[1]stages!$2:$2,0)+1),MATCH(F$1,[1]stages!$2:$2,0)-MATCH($D$1,[1]stages!$2:$2,0)+1,FALSE)</f>
        <v>【中級】雷雲からの刺客</v>
      </c>
      <c r="G26" s="26">
        <v>1</v>
      </c>
      <c r="H26" s="19" t="str">
        <f t="shared" si="18"/>
        <v>20004_2-1</v>
      </c>
      <c r="I26" s="42">
        <v>47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ヒロ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yellow</v>
      </c>
      <c r="L26" s="24" t="str">
        <f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animal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26</v>
      </c>
      <c r="P26" s="30">
        <v>1.4</v>
      </c>
      <c r="Q26" s="30">
        <v>1.1000000000000001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1</v>
      </c>
      <c r="Y26" s="42">
        <v>47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2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2</v>
      </c>
      <c r="AD26" s="29">
        <f t="shared" ca="1" si="19"/>
        <v>2</v>
      </c>
      <c r="AE26" s="8">
        <v>15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16"/>
        <v>20004_2-1/63&lt;lv26&gt;s2</v>
      </c>
      <c r="B27" s="27">
        <v>20004</v>
      </c>
      <c r="C27" s="26">
        <v>2</v>
      </c>
      <c r="D27" s="2" t="str">
        <f t="shared" si="17"/>
        <v>20004_2</v>
      </c>
      <c r="E27" s="4" t="str">
        <f ca="1">VLOOKUP($B27,OFFSET([1]quests!$A$1,0,0,COUNTA([1]quests!$A:$A),MATCH(E$1,[1]quests!$1:$1,0)-MATCH($B$1,[1]quests!$1:$1,0)+1),MATCH(E$1,[1]quests!$1:$1,0)-MATCH($B$1,[1]quests!$1:$1,0)+1,FALSE)</f>
        <v>雷雲からの刺客</v>
      </c>
      <c r="F27" s="4" t="str">
        <f ca="1">VLOOKUP($D27,OFFSET([1]stages!$A$1,0,0,COUNTA([1]stages!$A:$A),MATCH(F$1,[1]stages!$2:$2,0)-MATCH($D$1,[1]stages!$2:$2,0)+1),MATCH(F$1,[1]stages!$2:$2,0)-MATCH($D$1,[1]stages!$2:$2,0)+1,FALSE)</f>
        <v>【中級】雷雲からの刺客</v>
      </c>
      <c r="G27" s="26">
        <v>1</v>
      </c>
      <c r="H27" s="19" t="str">
        <f t="shared" si="18"/>
        <v>20004_2-1</v>
      </c>
      <c r="I27" s="42">
        <v>63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トニー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yellow</v>
      </c>
      <c r="L27" s="24" t="str">
        <f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animal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26</v>
      </c>
      <c r="P27" s="30">
        <v>1.4</v>
      </c>
      <c r="Q27" s="30">
        <v>1.1000000000000001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7" s="23">
        <f ca="1">VLOOKUP($I27,OFFSET([2]enemies!$A$1,0,0,COUNTA([2]enemies!$A:$A),MATCH(T$1,[2]enemies!$1:$1,0)-MATCH($I$1,[2]enemies!$1:$1,0)+1),MATCH(T$1,[2]enemies!$1:$1,0)-MATCH($I$1,[2]enemies!$1:$1,0)+1,FALSE)</f>
        <v>63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2</v>
      </c>
      <c r="Y27" s="42">
        <v>63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7">
        <v>2</v>
      </c>
      <c r="AD27" s="29">
        <f t="shared" ca="1" si="19"/>
        <v>2</v>
      </c>
      <c r="AE27" s="8">
        <v>15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ref="A28" ca="1" si="20">B28&amp;"_"&amp;C28&amp;"-"&amp;G28&amp;"/"&amp;I28&amp;"&lt;lv"&amp;O28&amp;"&gt;s"&amp;X28</f>
        <v>20004_2-1/345&lt;lv5&gt;s2</v>
      </c>
      <c r="B28" s="27">
        <v>20004</v>
      </c>
      <c r="C28" s="26">
        <v>2</v>
      </c>
      <c r="D28" s="2" t="str">
        <f t="shared" ref="D28" si="21">B28&amp;"_"&amp;C28</f>
        <v>20004_2</v>
      </c>
      <c r="E28" s="4" t="str">
        <f ca="1">VLOOKUP($B28,OFFSET([1]quests!$A$1,0,0,COUNTA([1]quests!$A:$A),MATCH(E$1,[1]quests!$1:$1,0)-MATCH($B$1,[1]quests!$1:$1,0)+1),MATCH(E$1,[1]quests!$1:$1,0)-MATCH($B$1,[1]quests!$1:$1,0)+1,FALSE)</f>
        <v>雷雲からの刺客</v>
      </c>
      <c r="F28" s="4" t="str">
        <f ca="1">VLOOKUP($D28,OFFSET([1]stages!$A$1,0,0,COUNTA([1]stages!$A:$A),MATCH(F$1,[1]stages!$2:$2,0)-MATCH($D$1,[1]stages!$2:$2,0)+1),MATCH(F$1,[1]stages!$2:$2,0)-MATCH($D$1,[1]stages!$2:$2,0)+1,FALSE)</f>
        <v>【中級】雷雲からの刺客</v>
      </c>
      <c r="G28" s="26">
        <v>1</v>
      </c>
      <c r="H28" s="19" t="str">
        <f t="shared" ref="H28" si="22">B28&amp;"_"&amp;C28&amp;"-"&amp;G28</f>
        <v>20004_2-1</v>
      </c>
      <c r="I28" s="44">
        <v>345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雷のメタルチック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>VLOOKUP(I28,[3]characters!$A:$J,10,FALSE)</f>
        <v>Material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unknown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5</v>
      </c>
      <c r="P28" s="30">
        <v>0.5</v>
      </c>
      <c r="Q28" s="30">
        <v>1.1000000000000001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1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2">
        <v>345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雷のメタルチック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4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8" s="7">
        <v>1</v>
      </c>
      <c r="AD28" s="29">
        <f t="shared" ref="AD28" ca="1" si="23">AA28</f>
        <v>4</v>
      </c>
      <c r="AE28" s="8">
        <v>3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ref="A29" ca="1" si="24">B29&amp;"_"&amp;C29&amp;"-"&amp;G29&amp;"/"&amp;I29&amp;"&lt;lv"&amp;O29&amp;"&gt;s"&amp;X29</f>
        <v>20004_2-1/118&lt;lv26&gt;s2</v>
      </c>
      <c r="B29" s="27">
        <v>20004</v>
      </c>
      <c r="C29" s="26">
        <v>2</v>
      </c>
      <c r="D29" s="2" t="str">
        <f t="shared" ref="D29" si="25">B29&amp;"_"&amp;C29</f>
        <v>20004_2</v>
      </c>
      <c r="E29" s="4" t="str">
        <f ca="1">VLOOKUP($B29,OFFSET([1]quests!$A$1,0,0,COUNTA([1]quests!$A:$A),MATCH(E$1,[1]quests!$1:$1,0)-MATCH($B$1,[1]quests!$1:$1,0)+1),MATCH(E$1,[1]quests!$1:$1,0)-MATCH($B$1,[1]quests!$1:$1,0)+1,FALSE)</f>
        <v>雷雲からの刺客</v>
      </c>
      <c r="F29" s="4" t="str">
        <f ca="1">VLOOKUP($D29,OFFSET([1]stages!$A$1,0,0,COUNTA([1]stages!$A:$A),MATCH(F$1,[1]stages!$2:$2,0)-MATCH($D$1,[1]stages!$2:$2,0)+1),MATCH(F$1,[1]stages!$2:$2,0)-MATCH($D$1,[1]stages!$2:$2,0)+1,FALSE)</f>
        <v>【中級】雷雲からの刺客</v>
      </c>
      <c r="G29" s="26">
        <v>1</v>
      </c>
      <c r="H29" s="19" t="str">
        <f t="shared" ref="H29" si="26">B29&amp;"_"&amp;C29&amp;"-"&amp;G29</f>
        <v>20004_2-1</v>
      </c>
      <c r="I29" s="44">
        <v>118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ゴールドチック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yellow</v>
      </c>
      <c r="L29" s="24" t="str">
        <f>VLOOKUP(I29,[3]characters!$A:$J,10,FALSE)</f>
        <v>Material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unknown</v>
      </c>
      <c r="N29" s="23">
        <f ca="1">VLOOKUP($I29,OFFSET([2]enemies!$A$1,0,0,COUNTA([2]enemies!$A:$A),MATCH(N$1,[2]enemies!$1:$1,0)-MATCH($I$1,[2]enemies!$1:$1,0)+1),MATCH(N$1,[2]enemies!$1:$1,0)-MATCH($I$1,[2]enemies!$1:$1,0)+1,FALSE)</f>
        <v>15</v>
      </c>
      <c r="O29" s="5">
        <v>26</v>
      </c>
      <c r="P29" s="30">
        <v>1.4</v>
      </c>
      <c r="Q29" s="30">
        <v>1.1000000000000001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3">
        <f ca="1">VLOOKUP($I29,OFFSET([2]enemies!$A$1,0,0,COUNTA([2]enemies!$A:$A),MATCH(T$1,[2]enemies!$1:$1,0)-MATCH($I$1,[2]enemies!$1:$1,0)+1),MATCH(T$1,[2]enemies!$1:$1,0)-MATCH($I$1,[2]enemies!$1:$1,0)+1,FALSE)</f>
        <v>0</v>
      </c>
      <c r="U29" s="6">
        <v>0</v>
      </c>
      <c r="V29" s="6">
        <v>30</v>
      </c>
      <c r="W29" s="6">
        <v>0</v>
      </c>
      <c r="X29" s="23">
        <f ca="1">VLOOKUP($I29,OFFSET([2]enemies!$A$1,0,0,COUNTA([2]enemies!$A:$A),MATCH(X$1,[2]enemies!$1:$1,0)-MATCH($I$1,[2]enemies!$1:$1,0)+1),MATCH(X$1,[2]enemies!$1:$1,0)-MATCH($I$1,[2]enemies!$1:$1,0)+1,FALSE)</f>
        <v>2</v>
      </c>
      <c r="Y29" s="42">
        <v>118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4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9" s="7">
        <v>1</v>
      </c>
      <c r="AD29" s="29">
        <f t="shared" ref="AD29" ca="1" si="27">AA29</f>
        <v>4</v>
      </c>
      <c r="AE29" s="8">
        <v>10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ca="1">B30&amp;"_"&amp;C30&amp;"-"&amp;G30&amp;"/"&amp;I30&amp;"&lt;lv"&amp;O30&amp;"&gt;s"&amp;X30</f>
        <v>20004_2-2/8&lt;lv26&gt;s2</v>
      </c>
      <c r="B30" s="27">
        <v>20004</v>
      </c>
      <c r="C30" s="26">
        <v>2</v>
      </c>
      <c r="D30" s="2" t="str">
        <f>B30&amp;"_"&amp;C30</f>
        <v>20004_2</v>
      </c>
      <c r="E30" s="4" t="str">
        <f ca="1">VLOOKUP($B30,OFFSET([1]quests!$A$1,0,0,COUNTA([1]quests!$A:$A),MATCH(E$1,[1]quests!$1:$1,0)-MATCH($B$1,[1]quests!$1:$1,0)+1),MATCH(E$1,[1]quests!$1:$1,0)-MATCH($B$1,[1]quests!$1:$1,0)+1,FALSE)</f>
        <v>雷雲からの刺客</v>
      </c>
      <c r="F30" s="4" t="str">
        <f ca="1">VLOOKUP($D30,OFFSET([1]stages!$A$1,0,0,COUNTA([1]stages!$A:$A),MATCH(F$1,[1]stages!$2:$2,0)-MATCH($D$1,[1]stages!$2:$2,0)+1),MATCH(F$1,[1]stages!$2:$2,0)-MATCH($D$1,[1]stages!$2:$2,0)+1,FALSE)</f>
        <v>【中級】雷雲からの刺客</v>
      </c>
      <c r="G30" s="43">
        <v>2</v>
      </c>
      <c r="H30" s="19" t="str">
        <f>B30&amp;"_"&amp;C30&amp;"-"&amp;G30</f>
        <v>20004_2-2</v>
      </c>
      <c r="I30" s="41">
        <v>8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ハイボルテージ エレキポット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yellow</v>
      </c>
      <c r="L30" s="24" t="str">
        <f>VLOOKUP(I30,[3]characters!$A:$J,10,FALSE)</f>
        <v>Drop1T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unknown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26</v>
      </c>
      <c r="P30" s="30">
        <v>1.4</v>
      </c>
      <c r="Q30" s="30">
        <v>1.1000000000000001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6">
        <v>0</v>
      </c>
      <c r="V30" s="6">
        <v>100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2</v>
      </c>
      <c r="Y30" s="41">
        <v>7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1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30" s="7">
        <v>5</v>
      </c>
      <c r="AD30" s="29">
        <f ca="1">AA30</f>
        <v>1</v>
      </c>
      <c r="AE30" s="8">
        <v>15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ref="A31:A35" ca="1" si="28">B31&amp;"_"&amp;C31&amp;"-"&amp;G31&amp;"/"&amp;I31&amp;"&lt;lv"&amp;O31&amp;"&gt;s"&amp;X31</f>
        <v>20004_2-2/13&lt;lv26&gt;s2</v>
      </c>
      <c r="B31" s="27">
        <v>20004</v>
      </c>
      <c r="C31" s="26">
        <v>2</v>
      </c>
      <c r="D31" s="2" t="str">
        <f t="shared" ref="D31:D35" si="29">B31&amp;"_"&amp;C31</f>
        <v>20004_2</v>
      </c>
      <c r="E31" s="4" t="str">
        <f ca="1">VLOOKUP($B31,OFFSET([1]quests!$A$1,0,0,COUNTA([1]quests!$A:$A),MATCH(E$1,[1]quests!$1:$1,0)-MATCH($B$1,[1]quests!$1:$1,0)+1),MATCH(E$1,[1]quests!$1:$1,0)-MATCH($B$1,[1]quests!$1:$1,0)+1,FALSE)</f>
        <v>雷雲からの刺客</v>
      </c>
      <c r="F31" s="4" t="str">
        <f ca="1">VLOOKUP($D31,OFFSET([1]stages!$A$1,0,0,COUNTA([1]stages!$A:$A),MATCH(F$1,[1]stages!$2:$2,0)-MATCH($D$1,[1]stages!$2:$2,0)+1),MATCH(F$1,[1]stages!$2:$2,0)-MATCH($D$1,[1]stages!$2:$2,0)+1,FALSE)</f>
        <v>【中級】雷雲からの刺客</v>
      </c>
      <c r="G31" s="43">
        <v>2</v>
      </c>
      <c r="H31" s="19" t="str">
        <f t="shared" ref="H31:H35" si="30">B31&amp;"_"&amp;C31&amp;"-"&amp;G31</f>
        <v>20004_2-2</v>
      </c>
      <c r="I31" s="42">
        <v>13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ミミ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yellow</v>
      </c>
      <c r="L31" s="24" t="str">
        <f>VLOOKUP(I31,[3]characters!$A:$J,10,FALSE)</f>
        <v>Drop1W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animal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26</v>
      </c>
      <c r="P31" s="30">
        <v>1.4</v>
      </c>
      <c r="Q31" s="30">
        <v>1.1000000000000001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42">
        <v>13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1" s="7">
        <v>4</v>
      </c>
      <c r="AD31" s="29">
        <f t="shared" ref="AD31:AD35" ca="1" si="31">AA31</f>
        <v>1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28"/>
        <v>20004_2-2/19&lt;lv26&gt;s3</v>
      </c>
      <c r="B32" s="27">
        <v>20004</v>
      </c>
      <c r="C32" s="26">
        <v>2</v>
      </c>
      <c r="D32" s="2" t="str">
        <f t="shared" si="29"/>
        <v>20004_2</v>
      </c>
      <c r="E32" s="4" t="str">
        <f ca="1">VLOOKUP($B32,OFFSET([1]quests!$A$1,0,0,COUNTA([1]quests!$A:$A),MATCH(E$1,[1]quests!$1:$1,0)-MATCH($B$1,[1]quests!$1:$1,0)+1),MATCH(E$1,[1]quests!$1:$1,0)-MATCH($B$1,[1]quests!$1:$1,0)+1,FALSE)</f>
        <v>雷雲からの刺客</v>
      </c>
      <c r="F32" s="4" t="str">
        <f ca="1">VLOOKUP($D32,OFFSET([1]stages!$A$1,0,0,COUNTA([1]stages!$A:$A),MATCH(F$1,[1]stages!$2:$2,0)-MATCH($D$1,[1]stages!$2:$2,0)+1),MATCH(F$1,[1]stages!$2:$2,0)-MATCH($D$1,[1]stages!$2:$2,0)+1,FALSE)</f>
        <v>【中級】雷雲からの刺客</v>
      </c>
      <c r="G32" s="43">
        <v>2</v>
      </c>
      <c r="H32" s="19" t="str">
        <f t="shared" si="30"/>
        <v>20004_2-2</v>
      </c>
      <c r="I32" s="42">
        <v>19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ティンク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yellow</v>
      </c>
      <c r="L32" s="24" t="str">
        <f>VLOOKUP(I32,[3]characters!$A:$J,10,FALSE)</f>
        <v>Drop1W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human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26</v>
      </c>
      <c r="P32" s="30">
        <v>1.4</v>
      </c>
      <c r="Q32" s="30">
        <v>1.1000000000000001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3</v>
      </c>
      <c r="Y32" s="42">
        <v>19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2" s="7">
        <v>4</v>
      </c>
      <c r="AD32" s="29">
        <f t="shared" ca="1" si="31"/>
        <v>1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28"/>
        <v>20004_2-2/47&lt;lv26&gt;s1</v>
      </c>
      <c r="B33" s="27">
        <v>20004</v>
      </c>
      <c r="C33" s="26">
        <v>2</v>
      </c>
      <c r="D33" s="2" t="str">
        <f t="shared" si="29"/>
        <v>20004_2</v>
      </c>
      <c r="E33" s="4" t="str">
        <f ca="1">VLOOKUP($B33,OFFSET([1]quests!$A$1,0,0,COUNTA([1]quests!$A:$A),MATCH(E$1,[1]quests!$1:$1,0)-MATCH($B$1,[1]quests!$1:$1,0)+1),MATCH(E$1,[1]quests!$1:$1,0)-MATCH($B$1,[1]quests!$1:$1,0)+1,FALSE)</f>
        <v>雷雲からの刺客</v>
      </c>
      <c r="F33" s="4" t="str">
        <f ca="1">VLOOKUP($D33,OFFSET([1]stages!$A$1,0,0,COUNTA([1]stages!$A:$A),MATCH(F$1,[1]stages!$2:$2,0)-MATCH($D$1,[1]stages!$2:$2,0)+1),MATCH(F$1,[1]stages!$2:$2,0)-MATCH($D$1,[1]stages!$2:$2,0)+1,FALSE)</f>
        <v>【中級】雷雲からの刺客</v>
      </c>
      <c r="G33" s="43">
        <v>2</v>
      </c>
      <c r="H33" s="19" t="str">
        <f t="shared" si="30"/>
        <v>20004_2-2</v>
      </c>
      <c r="I33" s="42">
        <v>47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ヒロ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yellow</v>
      </c>
      <c r="L33" s="24" t="str">
        <f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animal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26</v>
      </c>
      <c r="P33" s="30">
        <v>1.4</v>
      </c>
      <c r="Q33" s="30">
        <v>1.1000000000000001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1</v>
      </c>
      <c r="Y33" s="42">
        <v>47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2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7">
        <v>2</v>
      </c>
      <c r="AD33" s="29">
        <f t="shared" ca="1" si="31"/>
        <v>2</v>
      </c>
      <c r="AE33" s="8">
        <v>15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28"/>
        <v>20004_2-2/63&lt;lv26&gt;s2</v>
      </c>
      <c r="B34" s="27">
        <v>20004</v>
      </c>
      <c r="C34" s="26">
        <v>2</v>
      </c>
      <c r="D34" s="2" t="str">
        <f t="shared" si="29"/>
        <v>20004_2</v>
      </c>
      <c r="E34" s="4" t="str">
        <f ca="1">VLOOKUP($B34,OFFSET([1]quests!$A$1,0,0,COUNTA([1]quests!$A:$A),MATCH(E$1,[1]quests!$1:$1,0)-MATCH($B$1,[1]quests!$1:$1,0)+1),MATCH(E$1,[1]quests!$1:$1,0)-MATCH($B$1,[1]quests!$1:$1,0)+1,FALSE)</f>
        <v>雷雲からの刺客</v>
      </c>
      <c r="F34" s="4" t="str">
        <f ca="1">VLOOKUP($D34,OFFSET([1]stages!$A$1,0,0,COUNTA([1]stages!$A:$A),MATCH(F$1,[1]stages!$2:$2,0)-MATCH($D$1,[1]stages!$2:$2,0)+1),MATCH(F$1,[1]stages!$2:$2,0)-MATCH($D$1,[1]stages!$2:$2,0)+1,FALSE)</f>
        <v>【中級】雷雲からの刺客</v>
      </c>
      <c r="G34" s="43">
        <v>2</v>
      </c>
      <c r="H34" s="19" t="str">
        <f t="shared" si="30"/>
        <v>20004_2-2</v>
      </c>
      <c r="I34" s="42">
        <v>63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トニー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animal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26</v>
      </c>
      <c r="P34" s="30">
        <v>1.4</v>
      </c>
      <c r="Q34" s="30">
        <v>1.1000000000000001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4" s="23">
        <f ca="1">VLOOKUP($I34,OFFSET([2]enemies!$A$1,0,0,COUNTA([2]enemies!$A:$A),MATCH(T$1,[2]enemies!$1:$1,0)-MATCH($I$1,[2]enemies!$1:$1,0)+1),MATCH(T$1,[2]enemies!$1:$1,0)-MATCH($I$1,[2]enemies!$1:$1,0)+1,FALSE)</f>
        <v>63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2">
        <v>63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2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2</v>
      </c>
      <c r="AD34" s="29">
        <f t="shared" ca="1" si="31"/>
        <v>2</v>
      </c>
      <c r="AE34" s="8">
        <v>15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ca="1" si="28"/>
        <v>20004_2-2/118&lt;lv26&gt;s2</v>
      </c>
      <c r="B35" s="27">
        <v>20004</v>
      </c>
      <c r="C35" s="26">
        <v>2</v>
      </c>
      <c r="D35" s="2" t="str">
        <f t="shared" si="29"/>
        <v>20004_2</v>
      </c>
      <c r="E35" s="4" t="str">
        <f ca="1">VLOOKUP($B35,OFFSET([1]quests!$A$1,0,0,COUNTA([1]quests!$A:$A),MATCH(E$1,[1]quests!$1:$1,0)-MATCH($B$1,[1]quests!$1:$1,0)+1),MATCH(E$1,[1]quests!$1:$1,0)-MATCH($B$1,[1]quests!$1:$1,0)+1,FALSE)</f>
        <v>雷雲からの刺客</v>
      </c>
      <c r="F35" s="4" t="str">
        <f ca="1">VLOOKUP($D35,OFFSET([1]stages!$A$1,0,0,COUNTA([1]stages!$A:$A),MATCH(F$1,[1]stages!$2:$2,0)-MATCH($D$1,[1]stages!$2:$2,0)+1),MATCH(F$1,[1]stages!$2:$2,0)-MATCH($D$1,[1]stages!$2:$2,0)+1,FALSE)</f>
        <v>【中級】雷雲からの刺客</v>
      </c>
      <c r="G35" s="43">
        <v>2</v>
      </c>
      <c r="H35" s="19" t="str">
        <f t="shared" si="30"/>
        <v>20004_2-2</v>
      </c>
      <c r="I35" s="44">
        <v>118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ゴールドチック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yellow</v>
      </c>
      <c r="L35" s="24" t="str">
        <f>VLOOKUP(I35,[3]characters!$A:$J,10,FALSE)</f>
        <v>Material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unknown</v>
      </c>
      <c r="N35" s="23">
        <f ca="1">VLOOKUP($I35,OFFSET([2]enemies!$A$1,0,0,COUNTA([2]enemies!$A:$A),MATCH(N$1,[2]enemies!$1:$1,0)-MATCH($I$1,[2]enemies!$1:$1,0)+1),MATCH(N$1,[2]enemies!$1:$1,0)-MATCH($I$1,[2]enemies!$1:$1,0)+1,FALSE)</f>
        <v>15</v>
      </c>
      <c r="O35" s="5">
        <v>26</v>
      </c>
      <c r="P35" s="30">
        <v>1.4</v>
      </c>
      <c r="Q35" s="30">
        <v>1.1000000000000001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23">
        <f ca="1">VLOOKUP($I35,OFFSET([2]enemies!$A$1,0,0,COUNTA([2]enemies!$A:$A),MATCH(T$1,[2]enemies!$1:$1,0)-MATCH($I$1,[2]enemies!$1:$1,0)+1),MATCH(T$1,[2]enemies!$1:$1,0)-MATCH($I$1,[2]enemies!$1:$1,0)+1,FALSE)</f>
        <v>0</v>
      </c>
      <c r="U35" s="6">
        <v>0</v>
      </c>
      <c r="V35" s="6">
        <v>30</v>
      </c>
      <c r="W35" s="6">
        <v>0</v>
      </c>
      <c r="X35" s="23">
        <f ca="1">VLOOKUP($I35,OFFSET([2]enemies!$A$1,0,0,COUNTA([2]enemies!$A:$A),MATCH(X$1,[2]enemies!$1:$1,0)-MATCH($I$1,[2]enemies!$1:$1,0)+1),MATCH(X$1,[2]enemies!$1:$1,0)-MATCH($I$1,[2]enemies!$1:$1,0)+1,FALSE)</f>
        <v>2</v>
      </c>
      <c r="Y35" s="42">
        <v>118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4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35" s="7">
        <v>1</v>
      </c>
      <c r="AD35" s="29">
        <f t="shared" ca="1" si="31"/>
        <v>4</v>
      </c>
      <c r="AE35" s="8">
        <v>10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ca="1">B36&amp;"_"&amp;C36&amp;"-"&amp;G36&amp;"/"&amp;I36&amp;"&lt;lv"&amp;O36&amp;"&gt;s"&amp;X36</f>
        <v>20004_2-3/8&lt;lv26&gt;s2</v>
      </c>
      <c r="B36" s="27">
        <v>20004</v>
      </c>
      <c r="C36" s="26">
        <v>2</v>
      </c>
      <c r="D36" s="2" t="str">
        <f>B36&amp;"_"&amp;C36</f>
        <v>20004_2</v>
      </c>
      <c r="E36" s="4" t="str">
        <f ca="1">VLOOKUP($B36,OFFSET([1]quests!$A$1,0,0,COUNTA([1]quests!$A:$A),MATCH(E$1,[1]quests!$1:$1,0)-MATCH($B$1,[1]quests!$1:$1,0)+1),MATCH(E$1,[1]quests!$1:$1,0)-MATCH($B$1,[1]quests!$1:$1,0)+1,FALSE)</f>
        <v>雷雲からの刺客</v>
      </c>
      <c r="F36" s="4" t="str">
        <f ca="1">VLOOKUP($D36,OFFSET([1]stages!$A$1,0,0,COUNTA([1]stages!$A:$A),MATCH(F$1,[1]stages!$2:$2,0)-MATCH($D$1,[1]stages!$2:$2,0)+1),MATCH(F$1,[1]stages!$2:$2,0)-MATCH($D$1,[1]stages!$2:$2,0)+1,FALSE)</f>
        <v>【中級】雷雲からの刺客</v>
      </c>
      <c r="G36" s="26">
        <v>3</v>
      </c>
      <c r="H36" s="19" t="str">
        <f>B36&amp;"_"&amp;C36&amp;"-"&amp;G36</f>
        <v>20004_2-3</v>
      </c>
      <c r="I36" s="41">
        <v>8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ハイボルテージ エレキポット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yellow</v>
      </c>
      <c r="L36" s="24" t="str">
        <f>VLOOKUP(I36,[3]characters!$A:$J,10,FALSE)</f>
        <v>Drop1T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unknown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5">
        <v>26</v>
      </c>
      <c r="P36" s="30">
        <v>1.4</v>
      </c>
      <c r="Q36" s="30">
        <v>1.1000000000000001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23">
        <f ca="1">VLOOKUP($I36,OFFSET([2]enemies!$A$1,0,0,COUNTA([2]enemies!$A:$A),MATCH(T$1,[2]enemies!$1:$1,0)-MATCH($I$1,[2]enemies!$1:$1,0)+1),MATCH(T$1,[2]enemies!$1:$1,0)-MATCH($I$1,[2]enemies!$1:$1,0)+1,FALSE)</f>
        <v>0</v>
      </c>
      <c r="U36" s="6">
        <v>0</v>
      </c>
      <c r="V36" s="6">
        <v>100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1">
        <v>7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1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36" s="7">
        <v>5</v>
      </c>
      <c r="AD36" s="29">
        <f ca="1">AA36</f>
        <v>1</v>
      </c>
      <c r="AE36" s="8">
        <v>15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ref="A37:A41" ca="1" si="32">B37&amp;"_"&amp;C37&amp;"-"&amp;G37&amp;"/"&amp;I37&amp;"&lt;lv"&amp;O37&amp;"&gt;s"&amp;X37</f>
        <v>20004_2-3/13&lt;lv26&gt;s2</v>
      </c>
      <c r="B37" s="27">
        <v>20004</v>
      </c>
      <c r="C37" s="26">
        <v>2</v>
      </c>
      <c r="D37" s="2" t="str">
        <f t="shared" ref="D37:D41" si="33">B37&amp;"_"&amp;C37</f>
        <v>20004_2</v>
      </c>
      <c r="E37" s="4" t="str">
        <f ca="1">VLOOKUP($B37,OFFSET([1]quests!$A$1,0,0,COUNTA([1]quests!$A:$A),MATCH(E$1,[1]quests!$1:$1,0)-MATCH($B$1,[1]quests!$1:$1,0)+1),MATCH(E$1,[1]quests!$1:$1,0)-MATCH($B$1,[1]quests!$1:$1,0)+1,FALSE)</f>
        <v>雷雲からの刺客</v>
      </c>
      <c r="F37" s="4" t="str">
        <f ca="1">VLOOKUP($D37,OFFSET([1]stages!$A$1,0,0,COUNTA([1]stages!$A:$A),MATCH(F$1,[1]stages!$2:$2,0)-MATCH($D$1,[1]stages!$2:$2,0)+1),MATCH(F$1,[1]stages!$2:$2,0)-MATCH($D$1,[1]stages!$2:$2,0)+1,FALSE)</f>
        <v>【中級】雷雲からの刺客</v>
      </c>
      <c r="G37" s="26">
        <v>3</v>
      </c>
      <c r="H37" s="19" t="str">
        <f t="shared" ref="H37:H41" si="34">B37&amp;"_"&amp;C37&amp;"-"&amp;G37</f>
        <v>20004_2-3</v>
      </c>
      <c r="I37" s="42">
        <v>13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ミミ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yellow</v>
      </c>
      <c r="L37" s="24" t="str">
        <f>VLOOKUP(I37,[3]characters!$A:$J,10,FALSE)</f>
        <v>Drop1W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26</v>
      </c>
      <c r="P37" s="30">
        <v>1.4</v>
      </c>
      <c r="Q37" s="30">
        <v>1.1000000000000001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2</v>
      </c>
      <c r="Y37" s="42">
        <v>13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1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7" s="7">
        <v>4</v>
      </c>
      <c r="AD37" s="29">
        <f t="shared" ref="AD37:AD41" ca="1" si="35">AA37</f>
        <v>1</v>
      </c>
      <c r="AE37" s="8">
        <v>15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32"/>
        <v>20004_2-3/19&lt;lv26&gt;s3</v>
      </c>
      <c r="B38" s="27">
        <v>20004</v>
      </c>
      <c r="C38" s="26">
        <v>2</v>
      </c>
      <c r="D38" s="2" t="str">
        <f t="shared" si="33"/>
        <v>20004_2</v>
      </c>
      <c r="E38" s="4" t="str">
        <f ca="1">VLOOKUP($B38,OFFSET([1]quests!$A$1,0,0,COUNTA([1]quests!$A:$A),MATCH(E$1,[1]quests!$1:$1,0)-MATCH($B$1,[1]quests!$1:$1,0)+1),MATCH(E$1,[1]quests!$1:$1,0)-MATCH($B$1,[1]quests!$1:$1,0)+1,FALSE)</f>
        <v>雷雲からの刺客</v>
      </c>
      <c r="F38" s="4" t="str">
        <f ca="1">VLOOKUP($D38,OFFSET([1]stages!$A$1,0,0,COUNTA([1]stages!$A:$A),MATCH(F$1,[1]stages!$2:$2,0)-MATCH($D$1,[1]stages!$2:$2,0)+1),MATCH(F$1,[1]stages!$2:$2,0)-MATCH($D$1,[1]stages!$2:$2,0)+1,FALSE)</f>
        <v>【中級】雷雲からの刺客</v>
      </c>
      <c r="G38" s="26">
        <v>3</v>
      </c>
      <c r="H38" s="19" t="str">
        <f t="shared" si="34"/>
        <v>20004_2-3</v>
      </c>
      <c r="I38" s="42">
        <v>19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ティンク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yellow</v>
      </c>
      <c r="L38" s="24" t="str">
        <f>VLOOKUP(I38,[3]characters!$A:$J,10,FALSE)</f>
        <v>Drop1W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human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26</v>
      </c>
      <c r="P38" s="30">
        <v>1.4</v>
      </c>
      <c r="Q38" s="30">
        <v>1.1000000000000001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3</v>
      </c>
      <c r="Y38" s="42">
        <v>19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1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8" s="7">
        <v>4</v>
      </c>
      <c r="AD38" s="29">
        <f t="shared" ca="1" si="35"/>
        <v>1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32"/>
        <v>20004_2-3/47&lt;lv26&gt;s1</v>
      </c>
      <c r="B39" s="27">
        <v>20004</v>
      </c>
      <c r="C39" s="26">
        <v>2</v>
      </c>
      <c r="D39" s="2" t="str">
        <f t="shared" si="33"/>
        <v>20004_2</v>
      </c>
      <c r="E39" s="4" t="str">
        <f ca="1">VLOOKUP($B39,OFFSET([1]quests!$A$1,0,0,COUNTA([1]quests!$A:$A),MATCH(E$1,[1]quests!$1:$1,0)-MATCH($B$1,[1]quests!$1:$1,0)+1),MATCH(E$1,[1]quests!$1:$1,0)-MATCH($B$1,[1]quests!$1:$1,0)+1,FALSE)</f>
        <v>雷雲からの刺客</v>
      </c>
      <c r="F39" s="4" t="str">
        <f ca="1">VLOOKUP($D39,OFFSET([1]stages!$A$1,0,0,COUNTA([1]stages!$A:$A),MATCH(F$1,[1]stages!$2:$2,0)-MATCH($D$1,[1]stages!$2:$2,0)+1),MATCH(F$1,[1]stages!$2:$2,0)-MATCH($D$1,[1]stages!$2:$2,0)+1,FALSE)</f>
        <v>【中級】雷雲からの刺客</v>
      </c>
      <c r="G39" s="26">
        <v>3</v>
      </c>
      <c r="H39" s="19" t="str">
        <f t="shared" si="34"/>
        <v>20004_2-3</v>
      </c>
      <c r="I39" s="42">
        <v>47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ヒロ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yellow</v>
      </c>
      <c r="L39" s="24" t="str">
        <f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26</v>
      </c>
      <c r="P39" s="30">
        <v>1.4</v>
      </c>
      <c r="Q39" s="30">
        <v>1.1000000000000001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1</v>
      </c>
      <c r="Y39" s="42">
        <v>47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2</v>
      </c>
      <c r="AD39" s="29">
        <f t="shared" ca="1" si="35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32"/>
        <v>20004_2-3/63&lt;lv26&gt;s2</v>
      </c>
      <c r="B40" s="27">
        <v>20004</v>
      </c>
      <c r="C40" s="26">
        <v>2</v>
      </c>
      <c r="D40" s="2" t="str">
        <f t="shared" si="33"/>
        <v>20004_2</v>
      </c>
      <c r="E40" s="4" t="str">
        <f ca="1">VLOOKUP($B40,OFFSET([1]quests!$A$1,0,0,COUNTA([1]quests!$A:$A),MATCH(E$1,[1]quests!$1:$1,0)-MATCH($B$1,[1]quests!$1:$1,0)+1),MATCH(E$1,[1]quests!$1:$1,0)-MATCH($B$1,[1]quests!$1:$1,0)+1,FALSE)</f>
        <v>雷雲からの刺客</v>
      </c>
      <c r="F40" s="4" t="str">
        <f ca="1">VLOOKUP($D40,OFFSET([1]stages!$A$1,0,0,COUNTA([1]stages!$A:$A),MATCH(F$1,[1]stages!$2:$2,0)-MATCH($D$1,[1]stages!$2:$2,0)+1),MATCH(F$1,[1]stages!$2:$2,0)-MATCH($D$1,[1]stages!$2:$2,0)+1,FALSE)</f>
        <v>【中級】雷雲からの刺客</v>
      </c>
      <c r="G40" s="26">
        <v>3</v>
      </c>
      <c r="H40" s="19" t="str">
        <f t="shared" si="34"/>
        <v>20004_2-3</v>
      </c>
      <c r="I40" s="42">
        <v>63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トニー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yellow</v>
      </c>
      <c r="L40" s="24" t="str">
        <f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animal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26</v>
      </c>
      <c r="P40" s="30">
        <v>1.4</v>
      </c>
      <c r="Q40" s="30">
        <v>1.1000000000000001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0" s="23">
        <f ca="1">VLOOKUP($I40,OFFSET([2]enemies!$A$1,0,0,COUNTA([2]enemies!$A:$A),MATCH(T$1,[2]enemies!$1:$1,0)-MATCH($I$1,[2]enemies!$1:$1,0)+1),MATCH(T$1,[2]enemies!$1:$1,0)-MATCH($I$1,[2]enemies!$1:$1,0)+1,FALSE)</f>
        <v>63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2</v>
      </c>
      <c r="Y40" s="42">
        <v>63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2</v>
      </c>
      <c r="AD40" s="29">
        <f t="shared" ca="1" si="35"/>
        <v>2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32"/>
        <v>20004_2-3/118&lt;lv26&gt;s2</v>
      </c>
      <c r="B41" s="27">
        <v>20004</v>
      </c>
      <c r="C41" s="26">
        <v>2</v>
      </c>
      <c r="D41" s="2" t="str">
        <f t="shared" si="33"/>
        <v>20004_2</v>
      </c>
      <c r="E41" s="4" t="str">
        <f ca="1">VLOOKUP($B41,OFFSET([1]quests!$A$1,0,0,COUNTA([1]quests!$A:$A),MATCH(E$1,[1]quests!$1:$1,0)-MATCH($B$1,[1]quests!$1:$1,0)+1),MATCH(E$1,[1]quests!$1:$1,0)-MATCH($B$1,[1]quests!$1:$1,0)+1,FALSE)</f>
        <v>雷雲からの刺客</v>
      </c>
      <c r="F41" s="4" t="str">
        <f ca="1">VLOOKUP($D41,OFFSET([1]stages!$A$1,0,0,COUNTA([1]stages!$A:$A),MATCH(F$1,[1]stages!$2:$2,0)-MATCH($D$1,[1]stages!$2:$2,0)+1),MATCH(F$1,[1]stages!$2:$2,0)-MATCH($D$1,[1]stages!$2:$2,0)+1,FALSE)</f>
        <v>【中級】雷雲からの刺客</v>
      </c>
      <c r="G41" s="26">
        <v>3</v>
      </c>
      <c r="H41" s="19" t="str">
        <f t="shared" si="34"/>
        <v>20004_2-3</v>
      </c>
      <c r="I41" s="44">
        <v>118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ゴールドチック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yellow</v>
      </c>
      <c r="L41" s="24" t="str">
        <f>VLOOKUP(I41,[3]characters!$A:$J,10,FALSE)</f>
        <v>Material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unknown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26</v>
      </c>
      <c r="P41" s="30">
        <v>1.4</v>
      </c>
      <c r="Q41" s="30">
        <v>1.1000000000000001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3">
        <f ca="1">VLOOKUP($I41,OFFSET([2]enemies!$A$1,0,0,COUNTA([2]enemies!$A:$A),MATCH(T$1,[2]enemies!$1:$1,0)-MATCH($I$1,[2]enemies!$1:$1,0)+1),MATCH(T$1,[2]enemies!$1:$1,0)-MATCH($I$1,[2]enemies!$1:$1,0)+1,FALSE)</f>
        <v>0</v>
      </c>
      <c r="U41" s="6">
        <v>0</v>
      </c>
      <c r="V41" s="6">
        <v>30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2</v>
      </c>
      <c r="Y41" s="42">
        <v>118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4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1" s="7">
        <v>1</v>
      </c>
      <c r="AD41" s="29">
        <f t="shared" ca="1" si="35"/>
        <v>4</v>
      </c>
      <c r="AE41" s="8">
        <v>10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ca="1">B42&amp;"_"&amp;C42&amp;"-"&amp;G42&amp;"/"&amp;I42&amp;"&lt;lv"&amp;O42&amp;"&gt;s"&amp;X42</f>
        <v>20004_2-4/8&lt;lv26&gt;s2</v>
      </c>
      <c r="B42" s="27">
        <v>20004</v>
      </c>
      <c r="C42" s="26">
        <v>2</v>
      </c>
      <c r="D42" s="2" t="str">
        <f>B42&amp;"_"&amp;C42</f>
        <v>20004_2</v>
      </c>
      <c r="E42" s="4" t="str">
        <f ca="1">VLOOKUP($B42,OFFSET([1]quests!$A$1,0,0,COUNTA([1]quests!$A:$A),MATCH(E$1,[1]quests!$1:$1,0)-MATCH($B$1,[1]quests!$1:$1,0)+1),MATCH(E$1,[1]quests!$1:$1,0)-MATCH($B$1,[1]quests!$1:$1,0)+1,FALSE)</f>
        <v>雷雲からの刺客</v>
      </c>
      <c r="F42" s="4" t="str">
        <f ca="1">VLOOKUP($D42,OFFSET([1]stages!$A$1,0,0,COUNTA([1]stages!$A:$A),MATCH(F$1,[1]stages!$2:$2,0)-MATCH($D$1,[1]stages!$2:$2,0)+1),MATCH(F$1,[1]stages!$2:$2,0)-MATCH($D$1,[1]stages!$2:$2,0)+1,FALSE)</f>
        <v>【中級】雷雲からの刺客</v>
      </c>
      <c r="G42" s="43">
        <v>4</v>
      </c>
      <c r="H42" s="19" t="str">
        <f>B42&amp;"_"&amp;C42&amp;"-"&amp;G42</f>
        <v>20004_2-4</v>
      </c>
      <c r="I42" s="41">
        <v>8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ハイボルテージ エレキポット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yellow</v>
      </c>
      <c r="L42" s="24" t="str">
        <f>VLOOKUP(I42,[3]characters!$A:$J,10,FALSE)</f>
        <v>Drop1T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unknown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26</v>
      </c>
      <c r="P42" s="30">
        <v>1.4</v>
      </c>
      <c r="Q42" s="30">
        <v>1.1000000000000001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2</v>
      </c>
      <c r="Y42" s="41">
        <v>7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エレキポット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2" s="7">
        <v>5</v>
      </c>
      <c r="AD42" s="29">
        <f ca="1">AA42</f>
        <v>1</v>
      </c>
      <c r="AE42" s="8">
        <v>15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ref="A43:A47" ca="1" si="36">B43&amp;"_"&amp;C43&amp;"-"&amp;G43&amp;"/"&amp;I43&amp;"&lt;lv"&amp;O43&amp;"&gt;s"&amp;X43</f>
        <v>20004_2-4/13&lt;lv26&gt;s2</v>
      </c>
      <c r="B43" s="27">
        <v>20004</v>
      </c>
      <c r="C43" s="26">
        <v>2</v>
      </c>
      <c r="D43" s="2" t="str">
        <f t="shared" ref="D43:D47" si="37">B43&amp;"_"&amp;C43</f>
        <v>20004_2</v>
      </c>
      <c r="E43" s="4" t="str">
        <f ca="1">VLOOKUP($B43,OFFSET([1]quests!$A$1,0,0,COUNTA([1]quests!$A:$A),MATCH(E$1,[1]quests!$1:$1,0)-MATCH($B$1,[1]quests!$1:$1,0)+1),MATCH(E$1,[1]quests!$1:$1,0)-MATCH($B$1,[1]quests!$1:$1,0)+1,FALSE)</f>
        <v>雷雲からの刺客</v>
      </c>
      <c r="F43" s="4" t="str">
        <f ca="1">VLOOKUP($D43,OFFSET([1]stages!$A$1,0,0,COUNTA([1]stages!$A:$A),MATCH(F$1,[1]stages!$2:$2,0)-MATCH($D$1,[1]stages!$2:$2,0)+1),MATCH(F$1,[1]stages!$2:$2,0)-MATCH($D$1,[1]stages!$2:$2,0)+1,FALSE)</f>
        <v>【中級】雷雲からの刺客</v>
      </c>
      <c r="G43" s="43">
        <v>4</v>
      </c>
      <c r="H43" s="19" t="str">
        <f t="shared" ref="H43:H47" si="38">B43&amp;"_"&amp;C43&amp;"-"&amp;G43</f>
        <v>20004_2-4</v>
      </c>
      <c r="I43" s="42">
        <v>13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ミミ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yellow</v>
      </c>
      <c r="L43" s="24" t="str">
        <f>VLOOKUP(I43,[3]characters!$A:$J,10,FALSE)</f>
        <v>Drop1W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animal</v>
      </c>
      <c r="N43" s="23">
        <f ca="1">VLOOKUP($I43,OFFSET([2]enemies!$A$1,0,0,COUNTA([2]enemies!$A:$A),MATCH(N$1,[2]enemies!$1:$1,0)-MATCH($I$1,[2]enemies!$1:$1,0)+1),MATCH(N$1,[2]enemies!$1:$1,0)-MATCH($I$1,[2]enemies!$1:$1,0)+1,FALSE)</f>
        <v>15</v>
      </c>
      <c r="O43" s="5">
        <v>26</v>
      </c>
      <c r="P43" s="30">
        <v>1.4</v>
      </c>
      <c r="Q43" s="30">
        <v>1.1000000000000001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3">
        <f ca="1">VLOOKUP($I43,OFFSET([2]enemies!$A$1,0,0,COUNTA([2]enemies!$A:$A),MATCH(T$1,[2]enemies!$1:$1,0)-MATCH($I$1,[2]enemies!$1:$1,0)+1),MATCH(T$1,[2]enemies!$1:$1,0)-MATCH($I$1,[2]enemies!$1:$1,0)+1,FALSE)</f>
        <v>0</v>
      </c>
      <c r="U43" s="6">
        <v>0</v>
      </c>
      <c r="V43" s="6">
        <v>100</v>
      </c>
      <c r="W43" s="6">
        <v>0</v>
      </c>
      <c r="X43" s="23">
        <f ca="1">VLOOKUP($I43,OFFSET([2]enemies!$A$1,0,0,COUNTA([2]enemies!$A:$A),MATCH(X$1,[2]enemies!$1:$1,0)-MATCH($I$1,[2]enemies!$1:$1,0)+1),MATCH(X$1,[2]enemies!$1:$1,0)-MATCH($I$1,[2]enemies!$1:$1,0)+1,FALSE)</f>
        <v>2</v>
      </c>
      <c r="Y43" s="42">
        <v>13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1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3" s="7">
        <v>4</v>
      </c>
      <c r="AD43" s="29">
        <f t="shared" ref="AD43:AD47" ca="1" si="39">AA43</f>
        <v>1</v>
      </c>
      <c r="AE43" s="8">
        <v>15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t="shared" ca="1" si="36"/>
        <v>20004_2-4/19&lt;lv26&gt;s3</v>
      </c>
      <c r="B44" s="27">
        <v>20004</v>
      </c>
      <c r="C44" s="26">
        <v>2</v>
      </c>
      <c r="D44" s="2" t="str">
        <f t="shared" si="37"/>
        <v>20004_2</v>
      </c>
      <c r="E44" s="4" t="str">
        <f ca="1">VLOOKUP($B44,OFFSET([1]quests!$A$1,0,0,COUNTA([1]quests!$A:$A),MATCH(E$1,[1]quests!$1:$1,0)-MATCH($B$1,[1]quests!$1:$1,0)+1),MATCH(E$1,[1]quests!$1:$1,0)-MATCH($B$1,[1]quests!$1:$1,0)+1,FALSE)</f>
        <v>雷雲からの刺客</v>
      </c>
      <c r="F44" s="4" t="str">
        <f ca="1">VLOOKUP($D44,OFFSET([1]stages!$A$1,0,0,COUNTA([1]stages!$A:$A),MATCH(F$1,[1]stages!$2:$2,0)-MATCH($D$1,[1]stages!$2:$2,0)+1),MATCH(F$1,[1]stages!$2:$2,0)-MATCH($D$1,[1]stages!$2:$2,0)+1,FALSE)</f>
        <v>【中級】雷雲からの刺客</v>
      </c>
      <c r="G44" s="43">
        <v>4</v>
      </c>
      <c r="H44" s="19" t="str">
        <f t="shared" si="38"/>
        <v>20004_2-4</v>
      </c>
      <c r="I44" s="42">
        <v>19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ティンク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yellow</v>
      </c>
      <c r="L44" s="24" t="str">
        <f>VLOOKUP(I44,[3]characters!$A:$J,10,FALSE)</f>
        <v>Drop1W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human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26</v>
      </c>
      <c r="P44" s="30">
        <v>1.4</v>
      </c>
      <c r="Q44" s="30">
        <v>1.1000000000000001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3</v>
      </c>
      <c r="Y44" s="42">
        <v>19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1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4" s="7">
        <v>4</v>
      </c>
      <c r="AD44" s="29">
        <f t="shared" ca="1" si="39"/>
        <v>1</v>
      </c>
      <c r="AE44" s="8">
        <v>15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ca="1" si="36"/>
        <v>20004_2-4/47&lt;lv26&gt;s1</v>
      </c>
      <c r="B45" s="27">
        <v>20004</v>
      </c>
      <c r="C45" s="26">
        <v>2</v>
      </c>
      <c r="D45" s="2" t="str">
        <f t="shared" si="37"/>
        <v>20004_2</v>
      </c>
      <c r="E45" s="4" t="str">
        <f ca="1">VLOOKUP($B45,OFFSET([1]quests!$A$1,0,0,COUNTA([1]quests!$A:$A),MATCH(E$1,[1]quests!$1:$1,0)-MATCH($B$1,[1]quests!$1:$1,0)+1),MATCH(E$1,[1]quests!$1:$1,0)-MATCH($B$1,[1]quests!$1:$1,0)+1,FALSE)</f>
        <v>雷雲からの刺客</v>
      </c>
      <c r="F45" s="4" t="str">
        <f ca="1">VLOOKUP($D45,OFFSET([1]stages!$A$1,0,0,COUNTA([1]stages!$A:$A),MATCH(F$1,[1]stages!$2:$2,0)-MATCH($D$1,[1]stages!$2:$2,0)+1),MATCH(F$1,[1]stages!$2:$2,0)-MATCH($D$1,[1]stages!$2:$2,0)+1,FALSE)</f>
        <v>【中級】雷雲からの刺客</v>
      </c>
      <c r="G45" s="43">
        <v>4</v>
      </c>
      <c r="H45" s="19" t="str">
        <f t="shared" si="38"/>
        <v>20004_2-4</v>
      </c>
      <c r="I45" s="42">
        <v>47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ヒロ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yellow</v>
      </c>
      <c r="L45" s="24" t="str">
        <f>VLOOKUP(I45,[3]characters!$A:$J,10,FALSE)</f>
        <v>Drop1N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animal</v>
      </c>
      <c r="N45" s="23">
        <f ca="1">VLOOKUP($I45,OFFSET([2]enemies!$A$1,0,0,COUNTA([2]enemies!$A:$A),MATCH(N$1,[2]enemies!$1:$1,0)-MATCH($I$1,[2]enemies!$1:$1,0)+1),MATCH(N$1,[2]enemies!$1:$1,0)-MATCH($I$1,[2]enemies!$1:$1,0)+1,FALSE)</f>
        <v>15</v>
      </c>
      <c r="O45" s="5">
        <v>26</v>
      </c>
      <c r="P45" s="30">
        <v>1.4</v>
      </c>
      <c r="Q45" s="30">
        <v>1.1000000000000001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3">
        <f ca="1">VLOOKUP($I45,OFFSET([2]enemies!$A$1,0,0,COUNTA([2]enemies!$A:$A),MATCH(T$1,[2]enemies!$1:$1,0)-MATCH($I$1,[2]enemies!$1:$1,0)+1),MATCH(T$1,[2]enemies!$1:$1,0)-MATCH($I$1,[2]enemies!$1:$1,0)+1,FALSE)</f>
        <v>0</v>
      </c>
      <c r="U45" s="6">
        <v>0</v>
      </c>
      <c r="V45" s="6">
        <v>100</v>
      </c>
      <c r="W45" s="6">
        <v>0</v>
      </c>
      <c r="X45" s="23">
        <f ca="1">VLOOKUP($I45,OFFSET([2]enemies!$A$1,0,0,COUNTA([2]enemies!$A:$A),MATCH(X$1,[2]enemies!$1:$1,0)-MATCH($I$1,[2]enemies!$1:$1,0)+1),MATCH(X$1,[2]enemies!$1:$1,0)-MATCH($I$1,[2]enemies!$1:$1,0)+1,FALSE)</f>
        <v>1</v>
      </c>
      <c r="Y45" s="42">
        <v>47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7">
        <v>2</v>
      </c>
      <c r="AD45" s="29">
        <f t="shared" ca="1" si="39"/>
        <v>2</v>
      </c>
      <c r="AE45" s="8">
        <v>15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ca="1" si="36"/>
        <v>20004_2-4/63&lt;lv26&gt;s2</v>
      </c>
      <c r="B46" s="27">
        <v>20004</v>
      </c>
      <c r="C46" s="26">
        <v>2</v>
      </c>
      <c r="D46" s="2" t="str">
        <f t="shared" si="37"/>
        <v>20004_2</v>
      </c>
      <c r="E46" s="4" t="str">
        <f ca="1">VLOOKUP($B46,OFFSET([1]quests!$A$1,0,0,COUNTA([1]quests!$A:$A),MATCH(E$1,[1]quests!$1:$1,0)-MATCH($B$1,[1]quests!$1:$1,0)+1),MATCH(E$1,[1]quests!$1:$1,0)-MATCH($B$1,[1]quests!$1:$1,0)+1,FALSE)</f>
        <v>雷雲からの刺客</v>
      </c>
      <c r="F46" s="4" t="str">
        <f ca="1">VLOOKUP($D46,OFFSET([1]stages!$A$1,0,0,COUNTA([1]stages!$A:$A),MATCH(F$1,[1]stages!$2:$2,0)-MATCH($D$1,[1]stages!$2:$2,0)+1),MATCH(F$1,[1]stages!$2:$2,0)-MATCH($D$1,[1]stages!$2:$2,0)+1,FALSE)</f>
        <v>【中級】雷雲からの刺客</v>
      </c>
      <c r="G46" s="43">
        <v>4</v>
      </c>
      <c r="H46" s="19" t="str">
        <f t="shared" si="38"/>
        <v>20004_2-4</v>
      </c>
      <c r="I46" s="42">
        <v>63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トニー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yellow</v>
      </c>
      <c r="L46" s="24" t="str">
        <f>VLOOKUP(I46,[3]characters!$A:$J,10,FALSE)</f>
        <v>Drop1N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animal</v>
      </c>
      <c r="N46" s="23">
        <f ca="1">VLOOKUP($I46,OFFSET([2]enemies!$A$1,0,0,COUNTA([2]enemies!$A:$A),MATCH(N$1,[2]enemies!$1:$1,0)-MATCH($I$1,[2]enemies!$1:$1,0)+1),MATCH(N$1,[2]enemies!$1:$1,0)-MATCH($I$1,[2]enemies!$1:$1,0)+1,FALSE)</f>
        <v>15</v>
      </c>
      <c r="O46" s="5">
        <v>26</v>
      </c>
      <c r="P46" s="30">
        <v>1.4</v>
      </c>
      <c r="Q46" s="30">
        <v>1.1000000000000001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6" s="23">
        <f ca="1">VLOOKUP($I46,OFFSET([2]enemies!$A$1,0,0,COUNTA([2]enemies!$A:$A),MATCH(T$1,[2]enemies!$1:$1,0)-MATCH($I$1,[2]enemies!$1:$1,0)+1),MATCH(T$1,[2]enemies!$1:$1,0)-MATCH($I$1,[2]enemies!$1:$1,0)+1,FALSE)</f>
        <v>63</v>
      </c>
      <c r="U46" s="6">
        <v>0</v>
      </c>
      <c r="V46" s="6">
        <v>100</v>
      </c>
      <c r="W46" s="6">
        <v>0</v>
      </c>
      <c r="X46" s="23">
        <f ca="1">VLOOKUP($I46,OFFSET([2]enemies!$A$1,0,0,COUNTA([2]enemies!$A:$A),MATCH(X$1,[2]enemies!$1:$1,0)-MATCH($I$1,[2]enemies!$1:$1,0)+1),MATCH(X$1,[2]enemies!$1:$1,0)-MATCH($I$1,[2]enemies!$1:$1,0)+1,FALSE)</f>
        <v>2</v>
      </c>
      <c r="Y46" s="42">
        <v>63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7">
        <v>2</v>
      </c>
      <c r="AD46" s="29">
        <f t="shared" ca="1" si="39"/>
        <v>2</v>
      </c>
      <c r="AE46" s="8">
        <v>15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ca="1" si="36"/>
        <v>20004_2-4/118&lt;lv26&gt;s2</v>
      </c>
      <c r="B47" s="27">
        <v>20004</v>
      </c>
      <c r="C47" s="26">
        <v>2</v>
      </c>
      <c r="D47" s="2" t="str">
        <f t="shared" si="37"/>
        <v>20004_2</v>
      </c>
      <c r="E47" s="4" t="str">
        <f ca="1">VLOOKUP($B47,OFFSET([1]quests!$A$1,0,0,COUNTA([1]quests!$A:$A),MATCH(E$1,[1]quests!$1:$1,0)-MATCH($B$1,[1]quests!$1:$1,0)+1),MATCH(E$1,[1]quests!$1:$1,0)-MATCH($B$1,[1]quests!$1:$1,0)+1,FALSE)</f>
        <v>雷雲からの刺客</v>
      </c>
      <c r="F47" s="4" t="str">
        <f ca="1">VLOOKUP($D47,OFFSET([1]stages!$A$1,0,0,COUNTA([1]stages!$A:$A),MATCH(F$1,[1]stages!$2:$2,0)-MATCH($D$1,[1]stages!$2:$2,0)+1),MATCH(F$1,[1]stages!$2:$2,0)-MATCH($D$1,[1]stages!$2:$2,0)+1,FALSE)</f>
        <v>【中級】雷雲からの刺客</v>
      </c>
      <c r="G47" s="43">
        <v>4</v>
      </c>
      <c r="H47" s="19" t="str">
        <f t="shared" si="38"/>
        <v>20004_2-4</v>
      </c>
      <c r="I47" s="44">
        <v>118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ゴールドチック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yellow</v>
      </c>
      <c r="L47" s="24" t="str">
        <f>VLOOKUP(I47,[3]characters!$A:$J,10,FALSE)</f>
        <v>Material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unknown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26</v>
      </c>
      <c r="P47" s="30">
        <v>1.4</v>
      </c>
      <c r="Q47" s="30">
        <v>1.1000000000000001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3">
        <f ca="1">VLOOKUP($I47,OFFSET([2]enemies!$A$1,0,0,COUNTA([2]enemies!$A:$A),MATCH(T$1,[2]enemies!$1:$1,0)-MATCH($I$1,[2]enemies!$1:$1,0)+1),MATCH(T$1,[2]enemies!$1:$1,0)-MATCH($I$1,[2]enemies!$1:$1,0)+1,FALSE)</f>
        <v>0</v>
      </c>
      <c r="U47" s="6">
        <v>0</v>
      </c>
      <c r="V47" s="6">
        <v>30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2</v>
      </c>
      <c r="Y47" s="42">
        <v>118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4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7" s="7">
        <v>1</v>
      </c>
      <c r="AD47" s="29">
        <f t="shared" ca="1" si="39"/>
        <v>4</v>
      </c>
      <c r="AE47" s="8">
        <v>10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ref="A48" ca="1" si="40">B48&amp;"_"&amp;C48&amp;"-"&amp;G48&amp;"/"&amp;I48&amp;"&lt;lv"&amp;O48&amp;"&gt;s"&amp;X48</f>
        <v>20004_2-5/268&lt;lv36&gt;s4</v>
      </c>
      <c r="B48" s="27">
        <v>20004</v>
      </c>
      <c r="C48" s="26">
        <v>2</v>
      </c>
      <c r="D48" s="2" t="str">
        <f t="shared" ref="D48" si="41">B48&amp;"_"&amp;C48</f>
        <v>20004_2</v>
      </c>
      <c r="E48" s="4" t="str">
        <f ca="1">VLOOKUP($B48,OFFSET([1]quests!$A$1,0,0,COUNTA([1]quests!$A:$A),MATCH(E$1,[1]quests!$1:$1,0)-MATCH($B$1,[1]quests!$1:$1,0)+1),MATCH(E$1,[1]quests!$1:$1,0)-MATCH($B$1,[1]quests!$1:$1,0)+1,FALSE)</f>
        <v>雷雲からの刺客</v>
      </c>
      <c r="F48" s="4" t="str">
        <f ca="1">VLOOKUP($D48,OFFSET([1]stages!$A$1,0,0,COUNTA([1]stages!$A:$A),MATCH(F$1,[1]stages!$2:$2,0)-MATCH($D$1,[1]stages!$2:$2,0)+1),MATCH(F$1,[1]stages!$2:$2,0)-MATCH($D$1,[1]stages!$2:$2,0)+1,FALSE)</f>
        <v>【中級】雷雲からの刺客</v>
      </c>
      <c r="G48" s="45">
        <v>5</v>
      </c>
      <c r="H48" s="19" t="str">
        <f t="shared" ref="H48" si="42">B48&amp;"_"&amp;C48&amp;"-"&amp;G48</f>
        <v>20004_2-5</v>
      </c>
      <c r="I48" s="42">
        <v>268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鵺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yellow</v>
      </c>
      <c r="L48" s="24" t="str">
        <f>VLOOKUP(I48,[3]characters!$A:$J,10,FALSE)</f>
        <v>Drop2W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3">
        <f ca="1">VLOOKUP($I48,OFFSET([2]enemies!$A$1,0,0,COUNTA([2]enemies!$A:$A),MATCH(N$1,[2]enemies!$1:$1,0)-MATCH($I$1,[2]enemies!$1:$1,0)+1),MATCH(N$1,[2]enemies!$1:$1,0)-MATCH($I$1,[2]enemies!$1:$1,0)+1,FALSE)</f>
        <v>20</v>
      </c>
      <c r="O48" s="5">
        <v>36</v>
      </c>
      <c r="P48" s="30">
        <v>3.1</v>
      </c>
      <c r="Q48" s="30">
        <v>1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48" s="47">
        <v>268</v>
      </c>
      <c r="U48" s="6">
        <v>1</v>
      </c>
      <c r="V48" s="6">
        <v>100</v>
      </c>
      <c r="W48" s="6">
        <v>1</v>
      </c>
      <c r="X48" s="23">
        <f ca="1">VLOOKUP($I48,OFFSET([2]enemies!$A$1,0,0,COUNTA([2]enemies!$A:$A),MATCH(X$1,[2]enemies!$1:$1,0)-MATCH($I$1,[2]enemies!$1:$1,0)+1),MATCH(X$1,[2]enemies!$1:$1,0)-MATCH($I$1,[2]enemies!$1:$1,0)+1,FALSE)</f>
        <v>4</v>
      </c>
      <c r="Y48" s="42">
        <v>268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鵺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3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8" s="7">
        <v>1</v>
      </c>
      <c r="AD48" s="29">
        <f t="shared" ref="AD48" ca="1" si="43">AA48</f>
        <v>3</v>
      </c>
      <c r="AE48" s="48">
        <v>50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ca="1">B49&amp;"_"&amp;C49&amp;"-"&amp;G49&amp;"/"&amp;I49&amp;"&lt;lv"&amp;O49&amp;"&gt;s"&amp;X49</f>
        <v>20004_3-1/8&lt;lv42&gt;s2</v>
      </c>
      <c r="B49" s="27">
        <v>20004</v>
      </c>
      <c r="C49" s="26">
        <v>3</v>
      </c>
      <c r="D49" s="2" t="str">
        <f>B49&amp;"_"&amp;C49</f>
        <v>20004_3</v>
      </c>
      <c r="E49" s="4" t="str">
        <f ca="1">VLOOKUP($B49,OFFSET([1]quests!$A$1,0,0,COUNTA([1]quests!$A:$A),MATCH(E$1,[1]quests!$1:$1,0)-MATCH($B$1,[1]quests!$1:$1,0)+1),MATCH(E$1,[1]quests!$1:$1,0)-MATCH($B$1,[1]quests!$1:$1,0)+1,FALSE)</f>
        <v>雷雲からの刺客</v>
      </c>
      <c r="F49" s="4" t="str">
        <f ca="1">VLOOKUP($D49,OFFSET([1]stages!$A$1,0,0,COUNTA([1]stages!$A:$A),MATCH(F$1,[1]stages!$2:$2,0)-MATCH($D$1,[1]stages!$2:$2,0)+1),MATCH(F$1,[1]stages!$2:$2,0)-MATCH($D$1,[1]stages!$2:$2,0)+1,FALSE)</f>
        <v>【上級】雷雲からの刺客</v>
      </c>
      <c r="G49" s="26">
        <v>1</v>
      </c>
      <c r="H49" s="19" t="str">
        <f>B49&amp;"_"&amp;C49&amp;"-"&amp;G49</f>
        <v>20004_3-1</v>
      </c>
      <c r="I49" s="41">
        <v>8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ハイボルテージ エレキポット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yellow</v>
      </c>
      <c r="L49" s="24" t="str">
        <f>VLOOKUP(I49,[3]characters!$A:$J,10,FALSE)</f>
        <v>Drop1T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unknown</v>
      </c>
      <c r="N49" s="23">
        <f ca="1">VLOOKUP($I49,OFFSET([2]enemies!$A$1,0,0,COUNTA([2]enemies!$A:$A),MATCH(N$1,[2]enemies!$1:$1,0)-MATCH($I$1,[2]enemies!$1:$1,0)+1),MATCH(N$1,[2]enemies!$1:$1,0)-MATCH($I$1,[2]enemies!$1:$1,0)+1,FALSE)</f>
        <v>15</v>
      </c>
      <c r="O49" s="5">
        <v>42</v>
      </c>
      <c r="P49" s="30">
        <v>1.5</v>
      </c>
      <c r="Q49" s="30">
        <v>0.8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3">
        <f ca="1">VLOOKUP($I49,OFFSET([2]enemies!$A$1,0,0,COUNTA([2]enemies!$A:$A),MATCH(T$1,[2]enemies!$1:$1,0)-MATCH($I$1,[2]enemies!$1:$1,0)+1),MATCH(T$1,[2]enemies!$1:$1,0)-MATCH($I$1,[2]enemies!$1:$1,0)+1,FALSE)</f>
        <v>0</v>
      </c>
      <c r="U49" s="6">
        <v>0</v>
      </c>
      <c r="V49" s="6">
        <v>100</v>
      </c>
      <c r="W49" s="6">
        <v>0</v>
      </c>
      <c r="X49" s="23">
        <f ca="1">VLOOKUP($I49,OFFSET([2]enemies!$A$1,0,0,COUNTA([2]enemies!$A:$A),MATCH(X$1,[2]enemies!$1:$1,0)-MATCH($I$1,[2]enemies!$1:$1,0)+1),MATCH(X$1,[2]enemies!$1:$1,0)-MATCH($I$1,[2]enemies!$1:$1,0)+1,FALSE)</f>
        <v>2</v>
      </c>
      <c r="Y49" s="41">
        <v>8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ハイボルテージ エレキポット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9" s="7">
        <v>9</v>
      </c>
      <c r="AD49" s="29">
        <f ca="1">AA49</f>
        <v>2</v>
      </c>
      <c r="AE49" s="8">
        <v>15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  <row r="50" spans="1:36" ht="21" customHeight="1" x14ac:dyDescent="0.15">
      <c r="A50" s="20" t="str">
        <f t="shared" ref="A50:A54" ca="1" si="44">B50&amp;"_"&amp;C50&amp;"-"&amp;G50&amp;"/"&amp;I50&amp;"&lt;lv"&amp;O50&amp;"&gt;s"&amp;X50</f>
        <v>20004_3-1/31&lt;lv42&gt;s2</v>
      </c>
      <c r="B50" s="27">
        <v>20004</v>
      </c>
      <c r="C50" s="26">
        <v>3</v>
      </c>
      <c r="D50" s="2" t="str">
        <f t="shared" ref="D50:D54" si="45">B50&amp;"_"&amp;C50</f>
        <v>20004_3</v>
      </c>
      <c r="E50" s="4" t="str">
        <f ca="1">VLOOKUP($B50,OFFSET([1]quests!$A$1,0,0,COUNTA([1]quests!$A:$A),MATCH(E$1,[1]quests!$1:$1,0)-MATCH($B$1,[1]quests!$1:$1,0)+1),MATCH(E$1,[1]quests!$1:$1,0)-MATCH($B$1,[1]quests!$1:$1,0)+1,FALSE)</f>
        <v>雷雲からの刺客</v>
      </c>
      <c r="F50" s="4" t="str">
        <f ca="1">VLOOKUP($D50,OFFSET([1]stages!$A$1,0,0,COUNTA([1]stages!$A:$A),MATCH(F$1,[1]stages!$2:$2,0)-MATCH($D$1,[1]stages!$2:$2,0)+1),MATCH(F$1,[1]stages!$2:$2,0)-MATCH($D$1,[1]stages!$2:$2,0)+1,FALSE)</f>
        <v>【上級】雷雲からの刺客</v>
      </c>
      <c r="G50" s="26">
        <v>1</v>
      </c>
      <c r="H50" s="19" t="str">
        <f t="shared" ref="H50:H54" si="46">B50&amp;"_"&amp;C50&amp;"-"&amp;G50</f>
        <v>20004_3-1</v>
      </c>
      <c r="I50" s="42">
        <v>31</v>
      </c>
      <c r="J50" s="23" t="str">
        <f ca="1">VLOOKUP($I50,OFFSET([2]enemies!$A$1,0,0,COUNTA([2]enemies!$A:$A),MATCH(J$1,[2]enemies!$1:$1,0)-MATCH($I$1,[2]enemies!$1:$1,0)+1),MATCH(J$1,[2]enemies!$1:$1,0)-MATCH($I$1,[2]enemies!$1:$1,0)+1,FALSE)</f>
        <v>マービー</v>
      </c>
      <c r="K50" s="23" t="str">
        <f ca="1">VLOOKUP($I50,OFFSET([2]enemies!$A$1,0,0,COUNTA([2]enemies!$A:$A),MATCH(K$1,[2]enemies!$1:$1,0)-MATCH($I$1,[2]enemies!$1:$1,0)+1),MATCH(K$1,[2]enemies!$1:$1,0)-MATCH($I$1,[2]enemies!$1:$1,0)+1,FALSE)</f>
        <v>yellow</v>
      </c>
      <c r="L50" s="24" t="str">
        <f>VLOOKUP(I50,[3]characters!$A:$J,10,FALSE)</f>
        <v>Drop1N</v>
      </c>
      <c r="M50" s="23" t="str">
        <f ca="1">VLOOKUP($I50,OFFSET([2]enemies!$A$1,0,0,COUNTA([2]enemies!$A:$A),MATCH(M$1,[2]enemies!$1:$1,0)-MATCH($I$1,[2]enemies!$1:$1,0)+1),MATCH(M$1,[2]enemies!$1:$1,0)-MATCH($I$1,[2]enemies!$1:$1,0)+1,FALSE)</f>
        <v>machine</v>
      </c>
      <c r="N50" s="23">
        <f ca="1">VLOOKUP($I50,OFFSET([2]enemies!$A$1,0,0,COUNTA([2]enemies!$A:$A),MATCH(N$1,[2]enemies!$1:$1,0)-MATCH($I$1,[2]enemies!$1:$1,0)+1),MATCH(N$1,[2]enemies!$1:$1,0)-MATCH($I$1,[2]enemies!$1:$1,0)+1,FALSE)</f>
        <v>15</v>
      </c>
      <c r="O50" s="5">
        <v>42</v>
      </c>
      <c r="P50" s="30">
        <v>1.5</v>
      </c>
      <c r="Q50" s="30">
        <v>0.8</v>
      </c>
      <c r="R50" s="5">
        <v>0</v>
      </c>
      <c r="S50" s="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23">
        <f ca="1">VLOOKUP($I50,OFFSET([2]enemies!$A$1,0,0,COUNTA([2]enemies!$A:$A),MATCH(T$1,[2]enemies!$1:$1,0)-MATCH($I$1,[2]enemies!$1:$1,0)+1),MATCH(T$1,[2]enemies!$1:$1,0)-MATCH($I$1,[2]enemies!$1:$1,0)+1,FALSE)</f>
        <v>0</v>
      </c>
      <c r="U50" s="6">
        <v>0</v>
      </c>
      <c r="V50" s="6">
        <v>100</v>
      </c>
      <c r="W50" s="6">
        <v>0</v>
      </c>
      <c r="X50" s="23">
        <f ca="1">VLOOKUP($I50,OFFSET([2]enemies!$A$1,0,0,COUNTA([2]enemies!$A:$A),MATCH(X$1,[2]enemies!$1:$1,0)-MATCH($I$1,[2]enemies!$1:$1,0)+1),MATCH(X$1,[2]enemies!$1:$1,0)-MATCH($I$1,[2]enemies!$1:$1,0)+1,FALSE)</f>
        <v>2</v>
      </c>
      <c r="Y50" s="42">
        <v>31</v>
      </c>
      <c r="Z50" s="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50" s="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1</v>
      </c>
      <c r="AB50" s="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7">
        <v>5</v>
      </c>
      <c r="AD50" s="29">
        <f t="shared" ref="AD50:AD54" ca="1" si="47">AA50</f>
        <v>1</v>
      </c>
      <c r="AE50" s="8">
        <v>15</v>
      </c>
      <c r="AF50" s="7">
        <v>0</v>
      </c>
      <c r="AG50" s="7">
        <v>0</v>
      </c>
      <c r="AH50" s="7">
        <v>0</v>
      </c>
      <c r="AI50" s="7">
        <v>0</v>
      </c>
      <c r="AJ50" s="7">
        <v>1</v>
      </c>
    </row>
    <row r="51" spans="1:36" ht="21" customHeight="1" x14ac:dyDescent="0.15">
      <c r="A51" s="20" t="str">
        <f t="shared" ca="1" si="44"/>
        <v>20004_3-1/47&lt;lv42&gt;s1</v>
      </c>
      <c r="B51" s="27">
        <v>20004</v>
      </c>
      <c r="C51" s="26">
        <v>3</v>
      </c>
      <c r="D51" s="2" t="str">
        <f t="shared" si="45"/>
        <v>20004_3</v>
      </c>
      <c r="E51" s="4" t="str">
        <f ca="1">VLOOKUP($B51,OFFSET([1]quests!$A$1,0,0,COUNTA([1]quests!$A:$A),MATCH(E$1,[1]quests!$1:$1,0)-MATCH($B$1,[1]quests!$1:$1,0)+1),MATCH(E$1,[1]quests!$1:$1,0)-MATCH($B$1,[1]quests!$1:$1,0)+1,FALSE)</f>
        <v>雷雲からの刺客</v>
      </c>
      <c r="F51" s="4" t="str">
        <f ca="1">VLOOKUP($D51,OFFSET([1]stages!$A$1,0,0,COUNTA([1]stages!$A:$A),MATCH(F$1,[1]stages!$2:$2,0)-MATCH($D$1,[1]stages!$2:$2,0)+1),MATCH(F$1,[1]stages!$2:$2,0)-MATCH($D$1,[1]stages!$2:$2,0)+1,FALSE)</f>
        <v>【上級】雷雲からの刺客</v>
      </c>
      <c r="G51" s="26">
        <v>1</v>
      </c>
      <c r="H51" s="19" t="str">
        <f t="shared" si="46"/>
        <v>20004_3-1</v>
      </c>
      <c r="I51" s="42">
        <v>47</v>
      </c>
      <c r="J51" s="23" t="str">
        <f ca="1">VLOOKUP($I51,OFFSET([2]enemies!$A$1,0,0,COUNTA([2]enemies!$A:$A),MATCH(J$1,[2]enemies!$1:$1,0)-MATCH($I$1,[2]enemies!$1:$1,0)+1),MATCH(J$1,[2]enemies!$1:$1,0)-MATCH($I$1,[2]enemies!$1:$1,0)+1,FALSE)</f>
        <v>ヒロ</v>
      </c>
      <c r="K51" s="23" t="str">
        <f ca="1">VLOOKUP($I51,OFFSET([2]enemies!$A$1,0,0,COUNTA([2]enemies!$A:$A),MATCH(K$1,[2]enemies!$1:$1,0)-MATCH($I$1,[2]enemies!$1:$1,0)+1),MATCH(K$1,[2]enemies!$1:$1,0)-MATCH($I$1,[2]enemies!$1:$1,0)+1,FALSE)</f>
        <v>yellow</v>
      </c>
      <c r="L51" s="24" t="str">
        <f>VLOOKUP(I51,[3]characters!$A:$J,10,FALSE)</f>
        <v>Drop1N</v>
      </c>
      <c r="M51" s="23" t="str">
        <f ca="1">VLOOKUP($I51,OFFSET([2]enemies!$A$1,0,0,COUNTA([2]enemies!$A:$A),MATCH(M$1,[2]enemies!$1:$1,0)-MATCH($I$1,[2]enemies!$1:$1,0)+1),MATCH(M$1,[2]enemies!$1:$1,0)-MATCH($I$1,[2]enemies!$1:$1,0)+1,FALSE)</f>
        <v>animal</v>
      </c>
      <c r="N51" s="23">
        <f ca="1">VLOOKUP($I51,OFFSET([2]enemies!$A$1,0,0,COUNTA([2]enemies!$A:$A),MATCH(N$1,[2]enemies!$1:$1,0)-MATCH($I$1,[2]enemies!$1:$1,0)+1),MATCH(N$1,[2]enemies!$1:$1,0)-MATCH($I$1,[2]enemies!$1:$1,0)+1,FALSE)</f>
        <v>15</v>
      </c>
      <c r="O51" s="5">
        <v>42</v>
      </c>
      <c r="P51" s="30">
        <v>1.5</v>
      </c>
      <c r="Q51" s="30">
        <v>0.8</v>
      </c>
      <c r="R51" s="5">
        <v>0</v>
      </c>
      <c r="S51" s="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23">
        <f ca="1">VLOOKUP($I51,OFFSET([2]enemies!$A$1,0,0,COUNTA([2]enemies!$A:$A),MATCH(T$1,[2]enemies!$1:$1,0)-MATCH($I$1,[2]enemies!$1:$1,0)+1),MATCH(T$1,[2]enemies!$1:$1,0)-MATCH($I$1,[2]enemies!$1:$1,0)+1,FALSE)</f>
        <v>0</v>
      </c>
      <c r="U51" s="6">
        <v>0</v>
      </c>
      <c r="V51" s="6">
        <v>100</v>
      </c>
      <c r="W51" s="6">
        <v>0</v>
      </c>
      <c r="X51" s="23">
        <f ca="1">VLOOKUP($I51,OFFSET([2]enemies!$A$1,0,0,COUNTA([2]enemies!$A:$A),MATCH(X$1,[2]enemies!$1:$1,0)-MATCH($I$1,[2]enemies!$1:$1,0)+1),MATCH(X$1,[2]enemies!$1:$1,0)-MATCH($I$1,[2]enemies!$1:$1,0)+1,FALSE)</f>
        <v>1</v>
      </c>
      <c r="Y51" s="42">
        <v>47</v>
      </c>
      <c r="Z51" s="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1" s="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7">
        <v>5</v>
      </c>
      <c r="AD51" s="29">
        <f t="shared" ca="1" si="47"/>
        <v>2</v>
      </c>
      <c r="AE51" s="8">
        <v>15</v>
      </c>
      <c r="AF51" s="7">
        <v>0</v>
      </c>
      <c r="AG51" s="7">
        <v>0</v>
      </c>
      <c r="AH51" s="7">
        <v>0</v>
      </c>
      <c r="AI51" s="7">
        <v>0</v>
      </c>
      <c r="AJ51" s="7">
        <v>1</v>
      </c>
    </row>
    <row r="52" spans="1:36" ht="21" customHeight="1" x14ac:dyDescent="0.15">
      <c r="A52" s="20" t="str">
        <f t="shared" ca="1" si="44"/>
        <v>20004_3-1/55&lt;lv42&gt;s4</v>
      </c>
      <c r="B52" s="27">
        <v>20004</v>
      </c>
      <c r="C52" s="26">
        <v>3</v>
      </c>
      <c r="D52" s="2" t="str">
        <f t="shared" si="45"/>
        <v>20004_3</v>
      </c>
      <c r="E52" s="4" t="str">
        <f ca="1">VLOOKUP($B52,OFFSET([1]quests!$A$1,0,0,COUNTA([1]quests!$A:$A),MATCH(E$1,[1]quests!$1:$1,0)-MATCH($B$1,[1]quests!$1:$1,0)+1),MATCH(E$1,[1]quests!$1:$1,0)-MATCH($B$1,[1]quests!$1:$1,0)+1,FALSE)</f>
        <v>雷雲からの刺客</v>
      </c>
      <c r="F52" s="4" t="str">
        <f ca="1">VLOOKUP($D52,OFFSET([1]stages!$A$1,0,0,COUNTA([1]stages!$A:$A),MATCH(F$1,[1]stages!$2:$2,0)-MATCH($D$1,[1]stages!$2:$2,0)+1),MATCH(F$1,[1]stages!$2:$2,0)-MATCH($D$1,[1]stages!$2:$2,0)+1,FALSE)</f>
        <v>【上級】雷雲からの刺客</v>
      </c>
      <c r="G52" s="26">
        <v>1</v>
      </c>
      <c r="H52" s="19" t="str">
        <f t="shared" si="46"/>
        <v>20004_3-1</v>
      </c>
      <c r="I52" s="42">
        <v>55</v>
      </c>
      <c r="J52" s="23" t="str">
        <f ca="1">VLOOKUP($I52,OFFSET([2]enemies!$A$1,0,0,COUNTA([2]enemies!$A:$A),MATCH(J$1,[2]enemies!$1:$1,0)-MATCH($I$1,[2]enemies!$1:$1,0)+1),MATCH(J$1,[2]enemies!$1:$1,0)-MATCH($I$1,[2]enemies!$1:$1,0)+1,FALSE)</f>
        <v>マミコ</v>
      </c>
      <c r="K52" s="23" t="str">
        <f ca="1">VLOOKUP($I52,OFFSET([2]enemies!$A$1,0,0,COUNTA([2]enemies!$A:$A),MATCH(K$1,[2]enemies!$1:$1,0)-MATCH($I$1,[2]enemies!$1:$1,0)+1),MATCH(K$1,[2]enemies!$1:$1,0)-MATCH($I$1,[2]enemies!$1:$1,0)+1,FALSE)</f>
        <v>yellow</v>
      </c>
      <c r="L52" s="24" t="str">
        <f>VLOOKUP(I52,[3]characters!$A:$J,10,FALSE)</f>
        <v>Drop1N</v>
      </c>
      <c r="M52" s="23" t="str">
        <f ca="1">VLOOKUP($I52,OFFSET([2]enemies!$A$1,0,0,COUNTA([2]enemies!$A:$A),MATCH(M$1,[2]enemies!$1:$1,0)-MATCH($I$1,[2]enemies!$1:$1,0)+1),MATCH(M$1,[2]enemies!$1:$1,0)-MATCH($I$1,[2]enemies!$1:$1,0)+1,FALSE)</f>
        <v>human</v>
      </c>
      <c r="N52" s="23">
        <f ca="1">VLOOKUP($I52,OFFSET([2]enemies!$A$1,0,0,COUNTA([2]enemies!$A:$A),MATCH(N$1,[2]enemies!$1:$1,0)-MATCH($I$1,[2]enemies!$1:$1,0)+1),MATCH(N$1,[2]enemies!$1:$1,0)-MATCH($I$1,[2]enemies!$1:$1,0)+1,FALSE)</f>
        <v>15</v>
      </c>
      <c r="O52" s="5">
        <v>42</v>
      </c>
      <c r="P52" s="30">
        <v>1.5</v>
      </c>
      <c r="Q52" s="30">
        <v>0.8</v>
      </c>
      <c r="R52" s="5">
        <v>0</v>
      </c>
      <c r="S52" s="4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52" s="47">
        <v>1055</v>
      </c>
      <c r="U52" s="6">
        <v>0</v>
      </c>
      <c r="V52" s="6">
        <v>100</v>
      </c>
      <c r="W52" s="6">
        <v>0</v>
      </c>
      <c r="X52" s="23">
        <f ca="1">VLOOKUP($I52,OFFSET([2]enemies!$A$1,0,0,COUNTA([2]enemies!$A:$A),MATCH(X$1,[2]enemies!$1:$1,0)-MATCH($I$1,[2]enemies!$1:$1,0)+1),MATCH(X$1,[2]enemies!$1:$1,0)-MATCH($I$1,[2]enemies!$1:$1,0)+1,FALSE)</f>
        <v>4</v>
      </c>
      <c r="Y52" s="42">
        <v>55</v>
      </c>
      <c r="Z52" s="4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マミコ</v>
      </c>
      <c r="AA52" s="4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4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7">
        <v>5</v>
      </c>
      <c r="AD52" s="29">
        <f t="shared" ca="1" si="47"/>
        <v>2</v>
      </c>
      <c r="AE52" s="8">
        <v>15</v>
      </c>
      <c r="AF52" s="7">
        <v>0</v>
      </c>
      <c r="AG52" s="7">
        <v>0</v>
      </c>
      <c r="AH52" s="7">
        <v>0</v>
      </c>
      <c r="AI52" s="7">
        <v>0</v>
      </c>
      <c r="AJ52" s="7">
        <v>1</v>
      </c>
    </row>
    <row r="53" spans="1:36" ht="21" customHeight="1" x14ac:dyDescent="0.15">
      <c r="A53" s="20" t="str">
        <f t="shared" ca="1" si="44"/>
        <v>20004_3-1/63&lt;lv42&gt;s2</v>
      </c>
      <c r="B53" s="27">
        <v>20004</v>
      </c>
      <c r="C53" s="26">
        <v>3</v>
      </c>
      <c r="D53" s="2" t="str">
        <f t="shared" si="45"/>
        <v>20004_3</v>
      </c>
      <c r="E53" s="4" t="str">
        <f ca="1">VLOOKUP($B53,OFFSET([1]quests!$A$1,0,0,COUNTA([1]quests!$A:$A),MATCH(E$1,[1]quests!$1:$1,0)-MATCH($B$1,[1]quests!$1:$1,0)+1),MATCH(E$1,[1]quests!$1:$1,0)-MATCH($B$1,[1]quests!$1:$1,0)+1,FALSE)</f>
        <v>雷雲からの刺客</v>
      </c>
      <c r="F53" s="4" t="str">
        <f ca="1">VLOOKUP($D53,OFFSET([1]stages!$A$1,0,0,COUNTA([1]stages!$A:$A),MATCH(F$1,[1]stages!$2:$2,0)-MATCH($D$1,[1]stages!$2:$2,0)+1),MATCH(F$1,[1]stages!$2:$2,0)-MATCH($D$1,[1]stages!$2:$2,0)+1,FALSE)</f>
        <v>【上級】雷雲からの刺客</v>
      </c>
      <c r="G53" s="26">
        <v>1</v>
      </c>
      <c r="H53" s="19" t="str">
        <f t="shared" si="46"/>
        <v>20004_3-1</v>
      </c>
      <c r="I53" s="42">
        <v>63</v>
      </c>
      <c r="J53" s="23" t="str">
        <f ca="1">VLOOKUP($I53,OFFSET([2]enemies!$A$1,0,0,COUNTA([2]enemies!$A:$A),MATCH(J$1,[2]enemies!$1:$1,0)-MATCH($I$1,[2]enemies!$1:$1,0)+1),MATCH(J$1,[2]enemies!$1:$1,0)-MATCH($I$1,[2]enemies!$1:$1,0)+1,FALSE)</f>
        <v>トニー</v>
      </c>
      <c r="K53" s="23" t="str">
        <f ca="1">VLOOKUP($I53,OFFSET([2]enemies!$A$1,0,0,COUNTA([2]enemies!$A:$A),MATCH(K$1,[2]enemies!$1:$1,0)-MATCH($I$1,[2]enemies!$1:$1,0)+1),MATCH(K$1,[2]enemies!$1:$1,0)-MATCH($I$1,[2]enemies!$1:$1,0)+1,FALSE)</f>
        <v>yellow</v>
      </c>
      <c r="L53" s="24" t="str">
        <f>VLOOKUP(I53,[3]characters!$A:$J,10,FALSE)</f>
        <v>Drop1N</v>
      </c>
      <c r="M53" s="23" t="str">
        <f ca="1">VLOOKUP($I53,OFFSET([2]enemies!$A$1,0,0,COUNTA([2]enemies!$A:$A),MATCH(M$1,[2]enemies!$1:$1,0)-MATCH($I$1,[2]enemies!$1:$1,0)+1),MATCH(M$1,[2]enemies!$1:$1,0)-MATCH($I$1,[2]enemies!$1:$1,0)+1,FALSE)</f>
        <v>animal</v>
      </c>
      <c r="N53" s="23">
        <f ca="1">VLOOKUP($I53,OFFSET([2]enemies!$A$1,0,0,COUNTA([2]enemies!$A:$A),MATCH(N$1,[2]enemies!$1:$1,0)-MATCH($I$1,[2]enemies!$1:$1,0)+1),MATCH(N$1,[2]enemies!$1:$1,0)-MATCH($I$1,[2]enemies!$1:$1,0)+1,FALSE)</f>
        <v>15</v>
      </c>
      <c r="O53" s="5">
        <v>42</v>
      </c>
      <c r="P53" s="30">
        <v>1.5</v>
      </c>
      <c r="Q53" s="30">
        <v>0.8</v>
      </c>
      <c r="R53" s="5">
        <v>0</v>
      </c>
      <c r="S53" s="4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3" s="23">
        <f ca="1">VLOOKUP($I53,OFFSET([2]enemies!$A$1,0,0,COUNTA([2]enemies!$A:$A),MATCH(T$1,[2]enemies!$1:$1,0)-MATCH($I$1,[2]enemies!$1:$1,0)+1),MATCH(T$1,[2]enemies!$1:$1,0)-MATCH($I$1,[2]enemies!$1:$1,0)+1,FALSE)</f>
        <v>63</v>
      </c>
      <c r="U53" s="6">
        <v>0</v>
      </c>
      <c r="V53" s="6">
        <v>100</v>
      </c>
      <c r="W53" s="6">
        <v>0</v>
      </c>
      <c r="X53" s="23">
        <f ca="1">VLOOKUP($I53,OFFSET([2]enemies!$A$1,0,0,COUNTA([2]enemies!$A:$A),MATCH(X$1,[2]enemies!$1:$1,0)-MATCH($I$1,[2]enemies!$1:$1,0)+1),MATCH(X$1,[2]enemies!$1:$1,0)-MATCH($I$1,[2]enemies!$1:$1,0)+1,FALSE)</f>
        <v>2</v>
      </c>
      <c r="Y53" s="42">
        <v>63</v>
      </c>
      <c r="Z53" s="4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53" s="4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2</v>
      </c>
      <c r="AB53" s="4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7">
        <v>5</v>
      </c>
      <c r="AD53" s="29">
        <f t="shared" ca="1" si="47"/>
        <v>2</v>
      </c>
      <c r="AE53" s="8">
        <v>15</v>
      </c>
      <c r="AF53" s="7">
        <v>0</v>
      </c>
      <c r="AG53" s="7">
        <v>0</v>
      </c>
      <c r="AH53" s="7">
        <v>0</v>
      </c>
      <c r="AI53" s="7">
        <v>0</v>
      </c>
      <c r="AJ53" s="7">
        <v>1</v>
      </c>
    </row>
    <row r="54" spans="1:36" ht="21" customHeight="1" x14ac:dyDescent="0.15">
      <c r="A54" s="20" t="str">
        <f t="shared" ca="1" si="44"/>
        <v>20004_3-1/118&lt;lv42&gt;s2</v>
      </c>
      <c r="B54" s="27">
        <v>20004</v>
      </c>
      <c r="C54" s="26">
        <v>3</v>
      </c>
      <c r="D54" s="2" t="str">
        <f t="shared" si="45"/>
        <v>20004_3</v>
      </c>
      <c r="E54" s="4" t="str">
        <f ca="1">VLOOKUP($B54,OFFSET([1]quests!$A$1,0,0,COUNTA([1]quests!$A:$A),MATCH(E$1,[1]quests!$1:$1,0)-MATCH($B$1,[1]quests!$1:$1,0)+1),MATCH(E$1,[1]quests!$1:$1,0)-MATCH($B$1,[1]quests!$1:$1,0)+1,FALSE)</f>
        <v>雷雲からの刺客</v>
      </c>
      <c r="F54" s="4" t="str">
        <f ca="1">VLOOKUP($D54,OFFSET([1]stages!$A$1,0,0,COUNTA([1]stages!$A:$A),MATCH(F$1,[1]stages!$2:$2,0)-MATCH($D$1,[1]stages!$2:$2,0)+1),MATCH(F$1,[1]stages!$2:$2,0)-MATCH($D$1,[1]stages!$2:$2,0)+1,FALSE)</f>
        <v>【上級】雷雲からの刺客</v>
      </c>
      <c r="G54" s="26">
        <v>1</v>
      </c>
      <c r="H54" s="19" t="str">
        <f t="shared" si="46"/>
        <v>20004_3-1</v>
      </c>
      <c r="I54" s="44">
        <v>118</v>
      </c>
      <c r="J54" s="23" t="str">
        <f ca="1">VLOOKUP($I54,OFFSET([2]enemies!$A$1,0,0,COUNTA([2]enemies!$A:$A),MATCH(J$1,[2]enemies!$1:$1,0)-MATCH($I$1,[2]enemies!$1:$1,0)+1),MATCH(J$1,[2]enemies!$1:$1,0)-MATCH($I$1,[2]enemies!$1:$1,0)+1,FALSE)</f>
        <v>ゴールドチック</v>
      </c>
      <c r="K54" s="23" t="str">
        <f ca="1">VLOOKUP($I54,OFFSET([2]enemies!$A$1,0,0,COUNTA([2]enemies!$A:$A),MATCH(K$1,[2]enemies!$1:$1,0)-MATCH($I$1,[2]enemies!$1:$1,0)+1),MATCH(K$1,[2]enemies!$1:$1,0)-MATCH($I$1,[2]enemies!$1:$1,0)+1,FALSE)</f>
        <v>yellow</v>
      </c>
      <c r="L54" s="24" t="str">
        <f>VLOOKUP(I54,[3]characters!$A:$J,10,FALSE)</f>
        <v>Material</v>
      </c>
      <c r="M54" s="23" t="str">
        <f ca="1">VLOOKUP($I54,OFFSET([2]enemies!$A$1,0,0,COUNTA([2]enemies!$A:$A),MATCH(M$1,[2]enemies!$1:$1,0)-MATCH($I$1,[2]enemies!$1:$1,0)+1),MATCH(M$1,[2]enemies!$1:$1,0)-MATCH($I$1,[2]enemies!$1:$1,0)+1,FALSE)</f>
        <v>unknown</v>
      </c>
      <c r="N54" s="23">
        <f ca="1">VLOOKUP($I54,OFFSET([2]enemies!$A$1,0,0,COUNTA([2]enemies!$A:$A),MATCH(N$1,[2]enemies!$1:$1,0)-MATCH($I$1,[2]enemies!$1:$1,0)+1),MATCH(N$1,[2]enemies!$1:$1,0)-MATCH($I$1,[2]enemies!$1:$1,0)+1,FALSE)</f>
        <v>15</v>
      </c>
      <c r="O54" s="5">
        <v>42</v>
      </c>
      <c r="P54" s="30">
        <v>1.5</v>
      </c>
      <c r="Q54" s="30">
        <v>0.8</v>
      </c>
      <c r="R54" s="5">
        <v>0</v>
      </c>
      <c r="S54" s="4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23">
        <f ca="1">VLOOKUP($I54,OFFSET([2]enemies!$A$1,0,0,COUNTA([2]enemies!$A:$A),MATCH(T$1,[2]enemies!$1:$1,0)-MATCH($I$1,[2]enemies!$1:$1,0)+1),MATCH(T$1,[2]enemies!$1:$1,0)-MATCH($I$1,[2]enemies!$1:$1,0)+1,FALSE)</f>
        <v>0</v>
      </c>
      <c r="U54" s="6">
        <v>0</v>
      </c>
      <c r="V54" s="6">
        <v>30</v>
      </c>
      <c r="W54" s="6">
        <v>0</v>
      </c>
      <c r="X54" s="23">
        <f ca="1">VLOOKUP($I54,OFFSET([2]enemies!$A$1,0,0,COUNTA([2]enemies!$A:$A),MATCH(X$1,[2]enemies!$1:$1,0)-MATCH($I$1,[2]enemies!$1:$1,0)+1),MATCH(X$1,[2]enemies!$1:$1,0)-MATCH($I$1,[2]enemies!$1:$1,0)+1,FALSE)</f>
        <v>2</v>
      </c>
      <c r="Y54" s="44">
        <v>118</v>
      </c>
      <c r="Z54" s="4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54" s="4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4</v>
      </c>
      <c r="AB54" s="4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54" s="7">
        <v>1</v>
      </c>
      <c r="AD54" s="29">
        <f t="shared" ca="1" si="47"/>
        <v>4</v>
      </c>
      <c r="AE54" s="8">
        <v>10</v>
      </c>
      <c r="AF54" s="7">
        <v>0</v>
      </c>
      <c r="AG54" s="7">
        <v>0</v>
      </c>
      <c r="AH54" s="7">
        <v>0</v>
      </c>
      <c r="AI54" s="7">
        <v>0</v>
      </c>
      <c r="AJ54" s="7">
        <v>1</v>
      </c>
    </row>
    <row r="55" spans="1:36" ht="21" customHeight="1" x14ac:dyDescent="0.15">
      <c r="A55" s="20" t="str">
        <f ca="1">B55&amp;"_"&amp;C55&amp;"-"&amp;G55&amp;"/"&amp;I55&amp;"&lt;lv"&amp;O55&amp;"&gt;s"&amp;X55</f>
        <v>20004_3-2/8&lt;lv42&gt;s2</v>
      </c>
      <c r="B55" s="27">
        <v>20004</v>
      </c>
      <c r="C55" s="26">
        <v>3</v>
      </c>
      <c r="D55" s="2" t="str">
        <f>B55&amp;"_"&amp;C55</f>
        <v>20004_3</v>
      </c>
      <c r="E55" s="4" t="str">
        <f ca="1">VLOOKUP($B55,OFFSET([1]quests!$A$1,0,0,COUNTA([1]quests!$A:$A),MATCH(E$1,[1]quests!$1:$1,0)-MATCH($B$1,[1]quests!$1:$1,0)+1),MATCH(E$1,[1]quests!$1:$1,0)-MATCH($B$1,[1]quests!$1:$1,0)+1,FALSE)</f>
        <v>雷雲からの刺客</v>
      </c>
      <c r="F55" s="4" t="str">
        <f ca="1">VLOOKUP($D55,OFFSET([1]stages!$A$1,0,0,COUNTA([1]stages!$A:$A),MATCH(F$1,[1]stages!$2:$2,0)-MATCH($D$1,[1]stages!$2:$2,0)+1),MATCH(F$1,[1]stages!$2:$2,0)-MATCH($D$1,[1]stages!$2:$2,0)+1,FALSE)</f>
        <v>【上級】雷雲からの刺客</v>
      </c>
      <c r="G55" s="43">
        <v>2</v>
      </c>
      <c r="H55" s="19" t="str">
        <f>B55&amp;"_"&amp;C55&amp;"-"&amp;G55</f>
        <v>20004_3-2</v>
      </c>
      <c r="I55" s="41">
        <v>8</v>
      </c>
      <c r="J55" s="23" t="str">
        <f ca="1">VLOOKUP($I55,OFFSET([2]enemies!$A$1,0,0,COUNTA([2]enemies!$A:$A),MATCH(J$1,[2]enemies!$1:$1,0)-MATCH($I$1,[2]enemies!$1:$1,0)+1),MATCH(J$1,[2]enemies!$1:$1,0)-MATCH($I$1,[2]enemies!$1:$1,0)+1,FALSE)</f>
        <v>ハイボルテージ エレキポット</v>
      </c>
      <c r="K55" s="23" t="str">
        <f ca="1">VLOOKUP($I55,OFFSET([2]enemies!$A$1,0,0,COUNTA([2]enemies!$A:$A),MATCH(K$1,[2]enemies!$1:$1,0)-MATCH($I$1,[2]enemies!$1:$1,0)+1),MATCH(K$1,[2]enemies!$1:$1,0)-MATCH($I$1,[2]enemies!$1:$1,0)+1,FALSE)</f>
        <v>yellow</v>
      </c>
      <c r="L55" s="24" t="str">
        <f>VLOOKUP(I55,[3]characters!$A:$J,10,FALSE)</f>
        <v>Drop1T</v>
      </c>
      <c r="M55" s="23" t="str">
        <f ca="1">VLOOKUP($I55,OFFSET([2]enemies!$A$1,0,0,COUNTA([2]enemies!$A:$A),MATCH(M$1,[2]enemies!$1:$1,0)-MATCH($I$1,[2]enemies!$1:$1,0)+1),MATCH(M$1,[2]enemies!$1:$1,0)-MATCH($I$1,[2]enemies!$1:$1,0)+1,FALSE)</f>
        <v>unknown</v>
      </c>
      <c r="N55" s="23">
        <f ca="1">VLOOKUP($I55,OFFSET([2]enemies!$A$1,0,0,COUNTA([2]enemies!$A:$A),MATCH(N$1,[2]enemies!$1:$1,0)-MATCH($I$1,[2]enemies!$1:$1,0)+1),MATCH(N$1,[2]enemies!$1:$1,0)-MATCH($I$1,[2]enemies!$1:$1,0)+1,FALSE)</f>
        <v>15</v>
      </c>
      <c r="O55" s="5">
        <v>42</v>
      </c>
      <c r="P55" s="30">
        <v>1.5</v>
      </c>
      <c r="Q55" s="30">
        <v>0.8</v>
      </c>
      <c r="R55" s="5">
        <v>0</v>
      </c>
      <c r="S55" s="4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23">
        <f ca="1">VLOOKUP($I55,OFFSET([2]enemies!$A$1,0,0,COUNTA([2]enemies!$A:$A),MATCH(T$1,[2]enemies!$1:$1,0)-MATCH($I$1,[2]enemies!$1:$1,0)+1),MATCH(T$1,[2]enemies!$1:$1,0)-MATCH($I$1,[2]enemies!$1:$1,0)+1,FALSE)</f>
        <v>0</v>
      </c>
      <c r="U55" s="6">
        <v>0</v>
      </c>
      <c r="V55" s="6">
        <v>100</v>
      </c>
      <c r="W55" s="6">
        <v>0</v>
      </c>
      <c r="X55" s="23">
        <f ca="1">VLOOKUP($I55,OFFSET([2]enemies!$A$1,0,0,COUNTA([2]enemies!$A:$A),MATCH(X$1,[2]enemies!$1:$1,0)-MATCH($I$1,[2]enemies!$1:$1,0)+1),MATCH(X$1,[2]enemies!$1:$1,0)-MATCH($I$1,[2]enemies!$1:$1,0)+1,FALSE)</f>
        <v>2</v>
      </c>
      <c r="Y55" s="41">
        <v>8</v>
      </c>
      <c r="Z55" s="4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ハイボルテージ エレキポット</v>
      </c>
      <c r="AA55" s="4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4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55" s="7">
        <v>9</v>
      </c>
      <c r="AD55" s="29">
        <f ca="1">AA55</f>
        <v>2</v>
      </c>
      <c r="AE55" s="8">
        <v>15</v>
      </c>
      <c r="AF55" s="7">
        <v>0</v>
      </c>
      <c r="AG55" s="7">
        <v>0</v>
      </c>
      <c r="AH55" s="7">
        <v>0</v>
      </c>
      <c r="AI55" s="7">
        <v>0</v>
      </c>
      <c r="AJ55" s="7">
        <v>1</v>
      </c>
    </row>
    <row r="56" spans="1:36" ht="21" customHeight="1" x14ac:dyDescent="0.15">
      <c r="A56" s="20" t="str">
        <f t="shared" ref="A56:A61" ca="1" si="48">B56&amp;"_"&amp;C56&amp;"-"&amp;G56&amp;"/"&amp;I56&amp;"&lt;lv"&amp;O56&amp;"&gt;s"&amp;X56</f>
        <v>20004_3-2/31&lt;lv42&gt;s2</v>
      </c>
      <c r="B56" s="27">
        <v>20004</v>
      </c>
      <c r="C56" s="26">
        <v>3</v>
      </c>
      <c r="D56" s="2" t="str">
        <f t="shared" ref="D56:D61" si="49">B56&amp;"_"&amp;C56</f>
        <v>20004_3</v>
      </c>
      <c r="E56" s="4" t="str">
        <f ca="1">VLOOKUP($B56,OFFSET([1]quests!$A$1,0,0,COUNTA([1]quests!$A:$A),MATCH(E$1,[1]quests!$1:$1,0)-MATCH($B$1,[1]quests!$1:$1,0)+1),MATCH(E$1,[1]quests!$1:$1,0)-MATCH($B$1,[1]quests!$1:$1,0)+1,FALSE)</f>
        <v>雷雲からの刺客</v>
      </c>
      <c r="F56" s="4" t="str">
        <f ca="1">VLOOKUP($D56,OFFSET([1]stages!$A$1,0,0,COUNTA([1]stages!$A:$A),MATCH(F$1,[1]stages!$2:$2,0)-MATCH($D$1,[1]stages!$2:$2,0)+1),MATCH(F$1,[1]stages!$2:$2,0)-MATCH($D$1,[1]stages!$2:$2,0)+1,FALSE)</f>
        <v>【上級】雷雲からの刺客</v>
      </c>
      <c r="G56" s="43">
        <v>2</v>
      </c>
      <c r="H56" s="19" t="str">
        <f t="shared" ref="H56:H61" si="50">B56&amp;"_"&amp;C56&amp;"-"&amp;G56</f>
        <v>20004_3-2</v>
      </c>
      <c r="I56" s="42">
        <v>31</v>
      </c>
      <c r="J56" s="23" t="str">
        <f ca="1">VLOOKUP($I56,OFFSET([2]enemies!$A$1,0,0,COUNTA([2]enemies!$A:$A),MATCH(J$1,[2]enemies!$1:$1,0)-MATCH($I$1,[2]enemies!$1:$1,0)+1),MATCH(J$1,[2]enemies!$1:$1,0)-MATCH($I$1,[2]enemies!$1:$1,0)+1,FALSE)</f>
        <v>マービー</v>
      </c>
      <c r="K56" s="23" t="str">
        <f ca="1">VLOOKUP($I56,OFFSET([2]enemies!$A$1,0,0,COUNTA([2]enemies!$A:$A),MATCH(K$1,[2]enemies!$1:$1,0)-MATCH($I$1,[2]enemies!$1:$1,0)+1),MATCH(K$1,[2]enemies!$1:$1,0)-MATCH($I$1,[2]enemies!$1:$1,0)+1,FALSE)</f>
        <v>yellow</v>
      </c>
      <c r="L56" s="24" t="str">
        <f>VLOOKUP(I56,[3]characters!$A:$J,10,FALSE)</f>
        <v>Drop1N</v>
      </c>
      <c r="M56" s="23" t="str">
        <f ca="1">VLOOKUP($I56,OFFSET([2]enemies!$A$1,0,0,COUNTA([2]enemies!$A:$A),MATCH(M$1,[2]enemies!$1:$1,0)-MATCH($I$1,[2]enemies!$1:$1,0)+1),MATCH(M$1,[2]enemies!$1:$1,0)-MATCH($I$1,[2]enemies!$1:$1,0)+1,FALSE)</f>
        <v>machine</v>
      </c>
      <c r="N56" s="23">
        <f ca="1">VLOOKUP($I56,OFFSET([2]enemies!$A$1,0,0,COUNTA([2]enemies!$A:$A),MATCH(N$1,[2]enemies!$1:$1,0)-MATCH($I$1,[2]enemies!$1:$1,0)+1),MATCH(N$1,[2]enemies!$1:$1,0)-MATCH($I$1,[2]enemies!$1:$1,0)+1,FALSE)</f>
        <v>15</v>
      </c>
      <c r="O56" s="5">
        <v>42</v>
      </c>
      <c r="P56" s="30">
        <v>1.5</v>
      </c>
      <c r="Q56" s="30">
        <v>0.8</v>
      </c>
      <c r="R56" s="5">
        <v>0</v>
      </c>
      <c r="S56" s="4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23">
        <f ca="1">VLOOKUP($I56,OFFSET([2]enemies!$A$1,0,0,COUNTA([2]enemies!$A:$A),MATCH(T$1,[2]enemies!$1:$1,0)-MATCH($I$1,[2]enemies!$1:$1,0)+1),MATCH(T$1,[2]enemies!$1:$1,0)-MATCH($I$1,[2]enemies!$1:$1,0)+1,FALSE)</f>
        <v>0</v>
      </c>
      <c r="U56" s="6">
        <v>0</v>
      </c>
      <c r="V56" s="6">
        <v>100</v>
      </c>
      <c r="W56" s="6">
        <v>0</v>
      </c>
      <c r="X56" s="23">
        <f ca="1">VLOOKUP($I56,OFFSET([2]enemies!$A$1,0,0,COUNTA([2]enemies!$A:$A),MATCH(X$1,[2]enemies!$1:$1,0)-MATCH($I$1,[2]enemies!$1:$1,0)+1),MATCH(X$1,[2]enemies!$1:$1,0)-MATCH($I$1,[2]enemies!$1:$1,0)+1,FALSE)</f>
        <v>2</v>
      </c>
      <c r="Y56" s="42">
        <v>31</v>
      </c>
      <c r="Z56" s="4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56" s="4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1</v>
      </c>
      <c r="AB56" s="4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6" s="7">
        <v>5</v>
      </c>
      <c r="AD56" s="29">
        <f t="shared" ref="AD56:AD61" ca="1" si="51">AA56</f>
        <v>1</v>
      </c>
      <c r="AE56" s="8">
        <v>15</v>
      </c>
      <c r="AF56" s="7">
        <v>0</v>
      </c>
      <c r="AG56" s="7">
        <v>0</v>
      </c>
      <c r="AH56" s="7">
        <v>0</v>
      </c>
      <c r="AI56" s="7">
        <v>0</v>
      </c>
      <c r="AJ56" s="7">
        <v>1</v>
      </c>
    </row>
    <row r="57" spans="1:36" ht="21" customHeight="1" x14ac:dyDescent="0.15">
      <c r="A57" s="20" t="str">
        <f t="shared" ca="1" si="48"/>
        <v>20004_3-2/47&lt;lv42&gt;s1</v>
      </c>
      <c r="B57" s="27">
        <v>20004</v>
      </c>
      <c r="C57" s="26">
        <v>3</v>
      </c>
      <c r="D57" s="2" t="str">
        <f t="shared" si="49"/>
        <v>20004_3</v>
      </c>
      <c r="E57" s="4" t="str">
        <f ca="1">VLOOKUP($B57,OFFSET([1]quests!$A$1,0,0,COUNTA([1]quests!$A:$A),MATCH(E$1,[1]quests!$1:$1,0)-MATCH($B$1,[1]quests!$1:$1,0)+1),MATCH(E$1,[1]quests!$1:$1,0)-MATCH($B$1,[1]quests!$1:$1,0)+1,FALSE)</f>
        <v>雷雲からの刺客</v>
      </c>
      <c r="F57" s="4" t="str">
        <f ca="1">VLOOKUP($D57,OFFSET([1]stages!$A$1,0,0,COUNTA([1]stages!$A:$A),MATCH(F$1,[1]stages!$2:$2,0)-MATCH($D$1,[1]stages!$2:$2,0)+1),MATCH(F$1,[1]stages!$2:$2,0)-MATCH($D$1,[1]stages!$2:$2,0)+1,FALSE)</f>
        <v>【上級】雷雲からの刺客</v>
      </c>
      <c r="G57" s="43">
        <v>2</v>
      </c>
      <c r="H57" s="19" t="str">
        <f t="shared" si="50"/>
        <v>20004_3-2</v>
      </c>
      <c r="I57" s="42">
        <v>47</v>
      </c>
      <c r="J57" s="23" t="str">
        <f ca="1">VLOOKUP($I57,OFFSET([2]enemies!$A$1,0,0,COUNTA([2]enemies!$A:$A),MATCH(J$1,[2]enemies!$1:$1,0)-MATCH($I$1,[2]enemies!$1:$1,0)+1),MATCH(J$1,[2]enemies!$1:$1,0)-MATCH($I$1,[2]enemies!$1:$1,0)+1,FALSE)</f>
        <v>ヒロ</v>
      </c>
      <c r="K57" s="23" t="str">
        <f ca="1">VLOOKUP($I57,OFFSET([2]enemies!$A$1,0,0,COUNTA([2]enemies!$A:$A),MATCH(K$1,[2]enemies!$1:$1,0)-MATCH($I$1,[2]enemies!$1:$1,0)+1),MATCH(K$1,[2]enemies!$1:$1,0)-MATCH($I$1,[2]enemies!$1:$1,0)+1,FALSE)</f>
        <v>yellow</v>
      </c>
      <c r="L57" s="24" t="str">
        <f>VLOOKUP(I57,[3]characters!$A:$J,10,FALSE)</f>
        <v>Drop1N</v>
      </c>
      <c r="M57" s="23" t="str">
        <f ca="1">VLOOKUP($I57,OFFSET([2]enemies!$A$1,0,0,COUNTA([2]enemies!$A:$A),MATCH(M$1,[2]enemies!$1:$1,0)-MATCH($I$1,[2]enemies!$1:$1,0)+1),MATCH(M$1,[2]enemies!$1:$1,0)-MATCH($I$1,[2]enemies!$1:$1,0)+1,FALSE)</f>
        <v>animal</v>
      </c>
      <c r="N57" s="23">
        <f ca="1">VLOOKUP($I57,OFFSET([2]enemies!$A$1,0,0,COUNTA([2]enemies!$A:$A),MATCH(N$1,[2]enemies!$1:$1,0)-MATCH($I$1,[2]enemies!$1:$1,0)+1),MATCH(N$1,[2]enemies!$1:$1,0)-MATCH($I$1,[2]enemies!$1:$1,0)+1,FALSE)</f>
        <v>15</v>
      </c>
      <c r="O57" s="5">
        <v>42</v>
      </c>
      <c r="P57" s="30">
        <v>1.5</v>
      </c>
      <c r="Q57" s="30">
        <v>0.8</v>
      </c>
      <c r="R57" s="5">
        <v>0</v>
      </c>
      <c r="S57" s="4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23">
        <f ca="1">VLOOKUP($I57,OFFSET([2]enemies!$A$1,0,0,COUNTA([2]enemies!$A:$A),MATCH(T$1,[2]enemies!$1:$1,0)-MATCH($I$1,[2]enemies!$1:$1,0)+1),MATCH(T$1,[2]enemies!$1:$1,0)-MATCH($I$1,[2]enemies!$1:$1,0)+1,FALSE)</f>
        <v>0</v>
      </c>
      <c r="U57" s="6">
        <v>0</v>
      </c>
      <c r="V57" s="6">
        <v>100</v>
      </c>
      <c r="W57" s="6">
        <v>0</v>
      </c>
      <c r="X57" s="23">
        <f ca="1">VLOOKUP($I57,OFFSET([2]enemies!$A$1,0,0,COUNTA([2]enemies!$A:$A),MATCH(X$1,[2]enemies!$1:$1,0)-MATCH($I$1,[2]enemies!$1:$1,0)+1),MATCH(X$1,[2]enemies!$1:$1,0)-MATCH($I$1,[2]enemies!$1:$1,0)+1,FALSE)</f>
        <v>1</v>
      </c>
      <c r="Y57" s="42">
        <v>47</v>
      </c>
      <c r="Z57" s="4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7" s="4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2</v>
      </c>
      <c r="AB57" s="4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7" s="7">
        <v>5</v>
      </c>
      <c r="AD57" s="29">
        <f t="shared" ca="1" si="51"/>
        <v>2</v>
      </c>
      <c r="AE57" s="8">
        <v>15</v>
      </c>
      <c r="AF57" s="7">
        <v>0</v>
      </c>
      <c r="AG57" s="7">
        <v>0</v>
      </c>
      <c r="AH57" s="7">
        <v>0</v>
      </c>
      <c r="AI57" s="7">
        <v>0</v>
      </c>
      <c r="AJ57" s="7">
        <v>1</v>
      </c>
    </row>
    <row r="58" spans="1:36" ht="21" customHeight="1" x14ac:dyDescent="0.15">
      <c r="A58" s="20" t="str">
        <f t="shared" ca="1" si="48"/>
        <v>20004_3-2/55&lt;lv42&gt;s4</v>
      </c>
      <c r="B58" s="27">
        <v>20004</v>
      </c>
      <c r="C58" s="26">
        <v>3</v>
      </c>
      <c r="D58" s="2" t="str">
        <f t="shared" si="49"/>
        <v>20004_3</v>
      </c>
      <c r="E58" s="4" t="str">
        <f ca="1">VLOOKUP($B58,OFFSET([1]quests!$A$1,0,0,COUNTA([1]quests!$A:$A),MATCH(E$1,[1]quests!$1:$1,0)-MATCH($B$1,[1]quests!$1:$1,0)+1),MATCH(E$1,[1]quests!$1:$1,0)-MATCH($B$1,[1]quests!$1:$1,0)+1,FALSE)</f>
        <v>雷雲からの刺客</v>
      </c>
      <c r="F58" s="4" t="str">
        <f ca="1">VLOOKUP($D58,OFFSET([1]stages!$A$1,0,0,COUNTA([1]stages!$A:$A),MATCH(F$1,[1]stages!$2:$2,0)-MATCH($D$1,[1]stages!$2:$2,0)+1),MATCH(F$1,[1]stages!$2:$2,0)-MATCH($D$1,[1]stages!$2:$2,0)+1,FALSE)</f>
        <v>【上級】雷雲からの刺客</v>
      </c>
      <c r="G58" s="43">
        <v>2</v>
      </c>
      <c r="H58" s="19" t="str">
        <f t="shared" si="50"/>
        <v>20004_3-2</v>
      </c>
      <c r="I58" s="42">
        <v>55</v>
      </c>
      <c r="J58" s="23" t="str">
        <f ca="1">VLOOKUP($I58,OFFSET([2]enemies!$A$1,0,0,COUNTA([2]enemies!$A:$A),MATCH(J$1,[2]enemies!$1:$1,0)-MATCH($I$1,[2]enemies!$1:$1,0)+1),MATCH(J$1,[2]enemies!$1:$1,0)-MATCH($I$1,[2]enemies!$1:$1,0)+1,FALSE)</f>
        <v>マミコ</v>
      </c>
      <c r="K58" s="23" t="str">
        <f ca="1">VLOOKUP($I58,OFFSET([2]enemies!$A$1,0,0,COUNTA([2]enemies!$A:$A),MATCH(K$1,[2]enemies!$1:$1,0)-MATCH($I$1,[2]enemies!$1:$1,0)+1),MATCH(K$1,[2]enemies!$1:$1,0)-MATCH($I$1,[2]enemies!$1:$1,0)+1,FALSE)</f>
        <v>yellow</v>
      </c>
      <c r="L58" s="24" t="str">
        <f>VLOOKUP(I58,[3]characters!$A:$J,10,FALSE)</f>
        <v>Drop1N</v>
      </c>
      <c r="M58" s="23" t="str">
        <f ca="1">VLOOKUP($I58,OFFSET([2]enemies!$A$1,0,0,COUNTA([2]enemies!$A:$A),MATCH(M$1,[2]enemies!$1:$1,0)-MATCH($I$1,[2]enemies!$1:$1,0)+1),MATCH(M$1,[2]enemies!$1:$1,0)-MATCH($I$1,[2]enemies!$1:$1,0)+1,FALSE)</f>
        <v>human</v>
      </c>
      <c r="N58" s="23">
        <f ca="1">VLOOKUP($I58,OFFSET([2]enemies!$A$1,0,0,COUNTA([2]enemies!$A:$A),MATCH(N$1,[2]enemies!$1:$1,0)-MATCH($I$1,[2]enemies!$1:$1,0)+1),MATCH(N$1,[2]enemies!$1:$1,0)-MATCH($I$1,[2]enemies!$1:$1,0)+1,FALSE)</f>
        <v>15</v>
      </c>
      <c r="O58" s="5">
        <v>42</v>
      </c>
      <c r="P58" s="30">
        <v>1.5</v>
      </c>
      <c r="Q58" s="30">
        <v>0.8</v>
      </c>
      <c r="R58" s="5">
        <v>0</v>
      </c>
      <c r="S58" s="4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58" s="47">
        <v>1055</v>
      </c>
      <c r="U58" s="6">
        <v>0</v>
      </c>
      <c r="V58" s="6">
        <v>100</v>
      </c>
      <c r="W58" s="6">
        <v>0</v>
      </c>
      <c r="X58" s="23">
        <f ca="1">VLOOKUP($I58,OFFSET([2]enemies!$A$1,0,0,COUNTA([2]enemies!$A:$A),MATCH(X$1,[2]enemies!$1:$1,0)-MATCH($I$1,[2]enemies!$1:$1,0)+1),MATCH(X$1,[2]enemies!$1:$1,0)-MATCH($I$1,[2]enemies!$1:$1,0)+1,FALSE)</f>
        <v>4</v>
      </c>
      <c r="Y58" s="42">
        <v>55</v>
      </c>
      <c r="Z58" s="4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マミコ</v>
      </c>
      <c r="AA58" s="4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4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8" s="7">
        <v>5</v>
      </c>
      <c r="AD58" s="29">
        <f t="shared" ca="1" si="51"/>
        <v>2</v>
      </c>
      <c r="AE58" s="8">
        <v>15</v>
      </c>
      <c r="AF58" s="7">
        <v>0</v>
      </c>
      <c r="AG58" s="7">
        <v>0</v>
      </c>
      <c r="AH58" s="7">
        <v>0</v>
      </c>
      <c r="AI58" s="7">
        <v>0</v>
      </c>
      <c r="AJ58" s="7">
        <v>1</v>
      </c>
    </row>
    <row r="59" spans="1:36" ht="21" customHeight="1" x14ac:dyDescent="0.15">
      <c r="A59" s="20" t="str">
        <f t="shared" ca="1" si="48"/>
        <v>20004_3-2/63&lt;lv42&gt;s2</v>
      </c>
      <c r="B59" s="27">
        <v>20004</v>
      </c>
      <c r="C59" s="26">
        <v>3</v>
      </c>
      <c r="D59" s="2" t="str">
        <f t="shared" si="49"/>
        <v>20004_3</v>
      </c>
      <c r="E59" s="4" t="str">
        <f ca="1">VLOOKUP($B59,OFFSET([1]quests!$A$1,0,0,COUNTA([1]quests!$A:$A),MATCH(E$1,[1]quests!$1:$1,0)-MATCH($B$1,[1]quests!$1:$1,0)+1),MATCH(E$1,[1]quests!$1:$1,0)-MATCH($B$1,[1]quests!$1:$1,0)+1,FALSE)</f>
        <v>雷雲からの刺客</v>
      </c>
      <c r="F59" s="4" t="str">
        <f ca="1">VLOOKUP($D59,OFFSET([1]stages!$A$1,0,0,COUNTA([1]stages!$A:$A),MATCH(F$1,[1]stages!$2:$2,0)-MATCH($D$1,[1]stages!$2:$2,0)+1),MATCH(F$1,[1]stages!$2:$2,0)-MATCH($D$1,[1]stages!$2:$2,0)+1,FALSE)</f>
        <v>【上級】雷雲からの刺客</v>
      </c>
      <c r="G59" s="43">
        <v>2</v>
      </c>
      <c r="H59" s="19" t="str">
        <f t="shared" si="50"/>
        <v>20004_3-2</v>
      </c>
      <c r="I59" s="42">
        <v>63</v>
      </c>
      <c r="J59" s="23" t="str">
        <f ca="1">VLOOKUP($I59,OFFSET([2]enemies!$A$1,0,0,COUNTA([2]enemies!$A:$A),MATCH(J$1,[2]enemies!$1:$1,0)-MATCH($I$1,[2]enemies!$1:$1,0)+1),MATCH(J$1,[2]enemies!$1:$1,0)-MATCH($I$1,[2]enemies!$1:$1,0)+1,FALSE)</f>
        <v>トニー</v>
      </c>
      <c r="K59" s="23" t="str">
        <f ca="1">VLOOKUP($I59,OFFSET([2]enemies!$A$1,0,0,COUNTA([2]enemies!$A:$A),MATCH(K$1,[2]enemies!$1:$1,0)-MATCH($I$1,[2]enemies!$1:$1,0)+1),MATCH(K$1,[2]enemies!$1:$1,0)-MATCH($I$1,[2]enemies!$1:$1,0)+1,FALSE)</f>
        <v>yellow</v>
      </c>
      <c r="L59" s="24" t="str">
        <f>VLOOKUP(I59,[3]characters!$A:$J,10,FALSE)</f>
        <v>Drop1N</v>
      </c>
      <c r="M59" s="23" t="str">
        <f ca="1">VLOOKUP($I59,OFFSET([2]enemies!$A$1,0,0,COUNTA([2]enemies!$A:$A),MATCH(M$1,[2]enemies!$1:$1,0)-MATCH($I$1,[2]enemies!$1:$1,0)+1),MATCH(M$1,[2]enemies!$1:$1,0)-MATCH($I$1,[2]enemies!$1:$1,0)+1,FALSE)</f>
        <v>animal</v>
      </c>
      <c r="N59" s="23">
        <f ca="1">VLOOKUP($I59,OFFSET([2]enemies!$A$1,0,0,COUNTA([2]enemies!$A:$A),MATCH(N$1,[2]enemies!$1:$1,0)-MATCH($I$1,[2]enemies!$1:$1,0)+1),MATCH(N$1,[2]enemies!$1:$1,0)-MATCH($I$1,[2]enemies!$1:$1,0)+1,FALSE)</f>
        <v>15</v>
      </c>
      <c r="O59" s="5">
        <v>42</v>
      </c>
      <c r="P59" s="30">
        <v>1.5</v>
      </c>
      <c r="Q59" s="30">
        <v>0.8</v>
      </c>
      <c r="R59" s="5">
        <v>0</v>
      </c>
      <c r="S59" s="4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9" s="23">
        <f ca="1">VLOOKUP($I59,OFFSET([2]enemies!$A$1,0,0,COUNTA([2]enemies!$A:$A),MATCH(T$1,[2]enemies!$1:$1,0)-MATCH($I$1,[2]enemies!$1:$1,0)+1),MATCH(T$1,[2]enemies!$1:$1,0)-MATCH($I$1,[2]enemies!$1:$1,0)+1,FALSE)</f>
        <v>63</v>
      </c>
      <c r="U59" s="6">
        <v>0</v>
      </c>
      <c r="V59" s="6">
        <v>100</v>
      </c>
      <c r="W59" s="6">
        <v>0</v>
      </c>
      <c r="X59" s="23">
        <f ca="1">VLOOKUP($I59,OFFSET([2]enemies!$A$1,0,0,COUNTA([2]enemies!$A:$A),MATCH(X$1,[2]enemies!$1:$1,0)-MATCH($I$1,[2]enemies!$1:$1,0)+1),MATCH(X$1,[2]enemies!$1:$1,0)-MATCH($I$1,[2]enemies!$1:$1,0)+1,FALSE)</f>
        <v>2</v>
      </c>
      <c r="Y59" s="42">
        <v>63</v>
      </c>
      <c r="Z59" s="4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59" s="4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4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9" s="7">
        <v>5</v>
      </c>
      <c r="AD59" s="29">
        <f t="shared" ca="1" si="51"/>
        <v>2</v>
      </c>
      <c r="AE59" s="8">
        <v>15</v>
      </c>
      <c r="AF59" s="7">
        <v>0</v>
      </c>
      <c r="AG59" s="7">
        <v>0</v>
      </c>
      <c r="AH59" s="7">
        <v>0</v>
      </c>
      <c r="AI59" s="7">
        <v>0</v>
      </c>
      <c r="AJ59" s="7">
        <v>1</v>
      </c>
    </row>
    <row r="60" spans="1:36" ht="21" customHeight="1" x14ac:dyDescent="0.15">
      <c r="A60" s="20" t="str">
        <f t="shared" ca="1" si="48"/>
        <v>20004_3-2/345&lt;lv5&gt;s2</v>
      </c>
      <c r="B60" s="27">
        <v>20004</v>
      </c>
      <c r="C60" s="26">
        <v>3</v>
      </c>
      <c r="D60" s="2" t="str">
        <f t="shared" si="49"/>
        <v>20004_3</v>
      </c>
      <c r="E60" s="4" t="str">
        <f ca="1">VLOOKUP($B60,OFFSET([1]quests!$A$1,0,0,COUNTA([1]quests!$A:$A),MATCH(E$1,[1]quests!$1:$1,0)-MATCH($B$1,[1]quests!$1:$1,0)+1),MATCH(E$1,[1]quests!$1:$1,0)-MATCH($B$1,[1]quests!$1:$1,0)+1,FALSE)</f>
        <v>雷雲からの刺客</v>
      </c>
      <c r="F60" s="4" t="str">
        <f ca="1">VLOOKUP($D60,OFFSET([1]stages!$A$1,0,0,COUNTA([1]stages!$A:$A),MATCH(F$1,[1]stages!$2:$2,0)-MATCH($D$1,[1]stages!$2:$2,0)+1),MATCH(F$1,[1]stages!$2:$2,0)-MATCH($D$1,[1]stages!$2:$2,0)+1,FALSE)</f>
        <v>【上級】雷雲からの刺客</v>
      </c>
      <c r="G60" s="43">
        <v>2</v>
      </c>
      <c r="H60" s="19" t="str">
        <f t="shared" si="50"/>
        <v>20004_3-2</v>
      </c>
      <c r="I60" s="44">
        <v>345</v>
      </c>
      <c r="J60" s="23" t="str">
        <f ca="1">VLOOKUP($I60,OFFSET([2]enemies!$A$1,0,0,COUNTA([2]enemies!$A:$A),MATCH(J$1,[2]enemies!$1:$1,0)-MATCH($I$1,[2]enemies!$1:$1,0)+1),MATCH(J$1,[2]enemies!$1:$1,0)-MATCH($I$1,[2]enemies!$1:$1,0)+1,FALSE)</f>
        <v>雷のメタルチック</v>
      </c>
      <c r="K60" s="23" t="str">
        <f ca="1">VLOOKUP($I60,OFFSET([2]enemies!$A$1,0,0,COUNTA([2]enemies!$A:$A),MATCH(K$1,[2]enemies!$1:$1,0)-MATCH($I$1,[2]enemies!$1:$1,0)+1),MATCH(K$1,[2]enemies!$1:$1,0)-MATCH($I$1,[2]enemies!$1:$1,0)+1,FALSE)</f>
        <v>yellow</v>
      </c>
      <c r="L60" s="24" t="str">
        <f>VLOOKUP(I60,[3]characters!$A:$J,10,FALSE)</f>
        <v>Material</v>
      </c>
      <c r="M60" s="23" t="str">
        <f ca="1">VLOOKUP($I60,OFFSET([2]enemies!$A$1,0,0,COUNTA([2]enemies!$A:$A),MATCH(M$1,[2]enemies!$1:$1,0)-MATCH($I$1,[2]enemies!$1:$1,0)+1),MATCH(M$1,[2]enemies!$1:$1,0)-MATCH($I$1,[2]enemies!$1:$1,0)+1,FALSE)</f>
        <v>unknown</v>
      </c>
      <c r="N60" s="23">
        <f ca="1">VLOOKUP($I60,OFFSET([2]enemies!$A$1,0,0,COUNTA([2]enemies!$A:$A),MATCH(N$1,[2]enemies!$1:$1,0)-MATCH($I$1,[2]enemies!$1:$1,0)+1),MATCH(N$1,[2]enemies!$1:$1,0)-MATCH($I$1,[2]enemies!$1:$1,0)+1,FALSE)</f>
        <v>15</v>
      </c>
      <c r="O60" s="5">
        <v>5</v>
      </c>
      <c r="P60" s="30">
        <v>0.5</v>
      </c>
      <c r="Q60" s="30">
        <v>0.8</v>
      </c>
      <c r="R60" s="5">
        <v>0</v>
      </c>
      <c r="S60" s="4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23">
        <f ca="1">VLOOKUP($I60,OFFSET([2]enemies!$A$1,0,0,COUNTA([2]enemies!$A:$A),MATCH(T$1,[2]enemies!$1:$1,0)-MATCH($I$1,[2]enemies!$1:$1,0)+1),MATCH(T$1,[2]enemies!$1:$1,0)-MATCH($I$1,[2]enemies!$1:$1,0)+1,FALSE)</f>
        <v>0</v>
      </c>
      <c r="U60" s="6">
        <v>1</v>
      </c>
      <c r="V60" s="6">
        <v>100</v>
      </c>
      <c r="W60" s="6">
        <v>0</v>
      </c>
      <c r="X60" s="23">
        <f ca="1">VLOOKUP($I60,OFFSET([2]enemies!$A$1,0,0,COUNTA([2]enemies!$A:$A),MATCH(X$1,[2]enemies!$1:$1,0)-MATCH($I$1,[2]enemies!$1:$1,0)+1),MATCH(X$1,[2]enemies!$1:$1,0)-MATCH($I$1,[2]enemies!$1:$1,0)+1,FALSE)</f>
        <v>2</v>
      </c>
      <c r="Y60" s="44">
        <v>345</v>
      </c>
      <c r="Z60" s="4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雷のメタルチック</v>
      </c>
      <c r="AA60" s="4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4</v>
      </c>
      <c r="AB60" s="4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0" s="7">
        <v>1</v>
      </c>
      <c r="AD60" s="29">
        <f t="shared" ca="1" si="51"/>
        <v>4</v>
      </c>
      <c r="AE60" s="8">
        <v>3</v>
      </c>
      <c r="AF60" s="7">
        <v>0</v>
      </c>
      <c r="AG60" s="7">
        <v>0</v>
      </c>
      <c r="AH60" s="7">
        <v>0</v>
      </c>
      <c r="AI60" s="7">
        <v>0</v>
      </c>
      <c r="AJ60" s="7">
        <v>1</v>
      </c>
    </row>
    <row r="61" spans="1:36" ht="21" customHeight="1" x14ac:dyDescent="0.15">
      <c r="A61" s="20" t="str">
        <f t="shared" ca="1" si="48"/>
        <v>20004_3-2/118&lt;lv42&gt;s2</v>
      </c>
      <c r="B61" s="27">
        <v>20004</v>
      </c>
      <c r="C61" s="26">
        <v>3</v>
      </c>
      <c r="D61" s="2" t="str">
        <f t="shared" si="49"/>
        <v>20004_3</v>
      </c>
      <c r="E61" s="4" t="str">
        <f ca="1">VLOOKUP($B61,OFFSET([1]quests!$A$1,0,0,COUNTA([1]quests!$A:$A),MATCH(E$1,[1]quests!$1:$1,0)-MATCH($B$1,[1]quests!$1:$1,0)+1),MATCH(E$1,[1]quests!$1:$1,0)-MATCH($B$1,[1]quests!$1:$1,0)+1,FALSE)</f>
        <v>雷雲からの刺客</v>
      </c>
      <c r="F61" s="4" t="str">
        <f ca="1">VLOOKUP($D61,OFFSET([1]stages!$A$1,0,0,COUNTA([1]stages!$A:$A),MATCH(F$1,[1]stages!$2:$2,0)-MATCH($D$1,[1]stages!$2:$2,0)+1),MATCH(F$1,[1]stages!$2:$2,0)-MATCH($D$1,[1]stages!$2:$2,0)+1,FALSE)</f>
        <v>【上級】雷雲からの刺客</v>
      </c>
      <c r="G61" s="43">
        <v>2</v>
      </c>
      <c r="H61" s="19" t="str">
        <f t="shared" si="50"/>
        <v>20004_3-2</v>
      </c>
      <c r="I61" s="44">
        <v>118</v>
      </c>
      <c r="J61" s="23" t="str">
        <f ca="1">VLOOKUP($I61,OFFSET([2]enemies!$A$1,0,0,COUNTA([2]enemies!$A:$A),MATCH(J$1,[2]enemies!$1:$1,0)-MATCH($I$1,[2]enemies!$1:$1,0)+1),MATCH(J$1,[2]enemies!$1:$1,0)-MATCH($I$1,[2]enemies!$1:$1,0)+1,FALSE)</f>
        <v>ゴールドチック</v>
      </c>
      <c r="K61" s="23" t="str">
        <f ca="1">VLOOKUP($I61,OFFSET([2]enemies!$A$1,0,0,COUNTA([2]enemies!$A:$A),MATCH(K$1,[2]enemies!$1:$1,0)-MATCH($I$1,[2]enemies!$1:$1,0)+1),MATCH(K$1,[2]enemies!$1:$1,0)-MATCH($I$1,[2]enemies!$1:$1,0)+1,FALSE)</f>
        <v>yellow</v>
      </c>
      <c r="L61" s="24" t="str">
        <f>VLOOKUP(I61,[3]characters!$A:$J,10,FALSE)</f>
        <v>Material</v>
      </c>
      <c r="M61" s="23" t="str">
        <f ca="1">VLOOKUP($I61,OFFSET([2]enemies!$A$1,0,0,COUNTA([2]enemies!$A:$A),MATCH(M$1,[2]enemies!$1:$1,0)-MATCH($I$1,[2]enemies!$1:$1,0)+1),MATCH(M$1,[2]enemies!$1:$1,0)-MATCH($I$1,[2]enemies!$1:$1,0)+1,FALSE)</f>
        <v>unknown</v>
      </c>
      <c r="N61" s="23">
        <f ca="1">VLOOKUP($I61,OFFSET([2]enemies!$A$1,0,0,COUNTA([2]enemies!$A:$A),MATCH(N$1,[2]enemies!$1:$1,0)-MATCH($I$1,[2]enemies!$1:$1,0)+1),MATCH(N$1,[2]enemies!$1:$1,0)-MATCH($I$1,[2]enemies!$1:$1,0)+1,FALSE)</f>
        <v>15</v>
      </c>
      <c r="O61" s="5">
        <v>42</v>
      </c>
      <c r="P61" s="30">
        <v>1.5</v>
      </c>
      <c r="Q61" s="30">
        <v>0.8</v>
      </c>
      <c r="R61" s="5">
        <v>0</v>
      </c>
      <c r="S61" s="4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23">
        <f ca="1">VLOOKUP($I61,OFFSET([2]enemies!$A$1,0,0,COUNTA([2]enemies!$A:$A),MATCH(T$1,[2]enemies!$1:$1,0)-MATCH($I$1,[2]enemies!$1:$1,0)+1),MATCH(T$1,[2]enemies!$1:$1,0)-MATCH($I$1,[2]enemies!$1:$1,0)+1,FALSE)</f>
        <v>0</v>
      </c>
      <c r="U61" s="6">
        <v>0</v>
      </c>
      <c r="V61" s="6">
        <v>30</v>
      </c>
      <c r="W61" s="6">
        <v>0</v>
      </c>
      <c r="X61" s="23">
        <f ca="1">VLOOKUP($I61,OFFSET([2]enemies!$A$1,0,0,COUNTA([2]enemies!$A:$A),MATCH(X$1,[2]enemies!$1:$1,0)-MATCH($I$1,[2]enemies!$1:$1,0)+1),MATCH(X$1,[2]enemies!$1:$1,0)-MATCH($I$1,[2]enemies!$1:$1,0)+1,FALSE)</f>
        <v>2</v>
      </c>
      <c r="Y61" s="44">
        <v>118</v>
      </c>
      <c r="Z61" s="4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61" s="4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4</v>
      </c>
      <c r="AB61" s="4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1" s="7">
        <v>1</v>
      </c>
      <c r="AD61" s="29">
        <f t="shared" ca="1" si="51"/>
        <v>4</v>
      </c>
      <c r="AE61" s="8">
        <v>10</v>
      </c>
      <c r="AF61" s="7">
        <v>0</v>
      </c>
      <c r="AG61" s="7">
        <v>0</v>
      </c>
      <c r="AH61" s="7">
        <v>0</v>
      </c>
      <c r="AI61" s="7">
        <v>0</v>
      </c>
      <c r="AJ61" s="7">
        <v>1</v>
      </c>
    </row>
    <row r="62" spans="1:36" ht="21" customHeight="1" x14ac:dyDescent="0.15">
      <c r="A62" s="20" t="str">
        <f ca="1">B62&amp;"_"&amp;C62&amp;"-"&amp;G62&amp;"/"&amp;I62&amp;"&lt;lv"&amp;O62&amp;"&gt;s"&amp;X62</f>
        <v>20004_3-3/8&lt;lv42&gt;s2</v>
      </c>
      <c r="B62" s="27">
        <v>20004</v>
      </c>
      <c r="C62" s="26">
        <v>3</v>
      </c>
      <c r="D62" s="2" t="str">
        <f>B62&amp;"_"&amp;C62</f>
        <v>20004_3</v>
      </c>
      <c r="E62" s="4" t="str">
        <f ca="1">VLOOKUP($B62,OFFSET([1]quests!$A$1,0,0,COUNTA([1]quests!$A:$A),MATCH(E$1,[1]quests!$1:$1,0)-MATCH($B$1,[1]quests!$1:$1,0)+1),MATCH(E$1,[1]quests!$1:$1,0)-MATCH($B$1,[1]quests!$1:$1,0)+1,FALSE)</f>
        <v>雷雲からの刺客</v>
      </c>
      <c r="F62" s="4" t="str">
        <f ca="1">VLOOKUP($D62,OFFSET([1]stages!$A$1,0,0,COUNTA([1]stages!$A:$A),MATCH(F$1,[1]stages!$2:$2,0)-MATCH($D$1,[1]stages!$2:$2,0)+1),MATCH(F$1,[1]stages!$2:$2,0)-MATCH($D$1,[1]stages!$2:$2,0)+1,FALSE)</f>
        <v>【上級】雷雲からの刺客</v>
      </c>
      <c r="G62" s="26">
        <v>3</v>
      </c>
      <c r="H62" s="19" t="str">
        <f>B62&amp;"_"&amp;C62&amp;"-"&amp;G62</f>
        <v>20004_3-3</v>
      </c>
      <c r="I62" s="41">
        <v>8</v>
      </c>
      <c r="J62" s="23" t="str">
        <f ca="1">VLOOKUP($I62,OFFSET([2]enemies!$A$1,0,0,COUNTA([2]enemies!$A:$A),MATCH(J$1,[2]enemies!$1:$1,0)-MATCH($I$1,[2]enemies!$1:$1,0)+1),MATCH(J$1,[2]enemies!$1:$1,0)-MATCH($I$1,[2]enemies!$1:$1,0)+1,FALSE)</f>
        <v>ハイボルテージ エレキポット</v>
      </c>
      <c r="K62" s="23" t="str">
        <f ca="1">VLOOKUP($I62,OFFSET([2]enemies!$A$1,0,0,COUNTA([2]enemies!$A:$A),MATCH(K$1,[2]enemies!$1:$1,0)-MATCH($I$1,[2]enemies!$1:$1,0)+1),MATCH(K$1,[2]enemies!$1:$1,0)-MATCH($I$1,[2]enemies!$1:$1,0)+1,FALSE)</f>
        <v>yellow</v>
      </c>
      <c r="L62" s="24" t="str">
        <f>VLOOKUP(I62,[3]characters!$A:$J,10,FALSE)</f>
        <v>Drop1T</v>
      </c>
      <c r="M62" s="23" t="str">
        <f ca="1">VLOOKUP($I62,OFFSET([2]enemies!$A$1,0,0,COUNTA([2]enemies!$A:$A),MATCH(M$1,[2]enemies!$1:$1,0)-MATCH($I$1,[2]enemies!$1:$1,0)+1),MATCH(M$1,[2]enemies!$1:$1,0)-MATCH($I$1,[2]enemies!$1:$1,0)+1,FALSE)</f>
        <v>unknown</v>
      </c>
      <c r="N62" s="23">
        <f ca="1">VLOOKUP($I62,OFFSET([2]enemies!$A$1,0,0,COUNTA([2]enemies!$A:$A),MATCH(N$1,[2]enemies!$1:$1,0)-MATCH($I$1,[2]enemies!$1:$1,0)+1),MATCH(N$1,[2]enemies!$1:$1,0)-MATCH($I$1,[2]enemies!$1:$1,0)+1,FALSE)</f>
        <v>15</v>
      </c>
      <c r="O62" s="5">
        <v>42</v>
      </c>
      <c r="P62" s="30">
        <v>1.5</v>
      </c>
      <c r="Q62" s="30">
        <v>0.8</v>
      </c>
      <c r="R62" s="5">
        <v>0</v>
      </c>
      <c r="S62" s="4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23">
        <f ca="1">VLOOKUP($I62,OFFSET([2]enemies!$A$1,0,0,COUNTA([2]enemies!$A:$A),MATCH(T$1,[2]enemies!$1:$1,0)-MATCH($I$1,[2]enemies!$1:$1,0)+1),MATCH(T$1,[2]enemies!$1:$1,0)-MATCH($I$1,[2]enemies!$1:$1,0)+1,FALSE)</f>
        <v>0</v>
      </c>
      <c r="U62" s="6">
        <v>0</v>
      </c>
      <c r="V62" s="6">
        <v>100</v>
      </c>
      <c r="W62" s="6">
        <v>0</v>
      </c>
      <c r="X62" s="23">
        <f ca="1">VLOOKUP($I62,OFFSET([2]enemies!$A$1,0,0,COUNTA([2]enemies!$A:$A),MATCH(X$1,[2]enemies!$1:$1,0)-MATCH($I$1,[2]enemies!$1:$1,0)+1),MATCH(X$1,[2]enemies!$1:$1,0)-MATCH($I$1,[2]enemies!$1:$1,0)+1,FALSE)</f>
        <v>2</v>
      </c>
      <c r="Y62" s="41">
        <v>8</v>
      </c>
      <c r="Z62" s="4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ハイボルテージ エレキポット</v>
      </c>
      <c r="AA62" s="4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2</v>
      </c>
      <c r="AB62" s="4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2" s="7">
        <v>9</v>
      </c>
      <c r="AD62" s="29">
        <f ca="1">AA62</f>
        <v>2</v>
      </c>
      <c r="AE62" s="8">
        <v>15</v>
      </c>
      <c r="AF62" s="7">
        <v>0</v>
      </c>
      <c r="AG62" s="7">
        <v>0</v>
      </c>
      <c r="AH62" s="7">
        <v>0</v>
      </c>
      <c r="AI62" s="7">
        <v>0</v>
      </c>
      <c r="AJ62" s="7">
        <v>1</v>
      </c>
    </row>
    <row r="63" spans="1:36" ht="21" customHeight="1" x14ac:dyDescent="0.15">
      <c r="A63" s="20" t="str">
        <f t="shared" ref="A63:A67" ca="1" si="52">B63&amp;"_"&amp;C63&amp;"-"&amp;G63&amp;"/"&amp;I63&amp;"&lt;lv"&amp;O63&amp;"&gt;s"&amp;X63</f>
        <v>20004_3-3/31&lt;lv42&gt;s2</v>
      </c>
      <c r="B63" s="27">
        <v>20004</v>
      </c>
      <c r="C63" s="26">
        <v>3</v>
      </c>
      <c r="D63" s="2" t="str">
        <f t="shared" ref="D63:D67" si="53">B63&amp;"_"&amp;C63</f>
        <v>20004_3</v>
      </c>
      <c r="E63" s="4" t="str">
        <f ca="1">VLOOKUP($B63,OFFSET([1]quests!$A$1,0,0,COUNTA([1]quests!$A:$A),MATCH(E$1,[1]quests!$1:$1,0)-MATCH($B$1,[1]quests!$1:$1,0)+1),MATCH(E$1,[1]quests!$1:$1,0)-MATCH($B$1,[1]quests!$1:$1,0)+1,FALSE)</f>
        <v>雷雲からの刺客</v>
      </c>
      <c r="F63" s="4" t="str">
        <f ca="1">VLOOKUP($D63,OFFSET([1]stages!$A$1,0,0,COUNTA([1]stages!$A:$A),MATCH(F$1,[1]stages!$2:$2,0)-MATCH($D$1,[1]stages!$2:$2,0)+1),MATCH(F$1,[1]stages!$2:$2,0)-MATCH($D$1,[1]stages!$2:$2,0)+1,FALSE)</f>
        <v>【上級】雷雲からの刺客</v>
      </c>
      <c r="G63" s="26">
        <v>3</v>
      </c>
      <c r="H63" s="19" t="str">
        <f t="shared" ref="H63:H67" si="54">B63&amp;"_"&amp;C63&amp;"-"&amp;G63</f>
        <v>20004_3-3</v>
      </c>
      <c r="I63" s="42">
        <v>31</v>
      </c>
      <c r="J63" s="23" t="str">
        <f ca="1">VLOOKUP($I63,OFFSET([2]enemies!$A$1,0,0,COUNTA([2]enemies!$A:$A),MATCH(J$1,[2]enemies!$1:$1,0)-MATCH($I$1,[2]enemies!$1:$1,0)+1),MATCH(J$1,[2]enemies!$1:$1,0)-MATCH($I$1,[2]enemies!$1:$1,0)+1,FALSE)</f>
        <v>マービー</v>
      </c>
      <c r="K63" s="23" t="str">
        <f ca="1">VLOOKUP($I63,OFFSET([2]enemies!$A$1,0,0,COUNTA([2]enemies!$A:$A),MATCH(K$1,[2]enemies!$1:$1,0)-MATCH($I$1,[2]enemies!$1:$1,0)+1),MATCH(K$1,[2]enemies!$1:$1,0)-MATCH($I$1,[2]enemies!$1:$1,0)+1,FALSE)</f>
        <v>yellow</v>
      </c>
      <c r="L63" s="24" t="str">
        <f>VLOOKUP(I63,[3]characters!$A:$J,10,FALSE)</f>
        <v>Drop1N</v>
      </c>
      <c r="M63" s="23" t="str">
        <f ca="1">VLOOKUP($I63,OFFSET([2]enemies!$A$1,0,0,COUNTA([2]enemies!$A:$A),MATCH(M$1,[2]enemies!$1:$1,0)-MATCH($I$1,[2]enemies!$1:$1,0)+1),MATCH(M$1,[2]enemies!$1:$1,0)-MATCH($I$1,[2]enemies!$1:$1,0)+1,FALSE)</f>
        <v>machine</v>
      </c>
      <c r="N63" s="23">
        <f ca="1">VLOOKUP($I63,OFFSET([2]enemies!$A$1,0,0,COUNTA([2]enemies!$A:$A),MATCH(N$1,[2]enemies!$1:$1,0)-MATCH($I$1,[2]enemies!$1:$1,0)+1),MATCH(N$1,[2]enemies!$1:$1,0)-MATCH($I$1,[2]enemies!$1:$1,0)+1,FALSE)</f>
        <v>15</v>
      </c>
      <c r="O63" s="5">
        <v>42</v>
      </c>
      <c r="P63" s="30">
        <v>1.5</v>
      </c>
      <c r="Q63" s="30">
        <v>0.8</v>
      </c>
      <c r="R63" s="5">
        <v>0</v>
      </c>
      <c r="S63" s="4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23">
        <f ca="1">VLOOKUP($I63,OFFSET([2]enemies!$A$1,0,0,COUNTA([2]enemies!$A:$A),MATCH(T$1,[2]enemies!$1:$1,0)-MATCH($I$1,[2]enemies!$1:$1,0)+1),MATCH(T$1,[2]enemies!$1:$1,0)-MATCH($I$1,[2]enemies!$1:$1,0)+1,FALSE)</f>
        <v>0</v>
      </c>
      <c r="U63" s="6">
        <v>0</v>
      </c>
      <c r="V63" s="6">
        <v>100</v>
      </c>
      <c r="W63" s="6">
        <v>0</v>
      </c>
      <c r="X63" s="23">
        <f ca="1">VLOOKUP($I63,OFFSET([2]enemies!$A$1,0,0,COUNTA([2]enemies!$A:$A),MATCH(X$1,[2]enemies!$1:$1,0)-MATCH($I$1,[2]enemies!$1:$1,0)+1),MATCH(X$1,[2]enemies!$1:$1,0)-MATCH($I$1,[2]enemies!$1:$1,0)+1,FALSE)</f>
        <v>2</v>
      </c>
      <c r="Y63" s="42">
        <v>31</v>
      </c>
      <c r="Z63" s="4" t="str">
        <f ca="1">IFERROR(VLOOKUP($Y63,OFFSET([3]characters!$A$1,0,0,COUNTA([3]characters!$A:$A),MATCH(Z$1,[3]characters!$1:$1,0)-MATCH("character_id",[3]characters!$1:$1,0)+1),MATCH(Z$1,[3]characters!$1:$1,0)-MATCH("character_id",[3]characters!$1:$1,0)+1,FALSE),"")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63" s="4">
        <f ca="1">IFERROR(VLOOKUP($Y63,OFFSET([3]characters!$A$1,0,0,COUNTA([3]characters!$A:$A),MATCH(AA$1,[3]characters!$1:$1,0)-MATCH("character_id",[3]characters!$1:$1,0)+1),MATCH(AA$1,[3]characters!$1:$1,0)-MATCH("character_id",[3]characters!$1:$1,0)+1,FALSE),"")</f>
        <v>1</v>
      </c>
      <c r="AB63" s="4" t="str">
        <f ca="1">IFERROR(VLOOKUP($Y63,OFFSET([3]characters!$A$1,0,0,COUNTA([3]characters!$A:$A),MATCH(AB$1,[3]characters!$1:$1,0)-MATCH("character_id",[3]characters!$1:$1,0)+1),MATCH(AB$1,[3]characters!$1:$1,0)-MATCH("character_id",[3]characters!$1:$1,0)+1,FALSE),"")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3" s="7">
        <v>5</v>
      </c>
      <c r="AD63" s="29">
        <f t="shared" ref="AD63:AD67" ca="1" si="55">AA63</f>
        <v>1</v>
      </c>
      <c r="AE63" s="8">
        <v>15</v>
      </c>
      <c r="AF63" s="7">
        <v>0</v>
      </c>
      <c r="AG63" s="7">
        <v>0</v>
      </c>
      <c r="AH63" s="7">
        <v>0</v>
      </c>
      <c r="AI63" s="7">
        <v>0</v>
      </c>
      <c r="AJ63" s="7">
        <v>1</v>
      </c>
    </row>
    <row r="64" spans="1:36" ht="21" customHeight="1" x14ac:dyDescent="0.15">
      <c r="A64" s="20" t="str">
        <f t="shared" ca="1" si="52"/>
        <v>20004_3-3/47&lt;lv42&gt;s1</v>
      </c>
      <c r="B64" s="27">
        <v>20004</v>
      </c>
      <c r="C64" s="26">
        <v>3</v>
      </c>
      <c r="D64" s="2" t="str">
        <f t="shared" si="53"/>
        <v>20004_3</v>
      </c>
      <c r="E64" s="4" t="str">
        <f ca="1">VLOOKUP($B64,OFFSET([1]quests!$A$1,0,0,COUNTA([1]quests!$A:$A),MATCH(E$1,[1]quests!$1:$1,0)-MATCH($B$1,[1]quests!$1:$1,0)+1),MATCH(E$1,[1]quests!$1:$1,0)-MATCH($B$1,[1]quests!$1:$1,0)+1,FALSE)</f>
        <v>雷雲からの刺客</v>
      </c>
      <c r="F64" s="4" t="str">
        <f ca="1">VLOOKUP($D64,OFFSET([1]stages!$A$1,0,0,COUNTA([1]stages!$A:$A),MATCH(F$1,[1]stages!$2:$2,0)-MATCH($D$1,[1]stages!$2:$2,0)+1),MATCH(F$1,[1]stages!$2:$2,0)-MATCH($D$1,[1]stages!$2:$2,0)+1,FALSE)</f>
        <v>【上級】雷雲からの刺客</v>
      </c>
      <c r="G64" s="26">
        <v>3</v>
      </c>
      <c r="H64" s="19" t="str">
        <f t="shared" si="54"/>
        <v>20004_3-3</v>
      </c>
      <c r="I64" s="42">
        <v>47</v>
      </c>
      <c r="J64" s="23" t="str">
        <f ca="1">VLOOKUP($I64,OFFSET([2]enemies!$A$1,0,0,COUNTA([2]enemies!$A:$A),MATCH(J$1,[2]enemies!$1:$1,0)-MATCH($I$1,[2]enemies!$1:$1,0)+1),MATCH(J$1,[2]enemies!$1:$1,0)-MATCH($I$1,[2]enemies!$1:$1,0)+1,FALSE)</f>
        <v>ヒロ</v>
      </c>
      <c r="K64" s="23" t="str">
        <f ca="1">VLOOKUP($I64,OFFSET([2]enemies!$A$1,0,0,COUNTA([2]enemies!$A:$A),MATCH(K$1,[2]enemies!$1:$1,0)-MATCH($I$1,[2]enemies!$1:$1,0)+1),MATCH(K$1,[2]enemies!$1:$1,0)-MATCH($I$1,[2]enemies!$1:$1,0)+1,FALSE)</f>
        <v>yellow</v>
      </c>
      <c r="L64" s="24" t="str">
        <f>VLOOKUP(I64,[3]characters!$A:$J,10,FALSE)</f>
        <v>Drop1N</v>
      </c>
      <c r="M64" s="23" t="str">
        <f ca="1">VLOOKUP($I64,OFFSET([2]enemies!$A$1,0,0,COUNTA([2]enemies!$A:$A),MATCH(M$1,[2]enemies!$1:$1,0)-MATCH($I$1,[2]enemies!$1:$1,0)+1),MATCH(M$1,[2]enemies!$1:$1,0)-MATCH($I$1,[2]enemies!$1:$1,0)+1,FALSE)</f>
        <v>animal</v>
      </c>
      <c r="N64" s="23">
        <f ca="1">VLOOKUP($I64,OFFSET([2]enemies!$A$1,0,0,COUNTA([2]enemies!$A:$A),MATCH(N$1,[2]enemies!$1:$1,0)-MATCH($I$1,[2]enemies!$1:$1,0)+1),MATCH(N$1,[2]enemies!$1:$1,0)-MATCH($I$1,[2]enemies!$1:$1,0)+1,FALSE)</f>
        <v>15</v>
      </c>
      <c r="O64" s="5">
        <v>42</v>
      </c>
      <c r="P64" s="30">
        <v>1.5</v>
      </c>
      <c r="Q64" s="30">
        <v>0.8</v>
      </c>
      <c r="R64" s="5">
        <v>0</v>
      </c>
      <c r="S64" s="4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23">
        <f ca="1">VLOOKUP($I64,OFFSET([2]enemies!$A$1,0,0,COUNTA([2]enemies!$A:$A),MATCH(T$1,[2]enemies!$1:$1,0)-MATCH($I$1,[2]enemies!$1:$1,0)+1),MATCH(T$1,[2]enemies!$1:$1,0)-MATCH($I$1,[2]enemies!$1:$1,0)+1,FALSE)</f>
        <v>0</v>
      </c>
      <c r="U64" s="6">
        <v>0</v>
      </c>
      <c r="V64" s="6">
        <v>100</v>
      </c>
      <c r="W64" s="6">
        <v>0</v>
      </c>
      <c r="X64" s="23">
        <f ca="1">VLOOKUP($I64,OFFSET([2]enemies!$A$1,0,0,COUNTA([2]enemies!$A:$A),MATCH(X$1,[2]enemies!$1:$1,0)-MATCH($I$1,[2]enemies!$1:$1,0)+1),MATCH(X$1,[2]enemies!$1:$1,0)-MATCH($I$1,[2]enemies!$1:$1,0)+1,FALSE)</f>
        <v>1</v>
      </c>
      <c r="Y64" s="42">
        <v>47</v>
      </c>
      <c r="Z64" s="4" t="str">
        <f ca="1">IFERROR(VLOOKUP($Y64,OFFSET([3]characters!$A$1,0,0,COUNTA([3]characters!$A:$A),MATCH(Z$1,[3]characters!$1:$1,0)-MATCH("character_id",[3]characters!$1:$1,0)+1),MATCH(Z$1,[3]characters!$1:$1,0)-MATCH("character_id",[3]characters!$1:$1,0)+1,FALSE),"")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64" s="4">
        <f ca="1">IFERROR(VLOOKUP($Y64,OFFSET([3]characters!$A$1,0,0,COUNTA([3]characters!$A:$A),MATCH(AA$1,[3]characters!$1:$1,0)-MATCH("character_id",[3]characters!$1:$1,0)+1),MATCH(AA$1,[3]characters!$1:$1,0)-MATCH("character_id",[3]characters!$1:$1,0)+1,FALSE),"")</f>
        <v>2</v>
      </c>
      <c r="AB64" s="4" t="str">
        <f ca="1">IFERROR(VLOOKUP($Y64,OFFSET([3]characters!$A$1,0,0,COUNTA([3]characters!$A:$A),MATCH(AB$1,[3]characters!$1:$1,0)-MATCH("character_id",[3]characters!$1:$1,0)+1),MATCH(AB$1,[3]characters!$1:$1,0)-MATCH("character_id",[3]characters!$1:$1,0)+1,FALSE),"")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4" s="7">
        <v>5</v>
      </c>
      <c r="AD64" s="29">
        <f t="shared" ca="1" si="55"/>
        <v>2</v>
      </c>
      <c r="AE64" s="8">
        <v>15</v>
      </c>
      <c r="AF64" s="7">
        <v>0</v>
      </c>
      <c r="AG64" s="7">
        <v>0</v>
      </c>
      <c r="AH64" s="7">
        <v>0</v>
      </c>
      <c r="AI64" s="7">
        <v>0</v>
      </c>
      <c r="AJ64" s="7">
        <v>1</v>
      </c>
    </row>
    <row r="65" spans="1:36" ht="21" customHeight="1" x14ac:dyDescent="0.15">
      <c r="A65" s="20" t="str">
        <f t="shared" ca="1" si="52"/>
        <v>20004_3-3/55&lt;lv42&gt;s4</v>
      </c>
      <c r="B65" s="27">
        <v>20004</v>
      </c>
      <c r="C65" s="26">
        <v>3</v>
      </c>
      <c r="D65" s="2" t="str">
        <f t="shared" si="53"/>
        <v>20004_3</v>
      </c>
      <c r="E65" s="4" t="str">
        <f ca="1">VLOOKUP($B65,OFFSET([1]quests!$A$1,0,0,COUNTA([1]quests!$A:$A),MATCH(E$1,[1]quests!$1:$1,0)-MATCH($B$1,[1]quests!$1:$1,0)+1),MATCH(E$1,[1]quests!$1:$1,0)-MATCH($B$1,[1]quests!$1:$1,0)+1,FALSE)</f>
        <v>雷雲からの刺客</v>
      </c>
      <c r="F65" s="4" t="str">
        <f ca="1">VLOOKUP($D65,OFFSET([1]stages!$A$1,0,0,COUNTA([1]stages!$A:$A),MATCH(F$1,[1]stages!$2:$2,0)-MATCH($D$1,[1]stages!$2:$2,0)+1),MATCH(F$1,[1]stages!$2:$2,0)-MATCH($D$1,[1]stages!$2:$2,0)+1,FALSE)</f>
        <v>【上級】雷雲からの刺客</v>
      </c>
      <c r="G65" s="26">
        <v>3</v>
      </c>
      <c r="H65" s="19" t="str">
        <f t="shared" si="54"/>
        <v>20004_3-3</v>
      </c>
      <c r="I65" s="42">
        <v>55</v>
      </c>
      <c r="J65" s="23" t="str">
        <f ca="1">VLOOKUP($I65,OFFSET([2]enemies!$A$1,0,0,COUNTA([2]enemies!$A:$A),MATCH(J$1,[2]enemies!$1:$1,0)-MATCH($I$1,[2]enemies!$1:$1,0)+1),MATCH(J$1,[2]enemies!$1:$1,0)-MATCH($I$1,[2]enemies!$1:$1,0)+1,FALSE)</f>
        <v>マミコ</v>
      </c>
      <c r="K65" s="23" t="str">
        <f ca="1">VLOOKUP($I65,OFFSET([2]enemies!$A$1,0,0,COUNTA([2]enemies!$A:$A),MATCH(K$1,[2]enemies!$1:$1,0)-MATCH($I$1,[2]enemies!$1:$1,0)+1),MATCH(K$1,[2]enemies!$1:$1,0)-MATCH($I$1,[2]enemies!$1:$1,0)+1,FALSE)</f>
        <v>yellow</v>
      </c>
      <c r="L65" s="24" t="str">
        <f>VLOOKUP(I65,[3]characters!$A:$J,10,FALSE)</f>
        <v>Drop1N</v>
      </c>
      <c r="M65" s="23" t="str">
        <f ca="1">VLOOKUP($I65,OFFSET([2]enemies!$A$1,0,0,COUNTA([2]enemies!$A:$A),MATCH(M$1,[2]enemies!$1:$1,0)-MATCH($I$1,[2]enemies!$1:$1,0)+1),MATCH(M$1,[2]enemies!$1:$1,0)-MATCH($I$1,[2]enemies!$1:$1,0)+1,FALSE)</f>
        <v>human</v>
      </c>
      <c r="N65" s="23">
        <f ca="1">VLOOKUP($I65,OFFSET([2]enemies!$A$1,0,0,COUNTA([2]enemies!$A:$A),MATCH(N$1,[2]enemies!$1:$1,0)-MATCH($I$1,[2]enemies!$1:$1,0)+1),MATCH(N$1,[2]enemies!$1:$1,0)-MATCH($I$1,[2]enemies!$1:$1,0)+1,FALSE)</f>
        <v>15</v>
      </c>
      <c r="O65" s="5">
        <v>42</v>
      </c>
      <c r="P65" s="30">
        <v>1.5</v>
      </c>
      <c r="Q65" s="30">
        <v>0.8</v>
      </c>
      <c r="R65" s="5">
        <v>0</v>
      </c>
      <c r="S65" s="4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攻撃力×1.3倍の攻撃</v>
      </c>
      <c r="T65" s="47">
        <v>1055</v>
      </c>
      <c r="U65" s="6">
        <v>0</v>
      </c>
      <c r="V65" s="6">
        <v>100</v>
      </c>
      <c r="W65" s="6">
        <v>0</v>
      </c>
      <c r="X65" s="23">
        <f ca="1">VLOOKUP($I65,OFFSET([2]enemies!$A$1,0,0,COUNTA([2]enemies!$A:$A),MATCH(X$1,[2]enemies!$1:$1,0)-MATCH($I$1,[2]enemies!$1:$1,0)+1),MATCH(X$1,[2]enemies!$1:$1,0)-MATCH($I$1,[2]enemies!$1:$1,0)+1,FALSE)</f>
        <v>4</v>
      </c>
      <c r="Y65" s="42">
        <v>55</v>
      </c>
      <c r="Z65" s="4" t="str">
        <f ca="1">IFERROR(VLOOKUP($Y65,OFFSET([3]characters!$A$1,0,0,COUNTA([3]characters!$A:$A),MATCH(Z$1,[3]characters!$1:$1,0)-MATCH("character_id",[3]characters!$1:$1,0)+1),MATCH(Z$1,[3]characters!$1:$1,0)-MATCH("character_id",[3]characters!$1:$1,0)+1,FALSE),"")</f>
        <v>マミコ</v>
      </c>
      <c r="AA65" s="4">
        <f ca="1">IFERROR(VLOOKUP($Y65,OFFSET([3]characters!$A$1,0,0,COUNTA([3]characters!$A:$A),MATCH(AA$1,[3]characters!$1:$1,0)-MATCH("character_id",[3]characters!$1:$1,0)+1),MATCH(AA$1,[3]characters!$1:$1,0)-MATCH("character_id",[3]characters!$1:$1,0)+1,FALSE),"")</f>
        <v>2</v>
      </c>
      <c r="AB65" s="4" t="str">
        <f ca="1">IFERROR(VLOOKUP($Y65,OFFSET([3]characters!$A$1,0,0,COUNTA([3]characters!$A:$A),MATCH(AB$1,[3]characters!$1:$1,0)-MATCH("character_id",[3]characters!$1:$1,0)+1),MATCH(AB$1,[3]characters!$1:$1,0)-MATCH("character_id",[3]characters!$1:$1,0)+1,FALSE),"")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5" s="7">
        <v>5</v>
      </c>
      <c r="AD65" s="29">
        <f t="shared" ca="1" si="55"/>
        <v>2</v>
      </c>
      <c r="AE65" s="8">
        <v>15</v>
      </c>
      <c r="AF65" s="7">
        <v>0</v>
      </c>
      <c r="AG65" s="7">
        <v>0</v>
      </c>
      <c r="AH65" s="7">
        <v>0</v>
      </c>
      <c r="AI65" s="7">
        <v>0</v>
      </c>
      <c r="AJ65" s="7">
        <v>1</v>
      </c>
    </row>
    <row r="66" spans="1:36" ht="21" customHeight="1" x14ac:dyDescent="0.15">
      <c r="A66" s="20" t="str">
        <f t="shared" ca="1" si="52"/>
        <v>20004_3-3/63&lt;lv42&gt;s2</v>
      </c>
      <c r="B66" s="27">
        <v>20004</v>
      </c>
      <c r="C66" s="26">
        <v>3</v>
      </c>
      <c r="D66" s="2" t="str">
        <f t="shared" si="53"/>
        <v>20004_3</v>
      </c>
      <c r="E66" s="4" t="str">
        <f ca="1">VLOOKUP($B66,OFFSET([1]quests!$A$1,0,0,COUNTA([1]quests!$A:$A),MATCH(E$1,[1]quests!$1:$1,0)-MATCH($B$1,[1]quests!$1:$1,0)+1),MATCH(E$1,[1]quests!$1:$1,0)-MATCH($B$1,[1]quests!$1:$1,0)+1,FALSE)</f>
        <v>雷雲からの刺客</v>
      </c>
      <c r="F66" s="4" t="str">
        <f ca="1">VLOOKUP($D66,OFFSET([1]stages!$A$1,0,0,COUNTA([1]stages!$A:$A),MATCH(F$1,[1]stages!$2:$2,0)-MATCH($D$1,[1]stages!$2:$2,0)+1),MATCH(F$1,[1]stages!$2:$2,0)-MATCH($D$1,[1]stages!$2:$2,0)+1,FALSE)</f>
        <v>【上級】雷雲からの刺客</v>
      </c>
      <c r="G66" s="26">
        <v>3</v>
      </c>
      <c r="H66" s="19" t="str">
        <f t="shared" si="54"/>
        <v>20004_3-3</v>
      </c>
      <c r="I66" s="42">
        <v>63</v>
      </c>
      <c r="J66" s="23" t="str">
        <f ca="1">VLOOKUP($I66,OFFSET([2]enemies!$A$1,0,0,COUNTA([2]enemies!$A:$A),MATCH(J$1,[2]enemies!$1:$1,0)-MATCH($I$1,[2]enemies!$1:$1,0)+1),MATCH(J$1,[2]enemies!$1:$1,0)-MATCH($I$1,[2]enemies!$1:$1,0)+1,FALSE)</f>
        <v>トニー</v>
      </c>
      <c r="K66" s="23" t="str">
        <f ca="1">VLOOKUP($I66,OFFSET([2]enemies!$A$1,0,0,COUNTA([2]enemies!$A:$A),MATCH(K$1,[2]enemies!$1:$1,0)-MATCH($I$1,[2]enemies!$1:$1,0)+1),MATCH(K$1,[2]enemies!$1:$1,0)-MATCH($I$1,[2]enemies!$1:$1,0)+1,FALSE)</f>
        <v>yellow</v>
      </c>
      <c r="L66" s="24" t="str">
        <f>VLOOKUP(I66,[3]characters!$A:$J,10,FALSE)</f>
        <v>Drop1N</v>
      </c>
      <c r="M66" s="23" t="str">
        <f ca="1">VLOOKUP($I66,OFFSET([2]enemies!$A$1,0,0,COUNTA([2]enemies!$A:$A),MATCH(M$1,[2]enemies!$1:$1,0)-MATCH($I$1,[2]enemies!$1:$1,0)+1),MATCH(M$1,[2]enemies!$1:$1,0)-MATCH($I$1,[2]enemies!$1:$1,0)+1,FALSE)</f>
        <v>animal</v>
      </c>
      <c r="N66" s="23">
        <f ca="1">VLOOKUP($I66,OFFSET([2]enemies!$A$1,0,0,COUNTA([2]enemies!$A:$A),MATCH(N$1,[2]enemies!$1:$1,0)-MATCH($I$1,[2]enemies!$1:$1,0)+1),MATCH(N$1,[2]enemies!$1:$1,0)-MATCH($I$1,[2]enemies!$1:$1,0)+1,FALSE)</f>
        <v>15</v>
      </c>
      <c r="O66" s="5">
        <v>42</v>
      </c>
      <c r="P66" s="30">
        <v>1.5</v>
      </c>
      <c r="Q66" s="30">
        <v>0.8</v>
      </c>
      <c r="R66" s="5">
        <v>0</v>
      </c>
      <c r="S66" s="4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6" s="23">
        <f ca="1">VLOOKUP($I66,OFFSET([2]enemies!$A$1,0,0,COUNTA([2]enemies!$A:$A),MATCH(T$1,[2]enemies!$1:$1,0)-MATCH($I$1,[2]enemies!$1:$1,0)+1),MATCH(T$1,[2]enemies!$1:$1,0)-MATCH($I$1,[2]enemies!$1:$1,0)+1,FALSE)</f>
        <v>63</v>
      </c>
      <c r="U66" s="6">
        <v>0</v>
      </c>
      <c r="V66" s="6">
        <v>100</v>
      </c>
      <c r="W66" s="6">
        <v>0</v>
      </c>
      <c r="X66" s="23">
        <f ca="1">VLOOKUP($I66,OFFSET([2]enemies!$A$1,0,0,COUNTA([2]enemies!$A:$A),MATCH(X$1,[2]enemies!$1:$1,0)-MATCH($I$1,[2]enemies!$1:$1,0)+1),MATCH(X$1,[2]enemies!$1:$1,0)-MATCH($I$1,[2]enemies!$1:$1,0)+1,FALSE)</f>
        <v>2</v>
      </c>
      <c r="Y66" s="42">
        <v>63</v>
      </c>
      <c r="Z66" s="4" t="str">
        <f ca="1">IFERROR(VLOOKUP($Y66,OFFSET([3]characters!$A$1,0,0,COUNTA([3]characters!$A:$A),MATCH(Z$1,[3]characters!$1:$1,0)-MATCH("character_id",[3]characters!$1:$1,0)+1),MATCH(Z$1,[3]characters!$1:$1,0)-MATCH("character_id",[3]characters!$1:$1,0)+1,FALSE),"")</f>
        <v>トニー</v>
      </c>
      <c r="AA66" s="4">
        <f ca="1">IFERROR(VLOOKUP($Y66,OFFSET([3]characters!$A$1,0,0,COUNTA([3]characters!$A:$A),MATCH(AA$1,[3]characters!$1:$1,0)-MATCH("character_id",[3]characters!$1:$1,0)+1),MATCH(AA$1,[3]characters!$1:$1,0)-MATCH("character_id",[3]characters!$1:$1,0)+1,FALSE),"")</f>
        <v>2</v>
      </c>
      <c r="AB66" s="4" t="str">
        <f ca="1">IFERROR(VLOOKUP($Y66,OFFSET([3]characters!$A$1,0,0,COUNTA([3]characters!$A:$A),MATCH(AB$1,[3]characters!$1:$1,0)-MATCH("character_id",[3]characters!$1:$1,0)+1),MATCH(AB$1,[3]characters!$1:$1,0)-MATCH("character_id",[3]characters!$1:$1,0)+1,FALSE),"")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6" s="7">
        <v>5</v>
      </c>
      <c r="AD66" s="29">
        <f t="shared" ca="1" si="55"/>
        <v>2</v>
      </c>
      <c r="AE66" s="8">
        <v>15</v>
      </c>
      <c r="AF66" s="7">
        <v>0</v>
      </c>
      <c r="AG66" s="7">
        <v>0</v>
      </c>
      <c r="AH66" s="7">
        <v>0</v>
      </c>
      <c r="AI66" s="7">
        <v>0</v>
      </c>
      <c r="AJ66" s="7">
        <v>1</v>
      </c>
    </row>
    <row r="67" spans="1:36" ht="21" customHeight="1" x14ac:dyDescent="0.15">
      <c r="A67" s="20" t="str">
        <f t="shared" ca="1" si="52"/>
        <v>20004_3-3/118&lt;lv42&gt;s2</v>
      </c>
      <c r="B67" s="27">
        <v>20004</v>
      </c>
      <c r="C67" s="26">
        <v>3</v>
      </c>
      <c r="D67" s="2" t="str">
        <f t="shared" si="53"/>
        <v>20004_3</v>
      </c>
      <c r="E67" s="4" t="str">
        <f ca="1">VLOOKUP($B67,OFFSET([1]quests!$A$1,0,0,COUNTA([1]quests!$A:$A),MATCH(E$1,[1]quests!$1:$1,0)-MATCH($B$1,[1]quests!$1:$1,0)+1),MATCH(E$1,[1]quests!$1:$1,0)-MATCH($B$1,[1]quests!$1:$1,0)+1,FALSE)</f>
        <v>雷雲からの刺客</v>
      </c>
      <c r="F67" s="4" t="str">
        <f ca="1">VLOOKUP($D67,OFFSET([1]stages!$A$1,0,0,COUNTA([1]stages!$A:$A),MATCH(F$1,[1]stages!$2:$2,0)-MATCH($D$1,[1]stages!$2:$2,0)+1),MATCH(F$1,[1]stages!$2:$2,0)-MATCH($D$1,[1]stages!$2:$2,0)+1,FALSE)</f>
        <v>【上級】雷雲からの刺客</v>
      </c>
      <c r="G67" s="26">
        <v>3</v>
      </c>
      <c r="H67" s="19" t="str">
        <f t="shared" si="54"/>
        <v>20004_3-3</v>
      </c>
      <c r="I67" s="44">
        <v>118</v>
      </c>
      <c r="J67" s="23" t="str">
        <f ca="1">VLOOKUP($I67,OFFSET([2]enemies!$A$1,0,0,COUNTA([2]enemies!$A:$A),MATCH(J$1,[2]enemies!$1:$1,0)-MATCH($I$1,[2]enemies!$1:$1,0)+1),MATCH(J$1,[2]enemies!$1:$1,0)-MATCH($I$1,[2]enemies!$1:$1,0)+1,FALSE)</f>
        <v>ゴールドチック</v>
      </c>
      <c r="K67" s="23" t="str">
        <f ca="1">VLOOKUP($I67,OFFSET([2]enemies!$A$1,0,0,COUNTA([2]enemies!$A:$A),MATCH(K$1,[2]enemies!$1:$1,0)-MATCH($I$1,[2]enemies!$1:$1,0)+1),MATCH(K$1,[2]enemies!$1:$1,0)-MATCH($I$1,[2]enemies!$1:$1,0)+1,FALSE)</f>
        <v>yellow</v>
      </c>
      <c r="L67" s="24" t="str">
        <f>VLOOKUP(I67,[3]characters!$A:$J,10,FALSE)</f>
        <v>Material</v>
      </c>
      <c r="M67" s="23" t="str">
        <f ca="1">VLOOKUP($I67,OFFSET([2]enemies!$A$1,0,0,COUNTA([2]enemies!$A:$A),MATCH(M$1,[2]enemies!$1:$1,0)-MATCH($I$1,[2]enemies!$1:$1,0)+1),MATCH(M$1,[2]enemies!$1:$1,0)-MATCH($I$1,[2]enemies!$1:$1,0)+1,FALSE)</f>
        <v>unknown</v>
      </c>
      <c r="N67" s="23">
        <f ca="1">VLOOKUP($I67,OFFSET([2]enemies!$A$1,0,0,COUNTA([2]enemies!$A:$A),MATCH(N$1,[2]enemies!$1:$1,0)-MATCH($I$1,[2]enemies!$1:$1,0)+1),MATCH(N$1,[2]enemies!$1:$1,0)-MATCH($I$1,[2]enemies!$1:$1,0)+1,FALSE)</f>
        <v>15</v>
      </c>
      <c r="O67" s="5">
        <v>42</v>
      </c>
      <c r="P67" s="30">
        <v>1.5</v>
      </c>
      <c r="Q67" s="30">
        <v>0.8</v>
      </c>
      <c r="R67" s="5">
        <v>0</v>
      </c>
      <c r="S67" s="4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23">
        <f ca="1">VLOOKUP($I67,OFFSET([2]enemies!$A$1,0,0,COUNTA([2]enemies!$A:$A),MATCH(T$1,[2]enemies!$1:$1,0)-MATCH($I$1,[2]enemies!$1:$1,0)+1),MATCH(T$1,[2]enemies!$1:$1,0)-MATCH($I$1,[2]enemies!$1:$1,0)+1,FALSE)</f>
        <v>0</v>
      </c>
      <c r="U67" s="6">
        <v>0</v>
      </c>
      <c r="V67" s="6">
        <v>30</v>
      </c>
      <c r="W67" s="6">
        <v>0</v>
      </c>
      <c r="X67" s="23">
        <f ca="1">VLOOKUP($I67,OFFSET([2]enemies!$A$1,0,0,COUNTA([2]enemies!$A:$A),MATCH(X$1,[2]enemies!$1:$1,0)-MATCH($I$1,[2]enemies!$1:$1,0)+1),MATCH(X$1,[2]enemies!$1:$1,0)-MATCH($I$1,[2]enemies!$1:$1,0)+1,FALSE)</f>
        <v>2</v>
      </c>
      <c r="Y67" s="44">
        <v>118</v>
      </c>
      <c r="Z67" s="4" t="str">
        <f ca="1">IFERROR(VLOOKUP($Y67,OFFSET([3]characters!$A$1,0,0,COUNTA([3]characters!$A:$A),MATCH(Z$1,[3]characters!$1:$1,0)-MATCH("character_id",[3]characters!$1:$1,0)+1),MATCH(Z$1,[3]characters!$1:$1,0)-MATCH("character_id",[3]characters!$1:$1,0)+1,FALSE),"")</f>
        <v>ゴールドチック</v>
      </c>
      <c r="AA67" s="4">
        <f ca="1">IFERROR(VLOOKUP($Y67,OFFSET([3]characters!$A$1,0,0,COUNTA([3]characters!$A:$A),MATCH(AA$1,[3]characters!$1:$1,0)-MATCH("character_id",[3]characters!$1:$1,0)+1),MATCH(AA$1,[3]characters!$1:$1,0)-MATCH("character_id",[3]characters!$1:$1,0)+1,FALSE),"")</f>
        <v>4</v>
      </c>
      <c r="AB67" s="4" t="str">
        <f ca="1">IFERROR(VLOOKUP($Y67,OFFSET([3]characters!$A$1,0,0,COUNTA([3]characters!$A:$A),MATCH(AB$1,[3]characters!$1:$1,0)-MATCH("character_id",[3]characters!$1:$1,0)+1),MATCH(AB$1,[3]characters!$1:$1,0)-MATCH("character_id",[3]characters!$1:$1,0)+1,FALSE),"")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7" s="7">
        <v>1</v>
      </c>
      <c r="AD67" s="29">
        <f t="shared" ca="1" si="55"/>
        <v>4</v>
      </c>
      <c r="AE67" s="8">
        <v>10</v>
      </c>
      <c r="AF67" s="7">
        <v>0</v>
      </c>
      <c r="AG67" s="7">
        <v>0</v>
      </c>
      <c r="AH67" s="7">
        <v>0</v>
      </c>
      <c r="AI67" s="7">
        <v>0</v>
      </c>
      <c r="AJ67" s="7">
        <v>1</v>
      </c>
    </row>
    <row r="68" spans="1:36" ht="21" customHeight="1" x14ac:dyDescent="0.15">
      <c r="A68" s="20" t="str">
        <f>B68&amp;"_"&amp;C68&amp;"-"&amp;G68&amp;"/"&amp;I68&amp;"&lt;lv"&amp;O68&amp;"&gt;s"&amp;X68</f>
        <v>20004_3-4/121&lt;lv32&gt;s3</v>
      </c>
      <c r="B68" s="27">
        <v>20004</v>
      </c>
      <c r="C68" s="26">
        <v>3</v>
      </c>
      <c r="D68" s="2" t="str">
        <f>B68&amp;"_"&amp;C68</f>
        <v>20004_3</v>
      </c>
      <c r="E68" s="4" t="str">
        <f ca="1">VLOOKUP($B68,OFFSET([1]quests!$A$1,0,0,COUNTA([1]quests!$A:$A),MATCH(E$1,[1]quests!$1:$1,0)-MATCH($B$1,[1]quests!$1:$1,0)+1),MATCH(E$1,[1]quests!$1:$1,0)-MATCH($B$1,[1]quests!$1:$1,0)+1,FALSE)</f>
        <v>雷雲からの刺客</v>
      </c>
      <c r="F68" s="4" t="str">
        <f ca="1">VLOOKUP($D68,OFFSET([1]stages!$A$1,0,0,COUNTA([1]stages!$A:$A),MATCH(F$1,[1]stages!$2:$2,0)-MATCH($D$1,[1]stages!$2:$2,0)+1),MATCH(F$1,[1]stages!$2:$2,0)-MATCH($D$1,[1]stages!$2:$2,0)+1,FALSE)</f>
        <v>【上級】雷雲からの刺客</v>
      </c>
      <c r="G68" s="43">
        <v>4</v>
      </c>
      <c r="H68" s="19" t="str">
        <f>B68&amp;"_"&amp;C68&amp;"-"&amp;G68</f>
        <v>20004_3-4</v>
      </c>
      <c r="I68" s="41">
        <v>121</v>
      </c>
      <c r="J68" s="23" t="str">
        <f ca="1">VLOOKUP($I68,OFFSET([2]enemies!$A$1,0,0,COUNTA([2]enemies!$A:$A),MATCH(J$1,[2]enemies!$1:$1,0)-MATCH($I$1,[2]enemies!$1:$1,0)+1),MATCH(J$1,[2]enemies!$1:$1,0)-MATCH($I$1,[2]enemies!$1:$1,0)+1,FALSE)</f>
        <v>攻めの果実</v>
      </c>
      <c r="K68" s="23" t="str">
        <f ca="1">VLOOKUP($I68,OFFSET([2]enemies!$A$1,0,0,COUNTA([2]enemies!$A:$A),MATCH(K$1,[2]enemies!$1:$1,0)-MATCH($I$1,[2]enemies!$1:$1,0)+1),MATCH(K$1,[2]enemies!$1:$1,0)-MATCH($I$1,[2]enemies!$1:$1,0)+1,FALSE)</f>
        <v>red</v>
      </c>
      <c r="L68" s="24" t="str">
        <f>VLOOKUP(I68,[3]characters!$A:$J,10,FALSE)</f>
        <v>Material</v>
      </c>
      <c r="M68" s="23" t="str">
        <f ca="1">VLOOKUP($I68,OFFSET([2]enemies!$A$1,0,0,COUNTA([2]enemies!$A:$A),MATCH(M$1,[2]enemies!$1:$1,0)-MATCH($I$1,[2]enemies!$1:$1,0)+1),MATCH(M$1,[2]enemies!$1:$1,0)-MATCH($I$1,[2]enemies!$1:$1,0)+1,FALSE)</f>
        <v>unknown</v>
      </c>
      <c r="N68" s="23">
        <f ca="1">VLOOKUP($I68,OFFSET([2]enemies!$A$1,0,0,COUNTA([2]enemies!$A:$A),MATCH(N$1,[2]enemies!$1:$1,0)-MATCH($I$1,[2]enemies!$1:$1,0)+1),MATCH(N$1,[2]enemies!$1:$1,0)-MATCH($I$1,[2]enemies!$1:$1,0)+1,FALSE)</f>
        <v>20</v>
      </c>
      <c r="O68" s="5">
        <v>32</v>
      </c>
      <c r="P68" s="30">
        <v>1.6</v>
      </c>
      <c r="Q68" s="30">
        <v>0.7</v>
      </c>
      <c r="R68" s="5">
        <v>0</v>
      </c>
      <c r="S68" s="4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8" s="47">
        <v>1211</v>
      </c>
      <c r="U68" s="6">
        <v>1</v>
      </c>
      <c r="V68" s="6">
        <v>100</v>
      </c>
      <c r="W68" s="6">
        <v>0</v>
      </c>
      <c r="X68" s="46">
        <v>3</v>
      </c>
      <c r="Y68" s="42">
        <v>121</v>
      </c>
      <c r="Z68" s="4" t="str">
        <f ca="1">IFERROR(VLOOKUP($Y68,OFFSET([3]characters!$A$1,0,0,COUNTA([3]characters!$A:$A),MATCH(Z$1,[3]characters!$1:$1,0)-MATCH("character_id",[3]characters!$1:$1,0)+1),MATCH(Z$1,[3]characters!$1:$1,0)-MATCH("character_id",[3]characters!$1:$1,0)+1,FALSE),"")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68" s="4">
        <f ca="1">IFERROR(VLOOKUP($Y68,OFFSET([3]characters!$A$1,0,0,COUNTA([3]characters!$A:$A),MATCH(AA$1,[3]characters!$1:$1,0)-MATCH("character_id",[3]characters!$1:$1,0)+1),MATCH(AA$1,[3]characters!$1:$1,0)-MATCH("character_id",[3]characters!$1:$1,0)+1,FALSE),"")</f>
        <v>3</v>
      </c>
      <c r="AB68" s="4" t="str">
        <f ca="1">IFERROR(VLOOKUP($Y68,OFFSET([3]characters!$A$1,0,0,COUNTA([3]characters!$A:$A),MATCH(AB$1,[3]characters!$1:$1,0)-MATCH("character_id",[3]characters!$1:$1,0)+1),MATCH(AB$1,[3]characters!$1:$1,0)-MATCH("character_id",[3]characters!$1:$1,0)+1,FALSE),"")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8" s="7">
        <v>1</v>
      </c>
      <c r="AD68" s="29">
        <f ca="1">AA68</f>
        <v>3</v>
      </c>
      <c r="AE68" s="8">
        <v>5</v>
      </c>
      <c r="AF68" s="7">
        <v>0</v>
      </c>
      <c r="AG68" s="7">
        <v>0</v>
      </c>
      <c r="AH68" s="7">
        <v>0</v>
      </c>
      <c r="AI68" s="7">
        <v>0</v>
      </c>
      <c r="AJ68" s="7">
        <v>1</v>
      </c>
    </row>
    <row r="69" spans="1:36" ht="21" customHeight="1" x14ac:dyDescent="0.15">
      <c r="A69" s="20" t="str">
        <f t="shared" ref="A69:A71" ca="1" si="56">B69&amp;"_"&amp;C69&amp;"-"&amp;G69&amp;"/"&amp;I69&amp;"&lt;lv"&amp;O69&amp;"&gt;s"&amp;X69</f>
        <v>20004_3-4/122&lt;lv32&gt;s3</v>
      </c>
      <c r="B69" s="27">
        <v>20004</v>
      </c>
      <c r="C69" s="26">
        <v>3</v>
      </c>
      <c r="D69" s="2" t="str">
        <f t="shared" ref="D69:D71" si="57">B69&amp;"_"&amp;C69</f>
        <v>20004_3</v>
      </c>
      <c r="E69" s="4" t="str">
        <f ca="1">VLOOKUP($B69,OFFSET([1]quests!$A$1,0,0,COUNTA([1]quests!$A:$A),MATCH(E$1,[1]quests!$1:$1,0)-MATCH($B$1,[1]quests!$1:$1,0)+1),MATCH(E$1,[1]quests!$1:$1,0)-MATCH($B$1,[1]quests!$1:$1,0)+1,FALSE)</f>
        <v>雷雲からの刺客</v>
      </c>
      <c r="F69" s="4" t="str">
        <f ca="1">VLOOKUP($D69,OFFSET([1]stages!$A$1,0,0,COUNTA([1]stages!$A:$A),MATCH(F$1,[1]stages!$2:$2,0)-MATCH($D$1,[1]stages!$2:$2,0)+1),MATCH(F$1,[1]stages!$2:$2,0)-MATCH($D$1,[1]stages!$2:$2,0)+1,FALSE)</f>
        <v>【上級】雷雲からの刺客</v>
      </c>
      <c r="G69" s="43">
        <v>4</v>
      </c>
      <c r="H69" s="19" t="str">
        <f t="shared" ref="H69:H71" si="58">B69&amp;"_"&amp;C69&amp;"-"&amp;G69</f>
        <v>20004_3-4</v>
      </c>
      <c r="I69" s="42">
        <v>122</v>
      </c>
      <c r="J69" s="23" t="str">
        <f ca="1">VLOOKUP($I69,OFFSET([2]enemies!$A$1,0,0,COUNTA([2]enemies!$A:$A),MATCH(J$1,[2]enemies!$1:$1,0)-MATCH($I$1,[2]enemies!$1:$1,0)+1),MATCH(J$1,[2]enemies!$1:$1,0)-MATCH($I$1,[2]enemies!$1:$1,0)+1,FALSE)</f>
        <v>生命の果実</v>
      </c>
      <c r="K69" s="23" t="str">
        <f ca="1">VLOOKUP($I69,OFFSET([2]enemies!$A$1,0,0,COUNTA([2]enemies!$A:$A),MATCH(K$1,[2]enemies!$1:$1,0)-MATCH($I$1,[2]enemies!$1:$1,0)+1),MATCH(K$1,[2]enemies!$1:$1,0)-MATCH($I$1,[2]enemies!$1:$1,0)+1,FALSE)</f>
        <v>green</v>
      </c>
      <c r="L69" s="24" t="str">
        <f>VLOOKUP(I69,[3]characters!$A:$J,10,FALSE)</f>
        <v>Material</v>
      </c>
      <c r="M69" s="23" t="str">
        <f ca="1">VLOOKUP($I69,OFFSET([2]enemies!$A$1,0,0,COUNTA([2]enemies!$A:$A),MATCH(M$1,[2]enemies!$1:$1,0)-MATCH($I$1,[2]enemies!$1:$1,0)+1),MATCH(M$1,[2]enemies!$1:$1,0)-MATCH($I$1,[2]enemies!$1:$1,0)+1,FALSE)</f>
        <v>unknown</v>
      </c>
      <c r="N69" s="23">
        <f ca="1">VLOOKUP($I69,OFFSET([2]enemies!$A$1,0,0,COUNTA([2]enemies!$A:$A),MATCH(N$1,[2]enemies!$1:$1,0)-MATCH($I$1,[2]enemies!$1:$1,0)+1),MATCH(N$1,[2]enemies!$1:$1,0)-MATCH($I$1,[2]enemies!$1:$1,0)+1,FALSE)</f>
        <v>20</v>
      </c>
      <c r="O69" s="5">
        <v>32</v>
      </c>
      <c r="P69" s="30">
        <v>1.6</v>
      </c>
      <c r="Q69" s="30">
        <v>0.2</v>
      </c>
      <c r="R69" s="5">
        <v>0</v>
      </c>
      <c r="S69" s="4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69" s="47">
        <v>1221</v>
      </c>
      <c r="U69" s="6">
        <v>1</v>
      </c>
      <c r="V69" s="6">
        <v>100</v>
      </c>
      <c r="W69" s="6">
        <v>0</v>
      </c>
      <c r="X69" s="23">
        <f ca="1">VLOOKUP($I69,OFFSET([2]enemies!$A$1,0,0,COUNTA([2]enemies!$A:$A),MATCH(X$1,[2]enemies!$1:$1,0)-MATCH($I$1,[2]enemies!$1:$1,0)+1),MATCH(X$1,[2]enemies!$1:$1,0)-MATCH($I$1,[2]enemies!$1:$1,0)+1,FALSE)</f>
        <v>3</v>
      </c>
      <c r="Y69" s="42">
        <v>122</v>
      </c>
      <c r="Z69" s="4" t="str">
        <f ca="1">IFERROR(VLOOKUP($Y69,OFFSET([3]characters!$A$1,0,0,COUNTA([3]characters!$A:$A),MATCH(Z$1,[3]characters!$1:$1,0)-MATCH("character_id",[3]characters!$1:$1,0)+1),MATCH(Z$1,[3]characters!$1:$1,0)-MATCH("character_id",[3]characters!$1:$1,0)+1,FALSE),"")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69" s="4">
        <f ca="1">IFERROR(VLOOKUP($Y69,OFFSET([3]characters!$A$1,0,0,COUNTA([3]characters!$A:$A),MATCH(AA$1,[3]characters!$1:$1,0)-MATCH("character_id",[3]characters!$1:$1,0)+1),MATCH(AA$1,[3]characters!$1:$1,0)-MATCH("character_id",[3]characters!$1:$1,0)+1,FALSE),"")</f>
        <v>3</v>
      </c>
      <c r="AB69" s="4" t="str">
        <f ca="1">IFERROR(VLOOKUP($Y69,OFFSET([3]characters!$A$1,0,0,COUNTA([3]characters!$A:$A),MATCH(AB$1,[3]characters!$1:$1,0)-MATCH("character_id",[3]characters!$1:$1,0)+1),MATCH(AB$1,[3]characters!$1:$1,0)-MATCH("character_id",[3]characters!$1:$1,0)+1,FALSE),"")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69" s="7">
        <v>1</v>
      </c>
      <c r="AD69" s="29">
        <f t="shared" ref="AD69:AD71" ca="1" si="59">AA69</f>
        <v>3</v>
      </c>
      <c r="AE69" s="8">
        <v>5</v>
      </c>
      <c r="AF69" s="7">
        <v>0</v>
      </c>
      <c r="AG69" s="7">
        <v>0</v>
      </c>
      <c r="AH69" s="7">
        <v>0</v>
      </c>
      <c r="AI69" s="7">
        <v>0</v>
      </c>
      <c r="AJ69" s="7">
        <v>1</v>
      </c>
    </row>
    <row r="70" spans="1:36" ht="21" customHeight="1" x14ac:dyDescent="0.15">
      <c r="A70" s="20" t="str">
        <f t="shared" si="56"/>
        <v>20004_3-4/123&lt;lv32&gt;s3</v>
      </c>
      <c r="B70" s="27">
        <v>20004</v>
      </c>
      <c r="C70" s="26">
        <v>3</v>
      </c>
      <c r="D70" s="2" t="str">
        <f t="shared" si="57"/>
        <v>20004_3</v>
      </c>
      <c r="E70" s="4" t="str">
        <f ca="1">VLOOKUP($B70,OFFSET([1]quests!$A$1,0,0,COUNTA([1]quests!$A:$A),MATCH(E$1,[1]quests!$1:$1,0)-MATCH($B$1,[1]quests!$1:$1,0)+1),MATCH(E$1,[1]quests!$1:$1,0)-MATCH($B$1,[1]quests!$1:$1,0)+1,FALSE)</f>
        <v>雷雲からの刺客</v>
      </c>
      <c r="F70" s="4" t="str">
        <f ca="1">VLOOKUP($D70,OFFSET([1]stages!$A$1,0,0,COUNTA([1]stages!$A:$A),MATCH(F$1,[1]stages!$2:$2,0)-MATCH($D$1,[1]stages!$2:$2,0)+1),MATCH(F$1,[1]stages!$2:$2,0)-MATCH($D$1,[1]stages!$2:$2,0)+1,FALSE)</f>
        <v>【上級】雷雲からの刺客</v>
      </c>
      <c r="G70" s="43">
        <v>4</v>
      </c>
      <c r="H70" s="19" t="str">
        <f t="shared" si="58"/>
        <v>20004_3-4</v>
      </c>
      <c r="I70" s="42">
        <v>123</v>
      </c>
      <c r="J70" s="23" t="str">
        <f ca="1">VLOOKUP($I70,OFFSET([2]enemies!$A$1,0,0,COUNTA([2]enemies!$A:$A),MATCH(J$1,[2]enemies!$1:$1,0)-MATCH($I$1,[2]enemies!$1:$1,0)+1),MATCH(J$1,[2]enemies!$1:$1,0)-MATCH($I$1,[2]enemies!$1:$1,0)+1,FALSE)</f>
        <v>癒しの果実</v>
      </c>
      <c r="K70" s="23" t="str">
        <f ca="1">VLOOKUP($I70,OFFSET([2]enemies!$A$1,0,0,COUNTA([2]enemies!$A:$A),MATCH(K$1,[2]enemies!$1:$1,0)-MATCH($I$1,[2]enemies!$1:$1,0)+1),MATCH(K$1,[2]enemies!$1:$1,0)-MATCH($I$1,[2]enemies!$1:$1,0)+1,FALSE)</f>
        <v>blue</v>
      </c>
      <c r="L70" s="24" t="str">
        <f>VLOOKUP(I70,[3]characters!$A:$J,10,FALSE)</f>
        <v>Material</v>
      </c>
      <c r="M70" s="23" t="str">
        <f ca="1">VLOOKUP($I70,OFFSET([2]enemies!$A$1,0,0,COUNTA([2]enemies!$A:$A),MATCH(M$1,[2]enemies!$1:$1,0)-MATCH($I$1,[2]enemies!$1:$1,0)+1),MATCH(M$1,[2]enemies!$1:$1,0)-MATCH($I$1,[2]enemies!$1:$1,0)+1,FALSE)</f>
        <v>unknown</v>
      </c>
      <c r="N70" s="23">
        <f ca="1">VLOOKUP($I70,OFFSET([2]enemies!$A$1,0,0,COUNTA([2]enemies!$A:$A),MATCH(N$1,[2]enemies!$1:$1,0)-MATCH($I$1,[2]enemies!$1:$1,0)+1),MATCH(N$1,[2]enemies!$1:$1,0)-MATCH($I$1,[2]enemies!$1:$1,0)+1,FALSE)</f>
        <v>20</v>
      </c>
      <c r="O70" s="5">
        <v>32</v>
      </c>
      <c r="P70" s="30">
        <v>1.6</v>
      </c>
      <c r="Q70" s="30">
        <v>0.7</v>
      </c>
      <c r="R70" s="5">
        <v>0</v>
      </c>
      <c r="S70" s="4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70" s="47">
        <v>1231</v>
      </c>
      <c r="U70" s="6">
        <v>1</v>
      </c>
      <c r="V70" s="6">
        <v>100</v>
      </c>
      <c r="W70" s="6">
        <v>0</v>
      </c>
      <c r="X70" s="46">
        <v>3</v>
      </c>
      <c r="Y70" s="42">
        <v>123</v>
      </c>
      <c r="Z70" s="4" t="str">
        <f ca="1">IFERROR(VLOOKUP($Y70,OFFSET([3]characters!$A$1,0,0,COUNTA([3]characters!$A:$A),MATCH(Z$1,[3]characters!$1:$1,0)-MATCH("character_id",[3]characters!$1:$1,0)+1),MATCH(Z$1,[3]characters!$1:$1,0)-MATCH("character_id",[3]characters!$1:$1,0)+1,FALSE),"")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70" s="4">
        <f ca="1">IFERROR(VLOOKUP($Y70,OFFSET([3]characters!$A$1,0,0,COUNTA([3]characters!$A:$A),MATCH(AA$1,[3]characters!$1:$1,0)-MATCH("character_id",[3]characters!$1:$1,0)+1),MATCH(AA$1,[3]characters!$1:$1,0)-MATCH("character_id",[3]characters!$1:$1,0)+1,FALSE),"")</f>
        <v>3</v>
      </c>
      <c r="AB70" s="4" t="str">
        <f ca="1">IFERROR(VLOOKUP($Y70,OFFSET([3]characters!$A$1,0,0,COUNTA([3]characters!$A:$A),MATCH(AB$1,[3]characters!$1:$1,0)-MATCH("character_id",[3]characters!$1:$1,0)+1),MATCH(AB$1,[3]characters!$1:$1,0)-MATCH("character_id",[3]characters!$1:$1,0)+1,FALSE),"")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70" s="7">
        <v>1</v>
      </c>
      <c r="AD70" s="29">
        <f t="shared" ca="1" si="59"/>
        <v>3</v>
      </c>
      <c r="AE70" s="8">
        <v>5</v>
      </c>
      <c r="AF70" s="7">
        <v>0</v>
      </c>
      <c r="AG70" s="7">
        <v>0</v>
      </c>
      <c r="AH70" s="7">
        <v>0</v>
      </c>
      <c r="AI70" s="7">
        <v>0</v>
      </c>
      <c r="AJ70" s="7">
        <v>1</v>
      </c>
    </row>
    <row r="71" spans="1:36" ht="21" customHeight="1" x14ac:dyDescent="0.15">
      <c r="A71" s="20" t="str">
        <f t="shared" ca="1" si="56"/>
        <v>20004_3-5/269&lt;lv43&gt;s4</v>
      </c>
      <c r="B71" s="27">
        <v>20004</v>
      </c>
      <c r="C71" s="26">
        <v>3</v>
      </c>
      <c r="D71" s="2" t="str">
        <f t="shared" si="57"/>
        <v>20004_3</v>
      </c>
      <c r="E71" s="4" t="str">
        <f ca="1">VLOOKUP($B71,OFFSET([1]quests!$A$1,0,0,COUNTA([1]quests!$A:$A),MATCH(E$1,[1]quests!$1:$1,0)-MATCH($B$1,[1]quests!$1:$1,0)+1),MATCH(E$1,[1]quests!$1:$1,0)-MATCH($B$1,[1]quests!$1:$1,0)+1,FALSE)</f>
        <v>雷雲からの刺客</v>
      </c>
      <c r="F71" s="4" t="str">
        <f ca="1">VLOOKUP($D71,OFFSET([1]stages!$A$1,0,0,COUNTA([1]stages!$A:$A),MATCH(F$1,[1]stages!$2:$2,0)-MATCH($D$1,[1]stages!$2:$2,0)+1),MATCH(F$1,[1]stages!$2:$2,0)-MATCH($D$1,[1]stages!$2:$2,0)+1,FALSE)</f>
        <v>【上級】雷雲からの刺客</v>
      </c>
      <c r="G71" s="45">
        <v>5</v>
      </c>
      <c r="H71" s="19" t="str">
        <f t="shared" si="58"/>
        <v>20004_3-5</v>
      </c>
      <c r="I71" s="42">
        <v>269</v>
      </c>
      <c r="J71" s="23" t="str">
        <f ca="1">VLOOKUP($I71,OFFSET([2]enemies!$A$1,0,0,COUNTA([2]enemies!$A:$A),MATCH(J$1,[2]enemies!$1:$1,0)-MATCH($I$1,[2]enemies!$1:$1,0)+1),MATCH(J$1,[2]enemies!$1:$1,0)-MATCH($I$1,[2]enemies!$1:$1,0)+1,FALSE)</f>
        <v>合雷獣 鵺</v>
      </c>
      <c r="K71" s="23" t="str">
        <f ca="1">VLOOKUP($I71,OFFSET([2]enemies!$A$1,0,0,COUNTA([2]enemies!$A:$A),MATCH(K$1,[2]enemies!$1:$1,0)-MATCH($I$1,[2]enemies!$1:$1,0)+1),MATCH(K$1,[2]enemies!$1:$1,0)-MATCH($I$1,[2]enemies!$1:$1,0)+1,FALSE)</f>
        <v>yellow</v>
      </c>
      <c r="L71" s="24" t="str">
        <f>VLOOKUP(I71,[3]characters!$A:$J,10,FALSE)</f>
        <v>Drop2W</v>
      </c>
      <c r="M71" s="23" t="str">
        <f ca="1">VLOOKUP($I71,OFFSET([2]enemies!$A$1,0,0,COUNTA([2]enemies!$A:$A),MATCH(M$1,[2]enemies!$1:$1,0)-MATCH($I$1,[2]enemies!$1:$1,0)+1),MATCH(M$1,[2]enemies!$1:$1,0)-MATCH($I$1,[2]enemies!$1:$1,0)+1,FALSE)</f>
        <v>animal</v>
      </c>
      <c r="N71" s="23">
        <f ca="1">VLOOKUP($I71,OFFSET([2]enemies!$A$1,0,0,COUNTA([2]enemies!$A:$A),MATCH(N$1,[2]enemies!$1:$1,0)-MATCH($I$1,[2]enemies!$1:$1,0)+1),MATCH(N$1,[2]enemies!$1:$1,0)-MATCH($I$1,[2]enemies!$1:$1,0)+1,FALSE)</f>
        <v>30</v>
      </c>
      <c r="O71" s="5">
        <v>43</v>
      </c>
      <c r="P71" s="30">
        <v>3.1</v>
      </c>
      <c r="Q71" s="30">
        <v>0.9</v>
      </c>
      <c r="R71" s="5">
        <v>0</v>
      </c>
      <c r="S71" s="4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71" s="23">
        <f ca="1">VLOOKUP($I71,OFFSET([2]enemies!$A$1,0,0,COUNTA([2]enemies!$A:$A),MATCH(T$1,[2]enemies!$1:$1,0)-MATCH($I$1,[2]enemies!$1:$1,0)+1),MATCH(T$1,[2]enemies!$1:$1,0)-MATCH($I$1,[2]enemies!$1:$1,0)+1,FALSE)</f>
        <v>268</v>
      </c>
      <c r="U71" s="6">
        <v>1</v>
      </c>
      <c r="V71" s="6">
        <v>100</v>
      </c>
      <c r="W71" s="6">
        <v>1</v>
      </c>
      <c r="X71" s="23">
        <f ca="1">VLOOKUP($I71,OFFSET([2]enemies!$A$1,0,0,COUNTA([2]enemies!$A:$A),MATCH(X$1,[2]enemies!$1:$1,0)-MATCH($I$1,[2]enemies!$1:$1,0)+1),MATCH(X$1,[2]enemies!$1:$1,0)-MATCH($I$1,[2]enemies!$1:$1,0)+1,FALSE)</f>
        <v>4</v>
      </c>
      <c r="Y71" s="42">
        <v>268</v>
      </c>
      <c r="Z71" s="4" t="str">
        <f ca="1">IFERROR(VLOOKUP($Y71,OFFSET([3]characters!$A$1,0,0,COUNTA([3]characters!$A:$A),MATCH(Z$1,[3]characters!$1:$1,0)-MATCH("character_id",[3]characters!$1:$1,0)+1),MATCH(Z$1,[3]characters!$1:$1,0)-MATCH("character_id",[3]characters!$1:$1,0)+1,FALSE),"")</f>
        <v>鵺</v>
      </c>
      <c r="AA71" s="4">
        <f ca="1">IFERROR(VLOOKUP($Y71,OFFSET([3]characters!$A$1,0,0,COUNTA([3]characters!$A:$A),MATCH(AA$1,[3]characters!$1:$1,0)-MATCH("character_id",[3]characters!$1:$1,0)+1),MATCH(AA$1,[3]characters!$1:$1,0)-MATCH("character_id",[3]characters!$1:$1,0)+1,FALSE),"")</f>
        <v>3</v>
      </c>
      <c r="AB71" s="4" t="str">
        <f ca="1">IFERROR(VLOOKUP($Y71,OFFSET([3]characters!$A$1,0,0,COUNTA([3]characters!$A:$A),MATCH(AB$1,[3]characters!$1:$1,0)-MATCH("character_id",[3]characters!$1:$1,0)+1),MATCH(AB$1,[3]characters!$1:$1,0)-MATCH("character_id",[3]characters!$1:$1,0)+1,FALSE),"")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71" s="7">
        <v>1</v>
      </c>
      <c r="AD71" s="29">
        <f t="shared" ca="1" si="59"/>
        <v>3</v>
      </c>
      <c r="AE71" s="48">
        <v>100</v>
      </c>
      <c r="AF71" s="7">
        <v>0</v>
      </c>
      <c r="AG71" s="7">
        <v>0</v>
      </c>
      <c r="AH71" s="7">
        <v>0</v>
      </c>
      <c r="AI71" s="7">
        <v>0</v>
      </c>
      <c r="AJ71" s="7">
        <v>1</v>
      </c>
    </row>
  </sheetData>
  <sheetProtection selectLockedCells="1" selectUnlockedCells="1"/>
  <autoFilter ref="B1:AE71"/>
  <phoneticPr fontId="3"/>
  <conditionalFormatting sqref="I28">
    <cfRule type="cellIs" dxfId="29" priority="100" stopIfTrue="1" operator="between">
      <formula>536</formula>
      <formula>563</formula>
    </cfRule>
    <cfRule type="cellIs" dxfId="28" priority="101" stopIfTrue="1" operator="between">
      <formula>524</formula>
      <formula>529</formula>
    </cfRule>
    <cfRule type="cellIs" dxfId="27" priority="102" stopIfTrue="1" operator="between">
      <formula>500</formula>
      <formula>515</formula>
    </cfRule>
  </conditionalFormatting>
  <conditionalFormatting sqref="I29">
    <cfRule type="cellIs" dxfId="26" priority="94" stopIfTrue="1" operator="between">
      <formula>536</formula>
      <formula>563</formula>
    </cfRule>
    <cfRule type="cellIs" dxfId="25" priority="95" stopIfTrue="1" operator="between">
      <formula>524</formula>
      <formula>529</formula>
    </cfRule>
    <cfRule type="cellIs" dxfId="24" priority="96" stopIfTrue="1" operator="between">
      <formula>500</formula>
      <formula>515</formula>
    </cfRule>
  </conditionalFormatting>
  <conditionalFormatting sqref="I35">
    <cfRule type="cellIs" dxfId="23" priority="88" stopIfTrue="1" operator="between">
      <formula>536</formula>
      <formula>563</formula>
    </cfRule>
    <cfRule type="cellIs" dxfId="22" priority="89" stopIfTrue="1" operator="between">
      <formula>524</formula>
      <formula>529</formula>
    </cfRule>
    <cfRule type="cellIs" dxfId="21" priority="90" stopIfTrue="1" operator="between">
      <formula>500</formula>
      <formula>515</formula>
    </cfRule>
  </conditionalFormatting>
  <conditionalFormatting sqref="I41">
    <cfRule type="cellIs" dxfId="20" priority="82" stopIfTrue="1" operator="between">
      <formula>536</formula>
      <formula>563</formula>
    </cfRule>
    <cfRule type="cellIs" dxfId="19" priority="83" stopIfTrue="1" operator="between">
      <formula>524</formula>
      <formula>529</formula>
    </cfRule>
    <cfRule type="cellIs" dxfId="18" priority="84" stopIfTrue="1" operator="between">
      <formula>500</formula>
      <formula>515</formula>
    </cfRule>
  </conditionalFormatting>
  <conditionalFormatting sqref="I47">
    <cfRule type="cellIs" dxfId="17" priority="76" stopIfTrue="1" operator="between">
      <formula>536</formula>
      <formula>563</formula>
    </cfRule>
    <cfRule type="cellIs" dxfId="16" priority="77" stopIfTrue="1" operator="between">
      <formula>524</formula>
      <formula>529</formula>
    </cfRule>
    <cfRule type="cellIs" dxfId="15" priority="78" stopIfTrue="1" operator="between">
      <formula>500</formula>
      <formula>515</formula>
    </cfRule>
  </conditionalFormatting>
  <conditionalFormatting sqref="I54">
    <cfRule type="cellIs" dxfId="14" priority="58" stopIfTrue="1" operator="between">
      <formula>536</formula>
      <formula>563</formula>
    </cfRule>
    <cfRule type="cellIs" dxfId="13" priority="59" stopIfTrue="1" operator="between">
      <formula>524</formula>
      <formula>529</formula>
    </cfRule>
    <cfRule type="cellIs" dxfId="12" priority="60" stopIfTrue="1" operator="between">
      <formula>500</formula>
      <formula>515</formula>
    </cfRule>
  </conditionalFormatting>
  <conditionalFormatting sqref="I60">
    <cfRule type="cellIs" dxfId="11" priority="10" stopIfTrue="1" operator="between">
      <formula>536</formula>
      <formula>563</formula>
    </cfRule>
    <cfRule type="cellIs" dxfId="10" priority="11" stopIfTrue="1" operator="between">
      <formula>524</formula>
      <formula>529</formula>
    </cfRule>
    <cfRule type="cellIs" dxfId="9" priority="12" stopIfTrue="1" operator="between">
      <formula>500</formula>
      <formula>515</formula>
    </cfRule>
  </conditionalFormatting>
  <conditionalFormatting sqref="I61 I67">
    <cfRule type="cellIs" dxfId="8" priority="7" stopIfTrue="1" operator="between">
      <formula>536</formula>
      <formula>563</formula>
    </cfRule>
    <cfRule type="cellIs" dxfId="7" priority="8" stopIfTrue="1" operator="between">
      <formula>524</formula>
      <formula>529</formula>
    </cfRule>
    <cfRule type="cellIs" dxfId="6" priority="9" stopIfTrue="1" operator="between">
      <formula>500</formula>
      <formula>515</formula>
    </cfRule>
  </conditionalFormatting>
  <conditionalFormatting sqref="Y60">
    <cfRule type="cellIs" dxfId="5" priority="4" stopIfTrue="1" operator="between">
      <formula>536</formula>
      <formula>563</formula>
    </cfRule>
    <cfRule type="cellIs" dxfId="4" priority="5" stopIfTrue="1" operator="between">
      <formula>524</formula>
      <formula>529</formula>
    </cfRule>
    <cfRule type="cellIs" dxfId="3" priority="6" stopIfTrue="1" operator="between">
      <formula>500</formula>
      <formula>515</formula>
    </cfRule>
  </conditionalFormatting>
  <conditionalFormatting sqref="Y54 Y61 Y67">
    <cfRule type="cellIs" dxfId="2" priority="1" stopIfTrue="1" operator="between">
      <formula>536</formula>
      <formula>563</formula>
    </cfRule>
    <cfRule type="cellIs" dxfId="1" priority="2" stopIfTrue="1" operator="between">
      <formula>524</formula>
      <formula>529</formula>
    </cfRule>
    <cfRule type="cellIs" dxfId="0" priority="3" stopIfTrue="1" operator="between">
      <formula>500</formula>
      <formula>515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" sqref="C2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floors_drop_1_4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7" si="0">INDIRECT(ADDRESS(ROW()+$A$1,COLUMN(),1,TRUE,$C$1))</f>
        <v>20004_1-1</v>
      </c>
      <c r="B3" s="18">
        <f t="shared" ref="B3:F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20004_1-2</v>
      </c>
      <c r="B4" s="18">
        <f t="shared" si="1"/>
        <v>20004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20004_1-3</v>
      </c>
      <c r="B5" s="18">
        <f t="shared" si="1"/>
        <v>20004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20004_1-4</v>
      </c>
      <c r="B6" s="18">
        <f t="shared" si="1"/>
        <v>20004</v>
      </c>
      <c r="C6" s="18">
        <f t="shared" si="1"/>
        <v>1</v>
      </c>
      <c r="D6" s="18">
        <f t="shared" si="1"/>
        <v>4</v>
      </c>
      <c r="E6" s="18">
        <f t="shared" si="1"/>
        <v>45</v>
      </c>
      <c r="F6" s="18">
        <f t="shared" si="1"/>
        <v>45</v>
      </c>
    </row>
    <row r="7" spans="1:6" x14ac:dyDescent="0.15">
      <c r="A7" s="22" t="str">
        <f t="shared" si="0"/>
        <v>20004_1-5</v>
      </c>
      <c r="B7" s="18">
        <f t="shared" si="1"/>
        <v>20004</v>
      </c>
      <c r="C7" s="18">
        <f t="shared" si="1"/>
        <v>1</v>
      </c>
      <c r="D7" s="18">
        <f t="shared" si="1"/>
        <v>5</v>
      </c>
      <c r="E7" s="18">
        <f t="shared" si="1"/>
        <v>20</v>
      </c>
      <c r="F7" s="18">
        <f t="shared" si="1"/>
        <v>20</v>
      </c>
    </row>
    <row r="8" spans="1:6" x14ac:dyDescent="0.15">
      <c r="A8" s="22" t="str">
        <f t="shared" si="0"/>
        <v>20004_2-1</v>
      </c>
      <c r="B8" s="18">
        <f t="shared" si="1"/>
        <v>20004</v>
      </c>
      <c r="C8" s="18">
        <f t="shared" si="1"/>
        <v>2</v>
      </c>
      <c r="D8" s="18">
        <f t="shared" si="1"/>
        <v>1</v>
      </c>
      <c r="E8" s="18">
        <f t="shared" si="1"/>
        <v>30</v>
      </c>
      <c r="F8" s="18">
        <f t="shared" si="1"/>
        <v>30</v>
      </c>
    </row>
    <row r="9" spans="1:6" x14ac:dyDescent="0.15">
      <c r="A9" s="22" t="str">
        <f t="shared" si="0"/>
        <v>20004_2-2</v>
      </c>
      <c r="B9" s="18">
        <f t="shared" si="1"/>
        <v>20004</v>
      </c>
      <c r="C9" s="18">
        <f t="shared" si="1"/>
        <v>2</v>
      </c>
      <c r="D9" s="18">
        <f t="shared" si="1"/>
        <v>2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20004_2-3</v>
      </c>
      <c r="B10" s="18">
        <f t="shared" si="1"/>
        <v>20004</v>
      </c>
      <c r="C10" s="18">
        <f t="shared" si="1"/>
        <v>2</v>
      </c>
      <c r="D10" s="18">
        <f t="shared" si="1"/>
        <v>3</v>
      </c>
      <c r="E10" s="18">
        <f t="shared" si="1"/>
        <v>45</v>
      </c>
      <c r="F10" s="18">
        <f t="shared" si="1"/>
        <v>45</v>
      </c>
    </row>
    <row r="11" spans="1:6" x14ac:dyDescent="0.15">
      <c r="A11" s="22" t="str">
        <f t="shared" si="0"/>
        <v>20004_2-4</v>
      </c>
      <c r="B11" s="18">
        <f t="shared" si="1"/>
        <v>20004</v>
      </c>
      <c r="C11" s="18">
        <f t="shared" si="1"/>
        <v>2</v>
      </c>
      <c r="D11" s="18">
        <f t="shared" si="1"/>
        <v>4</v>
      </c>
      <c r="E11" s="18">
        <f t="shared" si="1"/>
        <v>45</v>
      </c>
      <c r="F11" s="18">
        <f t="shared" si="1"/>
        <v>45</v>
      </c>
    </row>
    <row r="12" spans="1:6" x14ac:dyDescent="0.15">
      <c r="A12" s="22" t="str">
        <f t="shared" si="0"/>
        <v>20004_2-5</v>
      </c>
      <c r="B12" s="18">
        <f t="shared" si="1"/>
        <v>20004</v>
      </c>
      <c r="C12" s="18">
        <f t="shared" si="1"/>
        <v>2</v>
      </c>
      <c r="D12" s="18">
        <f t="shared" si="1"/>
        <v>5</v>
      </c>
      <c r="E12" s="18">
        <f t="shared" si="1"/>
        <v>20</v>
      </c>
      <c r="F12" s="18">
        <f t="shared" si="1"/>
        <v>20</v>
      </c>
    </row>
    <row r="13" spans="1:6" x14ac:dyDescent="0.15">
      <c r="A13" s="22" t="str">
        <f t="shared" si="0"/>
        <v>20004_3-1</v>
      </c>
      <c r="B13" s="18">
        <f t="shared" si="1"/>
        <v>20004</v>
      </c>
      <c r="C13" s="18">
        <f t="shared" si="1"/>
        <v>3</v>
      </c>
      <c r="D13" s="18">
        <f t="shared" si="1"/>
        <v>1</v>
      </c>
      <c r="E13" s="18">
        <f t="shared" si="1"/>
        <v>30</v>
      </c>
      <c r="F13" s="18">
        <f t="shared" si="1"/>
        <v>30</v>
      </c>
    </row>
    <row r="14" spans="1:6" x14ac:dyDescent="0.15">
      <c r="A14" s="22" t="str">
        <f t="shared" si="0"/>
        <v>20004_3-2</v>
      </c>
      <c r="B14" s="18">
        <f t="shared" si="1"/>
        <v>20004</v>
      </c>
      <c r="C14" s="18">
        <f t="shared" si="1"/>
        <v>3</v>
      </c>
      <c r="D14" s="18">
        <f t="shared" si="1"/>
        <v>2</v>
      </c>
      <c r="E14" s="18">
        <f t="shared" si="1"/>
        <v>45</v>
      </c>
      <c r="F14" s="18">
        <f t="shared" si="1"/>
        <v>45</v>
      </c>
    </row>
    <row r="15" spans="1:6" x14ac:dyDescent="0.15">
      <c r="A15" s="22" t="str">
        <f t="shared" si="0"/>
        <v>20004_3-3</v>
      </c>
      <c r="B15" s="18">
        <f t="shared" si="1"/>
        <v>20004</v>
      </c>
      <c r="C15" s="18">
        <f t="shared" si="1"/>
        <v>3</v>
      </c>
      <c r="D15" s="18">
        <f t="shared" si="1"/>
        <v>3</v>
      </c>
      <c r="E15" s="18">
        <f t="shared" si="1"/>
        <v>45</v>
      </c>
      <c r="F15" s="18">
        <f t="shared" si="1"/>
        <v>45</v>
      </c>
    </row>
    <row r="16" spans="1:6" x14ac:dyDescent="0.15">
      <c r="A16" s="22" t="str">
        <f t="shared" si="0"/>
        <v>20004_3-4</v>
      </c>
      <c r="B16" s="18">
        <f t="shared" si="1"/>
        <v>20004</v>
      </c>
      <c r="C16" s="18">
        <f t="shared" si="1"/>
        <v>3</v>
      </c>
      <c r="D16" s="18">
        <f t="shared" si="1"/>
        <v>4</v>
      </c>
      <c r="E16" s="18">
        <f t="shared" si="1"/>
        <v>80</v>
      </c>
      <c r="F16" s="18">
        <f t="shared" si="1"/>
        <v>80</v>
      </c>
    </row>
    <row r="17" spans="1:6" x14ac:dyDescent="0.15">
      <c r="A17" s="22" t="str">
        <f t="shared" si="0"/>
        <v>20004_3-5</v>
      </c>
      <c r="B17" s="18">
        <f t="shared" si="1"/>
        <v>20004</v>
      </c>
      <c r="C17" s="18">
        <f t="shared" si="1"/>
        <v>3</v>
      </c>
      <c r="D17" s="18">
        <f t="shared" si="1"/>
        <v>5</v>
      </c>
      <c r="E17" s="18">
        <f t="shared" si="1"/>
        <v>30</v>
      </c>
      <c r="F17" s="18">
        <f t="shared" si="1"/>
        <v>30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7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Z46" sqref="Z46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enemy_habitats_drop_1_4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20004_1-1/7&lt;lv18&gt;s2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3" s="18">
        <f t="shared" si="0"/>
        <v>1</v>
      </c>
      <c r="D3" s="18">
        <f t="shared" si="0"/>
        <v>1</v>
      </c>
      <c r="E3" s="18">
        <f t="shared" si="0"/>
        <v>7</v>
      </c>
      <c r="F3" s="18">
        <f t="shared" si="0"/>
        <v>18</v>
      </c>
      <c r="G3" s="18">
        <f t="shared" si="0"/>
        <v>1</v>
      </c>
      <c r="H3" s="18">
        <f t="shared" si="0"/>
        <v>0.9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2</v>
      </c>
      <c r="O3" s="18">
        <f t="shared" si="0"/>
        <v>7</v>
      </c>
      <c r="P3" s="18">
        <f t="shared" si="0"/>
        <v>3</v>
      </c>
      <c r="Q3" s="18">
        <f t="shared" si="0"/>
        <v>1</v>
      </c>
      <c r="R3" s="18">
        <f t="shared" si="0"/>
        <v>25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67" si="1">INDIRECT(ADDRESS(ROW()+$A$1,COLUMN(),1,TRUE,$C$1))</f>
        <v>20004_1-1/13&lt;lv18&gt;s2</v>
      </c>
      <c r="B4" s="18">
        <f t="shared" si="0"/>
        <v>20004</v>
      </c>
      <c r="C4" s="18">
        <f t="shared" si="0"/>
        <v>1</v>
      </c>
      <c r="D4" s="18">
        <f t="shared" si="0"/>
        <v>1</v>
      </c>
      <c r="E4" s="18">
        <f t="shared" si="0"/>
        <v>13</v>
      </c>
      <c r="F4" s="18">
        <f t="shared" si="0"/>
        <v>18</v>
      </c>
      <c r="G4" s="18">
        <f t="shared" si="0"/>
        <v>1</v>
      </c>
      <c r="H4" s="18">
        <f t="shared" si="0"/>
        <v>0.9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2</v>
      </c>
      <c r="O4" s="18">
        <f t="shared" si="0"/>
        <v>13</v>
      </c>
      <c r="P4" s="18">
        <f t="shared" si="0"/>
        <v>1</v>
      </c>
      <c r="Q4" s="18">
        <f t="shared" si="0"/>
        <v>1</v>
      </c>
      <c r="R4" s="18">
        <f t="shared" si="0"/>
        <v>25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20004_1-1/19&lt;lv18&gt;s3</v>
      </c>
      <c r="B5" s="18">
        <f t="shared" si="0"/>
        <v>20004</v>
      </c>
      <c r="C5" s="18">
        <f t="shared" si="0"/>
        <v>1</v>
      </c>
      <c r="D5" s="18">
        <f t="shared" si="0"/>
        <v>1</v>
      </c>
      <c r="E5" s="18">
        <f t="shared" si="0"/>
        <v>19</v>
      </c>
      <c r="F5" s="18">
        <f t="shared" si="0"/>
        <v>18</v>
      </c>
      <c r="G5" s="18">
        <f t="shared" si="0"/>
        <v>1</v>
      </c>
      <c r="H5" s="18">
        <f t="shared" si="0"/>
        <v>0.9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3</v>
      </c>
      <c r="O5" s="18">
        <f t="shared" si="0"/>
        <v>19</v>
      </c>
      <c r="P5" s="18">
        <f t="shared" si="0"/>
        <v>1</v>
      </c>
      <c r="Q5" s="18">
        <f t="shared" si="0"/>
        <v>1</v>
      </c>
      <c r="R5" s="18">
        <f t="shared" si="0"/>
        <v>25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20004_1-1/31&lt;lv18&gt;s2</v>
      </c>
      <c r="B6" s="18">
        <f t="shared" si="0"/>
        <v>20004</v>
      </c>
      <c r="C6" s="18">
        <f t="shared" si="0"/>
        <v>1</v>
      </c>
      <c r="D6" s="18">
        <f t="shared" si="0"/>
        <v>1</v>
      </c>
      <c r="E6" s="18">
        <f t="shared" si="0"/>
        <v>31</v>
      </c>
      <c r="F6" s="18">
        <f t="shared" si="0"/>
        <v>18</v>
      </c>
      <c r="G6" s="18">
        <f t="shared" si="0"/>
        <v>1</v>
      </c>
      <c r="H6" s="18">
        <f t="shared" si="0"/>
        <v>0.9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2</v>
      </c>
      <c r="O6" s="18">
        <f t="shared" si="0"/>
        <v>31</v>
      </c>
      <c r="P6" s="18">
        <f t="shared" si="0"/>
        <v>1</v>
      </c>
      <c r="Q6" s="18">
        <f t="shared" si="0"/>
        <v>1</v>
      </c>
      <c r="R6" s="18">
        <f t="shared" si="0"/>
        <v>25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20004_1-1/47&lt;lv18&gt;s1</v>
      </c>
      <c r="B7" s="18">
        <f t="shared" si="0"/>
        <v>20004</v>
      </c>
      <c r="C7" s="18">
        <f t="shared" si="0"/>
        <v>1</v>
      </c>
      <c r="D7" s="18">
        <f t="shared" si="0"/>
        <v>1</v>
      </c>
      <c r="E7" s="18">
        <f t="shared" si="0"/>
        <v>47</v>
      </c>
      <c r="F7" s="18">
        <f t="shared" si="0"/>
        <v>18</v>
      </c>
      <c r="G7" s="18">
        <f t="shared" si="0"/>
        <v>1</v>
      </c>
      <c r="H7" s="18">
        <f t="shared" si="0"/>
        <v>0.9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1</v>
      </c>
      <c r="O7" s="18">
        <f t="shared" si="0"/>
        <v>47</v>
      </c>
      <c r="P7" s="18">
        <f t="shared" si="0"/>
        <v>1</v>
      </c>
      <c r="Q7" s="18">
        <f t="shared" si="0"/>
        <v>2</v>
      </c>
      <c r="R7" s="18">
        <f t="shared" si="0"/>
        <v>25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20004_1-2/7&lt;lv18&gt;s2</v>
      </c>
      <c r="B8" s="18">
        <f t="shared" si="0"/>
        <v>20004</v>
      </c>
      <c r="C8" s="18">
        <f t="shared" si="0"/>
        <v>1</v>
      </c>
      <c r="D8" s="18">
        <f t="shared" si="0"/>
        <v>2</v>
      </c>
      <c r="E8" s="18">
        <f t="shared" si="0"/>
        <v>7</v>
      </c>
      <c r="F8" s="18">
        <f t="shared" si="0"/>
        <v>18</v>
      </c>
      <c r="G8" s="18">
        <f t="shared" si="0"/>
        <v>1</v>
      </c>
      <c r="H8" s="18">
        <f t="shared" si="0"/>
        <v>0.9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2</v>
      </c>
      <c r="O8" s="18">
        <f t="shared" si="0"/>
        <v>7</v>
      </c>
      <c r="P8" s="18">
        <f t="shared" si="0"/>
        <v>3</v>
      </c>
      <c r="Q8" s="18">
        <f t="shared" si="0"/>
        <v>1</v>
      </c>
      <c r="R8" s="18">
        <f t="shared" si="0"/>
        <v>25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20004_1-2/13&lt;lv18&gt;s2</v>
      </c>
      <c r="B9" s="18">
        <f t="shared" si="0"/>
        <v>20004</v>
      </c>
      <c r="C9" s="18">
        <f t="shared" si="0"/>
        <v>1</v>
      </c>
      <c r="D9" s="18">
        <f t="shared" si="0"/>
        <v>2</v>
      </c>
      <c r="E9" s="18">
        <f t="shared" si="0"/>
        <v>13</v>
      </c>
      <c r="F9" s="18">
        <f t="shared" si="0"/>
        <v>18</v>
      </c>
      <c r="G9" s="18">
        <f t="shared" si="0"/>
        <v>1</v>
      </c>
      <c r="H9" s="18">
        <f t="shared" si="0"/>
        <v>0.9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2</v>
      </c>
      <c r="O9" s="18">
        <f t="shared" si="0"/>
        <v>13</v>
      </c>
      <c r="P9" s="18">
        <f t="shared" si="0"/>
        <v>1</v>
      </c>
      <c r="Q9" s="18">
        <f t="shared" si="0"/>
        <v>1</v>
      </c>
      <c r="R9" s="18">
        <f t="shared" si="0"/>
        <v>25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20004_1-2/19&lt;lv18&gt;s3</v>
      </c>
      <c r="B10" s="18">
        <f t="shared" si="0"/>
        <v>20004</v>
      </c>
      <c r="C10" s="18">
        <f t="shared" si="0"/>
        <v>1</v>
      </c>
      <c r="D10" s="18">
        <f t="shared" si="0"/>
        <v>2</v>
      </c>
      <c r="E10" s="18">
        <f t="shared" si="0"/>
        <v>19</v>
      </c>
      <c r="F10" s="18">
        <f t="shared" si="0"/>
        <v>18</v>
      </c>
      <c r="G10" s="18">
        <f t="shared" si="0"/>
        <v>1</v>
      </c>
      <c r="H10" s="18">
        <f t="shared" si="0"/>
        <v>0.9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3</v>
      </c>
      <c r="O10" s="18">
        <f t="shared" si="0"/>
        <v>19</v>
      </c>
      <c r="P10" s="18">
        <f t="shared" si="0"/>
        <v>1</v>
      </c>
      <c r="Q10" s="18">
        <f t="shared" si="0"/>
        <v>1</v>
      </c>
      <c r="R10" s="18">
        <f t="shared" si="0"/>
        <v>25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20004_1-2/31&lt;lv18&gt;s2</v>
      </c>
      <c r="B11" s="18">
        <f t="shared" si="0"/>
        <v>20004</v>
      </c>
      <c r="C11" s="18">
        <f t="shared" si="0"/>
        <v>1</v>
      </c>
      <c r="D11" s="18">
        <f t="shared" si="0"/>
        <v>2</v>
      </c>
      <c r="E11" s="18">
        <f t="shared" si="0"/>
        <v>31</v>
      </c>
      <c r="F11" s="18">
        <f t="shared" si="0"/>
        <v>18</v>
      </c>
      <c r="G11" s="18">
        <f t="shared" si="0"/>
        <v>1</v>
      </c>
      <c r="H11" s="18">
        <f t="shared" si="0"/>
        <v>0.9</v>
      </c>
      <c r="I11" s="18">
        <f t="shared" si="0"/>
        <v>0</v>
      </c>
      <c r="J11" s="18">
        <f t="shared" si="0"/>
        <v>0</v>
      </c>
      <c r="K11" s="18">
        <f t="shared" si="0"/>
        <v>0</v>
      </c>
      <c r="L11" s="18">
        <f t="shared" si="0"/>
        <v>100</v>
      </c>
      <c r="M11" s="18">
        <f t="shared" si="0"/>
        <v>0</v>
      </c>
      <c r="N11" s="18">
        <f t="shared" si="0"/>
        <v>2</v>
      </c>
      <c r="O11" s="18">
        <f t="shared" si="0"/>
        <v>31</v>
      </c>
      <c r="P11" s="18">
        <f t="shared" si="0"/>
        <v>1</v>
      </c>
      <c r="Q11" s="18">
        <f t="shared" si="0"/>
        <v>1</v>
      </c>
      <c r="R11" s="18">
        <f t="shared" si="0"/>
        <v>25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20004_1-2/47&lt;lv18&gt;s1</v>
      </c>
      <c r="B12" s="18">
        <f t="shared" si="0"/>
        <v>20004</v>
      </c>
      <c r="C12" s="18">
        <f t="shared" si="0"/>
        <v>1</v>
      </c>
      <c r="D12" s="18">
        <f t="shared" si="0"/>
        <v>2</v>
      </c>
      <c r="E12" s="18">
        <f t="shared" si="0"/>
        <v>47</v>
      </c>
      <c r="F12" s="18">
        <f t="shared" si="0"/>
        <v>18</v>
      </c>
      <c r="G12" s="18">
        <f t="shared" si="0"/>
        <v>1</v>
      </c>
      <c r="H12" s="18">
        <f t="shared" si="0"/>
        <v>0.9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1</v>
      </c>
      <c r="O12" s="18">
        <f t="shared" si="0"/>
        <v>47</v>
      </c>
      <c r="P12" s="18">
        <f t="shared" si="0"/>
        <v>1</v>
      </c>
      <c r="Q12" s="18">
        <f t="shared" si="0"/>
        <v>2</v>
      </c>
      <c r="R12" s="18">
        <f t="shared" si="0"/>
        <v>25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20004_1-3/7&lt;lv18&gt;s2</v>
      </c>
      <c r="B13" s="18">
        <f t="shared" si="0"/>
        <v>20004</v>
      </c>
      <c r="C13" s="18">
        <f t="shared" si="0"/>
        <v>1</v>
      </c>
      <c r="D13" s="18">
        <f t="shared" si="0"/>
        <v>3</v>
      </c>
      <c r="E13" s="18">
        <f t="shared" si="0"/>
        <v>7</v>
      </c>
      <c r="F13" s="18">
        <f t="shared" si="0"/>
        <v>18</v>
      </c>
      <c r="G13" s="18">
        <f t="shared" si="0"/>
        <v>1</v>
      </c>
      <c r="H13" s="18">
        <f t="shared" si="0"/>
        <v>0.9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2</v>
      </c>
      <c r="O13" s="18">
        <f t="shared" si="0"/>
        <v>7</v>
      </c>
      <c r="P13" s="18">
        <f t="shared" si="0"/>
        <v>3</v>
      </c>
      <c r="Q13" s="18">
        <f t="shared" si="0"/>
        <v>1</v>
      </c>
      <c r="R13" s="18">
        <f t="shared" si="0"/>
        <v>25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20004_1-3/13&lt;lv18&gt;s2</v>
      </c>
      <c r="B14" s="18">
        <f t="shared" si="0"/>
        <v>20004</v>
      </c>
      <c r="C14" s="18">
        <f t="shared" si="0"/>
        <v>1</v>
      </c>
      <c r="D14" s="18">
        <f t="shared" si="0"/>
        <v>3</v>
      </c>
      <c r="E14" s="18">
        <f t="shared" si="0"/>
        <v>13</v>
      </c>
      <c r="F14" s="18">
        <f t="shared" si="0"/>
        <v>18</v>
      </c>
      <c r="G14" s="18">
        <f t="shared" si="0"/>
        <v>1</v>
      </c>
      <c r="H14" s="18">
        <f t="shared" si="0"/>
        <v>0.9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2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13</v>
      </c>
      <c r="P14" s="18">
        <f t="shared" si="2"/>
        <v>1</v>
      </c>
      <c r="Q14" s="18">
        <f t="shared" si="2"/>
        <v>1</v>
      </c>
      <c r="R14" s="18">
        <f t="shared" si="2"/>
        <v>25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20004_1-3/19&lt;lv18&gt;s3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15" s="18">
        <f t="shared" si="3"/>
        <v>1</v>
      </c>
      <c r="D15" s="18">
        <f t="shared" si="3"/>
        <v>3</v>
      </c>
      <c r="E15" s="18">
        <f t="shared" si="3"/>
        <v>19</v>
      </c>
      <c r="F15" s="18">
        <f t="shared" si="3"/>
        <v>18</v>
      </c>
      <c r="G15" s="18">
        <f t="shared" si="3"/>
        <v>1</v>
      </c>
      <c r="H15" s="18">
        <f t="shared" si="3"/>
        <v>0.9</v>
      </c>
      <c r="I15" s="18">
        <f t="shared" si="3"/>
        <v>0</v>
      </c>
      <c r="J15" s="18">
        <f t="shared" si="3"/>
        <v>0</v>
      </c>
      <c r="K15" s="18">
        <f t="shared" si="3"/>
        <v>0</v>
      </c>
      <c r="L15" s="18">
        <f t="shared" si="3"/>
        <v>100</v>
      </c>
      <c r="M15" s="18">
        <f t="shared" si="3"/>
        <v>0</v>
      </c>
      <c r="N15" s="18">
        <f t="shared" si="3"/>
        <v>3</v>
      </c>
      <c r="O15" s="18">
        <f t="shared" si="3"/>
        <v>19</v>
      </c>
      <c r="P15" s="18">
        <f t="shared" si="3"/>
        <v>1</v>
      </c>
      <c r="Q15" s="18">
        <f t="shared" si="3"/>
        <v>1</v>
      </c>
      <c r="R15" s="18">
        <f t="shared" si="2"/>
        <v>25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20004_1-3/31&lt;lv18&gt;s2</v>
      </c>
      <c r="B16" s="18">
        <f t="shared" si="3"/>
        <v>20004</v>
      </c>
      <c r="C16" s="18">
        <f t="shared" si="3"/>
        <v>1</v>
      </c>
      <c r="D16" s="18">
        <f t="shared" si="3"/>
        <v>3</v>
      </c>
      <c r="E16" s="18">
        <f t="shared" si="3"/>
        <v>31</v>
      </c>
      <c r="F16" s="18">
        <f t="shared" si="3"/>
        <v>18</v>
      </c>
      <c r="G16" s="18">
        <f t="shared" si="3"/>
        <v>1</v>
      </c>
      <c r="H16" s="18">
        <f t="shared" si="3"/>
        <v>0.9</v>
      </c>
      <c r="I16" s="18">
        <f t="shared" si="3"/>
        <v>0</v>
      </c>
      <c r="J16" s="18">
        <f t="shared" si="3"/>
        <v>0</v>
      </c>
      <c r="K16" s="18">
        <f t="shared" si="3"/>
        <v>0</v>
      </c>
      <c r="L16" s="18">
        <f t="shared" si="3"/>
        <v>100</v>
      </c>
      <c r="M16" s="18">
        <f t="shared" si="3"/>
        <v>0</v>
      </c>
      <c r="N16" s="18">
        <f t="shared" si="3"/>
        <v>2</v>
      </c>
      <c r="O16" s="18">
        <f t="shared" si="3"/>
        <v>31</v>
      </c>
      <c r="P16" s="18">
        <f t="shared" si="3"/>
        <v>1</v>
      </c>
      <c r="Q16" s="18">
        <f t="shared" si="3"/>
        <v>1</v>
      </c>
      <c r="R16" s="18">
        <f t="shared" si="2"/>
        <v>25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20004_1-3/47&lt;lv18&gt;s1</v>
      </c>
      <c r="B17" s="18">
        <f t="shared" si="3"/>
        <v>20004</v>
      </c>
      <c r="C17" s="18">
        <f t="shared" si="3"/>
        <v>1</v>
      </c>
      <c r="D17" s="18">
        <f t="shared" si="3"/>
        <v>3</v>
      </c>
      <c r="E17" s="18">
        <f t="shared" si="3"/>
        <v>47</v>
      </c>
      <c r="F17" s="18">
        <f t="shared" si="3"/>
        <v>18</v>
      </c>
      <c r="G17" s="18">
        <f t="shared" si="3"/>
        <v>1</v>
      </c>
      <c r="H17" s="18">
        <f t="shared" si="3"/>
        <v>0.9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1</v>
      </c>
      <c r="O17" s="18">
        <f t="shared" si="3"/>
        <v>47</v>
      </c>
      <c r="P17" s="18">
        <f t="shared" si="3"/>
        <v>1</v>
      </c>
      <c r="Q17" s="18">
        <f t="shared" si="3"/>
        <v>2</v>
      </c>
      <c r="R17" s="18">
        <f t="shared" si="2"/>
        <v>25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20004_1-4/7&lt;lv18&gt;s2</v>
      </c>
      <c r="B18" s="18">
        <f t="shared" si="3"/>
        <v>20004</v>
      </c>
      <c r="C18" s="18">
        <f t="shared" si="3"/>
        <v>1</v>
      </c>
      <c r="D18" s="18">
        <f t="shared" si="3"/>
        <v>4</v>
      </c>
      <c r="E18" s="18">
        <f t="shared" si="3"/>
        <v>7</v>
      </c>
      <c r="F18" s="18">
        <f t="shared" si="3"/>
        <v>18</v>
      </c>
      <c r="G18" s="18">
        <f t="shared" si="3"/>
        <v>1</v>
      </c>
      <c r="H18" s="18">
        <f t="shared" si="3"/>
        <v>0.9</v>
      </c>
      <c r="I18" s="18">
        <f t="shared" si="3"/>
        <v>0</v>
      </c>
      <c r="J18" s="18">
        <f t="shared" si="3"/>
        <v>0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2</v>
      </c>
      <c r="O18" s="18">
        <f t="shared" si="3"/>
        <v>7</v>
      </c>
      <c r="P18" s="18">
        <f t="shared" si="3"/>
        <v>3</v>
      </c>
      <c r="Q18" s="18">
        <f t="shared" si="3"/>
        <v>1</v>
      </c>
      <c r="R18" s="18">
        <f t="shared" si="2"/>
        <v>25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20004_1-4/13&lt;lv18&gt;s2</v>
      </c>
      <c r="B19" s="18">
        <f t="shared" si="3"/>
        <v>20004</v>
      </c>
      <c r="C19" s="18">
        <f t="shared" si="3"/>
        <v>1</v>
      </c>
      <c r="D19" s="18">
        <f t="shared" si="3"/>
        <v>4</v>
      </c>
      <c r="E19" s="18">
        <f t="shared" si="3"/>
        <v>13</v>
      </c>
      <c r="F19" s="18">
        <f t="shared" si="3"/>
        <v>18</v>
      </c>
      <c r="G19" s="18">
        <f t="shared" si="3"/>
        <v>1</v>
      </c>
      <c r="H19" s="18">
        <f t="shared" si="3"/>
        <v>0.9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2</v>
      </c>
      <c r="O19" s="18">
        <f t="shared" si="3"/>
        <v>13</v>
      </c>
      <c r="P19" s="18">
        <f t="shared" si="3"/>
        <v>1</v>
      </c>
      <c r="Q19" s="18">
        <f t="shared" si="3"/>
        <v>1</v>
      </c>
      <c r="R19" s="18">
        <f t="shared" si="2"/>
        <v>25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20004_1-4/19&lt;lv18&gt;s3</v>
      </c>
      <c r="B20" s="18">
        <f t="shared" si="3"/>
        <v>20004</v>
      </c>
      <c r="C20" s="18">
        <f t="shared" si="3"/>
        <v>1</v>
      </c>
      <c r="D20" s="18">
        <f t="shared" si="3"/>
        <v>4</v>
      </c>
      <c r="E20" s="18">
        <f t="shared" si="3"/>
        <v>19</v>
      </c>
      <c r="F20" s="18">
        <f t="shared" si="3"/>
        <v>18</v>
      </c>
      <c r="G20" s="18">
        <f t="shared" si="3"/>
        <v>1</v>
      </c>
      <c r="H20" s="18">
        <f t="shared" si="3"/>
        <v>0.9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3</v>
      </c>
      <c r="O20" s="18">
        <f t="shared" si="3"/>
        <v>19</v>
      </c>
      <c r="P20" s="18">
        <f t="shared" si="3"/>
        <v>1</v>
      </c>
      <c r="Q20" s="18">
        <f t="shared" si="3"/>
        <v>1</v>
      </c>
      <c r="R20" s="18">
        <f t="shared" si="2"/>
        <v>25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20004_1-4/31&lt;lv18&gt;s2</v>
      </c>
      <c r="B21" s="18">
        <f t="shared" si="3"/>
        <v>20004</v>
      </c>
      <c r="C21" s="18">
        <f t="shared" si="3"/>
        <v>1</v>
      </c>
      <c r="D21" s="18">
        <f t="shared" si="3"/>
        <v>4</v>
      </c>
      <c r="E21" s="18">
        <f t="shared" si="3"/>
        <v>31</v>
      </c>
      <c r="F21" s="18">
        <f t="shared" si="3"/>
        <v>18</v>
      </c>
      <c r="G21" s="18">
        <f t="shared" si="3"/>
        <v>1</v>
      </c>
      <c r="H21" s="18">
        <f t="shared" si="3"/>
        <v>0.9</v>
      </c>
      <c r="I21" s="18">
        <f t="shared" si="3"/>
        <v>0</v>
      </c>
      <c r="J21" s="18">
        <f t="shared" si="3"/>
        <v>0</v>
      </c>
      <c r="K21" s="18">
        <f t="shared" si="3"/>
        <v>0</v>
      </c>
      <c r="L21" s="18">
        <f t="shared" si="3"/>
        <v>100</v>
      </c>
      <c r="M21" s="18">
        <f t="shared" si="3"/>
        <v>0</v>
      </c>
      <c r="N21" s="18">
        <f t="shared" si="3"/>
        <v>2</v>
      </c>
      <c r="O21" s="18">
        <f t="shared" si="3"/>
        <v>31</v>
      </c>
      <c r="P21" s="18">
        <f t="shared" si="3"/>
        <v>1</v>
      </c>
      <c r="Q21" s="18">
        <f t="shared" si="3"/>
        <v>1</v>
      </c>
      <c r="R21" s="18">
        <f t="shared" si="2"/>
        <v>25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20004_1-4/47&lt;lv18&gt;s1</v>
      </c>
      <c r="B22" s="18">
        <f t="shared" si="3"/>
        <v>20004</v>
      </c>
      <c r="C22" s="18">
        <f t="shared" si="3"/>
        <v>1</v>
      </c>
      <c r="D22" s="18">
        <f t="shared" si="3"/>
        <v>4</v>
      </c>
      <c r="E22" s="18">
        <f t="shared" si="3"/>
        <v>47</v>
      </c>
      <c r="F22" s="18">
        <f t="shared" si="3"/>
        <v>18</v>
      </c>
      <c r="G22" s="18">
        <f t="shared" si="3"/>
        <v>1</v>
      </c>
      <c r="H22" s="18">
        <f t="shared" si="3"/>
        <v>0.9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1</v>
      </c>
      <c r="O22" s="18">
        <f t="shared" si="3"/>
        <v>47</v>
      </c>
      <c r="P22" s="18">
        <f t="shared" si="3"/>
        <v>1</v>
      </c>
      <c r="Q22" s="18">
        <f t="shared" si="3"/>
        <v>2</v>
      </c>
      <c r="R22" s="18">
        <f t="shared" si="2"/>
        <v>25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20004_1-5/268&lt;lv27&gt;s4</v>
      </c>
      <c r="B23" s="18">
        <f t="shared" si="3"/>
        <v>20004</v>
      </c>
      <c r="C23" s="18">
        <f t="shared" si="3"/>
        <v>1</v>
      </c>
      <c r="D23" s="18">
        <f t="shared" si="3"/>
        <v>5</v>
      </c>
      <c r="E23" s="18">
        <f t="shared" si="3"/>
        <v>268</v>
      </c>
      <c r="F23" s="18">
        <f t="shared" si="3"/>
        <v>27</v>
      </c>
      <c r="G23" s="18">
        <f t="shared" si="3"/>
        <v>3</v>
      </c>
      <c r="H23" s="18">
        <f t="shared" si="3"/>
        <v>1.6</v>
      </c>
      <c r="I23" s="18">
        <f t="shared" si="3"/>
        <v>0</v>
      </c>
      <c r="J23" s="18">
        <f t="shared" si="3"/>
        <v>0</v>
      </c>
      <c r="K23" s="18">
        <f t="shared" si="3"/>
        <v>1</v>
      </c>
      <c r="L23" s="18">
        <f t="shared" si="3"/>
        <v>100</v>
      </c>
      <c r="M23" s="18">
        <f t="shared" si="3"/>
        <v>1</v>
      </c>
      <c r="N23" s="18">
        <f t="shared" si="3"/>
        <v>4</v>
      </c>
      <c r="O23" s="18">
        <f t="shared" si="3"/>
        <v>268</v>
      </c>
      <c r="P23" s="18">
        <f t="shared" si="3"/>
        <v>1</v>
      </c>
      <c r="Q23" s="18">
        <f t="shared" si="3"/>
        <v>3</v>
      </c>
      <c r="R23" s="18">
        <f>VLOOKUP($A23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20004_2-1/8&lt;lv26&gt;s2</v>
      </c>
      <c r="B24" s="18">
        <f t="shared" si="3"/>
        <v>20004</v>
      </c>
      <c r="C24" s="18">
        <f t="shared" si="3"/>
        <v>2</v>
      </c>
      <c r="D24" s="18">
        <f t="shared" si="3"/>
        <v>1</v>
      </c>
      <c r="E24" s="18">
        <f t="shared" si="3"/>
        <v>8</v>
      </c>
      <c r="F24" s="18">
        <f t="shared" si="3"/>
        <v>26</v>
      </c>
      <c r="G24" s="18">
        <f t="shared" si="3"/>
        <v>1.4</v>
      </c>
      <c r="H24" s="18">
        <f t="shared" si="3"/>
        <v>1.1000000000000001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100</v>
      </c>
      <c r="M24" s="18">
        <f t="shared" si="3"/>
        <v>0</v>
      </c>
      <c r="N24" s="18">
        <f t="shared" si="3"/>
        <v>2</v>
      </c>
      <c r="O24" s="18">
        <f t="shared" si="3"/>
        <v>7</v>
      </c>
      <c r="P24" s="18">
        <f t="shared" si="3"/>
        <v>5</v>
      </c>
      <c r="Q24" s="18">
        <f t="shared" si="3"/>
        <v>1</v>
      </c>
      <c r="R24" s="18">
        <f t="shared" si="2"/>
        <v>15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20004_2-1/13&lt;lv26&gt;s2</v>
      </c>
      <c r="B25" s="18">
        <f t="shared" si="3"/>
        <v>20004</v>
      </c>
      <c r="C25" s="18">
        <f t="shared" si="3"/>
        <v>2</v>
      </c>
      <c r="D25" s="18">
        <f t="shared" si="3"/>
        <v>1</v>
      </c>
      <c r="E25" s="18">
        <f t="shared" si="3"/>
        <v>13</v>
      </c>
      <c r="F25" s="18">
        <f t="shared" si="3"/>
        <v>26</v>
      </c>
      <c r="G25" s="18">
        <f t="shared" si="3"/>
        <v>1.4</v>
      </c>
      <c r="H25" s="18">
        <f t="shared" si="3"/>
        <v>1.1000000000000001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100</v>
      </c>
      <c r="M25" s="18">
        <f t="shared" si="3"/>
        <v>0</v>
      </c>
      <c r="N25" s="18">
        <f t="shared" si="3"/>
        <v>2</v>
      </c>
      <c r="O25" s="18">
        <f t="shared" si="3"/>
        <v>13</v>
      </c>
      <c r="P25" s="18">
        <f t="shared" si="3"/>
        <v>4</v>
      </c>
      <c r="Q25" s="18">
        <f t="shared" si="3"/>
        <v>1</v>
      </c>
      <c r="R25" s="18">
        <f t="shared" si="2"/>
        <v>15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20004_2-1/19&lt;lv26&gt;s3</v>
      </c>
      <c r="B26" s="18">
        <f t="shared" si="3"/>
        <v>20004</v>
      </c>
      <c r="C26" s="18">
        <f t="shared" si="3"/>
        <v>2</v>
      </c>
      <c r="D26" s="18">
        <f t="shared" si="3"/>
        <v>1</v>
      </c>
      <c r="E26" s="18">
        <f t="shared" si="3"/>
        <v>19</v>
      </c>
      <c r="F26" s="18">
        <f t="shared" si="3"/>
        <v>26</v>
      </c>
      <c r="G26" s="18">
        <f t="shared" si="3"/>
        <v>1.4</v>
      </c>
      <c r="H26" s="18">
        <f t="shared" si="3"/>
        <v>1.1000000000000001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100</v>
      </c>
      <c r="M26" s="18">
        <f t="shared" si="3"/>
        <v>0</v>
      </c>
      <c r="N26" s="18">
        <f t="shared" si="3"/>
        <v>3</v>
      </c>
      <c r="O26" s="18">
        <f t="shared" si="3"/>
        <v>19</v>
      </c>
      <c r="P26" s="18">
        <f t="shared" si="3"/>
        <v>4</v>
      </c>
      <c r="Q26" s="18">
        <f t="shared" si="3"/>
        <v>1</v>
      </c>
      <c r="R26" s="18">
        <f t="shared" si="2"/>
        <v>15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20004_2-1/47&lt;lv26&gt;s1</v>
      </c>
      <c r="B27" s="18">
        <f t="shared" si="3"/>
        <v>20004</v>
      </c>
      <c r="C27" s="18">
        <f t="shared" si="3"/>
        <v>2</v>
      </c>
      <c r="D27" s="18">
        <f t="shared" si="3"/>
        <v>1</v>
      </c>
      <c r="E27" s="18">
        <f t="shared" si="3"/>
        <v>47</v>
      </c>
      <c r="F27" s="18">
        <f t="shared" si="3"/>
        <v>26</v>
      </c>
      <c r="G27" s="18">
        <f t="shared" si="3"/>
        <v>1.4</v>
      </c>
      <c r="H27" s="18">
        <f t="shared" si="3"/>
        <v>1.1000000000000001</v>
      </c>
      <c r="I27" s="18">
        <f t="shared" si="3"/>
        <v>0</v>
      </c>
      <c r="J27" s="18">
        <f t="shared" si="3"/>
        <v>0</v>
      </c>
      <c r="K27" s="18">
        <f t="shared" si="3"/>
        <v>0</v>
      </c>
      <c r="L27" s="18">
        <f t="shared" si="3"/>
        <v>100</v>
      </c>
      <c r="M27" s="18">
        <f t="shared" si="3"/>
        <v>0</v>
      </c>
      <c r="N27" s="18">
        <f t="shared" si="3"/>
        <v>1</v>
      </c>
      <c r="O27" s="18">
        <f t="shared" si="3"/>
        <v>47</v>
      </c>
      <c r="P27" s="18">
        <f t="shared" si="3"/>
        <v>2</v>
      </c>
      <c r="Q27" s="18">
        <f t="shared" si="3"/>
        <v>2</v>
      </c>
      <c r="R27" s="18">
        <f t="shared" si="2"/>
        <v>15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20004_2-1/63&lt;lv26&gt;s2</v>
      </c>
      <c r="B28" s="18">
        <f t="shared" si="3"/>
        <v>20004</v>
      </c>
      <c r="C28" s="18">
        <f t="shared" si="3"/>
        <v>2</v>
      </c>
      <c r="D28" s="18">
        <f t="shared" si="3"/>
        <v>1</v>
      </c>
      <c r="E28" s="18">
        <f t="shared" si="3"/>
        <v>63</v>
      </c>
      <c r="F28" s="18">
        <f t="shared" si="3"/>
        <v>26</v>
      </c>
      <c r="G28" s="18">
        <f t="shared" si="3"/>
        <v>1.4</v>
      </c>
      <c r="H28" s="18">
        <f t="shared" si="3"/>
        <v>1.1000000000000001</v>
      </c>
      <c r="I28" s="18">
        <f t="shared" si="3"/>
        <v>0</v>
      </c>
      <c r="J28" s="18">
        <f t="shared" si="3"/>
        <v>63</v>
      </c>
      <c r="K28" s="18">
        <f t="shared" si="3"/>
        <v>0</v>
      </c>
      <c r="L28" s="18">
        <f t="shared" si="3"/>
        <v>100</v>
      </c>
      <c r="M28" s="18">
        <f t="shared" si="3"/>
        <v>0</v>
      </c>
      <c r="N28" s="18">
        <f t="shared" si="3"/>
        <v>2</v>
      </c>
      <c r="O28" s="18">
        <f t="shared" si="3"/>
        <v>63</v>
      </c>
      <c r="P28" s="18">
        <f t="shared" si="3"/>
        <v>2</v>
      </c>
      <c r="Q28" s="18">
        <f t="shared" si="3"/>
        <v>2</v>
      </c>
      <c r="R28" s="18">
        <f t="shared" si="2"/>
        <v>15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20004_2-1/345&lt;lv5&gt;s2</v>
      </c>
      <c r="B29" s="18">
        <f t="shared" si="3"/>
        <v>20004</v>
      </c>
      <c r="C29" s="18">
        <f t="shared" si="3"/>
        <v>2</v>
      </c>
      <c r="D29" s="18">
        <f t="shared" si="3"/>
        <v>1</v>
      </c>
      <c r="E29" s="18">
        <f t="shared" si="3"/>
        <v>345</v>
      </c>
      <c r="F29" s="18">
        <f t="shared" si="3"/>
        <v>5</v>
      </c>
      <c r="G29" s="18">
        <f t="shared" si="3"/>
        <v>0.5</v>
      </c>
      <c r="H29" s="18">
        <f t="shared" si="3"/>
        <v>1.1000000000000001</v>
      </c>
      <c r="I29" s="18">
        <f t="shared" si="3"/>
        <v>0</v>
      </c>
      <c r="J29" s="18">
        <f t="shared" si="3"/>
        <v>0</v>
      </c>
      <c r="K29" s="18">
        <f t="shared" si="3"/>
        <v>1</v>
      </c>
      <c r="L29" s="18">
        <f t="shared" si="3"/>
        <v>100</v>
      </c>
      <c r="M29" s="18">
        <f t="shared" si="3"/>
        <v>0</v>
      </c>
      <c r="N29" s="18">
        <f t="shared" si="3"/>
        <v>2</v>
      </c>
      <c r="O29" s="18">
        <f t="shared" si="3"/>
        <v>345</v>
      </c>
      <c r="P29" s="18">
        <f t="shared" si="3"/>
        <v>1</v>
      </c>
      <c r="Q29" s="18">
        <f t="shared" si="3"/>
        <v>4</v>
      </c>
      <c r="R29" s="18">
        <f>VLOOKUP($A29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3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20004_2-1/118&lt;lv26&gt;s2</v>
      </c>
      <c r="B30" s="18">
        <f t="shared" si="3"/>
        <v>20004</v>
      </c>
      <c r="C30" s="18">
        <f t="shared" si="3"/>
        <v>2</v>
      </c>
      <c r="D30" s="18">
        <f t="shared" si="3"/>
        <v>1</v>
      </c>
      <c r="E30" s="18">
        <f t="shared" si="3"/>
        <v>118</v>
      </c>
      <c r="F30" s="18">
        <f t="shared" si="3"/>
        <v>26</v>
      </c>
      <c r="G30" s="18">
        <f t="shared" si="3"/>
        <v>1.4</v>
      </c>
      <c r="H30" s="18">
        <f t="shared" si="3"/>
        <v>1.1000000000000001</v>
      </c>
      <c r="I30" s="18">
        <f t="shared" si="3"/>
        <v>0</v>
      </c>
      <c r="J30" s="18">
        <f t="shared" si="3"/>
        <v>0</v>
      </c>
      <c r="K30" s="18">
        <f t="shared" si="3"/>
        <v>0</v>
      </c>
      <c r="L30" s="18">
        <f t="shared" si="3"/>
        <v>30</v>
      </c>
      <c r="M30" s="18">
        <f t="shared" si="3"/>
        <v>0</v>
      </c>
      <c r="N30" s="18">
        <f t="shared" si="3"/>
        <v>2</v>
      </c>
      <c r="O30" s="18">
        <f t="shared" si="3"/>
        <v>118</v>
      </c>
      <c r="P30" s="18">
        <f t="shared" si="3"/>
        <v>1</v>
      </c>
      <c r="Q30" s="18">
        <f t="shared" ref="Q30:W45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30" s="18">
        <f t="shared" si="4"/>
        <v>10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20004_2-2/8&lt;lv26&gt;s2</v>
      </c>
      <c r="B31" s="18">
        <f t="shared" ref="B31:Q46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31" s="18">
        <f t="shared" si="5"/>
        <v>2</v>
      </c>
      <c r="D31" s="18">
        <f t="shared" si="5"/>
        <v>2</v>
      </c>
      <c r="E31" s="18">
        <f t="shared" si="5"/>
        <v>8</v>
      </c>
      <c r="F31" s="18">
        <f t="shared" si="5"/>
        <v>26</v>
      </c>
      <c r="G31" s="18">
        <f t="shared" si="5"/>
        <v>1.4</v>
      </c>
      <c r="H31" s="18">
        <f t="shared" si="5"/>
        <v>1.1000000000000001</v>
      </c>
      <c r="I31" s="18">
        <f t="shared" si="5"/>
        <v>0</v>
      </c>
      <c r="J31" s="18">
        <f t="shared" si="5"/>
        <v>0</v>
      </c>
      <c r="K31" s="18">
        <f t="shared" si="5"/>
        <v>0</v>
      </c>
      <c r="L31" s="18">
        <f t="shared" si="5"/>
        <v>100</v>
      </c>
      <c r="M31" s="18">
        <f t="shared" si="5"/>
        <v>0</v>
      </c>
      <c r="N31" s="18">
        <f t="shared" si="5"/>
        <v>2</v>
      </c>
      <c r="O31" s="18">
        <f t="shared" si="5"/>
        <v>7</v>
      </c>
      <c r="P31" s="18">
        <f t="shared" si="5"/>
        <v>5</v>
      </c>
      <c r="Q31" s="18">
        <f t="shared" si="5"/>
        <v>1</v>
      </c>
      <c r="R31" s="18">
        <f t="shared" si="4"/>
        <v>15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20004_2-2/13&lt;lv26&gt;s2</v>
      </c>
      <c r="B32" s="18">
        <f t="shared" si="5"/>
        <v>20004</v>
      </c>
      <c r="C32" s="18">
        <f t="shared" si="5"/>
        <v>2</v>
      </c>
      <c r="D32" s="18">
        <f t="shared" si="5"/>
        <v>2</v>
      </c>
      <c r="E32" s="18">
        <f t="shared" si="5"/>
        <v>13</v>
      </c>
      <c r="F32" s="18">
        <f t="shared" si="5"/>
        <v>26</v>
      </c>
      <c r="G32" s="18">
        <f t="shared" si="5"/>
        <v>1.4</v>
      </c>
      <c r="H32" s="18">
        <f t="shared" si="5"/>
        <v>1.1000000000000001</v>
      </c>
      <c r="I32" s="18">
        <f t="shared" si="5"/>
        <v>0</v>
      </c>
      <c r="J32" s="18">
        <f t="shared" si="5"/>
        <v>0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2</v>
      </c>
      <c r="O32" s="18">
        <f t="shared" si="5"/>
        <v>13</v>
      </c>
      <c r="P32" s="18">
        <f t="shared" si="5"/>
        <v>4</v>
      </c>
      <c r="Q32" s="18">
        <f t="shared" si="5"/>
        <v>1</v>
      </c>
      <c r="R32" s="18">
        <f t="shared" si="4"/>
        <v>15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20004_2-2/19&lt;lv26&gt;s3</v>
      </c>
      <c r="B33" s="18">
        <f t="shared" si="5"/>
        <v>20004</v>
      </c>
      <c r="C33" s="18">
        <f t="shared" si="5"/>
        <v>2</v>
      </c>
      <c r="D33" s="18">
        <f t="shared" si="5"/>
        <v>2</v>
      </c>
      <c r="E33" s="18">
        <f t="shared" si="5"/>
        <v>19</v>
      </c>
      <c r="F33" s="18">
        <f t="shared" si="5"/>
        <v>26</v>
      </c>
      <c r="G33" s="18">
        <f t="shared" si="5"/>
        <v>1.4</v>
      </c>
      <c r="H33" s="18">
        <f t="shared" si="5"/>
        <v>1.1000000000000001</v>
      </c>
      <c r="I33" s="18">
        <f t="shared" si="5"/>
        <v>0</v>
      </c>
      <c r="J33" s="18">
        <f t="shared" si="5"/>
        <v>0</v>
      </c>
      <c r="K33" s="18">
        <f t="shared" si="5"/>
        <v>0</v>
      </c>
      <c r="L33" s="18">
        <f t="shared" si="5"/>
        <v>100</v>
      </c>
      <c r="M33" s="18">
        <f t="shared" si="5"/>
        <v>0</v>
      </c>
      <c r="N33" s="18">
        <f t="shared" si="5"/>
        <v>3</v>
      </c>
      <c r="O33" s="18">
        <f t="shared" si="5"/>
        <v>19</v>
      </c>
      <c r="P33" s="18">
        <f t="shared" si="5"/>
        <v>4</v>
      </c>
      <c r="Q33" s="18">
        <f t="shared" si="5"/>
        <v>1</v>
      </c>
      <c r="R33" s="18">
        <f t="shared" si="4"/>
        <v>15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20004_2-2/47&lt;lv26&gt;s1</v>
      </c>
      <c r="B34" s="18">
        <f t="shared" si="5"/>
        <v>20004</v>
      </c>
      <c r="C34" s="18">
        <f t="shared" si="5"/>
        <v>2</v>
      </c>
      <c r="D34" s="18">
        <f t="shared" si="5"/>
        <v>2</v>
      </c>
      <c r="E34" s="18">
        <f t="shared" si="5"/>
        <v>47</v>
      </c>
      <c r="F34" s="18">
        <f t="shared" si="5"/>
        <v>26</v>
      </c>
      <c r="G34" s="18">
        <f t="shared" si="5"/>
        <v>1.4</v>
      </c>
      <c r="H34" s="18">
        <f t="shared" si="5"/>
        <v>1.1000000000000001</v>
      </c>
      <c r="I34" s="18">
        <f t="shared" si="5"/>
        <v>0</v>
      </c>
      <c r="J34" s="18">
        <f t="shared" si="5"/>
        <v>0</v>
      </c>
      <c r="K34" s="18">
        <f t="shared" si="5"/>
        <v>0</v>
      </c>
      <c r="L34" s="18">
        <f t="shared" si="5"/>
        <v>100</v>
      </c>
      <c r="M34" s="18">
        <f t="shared" si="5"/>
        <v>0</v>
      </c>
      <c r="N34" s="18">
        <f t="shared" si="5"/>
        <v>1</v>
      </c>
      <c r="O34" s="18">
        <f t="shared" si="5"/>
        <v>47</v>
      </c>
      <c r="P34" s="18">
        <f t="shared" si="5"/>
        <v>2</v>
      </c>
      <c r="Q34" s="18">
        <f t="shared" si="5"/>
        <v>2</v>
      </c>
      <c r="R34" s="18">
        <f t="shared" si="4"/>
        <v>15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20004_2-2/63&lt;lv26&gt;s2</v>
      </c>
      <c r="B35" s="18">
        <f t="shared" si="5"/>
        <v>20004</v>
      </c>
      <c r="C35" s="18">
        <f t="shared" si="5"/>
        <v>2</v>
      </c>
      <c r="D35" s="18">
        <f t="shared" si="5"/>
        <v>2</v>
      </c>
      <c r="E35" s="18">
        <f t="shared" si="5"/>
        <v>63</v>
      </c>
      <c r="F35" s="18">
        <f t="shared" si="5"/>
        <v>26</v>
      </c>
      <c r="G35" s="18">
        <f t="shared" si="5"/>
        <v>1.4</v>
      </c>
      <c r="H35" s="18">
        <f t="shared" si="5"/>
        <v>1.1000000000000001</v>
      </c>
      <c r="I35" s="18">
        <f t="shared" si="5"/>
        <v>0</v>
      </c>
      <c r="J35" s="18">
        <f t="shared" si="5"/>
        <v>63</v>
      </c>
      <c r="K35" s="18">
        <f t="shared" si="5"/>
        <v>0</v>
      </c>
      <c r="L35" s="18">
        <f t="shared" si="5"/>
        <v>100</v>
      </c>
      <c r="M35" s="18">
        <f t="shared" si="5"/>
        <v>0</v>
      </c>
      <c r="N35" s="18">
        <f t="shared" si="5"/>
        <v>2</v>
      </c>
      <c r="O35" s="18">
        <f t="shared" si="5"/>
        <v>63</v>
      </c>
      <c r="P35" s="18">
        <f t="shared" si="5"/>
        <v>2</v>
      </c>
      <c r="Q35" s="18">
        <f t="shared" si="5"/>
        <v>2</v>
      </c>
      <c r="R35" s="18">
        <f t="shared" si="4"/>
        <v>15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20004_2-2/118&lt;lv26&gt;s2</v>
      </c>
      <c r="B36" s="18">
        <f t="shared" si="5"/>
        <v>20004</v>
      </c>
      <c r="C36" s="18">
        <f t="shared" si="5"/>
        <v>2</v>
      </c>
      <c r="D36" s="18">
        <f t="shared" si="5"/>
        <v>2</v>
      </c>
      <c r="E36" s="18">
        <f t="shared" si="5"/>
        <v>118</v>
      </c>
      <c r="F36" s="18">
        <f t="shared" si="5"/>
        <v>26</v>
      </c>
      <c r="G36" s="18">
        <f t="shared" si="5"/>
        <v>1.4</v>
      </c>
      <c r="H36" s="18">
        <f t="shared" si="5"/>
        <v>1.1000000000000001</v>
      </c>
      <c r="I36" s="18">
        <f t="shared" si="5"/>
        <v>0</v>
      </c>
      <c r="J36" s="18">
        <f t="shared" si="5"/>
        <v>0</v>
      </c>
      <c r="K36" s="18">
        <f t="shared" si="5"/>
        <v>0</v>
      </c>
      <c r="L36" s="18">
        <f t="shared" si="5"/>
        <v>30</v>
      </c>
      <c r="M36" s="18">
        <f t="shared" si="5"/>
        <v>0</v>
      </c>
      <c r="N36" s="18">
        <f t="shared" si="5"/>
        <v>2</v>
      </c>
      <c r="O36" s="18">
        <f t="shared" si="5"/>
        <v>118</v>
      </c>
      <c r="P36" s="18">
        <f t="shared" si="5"/>
        <v>1</v>
      </c>
      <c r="Q36" s="18">
        <f t="shared" si="5"/>
        <v>4</v>
      </c>
      <c r="R36" s="18">
        <f t="shared" si="4"/>
        <v>10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20004_2-3/8&lt;lv26&gt;s2</v>
      </c>
      <c r="B37" s="18">
        <f t="shared" si="5"/>
        <v>20004</v>
      </c>
      <c r="C37" s="18">
        <f t="shared" si="5"/>
        <v>2</v>
      </c>
      <c r="D37" s="18">
        <f t="shared" si="5"/>
        <v>3</v>
      </c>
      <c r="E37" s="18">
        <f t="shared" si="5"/>
        <v>8</v>
      </c>
      <c r="F37" s="18">
        <f t="shared" si="5"/>
        <v>26</v>
      </c>
      <c r="G37" s="18">
        <f t="shared" si="5"/>
        <v>1.4</v>
      </c>
      <c r="H37" s="18">
        <f t="shared" si="5"/>
        <v>1.1000000000000001</v>
      </c>
      <c r="I37" s="18">
        <f t="shared" si="5"/>
        <v>0</v>
      </c>
      <c r="J37" s="18">
        <f t="shared" si="5"/>
        <v>0</v>
      </c>
      <c r="K37" s="18">
        <f t="shared" si="5"/>
        <v>0</v>
      </c>
      <c r="L37" s="18">
        <f t="shared" si="5"/>
        <v>100</v>
      </c>
      <c r="M37" s="18">
        <f t="shared" si="5"/>
        <v>0</v>
      </c>
      <c r="N37" s="18">
        <f t="shared" si="5"/>
        <v>2</v>
      </c>
      <c r="O37" s="18">
        <f t="shared" si="5"/>
        <v>7</v>
      </c>
      <c r="P37" s="18">
        <f t="shared" si="5"/>
        <v>5</v>
      </c>
      <c r="Q37" s="18">
        <f t="shared" si="5"/>
        <v>1</v>
      </c>
      <c r="R37" s="18">
        <f t="shared" si="4"/>
        <v>15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20004_2-3/13&lt;lv26&gt;s2</v>
      </c>
      <c r="B38" s="18">
        <f t="shared" si="5"/>
        <v>20004</v>
      </c>
      <c r="C38" s="18">
        <f t="shared" si="5"/>
        <v>2</v>
      </c>
      <c r="D38" s="18">
        <f t="shared" si="5"/>
        <v>3</v>
      </c>
      <c r="E38" s="18">
        <f t="shared" si="5"/>
        <v>13</v>
      </c>
      <c r="F38" s="18">
        <f t="shared" si="5"/>
        <v>26</v>
      </c>
      <c r="G38" s="18">
        <f t="shared" si="5"/>
        <v>1.4</v>
      </c>
      <c r="H38" s="18">
        <f t="shared" si="5"/>
        <v>1.1000000000000001</v>
      </c>
      <c r="I38" s="18">
        <f t="shared" si="5"/>
        <v>0</v>
      </c>
      <c r="J38" s="18">
        <f t="shared" si="5"/>
        <v>0</v>
      </c>
      <c r="K38" s="18">
        <f t="shared" si="5"/>
        <v>0</v>
      </c>
      <c r="L38" s="18">
        <f t="shared" si="5"/>
        <v>100</v>
      </c>
      <c r="M38" s="18">
        <f t="shared" si="5"/>
        <v>0</v>
      </c>
      <c r="N38" s="18">
        <f t="shared" si="5"/>
        <v>2</v>
      </c>
      <c r="O38" s="18">
        <f t="shared" si="5"/>
        <v>13</v>
      </c>
      <c r="P38" s="18">
        <f t="shared" si="5"/>
        <v>4</v>
      </c>
      <c r="Q38" s="18">
        <f t="shared" si="5"/>
        <v>1</v>
      </c>
      <c r="R38" s="18">
        <f t="shared" si="4"/>
        <v>15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20004_2-3/19&lt;lv26&gt;s3</v>
      </c>
      <c r="B39" s="18">
        <f t="shared" si="5"/>
        <v>20004</v>
      </c>
      <c r="C39" s="18">
        <f t="shared" si="5"/>
        <v>2</v>
      </c>
      <c r="D39" s="18">
        <f t="shared" si="5"/>
        <v>3</v>
      </c>
      <c r="E39" s="18">
        <f t="shared" si="5"/>
        <v>19</v>
      </c>
      <c r="F39" s="18">
        <f t="shared" si="5"/>
        <v>26</v>
      </c>
      <c r="G39" s="18">
        <f t="shared" si="5"/>
        <v>1.4</v>
      </c>
      <c r="H39" s="18">
        <f t="shared" si="5"/>
        <v>1.1000000000000001</v>
      </c>
      <c r="I39" s="18">
        <f t="shared" si="5"/>
        <v>0</v>
      </c>
      <c r="J39" s="18">
        <f t="shared" si="5"/>
        <v>0</v>
      </c>
      <c r="K39" s="18">
        <f t="shared" si="5"/>
        <v>0</v>
      </c>
      <c r="L39" s="18">
        <f t="shared" si="5"/>
        <v>100</v>
      </c>
      <c r="M39" s="18">
        <f t="shared" si="5"/>
        <v>0</v>
      </c>
      <c r="N39" s="18">
        <f t="shared" si="5"/>
        <v>3</v>
      </c>
      <c r="O39" s="18">
        <f t="shared" si="5"/>
        <v>19</v>
      </c>
      <c r="P39" s="18">
        <f t="shared" si="5"/>
        <v>4</v>
      </c>
      <c r="Q39" s="18">
        <f t="shared" si="5"/>
        <v>1</v>
      </c>
      <c r="R39" s="18">
        <f t="shared" si="4"/>
        <v>15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  <row r="40" spans="1:23" x14ac:dyDescent="0.15">
      <c r="A40" s="22" t="str">
        <f t="shared" si="1"/>
        <v>20004_2-3/47&lt;lv26&gt;s1</v>
      </c>
      <c r="B40" s="18">
        <f t="shared" si="5"/>
        <v>20004</v>
      </c>
      <c r="C40" s="18">
        <f t="shared" si="5"/>
        <v>2</v>
      </c>
      <c r="D40" s="18">
        <f t="shared" si="5"/>
        <v>3</v>
      </c>
      <c r="E40" s="18">
        <f t="shared" si="5"/>
        <v>47</v>
      </c>
      <c r="F40" s="18">
        <f t="shared" si="5"/>
        <v>26</v>
      </c>
      <c r="G40" s="18">
        <f t="shared" si="5"/>
        <v>1.4</v>
      </c>
      <c r="H40" s="18">
        <f t="shared" si="5"/>
        <v>1.1000000000000001</v>
      </c>
      <c r="I40" s="18">
        <f t="shared" si="5"/>
        <v>0</v>
      </c>
      <c r="J40" s="18">
        <f t="shared" si="5"/>
        <v>0</v>
      </c>
      <c r="K40" s="18">
        <f t="shared" si="5"/>
        <v>0</v>
      </c>
      <c r="L40" s="18">
        <f t="shared" si="5"/>
        <v>100</v>
      </c>
      <c r="M40" s="18">
        <f t="shared" si="5"/>
        <v>0</v>
      </c>
      <c r="N40" s="18">
        <f t="shared" si="5"/>
        <v>1</v>
      </c>
      <c r="O40" s="18">
        <f t="shared" si="5"/>
        <v>47</v>
      </c>
      <c r="P40" s="18">
        <f t="shared" si="5"/>
        <v>2</v>
      </c>
      <c r="Q40" s="18">
        <f t="shared" si="5"/>
        <v>2</v>
      </c>
      <c r="R40" s="18">
        <f t="shared" si="4"/>
        <v>15</v>
      </c>
      <c r="S40" s="18">
        <f t="shared" si="4"/>
        <v>0</v>
      </c>
      <c r="T40" s="18">
        <f t="shared" si="4"/>
        <v>0</v>
      </c>
      <c r="U40" s="18">
        <f t="shared" si="4"/>
        <v>0</v>
      </c>
      <c r="V40" s="18">
        <f t="shared" si="4"/>
        <v>0</v>
      </c>
      <c r="W40" s="18">
        <f t="shared" si="4"/>
        <v>1</v>
      </c>
    </row>
    <row r="41" spans="1:23" x14ac:dyDescent="0.15">
      <c r="A41" s="22" t="str">
        <f t="shared" si="1"/>
        <v>20004_2-3/63&lt;lv26&gt;s2</v>
      </c>
      <c r="B41" s="18">
        <f t="shared" si="5"/>
        <v>20004</v>
      </c>
      <c r="C41" s="18">
        <f t="shared" si="5"/>
        <v>2</v>
      </c>
      <c r="D41" s="18">
        <f t="shared" si="5"/>
        <v>3</v>
      </c>
      <c r="E41" s="18">
        <f t="shared" si="5"/>
        <v>63</v>
      </c>
      <c r="F41" s="18">
        <f t="shared" si="5"/>
        <v>26</v>
      </c>
      <c r="G41" s="18">
        <f t="shared" si="5"/>
        <v>1.4</v>
      </c>
      <c r="H41" s="18">
        <f t="shared" si="5"/>
        <v>1.1000000000000001</v>
      </c>
      <c r="I41" s="18">
        <f t="shared" si="5"/>
        <v>0</v>
      </c>
      <c r="J41" s="18">
        <f t="shared" si="5"/>
        <v>63</v>
      </c>
      <c r="K41" s="18">
        <f t="shared" si="5"/>
        <v>0</v>
      </c>
      <c r="L41" s="18">
        <f t="shared" si="5"/>
        <v>100</v>
      </c>
      <c r="M41" s="18">
        <f t="shared" si="5"/>
        <v>0</v>
      </c>
      <c r="N41" s="18">
        <f t="shared" si="5"/>
        <v>2</v>
      </c>
      <c r="O41" s="18">
        <f t="shared" si="5"/>
        <v>63</v>
      </c>
      <c r="P41" s="18">
        <f t="shared" si="5"/>
        <v>2</v>
      </c>
      <c r="Q41" s="18">
        <f t="shared" si="5"/>
        <v>2</v>
      </c>
      <c r="R41" s="18">
        <f t="shared" si="4"/>
        <v>15</v>
      </c>
      <c r="S41" s="18">
        <f t="shared" si="4"/>
        <v>0</v>
      </c>
      <c r="T41" s="18">
        <f t="shared" si="4"/>
        <v>0</v>
      </c>
      <c r="U41" s="18">
        <f t="shared" si="4"/>
        <v>0</v>
      </c>
      <c r="V41" s="18">
        <f t="shared" si="4"/>
        <v>0</v>
      </c>
      <c r="W41" s="18">
        <f t="shared" si="4"/>
        <v>1</v>
      </c>
    </row>
    <row r="42" spans="1:23" x14ac:dyDescent="0.15">
      <c r="A42" s="22" t="str">
        <f t="shared" si="1"/>
        <v>20004_2-3/118&lt;lv26&gt;s2</v>
      </c>
      <c r="B42" s="18">
        <f t="shared" si="5"/>
        <v>20004</v>
      </c>
      <c r="C42" s="18">
        <f t="shared" si="5"/>
        <v>2</v>
      </c>
      <c r="D42" s="18">
        <f t="shared" si="5"/>
        <v>3</v>
      </c>
      <c r="E42" s="18">
        <f t="shared" si="5"/>
        <v>118</v>
      </c>
      <c r="F42" s="18">
        <f t="shared" si="5"/>
        <v>26</v>
      </c>
      <c r="G42" s="18">
        <f t="shared" si="5"/>
        <v>1.4</v>
      </c>
      <c r="H42" s="18">
        <f t="shared" si="5"/>
        <v>1.1000000000000001</v>
      </c>
      <c r="I42" s="18">
        <f t="shared" si="5"/>
        <v>0</v>
      </c>
      <c r="J42" s="18">
        <f t="shared" si="5"/>
        <v>0</v>
      </c>
      <c r="K42" s="18">
        <f t="shared" si="5"/>
        <v>0</v>
      </c>
      <c r="L42" s="18">
        <f t="shared" si="5"/>
        <v>30</v>
      </c>
      <c r="M42" s="18">
        <f t="shared" si="5"/>
        <v>0</v>
      </c>
      <c r="N42" s="18">
        <f t="shared" si="5"/>
        <v>2</v>
      </c>
      <c r="O42" s="18">
        <f t="shared" si="5"/>
        <v>118</v>
      </c>
      <c r="P42" s="18">
        <f t="shared" si="5"/>
        <v>1</v>
      </c>
      <c r="Q42" s="18">
        <f t="shared" si="5"/>
        <v>4</v>
      </c>
      <c r="R42" s="18">
        <f t="shared" si="4"/>
        <v>10</v>
      </c>
      <c r="S42" s="18">
        <f t="shared" si="4"/>
        <v>0</v>
      </c>
      <c r="T42" s="18">
        <f t="shared" si="4"/>
        <v>0</v>
      </c>
      <c r="U42" s="18">
        <f t="shared" si="4"/>
        <v>0</v>
      </c>
      <c r="V42" s="18">
        <f t="shared" si="4"/>
        <v>0</v>
      </c>
      <c r="W42" s="18">
        <f t="shared" si="4"/>
        <v>1</v>
      </c>
    </row>
    <row r="43" spans="1:23" x14ac:dyDescent="0.15">
      <c r="A43" s="22" t="str">
        <f t="shared" si="1"/>
        <v>20004_2-4/8&lt;lv26&gt;s2</v>
      </c>
      <c r="B43" s="18">
        <f t="shared" si="5"/>
        <v>20004</v>
      </c>
      <c r="C43" s="18">
        <f t="shared" si="5"/>
        <v>2</v>
      </c>
      <c r="D43" s="18">
        <f t="shared" si="5"/>
        <v>4</v>
      </c>
      <c r="E43" s="18">
        <f t="shared" si="5"/>
        <v>8</v>
      </c>
      <c r="F43" s="18">
        <f t="shared" si="5"/>
        <v>26</v>
      </c>
      <c r="G43" s="18">
        <f t="shared" si="5"/>
        <v>1.4</v>
      </c>
      <c r="H43" s="18">
        <f t="shared" si="5"/>
        <v>1.1000000000000001</v>
      </c>
      <c r="I43" s="18">
        <f t="shared" si="5"/>
        <v>0</v>
      </c>
      <c r="J43" s="18">
        <f t="shared" si="5"/>
        <v>0</v>
      </c>
      <c r="K43" s="18">
        <f t="shared" si="5"/>
        <v>0</v>
      </c>
      <c r="L43" s="18">
        <f t="shared" si="5"/>
        <v>100</v>
      </c>
      <c r="M43" s="18">
        <f t="shared" si="5"/>
        <v>0</v>
      </c>
      <c r="N43" s="18">
        <f t="shared" si="5"/>
        <v>2</v>
      </c>
      <c r="O43" s="18">
        <f t="shared" si="5"/>
        <v>7</v>
      </c>
      <c r="P43" s="18">
        <f t="shared" si="5"/>
        <v>5</v>
      </c>
      <c r="Q43" s="18">
        <f t="shared" si="5"/>
        <v>1</v>
      </c>
      <c r="R43" s="18">
        <f t="shared" si="4"/>
        <v>15</v>
      </c>
      <c r="S43" s="18">
        <f t="shared" si="4"/>
        <v>0</v>
      </c>
      <c r="T43" s="18">
        <f t="shared" si="4"/>
        <v>0</v>
      </c>
      <c r="U43" s="18">
        <f t="shared" si="4"/>
        <v>0</v>
      </c>
      <c r="V43" s="18">
        <f t="shared" si="4"/>
        <v>0</v>
      </c>
      <c r="W43" s="18">
        <f t="shared" si="4"/>
        <v>1</v>
      </c>
    </row>
    <row r="44" spans="1:23" x14ac:dyDescent="0.15">
      <c r="A44" s="22" t="str">
        <f t="shared" si="1"/>
        <v>20004_2-4/13&lt;lv26&gt;s2</v>
      </c>
      <c r="B44" s="18">
        <f t="shared" si="5"/>
        <v>20004</v>
      </c>
      <c r="C44" s="18">
        <f t="shared" si="5"/>
        <v>2</v>
      </c>
      <c r="D44" s="18">
        <f t="shared" si="5"/>
        <v>4</v>
      </c>
      <c r="E44" s="18">
        <f t="shared" si="5"/>
        <v>13</v>
      </c>
      <c r="F44" s="18">
        <f t="shared" si="5"/>
        <v>26</v>
      </c>
      <c r="G44" s="18">
        <f t="shared" si="5"/>
        <v>1.4</v>
      </c>
      <c r="H44" s="18">
        <f t="shared" si="5"/>
        <v>1.1000000000000001</v>
      </c>
      <c r="I44" s="18">
        <f t="shared" si="5"/>
        <v>0</v>
      </c>
      <c r="J44" s="18">
        <f t="shared" si="5"/>
        <v>0</v>
      </c>
      <c r="K44" s="18">
        <f t="shared" si="5"/>
        <v>0</v>
      </c>
      <c r="L44" s="18">
        <f t="shared" si="5"/>
        <v>100</v>
      </c>
      <c r="M44" s="18">
        <f t="shared" si="5"/>
        <v>0</v>
      </c>
      <c r="N44" s="18">
        <f t="shared" si="5"/>
        <v>2</v>
      </c>
      <c r="O44" s="18">
        <f t="shared" si="5"/>
        <v>13</v>
      </c>
      <c r="P44" s="18">
        <f t="shared" si="5"/>
        <v>4</v>
      </c>
      <c r="Q44" s="18">
        <f t="shared" si="5"/>
        <v>1</v>
      </c>
      <c r="R44" s="18">
        <f t="shared" si="4"/>
        <v>15</v>
      </c>
      <c r="S44" s="18">
        <f t="shared" si="4"/>
        <v>0</v>
      </c>
      <c r="T44" s="18">
        <f t="shared" si="4"/>
        <v>0</v>
      </c>
      <c r="U44" s="18">
        <f t="shared" si="4"/>
        <v>0</v>
      </c>
      <c r="V44" s="18">
        <f t="shared" si="4"/>
        <v>0</v>
      </c>
      <c r="W44" s="18">
        <f t="shared" si="4"/>
        <v>1</v>
      </c>
    </row>
    <row r="45" spans="1:23" x14ac:dyDescent="0.15">
      <c r="A45" s="22" t="str">
        <f t="shared" si="1"/>
        <v>20004_2-4/19&lt;lv26&gt;s3</v>
      </c>
      <c r="B45" s="18">
        <f t="shared" si="5"/>
        <v>20004</v>
      </c>
      <c r="C45" s="18">
        <f t="shared" si="5"/>
        <v>2</v>
      </c>
      <c r="D45" s="18">
        <f t="shared" si="5"/>
        <v>4</v>
      </c>
      <c r="E45" s="18">
        <f t="shared" si="5"/>
        <v>19</v>
      </c>
      <c r="F45" s="18">
        <f t="shared" si="5"/>
        <v>26</v>
      </c>
      <c r="G45" s="18">
        <f t="shared" si="5"/>
        <v>1.4</v>
      </c>
      <c r="H45" s="18">
        <f t="shared" si="5"/>
        <v>1.1000000000000001</v>
      </c>
      <c r="I45" s="18">
        <f t="shared" si="5"/>
        <v>0</v>
      </c>
      <c r="J45" s="18">
        <f t="shared" si="5"/>
        <v>0</v>
      </c>
      <c r="K45" s="18">
        <f t="shared" si="5"/>
        <v>0</v>
      </c>
      <c r="L45" s="18">
        <f t="shared" si="5"/>
        <v>100</v>
      </c>
      <c r="M45" s="18">
        <f t="shared" si="5"/>
        <v>0</v>
      </c>
      <c r="N45" s="18">
        <f t="shared" si="5"/>
        <v>3</v>
      </c>
      <c r="O45" s="18">
        <f t="shared" si="5"/>
        <v>19</v>
      </c>
      <c r="P45" s="18">
        <f t="shared" si="5"/>
        <v>4</v>
      </c>
      <c r="Q45" s="18">
        <f t="shared" si="5"/>
        <v>1</v>
      </c>
      <c r="R45" s="18">
        <f t="shared" si="4"/>
        <v>15</v>
      </c>
      <c r="S45" s="18">
        <f t="shared" si="4"/>
        <v>0</v>
      </c>
      <c r="T45" s="18">
        <f t="shared" si="4"/>
        <v>0</v>
      </c>
      <c r="U45" s="18">
        <f t="shared" si="4"/>
        <v>0</v>
      </c>
      <c r="V45" s="18">
        <f t="shared" si="4"/>
        <v>0</v>
      </c>
      <c r="W45" s="18">
        <f t="shared" si="4"/>
        <v>1</v>
      </c>
    </row>
    <row r="46" spans="1:23" x14ac:dyDescent="0.15">
      <c r="A46" s="22" t="str">
        <f t="shared" si="1"/>
        <v>20004_2-4/47&lt;lv26&gt;s1</v>
      </c>
      <c r="B46" s="18">
        <f t="shared" si="5"/>
        <v>20004</v>
      </c>
      <c r="C46" s="18">
        <f t="shared" si="5"/>
        <v>2</v>
      </c>
      <c r="D46" s="18">
        <f t="shared" si="5"/>
        <v>4</v>
      </c>
      <c r="E46" s="18">
        <f t="shared" si="5"/>
        <v>47</v>
      </c>
      <c r="F46" s="18">
        <f t="shared" si="5"/>
        <v>26</v>
      </c>
      <c r="G46" s="18">
        <f t="shared" si="5"/>
        <v>1.4</v>
      </c>
      <c r="H46" s="18">
        <f t="shared" si="5"/>
        <v>1.1000000000000001</v>
      </c>
      <c r="I46" s="18">
        <f t="shared" si="5"/>
        <v>0</v>
      </c>
      <c r="J46" s="18">
        <f t="shared" si="5"/>
        <v>0</v>
      </c>
      <c r="K46" s="18">
        <f t="shared" si="5"/>
        <v>0</v>
      </c>
      <c r="L46" s="18">
        <f t="shared" si="5"/>
        <v>100</v>
      </c>
      <c r="M46" s="18">
        <f t="shared" si="5"/>
        <v>0</v>
      </c>
      <c r="N46" s="18">
        <f t="shared" si="5"/>
        <v>1</v>
      </c>
      <c r="O46" s="18">
        <f t="shared" si="5"/>
        <v>47</v>
      </c>
      <c r="P46" s="18">
        <f t="shared" si="5"/>
        <v>2</v>
      </c>
      <c r="Q46" s="18">
        <f t="shared" ref="Q46:W6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8">
        <f t="shared" si="6"/>
        <v>15</v>
      </c>
      <c r="S46" s="18">
        <f t="shared" si="6"/>
        <v>0</v>
      </c>
      <c r="T46" s="18">
        <f t="shared" si="6"/>
        <v>0</v>
      </c>
      <c r="U46" s="18">
        <f t="shared" si="6"/>
        <v>0</v>
      </c>
      <c r="V46" s="18">
        <f t="shared" si="6"/>
        <v>0</v>
      </c>
      <c r="W46" s="18">
        <f t="shared" si="6"/>
        <v>1</v>
      </c>
    </row>
    <row r="47" spans="1:23" x14ac:dyDescent="0.15">
      <c r="A47" s="22" t="str">
        <f t="shared" si="1"/>
        <v>20004_2-4/63&lt;lv26&gt;s2</v>
      </c>
      <c r="B47" s="18">
        <f t="shared" ref="B47:Q62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47" s="18">
        <f t="shared" si="7"/>
        <v>2</v>
      </c>
      <c r="D47" s="18">
        <f t="shared" si="7"/>
        <v>4</v>
      </c>
      <c r="E47" s="18">
        <f t="shared" si="7"/>
        <v>63</v>
      </c>
      <c r="F47" s="18">
        <f t="shared" si="7"/>
        <v>26</v>
      </c>
      <c r="G47" s="18">
        <f t="shared" si="7"/>
        <v>1.4</v>
      </c>
      <c r="H47" s="18">
        <f t="shared" si="7"/>
        <v>1.1000000000000001</v>
      </c>
      <c r="I47" s="18">
        <f t="shared" si="7"/>
        <v>0</v>
      </c>
      <c r="J47" s="18">
        <f t="shared" si="7"/>
        <v>63</v>
      </c>
      <c r="K47" s="18">
        <f t="shared" si="7"/>
        <v>0</v>
      </c>
      <c r="L47" s="18">
        <f t="shared" si="7"/>
        <v>100</v>
      </c>
      <c r="M47" s="18">
        <f t="shared" si="7"/>
        <v>0</v>
      </c>
      <c r="N47" s="18">
        <f t="shared" si="7"/>
        <v>2</v>
      </c>
      <c r="O47" s="18">
        <f t="shared" si="7"/>
        <v>63</v>
      </c>
      <c r="P47" s="18">
        <f t="shared" si="7"/>
        <v>2</v>
      </c>
      <c r="Q47" s="18">
        <f t="shared" si="7"/>
        <v>2</v>
      </c>
      <c r="R47" s="18">
        <f t="shared" si="6"/>
        <v>15</v>
      </c>
      <c r="S47" s="18">
        <f t="shared" si="6"/>
        <v>0</v>
      </c>
      <c r="T47" s="18">
        <f t="shared" si="6"/>
        <v>0</v>
      </c>
      <c r="U47" s="18">
        <f t="shared" si="6"/>
        <v>0</v>
      </c>
      <c r="V47" s="18">
        <f t="shared" si="6"/>
        <v>0</v>
      </c>
      <c r="W47" s="18">
        <f t="shared" si="6"/>
        <v>1</v>
      </c>
    </row>
    <row r="48" spans="1:23" x14ac:dyDescent="0.15">
      <c r="A48" s="22" t="str">
        <f t="shared" si="1"/>
        <v>20004_2-4/118&lt;lv26&gt;s2</v>
      </c>
      <c r="B48" s="18">
        <f t="shared" si="7"/>
        <v>20004</v>
      </c>
      <c r="C48" s="18">
        <f t="shared" si="7"/>
        <v>2</v>
      </c>
      <c r="D48" s="18">
        <f t="shared" si="7"/>
        <v>4</v>
      </c>
      <c r="E48" s="18">
        <f t="shared" si="7"/>
        <v>118</v>
      </c>
      <c r="F48" s="18">
        <f t="shared" si="7"/>
        <v>26</v>
      </c>
      <c r="G48" s="18">
        <f t="shared" si="7"/>
        <v>1.4</v>
      </c>
      <c r="H48" s="18">
        <f t="shared" si="7"/>
        <v>1.1000000000000001</v>
      </c>
      <c r="I48" s="18">
        <f t="shared" si="7"/>
        <v>0</v>
      </c>
      <c r="J48" s="18">
        <f t="shared" si="7"/>
        <v>0</v>
      </c>
      <c r="K48" s="18">
        <f t="shared" si="7"/>
        <v>0</v>
      </c>
      <c r="L48" s="18">
        <f t="shared" si="7"/>
        <v>30</v>
      </c>
      <c r="M48" s="18">
        <f t="shared" si="7"/>
        <v>0</v>
      </c>
      <c r="N48" s="18">
        <f t="shared" si="7"/>
        <v>2</v>
      </c>
      <c r="O48" s="18">
        <f t="shared" si="7"/>
        <v>118</v>
      </c>
      <c r="P48" s="18">
        <f t="shared" si="7"/>
        <v>1</v>
      </c>
      <c r="Q48" s="18">
        <f t="shared" si="7"/>
        <v>4</v>
      </c>
      <c r="R48" s="18">
        <f t="shared" si="6"/>
        <v>10</v>
      </c>
      <c r="S48" s="18">
        <f t="shared" si="6"/>
        <v>0</v>
      </c>
      <c r="T48" s="18">
        <f t="shared" si="6"/>
        <v>0</v>
      </c>
      <c r="U48" s="18">
        <f t="shared" si="6"/>
        <v>0</v>
      </c>
      <c r="V48" s="18">
        <f t="shared" si="6"/>
        <v>0</v>
      </c>
      <c r="W48" s="18">
        <f t="shared" si="6"/>
        <v>1</v>
      </c>
    </row>
    <row r="49" spans="1:23" x14ac:dyDescent="0.15">
      <c r="A49" s="22" t="str">
        <f t="shared" si="1"/>
        <v>20004_2-5/268&lt;lv36&gt;s4</v>
      </c>
      <c r="B49" s="18">
        <f t="shared" si="7"/>
        <v>20004</v>
      </c>
      <c r="C49" s="18">
        <f t="shared" si="7"/>
        <v>2</v>
      </c>
      <c r="D49" s="18">
        <f t="shared" si="7"/>
        <v>5</v>
      </c>
      <c r="E49" s="18">
        <f t="shared" si="7"/>
        <v>268</v>
      </c>
      <c r="F49" s="18">
        <f t="shared" si="7"/>
        <v>36</v>
      </c>
      <c r="G49" s="18">
        <f t="shared" si="7"/>
        <v>3.1</v>
      </c>
      <c r="H49" s="18">
        <f t="shared" si="7"/>
        <v>1</v>
      </c>
      <c r="I49" s="18">
        <f t="shared" si="7"/>
        <v>0</v>
      </c>
      <c r="J49" s="18">
        <f t="shared" si="7"/>
        <v>268</v>
      </c>
      <c r="K49" s="18">
        <f t="shared" si="7"/>
        <v>1</v>
      </c>
      <c r="L49" s="18">
        <f t="shared" si="7"/>
        <v>100</v>
      </c>
      <c r="M49" s="18">
        <f t="shared" si="7"/>
        <v>1</v>
      </c>
      <c r="N49" s="18">
        <f t="shared" si="7"/>
        <v>4</v>
      </c>
      <c r="O49" s="18">
        <f t="shared" si="7"/>
        <v>268</v>
      </c>
      <c r="P49" s="18">
        <f t="shared" si="7"/>
        <v>1</v>
      </c>
      <c r="Q49" s="18">
        <f t="shared" si="7"/>
        <v>3</v>
      </c>
      <c r="R49" s="18">
        <f>VLOOKUP($A49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9" s="18">
        <f t="shared" si="6"/>
        <v>0</v>
      </c>
      <c r="T49" s="18">
        <f t="shared" si="6"/>
        <v>0</v>
      </c>
      <c r="U49" s="18">
        <f t="shared" si="6"/>
        <v>0</v>
      </c>
      <c r="V49" s="18">
        <f t="shared" si="6"/>
        <v>0</v>
      </c>
      <c r="W49" s="18">
        <f t="shared" si="6"/>
        <v>1</v>
      </c>
    </row>
    <row r="50" spans="1:23" x14ac:dyDescent="0.15">
      <c r="A50" s="22" t="str">
        <f t="shared" si="1"/>
        <v>20004_3-1/8&lt;lv42&gt;s2</v>
      </c>
      <c r="B50" s="18">
        <f t="shared" si="7"/>
        <v>20004</v>
      </c>
      <c r="C50" s="18">
        <f t="shared" si="7"/>
        <v>3</v>
      </c>
      <c r="D50" s="18">
        <f t="shared" si="7"/>
        <v>1</v>
      </c>
      <c r="E50" s="18">
        <f t="shared" si="7"/>
        <v>8</v>
      </c>
      <c r="F50" s="18">
        <f t="shared" si="7"/>
        <v>42</v>
      </c>
      <c r="G50" s="18">
        <f t="shared" si="7"/>
        <v>1.5</v>
      </c>
      <c r="H50" s="18">
        <f t="shared" si="7"/>
        <v>0.8</v>
      </c>
      <c r="I50" s="18">
        <f t="shared" si="7"/>
        <v>0</v>
      </c>
      <c r="J50" s="18">
        <f t="shared" si="7"/>
        <v>0</v>
      </c>
      <c r="K50" s="18">
        <f t="shared" si="7"/>
        <v>0</v>
      </c>
      <c r="L50" s="18">
        <f t="shared" si="7"/>
        <v>100</v>
      </c>
      <c r="M50" s="18">
        <f t="shared" si="7"/>
        <v>0</v>
      </c>
      <c r="N50" s="18">
        <f t="shared" si="7"/>
        <v>2</v>
      </c>
      <c r="O50" s="18">
        <f t="shared" si="7"/>
        <v>8</v>
      </c>
      <c r="P50" s="18">
        <f t="shared" si="7"/>
        <v>9</v>
      </c>
      <c r="Q50" s="18">
        <f t="shared" si="7"/>
        <v>2</v>
      </c>
      <c r="R50" s="18">
        <f t="shared" si="6"/>
        <v>15</v>
      </c>
      <c r="S50" s="18">
        <f t="shared" si="6"/>
        <v>0</v>
      </c>
      <c r="T50" s="18">
        <f t="shared" si="6"/>
        <v>0</v>
      </c>
      <c r="U50" s="18">
        <f t="shared" si="6"/>
        <v>0</v>
      </c>
      <c r="V50" s="18">
        <f t="shared" si="6"/>
        <v>0</v>
      </c>
      <c r="W50" s="18">
        <f t="shared" si="6"/>
        <v>1</v>
      </c>
    </row>
    <row r="51" spans="1:23" x14ac:dyDescent="0.15">
      <c r="A51" s="22" t="str">
        <f t="shared" si="1"/>
        <v>20004_3-1/31&lt;lv42&gt;s2</v>
      </c>
      <c r="B51" s="18">
        <f t="shared" si="7"/>
        <v>20004</v>
      </c>
      <c r="C51" s="18">
        <f t="shared" si="7"/>
        <v>3</v>
      </c>
      <c r="D51" s="18">
        <f t="shared" si="7"/>
        <v>1</v>
      </c>
      <c r="E51" s="18">
        <f t="shared" si="7"/>
        <v>31</v>
      </c>
      <c r="F51" s="18">
        <f t="shared" si="7"/>
        <v>42</v>
      </c>
      <c r="G51" s="18">
        <f t="shared" si="7"/>
        <v>1.5</v>
      </c>
      <c r="H51" s="18">
        <f t="shared" si="7"/>
        <v>0.8</v>
      </c>
      <c r="I51" s="18">
        <f t="shared" si="7"/>
        <v>0</v>
      </c>
      <c r="J51" s="18">
        <f t="shared" si="7"/>
        <v>0</v>
      </c>
      <c r="K51" s="18">
        <f t="shared" si="7"/>
        <v>0</v>
      </c>
      <c r="L51" s="18">
        <f t="shared" si="7"/>
        <v>100</v>
      </c>
      <c r="M51" s="18">
        <f t="shared" si="7"/>
        <v>0</v>
      </c>
      <c r="N51" s="18">
        <f t="shared" si="7"/>
        <v>2</v>
      </c>
      <c r="O51" s="18">
        <f t="shared" si="7"/>
        <v>31</v>
      </c>
      <c r="P51" s="18">
        <f t="shared" si="7"/>
        <v>5</v>
      </c>
      <c r="Q51" s="18">
        <f t="shared" si="7"/>
        <v>1</v>
      </c>
      <c r="R51" s="18">
        <f t="shared" si="6"/>
        <v>15</v>
      </c>
      <c r="S51" s="18">
        <f t="shared" si="6"/>
        <v>0</v>
      </c>
      <c r="T51" s="18">
        <f t="shared" si="6"/>
        <v>0</v>
      </c>
      <c r="U51" s="18">
        <f t="shared" si="6"/>
        <v>0</v>
      </c>
      <c r="V51" s="18">
        <f t="shared" si="6"/>
        <v>0</v>
      </c>
      <c r="W51" s="18">
        <f t="shared" si="6"/>
        <v>1</v>
      </c>
    </row>
    <row r="52" spans="1:23" x14ac:dyDescent="0.15">
      <c r="A52" s="22" t="str">
        <f t="shared" si="1"/>
        <v>20004_3-1/47&lt;lv42&gt;s1</v>
      </c>
      <c r="B52" s="18">
        <f t="shared" si="7"/>
        <v>20004</v>
      </c>
      <c r="C52" s="18">
        <f t="shared" si="7"/>
        <v>3</v>
      </c>
      <c r="D52" s="18">
        <f t="shared" si="7"/>
        <v>1</v>
      </c>
      <c r="E52" s="18">
        <f t="shared" si="7"/>
        <v>47</v>
      </c>
      <c r="F52" s="18">
        <f t="shared" si="7"/>
        <v>42</v>
      </c>
      <c r="G52" s="18">
        <f t="shared" si="7"/>
        <v>1.5</v>
      </c>
      <c r="H52" s="18">
        <f t="shared" si="7"/>
        <v>0.8</v>
      </c>
      <c r="I52" s="18">
        <f t="shared" si="7"/>
        <v>0</v>
      </c>
      <c r="J52" s="18">
        <f t="shared" si="7"/>
        <v>0</v>
      </c>
      <c r="K52" s="18">
        <f t="shared" si="7"/>
        <v>0</v>
      </c>
      <c r="L52" s="18">
        <f t="shared" si="7"/>
        <v>100</v>
      </c>
      <c r="M52" s="18">
        <f t="shared" si="7"/>
        <v>0</v>
      </c>
      <c r="N52" s="18">
        <f t="shared" si="7"/>
        <v>1</v>
      </c>
      <c r="O52" s="18">
        <f t="shared" si="7"/>
        <v>47</v>
      </c>
      <c r="P52" s="18">
        <f t="shared" si="7"/>
        <v>5</v>
      </c>
      <c r="Q52" s="18">
        <f t="shared" si="7"/>
        <v>2</v>
      </c>
      <c r="R52" s="18">
        <f t="shared" si="6"/>
        <v>15</v>
      </c>
      <c r="S52" s="18">
        <f t="shared" si="6"/>
        <v>0</v>
      </c>
      <c r="T52" s="18">
        <f t="shared" si="6"/>
        <v>0</v>
      </c>
      <c r="U52" s="18">
        <f t="shared" si="6"/>
        <v>0</v>
      </c>
      <c r="V52" s="18">
        <f t="shared" si="6"/>
        <v>0</v>
      </c>
      <c r="W52" s="18">
        <f t="shared" si="6"/>
        <v>1</v>
      </c>
    </row>
    <row r="53" spans="1:23" x14ac:dyDescent="0.15">
      <c r="A53" s="22" t="str">
        <f t="shared" si="1"/>
        <v>20004_3-1/55&lt;lv42&gt;s4</v>
      </c>
      <c r="B53" s="18">
        <f t="shared" si="7"/>
        <v>20004</v>
      </c>
      <c r="C53" s="18">
        <f t="shared" si="7"/>
        <v>3</v>
      </c>
      <c r="D53" s="18">
        <f t="shared" si="7"/>
        <v>1</v>
      </c>
      <c r="E53" s="18">
        <f t="shared" si="7"/>
        <v>55</v>
      </c>
      <c r="F53" s="18">
        <f t="shared" si="7"/>
        <v>42</v>
      </c>
      <c r="G53" s="18">
        <f t="shared" si="7"/>
        <v>1.5</v>
      </c>
      <c r="H53" s="18">
        <f t="shared" si="7"/>
        <v>0.8</v>
      </c>
      <c r="I53" s="18">
        <f t="shared" si="7"/>
        <v>0</v>
      </c>
      <c r="J53" s="18">
        <f t="shared" si="7"/>
        <v>1055</v>
      </c>
      <c r="K53" s="18">
        <f t="shared" si="7"/>
        <v>0</v>
      </c>
      <c r="L53" s="18">
        <f t="shared" si="7"/>
        <v>100</v>
      </c>
      <c r="M53" s="18">
        <f t="shared" si="7"/>
        <v>0</v>
      </c>
      <c r="N53" s="18">
        <f t="shared" si="7"/>
        <v>4</v>
      </c>
      <c r="O53" s="18">
        <f t="shared" si="7"/>
        <v>55</v>
      </c>
      <c r="P53" s="18">
        <f t="shared" si="7"/>
        <v>5</v>
      </c>
      <c r="Q53" s="18">
        <f t="shared" si="7"/>
        <v>2</v>
      </c>
      <c r="R53" s="18">
        <f t="shared" si="6"/>
        <v>15</v>
      </c>
      <c r="S53" s="18">
        <f t="shared" si="6"/>
        <v>0</v>
      </c>
      <c r="T53" s="18">
        <f t="shared" si="6"/>
        <v>0</v>
      </c>
      <c r="U53" s="18">
        <f t="shared" si="6"/>
        <v>0</v>
      </c>
      <c r="V53" s="18">
        <f t="shared" si="6"/>
        <v>0</v>
      </c>
      <c r="W53" s="18">
        <f t="shared" si="6"/>
        <v>1</v>
      </c>
    </row>
    <row r="54" spans="1:23" x14ac:dyDescent="0.15">
      <c r="A54" s="22" t="str">
        <f t="shared" si="1"/>
        <v>20004_3-1/63&lt;lv42&gt;s2</v>
      </c>
      <c r="B54" s="18">
        <f t="shared" si="7"/>
        <v>20004</v>
      </c>
      <c r="C54" s="18">
        <f t="shared" si="7"/>
        <v>3</v>
      </c>
      <c r="D54" s="18">
        <f t="shared" si="7"/>
        <v>1</v>
      </c>
      <c r="E54" s="18">
        <f t="shared" si="7"/>
        <v>63</v>
      </c>
      <c r="F54" s="18">
        <f t="shared" si="7"/>
        <v>42</v>
      </c>
      <c r="G54" s="18">
        <f t="shared" si="7"/>
        <v>1.5</v>
      </c>
      <c r="H54" s="18">
        <f t="shared" si="7"/>
        <v>0.8</v>
      </c>
      <c r="I54" s="18">
        <f t="shared" si="7"/>
        <v>0</v>
      </c>
      <c r="J54" s="18">
        <f t="shared" si="7"/>
        <v>63</v>
      </c>
      <c r="K54" s="18">
        <f t="shared" si="7"/>
        <v>0</v>
      </c>
      <c r="L54" s="18">
        <f t="shared" si="7"/>
        <v>100</v>
      </c>
      <c r="M54" s="18">
        <f t="shared" si="7"/>
        <v>0</v>
      </c>
      <c r="N54" s="18">
        <f t="shared" si="7"/>
        <v>2</v>
      </c>
      <c r="O54" s="18">
        <f t="shared" si="7"/>
        <v>63</v>
      </c>
      <c r="P54" s="18">
        <f t="shared" si="7"/>
        <v>5</v>
      </c>
      <c r="Q54" s="18">
        <f t="shared" si="7"/>
        <v>2</v>
      </c>
      <c r="R54" s="18">
        <f t="shared" si="6"/>
        <v>15</v>
      </c>
      <c r="S54" s="18">
        <f t="shared" si="6"/>
        <v>0</v>
      </c>
      <c r="T54" s="18">
        <f t="shared" si="6"/>
        <v>0</v>
      </c>
      <c r="U54" s="18">
        <f t="shared" si="6"/>
        <v>0</v>
      </c>
      <c r="V54" s="18">
        <f t="shared" si="6"/>
        <v>0</v>
      </c>
      <c r="W54" s="18">
        <f t="shared" si="6"/>
        <v>1</v>
      </c>
    </row>
    <row r="55" spans="1:23" x14ac:dyDescent="0.15">
      <c r="A55" s="22" t="str">
        <f t="shared" si="1"/>
        <v>20004_3-1/118&lt;lv42&gt;s2</v>
      </c>
      <c r="B55" s="18">
        <f t="shared" si="7"/>
        <v>20004</v>
      </c>
      <c r="C55" s="18">
        <f t="shared" si="7"/>
        <v>3</v>
      </c>
      <c r="D55" s="18">
        <f t="shared" si="7"/>
        <v>1</v>
      </c>
      <c r="E55" s="18">
        <f t="shared" si="7"/>
        <v>118</v>
      </c>
      <c r="F55" s="18">
        <f t="shared" si="7"/>
        <v>42</v>
      </c>
      <c r="G55" s="18">
        <f t="shared" si="7"/>
        <v>1.5</v>
      </c>
      <c r="H55" s="18">
        <f t="shared" si="7"/>
        <v>0.8</v>
      </c>
      <c r="I55" s="18">
        <f t="shared" si="7"/>
        <v>0</v>
      </c>
      <c r="J55" s="18">
        <f t="shared" si="7"/>
        <v>0</v>
      </c>
      <c r="K55" s="18">
        <f t="shared" si="7"/>
        <v>0</v>
      </c>
      <c r="L55" s="18">
        <f t="shared" si="7"/>
        <v>30</v>
      </c>
      <c r="M55" s="18">
        <f t="shared" si="7"/>
        <v>0</v>
      </c>
      <c r="N55" s="18">
        <f t="shared" si="7"/>
        <v>2</v>
      </c>
      <c r="O55" s="18">
        <f t="shared" si="7"/>
        <v>118</v>
      </c>
      <c r="P55" s="18">
        <f t="shared" si="7"/>
        <v>1</v>
      </c>
      <c r="Q55" s="18">
        <f t="shared" si="7"/>
        <v>4</v>
      </c>
      <c r="R55" s="18">
        <f t="shared" si="6"/>
        <v>10</v>
      </c>
      <c r="S55" s="18">
        <f t="shared" si="6"/>
        <v>0</v>
      </c>
      <c r="T55" s="18">
        <f t="shared" si="6"/>
        <v>0</v>
      </c>
      <c r="U55" s="18">
        <f t="shared" si="6"/>
        <v>0</v>
      </c>
      <c r="V55" s="18">
        <f t="shared" si="6"/>
        <v>0</v>
      </c>
      <c r="W55" s="18">
        <f t="shared" si="6"/>
        <v>1</v>
      </c>
    </row>
    <row r="56" spans="1:23" x14ac:dyDescent="0.15">
      <c r="A56" s="22" t="str">
        <f t="shared" si="1"/>
        <v>20004_3-2/8&lt;lv42&gt;s2</v>
      </c>
      <c r="B56" s="18">
        <f t="shared" si="7"/>
        <v>20004</v>
      </c>
      <c r="C56" s="18">
        <f t="shared" si="7"/>
        <v>3</v>
      </c>
      <c r="D56" s="18">
        <f t="shared" si="7"/>
        <v>2</v>
      </c>
      <c r="E56" s="18">
        <f t="shared" si="7"/>
        <v>8</v>
      </c>
      <c r="F56" s="18">
        <f t="shared" si="7"/>
        <v>42</v>
      </c>
      <c r="G56" s="18">
        <f t="shared" si="7"/>
        <v>1.5</v>
      </c>
      <c r="H56" s="18">
        <f t="shared" si="7"/>
        <v>0.8</v>
      </c>
      <c r="I56" s="18">
        <f t="shared" si="7"/>
        <v>0</v>
      </c>
      <c r="J56" s="18">
        <f t="shared" si="7"/>
        <v>0</v>
      </c>
      <c r="K56" s="18">
        <f t="shared" si="7"/>
        <v>0</v>
      </c>
      <c r="L56" s="18">
        <f t="shared" si="7"/>
        <v>100</v>
      </c>
      <c r="M56" s="18">
        <f t="shared" si="7"/>
        <v>0</v>
      </c>
      <c r="N56" s="18">
        <f t="shared" si="7"/>
        <v>2</v>
      </c>
      <c r="O56" s="18">
        <f t="shared" si="7"/>
        <v>8</v>
      </c>
      <c r="P56" s="18">
        <f t="shared" si="7"/>
        <v>9</v>
      </c>
      <c r="Q56" s="18">
        <f t="shared" si="7"/>
        <v>2</v>
      </c>
      <c r="R56" s="18">
        <f t="shared" si="6"/>
        <v>15</v>
      </c>
      <c r="S56" s="18">
        <f t="shared" si="6"/>
        <v>0</v>
      </c>
      <c r="T56" s="18">
        <f t="shared" si="6"/>
        <v>0</v>
      </c>
      <c r="U56" s="18">
        <f t="shared" si="6"/>
        <v>0</v>
      </c>
      <c r="V56" s="18">
        <f t="shared" si="6"/>
        <v>0</v>
      </c>
      <c r="W56" s="18">
        <f t="shared" si="6"/>
        <v>1</v>
      </c>
    </row>
    <row r="57" spans="1:23" x14ac:dyDescent="0.15">
      <c r="A57" s="22" t="str">
        <f t="shared" si="1"/>
        <v>20004_3-2/31&lt;lv42&gt;s2</v>
      </c>
      <c r="B57" s="18">
        <f t="shared" si="7"/>
        <v>20004</v>
      </c>
      <c r="C57" s="18">
        <f t="shared" si="7"/>
        <v>3</v>
      </c>
      <c r="D57" s="18">
        <f t="shared" si="7"/>
        <v>2</v>
      </c>
      <c r="E57" s="18">
        <f t="shared" si="7"/>
        <v>31</v>
      </c>
      <c r="F57" s="18">
        <f t="shared" si="7"/>
        <v>42</v>
      </c>
      <c r="G57" s="18">
        <f t="shared" si="7"/>
        <v>1.5</v>
      </c>
      <c r="H57" s="18">
        <f t="shared" si="7"/>
        <v>0.8</v>
      </c>
      <c r="I57" s="18">
        <f t="shared" si="7"/>
        <v>0</v>
      </c>
      <c r="J57" s="18">
        <f t="shared" si="7"/>
        <v>0</v>
      </c>
      <c r="K57" s="18">
        <f t="shared" si="7"/>
        <v>0</v>
      </c>
      <c r="L57" s="18">
        <f t="shared" si="7"/>
        <v>100</v>
      </c>
      <c r="M57" s="18">
        <f t="shared" si="7"/>
        <v>0</v>
      </c>
      <c r="N57" s="18">
        <f t="shared" si="7"/>
        <v>2</v>
      </c>
      <c r="O57" s="18">
        <f t="shared" si="7"/>
        <v>31</v>
      </c>
      <c r="P57" s="18">
        <f t="shared" si="7"/>
        <v>5</v>
      </c>
      <c r="Q57" s="18">
        <f t="shared" si="7"/>
        <v>1</v>
      </c>
      <c r="R57" s="18">
        <f t="shared" si="6"/>
        <v>15</v>
      </c>
      <c r="S57" s="18">
        <f t="shared" si="6"/>
        <v>0</v>
      </c>
      <c r="T57" s="18">
        <f t="shared" si="6"/>
        <v>0</v>
      </c>
      <c r="U57" s="18">
        <f t="shared" si="6"/>
        <v>0</v>
      </c>
      <c r="V57" s="18">
        <f t="shared" si="6"/>
        <v>0</v>
      </c>
      <c r="W57" s="18">
        <f t="shared" si="6"/>
        <v>1</v>
      </c>
    </row>
    <row r="58" spans="1:23" x14ac:dyDescent="0.15">
      <c r="A58" s="22" t="str">
        <f t="shared" si="1"/>
        <v>20004_3-2/47&lt;lv42&gt;s1</v>
      </c>
      <c r="B58" s="18">
        <f t="shared" si="7"/>
        <v>20004</v>
      </c>
      <c r="C58" s="18">
        <f t="shared" si="7"/>
        <v>3</v>
      </c>
      <c r="D58" s="18">
        <f t="shared" si="7"/>
        <v>2</v>
      </c>
      <c r="E58" s="18">
        <f t="shared" si="7"/>
        <v>47</v>
      </c>
      <c r="F58" s="18">
        <f t="shared" si="7"/>
        <v>42</v>
      </c>
      <c r="G58" s="18">
        <f t="shared" si="7"/>
        <v>1.5</v>
      </c>
      <c r="H58" s="18">
        <f t="shared" si="7"/>
        <v>0.8</v>
      </c>
      <c r="I58" s="18">
        <f t="shared" si="7"/>
        <v>0</v>
      </c>
      <c r="J58" s="18">
        <f t="shared" si="7"/>
        <v>0</v>
      </c>
      <c r="K58" s="18">
        <f t="shared" si="7"/>
        <v>0</v>
      </c>
      <c r="L58" s="18">
        <f t="shared" si="7"/>
        <v>100</v>
      </c>
      <c r="M58" s="18">
        <f t="shared" si="7"/>
        <v>0</v>
      </c>
      <c r="N58" s="18">
        <f t="shared" si="7"/>
        <v>1</v>
      </c>
      <c r="O58" s="18">
        <f t="shared" si="7"/>
        <v>47</v>
      </c>
      <c r="P58" s="18">
        <f t="shared" si="7"/>
        <v>5</v>
      </c>
      <c r="Q58" s="18">
        <f t="shared" si="7"/>
        <v>2</v>
      </c>
      <c r="R58" s="18">
        <f t="shared" si="6"/>
        <v>15</v>
      </c>
      <c r="S58" s="18">
        <f t="shared" si="6"/>
        <v>0</v>
      </c>
      <c r="T58" s="18">
        <f t="shared" si="6"/>
        <v>0</v>
      </c>
      <c r="U58" s="18">
        <f t="shared" si="6"/>
        <v>0</v>
      </c>
      <c r="V58" s="18">
        <f t="shared" si="6"/>
        <v>0</v>
      </c>
      <c r="W58" s="18">
        <f t="shared" si="6"/>
        <v>1</v>
      </c>
    </row>
    <row r="59" spans="1:23" x14ac:dyDescent="0.15">
      <c r="A59" s="22" t="str">
        <f t="shared" si="1"/>
        <v>20004_3-2/55&lt;lv42&gt;s4</v>
      </c>
      <c r="B59" s="18">
        <f t="shared" si="7"/>
        <v>20004</v>
      </c>
      <c r="C59" s="18">
        <f t="shared" si="7"/>
        <v>3</v>
      </c>
      <c r="D59" s="18">
        <f t="shared" si="7"/>
        <v>2</v>
      </c>
      <c r="E59" s="18">
        <f t="shared" si="7"/>
        <v>55</v>
      </c>
      <c r="F59" s="18">
        <f t="shared" si="7"/>
        <v>42</v>
      </c>
      <c r="G59" s="18">
        <f t="shared" si="7"/>
        <v>1.5</v>
      </c>
      <c r="H59" s="18">
        <f t="shared" si="7"/>
        <v>0.8</v>
      </c>
      <c r="I59" s="18">
        <f t="shared" si="7"/>
        <v>0</v>
      </c>
      <c r="J59" s="18">
        <f t="shared" si="7"/>
        <v>1055</v>
      </c>
      <c r="K59" s="18">
        <f t="shared" si="7"/>
        <v>0</v>
      </c>
      <c r="L59" s="18">
        <f t="shared" si="7"/>
        <v>100</v>
      </c>
      <c r="M59" s="18">
        <f t="shared" si="7"/>
        <v>0</v>
      </c>
      <c r="N59" s="18">
        <f t="shared" si="7"/>
        <v>4</v>
      </c>
      <c r="O59" s="18">
        <f t="shared" si="7"/>
        <v>55</v>
      </c>
      <c r="P59" s="18">
        <f t="shared" si="7"/>
        <v>5</v>
      </c>
      <c r="Q59" s="18">
        <f t="shared" si="7"/>
        <v>2</v>
      </c>
      <c r="R59" s="18">
        <f t="shared" si="6"/>
        <v>15</v>
      </c>
      <c r="S59" s="18">
        <f t="shared" si="6"/>
        <v>0</v>
      </c>
      <c r="T59" s="18">
        <f t="shared" si="6"/>
        <v>0</v>
      </c>
      <c r="U59" s="18">
        <f t="shared" si="6"/>
        <v>0</v>
      </c>
      <c r="V59" s="18">
        <f t="shared" si="6"/>
        <v>0</v>
      </c>
      <c r="W59" s="18">
        <f t="shared" si="6"/>
        <v>1</v>
      </c>
    </row>
    <row r="60" spans="1:23" x14ac:dyDescent="0.15">
      <c r="A60" s="22" t="str">
        <f t="shared" si="1"/>
        <v>20004_3-2/63&lt;lv42&gt;s2</v>
      </c>
      <c r="B60" s="18">
        <f t="shared" si="7"/>
        <v>20004</v>
      </c>
      <c r="C60" s="18">
        <f t="shared" si="7"/>
        <v>3</v>
      </c>
      <c r="D60" s="18">
        <f t="shared" si="7"/>
        <v>2</v>
      </c>
      <c r="E60" s="18">
        <f t="shared" si="7"/>
        <v>63</v>
      </c>
      <c r="F60" s="18">
        <f t="shared" si="7"/>
        <v>42</v>
      </c>
      <c r="G60" s="18">
        <f t="shared" si="7"/>
        <v>1.5</v>
      </c>
      <c r="H60" s="18">
        <f t="shared" si="7"/>
        <v>0.8</v>
      </c>
      <c r="I60" s="18">
        <f t="shared" si="7"/>
        <v>0</v>
      </c>
      <c r="J60" s="18">
        <f t="shared" si="7"/>
        <v>63</v>
      </c>
      <c r="K60" s="18">
        <f t="shared" si="7"/>
        <v>0</v>
      </c>
      <c r="L60" s="18">
        <f t="shared" si="7"/>
        <v>100</v>
      </c>
      <c r="M60" s="18">
        <f t="shared" si="7"/>
        <v>0</v>
      </c>
      <c r="N60" s="18">
        <f t="shared" si="7"/>
        <v>2</v>
      </c>
      <c r="O60" s="18">
        <f t="shared" si="7"/>
        <v>63</v>
      </c>
      <c r="P60" s="18">
        <f t="shared" si="7"/>
        <v>5</v>
      </c>
      <c r="Q60" s="18">
        <f t="shared" si="7"/>
        <v>2</v>
      </c>
      <c r="R60" s="18">
        <f t="shared" si="6"/>
        <v>15</v>
      </c>
      <c r="S60" s="18">
        <f t="shared" si="6"/>
        <v>0</v>
      </c>
      <c r="T60" s="18">
        <f t="shared" si="6"/>
        <v>0</v>
      </c>
      <c r="U60" s="18">
        <f t="shared" si="6"/>
        <v>0</v>
      </c>
      <c r="V60" s="18">
        <f t="shared" si="6"/>
        <v>0</v>
      </c>
      <c r="W60" s="18">
        <f t="shared" si="6"/>
        <v>1</v>
      </c>
    </row>
    <row r="61" spans="1:23" x14ac:dyDescent="0.15">
      <c r="A61" s="22" t="str">
        <f t="shared" si="1"/>
        <v>20004_3-2/345&lt;lv5&gt;s2</v>
      </c>
      <c r="B61" s="18">
        <f t="shared" si="7"/>
        <v>20004</v>
      </c>
      <c r="C61" s="18">
        <f t="shared" si="7"/>
        <v>3</v>
      </c>
      <c r="D61" s="18">
        <f t="shared" si="7"/>
        <v>2</v>
      </c>
      <c r="E61" s="18">
        <f t="shared" si="7"/>
        <v>345</v>
      </c>
      <c r="F61" s="18">
        <f t="shared" si="7"/>
        <v>5</v>
      </c>
      <c r="G61" s="18">
        <f t="shared" si="7"/>
        <v>0.5</v>
      </c>
      <c r="H61" s="18">
        <f t="shared" si="7"/>
        <v>0.8</v>
      </c>
      <c r="I61" s="18">
        <f t="shared" si="7"/>
        <v>0</v>
      </c>
      <c r="J61" s="18">
        <f t="shared" si="7"/>
        <v>0</v>
      </c>
      <c r="K61" s="18">
        <f t="shared" si="7"/>
        <v>1</v>
      </c>
      <c r="L61" s="18">
        <f t="shared" si="7"/>
        <v>100</v>
      </c>
      <c r="M61" s="18">
        <f t="shared" si="7"/>
        <v>0</v>
      </c>
      <c r="N61" s="18">
        <f t="shared" si="7"/>
        <v>2</v>
      </c>
      <c r="O61" s="18">
        <f t="shared" si="7"/>
        <v>345</v>
      </c>
      <c r="P61" s="18">
        <f t="shared" si="7"/>
        <v>1</v>
      </c>
      <c r="Q61" s="18">
        <f t="shared" si="7"/>
        <v>4</v>
      </c>
      <c r="R61" s="18">
        <f t="shared" si="6"/>
        <v>3</v>
      </c>
      <c r="S61" s="18">
        <f t="shared" si="6"/>
        <v>0</v>
      </c>
      <c r="T61" s="18">
        <f t="shared" si="6"/>
        <v>0</v>
      </c>
      <c r="U61" s="18">
        <f t="shared" si="6"/>
        <v>0</v>
      </c>
      <c r="V61" s="18">
        <f t="shared" si="6"/>
        <v>0</v>
      </c>
      <c r="W61" s="18">
        <f t="shared" si="6"/>
        <v>1</v>
      </c>
    </row>
    <row r="62" spans="1:23" x14ac:dyDescent="0.15">
      <c r="A62" s="22" t="str">
        <f t="shared" si="1"/>
        <v>20004_3-2/118&lt;lv42&gt;s2</v>
      </c>
      <c r="B62" s="18">
        <f t="shared" si="7"/>
        <v>20004</v>
      </c>
      <c r="C62" s="18">
        <f t="shared" si="7"/>
        <v>3</v>
      </c>
      <c r="D62" s="18">
        <f t="shared" si="7"/>
        <v>2</v>
      </c>
      <c r="E62" s="18">
        <f t="shared" si="7"/>
        <v>118</v>
      </c>
      <c r="F62" s="18">
        <f t="shared" si="7"/>
        <v>42</v>
      </c>
      <c r="G62" s="18">
        <f t="shared" si="7"/>
        <v>1.5</v>
      </c>
      <c r="H62" s="18">
        <f t="shared" si="7"/>
        <v>0.8</v>
      </c>
      <c r="I62" s="18">
        <f t="shared" si="7"/>
        <v>0</v>
      </c>
      <c r="J62" s="18">
        <f t="shared" si="7"/>
        <v>0</v>
      </c>
      <c r="K62" s="18">
        <f t="shared" si="7"/>
        <v>0</v>
      </c>
      <c r="L62" s="18">
        <f t="shared" si="7"/>
        <v>30</v>
      </c>
      <c r="M62" s="18">
        <f t="shared" si="7"/>
        <v>0</v>
      </c>
      <c r="N62" s="18">
        <f t="shared" si="7"/>
        <v>2</v>
      </c>
      <c r="O62" s="18">
        <f t="shared" si="7"/>
        <v>118</v>
      </c>
      <c r="P62" s="18">
        <f t="shared" si="7"/>
        <v>1</v>
      </c>
      <c r="Q62" s="18">
        <f t="shared" ref="Q62:W72" si="8">VLOOKUP($A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4</v>
      </c>
      <c r="R62" s="18">
        <f t="shared" si="8"/>
        <v>10</v>
      </c>
      <c r="S62" s="18">
        <f t="shared" si="8"/>
        <v>0</v>
      </c>
      <c r="T62" s="18">
        <f t="shared" si="8"/>
        <v>0</v>
      </c>
      <c r="U62" s="18">
        <f t="shared" si="8"/>
        <v>0</v>
      </c>
      <c r="V62" s="18">
        <f t="shared" si="8"/>
        <v>0</v>
      </c>
      <c r="W62" s="18">
        <f t="shared" si="8"/>
        <v>1</v>
      </c>
    </row>
    <row r="63" spans="1:23" x14ac:dyDescent="0.15">
      <c r="A63" s="22" t="str">
        <f t="shared" si="1"/>
        <v>20004_3-3/8&lt;lv42&gt;s2</v>
      </c>
      <c r="B63" s="18">
        <f t="shared" ref="B63:Q72" si="9">VLOOKUP($A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20004</v>
      </c>
      <c r="C63" s="18">
        <f t="shared" si="9"/>
        <v>3</v>
      </c>
      <c r="D63" s="18">
        <f t="shared" si="9"/>
        <v>3</v>
      </c>
      <c r="E63" s="18">
        <f t="shared" si="9"/>
        <v>8</v>
      </c>
      <c r="F63" s="18">
        <f t="shared" si="9"/>
        <v>42</v>
      </c>
      <c r="G63" s="18">
        <f t="shared" si="9"/>
        <v>1.5</v>
      </c>
      <c r="H63" s="18">
        <f t="shared" si="9"/>
        <v>0.8</v>
      </c>
      <c r="I63" s="18">
        <f t="shared" si="9"/>
        <v>0</v>
      </c>
      <c r="J63" s="18">
        <f t="shared" si="9"/>
        <v>0</v>
      </c>
      <c r="K63" s="18">
        <f t="shared" si="9"/>
        <v>0</v>
      </c>
      <c r="L63" s="18">
        <f t="shared" si="9"/>
        <v>100</v>
      </c>
      <c r="M63" s="18">
        <f t="shared" si="9"/>
        <v>0</v>
      </c>
      <c r="N63" s="18">
        <f t="shared" si="9"/>
        <v>2</v>
      </c>
      <c r="O63" s="18">
        <f t="shared" si="9"/>
        <v>8</v>
      </c>
      <c r="P63" s="18">
        <f t="shared" si="9"/>
        <v>9</v>
      </c>
      <c r="Q63" s="18">
        <f t="shared" si="9"/>
        <v>2</v>
      </c>
      <c r="R63" s="18">
        <f t="shared" si="8"/>
        <v>15</v>
      </c>
      <c r="S63" s="18">
        <f t="shared" si="8"/>
        <v>0</v>
      </c>
      <c r="T63" s="18">
        <f t="shared" si="8"/>
        <v>0</v>
      </c>
      <c r="U63" s="18">
        <f t="shared" si="8"/>
        <v>0</v>
      </c>
      <c r="V63" s="18">
        <f t="shared" si="8"/>
        <v>0</v>
      </c>
      <c r="W63" s="18">
        <f t="shared" si="8"/>
        <v>1</v>
      </c>
    </row>
    <row r="64" spans="1:23" x14ac:dyDescent="0.15">
      <c r="A64" s="22" t="str">
        <f t="shared" si="1"/>
        <v>20004_3-3/31&lt;lv42&gt;s2</v>
      </c>
      <c r="B64" s="18">
        <f t="shared" si="9"/>
        <v>20004</v>
      </c>
      <c r="C64" s="18">
        <f t="shared" si="9"/>
        <v>3</v>
      </c>
      <c r="D64" s="18">
        <f t="shared" si="9"/>
        <v>3</v>
      </c>
      <c r="E64" s="18">
        <f t="shared" si="9"/>
        <v>31</v>
      </c>
      <c r="F64" s="18">
        <f t="shared" si="9"/>
        <v>42</v>
      </c>
      <c r="G64" s="18">
        <f t="shared" si="9"/>
        <v>1.5</v>
      </c>
      <c r="H64" s="18">
        <f t="shared" si="9"/>
        <v>0.8</v>
      </c>
      <c r="I64" s="18">
        <f t="shared" si="9"/>
        <v>0</v>
      </c>
      <c r="J64" s="18">
        <f t="shared" si="9"/>
        <v>0</v>
      </c>
      <c r="K64" s="18">
        <f t="shared" si="9"/>
        <v>0</v>
      </c>
      <c r="L64" s="18">
        <f t="shared" si="9"/>
        <v>100</v>
      </c>
      <c r="M64" s="18">
        <f t="shared" si="9"/>
        <v>0</v>
      </c>
      <c r="N64" s="18">
        <f t="shared" si="9"/>
        <v>2</v>
      </c>
      <c r="O64" s="18">
        <f t="shared" si="9"/>
        <v>31</v>
      </c>
      <c r="P64" s="18">
        <f t="shared" si="9"/>
        <v>5</v>
      </c>
      <c r="Q64" s="18">
        <f t="shared" si="9"/>
        <v>1</v>
      </c>
      <c r="R64" s="18">
        <f t="shared" si="8"/>
        <v>15</v>
      </c>
      <c r="S64" s="18">
        <f t="shared" si="8"/>
        <v>0</v>
      </c>
      <c r="T64" s="18">
        <f t="shared" si="8"/>
        <v>0</v>
      </c>
      <c r="U64" s="18">
        <f t="shared" si="8"/>
        <v>0</v>
      </c>
      <c r="V64" s="18">
        <f t="shared" si="8"/>
        <v>0</v>
      </c>
      <c r="W64" s="18">
        <f t="shared" si="8"/>
        <v>1</v>
      </c>
    </row>
    <row r="65" spans="1:23" x14ac:dyDescent="0.15">
      <c r="A65" s="22" t="str">
        <f t="shared" si="1"/>
        <v>20004_3-3/47&lt;lv42&gt;s1</v>
      </c>
      <c r="B65" s="18">
        <f t="shared" si="9"/>
        <v>20004</v>
      </c>
      <c r="C65" s="18">
        <f t="shared" si="9"/>
        <v>3</v>
      </c>
      <c r="D65" s="18">
        <f t="shared" si="9"/>
        <v>3</v>
      </c>
      <c r="E65" s="18">
        <f t="shared" si="9"/>
        <v>47</v>
      </c>
      <c r="F65" s="18">
        <f t="shared" si="9"/>
        <v>42</v>
      </c>
      <c r="G65" s="18">
        <f t="shared" si="9"/>
        <v>1.5</v>
      </c>
      <c r="H65" s="18">
        <f t="shared" si="9"/>
        <v>0.8</v>
      </c>
      <c r="I65" s="18">
        <f t="shared" si="9"/>
        <v>0</v>
      </c>
      <c r="J65" s="18">
        <f t="shared" si="9"/>
        <v>0</v>
      </c>
      <c r="K65" s="18">
        <f t="shared" si="9"/>
        <v>0</v>
      </c>
      <c r="L65" s="18">
        <f t="shared" si="9"/>
        <v>100</v>
      </c>
      <c r="M65" s="18">
        <f t="shared" si="9"/>
        <v>0</v>
      </c>
      <c r="N65" s="18">
        <f t="shared" si="9"/>
        <v>1</v>
      </c>
      <c r="O65" s="18">
        <f t="shared" si="9"/>
        <v>47</v>
      </c>
      <c r="P65" s="18">
        <f t="shared" si="9"/>
        <v>5</v>
      </c>
      <c r="Q65" s="18">
        <f t="shared" si="9"/>
        <v>2</v>
      </c>
      <c r="R65" s="18">
        <f t="shared" si="8"/>
        <v>15</v>
      </c>
      <c r="S65" s="18">
        <f t="shared" si="8"/>
        <v>0</v>
      </c>
      <c r="T65" s="18">
        <f t="shared" si="8"/>
        <v>0</v>
      </c>
      <c r="U65" s="18">
        <f t="shared" si="8"/>
        <v>0</v>
      </c>
      <c r="V65" s="18">
        <f t="shared" si="8"/>
        <v>0</v>
      </c>
      <c r="W65" s="18">
        <f t="shared" si="8"/>
        <v>1</v>
      </c>
    </row>
    <row r="66" spans="1:23" x14ac:dyDescent="0.15">
      <c r="A66" s="22" t="str">
        <f t="shared" si="1"/>
        <v>20004_3-3/55&lt;lv42&gt;s4</v>
      </c>
      <c r="B66" s="18">
        <f t="shared" si="9"/>
        <v>20004</v>
      </c>
      <c r="C66" s="18">
        <f t="shared" si="9"/>
        <v>3</v>
      </c>
      <c r="D66" s="18">
        <f t="shared" si="9"/>
        <v>3</v>
      </c>
      <c r="E66" s="18">
        <f t="shared" si="9"/>
        <v>55</v>
      </c>
      <c r="F66" s="18">
        <f t="shared" si="9"/>
        <v>42</v>
      </c>
      <c r="G66" s="18">
        <f t="shared" si="9"/>
        <v>1.5</v>
      </c>
      <c r="H66" s="18">
        <f t="shared" si="9"/>
        <v>0.8</v>
      </c>
      <c r="I66" s="18">
        <f t="shared" si="9"/>
        <v>0</v>
      </c>
      <c r="J66" s="18">
        <f t="shared" si="9"/>
        <v>1055</v>
      </c>
      <c r="K66" s="18">
        <f t="shared" si="9"/>
        <v>0</v>
      </c>
      <c r="L66" s="18">
        <f t="shared" si="9"/>
        <v>100</v>
      </c>
      <c r="M66" s="18">
        <f t="shared" si="9"/>
        <v>0</v>
      </c>
      <c r="N66" s="18">
        <f t="shared" si="9"/>
        <v>4</v>
      </c>
      <c r="O66" s="18">
        <f t="shared" si="9"/>
        <v>55</v>
      </c>
      <c r="P66" s="18">
        <f t="shared" si="9"/>
        <v>5</v>
      </c>
      <c r="Q66" s="18">
        <f t="shared" si="9"/>
        <v>2</v>
      </c>
      <c r="R66" s="18">
        <f t="shared" si="8"/>
        <v>15</v>
      </c>
      <c r="S66" s="18">
        <f t="shared" si="8"/>
        <v>0</v>
      </c>
      <c r="T66" s="18">
        <f t="shared" si="8"/>
        <v>0</v>
      </c>
      <c r="U66" s="18">
        <f t="shared" si="8"/>
        <v>0</v>
      </c>
      <c r="V66" s="18">
        <f t="shared" si="8"/>
        <v>0</v>
      </c>
      <c r="W66" s="18">
        <f t="shared" si="8"/>
        <v>1</v>
      </c>
    </row>
    <row r="67" spans="1:23" x14ac:dyDescent="0.15">
      <c r="A67" s="22" t="str">
        <f t="shared" si="1"/>
        <v>20004_3-3/63&lt;lv42&gt;s2</v>
      </c>
      <c r="B67" s="18">
        <f t="shared" si="9"/>
        <v>20004</v>
      </c>
      <c r="C67" s="18">
        <f t="shared" si="9"/>
        <v>3</v>
      </c>
      <c r="D67" s="18">
        <f t="shared" si="9"/>
        <v>3</v>
      </c>
      <c r="E67" s="18">
        <f t="shared" si="9"/>
        <v>63</v>
      </c>
      <c r="F67" s="18">
        <f t="shared" si="9"/>
        <v>42</v>
      </c>
      <c r="G67" s="18">
        <f t="shared" si="9"/>
        <v>1.5</v>
      </c>
      <c r="H67" s="18">
        <f t="shared" si="9"/>
        <v>0.8</v>
      </c>
      <c r="I67" s="18">
        <f t="shared" si="9"/>
        <v>0</v>
      </c>
      <c r="J67" s="18">
        <f t="shared" si="9"/>
        <v>63</v>
      </c>
      <c r="K67" s="18">
        <f t="shared" si="9"/>
        <v>0</v>
      </c>
      <c r="L67" s="18">
        <f t="shared" si="9"/>
        <v>100</v>
      </c>
      <c r="M67" s="18">
        <f t="shared" si="9"/>
        <v>0</v>
      </c>
      <c r="N67" s="18">
        <f t="shared" si="9"/>
        <v>2</v>
      </c>
      <c r="O67" s="18">
        <f t="shared" si="9"/>
        <v>63</v>
      </c>
      <c r="P67" s="18">
        <f t="shared" si="9"/>
        <v>5</v>
      </c>
      <c r="Q67" s="18">
        <f t="shared" si="9"/>
        <v>2</v>
      </c>
      <c r="R67" s="18">
        <f t="shared" si="8"/>
        <v>15</v>
      </c>
      <c r="S67" s="18">
        <f t="shared" si="8"/>
        <v>0</v>
      </c>
      <c r="T67" s="18">
        <f t="shared" si="8"/>
        <v>0</v>
      </c>
      <c r="U67" s="18">
        <f t="shared" si="8"/>
        <v>0</v>
      </c>
      <c r="V67" s="18">
        <f t="shared" si="8"/>
        <v>0</v>
      </c>
      <c r="W67" s="18">
        <f t="shared" si="8"/>
        <v>1</v>
      </c>
    </row>
    <row r="68" spans="1:23" x14ac:dyDescent="0.15">
      <c r="A68" s="22" t="str">
        <f t="shared" ref="A68:A72" si="10">INDIRECT(ADDRESS(ROW()+$A$1,COLUMN(),1,TRUE,$C$1))</f>
        <v>20004_3-3/118&lt;lv42&gt;s2</v>
      </c>
      <c r="B68" s="18">
        <f t="shared" si="9"/>
        <v>20004</v>
      </c>
      <c r="C68" s="18">
        <f t="shared" si="9"/>
        <v>3</v>
      </c>
      <c r="D68" s="18">
        <f t="shared" si="9"/>
        <v>3</v>
      </c>
      <c r="E68" s="18">
        <f t="shared" si="9"/>
        <v>118</v>
      </c>
      <c r="F68" s="18">
        <f t="shared" si="9"/>
        <v>42</v>
      </c>
      <c r="G68" s="18">
        <f t="shared" si="9"/>
        <v>1.5</v>
      </c>
      <c r="H68" s="18">
        <f t="shared" si="9"/>
        <v>0.8</v>
      </c>
      <c r="I68" s="18">
        <f t="shared" si="9"/>
        <v>0</v>
      </c>
      <c r="J68" s="18">
        <f t="shared" si="9"/>
        <v>0</v>
      </c>
      <c r="K68" s="18">
        <f t="shared" si="9"/>
        <v>0</v>
      </c>
      <c r="L68" s="18">
        <f t="shared" si="9"/>
        <v>30</v>
      </c>
      <c r="M68" s="18">
        <f t="shared" si="9"/>
        <v>0</v>
      </c>
      <c r="N68" s="18">
        <f t="shared" si="9"/>
        <v>2</v>
      </c>
      <c r="O68" s="18">
        <f t="shared" si="9"/>
        <v>118</v>
      </c>
      <c r="P68" s="18">
        <f t="shared" si="9"/>
        <v>1</v>
      </c>
      <c r="Q68" s="18">
        <f t="shared" si="9"/>
        <v>4</v>
      </c>
      <c r="R68" s="18">
        <f t="shared" si="8"/>
        <v>10</v>
      </c>
      <c r="S68" s="18">
        <f t="shared" si="8"/>
        <v>0</v>
      </c>
      <c r="T68" s="18">
        <f t="shared" si="8"/>
        <v>0</v>
      </c>
      <c r="U68" s="18">
        <f t="shared" si="8"/>
        <v>0</v>
      </c>
      <c r="V68" s="18">
        <f t="shared" si="8"/>
        <v>0</v>
      </c>
      <c r="W68" s="18">
        <f t="shared" si="8"/>
        <v>1</v>
      </c>
    </row>
    <row r="69" spans="1:23" x14ac:dyDescent="0.15">
      <c r="A69" s="22" t="str">
        <f t="shared" si="10"/>
        <v>20004_3-4/121&lt;lv32&gt;s3</v>
      </c>
      <c r="B69" s="18">
        <f t="shared" si="9"/>
        <v>20004</v>
      </c>
      <c r="C69" s="18">
        <f t="shared" si="9"/>
        <v>3</v>
      </c>
      <c r="D69" s="18">
        <f t="shared" si="9"/>
        <v>4</v>
      </c>
      <c r="E69" s="18">
        <f t="shared" si="9"/>
        <v>121</v>
      </c>
      <c r="F69" s="18">
        <f t="shared" si="9"/>
        <v>32</v>
      </c>
      <c r="G69" s="18">
        <f t="shared" si="9"/>
        <v>1.6</v>
      </c>
      <c r="H69" s="18">
        <f t="shared" si="9"/>
        <v>0.7</v>
      </c>
      <c r="I69" s="18">
        <f t="shared" si="9"/>
        <v>0</v>
      </c>
      <c r="J69" s="18">
        <f t="shared" si="9"/>
        <v>1211</v>
      </c>
      <c r="K69" s="18">
        <f t="shared" si="9"/>
        <v>1</v>
      </c>
      <c r="L69" s="18">
        <f t="shared" si="9"/>
        <v>100</v>
      </c>
      <c r="M69" s="18">
        <f t="shared" si="9"/>
        <v>0</v>
      </c>
      <c r="N69" s="18">
        <f t="shared" si="9"/>
        <v>3</v>
      </c>
      <c r="O69" s="18">
        <f t="shared" si="9"/>
        <v>121</v>
      </c>
      <c r="P69" s="18">
        <f t="shared" si="9"/>
        <v>1</v>
      </c>
      <c r="Q69" s="18">
        <f t="shared" si="9"/>
        <v>3</v>
      </c>
      <c r="R69" s="18">
        <f t="shared" si="8"/>
        <v>5</v>
      </c>
      <c r="S69" s="18">
        <f t="shared" si="8"/>
        <v>0</v>
      </c>
      <c r="T69" s="18">
        <f t="shared" si="8"/>
        <v>0</v>
      </c>
      <c r="U69" s="18">
        <f t="shared" si="8"/>
        <v>0</v>
      </c>
      <c r="V69" s="18">
        <f t="shared" si="8"/>
        <v>0</v>
      </c>
      <c r="W69" s="18">
        <f t="shared" si="8"/>
        <v>1</v>
      </c>
    </row>
    <row r="70" spans="1:23" x14ac:dyDescent="0.15">
      <c r="A70" s="22" t="str">
        <f t="shared" si="10"/>
        <v>20004_3-4/122&lt;lv32&gt;s3</v>
      </c>
      <c r="B70" s="18">
        <f t="shared" si="9"/>
        <v>20004</v>
      </c>
      <c r="C70" s="18">
        <f t="shared" si="9"/>
        <v>3</v>
      </c>
      <c r="D70" s="18">
        <f t="shared" si="9"/>
        <v>4</v>
      </c>
      <c r="E70" s="18">
        <f t="shared" si="9"/>
        <v>122</v>
      </c>
      <c r="F70" s="18">
        <f t="shared" si="9"/>
        <v>32</v>
      </c>
      <c r="G70" s="18">
        <f t="shared" si="9"/>
        <v>1.6</v>
      </c>
      <c r="H70" s="18">
        <f t="shared" si="9"/>
        <v>0.2</v>
      </c>
      <c r="I70" s="18">
        <f t="shared" si="9"/>
        <v>0</v>
      </c>
      <c r="J70" s="18">
        <f t="shared" si="9"/>
        <v>1221</v>
      </c>
      <c r="K70" s="18">
        <f t="shared" si="9"/>
        <v>1</v>
      </c>
      <c r="L70" s="18">
        <f t="shared" si="9"/>
        <v>100</v>
      </c>
      <c r="M70" s="18">
        <f t="shared" si="9"/>
        <v>0</v>
      </c>
      <c r="N70" s="18">
        <f t="shared" si="9"/>
        <v>3</v>
      </c>
      <c r="O70" s="18">
        <f t="shared" si="9"/>
        <v>122</v>
      </c>
      <c r="P70" s="18">
        <f t="shared" si="9"/>
        <v>1</v>
      </c>
      <c r="Q70" s="18">
        <f t="shared" si="9"/>
        <v>3</v>
      </c>
      <c r="R70" s="18">
        <f t="shared" si="8"/>
        <v>5</v>
      </c>
      <c r="S70" s="18">
        <f t="shared" si="8"/>
        <v>0</v>
      </c>
      <c r="T70" s="18">
        <f t="shared" si="8"/>
        <v>0</v>
      </c>
      <c r="U70" s="18">
        <f t="shared" si="8"/>
        <v>0</v>
      </c>
      <c r="V70" s="18">
        <f t="shared" si="8"/>
        <v>0</v>
      </c>
      <c r="W70" s="18">
        <f t="shared" si="8"/>
        <v>1</v>
      </c>
    </row>
    <row r="71" spans="1:23" x14ac:dyDescent="0.15">
      <c r="A71" s="22" t="str">
        <f t="shared" si="10"/>
        <v>20004_3-4/123&lt;lv32&gt;s3</v>
      </c>
      <c r="B71" s="18">
        <f t="shared" si="9"/>
        <v>20004</v>
      </c>
      <c r="C71" s="18">
        <f t="shared" si="9"/>
        <v>3</v>
      </c>
      <c r="D71" s="18">
        <f t="shared" si="9"/>
        <v>4</v>
      </c>
      <c r="E71" s="18">
        <f t="shared" si="9"/>
        <v>123</v>
      </c>
      <c r="F71" s="18">
        <f t="shared" si="9"/>
        <v>32</v>
      </c>
      <c r="G71" s="18">
        <f t="shared" si="9"/>
        <v>1.6</v>
      </c>
      <c r="H71" s="18">
        <f t="shared" si="9"/>
        <v>0.7</v>
      </c>
      <c r="I71" s="18">
        <f t="shared" si="9"/>
        <v>0</v>
      </c>
      <c r="J71" s="18">
        <f t="shared" si="9"/>
        <v>1231</v>
      </c>
      <c r="K71" s="18">
        <f t="shared" si="9"/>
        <v>1</v>
      </c>
      <c r="L71" s="18">
        <f t="shared" si="9"/>
        <v>100</v>
      </c>
      <c r="M71" s="18">
        <f t="shared" si="9"/>
        <v>0</v>
      </c>
      <c r="N71" s="18">
        <f t="shared" si="9"/>
        <v>3</v>
      </c>
      <c r="O71" s="18">
        <f t="shared" si="9"/>
        <v>123</v>
      </c>
      <c r="P71" s="18">
        <f t="shared" si="9"/>
        <v>1</v>
      </c>
      <c r="Q71" s="18">
        <f t="shared" si="9"/>
        <v>3</v>
      </c>
      <c r="R71" s="18">
        <f t="shared" si="8"/>
        <v>5</v>
      </c>
      <c r="S71" s="18">
        <f t="shared" si="8"/>
        <v>0</v>
      </c>
      <c r="T71" s="18">
        <f t="shared" si="8"/>
        <v>0</v>
      </c>
      <c r="U71" s="18">
        <f t="shared" si="8"/>
        <v>0</v>
      </c>
      <c r="V71" s="18">
        <f t="shared" si="8"/>
        <v>0</v>
      </c>
      <c r="W71" s="18">
        <f t="shared" si="8"/>
        <v>1</v>
      </c>
    </row>
    <row r="72" spans="1:23" x14ac:dyDescent="0.15">
      <c r="A72" s="22" t="str">
        <f t="shared" si="10"/>
        <v>20004_3-5/269&lt;lv43&gt;s4</v>
      </c>
      <c r="B72" s="18">
        <f t="shared" si="9"/>
        <v>20004</v>
      </c>
      <c r="C72" s="18">
        <f t="shared" si="9"/>
        <v>3</v>
      </c>
      <c r="D72" s="18">
        <f t="shared" si="9"/>
        <v>5</v>
      </c>
      <c r="E72" s="18">
        <f t="shared" si="9"/>
        <v>269</v>
      </c>
      <c r="F72" s="18">
        <f t="shared" si="9"/>
        <v>43</v>
      </c>
      <c r="G72" s="18">
        <f t="shared" si="9"/>
        <v>3.1</v>
      </c>
      <c r="H72" s="18">
        <f t="shared" si="9"/>
        <v>0.9</v>
      </c>
      <c r="I72" s="18">
        <f t="shared" si="9"/>
        <v>0</v>
      </c>
      <c r="J72" s="18">
        <f t="shared" si="9"/>
        <v>268</v>
      </c>
      <c r="K72" s="18">
        <f t="shared" si="9"/>
        <v>1</v>
      </c>
      <c r="L72" s="18">
        <f t="shared" si="9"/>
        <v>100</v>
      </c>
      <c r="M72" s="18">
        <f t="shared" si="9"/>
        <v>1</v>
      </c>
      <c r="N72" s="18">
        <f t="shared" si="9"/>
        <v>4</v>
      </c>
      <c r="O72" s="18">
        <f t="shared" si="9"/>
        <v>268</v>
      </c>
      <c r="P72" s="18">
        <f t="shared" si="9"/>
        <v>1</v>
      </c>
      <c r="Q72" s="18">
        <f t="shared" si="9"/>
        <v>3</v>
      </c>
      <c r="R72" s="18">
        <f>VLOOKUP($A72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72" s="18">
        <f t="shared" si="8"/>
        <v>0</v>
      </c>
      <c r="T72" s="18">
        <f t="shared" si="8"/>
        <v>0</v>
      </c>
      <c r="U72" s="18">
        <f t="shared" si="8"/>
        <v>0</v>
      </c>
      <c r="V72" s="18">
        <f t="shared" si="8"/>
        <v>0</v>
      </c>
      <c r="W72" s="18">
        <f t="shared" si="8"/>
        <v>1</v>
      </c>
    </row>
    <row r="73" spans="1:23" x14ac:dyDescent="0.15">
      <c r="A73"/>
    </row>
    <row r="74" spans="1:23" x14ac:dyDescent="0.15">
      <c r="A74"/>
    </row>
    <row r="75" spans="1:23" x14ac:dyDescent="0.15">
      <c r="A75"/>
    </row>
    <row r="76" spans="1:23" x14ac:dyDescent="0.15">
      <c r="A76"/>
    </row>
    <row r="77" spans="1:23" x14ac:dyDescent="0.15">
      <c r="A7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floors_drop_1_4</vt:lpstr>
      <vt:lpstr>enemy_habitats_drop_1_4</vt:lpstr>
      <vt:lpstr>floors_drop_1_4.tmp</vt:lpstr>
      <vt:lpstr>enemy_habitats_drop_1_4.tmp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2017-03-08T03:58:17Z</dcterms:modified>
</cp:coreProperties>
</file>