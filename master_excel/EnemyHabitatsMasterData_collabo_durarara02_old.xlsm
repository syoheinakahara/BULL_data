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io_takigawa/BULL_data/master_excel/"/>
    </mc:Choice>
  </mc:AlternateContent>
  <bookViews>
    <workbookView xWindow="0" yWindow="460" windowWidth="25600" windowHeight="16060" tabRatio="740" activeTab="7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enemy_habitat_S!$B$1:$Y$4</definedName>
    <definedName name="_xlnm._FilterDatabase" localSheetId="2" hidden="1">enemy_habitats!$B$1:$AH$1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9" i="9" l="1"/>
  <c r="V19" i="1"/>
  <c r="E36" i="9"/>
  <c r="V15" i="1"/>
  <c r="V9" i="1"/>
  <c r="E37" i="9"/>
  <c r="V8" i="1"/>
  <c r="V5" i="1"/>
  <c r="J33" i="11"/>
  <c r="O40" i="9"/>
  <c r="N40" i="9"/>
  <c r="M40" i="9"/>
  <c r="L40" i="9"/>
  <c r="K40" i="9"/>
  <c r="J40" i="9"/>
  <c r="I40" i="9"/>
  <c r="H40" i="9"/>
  <c r="G40" i="9"/>
  <c r="E40" i="9"/>
  <c r="D40" i="9"/>
  <c r="A40" i="9"/>
  <c r="J15" i="11"/>
  <c r="O39" i="9"/>
  <c r="N39" i="9"/>
  <c r="M39" i="9"/>
  <c r="L39" i="9"/>
  <c r="K39" i="9"/>
  <c r="J39" i="9"/>
  <c r="I39" i="9"/>
  <c r="H39" i="9"/>
  <c r="G39" i="9"/>
  <c r="D39" i="9"/>
  <c r="A39" i="9"/>
  <c r="J14" i="11"/>
  <c r="O38" i="9"/>
  <c r="N38" i="9"/>
  <c r="M38" i="9"/>
  <c r="L38" i="9"/>
  <c r="K38" i="9"/>
  <c r="J38" i="9"/>
  <c r="I38" i="9"/>
  <c r="H38" i="9"/>
  <c r="G38" i="9"/>
  <c r="E38" i="9"/>
  <c r="D38" i="9"/>
  <c r="A38" i="9"/>
  <c r="J13" i="11"/>
  <c r="O37" i="9"/>
  <c r="N37" i="9"/>
  <c r="M37" i="9"/>
  <c r="L37" i="9"/>
  <c r="K37" i="9"/>
  <c r="J37" i="9"/>
  <c r="I37" i="9"/>
  <c r="H37" i="9"/>
  <c r="G37" i="9"/>
  <c r="D37" i="9"/>
  <c r="A37" i="9"/>
  <c r="J8" i="11"/>
  <c r="O36" i="9"/>
  <c r="N36" i="9"/>
  <c r="M36" i="9"/>
  <c r="L36" i="9"/>
  <c r="K36" i="9"/>
  <c r="J36" i="9"/>
  <c r="I36" i="9"/>
  <c r="H36" i="9"/>
  <c r="G36" i="9"/>
  <c r="D36" i="9"/>
  <c r="A36" i="9"/>
  <c r="B21" i="21"/>
  <c r="I21" i="21"/>
  <c r="J21" i="21"/>
  <c r="G21" i="21"/>
  <c r="F21" i="21"/>
  <c r="D21" i="21"/>
  <c r="C21" i="21"/>
  <c r="B20" i="21"/>
  <c r="I20" i="21"/>
  <c r="J20" i="21"/>
  <c r="G20" i="21"/>
  <c r="F20" i="21"/>
  <c r="D20" i="21"/>
  <c r="C20" i="21"/>
  <c r="B19" i="21"/>
  <c r="I19" i="21"/>
  <c r="J19" i="21"/>
  <c r="G19" i="21"/>
  <c r="F19" i="21"/>
  <c r="D19" i="21"/>
  <c r="C19" i="21"/>
  <c r="B18" i="21"/>
  <c r="I18" i="21"/>
  <c r="J18" i="21"/>
  <c r="G18" i="21"/>
  <c r="F18" i="21"/>
  <c r="D18" i="21"/>
  <c r="C18" i="21"/>
  <c r="B17" i="21"/>
  <c r="I17" i="21"/>
  <c r="J17" i="21"/>
  <c r="G17" i="21"/>
  <c r="F17" i="21"/>
  <c r="D17" i="21"/>
  <c r="C17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C2" i="18"/>
  <c r="D2" i="18"/>
  <c r="C43" i="18"/>
  <c r="D43" i="18"/>
  <c r="C42" i="18"/>
  <c r="D42" i="18"/>
  <c r="C41" i="18"/>
  <c r="D41" i="18"/>
  <c r="C40" i="18"/>
  <c r="D40" i="18"/>
  <c r="C39" i="18"/>
  <c r="D39" i="18"/>
  <c r="C38" i="18"/>
  <c r="D38" i="18"/>
  <c r="C37" i="18"/>
  <c r="D37" i="18"/>
  <c r="C36" i="18"/>
  <c r="D36" i="18"/>
  <c r="C35" i="18"/>
  <c r="D35" i="18"/>
  <c r="C34" i="18"/>
  <c r="D34" i="18"/>
  <c r="C33" i="18"/>
  <c r="D33" i="18"/>
  <c r="C32" i="18"/>
  <c r="D32" i="18"/>
  <c r="C31" i="18"/>
  <c r="D31" i="18"/>
  <c r="C30" i="18"/>
  <c r="D30" i="18"/>
  <c r="C29" i="18"/>
  <c r="D29" i="18"/>
  <c r="C28" i="18"/>
  <c r="D28" i="18"/>
  <c r="C27" i="18"/>
  <c r="D27" i="18"/>
  <c r="C26" i="18"/>
  <c r="D26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B5" i="21"/>
  <c r="B4" i="21"/>
  <c r="B3" i="21"/>
  <c r="B2" i="21"/>
  <c r="I5" i="21"/>
  <c r="J5" i="21"/>
  <c r="G5" i="21"/>
  <c r="F5" i="21"/>
  <c r="D5" i="21"/>
  <c r="C5" i="21"/>
  <c r="I4" i="21"/>
  <c r="J4" i="21"/>
  <c r="G4" i="21"/>
  <c r="F4" i="21"/>
  <c r="D4" i="21"/>
  <c r="C4" i="21"/>
  <c r="I3" i="21"/>
  <c r="J3" i="21"/>
  <c r="G3" i="21"/>
  <c r="F3" i="21"/>
  <c r="D3" i="21"/>
  <c r="C3" i="21"/>
  <c r="I2" i="21"/>
  <c r="J2" i="21"/>
  <c r="G2" i="21"/>
  <c r="F2" i="21"/>
  <c r="D2" i="21"/>
  <c r="C2" i="21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E34" i="9"/>
  <c r="AB32" i="1"/>
  <c r="AD32" i="1"/>
  <c r="AG32" i="1"/>
  <c r="AE32" i="1"/>
  <c r="AC32" i="1"/>
  <c r="V32" i="1"/>
  <c r="Q32" i="1"/>
  <c r="P32" i="1"/>
  <c r="O32" i="1"/>
  <c r="N32" i="1"/>
  <c r="M32" i="1"/>
  <c r="AB31" i="1"/>
  <c r="AD31" i="1"/>
  <c r="AG31" i="1"/>
  <c r="AE31" i="1"/>
  <c r="AC31" i="1"/>
  <c r="E19" i="9"/>
  <c r="V31" i="1"/>
  <c r="Q31" i="1"/>
  <c r="P31" i="1"/>
  <c r="O31" i="1"/>
  <c r="N31" i="1"/>
  <c r="M31" i="1"/>
  <c r="AB30" i="1"/>
  <c r="AD30" i="1"/>
  <c r="AG30" i="1"/>
  <c r="AE30" i="1"/>
  <c r="AC30" i="1"/>
  <c r="E17" i="9"/>
  <c r="V30" i="1"/>
  <c r="Q30" i="1"/>
  <c r="P30" i="1"/>
  <c r="O30" i="1"/>
  <c r="N30" i="1"/>
  <c r="M30" i="1"/>
  <c r="AB29" i="1"/>
  <c r="AD29" i="1"/>
  <c r="AG29" i="1"/>
  <c r="AE29" i="1"/>
  <c r="AC29" i="1"/>
  <c r="E15" i="9"/>
  <c r="V29" i="1"/>
  <c r="Q29" i="1"/>
  <c r="P29" i="1"/>
  <c r="O29" i="1"/>
  <c r="N29" i="1"/>
  <c r="M29" i="1"/>
  <c r="AB28" i="1"/>
  <c r="AD28" i="1"/>
  <c r="AG28" i="1"/>
  <c r="AE28" i="1"/>
  <c r="AC28" i="1"/>
  <c r="E12" i="9"/>
  <c r="V28" i="1"/>
  <c r="Q28" i="1"/>
  <c r="P28" i="1"/>
  <c r="O28" i="1"/>
  <c r="N28" i="1"/>
  <c r="M28" i="1"/>
  <c r="AB27" i="1"/>
  <c r="AD27" i="1"/>
  <c r="AG27" i="1"/>
  <c r="AE27" i="1"/>
  <c r="AC27" i="1"/>
  <c r="E10" i="9"/>
  <c r="V27" i="1"/>
  <c r="Q27" i="1"/>
  <c r="P27" i="1"/>
  <c r="O27" i="1"/>
  <c r="N27" i="1"/>
  <c r="M27" i="1"/>
  <c r="AB26" i="1"/>
  <c r="AD26" i="1"/>
  <c r="AG26" i="1"/>
  <c r="AE26" i="1"/>
  <c r="AC26" i="1"/>
  <c r="E9" i="9"/>
  <c r="V26" i="1"/>
  <c r="Q26" i="1"/>
  <c r="P26" i="1"/>
  <c r="O26" i="1"/>
  <c r="N26" i="1"/>
  <c r="M26" i="1"/>
  <c r="AB25" i="1"/>
  <c r="AD25" i="1"/>
  <c r="AG25" i="1"/>
  <c r="AE25" i="1"/>
  <c r="AC25" i="1"/>
  <c r="E7" i="9"/>
  <c r="V25" i="1"/>
  <c r="Q25" i="1"/>
  <c r="P25" i="1"/>
  <c r="O25" i="1"/>
  <c r="N25" i="1"/>
  <c r="M25" i="1"/>
  <c r="AB24" i="1"/>
  <c r="AD24" i="1"/>
  <c r="AG24" i="1"/>
  <c r="AE24" i="1"/>
  <c r="AC24" i="1"/>
  <c r="E5" i="9"/>
  <c r="V24" i="1"/>
  <c r="Q24" i="1"/>
  <c r="P24" i="1"/>
  <c r="O24" i="1"/>
  <c r="N24" i="1"/>
  <c r="M24" i="1"/>
  <c r="AB23" i="1"/>
  <c r="AD23" i="1"/>
  <c r="AG23" i="1"/>
  <c r="AE23" i="1"/>
  <c r="AC23" i="1"/>
  <c r="E3" i="9"/>
  <c r="V23" i="1"/>
  <c r="Q23" i="1"/>
  <c r="P23" i="1"/>
  <c r="O23" i="1"/>
  <c r="N23" i="1"/>
  <c r="M23" i="1"/>
  <c r="AB22" i="1"/>
  <c r="AD22" i="1"/>
  <c r="AG22" i="1"/>
  <c r="AE22" i="1"/>
  <c r="AC22" i="1"/>
  <c r="E2" i="9"/>
  <c r="V22" i="1"/>
  <c r="Q22" i="1"/>
  <c r="P22" i="1"/>
  <c r="O22" i="1"/>
  <c r="N22" i="1"/>
  <c r="M22" i="1"/>
  <c r="AB21" i="1"/>
  <c r="AD21" i="1"/>
  <c r="AG21" i="1"/>
  <c r="AE21" i="1"/>
  <c r="AC21" i="1"/>
  <c r="V21" i="1"/>
  <c r="Q21" i="1"/>
  <c r="P21" i="1"/>
  <c r="O21" i="1"/>
  <c r="N21" i="1"/>
  <c r="M21" i="1"/>
  <c r="AB20" i="1"/>
  <c r="AD20" i="1"/>
  <c r="AG20" i="1"/>
  <c r="AE20" i="1"/>
  <c r="AC20" i="1"/>
  <c r="V20" i="1"/>
  <c r="Q20" i="1"/>
  <c r="P20" i="1"/>
  <c r="O20" i="1"/>
  <c r="N20" i="1"/>
  <c r="M20" i="1"/>
  <c r="AB19" i="1"/>
  <c r="AD19" i="1"/>
  <c r="AG19" i="1"/>
  <c r="AE19" i="1"/>
  <c r="AC19" i="1"/>
  <c r="Q19" i="1"/>
  <c r="P19" i="1"/>
  <c r="O19" i="1"/>
  <c r="N19" i="1"/>
  <c r="M19" i="1"/>
  <c r="AB18" i="1"/>
  <c r="AD18" i="1"/>
  <c r="AG18" i="1"/>
  <c r="AE18" i="1"/>
  <c r="AC18" i="1"/>
  <c r="V18" i="1"/>
  <c r="Q18" i="1"/>
  <c r="P18" i="1"/>
  <c r="O18" i="1"/>
  <c r="N18" i="1"/>
  <c r="M18" i="1"/>
  <c r="AB17" i="1"/>
  <c r="AD17" i="1"/>
  <c r="AG17" i="1"/>
  <c r="AE17" i="1"/>
  <c r="AC17" i="1"/>
  <c r="V17" i="1"/>
  <c r="Q17" i="1"/>
  <c r="P17" i="1"/>
  <c r="O17" i="1"/>
  <c r="N17" i="1"/>
  <c r="M17" i="1"/>
  <c r="AB16" i="1"/>
  <c r="AD16" i="1"/>
  <c r="AG16" i="1"/>
  <c r="AE16" i="1"/>
  <c r="AC16" i="1"/>
  <c r="V16" i="1"/>
  <c r="Q16" i="1"/>
  <c r="P16" i="1"/>
  <c r="O16" i="1"/>
  <c r="N16" i="1"/>
  <c r="M16" i="1"/>
  <c r="AB15" i="1"/>
  <c r="AD15" i="1"/>
  <c r="AG15" i="1"/>
  <c r="AE15" i="1"/>
  <c r="AC15" i="1"/>
  <c r="Q15" i="1"/>
  <c r="P15" i="1"/>
  <c r="O15" i="1"/>
  <c r="N15" i="1"/>
  <c r="M15" i="1"/>
  <c r="AB14" i="1"/>
  <c r="AD14" i="1"/>
  <c r="AG14" i="1"/>
  <c r="AE14" i="1"/>
  <c r="AC14" i="1"/>
  <c r="V14" i="1"/>
  <c r="Q14" i="1"/>
  <c r="P14" i="1"/>
  <c r="O14" i="1"/>
  <c r="N14" i="1"/>
  <c r="M14" i="1"/>
  <c r="AB13" i="1"/>
  <c r="AD13" i="1"/>
  <c r="AG13" i="1"/>
  <c r="AE13" i="1"/>
  <c r="AC13" i="1"/>
  <c r="V13" i="1"/>
  <c r="Q13" i="1"/>
  <c r="P13" i="1"/>
  <c r="O13" i="1"/>
  <c r="N13" i="1"/>
  <c r="M13" i="1"/>
  <c r="AB12" i="1"/>
  <c r="AD12" i="1"/>
  <c r="AG12" i="1"/>
  <c r="AE12" i="1"/>
  <c r="AC12" i="1"/>
  <c r="V12" i="1"/>
  <c r="Q12" i="1"/>
  <c r="P12" i="1"/>
  <c r="O12" i="1"/>
  <c r="N12" i="1"/>
  <c r="M12" i="1"/>
  <c r="AB11" i="1"/>
  <c r="AD11" i="1"/>
  <c r="AG11" i="1"/>
  <c r="AE11" i="1"/>
  <c r="AC11" i="1"/>
  <c r="V11" i="1"/>
  <c r="Q11" i="1"/>
  <c r="P11" i="1"/>
  <c r="O11" i="1"/>
  <c r="N11" i="1"/>
  <c r="M11" i="1"/>
  <c r="AB10" i="1"/>
  <c r="AD10" i="1"/>
  <c r="AG10" i="1"/>
  <c r="AE10" i="1"/>
  <c r="AC10" i="1"/>
  <c r="V10" i="1"/>
  <c r="Q10" i="1"/>
  <c r="P10" i="1"/>
  <c r="O10" i="1"/>
  <c r="N10" i="1"/>
  <c r="M10" i="1"/>
  <c r="AB9" i="1"/>
  <c r="AD9" i="1"/>
  <c r="AG9" i="1"/>
  <c r="AE9" i="1"/>
  <c r="AC9" i="1"/>
  <c r="Q9" i="1"/>
  <c r="P9" i="1"/>
  <c r="O9" i="1"/>
  <c r="N9" i="1"/>
  <c r="M9" i="1"/>
  <c r="AB8" i="1"/>
  <c r="AD8" i="1"/>
  <c r="AG8" i="1"/>
  <c r="AE8" i="1"/>
  <c r="AC8" i="1"/>
  <c r="Q8" i="1"/>
  <c r="P8" i="1"/>
  <c r="O8" i="1"/>
  <c r="N8" i="1"/>
  <c r="M8" i="1"/>
  <c r="AB7" i="1"/>
  <c r="AD7" i="1"/>
  <c r="AG7" i="1"/>
  <c r="AE7" i="1"/>
  <c r="AC7" i="1"/>
  <c r="V7" i="1"/>
  <c r="Q7" i="1"/>
  <c r="P7" i="1"/>
  <c r="O7" i="1"/>
  <c r="N7" i="1"/>
  <c r="M7" i="1"/>
  <c r="AB6" i="1"/>
  <c r="AD6" i="1"/>
  <c r="AG6" i="1"/>
  <c r="AE6" i="1"/>
  <c r="AC6" i="1"/>
  <c r="V6" i="1"/>
  <c r="Q6" i="1"/>
  <c r="P6" i="1"/>
  <c r="O6" i="1"/>
  <c r="N6" i="1"/>
  <c r="M6" i="1"/>
  <c r="AB5" i="1"/>
  <c r="AD5" i="1"/>
  <c r="AG5" i="1"/>
  <c r="AE5" i="1"/>
  <c r="AC5" i="1"/>
  <c r="Q5" i="1"/>
  <c r="P5" i="1"/>
  <c r="O5" i="1"/>
  <c r="N5" i="1"/>
  <c r="M5" i="1"/>
  <c r="AB4" i="1"/>
  <c r="AD4" i="1"/>
  <c r="AG4" i="1"/>
  <c r="AE4" i="1"/>
  <c r="AC4" i="1"/>
  <c r="V4" i="1"/>
  <c r="Q4" i="1"/>
  <c r="P4" i="1"/>
  <c r="O4" i="1"/>
  <c r="N4" i="1"/>
  <c r="M4" i="1"/>
  <c r="AB3" i="1"/>
  <c r="AD3" i="1"/>
  <c r="AG3" i="1"/>
  <c r="AE3" i="1"/>
  <c r="AC3" i="1"/>
  <c r="V3" i="1"/>
  <c r="Q3" i="1"/>
  <c r="P3" i="1"/>
  <c r="O3" i="1"/>
  <c r="N3" i="1"/>
  <c r="M3" i="1"/>
  <c r="AB2" i="1"/>
  <c r="AD2" i="1"/>
  <c r="AG2" i="1"/>
  <c r="AE2" i="1"/>
  <c r="AC2" i="1"/>
  <c r="V2" i="1"/>
  <c r="Q2" i="1"/>
  <c r="P2" i="1"/>
  <c r="O2" i="1"/>
  <c r="N2" i="1"/>
  <c r="M2" i="1"/>
  <c r="H9" i="9"/>
  <c r="M9" i="10"/>
  <c r="T9" i="10"/>
  <c r="W9" i="10"/>
  <c r="V9" i="10"/>
  <c r="X9" i="10"/>
  <c r="U9" i="10"/>
  <c r="Y9" i="10"/>
  <c r="M17" i="10"/>
  <c r="M26" i="10"/>
  <c r="N26" i="10"/>
  <c r="Q26" i="10"/>
  <c r="P26" i="10"/>
  <c r="R26" i="10"/>
  <c r="O26" i="10"/>
  <c r="S26" i="10"/>
  <c r="N17" i="10"/>
  <c r="Q17" i="10"/>
  <c r="P17" i="10"/>
  <c r="R17" i="10"/>
  <c r="O17" i="10"/>
  <c r="S17" i="10"/>
  <c r="N9" i="10"/>
  <c r="Q9" i="10"/>
  <c r="P9" i="10"/>
  <c r="R9" i="10"/>
  <c r="O9" i="10"/>
  <c r="S9" i="10"/>
  <c r="G9" i="10"/>
  <c r="J9" i="10"/>
  <c r="I9" i="10"/>
  <c r="K9" i="10"/>
  <c r="H9" i="10"/>
  <c r="L9" i="10"/>
  <c r="H3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G14" i="2"/>
  <c r="A14" i="2"/>
  <c r="G15" i="2"/>
  <c r="A15" i="2"/>
  <c r="G16" i="2"/>
  <c r="A16" i="2"/>
  <c r="G17" i="2"/>
  <c r="A17" i="2"/>
  <c r="I3" i="7"/>
  <c r="J3" i="7"/>
  <c r="H4" i="7"/>
  <c r="I4" i="7"/>
  <c r="J4" i="7"/>
  <c r="H5" i="7"/>
  <c r="I5" i="7"/>
  <c r="J5" i="7"/>
  <c r="H2" i="7"/>
  <c r="J2" i="7"/>
  <c r="I2" i="7"/>
  <c r="H2" i="1"/>
  <c r="I2" i="1"/>
  <c r="J2" i="1"/>
  <c r="H3" i="1"/>
  <c r="I3" i="1"/>
  <c r="J3" i="1"/>
  <c r="H4" i="1"/>
  <c r="I4" i="1"/>
  <c r="J4" i="1"/>
  <c r="H5" i="1"/>
  <c r="I5" i="1"/>
  <c r="J5" i="1"/>
  <c r="H6" i="1"/>
  <c r="I6" i="1"/>
  <c r="J6" i="1"/>
  <c r="H7" i="1"/>
  <c r="I7" i="1"/>
  <c r="J7" i="1"/>
  <c r="H8" i="1"/>
  <c r="I8" i="1"/>
  <c r="J8" i="1"/>
  <c r="H9" i="1"/>
  <c r="I9" i="1"/>
  <c r="J9" i="1"/>
  <c r="H10" i="1"/>
  <c r="I10" i="1"/>
  <c r="J10" i="1"/>
  <c r="H11" i="1"/>
  <c r="I11" i="1"/>
  <c r="J11" i="1"/>
  <c r="H12" i="1"/>
  <c r="I12" i="1"/>
  <c r="J12" i="1"/>
  <c r="H13" i="1"/>
  <c r="I13" i="1"/>
  <c r="J13" i="1"/>
  <c r="H14" i="1"/>
  <c r="I14" i="1"/>
  <c r="J14" i="1"/>
  <c r="H15" i="1"/>
  <c r="I15" i="1"/>
  <c r="J15" i="1"/>
  <c r="H16" i="1"/>
  <c r="I16" i="1"/>
  <c r="J16" i="1"/>
  <c r="H17" i="1"/>
  <c r="I17" i="1"/>
  <c r="J17" i="1"/>
  <c r="H18" i="1"/>
  <c r="I18" i="1"/>
  <c r="J18" i="1"/>
  <c r="H19" i="1"/>
  <c r="I19" i="1"/>
  <c r="J19" i="1"/>
  <c r="H20" i="1"/>
  <c r="I20" i="1"/>
  <c r="J20" i="1"/>
  <c r="H21" i="1"/>
  <c r="I21" i="1"/>
  <c r="J21" i="1"/>
  <c r="H22" i="1"/>
  <c r="I22" i="1"/>
  <c r="J22" i="1"/>
  <c r="H23" i="1"/>
  <c r="I23" i="1"/>
  <c r="J23" i="1"/>
  <c r="H24" i="1"/>
  <c r="I24" i="1"/>
  <c r="J24" i="1"/>
  <c r="H25" i="1"/>
  <c r="I25" i="1"/>
  <c r="J25" i="1"/>
  <c r="H26" i="1"/>
  <c r="I26" i="1"/>
  <c r="J26" i="1"/>
  <c r="H27" i="1"/>
  <c r="I27" i="1"/>
  <c r="J27" i="1"/>
  <c r="H28" i="1"/>
  <c r="I28" i="1"/>
  <c r="J28" i="1"/>
  <c r="H29" i="1"/>
  <c r="I29" i="1"/>
  <c r="J29" i="1"/>
  <c r="H30" i="1"/>
  <c r="I30" i="1"/>
  <c r="J30" i="1"/>
  <c r="H31" i="1"/>
  <c r="I31" i="1"/>
  <c r="J31" i="1"/>
  <c r="H32" i="1"/>
  <c r="I32" i="1"/>
  <c r="J32" i="1"/>
  <c r="H33" i="1"/>
  <c r="H34" i="1"/>
  <c r="H35" i="1"/>
  <c r="H36" i="1"/>
  <c r="H37" i="1"/>
  <c r="H38" i="1"/>
  <c r="H39" i="1"/>
  <c r="H40" i="1"/>
  <c r="H41" i="1"/>
  <c r="H42" i="1"/>
  <c r="H43" i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2" i="2"/>
  <c r="V33" i="1"/>
  <c r="E25" i="9"/>
  <c r="W5" i="7"/>
  <c r="W4" i="7"/>
  <c r="W3" i="7"/>
  <c r="W2" i="7"/>
  <c r="R2" i="7"/>
  <c r="Q2" i="7"/>
  <c r="P2" i="7"/>
  <c r="O2" i="7"/>
  <c r="N2" i="7"/>
  <c r="D2" i="7"/>
  <c r="F2" i="7"/>
  <c r="E2" i="7"/>
  <c r="A2" i="7"/>
  <c r="R3" i="7"/>
  <c r="Q3" i="7"/>
  <c r="P3" i="7"/>
  <c r="O3" i="7"/>
  <c r="N3" i="7"/>
  <c r="D3" i="7"/>
  <c r="F3" i="7"/>
  <c r="E3" i="7"/>
  <c r="A3" i="7"/>
  <c r="V34" i="1"/>
  <c r="V35" i="1"/>
  <c r="V36" i="1"/>
  <c r="V37" i="1"/>
  <c r="E11" i="9"/>
  <c r="V38" i="1"/>
  <c r="V39" i="1"/>
  <c r="V40" i="1"/>
  <c r="V41" i="1"/>
  <c r="V42" i="1"/>
  <c r="V43" i="1"/>
  <c r="J30" i="11"/>
  <c r="O33" i="9"/>
  <c r="N33" i="9"/>
  <c r="M33" i="9"/>
  <c r="L33" i="9"/>
  <c r="K33" i="9"/>
  <c r="J33" i="9"/>
  <c r="I33" i="9"/>
  <c r="H33" i="9"/>
  <c r="G33" i="9"/>
  <c r="E33" i="9"/>
  <c r="D33" i="9"/>
  <c r="A33" i="9"/>
  <c r="J24" i="11"/>
  <c r="O30" i="9"/>
  <c r="N30" i="9"/>
  <c r="M30" i="9"/>
  <c r="L30" i="9"/>
  <c r="K30" i="9"/>
  <c r="J30" i="9"/>
  <c r="I30" i="9"/>
  <c r="H30" i="9"/>
  <c r="G30" i="9"/>
  <c r="E30" i="9"/>
  <c r="D30" i="9"/>
  <c r="A30" i="9"/>
  <c r="J23" i="11"/>
  <c r="O29" i="9"/>
  <c r="N29" i="9"/>
  <c r="M29" i="9"/>
  <c r="L29" i="9"/>
  <c r="K29" i="9"/>
  <c r="J29" i="9"/>
  <c r="I29" i="9"/>
  <c r="H29" i="9"/>
  <c r="G29" i="9"/>
  <c r="E29" i="9"/>
  <c r="D29" i="9"/>
  <c r="A29" i="9"/>
  <c r="J22" i="11"/>
  <c r="O28" i="9"/>
  <c r="N28" i="9"/>
  <c r="M28" i="9"/>
  <c r="L28" i="9"/>
  <c r="K28" i="9"/>
  <c r="J28" i="9"/>
  <c r="I28" i="9"/>
  <c r="H28" i="9"/>
  <c r="G28" i="9"/>
  <c r="E28" i="9"/>
  <c r="D28" i="9"/>
  <c r="A28" i="9"/>
  <c r="J26" i="11"/>
  <c r="O26" i="9"/>
  <c r="N26" i="9"/>
  <c r="M26" i="9"/>
  <c r="L26" i="9"/>
  <c r="K26" i="9"/>
  <c r="J26" i="9"/>
  <c r="I26" i="9"/>
  <c r="H26" i="9"/>
  <c r="G26" i="9"/>
  <c r="E26" i="9"/>
  <c r="D26" i="9"/>
  <c r="A26" i="9"/>
  <c r="J20" i="11"/>
  <c r="O20" i="9"/>
  <c r="N20" i="9"/>
  <c r="M20" i="9"/>
  <c r="L20" i="9"/>
  <c r="K20" i="9"/>
  <c r="J20" i="9"/>
  <c r="I20" i="9"/>
  <c r="H20" i="9"/>
  <c r="G20" i="9"/>
  <c r="E20" i="9"/>
  <c r="D20" i="9"/>
  <c r="A20" i="9"/>
  <c r="G3" i="9"/>
  <c r="H3" i="9"/>
  <c r="I3" i="9"/>
  <c r="J3" i="9"/>
  <c r="K3" i="9"/>
  <c r="L3" i="9"/>
  <c r="M3" i="9"/>
  <c r="N3" i="9"/>
  <c r="J3" i="11"/>
  <c r="O3" i="9"/>
  <c r="G4" i="9"/>
  <c r="H4" i="9"/>
  <c r="I4" i="9"/>
  <c r="J4" i="9"/>
  <c r="K4" i="9"/>
  <c r="L4" i="9"/>
  <c r="M4" i="9"/>
  <c r="N4" i="9"/>
  <c r="J4" i="11"/>
  <c r="O4" i="9"/>
  <c r="G5" i="9"/>
  <c r="H5" i="9"/>
  <c r="I5" i="9"/>
  <c r="J5" i="9"/>
  <c r="K5" i="9"/>
  <c r="L5" i="9"/>
  <c r="M5" i="9"/>
  <c r="N5" i="9"/>
  <c r="J5" i="11"/>
  <c r="O5" i="9"/>
  <c r="G6" i="9"/>
  <c r="H6" i="9"/>
  <c r="I6" i="9"/>
  <c r="J6" i="9"/>
  <c r="K6" i="9"/>
  <c r="L6" i="9"/>
  <c r="M6" i="9"/>
  <c r="N6" i="9"/>
  <c r="J6" i="11"/>
  <c r="O6" i="9"/>
  <c r="G7" i="9"/>
  <c r="H7" i="9"/>
  <c r="I7" i="9"/>
  <c r="J7" i="9"/>
  <c r="K7" i="9"/>
  <c r="L7" i="9"/>
  <c r="M7" i="9"/>
  <c r="N7" i="9"/>
  <c r="J7" i="11"/>
  <c r="O7" i="9"/>
  <c r="G8" i="9"/>
  <c r="H8" i="9"/>
  <c r="I8" i="9"/>
  <c r="J8" i="9"/>
  <c r="K8" i="9"/>
  <c r="L8" i="9"/>
  <c r="M8" i="9"/>
  <c r="N8" i="9"/>
  <c r="O8" i="9"/>
  <c r="G9" i="9"/>
  <c r="I9" i="9"/>
  <c r="J9" i="9"/>
  <c r="K9" i="9"/>
  <c r="L9" i="9"/>
  <c r="M9" i="9"/>
  <c r="N9" i="9"/>
  <c r="J9" i="11"/>
  <c r="O9" i="9"/>
  <c r="G10" i="9"/>
  <c r="H10" i="9"/>
  <c r="I10" i="9"/>
  <c r="J10" i="9"/>
  <c r="K10" i="9"/>
  <c r="L10" i="9"/>
  <c r="M10" i="9"/>
  <c r="N10" i="9"/>
  <c r="J10" i="11"/>
  <c r="O10" i="9"/>
  <c r="G11" i="9"/>
  <c r="H11" i="9"/>
  <c r="I11" i="9"/>
  <c r="J11" i="9"/>
  <c r="K11" i="9"/>
  <c r="L11" i="9"/>
  <c r="M11" i="9"/>
  <c r="N11" i="9"/>
  <c r="J11" i="11"/>
  <c r="O11" i="9"/>
  <c r="G12" i="9"/>
  <c r="H12" i="9"/>
  <c r="I12" i="9"/>
  <c r="J12" i="9"/>
  <c r="K12" i="9"/>
  <c r="L12" i="9"/>
  <c r="M12" i="9"/>
  <c r="N12" i="9"/>
  <c r="J12" i="11"/>
  <c r="O12" i="9"/>
  <c r="G13" i="9"/>
  <c r="H13" i="9"/>
  <c r="I13" i="9"/>
  <c r="J13" i="9"/>
  <c r="K13" i="9"/>
  <c r="L13" i="9"/>
  <c r="M13" i="9"/>
  <c r="N13" i="9"/>
  <c r="O13" i="9"/>
  <c r="G14" i="9"/>
  <c r="H14" i="9"/>
  <c r="I14" i="9"/>
  <c r="J14" i="9"/>
  <c r="K14" i="9"/>
  <c r="L14" i="9"/>
  <c r="M14" i="9"/>
  <c r="N14" i="9"/>
  <c r="O14" i="9"/>
  <c r="G15" i="9"/>
  <c r="H15" i="9"/>
  <c r="I15" i="9"/>
  <c r="J15" i="9"/>
  <c r="K15" i="9"/>
  <c r="L15" i="9"/>
  <c r="M15" i="9"/>
  <c r="N15" i="9"/>
  <c r="O15" i="9"/>
  <c r="G16" i="9"/>
  <c r="H16" i="9"/>
  <c r="I16" i="9"/>
  <c r="J16" i="9"/>
  <c r="K16" i="9"/>
  <c r="L16" i="9"/>
  <c r="M16" i="9"/>
  <c r="N16" i="9"/>
  <c r="J16" i="11"/>
  <c r="O16" i="9"/>
  <c r="G17" i="9"/>
  <c r="H17" i="9"/>
  <c r="I17" i="9"/>
  <c r="J17" i="9"/>
  <c r="K17" i="9"/>
  <c r="L17" i="9"/>
  <c r="M17" i="9"/>
  <c r="N17" i="9"/>
  <c r="J17" i="11"/>
  <c r="O17" i="9"/>
  <c r="G18" i="9"/>
  <c r="H18" i="9"/>
  <c r="I18" i="9"/>
  <c r="J18" i="9"/>
  <c r="K18" i="9"/>
  <c r="L18" i="9"/>
  <c r="M18" i="9"/>
  <c r="N18" i="9"/>
  <c r="J18" i="11"/>
  <c r="O18" i="9"/>
  <c r="G19" i="9"/>
  <c r="H19" i="9"/>
  <c r="I19" i="9"/>
  <c r="J19" i="9"/>
  <c r="K19" i="9"/>
  <c r="L19" i="9"/>
  <c r="M19" i="9"/>
  <c r="N19" i="9"/>
  <c r="J19" i="11"/>
  <c r="O19" i="9"/>
  <c r="G21" i="9"/>
  <c r="H21" i="9"/>
  <c r="I21" i="9"/>
  <c r="J21" i="9"/>
  <c r="K21" i="9"/>
  <c r="L21" i="9"/>
  <c r="M21" i="9"/>
  <c r="N21" i="9"/>
  <c r="J21" i="11"/>
  <c r="O21" i="9"/>
  <c r="G22" i="9"/>
  <c r="H22" i="9"/>
  <c r="I22" i="9"/>
  <c r="J22" i="9"/>
  <c r="K22" i="9"/>
  <c r="L22" i="9"/>
  <c r="M22" i="9"/>
  <c r="N22" i="9"/>
  <c r="O22" i="9"/>
  <c r="G23" i="9"/>
  <c r="H23" i="9"/>
  <c r="I23" i="9"/>
  <c r="J23" i="9"/>
  <c r="K23" i="9"/>
  <c r="L23" i="9"/>
  <c r="M23" i="9"/>
  <c r="N23" i="9"/>
  <c r="O23" i="9"/>
  <c r="G24" i="9"/>
  <c r="H24" i="9"/>
  <c r="I24" i="9"/>
  <c r="J24" i="9"/>
  <c r="K24" i="9"/>
  <c r="L24" i="9"/>
  <c r="M24" i="9"/>
  <c r="N24" i="9"/>
  <c r="O24" i="9"/>
  <c r="G25" i="9"/>
  <c r="H25" i="9"/>
  <c r="I25" i="9"/>
  <c r="J25" i="9"/>
  <c r="K25" i="9"/>
  <c r="L25" i="9"/>
  <c r="M25" i="9"/>
  <c r="N25" i="9"/>
  <c r="J25" i="11"/>
  <c r="O25" i="9"/>
  <c r="G27" i="9"/>
  <c r="H27" i="9"/>
  <c r="I27" i="9"/>
  <c r="J27" i="9"/>
  <c r="K27" i="9"/>
  <c r="L27" i="9"/>
  <c r="M27" i="9"/>
  <c r="N27" i="9"/>
  <c r="J27" i="11"/>
  <c r="O27" i="9"/>
  <c r="G31" i="9"/>
  <c r="H31" i="9"/>
  <c r="I31" i="9"/>
  <c r="J31" i="9"/>
  <c r="K31" i="9"/>
  <c r="L31" i="9"/>
  <c r="M31" i="9"/>
  <c r="N31" i="9"/>
  <c r="J28" i="11"/>
  <c r="O31" i="9"/>
  <c r="G32" i="9"/>
  <c r="H32" i="9"/>
  <c r="I32" i="9"/>
  <c r="J32" i="9"/>
  <c r="K32" i="9"/>
  <c r="L32" i="9"/>
  <c r="M32" i="9"/>
  <c r="N32" i="9"/>
  <c r="J29" i="11"/>
  <c r="O32" i="9"/>
  <c r="G34" i="9"/>
  <c r="H34" i="9"/>
  <c r="I34" i="9"/>
  <c r="J34" i="9"/>
  <c r="K34" i="9"/>
  <c r="L34" i="9"/>
  <c r="M34" i="9"/>
  <c r="N34" i="9"/>
  <c r="J31" i="11"/>
  <c r="O34" i="9"/>
  <c r="G35" i="9"/>
  <c r="H35" i="9"/>
  <c r="I35" i="9"/>
  <c r="J35" i="9"/>
  <c r="K35" i="9"/>
  <c r="L35" i="9"/>
  <c r="M35" i="9"/>
  <c r="N35" i="9"/>
  <c r="J32" i="11"/>
  <c r="O35" i="9"/>
  <c r="J2" i="11"/>
  <c r="O2" i="9"/>
  <c r="N2" i="9"/>
  <c r="M2" i="9"/>
  <c r="L2" i="9"/>
  <c r="K2" i="9"/>
  <c r="J2" i="9"/>
  <c r="I2" i="9"/>
  <c r="H2" i="9"/>
  <c r="G2" i="9"/>
  <c r="E35" i="9"/>
  <c r="D35" i="9"/>
  <c r="A35" i="9"/>
  <c r="D3" i="9"/>
  <c r="D4" i="9"/>
  <c r="E4" i="9"/>
  <c r="D5" i="9"/>
  <c r="D6" i="9"/>
  <c r="E6" i="9"/>
  <c r="D7" i="9"/>
  <c r="D8" i="9"/>
  <c r="E8" i="9"/>
  <c r="D9" i="9"/>
  <c r="D10" i="9"/>
  <c r="D11" i="9"/>
  <c r="D12" i="9"/>
  <c r="D13" i="9"/>
  <c r="E13" i="9"/>
  <c r="D14" i="9"/>
  <c r="E14" i="9"/>
  <c r="D15" i="9"/>
  <c r="D16" i="9"/>
  <c r="E16" i="9"/>
  <c r="D17" i="9"/>
  <c r="D18" i="9"/>
  <c r="E18" i="9"/>
  <c r="D19" i="9"/>
  <c r="D21" i="9"/>
  <c r="E21" i="9"/>
  <c r="D22" i="9"/>
  <c r="E22" i="9"/>
  <c r="D23" i="9"/>
  <c r="E23" i="9"/>
  <c r="D24" i="9"/>
  <c r="E24" i="9"/>
  <c r="D25" i="9"/>
  <c r="D27" i="9"/>
  <c r="E27" i="9"/>
  <c r="D31" i="9"/>
  <c r="E31" i="9"/>
  <c r="D32" i="9"/>
  <c r="E32" i="9"/>
  <c r="D34" i="9"/>
  <c r="D2" i="9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T26" i="10"/>
  <c r="W26" i="10"/>
  <c r="V26" i="10"/>
  <c r="X26" i="10"/>
  <c r="U26" i="10"/>
  <c r="Y26" i="10"/>
  <c r="G26" i="10"/>
  <c r="J26" i="10"/>
  <c r="I26" i="10"/>
  <c r="K26" i="10"/>
  <c r="H26" i="10"/>
  <c r="L26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J34" i="1"/>
  <c r="J35" i="1"/>
  <c r="J36" i="1"/>
  <c r="J37" i="1"/>
  <c r="J38" i="1"/>
  <c r="J39" i="1"/>
  <c r="J40" i="1"/>
  <c r="J41" i="1"/>
  <c r="J42" i="1"/>
  <c r="J43" i="1"/>
  <c r="J33" i="1"/>
  <c r="I34" i="1"/>
  <c r="I35" i="1"/>
  <c r="I36" i="1"/>
  <c r="I37" i="1"/>
  <c r="I38" i="1"/>
  <c r="I39" i="1"/>
  <c r="I40" i="1"/>
  <c r="I41" i="1"/>
  <c r="I42" i="1"/>
  <c r="I43" i="1"/>
  <c r="I33" i="1"/>
  <c r="AB34" i="1"/>
  <c r="AB35" i="1"/>
  <c r="AB36" i="1"/>
  <c r="AB37" i="1"/>
  <c r="AB38" i="1"/>
  <c r="AB39" i="1"/>
  <c r="AB40" i="1"/>
  <c r="AB41" i="1"/>
  <c r="AB42" i="1"/>
  <c r="AB43" i="1"/>
  <c r="AB33" i="1"/>
  <c r="AD43" i="1"/>
  <c r="AG43" i="1"/>
  <c r="AE43" i="1"/>
  <c r="AC43" i="1"/>
  <c r="Q43" i="1"/>
  <c r="P43" i="1"/>
  <c r="O43" i="1"/>
  <c r="N43" i="1"/>
  <c r="M43" i="1"/>
  <c r="D43" i="1"/>
  <c r="F43" i="1"/>
  <c r="E43" i="1"/>
  <c r="A43" i="1"/>
  <c r="A35" i="1"/>
  <c r="D35" i="1"/>
  <c r="E35" i="1"/>
  <c r="F35" i="1"/>
  <c r="M35" i="1"/>
  <c r="N35" i="1"/>
  <c r="O35" i="1"/>
  <c r="P35" i="1"/>
  <c r="Q35" i="1"/>
  <c r="AC35" i="1"/>
  <c r="AD35" i="1"/>
  <c r="AE35" i="1"/>
  <c r="AG35" i="1"/>
  <c r="D10" i="1"/>
  <c r="F10" i="1"/>
  <c r="E10" i="1"/>
  <c r="A10" i="1"/>
  <c r="D9" i="1"/>
  <c r="F9" i="1"/>
  <c r="E9" i="1"/>
  <c r="A9" i="1"/>
  <c r="D8" i="1"/>
  <c r="F8" i="1"/>
  <c r="E8" i="1"/>
  <c r="A8" i="1"/>
  <c r="D7" i="1"/>
  <c r="F7" i="1"/>
  <c r="E7" i="1"/>
  <c r="A7" i="1"/>
  <c r="D4" i="1"/>
  <c r="F4" i="1"/>
  <c r="E4" i="1"/>
  <c r="A4" i="1"/>
  <c r="D20" i="1"/>
  <c r="F20" i="1"/>
  <c r="E20" i="1"/>
  <c r="A20" i="1"/>
  <c r="D19" i="1"/>
  <c r="F19" i="1"/>
  <c r="E19" i="1"/>
  <c r="A19" i="1"/>
  <c r="D18" i="1"/>
  <c r="F18" i="1"/>
  <c r="E18" i="1"/>
  <c r="A18" i="1"/>
  <c r="D17" i="1"/>
  <c r="F17" i="1"/>
  <c r="E17" i="1"/>
  <c r="A17" i="1"/>
  <c r="D14" i="1"/>
  <c r="F14" i="1"/>
  <c r="E14" i="1"/>
  <c r="A14" i="1"/>
  <c r="D31" i="1"/>
  <c r="F31" i="1"/>
  <c r="E31" i="1"/>
  <c r="A31" i="1"/>
  <c r="D29" i="1"/>
  <c r="F29" i="1"/>
  <c r="E29" i="1"/>
  <c r="A29" i="1"/>
  <c r="D26" i="1"/>
  <c r="F26" i="1"/>
  <c r="E26" i="1"/>
  <c r="A26" i="1"/>
  <c r="D27" i="1"/>
  <c r="F27" i="1"/>
  <c r="E27" i="1"/>
  <c r="A27" i="1"/>
  <c r="D24" i="1"/>
  <c r="F24" i="1"/>
  <c r="E24" i="1"/>
  <c r="A24" i="1"/>
  <c r="AD41" i="1"/>
  <c r="AG41" i="1"/>
  <c r="AE41" i="1"/>
  <c r="AC41" i="1"/>
  <c r="Q41" i="1"/>
  <c r="P41" i="1"/>
  <c r="O41" i="1"/>
  <c r="N41" i="1"/>
  <c r="M41" i="1"/>
  <c r="D41" i="1"/>
  <c r="F41" i="1"/>
  <c r="E41" i="1"/>
  <c r="A41" i="1"/>
  <c r="AD38" i="1"/>
  <c r="AG38" i="1"/>
  <c r="AE38" i="1"/>
  <c r="AC38" i="1"/>
  <c r="Q38" i="1"/>
  <c r="P38" i="1"/>
  <c r="O38" i="1"/>
  <c r="N38" i="1"/>
  <c r="M38" i="1"/>
  <c r="D38" i="1"/>
  <c r="F38" i="1"/>
  <c r="E38" i="1"/>
  <c r="A38" i="1"/>
  <c r="AD37" i="1"/>
  <c r="AG37" i="1"/>
  <c r="AE37" i="1"/>
  <c r="AC37" i="1"/>
  <c r="Q37" i="1"/>
  <c r="P37" i="1"/>
  <c r="O37" i="1"/>
  <c r="N37" i="1"/>
  <c r="M37" i="1"/>
  <c r="D37" i="1"/>
  <c r="F37" i="1"/>
  <c r="E37" i="1"/>
  <c r="A37" i="1"/>
  <c r="AD42" i="1"/>
  <c r="AG42" i="1"/>
  <c r="AE42" i="1"/>
  <c r="AC42" i="1"/>
  <c r="Q42" i="1"/>
  <c r="P42" i="1"/>
  <c r="O42" i="1"/>
  <c r="N42" i="1"/>
  <c r="M42" i="1"/>
  <c r="D42" i="1"/>
  <c r="F42" i="1"/>
  <c r="E42" i="1"/>
  <c r="A42" i="1"/>
  <c r="AD40" i="1"/>
  <c r="AG40" i="1"/>
  <c r="AE40" i="1"/>
  <c r="AC40" i="1"/>
  <c r="Q40" i="1"/>
  <c r="P40" i="1"/>
  <c r="O40" i="1"/>
  <c r="N40" i="1"/>
  <c r="M40" i="1"/>
  <c r="D40" i="1"/>
  <c r="F40" i="1"/>
  <c r="E40" i="1"/>
  <c r="A40" i="1"/>
  <c r="AD39" i="1"/>
  <c r="AG39" i="1"/>
  <c r="AE39" i="1"/>
  <c r="AC39" i="1"/>
  <c r="Q39" i="1"/>
  <c r="P39" i="1"/>
  <c r="O39" i="1"/>
  <c r="N39" i="1"/>
  <c r="M39" i="1"/>
  <c r="D39" i="1"/>
  <c r="F39" i="1"/>
  <c r="E39" i="1"/>
  <c r="A39" i="1"/>
  <c r="AD36" i="1"/>
  <c r="AG36" i="1"/>
  <c r="AE36" i="1"/>
  <c r="AC36" i="1"/>
  <c r="Q36" i="1"/>
  <c r="P36" i="1"/>
  <c r="O36" i="1"/>
  <c r="N36" i="1"/>
  <c r="M36" i="1"/>
  <c r="D36" i="1"/>
  <c r="F36" i="1"/>
  <c r="E36" i="1"/>
  <c r="A36" i="1"/>
  <c r="AD34" i="1"/>
  <c r="AG34" i="1"/>
  <c r="AE34" i="1"/>
  <c r="AC34" i="1"/>
  <c r="Q34" i="1"/>
  <c r="P34" i="1"/>
  <c r="O34" i="1"/>
  <c r="N34" i="1"/>
  <c r="M34" i="1"/>
  <c r="D34" i="1"/>
  <c r="F34" i="1"/>
  <c r="E34" i="1"/>
  <c r="A34" i="1"/>
  <c r="AD33" i="1"/>
  <c r="AG33" i="1"/>
  <c r="AE33" i="1"/>
  <c r="AC33" i="1"/>
  <c r="Q33" i="1"/>
  <c r="P33" i="1"/>
  <c r="O33" i="1"/>
  <c r="N33" i="1"/>
  <c r="M33" i="1"/>
  <c r="D33" i="1"/>
  <c r="F33" i="1"/>
  <c r="E33" i="1"/>
  <c r="A33" i="1"/>
  <c r="D32" i="1"/>
  <c r="F32" i="1"/>
  <c r="E32" i="1"/>
  <c r="A32" i="1"/>
  <c r="D30" i="1"/>
  <c r="F30" i="1"/>
  <c r="E30" i="1"/>
  <c r="A30" i="1"/>
  <c r="D28" i="1"/>
  <c r="F28" i="1"/>
  <c r="E28" i="1"/>
  <c r="A28" i="1"/>
  <c r="D25" i="1"/>
  <c r="F25" i="1"/>
  <c r="E25" i="1"/>
  <c r="A25" i="1"/>
  <c r="D23" i="1"/>
  <c r="F23" i="1"/>
  <c r="E23" i="1"/>
  <c r="A23" i="1"/>
  <c r="D22" i="1"/>
  <c r="F22" i="1"/>
  <c r="E22" i="1"/>
  <c r="A22" i="1"/>
  <c r="D21" i="1"/>
  <c r="F21" i="1"/>
  <c r="E21" i="1"/>
  <c r="A21" i="1"/>
  <c r="D16" i="1"/>
  <c r="F16" i="1"/>
  <c r="E16" i="1"/>
  <c r="A16" i="1"/>
  <c r="D15" i="1"/>
  <c r="F15" i="1"/>
  <c r="E15" i="1"/>
  <c r="A15" i="1"/>
  <c r="D13" i="1"/>
  <c r="F13" i="1"/>
  <c r="E13" i="1"/>
  <c r="A13" i="1"/>
  <c r="D12" i="1"/>
  <c r="F12" i="1"/>
  <c r="E12" i="1"/>
  <c r="A12" i="1"/>
  <c r="D11" i="1"/>
  <c r="F11" i="1"/>
  <c r="E11" i="1"/>
  <c r="A11" i="1"/>
  <c r="D6" i="1"/>
  <c r="F6" i="1"/>
  <c r="E6" i="1"/>
  <c r="A6" i="1"/>
  <c r="D5" i="1"/>
  <c r="F5" i="1"/>
  <c r="E5" i="1"/>
  <c r="A5" i="1"/>
  <c r="D3" i="1"/>
  <c r="F3" i="1"/>
  <c r="E3" i="1"/>
  <c r="A3" i="1"/>
  <c r="D2" i="1"/>
  <c r="F2" i="1"/>
  <c r="E2" i="1"/>
  <c r="A2" i="1"/>
  <c r="A34" i="9"/>
  <c r="A32" i="9"/>
  <c r="A31" i="9"/>
  <c r="A27" i="9"/>
  <c r="A25" i="9"/>
  <c r="A24" i="9"/>
  <c r="A23" i="9"/>
  <c r="A22" i="9"/>
  <c r="A21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2" i="9"/>
  <c r="G2" i="10"/>
  <c r="H2" i="10"/>
  <c r="I2" i="10"/>
  <c r="J2" i="10"/>
  <c r="K2" i="10"/>
  <c r="L2" i="10"/>
  <c r="M2" i="10"/>
  <c r="M15" i="10"/>
  <c r="N15" i="10"/>
  <c r="Q15" i="10"/>
  <c r="P15" i="10"/>
  <c r="R15" i="10"/>
  <c r="O15" i="10"/>
  <c r="S15" i="10"/>
  <c r="N2" i="10"/>
  <c r="O2" i="10"/>
  <c r="P2" i="10"/>
  <c r="Q2" i="10"/>
  <c r="R2" i="10"/>
  <c r="S2" i="10"/>
  <c r="T2" i="10"/>
  <c r="U2" i="10"/>
  <c r="V2" i="10"/>
  <c r="W2" i="10"/>
  <c r="X2" i="10"/>
  <c r="Y2" i="10"/>
  <c r="G3" i="10"/>
  <c r="H3" i="10"/>
  <c r="I3" i="10"/>
  <c r="J3" i="10"/>
  <c r="K3" i="10"/>
  <c r="L3" i="10"/>
  <c r="M3" i="10"/>
  <c r="M16" i="10"/>
  <c r="N16" i="10"/>
  <c r="Q16" i="10"/>
  <c r="P16" i="10"/>
  <c r="R16" i="10"/>
  <c r="O16" i="10"/>
  <c r="S16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M18" i="10"/>
  <c r="N18" i="10"/>
  <c r="Q18" i="10"/>
  <c r="P18" i="10"/>
  <c r="R18" i="10"/>
  <c r="O18" i="10"/>
  <c r="S18" i="10"/>
  <c r="N8" i="10"/>
  <c r="O8" i="10"/>
  <c r="P8" i="10"/>
  <c r="Q8" i="10"/>
  <c r="R8" i="10"/>
  <c r="S8" i="10"/>
  <c r="T8" i="10"/>
  <c r="U8" i="10"/>
  <c r="V8" i="10"/>
  <c r="W8" i="10"/>
  <c r="X8" i="10"/>
  <c r="Y8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M12" i="10"/>
  <c r="M19" i="10"/>
  <c r="N19" i="10"/>
  <c r="Q19" i="10"/>
  <c r="P19" i="10"/>
  <c r="R19" i="10"/>
  <c r="O19" i="10"/>
  <c r="S19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M13" i="10"/>
  <c r="M21" i="10"/>
  <c r="N21" i="10"/>
  <c r="Q21" i="10"/>
  <c r="P21" i="10"/>
  <c r="R21" i="10"/>
  <c r="O21" i="10"/>
  <c r="S21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T16" i="10"/>
  <c r="U16" i="10"/>
  <c r="V16" i="10"/>
  <c r="W16" i="10"/>
  <c r="X16" i="10"/>
  <c r="Y16" i="10"/>
  <c r="G17" i="10"/>
  <c r="H17" i="10"/>
  <c r="I17" i="10"/>
  <c r="J17" i="10"/>
  <c r="K17" i="10"/>
  <c r="L17" i="10"/>
  <c r="T17" i="10"/>
  <c r="U17" i="10"/>
  <c r="V17" i="10"/>
  <c r="W17" i="10"/>
  <c r="X17" i="10"/>
  <c r="Y17" i="10"/>
  <c r="G18" i="10"/>
  <c r="H18" i="10"/>
  <c r="I18" i="10"/>
  <c r="J18" i="10"/>
  <c r="K18" i="10"/>
  <c r="L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T19" i="10"/>
  <c r="U19" i="10"/>
  <c r="V19" i="10"/>
  <c r="W19" i="10"/>
  <c r="X19" i="10"/>
  <c r="Y19" i="10"/>
  <c r="G21" i="10"/>
  <c r="H21" i="10"/>
  <c r="I21" i="10"/>
  <c r="J21" i="10"/>
  <c r="K21" i="10"/>
  <c r="L21" i="10"/>
  <c r="T21" i="10"/>
  <c r="U21" i="10"/>
  <c r="V21" i="10"/>
  <c r="W21" i="10"/>
  <c r="X21" i="10"/>
  <c r="Y21" i="10"/>
  <c r="R5" i="7"/>
  <c r="Q5" i="7"/>
  <c r="P5" i="7"/>
  <c r="O5" i="7"/>
  <c r="N5" i="7"/>
  <c r="D5" i="7"/>
  <c r="F5" i="7"/>
  <c r="E5" i="7"/>
  <c r="A5" i="7"/>
  <c r="R4" i="7"/>
  <c r="Q4" i="7"/>
  <c r="P4" i="7"/>
  <c r="O4" i="7"/>
  <c r="N4" i="7"/>
  <c r="D4" i="7"/>
  <c r="F4" i="7"/>
  <c r="E4" i="7"/>
  <c r="A4" i="7"/>
  <c r="H17" i="2"/>
  <c r="E17" i="2"/>
  <c r="D17" i="2"/>
  <c r="H16" i="2"/>
  <c r="E16" i="2"/>
  <c r="D16" i="2"/>
  <c r="H15" i="2"/>
  <c r="E15" i="2"/>
  <c r="D15" i="2"/>
  <c r="H14" i="2"/>
  <c r="E14" i="2"/>
  <c r="D14" i="2"/>
  <c r="H7" i="2"/>
  <c r="E7" i="2"/>
  <c r="D7" i="2"/>
  <c r="H4" i="2"/>
  <c r="E4" i="2"/>
  <c r="D4" i="2"/>
  <c r="D3" i="2"/>
  <c r="E3" i="2"/>
  <c r="H3" i="2"/>
  <c r="H13" i="2"/>
  <c r="E13" i="2"/>
  <c r="D13" i="2"/>
  <c r="H12" i="2"/>
  <c r="E12" i="2"/>
  <c r="D12" i="2"/>
  <c r="H11" i="2"/>
  <c r="E11" i="2"/>
  <c r="D11" i="2"/>
  <c r="H10" i="2"/>
  <c r="E10" i="2"/>
  <c r="D10" i="2"/>
  <c r="H9" i="2"/>
  <c r="E9" i="2"/>
  <c r="D9" i="2"/>
  <c r="H8" i="2"/>
  <c r="E8" i="2"/>
  <c r="D8" i="2"/>
  <c r="H6" i="2"/>
  <c r="E6" i="2"/>
  <c r="D6" i="2"/>
  <c r="H5" i="2"/>
  <c r="E5" i="2"/>
  <c r="D5" i="2"/>
  <c r="H2" i="2"/>
  <c r="E2" i="2"/>
  <c r="D2" i="2"/>
  <c r="B95" i="19"/>
  <c r="C95" i="19"/>
  <c r="D95" i="19"/>
  <c r="F95" i="19"/>
  <c r="G95" i="19"/>
  <c r="B96" i="19"/>
  <c r="C96" i="19"/>
  <c r="D96" i="19"/>
  <c r="F96" i="19"/>
  <c r="G96" i="19"/>
  <c r="B97" i="19"/>
  <c r="C97" i="19"/>
  <c r="D97" i="19"/>
  <c r="F97" i="19"/>
  <c r="G97" i="19"/>
  <c r="B98" i="19"/>
  <c r="C98" i="19"/>
  <c r="D98" i="19"/>
  <c r="F98" i="19"/>
  <c r="G98" i="19"/>
  <c r="B99" i="19"/>
  <c r="C99" i="19"/>
  <c r="D99" i="19"/>
  <c r="F99" i="19"/>
  <c r="G99" i="19"/>
  <c r="B100" i="19"/>
  <c r="C100" i="19"/>
  <c r="D100" i="19"/>
  <c r="F100" i="19"/>
  <c r="G100" i="19"/>
  <c r="B101" i="19"/>
  <c r="C101" i="19"/>
  <c r="D101" i="19"/>
  <c r="F101" i="19"/>
  <c r="G101" i="19"/>
  <c r="B102" i="19"/>
  <c r="C102" i="19"/>
  <c r="D102" i="19"/>
  <c r="F102" i="19"/>
  <c r="G102" i="19"/>
  <c r="B103" i="19"/>
  <c r="C103" i="19"/>
  <c r="D103" i="19"/>
  <c r="F103" i="19"/>
  <c r="G103" i="19"/>
  <c r="B104" i="19"/>
  <c r="C104" i="19"/>
  <c r="D104" i="19"/>
  <c r="F104" i="19"/>
  <c r="G104" i="19"/>
  <c r="B105" i="19"/>
  <c r="C105" i="19"/>
  <c r="D105" i="19"/>
  <c r="F105" i="19"/>
  <c r="G105" i="19"/>
  <c r="B106" i="19"/>
  <c r="C106" i="19"/>
  <c r="D106" i="19"/>
  <c r="F106" i="19"/>
  <c r="G106" i="19"/>
  <c r="B107" i="19"/>
  <c r="C107" i="19"/>
  <c r="D107" i="19"/>
  <c r="F107" i="19"/>
  <c r="G107" i="19"/>
  <c r="B108" i="19"/>
  <c r="C108" i="19"/>
  <c r="D108" i="19"/>
  <c r="F108" i="19"/>
  <c r="G108" i="19"/>
  <c r="B94" i="19"/>
  <c r="C94" i="19"/>
  <c r="D94" i="19"/>
  <c r="F94" i="19"/>
  <c r="G94" i="19"/>
  <c r="K94" i="19"/>
  <c r="L94" i="19"/>
  <c r="K95" i="19"/>
  <c r="L95" i="19"/>
  <c r="K96" i="19"/>
  <c r="L96" i="19"/>
  <c r="K97" i="19"/>
  <c r="L97" i="19"/>
  <c r="K98" i="19"/>
  <c r="L98" i="19"/>
  <c r="K99" i="19"/>
  <c r="L99" i="19"/>
  <c r="K100" i="19"/>
  <c r="L100" i="19"/>
  <c r="K101" i="19"/>
  <c r="L101" i="19"/>
  <c r="K102" i="19"/>
  <c r="L102" i="19"/>
  <c r="K103" i="19"/>
  <c r="L103" i="19"/>
  <c r="K104" i="19"/>
  <c r="L104" i="19"/>
  <c r="K105" i="19"/>
  <c r="L105" i="19"/>
  <c r="K106" i="19"/>
  <c r="L106" i="19"/>
  <c r="K107" i="19"/>
  <c r="L107" i="19"/>
  <c r="K108" i="19"/>
  <c r="L108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B68" i="19"/>
  <c r="C68" i="19"/>
  <c r="D68" i="19"/>
  <c r="F68" i="19"/>
  <c r="G68" i="19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83" i="19"/>
  <c r="C83" i="19"/>
  <c r="D83" i="19"/>
  <c r="F83" i="19"/>
  <c r="G83" i="19"/>
  <c r="B84" i="19"/>
  <c r="C84" i="19"/>
  <c r="D84" i="19"/>
  <c r="F84" i="19"/>
  <c r="G84" i="19"/>
  <c r="B85" i="19"/>
  <c r="C85" i="19"/>
  <c r="D85" i="19"/>
  <c r="F85" i="19"/>
  <c r="G85" i="19"/>
  <c r="B86" i="19"/>
  <c r="C86" i="19"/>
  <c r="D86" i="19"/>
  <c r="F86" i="19"/>
  <c r="G86" i="19"/>
  <c r="B87" i="19"/>
  <c r="C87" i="19"/>
  <c r="D87" i="19"/>
  <c r="F87" i="19"/>
  <c r="G87" i="19"/>
  <c r="B88" i="19"/>
  <c r="C88" i="19"/>
  <c r="D88" i="19"/>
  <c r="F88" i="19"/>
  <c r="G88" i="19"/>
  <c r="B89" i="19"/>
  <c r="C89" i="19"/>
  <c r="D89" i="19"/>
  <c r="F89" i="19"/>
  <c r="G89" i="19"/>
  <c r="B90" i="19"/>
  <c r="C90" i="19"/>
  <c r="D90" i="19"/>
  <c r="F90" i="19"/>
  <c r="G90" i="19"/>
  <c r="B91" i="19"/>
  <c r="C91" i="19"/>
  <c r="D91" i="19"/>
  <c r="F91" i="19"/>
  <c r="G91" i="19"/>
  <c r="B92" i="19"/>
  <c r="C92" i="19"/>
  <c r="D92" i="19"/>
  <c r="F92" i="19"/>
  <c r="G92" i="19"/>
  <c r="B93" i="19"/>
  <c r="C93" i="19"/>
  <c r="D93" i="19"/>
  <c r="F93" i="19"/>
  <c r="G93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B60" i="19"/>
  <c r="C60" i="19"/>
  <c r="D60" i="19"/>
  <c r="F60" i="19"/>
  <c r="G60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B34" i="19"/>
  <c r="C34" i="19"/>
  <c r="D34" i="19"/>
  <c r="F34" i="19"/>
  <c r="G34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B28" i="19"/>
  <c r="C28" i="19"/>
  <c r="D28" i="19"/>
  <c r="F28" i="19"/>
  <c r="G28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27" i="19"/>
  <c r="L27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" i="19"/>
  <c r="L2" i="19"/>
  <c r="E12" i="16"/>
  <c r="E11" i="16"/>
  <c r="B2" i="19"/>
  <c r="G2" i="19"/>
  <c r="F2" i="19"/>
  <c r="D2" i="19"/>
  <c r="C2" i="19"/>
  <c r="E10" i="16"/>
  <c r="E9" i="16"/>
  <c r="E8" i="16"/>
  <c r="E7" i="16"/>
  <c r="E6" i="16"/>
  <c r="E5" i="16"/>
  <c r="E4" i="16"/>
  <c r="E3" i="16"/>
  <c r="E2" i="16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<sst xmlns="http://schemas.openxmlformats.org/spreadsheetml/2006/main" count="1188" uniqueCount="329">
  <si>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</si>
  <si>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</si>
  <si>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</si>
  <si>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</si>
  <si>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</si>
  <si>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</si>
  <si>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</si>
  <si>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</si>
  <si>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</si>
  <si>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</si>
  <si>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</si>
  <si>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</si>
  <si>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</si>
  <si>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</si>
  <si>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</si>
  <si>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</si>
  <si>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</si>
  <si>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</si>
  <si>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</si>
  <si>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</si>
  <si>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</si>
  <si>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</si>
  <si>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</si>
  <si>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</si>
  <si>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</si>
  <si>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</si>
  <si>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</si>
  <si>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</si>
  <si>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</si>
  <si>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</si>
  <si>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</si>
  <si>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</si>
  <si>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</si>
  <si>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</si>
  <si>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</si>
  <si>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</si>
  <si>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</si>
  <si>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</si>
  <si>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</si>
  <si>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</si>
  <si>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</si>
  <si>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</si>
  <si>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</si>
  <si>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</si>
  <si>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</si>
  <si>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</si>
  <si>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</si>
  <si>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</si>
  <si>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</si>
  <si>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</si>
  <si>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</si>
  <si>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</si>
  <si>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</si>
  <si>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</si>
  <si>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</si>
  <si>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</si>
  <si>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</si>
  <si>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</si>
  <si>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</si>
  <si>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</si>
  <si>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</si>
  <si>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</si>
  <si>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</si>
  <si>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</si>
  <si>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</si>
  <si>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</si>
  <si>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</si>
  <si>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</si>
  <si>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</si>
  <si>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</si>
  <si>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</si>
  <si>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</si>
  <si>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</si>
  <si>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</si>
  <si>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</si>
  <si>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</si>
  <si>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</si>
  <si>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</si>
  <si>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</si>
  <si>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</si>
  <si>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</si>
  <si>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</si>
  <si>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</si>
  <si>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</si>
  <si>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</si>
  <si>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</si>
  <si>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</si>
  <si>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</si>
  <si>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</si>
  <si>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</si>
  <si>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</si>
  <si>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</si>
  <si>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</si>
  <si>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</si>
  <si>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</si>
  <si>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</si>
  <si>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</si>
  <si>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</si>
  <si>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</si>
  <si>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</si>
  <si>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</si>
  <si>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</si>
  <si>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</si>
  <si>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</si>
  <si>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</si>
  <si>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</si>
  <si>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</si>
  <si>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</si>
  <si>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</si>
  <si>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</si>
  <si>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</si>
  <si>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</si>
  <si>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</si>
  <si>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</si>
  <si>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</si>
  <si>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</si>
  <si>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</si>
  <si>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</si>
  <si>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</si>
  <si>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</si>
  <si>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</si>
  <si>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</si>
  <si>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</si>
  <si>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</si>
  <si>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</si>
  <si>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</si>
  <si>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</si>
  <si>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</si>
  <si>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</si>
  <si>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</si>
  <si>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</si>
  <si>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</si>
  <si>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</si>
  <si>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</si>
  <si>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</si>
  <si>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</si>
  <si>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</si>
  <si>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</si>
  <si>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</si>
  <si>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</si>
  <si>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</si>
  <si>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</si>
  <si>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</si>
  <si>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</si>
  <si>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</si>
  <si>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</si>
  <si>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</si>
  <si>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</si>
  <si>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</si>
  <si>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</si>
  <si>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</si>
  <si>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</si>
  <si>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</si>
  <si>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</si>
  <si>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</si>
  <si>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</si>
  <si>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</si>
  <si>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</si>
  <si>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</si>
  <si>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</si>
  <si>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</si>
  <si>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</si>
  <si>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</si>
  <si>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</si>
  <si>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</si>
  <si>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</si>
  <si>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</si>
  <si>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</si>
  <si>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</si>
  <si>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</si>
  <si>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</si>
  <si>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</si>
  <si>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</si>
  <si>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</si>
  <si>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</si>
  <si>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</si>
  <si>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</si>
  <si>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</si>
  <si>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</si>
  <si>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</si>
  <si>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</si>
  <si>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</si>
  <si>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</si>
  <si>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</si>
  <si>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</si>
  <si>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</si>
  <si>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</si>
  <si>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</si>
  <si>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</si>
  <si>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</si>
  <si>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</si>
  <si>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</si>
  <si>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</si>
  <si>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</si>
  <si>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</si>
  <si>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</si>
  <si>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</si>
  <si>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</si>
  <si>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</si>
  <si>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</si>
  <si>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</si>
  <si>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</si>
  <si>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</si>
  <si>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</si>
  <si>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</si>
  <si>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</si>
  <si>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</si>
  <si>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</si>
  <si>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</si>
  <si>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</si>
  <si>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</si>
  <si>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</si>
  <si>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</si>
  <si>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null</t>
    <phoneticPr fontId="5"/>
  </si>
  <si>
    <t>ja</t>
    <phoneticPr fontId="5"/>
  </si>
  <si>
    <t>ja</t>
    <phoneticPr fontId="5"/>
  </si>
  <si>
    <t>ja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</si>
  <si>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</si>
  <si>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</si>
  <si>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</si>
  <si>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</si>
  <si>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</si>
  <si>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</si>
  <si>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</si>
  <si>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</si>
  <si>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</si>
  <si>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</si>
  <si>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回復</t>
    <phoneticPr fontId="5"/>
  </si>
  <si>
    <t>ナビ・タイム</t>
    <phoneticPr fontId="5"/>
  </si>
  <si>
    <t>[effect:freq_turn, target:enemy_all, turn:3, val:1, animation:enemy_freq_turn]</t>
    <phoneticPr fontId="5"/>
  </si>
  <si>
    <t>3ターン攻撃頻度が1ターンにUP</t>
    <phoneticPr fontId="5"/>
  </si>
  <si>
    <t>ブリザード</t>
    <phoneticPr fontId="5"/>
  </si>
  <si>
    <t>メガヒール</t>
    <phoneticPr fontId="5"/>
  </si>
  <si>
    <t>大回復</t>
    <rPh sb="0" eb="1">
      <t>ダ</t>
    </rPh>
    <phoneticPr fontId="5"/>
  </si>
  <si>
    <t>[effect:heal, target:enemy_all, val:0.4, animation:enemy_heal]</t>
    <phoneticPr fontId="5"/>
  </si>
  <si>
    <t>ヒール</t>
    <phoneticPr fontId="5"/>
  </si>
  <si>
    <t>フロストノヴァ</t>
    <phoneticPr fontId="5"/>
  </si>
  <si>
    <t>青剛の力</t>
    <rPh sb="0" eb="2">
      <t>セイg</t>
    </rPh>
    <rPh sb="3" eb="4">
      <t>チカr</t>
    </rPh>
    <phoneticPr fontId="5"/>
  </si>
  <si>
    <t>ターミネーター</t>
    <phoneticPr fontId="5"/>
  </si>
  <si>
    <t>記憶を穿つ秘剣</t>
    <rPh sb="0" eb="7">
      <t>キオk</t>
    </rPh>
    <phoneticPr fontId="5"/>
  </si>
  <si>
    <t>緊縛</t>
    <rPh sb="0" eb="2">
      <t>キン</t>
    </rPh>
    <phoneticPr fontId="5"/>
  </si>
  <si>
    <t>2連続攻撃&amp;単体にスキルバインド！</t>
    <rPh sb="1" eb="5">
      <t>レン</t>
    </rPh>
    <rPh sb="6" eb="9">
      <t>タンタ</t>
    </rPh>
    <phoneticPr fontId="5"/>
  </si>
  <si>
    <t>全体攻撃</t>
    <phoneticPr fontId="5"/>
  </si>
  <si>
    <t>null</t>
    <phoneticPr fontId="5"/>
  </si>
  <si>
    <t>null</t>
    <phoneticPr fontId="5"/>
  </si>
  <si>
    <t>全体攻撃&amp;青パネルをプロテクト状態にする！</t>
    <rPh sb="0" eb="4">
      <t>ゼン</t>
    </rPh>
    <rPh sb="5" eb="10">
      <t>アオパネr</t>
    </rPh>
    <rPh sb="15" eb="20">
      <t>ジョ</t>
    </rPh>
    <phoneticPr fontId="5"/>
  </si>
  <si>
    <t>ファナティック・ウェイブ</t>
    <phoneticPr fontId="5"/>
  </si>
  <si>
    <t>全体攻撃</t>
    <rPh sb="0" eb="4">
      <t>ゼンタ</t>
    </rPh>
    <phoneticPr fontId="5"/>
  </si>
  <si>
    <t>オキシゲン・デストロイ</t>
    <phoneticPr fontId="5"/>
  </si>
  <si>
    <t>全体に固定ダメージ！</t>
    <rPh sb="0" eb="3">
      <t>ゼン</t>
    </rPh>
    <rPh sb="3" eb="9">
      <t>コテ</t>
    </rPh>
    <phoneticPr fontId="5"/>
  </si>
  <si>
    <t>[effect:degrade_unit, target:unit_all, turn:3, status:action, val:1, calc:add, animation:enemy_tap_down]</t>
    <phoneticPr fontId="5"/>
  </si>
  <si>
    <t>3ターンパネルタップ回数を1減少</t>
    <phoneticPr fontId="5"/>
  </si>
  <si>
    <t>傀儡の茶会</t>
    <rPh sb="0" eb="2">
      <t>クg</t>
    </rPh>
    <rPh sb="2" eb="5">
      <t>センk</t>
    </rPh>
    <phoneticPr fontId="5"/>
  </si>
  <si>
    <t>ちゃっかり吸血</t>
    <rPh sb="5" eb="7">
      <t>9ケt</t>
    </rPh>
    <phoneticPr fontId="5"/>
  </si>
  <si>
    <t>単体攻撃&amp;敵一体のHP回復</t>
    <rPh sb="0" eb="4">
      <t>タンタ</t>
    </rPh>
    <rPh sb="5" eb="9">
      <t>テk</t>
    </rPh>
    <rPh sb="11" eb="13">
      <t>カ</t>
    </rPh>
    <phoneticPr fontId="5"/>
  </si>
  <si>
    <t>[effect:dark, target:unit_all, turn:1, animation:enemy_dark]</t>
    <phoneticPr fontId="5"/>
  </si>
  <si>
    <t>1ターンパネルの色が分からなくなる !</t>
    <phoneticPr fontId="5"/>
  </si>
  <si>
    <t>煙幕弾</t>
    <phoneticPr fontId="5"/>
  </si>
  <si>
    <t>三千世界</t>
    <rPh sb="0" eb="4">
      <t>3000セカ</t>
    </rPh>
    <phoneticPr fontId="5"/>
  </si>
  <si>
    <t>3回連続攻撃</t>
    <phoneticPr fontId="5"/>
  </si>
  <si>
    <t>[effect:change_panel_ratio, turn:-1, block_type:blue, val:0.8, animation:block_incidence04]</t>
    <phoneticPr fontId="5"/>
  </si>
  <si>
    <t>先輩、相談したいことがあります</t>
    <rPh sb="0" eb="2">
      <t>センパ</t>
    </rPh>
    <rPh sb="3" eb="15">
      <t>ソウダン</t>
    </rPh>
    <phoneticPr fontId="5"/>
  </si>
  <si>
    <t>青パネルの出現率大UP</t>
    <phoneticPr fontId="5"/>
  </si>
  <si>
    <t>黄パネルを青パネルに変換&amp;単体攻撃</t>
    <rPh sb="13" eb="17">
      <t>タンタイk</t>
    </rPh>
    <phoneticPr fontId="5"/>
  </si>
  <si>
    <t>マシンブレイカー</t>
    <phoneticPr fontId="5"/>
  </si>
  <si>
    <t>[effect:damage_anti_tribe, target:unit_one, tribe:machine, val1:2, val2:1]</t>
    <phoneticPr fontId="5"/>
  </si>
  <si>
    <t>この、僕の血に濡れた紙が契約書だ…</t>
    <phoneticPr fontId="5"/>
  </si>
  <si>
    <t>今日から帝人先輩は…僕たちのリーダーですよ</t>
    <phoneticPr fontId="5"/>
  </si>
  <si>
    <t>old</t>
    <phoneticPr fontId="5"/>
  </si>
  <si>
    <t>[effect:enhance_enemy, target:enemy_all, turn:3, status:attack, val:0.2, animation:enemy_enhance_attack]</t>
    <phoneticPr fontId="5"/>
  </si>
  <si>
    <t>敵全体の攻撃力UP</t>
    <rPh sb="0" eb="4">
      <t>テk</t>
    </rPh>
    <phoneticPr fontId="5"/>
  </si>
  <si>
    <t>フリーズドライ</t>
    <phoneticPr fontId="5"/>
  </si>
  <si>
    <t>アイスエイジ</t>
    <phoneticPr fontId="5"/>
  </si>
  <si>
    <t>全体攻撃</t>
    <rPh sb="0" eb="4">
      <t>ゼン</t>
    </rPh>
    <phoneticPr fontId="5"/>
  </si>
  <si>
    <t>単体に大ダメージ！</t>
    <phoneticPr fontId="5"/>
  </si>
  <si>
    <t>[effect:spread, val:0.15],[effect:spread, val:0.15]</t>
    <phoneticPr fontId="5"/>
  </si>
  <si>
    <t>[effect:dis_panel, target:block_blue, turn:-1, animation:enemy_dis_blue],[effect:suicide, val:1, dead_type:escape, target:enemy_animal]</t>
    <phoneticPr fontId="5"/>
  </si>
  <si>
    <t>[effect:dis_panel, target:block_blue, turn:-1, animation:enemy_dis_blue],[effect:suicide, val:1, dead_type:escape, target:enemy_animal]</t>
    <phoneticPr fontId="5"/>
  </si>
  <si>
    <t>[effect:spread, val:0.3]</t>
    <phoneticPr fontId="5"/>
  </si>
  <si>
    <t>[effect:heal, target:enemy_all, val:0.2, animation:enemy_heal]</t>
    <phoneticPr fontId="5"/>
  </si>
  <si>
    <t>[effect:change_block, new_block:block_blue, target:block_yellow, count:8, val:0, animation:change_block],[effect:critical, val:1]</t>
    <phoneticPr fontId="5"/>
  </si>
  <si>
    <t>[effect:rush, count:4, val:0.3]</t>
    <phoneticPr fontId="5"/>
  </si>
  <si>
    <t>[effect:rush, count:2, val:0.6]</t>
    <phoneticPr fontId="5"/>
  </si>
  <si>
    <t>フルボッコ</t>
    <phoneticPr fontId="5"/>
  </si>
  <si>
    <t>2回連続攻撃</t>
    <phoneticPr fontId="5"/>
  </si>
  <si>
    <t>4回連続攻撃</t>
    <phoneticPr fontId="5"/>
  </si>
  <si>
    <t>[effect:enemy_message, val1:4, val2:4, dead_type:suicide]</t>
    <phoneticPr fontId="5"/>
  </si>
  <si>
    <t>[effect:spread, val:0.3],[effect:hungup, target:unit_all, turn:4, rate:1, animation:hungup01]</t>
    <phoneticPr fontId="5"/>
  </si>
  <si>
    <t>[effect:rush, count:3, val:0.4]</t>
    <phoneticPr fontId="5"/>
  </si>
  <si>
    <t>[effect:critical, val:1],[effect:heal, target:enemy_one, val:0.2, animation:enemy_heal]</t>
    <phoneticPr fontId="5"/>
  </si>
  <si>
    <t>[effect:critical, val:1.3]</t>
    <phoneticPr fontId="5"/>
  </si>
  <si>
    <t>[effect:rush, count:2, val:0.5],[effect:hungup, target:unit_one, turn:2, rate:1, animation:hungup01]</t>
    <phoneticPr fontId="5"/>
  </si>
  <si>
    <t>[effect:break_attack, val:0.06, lowest_val:0.2, count:-1, block:crash, target:unit_all]</t>
    <phoneticPr fontId="5"/>
  </si>
  <si>
    <t>[effect:spread, val:0.13],[effect:panel_freeze, target:block_blue, count:-1]</t>
    <phoneticPr fontId="5"/>
  </si>
  <si>
    <t>null</t>
    <phoneticPr fontId="5"/>
  </si>
  <si>
    <t>これならどうですか？</t>
  </si>
  <si>
    <t>さすがですね！</t>
  </si>
  <si>
    <t>まだまだ行きますよ？</t>
  </si>
  <si>
    <t>少し黙ってください</t>
    <phoneticPr fontId="5"/>
  </si>
  <si>
    <t>先輩以外に興味はないんです</t>
    <phoneticPr fontId="5"/>
  </si>
  <si>
    <t>　　僕らブルースクウェアの
リーダーになって欲しいんですよ</t>
    <phoneticPr fontId="5"/>
  </si>
  <si>
    <t>このチーム名の由来を知ってますか？</t>
    <phoneticPr fontId="5"/>
  </si>
  <si>
    <t>全体攻撃</t>
    <rPh sb="0" eb="2">
      <t>ゼン</t>
    </rPh>
    <rPh sb="2" eb="4">
      <t>コウゲk</t>
    </rPh>
    <phoneticPr fontId="5"/>
  </si>
  <si>
    <t>[effect:spread, val:0.36]</t>
    <phoneticPr fontId="5"/>
  </si>
  <si>
    <t>[effect:break_attack, val:0.044, lowest_val:0.2, count:8, block:block_blue, target:unit_all]</t>
    <phoneticPr fontId="5"/>
  </si>
  <si>
    <t>[effect:spread, val:0.3]</t>
    <phoneticPr fontId="5"/>
  </si>
  <si>
    <t>[effect:damage_fix_absolute, target:enemy_all, val:2222]</t>
    <phoneticPr fontId="5"/>
  </si>
  <si>
    <t>null</t>
    <phoneticPr fontId="5"/>
  </si>
  <si>
    <t>link</t>
    <phoneticPr fontId="5"/>
  </si>
  <si>
    <t>unit</t>
    <phoneticPr fontId="5"/>
  </si>
  <si>
    <t>unit</t>
    <phoneticPr fontId="5"/>
  </si>
  <si>
    <t>null</t>
    <phoneticPr fontId="5"/>
  </si>
  <si>
    <t>link</t>
    <phoneticPr fontId="5"/>
  </si>
  <si>
    <t>unit</t>
    <phoneticPr fontId="5"/>
  </si>
  <si>
    <t>2970-01-01 09:00:00</t>
    <phoneticPr fontId="5"/>
  </si>
  <si>
    <t>2970-01-01 09:00:00</t>
    <phoneticPr fontId="5"/>
  </si>
  <si>
    <t>全ての敵の攻撃が重なると非常に危険です
最初にスキルやフィーバーを使い敵の数を
なるべく減らしましょう</t>
    <phoneticPr fontId="5"/>
  </si>
  <si>
    <t>フォルネウスは主に全体攻撃をしてきます
高火力のスキルを使い早めに撃退するか
防御力UPのスキルを使って対処しましょう</t>
    <phoneticPr fontId="5"/>
  </si>
  <si>
    <t>リムは初回行動時に敵全体の行動頻度を
1ターンに上げるスキルを使ってきます
集中攻撃をしてリムを早めに撃退しましょう</t>
    <phoneticPr fontId="5"/>
  </si>
  <si>
    <t>黒沼青葉は2ゲージ目になると青パネルでの
攻撃を制限するスキルを使ってきます
青パネル変換スキル等で対処しましょう</t>
    <phoneticPr fontId="5"/>
  </si>
  <si>
    <t>この戦闘の間青パネル無効</t>
  </si>
  <si>
    <t>マシン種族のユニットに大ダメージ！</t>
    <rPh sb="3" eb="5">
      <t>シュゾク</t>
    </rPh>
    <phoneticPr fontId="5"/>
  </si>
  <si>
    <t>青パネル吸収攻撃</t>
    <rPh sb="4" eb="6">
      <t>キュウシュウ</t>
    </rPh>
    <phoneticPr fontId="5"/>
  </si>
  <si>
    <t>Cパネル吸収攻撃</t>
    <rPh sb="4" eb="6">
      <t>キュウシュウ</t>
    </rPh>
    <phoneticPr fontId="5"/>
  </si>
  <si>
    <t>ダックスはマシン種族への大ダメージ攻撃
をしてくるので　マシン種族のユニットを
連れて行かないようにしましょう</t>
    <phoneticPr fontId="5"/>
  </si>
  <si>
    <t>全体攻撃&amp;4ターン全ユニットスキルバインド状態</t>
    <rPh sb="0" eb="4">
      <t>ゼン</t>
    </rPh>
    <rPh sb="9" eb="10">
      <t>ゼン</t>
    </rPh>
    <rPh sb="10" eb="14">
      <t>ゼン</t>
    </rPh>
    <rPh sb="21" eb="23">
      <t>ジョ</t>
    </rPh>
    <phoneticPr fontId="5"/>
  </si>
  <si>
    <t>old</t>
  </si>
  <si>
    <t>old</t>
    <phoneticPr fontId="7"/>
  </si>
  <si>
    <t>valid_flg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</si>
</sst>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9.75"/>
      <color rgb="FF000000"/>
      <name val="ＭＳ Ｐゴシック"/>
      <family val="2"/>
      <charset val="128"/>
    </font>
  </fonts>
  <fills count="4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5" tint="-0.249977111117893"/>
        <bgColor indexed="64"/>
      </patternFill>
    </fill>
  </fills>
  <borders count="3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</borders>
  <cellStyleXfs count="88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44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26" fillId="0" borderId="0" xfId="0" applyFont="1"/>
    <xf numFmtId="0" fontId="12" fillId="7" borderId="23" xfId="0" applyFont="1" applyFill="1" applyBorder="1" applyAlignment="1">
      <alignment vertical="center"/>
    </xf>
    <xf numFmtId="0" fontId="12" fillId="7" borderId="24" xfId="0" applyFont="1" applyFill="1" applyBorder="1" applyAlignment="1">
      <alignment vertical="center"/>
    </xf>
    <xf numFmtId="0" fontId="4" fillId="0" borderId="25" xfId="0" applyFont="1" applyFill="1" applyBorder="1" applyAlignment="1">
      <alignment vertical="center"/>
    </xf>
    <xf numFmtId="0" fontId="6" fillId="5" borderId="25" xfId="0" applyFont="1" applyFill="1" applyBorder="1" applyAlignment="1">
      <alignment vertical="center"/>
    </xf>
    <xf numFmtId="0" fontId="4" fillId="0" borderId="25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vertical="center"/>
    </xf>
    <xf numFmtId="0" fontId="4" fillId="3" borderId="25" xfId="0" applyFont="1" applyFill="1" applyBorder="1" applyAlignment="1">
      <alignment horizontal="center" vertical="center"/>
    </xf>
    <xf numFmtId="0" fontId="6" fillId="0" borderId="25" xfId="0" applyFont="1" applyFill="1" applyBorder="1" applyAlignment="1">
      <alignment vertical="center"/>
    </xf>
    <xf numFmtId="0" fontId="6" fillId="0" borderId="26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6" fillId="0" borderId="27" xfId="0" applyFont="1" applyFill="1" applyBorder="1" applyAlignment="1">
      <alignment vertical="center"/>
    </xf>
    <xf numFmtId="0" fontId="4" fillId="0" borderId="28" xfId="0" applyFont="1" applyFill="1" applyBorder="1" applyAlignment="1">
      <alignment vertical="center"/>
    </xf>
    <xf numFmtId="0" fontId="6" fillId="5" borderId="28" xfId="0" applyFont="1" applyFill="1" applyBorder="1" applyAlignment="1">
      <alignment vertical="center"/>
    </xf>
    <xf numFmtId="0" fontId="4" fillId="0" borderId="28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vertical="center"/>
    </xf>
    <xf numFmtId="0" fontId="4" fillId="3" borderId="28" xfId="0" applyFont="1" applyFill="1" applyBorder="1" applyAlignment="1">
      <alignment horizontal="center" vertical="center"/>
    </xf>
    <xf numFmtId="0" fontId="6" fillId="0" borderId="28" xfId="0" applyFont="1" applyFill="1" applyBorder="1" applyAlignment="1">
      <alignment vertical="center"/>
    </xf>
    <xf numFmtId="0" fontId="6" fillId="0" borderId="29" xfId="0" applyFont="1" applyFill="1" applyBorder="1" applyAlignment="1">
      <alignment vertical="center"/>
    </xf>
    <xf numFmtId="0" fontId="12" fillId="7" borderId="30" xfId="0" applyFont="1" applyFill="1" applyBorder="1" applyAlignment="1">
      <alignment vertical="center"/>
    </xf>
    <xf numFmtId="0" fontId="4" fillId="0" borderId="12" xfId="0" applyFont="1" applyFill="1" applyBorder="1" applyAlignment="1">
      <alignment vertical="center"/>
    </xf>
    <xf numFmtId="0" fontId="6" fillId="5" borderId="12" xfId="0" applyFont="1" applyFill="1" applyBorder="1" applyAlignment="1">
      <alignment vertical="center"/>
    </xf>
    <xf numFmtId="0" fontId="4" fillId="0" borderId="12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vertical="center"/>
    </xf>
    <xf numFmtId="0" fontId="4" fillId="3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6" fillId="0" borderId="31" xfId="0" applyFont="1" applyFill="1" applyBorder="1" applyAlignment="1">
      <alignment vertical="center"/>
    </xf>
    <xf numFmtId="0" fontId="12" fillId="7" borderId="32" xfId="0" applyFont="1" applyFill="1" applyBorder="1" applyAlignment="1">
      <alignment vertical="center"/>
    </xf>
    <xf numFmtId="0" fontId="4" fillId="6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4" fillId="31" borderId="7" xfId="0" applyFont="1" applyFill="1" applyBorder="1" applyAlignment="1">
      <alignment horizontal="center" vertical="center"/>
    </xf>
    <xf numFmtId="0" fontId="4" fillId="33" borderId="7" xfId="0" applyFont="1" applyFill="1" applyBorder="1" applyAlignment="1">
      <alignment horizontal="center" vertical="center"/>
    </xf>
    <xf numFmtId="177" fontId="8" fillId="34" borderId="4" xfId="0" applyNumberFormat="1" applyFont="1" applyFill="1" applyBorder="1" applyAlignment="1">
      <alignment vertical="center"/>
    </xf>
    <xf numFmtId="0" fontId="6" fillId="35" borderId="3" xfId="0" applyFont="1" applyFill="1" applyBorder="1" applyAlignment="1">
      <alignment vertical="center"/>
    </xf>
    <xf numFmtId="0" fontId="6" fillId="35" borderId="11" xfId="0" applyFont="1" applyFill="1" applyBorder="1" applyAlignment="1">
      <alignment vertical="center"/>
    </xf>
    <xf numFmtId="0" fontId="16" fillId="0" borderId="7" xfId="0" applyFont="1" applyFill="1" applyBorder="1" applyAlignment="1">
      <alignment vertical="center" wrapText="1"/>
    </xf>
    <xf numFmtId="0" fontId="11" fillId="0" borderId="10" xfId="0" applyFont="1" applyBorder="1" applyAlignment="1">
      <alignment vertical="center"/>
    </xf>
    <xf numFmtId="176" fontId="4" fillId="34" borderId="3" xfId="0" applyNumberFormat="1" applyFont="1" applyFill="1" applyBorder="1" applyAlignment="1">
      <alignment horizontal="center" vertical="center"/>
    </xf>
    <xf numFmtId="0" fontId="6" fillId="35" borderId="9" xfId="0" applyFont="1" applyFill="1" applyBorder="1" applyAlignment="1">
      <alignment vertical="center"/>
    </xf>
    <xf numFmtId="0" fontId="6" fillId="13" borderId="3" xfId="0" applyFont="1" applyFill="1" applyBorder="1" applyAlignment="1">
      <alignment vertical="center"/>
    </xf>
    <xf numFmtId="0" fontId="4" fillId="32" borderId="7" xfId="0" applyFont="1" applyFill="1" applyBorder="1" applyAlignment="1">
      <alignment horizontal="center" vertical="center"/>
    </xf>
    <xf numFmtId="0" fontId="4" fillId="36" borderId="7" xfId="0" applyFont="1" applyFill="1" applyBorder="1" applyAlignment="1">
      <alignment horizontal="center" vertical="center"/>
    </xf>
    <xf numFmtId="0" fontId="4" fillId="37" borderId="7" xfId="0" applyFont="1" applyFill="1" applyBorder="1" applyAlignment="1">
      <alignment horizontal="center" vertical="center"/>
    </xf>
    <xf numFmtId="0" fontId="4" fillId="38" borderId="7" xfId="0" applyFont="1" applyFill="1" applyBorder="1" applyAlignment="1">
      <alignment horizontal="center" vertical="center"/>
    </xf>
    <xf numFmtId="0" fontId="4" fillId="39" borderId="7" xfId="0" applyFont="1" applyFill="1" applyBorder="1" applyAlignment="1">
      <alignment horizontal="center" vertical="center"/>
    </xf>
    <xf numFmtId="0" fontId="8" fillId="0" borderId="7" xfId="0" applyFont="1" applyBorder="1" applyAlignment="1">
      <alignment vertical="center"/>
    </xf>
    <xf numFmtId="0" fontId="51" fillId="0" borderId="7" xfId="0" applyFont="1" applyBorder="1" applyAlignment="1">
      <alignment horizontal="left" vertical="center"/>
    </xf>
    <xf numFmtId="38" fontId="16" fillId="0" borderId="7" xfId="628" applyFont="1" applyFill="1" applyBorder="1" applyAlignment="1">
      <alignment wrapText="1"/>
    </xf>
    <xf numFmtId="0" fontId="11" fillId="0" borderId="7" xfId="0" applyFont="1" applyBorder="1" applyAlignment="1">
      <alignment vertical="center"/>
    </xf>
    <xf numFmtId="0" fontId="27" fillId="32" borderId="7" xfId="0" applyFont="1" applyFill="1" applyBorder="1"/>
    <xf numFmtId="49" fontId="0" fillId="0" borderId="7" xfId="0" applyNumberFormat="1" applyFill="1" applyBorder="1"/>
  </cellXfs>
  <cellStyles count="88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赤字強調" xfId="431"/>
    <cellStyle name="青字強調" xfId="430"/>
  </cellStyles>
  <dxfs count="3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11219</v>
          </cell>
        </row>
        <row r="76">
          <cell r="A76">
            <v>11220</v>
          </cell>
        </row>
        <row r="77">
          <cell r="A77">
            <v>11221</v>
          </cell>
        </row>
        <row r="78">
          <cell r="A78">
            <v>11224</v>
          </cell>
        </row>
        <row r="79">
          <cell r="A79">
            <v>12001</v>
          </cell>
        </row>
        <row r="80">
          <cell r="A80">
            <v>12002</v>
          </cell>
        </row>
        <row r="81">
          <cell r="A81">
            <v>12003</v>
          </cell>
        </row>
        <row r="82">
          <cell r="A82">
            <v>12004</v>
          </cell>
        </row>
        <row r="83">
          <cell r="A83">
            <v>13001</v>
          </cell>
        </row>
        <row r="84">
          <cell r="A84">
            <v>14001</v>
          </cell>
        </row>
        <row r="85">
          <cell r="A85">
            <v>14002</v>
          </cell>
        </row>
        <row r="86">
          <cell r="A86">
            <v>14003</v>
          </cell>
        </row>
        <row r="87">
          <cell r="A87">
            <v>14004</v>
          </cell>
        </row>
        <row r="88">
          <cell r="A88">
            <v>14005</v>
          </cell>
        </row>
        <row r="89">
          <cell r="A89">
            <v>14006</v>
          </cell>
        </row>
        <row r="90">
          <cell r="A90">
            <v>15027</v>
          </cell>
        </row>
        <row r="91">
          <cell r="A91">
            <v>15028</v>
          </cell>
        </row>
        <row r="92">
          <cell r="A92">
            <v>15029</v>
          </cell>
        </row>
        <row r="93">
          <cell r="A93">
            <v>15030</v>
          </cell>
        </row>
        <row r="94">
          <cell r="A94">
            <v>15031</v>
          </cell>
        </row>
        <row r="95">
          <cell r="A95">
            <v>20001</v>
          </cell>
        </row>
        <row r="96">
          <cell r="A96">
            <v>20002</v>
          </cell>
        </row>
        <row r="97">
          <cell r="A97">
            <v>20003</v>
          </cell>
        </row>
        <row r="98">
          <cell r="A98">
            <v>20004</v>
          </cell>
        </row>
        <row r="99">
          <cell r="A99">
            <v>20005</v>
          </cell>
        </row>
        <row r="100">
          <cell r="A100">
            <v>20006</v>
          </cell>
        </row>
        <row r="101">
          <cell r="A101">
            <v>20007</v>
          </cell>
        </row>
        <row r="102">
          <cell r="A102">
            <v>20008</v>
          </cell>
        </row>
        <row r="103">
          <cell r="A103">
            <v>20009</v>
          </cell>
        </row>
        <row r="104">
          <cell r="A104">
            <v>20010</v>
          </cell>
        </row>
        <row r="105">
          <cell r="A105">
            <v>20011</v>
          </cell>
        </row>
        <row r="106">
          <cell r="A106">
            <v>20012</v>
          </cell>
        </row>
        <row r="107">
          <cell r="A107">
            <v>20013</v>
          </cell>
        </row>
        <row r="108">
          <cell r="A108">
            <v>20014</v>
          </cell>
        </row>
        <row r="109">
          <cell r="A109">
            <v>30001</v>
          </cell>
        </row>
        <row r="110">
          <cell r="A110">
            <v>30002</v>
          </cell>
        </row>
        <row r="111">
          <cell r="A111">
            <v>30003</v>
          </cell>
        </row>
        <row r="112">
          <cell r="A112">
            <v>30004</v>
          </cell>
        </row>
        <row r="113">
          <cell r="A113">
            <v>30005</v>
          </cell>
        </row>
        <row r="114">
          <cell r="A114">
            <v>30006</v>
          </cell>
        </row>
        <row r="115">
          <cell r="A115">
            <v>30007</v>
          </cell>
        </row>
        <row r="116">
          <cell r="A116">
            <v>30008</v>
          </cell>
        </row>
        <row r="117">
          <cell r="A117">
            <v>30009</v>
          </cell>
        </row>
        <row r="118">
          <cell r="A118">
            <v>30010</v>
          </cell>
        </row>
        <row r="119">
          <cell r="A119">
            <v>30011</v>
          </cell>
        </row>
        <row r="120">
          <cell r="A120">
            <v>30012</v>
          </cell>
        </row>
        <row r="121">
          <cell r="A121">
            <v>30013</v>
          </cell>
        </row>
        <row r="122">
          <cell r="A122">
            <v>30014</v>
          </cell>
        </row>
        <row r="123">
          <cell r="A123">
            <v>30015</v>
          </cell>
        </row>
        <row r="124">
          <cell r="A124">
            <v>30016</v>
          </cell>
        </row>
        <row r="125">
          <cell r="A125">
            <v>30017</v>
          </cell>
        </row>
        <row r="126">
          <cell r="A126">
            <v>30018</v>
          </cell>
        </row>
        <row r="127">
          <cell r="A127">
            <v>30019</v>
          </cell>
        </row>
        <row r="128">
          <cell r="A128">
            <v>30020</v>
          </cell>
        </row>
        <row r="129">
          <cell r="A129">
            <v>30021</v>
          </cell>
        </row>
        <row r="130">
          <cell r="A130">
            <v>30022</v>
          </cell>
        </row>
        <row r="131">
          <cell r="A131">
            <v>30023</v>
          </cell>
        </row>
        <row r="132">
          <cell r="A132">
            <v>30024</v>
          </cell>
        </row>
        <row r="133">
          <cell r="A133">
            <v>30025</v>
          </cell>
        </row>
        <row r="134">
          <cell r="A134">
            <v>30026</v>
          </cell>
        </row>
        <row r="135">
          <cell r="A135">
            <v>30027</v>
          </cell>
        </row>
        <row r="136">
          <cell r="A136">
            <v>30028</v>
          </cell>
        </row>
        <row r="137">
          <cell r="A137">
            <v>30029</v>
          </cell>
        </row>
        <row r="138">
          <cell r="A138">
            <v>30030</v>
          </cell>
        </row>
        <row r="139">
          <cell r="A139">
            <v>30031</v>
          </cell>
        </row>
        <row r="140">
          <cell r="A140">
            <v>30032</v>
          </cell>
        </row>
        <row r="141">
          <cell r="A141">
            <v>30033</v>
          </cell>
        </row>
        <row r="142">
          <cell r="A142">
            <v>30034</v>
          </cell>
        </row>
        <row r="143">
          <cell r="A143">
            <v>39001</v>
          </cell>
        </row>
        <row r="144">
          <cell r="A144">
            <v>39002</v>
          </cell>
        </row>
        <row r="145">
          <cell r="A145">
            <v>39003</v>
          </cell>
        </row>
        <row r="146">
          <cell r="A146">
            <v>40001</v>
          </cell>
        </row>
        <row r="147">
          <cell r="A147">
            <v>40002</v>
          </cell>
        </row>
        <row r="148">
          <cell r="A148">
            <v>40003</v>
          </cell>
        </row>
        <row r="149">
          <cell r="A149">
            <v>40004</v>
          </cell>
        </row>
        <row r="150">
          <cell r="A150">
            <v>40005</v>
          </cell>
        </row>
        <row r="151">
          <cell r="A151">
            <v>40006</v>
          </cell>
        </row>
        <row r="152">
          <cell r="A152">
            <v>40007</v>
          </cell>
        </row>
        <row r="153">
          <cell r="A153">
            <v>40008</v>
          </cell>
        </row>
        <row r="154">
          <cell r="A154">
            <v>40009</v>
          </cell>
        </row>
        <row r="155">
          <cell r="A155">
            <v>40010</v>
          </cell>
        </row>
        <row r="156">
          <cell r="A156">
            <v>40011</v>
          </cell>
        </row>
        <row r="157">
          <cell r="A157">
            <v>40012</v>
          </cell>
        </row>
        <row r="158">
          <cell r="A158">
            <v>40013</v>
          </cell>
        </row>
        <row r="159">
          <cell r="A159">
            <v>40014</v>
          </cell>
        </row>
        <row r="160">
          <cell r="A160">
            <v>40015</v>
          </cell>
        </row>
        <row r="161">
          <cell r="A161">
            <v>40016</v>
          </cell>
        </row>
        <row r="162">
          <cell r="A162">
            <v>40017</v>
          </cell>
        </row>
        <row r="163">
          <cell r="A163">
            <v>41001</v>
          </cell>
        </row>
        <row r="164">
          <cell r="A164">
            <v>41002</v>
          </cell>
        </row>
        <row r="165">
          <cell r="A165">
            <v>41003</v>
          </cell>
        </row>
        <row r="166">
          <cell r="A166">
            <v>41004</v>
          </cell>
        </row>
        <row r="167">
          <cell r="A167">
            <v>49001</v>
          </cell>
        </row>
        <row r="168">
          <cell r="A168">
            <v>49002</v>
          </cell>
        </row>
        <row r="169">
          <cell r="A169">
            <v>49003</v>
          </cell>
        </row>
        <row r="170">
          <cell r="A170">
            <v>50001</v>
          </cell>
        </row>
        <row r="171">
          <cell r="A171">
            <v>50002</v>
          </cell>
        </row>
        <row r="172">
          <cell r="A172">
            <v>50003</v>
          </cell>
        </row>
        <row r="173">
          <cell r="A173">
            <v>60001</v>
          </cell>
        </row>
        <row r="174">
          <cell r="A174">
            <v>60002</v>
          </cell>
        </row>
        <row r="175">
          <cell r="A175">
            <v>60003</v>
          </cell>
        </row>
        <row r="176">
          <cell r="A176">
            <v>60004</v>
          </cell>
        </row>
        <row r="177">
          <cell r="A177">
            <v>60005</v>
          </cell>
        </row>
        <row r="178">
          <cell r="A178">
            <v>60006</v>
          </cell>
        </row>
        <row r="179">
          <cell r="A179">
            <v>60010</v>
          </cell>
        </row>
        <row r="180">
          <cell r="A180">
            <v>65535</v>
          </cell>
        </row>
        <row r="181">
          <cell r="A181">
            <v>60021</v>
          </cell>
        </row>
        <row r="182">
          <cell r="A182">
            <v>60022</v>
          </cell>
        </row>
        <row r="183">
          <cell r="A183">
            <v>60023</v>
          </cell>
        </row>
        <row r="184">
          <cell r="A18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11002_1</v>
          </cell>
        </row>
        <row r="201">
          <cell r="A201" t="str">
            <v>11002_2</v>
          </cell>
        </row>
        <row r="202">
          <cell r="A202" t="str">
            <v>11002_3</v>
          </cell>
        </row>
        <row r="203">
          <cell r="A203" t="str">
            <v>11002_4</v>
          </cell>
        </row>
        <row r="204">
          <cell r="A204" t="str">
            <v>11002_10</v>
          </cell>
        </row>
        <row r="205">
          <cell r="A205" t="str">
            <v>11003_1</v>
          </cell>
        </row>
        <row r="206">
          <cell r="A206" t="str">
            <v>11003_2</v>
          </cell>
        </row>
        <row r="207">
          <cell r="A207" t="str">
            <v>11003_3</v>
          </cell>
        </row>
        <row r="208">
          <cell r="A208" t="str">
            <v>11003_4</v>
          </cell>
        </row>
        <row r="209">
          <cell r="A209" t="str">
            <v>11004_1</v>
          </cell>
        </row>
        <row r="210">
          <cell r="A210" t="str">
            <v>11004_2</v>
          </cell>
        </row>
        <row r="211">
          <cell r="A211" t="str">
            <v>11004_3</v>
          </cell>
        </row>
        <row r="212">
          <cell r="A212" t="str">
            <v>11004_4</v>
          </cell>
        </row>
        <row r="213">
          <cell r="A213" t="str">
            <v>11004_10</v>
          </cell>
        </row>
        <row r="214">
          <cell r="A214" t="str">
            <v>11005_1</v>
          </cell>
        </row>
        <row r="215">
          <cell r="A215" t="str">
            <v>11005_2</v>
          </cell>
        </row>
        <row r="216">
          <cell r="A216" t="str">
            <v>11005_3</v>
          </cell>
        </row>
        <row r="217">
          <cell r="A217" t="str">
            <v>11005_4</v>
          </cell>
        </row>
        <row r="218">
          <cell r="A218" t="str">
            <v>11006_1</v>
          </cell>
        </row>
        <row r="219">
          <cell r="A219" t="str">
            <v>11006_2</v>
          </cell>
        </row>
        <row r="220">
          <cell r="A220" t="str">
            <v>11006_3</v>
          </cell>
        </row>
        <row r="221">
          <cell r="A221" t="str">
            <v>11101_1</v>
          </cell>
        </row>
        <row r="222">
          <cell r="A222" t="str">
            <v>11101_2</v>
          </cell>
        </row>
        <row r="223">
          <cell r="A223" t="str">
            <v>11101_3</v>
          </cell>
        </row>
        <row r="224">
          <cell r="A224" t="str">
            <v>11101_4</v>
          </cell>
        </row>
        <row r="225">
          <cell r="A225" t="str">
            <v>11102_1</v>
          </cell>
        </row>
        <row r="226">
          <cell r="A226" t="str">
            <v>11102_2</v>
          </cell>
        </row>
        <row r="227">
          <cell r="A227" t="str">
            <v>11102_3</v>
          </cell>
        </row>
        <row r="228">
          <cell r="A228" t="str">
            <v>11102_4</v>
          </cell>
        </row>
        <row r="229">
          <cell r="A229" t="str">
            <v>11103_1</v>
          </cell>
        </row>
        <row r="230">
          <cell r="A230" t="str">
            <v>11103_2</v>
          </cell>
        </row>
        <row r="231">
          <cell r="A231" t="str">
            <v>11103_3</v>
          </cell>
        </row>
        <row r="232">
          <cell r="A232" t="str">
            <v>11103_4</v>
          </cell>
        </row>
        <row r="233">
          <cell r="A233" t="str">
            <v>11104_1</v>
          </cell>
        </row>
        <row r="234">
          <cell r="A234" t="str">
            <v>11104_2</v>
          </cell>
        </row>
        <row r="235">
          <cell r="A235" t="str">
            <v>11104_3</v>
          </cell>
        </row>
        <row r="236">
          <cell r="A236" t="str">
            <v>11104_4</v>
          </cell>
        </row>
        <row r="237">
          <cell r="A237" t="str">
            <v>11105_1</v>
          </cell>
        </row>
        <row r="238">
          <cell r="A238" t="str">
            <v>11105_2</v>
          </cell>
        </row>
        <row r="239">
          <cell r="A239" t="str">
            <v>11105_3</v>
          </cell>
        </row>
        <row r="240">
          <cell r="A240" t="str">
            <v>11105_4</v>
          </cell>
        </row>
        <row r="241">
          <cell r="A241" t="str">
            <v>11106_1</v>
          </cell>
        </row>
        <row r="242">
          <cell r="A242" t="str">
            <v>11106_2</v>
          </cell>
        </row>
        <row r="243">
          <cell r="A243" t="str">
            <v>11106_3</v>
          </cell>
        </row>
        <row r="244">
          <cell r="A244" t="str">
            <v>11206_1</v>
          </cell>
        </row>
        <row r="245">
          <cell r="A245" t="str">
            <v>11206_2</v>
          </cell>
        </row>
        <row r="246">
          <cell r="A246" t="str">
            <v>11206_3</v>
          </cell>
        </row>
        <row r="247">
          <cell r="A247" t="str">
            <v>11016_1</v>
          </cell>
        </row>
        <row r="248">
          <cell r="A248" t="str">
            <v>11207_1</v>
          </cell>
        </row>
        <row r="249">
          <cell r="A249" t="str">
            <v>11207_2</v>
          </cell>
        </row>
        <row r="250">
          <cell r="A250" t="str">
            <v>11208_1</v>
          </cell>
        </row>
        <row r="251">
          <cell r="A251" t="str">
            <v>11208_2</v>
          </cell>
        </row>
        <row r="252">
          <cell r="A252" t="str">
            <v>11209_1</v>
          </cell>
        </row>
        <row r="253">
          <cell r="A253" t="str">
            <v>11209_2</v>
          </cell>
        </row>
        <row r="254">
          <cell r="A254" t="str">
            <v>11210_1</v>
          </cell>
        </row>
        <row r="255">
          <cell r="A255" t="str">
            <v>11210_2</v>
          </cell>
        </row>
        <row r="256">
          <cell r="A256" t="str">
            <v>11210_3</v>
          </cell>
        </row>
        <row r="257">
          <cell r="A257" t="str">
            <v>11210_4</v>
          </cell>
        </row>
        <row r="258">
          <cell r="A258" t="str">
            <v>11211_1</v>
          </cell>
        </row>
        <row r="259">
          <cell r="A259" t="str">
            <v>11211_2</v>
          </cell>
        </row>
        <row r="260">
          <cell r="A260" t="str">
            <v>11211_3</v>
          </cell>
        </row>
        <row r="261">
          <cell r="A261" t="str">
            <v>11211_4</v>
          </cell>
        </row>
        <row r="262">
          <cell r="A262" t="str">
            <v>11212_1</v>
          </cell>
        </row>
        <row r="263">
          <cell r="A263" t="str">
            <v>11213_1</v>
          </cell>
        </row>
        <row r="264">
          <cell r="A264" t="str">
            <v>11214_1</v>
          </cell>
        </row>
        <row r="265">
          <cell r="A265" t="str">
            <v>11214_2</v>
          </cell>
        </row>
        <row r="266">
          <cell r="A266" t="str">
            <v>11214_3</v>
          </cell>
        </row>
        <row r="267">
          <cell r="A267" t="str">
            <v>11215_1</v>
          </cell>
        </row>
        <row r="268">
          <cell r="A268" t="str">
            <v>11216_1</v>
          </cell>
        </row>
        <row r="269">
          <cell r="A269" t="str">
            <v>11217_1</v>
          </cell>
        </row>
        <row r="270">
          <cell r="A270" t="str">
            <v>11218_1</v>
          </cell>
        </row>
        <row r="271">
          <cell r="A271" t="str">
            <v>11219_1</v>
          </cell>
        </row>
        <row r="272">
          <cell r="A272" t="str">
            <v>11220_1</v>
          </cell>
        </row>
        <row r="273">
          <cell r="A273" t="str">
            <v>11221_1</v>
          </cell>
        </row>
        <row r="274">
          <cell r="A274" t="str">
            <v>11224_1</v>
          </cell>
        </row>
        <row r="275">
          <cell r="A275" t="str">
            <v>12001_1</v>
          </cell>
        </row>
        <row r="276">
          <cell r="A276" t="str">
            <v>12001_2</v>
          </cell>
        </row>
        <row r="277">
          <cell r="A277" t="str">
            <v>12001_3</v>
          </cell>
        </row>
        <row r="278">
          <cell r="A278" t="str">
            <v>12002_3</v>
          </cell>
        </row>
        <row r="279">
          <cell r="A279" t="str">
            <v>12002_2</v>
          </cell>
        </row>
        <row r="280">
          <cell r="A280" t="str">
            <v>12002_1</v>
          </cell>
        </row>
        <row r="281">
          <cell r="A281" t="str">
            <v>12003_1</v>
          </cell>
        </row>
        <row r="282">
          <cell r="A282" t="str">
            <v>12003_2</v>
          </cell>
        </row>
        <row r="283">
          <cell r="A283" t="str">
            <v>12003_3</v>
          </cell>
        </row>
        <row r="284">
          <cell r="A284" t="str">
            <v>12003_4</v>
          </cell>
        </row>
        <row r="285">
          <cell r="A285" t="str">
            <v>12004_1</v>
          </cell>
        </row>
        <row r="286">
          <cell r="A286" t="str">
            <v>13001_1</v>
          </cell>
        </row>
        <row r="287">
          <cell r="A287" t="str">
            <v>13001_2</v>
          </cell>
        </row>
        <row r="288">
          <cell r="A288" t="str">
            <v>13001_3</v>
          </cell>
        </row>
        <row r="289">
          <cell r="A289" t="str">
            <v>13001_4</v>
          </cell>
        </row>
        <row r="290">
          <cell r="A290" t="str">
            <v>13001_5</v>
          </cell>
        </row>
        <row r="291">
          <cell r="A291" t="str">
            <v>13001_6</v>
          </cell>
        </row>
        <row r="292">
          <cell r="A292" t="str">
            <v>13001_7</v>
          </cell>
        </row>
        <row r="293">
          <cell r="A293" t="str">
            <v>13001_8</v>
          </cell>
        </row>
        <row r="294">
          <cell r="A294" t="str">
            <v>13001_9</v>
          </cell>
        </row>
        <row r="295">
          <cell r="A295" t="str">
            <v>13001_10</v>
          </cell>
        </row>
        <row r="296">
          <cell r="A296" t="str">
            <v>13001_11</v>
          </cell>
        </row>
        <row r="297">
          <cell r="A297" t="str">
            <v>13001_12</v>
          </cell>
        </row>
        <row r="298">
          <cell r="A298" t="str">
            <v>13001_13</v>
          </cell>
        </row>
        <row r="299">
          <cell r="A299" t="str">
            <v>13001_14</v>
          </cell>
        </row>
        <row r="300">
          <cell r="A300" t="str">
            <v>13001_15</v>
          </cell>
        </row>
        <row r="301">
          <cell r="A301" t="str">
            <v>13001_16</v>
          </cell>
        </row>
        <row r="302">
          <cell r="A302" t="str">
            <v>13001_17</v>
          </cell>
        </row>
        <row r="303">
          <cell r="A303" t="str">
            <v>13001_18</v>
          </cell>
        </row>
        <row r="304">
          <cell r="A304" t="str">
            <v>13001_19</v>
          </cell>
        </row>
        <row r="305">
          <cell r="A305" t="str">
            <v>13001_20</v>
          </cell>
        </row>
        <row r="306">
          <cell r="A306" t="str">
            <v>13001_21</v>
          </cell>
        </row>
        <row r="307">
          <cell r="A307" t="str">
            <v>13001_22</v>
          </cell>
        </row>
        <row r="308">
          <cell r="A308" t="str">
            <v>13001_23</v>
          </cell>
        </row>
        <row r="309">
          <cell r="A309" t="str">
            <v>13001_24</v>
          </cell>
        </row>
        <row r="310">
          <cell r="A310" t="str">
            <v>13001_25</v>
          </cell>
        </row>
        <row r="311">
          <cell r="A311" t="str">
            <v>14001_1</v>
          </cell>
        </row>
        <row r="312">
          <cell r="A312" t="str">
            <v>14001_2</v>
          </cell>
        </row>
        <row r="313">
          <cell r="A313" t="str">
            <v>14001_3</v>
          </cell>
        </row>
        <row r="314">
          <cell r="A314" t="str">
            <v>14001_4</v>
          </cell>
        </row>
        <row r="315">
          <cell r="A315" t="str">
            <v>14002_1</v>
          </cell>
        </row>
        <row r="316">
          <cell r="A316" t="str">
            <v>14003_1</v>
          </cell>
        </row>
        <row r="317">
          <cell r="A317" t="str">
            <v>14004_1</v>
          </cell>
        </row>
        <row r="318">
          <cell r="A318" t="str">
            <v>14004_2</v>
          </cell>
        </row>
        <row r="319">
          <cell r="A319" t="str">
            <v>14004_3</v>
          </cell>
        </row>
        <row r="320">
          <cell r="A320" t="str">
            <v>14004_4</v>
          </cell>
        </row>
        <row r="321">
          <cell r="A321" t="str">
            <v>14005_1</v>
          </cell>
        </row>
        <row r="322">
          <cell r="A322" t="str">
            <v>14006_1</v>
          </cell>
        </row>
        <row r="323">
          <cell r="A323" t="str">
            <v>15027_1</v>
          </cell>
        </row>
        <row r="324">
          <cell r="A324" t="str">
            <v>15027_2</v>
          </cell>
        </row>
        <row r="325">
          <cell r="A325" t="str">
            <v>15027_3</v>
          </cell>
        </row>
        <row r="326">
          <cell r="A326" t="str">
            <v>15027_4</v>
          </cell>
        </row>
        <row r="327">
          <cell r="A327" t="str">
            <v>15028_1</v>
          </cell>
        </row>
        <row r="328">
          <cell r="A328" t="str">
            <v>15028_2</v>
          </cell>
        </row>
        <row r="329">
          <cell r="A329" t="str">
            <v>15028_3</v>
          </cell>
        </row>
        <row r="330">
          <cell r="A330" t="str">
            <v>15028_4</v>
          </cell>
        </row>
        <row r="331">
          <cell r="A331" t="str">
            <v>15029_1</v>
          </cell>
        </row>
        <row r="332">
          <cell r="A332" t="str">
            <v>15029_2</v>
          </cell>
        </row>
        <row r="333">
          <cell r="A333" t="str">
            <v>15029_3</v>
          </cell>
        </row>
        <row r="334">
          <cell r="A334" t="str">
            <v>15029_4</v>
          </cell>
        </row>
        <row r="335">
          <cell r="A335" t="str">
            <v>15030_1</v>
          </cell>
        </row>
        <row r="336">
          <cell r="A336" t="str">
            <v>15030_2</v>
          </cell>
        </row>
        <row r="337">
          <cell r="A337" t="str">
            <v>15030_3</v>
          </cell>
        </row>
        <row r="338">
          <cell r="A338" t="str">
            <v>15030_4</v>
          </cell>
        </row>
        <row r="339">
          <cell r="A339" t="str">
            <v>15031_1</v>
          </cell>
        </row>
        <row r="340">
          <cell r="A340" t="str">
            <v>15031_2</v>
          </cell>
        </row>
        <row r="341">
          <cell r="A341" t="str">
            <v>15031_3</v>
          </cell>
        </row>
        <row r="342">
          <cell r="A342" t="str">
            <v>15031_4</v>
          </cell>
        </row>
        <row r="343">
          <cell r="A343" t="str">
            <v>20001_1</v>
          </cell>
        </row>
        <row r="344">
          <cell r="A344" t="str">
            <v>20001_2</v>
          </cell>
        </row>
        <row r="345">
          <cell r="A345" t="str">
            <v>20001_3</v>
          </cell>
        </row>
        <row r="346">
          <cell r="A346" t="str">
            <v>20002_1</v>
          </cell>
        </row>
        <row r="347">
          <cell r="A347" t="str">
            <v>20002_2</v>
          </cell>
        </row>
        <row r="348">
          <cell r="A348" t="str">
            <v>20002_3</v>
          </cell>
        </row>
        <row r="349">
          <cell r="A349" t="str">
            <v>20003_1</v>
          </cell>
        </row>
        <row r="350">
          <cell r="A350" t="str">
            <v>20003_2</v>
          </cell>
        </row>
        <row r="351">
          <cell r="A351" t="str">
            <v>20003_3</v>
          </cell>
        </row>
        <row r="352">
          <cell r="A352" t="str">
            <v>20004_1</v>
          </cell>
        </row>
        <row r="353">
          <cell r="A353" t="str">
            <v>20004_2</v>
          </cell>
        </row>
        <row r="354">
          <cell r="A354" t="str">
            <v>20004_3</v>
          </cell>
        </row>
        <row r="355">
          <cell r="A355" t="str">
            <v>20005_1</v>
          </cell>
        </row>
        <row r="356">
          <cell r="A356" t="str">
            <v>20005_2</v>
          </cell>
        </row>
        <row r="357">
          <cell r="A357" t="str">
            <v>20005_3</v>
          </cell>
        </row>
        <row r="358">
          <cell r="A358" t="str">
            <v>20006_1</v>
          </cell>
        </row>
        <row r="359">
          <cell r="A359" t="str">
            <v>20006_2</v>
          </cell>
        </row>
        <row r="360">
          <cell r="A360" t="str">
            <v>20006_3</v>
          </cell>
        </row>
        <row r="361">
          <cell r="A361" t="str">
            <v>20007_1</v>
          </cell>
        </row>
        <row r="362">
          <cell r="A362" t="str">
            <v>20007_2</v>
          </cell>
        </row>
        <row r="363">
          <cell r="A363" t="str">
            <v>20007_3</v>
          </cell>
        </row>
        <row r="364">
          <cell r="A364" t="str">
            <v>20008_1</v>
          </cell>
        </row>
        <row r="365">
          <cell r="A365" t="str">
            <v>20008_2</v>
          </cell>
        </row>
        <row r="366">
          <cell r="A366" t="str">
            <v>20008_3</v>
          </cell>
        </row>
        <row r="367">
          <cell r="A367" t="str">
            <v>20009_1</v>
          </cell>
        </row>
        <row r="368">
          <cell r="A368" t="str">
            <v>20009_2</v>
          </cell>
        </row>
        <row r="369">
          <cell r="A369" t="str">
            <v>20009_3</v>
          </cell>
        </row>
        <row r="370">
          <cell r="A370" t="str">
            <v>20010_1</v>
          </cell>
        </row>
        <row r="371">
          <cell r="A371" t="str">
            <v>20010_2</v>
          </cell>
        </row>
        <row r="372">
          <cell r="A372" t="str">
            <v>20010_3</v>
          </cell>
        </row>
        <row r="373">
          <cell r="A373" t="str">
            <v>20011_1</v>
          </cell>
        </row>
        <row r="374">
          <cell r="A374" t="str">
            <v>20011_2</v>
          </cell>
        </row>
        <row r="375">
          <cell r="A375" t="str">
            <v>20011_3</v>
          </cell>
        </row>
        <row r="376">
          <cell r="A376" t="str">
            <v>20012_1</v>
          </cell>
        </row>
        <row r="377">
          <cell r="A377" t="str">
            <v>20012_2</v>
          </cell>
        </row>
        <row r="378">
          <cell r="A378" t="str">
            <v>20012_3</v>
          </cell>
        </row>
        <row r="379">
          <cell r="A379" t="str">
            <v>20013_1</v>
          </cell>
        </row>
        <row r="380">
          <cell r="A380" t="str">
            <v>20013_2</v>
          </cell>
        </row>
        <row r="381">
          <cell r="A381" t="str">
            <v>20013_3</v>
          </cell>
        </row>
        <row r="382">
          <cell r="A382" t="str">
            <v>20014_1</v>
          </cell>
        </row>
        <row r="383">
          <cell r="A383" t="str">
            <v>20014_2</v>
          </cell>
        </row>
        <row r="384">
          <cell r="A384" t="str">
            <v>20014_3</v>
          </cell>
        </row>
        <row r="385">
          <cell r="A385" t="str">
            <v>30001_1</v>
          </cell>
        </row>
        <row r="386">
          <cell r="A386" t="str">
            <v>30001_2</v>
          </cell>
        </row>
        <row r="387">
          <cell r="A387" t="str">
            <v>30001_3</v>
          </cell>
        </row>
        <row r="388">
          <cell r="A388" t="str">
            <v>30002_1</v>
          </cell>
        </row>
        <row r="389">
          <cell r="A389" t="str">
            <v>30002_2</v>
          </cell>
        </row>
        <row r="390">
          <cell r="A390" t="str">
            <v>30002_3</v>
          </cell>
        </row>
        <row r="391">
          <cell r="A391" t="str">
            <v>30003_1</v>
          </cell>
        </row>
        <row r="392">
          <cell r="A392" t="str">
            <v>30003_2</v>
          </cell>
        </row>
        <row r="393">
          <cell r="A393" t="str">
            <v>30003_3</v>
          </cell>
        </row>
        <row r="394">
          <cell r="A394" t="str">
            <v>30004_1</v>
          </cell>
        </row>
        <row r="395">
          <cell r="A395" t="str">
            <v>30004_2</v>
          </cell>
        </row>
        <row r="396">
          <cell r="A396" t="str">
            <v>30004_3</v>
          </cell>
        </row>
        <row r="397">
          <cell r="A397" t="str">
            <v>30005_1</v>
          </cell>
        </row>
        <row r="398">
          <cell r="A398" t="str">
            <v>30005_2</v>
          </cell>
        </row>
        <row r="399">
          <cell r="A399" t="str">
            <v>30005_3</v>
          </cell>
        </row>
        <row r="400">
          <cell r="A400" t="str">
            <v>30006_1</v>
          </cell>
        </row>
        <row r="401">
          <cell r="A401" t="str">
            <v>30006_2</v>
          </cell>
        </row>
        <row r="402">
          <cell r="A402" t="str">
            <v>30006_3</v>
          </cell>
        </row>
        <row r="403">
          <cell r="A403" t="str">
            <v>30007_1</v>
          </cell>
        </row>
        <row r="404">
          <cell r="A404" t="str">
            <v>30007_2</v>
          </cell>
        </row>
        <row r="405">
          <cell r="A405" t="str">
            <v>30007_3</v>
          </cell>
        </row>
        <row r="406">
          <cell r="A406" t="str">
            <v>30008_1</v>
          </cell>
        </row>
        <row r="407">
          <cell r="A407" t="str">
            <v>30008_2</v>
          </cell>
        </row>
        <row r="408">
          <cell r="A408" t="str">
            <v>30008_3</v>
          </cell>
        </row>
        <row r="409">
          <cell r="A409" t="str">
            <v>30009_3</v>
          </cell>
        </row>
        <row r="410">
          <cell r="A410" t="str">
            <v>30009_1</v>
          </cell>
        </row>
        <row r="411">
          <cell r="A411" t="str">
            <v>30009_2</v>
          </cell>
        </row>
        <row r="412">
          <cell r="A412" t="str">
            <v>30010_1</v>
          </cell>
        </row>
        <row r="413">
          <cell r="A413" t="str">
            <v>30010_2</v>
          </cell>
        </row>
        <row r="414">
          <cell r="A414" t="str">
            <v>30010_3</v>
          </cell>
        </row>
        <row r="415">
          <cell r="A415" t="str">
            <v>30011_1</v>
          </cell>
        </row>
        <row r="416">
          <cell r="A416" t="str">
            <v>30011_2</v>
          </cell>
        </row>
        <row r="417">
          <cell r="A417" t="str">
            <v>30011_3</v>
          </cell>
        </row>
        <row r="418">
          <cell r="A418" t="str">
            <v>30012_1</v>
          </cell>
        </row>
        <row r="419">
          <cell r="A419" t="str">
            <v>30012_2</v>
          </cell>
        </row>
        <row r="420">
          <cell r="A420" t="str">
            <v>30012_3</v>
          </cell>
        </row>
        <row r="421">
          <cell r="A421" t="str">
            <v>30013_1</v>
          </cell>
        </row>
        <row r="422">
          <cell r="A422" t="str">
            <v>30013_2</v>
          </cell>
        </row>
        <row r="423">
          <cell r="A423" t="str">
            <v>30014_1</v>
          </cell>
        </row>
        <row r="424">
          <cell r="A424" t="str">
            <v>30014_2</v>
          </cell>
        </row>
        <row r="425">
          <cell r="A425" t="str">
            <v>30015_1</v>
          </cell>
        </row>
        <row r="426">
          <cell r="A426" t="str">
            <v>30015_2</v>
          </cell>
        </row>
        <row r="427">
          <cell r="A427" t="str">
            <v>30016_1</v>
          </cell>
        </row>
        <row r="428">
          <cell r="A428" t="str">
            <v>30016_2</v>
          </cell>
        </row>
        <row r="429">
          <cell r="A429" t="str">
            <v>30017_1</v>
          </cell>
        </row>
        <row r="430">
          <cell r="A430" t="str">
            <v>30017_2</v>
          </cell>
        </row>
        <row r="431">
          <cell r="A431" t="str">
            <v>30018_1</v>
          </cell>
        </row>
        <row r="432">
          <cell r="A432" t="str">
            <v>30018_2</v>
          </cell>
        </row>
        <row r="433">
          <cell r="A433" t="str">
            <v>30019_1</v>
          </cell>
        </row>
        <row r="434">
          <cell r="A434" t="str">
            <v>30019_2</v>
          </cell>
        </row>
        <row r="435">
          <cell r="A435" t="str">
            <v>30020_1</v>
          </cell>
        </row>
        <row r="436">
          <cell r="A436" t="str">
            <v>30020_2</v>
          </cell>
        </row>
        <row r="437">
          <cell r="A437" t="str">
            <v>30021_1</v>
          </cell>
        </row>
        <row r="438">
          <cell r="A438" t="str">
            <v>30021_2</v>
          </cell>
        </row>
        <row r="439">
          <cell r="A439" t="str">
            <v>30021_3</v>
          </cell>
        </row>
        <row r="440">
          <cell r="A440" t="str">
            <v>30022_1</v>
          </cell>
        </row>
        <row r="441">
          <cell r="A441" t="str">
            <v>30022_2</v>
          </cell>
        </row>
        <row r="442">
          <cell r="A442" t="str">
            <v>30023_1</v>
          </cell>
        </row>
        <row r="443">
          <cell r="A443" t="str">
            <v>30023_2</v>
          </cell>
        </row>
        <row r="444">
          <cell r="A444" t="str">
            <v>30023_3</v>
          </cell>
        </row>
        <row r="445">
          <cell r="A445" t="str">
            <v>30024_1</v>
          </cell>
        </row>
        <row r="446">
          <cell r="A446" t="str">
            <v>30024_2</v>
          </cell>
        </row>
        <row r="447">
          <cell r="A447" t="str">
            <v>30024_3</v>
          </cell>
        </row>
        <row r="448">
          <cell r="A448" t="str">
            <v>30025_1</v>
          </cell>
        </row>
        <row r="449">
          <cell r="A449" t="str">
            <v>30025_2</v>
          </cell>
        </row>
        <row r="450">
          <cell r="A450" t="str">
            <v>30025_3</v>
          </cell>
        </row>
        <row r="451">
          <cell r="A451" t="str">
            <v>30026_1</v>
          </cell>
        </row>
        <row r="452">
          <cell r="A452" t="str">
            <v>30026_2</v>
          </cell>
        </row>
        <row r="453">
          <cell r="A453" t="str">
            <v>30026_3</v>
          </cell>
        </row>
        <row r="454">
          <cell r="A454" t="str">
            <v>30027_1</v>
          </cell>
        </row>
        <row r="455">
          <cell r="A455" t="str">
            <v>30027_2</v>
          </cell>
        </row>
        <row r="456">
          <cell r="A456" t="str">
            <v>30027_3</v>
          </cell>
        </row>
        <row r="457">
          <cell r="A457" t="str">
            <v>30028_1</v>
          </cell>
        </row>
        <row r="458">
          <cell r="A458" t="str">
            <v>30028_2</v>
          </cell>
        </row>
        <row r="459">
          <cell r="A459" t="str">
            <v>30028_3</v>
          </cell>
        </row>
        <row r="460">
          <cell r="A460" t="str">
            <v>30029_1</v>
          </cell>
        </row>
        <row r="461">
          <cell r="A461" t="str">
            <v>30029_2</v>
          </cell>
        </row>
        <row r="462">
          <cell r="A462" t="str">
            <v>30029_3</v>
          </cell>
        </row>
        <row r="463">
          <cell r="A463" t="str">
            <v>30030_1</v>
          </cell>
        </row>
        <row r="464">
          <cell r="A464" t="str">
            <v>30030_2</v>
          </cell>
        </row>
        <row r="465">
          <cell r="A465" t="str">
            <v>30030_3</v>
          </cell>
        </row>
        <row r="466">
          <cell r="A466" t="str">
            <v>30031_1</v>
          </cell>
        </row>
        <row r="467">
          <cell r="A467" t="str">
            <v>30031_2</v>
          </cell>
        </row>
        <row r="468">
          <cell r="A468" t="str">
            <v>30031_3</v>
          </cell>
        </row>
        <row r="469">
          <cell r="A469" t="str">
            <v>30032_1</v>
          </cell>
        </row>
        <row r="470">
          <cell r="A470" t="str">
            <v>30032_2</v>
          </cell>
        </row>
        <row r="471">
          <cell r="A471" t="str">
            <v>30032_3</v>
          </cell>
        </row>
        <row r="472">
          <cell r="A472" t="str">
            <v>30033_1</v>
          </cell>
        </row>
        <row r="473">
          <cell r="A473" t="str">
            <v>30033_2</v>
          </cell>
        </row>
        <row r="474">
          <cell r="A474" t="str">
            <v>30033_3</v>
          </cell>
        </row>
        <row r="475">
          <cell r="A475" t="str">
            <v>30034_1</v>
          </cell>
        </row>
        <row r="476">
          <cell r="A476" t="str">
            <v>30034_2</v>
          </cell>
        </row>
        <row r="477">
          <cell r="A477" t="str">
            <v>30034_3</v>
          </cell>
        </row>
        <row r="478">
          <cell r="A478" t="str">
            <v>39001_1</v>
          </cell>
        </row>
        <row r="479">
          <cell r="A479" t="str">
            <v>39001_2</v>
          </cell>
        </row>
        <row r="480">
          <cell r="A480" t="str">
            <v>39001_3</v>
          </cell>
        </row>
        <row r="481">
          <cell r="A481" t="str">
            <v>39001_4</v>
          </cell>
        </row>
        <row r="482">
          <cell r="A482" t="str">
            <v>39001_5</v>
          </cell>
        </row>
        <row r="483">
          <cell r="A483" t="str">
            <v>39002_1</v>
          </cell>
        </row>
        <row r="484">
          <cell r="A484" t="str">
            <v>39002_2</v>
          </cell>
        </row>
        <row r="485">
          <cell r="A485" t="str">
            <v>39002_3</v>
          </cell>
        </row>
        <row r="486">
          <cell r="A486" t="str">
            <v>39002_4</v>
          </cell>
        </row>
        <row r="487">
          <cell r="A487" t="str">
            <v>39003_1</v>
          </cell>
        </row>
        <row r="488">
          <cell r="A488" t="str">
            <v>39003_2</v>
          </cell>
        </row>
        <row r="489">
          <cell r="A489" t="str">
            <v>39003_3</v>
          </cell>
        </row>
        <row r="490">
          <cell r="A490" t="str">
            <v>39003_4</v>
          </cell>
        </row>
        <row r="491">
          <cell r="A491" t="str">
            <v>40001_1</v>
          </cell>
        </row>
        <row r="492">
          <cell r="A492" t="str">
            <v>40002_1</v>
          </cell>
        </row>
        <row r="493">
          <cell r="A493" t="str">
            <v>40002_2</v>
          </cell>
        </row>
        <row r="494">
          <cell r="A494" t="str">
            <v>40002_3</v>
          </cell>
        </row>
        <row r="495">
          <cell r="A495" t="str">
            <v>40003_1</v>
          </cell>
        </row>
        <row r="496">
          <cell r="A496" t="str">
            <v>40004_1</v>
          </cell>
        </row>
        <row r="497">
          <cell r="A497" t="str">
            <v>40005_1</v>
          </cell>
        </row>
        <row r="498">
          <cell r="A498" t="str">
            <v>40006_1</v>
          </cell>
        </row>
        <row r="499">
          <cell r="A499" t="str">
            <v>40007_1</v>
          </cell>
        </row>
        <row r="500">
          <cell r="A500" t="str">
            <v>40008_1</v>
          </cell>
        </row>
        <row r="501">
          <cell r="A501" t="str">
            <v>40009_1</v>
          </cell>
        </row>
        <row r="502">
          <cell r="A502" t="str">
            <v>40010_1</v>
          </cell>
        </row>
        <row r="503">
          <cell r="A503" t="str">
            <v>40011_1</v>
          </cell>
        </row>
        <row r="504">
          <cell r="A504" t="str">
            <v>40012_1</v>
          </cell>
        </row>
        <row r="505">
          <cell r="A505" t="str">
            <v>40013_1</v>
          </cell>
        </row>
        <row r="506">
          <cell r="A506" t="str">
            <v>40014_1</v>
          </cell>
        </row>
        <row r="507">
          <cell r="A507" t="str">
            <v>40015_1</v>
          </cell>
        </row>
        <row r="508">
          <cell r="A508" t="str">
            <v>40016_1</v>
          </cell>
        </row>
        <row r="509">
          <cell r="A509" t="str">
            <v>40016_2</v>
          </cell>
        </row>
        <row r="510">
          <cell r="A510" t="str">
            <v>40017_1</v>
          </cell>
        </row>
        <row r="511">
          <cell r="A511" t="str">
            <v>40017_2</v>
          </cell>
        </row>
        <row r="512">
          <cell r="A512" t="str">
            <v>40017_3</v>
          </cell>
        </row>
        <row r="513">
          <cell r="A513" t="str">
            <v>41001_1</v>
          </cell>
        </row>
        <row r="514">
          <cell r="A514" t="str">
            <v>41001_2</v>
          </cell>
        </row>
        <row r="515">
          <cell r="A515" t="str">
            <v>41001_3</v>
          </cell>
        </row>
        <row r="516">
          <cell r="A516" t="str">
            <v>41002_1</v>
          </cell>
        </row>
        <row r="517">
          <cell r="A517" t="str">
            <v>41002_2</v>
          </cell>
        </row>
        <row r="518">
          <cell r="A518" t="str">
            <v>41002_3</v>
          </cell>
        </row>
        <row r="519">
          <cell r="A519" t="str">
            <v>41003_1</v>
          </cell>
        </row>
        <row r="520">
          <cell r="A520" t="str">
            <v>41003_2</v>
          </cell>
        </row>
        <row r="521">
          <cell r="A521" t="str">
            <v>41003_3</v>
          </cell>
        </row>
        <row r="522">
          <cell r="A522" t="str">
            <v>41004_1</v>
          </cell>
        </row>
        <row r="523">
          <cell r="A523" t="str">
            <v>41004_2</v>
          </cell>
        </row>
        <row r="524">
          <cell r="A524" t="str">
            <v>41004_3</v>
          </cell>
        </row>
        <row r="525">
          <cell r="A525" t="str">
            <v>49001_1</v>
          </cell>
        </row>
        <row r="526">
          <cell r="A526" t="str">
            <v>49002_1</v>
          </cell>
        </row>
        <row r="527">
          <cell r="A527" t="str">
            <v>49003_1</v>
          </cell>
        </row>
        <row r="528">
          <cell r="A528" t="str">
            <v>50001_1</v>
          </cell>
        </row>
        <row r="529">
          <cell r="A529" t="str">
            <v>50002_1</v>
          </cell>
        </row>
        <row r="530">
          <cell r="A530" t="str">
            <v>50003_1</v>
          </cell>
        </row>
        <row r="531">
          <cell r="A531" t="str">
            <v>60001_1</v>
          </cell>
        </row>
        <row r="532">
          <cell r="A532" t="str">
            <v>60002_1</v>
          </cell>
        </row>
        <row r="533">
          <cell r="A533" t="str">
            <v>60002_2</v>
          </cell>
        </row>
        <row r="534">
          <cell r="A534" t="str">
            <v>60003_1</v>
          </cell>
        </row>
        <row r="535">
          <cell r="A535" t="str">
            <v>60003_2</v>
          </cell>
        </row>
        <row r="536">
          <cell r="A536" t="str">
            <v>60003_3</v>
          </cell>
        </row>
        <row r="537">
          <cell r="A537" t="str">
            <v>60004_1</v>
          </cell>
        </row>
        <row r="538">
          <cell r="A538" t="str">
            <v>60005_1</v>
          </cell>
        </row>
        <row r="539">
          <cell r="A539" t="str">
            <v>60006_1</v>
          </cell>
        </row>
        <row r="540">
          <cell r="A540" t="str">
            <v>60006_2</v>
          </cell>
        </row>
        <row r="541">
          <cell r="A541" t="str">
            <v>60006_3</v>
          </cell>
        </row>
        <row r="542">
          <cell r="A542" t="str">
            <v>60010_1</v>
          </cell>
        </row>
        <row r="543">
          <cell r="A543" t="str">
            <v>60010_2</v>
          </cell>
        </row>
        <row r="544">
          <cell r="A544" t="str">
            <v>60010_3</v>
          </cell>
        </row>
        <row r="545">
          <cell r="A545" t="str">
            <v>65535_1</v>
          </cell>
        </row>
        <row r="546">
          <cell r="A546" t="str">
            <v>65535_2</v>
          </cell>
        </row>
        <row r="547">
          <cell r="A547" t="str">
            <v>65535_3</v>
          </cell>
        </row>
        <row r="548">
          <cell r="A548" t="str">
            <v>60021_3</v>
          </cell>
        </row>
        <row r="549">
          <cell r="A549" t="str">
            <v>60022_3</v>
          </cell>
        </row>
        <row r="550">
          <cell r="A550" t="str">
            <v>60023_3</v>
          </cell>
        </row>
        <row r="551">
          <cell r="A551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1040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topLeftCell="C1" workbookViewId="0">
      <selection activeCell="I6" sqref="I6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4" t="s">
        <v>129</v>
      </c>
      <c r="B1" s="49" t="s">
        <v>99</v>
      </c>
      <c r="C1" s="49" t="s">
        <v>100</v>
      </c>
      <c r="D1" s="49" t="s">
        <v>101</v>
      </c>
      <c r="E1" s="49" t="s">
        <v>102</v>
      </c>
      <c r="F1" s="49" t="s">
        <v>103</v>
      </c>
      <c r="G1" s="49" t="s">
        <v>104</v>
      </c>
      <c r="H1" s="49"/>
      <c r="I1" s="49"/>
      <c r="J1" s="49"/>
      <c r="K1" s="49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</row>
    <row r="2" spans="1:30" x14ac:dyDescent="0.15">
      <c r="A2" s="55" t="s">
        <v>268</v>
      </c>
      <c r="B2" s="51" t="s">
        <v>105</v>
      </c>
      <c r="C2" s="56">
        <v>39003</v>
      </c>
      <c r="D2" s="51" t="s">
        <v>106</v>
      </c>
      <c r="E2" s="50" t="str">
        <f>B2&amp;C2&amp;D2</f>
        <v>floors_39003.tmp</v>
      </c>
      <c r="F2" s="51" t="s">
        <v>107</v>
      </c>
      <c r="G2" s="52" t="s">
        <v>0</v>
      </c>
      <c r="H2" s="52" t="s">
        <v>1</v>
      </c>
      <c r="I2" s="52" t="s">
        <v>13</v>
      </c>
      <c r="J2" s="52" t="s">
        <v>14</v>
      </c>
      <c r="K2" s="52" t="s">
        <v>15</v>
      </c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</row>
    <row r="3" spans="1:30" x14ac:dyDescent="0.15">
      <c r="A3" s="55" t="s">
        <v>268</v>
      </c>
      <c r="B3" s="51" t="s">
        <v>108</v>
      </c>
      <c r="C3" s="56">
        <v>39003</v>
      </c>
      <c r="D3" s="51" t="s">
        <v>106</v>
      </c>
      <c r="E3" s="50" t="str">
        <f>B3&amp;C3&amp;D3</f>
        <v>enemy_habitats_39003.tmp</v>
      </c>
      <c r="F3" s="51" t="s">
        <v>109</v>
      </c>
      <c r="G3" s="52" t="s">
        <v>0</v>
      </c>
      <c r="H3" s="52" t="s">
        <v>1</v>
      </c>
      <c r="I3" s="52" t="s">
        <v>13</v>
      </c>
      <c r="J3" s="52" t="s">
        <v>2</v>
      </c>
      <c r="K3" s="52" t="s">
        <v>3</v>
      </c>
      <c r="L3" s="52" t="s">
        <v>47</v>
      </c>
      <c r="M3" s="52" t="s">
        <v>49</v>
      </c>
      <c r="N3" s="52" t="s">
        <v>51</v>
      </c>
      <c r="O3" s="52" t="s">
        <v>22</v>
      </c>
      <c r="P3" s="52" t="s">
        <v>5</v>
      </c>
      <c r="Q3" s="52" t="s">
        <v>6</v>
      </c>
      <c r="R3" s="52" t="s">
        <v>7</v>
      </c>
      <c r="S3" s="52" t="s">
        <v>8</v>
      </c>
      <c r="T3" s="52" t="s">
        <v>9</v>
      </c>
      <c r="U3" s="52" t="s">
        <v>10</v>
      </c>
      <c r="V3" s="52" t="s">
        <v>11</v>
      </c>
      <c r="W3" s="52" t="s">
        <v>12</v>
      </c>
      <c r="X3" s="52" t="s">
        <v>37</v>
      </c>
      <c r="Y3" s="52" t="s">
        <v>39</v>
      </c>
      <c r="Z3" s="52" t="s">
        <v>41</v>
      </c>
      <c r="AA3" s="52" t="s">
        <v>43</v>
      </c>
      <c r="AB3" s="52" t="s">
        <v>45</v>
      </c>
      <c r="AC3" s="52" t="s">
        <v>54</v>
      </c>
      <c r="AD3" s="52" t="s">
        <v>178</v>
      </c>
    </row>
    <row r="4" spans="1:30" x14ac:dyDescent="0.15">
      <c r="A4" s="55" t="s">
        <v>268</v>
      </c>
      <c r="B4" s="51" t="s">
        <v>110</v>
      </c>
      <c r="C4" s="56">
        <v>39003</v>
      </c>
      <c r="D4" s="51" t="s">
        <v>106</v>
      </c>
      <c r="E4" s="50" t="str">
        <f>B4&amp;C4&amp;D4</f>
        <v>enemy_habitat_S_39003.tmp</v>
      </c>
      <c r="F4" s="51" t="s">
        <v>111</v>
      </c>
      <c r="G4" s="52" t="s">
        <v>0</v>
      </c>
      <c r="H4" s="52" t="s">
        <v>1</v>
      </c>
      <c r="I4" s="52" t="s">
        <v>13</v>
      </c>
      <c r="J4" s="52" t="s">
        <v>54</v>
      </c>
      <c r="K4" s="52" t="s">
        <v>55</v>
      </c>
      <c r="L4" s="52" t="s">
        <v>56</v>
      </c>
      <c r="M4" s="52" t="s">
        <v>57</v>
      </c>
      <c r="N4" s="52" t="s">
        <v>58</v>
      </c>
      <c r="O4" s="52" t="s">
        <v>59</v>
      </c>
      <c r="P4" s="52" t="s">
        <v>48</v>
      </c>
      <c r="Q4" s="52" t="s">
        <v>50</v>
      </c>
      <c r="R4" s="52" t="s">
        <v>52</v>
      </c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</row>
    <row r="5" spans="1:30" x14ac:dyDescent="0.15">
      <c r="A5" s="55" t="s">
        <v>268</v>
      </c>
      <c r="B5" s="51" t="s">
        <v>112</v>
      </c>
      <c r="C5" s="56">
        <v>39003</v>
      </c>
      <c r="D5" s="51" t="s">
        <v>106</v>
      </c>
      <c r="E5" s="50" t="str">
        <f>B5&amp;C5&amp;D5</f>
        <v>enemy_skill_sets_39003.tmp</v>
      </c>
      <c r="F5" s="51" t="s">
        <v>113</v>
      </c>
      <c r="G5" s="53" t="s">
        <v>22</v>
      </c>
      <c r="H5" s="53" t="s">
        <v>98</v>
      </c>
      <c r="I5" s="53" t="s">
        <v>93</v>
      </c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</row>
    <row r="6" spans="1:30" x14ac:dyDescent="0.15">
      <c r="A6" s="55" t="s">
        <v>268</v>
      </c>
      <c r="B6" s="51" t="s">
        <v>114</v>
      </c>
      <c r="C6" s="56">
        <v>39003</v>
      </c>
      <c r="D6" s="51" t="s">
        <v>115</v>
      </c>
      <c r="E6" s="50" t="str">
        <f t="shared" ref="E6:E10" si="0">B6&amp;C6&amp;D6</f>
        <v>enemy_skills_tmp_39003.tmp</v>
      </c>
      <c r="F6" s="51" t="s">
        <v>89</v>
      </c>
      <c r="G6" s="52" t="s">
        <v>79</v>
      </c>
      <c r="H6" s="52" t="s">
        <v>80</v>
      </c>
      <c r="I6" s="52" t="s">
        <v>81</v>
      </c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</row>
    <row r="7" spans="1:30" x14ac:dyDescent="0.15">
      <c r="A7" s="55" t="s">
        <v>268</v>
      </c>
      <c r="B7" s="51" t="s">
        <v>116</v>
      </c>
      <c r="C7" s="56">
        <v>39003</v>
      </c>
      <c r="D7" s="51" t="s">
        <v>106</v>
      </c>
      <c r="E7" s="50" t="str">
        <f>B7&amp;C7&amp;D7</f>
        <v>enemy_skills_i18n_39003.tmp</v>
      </c>
      <c r="F7" s="51" t="s">
        <v>117</v>
      </c>
      <c r="G7" s="52" t="s">
        <v>79</v>
      </c>
      <c r="H7" s="52" t="s">
        <v>90</v>
      </c>
      <c r="I7" s="52" t="s">
        <v>91</v>
      </c>
      <c r="J7" s="52" t="s">
        <v>92</v>
      </c>
      <c r="K7" s="51"/>
      <c r="L7" s="51"/>
      <c r="M7" s="51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</row>
    <row r="8" spans="1:30" x14ac:dyDescent="0.15">
      <c r="A8" s="55" t="s">
        <v>268</v>
      </c>
      <c r="B8" s="51" t="s">
        <v>118</v>
      </c>
      <c r="C8" s="56">
        <v>39003</v>
      </c>
      <c r="D8" s="51" t="s">
        <v>119</v>
      </c>
      <c r="E8" s="50" t="str">
        <f t="shared" si="0"/>
        <v>enemy_skill_triggers_39003.tmp</v>
      </c>
      <c r="F8" s="51" t="s">
        <v>120</v>
      </c>
      <c r="G8" s="52" t="s">
        <v>93</v>
      </c>
      <c r="H8" s="52" t="s">
        <v>94</v>
      </c>
      <c r="I8" s="52" t="s">
        <v>95</v>
      </c>
      <c r="J8" s="52" t="s">
        <v>96</v>
      </c>
      <c r="K8" s="52" t="s">
        <v>121</v>
      </c>
      <c r="L8" s="52" t="s">
        <v>97</v>
      </c>
      <c r="M8" s="52" t="s">
        <v>122</v>
      </c>
      <c r="N8" s="52" t="s">
        <v>123</v>
      </c>
      <c r="O8" s="52" t="s">
        <v>124</v>
      </c>
      <c r="P8" s="52" t="s">
        <v>67</v>
      </c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</row>
    <row r="9" spans="1:30" x14ac:dyDescent="0.15">
      <c r="A9" s="55" t="s">
        <v>326</v>
      </c>
      <c r="B9" s="61" t="s">
        <v>177</v>
      </c>
      <c r="C9" s="56">
        <v>39003</v>
      </c>
      <c r="D9" s="61" t="s">
        <v>171</v>
      </c>
      <c r="E9" s="62" t="str">
        <f t="shared" si="0"/>
        <v>stage_bug_bonuses_39003.tmp</v>
      </c>
      <c r="F9" s="61" t="s">
        <v>172</v>
      </c>
      <c r="G9" s="58" t="s">
        <v>149</v>
      </c>
      <c r="H9" s="58" t="s">
        <v>173</v>
      </c>
      <c r="I9" s="58" t="s">
        <v>174</v>
      </c>
      <c r="J9" s="60" t="s">
        <v>175</v>
      </c>
      <c r="K9" s="58" t="s">
        <v>176</v>
      </c>
      <c r="L9" s="58" t="s">
        <v>155</v>
      </c>
      <c r="M9" s="58" t="s">
        <v>156</v>
      </c>
      <c r="N9" s="58" t="s">
        <v>157</v>
      </c>
      <c r="O9" s="58" t="s">
        <v>158</v>
      </c>
      <c r="P9" s="58" t="s">
        <v>159</v>
      </c>
      <c r="Q9" s="58" t="s">
        <v>160</v>
      </c>
      <c r="R9" s="58" t="s">
        <v>161</v>
      </c>
      <c r="S9" s="58" t="s">
        <v>162</v>
      </c>
      <c r="T9" s="58" t="s">
        <v>163</v>
      </c>
      <c r="U9" s="58" t="s">
        <v>164</v>
      </c>
      <c r="V9" s="58" t="s">
        <v>165</v>
      </c>
      <c r="W9" s="58" t="s">
        <v>166</v>
      </c>
    </row>
    <row r="10" spans="1:30" s="69" customFormat="1" x14ac:dyDescent="0.15">
      <c r="A10" s="55" t="s">
        <v>326</v>
      </c>
      <c r="B10" s="61" t="s">
        <v>201</v>
      </c>
      <c r="C10" s="56">
        <v>39003</v>
      </c>
      <c r="D10" s="61" t="s">
        <v>180</v>
      </c>
      <c r="E10" s="62" t="str">
        <f t="shared" si="0"/>
        <v>stage_hints_data_c_39003.tmp</v>
      </c>
      <c r="F10" s="61" t="s">
        <v>209</v>
      </c>
      <c r="G10" s="66" t="s">
        <v>181</v>
      </c>
      <c r="H10" s="66" t="s">
        <v>173</v>
      </c>
      <c r="I10" s="67" t="s">
        <v>182</v>
      </c>
      <c r="J10" s="60" t="s">
        <v>183</v>
      </c>
      <c r="K10" s="68" t="s">
        <v>184</v>
      </c>
    </row>
    <row r="11" spans="1:30" s="69" customFormat="1" x14ac:dyDescent="0.15">
      <c r="A11" s="55" t="s">
        <v>326</v>
      </c>
      <c r="B11" s="61" t="s">
        <v>202</v>
      </c>
      <c r="C11" s="56">
        <v>39003</v>
      </c>
      <c r="D11" s="61" t="s">
        <v>171</v>
      </c>
      <c r="E11" s="62" t="str">
        <f t="shared" ref="E11:E12" si="1">B11&amp;C11&amp;D11</f>
        <v>stage_hints_data_f_39003.tmp</v>
      </c>
      <c r="F11" s="61" t="s">
        <v>211</v>
      </c>
      <c r="G11" s="66" t="s">
        <v>181</v>
      </c>
      <c r="H11" s="66" t="s">
        <v>173</v>
      </c>
      <c r="I11" s="67" t="s">
        <v>182</v>
      </c>
      <c r="J11" s="60" t="s">
        <v>183</v>
      </c>
      <c r="K11" s="68" t="s">
        <v>184</v>
      </c>
    </row>
    <row r="12" spans="1:30" s="69" customFormat="1" x14ac:dyDescent="0.15">
      <c r="A12" s="61" t="s">
        <v>327</v>
      </c>
      <c r="B12" s="61" t="s">
        <v>203</v>
      </c>
      <c r="C12" s="56">
        <v>39003</v>
      </c>
      <c r="D12" s="61" t="s">
        <v>171</v>
      </c>
      <c r="E12" s="62" t="str">
        <f t="shared" si="1"/>
        <v>stage_hints_i18n_39003.tmp</v>
      </c>
      <c r="F12" s="61" t="s">
        <v>212</v>
      </c>
      <c r="G12" s="67" t="s">
        <v>204</v>
      </c>
      <c r="H12" s="89" t="s">
        <v>205</v>
      </c>
      <c r="I12" s="66" t="s">
        <v>206</v>
      </c>
      <c r="J12" s="90" t="s">
        <v>207</v>
      </c>
      <c r="K12" s="68" t="s">
        <v>208</v>
      </c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7"/>
  <sheetViews>
    <sheetView showGridLines="0" workbookViewId="0">
      <pane ySplit="1" topLeftCell="A2" activePane="bottomLeft" state="frozen"/>
      <selection activeCell="V2" sqref="V2:X34"/>
      <selection pane="bottomLeft" activeCell="K9" sqref="K9"/>
    </sheetView>
  </sheetViews>
  <sheetFormatPr baseColWidth="12" defaultColWidth="13" defaultRowHeight="21" customHeight="1" outlineLevelCol="1" x14ac:dyDescent="0.15"/>
  <cols>
    <col min="1" max="1" width="8.83203125" style="16" bestFit="1" customWidth="1"/>
    <col min="2" max="2" width="5" style="16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6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thickBot="1" x14ac:dyDescent="0.2">
      <c r="A1" s="13" t="s">
        <v>30</v>
      </c>
      <c r="B1" s="13" t="s">
        <v>36</v>
      </c>
      <c r="C1" s="1" t="s">
        <v>0</v>
      </c>
      <c r="D1" s="2" t="s">
        <v>18</v>
      </c>
      <c r="E1" s="12" t="s">
        <v>33</v>
      </c>
      <c r="F1" s="1" t="s">
        <v>1</v>
      </c>
      <c r="G1" s="18" t="s">
        <v>32</v>
      </c>
      <c r="H1" s="12" t="s">
        <v>34</v>
      </c>
      <c r="I1" s="1" t="s">
        <v>13</v>
      </c>
      <c r="J1" s="1" t="s">
        <v>14</v>
      </c>
      <c r="K1" s="1" t="s">
        <v>15</v>
      </c>
    </row>
    <row r="2" spans="1:11" ht="21" customHeight="1" thickBot="1" x14ac:dyDescent="0.2">
      <c r="A2" s="92" t="str">
        <f>G2&amp;"-"&amp;I2</f>
        <v>39003_1-1</v>
      </c>
      <c r="B2" s="93" t="str">
        <f>IF(COUNTIF(enemy_habitats!$H:$H,A2),"OK","NG")</f>
        <v>OK</v>
      </c>
      <c r="C2" s="94">
        <v>39003</v>
      </c>
      <c r="D2" s="95" t="str">
        <f ca="1">VLOOKUP($C2,OFFSET([2]quests!$A$1,0,0,COUNTA([2]quests!$A:$A),MATCH(D$1,[2]quests!$1:$1,0)-MATCH($C$1,[2]quests!$1:$1,0)+1),MATCH(D$1,[2]quests!$1:$1,0)-MATCH($C$1,[2]quests!$1:$1,0)+1,FALSE)</f>
        <v>ブルースクウェアを追え！</v>
      </c>
      <c r="E2" s="95" t="str">
        <f ca="1">VLOOKUP($C2,OFFSET([2]quests!$A$1,0,0,COUNTA([2]quests!$A:$A),MATCH(E$1,[2]quests!$1:$1,0)-MATCH($C$1,[2]quests!$1:$1,0)+1),MATCH(E$1,[2]quests!$1:$1,0)-MATCH($C$1,[2]quests!$1:$1,0)+1,FALSE)</f>
        <v>コラボクエスト</v>
      </c>
      <c r="F2" s="96">
        <v>1</v>
      </c>
      <c r="G2" s="97" t="str">
        <f>C2&amp;"_"&amp;F2</f>
        <v>39003_1</v>
      </c>
      <c r="H2" s="98" t="str">
        <f ca="1">VLOOKUP($G2,OFFSET([2]stages!$A$1,0,0,COUNTA([2]stages!$A:$A),MATCH(H$1,[2]stages!$2:$2,0)-MATCH($G$1,[2]stages!$2:$2,0)+1),MATCH(H$1,[2]stages!$2:$2,0)-MATCH($G$1,[2]stages!$2:$2,0)+1,FALSE)</f>
        <v>【初級】ブルースクウェアを追え！</v>
      </c>
      <c r="I2" s="96">
        <v>1</v>
      </c>
      <c r="J2" s="99">
        <v>45</v>
      </c>
      <c r="K2" s="100">
        <v>45</v>
      </c>
    </row>
    <row r="3" spans="1:11" ht="21" customHeight="1" thickBot="1" x14ac:dyDescent="0.2">
      <c r="A3" s="92" t="str">
        <f t="shared" ref="A3:A13" si="0">G3&amp;"-"&amp;I3</f>
        <v>39003_1-2</v>
      </c>
      <c r="B3" s="93" t="str">
        <f>IF(COUNTIF(enemy_habitats!$H:$H,A3),"OK","NG")</f>
        <v>OK</v>
      </c>
      <c r="C3" s="101">
        <v>39003</v>
      </c>
      <c r="D3" s="15" t="str">
        <f ca="1">VLOOKUP($C3,OFFSET([2]quests!$A$1,0,0,COUNTA([2]quests!$A:$A),MATCH(D$1,[2]quests!$1:$1,0)-MATCH($C$1,[2]quests!$1:$1,0)+1),MATCH(D$1,[2]quests!$1:$1,0)-MATCH($C$1,[2]quests!$1:$1,0)+1,FALSE)</f>
        <v>ブルースクウェアを追え！</v>
      </c>
      <c r="E3" s="15" t="str">
        <f ca="1">VLOOKUP($C3,OFFSET([2]quests!$A$1,0,0,COUNTA([2]quests!$A:$A),MATCH(E$1,[2]quests!$1:$1,0)-MATCH($C$1,[2]quests!$1:$1,0)+1),MATCH(E$1,[2]quests!$1:$1,0)-MATCH($C$1,[2]quests!$1:$1,0)+1,FALSE)</f>
        <v>コラボクエスト</v>
      </c>
      <c r="F3" s="102">
        <v>1</v>
      </c>
      <c r="G3" s="18" t="str">
        <f>C3&amp;"_"&amp;F3</f>
        <v>39003_1</v>
      </c>
      <c r="H3" s="12" t="str">
        <f ca="1">VLOOKUP($G3,OFFSET([2]stages!$A$1,0,0,COUNTA([2]stages!$A:$A),MATCH(H$1,[2]stages!$2:$2,0)-MATCH($G$1,[2]stages!$2:$2,0)+1),MATCH(H$1,[2]stages!$2:$2,0)-MATCH($G$1,[2]stages!$2:$2,0)+1,FALSE)</f>
        <v>【初級】ブルースクウェアを追え！</v>
      </c>
      <c r="I3" s="102">
        <v>2</v>
      </c>
      <c r="J3" s="32">
        <v>60</v>
      </c>
      <c r="K3" s="103">
        <v>60</v>
      </c>
    </row>
    <row r="4" spans="1:11" ht="21" customHeight="1" thickBot="1" x14ac:dyDescent="0.2">
      <c r="A4" s="92" t="str">
        <f t="shared" ref="A4" si="1">G4&amp;"-"&amp;I4</f>
        <v>39003_1-3</v>
      </c>
      <c r="B4" s="93" t="str">
        <f>IF(COUNTIF(enemy_habitats!$H:$H,A4),"OK","NG")</f>
        <v>OK</v>
      </c>
      <c r="C4" s="101">
        <v>39003</v>
      </c>
      <c r="D4" s="15" t="str">
        <f ca="1">VLOOKUP($C4,OFFSET([2]quests!$A$1,0,0,COUNTA([2]quests!$A:$A),MATCH(D$1,[2]quests!$1:$1,0)-MATCH($C$1,[2]quests!$1:$1,0)+1),MATCH(D$1,[2]quests!$1:$1,0)-MATCH($C$1,[2]quests!$1:$1,0)+1,FALSE)</f>
        <v>ブルースクウェアを追え！</v>
      </c>
      <c r="E4" s="15" t="str">
        <f ca="1">VLOOKUP($C4,OFFSET([2]quests!$A$1,0,0,COUNTA([2]quests!$A:$A),MATCH(E$1,[2]quests!$1:$1,0)-MATCH($C$1,[2]quests!$1:$1,0)+1),MATCH(E$1,[2]quests!$1:$1,0)-MATCH($C$1,[2]quests!$1:$1,0)+1,FALSE)</f>
        <v>コラボクエスト</v>
      </c>
      <c r="F4" s="102">
        <v>1</v>
      </c>
      <c r="G4" s="18" t="str">
        <f>C4&amp;"_"&amp;F4</f>
        <v>39003_1</v>
      </c>
      <c r="H4" s="12" t="str">
        <f ca="1">VLOOKUP($G4,OFFSET([2]stages!$A$1,0,0,COUNTA([2]stages!$A:$A),MATCH(H$1,[2]stages!$2:$2,0)-MATCH($G$1,[2]stages!$2:$2,0)+1),MATCH(H$1,[2]stages!$2:$2,0)-MATCH($G$1,[2]stages!$2:$2,0)+1,FALSE)</f>
        <v>【初級】ブルースクウェアを追え！</v>
      </c>
      <c r="I4" s="102">
        <v>3</v>
      </c>
      <c r="J4" s="32">
        <v>50</v>
      </c>
      <c r="K4" s="103">
        <v>50</v>
      </c>
    </row>
    <row r="5" spans="1:11" ht="21" customHeight="1" thickBot="1" x14ac:dyDescent="0.2">
      <c r="A5" s="92" t="str">
        <f t="shared" si="0"/>
        <v>39003_1-4</v>
      </c>
      <c r="B5" s="93" t="str">
        <f>IF(COUNTIF(enemy_habitats!$H:$H,A5),"OK","NG")</f>
        <v>OK</v>
      </c>
      <c r="C5" s="104">
        <v>39003</v>
      </c>
      <c r="D5" s="105" t="str">
        <f ca="1">VLOOKUP($C5,OFFSET([2]quests!$A$1,0,0,COUNTA([2]quests!$A:$A),MATCH(D$1,[2]quests!$1:$1,0)-MATCH($C$1,[2]quests!$1:$1,0)+1),MATCH(D$1,[2]quests!$1:$1,0)-MATCH($C$1,[2]quests!$1:$1,0)+1,FALSE)</f>
        <v>ブルースクウェアを追え！</v>
      </c>
      <c r="E5" s="105" t="str">
        <f ca="1">VLOOKUP($C5,OFFSET([2]quests!$A$1,0,0,COUNTA([2]quests!$A:$A),MATCH(E$1,[2]quests!$1:$1,0)-MATCH($C$1,[2]quests!$1:$1,0)+1),MATCH(E$1,[2]quests!$1:$1,0)-MATCH($C$1,[2]quests!$1:$1,0)+1,FALSE)</f>
        <v>コラボクエスト</v>
      </c>
      <c r="F5" s="106">
        <v>1</v>
      </c>
      <c r="G5" s="107" t="str">
        <f>C5&amp;"_"&amp;F5</f>
        <v>39003_1</v>
      </c>
      <c r="H5" s="108" t="str">
        <f ca="1">VLOOKUP($G5,OFFSET([2]stages!$A$1,0,0,COUNTA([2]stages!$A:$A),MATCH(H$1,[2]stages!$2:$2,0)-MATCH($G$1,[2]stages!$2:$2,0)+1),MATCH(H$1,[2]stages!$2:$2,0)-MATCH($G$1,[2]stages!$2:$2,0)+1,FALSE)</f>
        <v>【初級】ブルースクウェアを追え！</v>
      </c>
      <c r="I5" s="106">
        <v>4</v>
      </c>
      <c r="J5" s="109">
        <v>30</v>
      </c>
      <c r="K5" s="110">
        <v>30</v>
      </c>
    </row>
    <row r="6" spans="1:11" ht="21" customHeight="1" thickBot="1" x14ac:dyDescent="0.2">
      <c r="A6" s="111" t="str">
        <f t="shared" si="0"/>
        <v>39003_2-1</v>
      </c>
      <c r="B6" s="93" t="str">
        <f>IF(COUNTIF(enemy_habitats!$H:$H,A6),"OK","NG")</f>
        <v>OK</v>
      </c>
      <c r="C6" s="112">
        <v>39003</v>
      </c>
      <c r="D6" s="113" t="str">
        <f ca="1">VLOOKUP($C6,OFFSET([2]quests!$A$1,0,0,COUNTA([2]quests!$A:$A),MATCH(D$1,[2]quests!$1:$1,0)-MATCH($C$1,[2]quests!$1:$1,0)+1),MATCH(D$1,[2]quests!$1:$1,0)-MATCH($C$1,[2]quests!$1:$1,0)+1,FALSE)</f>
        <v>ブルースクウェアを追え！</v>
      </c>
      <c r="E6" s="113" t="str">
        <f ca="1">VLOOKUP($C6,OFFSET([2]quests!$A$1,0,0,COUNTA([2]quests!$A:$A),MATCH(E$1,[2]quests!$1:$1,0)-MATCH($C$1,[2]quests!$1:$1,0)+1),MATCH(E$1,[2]quests!$1:$1,0)-MATCH($C$1,[2]quests!$1:$1,0)+1,FALSE)</f>
        <v>コラボクエスト</v>
      </c>
      <c r="F6" s="114">
        <v>2</v>
      </c>
      <c r="G6" s="115" t="str">
        <f t="shared" ref="G6:G13" si="2">C6&amp;"_"&amp;F6</f>
        <v>39003_2</v>
      </c>
      <c r="H6" s="116" t="str">
        <f ca="1">VLOOKUP($G6,OFFSET([2]stages!$A$1,0,0,COUNTA([2]stages!$A:$A),MATCH(H$1,[2]stages!$2:$2,0)-MATCH($G$1,[2]stages!$2:$2,0)+1),MATCH(H$1,[2]stages!$2:$2,0)-MATCH($G$1,[2]stages!$2:$2,0)+1,FALSE)</f>
        <v>【中級】ブルースクウェアを追え！</v>
      </c>
      <c r="I6" s="114">
        <v>1</v>
      </c>
      <c r="J6" s="117">
        <v>45</v>
      </c>
      <c r="K6" s="118">
        <v>45</v>
      </c>
    </row>
    <row r="7" spans="1:11" ht="21" customHeight="1" thickBot="1" x14ac:dyDescent="0.2">
      <c r="A7" s="92" t="str">
        <f t="shared" ref="A7" si="3">G7&amp;"-"&amp;I7</f>
        <v>39003_2-2</v>
      </c>
      <c r="B7" s="93" t="str">
        <f>IF(COUNTIF(enemy_habitats!$H:$H,A7),"OK","NG")</f>
        <v>OK</v>
      </c>
      <c r="C7" s="101">
        <v>39003</v>
      </c>
      <c r="D7" s="15" t="str">
        <f ca="1">VLOOKUP($C7,OFFSET([2]quests!$A$1,0,0,COUNTA([2]quests!$A:$A),MATCH(D$1,[2]quests!$1:$1,0)-MATCH($C$1,[2]quests!$1:$1,0)+1),MATCH(D$1,[2]quests!$1:$1,0)-MATCH($C$1,[2]quests!$1:$1,0)+1,FALSE)</f>
        <v>ブルースクウェアを追え！</v>
      </c>
      <c r="E7" s="15" t="str">
        <f ca="1">VLOOKUP($C7,OFFSET([2]quests!$A$1,0,0,COUNTA([2]quests!$A:$A),MATCH(E$1,[2]quests!$1:$1,0)-MATCH($C$1,[2]quests!$1:$1,0)+1),MATCH(E$1,[2]quests!$1:$1,0)-MATCH($C$1,[2]quests!$1:$1,0)+1,FALSE)</f>
        <v>コラボクエスト</v>
      </c>
      <c r="F7" s="114">
        <v>2</v>
      </c>
      <c r="G7" s="18" t="str">
        <f>C7&amp;"_"&amp;F7</f>
        <v>39003_2</v>
      </c>
      <c r="H7" s="12" t="str">
        <f ca="1">VLOOKUP($G7,OFFSET([2]stages!$A$1,0,0,COUNTA([2]stages!$A:$A),MATCH(H$1,[2]stages!$2:$2,0)-MATCH($G$1,[2]stages!$2:$2,0)+1),MATCH(H$1,[2]stages!$2:$2,0)-MATCH($G$1,[2]stages!$2:$2,0)+1,FALSE)</f>
        <v>【中級】ブルースクウェアを追え！</v>
      </c>
      <c r="I7" s="102">
        <v>2</v>
      </c>
      <c r="J7" s="32">
        <v>60</v>
      </c>
      <c r="K7" s="103">
        <v>60</v>
      </c>
    </row>
    <row r="8" spans="1:11" ht="21" customHeight="1" thickBot="1" x14ac:dyDescent="0.2">
      <c r="A8" s="111" t="str">
        <f t="shared" si="0"/>
        <v>39003_2-3</v>
      </c>
      <c r="B8" s="93" t="str">
        <f>IF(COUNTIF(enemy_habitats!$H:$H,A8),"OK","NG")</f>
        <v>OK</v>
      </c>
      <c r="C8" s="101">
        <v>39003</v>
      </c>
      <c r="D8" s="15" t="str">
        <f ca="1">VLOOKUP($C8,OFFSET([2]quests!$A$1,0,0,COUNTA([2]quests!$A:$A),MATCH(D$1,[2]quests!$1:$1,0)-MATCH($C$1,[2]quests!$1:$1,0)+1),MATCH(D$1,[2]quests!$1:$1,0)-MATCH($C$1,[2]quests!$1:$1,0)+1,FALSE)</f>
        <v>ブルースクウェアを追え！</v>
      </c>
      <c r="E8" s="15" t="str">
        <f ca="1">VLOOKUP($C8,OFFSET([2]quests!$A$1,0,0,COUNTA([2]quests!$A:$A),MATCH(E$1,[2]quests!$1:$1,0)-MATCH($C$1,[2]quests!$1:$1,0)+1),MATCH(E$1,[2]quests!$1:$1,0)-MATCH($C$1,[2]quests!$1:$1,0)+1,FALSE)</f>
        <v>コラボクエスト</v>
      </c>
      <c r="F8" s="102">
        <v>2</v>
      </c>
      <c r="G8" s="18" t="str">
        <f t="shared" si="2"/>
        <v>39003_2</v>
      </c>
      <c r="H8" s="12" t="str">
        <f ca="1">VLOOKUP($G8,OFFSET([2]stages!$A$1,0,0,COUNTA([2]stages!$A:$A),MATCH(H$1,[2]stages!$2:$2,0)-MATCH($G$1,[2]stages!$2:$2,0)+1),MATCH(H$1,[2]stages!$2:$2,0)-MATCH($G$1,[2]stages!$2:$2,0)+1,FALSE)</f>
        <v>【中級】ブルースクウェアを追え！</v>
      </c>
      <c r="I8" s="102">
        <v>3</v>
      </c>
      <c r="J8" s="32">
        <v>50</v>
      </c>
      <c r="K8" s="103">
        <v>50</v>
      </c>
    </row>
    <row r="9" spans="1:11" ht="21" customHeight="1" thickBot="1" x14ac:dyDescent="0.2">
      <c r="A9" s="119" t="str">
        <f t="shared" si="0"/>
        <v>39003_2-4</v>
      </c>
      <c r="B9" s="93" t="str">
        <f>IF(COUNTIF(enemy_habitats!$H:$H,A9),"OK","NG")</f>
        <v>OK</v>
      </c>
      <c r="C9" s="104">
        <v>39003</v>
      </c>
      <c r="D9" s="105" t="str">
        <f ca="1">VLOOKUP($C9,OFFSET([2]quests!$A$1,0,0,COUNTA([2]quests!$A:$A),MATCH(D$1,[2]quests!$1:$1,0)-MATCH($C$1,[2]quests!$1:$1,0)+1),MATCH(D$1,[2]quests!$1:$1,0)-MATCH($C$1,[2]quests!$1:$1,0)+1,FALSE)</f>
        <v>ブルースクウェアを追え！</v>
      </c>
      <c r="E9" s="105" t="str">
        <f ca="1">VLOOKUP($C9,OFFSET([2]quests!$A$1,0,0,COUNTA([2]quests!$A:$A),MATCH(E$1,[2]quests!$1:$1,0)-MATCH($C$1,[2]quests!$1:$1,0)+1),MATCH(E$1,[2]quests!$1:$1,0)-MATCH($C$1,[2]quests!$1:$1,0)+1,FALSE)</f>
        <v>コラボクエスト</v>
      </c>
      <c r="F9" s="106">
        <v>2</v>
      </c>
      <c r="G9" s="107" t="str">
        <f t="shared" si="2"/>
        <v>39003_2</v>
      </c>
      <c r="H9" s="108" t="str">
        <f ca="1">VLOOKUP($G9,OFFSET([2]stages!$A$1,0,0,COUNTA([2]stages!$A:$A),MATCH(H$1,[2]stages!$2:$2,0)-MATCH($G$1,[2]stages!$2:$2,0)+1),MATCH(H$1,[2]stages!$2:$2,0)-MATCH($G$1,[2]stages!$2:$2,0)+1,FALSE)</f>
        <v>【中級】ブルースクウェアを追え！</v>
      </c>
      <c r="I9" s="106">
        <v>4</v>
      </c>
      <c r="J9" s="109">
        <v>30</v>
      </c>
      <c r="K9" s="110">
        <v>30</v>
      </c>
    </row>
    <row r="10" spans="1:11" ht="21" customHeight="1" thickBot="1" x14ac:dyDescent="0.2">
      <c r="A10" s="111" t="str">
        <f t="shared" si="0"/>
        <v>39003_3-1</v>
      </c>
      <c r="B10" s="93" t="str">
        <f>IF(COUNTIF(enemy_habitats!$H:$H,A10),"OK","NG")</f>
        <v>OK</v>
      </c>
      <c r="C10" s="112">
        <v>39003</v>
      </c>
      <c r="D10" s="113" t="str">
        <f ca="1">VLOOKUP($C10,OFFSET([2]quests!$A$1,0,0,COUNTA([2]quests!$A:$A),MATCH(D$1,[2]quests!$1:$1,0)-MATCH($C$1,[2]quests!$1:$1,0)+1),MATCH(D$1,[2]quests!$1:$1,0)-MATCH($C$1,[2]quests!$1:$1,0)+1,FALSE)</f>
        <v>ブルースクウェアを追え！</v>
      </c>
      <c r="E10" s="113" t="str">
        <f ca="1">VLOOKUP($C10,OFFSET([2]quests!$A$1,0,0,COUNTA([2]quests!$A:$A),MATCH(E$1,[2]quests!$1:$1,0)-MATCH($C$1,[2]quests!$1:$1,0)+1),MATCH(E$1,[2]quests!$1:$1,0)-MATCH($C$1,[2]quests!$1:$1,0)+1,FALSE)</f>
        <v>コラボクエスト</v>
      </c>
      <c r="F10" s="114">
        <v>3</v>
      </c>
      <c r="G10" s="115" t="str">
        <f t="shared" si="2"/>
        <v>39003_3</v>
      </c>
      <c r="H10" s="116" t="str">
        <f ca="1">VLOOKUP($G10,OFFSET([2]stages!$A$1,0,0,COUNTA([2]stages!$A:$A),MATCH(H$1,[2]stages!$2:$2,0)-MATCH($G$1,[2]stages!$2:$2,0)+1),MATCH(H$1,[2]stages!$2:$2,0)-MATCH($G$1,[2]stages!$2:$2,0)+1,FALSE)</f>
        <v>【上級】ブルースクウェアを追え！</v>
      </c>
      <c r="I10" s="114">
        <v>1</v>
      </c>
      <c r="J10" s="117">
        <v>45</v>
      </c>
      <c r="K10" s="118">
        <v>45</v>
      </c>
    </row>
    <row r="11" spans="1:11" ht="21" customHeight="1" thickBot="1" x14ac:dyDescent="0.2">
      <c r="A11" s="111" t="str">
        <f t="shared" si="0"/>
        <v>39003_3-2</v>
      </c>
      <c r="B11" s="93" t="str">
        <f>IF(COUNTIF(enemy_habitats!$H:$H,A11),"OK","NG")</f>
        <v>OK</v>
      </c>
      <c r="C11" s="101">
        <v>39003</v>
      </c>
      <c r="D11" s="15" t="str">
        <f ca="1">VLOOKUP($C11,OFFSET([2]quests!$A$1,0,0,COUNTA([2]quests!$A:$A),MATCH(D$1,[2]quests!$1:$1,0)-MATCH($C$1,[2]quests!$1:$1,0)+1),MATCH(D$1,[2]quests!$1:$1,0)-MATCH($C$1,[2]quests!$1:$1,0)+1,FALSE)</f>
        <v>ブルースクウェアを追え！</v>
      </c>
      <c r="E11" s="15" t="str">
        <f ca="1">VLOOKUP($C11,OFFSET([2]quests!$A$1,0,0,COUNTA([2]quests!$A:$A),MATCH(E$1,[2]quests!$1:$1,0)-MATCH($C$1,[2]quests!$1:$1,0)+1),MATCH(E$1,[2]quests!$1:$1,0)-MATCH($C$1,[2]quests!$1:$1,0)+1,FALSE)</f>
        <v>コラボクエスト</v>
      </c>
      <c r="F11" s="102">
        <v>3</v>
      </c>
      <c r="G11" s="18" t="str">
        <f t="shared" si="2"/>
        <v>39003_3</v>
      </c>
      <c r="H11" s="12" t="str">
        <f ca="1">VLOOKUP($G11,OFFSET([2]stages!$A$1,0,0,COUNTA([2]stages!$A:$A),MATCH(H$1,[2]stages!$2:$2,0)-MATCH($G$1,[2]stages!$2:$2,0)+1),MATCH(H$1,[2]stages!$2:$2,0)-MATCH($G$1,[2]stages!$2:$2,0)+1,FALSE)</f>
        <v>【上級】ブルースクウェアを追え！</v>
      </c>
      <c r="I11" s="102">
        <v>2</v>
      </c>
      <c r="J11" s="32">
        <v>60</v>
      </c>
      <c r="K11" s="103">
        <v>60</v>
      </c>
    </row>
    <row r="12" spans="1:11" ht="21" customHeight="1" thickBot="1" x14ac:dyDescent="0.2">
      <c r="A12" s="111" t="str">
        <f t="shared" si="0"/>
        <v>39003_3-3</v>
      </c>
      <c r="B12" s="93" t="str">
        <f>IF(COUNTIF(enemy_habitats!$H:$H,A12),"OK","NG")</f>
        <v>OK</v>
      </c>
      <c r="C12" s="101">
        <v>39003</v>
      </c>
      <c r="D12" s="15" t="str">
        <f ca="1">VLOOKUP($C12,OFFSET([2]quests!$A$1,0,0,COUNTA([2]quests!$A:$A),MATCH(D$1,[2]quests!$1:$1,0)-MATCH($C$1,[2]quests!$1:$1,0)+1),MATCH(D$1,[2]quests!$1:$1,0)-MATCH($C$1,[2]quests!$1:$1,0)+1,FALSE)</f>
        <v>ブルースクウェアを追え！</v>
      </c>
      <c r="E12" s="15" t="str">
        <f ca="1">VLOOKUP($C12,OFFSET([2]quests!$A$1,0,0,COUNTA([2]quests!$A:$A),MATCH(E$1,[2]quests!$1:$1,0)-MATCH($C$1,[2]quests!$1:$1,0)+1),MATCH(E$1,[2]quests!$1:$1,0)-MATCH($C$1,[2]quests!$1:$1,0)+1,FALSE)</f>
        <v>コラボクエスト</v>
      </c>
      <c r="F12" s="102">
        <v>3</v>
      </c>
      <c r="G12" s="18" t="str">
        <f t="shared" si="2"/>
        <v>39003_3</v>
      </c>
      <c r="H12" s="12" t="str">
        <f ca="1">VLOOKUP($G12,OFFSET([2]stages!$A$1,0,0,COUNTA([2]stages!$A:$A),MATCH(H$1,[2]stages!$2:$2,0)-MATCH($G$1,[2]stages!$2:$2,0)+1),MATCH(H$1,[2]stages!$2:$2,0)-MATCH($G$1,[2]stages!$2:$2,0)+1,FALSE)</f>
        <v>【上級】ブルースクウェアを追え！</v>
      </c>
      <c r="I12" s="102">
        <v>3</v>
      </c>
      <c r="J12" s="32">
        <v>50</v>
      </c>
      <c r="K12" s="103">
        <v>50</v>
      </c>
    </row>
    <row r="13" spans="1:11" ht="21" customHeight="1" thickBot="1" x14ac:dyDescent="0.2">
      <c r="A13" s="119" t="str">
        <f t="shared" si="0"/>
        <v>39003_3-4</v>
      </c>
      <c r="B13" s="93" t="str">
        <f>IF(COUNTIF(enemy_habitats!$H:$H,A13),"OK","NG")</f>
        <v>OK</v>
      </c>
      <c r="C13" s="104">
        <v>39003</v>
      </c>
      <c r="D13" s="105" t="str">
        <f ca="1">VLOOKUP($C13,OFFSET([2]quests!$A$1,0,0,COUNTA([2]quests!$A:$A),MATCH(D$1,[2]quests!$1:$1,0)-MATCH($C$1,[2]quests!$1:$1,0)+1),MATCH(D$1,[2]quests!$1:$1,0)-MATCH($C$1,[2]quests!$1:$1,0)+1,FALSE)</f>
        <v>ブルースクウェアを追え！</v>
      </c>
      <c r="E13" s="105" t="str">
        <f ca="1">VLOOKUP($C13,OFFSET([2]quests!$A$1,0,0,COUNTA([2]quests!$A:$A),MATCH(E$1,[2]quests!$1:$1,0)-MATCH($C$1,[2]quests!$1:$1,0)+1),MATCH(E$1,[2]quests!$1:$1,0)-MATCH($C$1,[2]quests!$1:$1,0)+1,FALSE)</f>
        <v>コラボクエスト</v>
      </c>
      <c r="F13" s="106">
        <v>3</v>
      </c>
      <c r="G13" s="107" t="str">
        <f t="shared" si="2"/>
        <v>39003_3</v>
      </c>
      <c r="H13" s="108" t="str">
        <f ca="1">VLOOKUP($G13,OFFSET([2]stages!$A$1,0,0,COUNTA([2]stages!$A:$A),MATCH(H$1,[2]stages!$2:$2,0)-MATCH($G$1,[2]stages!$2:$2,0)+1),MATCH(H$1,[2]stages!$2:$2,0)-MATCH($G$1,[2]stages!$2:$2,0)+1,FALSE)</f>
        <v>【上級】ブルースクウェアを追え！</v>
      </c>
      <c r="I13" s="106">
        <v>4</v>
      </c>
      <c r="J13" s="109">
        <v>60</v>
      </c>
      <c r="K13" s="110">
        <v>60</v>
      </c>
    </row>
    <row r="14" spans="1:11" ht="21" customHeight="1" thickBot="1" x14ac:dyDescent="0.2">
      <c r="A14" s="111" t="str">
        <f t="shared" ref="A14:A17" si="4">G14&amp;"-"&amp;I14</f>
        <v>39003_4-1</v>
      </c>
      <c r="B14" s="93" t="str">
        <f>IF(COUNTIF(enemy_habitats!$H:$H,A14),"OK","NG")</f>
        <v>OK</v>
      </c>
      <c r="C14" s="112">
        <v>39003</v>
      </c>
      <c r="D14" s="113" t="str">
        <f ca="1">VLOOKUP($C14,OFFSET([2]quests!$A$1,0,0,COUNTA([2]quests!$A:$A),MATCH(D$1,[2]quests!$1:$1,0)-MATCH($C$1,[2]quests!$1:$1,0)+1),MATCH(D$1,[2]quests!$1:$1,0)-MATCH($C$1,[2]quests!$1:$1,0)+1,FALSE)</f>
        <v>ブルースクウェアを追え！</v>
      </c>
      <c r="E14" s="113" t="str">
        <f ca="1">VLOOKUP($C14,OFFSET([2]quests!$A$1,0,0,COUNTA([2]quests!$A:$A),MATCH(E$1,[2]quests!$1:$1,0)-MATCH($C$1,[2]quests!$1:$1,0)+1),MATCH(E$1,[2]quests!$1:$1,0)-MATCH($C$1,[2]quests!$1:$1,0)+1,FALSE)</f>
        <v>コラボクエスト</v>
      </c>
      <c r="F14" s="114">
        <v>4</v>
      </c>
      <c r="G14" s="115" t="str">
        <f t="shared" ref="G14:G17" si="5">C14&amp;"_"&amp;F14</f>
        <v>39003_4</v>
      </c>
      <c r="H14" s="116" t="str">
        <f ca="1">VLOOKUP($G14,OFFSET([2]stages!$A$1,0,0,COUNTA([2]stages!$A:$A),MATCH(H$1,[2]stages!$2:$2,0)-MATCH($G$1,[2]stages!$2:$2,0)+1),MATCH(H$1,[2]stages!$2:$2,0)-MATCH($G$1,[2]stages!$2:$2,0)+1,FALSE)</f>
        <v>【超級】ブルースクウェアを追え！</v>
      </c>
      <c r="I14" s="114">
        <v>1</v>
      </c>
      <c r="J14" s="117">
        <v>45</v>
      </c>
      <c r="K14" s="118">
        <v>45</v>
      </c>
    </row>
    <row r="15" spans="1:11" ht="21" customHeight="1" thickBot="1" x14ac:dyDescent="0.2">
      <c r="A15" s="111" t="str">
        <f t="shared" si="4"/>
        <v>39003_4-2</v>
      </c>
      <c r="B15" s="93" t="str">
        <f>IF(COUNTIF(enemy_habitats!$H:$H,A15),"OK","NG")</f>
        <v>OK</v>
      </c>
      <c r="C15" s="101">
        <v>39003</v>
      </c>
      <c r="D15" s="15" t="str">
        <f ca="1">VLOOKUP($C15,OFFSET([2]quests!$A$1,0,0,COUNTA([2]quests!$A:$A),MATCH(D$1,[2]quests!$1:$1,0)-MATCH($C$1,[2]quests!$1:$1,0)+1),MATCH(D$1,[2]quests!$1:$1,0)-MATCH($C$1,[2]quests!$1:$1,0)+1,FALSE)</f>
        <v>ブルースクウェアを追え！</v>
      </c>
      <c r="E15" s="15" t="str">
        <f ca="1">VLOOKUP($C15,OFFSET([2]quests!$A$1,0,0,COUNTA([2]quests!$A:$A),MATCH(E$1,[2]quests!$1:$1,0)-MATCH($C$1,[2]quests!$1:$1,0)+1),MATCH(E$1,[2]quests!$1:$1,0)-MATCH($C$1,[2]quests!$1:$1,0)+1,FALSE)</f>
        <v>コラボクエスト</v>
      </c>
      <c r="F15" s="102">
        <v>4</v>
      </c>
      <c r="G15" s="18" t="str">
        <f t="shared" si="5"/>
        <v>39003_4</v>
      </c>
      <c r="H15" s="12" t="str">
        <f ca="1">VLOOKUP($G15,OFFSET([2]stages!$A$1,0,0,COUNTA([2]stages!$A:$A),MATCH(H$1,[2]stages!$2:$2,0)-MATCH($G$1,[2]stages!$2:$2,0)+1),MATCH(H$1,[2]stages!$2:$2,0)-MATCH($G$1,[2]stages!$2:$2,0)+1,FALSE)</f>
        <v>【超級】ブルースクウェアを追え！</v>
      </c>
      <c r="I15" s="102">
        <v>2</v>
      </c>
      <c r="J15" s="32">
        <v>60</v>
      </c>
      <c r="K15" s="103">
        <v>60</v>
      </c>
    </row>
    <row r="16" spans="1:11" ht="21" customHeight="1" thickBot="1" x14ac:dyDescent="0.2">
      <c r="A16" s="111" t="str">
        <f t="shared" si="4"/>
        <v>39003_4-3</v>
      </c>
      <c r="B16" s="93" t="str">
        <f>IF(COUNTIF(enemy_habitats!$H:$H,A16),"OK","NG")</f>
        <v>OK</v>
      </c>
      <c r="C16" s="101">
        <v>39003</v>
      </c>
      <c r="D16" s="15" t="str">
        <f ca="1">VLOOKUP($C16,OFFSET([2]quests!$A$1,0,0,COUNTA([2]quests!$A:$A),MATCH(D$1,[2]quests!$1:$1,0)-MATCH($C$1,[2]quests!$1:$1,0)+1),MATCH(D$1,[2]quests!$1:$1,0)-MATCH($C$1,[2]quests!$1:$1,0)+1,FALSE)</f>
        <v>ブルースクウェアを追え！</v>
      </c>
      <c r="E16" s="15" t="str">
        <f ca="1">VLOOKUP($C16,OFFSET([2]quests!$A$1,0,0,COUNTA([2]quests!$A:$A),MATCH(E$1,[2]quests!$1:$1,0)-MATCH($C$1,[2]quests!$1:$1,0)+1),MATCH(E$1,[2]quests!$1:$1,0)-MATCH($C$1,[2]quests!$1:$1,0)+1,FALSE)</f>
        <v>コラボクエスト</v>
      </c>
      <c r="F16" s="102">
        <v>4</v>
      </c>
      <c r="G16" s="18" t="str">
        <f t="shared" si="5"/>
        <v>39003_4</v>
      </c>
      <c r="H16" s="12" t="str">
        <f ca="1">VLOOKUP($G16,OFFSET([2]stages!$A$1,0,0,COUNTA([2]stages!$A:$A),MATCH(H$1,[2]stages!$2:$2,0)-MATCH($G$1,[2]stages!$2:$2,0)+1),MATCH(H$1,[2]stages!$2:$2,0)-MATCH($G$1,[2]stages!$2:$2,0)+1,FALSE)</f>
        <v>【超級】ブルースクウェアを追え！</v>
      </c>
      <c r="I16" s="102">
        <v>3</v>
      </c>
      <c r="J16" s="32">
        <v>60</v>
      </c>
      <c r="K16" s="103">
        <v>60</v>
      </c>
    </row>
    <row r="17" spans="1:11" ht="21" customHeight="1" thickBot="1" x14ac:dyDescent="0.2">
      <c r="A17" s="119" t="str">
        <f t="shared" si="4"/>
        <v>39003_4-4</v>
      </c>
      <c r="B17" s="93" t="str">
        <f>IF(COUNTIF(enemy_habitats!$H:$H,A17),"OK","NG")</f>
        <v>OK</v>
      </c>
      <c r="C17" s="104">
        <v>39003</v>
      </c>
      <c r="D17" s="105" t="str">
        <f ca="1">VLOOKUP($C17,OFFSET([2]quests!$A$1,0,0,COUNTA([2]quests!$A:$A),MATCH(D$1,[2]quests!$1:$1,0)-MATCH($C$1,[2]quests!$1:$1,0)+1),MATCH(D$1,[2]quests!$1:$1,0)-MATCH($C$1,[2]quests!$1:$1,0)+1,FALSE)</f>
        <v>ブルースクウェアを追え！</v>
      </c>
      <c r="E17" s="105" t="str">
        <f ca="1">VLOOKUP($C17,OFFSET([2]quests!$A$1,0,0,COUNTA([2]quests!$A:$A),MATCH(E$1,[2]quests!$1:$1,0)-MATCH($C$1,[2]quests!$1:$1,0)+1),MATCH(E$1,[2]quests!$1:$1,0)-MATCH($C$1,[2]quests!$1:$1,0)+1,FALSE)</f>
        <v>コラボクエスト</v>
      </c>
      <c r="F17" s="106">
        <v>4</v>
      </c>
      <c r="G17" s="107" t="str">
        <f t="shared" si="5"/>
        <v>39003_4</v>
      </c>
      <c r="H17" s="108" t="str">
        <f ca="1">VLOOKUP($G17,OFFSET([2]stages!$A$1,0,0,COUNTA([2]stages!$A:$A),MATCH(H$1,[2]stages!$2:$2,0)-MATCH($G$1,[2]stages!$2:$2,0)+1),MATCH(H$1,[2]stages!$2:$2,0)-MATCH($G$1,[2]stages!$2:$2,0)+1,FALSE)</f>
        <v>【超級】ブルースクウェアを追え！</v>
      </c>
      <c r="I17" s="106">
        <v>4</v>
      </c>
      <c r="J17" s="109">
        <v>60</v>
      </c>
      <c r="K17" s="110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43"/>
  <sheetViews>
    <sheetView showGridLines="0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Z1" sqref="Z1"/>
    </sheetView>
  </sheetViews>
  <sheetFormatPr baseColWidth="12" defaultColWidth="13" defaultRowHeight="21" customHeight="1" outlineLevelCol="1" x14ac:dyDescent="0.15"/>
  <cols>
    <col min="1" max="1" width="15.83203125" style="16" bestFit="1" customWidth="1"/>
    <col min="2" max="2" width="10.83203125" style="3" bestFit="1" customWidth="1"/>
    <col min="3" max="3" width="10.6640625" style="3" bestFit="1" customWidth="1" collapsed="1"/>
    <col min="4" max="4" width="13" style="11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8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0" bestFit="1" customWidth="1" outlineLevel="1"/>
    <col min="30" max="30" width="8" style="11" bestFit="1" customWidth="1" outlineLevel="1"/>
    <col min="31" max="31" width="12" style="11" bestFit="1" customWidth="1" outlineLevel="1"/>
    <col min="32" max="32" width="15" style="9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29" customFormat="1" ht="21" customHeight="1" x14ac:dyDescent="0.15">
      <c r="A1" s="21" t="s">
        <v>29</v>
      </c>
      <c r="B1" s="22" t="s">
        <v>0</v>
      </c>
      <c r="C1" s="22" t="s">
        <v>1</v>
      </c>
      <c r="D1" s="23" t="s">
        <v>28</v>
      </c>
      <c r="E1" s="24" t="s">
        <v>20</v>
      </c>
      <c r="F1" s="24" t="s">
        <v>20</v>
      </c>
      <c r="G1" s="22" t="s">
        <v>19</v>
      </c>
      <c r="H1" s="23" t="s">
        <v>35</v>
      </c>
      <c r="I1" s="23" t="s">
        <v>14</v>
      </c>
      <c r="J1" s="23" t="s">
        <v>15</v>
      </c>
      <c r="K1" s="30" t="s">
        <v>54</v>
      </c>
      <c r="L1" s="31" t="s">
        <v>2</v>
      </c>
      <c r="M1" s="25" t="s">
        <v>21</v>
      </c>
      <c r="N1" s="23" t="s">
        <v>24</v>
      </c>
      <c r="O1" s="23" t="s">
        <v>23</v>
      </c>
      <c r="P1" s="26" t="s">
        <v>26</v>
      </c>
      <c r="Q1" s="24" t="s">
        <v>25</v>
      </c>
      <c r="R1" s="22" t="s">
        <v>3</v>
      </c>
      <c r="S1" s="20" t="s">
        <v>48</v>
      </c>
      <c r="T1" s="20" t="s">
        <v>50</v>
      </c>
      <c r="U1" s="20" t="s">
        <v>52</v>
      </c>
      <c r="V1" s="23" t="s">
        <v>31</v>
      </c>
      <c r="W1" s="22" t="s">
        <v>4</v>
      </c>
      <c r="X1" s="22" t="s">
        <v>5</v>
      </c>
      <c r="Y1" s="22" t="s">
        <v>6</v>
      </c>
      <c r="Z1" s="22" t="s">
        <v>7</v>
      </c>
      <c r="AA1" s="22" t="s">
        <v>8</v>
      </c>
      <c r="AB1" s="27" t="s">
        <v>9</v>
      </c>
      <c r="AC1" s="28" t="s">
        <v>16</v>
      </c>
      <c r="AD1" s="28" t="s">
        <v>17</v>
      </c>
      <c r="AE1" s="28" t="s">
        <v>27</v>
      </c>
      <c r="AF1" s="27" t="s">
        <v>10</v>
      </c>
      <c r="AG1" s="22" t="s">
        <v>11</v>
      </c>
      <c r="AH1" s="22" t="s">
        <v>12</v>
      </c>
      <c r="AI1" s="22" t="s">
        <v>38</v>
      </c>
      <c r="AJ1" s="22" t="s">
        <v>40</v>
      </c>
      <c r="AK1" s="22" t="s">
        <v>42</v>
      </c>
      <c r="AL1" s="22" t="s">
        <v>44</v>
      </c>
      <c r="AM1" s="22" t="s">
        <v>46</v>
      </c>
      <c r="AN1" s="30" t="s">
        <v>179</v>
      </c>
    </row>
    <row r="2" spans="1:40" ht="21" customHeight="1" x14ac:dyDescent="0.15">
      <c r="A2" s="13" t="str">
        <f t="shared" ref="A2:A42" si="0">B2&amp;"_"&amp;C2&amp;"-"&amp;G2&amp;"/"&amp;L2&amp;"&lt;lv"&amp;R2&amp;"&gt;s"&amp;AA2</f>
        <v>39003_1-1/5&lt;lv10&gt;s3</v>
      </c>
      <c r="B2" s="130">
        <v>39003</v>
      </c>
      <c r="C2" s="124">
        <v>1</v>
      </c>
      <c r="D2" s="12" t="str">
        <f t="shared" ref="D2:D42" si="1">B2&amp;"_"&amp;C2</f>
        <v>39003_1</v>
      </c>
      <c r="E2" s="4" t="str">
        <f ca="1">VLOOKUP($B2,OFFSET([2]quests!$A$1,0,0,COUNTA([2]quests!$A:$A),MATCH(E$1,[2]quests!$1:$1,0)-MATCH($B$1,[2]quests!$1:$1,0)+1),MATCH(E$1,[2]quests!$1:$1,0)-MATCH($B$1,[2]quests!$1:$1,0)+1,FALSE)</f>
        <v>ブルースクウェアを追え！</v>
      </c>
      <c r="F2" s="4" t="str">
        <f ca="1">VLOOKUP($D2,OFFSET([2]stages!$A$1,0,0,COUNTA([2]stages!$A:$A),MATCH(F$1,[2]stages!$2:$2,0)-MATCH($D$1,[2]stages!$2:$2,0)+1),MATCH(F$1,[2]stages!$2:$2,0)-MATCH($D$1,[2]stages!$2:$2,0)+1,FALSE)</f>
        <v>【初級】ブルースクウェアを追え！</v>
      </c>
      <c r="G2" s="120">
        <v>1</v>
      </c>
      <c r="H2" s="12" t="str">
        <f t="shared" ref="H2:H43" si="2">B2&amp;"_"&amp;C2&amp;"-"&amp;G2</f>
        <v>39003_1-1</v>
      </c>
      <c r="I2" s="4">
        <f ca="1">VLOOKUP($H2,OFFSET(floors!$A$1,0,0,COUNTA(floors!$A:$A),MATCH(I$1,floors!$1:$1,0)-MATCH($H$1,floors!$1:$1,0)+1),MATCH(I$1,floors!$1:$1,0)-MATCH($H$1,floors!$1:$1,0)+1,FALSE)</f>
        <v>45</v>
      </c>
      <c r="J2" s="4">
        <f ca="1">VLOOKUP($H2,OFFSET(floors!$A$1,0,0,COUNTA(floors!$A:$A),MATCH(J$1,floors!$1:$1,0)-MATCH($H$1,floors!$1:$1,0)+1),MATCH(J$1,floors!$1:$1,0)-MATCH($H$1,floors!$1:$1,0)+1,FALSE)</f>
        <v>45</v>
      </c>
      <c r="K2" s="32" t="s">
        <v>168</v>
      </c>
      <c r="L2" s="121">
        <v>5</v>
      </c>
      <c r="M2" s="14" t="str">
        <f ca="1">VLOOKUP($L2,OFFSET([3]enemies!$A$1,0,0,COUNTA([3]enemies!$A:$A),MATCH(M$1,[3]enemies!$1:$1,0)-MATCH($L$1,[3]enemies!$1:$1,0)+1),MATCH(M$1,[3]enemies!$1:$1,0)-MATCH($L$1,[3]enemies!$1:$1,0)+1,FALSE)</f>
        <v>パトドッグ ポチ</v>
      </c>
      <c r="N2" s="14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4" t="str">
        <f ca="1">VLOOKUP($L2,OFFSET([4]characters!$A$1,0,0,COUNTA([4]characters!$A:$A),MATCH(O$1,[4]characters!$1:$1,0)-MATCH($L$1,[4]characters!$1:$1,0)+1),MATCH(O$1,[4]characters!$1:$1,0)-MATCH($L$1,[4]characters!$1:$1,0)+1,FALSE)</f>
        <v>Drop1T</v>
      </c>
      <c r="P2" s="14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4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10</v>
      </c>
      <c r="S2" s="19">
        <v>1.3</v>
      </c>
      <c r="T2" s="19">
        <v>2</v>
      </c>
      <c r="U2" s="5">
        <v>0</v>
      </c>
      <c r="V2" s="4" t="str">
        <f ca="1">VLOOKUP($W2,OFFSET(enemy_skill_sets!$B$1,0,0,COUNTA(enemy_skill_sets!$B:$B),MATCH(M$1,enemy_skill_sets!$1:$1,0)-MATCH($W$1,enemy_skill_sets!$1:$1,0)+2),MATCH(M$1,enemy_skill_sets!$1:$1,0)-MATCH($W$1,enemy_skill_sets!$1:$1,0)+2,FALSE)</f>
        <v>回復</v>
      </c>
      <c r="W2" s="132">
        <v>39003001</v>
      </c>
      <c r="X2" s="6">
        <v>1</v>
      </c>
      <c r="Y2" s="6">
        <v>100</v>
      </c>
      <c r="Z2" s="6">
        <v>0</v>
      </c>
      <c r="AA2" s="131">
        <v>3</v>
      </c>
      <c r="AB2" s="122">
        <f t="shared" ref="AB2:AB32" si="3">L2</f>
        <v>5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パトドッグ ポチ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1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Drop1T</v>
      </c>
      <c r="AF2" s="101">
        <v>1</v>
      </c>
      <c r="AG2" s="122">
        <f t="shared" ref="AG2:AG32" ca="1" si="4">AD2</f>
        <v>1</v>
      </c>
      <c r="AH2" s="7">
        <v>20</v>
      </c>
      <c r="AI2" s="101">
        <v>0</v>
      </c>
      <c r="AJ2" s="101">
        <v>0</v>
      </c>
      <c r="AK2" s="101">
        <v>0</v>
      </c>
      <c r="AL2" s="101">
        <v>0</v>
      </c>
      <c r="AM2" s="101">
        <v>1</v>
      </c>
      <c r="AN2" s="63">
        <v>1</v>
      </c>
    </row>
    <row r="3" spans="1:40" ht="21" customHeight="1" x14ac:dyDescent="0.15">
      <c r="A3" s="13" t="str">
        <f t="shared" si="0"/>
        <v>39003_1-1/17&lt;lv10&gt;s2</v>
      </c>
      <c r="B3" s="130">
        <v>39003</v>
      </c>
      <c r="C3" s="124">
        <v>1</v>
      </c>
      <c r="D3" s="12" t="str">
        <f t="shared" si="1"/>
        <v>39003_1</v>
      </c>
      <c r="E3" s="4" t="str">
        <f ca="1">VLOOKUP($B3,OFFSET([2]quests!$A$1,0,0,COUNTA([2]quests!$A:$A),MATCH(E$1,[2]quests!$1:$1,0)-MATCH($B$1,[2]quests!$1:$1,0)+1),MATCH(E$1,[2]quests!$1:$1,0)-MATCH($B$1,[2]quests!$1:$1,0)+1,FALSE)</f>
        <v>ブルースクウェアを追え！</v>
      </c>
      <c r="F3" s="4" t="str">
        <f ca="1">VLOOKUP($D3,OFFSET([2]stages!$A$1,0,0,COUNTA([2]stages!$A:$A),MATCH(F$1,[2]stages!$2:$2,0)-MATCH($D$1,[2]stages!$2:$2,0)+1),MATCH(F$1,[2]stages!$2:$2,0)-MATCH($D$1,[2]stages!$2:$2,0)+1,FALSE)</f>
        <v>【初級】ブルースクウェアを追え！</v>
      </c>
      <c r="G3" s="120">
        <v>1</v>
      </c>
      <c r="H3" s="12" t="str">
        <f t="shared" si="2"/>
        <v>39003_1-1</v>
      </c>
      <c r="I3" s="4">
        <f ca="1">VLOOKUP($H3,OFFSET(floors!$A$1,0,0,COUNTA(floors!$A:$A),MATCH(I$1,floors!$1:$1,0)-MATCH($H$1,floors!$1:$1,0)+1),MATCH(I$1,floors!$1:$1,0)-MATCH($H$1,floors!$1:$1,0)+1,FALSE)</f>
        <v>45</v>
      </c>
      <c r="J3" s="4">
        <f ca="1">VLOOKUP($H3,OFFSET(floors!$A$1,0,0,COUNTA(floors!$A:$A),MATCH(J$1,floors!$1:$1,0)-MATCH($H$1,floors!$1:$1,0)+1),MATCH(J$1,floors!$1:$1,0)-MATCH($H$1,floors!$1:$1,0)+1,FALSE)</f>
        <v>45</v>
      </c>
      <c r="K3" s="32" t="s">
        <v>168</v>
      </c>
      <c r="L3" s="121">
        <v>17</v>
      </c>
      <c r="M3" s="14" t="str">
        <f ca="1">VLOOKUP($L3,OFFSET([3]enemies!$A$1,0,0,COUNTA([3]enemies!$A:$A),MATCH(M$1,[3]enemies!$1:$1,0)-MATCH($L$1,[3]enemies!$1:$1,0)+1),MATCH(M$1,[3]enemies!$1:$1,0)-MATCH($L$1,[3]enemies!$1:$1,0)+1,FALSE)</f>
        <v>リム</v>
      </c>
      <c r="N3" s="14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4" t="str">
        <f ca="1">VLOOKUP($L3,OFFSET([4]characters!$A$1,0,0,COUNTA([4]characters!$A:$A),MATCH(O$1,[4]characters!$1:$1,0)-MATCH($L$1,[4]characters!$1:$1,0)+1),MATCH(O$1,[4]characters!$1:$1,0)-MATCH($L$1,[4]characters!$1:$1,0)+1,FALSE)</f>
        <v>Drop1W</v>
      </c>
      <c r="P3" s="14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4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10</v>
      </c>
      <c r="S3" s="19">
        <v>2.6</v>
      </c>
      <c r="T3" s="19">
        <v>1.3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3ターン攻撃頻度が1ターンにUP</v>
      </c>
      <c r="W3" s="132">
        <v>39003002</v>
      </c>
      <c r="X3" s="6">
        <v>1</v>
      </c>
      <c r="Y3" s="6">
        <v>100</v>
      </c>
      <c r="Z3" s="6">
        <v>0</v>
      </c>
      <c r="AA3" s="131">
        <v>2</v>
      </c>
      <c r="AB3" s="122">
        <f t="shared" si="3"/>
        <v>17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リム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1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Drop1W</v>
      </c>
      <c r="AF3" s="101">
        <v>1</v>
      </c>
      <c r="AG3" s="122">
        <f t="shared" ca="1" si="4"/>
        <v>1</v>
      </c>
      <c r="AH3" s="7">
        <v>20</v>
      </c>
      <c r="AI3" s="101">
        <v>0</v>
      </c>
      <c r="AJ3" s="101">
        <v>0</v>
      </c>
      <c r="AK3" s="101">
        <v>0</v>
      </c>
      <c r="AL3" s="101">
        <v>0</v>
      </c>
      <c r="AM3" s="101">
        <v>1</v>
      </c>
      <c r="AN3" s="63">
        <v>1</v>
      </c>
    </row>
    <row r="4" spans="1:40" ht="21" customHeight="1" x14ac:dyDescent="0.15">
      <c r="A4" s="13" t="str">
        <f t="shared" ref="A4" si="5">B4&amp;"_"&amp;C4&amp;"-"&amp;G4&amp;"/"&amp;L4&amp;"&lt;lv"&amp;R4&amp;"&gt;s"&amp;AA4</f>
        <v>39003_1-1/29&lt;lv10&gt;s3</v>
      </c>
      <c r="B4" s="130">
        <v>39003</v>
      </c>
      <c r="C4" s="124">
        <v>1</v>
      </c>
      <c r="D4" s="12" t="str">
        <f t="shared" ref="D4" si="6">B4&amp;"_"&amp;C4</f>
        <v>39003_1</v>
      </c>
      <c r="E4" s="4" t="str">
        <f ca="1">VLOOKUP($B4,OFFSET([2]quests!$A$1,0,0,COUNTA([2]quests!$A:$A),MATCH(E$1,[2]quests!$1:$1,0)-MATCH($B$1,[2]quests!$1:$1,0)+1),MATCH(E$1,[2]quests!$1:$1,0)-MATCH($B$1,[2]quests!$1:$1,0)+1,FALSE)</f>
        <v>ブルースクウェアを追え！</v>
      </c>
      <c r="F4" s="4" t="str">
        <f ca="1">VLOOKUP($D4,OFFSET([2]stages!$A$1,0,0,COUNTA([2]stages!$A:$A),MATCH(F$1,[2]stages!$2:$2,0)-MATCH($D$1,[2]stages!$2:$2,0)+1),MATCH(F$1,[2]stages!$2:$2,0)-MATCH($D$1,[2]stages!$2:$2,0)+1,FALSE)</f>
        <v>【初級】ブルースクウェアを追え！</v>
      </c>
      <c r="G4" s="120">
        <v>1</v>
      </c>
      <c r="H4" s="12" t="str">
        <f t="shared" ref="H4" si="7">B4&amp;"_"&amp;C4&amp;"-"&amp;G4</f>
        <v>39003_1-1</v>
      </c>
      <c r="I4" s="4">
        <f ca="1">VLOOKUP($H4,OFFSET(floors!$A$1,0,0,COUNTA(floors!$A:$A),MATCH(I$1,floors!$1:$1,0)-MATCH($H$1,floors!$1:$1,0)+1),MATCH(I$1,floors!$1:$1,0)-MATCH($H$1,floors!$1:$1,0)+1,FALSE)</f>
        <v>45</v>
      </c>
      <c r="J4" s="4">
        <f ca="1">VLOOKUP($H4,OFFSET(floors!$A$1,0,0,COUNTA(floors!$A:$A),MATCH(J$1,floors!$1:$1,0)-MATCH($H$1,floors!$1:$1,0)+1),MATCH(J$1,floors!$1:$1,0)-MATCH($H$1,floors!$1:$1,0)+1,FALSE)</f>
        <v>45</v>
      </c>
      <c r="K4" s="32" t="s">
        <v>168</v>
      </c>
      <c r="L4" s="121">
        <v>29</v>
      </c>
      <c r="M4" s="14" t="str">
        <f ca="1">VLOOKUP($L4,OFFSET([3]enemies!$A$1,0,0,COUNTA([3]enemies!$A:$A),MATCH(M$1,[3]enemies!$1:$1,0)-MATCH($L$1,[3]enemies!$1:$1,0)+1),MATCH(M$1,[3]enemies!$1:$1,0)-MATCH($L$1,[3]enemies!$1:$1,0)+1,FALSE)</f>
        <v>スケアクロウ</v>
      </c>
      <c r="N4" s="14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4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4" t="str">
        <f ca="1">VLOOKUP($L4,OFFSET([3]enemies!$A$1,0,0,COUNTA([3]enemies!$A:$A),MATCH(P$1,[3]enemies!$1:$1,0)-MATCH($L$1,[3]enemies!$1:$1,0)+1),MATCH(P$1,[3]enemies!$1:$1,0)-MATCH($L$1,[3]enemies!$1:$1,0)+1,FALSE)</f>
        <v>machine</v>
      </c>
      <c r="Q4" s="14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10</v>
      </c>
      <c r="S4" s="19">
        <v>3</v>
      </c>
      <c r="T4" s="19">
        <v>1.7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大回復</v>
      </c>
      <c r="W4" s="132">
        <v>39003003</v>
      </c>
      <c r="X4" s="6">
        <v>1</v>
      </c>
      <c r="Y4" s="6">
        <v>100</v>
      </c>
      <c r="Z4" s="6">
        <v>0</v>
      </c>
      <c r="AA4" s="131">
        <v>3</v>
      </c>
      <c r="AB4" s="122">
        <f t="shared" si="3"/>
        <v>29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スケアクロウ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1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Drop1N</v>
      </c>
      <c r="AF4" s="101">
        <v>1</v>
      </c>
      <c r="AG4" s="122">
        <f t="shared" ca="1" si="4"/>
        <v>1</v>
      </c>
      <c r="AH4" s="7">
        <v>20</v>
      </c>
      <c r="AI4" s="101">
        <v>0</v>
      </c>
      <c r="AJ4" s="101">
        <v>0</v>
      </c>
      <c r="AK4" s="101">
        <v>0</v>
      </c>
      <c r="AL4" s="101">
        <v>0</v>
      </c>
      <c r="AM4" s="101">
        <v>1</v>
      </c>
      <c r="AN4" s="63">
        <v>1</v>
      </c>
    </row>
    <row r="5" spans="1:40" ht="21" customHeight="1" x14ac:dyDescent="0.15">
      <c r="A5" s="13" t="str">
        <f t="shared" si="0"/>
        <v>39003_1-2/130&lt;lv10&gt;s4</v>
      </c>
      <c r="B5" s="130">
        <v>39003</v>
      </c>
      <c r="C5" s="124">
        <v>1</v>
      </c>
      <c r="D5" s="12" t="str">
        <f t="shared" si="1"/>
        <v>39003_1</v>
      </c>
      <c r="E5" s="4" t="str">
        <f ca="1">VLOOKUP($B5,OFFSET([2]quests!$A$1,0,0,COUNTA([2]quests!$A:$A),MATCH(E$1,[2]quests!$1:$1,0)-MATCH($B$1,[2]quests!$1:$1,0)+1),MATCH(E$1,[2]quests!$1:$1,0)-MATCH($B$1,[2]quests!$1:$1,0)+1,FALSE)</f>
        <v>ブルースクウェアを追え！</v>
      </c>
      <c r="F5" s="4" t="str">
        <f ca="1">VLOOKUP($D5,OFFSET([2]stages!$A$1,0,0,COUNTA([2]stages!$A:$A),MATCH(F$1,[2]stages!$2:$2,0)-MATCH($D$1,[2]stages!$2:$2,0)+1),MATCH(F$1,[2]stages!$2:$2,0)-MATCH($D$1,[2]stages!$2:$2,0)+1,FALSE)</f>
        <v>【初級】ブルースクウェアを追え！</v>
      </c>
      <c r="G5" s="123">
        <v>2</v>
      </c>
      <c r="H5" s="12" t="str">
        <f t="shared" si="2"/>
        <v>39003_1-2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2" t="s">
        <v>53</v>
      </c>
      <c r="L5" s="121">
        <v>130</v>
      </c>
      <c r="M5" s="14" t="str">
        <f ca="1">VLOOKUP($L5,OFFSET([3]enemies!$A$1,0,0,COUNTA([3]enemies!$A:$A),MATCH(M$1,[3]enemies!$1:$1,0)-MATCH($L$1,[3]enemies!$1:$1,0)+1),MATCH(M$1,[3]enemies!$1:$1,0)-MATCH($L$1,[3]enemies!$1:$1,0)+1,FALSE)</f>
        <v>狼男 ローレンス</v>
      </c>
      <c r="N5" s="14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4" t="str">
        <f ca="1">VLOOKUP($L5,OFFSET([4]characters!$A$1,0,0,COUNTA([4]characters!$A:$A),MATCH(O$1,[4]characters!$1:$1,0)-MATCH($L$1,[4]characters!$1:$1,0)+1),MATCH(O$1,[4]characters!$1:$1,0)-MATCH($L$1,[4]characters!$1:$1,0)+1,FALSE)</f>
        <v>PremiumW</v>
      </c>
      <c r="P5" s="14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4">
        <f ca="1">VLOOKUP($L5,OFFSET([3]enemies!$A$1,0,0,COUNTA([3]enemies!$A:$A),MATCH(Q$1,[3]enemies!$1:$1,0)-MATCH($L$1,[3]enemies!$1:$1,0)+1),MATCH(Q$1,[3]enemies!$1:$1,0)-MATCH($L$1,[3]enemies!$1:$1,0)+1,FALSE)</f>
        <v>20</v>
      </c>
      <c r="R5" s="5">
        <v>10</v>
      </c>
      <c r="S5" s="19">
        <v>1</v>
      </c>
      <c r="T5" s="19">
        <v>1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単体に大ダメージ！</v>
      </c>
      <c r="W5" s="132">
        <v>39003013</v>
      </c>
      <c r="X5" s="6">
        <v>1</v>
      </c>
      <c r="Y5" s="6">
        <v>100</v>
      </c>
      <c r="Z5" s="6">
        <v>0</v>
      </c>
      <c r="AA5" s="131">
        <v>4</v>
      </c>
      <c r="AB5" s="122">
        <f t="shared" si="3"/>
        <v>130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狼男 ローレンス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3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5" s="101">
        <v>1</v>
      </c>
      <c r="AG5" s="122">
        <f t="shared" ca="1" si="4"/>
        <v>3</v>
      </c>
      <c r="AH5" s="7">
        <v>0</v>
      </c>
      <c r="AI5" s="101">
        <v>0</v>
      </c>
      <c r="AJ5" s="101">
        <v>0</v>
      </c>
      <c r="AK5" s="101">
        <v>0</v>
      </c>
      <c r="AL5" s="101">
        <v>0</v>
      </c>
      <c r="AM5" s="101">
        <v>1</v>
      </c>
      <c r="AN5" s="63">
        <v>1</v>
      </c>
    </row>
    <row r="6" spans="1:40" ht="21" customHeight="1" x14ac:dyDescent="0.15">
      <c r="A6" s="13" t="str">
        <f t="shared" si="0"/>
        <v>39003_1-2/199&lt;lv10&gt;s2</v>
      </c>
      <c r="B6" s="130">
        <v>39003</v>
      </c>
      <c r="C6" s="124">
        <v>1</v>
      </c>
      <c r="D6" s="12" t="str">
        <f t="shared" si="1"/>
        <v>39003_1</v>
      </c>
      <c r="E6" s="4" t="str">
        <f ca="1">VLOOKUP($B6,OFFSET([2]quests!$A$1,0,0,COUNTA([2]quests!$A:$A),MATCH(E$1,[2]quests!$1:$1,0)-MATCH($B$1,[2]quests!$1:$1,0)+1),MATCH(E$1,[2]quests!$1:$1,0)-MATCH($B$1,[2]quests!$1:$1,0)+1,FALSE)</f>
        <v>ブルースクウェアを追え！</v>
      </c>
      <c r="F6" s="4" t="str">
        <f ca="1">VLOOKUP($D6,OFFSET([2]stages!$A$1,0,0,COUNTA([2]stages!$A:$A),MATCH(F$1,[2]stages!$2:$2,0)-MATCH($D$1,[2]stages!$2:$2,0)+1),MATCH(F$1,[2]stages!$2:$2,0)-MATCH($D$1,[2]stages!$2:$2,0)+1,FALSE)</f>
        <v>【初級】ブルースクウェアを追え！</v>
      </c>
      <c r="G6" s="123">
        <v>2</v>
      </c>
      <c r="H6" s="12" t="str">
        <f t="shared" si="2"/>
        <v>39003_1-2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2" t="s">
        <v>53</v>
      </c>
      <c r="L6" s="121">
        <v>199</v>
      </c>
      <c r="M6" s="14" t="str">
        <f ca="1">VLOOKUP($L6,OFFSET([3]enemies!$A$1,0,0,COUNTA([3]enemies!$A:$A),MATCH(M$1,[3]enemies!$1:$1,0)-MATCH($L$1,[3]enemies!$1:$1,0)+1),MATCH(M$1,[3]enemies!$1:$1,0)-MATCH($L$1,[3]enemies!$1:$1,0)+1,FALSE)</f>
        <v>ジークフリート</v>
      </c>
      <c r="N6" s="14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4" t="str">
        <f ca="1">VLOOKUP($L6,OFFSET([4]characters!$A$1,0,0,COUNTA([4]characters!$A:$A),MATCH(O$1,[4]characters!$1:$1,0)-MATCH($L$1,[4]characters!$1:$1,0)+1),MATCH(O$1,[4]characters!$1:$1,0)-MATCH($L$1,[4]characters!$1:$1,0)+1,FALSE)</f>
        <v>PremiumN</v>
      </c>
      <c r="P6" s="14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4">
        <f ca="1">VLOOKUP($L6,OFFSET([3]enemies!$A$1,0,0,COUNTA([3]enemies!$A:$A),MATCH(Q$1,[3]enemies!$1:$1,0)-MATCH($L$1,[3]enemies!$1:$1,0)+1),MATCH(Q$1,[3]enemies!$1:$1,0)-MATCH($L$1,[3]enemies!$1:$1,0)+1,FALSE)</f>
        <v>20</v>
      </c>
      <c r="R6" s="5">
        <v>10</v>
      </c>
      <c r="S6" s="19">
        <v>1</v>
      </c>
      <c r="T6" s="19">
        <v>1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全体攻撃</v>
      </c>
      <c r="W6" s="132">
        <v>39003005</v>
      </c>
      <c r="X6" s="6">
        <v>1</v>
      </c>
      <c r="Y6" s="6">
        <v>100</v>
      </c>
      <c r="Z6" s="6">
        <v>1</v>
      </c>
      <c r="AA6" s="131">
        <v>2</v>
      </c>
      <c r="AB6" s="122">
        <f t="shared" si="3"/>
        <v>199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ジークフリート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3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6" s="101">
        <v>1</v>
      </c>
      <c r="AG6" s="122">
        <f t="shared" ca="1" si="4"/>
        <v>3</v>
      </c>
      <c r="AH6" s="7">
        <v>0</v>
      </c>
      <c r="AI6" s="101">
        <v>0</v>
      </c>
      <c r="AJ6" s="101">
        <v>0</v>
      </c>
      <c r="AK6" s="101">
        <v>0</v>
      </c>
      <c r="AL6" s="101">
        <v>0</v>
      </c>
      <c r="AM6" s="101">
        <v>1</v>
      </c>
      <c r="AN6" s="63">
        <v>1</v>
      </c>
    </row>
    <row r="7" spans="1:40" ht="21" customHeight="1" x14ac:dyDescent="0.15">
      <c r="A7" s="13" t="str">
        <f t="shared" ref="A7:A10" si="8">B7&amp;"_"&amp;C7&amp;"-"&amp;G7&amp;"/"&amp;L7&amp;"&lt;lv"&amp;R7&amp;"&gt;s"&amp;AA7</f>
        <v>39003_1-2/266&lt;lv10&gt;s2</v>
      </c>
      <c r="B7" s="130">
        <v>39003</v>
      </c>
      <c r="C7" s="124">
        <v>1</v>
      </c>
      <c r="D7" s="12" t="str">
        <f t="shared" ref="D7:D10" si="9">B7&amp;"_"&amp;C7</f>
        <v>39003_1</v>
      </c>
      <c r="E7" s="4" t="str">
        <f ca="1">VLOOKUP($B7,OFFSET([2]quests!$A$1,0,0,COUNTA([2]quests!$A:$A),MATCH(E$1,[2]quests!$1:$1,0)-MATCH($B$1,[2]quests!$1:$1,0)+1),MATCH(E$1,[2]quests!$1:$1,0)-MATCH($B$1,[2]quests!$1:$1,0)+1,FALSE)</f>
        <v>ブルースクウェアを追え！</v>
      </c>
      <c r="F7" s="4" t="str">
        <f ca="1">VLOOKUP($D7,OFFSET([2]stages!$A$1,0,0,COUNTA([2]stages!$A:$A),MATCH(F$1,[2]stages!$2:$2,0)-MATCH($D$1,[2]stages!$2:$2,0)+1),MATCH(F$1,[2]stages!$2:$2,0)-MATCH($D$1,[2]stages!$2:$2,0)+1,FALSE)</f>
        <v>【初級】ブルースクウェアを追え！</v>
      </c>
      <c r="G7" s="123">
        <v>2</v>
      </c>
      <c r="H7" s="12" t="str">
        <f t="shared" ref="H7:H10" si="10">B7&amp;"_"&amp;C7&amp;"-"&amp;G7</f>
        <v>39003_1-2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2" t="s">
        <v>53</v>
      </c>
      <c r="L7" s="121">
        <v>266</v>
      </c>
      <c r="M7" s="14" t="str">
        <f ca="1">VLOOKUP($L7,OFFSET([3]enemies!$A$1,0,0,COUNTA([3]enemies!$A:$A),MATCH(M$1,[3]enemies!$1:$1,0)-MATCH($L$1,[3]enemies!$1:$1,0)+1),MATCH(M$1,[3]enemies!$1:$1,0)-MATCH($L$1,[3]enemies!$1:$1,0)+1,FALSE)</f>
        <v>リリアンブルー</v>
      </c>
      <c r="N7" s="14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4" t="str">
        <f ca="1">VLOOKUP($L7,OFFSET([4]characters!$A$1,0,0,COUNTA([4]characters!$A:$A),MATCH(O$1,[4]characters!$1:$1,0)-MATCH($L$1,[4]characters!$1:$1,0)+1),MATCH(O$1,[4]characters!$1:$1,0)-MATCH($L$1,[4]characters!$1:$1,0)+1,FALSE)</f>
        <v>Drop2W</v>
      </c>
      <c r="P7" s="14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4">
        <f ca="1">VLOOKUP($L7,OFFSET([3]enemies!$A$1,0,0,COUNTA([3]enemies!$A:$A),MATCH(Q$1,[3]enemies!$1:$1,0)-MATCH($L$1,[3]enemies!$1:$1,0)+1),MATCH(Q$1,[3]enemies!$1:$1,0)-MATCH($L$1,[3]enemies!$1:$1,0)+1,FALSE)</f>
        <v>20</v>
      </c>
      <c r="R7" s="5">
        <v>10</v>
      </c>
      <c r="S7" s="19">
        <v>1</v>
      </c>
      <c r="T7" s="19">
        <v>1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Cパネル吸収攻撃</v>
      </c>
      <c r="W7" s="132">
        <v>39003006</v>
      </c>
      <c r="X7" s="6">
        <v>1</v>
      </c>
      <c r="Y7" s="6">
        <v>100</v>
      </c>
      <c r="Z7" s="6">
        <v>0</v>
      </c>
      <c r="AA7" s="131">
        <v>2</v>
      </c>
      <c r="AB7" s="122">
        <f t="shared" si="3"/>
        <v>266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リリアンブルー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3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Drop2W</v>
      </c>
      <c r="AF7" s="101">
        <v>1</v>
      </c>
      <c r="AG7" s="122">
        <f t="shared" ca="1" si="4"/>
        <v>3</v>
      </c>
      <c r="AH7" s="7">
        <v>0</v>
      </c>
      <c r="AI7" s="101">
        <v>0</v>
      </c>
      <c r="AJ7" s="101">
        <v>0</v>
      </c>
      <c r="AK7" s="101">
        <v>0</v>
      </c>
      <c r="AL7" s="101">
        <v>0</v>
      </c>
      <c r="AM7" s="101">
        <v>1</v>
      </c>
      <c r="AN7" s="63">
        <v>1</v>
      </c>
    </row>
    <row r="8" spans="1:40" ht="21" customHeight="1" x14ac:dyDescent="0.15">
      <c r="A8" s="13" t="str">
        <f t="shared" si="8"/>
        <v>39003_1-3/172&lt;lv10&gt;s2</v>
      </c>
      <c r="B8" s="130">
        <v>39003</v>
      </c>
      <c r="C8" s="124">
        <v>1</v>
      </c>
      <c r="D8" s="12" t="str">
        <f t="shared" si="9"/>
        <v>39003_1</v>
      </c>
      <c r="E8" s="4" t="str">
        <f ca="1">VLOOKUP($B8,OFFSET([2]quests!$A$1,0,0,COUNTA([2]quests!$A:$A),MATCH(E$1,[2]quests!$1:$1,0)-MATCH($B$1,[2]quests!$1:$1,0)+1),MATCH(E$1,[2]quests!$1:$1,0)-MATCH($B$1,[2]quests!$1:$1,0)+1,FALSE)</f>
        <v>ブルースクウェアを追え！</v>
      </c>
      <c r="F8" s="4" t="str">
        <f ca="1">VLOOKUP($D8,OFFSET([2]stages!$A$1,0,0,COUNTA([2]stages!$A:$A),MATCH(F$1,[2]stages!$2:$2,0)-MATCH($D$1,[2]stages!$2:$2,0)+1),MATCH(F$1,[2]stages!$2:$2,0)-MATCH($D$1,[2]stages!$2:$2,0)+1,FALSE)</f>
        <v>【初級】ブルースクウェアを追え！</v>
      </c>
      <c r="G8" s="136">
        <v>3</v>
      </c>
      <c r="H8" s="12" t="str">
        <f t="shared" si="10"/>
        <v>39003_1-3</v>
      </c>
      <c r="I8" s="4">
        <f ca="1">VLOOKUP($H8,OFFSET(floors!$A$1,0,0,COUNTA(floors!$A:$A),MATCH(I$1,floors!$1:$1,0)-MATCH($H$1,floors!$1:$1,0)+1),MATCH(I$1,floors!$1:$1,0)-MATCH($H$1,floors!$1:$1,0)+1,FALSE)</f>
        <v>50</v>
      </c>
      <c r="J8" s="4">
        <f ca="1">VLOOKUP($H8,OFFSET(floors!$A$1,0,0,COUNTA(floors!$A:$A),MATCH(J$1,floors!$1:$1,0)-MATCH($H$1,floors!$1:$1,0)+1),MATCH(J$1,floors!$1:$1,0)-MATCH($H$1,floors!$1:$1,0)+1,FALSE)</f>
        <v>50</v>
      </c>
      <c r="K8" s="32" t="s">
        <v>168</v>
      </c>
      <c r="L8" s="121">
        <v>172</v>
      </c>
      <c r="M8" s="14" t="str">
        <f ca="1">VLOOKUP($L8,OFFSET([3]enemies!$A$1,0,0,COUNTA([3]enemies!$A:$A),MATCH(M$1,[3]enemies!$1:$1,0)-MATCH($L$1,[3]enemies!$1:$1,0)+1),MATCH(M$1,[3]enemies!$1:$1,0)-MATCH($L$1,[3]enemies!$1:$1,0)+1,FALSE)</f>
        <v>フォルネウス</v>
      </c>
      <c r="N8" s="14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4" t="str">
        <f ca="1">VLOOKUP($L8,OFFSET([4]characters!$A$1,0,0,COUNTA([4]characters!$A:$A),MATCH(O$1,[4]characters!$1:$1,0)-MATCH($L$1,[4]characters!$1:$1,0)+1),MATCH(O$1,[4]characters!$1:$1,0)-MATCH($L$1,[4]characters!$1:$1,0)+1,FALSE)</f>
        <v>PremiumN</v>
      </c>
      <c r="P8" s="14" t="str">
        <f ca="1">VLOOKUP($L8,OFFSET([3]enemies!$A$1,0,0,COUNTA([3]enemies!$A:$A),MATCH(P$1,[3]enemies!$1:$1,0)-MATCH($L$1,[3]enemies!$1:$1,0)+1),MATCH(P$1,[3]enemies!$1:$1,0)-MATCH($L$1,[3]enemies!$1:$1,0)+1,FALSE)</f>
        <v>god</v>
      </c>
      <c r="Q8" s="14">
        <f ca="1">VLOOKUP($L8,OFFSET([3]enemies!$A$1,0,0,COUNTA([3]enemies!$A:$A),MATCH(Q$1,[3]enemies!$1:$1,0)-MATCH($L$1,[3]enemies!$1:$1,0)+1),MATCH(Q$1,[3]enemies!$1:$1,0)-MATCH($L$1,[3]enemies!$1:$1,0)+1,FALSE)</f>
        <v>20</v>
      </c>
      <c r="R8" s="5">
        <v>10</v>
      </c>
      <c r="S8" s="19">
        <v>1</v>
      </c>
      <c r="T8" s="19">
        <v>1</v>
      </c>
      <c r="U8" s="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全体攻撃</v>
      </c>
      <c r="W8" s="132">
        <v>39003014</v>
      </c>
      <c r="X8" s="6">
        <v>1</v>
      </c>
      <c r="Y8" s="6">
        <v>100</v>
      </c>
      <c r="Z8" s="6">
        <v>1</v>
      </c>
      <c r="AA8" s="131">
        <v>2</v>
      </c>
      <c r="AB8" s="122">
        <f t="shared" si="3"/>
        <v>172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フォルネウス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3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8" s="101">
        <v>1</v>
      </c>
      <c r="AG8" s="122">
        <f t="shared" ca="1" si="4"/>
        <v>3</v>
      </c>
      <c r="AH8" s="7">
        <v>0</v>
      </c>
      <c r="AI8" s="101">
        <v>0</v>
      </c>
      <c r="AJ8" s="101">
        <v>0</v>
      </c>
      <c r="AK8" s="101">
        <v>0</v>
      </c>
      <c r="AL8" s="101">
        <v>0</v>
      </c>
      <c r="AM8" s="101">
        <v>1</v>
      </c>
      <c r="AN8" s="63">
        <v>1</v>
      </c>
    </row>
    <row r="9" spans="1:40" ht="21" customHeight="1" x14ac:dyDescent="0.15">
      <c r="A9" s="13" t="str">
        <f t="shared" si="8"/>
        <v>39003_1-3/364&lt;lv10&gt;s1</v>
      </c>
      <c r="B9" s="130">
        <v>39003</v>
      </c>
      <c r="C9" s="124">
        <v>1</v>
      </c>
      <c r="D9" s="12" t="str">
        <f t="shared" si="9"/>
        <v>39003_1</v>
      </c>
      <c r="E9" s="4" t="str">
        <f ca="1">VLOOKUP($B9,OFFSET([2]quests!$A$1,0,0,COUNTA([2]quests!$A:$A),MATCH(E$1,[2]quests!$1:$1,0)-MATCH($B$1,[2]quests!$1:$1,0)+1),MATCH(E$1,[2]quests!$1:$1,0)-MATCH($B$1,[2]quests!$1:$1,0)+1,FALSE)</f>
        <v>ブルースクウェアを追え！</v>
      </c>
      <c r="F9" s="4" t="str">
        <f ca="1">VLOOKUP($D9,OFFSET([2]stages!$A$1,0,0,COUNTA([2]stages!$A:$A),MATCH(F$1,[2]stages!$2:$2,0)-MATCH($D$1,[2]stages!$2:$2,0)+1),MATCH(F$1,[2]stages!$2:$2,0)-MATCH($D$1,[2]stages!$2:$2,0)+1,FALSE)</f>
        <v>【初級】ブルースクウェアを追え！</v>
      </c>
      <c r="G9" s="136">
        <v>3</v>
      </c>
      <c r="H9" s="12" t="str">
        <f t="shared" si="10"/>
        <v>39003_1-3</v>
      </c>
      <c r="I9" s="4">
        <f ca="1">VLOOKUP($H9,OFFSET(floors!$A$1,0,0,COUNTA(floors!$A:$A),MATCH(I$1,floors!$1:$1,0)-MATCH($H$1,floors!$1:$1,0)+1),MATCH(I$1,floors!$1:$1,0)-MATCH($H$1,floors!$1:$1,0)+1,FALSE)</f>
        <v>50</v>
      </c>
      <c r="J9" s="4">
        <f ca="1">VLOOKUP($H9,OFFSET(floors!$A$1,0,0,COUNTA(floors!$A:$A),MATCH(J$1,floors!$1:$1,0)-MATCH($H$1,floors!$1:$1,0)+1),MATCH(J$1,floors!$1:$1,0)-MATCH($H$1,floors!$1:$1,0)+1,FALSE)</f>
        <v>50</v>
      </c>
      <c r="K9" s="32" t="s">
        <v>168</v>
      </c>
      <c r="L9" s="121">
        <v>364</v>
      </c>
      <c r="M9" s="14" t="str">
        <f ca="1">VLOOKUP($L9,OFFSET([3]enemies!$A$1,0,0,COUNTA([3]enemies!$A:$A),MATCH(M$1,[3]enemies!$1:$1,0)-MATCH($L$1,[3]enemies!$1:$1,0)+1),MATCH(M$1,[3]enemies!$1:$1,0)-MATCH($L$1,[3]enemies!$1:$1,0)+1,FALSE)</f>
        <v>ノエル</v>
      </c>
      <c r="N9" s="14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4" t="str">
        <f ca="1">VLOOKUP($L9,OFFSET([4]characters!$A$1,0,0,COUNTA([4]characters!$A:$A),MATCH(O$1,[4]characters!$1:$1,0)-MATCH($L$1,[4]characters!$1:$1,0)+1),MATCH(O$1,[4]characters!$1:$1,0)-MATCH($L$1,[4]characters!$1:$1,0)+1,FALSE)</f>
        <v>Drop1S</v>
      </c>
      <c r="P9" s="14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4">
        <f ca="1">VLOOKUP($L9,OFFSET([3]enemies!$A$1,0,0,COUNTA([3]enemies!$A:$A),MATCH(Q$1,[3]enemies!$1:$1,0)-MATCH($L$1,[3]enemies!$1:$1,0)+1),MATCH(Q$1,[3]enemies!$1:$1,0)-MATCH($L$1,[3]enemies!$1:$1,0)+1,FALSE)</f>
        <v>15</v>
      </c>
      <c r="R9" s="5">
        <v>10</v>
      </c>
      <c r="S9" s="19">
        <v>2.4</v>
      </c>
      <c r="T9" s="19">
        <v>0.6</v>
      </c>
      <c r="U9" s="5">
        <v>0</v>
      </c>
      <c r="V9" s="4" t="str">
        <f ca="1">VLOOKUP($W9,OFFSET(enemy_skill_sets!$B$1,0,0,COUNTA(enemy_skill_sets!$B:$B),MATCH(M$1,enemy_skill_sets!$1:$1,0)-MATCH($W$1,enemy_skill_sets!$1:$1,0)+2),MATCH(M$1,enemy_skill_sets!$1:$1,0)-MATCH($W$1,enemy_skill_sets!$1:$1,0)+2,FALSE)</f>
        <v>3ターンパネルタップ回数を1減少</v>
      </c>
      <c r="W9" s="132">
        <v>39003015</v>
      </c>
      <c r="X9" s="6">
        <v>1</v>
      </c>
      <c r="Y9" s="6">
        <v>100</v>
      </c>
      <c r="Z9" s="6">
        <v>0</v>
      </c>
      <c r="AA9" s="131">
        <v>1</v>
      </c>
      <c r="AB9" s="122">
        <f t="shared" si="3"/>
        <v>364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ノエル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2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Drop1S</v>
      </c>
      <c r="AF9" s="101">
        <v>1</v>
      </c>
      <c r="AG9" s="122">
        <f t="shared" ca="1" si="4"/>
        <v>2</v>
      </c>
      <c r="AH9" s="7">
        <v>20</v>
      </c>
      <c r="AI9" s="101">
        <v>0</v>
      </c>
      <c r="AJ9" s="101">
        <v>0</v>
      </c>
      <c r="AK9" s="101">
        <v>0</v>
      </c>
      <c r="AL9" s="101">
        <v>0</v>
      </c>
      <c r="AM9" s="101">
        <v>1</v>
      </c>
      <c r="AN9" s="63">
        <v>1</v>
      </c>
    </row>
    <row r="10" spans="1:40" ht="21" customHeight="1" x14ac:dyDescent="0.15">
      <c r="A10" s="13" t="str">
        <f t="shared" si="8"/>
        <v>39003_1-3/374&lt;lv10&gt;s1</v>
      </c>
      <c r="B10" s="130">
        <v>39003</v>
      </c>
      <c r="C10" s="124">
        <v>1</v>
      </c>
      <c r="D10" s="12" t="str">
        <f t="shared" si="9"/>
        <v>39003_1</v>
      </c>
      <c r="E10" s="4" t="str">
        <f ca="1">VLOOKUP($B10,OFFSET([2]quests!$A$1,0,0,COUNTA([2]quests!$A:$A),MATCH(E$1,[2]quests!$1:$1,0)-MATCH($B$1,[2]quests!$1:$1,0)+1),MATCH(E$1,[2]quests!$1:$1,0)-MATCH($B$1,[2]quests!$1:$1,0)+1,FALSE)</f>
        <v>ブルースクウェアを追え！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【初級】ブルースクウェアを追え！</v>
      </c>
      <c r="G10" s="136">
        <v>3</v>
      </c>
      <c r="H10" s="12" t="str">
        <f t="shared" si="10"/>
        <v>39003_1-3</v>
      </c>
      <c r="I10" s="4">
        <f ca="1">VLOOKUP($H10,OFFSET(floors!$A$1,0,0,COUNTA(floors!$A:$A),MATCH(I$1,floors!$1:$1,0)-MATCH($H$1,floors!$1:$1,0)+1),MATCH(I$1,floors!$1:$1,0)-MATCH($H$1,floors!$1:$1,0)+1,FALSE)</f>
        <v>50</v>
      </c>
      <c r="J10" s="4">
        <f ca="1">VLOOKUP($H10,OFFSET(floors!$A$1,0,0,COUNTA(floors!$A:$A),MATCH(J$1,floors!$1:$1,0)-MATCH($H$1,floors!$1:$1,0)+1),MATCH(J$1,floors!$1:$1,0)-MATCH($H$1,floors!$1:$1,0)+1,FALSE)</f>
        <v>50</v>
      </c>
      <c r="K10" s="32" t="s">
        <v>168</v>
      </c>
      <c r="L10" s="121">
        <v>374</v>
      </c>
      <c r="M10" s="14" t="str">
        <f ca="1">VLOOKUP($L10,OFFSET([3]enemies!$A$1,0,0,COUNTA([3]enemies!$A:$A),MATCH(M$1,[3]enemies!$1:$1,0)-MATCH($L$1,[3]enemies!$1:$1,0)+1),MATCH(M$1,[3]enemies!$1:$1,0)-MATCH($L$1,[3]enemies!$1:$1,0)+1,FALSE)</f>
        <v>影丸</v>
      </c>
      <c r="N10" s="14" t="str">
        <f ca="1">VLOOKUP($L10,OFFSET([3]enemies!$A$1,0,0,COUNTA([3]enemies!$A:$A),MATCH(N$1,[3]enemies!$1:$1,0)-MATCH($L$1,[3]enemies!$1:$1,0)+1),MATCH(N$1,[3]enemies!$1:$1,0)-MATCH($L$1,[3]enemies!$1:$1,0)+1,FALSE)</f>
        <v>blue</v>
      </c>
      <c r="O10" s="14" t="str">
        <f ca="1">VLOOKUP($L10,OFFSET([4]characters!$A$1,0,0,COUNTA([4]characters!$A:$A),MATCH(O$1,[4]characters!$1:$1,0)-MATCH($L$1,[4]characters!$1:$1,0)+1),MATCH(O$1,[4]characters!$1:$1,0)-MATCH($L$1,[4]characters!$1:$1,0)+1,FALSE)</f>
        <v>Drop1S</v>
      </c>
      <c r="P10" s="14" t="str">
        <f ca="1">VLOOKUP($L10,OFFSET([3]enemies!$A$1,0,0,COUNTA([3]enemies!$A:$A),MATCH(P$1,[3]enemies!$1:$1,0)-MATCH($L$1,[3]enemies!$1:$1,0)+1),MATCH(P$1,[3]enemies!$1:$1,0)-MATCH($L$1,[3]enemies!$1:$1,0)+1,FALSE)</f>
        <v>animal</v>
      </c>
      <c r="Q10" s="14">
        <f ca="1">VLOOKUP($L10,OFFSET([3]enemies!$A$1,0,0,COUNTA([3]enemies!$A:$A),MATCH(Q$1,[3]enemies!$1:$1,0)-MATCH($L$1,[3]enemies!$1:$1,0)+1),MATCH(Q$1,[3]enemies!$1:$1,0)-MATCH($L$1,[3]enemies!$1:$1,0)+1,FALSE)</f>
        <v>15</v>
      </c>
      <c r="R10" s="5">
        <v>10</v>
      </c>
      <c r="S10" s="19">
        <v>2.7</v>
      </c>
      <c r="T10" s="19">
        <v>1.5</v>
      </c>
      <c r="U10" s="5">
        <v>0</v>
      </c>
      <c r="V10" s="4" t="str">
        <f ca="1">VLOOKUP($W10,OFFSET(enemy_skill_sets!$B$1,0,0,COUNTA(enemy_skill_sets!$B:$B),MATCH(M$1,enemy_skill_sets!$1:$1,0)-MATCH($W$1,enemy_skill_sets!$1:$1,0)+2),MATCH(M$1,enemy_skill_sets!$1:$1,0)-MATCH($W$1,enemy_skill_sets!$1:$1,0)+2,FALSE)</f>
        <v>1ターンパネルの色が分からなくなる !</v>
      </c>
      <c r="W10" s="132">
        <v>39003009</v>
      </c>
      <c r="X10" s="6">
        <v>1</v>
      </c>
      <c r="Y10" s="6">
        <v>100</v>
      </c>
      <c r="Z10" s="6">
        <v>0</v>
      </c>
      <c r="AA10" s="131">
        <v>1</v>
      </c>
      <c r="AB10" s="122">
        <f t="shared" si="3"/>
        <v>374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影丸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2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Drop1S</v>
      </c>
      <c r="AF10" s="101">
        <v>1</v>
      </c>
      <c r="AG10" s="122">
        <f t="shared" ca="1" si="4"/>
        <v>2</v>
      </c>
      <c r="AH10" s="7">
        <v>20</v>
      </c>
      <c r="AI10" s="101">
        <v>0</v>
      </c>
      <c r="AJ10" s="101">
        <v>0</v>
      </c>
      <c r="AK10" s="101">
        <v>0</v>
      </c>
      <c r="AL10" s="101">
        <v>0</v>
      </c>
      <c r="AM10" s="101">
        <v>1</v>
      </c>
      <c r="AN10" s="63">
        <v>1</v>
      </c>
    </row>
    <row r="11" spans="1:40" ht="21" customHeight="1" x14ac:dyDescent="0.15">
      <c r="A11" s="13" t="str">
        <f t="shared" si="0"/>
        <v>39003_1-4/691&lt;lv10&gt;s2</v>
      </c>
      <c r="B11" s="130">
        <v>39003</v>
      </c>
      <c r="C11" s="124">
        <v>1</v>
      </c>
      <c r="D11" s="12" t="str">
        <f t="shared" si="1"/>
        <v>39003_1</v>
      </c>
      <c r="E11" s="4" t="str">
        <f ca="1">VLOOKUP($B11,OFFSET([2]quests!$A$1,0,0,COUNTA([2]quests!$A:$A),MATCH(E$1,[2]quests!$1:$1,0)-MATCH($B$1,[2]quests!$1:$1,0)+1),MATCH(E$1,[2]quests!$1:$1,0)-MATCH($B$1,[2]quests!$1:$1,0)+1,FALSE)</f>
        <v>ブルースクウェアを追え！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【初級】ブルースクウェアを追え！</v>
      </c>
      <c r="G11" s="133">
        <v>4</v>
      </c>
      <c r="H11" s="12" t="str">
        <f t="shared" si="2"/>
        <v>39003_1-4</v>
      </c>
      <c r="I11" s="4">
        <f ca="1">VLOOKUP($H11,OFFSET(floors!$A$1,0,0,COUNTA(floors!$A:$A),MATCH(I$1,floors!$1:$1,0)-MATCH($H$1,floors!$1:$1,0)+1),MATCH(I$1,floors!$1:$1,0)-MATCH($H$1,floors!$1:$1,0)+1,FALSE)</f>
        <v>30</v>
      </c>
      <c r="J11" s="4">
        <f ca="1">VLOOKUP($H11,OFFSET(floors!$A$1,0,0,COUNTA(floors!$A:$A),MATCH(J$1,floors!$1:$1,0)-MATCH($H$1,floors!$1:$1,0)+1),MATCH(J$1,floors!$1:$1,0)-MATCH($H$1,floors!$1:$1,0)+1,FALSE)</f>
        <v>30</v>
      </c>
      <c r="K11" s="32">
        <v>1</v>
      </c>
      <c r="L11" s="121">
        <v>691</v>
      </c>
      <c r="M11" s="14" t="str">
        <f ca="1">VLOOKUP($L11,OFFSET([3]enemies!$A$1,0,0,COUNTA([3]enemies!$A:$A),MATCH(M$1,[3]enemies!$1:$1,0)-MATCH($L$1,[3]enemies!$1:$1,0)+1),MATCH(M$1,[3]enemies!$1:$1,0)-MATCH($L$1,[3]enemies!$1:$1,0)+1,FALSE)</f>
        <v>黒沼青葉</v>
      </c>
      <c r="N11" s="14" t="str">
        <f ca="1">VLOOKUP($L11,OFFSET([3]enemies!$A$1,0,0,COUNTA([3]enemies!$A:$A),MATCH(N$1,[3]enemies!$1:$1,0)-MATCH($L$1,[3]enemies!$1:$1,0)+1),MATCH(N$1,[3]enemies!$1:$1,0)-MATCH($L$1,[3]enemies!$1:$1,0)+1,FALSE)</f>
        <v>blue</v>
      </c>
      <c r="O11" s="14" t="str">
        <f ca="1">VLOOKUP($L11,OFFSET([4]characters!$A$1,0,0,COUNTA([4]characters!$A:$A),MATCH(O$1,[4]characters!$1:$1,0)-MATCH($L$1,[4]characters!$1:$1,0)+1),MATCH(O$1,[4]characters!$1:$1,0)-MATCH($L$1,[4]characters!$1:$1,0)+1,FALSE)</f>
        <v>Drop2N</v>
      </c>
      <c r="P11" s="14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4">
        <f ca="1">VLOOKUP($L11,OFFSET([3]enemies!$A$1,0,0,COUNTA([3]enemies!$A:$A),MATCH(Q$1,[3]enemies!$1:$1,0)-MATCH($L$1,[3]enemies!$1:$1,0)+1),MATCH(Q$1,[3]enemies!$1:$1,0)-MATCH($L$1,[3]enemies!$1:$1,0)+1,FALSE)</f>
        <v>30</v>
      </c>
      <c r="R11" s="5">
        <v>10</v>
      </c>
      <c r="S11" s="19">
        <v>1.8</v>
      </c>
      <c r="T11" s="19">
        <v>1</v>
      </c>
      <c r="U11" s="5">
        <v>0</v>
      </c>
      <c r="V11" s="4" t="str">
        <f ca="1">VLOOKUP($W11,OFFSET(enemy_skill_sets!$B$1,0,0,COUNTA(enemy_skill_sets!$B:$B),MATCH(M$1,enemy_skill_sets!$1:$1,0)-MATCH($W$1,enemy_skill_sets!$1:$1,0)+2),MATCH(M$1,enemy_skill_sets!$1:$1,0)-MATCH($W$1,enemy_skill_sets!$1:$1,0)+2,FALSE)</f>
        <v>青パネルの出現率大UP</v>
      </c>
      <c r="W11" s="132">
        <v>39003010</v>
      </c>
      <c r="X11" s="6">
        <v>1</v>
      </c>
      <c r="Y11" s="6">
        <v>100</v>
      </c>
      <c r="Z11" s="6">
        <v>1</v>
      </c>
      <c r="AA11" s="131">
        <v>2</v>
      </c>
      <c r="AB11" s="122">
        <f t="shared" si="3"/>
        <v>691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黒沼青葉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4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Drop2N</v>
      </c>
      <c r="AF11" s="101">
        <v>1</v>
      </c>
      <c r="AG11" s="122">
        <f t="shared" ca="1" si="4"/>
        <v>4</v>
      </c>
      <c r="AH11" s="7">
        <v>10</v>
      </c>
      <c r="AI11" s="101">
        <v>0</v>
      </c>
      <c r="AJ11" s="101">
        <v>0</v>
      </c>
      <c r="AK11" s="101">
        <v>0</v>
      </c>
      <c r="AL11" s="101">
        <v>0</v>
      </c>
      <c r="AM11" s="101">
        <v>1</v>
      </c>
      <c r="AN11" s="63">
        <v>1</v>
      </c>
    </row>
    <row r="12" spans="1:40" ht="21" customHeight="1" x14ac:dyDescent="0.15">
      <c r="A12" s="13" t="str">
        <f t="shared" si="0"/>
        <v>39003_2-1/6&lt;lv30&gt;s3</v>
      </c>
      <c r="B12" s="130">
        <v>39003</v>
      </c>
      <c r="C12" s="134">
        <v>2</v>
      </c>
      <c r="D12" s="12" t="str">
        <f t="shared" si="1"/>
        <v>39003_2</v>
      </c>
      <c r="E12" s="4" t="str">
        <f ca="1">VLOOKUP($B12,OFFSET([2]quests!$A$1,0,0,COUNTA([2]quests!$A:$A),MATCH(E$1,[2]quests!$1:$1,0)-MATCH($B$1,[2]quests!$1:$1,0)+1),MATCH(E$1,[2]quests!$1:$1,0)-MATCH($B$1,[2]quests!$1:$1,0)+1,FALSE)</f>
        <v>ブルースクウェアを追え！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【中級】ブルースクウェアを追え！</v>
      </c>
      <c r="G12" s="120">
        <v>1</v>
      </c>
      <c r="H12" s="12" t="str">
        <f t="shared" si="2"/>
        <v>39003_2-1</v>
      </c>
      <c r="I12" s="4">
        <f ca="1">VLOOKUP($H12,OFFSET(floors!$A$1,0,0,COUNTA(floors!$A:$A),MATCH(I$1,floors!$1:$1,0)-MATCH($H$1,floors!$1:$1,0)+1),MATCH(I$1,floors!$1:$1,0)-MATCH($H$1,floors!$1:$1,0)+1,FALSE)</f>
        <v>45</v>
      </c>
      <c r="J12" s="4">
        <f ca="1">VLOOKUP($H12,OFFSET(floors!$A$1,0,0,COUNTA(floors!$A:$A),MATCH(J$1,floors!$1:$1,0)-MATCH($H$1,floors!$1:$1,0)+1),MATCH(J$1,floors!$1:$1,0)-MATCH($H$1,floors!$1:$1,0)+1,FALSE)</f>
        <v>45</v>
      </c>
      <c r="K12" s="32" t="s">
        <v>168</v>
      </c>
      <c r="L12" s="121">
        <v>6</v>
      </c>
      <c r="M12" s="14" t="str">
        <f ca="1">VLOOKUP($L12,OFFSET([3]enemies!$A$1,0,0,COUNTA([3]enemies!$A:$A),MATCH(M$1,[3]enemies!$1:$1,0)-MATCH($L$1,[3]enemies!$1:$1,0)+1),MATCH(M$1,[3]enemies!$1:$1,0)-MATCH($L$1,[3]enemies!$1:$1,0)+1,FALSE)</f>
        <v>パトドッグリーダー ポチ</v>
      </c>
      <c r="N12" s="14" t="str">
        <f ca="1">VLOOKUP($L12,OFFSET([3]enemies!$A$1,0,0,COUNTA([3]enemies!$A:$A),MATCH(N$1,[3]enemies!$1:$1,0)-MATCH($L$1,[3]enemies!$1:$1,0)+1),MATCH(N$1,[3]enemies!$1:$1,0)-MATCH($L$1,[3]enemies!$1:$1,0)+1,FALSE)</f>
        <v>blue</v>
      </c>
      <c r="O12" s="14" t="str">
        <f ca="1">VLOOKUP($L12,OFFSET([4]characters!$A$1,0,0,COUNTA([4]characters!$A:$A),MATCH(O$1,[4]characters!$1:$1,0)-MATCH($L$1,[4]characters!$1:$1,0)+1),MATCH(O$1,[4]characters!$1:$1,0)-MATCH($L$1,[4]characters!$1:$1,0)+1,FALSE)</f>
        <v>Drop1T</v>
      </c>
      <c r="P12" s="14" t="str">
        <f ca="1">VLOOKUP($L12,OFFSET([3]enemies!$A$1,0,0,COUNTA([3]enemies!$A:$A),MATCH(P$1,[3]enemies!$1:$1,0)-MATCH($L$1,[3]enemies!$1:$1,0)+1),MATCH(P$1,[3]enemies!$1:$1,0)-MATCH($L$1,[3]enemies!$1:$1,0)+1,FALSE)</f>
        <v>unknown</v>
      </c>
      <c r="Q12" s="14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30</v>
      </c>
      <c r="S12" s="19">
        <v>1.3</v>
      </c>
      <c r="T12" s="19">
        <v>2</v>
      </c>
      <c r="U12" s="5">
        <v>0</v>
      </c>
      <c r="V12" s="4" t="str">
        <f ca="1">VLOOKUP($W12,OFFSET(enemy_skill_sets!$B$1,0,0,COUNTA(enemy_skill_sets!$B:$B),MATCH(M$1,enemy_skill_sets!$1:$1,0)-MATCH($W$1,enemy_skill_sets!$1:$1,0)+2),MATCH(M$1,enemy_skill_sets!$1:$1,0)-MATCH($W$1,enemy_skill_sets!$1:$1,0)+2,FALSE)</f>
        <v>回復</v>
      </c>
      <c r="W12" s="132">
        <v>39003001</v>
      </c>
      <c r="X12" s="6">
        <v>1</v>
      </c>
      <c r="Y12" s="6">
        <v>100</v>
      </c>
      <c r="Z12" s="6">
        <v>0</v>
      </c>
      <c r="AA12" s="131">
        <v>3</v>
      </c>
      <c r="AB12" s="122">
        <f t="shared" si="3"/>
        <v>6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パトドッグリーダー ポチ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2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Drop1T</v>
      </c>
      <c r="AF12" s="101">
        <v>1</v>
      </c>
      <c r="AG12" s="122">
        <f t="shared" ca="1" si="4"/>
        <v>2</v>
      </c>
      <c r="AH12" s="7">
        <v>20</v>
      </c>
      <c r="AI12" s="101">
        <v>0</v>
      </c>
      <c r="AJ12" s="101">
        <v>0</v>
      </c>
      <c r="AK12" s="101">
        <v>0</v>
      </c>
      <c r="AL12" s="101">
        <v>0</v>
      </c>
      <c r="AM12" s="101">
        <v>1</v>
      </c>
      <c r="AN12" s="63">
        <v>1</v>
      </c>
    </row>
    <row r="13" spans="1:40" ht="21" customHeight="1" x14ac:dyDescent="0.15">
      <c r="A13" s="13" t="str">
        <f t="shared" si="0"/>
        <v>39003_2-1/18&lt;lv30&gt;s2</v>
      </c>
      <c r="B13" s="130">
        <v>39003</v>
      </c>
      <c r="C13" s="134">
        <v>2</v>
      </c>
      <c r="D13" s="12" t="str">
        <f t="shared" si="1"/>
        <v>39003_2</v>
      </c>
      <c r="E13" s="4" t="str">
        <f ca="1">VLOOKUP($B13,OFFSET([2]quests!$A$1,0,0,COUNTA([2]quests!$A:$A),MATCH(E$1,[2]quests!$1:$1,0)-MATCH($B$1,[2]quests!$1:$1,0)+1),MATCH(E$1,[2]quests!$1:$1,0)-MATCH($B$1,[2]quests!$1:$1,0)+1,FALSE)</f>
        <v>ブルースクウェアを追え！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【中級】ブルースクウェアを追え！</v>
      </c>
      <c r="G13" s="120">
        <v>1</v>
      </c>
      <c r="H13" s="12" t="str">
        <f t="shared" si="2"/>
        <v>39003_2-1</v>
      </c>
      <c r="I13" s="4">
        <f ca="1">VLOOKUP($H13,OFFSET(floors!$A$1,0,0,COUNTA(floors!$A:$A),MATCH(I$1,floors!$1:$1,0)-MATCH($H$1,floors!$1:$1,0)+1),MATCH(I$1,floors!$1:$1,0)-MATCH($H$1,floors!$1:$1,0)+1,FALSE)</f>
        <v>45</v>
      </c>
      <c r="J13" s="4">
        <f ca="1">VLOOKUP($H13,OFFSET(floors!$A$1,0,0,COUNTA(floors!$A:$A),MATCH(J$1,floors!$1:$1,0)-MATCH($H$1,floors!$1:$1,0)+1),MATCH(J$1,floors!$1:$1,0)-MATCH($H$1,floors!$1:$1,0)+1,FALSE)</f>
        <v>45</v>
      </c>
      <c r="K13" s="32" t="s">
        <v>168</v>
      </c>
      <c r="L13" s="121">
        <v>18</v>
      </c>
      <c r="M13" s="14" t="str">
        <f ca="1">VLOOKUP($L13,OFFSET([3]enemies!$A$1,0,0,COUNTA([3]enemies!$A:$A),MATCH(M$1,[3]enemies!$1:$1,0)-MATCH($L$1,[3]enemies!$1:$1,0)+1),MATCH(M$1,[3]enemies!$1:$1,0)-MATCH($L$1,[3]enemies!$1:$1,0)+1,FALSE)</f>
        <v>戦闘案内人 リム</v>
      </c>
      <c r="N13" s="14" t="str">
        <f ca="1">VLOOKUP($L13,OFFSET([3]enemies!$A$1,0,0,COUNTA([3]enemies!$A:$A),MATCH(N$1,[3]enemies!$1:$1,0)-MATCH($L$1,[3]enemies!$1:$1,0)+1),MATCH(N$1,[3]enemies!$1:$1,0)-MATCH($L$1,[3]enemies!$1:$1,0)+1,FALSE)</f>
        <v>blue</v>
      </c>
      <c r="O13" s="14" t="str">
        <f ca="1">VLOOKUP($L13,OFFSET([4]characters!$A$1,0,0,COUNTA([4]characters!$A:$A),MATCH(O$1,[4]characters!$1:$1,0)-MATCH($L$1,[4]characters!$1:$1,0)+1),MATCH(O$1,[4]characters!$1:$1,0)-MATCH($L$1,[4]characters!$1:$1,0)+1,FALSE)</f>
        <v>Drop1W</v>
      </c>
      <c r="P13" s="14" t="str">
        <f ca="1">VLOOKUP($L13,OFFSET([3]enemies!$A$1,0,0,COUNTA([3]enemies!$A:$A),MATCH(P$1,[3]enemies!$1:$1,0)-MATCH($L$1,[3]enemies!$1:$1,0)+1),MATCH(P$1,[3]enemies!$1:$1,0)-MATCH($L$1,[3]enemies!$1:$1,0)+1,FALSE)</f>
        <v>human</v>
      </c>
      <c r="Q13" s="14">
        <f ca="1">VLOOKUP($L13,OFFSET([3]enemies!$A$1,0,0,COUNTA([3]enemies!$A:$A),MATCH(Q$1,[3]enemies!$1:$1,0)-MATCH($L$1,[3]enemies!$1:$1,0)+1),MATCH(Q$1,[3]enemies!$1:$1,0)-MATCH($L$1,[3]enemies!$1:$1,0)+1,FALSE)</f>
        <v>15</v>
      </c>
      <c r="R13" s="5">
        <v>30</v>
      </c>
      <c r="S13" s="19">
        <v>2.6</v>
      </c>
      <c r="T13" s="19">
        <v>1.3</v>
      </c>
      <c r="U13" s="5">
        <v>0</v>
      </c>
      <c r="V13" s="4" t="str">
        <f ca="1">VLOOKUP($W13,OFFSET(enemy_skill_sets!$B$1,0,0,COUNTA(enemy_skill_sets!$B:$B),MATCH(M$1,enemy_skill_sets!$1:$1,0)-MATCH($W$1,enemy_skill_sets!$1:$1,0)+2),MATCH(M$1,enemy_skill_sets!$1:$1,0)-MATCH($W$1,enemy_skill_sets!$1:$1,0)+2,FALSE)</f>
        <v>3ターン攻撃頻度が1ターンにUP</v>
      </c>
      <c r="W13" s="132">
        <v>39003002</v>
      </c>
      <c r="X13" s="6">
        <v>1</v>
      </c>
      <c r="Y13" s="6">
        <v>100</v>
      </c>
      <c r="Z13" s="6">
        <v>0</v>
      </c>
      <c r="AA13" s="131">
        <v>2</v>
      </c>
      <c r="AB13" s="122">
        <f t="shared" si="3"/>
        <v>18</v>
      </c>
      <c r="AC13" s="4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戦闘案内人 リム</v>
      </c>
      <c r="AD13" s="4">
        <f ca="1">VLOOKUP($AB13,OFFSET([4]characters!$A$1,0,0,COUNTA([4]characters!$A:$A),MATCH(AD$1,[4]characters!$1:$1,0)-MATCH("character_id",[4]characters!$1:$1,0)+1),MATCH(AD$1,[4]characters!$1:$1,0)-MATCH("character_id",[4]characters!$1:$1,0)+1,FALSE)</f>
        <v>2</v>
      </c>
      <c r="AE13" s="4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Drop1W</v>
      </c>
      <c r="AF13" s="101">
        <v>1</v>
      </c>
      <c r="AG13" s="122">
        <f t="shared" ca="1" si="4"/>
        <v>2</v>
      </c>
      <c r="AH13" s="7">
        <v>20</v>
      </c>
      <c r="AI13" s="101">
        <v>0</v>
      </c>
      <c r="AJ13" s="101">
        <v>0</v>
      </c>
      <c r="AK13" s="101">
        <v>0</v>
      </c>
      <c r="AL13" s="101">
        <v>0</v>
      </c>
      <c r="AM13" s="101">
        <v>1</v>
      </c>
      <c r="AN13" s="63">
        <v>1</v>
      </c>
    </row>
    <row r="14" spans="1:40" ht="21" customHeight="1" x14ac:dyDescent="0.15">
      <c r="A14" s="13" t="str">
        <f t="shared" ref="A14" si="11">B14&amp;"_"&amp;C14&amp;"-"&amp;G14&amp;"/"&amp;L14&amp;"&lt;lv"&amp;R14&amp;"&gt;s"&amp;AA14</f>
        <v>39003_2-1/30&lt;lv30&gt;s3</v>
      </c>
      <c r="B14" s="130">
        <v>39003</v>
      </c>
      <c r="C14" s="134">
        <v>2</v>
      </c>
      <c r="D14" s="12" t="str">
        <f t="shared" ref="D14" si="12">B14&amp;"_"&amp;C14</f>
        <v>39003_2</v>
      </c>
      <c r="E14" s="4" t="str">
        <f ca="1">VLOOKUP($B14,OFFSET([2]quests!$A$1,0,0,COUNTA([2]quests!$A:$A),MATCH(E$1,[2]quests!$1:$1,0)-MATCH($B$1,[2]quests!$1:$1,0)+1),MATCH(E$1,[2]quests!$1:$1,0)-MATCH($B$1,[2]quests!$1:$1,0)+1,FALSE)</f>
        <v>ブルースクウェアを追え！</v>
      </c>
      <c r="F14" s="4" t="str">
        <f ca="1">VLOOKUP($D14,OFFSET([2]stages!$A$1,0,0,COUNTA([2]stages!$A:$A),MATCH(F$1,[2]stages!$2:$2,0)-MATCH($D$1,[2]stages!$2:$2,0)+1),MATCH(F$1,[2]stages!$2:$2,0)-MATCH($D$1,[2]stages!$2:$2,0)+1,FALSE)</f>
        <v>【中級】ブルースクウェアを追え！</v>
      </c>
      <c r="G14" s="120">
        <v>1</v>
      </c>
      <c r="H14" s="12" t="str">
        <f t="shared" ref="H14" si="13">B14&amp;"_"&amp;C14&amp;"-"&amp;G14</f>
        <v>39003_2-1</v>
      </c>
      <c r="I14" s="4">
        <f ca="1">VLOOKUP($H14,OFFSET(floors!$A$1,0,0,COUNTA(floors!$A:$A),MATCH(I$1,floors!$1:$1,0)-MATCH($H$1,floors!$1:$1,0)+1),MATCH(I$1,floors!$1:$1,0)-MATCH($H$1,floors!$1:$1,0)+1,FALSE)</f>
        <v>45</v>
      </c>
      <c r="J14" s="4">
        <f ca="1">VLOOKUP($H14,OFFSET(floors!$A$1,0,0,COUNTA(floors!$A:$A),MATCH(J$1,floors!$1:$1,0)-MATCH($H$1,floors!$1:$1,0)+1),MATCH(J$1,floors!$1:$1,0)-MATCH($H$1,floors!$1:$1,0)+1,FALSE)</f>
        <v>45</v>
      </c>
      <c r="K14" s="32" t="s">
        <v>168</v>
      </c>
      <c r="L14" s="121">
        <v>30</v>
      </c>
      <c r="M14" s="14" t="str">
        <f ca="1">VLOOKUP($L14,OFFSET([3]enemies!$A$1,0,0,COUNTA([3]enemies!$A:$A),MATCH(M$1,[3]enemies!$1:$1,0)-MATCH($L$1,[3]enemies!$1:$1,0)+1),MATCH(M$1,[3]enemies!$1:$1,0)-MATCH($L$1,[3]enemies!$1:$1,0)+1,FALSE)</f>
        <v>護衛機人 スケアクロウ</v>
      </c>
      <c r="N14" s="14" t="str">
        <f ca="1">VLOOKUP($L14,OFFSET([3]enemies!$A$1,0,0,COUNTA([3]enemies!$A:$A),MATCH(N$1,[3]enemies!$1:$1,0)-MATCH($L$1,[3]enemies!$1:$1,0)+1),MATCH(N$1,[3]enemies!$1:$1,0)-MATCH($L$1,[3]enemies!$1:$1,0)+1,FALSE)</f>
        <v>blue</v>
      </c>
      <c r="O14" s="14" t="str">
        <f ca="1">VLOOKUP($L14,OFFSET([4]characters!$A$1,0,0,COUNTA([4]characters!$A:$A),MATCH(O$1,[4]characters!$1:$1,0)-MATCH($L$1,[4]characters!$1:$1,0)+1),MATCH(O$1,[4]characters!$1:$1,0)-MATCH($L$1,[4]characters!$1:$1,0)+1,FALSE)</f>
        <v>Drop1N</v>
      </c>
      <c r="P14" s="14" t="str">
        <f ca="1">VLOOKUP($L14,OFFSET([3]enemies!$A$1,0,0,COUNTA([3]enemies!$A:$A),MATCH(P$1,[3]enemies!$1:$1,0)-MATCH($L$1,[3]enemies!$1:$1,0)+1),MATCH(P$1,[3]enemies!$1:$1,0)-MATCH($L$1,[3]enemies!$1:$1,0)+1,FALSE)</f>
        <v>machine</v>
      </c>
      <c r="Q14" s="14">
        <f ca="1">VLOOKUP($L14,OFFSET([3]enemies!$A$1,0,0,COUNTA([3]enemies!$A:$A),MATCH(Q$1,[3]enemies!$1:$1,0)-MATCH($L$1,[3]enemies!$1:$1,0)+1),MATCH(Q$1,[3]enemies!$1:$1,0)-MATCH($L$1,[3]enemies!$1:$1,0)+1,FALSE)</f>
        <v>15</v>
      </c>
      <c r="R14" s="5">
        <v>30</v>
      </c>
      <c r="S14" s="19">
        <v>3</v>
      </c>
      <c r="T14" s="19">
        <v>1.7</v>
      </c>
      <c r="U14" s="5">
        <v>0</v>
      </c>
      <c r="V14" s="4" t="str">
        <f ca="1">VLOOKUP($W14,OFFSET(enemy_skill_sets!$B$1,0,0,COUNTA(enemy_skill_sets!$B:$B),MATCH(M$1,enemy_skill_sets!$1:$1,0)-MATCH($W$1,enemy_skill_sets!$1:$1,0)+2),MATCH(M$1,enemy_skill_sets!$1:$1,0)-MATCH($W$1,enemy_skill_sets!$1:$1,0)+2,FALSE)</f>
        <v>大回復</v>
      </c>
      <c r="W14" s="132">
        <v>39003003</v>
      </c>
      <c r="X14" s="6">
        <v>1</v>
      </c>
      <c r="Y14" s="6">
        <v>100</v>
      </c>
      <c r="Z14" s="6">
        <v>0</v>
      </c>
      <c r="AA14" s="131">
        <v>3</v>
      </c>
      <c r="AB14" s="122">
        <f t="shared" si="3"/>
        <v>30</v>
      </c>
      <c r="AC14" s="4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護衛機人 スケアクロウ</v>
      </c>
      <c r="AD14" s="4">
        <f ca="1">VLOOKUP($AB14,OFFSET([4]characters!$A$1,0,0,COUNTA([4]characters!$A:$A),MATCH(AD$1,[4]characters!$1:$1,0)-MATCH("character_id",[4]characters!$1:$1,0)+1),MATCH(AD$1,[4]characters!$1:$1,0)-MATCH("character_id",[4]characters!$1:$1,0)+1,FALSE)</f>
        <v>2</v>
      </c>
      <c r="AE14" s="4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Drop1N</v>
      </c>
      <c r="AF14" s="101">
        <v>1</v>
      </c>
      <c r="AG14" s="122">
        <f t="shared" ca="1" si="4"/>
        <v>2</v>
      </c>
      <c r="AH14" s="7">
        <v>20</v>
      </c>
      <c r="AI14" s="101">
        <v>0</v>
      </c>
      <c r="AJ14" s="101">
        <v>0</v>
      </c>
      <c r="AK14" s="101">
        <v>0</v>
      </c>
      <c r="AL14" s="101">
        <v>0</v>
      </c>
      <c r="AM14" s="101">
        <v>1</v>
      </c>
      <c r="AN14" s="63">
        <v>1</v>
      </c>
    </row>
    <row r="15" spans="1:40" ht="21" customHeight="1" x14ac:dyDescent="0.15">
      <c r="A15" s="13" t="str">
        <f t="shared" si="0"/>
        <v>39003_2-2/130&lt;lv30&gt;s4</v>
      </c>
      <c r="B15" s="130">
        <v>39003</v>
      </c>
      <c r="C15" s="134">
        <v>2</v>
      </c>
      <c r="D15" s="12" t="str">
        <f t="shared" si="1"/>
        <v>39003_2</v>
      </c>
      <c r="E15" s="4" t="str">
        <f ca="1">VLOOKUP($B15,OFFSET([2]quests!$A$1,0,0,COUNTA([2]quests!$A:$A),MATCH(E$1,[2]quests!$1:$1,0)-MATCH($B$1,[2]quests!$1:$1,0)+1),MATCH(E$1,[2]quests!$1:$1,0)-MATCH($B$1,[2]quests!$1:$1,0)+1,FALSE)</f>
        <v>ブルースクウェアを追え！</v>
      </c>
      <c r="F15" s="4" t="str">
        <f ca="1">VLOOKUP($D15,OFFSET([2]stages!$A$1,0,0,COUNTA([2]stages!$A:$A),MATCH(F$1,[2]stages!$2:$2,0)-MATCH($D$1,[2]stages!$2:$2,0)+1),MATCH(F$1,[2]stages!$2:$2,0)-MATCH($D$1,[2]stages!$2:$2,0)+1,FALSE)</f>
        <v>【中級】ブルースクウェアを追え！</v>
      </c>
      <c r="G15" s="123">
        <v>2</v>
      </c>
      <c r="H15" s="12" t="str">
        <f t="shared" si="2"/>
        <v>39003_2-2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2" t="s">
        <v>53</v>
      </c>
      <c r="L15" s="121">
        <v>130</v>
      </c>
      <c r="M15" s="14" t="str">
        <f ca="1">VLOOKUP($L15,OFFSET([3]enemies!$A$1,0,0,COUNTA([3]enemies!$A:$A),MATCH(M$1,[3]enemies!$1:$1,0)-MATCH($L$1,[3]enemies!$1:$1,0)+1),MATCH(M$1,[3]enemies!$1:$1,0)-MATCH($L$1,[3]enemies!$1:$1,0)+1,FALSE)</f>
        <v>狼男 ローレンス</v>
      </c>
      <c r="N15" s="14" t="str">
        <f ca="1">VLOOKUP($L15,OFFSET([3]enemies!$A$1,0,0,COUNTA([3]enemies!$A:$A),MATCH(N$1,[3]enemies!$1:$1,0)-MATCH($L$1,[3]enemies!$1:$1,0)+1),MATCH(N$1,[3]enemies!$1:$1,0)-MATCH($L$1,[3]enemies!$1:$1,0)+1,FALSE)</f>
        <v>blue</v>
      </c>
      <c r="O15" s="14" t="str">
        <f ca="1">VLOOKUP($L15,OFFSET([4]characters!$A$1,0,0,COUNTA([4]characters!$A:$A),MATCH(O$1,[4]characters!$1:$1,0)-MATCH($L$1,[4]characters!$1:$1,0)+1),MATCH(O$1,[4]characters!$1:$1,0)-MATCH($L$1,[4]characters!$1:$1,0)+1,FALSE)</f>
        <v>PremiumW</v>
      </c>
      <c r="P15" s="14" t="str">
        <f ca="1">VLOOKUP($L15,OFFSET([3]enemies!$A$1,0,0,COUNTA([3]enemies!$A:$A),MATCH(P$1,[3]enemies!$1:$1,0)-MATCH($L$1,[3]enemies!$1:$1,0)+1),MATCH(P$1,[3]enemies!$1:$1,0)-MATCH($L$1,[3]enemies!$1:$1,0)+1,FALSE)</f>
        <v>animal</v>
      </c>
      <c r="Q15" s="14">
        <f ca="1">VLOOKUP($L15,OFFSET([3]enemies!$A$1,0,0,COUNTA([3]enemies!$A:$A),MATCH(Q$1,[3]enemies!$1:$1,0)-MATCH($L$1,[3]enemies!$1:$1,0)+1),MATCH(Q$1,[3]enemies!$1:$1,0)-MATCH($L$1,[3]enemies!$1:$1,0)+1,FALSE)</f>
        <v>20</v>
      </c>
      <c r="R15" s="5">
        <v>30</v>
      </c>
      <c r="S15" s="19">
        <v>0.8</v>
      </c>
      <c r="T15" s="19">
        <v>0.8</v>
      </c>
      <c r="U15" s="5">
        <v>0</v>
      </c>
      <c r="V15" s="4" t="str">
        <f ca="1">VLOOKUP($W15,OFFSET(enemy_skill_sets!$B$1,0,0,COUNTA(enemy_skill_sets!$B:$B),MATCH(M$1,enemy_skill_sets!$1:$1,0)-MATCH($W$1,enemy_skill_sets!$1:$1,0)+2),MATCH(M$1,enemy_skill_sets!$1:$1,0)-MATCH($W$1,enemy_skill_sets!$1:$1,0)+2,FALSE)</f>
        <v>単体に大ダメージ！</v>
      </c>
      <c r="W15" s="132">
        <v>39003013</v>
      </c>
      <c r="X15" s="6">
        <v>1</v>
      </c>
      <c r="Y15" s="6">
        <v>100</v>
      </c>
      <c r="Z15" s="6">
        <v>0</v>
      </c>
      <c r="AA15" s="131">
        <v>4</v>
      </c>
      <c r="AB15" s="122">
        <f t="shared" si="3"/>
        <v>130</v>
      </c>
      <c r="AC15" s="4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狼男 ローレンス</v>
      </c>
      <c r="AD15" s="4">
        <f ca="1">VLOOKUP($AB15,OFFSET([4]characters!$A$1,0,0,COUNTA([4]characters!$A:$A),MATCH(AD$1,[4]characters!$1:$1,0)-MATCH("character_id",[4]characters!$1:$1,0)+1),MATCH(AD$1,[4]characters!$1:$1,0)-MATCH("character_id",[4]characters!$1:$1,0)+1,FALSE)</f>
        <v>3</v>
      </c>
      <c r="AE15" s="4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15" s="101">
        <v>1</v>
      </c>
      <c r="AG15" s="122">
        <f t="shared" ca="1" si="4"/>
        <v>3</v>
      </c>
      <c r="AH15" s="7">
        <v>0</v>
      </c>
      <c r="AI15" s="101">
        <v>0</v>
      </c>
      <c r="AJ15" s="101">
        <v>0</v>
      </c>
      <c r="AK15" s="101">
        <v>0</v>
      </c>
      <c r="AL15" s="101">
        <v>0</v>
      </c>
      <c r="AM15" s="101">
        <v>1</v>
      </c>
      <c r="AN15" s="63">
        <v>1</v>
      </c>
    </row>
    <row r="16" spans="1:40" ht="21" customHeight="1" x14ac:dyDescent="0.15">
      <c r="A16" s="13" t="str">
        <f t="shared" si="0"/>
        <v>39003_2-2/199&lt;lv30&gt;s2</v>
      </c>
      <c r="B16" s="130">
        <v>39003</v>
      </c>
      <c r="C16" s="134">
        <v>2</v>
      </c>
      <c r="D16" s="12" t="str">
        <f t="shared" si="1"/>
        <v>39003_2</v>
      </c>
      <c r="E16" s="4" t="str">
        <f ca="1">VLOOKUP($B16,OFFSET([2]quests!$A$1,0,0,COUNTA([2]quests!$A:$A),MATCH(E$1,[2]quests!$1:$1,0)-MATCH($B$1,[2]quests!$1:$1,0)+1),MATCH(E$1,[2]quests!$1:$1,0)-MATCH($B$1,[2]quests!$1:$1,0)+1,FALSE)</f>
        <v>ブルースクウェアを追え！</v>
      </c>
      <c r="F16" s="4" t="str">
        <f ca="1">VLOOKUP($D16,OFFSET([2]stages!$A$1,0,0,COUNTA([2]stages!$A:$A),MATCH(F$1,[2]stages!$2:$2,0)-MATCH($D$1,[2]stages!$2:$2,0)+1),MATCH(F$1,[2]stages!$2:$2,0)-MATCH($D$1,[2]stages!$2:$2,0)+1,FALSE)</f>
        <v>【中級】ブルースクウェアを追え！</v>
      </c>
      <c r="G16" s="123">
        <v>2</v>
      </c>
      <c r="H16" s="12" t="str">
        <f t="shared" si="2"/>
        <v>39003_2-2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2" t="s">
        <v>53</v>
      </c>
      <c r="L16" s="121">
        <v>199</v>
      </c>
      <c r="M16" s="14" t="str">
        <f ca="1">VLOOKUP($L16,OFFSET([3]enemies!$A$1,0,0,COUNTA([3]enemies!$A:$A),MATCH(M$1,[3]enemies!$1:$1,0)-MATCH($L$1,[3]enemies!$1:$1,0)+1),MATCH(M$1,[3]enemies!$1:$1,0)-MATCH($L$1,[3]enemies!$1:$1,0)+1,FALSE)</f>
        <v>ジークフリート</v>
      </c>
      <c r="N16" s="14" t="str">
        <f ca="1">VLOOKUP($L16,OFFSET([3]enemies!$A$1,0,0,COUNTA([3]enemies!$A:$A),MATCH(N$1,[3]enemies!$1:$1,0)-MATCH($L$1,[3]enemies!$1:$1,0)+1),MATCH(N$1,[3]enemies!$1:$1,0)-MATCH($L$1,[3]enemies!$1:$1,0)+1,FALSE)</f>
        <v>blue</v>
      </c>
      <c r="O16" s="14" t="str">
        <f ca="1">VLOOKUP($L16,OFFSET([4]characters!$A$1,0,0,COUNTA([4]characters!$A:$A),MATCH(O$1,[4]characters!$1:$1,0)-MATCH($L$1,[4]characters!$1:$1,0)+1),MATCH(O$1,[4]characters!$1:$1,0)-MATCH($L$1,[4]characters!$1:$1,0)+1,FALSE)</f>
        <v>PremiumN</v>
      </c>
      <c r="P16" s="14" t="str">
        <f ca="1">VLOOKUP($L16,OFFSET([3]enemies!$A$1,0,0,COUNTA([3]enemies!$A:$A),MATCH(P$1,[3]enemies!$1:$1,0)-MATCH($L$1,[3]enemies!$1:$1,0)+1),MATCH(P$1,[3]enemies!$1:$1,0)-MATCH($L$1,[3]enemies!$1:$1,0)+1,FALSE)</f>
        <v>human</v>
      </c>
      <c r="Q16" s="14">
        <f ca="1">VLOOKUP($L16,OFFSET([3]enemies!$A$1,0,0,COUNTA([3]enemies!$A:$A),MATCH(Q$1,[3]enemies!$1:$1,0)-MATCH($L$1,[3]enemies!$1:$1,0)+1),MATCH(Q$1,[3]enemies!$1:$1,0)-MATCH($L$1,[3]enemies!$1:$1,0)+1,FALSE)</f>
        <v>20</v>
      </c>
      <c r="R16" s="5">
        <v>30</v>
      </c>
      <c r="S16" s="19">
        <v>0.8</v>
      </c>
      <c r="T16" s="19">
        <v>0.8</v>
      </c>
      <c r="U16" s="5">
        <v>0</v>
      </c>
      <c r="V16" s="4" t="str">
        <f ca="1">VLOOKUP($W16,OFFSET(enemy_skill_sets!$B$1,0,0,COUNTA(enemy_skill_sets!$B:$B),MATCH(M$1,enemy_skill_sets!$1:$1,0)-MATCH($W$1,enemy_skill_sets!$1:$1,0)+2),MATCH(M$1,enemy_skill_sets!$1:$1,0)-MATCH($W$1,enemy_skill_sets!$1:$1,0)+2,FALSE)</f>
        <v>全体攻撃</v>
      </c>
      <c r="W16" s="132">
        <v>39003005</v>
      </c>
      <c r="X16" s="6">
        <v>1</v>
      </c>
      <c r="Y16" s="6">
        <v>100</v>
      </c>
      <c r="Z16" s="6">
        <v>1</v>
      </c>
      <c r="AA16" s="131">
        <v>2</v>
      </c>
      <c r="AB16" s="122">
        <f t="shared" si="3"/>
        <v>199</v>
      </c>
      <c r="AC16" s="4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ジークフリート</v>
      </c>
      <c r="AD16" s="4">
        <f ca="1">VLOOKUP($AB16,OFFSET([4]characters!$A$1,0,0,COUNTA([4]characters!$A:$A),MATCH(AD$1,[4]characters!$1:$1,0)-MATCH("character_id",[4]characters!$1:$1,0)+1),MATCH(AD$1,[4]characters!$1:$1,0)-MATCH("character_id",[4]characters!$1:$1,0)+1,FALSE)</f>
        <v>3</v>
      </c>
      <c r="AE16" s="4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16" s="101">
        <v>1</v>
      </c>
      <c r="AG16" s="122">
        <f t="shared" ca="1" si="4"/>
        <v>3</v>
      </c>
      <c r="AH16" s="7">
        <v>0</v>
      </c>
      <c r="AI16" s="101">
        <v>0</v>
      </c>
      <c r="AJ16" s="101">
        <v>0</v>
      </c>
      <c r="AK16" s="101">
        <v>0</v>
      </c>
      <c r="AL16" s="101">
        <v>0</v>
      </c>
      <c r="AM16" s="101">
        <v>1</v>
      </c>
      <c r="AN16" s="63">
        <v>1</v>
      </c>
    </row>
    <row r="17" spans="1:40" ht="21" customHeight="1" x14ac:dyDescent="0.15">
      <c r="A17" s="13" t="str">
        <f t="shared" ref="A17:A19" si="14">B17&amp;"_"&amp;C17&amp;"-"&amp;G17&amp;"/"&amp;L17&amp;"&lt;lv"&amp;R17&amp;"&gt;s"&amp;AA17</f>
        <v>39003_2-2/266&lt;lv30&gt;s2</v>
      </c>
      <c r="B17" s="130">
        <v>39003</v>
      </c>
      <c r="C17" s="134">
        <v>2</v>
      </c>
      <c r="D17" s="12" t="str">
        <f t="shared" ref="D17:D19" si="15">B17&amp;"_"&amp;C17</f>
        <v>39003_2</v>
      </c>
      <c r="E17" s="4" t="str">
        <f ca="1">VLOOKUP($B17,OFFSET([2]quests!$A$1,0,0,COUNTA([2]quests!$A:$A),MATCH(E$1,[2]quests!$1:$1,0)-MATCH($B$1,[2]quests!$1:$1,0)+1),MATCH(E$1,[2]quests!$1:$1,0)-MATCH($B$1,[2]quests!$1:$1,0)+1,FALSE)</f>
        <v>ブルースクウェアを追え！</v>
      </c>
      <c r="F17" s="4" t="str">
        <f ca="1">VLOOKUP($D17,OFFSET([2]stages!$A$1,0,0,COUNTA([2]stages!$A:$A),MATCH(F$1,[2]stages!$2:$2,0)-MATCH($D$1,[2]stages!$2:$2,0)+1),MATCH(F$1,[2]stages!$2:$2,0)-MATCH($D$1,[2]stages!$2:$2,0)+1,FALSE)</f>
        <v>【中級】ブルースクウェアを追え！</v>
      </c>
      <c r="G17" s="123">
        <v>2</v>
      </c>
      <c r="H17" s="12" t="str">
        <f t="shared" ref="H17:H19" si="16">B17&amp;"_"&amp;C17&amp;"-"&amp;G17</f>
        <v>39003_2-2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2" t="s">
        <v>53</v>
      </c>
      <c r="L17" s="121">
        <v>266</v>
      </c>
      <c r="M17" s="14" t="str">
        <f ca="1">VLOOKUP($L17,OFFSET([3]enemies!$A$1,0,0,COUNTA([3]enemies!$A:$A),MATCH(M$1,[3]enemies!$1:$1,0)-MATCH($L$1,[3]enemies!$1:$1,0)+1),MATCH(M$1,[3]enemies!$1:$1,0)-MATCH($L$1,[3]enemies!$1:$1,0)+1,FALSE)</f>
        <v>リリアンブルー</v>
      </c>
      <c r="N17" s="14" t="str">
        <f ca="1">VLOOKUP($L17,OFFSET([3]enemies!$A$1,0,0,COUNTA([3]enemies!$A:$A),MATCH(N$1,[3]enemies!$1:$1,0)-MATCH($L$1,[3]enemies!$1:$1,0)+1),MATCH(N$1,[3]enemies!$1:$1,0)-MATCH($L$1,[3]enemies!$1:$1,0)+1,FALSE)</f>
        <v>blue</v>
      </c>
      <c r="O17" s="14" t="str">
        <f ca="1">VLOOKUP($L17,OFFSET([4]characters!$A$1,0,0,COUNTA([4]characters!$A:$A),MATCH(O$1,[4]characters!$1:$1,0)-MATCH($L$1,[4]characters!$1:$1,0)+1),MATCH(O$1,[4]characters!$1:$1,0)-MATCH($L$1,[4]characters!$1:$1,0)+1,FALSE)</f>
        <v>Drop2W</v>
      </c>
      <c r="P17" s="14" t="str">
        <f ca="1">VLOOKUP($L17,OFFSET([3]enemies!$A$1,0,0,COUNTA([3]enemies!$A:$A),MATCH(P$1,[3]enemies!$1:$1,0)-MATCH($L$1,[3]enemies!$1:$1,0)+1),MATCH(P$1,[3]enemies!$1:$1,0)-MATCH($L$1,[3]enemies!$1:$1,0)+1,FALSE)</f>
        <v>animal</v>
      </c>
      <c r="Q17" s="14">
        <f ca="1">VLOOKUP($L17,OFFSET([3]enemies!$A$1,0,0,COUNTA([3]enemies!$A:$A),MATCH(Q$1,[3]enemies!$1:$1,0)-MATCH($L$1,[3]enemies!$1:$1,0)+1),MATCH(Q$1,[3]enemies!$1:$1,0)-MATCH($L$1,[3]enemies!$1:$1,0)+1,FALSE)</f>
        <v>20</v>
      </c>
      <c r="R17" s="5">
        <v>30</v>
      </c>
      <c r="S17" s="19">
        <v>0.8</v>
      </c>
      <c r="T17" s="19">
        <v>0.8</v>
      </c>
      <c r="U17" s="5">
        <v>0</v>
      </c>
      <c r="V17" s="4" t="str">
        <f ca="1">VLOOKUP($W17,OFFSET(enemy_skill_sets!$B$1,0,0,COUNTA(enemy_skill_sets!$B:$B),MATCH(M$1,enemy_skill_sets!$1:$1,0)-MATCH($W$1,enemy_skill_sets!$1:$1,0)+2),MATCH(M$1,enemy_skill_sets!$1:$1,0)-MATCH($W$1,enemy_skill_sets!$1:$1,0)+2,FALSE)</f>
        <v>Cパネル吸収攻撃</v>
      </c>
      <c r="W17" s="132">
        <v>39003006</v>
      </c>
      <c r="X17" s="6">
        <v>1</v>
      </c>
      <c r="Y17" s="6">
        <v>100</v>
      </c>
      <c r="Z17" s="6">
        <v>0</v>
      </c>
      <c r="AA17" s="131">
        <v>2</v>
      </c>
      <c r="AB17" s="122">
        <f t="shared" si="3"/>
        <v>266</v>
      </c>
      <c r="AC17" s="4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リリアンブルー</v>
      </c>
      <c r="AD17" s="4">
        <f ca="1">VLOOKUP($AB17,OFFSET([4]characters!$A$1,0,0,COUNTA([4]characters!$A:$A),MATCH(AD$1,[4]characters!$1:$1,0)-MATCH("character_id",[4]characters!$1:$1,0)+1),MATCH(AD$1,[4]characters!$1:$1,0)-MATCH("character_id",[4]characters!$1:$1,0)+1,FALSE)</f>
        <v>3</v>
      </c>
      <c r="AE17" s="4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Drop2W</v>
      </c>
      <c r="AF17" s="101">
        <v>1</v>
      </c>
      <c r="AG17" s="122">
        <f t="shared" ca="1" si="4"/>
        <v>3</v>
      </c>
      <c r="AH17" s="7">
        <v>0</v>
      </c>
      <c r="AI17" s="101">
        <v>0</v>
      </c>
      <c r="AJ17" s="101">
        <v>0</v>
      </c>
      <c r="AK17" s="101">
        <v>0</v>
      </c>
      <c r="AL17" s="101">
        <v>0</v>
      </c>
      <c r="AM17" s="101">
        <v>1</v>
      </c>
      <c r="AN17" s="63">
        <v>1</v>
      </c>
    </row>
    <row r="18" spans="1:40" ht="21" customHeight="1" x14ac:dyDescent="0.15">
      <c r="A18" s="13" t="str">
        <f t="shared" si="14"/>
        <v>39003_2-3/172&lt;lv30&gt;s2</v>
      </c>
      <c r="B18" s="130">
        <v>39003</v>
      </c>
      <c r="C18" s="134">
        <v>2</v>
      </c>
      <c r="D18" s="12" t="str">
        <f t="shared" si="15"/>
        <v>39003_2</v>
      </c>
      <c r="E18" s="4" t="str">
        <f ca="1">VLOOKUP($B18,OFFSET([2]quests!$A$1,0,0,COUNTA([2]quests!$A:$A),MATCH(E$1,[2]quests!$1:$1,0)-MATCH($B$1,[2]quests!$1:$1,0)+1),MATCH(E$1,[2]quests!$1:$1,0)-MATCH($B$1,[2]quests!$1:$1,0)+1,FALSE)</f>
        <v>ブルースクウェアを追え！</v>
      </c>
      <c r="F18" s="4" t="str">
        <f ca="1">VLOOKUP($D18,OFFSET([2]stages!$A$1,0,0,COUNTA([2]stages!$A:$A),MATCH(F$1,[2]stages!$2:$2,0)-MATCH($D$1,[2]stages!$2:$2,0)+1),MATCH(F$1,[2]stages!$2:$2,0)-MATCH($D$1,[2]stages!$2:$2,0)+1,FALSE)</f>
        <v>【中級】ブルースクウェアを追え！</v>
      </c>
      <c r="G18" s="136">
        <v>3</v>
      </c>
      <c r="H18" s="12" t="str">
        <f t="shared" si="16"/>
        <v>39003_2-3</v>
      </c>
      <c r="I18" s="4">
        <f ca="1">VLOOKUP($H18,OFFSET(floors!$A$1,0,0,COUNTA(floors!$A:$A),MATCH(I$1,floors!$1:$1,0)-MATCH($H$1,floors!$1:$1,0)+1),MATCH(I$1,floors!$1:$1,0)-MATCH($H$1,floors!$1:$1,0)+1,FALSE)</f>
        <v>50</v>
      </c>
      <c r="J18" s="4">
        <f ca="1">VLOOKUP($H18,OFFSET(floors!$A$1,0,0,COUNTA(floors!$A:$A),MATCH(J$1,floors!$1:$1,0)-MATCH($H$1,floors!$1:$1,0)+1),MATCH(J$1,floors!$1:$1,0)-MATCH($H$1,floors!$1:$1,0)+1,FALSE)</f>
        <v>50</v>
      </c>
      <c r="K18" s="32" t="s">
        <v>168</v>
      </c>
      <c r="L18" s="121">
        <v>172</v>
      </c>
      <c r="M18" s="14" t="str">
        <f ca="1">VLOOKUP($L18,OFFSET([3]enemies!$A$1,0,0,COUNTA([3]enemies!$A:$A),MATCH(M$1,[3]enemies!$1:$1,0)-MATCH($L$1,[3]enemies!$1:$1,0)+1),MATCH(M$1,[3]enemies!$1:$1,0)-MATCH($L$1,[3]enemies!$1:$1,0)+1,FALSE)</f>
        <v>フォルネウス</v>
      </c>
      <c r="N18" s="14" t="str">
        <f ca="1">VLOOKUP($L18,OFFSET([3]enemies!$A$1,0,0,COUNTA([3]enemies!$A:$A),MATCH(N$1,[3]enemies!$1:$1,0)-MATCH($L$1,[3]enemies!$1:$1,0)+1),MATCH(N$1,[3]enemies!$1:$1,0)-MATCH($L$1,[3]enemies!$1:$1,0)+1,FALSE)</f>
        <v>blue</v>
      </c>
      <c r="O18" s="14" t="str">
        <f ca="1">VLOOKUP($L18,OFFSET([4]characters!$A$1,0,0,COUNTA([4]characters!$A:$A),MATCH(O$1,[4]characters!$1:$1,0)-MATCH($L$1,[4]characters!$1:$1,0)+1),MATCH(O$1,[4]characters!$1:$1,0)-MATCH($L$1,[4]characters!$1:$1,0)+1,FALSE)</f>
        <v>PremiumN</v>
      </c>
      <c r="P18" s="14" t="str">
        <f ca="1">VLOOKUP($L18,OFFSET([3]enemies!$A$1,0,0,COUNTA([3]enemies!$A:$A),MATCH(P$1,[3]enemies!$1:$1,0)-MATCH($L$1,[3]enemies!$1:$1,0)+1),MATCH(P$1,[3]enemies!$1:$1,0)-MATCH($L$1,[3]enemies!$1:$1,0)+1,FALSE)</f>
        <v>god</v>
      </c>
      <c r="Q18" s="14">
        <f ca="1">VLOOKUP($L18,OFFSET([3]enemies!$A$1,0,0,COUNTA([3]enemies!$A:$A),MATCH(Q$1,[3]enemies!$1:$1,0)-MATCH($L$1,[3]enemies!$1:$1,0)+1),MATCH(Q$1,[3]enemies!$1:$1,0)-MATCH($L$1,[3]enemies!$1:$1,0)+1,FALSE)</f>
        <v>20</v>
      </c>
      <c r="R18" s="5">
        <v>30</v>
      </c>
      <c r="S18" s="19">
        <v>1</v>
      </c>
      <c r="T18" s="19">
        <v>0.9</v>
      </c>
      <c r="U18" s="5">
        <v>0</v>
      </c>
      <c r="V18" s="4" t="str">
        <f ca="1">VLOOKUP($W18,OFFSET(enemy_skill_sets!$B$1,0,0,COUNTA(enemy_skill_sets!$B:$B),MATCH(M$1,enemy_skill_sets!$1:$1,0)-MATCH($W$1,enemy_skill_sets!$1:$1,0)+2),MATCH(M$1,enemy_skill_sets!$1:$1,0)-MATCH($W$1,enemy_skill_sets!$1:$1,0)+2,FALSE)</f>
        <v>全体攻撃&amp;青パネルをプロテクト状態にする！</v>
      </c>
      <c r="W18" s="132">
        <v>39003007</v>
      </c>
      <c r="X18" s="6">
        <v>1</v>
      </c>
      <c r="Y18" s="6">
        <v>100</v>
      </c>
      <c r="Z18" s="6">
        <v>1</v>
      </c>
      <c r="AA18" s="131">
        <v>2</v>
      </c>
      <c r="AB18" s="122">
        <f t="shared" si="3"/>
        <v>172</v>
      </c>
      <c r="AC18" s="4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フォルネウス</v>
      </c>
      <c r="AD18" s="4">
        <f ca="1">VLOOKUP($AB18,OFFSET([4]characters!$A$1,0,0,COUNTA([4]characters!$A:$A),MATCH(AD$1,[4]characters!$1:$1,0)-MATCH("character_id",[4]characters!$1:$1,0)+1),MATCH(AD$1,[4]characters!$1:$1,0)-MATCH("character_id",[4]characters!$1:$1,0)+1,FALSE)</f>
        <v>3</v>
      </c>
      <c r="AE18" s="4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18" s="101">
        <v>1</v>
      </c>
      <c r="AG18" s="122">
        <f t="shared" ca="1" si="4"/>
        <v>3</v>
      </c>
      <c r="AH18" s="7">
        <v>0</v>
      </c>
      <c r="AI18" s="101">
        <v>0</v>
      </c>
      <c r="AJ18" s="101">
        <v>0</v>
      </c>
      <c r="AK18" s="101">
        <v>0</v>
      </c>
      <c r="AL18" s="101">
        <v>0</v>
      </c>
      <c r="AM18" s="101">
        <v>1</v>
      </c>
      <c r="AN18" s="63">
        <v>1</v>
      </c>
    </row>
    <row r="19" spans="1:40" ht="21" customHeight="1" x14ac:dyDescent="0.15">
      <c r="A19" s="13" t="str">
        <f t="shared" si="14"/>
        <v>39003_2-3/364&lt;lv30&gt;s1</v>
      </c>
      <c r="B19" s="130">
        <v>39003</v>
      </c>
      <c r="C19" s="134">
        <v>2</v>
      </c>
      <c r="D19" s="12" t="str">
        <f t="shared" si="15"/>
        <v>39003_2</v>
      </c>
      <c r="E19" s="4" t="str">
        <f ca="1">VLOOKUP($B19,OFFSET([2]quests!$A$1,0,0,COUNTA([2]quests!$A:$A),MATCH(E$1,[2]quests!$1:$1,0)-MATCH($B$1,[2]quests!$1:$1,0)+1),MATCH(E$1,[2]quests!$1:$1,0)-MATCH($B$1,[2]quests!$1:$1,0)+1,FALSE)</f>
        <v>ブルースクウェアを追え！</v>
      </c>
      <c r="F19" s="4" t="str">
        <f ca="1">VLOOKUP($D19,OFFSET([2]stages!$A$1,0,0,COUNTA([2]stages!$A:$A),MATCH(F$1,[2]stages!$2:$2,0)-MATCH($D$1,[2]stages!$2:$2,0)+1),MATCH(F$1,[2]stages!$2:$2,0)-MATCH($D$1,[2]stages!$2:$2,0)+1,FALSE)</f>
        <v>【中級】ブルースクウェアを追え！</v>
      </c>
      <c r="G19" s="136">
        <v>3</v>
      </c>
      <c r="H19" s="12" t="str">
        <f t="shared" si="16"/>
        <v>39003_2-3</v>
      </c>
      <c r="I19" s="4">
        <f ca="1">VLOOKUP($H19,OFFSET(floors!$A$1,0,0,COUNTA(floors!$A:$A),MATCH(I$1,floors!$1:$1,0)-MATCH($H$1,floors!$1:$1,0)+1),MATCH(I$1,floors!$1:$1,0)-MATCH($H$1,floors!$1:$1,0)+1,FALSE)</f>
        <v>50</v>
      </c>
      <c r="J19" s="4">
        <f ca="1">VLOOKUP($H19,OFFSET(floors!$A$1,0,0,COUNTA(floors!$A:$A),MATCH(J$1,floors!$1:$1,0)-MATCH($H$1,floors!$1:$1,0)+1),MATCH(J$1,floors!$1:$1,0)-MATCH($H$1,floors!$1:$1,0)+1,FALSE)</f>
        <v>50</v>
      </c>
      <c r="K19" s="32" t="s">
        <v>168</v>
      </c>
      <c r="L19" s="121">
        <v>364</v>
      </c>
      <c r="M19" s="14" t="str">
        <f ca="1">VLOOKUP($L19,OFFSET([3]enemies!$A$1,0,0,COUNTA([3]enemies!$A:$A),MATCH(M$1,[3]enemies!$1:$1,0)-MATCH($L$1,[3]enemies!$1:$1,0)+1),MATCH(M$1,[3]enemies!$1:$1,0)-MATCH($L$1,[3]enemies!$1:$1,0)+1,FALSE)</f>
        <v>ノエル</v>
      </c>
      <c r="N19" s="14" t="str">
        <f ca="1">VLOOKUP($L19,OFFSET([3]enemies!$A$1,0,0,COUNTA([3]enemies!$A:$A),MATCH(N$1,[3]enemies!$1:$1,0)-MATCH($L$1,[3]enemies!$1:$1,0)+1),MATCH(N$1,[3]enemies!$1:$1,0)-MATCH($L$1,[3]enemies!$1:$1,0)+1,FALSE)</f>
        <v>blue</v>
      </c>
      <c r="O19" s="14" t="str">
        <f ca="1">VLOOKUP($L19,OFFSET([4]characters!$A$1,0,0,COUNTA([4]characters!$A:$A),MATCH(O$1,[4]characters!$1:$1,0)-MATCH($L$1,[4]characters!$1:$1,0)+1),MATCH(O$1,[4]characters!$1:$1,0)-MATCH($L$1,[4]characters!$1:$1,0)+1,FALSE)</f>
        <v>Drop1S</v>
      </c>
      <c r="P19" s="14" t="str">
        <f ca="1">VLOOKUP($L19,OFFSET([3]enemies!$A$1,0,0,COUNTA([3]enemies!$A:$A),MATCH(P$1,[3]enemies!$1:$1,0)-MATCH($L$1,[3]enemies!$1:$1,0)+1),MATCH(P$1,[3]enemies!$1:$1,0)-MATCH($L$1,[3]enemies!$1:$1,0)+1,FALSE)</f>
        <v>animal</v>
      </c>
      <c r="Q19" s="14">
        <f ca="1">VLOOKUP($L19,OFFSET([3]enemies!$A$1,0,0,COUNTA([3]enemies!$A:$A),MATCH(Q$1,[3]enemies!$1:$1,0)-MATCH($L$1,[3]enemies!$1:$1,0)+1),MATCH(Q$1,[3]enemies!$1:$1,0)-MATCH($L$1,[3]enemies!$1:$1,0)+1,FALSE)</f>
        <v>15</v>
      </c>
      <c r="R19" s="5">
        <v>30</v>
      </c>
      <c r="S19" s="19">
        <v>2.4</v>
      </c>
      <c r="T19" s="19">
        <v>0.6</v>
      </c>
      <c r="U19" s="5">
        <v>0</v>
      </c>
      <c r="V19" s="4" t="str">
        <f ca="1">VLOOKUP($W19,OFFSET(enemy_skill_sets!$B$1,0,0,COUNTA(enemy_skill_sets!$B:$B),MATCH(M$1,enemy_skill_sets!$1:$1,0)-MATCH($W$1,enemy_skill_sets!$1:$1,0)+2),MATCH(M$1,enemy_skill_sets!$1:$1,0)-MATCH($W$1,enemy_skill_sets!$1:$1,0)+2,FALSE)</f>
        <v>3ターンパネルタップ回数を1減少</v>
      </c>
      <c r="W19" s="132">
        <v>39003015</v>
      </c>
      <c r="X19" s="6">
        <v>1</v>
      </c>
      <c r="Y19" s="6">
        <v>100</v>
      </c>
      <c r="Z19" s="6">
        <v>0</v>
      </c>
      <c r="AA19" s="131">
        <v>1</v>
      </c>
      <c r="AB19" s="122">
        <f t="shared" si="3"/>
        <v>364</v>
      </c>
      <c r="AC19" s="4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ノエル</v>
      </c>
      <c r="AD19" s="4">
        <f ca="1">VLOOKUP($AB19,OFFSET([4]characters!$A$1,0,0,COUNTA([4]characters!$A:$A),MATCH(AD$1,[4]characters!$1:$1,0)-MATCH("character_id",[4]characters!$1:$1,0)+1),MATCH(AD$1,[4]characters!$1:$1,0)-MATCH("character_id",[4]characters!$1:$1,0)+1,FALSE)</f>
        <v>2</v>
      </c>
      <c r="AE19" s="4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Drop1S</v>
      </c>
      <c r="AF19" s="101">
        <v>1</v>
      </c>
      <c r="AG19" s="122">
        <f t="shared" ca="1" si="4"/>
        <v>2</v>
      </c>
      <c r="AH19" s="7">
        <v>20</v>
      </c>
      <c r="AI19" s="101">
        <v>0</v>
      </c>
      <c r="AJ19" s="101">
        <v>0</v>
      </c>
      <c r="AK19" s="101">
        <v>0</v>
      </c>
      <c r="AL19" s="101">
        <v>0</v>
      </c>
      <c r="AM19" s="101">
        <v>1</v>
      </c>
      <c r="AN19" s="63">
        <v>1</v>
      </c>
    </row>
    <row r="20" spans="1:40" ht="21" customHeight="1" x14ac:dyDescent="0.15">
      <c r="A20" s="13" t="str">
        <f t="shared" ref="A20" si="17">B20&amp;"_"&amp;C20&amp;"-"&amp;G20&amp;"/"&amp;L20&amp;"&lt;lv"&amp;R20&amp;"&gt;s"&amp;AA20</f>
        <v>39003_2-3/374&lt;lv30&gt;s1</v>
      </c>
      <c r="B20" s="130">
        <v>39003</v>
      </c>
      <c r="C20" s="134">
        <v>2</v>
      </c>
      <c r="D20" s="12" t="str">
        <f t="shared" ref="D20" si="18">B20&amp;"_"&amp;C20</f>
        <v>39003_2</v>
      </c>
      <c r="E20" s="4" t="str">
        <f ca="1">VLOOKUP($B20,OFFSET([2]quests!$A$1,0,0,COUNTA([2]quests!$A:$A),MATCH(E$1,[2]quests!$1:$1,0)-MATCH($B$1,[2]quests!$1:$1,0)+1),MATCH(E$1,[2]quests!$1:$1,0)-MATCH($B$1,[2]quests!$1:$1,0)+1,FALSE)</f>
        <v>ブルースクウェアを追え！</v>
      </c>
      <c r="F20" s="4" t="str">
        <f ca="1">VLOOKUP($D20,OFFSET([2]stages!$A$1,0,0,COUNTA([2]stages!$A:$A),MATCH(F$1,[2]stages!$2:$2,0)-MATCH($D$1,[2]stages!$2:$2,0)+1),MATCH(F$1,[2]stages!$2:$2,0)-MATCH($D$1,[2]stages!$2:$2,0)+1,FALSE)</f>
        <v>【中級】ブルースクウェアを追え！</v>
      </c>
      <c r="G20" s="136">
        <v>3</v>
      </c>
      <c r="H20" s="12" t="str">
        <f t="shared" ref="H20" si="19">B20&amp;"_"&amp;C20&amp;"-"&amp;G20</f>
        <v>39003_2-3</v>
      </c>
      <c r="I20" s="4">
        <f ca="1">VLOOKUP($H20,OFFSET(floors!$A$1,0,0,COUNTA(floors!$A:$A),MATCH(I$1,floors!$1:$1,0)-MATCH($H$1,floors!$1:$1,0)+1),MATCH(I$1,floors!$1:$1,0)-MATCH($H$1,floors!$1:$1,0)+1,FALSE)</f>
        <v>50</v>
      </c>
      <c r="J20" s="4">
        <f ca="1">VLOOKUP($H20,OFFSET(floors!$A$1,0,0,COUNTA(floors!$A:$A),MATCH(J$1,floors!$1:$1,0)-MATCH($H$1,floors!$1:$1,0)+1),MATCH(J$1,floors!$1:$1,0)-MATCH($H$1,floors!$1:$1,0)+1,FALSE)</f>
        <v>50</v>
      </c>
      <c r="K20" s="32" t="s">
        <v>168</v>
      </c>
      <c r="L20" s="121">
        <v>374</v>
      </c>
      <c r="M20" s="14" t="str">
        <f ca="1">VLOOKUP($L20,OFFSET([3]enemies!$A$1,0,0,COUNTA([3]enemies!$A:$A),MATCH(M$1,[3]enemies!$1:$1,0)-MATCH($L$1,[3]enemies!$1:$1,0)+1),MATCH(M$1,[3]enemies!$1:$1,0)-MATCH($L$1,[3]enemies!$1:$1,0)+1,FALSE)</f>
        <v>影丸</v>
      </c>
      <c r="N20" s="14" t="str">
        <f ca="1">VLOOKUP($L20,OFFSET([3]enemies!$A$1,0,0,COUNTA([3]enemies!$A:$A),MATCH(N$1,[3]enemies!$1:$1,0)-MATCH($L$1,[3]enemies!$1:$1,0)+1),MATCH(N$1,[3]enemies!$1:$1,0)-MATCH($L$1,[3]enemies!$1:$1,0)+1,FALSE)</f>
        <v>blue</v>
      </c>
      <c r="O20" s="14" t="str">
        <f ca="1">VLOOKUP($L20,OFFSET([4]characters!$A$1,0,0,COUNTA([4]characters!$A:$A),MATCH(O$1,[4]characters!$1:$1,0)-MATCH($L$1,[4]characters!$1:$1,0)+1),MATCH(O$1,[4]characters!$1:$1,0)-MATCH($L$1,[4]characters!$1:$1,0)+1,FALSE)</f>
        <v>Drop1S</v>
      </c>
      <c r="P20" s="14" t="str">
        <f ca="1">VLOOKUP($L20,OFFSET([3]enemies!$A$1,0,0,COUNTA([3]enemies!$A:$A),MATCH(P$1,[3]enemies!$1:$1,0)-MATCH($L$1,[3]enemies!$1:$1,0)+1),MATCH(P$1,[3]enemies!$1:$1,0)-MATCH($L$1,[3]enemies!$1:$1,0)+1,FALSE)</f>
        <v>animal</v>
      </c>
      <c r="Q20" s="14">
        <f ca="1">VLOOKUP($L20,OFFSET([3]enemies!$A$1,0,0,COUNTA([3]enemies!$A:$A),MATCH(Q$1,[3]enemies!$1:$1,0)-MATCH($L$1,[3]enemies!$1:$1,0)+1),MATCH(Q$1,[3]enemies!$1:$1,0)-MATCH($L$1,[3]enemies!$1:$1,0)+1,FALSE)</f>
        <v>15</v>
      </c>
      <c r="R20" s="5">
        <v>30</v>
      </c>
      <c r="S20" s="19">
        <v>2.7</v>
      </c>
      <c r="T20" s="19">
        <v>1.5</v>
      </c>
      <c r="U20" s="5">
        <v>0</v>
      </c>
      <c r="V20" s="4" t="str">
        <f ca="1">VLOOKUP($W20,OFFSET(enemy_skill_sets!$B$1,0,0,COUNTA(enemy_skill_sets!$B:$B),MATCH(M$1,enemy_skill_sets!$1:$1,0)-MATCH($W$1,enemy_skill_sets!$1:$1,0)+2),MATCH(M$1,enemy_skill_sets!$1:$1,0)-MATCH($W$1,enemy_skill_sets!$1:$1,0)+2,FALSE)</f>
        <v>1ターンパネルの色が分からなくなる !</v>
      </c>
      <c r="W20" s="132">
        <v>39003009</v>
      </c>
      <c r="X20" s="6">
        <v>1</v>
      </c>
      <c r="Y20" s="6">
        <v>100</v>
      </c>
      <c r="Z20" s="6">
        <v>0</v>
      </c>
      <c r="AA20" s="131">
        <v>1</v>
      </c>
      <c r="AB20" s="122">
        <f t="shared" si="3"/>
        <v>374</v>
      </c>
      <c r="AC20" s="4" t="str">
        <f ca="1">VLOOKUP($AB20,OFFSET([4]characters!$A$1,0,0,COUNTA([4]characters!$A:$A),MATCH(AC$1,[4]characters!$1:$1,0)-MATCH("character_id",[4]characters!$1:$1,0)+1),MATCH(AC$1,[4]characters!$1:$1,0)-MATCH("character_id",[4]characters!$1:$1,0)+1,FALSE)</f>
        <v>影丸</v>
      </c>
      <c r="AD20" s="4">
        <f ca="1">VLOOKUP($AB20,OFFSET([4]characters!$A$1,0,0,COUNTA([4]characters!$A:$A),MATCH(AD$1,[4]characters!$1:$1,0)-MATCH("character_id",[4]characters!$1:$1,0)+1),MATCH(AD$1,[4]characters!$1:$1,0)-MATCH("character_id",[4]characters!$1:$1,0)+1,FALSE)</f>
        <v>2</v>
      </c>
      <c r="AE20" s="4" t="str">
        <f ca="1">VLOOKUP($AB20,OFFSET([4]characters!$A$1,0,0,COUNTA([4]characters!$A:$A),MATCH(AE$1,[4]characters!$1:$1,0)-MATCH("character_id",[4]characters!$1:$1,0)+1),MATCH(AE$1,[4]characters!$1:$1,0)-MATCH("character_id",[4]characters!$1:$1,0)+1,FALSE)</f>
        <v>Drop1S</v>
      </c>
      <c r="AF20" s="101">
        <v>1</v>
      </c>
      <c r="AG20" s="122">
        <f t="shared" ca="1" si="4"/>
        <v>2</v>
      </c>
      <c r="AH20" s="7">
        <v>20</v>
      </c>
      <c r="AI20" s="101">
        <v>0</v>
      </c>
      <c r="AJ20" s="101">
        <v>0</v>
      </c>
      <c r="AK20" s="101">
        <v>0</v>
      </c>
      <c r="AL20" s="101">
        <v>0</v>
      </c>
      <c r="AM20" s="101">
        <v>1</v>
      </c>
      <c r="AN20" s="63">
        <v>1</v>
      </c>
    </row>
    <row r="21" spans="1:40" ht="21" customHeight="1" x14ac:dyDescent="0.15">
      <c r="A21" s="13" t="str">
        <f t="shared" si="0"/>
        <v>39003_2-4/691&lt;lv30&gt;s2</v>
      </c>
      <c r="B21" s="130">
        <v>39003</v>
      </c>
      <c r="C21" s="134">
        <v>2</v>
      </c>
      <c r="D21" s="12" t="str">
        <f t="shared" si="1"/>
        <v>39003_2</v>
      </c>
      <c r="E21" s="4" t="str">
        <f ca="1">VLOOKUP($B21,OFFSET([2]quests!$A$1,0,0,COUNTA([2]quests!$A:$A),MATCH(E$1,[2]quests!$1:$1,0)-MATCH($B$1,[2]quests!$1:$1,0)+1),MATCH(E$1,[2]quests!$1:$1,0)-MATCH($B$1,[2]quests!$1:$1,0)+1,FALSE)</f>
        <v>ブルースクウェアを追え！</v>
      </c>
      <c r="F21" s="4" t="str">
        <f ca="1">VLOOKUP($D21,OFFSET([2]stages!$A$1,0,0,COUNTA([2]stages!$A:$A),MATCH(F$1,[2]stages!$2:$2,0)-MATCH($D$1,[2]stages!$2:$2,0)+1),MATCH(F$1,[2]stages!$2:$2,0)-MATCH($D$1,[2]stages!$2:$2,0)+1,FALSE)</f>
        <v>【中級】ブルースクウェアを追え！</v>
      </c>
      <c r="G21" s="133">
        <v>4</v>
      </c>
      <c r="H21" s="12" t="str">
        <f t="shared" si="2"/>
        <v>39003_2-4</v>
      </c>
      <c r="I21" s="4">
        <f ca="1">VLOOKUP($H21,OFFSET(floors!$A$1,0,0,COUNTA(floors!$A:$A),MATCH(I$1,floors!$1:$1,0)-MATCH($H$1,floors!$1:$1,0)+1),MATCH(I$1,floors!$1:$1,0)-MATCH($H$1,floors!$1:$1,0)+1,FALSE)</f>
        <v>30</v>
      </c>
      <c r="J21" s="4">
        <f ca="1">VLOOKUP($H21,OFFSET(floors!$A$1,0,0,COUNTA(floors!$A:$A),MATCH(J$1,floors!$1:$1,0)-MATCH($H$1,floors!$1:$1,0)+1),MATCH(J$1,floors!$1:$1,0)-MATCH($H$1,floors!$1:$1,0)+1,FALSE)</f>
        <v>30</v>
      </c>
      <c r="K21" s="32">
        <v>2</v>
      </c>
      <c r="L21" s="121">
        <v>691</v>
      </c>
      <c r="M21" s="14" t="str">
        <f ca="1">VLOOKUP($L21,OFFSET([3]enemies!$A$1,0,0,COUNTA([3]enemies!$A:$A),MATCH(M$1,[3]enemies!$1:$1,0)-MATCH($L$1,[3]enemies!$1:$1,0)+1),MATCH(M$1,[3]enemies!$1:$1,0)-MATCH($L$1,[3]enemies!$1:$1,0)+1,FALSE)</f>
        <v>黒沼青葉</v>
      </c>
      <c r="N21" s="14" t="str">
        <f ca="1">VLOOKUP($L21,OFFSET([3]enemies!$A$1,0,0,COUNTA([3]enemies!$A:$A),MATCH(N$1,[3]enemies!$1:$1,0)-MATCH($L$1,[3]enemies!$1:$1,0)+1),MATCH(N$1,[3]enemies!$1:$1,0)-MATCH($L$1,[3]enemies!$1:$1,0)+1,FALSE)</f>
        <v>blue</v>
      </c>
      <c r="O21" s="14" t="str">
        <f ca="1">VLOOKUP($L21,OFFSET([4]characters!$A$1,0,0,COUNTA([4]characters!$A:$A),MATCH(O$1,[4]characters!$1:$1,0)-MATCH($L$1,[4]characters!$1:$1,0)+1),MATCH(O$1,[4]characters!$1:$1,0)-MATCH($L$1,[4]characters!$1:$1,0)+1,FALSE)</f>
        <v>Drop2N</v>
      </c>
      <c r="P21" s="14" t="str">
        <f ca="1">VLOOKUP($L21,OFFSET([3]enemies!$A$1,0,0,COUNTA([3]enemies!$A:$A),MATCH(P$1,[3]enemies!$1:$1,0)-MATCH($L$1,[3]enemies!$1:$1,0)+1),MATCH(P$1,[3]enemies!$1:$1,0)-MATCH($L$1,[3]enemies!$1:$1,0)+1,FALSE)</f>
        <v>human</v>
      </c>
      <c r="Q21" s="14">
        <f ca="1">VLOOKUP($L21,OFFSET([3]enemies!$A$1,0,0,COUNTA([3]enemies!$A:$A),MATCH(Q$1,[3]enemies!$1:$1,0)-MATCH($L$1,[3]enemies!$1:$1,0)+1),MATCH(Q$1,[3]enemies!$1:$1,0)-MATCH($L$1,[3]enemies!$1:$1,0)+1,FALSE)</f>
        <v>30</v>
      </c>
      <c r="R21" s="5">
        <v>30</v>
      </c>
      <c r="S21" s="19">
        <v>1.8</v>
      </c>
      <c r="T21" s="19">
        <v>1</v>
      </c>
      <c r="U21" s="5">
        <v>0</v>
      </c>
      <c r="V21" s="4" t="str">
        <f ca="1">VLOOKUP($W21,OFFSET(enemy_skill_sets!$B$1,0,0,COUNTA(enemy_skill_sets!$B:$B),MATCH(M$1,enemy_skill_sets!$1:$1,0)-MATCH($W$1,enemy_skill_sets!$1:$1,0)+2),MATCH(M$1,enemy_skill_sets!$1:$1,0)-MATCH($W$1,enemy_skill_sets!$1:$1,0)+2,FALSE)</f>
        <v>青パネルの出現率大UP</v>
      </c>
      <c r="W21" s="132">
        <v>39003010</v>
      </c>
      <c r="X21" s="6">
        <v>1</v>
      </c>
      <c r="Y21" s="6">
        <v>100</v>
      </c>
      <c r="Z21" s="6">
        <v>1</v>
      </c>
      <c r="AA21" s="131">
        <v>2</v>
      </c>
      <c r="AB21" s="122">
        <f t="shared" si="3"/>
        <v>691</v>
      </c>
      <c r="AC21" s="4" t="str">
        <f ca="1">VLOOKUP($AB21,OFFSET([4]characters!$A$1,0,0,COUNTA([4]characters!$A:$A),MATCH(AC$1,[4]characters!$1:$1,0)-MATCH("character_id",[4]characters!$1:$1,0)+1),MATCH(AC$1,[4]characters!$1:$1,0)-MATCH("character_id",[4]characters!$1:$1,0)+1,FALSE)</f>
        <v>黒沼青葉</v>
      </c>
      <c r="AD21" s="4">
        <f ca="1">VLOOKUP($AB21,OFFSET([4]characters!$A$1,0,0,COUNTA([4]characters!$A:$A),MATCH(AD$1,[4]characters!$1:$1,0)-MATCH("character_id",[4]characters!$1:$1,0)+1),MATCH(AD$1,[4]characters!$1:$1,0)-MATCH("character_id",[4]characters!$1:$1,0)+1,FALSE)</f>
        <v>4</v>
      </c>
      <c r="AE21" s="4" t="str">
        <f ca="1">VLOOKUP($AB21,OFFSET([4]characters!$A$1,0,0,COUNTA([4]characters!$A:$A),MATCH(AE$1,[4]characters!$1:$1,0)-MATCH("character_id",[4]characters!$1:$1,0)+1),MATCH(AE$1,[4]characters!$1:$1,0)-MATCH("character_id",[4]characters!$1:$1,0)+1,FALSE)</f>
        <v>Drop2N</v>
      </c>
      <c r="AF21" s="101">
        <v>1</v>
      </c>
      <c r="AG21" s="122">
        <f t="shared" ca="1" si="4"/>
        <v>4</v>
      </c>
      <c r="AH21" s="7">
        <v>20</v>
      </c>
      <c r="AI21" s="101">
        <v>0</v>
      </c>
      <c r="AJ21" s="101">
        <v>0</v>
      </c>
      <c r="AK21" s="101">
        <v>0</v>
      </c>
      <c r="AL21" s="101">
        <v>0</v>
      </c>
      <c r="AM21" s="101">
        <v>1</v>
      </c>
      <c r="AN21" s="63">
        <v>1</v>
      </c>
    </row>
    <row r="22" spans="1:40" ht="21" customHeight="1" x14ac:dyDescent="0.15">
      <c r="A22" s="13" t="str">
        <f t="shared" si="0"/>
        <v>39003_3-1/6&lt;lv40&gt;s3</v>
      </c>
      <c r="B22" s="130">
        <v>39003</v>
      </c>
      <c r="C22" s="135">
        <v>3</v>
      </c>
      <c r="D22" s="12" t="str">
        <f t="shared" si="1"/>
        <v>39003_3</v>
      </c>
      <c r="E22" s="4" t="str">
        <f ca="1">VLOOKUP($B22,OFFSET([2]quests!$A$1,0,0,COUNTA([2]quests!$A:$A),MATCH(E$1,[2]quests!$1:$1,0)-MATCH($B$1,[2]quests!$1:$1,0)+1),MATCH(E$1,[2]quests!$1:$1,0)-MATCH($B$1,[2]quests!$1:$1,0)+1,FALSE)</f>
        <v>ブルースクウェアを追え！</v>
      </c>
      <c r="F22" s="4" t="str">
        <f ca="1">VLOOKUP($D22,OFFSET([2]stages!$A$1,0,0,COUNTA([2]stages!$A:$A),MATCH(F$1,[2]stages!$2:$2,0)-MATCH($D$1,[2]stages!$2:$2,0)+1),MATCH(F$1,[2]stages!$2:$2,0)-MATCH($D$1,[2]stages!$2:$2,0)+1,FALSE)</f>
        <v>【上級】ブルースクウェアを追え！</v>
      </c>
      <c r="G22" s="120">
        <v>1</v>
      </c>
      <c r="H22" s="12" t="str">
        <f t="shared" si="2"/>
        <v>39003_3-1</v>
      </c>
      <c r="I22" s="4">
        <f ca="1">VLOOKUP($H22,OFFSET(floors!$A$1,0,0,COUNTA(floors!$A:$A),MATCH(I$1,floors!$1:$1,0)-MATCH($H$1,floors!$1:$1,0)+1),MATCH(I$1,floors!$1:$1,0)-MATCH($H$1,floors!$1:$1,0)+1,FALSE)</f>
        <v>45</v>
      </c>
      <c r="J22" s="4">
        <f ca="1">VLOOKUP($H22,OFFSET(floors!$A$1,0,0,COUNTA(floors!$A:$A),MATCH(J$1,floors!$1:$1,0)-MATCH($H$1,floors!$1:$1,0)+1),MATCH(J$1,floors!$1:$1,0)-MATCH($H$1,floors!$1:$1,0)+1,FALSE)</f>
        <v>45</v>
      </c>
      <c r="K22" s="32" t="s">
        <v>168</v>
      </c>
      <c r="L22" s="121">
        <v>6</v>
      </c>
      <c r="M22" s="14" t="str">
        <f ca="1">VLOOKUP($L22,OFFSET([3]enemies!$A$1,0,0,COUNTA([3]enemies!$A:$A),MATCH(M$1,[3]enemies!$1:$1,0)-MATCH($L$1,[3]enemies!$1:$1,0)+1),MATCH(M$1,[3]enemies!$1:$1,0)-MATCH($L$1,[3]enemies!$1:$1,0)+1,FALSE)</f>
        <v>パトドッグリーダー ポチ</v>
      </c>
      <c r="N22" s="14" t="str">
        <f ca="1">VLOOKUP($L22,OFFSET([3]enemies!$A$1,0,0,COUNTA([3]enemies!$A:$A),MATCH(N$1,[3]enemies!$1:$1,0)-MATCH($L$1,[3]enemies!$1:$1,0)+1),MATCH(N$1,[3]enemies!$1:$1,0)-MATCH($L$1,[3]enemies!$1:$1,0)+1,FALSE)</f>
        <v>blue</v>
      </c>
      <c r="O22" s="14" t="str">
        <f ca="1">VLOOKUP($L22,OFFSET([4]characters!$A$1,0,0,COUNTA([4]characters!$A:$A),MATCH(O$1,[4]characters!$1:$1,0)-MATCH($L$1,[4]characters!$1:$1,0)+1),MATCH(O$1,[4]characters!$1:$1,0)-MATCH($L$1,[4]characters!$1:$1,0)+1,FALSE)</f>
        <v>Drop1T</v>
      </c>
      <c r="P22" s="14" t="str">
        <f ca="1">VLOOKUP($L22,OFFSET([3]enemies!$A$1,0,0,COUNTA([3]enemies!$A:$A),MATCH(P$1,[3]enemies!$1:$1,0)-MATCH($L$1,[3]enemies!$1:$1,0)+1),MATCH(P$1,[3]enemies!$1:$1,0)-MATCH($L$1,[3]enemies!$1:$1,0)+1,FALSE)</f>
        <v>unknown</v>
      </c>
      <c r="Q22" s="14">
        <f ca="1">VLOOKUP($L22,OFFSET([3]enemies!$A$1,0,0,COUNTA([3]enemies!$A:$A),MATCH(Q$1,[3]enemies!$1:$1,0)-MATCH($L$1,[3]enemies!$1:$1,0)+1),MATCH(Q$1,[3]enemies!$1:$1,0)-MATCH($L$1,[3]enemies!$1:$1,0)+1,FALSE)</f>
        <v>15</v>
      </c>
      <c r="R22" s="5">
        <v>40</v>
      </c>
      <c r="S22" s="19">
        <v>1.3</v>
      </c>
      <c r="T22" s="19">
        <v>2</v>
      </c>
      <c r="U22" s="5">
        <v>0</v>
      </c>
      <c r="V22" s="4" t="str">
        <f ca="1">VLOOKUP($W22,OFFSET(enemy_skill_sets!$B$1,0,0,COUNTA(enemy_skill_sets!$B:$B),MATCH(M$1,enemy_skill_sets!$1:$1,0)-MATCH($W$1,enemy_skill_sets!$1:$1,0)+2),MATCH(M$1,enemy_skill_sets!$1:$1,0)-MATCH($W$1,enemy_skill_sets!$1:$1,0)+2,FALSE)</f>
        <v>回復</v>
      </c>
      <c r="W22" s="132">
        <v>39003001</v>
      </c>
      <c r="X22" s="6">
        <v>1</v>
      </c>
      <c r="Y22" s="6">
        <v>100</v>
      </c>
      <c r="Z22" s="6">
        <v>0</v>
      </c>
      <c r="AA22" s="131">
        <v>3</v>
      </c>
      <c r="AB22" s="122">
        <f t="shared" si="3"/>
        <v>6</v>
      </c>
      <c r="AC22" s="4" t="str">
        <f ca="1">VLOOKUP($AB22,OFFSET([4]characters!$A$1,0,0,COUNTA([4]characters!$A:$A),MATCH(AC$1,[4]characters!$1:$1,0)-MATCH("character_id",[4]characters!$1:$1,0)+1),MATCH(AC$1,[4]characters!$1:$1,0)-MATCH("character_id",[4]characters!$1:$1,0)+1,FALSE)</f>
        <v>パトドッグリーダー ポチ</v>
      </c>
      <c r="AD22" s="4">
        <f ca="1">VLOOKUP($AB22,OFFSET([4]characters!$A$1,0,0,COUNTA([4]characters!$A:$A),MATCH(AD$1,[4]characters!$1:$1,0)-MATCH("character_id",[4]characters!$1:$1,0)+1),MATCH(AD$1,[4]characters!$1:$1,0)-MATCH("character_id",[4]characters!$1:$1,0)+1,FALSE)</f>
        <v>2</v>
      </c>
      <c r="AE22" s="4" t="str">
        <f ca="1">VLOOKUP($AB22,OFFSET([4]characters!$A$1,0,0,COUNTA([4]characters!$A:$A),MATCH(AE$1,[4]characters!$1:$1,0)-MATCH("character_id",[4]characters!$1:$1,0)+1),MATCH(AE$1,[4]characters!$1:$1,0)-MATCH("character_id",[4]characters!$1:$1,0)+1,FALSE)</f>
        <v>Drop1T</v>
      </c>
      <c r="AF22" s="101">
        <v>1</v>
      </c>
      <c r="AG22" s="122">
        <f t="shared" ca="1" si="4"/>
        <v>2</v>
      </c>
      <c r="AH22" s="7">
        <v>20</v>
      </c>
      <c r="AI22" s="101">
        <v>0</v>
      </c>
      <c r="AJ22" s="101">
        <v>0</v>
      </c>
      <c r="AK22" s="101">
        <v>0</v>
      </c>
      <c r="AL22" s="101">
        <v>0</v>
      </c>
      <c r="AM22" s="101">
        <v>1</v>
      </c>
      <c r="AN22" s="63">
        <v>1</v>
      </c>
    </row>
    <row r="23" spans="1:40" ht="21" customHeight="1" x14ac:dyDescent="0.15">
      <c r="A23" s="13" t="str">
        <f t="shared" si="0"/>
        <v>39003_3-1/18&lt;lv40&gt;s2</v>
      </c>
      <c r="B23" s="130">
        <v>39003</v>
      </c>
      <c r="C23" s="135">
        <v>3</v>
      </c>
      <c r="D23" s="12" t="str">
        <f t="shared" si="1"/>
        <v>39003_3</v>
      </c>
      <c r="E23" s="4" t="str">
        <f ca="1">VLOOKUP($B23,OFFSET([2]quests!$A$1,0,0,COUNTA([2]quests!$A:$A),MATCH(E$1,[2]quests!$1:$1,0)-MATCH($B$1,[2]quests!$1:$1,0)+1),MATCH(E$1,[2]quests!$1:$1,0)-MATCH($B$1,[2]quests!$1:$1,0)+1,FALSE)</f>
        <v>ブルースクウェアを追え！</v>
      </c>
      <c r="F23" s="4" t="str">
        <f ca="1">VLOOKUP($D23,OFFSET([2]stages!$A$1,0,0,COUNTA([2]stages!$A:$A),MATCH(F$1,[2]stages!$2:$2,0)-MATCH($D$1,[2]stages!$2:$2,0)+1),MATCH(F$1,[2]stages!$2:$2,0)-MATCH($D$1,[2]stages!$2:$2,0)+1,FALSE)</f>
        <v>【上級】ブルースクウェアを追え！</v>
      </c>
      <c r="G23" s="120">
        <v>1</v>
      </c>
      <c r="H23" s="12" t="str">
        <f t="shared" si="2"/>
        <v>39003_3-1</v>
      </c>
      <c r="I23" s="4">
        <f ca="1">VLOOKUP($H23,OFFSET(floors!$A$1,0,0,COUNTA(floors!$A:$A),MATCH(I$1,floors!$1:$1,0)-MATCH($H$1,floors!$1:$1,0)+1),MATCH(I$1,floors!$1:$1,0)-MATCH($H$1,floors!$1:$1,0)+1,FALSE)</f>
        <v>45</v>
      </c>
      <c r="J23" s="4">
        <f ca="1">VLOOKUP($H23,OFFSET(floors!$A$1,0,0,COUNTA(floors!$A:$A),MATCH(J$1,floors!$1:$1,0)-MATCH($H$1,floors!$1:$1,0)+1),MATCH(J$1,floors!$1:$1,0)-MATCH($H$1,floors!$1:$1,0)+1,FALSE)</f>
        <v>45</v>
      </c>
      <c r="K23" s="32" t="s">
        <v>168</v>
      </c>
      <c r="L23" s="121">
        <v>18</v>
      </c>
      <c r="M23" s="14" t="str">
        <f ca="1">VLOOKUP($L23,OFFSET([3]enemies!$A$1,0,0,COUNTA([3]enemies!$A:$A),MATCH(M$1,[3]enemies!$1:$1,0)-MATCH($L$1,[3]enemies!$1:$1,0)+1),MATCH(M$1,[3]enemies!$1:$1,0)-MATCH($L$1,[3]enemies!$1:$1,0)+1,FALSE)</f>
        <v>戦闘案内人 リム</v>
      </c>
      <c r="N23" s="14" t="str">
        <f ca="1">VLOOKUP($L23,OFFSET([3]enemies!$A$1,0,0,COUNTA([3]enemies!$A:$A),MATCH(N$1,[3]enemies!$1:$1,0)-MATCH($L$1,[3]enemies!$1:$1,0)+1),MATCH(N$1,[3]enemies!$1:$1,0)-MATCH($L$1,[3]enemies!$1:$1,0)+1,FALSE)</f>
        <v>blue</v>
      </c>
      <c r="O23" s="14" t="str">
        <f ca="1">VLOOKUP($L23,OFFSET([4]characters!$A$1,0,0,COUNTA([4]characters!$A:$A),MATCH(O$1,[4]characters!$1:$1,0)-MATCH($L$1,[4]characters!$1:$1,0)+1),MATCH(O$1,[4]characters!$1:$1,0)-MATCH($L$1,[4]characters!$1:$1,0)+1,FALSE)</f>
        <v>Drop1W</v>
      </c>
      <c r="P23" s="14" t="str">
        <f ca="1">VLOOKUP($L23,OFFSET([3]enemies!$A$1,0,0,COUNTA([3]enemies!$A:$A),MATCH(P$1,[3]enemies!$1:$1,0)-MATCH($L$1,[3]enemies!$1:$1,0)+1),MATCH(P$1,[3]enemies!$1:$1,0)-MATCH($L$1,[3]enemies!$1:$1,0)+1,FALSE)</f>
        <v>human</v>
      </c>
      <c r="Q23" s="14">
        <f ca="1">VLOOKUP($L23,OFFSET([3]enemies!$A$1,0,0,COUNTA([3]enemies!$A:$A),MATCH(Q$1,[3]enemies!$1:$1,0)-MATCH($L$1,[3]enemies!$1:$1,0)+1),MATCH(Q$1,[3]enemies!$1:$1,0)-MATCH($L$1,[3]enemies!$1:$1,0)+1,FALSE)</f>
        <v>15</v>
      </c>
      <c r="R23" s="5">
        <v>40</v>
      </c>
      <c r="S23" s="19">
        <v>2.6</v>
      </c>
      <c r="T23" s="19">
        <v>1.3</v>
      </c>
      <c r="U23" s="5">
        <v>0</v>
      </c>
      <c r="V23" s="4" t="str">
        <f ca="1">VLOOKUP($W23,OFFSET(enemy_skill_sets!$B$1,0,0,COUNTA(enemy_skill_sets!$B:$B),MATCH(M$1,enemy_skill_sets!$1:$1,0)-MATCH($W$1,enemy_skill_sets!$1:$1,0)+2),MATCH(M$1,enemy_skill_sets!$1:$1,0)-MATCH($W$1,enemy_skill_sets!$1:$1,0)+2,FALSE)</f>
        <v>3ターン攻撃頻度が1ターンにUP</v>
      </c>
      <c r="W23" s="132">
        <v>39003002</v>
      </c>
      <c r="X23" s="6">
        <v>1</v>
      </c>
      <c r="Y23" s="6">
        <v>100</v>
      </c>
      <c r="Z23" s="6">
        <v>0</v>
      </c>
      <c r="AA23" s="131">
        <v>2</v>
      </c>
      <c r="AB23" s="122">
        <f t="shared" si="3"/>
        <v>18</v>
      </c>
      <c r="AC23" s="4" t="str">
        <f ca="1">VLOOKUP($AB23,OFFSET([4]characters!$A$1,0,0,COUNTA([4]characters!$A:$A),MATCH(AC$1,[4]characters!$1:$1,0)-MATCH("character_id",[4]characters!$1:$1,0)+1),MATCH(AC$1,[4]characters!$1:$1,0)-MATCH("character_id",[4]characters!$1:$1,0)+1,FALSE)</f>
        <v>戦闘案内人 リム</v>
      </c>
      <c r="AD23" s="4">
        <f ca="1">VLOOKUP($AB23,OFFSET([4]characters!$A$1,0,0,COUNTA([4]characters!$A:$A),MATCH(AD$1,[4]characters!$1:$1,0)-MATCH("character_id",[4]characters!$1:$1,0)+1),MATCH(AD$1,[4]characters!$1:$1,0)-MATCH("character_id",[4]characters!$1:$1,0)+1,FALSE)</f>
        <v>2</v>
      </c>
      <c r="AE23" s="4" t="str">
        <f ca="1">VLOOKUP($AB23,OFFSET([4]characters!$A$1,0,0,COUNTA([4]characters!$A:$A),MATCH(AE$1,[4]characters!$1:$1,0)-MATCH("character_id",[4]characters!$1:$1,0)+1),MATCH(AE$1,[4]characters!$1:$1,0)-MATCH("character_id",[4]characters!$1:$1,0)+1,FALSE)</f>
        <v>Drop1W</v>
      </c>
      <c r="AF23" s="101">
        <v>1</v>
      </c>
      <c r="AG23" s="122">
        <f t="shared" ca="1" si="4"/>
        <v>2</v>
      </c>
      <c r="AH23" s="7">
        <v>20</v>
      </c>
      <c r="AI23" s="101">
        <v>0</v>
      </c>
      <c r="AJ23" s="101">
        <v>0</v>
      </c>
      <c r="AK23" s="101">
        <v>0</v>
      </c>
      <c r="AL23" s="101">
        <v>0</v>
      </c>
      <c r="AM23" s="101">
        <v>1</v>
      </c>
      <c r="AN23" s="63">
        <v>1</v>
      </c>
    </row>
    <row r="24" spans="1:40" ht="21" customHeight="1" x14ac:dyDescent="0.15">
      <c r="A24" s="13" t="str">
        <f t="shared" ref="A24" si="20">B24&amp;"_"&amp;C24&amp;"-"&amp;G24&amp;"/"&amp;L24&amp;"&lt;lv"&amp;R24&amp;"&gt;s"&amp;AA24</f>
        <v>39003_3-1/30&lt;lv40&gt;s3</v>
      </c>
      <c r="B24" s="130">
        <v>39003</v>
      </c>
      <c r="C24" s="135">
        <v>3</v>
      </c>
      <c r="D24" s="12" t="str">
        <f t="shared" ref="D24" si="21">B24&amp;"_"&amp;C24</f>
        <v>39003_3</v>
      </c>
      <c r="E24" s="4" t="str">
        <f ca="1">VLOOKUP($B24,OFFSET([2]quests!$A$1,0,0,COUNTA([2]quests!$A:$A),MATCH(E$1,[2]quests!$1:$1,0)-MATCH($B$1,[2]quests!$1:$1,0)+1),MATCH(E$1,[2]quests!$1:$1,0)-MATCH($B$1,[2]quests!$1:$1,0)+1,FALSE)</f>
        <v>ブルースクウェアを追え！</v>
      </c>
      <c r="F24" s="4" t="str">
        <f ca="1">VLOOKUP($D24,OFFSET([2]stages!$A$1,0,0,COUNTA([2]stages!$A:$A),MATCH(F$1,[2]stages!$2:$2,0)-MATCH($D$1,[2]stages!$2:$2,0)+1),MATCH(F$1,[2]stages!$2:$2,0)-MATCH($D$1,[2]stages!$2:$2,0)+1,FALSE)</f>
        <v>【上級】ブルースクウェアを追え！</v>
      </c>
      <c r="G24" s="120">
        <v>1</v>
      </c>
      <c r="H24" s="12" t="str">
        <f t="shared" ref="H24" si="22">B24&amp;"_"&amp;C24&amp;"-"&amp;G24</f>
        <v>39003_3-1</v>
      </c>
      <c r="I24" s="4">
        <f ca="1">VLOOKUP($H24,OFFSET(floors!$A$1,0,0,COUNTA(floors!$A:$A),MATCH(I$1,floors!$1:$1,0)-MATCH($H$1,floors!$1:$1,0)+1),MATCH(I$1,floors!$1:$1,0)-MATCH($H$1,floors!$1:$1,0)+1,FALSE)</f>
        <v>45</v>
      </c>
      <c r="J24" s="4">
        <f ca="1">VLOOKUP($H24,OFFSET(floors!$A$1,0,0,COUNTA(floors!$A:$A),MATCH(J$1,floors!$1:$1,0)-MATCH($H$1,floors!$1:$1,0)+1),MATCH(J$1,floors!$1:$1,0)-MATCH($H$1,floors!$1:$1,0)+1,FALSE)</f>
        <v>45</v>
      </c>
      <c r="K24" s="32" t="s">
        <v>168</v>
      </c>
      <c r="L24" s="121">
        <v>30</v>
      </c>
      <c r="M24" s="14" t="str">
        <f ca="1">VLOOKUP($L24,OFFSET([3]enemies!$A$1,0,0,COUNTA([3]enemies!$A:$A),MATCH(M$1,[3]enemies!$1:$1,0)-MATCH($L$1,[3]enemies!$1:$1,0)+1),MATCH(M$1,[3]enemies!$1:$1,0)-MATCH($L$1,[3]enemies!$1:$1,0)+1,FALSE)</f>
        <v>護衛機人 スケアクロウ</v>
      </c>
      <c r="N24" s="14" t="str">
        <f ca="1">VLOOKUP($L24,OFFSET([3]enemies!$A$1,0,0,COUNTA([3]enemies!$A:$A),MATCH(N$1,[3]enemies!$1:$1,0)-MATCH($L$1,[3]enemies!$1:$1,0)+1),MATCH(N$1,[3]enemies!$1:$1,0)-MATCH($L$1,[3]enemies!$1:$1,0)+1,FALSE)</f>
        <v>blue</v>
      </c>
      <c r="O24" s="14" t="str">
        <f ca="1">VLOOKUP($L24,OFFSET([4]characters!$A$1,0,0,COUNTA([4]characters!$A:$A),MATCH(O$1,[4]characters!$1:$1,0)-MATCH($L$1,[4]characters!$1:$1,0)+1),MATCH(O$1,[4]characters!$1:$1,0)-MATCH($L$1,[4]characters!$1:$1,0)+1,FALSE)</f>
        <v>Drop1N</v>
      </c>
      <c r="P24" s="14" t="str">
        <f ca="1">VLOOKUP($L24,OFFSET([3]enemies!$A$1,0,0,COUNTA([3]enemies!$A:$A),MATCH(P$1,[3]enemies!$1:$1,0)-MATCH($L$1,[3]enemies!$1:$1,0)+1),MATCH(P$1,[3]enemies!$1:$1,0)-MATCH($L$1,[3]enemies!$1:$1,0)+1,FALSE)</f>
        <v>machine</v>
      </c>
      <c r="Q24" s="14">
        <f ca="1">VLOOKUP($L24,OFFSET([3]enemies!$A$1,0,0,COUNTA([3]enemies!$A:$A),MATCH(Q$1,[3]enemies!$1:$1,0)-MATCH($L$1,[3]enemies!$1:$1,0)+1),MATCH(Q$1,[3]enemies!$1:$1,0)-MATCH($L$1,[3]enemies!$1:$1,0)+1,FALSE)</f>
        <v>15</v>
      </c>
      <c r="R24" s="5">
        <v>40</v>
      </c>
      <c r="S24" s="19">
        <v>3</v>
      </c>
      <c r="T24" s="19">
        <v>1.7</v>
      </c>
      <c r="U24" s="5">
        <v>0</v>
      </c>
      <c r="V24" s="4" t="str">
        <f ca="1">VLOOKUP($W24,OFFSET(enemy_skill_sets!$B$1,0,0,COUNTA(enemy_skill_sets!$B:$B),MATCH(M$1,enemy_skill_sets!$1:$1,0)-MATCH($W$1,enemy_skill_sets!$1:$1,0)+2),MATCH(M$1,enemy_skill_sets!$1:$1,0)-MATCH($W$1,enemy_skill_sets!$1:$1,0)+2,FALSE)</f>
        <v>大回復</v>
      </c>
      <c r="W24" s="132">
        <v>39003003</v>
      </c>
      <c r="X24" s="6">
        <v>1</v>
      </c>
      <c r="Y24" s="6">
        <v>100</v>
      </c>
      <c r="Z24" s="6">
        <v>0</v>
      </c>
      <c r="AA24" s="131">
        <v>3</v>
      </c>
      <c r="AB24" s="122">
        <f t="shared" si="3"/>
        <v>30</v>
      </c>
      <c r="AC24" s="4" t="str">
        <f ca="1">VLOOKUP($AB24,OFFSET([4]characters!$A$1,0,0,COUNTA([4]characters!$A:$A),MATCH(AC$1,[4]characters!$1:$1,0)-MATCH("character_id",[4]characters!$1:$1,0)+1),MATCH(AC$1,[4]characters!$1:$1,0)-MATCH("character_id",[4]characters!$1:$1,0)+1,FALSE)</f>
        <v>護衛機人 スケアクロウ</v>
      </c>
      <c r="AD24" s="4">
        <f ca="1">VLOOKUP($AB24,OFFSET([4]characters!$A$1,0,0,COUNTA([4]characters!$A:$A),MATCH(AD$1,[4]characters!$1:$1,0)-MATCH("character_id",[4]characters!$1:$1,0)+1),MATCH(AD$1,[4]characters!$1:$1,0)-MATCH("character_id",[4]characters!$1:$1,0)+1,FALSE)</f>
        <v>2</v>
      </c>
      <c r="AE24" s="4" t="str">
        <f ca="1">VLOOKUP($AB24,OFFSET([4]characters!$A$1,0,0,COUNTA([4]characters!$A:$A),MATCH(AE$1,[4]characters!$1:$1,0)-MATCH("character_id",[4]characters!$1:$1,0)+1),MATCH(AE$1,[4]characters!$1:$1,0)-MATCH("character_id",[4]characters!$1:$1,0)+1,FALSE)</f>
        <v>Drop1N</v>
      </c>
      <c r="AF24" s="101">
        <v>1</v>
      </c>
      <c r="AG24" s="122">
        <f t="shared" ca="1" si="4"/>
        <v>2</v>
      </c>
      <c r="AH24" s="7">
        <v>20</v>
      </c>
      <c r="AI24" s="101">
        <v>0</v>
      </c>
      <c r="AJ24" s="101">
        <v>0</v>
      </c>
      <c r="AK24" s="101">
        <v>0</v>
      </c>
      <c r="AL24" s="101">
        <v>0</v>
      </c>
      <c r="AM24" s="101">
        <v>1</v>
      </c>
      <c r="AN24" s="63">
        <v>1</v>
      </c>
    </row>
    <row r="25" spans="1:40" ht="21" customHeight="1" x14ac:dyDescent="0.15">
      <c r="A25" s="13" t="str">
        <f t="shared" si="0"/>
        <v>39003_3-2/130&lt;lv40&gt;s4</v>
      </c>
      <c r="B25" s="130">
        <v>39003</v>
      </c>
      <c r="C25" s="135">
        <v>3</v>
      </c>
      <c r="D25" s="12" t="str">
        <f t="shared" si="1"/>
        <v>39003_3</v>
      </c>
      <c r="E25" s="4" t="str">
        <f ca="1">VLOOKUP($B25,OFFSET([2]quests!$A$1,0,0,COUNTA([2]quests!$A:$A),MATCH(E$1,[2]quests!$1:$1,0)-MATCH($B$1,[2]quests!$1:$1,0)+1),MATCH(E$1,[2]quests!$1:$1,0)-MATCH($B$1,[2]quests!$1:$1,0)+1,FALSE)</f>
        <v>ブルースクウェアを追え！</v>
      </c>
      <c r="F25" s="4" t="str">
        <f ca="1">VLOOKUP($D25,OFFSET([2]stages!$A$1,0,0,COUNTA([2]stages!$A:$A),MATCH(F$1,[2]stages!$2:$2,0)-MATCH($D$1,[2]stages!$2:$2,0)+1),MATCH(F$1,[2]stages!$2:$2,0)-MATCH($D$1,[2]stages!$2:$2,0)+1,FALSE)</f>
        <v>【上級】ブルースクウェアを追え！</v>
      </c>
      <c r="G25" s="123">
        <v>2</v>
      </c>
      <c r="H25" s="12" t="str">
        <f t="shared" si="2"/>
        <v>39003_3-2</v>
      </c>
      <c r="I25" s="4">
        <f ca="1">VLOOKUP($H25,OFFSET(floors!$A$1,0,0,COUNTA(floors!$A:$A),MATCH(I$1,floors!$1:$1,0)-MATCH($H$1,floors!$1:$1,0)+1),MATCH(I$1,floors!$1:$1,0)-MATCH($H$1,floors!$1:$1,0)+1,FALSE)</f>
        <v>60</v>
      </c>
      <c r="J25" s="4">
        <f ca="1">VLOOKUP($H25,OFFSET(floors!$A$1,0,0,COUNTA(floors!$A:$A),MATCH(J$1,floors!$1:$1,0)-MATCH($H$1,floors!$1:$1,0)+1),MATCH(J$1,floors!$1:$1,0)-MATCH($H$1,floors!$1:$1,0)+1,FALSE)</f>
        <v>60</v>
      </c>
      <c r="K25" s="32" t="s">
        <v>53</v>
      </c>
      <c r="L25" s="121">
        <v>130</v>
      </c>
      <c r="M25" s="14" t="str">
        <f ca="1">VLOOKUP($L25,OFFSET([3]enemies!$A$1,0,0,COUNTA([3]enemies!$A:$A),MATCH(M$1,[3]enemies!$1:$1,0)-MATCH($L$1,[3]enemies!$1:$1,0)+1),MATCH(M$1,[3]enemies!$1:$1,0)-MATCH($L$1,[3]enemies!$1:$1,0)+1,FALSE)</f>
        <v>狼男 ローレンス</v>
      </c>
      <c r="N25" s="14" t="str">
        <f ca="1">VLOOKUP($L25,OFFSET([3]enemies!$A$1,0,0,COUNTA([3]enemies!$A:$A),MATCH(N$1,[3]enemies!$1:$1,0)-MATCH($L$1,[3]enemies!$1:$1,0)+1),MATCH(N$1,[3]enemies!$1:$1,0)-MATCH($L$1,[3]enemies!$1:$1,0)+1,FALSE)</f>
        <v>blue</v>
      </c>
      <c r="O25" s="14" t="str">
        <f ca="1">VLOOKUP($L25,OFFSET([4]characters!$A$1,0,0,COUNTA([4]characters!$A:$A),MATCH(O$1,[4]characters!$1:$1,0)-MATCH($L$1,[4]characters!$1:$1,0)+1),MATCH(O$1,[4]characters!$1:$1,0)-MATCH($L$1,[4]characters!$1:$1,0)+1,FALSE)</f>
        <v>PremiumW</v>
      </c>
      <c r="P25" s="14" t="str">
        <f ca="1">VLOOKUP($L25,OFFSET([3]enemies!$A$1,0,0,COUNTA([3]enemies!$A:$A),MATCH(P$1,[3]enemies!$1:$1,0)-MATCH($L$1,[3]enemies!$1:$1,0)+1),MATCH(P$1,[3]enemies!$1:$1,0)-MATCH($L$1,[3]enemies!$1:$1,0)+1,FALSE)</f>
        <v>animal</v>
      </c>
      <c r="Q25" s="14">
        <f ca="1">VLOOKUP($L25,OFFSET([3]enemies!$A$1,0,0,COUNTA([3]enemies!$A:$A),MATCH(Q$1,[3]enemies!$1:$1,0)-MATCH($L$1,[3]enemies!$1:$1,0)+1),MATCH(Q$1,[3]enemies!$1:$1,0)-MATCH($L$1,[3]enemies!$1:$1,0)+1,FALSE)</f>
        <v>20</v>
      </c>
      <c r="R25" s="5">
        <v>40</v>
      </c>
      <c r="S25" s="19">
        <v>0.8</v>
      </c>
      <c r="T25" s="19">
        <v>0.8</v>
      </c>
      <c r="U25" s="5">
        <v>0</v>
      </c>
      <c r="V25" s="4" t="str">
        <f ca="1">VLOOKUP($W25,OFFSET(enemy_skill_sets!$B$1,0,0,COUNTA(enemy_skill_sets!$B:$B),MATCH(M$1,enemy_skill_sets!$1:$1,0)-MATCH($W$1,enemy_skill_sets!$1:$1,0)+2),MATCH(M$1,enemy_skill_sets!$1:$1,0)-MATCH($W$1,enemy_skill_sets!$1:$1,0)+2,FALSE)</f>
        <v>敵全体の攻撃力UP</v>
      </c>
      <c r="W25" s="132">
        <v>39003004</v>
      </c>
      <c r="X25" s="6">
        <v>1</v>
      </c>
      <c r="Y25" s="6">
        <v>100</v>
      </c>
      <c r="Z25" s="6">
        <v>0</v>
      </c>
      <c r="AA25" s="131">
        <v>4</v>
      </c>
      <c r="AB25" s="122">
        <f t="shared" si="3"/>
        <v>130</v>
      </c>
      <c r="AC25" s="4" t="str">
        <f ca="1">VLOOKUP($AB25,OFFSET([4]characters!$A$1,0,0,COUNTA([4]characters!$A:$A),MATCH(AC$1,[4]characters!$1:$1,0)-MATCH("character_id",[4]characters!$1:$1,0)+1),MATCH(AC$1,[4]characters!$1:$1,0)-MATCH("character_id",[4]characters!$1:$1,0)+1,FALSE)</f>
        <v>狼男 ローレンス</v>
      </c>
      <c r="AD25" s="4">
        <f ca="1">VLOOKUP($AB25,OFFSET([4]characters!$A$1,0,0,COUNTA([4]characters!$A:$A),MATCH(AD$1,[4]characters!$1:$1,0)-MATCH("character_id",[4]characters!$1:$1,0)+1),MATCH(AD$1,[4]characters!$1:$1,0)-MATCH("character_id",[4]characters!$1:$1,0)+1,FALSE)</f>
        <v>3</v>
      </c>
      <c r="AE25" s="4" t="str">
        <f ca="1">VLOOKUP($AB25,OFFSET([4]characters!$A$1,0,0,COUNTA([4]characters!$A:$A),MATCH(AE$1,[4]characters!$1:$1,0)-MATCH("character_id",[4]characters!$1:$1,0)+1),MATCH(AE$1,[4]characters!$1:$1,0)-MATCH("character_id",[4]characters!$1:$1,0)+1,FALSE)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25" s="101">
        <v>1</v>
      </c>
      <c r="AG25" s="122">
        <f t="shared" ca="1" si="4"/>
        <v>3</v>
      </c>
      <c r="AH25" s="7">
        <v>0</v>
      </c>
      <c r="AI25" s="101">
        <v>0</v>
      </c>
      <c r="AJ25" s="101">
        <v>0</v>
      </c>
      <c r="AK25" s="101">
        <v>0</v>
      </c>
      <c r="AL25" s="101">
        <v>0</v>
      </c>
      <c r="AM25" s="101">
        <v>1</v>
      </c>
      <c r="AN25" s="63">
        <v>1</v>
      </c>
    </row>
    <row r="26" spans="1:40" ht="21" customHeight="1" x14ac:dyDescent="0.15">
      <c r="A26" s="13" t="str">
        <f t="shared" ref="A26" si="23">B26&amp;"_"&amp;C26&amp;"-"&amp;G26&amp;"/"&amp;L26&amp;"&lt;lv"&amp;R26&amp;"&gt;s"&amp;AA26</f>
        <v>39003_3-2/199&lt;lv40&gt;s2</v>
      </c>
      <c r="B26" s="130">
        <v>39003</v>
      </c>
      <c r="C26" s="135">
        <v>3</v>
      </c>
      <c r="D26" s="12" t="str">
        <f t="shared" ref="D26" si="24">B26&amp;"_"&amp;C26</f>
        <v>39003_3</v>
      </c>
      <c r="E26" s="4" t="str">
        <f ca="1">VLOOKUP($B26,OFFSET([2]quests!$A$1,0,0,COUNTA([2]quests!$A:$A),MATCH(E$1,[2]quests!$1:$1,0)-MATCH($B$1,[2]quests!$1:$1,0)+1),MATCH(E$1,[2]quests!$1:$1,0)-MATCH($B$1,[2]quests!$1:$1,0)+1,FALSE)</f>
        <v>ブルースクウェアを追え！</v>
      </c>
      <c r="F26" s="4" t="str">
        <f ca="1">VLOOKUP($D26,OFFSET([2]stages!$A$1,0,0,COUNTA([2]stages!$A:$A),MATCH(F$1,[2]stages!$2:$2,0)-MATCH($D$1,[2]stages!$2:$2,0)+1),MATCH(F$1,[2]stages!$2:$2,0)-MATCH($D$1,[2]stages!$2:$2,0)+1,FALSE)</f>
        <v>【上級】ブルースクウェアを追え！</v>
      </c>
      <c r="G26" s="123">
        <v>2</v>
      </c>
      <c r="H26" s="12" t="str">
        <f t="shared" ref="H26" si="25">B26&amp;"_"&amp;C26&amp;"-"&amp;G26</f>
        <v>39003_3-2</v>
      </c>
      <c r="I26" s="4">
        <f ca="1">VLOOKUP($H26,OFFSET(floors!$A$1,0,0,COUNTA(floors!$A:$A),MATCH(I$1,floors!$1:$1,0)-MATCH($H$1,floors!$1:$1,0)+1),MATCH(I$1,floors!$1:$1,0)-MATCH($H$1,floors!$1:$1,0)+1,FALSE)</f>
        <v>60</v>
      </c>
      <c r="J26" s="4">
        <f ca="1">VLOOKUP($H26,OFFSET(floors!$A$1,0,0,COUNTA(floors!$A:$A),MATCH(J$1,floors!$1:$1,0)-MATCH($H$1,floors!$1:$1,0)+1),MATCH(J$1,floors!$1:$1,0)-MATCH($H$1,floors!$1:$1,0)+1,FALSE)</f>
        <v>60</v>
      </c>
      <c r="K26" s="32" t="s">
        <v>53</v>
      </c>
      <c r="L26" s="121">
        <v>199</v>
      </c>
      <c r="M26" s="14" t="str">
        <f ca="1">VLOOKUP($L26,OFFSET([3]enemies!$A$1,0,0,COUNTA([3]enemies!$A:$A),MATCH(M$1,[3]enemies!$1:$1,0)-MATCH($L$1,[3]enemies!$1:$1,0)+1),MATCH(M$1,[3]enemies!$1:$1,0)-MATCH($L$1,[3]enemies!$1:$1,0)+1,FALSE)</f>
        <v>ジークフリート</v>
      </c>
      <c r="N26" s="14" t="str">
        <f ca="1">VLOOKUP($L26,OFFSET([3]enemies!$A$1,0,0,COUNTA([3]enemies!$A:$A),MATCH(N$1,[3]enemies!$1:$1,0)-MATCH($L$1,[3]enemies!$1:$1,0)+1),MATCH(N$1,[3]enemies!$1:$1,0)-MATCH($L$1,[3]enemies!$1:$1,0)+1,FALSE)</f>
        <v>blue</v>
      </c>
      <c r="O26" s="14" t="str">
        <f ca="1">VLOOKUP($L26,OFFSET([4]characters!$A$1,0,0,COUNTA([4]characters!$A:$A),MATCH(O$1,[4]characters!$1:$1,0)-MATCH($L$1,[4]characters!$1:$1,0)+1),MATCH(O$1,[4]characters!$1:$1,0)-MATCH($L$1,[4]characters!$1:$1,0)+1,FALSE)</f>
        <v>PremiumN</v>
      </c>
      <c r="P26" s="14" t="str">
        <f ca="1">VLOOKUP($L26,OFFSET([3]enemies!$A$1,0,0,COUNTA([3]enemies!$A:$A),MATCH(P$1,[3]enemies!$1:$1,0)-MATCH($L$1,[3]enemies!$1:$1,0)+1),MATCH(P$1,[3]enemies!$1:$1,0)-MATCH($L$1,[3]enemies!$1:$1,0)+1,FALSE)</f>
        <v>human</v>
      </c>
      <c r="Q26" s="14">
        <f ca="1">VLOOKUP($L26,OFFSET([3]enemies!$A$1,0,0,COUNTA([3]enemies!$A:$A),MATCH(Q$1,[3]enemies!$1:$1,0)-MATCH($L$1,[3]enemies!$1:$1,0)+1),MATCH(Q$1,[3]enemies!$1:$1,0)-MATCH($L$1,[3]enemies!$1:$1,0)+1,FALSE)</f>
        <v>20</v>
      </c>
      <c r="R26" s="5">
        <v>40</v>
      </c>
      <c r="S26" s="19">
        <v>0.8</v>
      </c>
      <c r="T26" s="19">
        <v>0.8</v>
      </c>
      <c r="U26" s="5">
        <v>0</v>
      </c>
      <c r="V26" s="4" t="str">
        <f ca="1">VLOOKUP($W26,OFFSET(enemy_skill_sets!$B$1,0,0,COUNTA(enemy_skill_sets!$B:$B),MATCH(M$1,enemy_skill_sets!$1:$1,0)-MATCH($W$1,enemy_skill_sets!$1:$1,0)+2),MATCH(M$1,enemy_skill_sets!$1:$1,0)-MATCH($W$1,enemy_skill_sets!$1:$1,0)+2,FALSE)</f>
        <v>全体攻撃</v>
      </c>
      <c r="W26" s="132">
        <v>39003005</v>
      </c>
      <c r="X26" s="6">
        <v>1</v>
      </c>
      <c r="Y26" s="6">
        <v>100</v>
      </c>
      <c r="Z26" s="6">
        <v>1</v>
      </c>
      <c r="AA26" s="131">
        <v>2</v>
      </c>
      <c r="AB26" s="122">
        <f t="shared" si="3"/>
        <v>199</v>
      </c>
      <c r="AC26" s="4" t="str">
        <f ca="1">VLOOKUP($AB26,OFFSET([4]characters!$A$1,0,0,COUNTA([4]characters!$A:$A),MATCH(AC$1,[4]characters!$1:$1,0)-MATCH("character_id",[4]characters!$1:$1,0)+1),MATCH(AC$1,[4]characters!$1:$1,0)-MATCH("character_id",[4]characters!$1:$1,0)+1,FALSE)</f>
        <v>ジークフリート</v>
      </c>
      <c r="AD26" s="4">
        <f ca="1">VLOOKUP($AB26,OFFSET([4]characters!$A$1,0,0,COUNTA([4]characters!$A:$A),MATCH(AD$1,[4]characters!$1:$1,0)-MATCH("character_id",[4]characters!$1:$1,0)+1),MATCH(AD$1,[4]characters!$1:$1,0)-MATCH("character_id",[4]characters!$1:$1,0)+1,FALSE)</f>
        <v>3</v>
      </c>
      <c r="AE26" s="4" t="str">
        <f ca="1">VLOOKUP($AB26,OFFSET([4]characters!$A$1,0,0,COUNTA([4]characters!$A:$A),MATCH(AE$1,[4]characters!$1:$1,0)-MATCH("character_id",[4]characters!$1:$1,0)+1),MATCH(AE$1,[4]characters!$1:$1,0)-MATCH("character_id",[4]characters!$1:$1,0)+1,FALSE)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26" s="101">
        <v>1</v>
      </c>
      <c r="AG26" s="122">
        <f t="shared" ca="1" si="4"/>
        <v>3</v>
      </c>
      <c r="AH26" s="7">
        <v>0</v>
      </c>
      <c r="AI26" s="101">
        <v>0</v>
      </c>
      <c r="AJ26" s="101">
        <v>0</v>
      </c>
      <c r="AK26" s="101">
        <v>0</v>
      </c>
      <c r="AL26" s="101">
        <v>0</v>
      </c>
      <c r="AM26" s="101">
        <v>1</v>
      </c>
      <c r="AN26" s="63">
        <v>1</v>
      </c>
    </row>
    <row r="27" spans="1:40" ht="21" customHeight="1" x14ac:dyDescent="0.15">
      <c r="A27" s="13" t="str">
        <f t="shared" ref="A27" si="26">B27&amp;"_"&amp;C27&amp;"-"&amp;G27&amp;"/"&amp;L27&amp;"&lt;lv"&amp;R27&amp;"&gt;s"&amp;AA27</f>
        <v>39003_3-2/266&lt;lv40&gt;s2</v>
      </c>
      <c r="B27" s="130">
        <v>39003</v>
      </c>
      <c r="C27" s="135">
        <v>3</v>
      </c>
      <c r="D27" s="12" t="str">
        <f t="shared" ref="D27" si="27">B27&amp;"_"&amp;C27</f>
        <v>39003_3</v>
      </c>
      <c r="E27" s="4" t="str">
        <f ca="1">VLOOKUP($B27,OFFSET([2]quests!$A$1,0,0,COUNTA([2]quests!$A:$A),MATCH(E$1,[2]quests!$1:$1,0)-MATCH($B$1,[2]quests!$1:$1,0)+1),MATCH(E$1,[2]quests!$1:$1,0)-MATCH($B$1,[2]quests!$1:$1,0)+1,FALSE)</f>
        <v>ブルースクウェアを追え！</v>
      </c>
      <c r="F27" s="4" t="str">
        <f ca="1">VLOOKUP($D27,OFFSET([2]stages!$A$1,0,0,COUNTA([2]stages!$A:$A),MATCH(F$1,[2]stages!$2:$2,0)-MATCH($D$1,[2]stages!$2:$2,0)+1),MATCH(F$1,[2]stages!$2:$2,0)-MATCH($D$1,[2]stages!$2:$2,0)+1,FALSE)</f>
        <v>【上級】ブルースクウェアを追え！</v>
      </c>
      <c r="G27" s="123">
        <v>2</v>
      </c>
      <c r="H27" s="12" t="str">
        <f t="shared" ref="H27" si="28">B27&amp;"_"&amp;C27&amp;"-"&amp;G27</f>
        <v>39003_3-2</v>
      </c>
      <c r="I27" s="4">
        <f ca="1">VLOOKUP($H27,OFFSET(floors!$A$1,0,0,COUNTA(floors!$A:$A),MATCH(I$1,floors!$1:$1,0)-MATCH($H$1,floors!$1:$1,0)+1),MATCH(I$1,floors!$1:$1,0)-MATCH($H$1,floors!$1:$1,0)+1,FALSE)</f>
        <v>60</v>
      </c>
      <c r="J27" s="4">
        <f ca="1">VLOOKUP($H27,OFFSET(floors!$A$1,0,0,COUNTA(floors!$A:$A),MATCH(J$1,floors!$1:$1,0)-MATCH($H$1,floors!$1:$1,0)+1),MATCH(J$1,floors!$1:$1,0)-MATCH($H$1,floors!$1:$1,0)+1,FALSE)</f>
        <v>60</v>
      </c>
      <c r="K27" s="32" t="s">
        <v>53</v>
      </c>
      <c r="L27" s="121">
        <v>266</v>
      </c>
      <c r="M27" s="14" t="str">
        <f ca="1">VLOOKUP($L27,OFFSET([3]enemies!$A$1,0,0,COUNTA([3]enemies!$A:$A),MATCH(M$1,[3]enemies!$1:$1,0)-MATCH($L$1,[3]enemies!$1:$1,0)+1),MATCH(M$1,[3]enemies!$1:$1,0)-MATCH($L$1,[3]enemies!$1:$1,0)+1,FALSE)</f>
        <v>リリアンブルー</v>
      </c>
      <c r="N27" s="14" t="str">
        <f ca="1">VLOOKUP($L27,OFFSET([3]enemies!$A$1,0,0,COUNTA([3]enemies!$A:$A),MATCH(N$1,[3]enemies!$1:$1,0)-MATCH($L$1,[3]enemies!$1:$1,0)+1),MATCH(N$1,[3]enemies!$1:$1,0)-MATCH($L$1,[3]enemies!$1:$1,0)+1,FALSE)</f>
        <v>blue</v>
      </c>
      <c r="O27" s="14" t="str">
        <f ca="1">VLOOKUP($L27,OFFSET([4]characters!$A$1,0,0,COUNTA([4]characters!$A:$A),MATCH(O$1,[4]characters!$1:$1,0)-MATCH($L$1,[4]characters!$1:$1,0)+1),MATCH(O$1,[4]characters!$1:$1,0)-MATCH($L$1,[4]characters!$1:$1,0)+1,FALSE)</f>
        <v>Drop2W</v>
      </c>
      <c r="P27" s="14" t="str">
        <f ca="1">VLOOKUP($L27,OFFSET([3]enemies!$A$1,0,0,COUNTA([3]enemies!$A:$A),MATCH(P$1,[3]enemies!$1:$1,0)-MATCH($L$1,[3]enemies!$1:$1,0)+1),MATCH(P$1,[3]enemies!$1:$1,0)-MATCH($L$1,[3]enemies!$1:$1,0)+1,FALSE)</f>
        <v>animal</v>
      </c>
      <c r="Q27" s="14">
        <f ca="1">VLOOKUP($L27,OFFSET([3]enemies!$A$1,0,0,COUNTA([3]enemies!$A:$A),MATCH(Q$1,[3]enemies!$1:$1,0)-MATCH($L$1,[3]enemies!$1:$1,0)+1),MATCH(Q$1,[3]enemies!$1:$1,0)-MATCH($L$1,[3]enemies!$1:$1,0)+1,FALSE)</f>
        <v>20</v>
      </c>
      <c r="R27" s="5">
        <v>40</v>
      </c>
      <c r="S27" s="19">
        <v>0.8</v>
      </c>
      <c r="T27" s="19">
        <v>0.8</v>
      </c>
      <c r="U27" s="5">
        <v>0</v>
      </c>
      <c r="V27" s="4" t="str">
        <f ca="1">VLOOKUP($W27,OFFSET(enemy_skill_sets!$B$1,0,0,COUNTA(enemy_skill_sets!$B:$B),MATCH(M$1,enemy_skill_sets!$1:$1,0)-MATCH($W$1,enemy_skill_sets!$1:$1,0)+2),MATCH(M$1,enemy_skill_sets!$1:$1,0)-MATCH($W$1,enemy_skill_sets!$1:$1,0)+2,FALSE)</f>
        <v>Cパネル吸収攻撃</v>
      </c>
      <c r="W27" s="132">
        <v>39003006</v>
      </c>
      <c r="X27" s="6">
        <v>1</v>
      </c>
      <c r="Y27" s="6">
        <v>100</v>
      </c>
      <c r="Z27" s="6">
        <v>0</v>
      </c>
      <c r="AA27" s="131">
        <v>2</v>
      </c>
      <c r="AB27" s="122">
        <f t="shared" si="3"/>
        <v>266</v>
      </c>
      <c r="AC27" s="4" t="str">
        <f ca="1">VLOOKUP($AB27,OFFSET([4]characters!$A$1,0,0,COUNTA([4]characters!$A:$A),MATCH(AC$1,[4]characters!$1:$1,0)-MATCH("character_id",[4]characters!$1:$1,0)+1),MATCH(AC$1,[4]characters!$1:$1,0)-MATCH("character_id",[4]characters!$1:$1,0)+1,FALSE)</f>
        <v>リリアンブルー</v>
      </c>
      <c r="AD27" s="4">
        <f ca="1">VLOOKUP($AB27,OFFSET([4]characters!$A$1,0,0,COUNTA([4]characters!$A:$A),MATCH(AD$1,[4]characters!$1:$1,0)-MATCH("character_id",[4]characters!$1:$1,0)+1),MATCH(AD$1,[4]characters!$1:$1,0)-MATCH("character_id",[4]characters!$1:$1,0)+1,FALSE)</f>
        <v>3</v>
      </c>
      <c r="AE27" s="4" t="str">
        <f ca="1">VLOOKUP($AB27,OFFSET([4]characters!$A$1,0,0,COUNTA([4]characters!$A:$A),MATCH(AE$1,[4]characters!$1:$1,0)-MATCH("character_id",[4]characters!$1:$1,0)+1),MATCH(AE$1,[4]characters!$1:$1,0)-MATCH("character_id",[4]characters!$1:$1,0)+1,FALSE)</f>
        <v>Drop2W</v>
      </c>
      <c r="AF27" s="101">
        <v>1</v>
      </c>
      <c r="AG27" s="122">
        <f t="shared" ca="1" si="4"/>
        <v>3</v>
      </c>
      <c r="AH27" s="7">
        <v>0</v>
      </c>
      <c r="AI27" s="101">
        <v>0</v>
      </c>
      <c r="AJ27" s="101">
        <v>0</v>
      </c>
      <c r="AK27" s="101">
        <v>0</v>
      </c>
      <c r="AL27" s="101">
        <v>0</v>
      </c>
      <c r="AM27" s="101">
        <v>1</v>
      </c>
      <c r="AN27" s="63">
        <v>1</v>
      </c>
    </row>
    <row r="28" spans="1:40" ht="21" customHeight="1" x14ac:dyDescent="0.15">
      <c r="A28" s="13" t="str">
        <f t="shared" si="0"/>
        <v>39003_3-3/172&lt;lv40&gt;s2</v>
      </c>
      <c r="B28" s="130">
        <v>39003</v>
      </c>
      <c r="C28" s="135">
        <v>3</v>
      </c>
      <c r="D28" s="12" t="str">
        <f t="shared" si="1"/>
        <v>39003_3</v>
      </c>
      <c r="E28" s="4" t="str">
        <f ca="1">VLOOKUP($B28,OFFSET([2]quests!$A$1,0,0,COUNTA([2]quests!$A:$A),MATCH(E$1,[2]quests!$1:$1,0)-MATCH($B$1,[2]quests!$1:$1,0)+1),MATCH(E$1,[2]quests!$1:$1,0)-MATCH($B$1,[2]quests!$1:$1,0)+1,FALSE)</f>
        <v>ブルースクウェアを追え！</v>
      </c>
      <c r="F28" s="4" t="str">
        <f ca="1">VLOOKUP($D28,OFFSET([2]stages!$A$1,0,0,COUNTA([2]stages!$A:$A),MATCH(F$1,[2]stages!$2:$2,0)-MATCH($D$1,[2]stages!$2:$2,0)+1),MATCH(F$1,[2]stages!$2:$2,0)-MATCH($D$1,[2]stages!$2:$2,0)+1,FALSE)</f>
        <v>【上級】ブルースクウェアを追え！</v>
      </c>
      <c r="G28" s="136">
        <v>3</v>
      </c>
      <c r="H28" s="12" t="str">
        <f t="shared" si="2"/>
        <v>39003_3-3</v>
      </c>
      <c r="I28" s="4">
        <f ca="1">VLOOKUP($H28,OFFSET(floors!$A$1,0,0,COUNTA(floors!$A:$A),MATCH(I$1,floors!$1:$1,0)-MATCH($H$1,floors!$1:$1,0)+1),MATCH(I$1,floors!$1:$1,0)-MATCH($H$1,floors!$1:$1,0)+1,FALSE)</f>
        <v>50</v>
      </c>
      <c r="J28" s="4">
        <f ca="1">VLOOKUP($H28,OFFSET(floors!$A$1,0,0,COUNTA(floors!$A:$A),MATCH(J$1,floors!$1:$1,0)-MATCH($H$1,floors!$1:$1,0)+1),MATCH(J$1,floors!$1:$1,0)-MATCH($H$1,floors!$1:$1,0)+1,FALSE)</f>
        <v>50</v>
      </c>
      <c r="K28" s="32" t="s">
        <v>168</v>
      </c>
      <c r="L28" s="121">
        <v>172</v>
      </c>
      <c r="M28" s="14" t="str">
        <f ca="1">VLOOKUP($L28,OFFSET([3]enemies!$A$1,0,0,COUNTA([3]enemies!$A:$A),MATCH(M$1,[3]enemies!$1:$1,0)-MATCH($L$1,[3]enemies!$1:$1,0)+1),MATCH(M$1,[3]enemies!$1:$1,0)-MATCH($L$1,[3]enemies!$1:$1,0)+1,FALSE)</f>
        <v>フォルネウス</v>
      </c>
      <c r="N28" s="14" t="str">
        <f ca="1">VLOOKUP($L28,OFFSET([3]enemies!$A$1,0,0,COUNTA([3]enemies!$A:$A),MATCH(N$1,[3]enemies!$1:$1,0)-MATCH($L$1,[3]enemies!$1:$1,0)+1),MATCH(N$1,[3]enemies!$1:$1,0)-MATCH($L$1,[3]enemies!$1:$1,0)+1,FALSE)</f>
        <v>blue</v>
      </c>
      <c r="O28" s="14" t="str">
        <f ca="1">VLOOKUP($L28,OFFSET([4]characters!$A$1,0,0,COUNTA([4]characters!$A:$A),MATCH(O$1,[4]characters!$1:$1,0)-MATCH($L$1,[4]characters!$1:$1,0)+1),MATCH(O$1,[4]characters!$1:$1,0)-MATCH($L$1,[4]characters!$1:$1,0)+1,FALSE)</f>
        <v>PremiumN</v>
      </c>
      <c r="P28" s="14" t="str">
        <f ca="1">VLOOKUP($L28,OFFSET([3]enemies!$A$1,0,0,COUNTA([3]enemies!$A:$A),MATCH(P$1,[3]enemies!$1:$1,0)-MATCH($L$1,[3]enemies!$1:$1,0)+1),MATCH(P$1,[3]enemies!$1:$1,0)-MATCH($L$1,[3]enemies!$1:$1,0)+1,FALSE)</f>
        <v>god</v>
      </c>
      <c r="Q28" s="14">
        <f ca="1">VLOOKUP($L28,OFFSET([3]enemies!$A$1,0,0,COUNTA([3]enemies!$A:$A),MATCH(Q$1,[3]enemies!$1:$1,0)-MATCH($L$1,[3]enemies!$1:$1,0)+1),MATCH(Q$1,[3]enemies!$1:$1,0)-MATCH($L$1,[3]enemies!$1:$1,0)+1,FALSE)</f>
        <v>20</v>
      </c>
      <c r="R28" s="5">
        <v>40</v>
      </c>
      <c r="S28" s="19">
        <v>1</v>
      </c>
      <c r="T28" s="19">
        <v>0.9</v>
      </c>
      <c r="U28" s="5">
        <v>0</v>
      </c>
      <c r="V28" s="4" t="str">
        <f ca="1">VLOOKUP($W28,OFFSET(enemy_skill_sets!$B$1,0,0,COUNTA(enemy_skill_sets!$B:$B),MATCH(M$1,enemy_skill_sets!$1:$1,0)-MATCH($W$1,enemy_skill_sets!$1:$1,0)+2),MATCH(M$1,enemy_skill_sets!$1:$1,0)-MATCH($W$1,enemy_skill_sets!$1:$1,0)+2,FALSE)</f>
        <v>全体攻撃&amp;青パネルをプロテクト状態にする！</v>
      </c>
      <c r="W28" s="132">
        <v>39003007</v>
      </c>
      <c r="X28" s="6">
        <v>1</v>
      </c>
      <c r="Y28" s="6">
        <v>100</v>
      </c>
      <c r="Z28" s="6">
        <v>1</v>
      </c>
      <c r="AA28" s="131">
        <v>2</v>
      </c>
      <c r="AB28" s="122">
        <f t="shared" si="3"/>
        <v>172</v>
      </c>
      <c r="AC28" s="4" t="str">
        <f ca="1">VLOOKUP($AB28,OFFSET([4]characters!$A$1,0,0,COUNTA([4]characters!$A:$A),MATCH(AC$1,[4]characters!$1:$1,0)-MATCH("character_id",[4]characters!$1:$1,0)+1),MATCH(AC$1,[4]characters!$1:$1,0)-MATCH("character_id",[4]characters!$1:$1,0)+1,FALSE)</f>
        <v>フォルネウス</v>
      </c>
      <c r="AD28" s="4">
        <f ca="1">VLOOKUP($AB28,OFFSET([4]characters!$A$1,0,0,COUNTA([4]characters!$A:$A),MATCH(AD$1,[4]characters!$1:$1,0)-MATCH("character_id",[4]characters!$1:$1,0)+1),MATCH(AD$1,[4]characters!$1:$1,0)-MATCH("character_id",[4]characters!$1:$1,0)+1,FALSE)</f>
        <v>3</v>
      </c>
      <c r="AE28" s="4" t="str">
        <f ca="1">VLOOKUP($AB28,OFFSET([4]characters!$A$1,0,0,COUNTA([4]characters!$A:$A),MATCH(AE$1,[4]characters!$1:$1,0)-MATCH("character_id",[4]characters!$1:$1,0)+1),MATCH(AE$1,[4]characters!$1:$1,0)-MATCH("character_id",[4]characters!$1:$1,0)+1,FALSE)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28" s="101">
        <v>1</v>
      </c>
      <c r="AG28" s="122">
        <f t="shared" ca="1" si="4"/>
        <v>3</v>
      </c>
      <c r="AH28" s="7">
        <v>0</v>
      </c>
      <c r="AI28" s="101">
        <v>0</v>
      </c>
      <c r="AJ28" s="101">
        <v>0</v>
      </c>
      <c r="AK28" s="101">
        <v>0</v>
      </c>
      <c r="AL28" s="101">
        <v>0</v>
      </c>
      <c r="AM28" s="101">
        <v>1</v>
      </c>
      <c r="AN28" s="63">
        <v>1</v>
      </c>
    </row>
    <row r="29" spans="1:40" ht="21" customHeight="1" x14ac:dyDescent="0.15">
      <c r="A29" s="13" t="str">
        <f t="shared" ref="A29" si="29">B29&amp;"_"&amp;C29&amp;"-"&amp;G29&amp;"/"&amp;L29&amp;"&lt;lv"&amp;R29&amp;"&gt;s"&amp;AA29</f>
        <v>39003_3-3/364&lt;lv40&gt;s1</v>
      </c>
      <c r="B29" s="130">
        <v>39003</v>
      </c>
      <c r="C29" s="135">
        <v>3</v>
      </c>
      <c r="D29" s="12" t="str">
        <f t="shared" ref="D29" si="30">B29&amp;"_"&amp;C29</f>
        <v>39003_3</v>
      </c>
      <c r="E29" s="4" t="str">
        <f ca="1">VLOOKUP($B29,OFFSET([2]quests!$A$1,0,0,COUNTA([2]quests!$A:$A),MATCH(E$1,[2]quests!$1:$1,0)-MATCH($B$1,[2]quests!$1:$1,0)+1),MATCH(E$1,[2]quests!$1:$1,0)-MATCH($B$1,[2]quests!$1:$1,0)+1,FALSE)</f>
        <v>ブルースクウェアを追え！</v>
      </c>
      <c r="F29" s="4" t="str">
        <f ca="1">VLOOKUP($D29,OFFSET([2]stages!$A$1,0,0,COUNTA([2]stages!$A:$A),MATCH(F$1,[2]stages!$2:$2,0)-MATCH($D$1,[2]stages!$2:$2,0)+1),MATCH(F$1,[2]stages!$2:$2,0)-MATCH($D$1,[2]stages!$2:$2,0)+1,FALSE)</f>
        <v>【上級】ブルースクウェアを追え！</v>
      </c>
      <c r="G29" s="136">
        <v>3</v>
      </c>
      <c r="H29" s="12" t="str">
        <f t="shared" ref="H29" si="31">B29&amp;"_"&amp;C29&amp;"-"&amp;G29</f>
        <v>39003_3-3</v>
      </c>
      <c r="I29" s="4">
        <f ca="1">VLOOKUP($H29,OFFSET(floors!$A$1,0,0,COUNTA(floors!$A:$A),MATCH(I$1,floors!$1:$1,0)-MATCH($H$1,floors!$1:$1,0)+1),MATCH(I$1,floors!$1:$1,0)-MATCH($H$1,floors!$1:$1,0)+1,FALSE)</f>
        <v>50</v>
      </c>
      <c r="J29" s="4">
        <f ca="1">VLOOKUP($H29,OFFSET(floors!$A$1,0,0,COUNTA(floors!$A:$A),MATCH(J$1,floors!$1:$1,0)-MATCH($H$1,floors!$1:$1,0)+1),MATCH(J$1,floors!$1:$1,0)-MATCH($H$1,floors!$1:$1,0)+1,FALSE)</f>
        <v>50</v>
      </c>
      <c r="K29" s="32" t="s">
        <v>168</v>
      </c>
      <c r="L29" s="121">
        <v>364</v>
      </c>
      <c r="M29" s="14" t="str">
        <f ca="1">VLOOKUP($L29,OFFSET([3]enemies!$A$1,0,0,COUNTA([3]enemies!$A:$A),MATCH(M$1,[3]enemies!$1:$1,0)-MATCH($L$1,[3]enemies!$1:$1,0)+1),MATCH(M$1,[3]enemies!$1:$1,0)-MATCH($L$1,[3]enemies!$1:$1,0)+1,FALSE)</f>
        <v>ノエル</v>
      </c>
      <c r="N29" s="14" t="str">
        <f ca="1">VLOOKUP($L29,OFFSET([3]enemies!$A$1,0,0,COUNTA([3]enemies!$A:$A),MATCH(N$1,[3]enemies!$1:$1,0)-MATCH($L$1,[3]enemies!$1:$1,0)+1),MATCH(N$1,[3]enemies!$1:$1,0)-MATCH($L$1,[3]enemies!$1:$1,0)+1,FALSE)</f>
        <v>blue</v>
      </c>
      <c r="O29" s="14" t="str">
        <f ca="1">VLOOKUP($L29,OFFSET([4]characters!$A$1,0,0,COUNTA([4]characters!$A:$A),MATCH(O$1,[4]characters!$1:$1,0)-MATCH($L$1,[4]characters!$1:$1,0)+1),MATCH(O$1,[4]characters!$1:$1,0)-MATCH($L$1,[4]characters!$1:$1,0)+1,FALSE)</f>
        <v>Drop1S</v>
      </c>
      <c r="P29" s="14" t="str">
        <f ca="1">VLOOKUP($L29,OFFSET([3]enemies!$A$1,0,0,COUNTA([3]enemies!$A:$A),MATCH(P$1,[3]enemies!$1:$1,0)-MATCH($L$1,[3]enemies!$1:$1,0)+1),MATCH(P$1,[3]enemies!$1:$1,0)-MATCH($L$1,[3]enemies!$1:$1,0)+1,FALSE)</f>
        <v>animal</v>
      </c>
      <c r="Q29" s="14">
        <f ca="1">VLOOKUP($L29,OFFSET([3]enemies!$A$1,0,0,COUNTA([3]enemies!$A:$A),MATCH(Q$1,[3]enemies!$1:$1,0)-MATCH($L$1,[3]enemies!$1:$1,0)+1),MATCH(Q$1,[3]enemies!$1:$1,0)-MATCH($L$1,[3]enemies!$1:$1,0)+1,FALSE)</f>
        <v>15</v>
      </c>
      <c r="R29" s="5">
        <v>40</v>
      </c>
      <c r="S29" s="19">
        <v>2.4</v>
      </c>
      <c r="T29" s="19">
        <v>0.6</v>
      </c>
      <c r="U29" s="5">
        <v>0</v>
      </c>
      <c r="V29" s="4" t="str">
        <f ca="1">VLOOKUP($W29,OFFSET(enemy_skill_sets!$B$1,0,0,COUNTA(enemy_skill_sets!$B:$B),MATCH(M$1,enemy_skill_sets!$1:$1,0)-MATCH($W$1,enemy_skill_sets!$1:$1,0)+2),MATCH(M$1,enemy_skill_sets!$1:$1,0)-MATCH($W$1,enemy_skill_sets!$1:$1,0)+2,FALSE)</f>
        <v>3ターンパネルタップ回数を1減少</v>
      </c>
      <c r="W29" s="132">
        <v>39003008</v>
      </c>
      <c r="X29" s="6">
        <v>1</v>
      </c>
      <c r="Y29" s="6">
        <v>100</v>
      </c>
      <c r="Z29" s="6">
        <v>0</v>
      </c>
      <c r="AA29" s="131">
        <v>1</v>
      </c>
      <c r="AB29" s="122">
        <f t="shared" si="3"/>
        <v>364</v>
      </c>
      <c r="AC29" s="4" t="str">
        <f ca="1">VLOOKUP($AB29,OFFSET([4]characters!$A$1,0,0,COUNTA([4]characters!$A:$A),MATCH(AC$1,[4]characters!$1:$1,0)-MATCH("character_id",[4]characters!$1:$1,0)+1),MATCH(AC$1,[4]characters!$1:$1,0)-MATCH("character_id",[4]characters!$1:$1,0)+1,FALSE)</f>
        <v>ノエル</v>
      </c>
      <c r="AD29" s="4">
        <f ca="1">VLOOKUP($AB29,OFFSET([4]characters!$A$1,0,0,COUNTA([4]characters!$A:$A),MATCH(AD$1,[4]characters!$1:$1,0)-MATCH("character_id",[4]characters!$1:$1,0)+1),MATCH(AD$1,[4]characters!$1:$1,0)-MATCH("character_id",[4]characters!$1:$1,0)+1,FALSE)</f>
        <v>2</v>
      </c>
      <c r="AE29" s="4" t="str">
        <f ca="1">VLOOKUP($AB29,OFFSET([4]characters!$A$1,0,0,COUNTA([4]characters!$A:$A),MATCH(AE$1,[4]characters!$1:$1,0)-MATCH("character_id",[4]characters!$1:$1,0)+1),MATCH(AE$1,[4]characters!$1:$1,0)-MATCH("character_id",[4]characters!$1:$1,0)+1,FALSE)</f>
        <v>Drop1S</v>
      </c>
      <c r="AF29" s="101">
        <v>1</v>
      </c>
      <c r="AG29" s="122">
        <f t="shared" ca="1" si="4"/>
        <v>2</v>
      </c>
      <c r="AH29" s="7">
        <v>20</v>
      </c>
      <c r="AI29" s="101">
        <v>0</v>
      </c>
      <c r="AJ29" s="101">
        <v>0</v>
      </c>
      <c r="AK29" s="101">
        <v>0</v>
      </c>
      <c r="AL29" s="101">
        <v>0</v>
      </c>
      <c r="AM29" s="101">
        <v>1</v>
      </c>
      <c r="AN29" s="63">
        <v>1</v>
      </c>
    </row>
    <row r="30" spans="1:40" ht="21" customHeight="1" x14ac:dyDescent="0.15">
      <c r="A30" s="13" t="str">
        <f t="shared" si="0"/>
        <v>39003_3-3/374&lt;lv40&gt;s1</v>
      </c>
      <c r="B30" s="130">
        <v>39003</v>
      </c>
      <c r="C30" s="135">
        <v>3</v>
      </c>
      <c r="D30" s="12" t="str">
        <f t="shared" si="1"/>
        <v>39003_3</v>
      </c>
      <c r="E30" s="4" t="str">
        <f ca="1">VLOOKUP($B30,OFFSET([2]quests!$A$1,0,0,COUNTA([2]quests!$A:$A),MATCH(E$1,[2]quests!$1:$1,0)-MATCH($B$1,[2]quests!$1:$1,0)+1),MATCH(E$1,[2]quests!$1:$1,0)-MATCH($B$1,[2]quests!$1:$1,0)+1,FALSE)</f>
        <v>ブルースクウェアを追え！</v>
      </c>
      <c r="F30" s="4" t="str">
        <f ca="1">VLOOKUP($D30,OFFSET([2]stages!$A$1,0,0,COUNTA([2]stages!$A:$A),MATCH(F$1,[2]stages!$2:$2,0)-MATCH($D$1,[2]stages!$2:$2,0)+1),MATCH(F$1,[2]stages!$2:$2,0)-MATCH($D$1,[2]stages!$2:$2,0)+1,FALSE)</f>
        <v>【上級】ブルースクウェアを追え！</v>
      </c>
      <c r="G30" s="136">
        <v>3</v>
      </c>
      <c r="H30" s="12" t="str">
        <f t="shared" si="2"/>
        <v>39003_3-3</v>
      </c>
      <c r="I30" s="4">
        <f ca="1">VLOOKUP($H30,OFFSET(floors!$A$1,0,0,COUNTA(floors!$A:$A),MATCH(I$1,floors!$1:$1,0)-MATCH($H$1,floors!$1:$1,0)+1),MATCH(I$1,floors!$1:$1,0)-MATCH($H$1,floors!$1:$1,0)+1,FALSE)</f>
        <v>50</v>
      </c>
      <c r="J30" s="4">
        <f ca="1">VLOOKUP($H30,OFFSET(floors!$A$1,0,0,COUNTA(floors!$A:$A),MATCH(J$1,floors!$1:$1,0)-MATCH($H$1,floors!$1:$1,0)+1),MATCH(J$1,floors!$1:$1,0)-MATCH($H$1,floors!$1:$1,0)+1,FALSE)</f>
        <v>50</v>
      </c>
      <c r="K30" s="32" t="s">
        <v>168</v>
      </c>
      <c r="L30" s="121">
        <v>374</v>
      </c>
      <c r="M30" s="14" t="str">
        <f ca="1">VLOOKUP($L30,OFFSET([3]enemies!$A$1,0,0,COUNTA([3]enemies!$A:$A),MATCH(M$1,[3]enemies!$1:$1,0)-MATCH($L$1,[3]enemies!$1:$1,0)+1),MATCH(M$1,[3]enemies!$1:$1,0)-MATCH($L$1,[3]enemies!$1:$1,0)+1,FALSE)</f>
        <v>影丸</v>
      </c>
      <c r="N30" s="14" t="str">
        <f ca="1">VLOOKUP($L30,OFFSET([3]enemies!$A$1,0,0,COUNTA([3]enemies!$A:$A),MATCH(N$1,[3]enemies!$1:$1,0)-MATCH($L$1,[3]enemies!$1:$1,0)+1),MATCH(N$1,[3]enemies!$1:$1,0)-MATCH($L$1,[3]enemies!$1:$1,0)+1,FALSE)</f>
        <v>blue</v>
      </c>
      <c r="O30" s="14" t="str">
        <f ca="1">VLOOKUP($L30,OFFSET([4]characters!$A$1,0,0,COUNTA([4]characters!$A:$A),MATCH(O$1,[4]characters!$1:$1,0)-MATCH($L$1,[4]characters!$1:$1,0)+1),MATCH(O$1,[4]characters!$1:$1,0)-MATCH($L$1,[4]characters!$1:$1,0)+1,FALSE)</f>
        <v>Drop1S</v>
      </c>
      <c r="P30" s="14" t="str">
        <f ca="1">VLOOKUP($L30,OFFSET([3]enemies!$A$1,0,0,COUNTA([3]enemies!$A:$A),MATCH(P$1,[3]enemies!$1:$1,0)-MATCH($L$1,[3]enemies!$1:$1,0)+1),MATCH(P$1,[3]enemies!$1:$1,0)-MATCH($L$1,[3]enemies!$1:$1,0)+1,FALSE)</f>
        <v>animal</v>
      </c>
      <c r="Q30" s="14">
        <f ca="1">VLOOKUP($L30,OFFSET([3]enemies!$A$1,0,0,COUNTA([3]enemies!$A:$A),MATCH(Q$1,[3]enemies!$1:$1,0)-MATCH($L$1,[3]enemies!$1:$1,0)+1),MATCH(Q$1,[3]enemies!$1:$1,0)-MATCH($L$1,[3]enemies!$1:$1,0)+1,FALSE)</f>
        <v>15</v>
      </c>
      <c r="R30" s="5">
        <v>40</v>
      </c>
      <c r="S30" s="19">
        <v>2.7</v>
      </c>
      <c r="T30" s="19">
        <v>1.5</v>
      </c>
      <c r="U30" s="5">
        <v>0</v>
      </c>
      <c r="V30" s="4" t="str">
        <f ca="1">VLOOKUP($W30,OFFSET(enemy_skill_sets!$B$1,0,0,COUNTA(enemy_skill_sets!$B:$B),MATCH(M$1,enemy_skill_sets!$1:$1,0)-MATCH($W$1,enemy_skill_sets!$1:$1,0)+2),MATCH(M$1,enemy_skill_sets!$1:$1,0)-MATCH($W$1,enemy_skill_sets!$1:$1,0)+2,FALSE)</f>
        <v>1ターンパネルの色が分からなくなる !</v>
      </c>
      <c r="W30" s="132">
        <v>39003009</v>
      </c>
      <c r="X30" s="6">
        <v>1</v>
      </c>
      <c r="Y30" s="6">
        <v>100</v>
      </c>
      <c r="Z30" s="6">
        <v>0</v>
      </c>
      <c r="AA30" s="131">
        <v>1</v>
      </c>
      <c r="AB30" s="122">
        <f t="shared" si="3"/>
        <v>374</v>
      </c>
      <c r="AC30" s="4" t="str">
        <f ca="1">VLOOKUP($AB30,OFFSET([4]characters!$A$1,0,0,COUNTA([4]characters!$A:$A),MATCH(AC$1,[4]characters!$1:$1,0)-MATCH("character_id",[4]characters!$1:$1,0)+1),MATCH(AC$1,[4]characters!$1:$1,0)-MATCH("character_id",[4]characters!$1:$1,0)+1,FALSE)</f>
        <v>影丸</v>
      </c>
      <c r="AD30" s="4">
        <f ca="1">VLOOKUP($AB30,OFFSET([4]characters!$A$1,0,0,COUNTA([4]characters!$A:$A),MATCH(AD$1,[4]characters!$1:$1,0)-MATCH("character_id",[4]characters!$1:$1,0)+1),MATCH(AD$1,[4]characters!$1:$1,0)-MATCH("character_id",[4]characters!$1:$1,0)+1,FALSE)</f>
        <v>2</v>
      </c>
      <c r="AE30" s="4" t="str">
        <f ca="1">VLOOKUP($AB30,OFFSET([4]characters!$A$1,0,0,COUNTA([4]characters!$A:$A),MATCH(AE$1,[4]characters!$1:$1,0)-MATCH("character_id",[4]characters!$1:$1,0)+1),MATCH(AE$1,[4]characters!$1:$1,0)-MATCH("character_id",[4]characters!$1:$1,0)+1,FALSE)</f>
        <v>Drop1S</v>
      </c>
      <c r="AF30" s="101">
        <v>1</v>
      </c>
      <c r="AG30" s="122">
        <f t="shared" ca="1" si="4"/>
        <v>2</v>
      </c>
      <c r="AH30" s="7">
        <v>20</v>
      </c>
      <c r="AI30" s="101">
        <v>0</v>
      </c>
      <c r="AJ30" s="101">
        <v>0</v>
      </c>
      <c r="AK30" s="101">
        <v>0</v>
      </c>
      <c r="AL30" s="101">
        <v>0</v>
      </c>
      <c r="AM30" s="101">
        <v>1</v>
      </c>
      <c r="AN30" s="63">
        <v>1</v>
      </c>
    </row>
    <row r="31" spans="1:40" ht="21" customHeight="1" x14ac:dyDescent="0.15">
      <c r="A31" s="13" t="str">
        <f t="shared" ref="A31" si="32">B31&amp;"_"&amp;C31&amp;"-"&amp;G31&amp;"/"&amp;L31&amp;"&lt;lv"&amp;R31&amp;"&gt;s"&amp;AA31</f>
        <v>39003_3-4/691&lt;lv40&gt;s2</v>
      </c>
      <c r="B31" s="130">
        <v>39003</v>
      </c>
      <c r="C31" s="135">
        <v>3</v>
      </c>
      <c r="D31" s="12" t="str">
        <f t="shared" ref="D31" si="33">B31&amp;"_"&amp;C31</f>
        <v>39003_3</v>
      </c>
      <c r="E31" s="4" t="str">
        <f ca="1">VLOOKUP($B31,OFFSET([2]quests!$A$1,0,0,COUNTA([2]quests!$A:$A),MATCH(E$1,[2]quests!$1:$1,0)-MATCH($B$1,[2]quests!$1:$1,0)+1),MATCH(E$1,[2]quests!$1:$1,0)-MATCH($B$1,[2]quests!$1:$1,0)+1,FALSE)</f>
        <v>ブルースクウェアを追え！</v>
      </c>
      <c r="F31" s="4" t="str">
        <f ca="1">VLOOKUP($D31,OFFSET([2]stages!$A$1,0,0,COUNTA([2]stages!$A:$A),MATCH(F$1,[2]stages!$2:$2,0)-MATCH($D$1,[2]stages!$2:$2,0)+1),MATCH(F$1,[2]stages!$2:$2,0)-MATCH($D$1,[2]stages!$2:$2,0)+1,FALSE)</f>
        <v>【上級】ブルースクウェアを追え！</v>
      </c>
      <c r="G31" s="133">
        <v>4</v>
      </c>
      <c r="H31" s="12" t="str">
        <f t="shared" ref="H31" si="34">B31&amp;"_"&amp;C31&amp;"-"&amp;G31</f>
        <v>39003_3-4</v>
      </c>
      <c r="I31" s="4">
        <f ca="1">VLOOKUP($H31,OFFSET(floors!$A$1,0,0,COUNTA(floors!$A:$A),MATCH(I$1,floors!$1:$1,0)-MATCH($H$1,floors!$1:$1,0)+1),MATCH(I$1,floors!$1:$1,0)-MATCH($H$1,floors!$1:$1,0)+1,FALSE)</f>
        <v>60</v>
      </c>
      <c r="J31" s="4">
        <f ca="1">VLOOKUP($H31,OFFSET(floors!$A$1,0,0,COUNTA(floors!$A:$A),MATCH(J$1,floors!$1:$1,0)-MATCH($H$1,floors!$1:$1,0)+1),MATCH(J$1,floors!$1:$1,0)-MATCH($H$1,floors!$1:$1,0)+1,FALSE)</f>
        <v>60</v>
      </c>
      <c r="K31" s="32">
        <v>3</v>
      </c>
      <c r="L31" s="121">
        <v>691</v>
      </c>
      <c r="M31" s="14" t="str">
        <f ca="1">VLOOKUP($L31,OFFSET([3]enemies!$A$1,0,0,COUNTA([3]enemies!$A:$A),MATCH(M$1,[3]enemies!$1:$1,0)-MATCH($L$1,[3]enemies!$1:$1,0)+1),MATCH(M$1,[3]enemies!$1:$1,0)-MATCH($L$1,[3]enemies!$1:$1,0)+1,FALSE)</f>
        <v>黒沼青葉</v>
      </c>
      <c r="N31" s="14" t="str">
        <f ca="1">VLOOKUP($L31,OFFSET([3]enemies!$A$1,0,0,COUNTA([3]enemies!$A:$A),MATCH(N$1,[3]enemies!$1:$1,0)-MATCH($L$1,[3]enemies!$1:$1,0)+1),MATCH(N$1,[3]enemies!$1:$1,0)-MATCH($L$1,[3]enemies!$1:$1,0)+1,FALSE)</f>
        <v>blue</v>
      </c>
      <c r="O31" s="14" t="str">
        <f ca="1">VLOOKUP($L31,OFFSET([4]characters!$A$1,0,0,COUNTA([4]characters!$A:$A),MATCH(O$1,[4]characters!$1:$1,0)-MATCH($L$1,[4]characters!$1:$1,0)+1),MATCH(O$1,[4]characters!$1:$1,0)-MATCH($L$1,[4]characters!$1:$1,0)+1,FALSE)</f>
        <v>Drop2N</v>
      </c>
      <c r="P31" s="14" t="str">
        <f ca="1">VLOOKUP($L31,OFFSET([3]enemies!$A$1,0,0,COUNTA([3]enemies!$A:$A),MATCH(P$1,[3]enemies!$1:$1,0)-MATCH($L$1,[3]enemies!$1:$1,0)+1),MATCH(P$1,[3]enemies!$1:$1,0)-MATCH($L$1,[3]enemies!$1:$1,0)+1,FALSE)</f>
        <v>human</v>
      </c>
      <c r="Q31" s="14">
        <f ca="1">VLOOKUP($L31,OFFSET([3]enemies!$A$1,0,0,COUNTA([3]enemies!$A:$A),MATCH(Q$1,[3]enemies!$1:$1,0)-MATCH($L$1,[3]enemies!$1:$1,0)+1),MATCH(Q$1,[3]enemies!$1:$1,0)-MATCH($L$1,[3]enemies!$1:$1,0)+1,FALSE)</f>
        <v>30</v>
      </c>
      <c r="R31" s="5">
        <v>40</v>
      </c>
      <c r="S31" s="19">
        <v>1.8</v>
      </c>
      <c r="T31" s="19">
        <v>1</v>
      </c>
      <c r="U31" s="5">
        <v>0</v>
      </c>
      <c r="V31" s="4" t="str">
        <f ca="1">VLOOKUP($W31,OFFSET(enemy_skill_sets!$B$1,0,0,COUNTA(enemy_skill_sets!$B:$B),MATCH(M$1,enemy_skill_sets!$1:$1,0)-MATCH($W$1,enemy_skill_sets!$1:$1,0)+2),MATCH(M$1,enemy_skill_sets!$1:$1,0)-MATCH($W$1,enemy_skill_sets!$1:$1,0)+2,FALSE)</f>
        <v>青パネルの出現率大UP</v>
      </c>
      <c r="W31" s="132">
        <v>39003010</v>
      </c>
      <c r="X31" s="6">
        <v>1</v>
      </c>
      <c r="Y31" s="6">
        <v>100</v>
      </c>
      <c r="Z31" s="6">
        <v>1</v>
      </c>
      <c r="AA31" s="131">
        <v>2</v>
      </c>
      <c r="AB31" s="122">
        <f t="shared" si="3"/>
        <v>691</v>
      </c>
      <c r="AC31" s="4" t="str">
        <f ca="1">VLOOKUP($AB31,OFFSET([4]characters!$A$1,0,0,COUNTA([4]characters!$A:$A),MATCH(AC$1,[4]characters!$1:$1,0)-MATCH("character_id",[4]characters!$1:$1,0)+1),MATCH(AC$1,[4]characters!$1:$1,0)-MATCH("character_id",[4]characters!$1:$1,0)+1,FALSE)</f>
        <v>黒沼青葉</v>
      </c>
      <c r="AD31" s="4">
        <f ca="1">VLOOKUP($AB31,OFFSET([4]characters!$A$1,0,0,COUNTA([4]characters!$A:$A),MATCH(AD$1,[4]characters!$1:$1,0)-MATCH("character_id",[4]characters!$1:$1,0)+1),MATCH(AD$1,[4]characters!$1:$1,0)-MATCH("character_id",[4]characters!$1:$1,0)+1,FALSE)</f>
        <v>4</v>
      </c>
      <c r="AE31" s="4" t="str">
        <f ca="1">VLOOKUP($AB31,OFFSET([4]characters!$A$1,0,0,COUNTA([4]characters!$A:$A),MATCH(AE$1,[4]characters!$1:$1,0)-MATCH("character_id",[4]characters!$1:$1,0)+1),MATCH(AE$1,[4]characters!$1:$1,0)-MATCH("character_id",[4]characters!$1:$1,0)+1,FALSE)</f>
        <v>Drop2N</v>
      </c>
      <c r="AF31" s="101">
        <v>1</v>
      </c>
      <c r="AG31" s="122">
        <f t="shared" ca="1" si="4"/>
        <v>4</v>
      </c>
      <c r="AH31" s="7">
        <v>40</v>
      </c>
      <c r="AI31" s="101">
        <v>0</v>
      </c>
      <c r="AJ31" s="101">
        <v>0</v>
      </c>
      <c r="AK31" s="101">
        <v>0</v>
      </c>
      <c r="AL31" s="101">
        <v>0</v>
      </c>
      <c r="AM31" s="101">
        <v>1</v>
      </c>
      <c r="AN31" s="63">
        <v>1</v>
      </c>
    </row>
    <row r="32" spans="1:40" ht="21" customHeight="1" x14ac:dyDescent="0.15">
      <c r="A32" s="13" t="str">
        <f t="shared" si="0"/>
        <v>39003_3-4/71&lt;lv40&gt;s1</v>
      </c>
      <c r="B32" s="130">
        <v>39003</v>
      </c>
      <c r="C32" s="135">
        <v>3</v>
      </c>
      <c r="D32" s="12" t="str">
        <f t="shared" si="1"/>
        <v>39003_3</v>
      </c>
      <c r="E32" s="4" t="str">
        <f ca="1">VLOOKUP($B32,OFFSET([2]quests!$A$1,0,0,COUNTA([2]quests!$A:$A),MATCH(E$1,[2]quests!$1:$1,0)-MATCH($B$1,[2]quests!$1:$1,0)+1),MATCH(E$1,[2]quests!$1:$1,0)-MATCH($B$1,[2]quests!$1:$1,0)+1,FALSE)</f>
        <v>ブルースクウェアを追え！</v>
      </c>
      <c r="F32" s="4" t="str">
        <f ca="1">VLOOKUP($D32,OFFSET([2]stages!$A$1,0,0,COUNTA([2]stages!$A:$A),MATCH(F$1,[2]stages!$2:$2,0)-MATCH($D$1,[2]stages!$2:$2,0)+1),MATCH(F$1,[2]stages!$2:$2,0)-MATCH($D$1,[2]stages!$2:$2,0)+1,FALSE)</f>
        <v>【上級】ブルースクウェアを追え！</v>
      </c>
      <c r="G32" s="133">
        <v>4</v>
      </c>
      <c r="H32" s="12" t="str">
        <f t="shared" si="2"/>
        <v>39003_3-4</v>
      </c>
      <c r="I32" s="4">
        <f ca="1">VLOOKUP($H32,OFFSET(floors!$A$1,0,0,COUNTA(floors!$A:$A),MATCH(I$1,floors!$1:$1,0)-MATCH($H$1,floors!$1:$1,0)+1),MATCH(I$1,floors!$1:$1,0)-MATCH($H$1,floors!$1:$1,0)+1,FALSE)</f>
        <v>60</v>
      </c>
      <c r="J32" s="4">
        <f ca="1">VLOOKUP($H32,OFFSET(floors!$A$1,0,0,COUNTA(floors!$A:$A),MATCH(J$1,floors!$1:$1,0)-MATCH($H$1,floors!$1:$1,0)+1),MATCH(J$1,floors!$1:$1,0)-MATCH($H$1,floors!$1:$1,0)+1,FALSE)</f>
        <v>60</v>
      </c>
      <c r="K32" s="32" t="s">
        <v>294</v>
      </c>
      <c r="L32" s="121">
        <v>71</v>
      </c>
      <c r="M32" s="14" t="str">
        <f ca="1">VLOOKUP($L32,OFFSET([3]enemies!$A$1,0,0,COUNTA([3]enemies!$A:$A),MATCH(M$1,[3]enemies!$1:$1,0)-MATCH($L$1,[3]enemies!$1:$1,0)+1),MATCH(M$1,[3]enemies!$1:$1,0)-MATCH($L$1,[3]enemies!$1:$1,0)+1,FALSE)</f>
        <v>ダックス</v>
      </c>
      <c r="N32" s="14" t="str">
        <f ca="1">VLOOKUP($L32,OFFSET([3]enemies!$A$1,0,0,COUNTA([3]enemies!$A:$A),MATCH(N$1,[3]enemies!$1:$1,0)-MATCH($L$1,[3]enemies!$1:$1,0)+1),MATCH(N$1,[3]enemies!$1:$1,0)-MATCH($L$1,[3]enemies!$1:$1,0)+1,FALSE)</f>
        <v>blue</v>
      </c>
      <c r="O32" s="14" t="str">
        <f ca="1">VLOOKUP($L32,OFFSET([4]characters!$A$1,0,0,COUNTA([4]characters!$A:$A),MATCH(O$1,[4]characters!$1:$1,0)-MATCH($L$1,[4]characters!$1:$1,0)+1),MATCH(O$1,[4]characters!$1:$1,0)-MATCH($L$1,[4]characters!$1:$1,0)+1,FALSE)</f>
        <v>Drop1S</v>
      </c>
      <c r="P32" s="14" t="str">
        <f ca="1">VLOOKUP($L32,OFFSET([3]enemies!$A$1,0,0,COUNTA([3]enemies!$A:$A),MATCH(P$1,[3]enemies!$1:$1,0)-MATCH($L$1,[3]enemies!$1:$1,0)+1),MATCH(P$1,[3]enemies!$1:$1,0)-MATCH($L$1,[3]enemies!$1:$1,0)+1,FALSE)</f>
        <v>animal</v>
      </c>
      <c r="Q32" s="14">
        <f ca="1">VLOOKUP($L32,OFFSET([3]enemies!$A$1,0,0,COUNTA([3]enemies!$A:$A),MATCH(Q$1,[3]enemies!$1:$1,0)-MATCH($L$1,[3]enemies!$1:$1,0)+1),MATCH(Q$1,[3]enemies!$1:$1,0)-MATCH($L$1,[3]enemies!$1:$1,0)+1,FALSE)</f>
        <v>15</v>
      </c>
      <c r="R32" s="5">
        <v>40</v>
      </c>
      <c r="S32" s="19">
        <v>2.4</v>
      </c>
      <c r="T32" s="19">
        <v>1</v>
      </c>
      <c r="U32" s="5">
        <v>0</v>
      </c>
      <c r="V32" s="4" t="str">
        <f ca="1">VLOOKUP($W32,OFFSET(enemy_skill_sets!$B$1,0,0,COUNTA(enemy_skill_sets!$B:$B),MATCH(M$1,enemy_skill_sets!$1:$1,0)-MATCH($W$1,enemy_skill_sets!$1:$1,0)+2),MATCH(M$1,enemy_skill_sets!$1:$1,0)-MATCH($W$1,enemy_skill_sets!$1:$1,0)+2,FALSE)</f>
        <v>マシン種族のユニットに大ダメージ！</v>
      </c>
      <c r="W32" s="132">
        <v>39003012</v>
      </c>
      <c r="X32" s="6">
        <v>2</v>
      </c>
      <c r="Y32" s="6">
        <v>100</v>
      </c>
      <c r="Z32" s="6">
        <v>0</v>
      </c>
      <c r="AA32" s="131">
        <v>1</v>
      </c>
      <c r="AB32" s="122">
        <f t="shared" si="3"/>
        <v>71</v>
      </c>
      <c r="AC32" s="4" t="str">
        <f ca="1">VLOOKUP($AB32,OFFSET([4]characters!$A$1,0,0,COUNTA([4]characters!$A:$A),MATCH(AC$1,[4]characters!$1:$1,0)-MATCH("character_id",[4]characters!$1:$1,0)+1),MATCH(AC$1,[4]characters!$1:$1,0)-MATCH("character_id",[4]characters!$1:$1,0)+1,FALSE)</f>
        <v>ダックス</v>
      </c>
      <c r="AD32" s="4">
        <f ca="1">VLOOKUP($AB32,OFFSET([4]characters!$A$1,0,0,COUNTA([4]characters!$A:$A),MATCH(AD$1,[4]characters!$1:$1,0)-MATCH("character_id",[4]characters!$1:$1,0)+1),MATCH(AD$1,[4]characters!$1:$1,0)-MATCH("character_id",[4]characters!$1:$1,0)+1,FALSE)</f>
        <v>2</v>
      </c>
      <c r="AE32" s="4" t="str">
        <f ca="1">VLOOKUP($AB32,OFFSET([4]characters!$A$1,0,0,COUNTA([4]characters!$A:$A),MATCH(AE$1,[4]characters!$1:$1,0)-MATCH("character_id",[4]characters!$1:$1,0)+1),MATCH(AE$1,[4]characters!$1:$1,0)-MATCH("character_id",[4]characters!$1:$1,0)+1,FALSE)</f>
        <v>Drop1S</v>
      </c>
      <c r="AF32" s="101">
        <v>1</v>
      </c>
      <c r="AG32" s="122">
        <f t="shared" ca="1" si="4"/>
        <v>2</v>
      </c>
      <c r="AH32" s="7">
        <v>0</v>
      </c>
      <c r="AI32" s="101">
        <v>0</v>
      </c>
      <c r="AJ32" s="101">
        <v>0</v>
      </c>
      <c r="AK32" s="101">
        <v>0</v>
      </c>
      <c r="AL32" s="101">
        <v>0</v>
      </c>
      <c r="AM32" s="101">
        <v>1</v>
      </c>
      <c r="AN32" s="63">
        <v>1</v>
      </c>
    </row>
    <row r="33" spans="1:40" ht="21" customHeight="1" x14ac:dyDescent="0.15">
      <c r="A33" s="13" t="str">
        <f t="shared" si="0"/>
        <v>39003_4-1/6&lt;lv60&gt;s3</v>
      </c>
      <c r="B33" s="130">
        <v>39003</v>
      </c>
      <c r="C33" s="137">
        <v>4</v>
      </c>
      <c r="D33" s="12" t="str">
        <f t="shared" si="1"/>
        <v>39003_4</v>
      </c>
      <c r="E33" s="4" t="str">
        <f ca="1">VLOOKUP($B33,OFFSET([2]quests!$A$1,0,0,COUNTA([2]quests!$A:$A),MATCH(E$1,[2]quests!$1:$1,0)-MATCH($B$1,[2]quests!$1:$1,0)+1),MATCH(E$1,[2]quests!$1:$1,0)-MATCH($B$1,[2]quests!$1:$1,0)+1,FALSE)</f>
        <v>ブルースクウェアを追え！</v>
      </c>
      <c r="F33" s="4" t="str">
        <f ca="1">VLOOKUP($D33,OFFSET([2]stages!$A$1,0,0,COUNTA([2]stages!$A:$A),MATCH(F$1,[2]stages!$2:$2,0)-MATCH($D$1,[2]stages!$2:$2,0)+1),MATCH(F$1,[2]stages!$2:$2,0)-MATCH($D$1,[2]stages!$2:$2,0)+1,FALSE)</f>
        <v>【超級】ブルースクウェアを追え！</v>
      </c>
      <c r="G33" s="120">
        <v>1</v>
      </c>
      <c r="H33" s="12" t="str">
        <f t="shared" si="2"/>
        <v>39003_4-1</v>
      </c>
      <c r="I33" s="4">
        <f ca="1">VLOOKUP($H33,OFFSET(floors!$A$1,0,0,COUNTA(floors!$A:$A),MATCH(I$1,floors!$1:$1,0)-MATCH($H$1,floors!$1:$1,0)+1),MATCH(I$1,floors!$1:$1,0)-MATCH($H$1,floors!$1:$1,0)+1,FALSE)</f>
        <v>45</v>
      </c>
      <c r="J33" s="4">
        <f ca="1">VLOOKUP($H33,OFFSET(floors!$A$1,0,0,COUNTA(floors!$A:$A),MATCH(J$1,floors!$1:$1,0)-MATCH($H$1,floors!$1:$1,0)+1),MATCH(J$1,floors!$1:$1,0)-MATCH($H$1,floors!$1:$1,0)+1,FALSE)</f>
        <v>45</v>
      </c>
      <c r="K33" s="32" t="s">
        <v>218</v>
      </c>
      <c r="L33" s="121">
        <v>6</v>
      </c>
      <c r="M33" s="14" t="str">
        <f ca="1">VLOOKUP($L33,OFFSET([3]enemies!$A$1,0,0,COUNTA([3]enemies!$A:$A),MATCH(M$1,[3]enemies!$1:$1,0)-MATCH($L$1,[3]enemies!$1:$1,0)+1),MATCH(M$1,[3]enemies!$1:$1,0)-MATCH($L$1,[3]enemies!$1:$1,0)+1,FALSE)</f>
        <v>パトドッグリーダー ポチ</v>
      </c>
      <c r="N33" s="14" t="str">
        <f ca="1">VLOOKUP($L33,OFFSET([3]enemies!$A$1,0,0,COUNTA([3]enemies!$A:$A),MATCH(N$1,[3]enemies!$1:$1,0)-MATCH($L$1,[3]enemies!$1:$1,0)+1),MATCH(N$1,[3]enemies!$1:$1,0)-MATCH($L$1,[3]enemies!$1:$1,0)+1,FALSE)</f>
        <v>blue</v>
      </c>
      <c r="O33" s="14" t="str">
        <f ca="1">VLOOKUP($L33,OFFSET([4]characters!$A$1,0,0,COUNTA([4]characters!$A:$A),MATCH(O$1,[4]characters!$1:$1,0)-MATCH($L$1,[4]characters!$1:$1,0)+1),MATCH(O$1,[4]characters!$1:$1,0)-MATCH($L$1,[4]characters!$1:$1,0)+1,FALSE)</f>
        <v>Drop1T</v>
      </c>
      <c r="P33" s="14" t="str">
        <f ca="1">VLOOKUP($L33,OFFSET([3]enemies!$A$1,0,0,COUNTA([3]enemies!$A:$A),MATCH(P$1,[3]enemies!$1:$1,0)-MATCH($L$1,[3]enemies!$1:$1,0)+1),MATCH(P$1,[3]enemies!$1:$1,0)-MATCH($L$1,[3]enemies!$1:$1,0)+1,FALSE)</f>
        <v>unknown</v>
      </c>
      <c r="Q33" s="14">
        <f ca="1">VLOOKUP($L33,OFFSET([3]enemies!$A$1,0,0,COUNTA([3]enemies!$A:$A),MATCH(Q$1,[3]enemies!$1:$1,0)-MATCH($L$1,[3]enemies!$1:$1,0)+1),MATCH(Q$1,[3]enemies!$1:$1,0)-MATCH($L$1,[3]enemies!$1:$1,0)+1,FALSE)</f>
        <v>15</v>
      </c>
      <c r="R33" s="5">
        <v>60</v>
      </c>
      <c r="S33" s="19">
        <v>1.3</v>
      </c>
      <c r="T33" s="19">
        <v>2</v>
      </c>
      <c r="U33" s="5">
        <v>0</v>
      </c>
      <c r="V33" s="4" t="str">
        <f ca="1">VLOOKUP($W33,OFFSET(enemy_skill_sets!$B$1,0,0,COUNTA(enemy_skill_sets!$B:$B),MATCH(M$1,enemy_skill_sets!$1:$1,0)-MATCH($W$1,enemy_skill_sets!$1:$1,0)+2),MATCH(M$1,enemy_skill_sets!$1:$1,0)-MATCH($W$1,enemy_skill_sets!$1:$1,0)+2,FALSE)</f>
        <v>回復</v>
      </c>
      <c r="W33" s="132">
        <v>39003001</v>
      </c>
      <c r="X33" s="6">
        <v>1</v>
      </c>
      <c r="Y33" s="6">
        <v>100</v>
      </c>
      <c r="Z33" s="6">
        <v>0</v>
      </c>
      <c r="AA33" s="131">
        <v>3</v>
      </c>
      <c r="AB33" s="122">
        <f t="shared" ref="AB33:AB43" si="35">L33</f>
        <v>6</v>
      </c>
      <c r="AC33" s="4" t="str">
        <f ca="1">VLOOKUP($AB33,OFFSET([4]characters!$A$1,0,0,COUNTA([4]characters!$A:$A),MATCH(AC$1,[4]characters!$1:$1,0)-MATCH("character_id",[4]characters!$1:$1,0)+1),MATCH(AC$1,[4]characters!$1:$1,0)-MATCH("character_id",[4]characters!$1:$1,0)+1,FALSE)</f>
        <v>パトドッグリーダー ポチ</v>
      </c>
      <c r="AD33" s="4">
        <f ca="1">VLOOKUP($AB33,OFFSET([4]characters!$A$1,0,0,COUNTA([4]characters!$A:$A),MATCH(AD$1,[4]characters!$1:$1,0)-MATCH("character_id",[4]characters!$1:$1,0)+1),MATCH(AD$1,[4]characters!$1:$1,0)-MATCH("character_id",[4]characters!$1:$1,0)+1,FALSE)</f>
        <v>2</v>
      </c>
      <c r="AE33" s="4" t="str">
        <f ca="1">VLOOKUP($AB33,OFFSET([4]characters!$A$1,0,0,COUNTA([4]characters!$A:$A),MATCH(AE$1,[4]characters!$1:$1,0)-MATCH("character_id",[4]characters!$1:$1,0)+1),MATCH(AE$1,[4]characters!$1:$1,0)-MATCH("character_id",[4]characters!$1:$1,0)+1,FALSE)</f>
        <v>Drop1T</v>
      </c>
      <c r="AF33" s="101">
        <v>1</v>
      </c>
      <c r="AG33" s="122">
        <f t="shared" ref="AG33:AG42" ca="1" si="36">AD33</f>
        <v>2</v>
      </c>
      <c r="AH33" s="7">
        <v>20</v>
      </c>
      <c r="AI33" s="101">
        <v>0</v>
      </c>
      <c r="AJ33" s="101">
        <v>0</v>
      </c>
      <c r="AK33" s="101">
        <v>0</v>
      </c>
      <c r="AL33" s="101">
        <v>0</v>
      </c>
      <c r="AM33" s="101">
        <v>1</v>
      </c>
      <c r="AN33" s="63">
        <v>1</v>
      </c>
    </row>
    <row r="34" spans="1:40" ht="21" customHeight="1" x14ac:dyDescent="0.15">
      <c r="A34" s="13" t="str">
        <f t="shared" si="0"/>
        <v>39003_4-1/18&lt;lv60&gt;s2</v>
      </c>
      <c r="B34" s="130">
        <v>39003</v>
      </c>
      <c r="C34" s="137">
        <v>4</v>
      </c>
      <c r="D34" s="12" t="str">
        <f t="shared" si="1"/>
        <v>39003_4</v>
      </c>
      <c r="E34" s="4" t="str">
        <f ca="1">VLOOKUP($B34,OFFSET([2]quests!$A$1,0,0,COUNTA([2]quests!$A:$A),MATCH(E$1,[2]quests!$1:$1,0)-MATCH($B$1,[2]quests!$1:$1,0)+1),MATCH(E$1,[2]quests!$1:$1,0)-MATCH($B$1,[2]quests!$1:$1,0)+1,FALSE)</f>
        <v>ブルースクウェアを追え！</v>
      </c>
      <c r="F34" s="4" t="str">
        <f ca="1">VLOOKUP($D34,OFFSET([2]stages!$A$1,0,0,COUNTA([2]stages!$A:$A),MATCH(F$1,[2]stages!$2:$2,0)-MATCH($D$1,[2]stages!$2:$2,0)+1),MATCH(F$1,[2]stages!$2:$2,0)-MATCH($D$1,[2]stages!$2:$2,0)+1,FALSE)</f>
        <v>【超級】ブルースクウェアを追え！</v>
      </c>
      <c r="G34" s="120">
        <v>1</v>
      </c>
      <c r="H34" s="12" t="str">
        <f t="shared" si="2"/>
        <v>39003_4-1</v>
      </c>
      <c r="I34" s="4">
        <f ca="1">VLOOKUP($H34,OFFSET(floors!$A$1,0,0,COUNTA(floors!$A:$A),MATCH(I$1,floors!$1:$1,0)-MATCH($H$1,floors!$1:$1,0)+1),MATCH(I$1,floors!$1:$1,0)-MATCH($H$1,floors!$1:$1,0)+1,FALSE)</f>
        <v>45</v>
      </c>
      <c r="J34" s="4">
        <f ca="1">VLOOKUP($H34,OFFSET(floors!$A$1,0,0,COUNTA(floors!$A:$A),MATCH(J$1,floors!$1:$1,0)-MATCH($H$1,floors!$1:$1,0)+1),MATCH(J$1,floors!$1:$1,0)-MATCH($H$1,floors!$1:$1,0)+1,FALSE)</f>
        <v>45</v>
      </c>
      <c r="K34" s="32" t="s">
        <v>219</v>
      </c>
      <c r="L34" s="121">
        <v>18</v>
      </c>
      <c r="M34" s="14" t="str">
        <f ca="1">VLOOKUP($L34,OFFSET([3]enemies!$A$1,0,0,COUNTA([3]enemies!$A:$A),MATCH(M$1,[3]enemies!$1:$1,0)-MATCH($L$1,[3]enemies!$1:$1,0)+1),MATCH(M$1,[3]enemies!$1:$1,0)-MATCH($L$1,[3]enemies!$1:$1,0)+1,FALSE)</f>
        <v>戦闘案内人 リム</v>
      </c>
      <c r="N34" s="14" t="str">
        <f ca="1">VLOOKUP($L34,OFFSET([3]enemies!$A$1,0,0,COUNTA([3]enemies!$A:$A),MATCH(N$1,[3]enemies!$1:$1,0)-MATCH($L$1,[3]enemies!$1:$1,0)+1),MATCH(N$1,[3]enemies!$1:$1,0)-MATCH($L$1,[3]enemies!$1:$1,0)+1,FALSE)</f>
        <v>blue</v>
      </c>
      <c r="O34" s="14" t="str">
        <f ca="1">VLOOKUP($L34,OFFSET([4]characters!$A$1,0,0,COUNTA([4]characters!$A:$A),MATCH(O$1,[4]characters!$1:$1,0)-MATCH($L$1,[4]characters!$1:$1,0)+1),MATCH(O$1,[4]characters!$1:$1,0)-MATCH($L$1,[4]characters!$1:$1,0)+1,FALSE)</f>
        <v>Drop1W</v>
      </c>
      <c r="P34" s="14" t="str">
        <f ca="1">VLOOKUP($L34,OFFSET([3]enemies!$A$1,0,0,COUNTA([3]enemies!$A:$A),MATCH(P$1,[3]enemies!$1:$1,0)-MATCH($L$1,[3]enemies!$1:$1,0)+1),MATCH(P$1,[3]enemies!$1:$1,0)-MATCH($L$1,[3]enemies!$1:$1,0)+1,FALSE)</f>
        <v>human</v>
      </c>
      <c r="Q34" s="14">
        <f ca="1">VLOOKUP($L34,OFFSET([3]enemies!$A$1,0,0,COUNTA([3]enemies!$A:$A),MATCH(Q$1,[3]enemies!$1:$1,0)-MATCH($L$1,[3]enemies!$1:$1,0)+1),MATCH(Q$1,[3]enemies!$1:$1,0)-MATCH($L$1,[3]enemies!$1:$1,0)+1,FALSE)</f>
        <v>15</v>
      </c>
      <c r="R34" s="5">
        <v>60</v>
      </c>
      <c r="S34" s="19">
        <v>2.6</v>
      </c>
      <c r="T34" s="19">
        <v>1.3</v>
      </c>
      <c r="U34" s="5">
        <v>0</v>
      </c>
      <c r="V34" s="4" t="str">
        <f ca="1">VLOOKUP($W34,OFFSET(enemy_skill_sets!$B$1,0,0,COUNTA(enemy_skill_sets!$B:$B),MATCH(M$1,enemy_skill_sets!$1:$1,0)-MATCH($W$1,enemy_skill_sets!$1:$1,0)+2),MATCH(M$1,enemy_skill_sets!$1:$1,0)-MATCH($W$1,enemy_skill_sets!$1:$1,0)+2,FALSE)</f>
        <v>3ターン攻撃頻度が1ターンにUP</v>
      </c>
      <c r="W34" s="132">
        <v>39003002</v>
      </c>
      <c r="X34" s="6">
        <v>1</v>
      </c>
      <c r="Y34" s="6">
        <v>100</v>
      </c>
      <c r="Z34" s="6">
        <v>0</v>
      </c>
      <c r="AA34" s="131">
        <v>2</v>
      </c>
      <c r="AB34" s="122">
        <f t="shared" si="35"/>
        <v>18</v>
      </c>
      <c r="AC34" s="4" t="str">
        <f ca="1">VLOOKUP($AB34,OFFSET([4]characters!$A$1,0,0,COUNTA([4]characters!$A:$A),MATCH(AC$1,[4]characters!$1:$1,0)-MATCH("character_id",[4]characters!$1:$1,0)+1),MATCH(AC$1,[4]characters!$1:$1,0)-MATCH("character_id",[4]characters!$1:$1,0)+1,FALSE)</f>
        <v>戦闘案内人 リム</v>
      </c>
      <c r="AD34" s="4">
        <f ca="1">VLOOKUP($AB34,OFFSET([4]characters!$A$1,0,0,COUNTA([4]characters!$A:$A),MATCH(AD$1,[4]characters!$1:$1,0)-MATCH("character_id",[4]characters!$1:$1,0)+1),MATCH(AD$1,[4]characters!$1:$1,0)-MATCH("character_id",[4]characters!$1:$1,0)+1,FALSE)</f>
        <v>2</v>
      </c>
      <c r="AE34" s="4" t="str">
        <f ca="1">VLOOKUP($AB34,OFFSET([4]characters!$A$1,0,0,COUNTA([4]characters!$A:$A),MATCH(AE$1,[4]characters!$1:$1,0)-MATCH("character_id",[4]characters!$1:$1,0)+1),MATCH(AE$1,[4]characters!$1:$1,0)-MATCH("character_id",[4]characters!$1:$1,0)+1,FALSE)</f>
        <v>Drop1W</v>
      </c>
      <c r="AF34" s="101">
        <v>1</v>
      </c>
      <c r="AG34" s="122">
        <f t="shared" ca="1" si="36"/>
        <v>2</v>
      </c>
      <c r="AH34" s="7">
        <v>20</v>
      </c>
      <c r="AI34" s="101">
        <v>0</v>
      </c>
      <c r="AJ34" s="101">
        <v>0</v>
      </c>
      <c r="AK34" s="101">
        <v>0</v>
      </c>
      <c r="AL34" s="101">
        <v>0</v>
      </c>
      <c r="AM34" s="101">
        <v>1</v>
      </c>
      <c r="AN34" s="63">
        <v>1</v>
      </c>
    </row>
    <row r="35" spans="1:40" ht="21" customHeight="1" x14ac:dyDescent="0.15">
      <c r="A35" s="13" t="str">
        <f t="shared" ref="A35" si="37">B35&amp;"_"&amp;C35&amp;"-"&amp;G35&amp;"/"&amp;L35&amp;"&lt;lv"&amp;R35&amp;"&gt;s"&amp;AA35</f>
        <v>39003_4-1/30&lt;lv60&gt;s3</v>
      </c>
      <c r="B35" s="130">
        <v>39003</v>
      </c>
      <c r="C35" s="137">
        <v>4</v>
      </c>
      <c r="D35" s="12" t="str">
        <f t="shared" ref="D35" si="38">B35&amp;"_"&amp;C35</f>
        <v>39003_4</v>
      </c>
      <c r="E35" s="4" t="str">
        <f ca="1">VLOOKUP($B35,OFFSET([2]quests!$A$1,0,0,COUNTA([2]quests!$A:$A),MATCH(E$1,[2]quests!$1:$1,0)-MATCH($B$1,[2]quests!$1:$1,0)+1),MATCH(E$1,[2]quests!$1:$1,0)-MATCH($B$1,[2]quests!$1:$1,0)+1,FALSE)</f>
        <v>ブルースクウェアを追え！</v>
      </c>
      <c r="F35" s="4" t="str">
        <f ca="1">VLOOKUP($D35,OFFSET([2]stages!$A$1,0,0,COUNTA([2]stages!$A:$A),MATCH(F$1,[2]stages!$2:$2,0)-MATCH($D$1,[2]stages!$2:$2,0)+1),MATCH(F$1,[2]stages!$2:$2,0)-MATCH($D$1,[2]stages!$2:$2,0)+1,FALSE)</f>
        <v>【超級】ブルースクウェアを追え！</v>
      </c>
      <c r="G35" s="120">
        <v>1</v>
      </c>
      <c r="H35" s="12" t="str">
        <f t="shared" si="2"/>
        <v>39003_4-1</v>
      </c>
      <c r="I35" s="4">
        <f ca="1">VLOOKUP($H35,OFFSET(floors!$A$1,0,0,COUNTA(floors!$A:$A),MATCH(I$1,floors!$1:$1,0)-MATCH($H$1,floors!$1:$1,0)+1),MATCH(I$1,floors!$1:$1,0)-MATCH($H$1,floors!$1:$1,0)+1,FALSE)</f>
        <v>45</v>
      </c>
      <c r="J35" s="4">
        <f ca="1">VLOOKUP($H35,OFFSET(floors!$A$1,0,0,COUNTA(floors!$A:$A),MATCH(J$1,floors!$1:$1,0)-MATCH($H$1,floors!$1:$1,0)+1),MATCH(J$1,floors!$1:$1,0)-MATCH($H$1,floors!$1:$1,0)+1,FALSE)</f>
        <v>45</v>
      </c>
      <c r="K35" s="32" t="s">
        <v>213</v>
      </c>
      <c r="L35" s="121">
        <v>30</v>
      </c>
      <c r="M35" s="14" t="str">
        <f ca="1">VLOOKUP($L35,OFFSET([3]enemies!$A$1,0,0,COUNTA([3]enemies!$A:$A),MATCH(M$1,[3]enemies!$1:$1,0)-MATCH($L$1,[3]enemies!$1:$1,0)+1),MATCH(M$1,[3]enemies!$1:$1,0)-MATCH($L$1,[3]enemies!$1:$1,0)+1,FALSE)</f>
        <v>護衛機人 スケアクロウ</v>
      </c>
      <c r="N35" s="14" t="str">
        <f ca="1">VLOOKUP($L35,OFFSET([3]enemies!$A$1,0,0,COUNTA([3]enemies!$A:$A),MATCH(N$1,[3]enemies!$1:$1,0)-MATCH($L$1,[3]enemies!$1:$1,0)+1),MATCH(N$1,[3]enemies!$1:$1,0)-MATCH($L$1,[3]enemies!$1:$1,0)+1,FALSE)</f>
        <v>blue</v>
      </c>
      <c r="O35" s="14" t="str">
        <f ca="1">VLOOKUP($L35,OFFSET([4]characters!$A$1,0,0,COUNTA([4]characters!$A:$A),MATCH(O$1,[4]characters!$1:$1,0)-MATCH($L$1,[4]characters!$1:$1,0)+1),MATCH(O$1,[4]characters!$1:$1,0)-MATCH($L$1,[4]characters!$1:$1,0)+1,FALSE)</f>
        <v>Drop1N</v>
      </c>
      <c r="P35" s="14" t="str">
        <f ca="1">VLOOKUP($L35,OFFSET([3]enemies!$A$1,0,0,COUNTA([3]enemies!$A:$A),MATCH(P$1,[3]enemies!$1:$1,0)-MATCH($L$1,[3]enemies!$1:$1,0)+1),MATCH(P$1,[3]enemies!$1:$1,0)-MATCH($L$1,[3]enemies!$1:$1,0)+1,FALSE)</f>
        <v>machine</v>
      </c>
      <c r="Q35" s="14">
        <f ca="1">VLOOKUP($L35,OFFSET([3]enemies!$A$1,0,0,COUNTA([3]enemies!$A:$A),MATCH(Q$1,[3]enemies!$1:$1,0)-MATCH($L$1,[3]enemies!$1:$1,0)+1),MATCH(Q$1,[3]enemies!$1:$1,0)-MATCH($L$1,[3]enemies!$1:$1,0)+1,FALSE)</f>
        <v>15</v>
      </c>
      <c r="R35" s="5">
        <v>60</v>
      </c>
      <c r="S35" s="19">
        <v>3</v>
      </c>
      <c r="T35" s="19">
        <v>1.7</v>
      </c>
      <c r="U35" s="5">
        <v>0</v>
      </c>
      <c r="V35" s="4" t="str">
        <f ca="1">VLOOKUP($W35,OFFSET(enemy_skill_sets!$B$1,0,0,COUNTA(enemy_skill_sets!$B:$B),MATCH(M$1,enemy_skill_sets!$1:$1,0)-MATCH($W$1,enemy_skill_sets!$1:$1,0)+2),MATCH(M$1,enemy_skill_sets!$1:$1,0)-MATCH($W$1,enemy_skill_sets!$1:$1,0)+2,FALSE)</f>
        <v>大回復</v>
      </c>
      <c r="W35" s="132">
        <v>39003003</v>
      </c>
      <c r="X35" s="6">
        <v>1</v>
      </c>
      <c r="Y35" s="6">
        <v>100</v>
      </c>
      <c r="Z35" s="6">
        <v>0</v>
      </c>
      <c r="AA35" s="131">
        <v>3</v>
      </c>
      <c r="AB35" s="122">
        <f t="shared" si="35"/>
        <v>30</v>
      </c>
      <c r="AC35" s="4" t="str">
        <f ca="1">VLOOKUP($AB35,OFFSET([4]characters!$A$1,0,0,COUNTA([4]characters!$A:$A),MATCH(AC$1,[4]characters!$1:$1,0)-MATCH("character_id",[4]characters!$1:$1,0)+1),MATCH(AC$1,[4]characters!$1:$1,0)-MATCH("character_id",[4]characters!$1:$1,0)+1,FALSE)</f>
        <v>護衛機人 スケアクロウ</v>
      </c>
      <c r="AD35" s="4">
        <f ca="1">VLOOKUP($AB35,OFFSET([4]characters!$A$1,0,0,COUNTA([4]characters!$A:$A),MATCH(AD$1,[4]characters!$1:$1,0)-MATCH("character_id",[4]characters!$1:$1,0)+1),MATCH(AD$1,[4]characters!$1:$1,0)-MATCH("character_id",[4]characters!$1:$1,0)+1,FALSE)</f>
        <v>2</v>
      </c>
      <c r="AE35" s="4" t="str">
        <f ca="1">VLOOKUP($AB35,OFFSET([4]characters!$A$1,0,0,COUNTA([4]characters!$A:$A),MATCH(AE$1,[4]characters!$1:$1,0)-MATCH("character_id",[4]characters!$1:$1,0)+1),MATCH(AE$1,[4]characters!$1:$1,0)-MATCH("character_id",[4]characters!$1:$1,0)+1,FALSE)</f>
        <v>Drop1N</v>
      </c>
      <c r="AF35" s="101">
        <v>1</v>
      </c>
      <c r="AG35" s="122">
        <f t="shared" ref="AG35" ca="1" si="39">AD35</f>
        <v>2</v>
      </c>
      <c r="AH35" s="7">
        <v>20</v>
      </c>
      <c r="AI35" s="101">
        <v>0</v>
      </c>
      <c r="AJ35" s="101">
        <v>0</v>
      </c>
      <c r="AK35" s="101">
        <v>0</v>
      </c>
      <c r="AL35" s="101">
        <v>0</v>
      </c>
      <c r="AM35" s="101">
        <v>1</v>
      </c>
      <c r="AN35" s="63">
        <v>1</v>
      </c>
    </row>
    <row r="36" spans="1:40" ht="21" customHeight="1" x14ac:dyDescent="0.15">
      <c r="A36" s="13" t="str">
        <f t="shared" si="0"/>
        <v>39003_4-2/130&lt;lv60&gt;s4</v>
      </c>
      <c r="B36" s="130">
        <v>39003</v>
      </c>
      <c r="C36" s="137">
        <v>4</v>
      </c>
      <c r="D36" s="12" t="str">
        <f t="shared" si="1"/>
        <v>39003_4</v>
      </c>
      <c r="E36" s="4" t="str">
        <f ca="1">VLOOKUP($B36,OFFSET([2]quests!$A$1,0,0,COUNTA([2]quests!$A:$A),MATCH(E$1,[2]quests!$1:$1,0)-MATCH($B$1,[2]quests!$1:$1,0)+1),MATCH(E$1,[2]quests!$1:$1,0)-MATCH($B$1,[2]quests!$1:$1,0)+1,FALSE)</f>
        <v>ブルースクウェアを追え！</v>
      </c>
      <c r="F36" s="4" t="str">
        <f ca="1">VLOOKUP($D36,OFFSET([2]stages!$A$1,0,0,COUNTA([2]stages!$A:$A),MATCH(F$1,[2]stages!$2:$2,0)-MATCH($D$1,[2]stages!$2:$2,0)+1),MATCH(F$1,[2]stages!$2:$2,0)-MATCH($D$1,[2]stages!$2:$2,0)+1,FALSE)</f>
        <v>【超級】ブルースクウェアを追え！</v>
      </c>
      <c r="G36" s="123">
        <v>2</v>
      </c>
      <c r="H36" s="12" t="str">
        <f t="shared" si="2"/>
        <v>39003_4-2</v>
      </c>
      <c r="I36" s="4">
        <f ca="1">VLOOKUP($H36,OFFSET(floors!$A$1,0,0,COUNTA(floors!$A:$A),MATCH(I$1,floors!$1:$1,0)-MATCH($H$1,floors!$1:$1,0)+1),MATCH(I$1,floors!$1:$1,0)-MATCH($H$1,floors!$1:$1,0)+1,FALSE)</f>
        <v>60</v>
      </c>
      <c r="J36" s="4">
        <f ca="1">VLOOKUP($H36,OFFSET(floors!$A$1,0,0,COUNTA(floors!$A:$A),MATCH(J$1,floors!$1:$1,0)-MATCH($H$1,floors!$1:$1,0)+1),MATCH(J$1,floors!$1:$1,0)-MATCH($H$1,floors!$1:$1,0)+1,FALSE)</f>
        <v>60</v>
      </c>
      <c r="K36" s="32" t="s">
        <v>53</v>
      </c>
      <c r="L36" s="121">
        <v>130</v>
      </c>
      <c r="M36" s="14" t="str">
        <f ca="1">VLOOKUP($L36,OFFSET([3]enemies!$A$1,0,0,COUNTA([3]enemies!$A:$A),MATCH(M$1,[3]enemies!$1:$1,0)-MATCH($L$1,[3]enemies!$1:$1,0)+1),MATCH(M$1,[3]enemies!$1:$1,0)-MATCH($L$1,[3]enemies!$1:$1,0)+1,FALSE)</f>
        <v>狼男 ローレンス</v>
      </c>
      <c r="N36" s="14" t="str">
        <f ca="1">VLOOKUP($L36,OFFSET([3]enemies!$A$1,0,0,COUNTA([3]enemies!$A:$A),MATCH(N$1,[3]enemies!$1:$1,0)-MATCH($L$1,[3]enemies!$1:$1,0)+1),MATCH(N$1,[3]enemies!$1:$1,0)-MATCH($L$1,[3]enemies!$1:$1,0)+1,FALSE)</f>
        <v>blue</v>
      </c>
      <c r="O36" s="14" t="str">
        <f ca="1">VLOOKUP($L36,OFFSET([4]characters!$A$1,0,0,COUNTA([4]characters!$A:$A),MATCH(O$1,[4]characters!$1:$1,0)-MATCH($L$1,[4]characters!$1:$1,0)+1),MATCH(O$1,[4]characters!$1:$1,0)-MATCH($L$1,[4]characters!$1:$1,0)+1,FALSE)</f>
        <v>PremiumW</v>
      </c>
      <c r="P36" s="14" t="str">
        <f ca="1">VLOOKUP($L36,OFFSET([3]enemies!$A$1,0,0,COUNTA([3]enemies!$A:$A),MATCH(P$1,[3]enemies!$1:$1,0)-MATCH($L$1,[3]enemies!$1:$1,0)+1),MATCH(P$1,[3]enemies!$1:$1,0)-MATCH($L$1,[3]enemies!$1:$1,0)+1,FALSE)</f>
        <v>animal</v>
      </c>
      <c r="Q36" s="14">
        <f ca="1">VLOOKUP($L36,OFFSET([3]enemies!$A$1,0,0,COUNTA([3]enemies!$A:$A),MATCH(Q$1,[3]enemies!$1:$1,0)-MATCH($L$1,[3]enemies!$1:$1,0)+1),MATCH(Q$1,[3]enemies!$1:$1,0)-MATCH($L$1,[3]enemies!$1:$1,0)+1,FALSE)</f>
        <v>20</v>
      </c>
      <c r="R36" s="5">
        <v>60</v>
      </c>
      <c r="S36" s="19">
        <v>0.9</v>
      </c>
      <c r="T36" s="19">
        <v>0.9</v>
      </c>
      <c r="U36" s="5">
        <v>0</v>
      </c>
      <c r="V36" s="4" t="str">
        <f ca="1">VLOOKUP($W36,OFFSET(enemy_skill_sets!$B$1,0,0,COUNTA(enemy_skill_sets!$B:$B),MATCH(M$1,enemy_skill_sets!$1:$1,0)-MATCH($W$1,enemy_skill_sets!$1:$1,0)+2),MATCH(M$1,enemy_skill_sets!$1:$1,0)-MATCH($W$1,enemy_skill_sets!$1:$1,0)+2,FALSE)</f>
        <v>敵全体の攻撃力UP</v>
      </c>
      <c r="W36" s="132">
        <v>39003004</v>
      </c>
      <c r="X36" s="6">
        <v>1</v>
      </c>
      <c r="Y36" s="6">
        <v>100</v>
      </c>
      <c r="Z36" s="6">
        <v>0</v>
      </c>
      <c r="AA36" s="131">
        <v>4</v>
      </c>
      <c r="AB36" s="122">
        <f t="shared" si="35"/>
        <v>130</v>
      </c>
      <c r="AC36" s="4" t="str">
        <f ca="1">VLOOKUP($AB36,OFFSET([4]characters!$A$1,0,0,COUNTA([4]characters!$A:$A),MATCH(AC$1,[4]characters!$1:$1,0)-MATCH("character_id",[4]characters!$1:$1,0)+1),MATCH(AC$1,[4]characters!$1:$1,0)-MATCH("character_id",[4]characters!$1:$1,0)+1,FALSE)</f>
        <v>狼男 ローレンス</v>
      </c>
      <c r="AD36" s="4">
        <f ca="1">VLOOKUP($AB36,OFFSET([4]characters!$A$1,0,0,COUNTA([4]characters!$A:$A),MATCH(AD$1,[4]characters!$1:$1,0)-MATCH("character_id",[4]characters!$1:$1,0)+1),MATCH(AD$1,[4]characters!$1:$1,0)-MATCH("character_id",[4]characters!$1:$1,0)+1,FALSE)</f>
        <v>3</v>
      </c>
      <c r="AE36" s="4" t="str">
        <f ca="1">VLOOKUP($AB36,OFFSET([4]characters!$A$1,0,0,COUNTA([4]characters!$A:$A),MATCH(AE$1,[4]characters!$1:$1,0)-MATCH("character_id",[4]characters!$1:$1,0)+1),MATCH(AE$1,[4]characters!$1:$1,0)-MATCH("character_id",[4]characters!$1:$1,0)+1,FALSE)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36" s="101">
        <v>1</v>
      </c>
      <c r="AG36" s="122">
        <f t="shared" ca="1" si="36"/>
        <v>3</v>
      </c>
      <c r="AH36" s="7">
        <v>0</v>
      </c>
      <c r="AI36" s="101">
        <v>0</v>
      </c>
      <c r="AJ36" s="101">
        <v>0</v>
      </c>
      <c r="AK36" s="101">
        <v>0</v>
      </c>
      <c r="AL36" s="101">
        <v>0</v>
      </c>
      <c r="AM36" s="101">
        <v>1</v>
      </c>
      <c r="AN36" s="63">
        <v>1</v>
      </c>
    </row>
    <row r="37" spans="1:40" ht="21" customHeight="1" x14ac:dyDescent="0.15">
      <c r="A37" s="13" t="str">
        <f t="shared" ref="A37:A38" si="40">B37&amp;"_"&amp;C37&amp;"-"&amp;G37&amp;"/"&amp;L37&amp;"&lt;lv"&amp;R37&amp;"&gt;s"&amp;AA37</f>
        <v>39003_4-2/199&lt;lv60&gt;s2</v>
      </c>
      <c r="B37" s="130">
        <v>39003</v>
      </c>
      <c r="C37" s="137">
        <v>4</v>
      </c>
      <c r="D37" s="12" t="str">
        <f t="shared" ref="D37:D38" si="41">B37&amp;"_"&amp;C37</f>
        <v>39003_4</v>
      </c>
      <c r="E37" s="4" t="str">
        <f ca="1">VLOOKUP($B37,OFFSET([2]quests!$A$1,0,0,COUNTA([2]quests!$A:$A),MATCH(E$1,[2]quests!$1:$1,0)-MATCH($B$1,[2]quests!$1:$1,0)+1),MATCH(E$1,[2]quests!$1:$1,0)-MATCH($B$1,[2]quests!$1:$1,0)+1,FALSE)</f>
        <v>ブルースクウェアを追え！</v>
      </c>
      <c r="F37" s="4" t="str">
        <f ca="1">VLOOKUP($D37,OFFSET([2]stages!$A$1,0,0,COUNTA([2]stages!$A:$A),MATCH(F$1,[2]stages!$2:$2,0)-MATCH($D$1,[2]stages!$2:$2,0)+1),MATCH(F$1,[2]stages!$2:$2,0)-MATCH($D$1,[2]stages!$2:$2,0)+1,FALSE)</f>
        <v>【超級】ブルースクウェアを追え！</v>
      </c>
      <c r="G37" s="123">
        <v>2</v>
      </c>
      <c r="H37" s="12" t="str">
        <f t="shared" si="2"/>
        <v>39003_4-2</v>
      </c>
      <c r="I37" s="4">
        <f ca="1">VLOOKUP($H37,OFFSET(floors!$A$1,0,0,COUNTA(floors!$A:$A),MATCH(I$1,floors!$1:$1,0)-MATCH($H$1,floors!$1:$1,0)+1),MATCH(I$1,floors!$1:$1,0)-MATCH($H$1,floors!$1:$1,0)+1,FALSE)</f>
        <v>60</v>
      </c>
      <c r="J37" s="4">
        <f ca="1">VLOOKUP($H37,OFFSET(floors!$A$1,0,0,COUNTA(floors!$A:$A),MATCH(J$1,floors!$1:$1,0)-MATCH($H$1,floors!$1:$1,0)+1),MATCH(J$1,floors!$1:$1,0)-MATCH($H$1,floors!$1:$1,0)+1,FALSE)</f>
        <v>60</v>
      </c>
      <c r="K37" s="32" t="s">
        <v>53</v>
      </c>
      <c r="L37" s="121">
        <v>199</v>
      </c>
      <c r="M37" s="14" t="str">
        <f ca="1">VLOOKUP($L37,OFFSET([3]enemies!$A$1,0,0,COUNTA([3]enemies!$A:$A),MATCH(M$1,[3]enemies!$1:$1,0)-MATCH($L$1,[3]enemies!$1:$1,0)+1),MATCH(M$1,[3]enemies!$1:$1,0)-MATCH($L$1,[3]enemies!$1:$1,0)+1,FALSE)</f>
        <v>ジークフリート</v>
      </c>
      <c r="N37" s="14" t="str">
        <f ca="1">VLOOKUP($L37,OFFSET([3]enemies!$A$1,0,0,COUNTA([3]enemies!$A:$A),MATCH(N$1,[3]enemies!$1:$1,0)-MATCH($L$1,[3]enemies!$1:$1,0)+1),MATCH(N$1,[3]enemies!$1:$1,0)-MATCH($L$1,[3]enemies!$1:$1,0)+1,FALSE)</f>
        <v>blue</v>
      </c>
      <c r="O37" s="14" t="str">
        <f ca="1">VLOOKUP($L37,OFFSET([4]characters!$A$1,0,0,COUNTA([4]characters!$A:$A),MATCH(O$1,[4]characters!$1:$1,0)-MATCH($L$1,[4]characters!$1:$1,0)+1),MATCH(O$1,[4]characters!$1:$1,0)-MATCH($L$1,[4]characters!$1:$1,0)+1,FALSE)</f>
        <v>PremiumN</v>
      </c>
      <c r="P37" s="14" t="str">
        <f ca="1">VLOOKUP($L37,OFFSET([3]enemies!$A$1,0,0,COUNTA([3]enemies!$A:$A),MATCH(P$1,[3]enemies!$1:$1,0)-MATCH($L$1,[3]enemies!$1:$1,0)+1),MATCH(P$1,[3]enemies!$1:$1,0)-MATCH($L$1,[3]enemies!$1:$1,0)+1,FALSE)</f>
        <v>human</v>
      </c>
      <c r="Q37" s="14">
        <f ca="1">VLOOKUP($L37,OFFSET([3]enemies!$A$1,0,0,COUNTA([3]enemies!$A:$A),MATCH(Q$1,[3]enemies!$1:$1,0)-MATCH($L$1,[3]enemies!$1:$1,0)+1),MATCH(Q$1,[3]enemies!$1:$1,0)-MATCH($L$1,[3]enemies!$1:$1,0)+1,FALSE)</f>
        <v>20</v>
      </c>
      <c r="R37" s="5">
        <v>60</v>
      </c>
      <c r="S37" s="19">
        <v>0.9</v>
      </c>
      <c r="T37" s="19">
        <v>0.9</v>
      </c>
      <c r="U37" s="5">
        <v>0</v>
      </c>
      <c r="V37" s="4" t="str">
        <f ca="1">VLOOKUP($W37,OFFSET(enemy_skill_sets!$B$1,0,0,COUNTA(enemy_skill_sets!$B:$B),MATCH(M$1,enemy_skill_sets!$1:$1,0)-MATCH($W$1,enemy_skill_sets!$1:$1,0)+2),MATCH(M$1,enemy_skill_sets!$1:$1,0)-MATCH($W$1,enemy_skill_sets!$1:$1,0)+2,FALSE)</f>
        <v>全体攻撃</v>
      </c>
      <c r="W37" s="132">
        <v>39003005</v>
      </c>
      <c r="X37" s="6">
        <v>1</v>
      </c>
      <c r="Y37" s="6">
        <v>100</v>
      </c>
      <c r="Z37" s="6">
        <v>1</v>
      </c>
      <c r="AA37" s="131">
        <v>2</v>
      </c>
      <c r="AB37" s="122">
        <f t="shared" si="35"/>
        <v>199</v>
      </c>
      <c r="AC37" s="4" t="str">
        <f ca="1">VLOOKUP($AB37,OFFSET([4]characters!$A$1,0,0,COUNTA([4]characters!$A:$A),MATCH(AC$1,[4]characters!$1:$1,0)-MATCH("character_id",[4]characters!$1:$1,0)+1),MATCH(AC$1,[4]characters!$1:$1,0)-MATCH("character_id",[4]characters!$1:$1,0)+1,FALSE)</f>
        <v>ジークフリート</v>
      </c>
      <c r="AD37" s="4">
        <f ca="1">VLOOKUP($AB37,OFFSET([4]characters!$A$1,0,0,COUNTA([4]characters!$A:$A),MATCH(AD$1,[4]characters!$1:$1,0)-MATCH("character_id",[4]characters!$1:$1,0)+1),MATCH(AD$1,[4]characters!$1:$1,0)-MATCH("character_id",[4]characters!$1:$1,0)+1,FALSE)</f>
        <v>3</v>
      </c>
      <c r="AE37" s="4" t="str">
        <f ca="1">VLOOKUP($AB37,OFFSET([4]characters!$A$1,0,0,COUNTA([4]characters!$A:$A),MATCH(AE$1,[4]characters!$1:$1,0)-MATCH("character_id",[4]characters!$1:$1,0)+1),MATCH(AE$1,[4]characters!$1:$1,0)-MATCH("character_id",[4]characters!$1:$1,0)+1,FALSE)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37" s="101">
        <v>1</v>
      </c>
      <c r="AG37" s="122">
        <f t="shared" ref="AG37:AG38" ca="1" si="42">AD37</f>
        <v>3</v>
      </c>
      <c r="AH37" s="7">
        <v>0</v>
      </c>
      <c r="AI37" s="101">
        <v>0</v>
      </c>
      <c r="AJ37" s="101">
        <v>0</v>
      </c>
      <c r="AK37" s="101">
        <v>0</v>
      </c>
      <c r="AL37" s="101">
        <v>0</v>
      </c>
      <c r="AM37" s="101">
        <v>1</v>
      </c>
      <c r="AN37" s="63">
        <v>1</v>
      </c>
    </row>
    <row r="38" spans="1:40" ht="21" customHeight="1" x14ac:dyDescent="0.15">
      <c r="A38" s="13" t="str">
        <f t="shared" si="40"/>
        <v>39003_4-2/266&lt;lv60&gt;s2</v>
      </c>
      <c r="B38" s="130">
        <v>39003</v>
      </c>
      <c r="C38" s="137">
        <v>4</v>
      </c>
      <c r="D38" s="12" t="str">
        <f t="shared" si="41"/>
        <v>39003_4</v>
      </c>
      <c r="E38" s="4" t="str">
        <f ca="1">VLOOKUP($B38,OFFSET([2]quests!$A$1,0,0,COUNTA([2]quests!$A:$A),MATCH(E$1,[2]quests!$1:$1,0)-MATCH($B$1,[2]quests!$1:$1,0)+1),MATCH(E$1,[2]quests!$1:$1,0)-MATCH($B$1,[2]quests!$1:$1,0)+1,FALSE)</f>
        <v>ブルースクウェアを追え！</v>
      </c>
      <c r="F38" s="4" t="str">
        <f ca="1">VLOOKUP($D38,OFFSET([2]stages!$A$1,0,0,COUNTA([2]stages!$A:$A),MATCH(F$1,[2]stages!$2:$2,0)-MATCH($D$1,[2]stages!$2:$2,0)+1),MATCH(F$1,[2]stages!$2:$2,0)-MATCH($D$1,[2]stages!$2:$2,0)+1,FALSE)</f>
        <v>【超級】ブルースクウェアを追え！</v>
      </c>
      <c r="G38" s="123">
        <v>2</v>
      </c>
      <c r="H38" s="12" t="str">
        <f t="shared" si="2"/>
        <v>39003_4-2</v>
      </c>
      <c r="I38" s="4">
        <f ca="1">VLOOKUP($H38,OFFSET(floors!$A$1,0,0,COUNTA(floors!$A:$A),MATCH(I$1,floors!$1:$1,0)-MATCH($H$1,floors!$1:$1,0)+1),MATCH(I$1,floors!$1:$1,0)-MATCH($H$1,floors!$1:$1,0)+1,FALSE)</f>
        <v>60</v>
      </c>
      <c r="J38" s="4">
        <f ca="1">VLOOKUP($H38,OFFSET(floors!$A$1,0,0,COUNTA(floors!$A:$A),MATCH(J$1,floors!$1:$1,0)-MATCH($H$1,floors!$1:$1,0)+1),MATCH(J$1,floors!$1:$1,0)-MATCH($H$1,floors!$1:$1,0)+1,FALSE)</f>
        <v>60</v>
      </c>
      <c r="K38" s="32" t="s">
        <v>53</v>
      </c>
      <c r="L38" s="121">
        <v>266</v>
      </c>
      <c r="M38" s="14" t="str">
        <f ca="1">VLOOKUP($L38,OFFSET([3]enemies!$A$1,0,0,COUNTA([3]enemies!$A:$A),MATCH(M$1,[3]enemies!$1:$1,0)-MATCH($L$1,[3]enemies!$1:$1,0)+1),MATCH(M$1,[3]enemies!$1:$1,0)-MATCH($L$1,[3]enemies!$1:$1,0)+1,FALSE)</f>
        <v>リリアンブルー</v>
      </c>
      <c r="N38" s="14" t="str">
        <f ca="1">VLOOKUP($L38,OFFSET([3]enemies!$A$1,0,0,COUNTA([3]enemies!$A:$A),MATCH(N$1,[3]enemies!$1:$1,0)-MATCH($L$1,[3]enemies!$1:$1,0)+1),MATCH(N$1,[3]enemies!$1:$1,0)-MATCH($L$1,[3]enemies!$1:$1,0)+1,FALSE)</f>
        <v>blue</v>
      </c>
      <c r="O38" s="14" t="str">
        <f ca="1">VLOOKUP($L38,OFFSET([4]characters!$A$1,0,0,COUNTA([4]characters!$A:$A),MATCH(O$1,[4]characters!$1:$1,0)-MATCH($L$1,[4]characters!$1:$1,0)+1),MATCH(O$1,[4]characters!$1:$1,0)-MATCH($L$1,[4]characters!$1:$1,0)+1,FALSE)</f>
        <v>Drop2W</v>
      </c>
      <c r="P38" s="14" t="str">
        <f ca="1">VLOOKUP($L38,OFFSET([3]enemies!$A$1,0,0,COUNTA([3]enemies!$A:$A),MATCH(P$1,[3]enemies!$1:$1,0)-MATCH($L$1,[3]enemies!$1:$1,0)+1),MATCH(P$1,[3]enemies!$1:$1,0)-MATCH($L$1,[3]enemies!$1:$1,0)+1,FALSE)</f>
        <v>animal</v>
      </c>
      <c r="Q38" s="14">
        <f ca="1">VLOOKUP($L38,OFFSET([3]enemies!$A$1,0,0,COUNTA([3]enemies!$A:$A),MATCH(Q$1,[3]enemies!$1:$1,0)-MATCH($L$1,[3]enemies!$1:$1,0)+1),MATCH(Q$1,[3]enemies!$1:$1,0)-MATCH($L$1,[3]enemies!$1:$1,0)+1,FALSE)</f>
        <v>20</v>
      </c>
      <c r="R38" s="5">
        <v>60</v>
      </c>
      <c r="S38" s="19">
        <v>0.9</v>
      </c>
      <c r="T38" s="19">
        <v>0.9</v>
      </c>
      <c r="U38" s="5">
        <v>0</v>
      </c>
      <c r="V38" s="4" t="str">
        <f ca="1">VLOOKUP($W38,OFFSET(enemy_skill_sets!$B$1,0,0,COUNTA(enemy_skill_sets!$B:$B),MATCH(M$1,enemy_skill_sets!$1:$1,0)-MATCH($W$1,enemy_skill_sets!$1:$1,0)+2),MATCH(M$1,enemy_skill_sets!$1:$1,0)-MATCH($W$1,enemy_skill_sets!$1:$1,0)+2,FALSE)</f>
        <v>Cパネル吸収攻撃</v>
      </c>
      <c r="W38" s="132">
        <v>39003006</v>
      </c>
      <c r="X38" s="6">
        <v>1</v>
      </c>
      <c r="Y38" s="6">
        <v>100</v>
      </c>
      <c r="Z38" s="6">
        <v>0</v>
      </c>
      <c r="AA38" s="131">
        <v>2</v>
      </c>
      <c r="AB38" s="122">
        <f t="shared" si="35"/>
        <v>266</v>
      </c>
      <c r="AC38" s="4" t="str">
        <f ca="1">VLOOKUP($AB38,OFFSET([4]characters!$A$1,0,0,COUNTA([4]characters!$A:$A),MATCH(AC$1,[4]characters!$1:$1,0)-MATCH("character_id",[4]characters!$1:$1,0)+1),MATCH(AC$1,[4]characters!$1:$1,0)-MATCH("character_id",[4]characters!$1:$1,0)+1,FALSE)</f>
        <v>リリアンブルー</v>
      </c>
      <c r="AD38" s="4">
        <f ca="1">VLOOKUP($AB38,OFFSET([4]characters!$A$1,0,0,COUNTA([4]characters!$A:$A),MATCH(AD$1,[4]characters!$1:$1,0)-MATCH("character_id",[4]characters!$1:$1,0)+1),MATCH(AD$1,[4]characters!$1:$1,0)-MATCH("character_id",[4]characters!$1:$1,0)+1,FALSE)</f>
        <v>3</v>
      </c>
      <c r="AE38" s="4" t="str">
        <f ca="1">VLOOKUP($AB38,OFFSET([4]characters!$A$1,0,0,COUNTA([4]characters!$A:$A),MATCH(AE$1,[4]characters!$1:$1,0)-MATCH("character_id",[4]characters!$1:$1,0)+1),MATCH(AE$1,[4]characters!$1:$1,0)-MATCH("character_id",[4]characters!$1:$1,0)+1,FALSE)</f>
        <v>Drop2W</v>
      </c>
      <c r="AF38" s="101">
        <v>1</v>
      </c>
      <c r="AG38" s="122">
        <f t="shared" ca="1" si="42"/>
        <v>3</v>
      </c>
      <c r="AH38" s="7">
        <v>0</v>
      </c>
      <c r="AI38" s="101">
        <v>0</v>
      </c>
      <c r="AJ38" s="101">
        <v>0</v>
      </c>
      <c r="AK38" s="101">
        <v>0</v>
      </c>
      <c r="AL38" s="101">
        <v>0</v>
      </c>
      <c r="AM38" s="101">
        <v>1</v>
      </c>
      <c r="AN38" s="63">
        <v>1</v>
      </c>
    </row>
    <row r="39" spans="1:40" ht="21" customHeight="1" x14ac:dyDescent="0.15">
      <c r="A39" s="13" t="str">
        <f t="shared" si="0"/>
        <v>39003_4-3/173&lt;lv60&gt;s2</v>
      </c>
      <c r="B39" s="130">
        <v>39003</v>
      </c>
      <c r="C39" s="137">
        <v>4</v>
      </c>
      <c r="D39" s="12" t="str">
        <f t="shared" si="1"/>
        <v>39003_4</v>
      </c>
      <c r="E39" s="4" t="str">
        <f ca="1">VLOOKUP($B39,OFFSET([2]quests!$A$1,0,0,COUNTA([2]quests!$A:$A),MATCH(E$1,[2]quests!$1:$1,0)-MATCH($B$1,[2]quests!$1:$1,0)+1),MATCH(E$1,[2]quests!$1:$1,0)-MATCH($B$1,[2]quests!$1:$1,0)+1,FALSE)</f>
        <v>ブルースクウェアを追え！</v>
      </c>
      <c r="F39" s="4" t="str">
        <f ca="1">VLOOKUP($D39,OFFSET([2]stages!$A$1,0,0,COUNTA([2]stages!$A:$A),MATCH(F$1,[2]stages!$2:$2,0)-MATCH($D$1,[2]stages!$2:$2,0)+1),MATCH(F$1,[2]stages!$2:$2,0)-MATCH($D$1,[2]stages!$2:$2,0)+1,FALSE)</f>
        <v>【超級】ブルースクウェアを追え！</v>
      </c>
      <c r="G39" s="136">
        <v>3</v>
      </c>
      <c r="H39" s="12" t="str">
        <f t="shared" si="2"/>
        <v>39003_4-3</v>
      </c>
      <c r="I39" s="4">
        <f ca="1">VLOOKUP($H39,OFFSET(floors!$A$1,0,0,COUNTA(floors!$A:$A),MATCH(I$1,floors!$1:$1,0)-MATCH($H$1,floors!$1:$1,0)+1),MATCH(I$1,floors!$1:$1,0)-MATCH($H$1,floors!$1:$1,0)+1,FALSE)</f>
        <v>60</v>
      </c>
      <c r="J39" s="4">
        <f ca="1">VLOOKUP($H39,OFFSET(floors!$A$1,0,0,COUNTA(floors!$A:$A),MATCH(J$1,floors!$1:$1,0)-MATCH($H$1,floors!$1:$1,0)+1),MATCH(J$1,floors!$1:$1,0)-MATCH($H$1,floors!$1:$1,0)+1,FALSE)</f>
        <v>60</v>
      </c>
      <c r="K39" s="32" t="s">
        <v>220</v>
      </c>
      <c r="L39" s="121">
        <v>173</v>
      </c>
      <c r="M39" s="14" t="str">
        <f ca="1">VLOOKUP($L39,OFFSET([3]enemies!$A$1,0,0,COUNTA([3]enemies!$A:$A),MATCH(M$1,[3]enemies!$1:$1,0)-MATCH($L$1,[3]enemies!$1:$1,0)+1),MATCH(M$1,[3]enemies!$1:$1,0)-MATCH($L$1,[3]enemies!$1:$1,0)+1,FALSE)</f>
        <v>公爵 フォルネウス</v>
      </c>
      <c r="N39" s="14" t="str">
        <f ca="1">VLOOKUP($L39,OFFSET([3]enemies!$A$1,0,0,COUNTA([3]enemies!$A:$A),MATCH(N$1,[3]enemies!$1:$1,0)-MATCH($L$1,[3]enemies!$1:$1,0)+1),MATCH(N$1,[3]enemies!$1:$1,0)-MATCH($L$1,[3]enemies!$1:$1,0)+1,FALSE)</f>
        <v>blue</v>
      </c>
      <c r="O39" s="14" t="str">
        <f ca="1">VLOOKUP($L39,OFFSET([4]characters!$A$1,0,0,COUNTA([4]characters!$A:$A),MATCH(O$1,[4]characters!$1:$1,0)-MATCH($L$1,[4]characters!$1:$1,0)+1),MATCH(O$1,[4]characters!$1:$1,0)-MATCH($L$1,[4]characters!$1:$1,0)+1,FALSE)</f>
        <v>PremiumN</v>
      </c>
      <c r="P39" s="14" t="str">
        <f ca="1">VLOOKUP($L39,OFFSET([3]enemies!$A$1,0,0,COUNTA([3]enemies!$A:$A),MATCH(P$1,[3]enemies!$1:$1,0)-MATCH($L$1,[3]enemies!$1:$1,0)+1),MATCH(P$1,[3]enemies!$1:$1,0)-MATCH($L$1,[3]enemies!$1:$1,0)+1,FALSE)</f>
        <v>god</v>
      </c>
      <c r="Q39" s="14">
        <f ca="1">VLOOKUP($L39,OFFSET([3]enemies!$A$1,0,0,COUNTA([3]enemies!$A:$A),MATCH(Q$1,[3]enemies!$1:$1,0)-MATCH($L$1,[3]enemies!$1:$1,0)+1),MATCH(Q$1,[3]enemies!$1:$1,0)-MATCH($L$1,[3]enemies!$1:$1,0)+1,FALSE)</f>
        <v>30</v>
      </c>
      <c r="R39" s="5">
        <v>60</v>
      </c>
      <c r="S39" s="19">
        <v>1</v>
      </c>
      <c r="T39" s="19">
        <v>1</v>
      </c>
      <c r="U39" s="5">
        <v>0</v>
      </c>
      <c r="V39" s="4" t="str">
        <f ca="1">VLOOKUP($W39,OFFSET(enemy_skill_sets!$B$1,0,0,COUNTA(enemy_skill_sets!$B:$B),MATCH(M$1,enemy_skill_sets!$1:$1,0)-MATCH($W$1,enemy_skill_sets!$1:$1,0)+2),MATCH(M$1,enemy_skill_sets!$1:$1,0)-MATCH($W$1,enemy_skill_sets!$1:$1,0)+2,FALSE)</f>
        <v>全体攻撃&amp;青パネルをプロテクト状態にする！</v>
      </c>
      <c r="W39" s="132">
        <v>39003007</v>
      </c>
      <c r="X39" s="6">
        <v>1</v>
      </c>
      <c r="Y39" s="6">
        <v>100</v>
      </c>
      <c r="Z39" s="6">
        <v>1</v>
      </c>
      <c r="AA39" s="131">
        <v>2</v>
      </c>
      <c r="AB39" s="122">
        <f t="shared" si="35"/>
        <v>173</v>
      </c>
      <c r="AC39" s="4" t="str">
        <f ca="1">VLOOKUP($AB39,OFFSET([4]characters!$A$1,0,0,COUNTA([4]characters!$A:$A),MATCH(AC$1,[4]characters!$1:$1,0)-MATCH("character_id",[4]characters!$1:$1,0)+1),MATCH(AC$1,[4]characters!$1:$1,0)-MATCH("character_id",[4]characters!$1:$1,0)+1,FALSE)</f>
        <v>公爵 フォルネウス</v>
      </c>
      <c r="AD39" s="4">
        <f ca="1">VLOOKUP($AB39,OFFSET([4]characters!$A$1,0,0,COUNTA([4]characters!$A:$A),MATCH(AD$1,[4]characters!$1:$1,0)-MATCH("character_id",[4]characters!$1:$1,0)+1),MATCH(AD$1,[4]characters!$1:$1,0)-MATCH("character_id",[4]characters!$1:$1,0)+1,FALSE)</f>
        <v>4</v>
      </c>
      <c r="AE39" s="4" t="str">
        <f ca="1">VLOOKUP($AB39,OFFSET([4]characters!$A$1,0,0,COUNTA([4]characters!$A:$A),MATCH(AE$1,[4]characters!$1:$1,0)-MATCH("character_id",[4]characters!$1:$1,0)+1),MATCH(AE$1,[4]characters!$1:$1,0)-MATCH("character_id",[4]characters!$1:$1,0)+1,FALSE)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39" s="101">
        <v>1</v>
      </c>
      <c r="AG39" s="122">
        <f t="shared" ca="1" si="36"/>
        <v>4</v>
      </c>
      <c r="AH39" s="7">
        <v>0</v>
      </c>
      <c r="AI39" s="101">
        <v>0</v>
      </c>
      <c r="AJ39" s="101">
        <v>0</v>
      </c>
      <c r="AK39" s="101">
        <v>0</v>
      </c>
      <c r="AL39" s="101">
        <v>0</v>
      </c>
      <c r="AM39" s="101">
        <v>1</v>
      </c>
      <c r="AN39" s="63">
        <v>1</v>
      </c>
    </row>
    <row r="40" spans="1:40" ht="21" customHeight="1" x14ac:dyDescent="0.15">
      <c r="A40" s="13" t="str">
        <f t="shared" si="0"/>
        <v>39003_4-3/364&lt;lv60&gt;s1</v>
      </c>
      <c r="B40" s="130">
        <v>39003</v>
      </c>
      <c r="C40" s="137">
        <v>4</v>
      </c>
      <c r="D40" s="12" t="str">
        <f t="shared" si="1"/>
        <v>39003_4</v>
      </c>
      <c r="E40" s="4" t="str">
        <f ca="1">VLOOKUP($B40,OFFSET([2]quests!$A$1,0,0,COUNTA([2]quests!$A:$A),MATCH(E$1,[2]quests!$1:$1,0)-MATCH($B$1,[2]quests!$1:$1,0)+1),MATCH(E$1,[2]quests!$1:$1,0)-MATCH($B$1,[2]quests!$1:$1,0)+1,FALSE)</f>
        <v>ブルースクウェアを追え！</v>
      </c>
      <c r="F40" s="4" t="str">
        <f ca="1">VLOOKUP($D40,OFFSET([2]stages!$A$1,0,0,COUNTA([2]stages!$A:$A),MATCH(F$1,[2]stages!$2:$2,0)-MATCH($D$1,[2]stages!$2:$2,0)+1),MATCH(F$1,[2]stages!$2:$2,0)-MATCH($D$1,[2]stages!$2:$2,0)+1,FALSE)</f>
        <v>【超級】ブルースクウェアを追え！</v>
      </c>
      <c r="G40" s="136">
        <v>3</v>
      </c>
      <c r="H40" s="12" t="str">
        <f t="shared" si="2"/>
        <v>39003_4-3</v>
      </c>
      <c r="I40" s="4">
        <f ca="1">VLOOKUP($H40,OFFSET(floors!$A$1,0,0,COUNTA(floors!$A:$A),MATCH(I$1,floors!$1:$1,0)-MATCH($H$1,floors!$1:$1,0)+1),MATCH(I$1,floors!$1:$1,0)-MATCH($H$1,floors!$1:$1,0)+1,FALSE)</f>
        <v>60</v>
      </c>
      <c r="J40" s="4">
        <f ca="1">VLOOKUP($H40,OFFSET(floors!$A$1,0,0,COUNTA(floors!$A:$A),MATCH(J$1,floors!$1:$1,0)-MATCH($H$1,floors!$1:$1,0)+1),MATCH(J$1,floors!$1:$1,0)-MATCH($H$1,floors!$1:$1,0)+1,FALSE)</f>
        <v>60</v>
      </c>
      <c r="K40" s="32" t="s">
        <v>221</v>
      </c>
      <c r="L40" s="121">
        <v>364</v>
      </c>
      <c r="M40" s="14" t="str">
        <f ca="1">VLOOKUP($L40,OFFSET([3]enemies!$A$1,0,0,COUNTA([3]enemies!$A:$A),MATCH(M$1,[3]enemies!$1:$1,0)-MATCH($L$1,[3]enemies!$1:$1,0)+1),MATCH(M$1,[3]enemies!$1:$1,0)-MATCH($L$1,[3]enemies!$1:$1,0)+1,FALSE)</f>
        <v>ノエル</v>
      </c>
      <c r="N40" s="14" t="str">
        <f ca="1">VLOOKUP($L40,OFFSET([3]enemies!$A$1,0,0,COUNTA([3]enemies!$A:$A),MATCH(N$1,[3]enemies!$1:$1,0)-MATCH($L$1,[3]enemies!$1:$1,0)+1),MATCH(N$1,[3]enemies!$1:$1,0)-MATCH($L$1,[3]enemies!$1:$1,0)+1,FALSE)</f>
        <v>blue</v>
      </c>
      <c r="O40" s="14" t="str">
        <f ca="1">VLOOKUP($L40,OFFSET([4]characters!$A$1,0,0,COUNTA([4]characters!$A:$A),MATCH(O$1,[4]characters!$1:$1,0)-MATCH($L$1,[4]characters!$1:$1,0)+1),MATCH(O$1,[4]characters!$1:$1,0)-MATCH($L$1,[4]characters!$1:$1,0)+1,FALSE)</f>
        <v>Drop1S</v>
      </c>
      <c r="P40" s="14" t="str">
        <f ca="1">VLOOKUP($L40,OFFSET([3]enemies!$A$1,0,0,COUNTA([3]enemies!$A:$A),MATCH(P$1,[3]enemies!$1:$1,0)-MATCH($L$1,[3]enemies!$1:$1,0)+1),MATCH(P$1,[3]enemies!$1:$1,0)-MATCH($L$1,[3]enemies!$1:$1,0)+1,FALSE)</f>
        <v>animal</v>
      </c>
      <c r="Q40" s="14">
        <f ca="1">VLOOKUP($L40,OFFSET([3]enemies!$A$1,0,0,COUNTA([3]enemies!$A:$A),MATCH(Q$1,[3]enemies!$1:$1,0)-MATCH($L$1,[3]enemies!$1:$1,0)+1),MATCH(Q$1,[3]enemies!$1:$1,0)-MATCH($L$1,[3]enemies!$1:$1,0)+1,FALSE)</f>
        <v>15</v>
      </c>
      <c r="R40" s="5">
        <v>60</v>
      </c>
      <c r="S40" s="19">
        <v>2.4</v>
      </c>
      <c r="T40" s="19">
        <v>0.6</v>
      </c>
      <c r="U40" s="5">
        <v>0</v>
      </c>
      <c r="V40" s="4" t="str">
        <f ca="1">VLOOKUP($W40,OFFSET(enemy_skill_sets!$B$1,0,0,COUNTA(enemy_skill_sets!$B:$B),MATCH(M$1,enemy_skill_sets!$1:$1,0)-MATCH($W$1,enemy_skill_sets!$1:$1,0)+2),MATCH(M$1,enemy_skill_sets!$1:$1,0)-MATCH($W$1,enemy_skill_sets!$1:$1,0)+2,FALSE)</f>
        <v>3ターンパネルタップ回数を1減少</v>
      </c>
      <c r="W40" s="132">
        <v>39003008</v>
      </c>
      <c r="X40" s="6">
        <v>1</v>
      </c>
      <c r="Y40" s="6">
        <v>100</v>
      </c>
      <c r="Z40" s="6">
        <v>0</v>
      </c>
      <c r="AA40" s="131">
        <v>1</v>
      </c>
      <c r="AB40" s="122">
        <f t="shared" si="35"/>
        <v>364</v>
      </c>
      <c r="AC40" s="4" t="str">
        <f ca="1">VLOOKUP($AB40,OFFSET([4]characters!$A$1,0,0,COUNTA([4]characters!$A:$A),MATCH(AC$1,[4]characters!$1:$1,0)-MATCH("character_id",[4]characters!$1:$1,0)+1),MATCH(AC$1,[4]characters!$1:$1,0)-MATCH("character_id",[4]characters!$1:$1,0)+1,FALSE)</f>
        <v>ノエル</v>
      </c>
      <c r="AD40" s="4">
        <f ca="1">VLOOKUP($AB40,OFFSET([4]characters!$A$1,0,0,COUNTA([4]characters!$A:$A),MATCH(AD$1,[4]characters!$1:$1,0)-MATCH("character_id",[4]characters!$1:$1,0)+1),MATCH(AD$1,[4]characters!$1:$1,0)-MATCH("character_id",[4]characters!$1:$1,0)+1,FALSE)</f>
        <v>2</v>
      </c>
      <c r="AE40" s="4" t="str">
        <f ca="1">VLOOKUP($AB40,OFFSET([4]characters!$A$1,0,0,COUNTA([4]characters!$A:$A),MATCH(AE$1,[4]characters!$1:$1,0)-MATCH("character_id",[4]characters!$1:$1,0)+1),MATCH(AE$1,[4]characters!$1:$1,0)-MATCH("character_id",[4]characters!$1:$1,0)+1,FALSE)</f>
        <v>Drop1S</v>
      </c>
      <c r="AF40" s="101">
        <v>1</v>
      </c>
      <c r="AG40" s="122">
        <f t="shared" ca="1" si="36"/>
        <v>2</v>
      </c>
      <c r="AH40" s="7">
        <v>20</v>
      </c>
      <c r="AI40" s="101">
        <v>0</v>
      </c>
      <c r="AJ40" s="101">
        <v>0</v>
      </c>
      <c r="AK40" s="101">
        <v>0</v>
      </c>
      <c r="AL40" s="101">
        <v>0</v>
      </c>
      <c r="AM40" s="101">
        <v>1</v>
      </c>
      <c r="AN40" s="63">
        <v>1</v>
      </c>
    </row>
    <row r="41" spans="1:40" ht="21" customHeight="1" x14ac:dyDescent="0.15">
      <c r="A41" s="13" t="str">
        <f t="shared" ref="A41" si="43">B41&amp;"_"&amp;C41&amp;"-"&amp;G41&amp;"/"&amp;L41&amp;"&lt;lv"&amp;R41&amp;"&gt;s"&amp;AA41</f>
        <v>39003_4-3/374&lt;lv60&gt;s1</v>
      </c>
      <c r="B41" s="130">
        <v>39003</v>
      </c>
      <c r="C41" s="137">
        <v>4</v>
      </c>
      <c r="D41" s="12" t="str">
        <f t="shared" ref="D41" si="44">B41&amp;"_"&amp;C41</f>
        <v>39003_4</v>
      </c>
      <c r="E41" s="4" t="str">
        <f ca="1">VLOOKUP($B41,OFFSET([2]quests!$A$1,0,0,COUNTA([2]quests!$A:$A),MATCH(E$1,[2]quests!$1:$1,0)-MATCH($B$1,[2]quests!$1:$1,0)+1),MATCH(E$1,[2]quests!$1:$1,0)-MATCH($B$1,[2]quests!$1:$1,0)+1,FALSE)</f>
        <v>ブルースクウェアを追え！</v>
      </c>
      <c r="F41" s="4" t="str">
        <f ca="1">VLOOKUP($D41,OFFSET([2]stages!$A$1,0,0,COUNTA([2]stages!$A:$A),MATCH(F$1,[2]stages!$2:$2,0)-MATCH($D$1,[2]stages!$2:$2,0)+1),MATCH(F$1,[2]stages!$2:$2,0)-MATCH($D$1,[2]stages!$2:$2,0)+1,FALSE)</f>
        <v>【超級】ブルースクウェアを追え！</v>
      </c>
      <c r="G41" s="136">
        <v>3</v>
      </c>
      <c r="H41" s="12" t="str">
        <f t="shared" si="2"/>
        <v>39003_4-3</v>
      </c>
      <c r="I41" s="4">
        <f ca="1">VLOOKUP($H41,OFFSET(floors!$A$1,0,0,COUNTA(floors!$A:$A),MATCH(I$1,floors!$1:$1,0)-MATCH($H$1,floors!$1:$1,0)+1),MATCH(I$1,floors!$1:$1,0)-MATCH($H$1,floors!$1:$1,0)+1,FALSE)</f>
        <v>60</v>
      </c>
      <c r="J41" s="4">
        <f ca="1">VLOOKUP($H41,OFFSET(floors!$A$1,0,0,COUNTA(floors!$A:$A),MATCH(J$1,floors!$1:$1,0)-MATCH($H$1,floors!$1:$1,0)+1),MATCH(J$1,floors!$1:$1,0)-MATCH($H$1,floors!$1:$1,0)+1,FALSE)</f>
        <v>60</v>
      </c>
      <c r="K41" s="32" t="s">
        <v>213</v>
      </c>
      <c r="L41" s="121">
        <v>374</v>
      </c>
      <c r="M41" s="14" t="str">
        <f ca="1">VLOOKUP($L41,OFFSET([3]enemies!$A$1,0,0,COUNTA([3]enemies!$A:$A),MATCH(M$1,[3]enemies!$1:$1,0)-MATCH($L$1,[3]enemies!$1:$1,0)+1),MATCH(M$1,[3]enemies!$1:$1,0)-MATCH($L$1,[3]enemies!$1:$1,0)+1,FALSE)</f>
        <v>影丸</v>
      </c>
      <c r="N41" s="14" t="str">
        <f ca="1">VLOOKUP($L41,OFFSET([3]enemies!$A$1,0,0,COUNTA([3]enemies!$A:$A),MATCH(N$1,[3]enemies!$1:$1,0)-MATCH($L$1,[3]enemies!$1:$1,0)+1),MATCH(N$1,[3]enemies!$1:$1,0)-MATCH($L$1,[3]enemies!$1:$1,0)+1,FALSE)</f>
        <v>blue</v>
      </c>
      <c r="O41" s="14" t="str">
        <f ca="1">VLOOKUP($L41,OFFSET([4]characters!$A$1,0,0,COUNTA([4]characters!$A:$A),MATCH(O$1,[4]characters!$1:$1,0)-MATCH($L$1,[4]characters!$1:$1,0)+1),MATCH(O$1,[4]characters!$1:$1,0)-MATCH($L$1,[4]characters!$1:$1,0)+1,FALSE)</f>
        <v>Drop1S</v>
      </c>
      <c r="P41" s="14" t="str">
        <f ca="1">VLOOKUP($L41,OFFSET([3]enemies!$A$1,0,0,COUNTA([3]enemies!$A:$A),MATCH(P$1,[3]enemies!$1:$1,0)-MATCH($L$1,[3]enemies!$1:$1,0)+1),MATCH(P$1,[3]enemies!$1:$1,0)-MATCH($L$1,[3]enemies!$1:$1,0)+1,FALSE)</f>
        <v>animal</v>
      </c>
      <c r="Q41" s="14">
        <f ca="1">VLOOKUP($L41,OFFSET([3]enemies!$A$1,0,0,COUNTA([3]enemies!$A:$A),MATCH(Q$1,[3]enemies!$1:$1,0)-MATCH($L$1,[3]enemies!$1:$1,0)+1),MATCH(Q$1,[3]enemies!$1:$1,0)-MATCH($L$1,[3]enemies!$1:$1,0)+1,FALSE)</f>
        <v>15</v>
      </c>
      <c r="R41" s="5">
        <v>60</v>
      </c>
      <c r="S41" s="19">
        <v>2.7</v>
      </c>
      <c r="T41" s="19">
        <v>1.5</v>
      </c>
      <c r="U41" s="5">
        <v>0</v>
      </c>
      <c r="V41" s="4" t="str">
        <f ca="1">VLOOKUP($W41,OFFSET(enemy_skill_sets!$B$1,0,0,COUNTA(enemy_skill_sets!$B:$B),MATCH(M$1,enemy_skill_sets!$1:$1,0)-MATCH($W$1,enemy_skill_sets!$1:$1,0)+2),MATCH(M$1,enemy_skill_sets!$1:$1,0)-MATCH($W$1,enemy_skill_sets!$1:$1,0)+2,FALSE)</f>
        <v>1ターンパネルの色が分からなくなる !</v>
      </c>
      <c r="W41" s="132">
        <v>39003009</v>
      </c>
      <c r="X41" s="6">
        <v>1</v>
      </c>
      <c r="Y41" s="6">
        <v>100</v>
      </c>
      <c r="Z41" s="6">
        <v>0</v>
      </c>
      <c r="AA41" s="131">
        <v>1</v>
      </c>
      <c r="AB41" s="122">
        <f t="shared" si="35"/>
        <v>374</v>
      </c>
      <c r="AC41" s="4" t="str">
        <f ca="1">VLOOKUP($AB41,OFFSET([4]characters!$A$1,0,0,COUNTA([4]characters!$A:$A),MATCH(AC$1,[4]characters!$1:$1,0)-MATCH("character_id",[4]characters!$1:$1,0)+1),MATCH(AC$1,[4]characters!$1:$1,0)-MATCH("character_id",[4]characters!$1:$1,0)+1,FALSE)</f>
        <v>影丸</v>
      </c>
      <c r="AD41" s="4">
        <f ca="1">VLOOKUP($AB41,OFFSET([4]characters!$A$1,0,0,COUNTA([4]characters!$A:$A),MATCH(AD$1,[4]characters!$1:$1,0)-MATCH("character_id",[4]characters!$1:$1,0)+1),MATCH(AD$1,[4]characters!$1:$1,0)-MATCH("character_id",[4]characters!$1:$1,0)+1,FALSE)</f>
        <v>2</v>
      </c>
      <c r="AE41" s="4" t="str">
        <f ca="1">VLOOKUP($AB41,OFFSET([4]characters!$A$1,0,0,COUNTA([4]characters!$A:$A),MATCH(AE$1,[4]characters!$1:$1,0)-MATCH("character_id",[4]characters!$1:$1,0)+1),MATCH(AE$1,[4]characters!$1:$1,0)-MATCH("character_id",[4]characters!$1:$1,0)+1,FALSE)</f>
        <v>Drop1S</v>
      </c>
      <c r="AF41" s="101">
        <v>1</v>
      </c>
      <c r="AG41" s="122">
        <f t="shared" ref="AG41" ca="1" si="45">AD41</f>
        <v>2</v>
      </c>
      <c r="AH41" s="7">
        <v>20</v>
      </c>
      <c r="AI41" s="101">
        <v>0</v>
      </c>
      <c r="AJ41" s="101">
        <v>0</v>
      </c>
      <c r="AK41" s="101">
        <v>0</v>
      </c>
      <c r="AL41" s="101">
        <v>0</v>
      </c>
      <c r="AM41" s="101">
        <v>1</v>
      </c>
      <c r="AN41" s="63">
        <v>1</v>
      </c>
    </row>
    <row r="42" spans="1:40" ht="21" customHeight="1" x14ac:dyDescent="0.15">
      <c r="A42" s="13" t="str">
        <f t="shared" si="0"/>
        <v>39003_4-4/691&lt;lv60&gt;s2</v>
      </c>
      <c r="B42" s="130">
        <v>39003</v>
      </c>
      <c r="C42" s="137">
        <v>4</v>
      </c>
      <c r="D42" s="12" t="str">
        <f t="shared" si="1"/>
        <v>39003_4</v>
      </c>
      <c r="E42" s="4" t="str">
        <f ca="1">VLOOKUP($B42,OFFSET([2]quests!$A$1,0,0,COUNTA([2]quests!$A:$A),MATCH(E$1,[2]quests!$1:$1,0)-MATCH($B$1,[2]quests!$1:$1,0)+1),MATCH(E$1,[2]quests!$1:$1,0)-MATCH($B$1,[2]quests!$1:$1,0)+1,FALSE)</f>
        <v>ブルースクウェアを追え！</v>
      </c>
      <c r="F42" s="4" t="str">
        <f ca="1">VLOOKUP($D42,OFFSET([2]stages!$A$1,0,0,COUNTA([2]stages!$A:$A),MATCH(F$1,[2]stages!$2:$2,0)-MATCH($D$1,[2]stages!$2:$2,0)+1),MATCH(F$1,[2]stages!$2:$2,0)-MATCH($D$1,[2]stages!$2:$2,0)+1,FALSE)</f>
        <v>【超級】ブルースクウェアを追え！</v>
      </c>
      <c r="G42" s="133">
        <v>4</v>
      </c>
      <c r="H42" s="12" t="str">
        <f t="shared" si="2"/>
        <v>39003_4-4</v>
      </c>
      <c r="I42" s="4">
        <f ca="1">VLOOKUP($H42,OFFSET(floors!$A$1,0,0,COUNTA(floors!$A:$A),MATCH(I$1,floors!$1:$1,0)-MATCH($H$1,floors!$1:$1,0)+1),MATCH(I$1,floors!$1:$1,0)-MATCH($H$1,floors!$1:$1,0)+1,FALSE)</f>
        <v>60</v>
      </c>
      <c r="J42" s="4">
        <f ca="1">VLOOKUP($H42,OFFSET(floors!$A$1,0,0,COUNTA(floors!$A:$A),MATCH(J$1,floors!$1:$1,0)-MATCH($H$1,floors!$1:$1,0)+1),MATCH(J$1,floors!$1:$1,0)-MATCH($H$1,floors!$1:$1,0)+1,FALSE)</f>
        <v>60</v>
      </c>
      <c r="K42" s="32">
        <v>4</v>
      </c>
      <c r="L42" s="121">
        <v>691</v>
      </c>
      <c r="M42" s="14" t="str">
        <f ca="1">VLOOKUP($L42,OFFSET([3]enemies!$A$1,0,0,COUNTA([3]enemies!$A:$A),MATCH(M$1,[3]enemies!$1:$1,0)-MATCH($L$1,[3]enemies!$1:$1,0)+1),MATCH(M$1,[3]enemies!$1:$1,0)-MATCH($L$1,[3]enemies!$1:$1,0)+1,FALSE)</f>
        <v>黒沼青葉</v>
      </c>
      <c r="N42" s="14" t="str">
        <f ca="1">VLOOKUP($L42,OFFSET([3]enemies!$A$1,0,0,COUNTA([3]enemies!$A:$A),MATCH(N$1,[3]enemies!$1:$1,0)-MATCH($L$1,[3]enemies!$1:$1,0)+1),MATCH(N$1,[3]enemies!$1:$1,0)-MATCH($L$1,[3]enemies!$1:$1,0)+1,FALSE)</f>
        <v>blue</v>
      </c>
      <c r="O42" s="14" t="str">
        <f ca="1">VLOOKUP($L42,OFFSET([4]characters!$A$1,0,0,COUNTA([4]characters!$A:$A),MATCH(O$1,[4]characters!$1:$1,0)-MATCH($L$1,[4]characters!$1:$1,0)+1),MATCH(O$1,[4]characters!$1:$1,0)-MATCH($L$1,[4]characters!$1:$1,0)+1,FALSE)</f>
        <v>Drop2N</v>
      </c>
      <c r="P42" s="14" t="str">
        <f ca="1">VLOOKUP($L42,OFFSET([3]enemies!$A$1,0,0,COUNTA([3]enemies!$A:$A),MATCH(P$1,[3]enemies!$1:$1,0)-MATCH($L$1,[3]enemies!$1:$1,0)+1),MATCH(P$1,[3]enemies!$1:$1,0)-MATCH($L$1,[3]enemies!$1:$1,0)+1,FALSE)</f>
        <v>human</v>
      </c>
      <c r="Q42" s="14">
        <f ca="1">VLOOKUP($L42,OFFSET([3]enemies!$A$1,0,0,COUNTA([3]enemies!$A:$A),MATCH(Q$1,[3]enemies!$1:$1,0)-MATCH($L$1,[3]enemies!$1:$1,0)+1),MATCH(Q$1,[3]enemies!$1:$1,0)-MATCH($L$1,[3]enemies!$1:$1,0)+1,FALSE)</f>
        <v>30</v>
      </c>
      <c r="R42" s="5">
        <v>60</v>
      </c>
      <c r="S42" s="19">
        <v>1.8</v>
      </c>
      <c r="T42" s="19">
        <v>1</v>
      </c>
      <c r="U42" s="5">
        <v>0</v>
      </c>
      <c r="V42" s="4" t="str">
        <f ca="1">VLOOKUP($W42,OFFSET(enemy_skill_sets!$B$1,0,0,COUNTA(enemy_skill_sets!$B:$B),MATCH(M$1,enemy_skill_sets!$1:$1,0)-MATCH($W$1,enemy_skill_sets!$1:$1,0)+2),MATCH(M$1,enemy_skill_sets!$1:$1,0)-MATCH($W$1,enemy_skill_sets!$1:$1,0)+2,FALSE)</f>
        <v>青パネルの出現率大UP</v>
      </c>
      <c r="W42" s="132">
        <v>39003010</v>
      </c>
      <c r="X42" s="6">
        <v>1</v>
      </c>
      <c r="Y42" s="6">
        <v>100</v>
      </c>
      <c r="Z42" s="6">
        <v>1</v>
      </c>
      <c r="AA42" s="131">
        <v>2</v>
      </c>
      <c r="AB42" s="122">
        <f t="shared" si="35"/>
        <v>691</v>
      </c>
      <c r="AC42" s="4" t="str">
        <f ca="1">VLOOKUP($AB42,OFFSET([4]characters!$A$1,0,0,COUNTA([4]characters!$A:$A),MATCH(AC$1,[4]characters!$1:$1,0)-MATCH("character_id",[4]characters!$1:$1,0)+1),MATCH(AC$1,[4]characters!$1:$1,0)-MATCH("character_id",[4]characters!$1:$1,0)+1,FALSE)</f>
        <v>黒沼青葉</v>
      </c>
      <c r="AD42" s="4">
        <f ca="1">VLOOKUP($AB42,OFFSET([4]characters!$A$1,0,0,COUNTA([4]characters!$A:$A),MATCH(AD$1,[4]characters!$1:$1,0)-MATCH("character_id",[4]characters!$1:$1,0)+1),MATCH(AD$1,[4]characters!$1:$1,0)-MATCH("character_id",[4]characters!$1:$1,0)+1,FALSE)</f>
        <v>4</v>
      </c>
      <c r="AE42" s="4" t="str">
        <f ca="1">VLOOKUP($AB42,OFFSET([4]characters!$A$1,0,0,COUNTA([4]characters!$A:$A),MATCH(AE$1,[4]characters!$1:$1,0)-MATCH("character_id",[4]characters!$1:$1,0)+1),MATCH(AE$1,[4]characters!$1:$1,0)-MATCH("character_id",[4]characters!$1:$1,0)+1,FALSE)</f>
        <v>Drop2N</v>
      </c>
      <c r="AF42" s="101">
        <v>1</v>
      </c>
      <c r="AG42" s="122">
        <f t="shared" ca="1" si="36"/>
        <v>4</v>
      </c>
      <c r="AH42" s="7">
        <v>80</v>
      </c>
      <c r="AI42" s="101">
        <v>0</v>
      </c>
      <c r="AJ42" s="101">
        <v>0</v>
      </c>
      <c r="AK42" s="101">
        <v>0</v>
      </c>
      <c r="AL42" s="101">
        <v>0</v>
      </c>
      <c r="AM42" s="101">
        <v>1</v>
      </c>
      <c r="AN42" s="63">
        <v>1</v>
      </c>
    </row>
    <row r="43" spans="1:40" ht="21" customHeight="1" x14ac:dyDescent="0.15">
      <c r="A43" s="13" t="str">
        <f t="shared" ref="A43" si="46">B43&amp;"_"&amp;C43&amp;"-"&amp;G43&amp;"/"&amp;L43&amp;"&lt;lv"&amp;R43&amp;"&gt;s"&amp;AA43</f>
        <v>39003_4-4/71&lt;lv60&gt;s1</v>
      </c>
      <c r="B43" s="130">
        <v>39003</v>
      </c>
      <c r="C43" s="137">
        <v>4</v>
      </c>
      <c r="D43" s="12" t="str">
        <f t="shared" ref="D43" si="47">B43&amp;"_"&amp;C43</f>
        <v>39003_4</v>
      </c>
      <c r="E43" s="4" t="str">
        <f ca="1">VLOOKUP($B43,OFFSET([2]quests!$A$1,0,0,COUNTA([2]quests!$A:$A),MATCH(E$1,[2]quests!$1:$1,0)-MATCH($B$1,[2]quests!$1:$1,0)+1),MATCH(E$1,[2]quests!$1:$1,0)-MATCH($B$1,[2]quests!$1:$1,0)+1,FALSE)</f>
        <v>ブルースクウェアを追え！</v>
      </c>
      <c r="F43" s="4" t="str">
        <f ca="1">VLOOKUP($D43,OFFSET([2]stages!$A$1,0,0,COUNTA([2]stages!$A:$A),MATCH(F$1,[2]stages!$2:$2,0)-MATCH($D$1,[2]stages!$2:$2,0)+1),MATCH(F$1,[2]stages!$2:$2,0)-MATCH($D$1,[2]stages!$2:$2,0)+1,FALSE)</f>
        <v>【超級】ブルースクウェアを追え！</v>
      </c>
      <c r="G43" s="133">
        <v>4</v>
      </c>
      <c r="H43" s="12" t="str">
        <f t="shared" si="2"/>
        <v>39003_4-4</v>
      </c>
      <c r="I43" s="4">
        <f ca="1">VLOOKUP($H43,OFFSET(floors!$A$1,0,0,COUNTA(floors!$A:$A),MATCH(I$1,floors!$1:$1,0)-MATCH($H$1,floors!$1:$1,0)+1),MATCH(I$1,floors!$1:$1,0)-MATCH($H$1,floors!$1:$1,0)+1,FALSE)</f>
        <v>60</v>
      </c>
      <c r="J43" s="4">
        <f ca="1">VLOOKUP($H43,OFFSET(floors!$A$1,0,0,COUNTA(floors!$A:$A),MATCH(J$1,floors!$1:$1,0)-MATCH($H$1,floors!$1:$1,0)+1),MATCH(J$1,floors!$1:$1,0)-MATCH($H$1,floors!$1:$1,0)+1,FALSE)</f>
        <v>60</v>
      </c>
      <c r="K43" s="32" t="s">
        <v>222</v>
      </c>
      <c r="L43" s="121">
        <v>71</v>
      </c>
      <c r="M43" s="14" t="str">
        <f ca="1">VLOOKUP($L43,OFFSET([3]enemies!$A$1,0,0,COUNTA([3]enemies!$A:$A),MATCH(M$1,[3]enemies!$1:$1,0)-MATCH($L$1,[3]enemies!$1:$1,0)+1),MATCH(M$1,[3]enemies!$1:$1,0)-MATCH($L$1,[3]enemies!$1:$1,0)+1,FALSE)</f>
        <v>ダックス</v>
      </c>
      <c r="N43" s="14" t="str">
        <f ca="1">VLOOKUP($L43,OFFSET([3]enemies!$A$1,0,0,COUNTA([3]enemies!$A:$A),MATCH(N$1,[3]enemies!$1:$1,0)-MATCH($L$1,[3]enemies!$1:$1,0)+1),MATCH(N$1,[3]enemies!$1:$1,0)-MATCH($L$1,[3]enemies!$1:$1,0)+1,FALSE)</f>
        <v>blue</v>
      </c>
      <c r="O43" s="14" t="str">
        <f ca="1">VLOOKUP($L43,OFFSET([4]characters!$A$1,0,0,COUNTA([4]characters!$A:$A),MATCH(O$1,[4]characters!$1:$1,0)-MATCH($L$1,[4]characters!$1:$1,0)+1),MATCH(O$1,[4]characters!$1:$1,0)-MATCH($L$1,[4]characters!$1:$1,0)+1,FALSE)</f>
        <v>Drop1S</v>
      </c>
      <c r="P43" s="14" t="str">
        <f ca="1">VLOOKUP($L43,OFFSET([3]enemies!$A$1,0,0,COUNTA([3]enemies!$A:$A),MATCH(P$1,[3]enemies!$1:$1,0)-MATCH($L$1,[3]enemies!$1:$1,0)+1),MATCH(P$1,[3]enemies!$1:$1,0)-MATCH($L$1,[3]enemies!$1:$1,0)+1,FALSE)</f>
        <v>animal</v>
      </c>
      <c r="Q43" s="14">
        <f ca="1">VLOOKUP($L43,OFFSET([3]enemies!$A$1,0,0,COUNTA([3]enemies!$A:$A),MATCH(Q$1,[3]enemies!$1:$1,0)-MATCH($L$1,[3]enemies!$1:$1,0)+1),MATCH(Q$1,[3]enemies!$1:$1,0)-MATCH($L$1,[3]enemies!$1:$1,0)+1,FALSE)</f>
        <v>15</v>
      </c>
      <c r="R43" s="5">
        <v>60</v>
      </c>
      <c r="S43" s="19">
        <v>2.4</v>
      </c>
      <c r="T43" s="19">
        <v>1</v>
      </c>
      <c r="U43" s="5">
        <v>0</v>
      </c>
      <c r="V43" s="4" t="str">
        <f ca="1">VLOOKUP($W43,OFFSET(enemy_skill_sets!$B$1,0,0,COUNTA(enemy_skill_sets!$B:$B),MATCH(M$1,enemy_skill_sets!$1:$1,0)-MATCH($W$1,enemy_skill_sets!$1:$1,0)+2),MATCH(M$1,enemy_skill_sets!$1:$1,0)-MATCH($W$1,enemy_skill_sets!$1:$1,0)+2,FALSE)</f>
        <v>マシン種族のユニットに大ダメージ！</v>
      </c>
      <c r="W43" s="132">
        <v>39003012</v>
      </c>
      <c r="X43" s="6">
        <v>2</v>
      </c>
      <c r="Y43" s="6">
        <v>100</v>
      </c>
      <c r="Z43" s="6">
        <v>0</v>
      </c>
      <c r="AA43" s="131">
        <v>1</v>
      </c>
      <c r="AB43" s="122">
        <f t="shared" si="35"/>
        <v>71</v>
      </c>
      <c r="AC43" s="4" t="str">
        <f ca="1">VLOOKUP($AB43,OFFSET([4]characters!$A$1,0,0,COUNTA([4]characters!$A:$A),MATCH(AC$1,[4]characters!$1:$1,0)-MATCH("character_id",[4]characters!$1:$1,0)+1),MATCH(AC$1,[4]characters!$1:$1,0)-MATCH("character_id",[4]characters!$1:$1,0)+1,FALSE)</f>
        <v>ダックス</v>
      </c>
      <c r="AD43" s="4">
        <f ca="1">VLOOKUP($AB43,OFFSET([4]characters!$A$1,0,0,COUNTA([4]characters!$A:$A),MATCH(AD$1,[4]characters!$1:$1,0)-MATCH("character_id",[4]characters!$1:$1,0)+1),MATCH(AD$1,[4]characters!$1:$1,0)-MATCH("character_id",[4]characters!$1:$1,0)+1,FALSE)</f>
        <v>2</v>
      </c>
      <c r="AE43" s="4" t="str">
        <f ca="1">VLOOKUP($AB43,OFFSET([4]characters!$A$1,0,0,COUNTA([4]characters!$A:$A),MATCH(AE$1,[4]characters!$1:$1,0)-MATCH("character_id",[4]characters!$1:$1,0)+1),MATCH(AE$1,[4]characters!$1:$1,0)-MATCH("character_id",[4]characters!$1:$1,0)+1,FALSE)</f>
        <v>Drop1S</v>
      </c>
      <c r="AF43" s="101">
        <v>1</v>
      </c>
      <c r="AG43" s="122">
        <f t="shared" ref="AG43" ca="1" si="48">AD43</f>
        <v>2</v>
      </c>
      <c r="AH43" s="7">
        <v>0</v>
      </c>
      <c r="AI43" s="101">
        <v>0</v>
      </c>
      <c r="AJ43" s="101">
        <v>0</v>
      </c>
      <c r="AK43" s="101">
        <v>0</v>
      </c>
      <c r="AL43" s="101">
        <v>0</v>
      </c>
      <c r="AM43" s="101">
        <v>1</v>
      </c>
      <c r="AN43" s="63">
        <v>1</v>
      </c>
    </row>
  </sheetData>
  <sheetProtection selectLockedCells="1" selectUnlockedCells="1"/>
  <autoFilter ref="B1:AH1"/>
  <phoneticPr fontId="5"/>
  <pageMargins left="0.74791666666666667" right="0.74791666666666667" top="0.98402777777777772" bottom="0.98402777777777772" header="0.51180555555555551" footer="0.51180555555555551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5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K7" sqref="K7"/>
    </sheetView>
  </sheetViews>
  <sheetFormatPr baseColWidth="12" defaultColWidth="13" defaultRowHeight="21" customHeight="1" outlineLevelCol="1" x14ac:dyDescent="0.15"/>
  <cols>
    <col min="1" max="1" width="17" style="16" bestFit="1" customWidth="1"/>
    <col min="2" max="2" width="10.83203125" style="3" bestFit="1" customWidth="1"/>
    <col min="3" max="3" width="10.6640625" style="3" bestFit="1" customWidth="1"/>
    <col min="4" max="4" width="13" style="11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8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29" customFormat="1" ht="21" customHeight="1" x14ac:dyDescent="0.15">
      <c r="A1" s="21" t="s">
        <v>29</v>
      </c>
      <c r="B1" s="22" t="s">
        <v>0</v>
      </c>
      <c r="C1" s="22" t="s">
        <v>1</v>
      </c>
      <c r="D1" s="23" t="s">
        <v>28</v>
      </c>
      <c r="E1" s="24" t="s">
        <v>16</v>
      </c>
      <c r="F1" s="24" t="s">
        <v>16</v>
      </c>
      <c r="G1" s="22" t="s">
        <v>19</v>
      </c>
      <c r="H1" s="23" t="s">
        <v>30</v>
      </c>
      <c r="I1" s="23" t="s">
        <v>14</v>
      </c>
      <c r="J1" s="23" t="s">
        <v>15</v>
      </c>
      <c r="K1" s="30" t="s">
        <v>54</v>
      </c>
      <c r="L1" s="30" t="s">
        <v>55</v>
      </c>
      <c r="M1" s="31" t="s">
        <v>2</v>
      </c>
      <c r="N1" s="25" t="s">
        <v>16</v>
      </c>
      <c r="O1" s="23" t="s">
        <v>24</v>
      </c>
      <c r="P1" s="23" t="s">
        <v>23</v>
      </c>
      <c r="Q1" s="26" t="s">
        <v>26</v>
      </c>
      <c r="R1" s="24" t="s">
        <v>25</v>
      </c>
      <c r="S1" s="22" t="s">
        <v>3</v>
      </c>
      <c r="T1" s="20" t="s">
        <v>48</v>
      </c>
      <c r="U1" s="20" t="s">
        <v>50</v>
      </c>
      <c r="V1" s="20" t="s">
        <v>52</v>
      </c>
      <c r="W1" s="22" t="s">
        <v>128</v>
      </c>
      <c r="X1" s="23" t="s">
        <v>127</v>
      </c>
      <c r="Y1" s="22" t="s">
        <v>8</v>
      </c>
    </row>
    <row r="2" spans="1:25" ht="21" customHeight="1" x14ac:dyDescent="0.15">
      <c r="A2" s="13" t="str">
        <f>B2&amp;"_"&amp;C2&amp;"-"&amp;G2&amp;"/"&amp;M2&amp;"&lt;lv"&amp;S2&amp;"&gt;sq"&amp;K2&amp;"st"&amp;L2</f>
        <v>39003_1-4/691&lt;lv10&gt;sq1st2</v>
      </c>
      <c r="B2" s="17">
        <v>39003</v>
      </c>
      <c r="C2" s="102">
        <v>1</v>
      </c>
      <c r="D2" s="12" t="str">
        <f>B2&amp;"_"&amp;C2</f>
        <v>39003_1</v>
      </c>
      <c r="E2" s="4" t="str">
        <f ca="1">VLOOKUP($B2,OFFSET([2]quests!$A$1,0,0,COUNTA([2]quests!$A:$A),MATCH(E$1,[2]quests!$1:$1,0)-MATCH($B$1,[2]quests!$1:$1,0)+1),MATCH(E$1,[2]quests!$1:$1,0)-MATCH($B$1,[2]quests!$1:$1,0)+1,FALSE)</f>
        <v>ブルースクウェアを追え！</v>
      </c>
      <c r="F2" s="4" t="str">
        <f ca="1">VLOOKUP($D2,OFFSET([2]stages!$A$1,0,0,COUNTA([2]stages!$A:$A),MATCH(F$1,[2]stages!$2:$2,0)-MATCH($D$1,[2]stages!$2:$2,0)+1),MATCH(F$1,[2]stages!$2:$2,0)-MATCH($D$1,[2]stages!$2:$2,0)+1,FALSE)</f>
        <v>【初級】ブルースクウェアを追え！</v>
      </c>
      <c r="G2" s="102">
        <v>4</v>
      </c>
      <c r="H2" s="12" t="str">
        <f>B2&amp;"_"&amp;C2&amp;"-"&amp;G2</f>
        <v>39003_1-4</v>
      </c>
      <c r="I2" s="4">
        <f ca="1">VLOOKUP($H2,OFFSET(floors!$A$1,0,0,COUNTA(floors!$A:$A),MATCH(I$1,floors!$1:$1,0)-MATCH($H$1,floors!$1:$1,0)+1),MATCH(I$1,floors!$1:$1,0)-MATCH($H$1,floors!$1:$1,0)+1,FALSE)</f>
        <v>30</v>
      </c>
      <c r="J2" s="4">
        <f ca="1">VLOOKUP($H2,OFFSET(floors!$A$1,0,0,COUNTA(floors!$A:$A),MATCH(J$1,floors!$1:$1,0)-MATCH($H$1,floors!$1:$1,0)+1),MATCH(J$1,floors!$1:$1,0)-MATCH($H$1,floors!$1:$1,0)+1,FALSE)</f>
        <v>30</v>
      </c>
      <c r="K2" s="32">
        <v>1</v>
      </c>
      <c r="L2" s="32">
        <v>2</v>
      </c>
      <c r="M2" s="121">
        <v>691</v>
      </c>
      <c r="N2" s="14" t="str">
        <f ca="1">VLOOKUP($M2,OFFSET([3]enemies!$A$1,0,0,COUNTA([3]enemies!$A:$A),MATCH(N$1,[3]enemies!$1:$1,0)-MATCH($M$1,[3]enemies!$1:$1,0)+1),MATCH(N$1,[3]enemies!$1:$1,0)-MATCH($M$1,[3]enemies!$1:$1,0)+1,FALSE)</f>
        <v>黒沼青葉</v>
      </c>
      <c r="O2" s="14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4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4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4">
        <f ca="1">VLOOKUP($M2,OFFSET([3]enemies!$A$1,0,0,COUNTA([3]enemies!$A:$A),MATCH(R$1,[3]enemies!$1:$1,0)-MATCH($M$1,[3]enemies!$1:$1,0)+1),MATCH(R$1,[3]enemies!$1:$1,0)-MATCH($M$1,[3]enemies!$1:$1,0)+1,FALSE)</f>
        <v>30</v>
      </c>
      <c r="S2" s="5">
        <v>10</v>
      </c>
      <c r="T2" s="125">
        <v>2.4</v>
      </c>
      <c r="U2" s="19">
        <v>1.2</v>
      </c>
      <c r="V2" s="5">
        <v>0</v>
      </c>
      <c r="W2" s="4" t="str">
        <f ca="1">VLOOKUP($X2,OFFSET(enemy_skill_sets!$B$1,0,0,COUNTA(enemy_skill_sets!$B:$B),MATCH(N$1,enemy_skill_sets!$1:$1,0)-MATCH($X$1,enemy_skill_sets!$1:$1,0)+2),MATCH(N$1,enemy_skill_sets!$1:$1,0)-MATCH($X$1,enemy_skill_sets!$1:$1,0)+2,FALSE)</f>
        <v>この戦闘の間青パネル無効</v>
      </c>
      <c r="X2" s="126">
        <v>39003011</v>
      </c>
      <c r="Y2" s="127">
        <v>1</v>
      </c>
    </row>
    <row r="3" spans="1:25" ht="21" customHeight="1" x14ac:dyDescent="0.15">
      <c r="A3" s="13" t="str">
        <f>B3&amp;"_"&amp;C3&amp;"-"&amp;G3&amp;"/"&amp;M3&amp;"&lt;lv"&amp;S3&amp;"&gt;sq"&amp;K3&amp;"st"&amp;L3</f>
        <v>39003_2-4/691&lt;lv30&gt;sq2st2</v>
      </c>
      <c r="B3" s="17">
        <v>39003</v>
      </c>
      <c r="C3" s="102">
        <v>2</v>
      </c>
      <c r="D3" s="12" t="str">
        <f>B3&amp;"_"&amp;C3</f>
        <v>39003_2</v>
      </c>
      <c r="E3" s="4" t="str">
        <f ca="1">VLOOKUP($B3,OFFSET([2]quests!$A$1,0,0,COUNTA([2]quests!$A:$A),MATCH(E$1,[2]quests!$1:$1,0)-MATCH($B$1,[2]quests!$1:$1,0)+1),MATCH(E$1,[2]quests!$1:$1,0)-MATCH($B$1,[2]quests!$1:$1,0)+1,FALSE)</f>
        <v>ブルースクウェアを追え！</v>
      </c>
      <c r="F3" s="4" t="str">
        <f ca="1">VLOOKUP($D3,OFFSET([2]stages!$A$1,0,0,COUNTA([2]stages!$A:$A),MATCH(F$1,[2]stages!$2:$2,0)-MATCH($D$1,[2]stages!$2:$2,0)+1),MATCH(F$1,[2]stages!$2:$2,0)-MATCH($D$1,[2]stages!$2:$2,0)+1,FALSE)</f>
        <v>【中級】ブルースクウェアを追え！</v>
      </c>
      <c r="G3" s="102">
        <v>4</v>
      </c>
      <c r="H3" s="12" t="str">
        <f>B3&amp;"_"&amp;C3&amp;"-"&amp;G3</f>
        <v>39003_2-4</v>
      </c>
      <c r="I3" s="4">
        <f ca="1">VLOOKUP($H3,OFFSET(floors!$A$1,0,0,COUNTA(floors!$A:$A),MATCH(I$1,floors!$1:$1,0)-MATCH($H$1,floors!$1:$1,0)+1),MATCH(I$1,floors!$1:$1,0)-MATCH($H$1,floors!$1:$1,0)+1,FALSE)</f>
        <v>30</v>
      </c>
      <c r="J3" s="4">
        <f ca="1">VLOOKUP($H3,OFFSET(floors!$A$1,0,0,COUNTA(floors!$A:$A),MATCH(J$1,floors!$1:$1,0)-MATCH($H$1,floors!$1:$1,0)+1),MATCH(J$1,floors!$1:$1,0)-MATCH($H$1,floors!$1:$1,0)+1,FALSE)</f>
        <v>30</v>
      </c>
      <c r="K3" s="32">
        <v>2</v>
      </c>
      <c r="L3" s="32">
        <v>2</v>
      </c>
      <c r="M3" s="121">
        <v>691</v>
      </c>
      <c r="N3" s="14" t="str">
        <f ca="1">VLOOKUP($M3,OFFSET([3]enemies!$A$1,0,0,COUNTA([3]enemies!$A:$A),MATCH(N$1,[3]enemies!$1:$1,0)-MATCH($M$1,[3]enemies!$1:$1,0)+1),MATCH(N$1,[3]enemies!$1:$1,0)-MATCH($M$1,[3]enemies!$1:$1,0)+1,FALSE)</f>
        <v>黒沼青葉</v>
      </c>
      <c r="O3" s="14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4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4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4">
        <f ca="1">VLOOKUP($M3,OFFSET([3]enemies!$A$1,0,0,COUNTA([3]enemies!$A:$A),MATCH(R$1,[3]enemies!$1:$1,0)-MATCH($M$1,[3]enemies!$1:$1,0)+1),MATCH(R$1,[3]enemies!$1:$1,0)-MATCH($M$1,[3]enemies!$1:$1,0)+1,FALSE)</f>
        <v>30</v>
      </c>
      <c r="S3" s="5">
        <v>30</v>
      </c>
      <c r="T3" s="125">
        <v>2.4</v>
      </c>
      <c r="U3" s="19">
        <v>1.2</v>
      </c>
      <c r="V3" s="5">
        <v>0</v>
      </c>
      <c r="W3" s="4" t="str">
        <f ca="1">VLOOKUP($X3,OFFSET(enemy_skill_sets!$B$1,0,0,COUNTA(enemy_skill_sets!$B:$B),MATCH(N$1,enemy_skill_sets!$1:$1,0)-MATCH($X$1,enemy_skill_sets!$1:$1,0)+2),MATCH(N$1,enemy_skill_sets!$1:$1,0)-MATCH($X$1,enemy_skill_sets!$1:$1,0)+2,FALSE)</f>
        <v>この戦闘の間青パネル無効</v>
      </c>
      <c r="X3" s="126">
        <v>39003011</v>
      </c>
      <c r="Y3" s="127">
        <v>1</v>
      </c>
    </row>
    <row r="4" spans="1:25" ht="21" customHeight="1" x14ac:dyDescent="0.15">
      <c r="A4" s="13" t="str">
        <f>B4&amp;"_"&amp;C4&amp;"-"&amp;G4&amp;"/"&amp;M4&amp;"&lt;lv"&amp;S4&amp;"&gt;sq"&amp;K4&amp;"st"&amp;L4</f>
        <v>39003_3-4/691&lt;lv40&gt;sq3st2</v>
      </c>
      <c r="B4" s="17">
        <v>39003</v>
      </c>
      <c r="C4" s="102">
        <v>3</v>
      </c>
      <c r="D4" s="12" t="str">
        <f>B4&amp;"_"&amp;C4</f>
        <v>39003_3</v>
      </c>
      <c r="E4" s="4" t="str">
        <f ca="1">VLOOKUP($B4,OFFSET([2]quests!$A$1,0,0,COUNTA([2]quests!$A:$A),MATCH(E$1,[2]quests!$1:$1,0)-MATCH($B$1,[2]quests!$1:$1,0)+1),MATCH(E$1,[2]quests!$1:$1,0)-MATCH($B$1,[2]quests!$1:$1,0)+1,FALSE)</f>
        <v>ブルースクウェアを追え！</v>
      </c>
      <c r="F4" s="4" t="str">
        <f ca="1">VLOOKUP($D4,OFFSET([2]stages!$A$1,0,0,COUNTA([2]stages!$A:$A),MATCH(F$1,[2]stages!$2:$2,0)-MATCH($D$1,[2]stages!$2:$2,0)+1),MATCH(F$1,[2]stages!$2:$2,0)-MATCH($D$1,[2]stages!$2:$2,0)+1,FALSE)</f>
        <v>【上級】ブルースクウェアを追え！</v>
      </c>
      <c r="G4" s="102">
        <v>4</v>
      </c>
      <c r="H4" s="12" t="str">
        <f>B4&amp;"_"&amp;C4&amp;"-"&amp;G4</f>
        <v>39003_3-4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2">
        <v>3</v>
      </c>
      <c r="L4" s="32">
        <v>2</v>
      </c>
      <c r="M4" s="121">
        <v>691</v>
      </c>
      <c r="N4" s="14" t="str">
        <f ca="1">VLOOKUP($M4,OFFSET([3]enemies!$A$1,0,0,COUNTA([3]enemies!$A:$A),MATCH(N$1,[3]enemies!$1:$1,0)-MATCH($M$1,[3]enemies!$1:$1,0)+1),MATCH(N$1,[3]enemies!$1:$1,0)-MATCH($M$1,[3]enemies!$1:$1,0)+1,FALSE)</f>
        <v>黒沼青葉</v>
      </c>
      <c r="O4" s="14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4" t="str">
        <f ca="1">VLOOKUP($M4,OFFSET([4]characters!$A$1,0,0,COUNTA([4]characters!$A:$A),MATCH(P$1,[4]characters!$1:$1,0)-MATCH($M$1,[4]characters!$1:$1,0)+1),MATCH(P$1,[4]characters!$1:$1,0)-MATCH($M$1,[4]characters!$1:$1,0)+1,FALSE)</f>
        <v>Drop2N</v>
      </c>
      <c r="Q4" s="14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4">
        <f ca="1">VLOOKUP($M4,OFFSET([3]enemies!$A$1,0,0,COUNTA([3]enemies!$A:$A),MATCH(R$1,[3]enemies!$1:$1,0)-MATCH($M$1,[3]enemies!$1:$1,0)+1),MATCH(R$1,[3]enemies!$1:$1,0)-MATCH($M$1,[3]enemies!$1:$1,0)+1,FALSE)</f>
        <v>30</v>
      </c>
      <c r="S4" s="5">
        <v>40</v>
      </c>
      <c r="T4" s="125">
        <v>2.4</v>
      </c>
      <c r="U4" s="19">
        <v>1.2</v>
      </c>
      <c r="V4" s="5">
        <v>0</v>
      </c>
      <c r="W4" s="4" t="str">
        <f ca="1">VLOOKUP($X4,OFFSET(enemy_skill_sets!$B$1,0,0,COUNTA(enemy_skill_sets!$B:$B),MATCH(N$1,enemy_skill_sets!$1:$1,0)-MATCH($X$1,enemy_skill_sets!$1:$1,0)+2),MATCH(N$1,enemy_skill_sets!$1:$1,0)-MATCH($X$1,enemy_skill_sets!$1:$1,0)+2,FALSE)</f>
        <v>この戦闘の間青パネル無効</v>
      </c>
      <c r="X4" s="126">
        <v>39003011</v>
      </c>
      <c r="Y4" s="127">
        <v>1</v>
      </c>
    </row>
    <row r="5" spans="1:25" ht="21" customHeight="1" x14ac:dyDescent="0.15">
      <c r="A5" s="13" t="str">
        <f>B5&amp;"_"&amp;C5&amp;"-"&amp;G5&amp;"/"&amp;M5&amp;"&lt;lv"&amp;S5&amp;"&gt;sq"&amp;K5&amp;"st"&amp;L5</f>
        <v>39003_4-4/691&lt;lv60&gt;sq4st2</v>
      </c>
      <c r="B5" s="17">
        <v>39003</v>
      </c>
      <c r="C5" s="102">
        <v>4</v>
      </c>
      <c r="D5" s="12" t="str">
        <f>B5&amp;"_"&amp;C5</f>
        <v>39003_4</v>
      </c>
      <c r="E5" s="4" t="str">
        <f ca="1">VLOOKUP($B5,OFFSET([2]quests!$A$1,0,0,COUNTA([2]quests!$A:$A),MATCH(E$1,[2]quests!$1:$1,0)-MATCH($B$1,[2]quests!$1:$1,0)+1),MATCH(E$1,[2]quests!$1:$1,0)-MATCH($B$1,[2]quests!$1:$1,0)+1,FALSE)</f>
        <v>ブルースクウェアを追え！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【超級】ブルースクウェアを追え！</v>
      </c>
      <c r="G5" s="102">
        <v>4</v>
      </c>
      <c r="H5" s="12" t="str">
        <f>B5&amp;"_"&amp;C5&amp;"-"&amp;G5</f>
        <v>39003_4-4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2">
        <v>4</v>
      </c>
      <c r="L5" s="32">
        <v>2</v>
      </c>
      <c r="M5" s="121">
        <v>691</v>
      </c>
      <c r="N5" s="14" t="str">
        <f ca="1">VLOOKUP($M5,OFFSET([3]enemies!$A$1,0,0,COUNTA([3]enemies!$A:$A),MATCH(N$1,[3]enemies!$1:$1,0)-MATCH($M$1,[3]enemies!$1:$1,0)+1),MATCH(N$1,[3]enemies!$1:$1,0)-MATCH($M$1,[3]enemies!$1:$1,0)+1,FALSE)</f>
        <v>黒沼青葉</v>
      </c>
      <c r="O5" s="14" t="str">
        <f ca="1">VLOOKUP($M5,OFFSET([3]enemies!$A$1,0,0,COUNTA([3]enemies!$A:$A),MATCH(O$1,[3]enemies!$1:$1,0)-MATCH($M$1,[3]enemies!$1:$1,0)+1),MATCH(O$1,[3]enemies!$1:$1,0)-MATCH($M$1,[3]enemies!$1:$1,0)+1,FALSE)</f>
        <v>blue</v>
      </c>
      <c r="P5" s="14" t="str">
        <f ca="1">VLOOKUP($M5,OFFSET([4]characters!$A$1,0,0,COUNTA([4]characters!$A:$A),MATCH(P$1,[4]characters!$1:$1,0)-MATCH($M$1,[4]characters!$1:$1,0)+1),MATCH(P$1,[4]characters!$1:$1,0)-MATCH($M$1,[4]characters!$1:$1,0)+1,FALSE)</f>
        <v>Drop2N</v>
      </c>
      <c r="Q5" s="14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4">
        <f ca="1">VLOOKUP($M5,OFFSET([3]enemies!$A$1,0,0,COUNTA([3]enemies!$A:$A),MATCH(R$1,[3]enemies!$1:$1,0)-MATCH($M$1,[3]enemies!$1:$1,0)+1),MATCH(R$1,[3]enemies!$1:$1,0)-MATCH($M$1,[3]enemies!$1:$1,0)+1,FALSE)</f>
        <v>30</v>
      </c>
      <c r="S5" s="5">
        <v>60</v>
      </c>
      <c r="T5" s="125">
        <v>2.4</v>
      </c>
      <c r="U5" s="19">
        <v>1.2</v>
      </c>
      <c r="V5" s="5">
        <v>0</v>
      </c>
      <c r="W5" s="4" t="str">
        <f ca="1">VLOOKUP($X5,OFFSET(enemy_skill_sets!$B$1,0,0,COUNTA(enemy_skill_sets!$B:$B),MATCH(N$1,enemy_skill_sets!$1:$1,0)-MATCH($X$1,enemy_skill_sets!$1:$1,0)+2),MATCH(N$1,enemy_skill_sets!$1:$1,0)-MATCH($X$1,enemy_skill_sets!$1:$1,0)+2,FALSE)</f>
        <v>この戦闘の間青パネル無効</v>
      </c>
      <c r="X5" s="126">
        <v>39003011</v>
      </c>
      <c r="Y5" s="127">
        <v>1</v>
      </c>
    </row>
  </sheetData>
  <sheetProtection selectLockedCells="1" selectUnlockedCells="1"/>
  <autoFilter ref="B1:Y4"/>
  <phoneticPr fontId="5"/>
  <pageMargins left="0.74791666666666667" right="0.74791666666666667" top="0.98402777777777772" bottom="0.98402777777777772" header="0.51180555555555551" footer="0.51180555555555551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9"/>
  <sheetViews>
    <sheetView showGridLines="0" topLeftCell="B1" workbookViewId="0">
      <pane ySplit="1" topLeftCell="A2" activePane="bottomLeft" state="frozenSplit"/>
      <selection pane="bottomLeft" activeCell="F8" sqref="F8"/>
    </sheetView>
  </sheetViews>
  <sheetFormatPr baseColWidth="12" defaultColWidth="12.83203125" defaultRowHeight="21" customHeight="1" outlineLevelCol="1" x14ac:dyDescent="0.15"/>
  <cols>
    <col min="1" max="1" width="12.83203125" style="43"/>
    <col min="2" max="2" width="67.1640625" style="43" customWidth="1"/>
    <col min="3" max="4" width="12.83203125" style="43"/>
    <col min="5" max="5" width="23.6640625" style="43" bestFit="1" customWidth="1"/>
    <col min="6" max="6" width="44.1640625" style="43" bestFit="1" customWidth="1"/>
    <col min="7" max="7" width="52" style="43" hidden="1" customWidth="1" outlineLevel="1"/>
    <col min="8" max="8" width="18.33203125" style="43" hidden="1" customWidth="1" outlineLevel="1"/>
    <col min="9" max="11" width="18.6640625" style="43" hidden="1" customWidth="1" outlineLevel="1"/>
    <col min="12" max="12" width="23.6640625" style="43" customWidth="1" collapsed="1"/>
    <col min="13" max="18" width="23.6640625" style="43" hidden="1" customWidth="1" outlineLevel="1"/>
    <col min="19" max="19" width="23.6640625" style="43" customWidth="1" collapsed="1"/>
    <col min="20" max="24" width="23.6640625" style="43" hidden="1" customWidth="1" outlineLevel="1"/>
    <col min="25" max="25" width="23.6640625" style="43" customWidth="1" collapsed="1"/>
    <col min="26" max="27" width="12.83203125" style="43"/>
    <col min="28" max="28" width="44.5" style="43" customWidth="1"/>
    <col min="29" max="16384" width="12.83203125" style="43"/>
  </cols>
  <sheetData>
    <row r="1" spans="1:28" ht="21" customHeight="1" x14ac:dyDescent="0.15">
      <c r="A1" s="34" t="s">
        <v>79</v>
      </c>
      <c r="B1" s="34" t="s">
        <v>80</v>
      </c>
      <c r="C1" s="34" t="s">
        <v>328</v>
      </c>
      <c r="D1" s="34" t="s">
        <v>125</v>
      </c>
      <c r="E1" s="34" t="s">
        <v>82</v>
      </c>
      <c r="F1" s="34" t="s">
        <v>83</v>
      </c>
      <c r="G1" s="35" t="s">
        <v>131</v>
      </c>
      <c r="H1" s="35" t="s">
        <v>137</v>
      </c>
      <c r="I1" s="35" t="s">
        <v>139</v>
      </c>
      <c r="J1" s="35" t="s">
        <v>138</v>
      </c>
      <c r="K1" s="35" t="s">
        <v>140</v>
      </c>
      <c r="L1" s="35" t="s">
        <v>132</v>
      </c>
      <c r="M1" s="35" t="s">
        <v>130</v>
      </c>
      <c r="N1" s="35" t="s">
        <v>133</v>
      </c>
      <c r="O1" s="35" t="s">
        <v>141</v>
      </c>
      <c r="P1" s="35" t="s">
        <v>142</v>
      </c>
      <c r="Q1" s="35" t="s">
        <v>143</v>
      </c>
      <c r="R1" s="35" t="s">
        <v>144</v>
      </c>
      <c r="S1" s="35" t="s">
        <v>134</v>
      </c>
      <c r="T1" s="35" t="s">
        <v>135</v>
      </c>
      <c r="U1" s="35" t="s">
        <v>145</v>
      </c>
      <c r="V1" s="35" t="s">
        <v>146</v>
      </c>
      <c r="W1" s="35" t="s">
        <v>147</v>
      </c>
      <c r="X1" s="35" t="s">
        <v>148</v>
      </c>
      <c r="Y1" s="35" t="s">
        <v>136</v>
      </c>
      <c r="Z1" s="35" t="s">
        <v>76</v>
      </c>
      <c r="AA1" s="35" t="s">
        <v>77</v>
      </c>
      <c r="AB1" s="35" t="s">
        <v>78</v>
      </c>
    </row>
    <row r="2" spans="1:28" ht="21" customHeight="1" x14ac:dyDescent="0.15">
      <c r="A2" s="41">
        <v>39003001</v>
      </c>
      <c r="B2" s="138" t="s">
        <v>279</v>
      </c>
      <c r="C2" s="44">
        <v>3</v>
      </c>
      <c r="D2" s="44" t="s">
        <v>126</v>
      </c>
      <c r="E2" s="45" t="s">
        <v>235</v>
      </c>
      <c r="F2" s="45" t="s">
        <v>227</v>
      </c>
      <c r="G2" s="57" t="str">
        <f t="shared" ref="G2:G21" si="0">IFERROR(LEFT(B2,FIND("],",B2)),B2)</f>
        <v>[effect:heal, target:enemy_all, val:0.2, animation:enemy_heal]</v>
      </c>
      <c r="H2" s="57">
        <f t="shared" ref="H2:H21" si="1">FIND("effect:",G2)+7</f>
        <v>9</v>
      </c>
      <c r="I2" s="57">
        <f t="shared" ref="I2:I21" si="2">IFERROR(FIND(",",G2),LEN(G2))</f>
        <v>13</v>
      </c>
      <c r="J2" s="57">
        <f t="shared" ref="J2:J21" si="3">FIND("target:",G2)+7</f>
        <v>22</v>
      </c>
      <c r="K2" s="57">
        <f t="shared" ref="K2:K21" si="4">FIND(",",G2,I2+1)</f>
        <v>31</v>
      </c>
      <c r="L2" s="57" t="str">
        <f>IFERROR(VLOOKUP(MID(G2,J2,K2-J2),[5]skilldef!$C:$D,2,FALSE),"-") &amp; " / " &amp; IFERROR(VLOOKUP(MID(G2,H2,I2-H2),[5]skilldef!$A:$B,2,FALSE),"-")</f>
        <v>敵全体に / 回復</v>
      </c>
      <c r="M2" s="57" t="str">
        <f t="shared" ref="M2:M21" si="5">IFERROR(RIGHT(B2,LEN(B2)-FIND("],",B2)-1),"none")</f>
        <v>none</v>
      </c>
      <c r="N2" s="42" t="str">
        <f>IFERROR(LEFT(M2,FIND("],",M2)+S15),M2)</f>
        <v>none</v>
      </c>
      <c r="O2" s="57" t="e">
        <f t="shared" ref="O2:O21" si="6">FIND("effect:",N2)+7</f>
        <v>#VALUE!</v>
      </c>
      <c r="P2" s="57">
        <f t="shared" ref="P2:P21" si="7">IFERROR(FIND(",",N2),LEN(N2))</f>
        <v>4</v>
      </c>
      <c r="Q2" s="57" t="e">
        <f t="shared" ref="Q2:Q21" si="8">FIND("target:",N2)+7</f>
        <v>#VALUE!</v>
      </c>
      <c r="R2" s="57" t="e">
        <f t="shared" ref="R2:R21" si="9">FIND(",",N2,P2+1)</f>
        <v>#VALUE!</v>
      </c>
      <c r="S2" s="57" t="str">
        <f>IFERROR(VLOOKUP(MID(N2,Q2,R2-Q2),[5]skilldef!$C:$D,2,FALSE),"-") &amp; " / " &amp; IFERROR(VLOOKUP(MID(N2,O2,P2-O2),[5]skilldef!$A:$B,2,FALSE),"-")</f>
        <v>- / -</v>
      </c>
      <c r="T2" s="42" t="str">
        <f t="shared" ref="T2:T21" si="10">IFERROR(RIGHT(M2,LEN(M2)-FIND("],",M2)-1),"none")</f>
        <v>none</v>
      </c>
      <c r="U2" s="57" t="e">
        <f t="shared" ref="U2:U21" si="11">FIND("effect:",T2)+7</f>
        <v>#VALUE!</v>
      </c>
      <c r="V2" s="57">
        <f t="shared" ref="V2:V21" si="12">IFERROR(FIND(",",T2),LEN(T2))</f>
        <v>4</v>
      </c>
      <c r="W2" s="57" t="e">
        <f t="shared" ref="W2:W21" si="13">FIND("target:",T2)+7</f>
        <v>#VALUE!</v>
      </c>
      <c r="X2" s="57" t="e">
        <f t="shared" ref="X2:X21" si="14">FIND(",",T2,V2+1)</f>
        <v>#VALUE!</v>
      </c>
      <c r="Y2" s="57" t="str">
        <f>IFERROR(VLOOKUP(MID(T2,W2,X2-W2),[5]skilldef!$C:$D,2,FALSE),"-") &amp; " / " &amp; IFERROR(VLOOKUP(MID(T2,U2,V2-U2),[5]skilldef!$A:$B,2,FALSE),"-")</f>
        <v>- / -</v>
      </c>
      <c r="Z2" s="44"/>
      <c r="AA2" s="46"/>
      <c r="AB2" s="44"/>
    </row>
    <row r="3" spans="1:28" ht="21" customHeight="1" x14ac:dyDescent="0.15">
      <c r="A3" s="41">
        <v>39003002</v>
      </c>
      <c r="B3" s="138" t="s">
        <v>229</v>
      </c>
      <c r="C3" s="44">
        <v>3</v>
      </c>
      <c r="D3" s="44" t="s">
        <v>126</v>
      </c>
      <c r="E3" s="45" t="s">
        <v>228</v>
      </c>
      <c r="F3" s="139" t="s">
        <v>230</v>
      </c>
      <c r="G3" s="57" t="str">
        <f t="shared" si="0"/>
        <v>[effect:freq_turn, target:enemy_all, turn:3, val:1, animation:enemy_freq_turn]</v>
      </c>
      <c r="H3" s="57">
        <f t="shared" si="1"/>
        <v>9</v>
      </c>
      <c r="I3" s="57">
        <f t="shared" si="2"/>
        <v>18</v>
      </c>
      <c r="J3" s="57">
        <f t="shared" si="3"/>
        <v>27</v>
      </c>
      <c r="K3" s="57">
        <f t="shared" si="4"/>
        <v>36</v>
      </c>
      <c r="L3" s="57" t="str">
        <f>IFERROR(VLOOKUP(MID(G3,J3,K3-J3),[5]skilldef!$C:$D,2,FALSE),"-") &amp; " / " &amp; IFERROR(VLOOKUP(MID(G3,H3,I3-H3),[5]skilldef!$A:$B,2,FALSE),"-")</f>
        <v>敵全体に / 攻撃頻度がUP</v>
      </c>
      <c r="M3" s="57" t="str">
        <f t="shared" si="5"/>
        <v>none</v>
      </c>
      <c r="N3" s="42" t="str">
        <f>IFERROR(LEFT(M3,FIND("],",M3)+S16),M3)</f>
        <v>none</v>
      </c>
      <c r="O3" s="57" t="e">
        <f t="shared" si="6"/>
        <v>#VALUE!</v>
      </c>
      <c r="P3" s="57">
        <f t="shared" si="7"/>
        <v>4</v>
      </c>
      <c r="Q3" s="57" t="e">
        <f t="shared" si="8"/>
        <v>#VALUE!</v>
      </c>
      <c r="R3" s="57" t="e">
        <f t="shared" si="9"/>
        <v>#VALUE!</v>
      </c>
      <c r="S3" s="57" t="str">
        <f>IFERROR(VLOOKUP(MID(N3,Q3,R3-Q3),[5]skilldef!$C:$D,2,FALSE),"-") &amp; " / " &amp; IFERROR(VLOOKUP(MID(N3,O3,P3-O3),[5]skilldef!$A:$B,2,FALSE),"-")</f>
        <v>- / -</v>
      </c>
      <c r="T3" s="42" t="str">
        <f t="shared" si="10"/>
        <v>none</v>
      </c>
      <c r="U3" s="57" t="e">
        <f t="shared" si="11"/>
        <v>#VALUE!</v>
      </c>
      <c r="V3" s="57">
        <f t="shared" si="12"/>
        <v>4</v>
      </c>
      <c r="W3" s="57" t="e">
        <f t="shared" si="13"/>
        <v>#VALUE!</v>
      </c>
      <c r="X3" s="57" t="e">
        <f t="shared" si="14"/>
        <v>#VALUE!</v>
      </c>
      <c r="Y3" s="57" t="str">
        <f>IFERROR(VLOOKUP(MID(T3,W3,X3-W3),[5]skilldef!$C:$D,2,FALSE),"-") &amp; " / " &amp; IFERROR(VLOOKUP(MID(T3,U3,V3-U3),[5]skilldef!$A:$B,2,FALSE),"-")</f>
        <v>- / -</v>
      </c>
      <c r="Z3" s="44"/>
      <c r="AA3" s="46"/>
      <c r="AB3" s="44"/>
    </row>
    <row r="4" spans="1:28" ht="21" customHeight="1" x14ac:dyDescent="0.15">
      <c r="A4" s="41">
        <v>39003003</v>
      </c>
      <c r="B4" s="138" t="s">
        <v>305</v>
      </c>
      <c r="C4" s="44">
        <v>3</v>
      </c>
      <c r="D4" s="44" t="s">
        <v>126</v>
      </c>
      <c r="E4" s="45" t="s">
        <v>231</v>
      </c>
      <c r="F4" s="139" t="s">
        <v>242</v>
      </c>
      <c r="G4" s="57" t="str">
        <f t="shared" si="0"/>
        <v>[effect:spread, val:0.3]</v>
      </c>
      <c r="H4" s="57">
        <f t="shared" si="1"/>
        <v>9</v>
      </c>
      <c r="I4" s="57">
        <f t="shared" si="2"/>
        <v>15</v>
      </c>
      <c r="J4" s="57" t="e">
        <f t="shared" si="3"/>
        <v>#VALUE!</v>
      </c>
      <c r="K4" s="57" t="e">
        <f t="shared" si="4"/>
        <v>#VALUE!</v>
      </c>
      <c r="L4" s="57" t="str">
        <f>IFERROR(VLOOKUP(MID(G4,J4,K4-J4),[5]skilldef!$C:$D,2,FALSE),"-") &amp; " / " &amp; IFERROR(VLOOKUP(MID(G4,H4,I4-H4),[5]skilldef!$A:$B,2,FALSE),"-")</f>
        <v>- / 全体攻撃</v>
      </c>
      <c r="M4" s="57" t="str">
        <f t="shared" si="5"/>
        <v>none</v>
      </c>
      <c r="N4" s="42" t="str">
        <f>IFERROR(LEFT(M4,FIND("],",M4)+S17),M4)</f>
        <v>none</v>
      </c>
      <c r="O4" s="57" t="e">
        <f t="shared" si="6"/>
        <v>#VALUE!</v>
      </c>
      <c r="P4" s="57">
        <f t="shared" si="7"/>
        <v>4</v>
      </c>
      <c r="Q4" s="57" t="e">
        <f t="shared" si="8"/>
        <v>#VALUE!</v>
      </c>
      <c r="R4" s="57" t="e">
        <f t="shared" si="9"/>
        <v>#VALUE!</v>
      </c>
      <c r="S4" s="57" t="str">
        <f>IFERROR(VLOOKUP(MID(N4,Q4,R4-Q4),[5]skilldef!$C:$D,2,FALSE),"-") &amp; " / " &amp; IFERROR(VLOOKUP(MID(N4,O4,P4-O4),[5]skilldef!$A:$B,2,FALSE),"-")</f>
        <v>- / -</v>
      </c>
      <c r="T4" s="42" t="str">
        <f t="shared" si="10"/>
        <v>none</v>
      </c>
      <c r="U4" s="57" t="e">
        <f t="shared" si="11"/>
        <v>#VALUE!</v>
      </c>
      <c r="V4" s="57">
        <f t="shared" si="12"/>
        <v>4</v>
      </c>
      <c r="W4" s="57" t="e">
        <f t="shared" si="13"/>
        <v>#VALUE!</v>
      </c>
      <c r="X4" s="57" t="e">
        <f t="shared" si="14"/>
        <v>#VALUE!</v>
      </c>
      <c r="Y4" s="57" t="str">
        <f>IFERROR(VLOOKUP(MID(T4,W4,X4-W4),[5]skilldef!$C:$D,2,FALSE),"-") &amp; " / " &amp; IFERROR(VLOOKUP(MID(T4,U4,V4-U4),[5]skilldef!$A:$B,2,FALSE),"-")</f>
        <v>- / -</v>
      </c>
      <c r="Z4" s="44"/>
      <c r="AA4" s="46"/>
      <c r="AB4" s="44"/>
    </row>
    <row r="5" spans="1:28" ht="21" customHeight="1" x14ac:dyDescent="0.15">
      <c r="A5" s="41">
        <v>39003004</v>
      </c>
      <c r="B5" s="138" t="s">
        <v>234</v>
      </c>
      <c r="C5" s="44">
        <v>3</v>
      </c>
      <c r="D5" s="44" t="s">
        <v>126</v>
      </c>
      <c r="E5" s="45" t="s">
        <v>232</v>
      </c>
      <c r="F5" s="45" t="s">
        <v>233</v>
      </c>
      <c r="G5" s="57" t="str">
        <f t="shared" si="0"/>
        <v>[effect:heal, target:enemy_all, val:0.4, animation:enemy_heal]</v>
      </c>
      <c r="H5" s="57">
        <f t="shared" si="1"/>
        <v>9</v>
      </c>
      <c r="I5" s="57">
        <f t="shared" si="2"/>
        <v>13</v>
      </c>
      <c r="J5" s="57">
        <f t="shared" si="3"/>
        <v>22</v>
      </c>
      <c r="K5" s="57">
        <f t="shared" si="4"/>
        <v>31</v>
      </c>
      <c r="L5" s="57" t="str">
        <f>IFERROR(VLOOKUP(MID(G5,J5,K5-J5),[5]skilldef!$C:$D,2,FALSE),"-") &amp; " / " &amp; IFERROR(VLOOKUP(MID(G5,H5,I5-H5),[5]skilldef!$A:$B,2,FALSE),"-")</f>
        <v>敵全体に / 回復</v>
      </c>
      <c r="M5" s="57" t="str">
        <f t="shared" si="5"/>
        <v>none</v>
      </c>
      <c r="N5" s="42" t="str">
        <f>IFERROR(LEFT(M5,FIND("],",M5)+#REF!),M5)</f>
        <v>none</v>
      </c>
      <c r="O5" s="57" t="e">
        <f t="shared" si="6"/>
        <v>#VALUE!</v>
      </c>
      <c r="P5" s="57">
        <f t="shared" si="7"/>
        <v>4</v>
      </c>
      <c r="Q5" s="57" t="e">
        <f t="shared" si="8"/>
        <v>#VALUE!</v>
      </c>
      <c r="R5" s="57" t="e">
        <f t="shared" si="9"/>
        <v>#VALUE!</v>
      </c>
      <c r="S5" s="57" t="str">
        <f>IFERROR(VLOOKUP(MID(N5,Q5,R5-Q5),[5]skilldef!$C:$D,2,FALSE),"-") &amp; " / " &amp; IFERROR(VLOOKUP(MID(N5,O5,P5-O5),[5]skilldef!$A:$B,2,FALSE),"-")</f>
        <v>- / -</v>
      </c>
      <c r="T5" s="42" t="str">
        <f t="shared" si="10"/>
        <v>none</v>
      </c>
      <c r="U5" s="57" t="e">
        <f t="shared" si="11"/>
        <v>#VALUE!</v>
      </c>
      <c r="V5" s="57">
        <f t="shared" si="12"/>
        <v>4</v>
      </c>
      <c r="W5" s="57" t="e">
        <f t="shared" si="13"/>
        <v>#VALUE!</v>
      </c>
      <c r="X5" s="57" t="e">
        <f t="shared" si="14"/>
        <v>#VALUE!</v>
      </c>
      <c r="Y5" s="57" t="str">
        <f>IFERROR(VLOOKUP(MID(T5,W5,X5-W5),[5]skilldef!$C:$D,2,FALSE),"-") &amp; " / " &amp; IFERROR(VLOOKUP(MID(T5,U5,V5-U5),[5]skilldef!$A:$B,2,FALSE),"-")</f>
        <v>- / -</v>
      </c>
      <c r="Z5" s="44"/>
      <c r="AA5" s="46"/>
      <c r="AB5" s="44"/>
    </row>
    <row r="6" spans="1:28" ht="21" customHeight="1" x14ac:dyDescent="0.15">
      <c r="A6" s="41">
        <v>39003005</v>
      </c>
      <c r="B6" s="41" t="s">
        <v>303</v>
      </c>
      <c r="C6" s="44">
        <v>3</v>
      </c>
      <c r="D6" s="44" t="s">
        <v>126</v>
      </c>
      <c r="E6" s="45" t="s">
        <v>236</v>
      </c>
      <c r="F6" s="45" t="s">
        <v>302</v>
      </c>
      <c r="G6" s="57" t="str">
        <f t="shared" ref="G6" si="15">IFERROR(LEFT(B6,FIND("],",B6)),B6)</f>
        <v>[effect:spread, val:0.36]</v>
      </c>
      <c r="H6" s="57">
        <f t="shared" ref="H6" si="16">FIND("effect:",G6)+7</f>
        <v>9</v>
      </c>
      <c r="I6" s="57">
        <f t="shared" ref="I6" si="17">IFERROR(FIND(",",G6),LEN(G6))</f>
        <v>15</v>
      </c>
      <c r="J6" s="57" t="e">
        <f t="shared" ref="J6" si="18">FIND("target:",G6)+7</f>
        <v>#VALUE!</v>
      </c>
      <c r="K6" s="57" t="e">
        <f t="shared" ref="K6" si="19">FIND(",",G6,I6+1)</f>
        <v>#VALUE!</v>
      </c>
      <c r="L6" s="57" t="str">
        <f>IFERROR(VLOOKUP(MID(G6,J6,K6-J6),[5]skilldef!$C:$D,2,FALSE),"-") &amp; " / " &amp; IFERROR(VLOOKUP(MID(G6,H6,I6-H6),[5]skilldef!$A:$B,2,FALSE),"-")</f>
        <v>- / 全体攻撃</v>
      </c>
      <c r="M6" s="57" t="str">
        <f t="shared" ref="M6" si="20">IFERROR(RIGHT(B6,LEN(B6)-FIND("],",B6)-1),"none")</f>
        <v>none</v>
      </c>
      <c r="N6" s="42" t="str">
        <f>IFERROR(LEFT(M6,FIND("],",M6)+#REF!),M6)</f>
        <v>none</v>
      </c>
      <c r="O6" s="57" t="e">
        <f t="shared" ref="O6" si="21">FIND("effect:",N6)+7</f>
        <v>#VALUE!</v>
      </c>
      <c r="P6" s="57">
        <f t="shared" ref="P6" si="22">IFERROR(FIND(",",N6),LEN(N6))</f>
        <v>4</v>
      </c>
      <c r="Q6" s="57" t="e">
        <f t="shared" ref="Q6" si="23">FIND("target:",N6)+7</f>
        <v>#VALUE!</v>
      </c>
      <c r="R6" s="57" t="e">
        <f t="shared" ref="R6" si="24">FIND(",",N6,P6+1)</f>
        <v>#VALUE!</v>
      </c>
      <c r="S6" s="57" t="str">
        <f>IFERROR(VLOOKUP(MID(N6,Q6,R6-Q6),[5]skilldef!$C:$D,2,FALSE),"-") &amp; " / " &amp; IFERROR(VLOOKUP(MID(N6,O6,P6-O6),[5]skilldef!$A:$B,2,FALSE),"-")</f>
        <v>- / -</v>
      </c>
      <c r="T6" s="42" t="str">
        <f t="shared" ref="T6" si="25">IFERROR(RIGHT(M6,LEN(M6)-FIND("],",M6)-1),"none")</f>
        <v>none</v>
      </c>
      <c r="U6" s="57" t="e">
        <f t="shared" ref="U6" si="26">FIND("effect:",T6)+7</f>
        <v>#VALUE!</v>
      </c>
      <c r="V6" s="57">
        <f t="shared" ref="V6" si="27">IFERROR(FIND(",",T6),LEN(T6))</f>
        <v>4</v>
      </c>
      <c r="W6" s="57" t="e">
        <f t="shared" ref="W6" si="28">FIND("target:",T6)+7</f>
        <v>#VALUE!</v>
      </c>
      <c r="X6" s="57" t="e">
        <f t="shared" ref="X6" si="29">FIND(",",T6,V6+1)</f>
        <v>#VALUE!</v>
      </c>
      <c r="Y6" s="57" t="str">
        <f>IFERROR(VLOOKUP(MID(T6,W6,X6-W6),[5]skilldef!$C:$D,2,FALSE),"-") &amp; " / " &amp; IFERROR(VLOOKUP(MID(T6,U6,V6-U6),[5]skilldef!$A:$B,2,FALSE),"-")</f>
        <v>- / -</v>
      </c>
      <c r="Z6" s="44"/>
      <c r="AA6" s="46"/>
      <c r="AB6" s="44"/>
    </row>
    <row r="7" spans="1:28" ht="21" customHeight="1" x14ac:dyDescent="0.15">
      <c r="A7" s="41">
        <v>39003006</v>
      </c>
      <c r="B7" s="41" t="s">
        <v>269</v>
      </c>
      <c r="C7" s="44">
        <v>3</v>
      </c>
      <c r="D7" s="44" t="s">
        <v>214</v>
      </c>
      <c r="E7" s="45" t="s">
        <v>237</v>
      </c>
      <c r="F7" s="45" t="s">
        <v>270</v>
      </c>
      <c r="G7" s="57" t="str">
        <f t="shared" si="0"/>
        <v>[effect:enhance_enemy, target:enemy_all, turn:3, status:attack, val:0.2, animation:enemy_enhance_attack]</v>
      </c>
      <c r="H7" s="57">
        <f t="shared" si="1"/>
        <v>9</v>
      </c>
      <c r="I7" s="57">
        <f t="shared" si="2"/>
        <v>22</v>
      </c>
      <c r="J7" s="57">
        <f t="shared" si="3"/>
        <v>31</v>
      </c>
      <c r="K7" s="57">
        <f t="shared" si="4"/>
        <v>40</v>
      </c>
      <c r="L7" s="57" t="str">
        <f>IFERROR(VLOOKUP(MID(G7,J7,K7-J7),[5]skilldef!$C:$D,2,FALSE),"-") &amp; " / " &amp; IFERROR(VLOOKUP(MID(G7,H7,I7-H7),[5]skilldef!$A:$B,2,FALSE),"-")</f>
        <v>敵全体に / ステータス強化</v>
      </c>
      <c r="M7" s="57" t="str">
        <f t="shared" si="5"/>
        <v>none</v>
      </c>
      <c r="N7" s="42" t="str">
        <f>IFERROR(LEFT(M7,FIND("],",M7)+S20),M7)</f>
        <v>none</v>
      </c>
      <c r="O7" s="57" t="e">
        <f t="shared" si="6"/>
        <v>#VALUE!</v>
      </c>
      <c r="P7" s="57">
        <f t="shared" si="7"/>
        <v>4</v>
      </c>
      <c r="Q7" s="57" t="e">
        <f t="shared" si="8"/>
        <v>#VALUE!</v>
      </c>
      <c r="R7" s="57" t="e">
        <f t="shared" si="9"/>
        <v>#VALUE!</v>
      </c>
      <c r="S7" s="57" t="str">
        <f>IFERROR(VLOOKUP(MID(N7,Q7,R7-Q7),[5]skilldef!$C:$D,2,FALSE),"-") &amp; " / " &amp; IFERROR(VLOOKUP(MID(N7,O7,P7-O7),[5]skilldef!$A:$B,2,FALSE),"-")</f>
        <v>- / -</v>
      </c>
      <c r="T7" s="42" t="str">
        <f t="shared" si="10"/>
        <v>none</v>
      </c>
      <c r="U7" s="57" t="e">
        <f t="shared" si="11"/>
        <v>#VALUE!</v>
      </c>
      <c r="V7" s="57">
        <f t="shared" si="12"/>
        <v>4</v>
      </c>
      <c r="W7" s="57" t="e">
        <f t="shared" si="13"/>
        <v>#VALUE!</v>
      </c>
      <c r="X7" s="57" t="e">
        <f t="shared" si="14"/>
        <v>#VALUE!</v>
      </c>
      <c r="Y7" s="57" t="str">
        <f>IFERROR(VLOOKUP(MID(T7,W7,X7-W7),[5]skilldef!$C:$D,2,FALSE),"-") &amp; " / " &amp; IFERROR(VLOOKUP(MID(T7,U7,V7-U7),[5]skilldef!$A:$B,2,FALSE),"-")</f>
        <v>- / -</v>
      </c>
      <c r="Z7" s="44"/>
      <c r="AA7" s="46"/>
      <c r="AB7" s="44"/>
    </row>
    <row r="8" spans="1:28" ht="21" customHeight="1" x14ac:dyDescent="0.15">
      <c r="A8" s="41">
        <v>39003007</v>
      </c>
      <c r="B8" s="41" t="s">
        <v>290</v>
      </c>
      <c r="C8" s="44">
        <v>3</v>
      </c>
      <c r="D8" s="44" t="s">
        <v>215</v>
      </c>
      <c r="E8" s="45" t="s">
        <v>238</v>
      </c>
      <c r="F8" s="45" t="s">
        <v>274</v>
      </c>
      <c r="G8" s="57" t="str">
        <f t="shared" si="0"/>
        <v>[effect:critical, val:1.3]</v>
      </c>
      <c r="H8" s="57">
        <f t="shared" si="1"/>
        <v>9</v>
      </c>
      <c r="I8" s="57">
        <f t="shared" si="2"/>
        <v>17</v>
      </c>
      <c r="J8" s="57" t="e">
        <f t="shared" si="3"/>
        <v>#VALUE!</v>
      </c>
      <c r="K8" s="57" t="e">
        <f t="shared" si="4"/>
        <v>#VALUE!</v>
      </c>
      <c r="L8" s="57" t="str">
        <f>IFERROR(VLOOKUP(MID(G8,J8,K8-J8),[5]skilldef!$C:$D,2,FALSE),"-") &amp; " / " &amp; IFERROR(VLOOKUP(MID(G8,H8,I8-H8),[5]skilldef!$A:$B,2,FALSE),"-")</f>
        <v>- / 大攻撃</v>
      </c>
      <c r="M8" s="57" t="str">
        <f t="shared" si="5"/>
        <v>none</v>
      </c>
      <c r="N8" s="42" t="str">
        <f>IFERROR(LEFT(M8,FIND("],",M8)+S18),M8)</f>
        <v>none</v>
      </c>
      <c r="O8" s="57" t="e">
        <f t="shared" si="6"/>
        <v>#VALUE!</v>
      </c>
      <c r="P8" s="57">
        <f t="shared" si="7"/>
        <v>4</v>
      </c>
      <c r="Q8" s="57" t="e">
        <f t="shared" si="8"/>
        <v>#VALUE!</v>
      </c>
      <c r="R8" s="57" t="e">
        <f t="shared" si="9"/>
        <v>#VALUE!</v>
      </c>
      <c r="S8" s="57" t="str">
        <f>IFERROR(VLOOKUP(MID(N8,Q8,R8-Q8),[5]skilldef!$C:$D,2,FALSE),"-") &amp; " / " &amp; IFERROR(VLOOKUP(MID(N8,O8,P8-O8),[5]skilldef!$A:$B,2,FALSE),"-")</f>
        <v>- / -</v>
      </c>
      <c r="T8" s="42" t="str">
        <f t="shared" si="10"/>
        <v>none</v>
      </c>
      <c r="U8" s="57" t="e">
        <f t="shared" si="11"/>
        <v>#VALUE!</v>
      </c>
      <c r="V8" s="57">
        <f t="shared" si="12"/>
        <v>4</v>
      </c>
      <c r="W8" s="57" t="e">
        <f t="shared" si="13"/>
        <v>#VALUE!</v>
      </c>
      <c r="X8" s="57" t="e">
        <f t="shared" si="14"/>
        <v>#VALUE!</v>
      </c>
      <c r="Y8" s="57" t="str">
        <f>IFERROR(VLOOKUP(MID(T8,W8,X8-W8),[5]skilldef!$C:$D,2,FALSE),"-") &amp; " / " &amp; IFERROR(VLOOKUP(MID(T8,U8,V8-U8),[5]skilldef!$A:$B,2,FALSE),"-")</f>
        <v>- / -</v>
      </c>
      <c r="Z8" s="44"/>
      <c r="AA8" s="46"/>
      <c r="AB8" s="44"/>
    </row>
    <row r="9" spans="1:28" ht="21" customHeight="1" x14ac:dyDescent="0.15">
      <c r="A9" s="41">
        <v>39003008</v>
      </c>
      <c r="B9" s="41" t="s">
        <v>278</v>
      </c>
      <c r="C9" s="44">
        <v>3</v>
      </c>
      <c r="D9" s="44" t="s">
        <v>197</v>
      </c>
      <c r="E9" s="45" t="s">
        <v>272</v>
      </c>
      <c r="F9" s="45" t="s">
        <v>273</v>
      </c>
      <c r="G9" s="57" t="str">
        <f t="shared" ref="G9" si="30">IFERROR(LEFT(B9,FIND("],",B9)),B9)</f>
        <v>[effect:spread, val:0.3]</v>
      </c>
      <c r="H9" s="57">
        <f t="shared" ref="H9" si="31">FIND("effect:",G9)+7</f>
        <v>9</v>
      </c>
      <c r="I9" s="57">
        <f t="shared" ref="I9" si="32">IFERROR(FIND(",",G9),LEN(G9))</f>
        <v>15</v>
      </c>
      <c r="J9" s="57" t="e">
        <f t="shared" ref="J9" si="33">FIND("target:",G9)+7</f>
        <v>#VALUE!</v>
      </c>
      <c r="K9" s="57" t="e">
        <f t="shared" ref="K9" si="34">FIND(",",G9,I9+1)</f>
        <v>#VALUE!</v>
      </c>
      <c r="L9" s="57" t="str">
        <f>IFERROR(VLOOKUP(MID(G9,J9,K9-J9),[5]skilldef!$C:$D,2,FALSE),"-") &amp; " / " &amp; IFERROR(VLOOKUP(MID(G9,H9,I9-H9),[5]skilldef!$A:$B,2,FALSE),"-")</f>
        <v>- / 全体攻撃</v>
      </c>
      <c r="M9" s="57" t="str">
        <f t="shared" ref="M9" si="35">IFERROR(RIGHT(B9,LEN(B9)-FIND("],",B9)-1),"none")</f>
        <v>none</v>
      </c>
      <c r="N9" s="42" t="str">
        <f>IFERROR(LEFT(M9,FIND("],",M9)+S17),M9)</f>
        <v>none</v>
      </c>
      <c r="O9" s="57" t="e">
        <f t="shared" ref="O9" si="36">FIND("effect:",N9)+7</f>
        <v>#VALUE!</v>
      </c>
      <c r="P9" s="57">
        <f t="shared" ref="P9" si="37">IFERROR(FIND(",",N9),LEN(N9))</f>
        <v>4</v>
      </c>
      <c r="Q9" s="57" t="e">
        <f t="shared" ref="Q9" si="38">FIND("target:",N9)+7</f>
        <v>#VALUE!</v>
      </c>
      <c r="R9" s="57" t="e">
        <f t="shared" ref="R9" si="39">FIND(",",N9,P9+1)</f>
        <v>#VALUE!</v>
      </c>
      <c r="S9" s="57" t="str">
        <f>IFERROR(VLOOKUP(MID(N9,Q9,R9-Q9),[5]skilldef!$C:$D,2,FALSE),"-") &amp; " / " &amp; IFERROR(VLOOKUP(MID(N9,O9,P9-O9),[5]skilldef!$A:$B,2,FALSE),"-")</f>
        <v>- / -</v>
      </c>
      <c r="T9" s="42" t="str">
        <f t="shared" ref="T9" si="40">IFERROR(RIGHT(M9,LEN(M9)-FIND("],",M9)-1),"none")</f>
        <v>none</v>
      </c>
      <c r="U9" s="57" t="e">
        <f t="shared" ref="U9" si="41">FIND("effect:",T9)+7</f>
        <v>#VALUE!</v>
      </c>
      <c r="V9" s="57">
        <f t="shared" ref="V9" si="42">IFERROR(FIND(",",T9),LEN(T9))</f>
        <v>4</v>
      </c>
      <c r="W9" s="57" t="e">
        <f t="shared" ref="W9" si="43">FIND("target:",T9)+7</f>
        <v>#VALUE!</v>
      </c>
      <c r="X9" s="57" t="e">
        <f t="shared" ref="X9" si="44">FIND(",",T9,V9+1)</f>
        <v>#VALUE!</v>
      </c>
      <c r="Y9" s="57" t="str">
        <f>IFERROR(VLOOKUP(MID(T9,W9,X9-W9),[5]skilldef!$C:$D,2,FALSE),"-") &amp; " / " &amp; IFERROR(VLOOKUP(MID(T9,U9,V9-U9),[5]skilldef!$A:$B,2,FALSE),"-")</f>
        <v>- / -</v>
      </c>
      <c r="Z9" s="44"/>
      <c r="AA9" s="46"/>
      <c r="AB9" s="44"/>
    </row>
    <row r="10" spans="1:28" ht="21" customHeight="1" x14ac:dyDescent="0.15">
      <c r="A10" s="41">
        <v>39003009</v>
      </c>
      <c r="B10" s="41" t="s">
        <v>292</v>
      </c>
      <c r="C10" s="44">
        <v>3</v>
      </c>
      <c r="D10" s="44" t="s">
        <v>126</v>
      </c>
      <c r="E10" s="45" t="s">
        <v>239</v>
      </c>
      <c r="F10" s="45" t="s">
        <v>323</v>
      </c>
      <c r="G10" s="57" t="str">
        <f t="shared" si="0"/>
        <v>[effect:break_attack, val:0.06, lowest_val:0.2, count:-1, block:crash, target:unit_all]</v>
      </c>
      <c r="H10" s="57">
        <f t="shared" si="1"/>
        <v>9</v>
      </c>
      <c r="I10" s="57">
        <f t="shared" si="2"/>
        <v>21</v>
      </c>
      <c r="J10" s="57">
        <f t="shared" si="3"/>
        <v>79</v>
      </c>
      <c r="K10" s="57">
        <f t="shared" si="4"/>
        <v>31</v>
      </c>
      <c r="L10" s="57" t="str">
        <f>IFERROR(VLOOKUP(MID(G10,J10,K10-J10),[5]skilldef!$C:$D,2,FALSE),"-") &amp; " / " &amp; IFERROR(VLOOKUP(MID(G10,H10,I10-H10),[5]skilldef!$A:$B,2,FALSE),"-")</f>
        <v>- / -</v>
      </c>
      <c r="M10" s="57" t="str">
        <f t="shared" si="5"/>
        <v>none</v>
      </c>
      <c r="N10" s="42" t="str">
        <f>IFERROR(LEFT(M10,FIND("],",M10)+S18),M10)</f>
        <v>none</v>
      </c>
      <c r="O10" s="57" t="e">
        <f t="shared" si="6"/>
        <v>#VALUE!</v>
      </c>
      <c r="P10" s="57">
        <f t="shared" si="7"/>
        <v>4</v>
      </c>
      <c r="Q10" s="57" t="e">
        <f t="shared" si="8"/>
        <v>#VALUE!</v>
      </c>
      <c r="R10" s="57" t="e">
        <f t="shared" si="9"/>
        <v>#VALUE!</v>
      </c>
      <c r="S10" s="57" t="str">
        <f>IFERROR(VLOOKUP(MID(N10,Q10,R10-Q10),[5]skilldef!$C:$D,2,FALSE),"-") &amp; " / " &amp; IFERROR(VLOOKUP(MID(N10,O10,P10-O10),[5]skilldef!$A:$B,2,FALSE),"-")</f>
        <v>- / -</v>
      </c>
      <c r="T10" s="42" t="str">
        <f t="shared" si="10"/>
        <v>none</v>
      </c>
      <c r="U10" s="57" t="e">
        <f t="shared" si="11"/>
        <v>#VALUE!</v>
      </c>
      <c r="V10" s="57">
        <f t="shared" si="12"/>
        <v>4</v>
      </c>
      <c r="W10" s="57" t="e">
        <f t="shared" si="13"/>
        <v>#VALUE!</v>
      </c>
      <c r="X10" s="57" t="e">
        <f t="shared" si="14"/>
        <v>#VALUE!</v>
      </c>
      <c r="Y10" s="57" t="str">
        <f>IFERROR(VLOOKUP(MID(T10,W10,X10-W10),[5]skilldef!$C:$D,2,FALSE),"-") &amp; " / " &amp; IFERROR(VLOOKUP(MID(T10,U10,V10-U10),[5]skilldef!$A:$B,2,FALSE),"-")</f>
        <v>- / -</v>
      </c>
      <c r="Z10" s="44"/>
      <c r="AA10" s="46"/>
      <c r="AB10" s="44"/>
    </row>
    <row r="11" spans="1:28" ht="21" customHeight="1" x14ac:dyDescent="0.15">
      <c r="A11" s="41">
        <v>39003010</v>
      </c>
      <c r="B11" s="41" t="s">
        <v>291</v>
      </c>
      <c r="C11" s="44">
        <v>3</v>
      </c>
      <c r="D11" s="44" t="s">
        <v>126</v>
      </c>
      <c r="E11" s="45" t="s">
        <v>240</v>
      </c>
      <c r="F11" s="45" t="s">
        <v>241</v>
      </c>
      <c r="G11" s="57" t="str">
        <f t="shared" si="0"/>
        <v>[effect:rush, count:2, val:0.5]</v>
      </c>
      <c r="H11" s="57">
        <f t="shared" si="1"/>
        <v>9</v>
      </c>
      <c r="I11" s="57">
        <f t="shared" si="2"/>
        <v>13</v>
      </c>
      <c r="J11" s="57" t="e">
        <f t="shared" si="3"/>
        <v>#VALUE!</v>
      </c>
      <c r="K11" s="57">
        <f t="shared" si="4"/>
        <v>22</v>
      </c>
      <c r="L11" s="57" t="str">
        <f>IFERROR(VLOOKUP(MID(G11,J11,K11-J11),[5]skilldef!$C:$D,2,FALSE),"-") &amp; " / " &amp; IFERROR(VLOOKUP(MID(G11,H11,I11-H11),[5]skilldef!$A:$B,2,FALSE),"-")</f>
        <v>- / 連続攻撃</v>
      </c>
      <c r="M11" s="57" t="str">
        <f t="shared" si="5"/>
        <v>[effect:hungup, target:unit_one, turn:2, rate:1, animation:hungup01]</v>
      </c>
      <c r="N11" s="42" t="str">
        <f>IFERROR(LEFT(M11,FIND("],",M11)+S20),M11)</f>
        <v>[effect:hungup, target:unit_one, turn:2, rate:1, animation:hungup01]</v>
      </c>
      <c r="O11" s="57">
        <f t="shared" si="6"/>
        <v>9</v>
      </c>
      <c r="P11" s="57">
        <f t="shared" si="7"/>
        <v>15</v>
      </c>
      <c r="Q11" s="57">
        <f t="shared" si="8"/>
        <v>24</v>
      </c>
      <c r="R11" s="57">
        <f t="shared" si="9"/>
        <v>32</v>
      </c>
      <c r="S11" s="57" t="str">
        <f>IFERROR(VLOOKUP(MID(N11,Q11,R11-Q11),[5]skilldef!$C:$D,2,FALSE),"-") &amp; " / " &amp; IFERROR(VLOOKUP(MID(N11,O11,P11-O11),[5]skilldef!$A:$B,2,FALSE),"-")</f>
        <v>味方単体に / ハングアップ</v>
      </c>
      <c r="T11" s="42" t="str">
        <f t="shared" si="10"/>
        <v>none</v>
      </c>
      <c r="U11" s="57" t="e">
        <f t="shared" si="11"/>
        <v>#VALUE!</v>
      </c>
      <c r="V11" s="57">
        <f t="shared" si="12"/>
        <v>4</v>
      </c>
      <c r="W11" s="57" t="e">
        <f t="shared" si="13"/>
        <v>#VALUE!</v>
      </c>
      <c r="X11" s="57" t="e">
        <f t="shared" si="14"/>
        <v>#VALUE!</v>
      </c>
      <c r="Y11" s="57" t="str">
        <f>IFERROR(VLOOKUP(MID(T11,W11,X11-W11),[5]skilldef!$C:$D,2,FALSE),"-") &amp; " / " &amp; IFERROR(VLOOKUP(MID(T11,U11,V11-U11),[5]skilldef!$A:$B,2,FALSE),"-")</f>
        <v>- / -</v>
      </c>
      <c r="Z11" s="44"/>
      <c r="AA11" s="46"/>
      <c r="AB11" s="44"/>
    </row>
    <row r="12" spans="1:28" ht="21" customHeight="1" x14ac:dyDescent="0.15">
      <c r="A12" s="41">
        <v>39003011</v>
      </c>
      <c r="B12" s="41" t="s">
        <v>293</v>
      </c>
      <c r="C12" s="44">
        <v>3</v>
      </c>
      <c r="D12" s="44" t="s">
        <v>126</v>
      </c>
      <c r="E12" s="45" t="s">
        <v>271</v>
      </c>
      <c r="F12" s="45" t="s">
        <v>245</v>
      </c>
      <c r="G12" s="57" t="str">
        <f t="shared" si="0"/>
        <v>[effect:spread, val:0.13]</v>
      </c>
      <c r="H12" s="57">
        <f t="shared" si="1"/>
        <v>9</v>
      </c>
      <c r="I12" s="57">
        <f t="shared" si="2"/>
        <v>15</v>
      </c>
      <c r="J12" s="57" t="e">
        <f t="shared" si="3"/>
        <v>#VALUE!</v>
      </c>
      <c r="K12" s="57" t="e">
        <f t="shared" si="4"/>
        <v>#VALUE!</v>
      </c>
      <c r="L12" s="57" t="str">
        <f>IFERROR(VLOOKUP(MID(G12,J12,K12-J12),[5]skilldef!$C:$D,2,FALSE),"-") &amp; " / " &amp; IFERROR(VLOOKUP(MID(G12,H12,I12-H12),[5]skilldef!$A:$B,2,FALSE),"-")</f>
        <v>- / 全体攻撃</v>
      </c>
      <c r="M12" s="57" t="str">
        <f t="shared" si="5"/>
        <v>[effect:panel_freeze, target:block_blue, count:-1]</v>
      </c>
      <c r="N12" s="42" t="str">
        <f>IFERROR(LEFT(M12,FIND("],",M12)+S19),M12)</f>
        <v>[effect:panel_freeze, target:block_blue, count:-1]</v>
      </c>
      <c r="O12" s="57">
        <f t="shared" si="6"/>
        <v>9</v>
      </c>
      <c r="P12" s="57">
        <f t="shared" si="7"/>
        <v>21</v>
      </c>
      <c r="Q12" s="57">
        <f t="shared" si="8"/>
        <v>30</v>
      </c>
      <c r="R12" s="57">
        <f t="shared" si="9"/>
        <v>40</v>
      </c>
      <c r="S12" s="57" t="str">
        <f>IFERROR(VLOOKUP(MID(N12,Q12,R12-Q12),[5]skilldef!$C:$D,2,FALSE),"-") &amp; " / " &amp; IFERROR(VLOOKUP(MID(N12,O12,P12-O12),[5]skilldef!$A:$B,2,FALSE),"-")</f>
        <v>青パネルを / -</v>
      </c>
      <c r="T12" s="42" t="str">
        <f t="shared" si="10"/>
        <v>none</v>
      </c>
      <c r="U12" s="57" t="e">
        <f t="shared" si="11"/>
        <v>#VALUE!</v>
      </c>
      <c r="V12" s="57">
        <f t="shared" si="12"/>
        <v>4</v>
      </c>
      <c r="W12" s="57" t="e">
        <f t="shared" si="13"/>
        <v>#VALUE!</v>
      </c>
      <c r="X12" s="57" t="e">
        <f t="shared" si="14"/>
        <v>#VALUE!</v>
      </c>
      <c r="Y12" s="57" t="str">
        <f>IFERROR(VLOOKUP(MID(T12,W12,X12-W12),[5]skilldef!$C:$D,2,FALSE),"-") &amp; " / " &amp; IFERROR(VLOOKUP(MID(T12,U12,V12-U12),[5]skilldef!$A:$B,2,FALSE),"-")</f>
        <v>- / -</v>
      </c>
      <c r="Z12" s="44"/>
      <c r="AA12" s="46"/>
      <c r="AB12" s="44"/>
    </row>
    <row r="13" spans="1:28" ht="21" customHeight="1" x14ac:dyDescent="0.15">
      <c r="A13" s="41">
        <v>39003012</v>
      </c>
      <c r="B13" s="41" t="s">
        <v>275</v>
      </c>
      <c r="C13" s="44">
        <v>3</v>
      </c>
      <c r="D13" s="44" t="s">
        <v>126</v>
      </c>
      <c r="E13" s="45" t="s">
        <v>246</v>
      </c>
      <c r="F13" s="45" t="s">
        <v>247</v>
      </c>
      <c r="G13" s="57" t="str">
        <f t="shared" si="0"/>
        <v>[effect:spread, val:0.15]</v>
      </c>
      <c r="H13" s="57">
        <f t="shared" si="1"/>
        <v>9</v>
      </c>
      <c r="I13" s="57">
        <f t="shared" si="2"/>
        <v>15</v>
      </c>
      <c r="J13" s="57" t="e">
        <f t="shared" si="3"/>
        <v>#VALUE!</v>
      </c>
      <c r="K13" s="57" t="e">
        <f t="shared" si="4"/>
        <v>#VALUE!</v>
      </c>
      <c r="L13" s="57" t="str">
        <f>IFERROR(VLOOKUP(MID(G13,J13,K13-J13),[5]skilldef!$C:$D,2,FALSE),"-") &amp; " / " &amp; IFERROR(VLOOKUP(MID(G13,H13,I13-H13),[5]skilldef!$A:$B,2,FALSE),"-")</f>
        <v>- / 全体攻撃</v>
      </c>
      <c r="M13" s="57" t="str">
        <f t="shared" si="5"/>
        <v>[effect:spread, val:0.15]</v>
      </c>
      <c r="N13" s="42" t="str">
        <f>IFERROR(LEFT(M13,FIND("],",M13)+S21),M13)</f>
        <v>[effect:spread, val:0.15]</v>
      </c>
      <c r="O13" s="57">
        <f t="shared" si="6"/>
        <v>9</v>
      </c>
      <c r="P13" s="57">
        <f t="shared" si="7"/>
        <v>15</v>
      </c>
      <c r="Q13" s="57" t="e">
        <f t="shared" si="8"/>
        <v>#VALUE!</v>
      </c>
      <c r="R13" s="57" t="e">
        <f t="shared" si="9"/>
        <v>#VALUE!</v>
      </c>
      <c r="S13" s="57" t="str">
        <f>IFERROR(VLOOKUP(MID(N13,Q13,R13-Q13),[5]skilldef!$C:$D,2,FALSE),"-") &amp; " / " &amp; IFERROR(VLOOKUP(MID(N13,O13,P13-O13),[5]skilldef!$A:$B,2,FALSE),"-")</f>
        <v>- / 全体攻撃</v>
      </c>
      <c r="T13" s="42" t="str">
        <f t="shared" si="10"/>
        <v>none</v>
      </c>
      <c r="U13" s="57" t="e">
        <f t="shared" si="11"/>
        <v>#VALUE!</v>
      </c>
      <c r="V13" s="57">
        <f t="shared" si="12"/>
        <v>4</v>
      </c>
      <c r="W13" s="57" t="e">
        <f t="shared" si="13"/>
        <v>#VALUE!</v>
      </c>
      <c r="X13" s="57" t="e">
        <f t="shared" si="14"/>
        <v>#VALUE!</v>
      </c>
      <c r="Y13" s="57" t="str">
        <f>IFERROR(VLOOKUP(MID(T13,W13,X13-W13),[5]skilldef!$C:$D,2,FALSE),"-") &amp; " / " &amp; IFERROR(VLOOKUP(MID(T13,U13,V13-U13),[5]skilldef!$A:$B,2,FALSE),"-")</f>
        <v>- / -</v>
      </c>
      <c r="Z13" s="44"/>
      <c r="AA13" s="46"/>
      <c r="AB13" s="44"/>
    </row>
    <row r="14" spans="1:28" ht="21" customHeight="1" x14ac:dyDescent="0.15">
      <c r="A14" s="41">
        <v>39003013</v>
      </c>
      <c r="B14" s="41" t="s">
        <v>306</v>
      </c>
      <c r="C14" s="44">
        <v>3</v>
      </c>
      <c r="D14" s="44" t="s">
        <v>126</v>
      </c>
      <c r="E14" s="45" t="s">
        <v>248</v>
      </c>
      <c r="F14" s="45" t="s">
        <v>249</v>
      </c>
      <c r="G14" s="57" t="str">
        <f t="shared" si="0"/>
        <v>[effect:damage_fix_absolute, target:enemy_all, val:2222]</v>
      </c>
      <c r="H14" s="57">
        <f t="shared" si="1"/>
        <v>9</v>
      </c>
      <c r="I14" s="57">
        <f t="shared" si="2"/>
        <v>28</v>
      </c>
      <c r="J14" s="57">
        <f t="shared" si="3"/>
        <v>37</v>
      </c>
      <c r="K14" s="57">
        <f t="shared" si="4"/>
        <v>46</v>
      </c>
      <c r="L14" s="57" t="str">
        <f>IFERROR(VLOOKUP(MID(G14,J14,K14-J14),[5]skilldef!$C:$D,2,FALSE),"-") &amp; " / " &amp; IFERROR(VLOOKUP(MID(G14,H14,I14-H14),[5]skilldef!$A:$B,2,FALSE),"-")</f>
        <v>敵全体に / -</v>
      </c>
      <c r="M14" s="57" t="str">
        <f t="shared" si="5"/>
        <v>none</v>
      </c>
      <c r="N14" s="42" t="str">
        <f>IFERROR(LEFT(M14,FIND("],",M14)+S22),M14)</f>
        <v>none</v>
      </c>
      <c r="O14" s="57" t="e">
        <f t="shared" si="6"/>
        <v>#VALUE!</v>
      </c>
      <c r="P14" s="57">
        <f t="shared" si="7"/>
        <v>4</v>
      </c>
      <c r="Q14" s="57" t="e">
        <f t="shared" si="8"/>
        <v>#VALUE!</v>
      </c>
      <c r="R14" s="57" t="e">
        <f t="shared" si="9"/>
        <v>#VALUE!</v>
      </c>
      <c r="S14" s="57" t="str">
        <f>IFERROR(VLOOKUP(MID(N14,Q14,R14-Q14),[5]skilldef!$C:$D,2,FALSE),"-") &amp; " / " &amp; IFERROR(VLOOKUP(MID(N14,O14,P14-O14),[5]skilldef!$A:$B,2,FALSE),"-")</f>
        <v>- / -</v>
      </c>
      <c r="T14" s="42" t="str">
        <f t="shared" si="10"/>
        <v>none</v>
      </c>
      <c r="U14" s="57" t="e">
        <f t="shared" si="11"/>
        <v>#VALUE!</v>
      </c>
      <c r="V14" s="57">
        <f t="shared" si="12"/>
        <v>4</v>
      </c>
      <c r="W14" s="57" t="e">
        <f t="shared" si="13"/>
        <v>#VALUE!</v>
      </c>
      <c r="X14" s="57" t="e">
        <f t="shared" si="14"/>
        <v>#VALUE!</v>
      </c>
      <c r="Y14" s="57" t="str">
        <f>IFERROR(VLOOKUP(MID(T14,W14,X14-W14),[5]skilldef!$C:$D,2,FALSE),"-") &amp; " / " &amp; IFERROR(VLOOKUP(MID(T14,U14,V14-U14),[5]skilldef!$A:$B,2,FALSE),"-")</f>
        <v>- / -</v>
      </c>
      <c r="Z14" s="44"/>
      <c r="AA14" s="46"/>
      <c r="AB14" s="44"/>
    </row>
    <row r="15" spans="1:28" ht="21" customHeight="1" x14ac:dyDescent="0.15">
      <c r="A15" s="41">
        <v>39003014</v>
      </c>
      <c r="B15" s="128" t="s">
        <v>250</v>
      </c>
      <c r="C15" s="44">
        <v>3</v>
      </c>
      <c r="D15" s="44" t="s">
        <v>126</v>
      </c>
      <c r="E15" s="45" t="s">
        <v>252</v>
      </c>
      <c r="F15" s="45" t="s">
        <v>251</v>
      </c>
      <c r="G15" s="57" t="str">
        <f t="shared" si="0"/>
        <v>[effect:degrade_unit, target:unit_all, turn:3, status:action, val:1, calc:add, animation:enemy_tap_down]</v>
      </c>
      <c r="H15" s="57">
        <f t="shared" si="1"/>
        <v>9</v>
      </c>
      <c r="I15" s="57">
        <f t="shared" si="2"/>
        <v>21</v>
      </c>
      <c r="J15" s="57">
        <f t="shared" si="3"/>
        <v>30</v>
      </c>
      <c r="K15" s="57">
        <f t="shared" si="4"/>
        <v>38</v>
      </c>
      <c r="L15" s="57" t="str">
        <f>IFERROR(VLOOKUP(MID(G15,J15,K15-J15),[5]skilldef!$C:$D,2,FALSE),"-") &amp; " / " &amp; IFERROR(VLOOKUP(MID(G15,H15,I15-H15),[5]skilldef!$A:$B,2,FALSE),"-")</f>
        <v>味方全体に / ステータスDOWN</v>
      </c>
      <c r="M15" s="57" t="str">
        <f t="shared" si="5"/>
        <v>none</v>
      </c>
      <c r="N15" s="42" t="str">
        <f>IFERROR(LEFT(M15,FIND("],",M15)+S23),M15)</f>
        <v>none</v>
      </c>
      <c r="O15" s="57" t="e">
        <f t="shared" si="6"/>
        <v>#VALUE!</v>
      </c>
      <c r="P15" s="57">
        <f t="shared" si="7"/>
        <v>4</v>
      </c>
      <c r="Q15" s="57" t="e">
        <f t="shared" si="8"/>
        <v>#VALUE!</v>
      </c>
      <c r="R15" s="57" t="e">
        <f t="shared" si="9"/>
        <v>#VALUE!</v>
      </c>
      <c r="S15" s="57" t="str">
        <f>IFERROR(VLOOKUP(MID(N15,Q15,R15-Q15),[5]skilldef!$C:$D,2,FALSE),"-") &amp; " / " &amp; IFERROR(VLOOKUP(MID(N15,O15,P15-O15),[5]skilldef!$A:$B,2,FALSE),"-")</f>
        <v>- / -</v>
      </c>
      <c r="T15" s="42" t="str">
        <f t="shared" si="10"/>
        <v>none</v>
      </c>
      <c r="U15" s="57" t="e">
        <f t="shared" si="11"/>
        <v>#VALUE!</v>
      </c>
      <c r="V15" s="57">
        <f t="shared" si="12"/>
        <v>4</v>
      </c>
      <c r="W15" s="57" t="e">
        <f t="shared" si="13"/>
        <v>#VALUE!</v>
      </c>
      <c r="X15" s="57" t="e">
        <f t="shared" si="14"/>
        <v>#VALUE!</v>
      </c>
      <c r="Y15" s="57" t="str">
        <f>IFERROR(VLOOKUP(MID(T15,W15,X15-W15),[5]skilldef!$C:$D,2,FALSE),"-") &amp; " / " &amp; IFERROR(VLOOKUP(MID(T15,U15,V15-U15),[5]skilldef!$A:$B,2,FALSE),"-")</f>
        <v>- / -</v>
      </c>
      <c r="Z15" s="44"/>
      <c r="AA15" s="46"/>
      <c r="AB15" s="44"/>
    </row>
    <row r="16" spans="1:28" ht="21" customHeight="1" x14ac:dyDescent="0.15">
      <c r="A16" s="41">
        <v>39003015</v>
      </c>
      <c r="B16" s="128" t="s">
        <v>289</v>
      </c>
      <c r="C16" s="44">
        <v>3</v>
      </c>
      <c r="D16" s="44" t="s">
        <v>126</v>
      </c>
      <c r="E16" s="45" t="s">
        <v>253</v>
      </c>
      <c r="F16" s="45" t="s">
        <v>254</v>
      </c>
      <c r="G16" s="57" t="str">
        <f t="shared" si="0"/>
        <v>[effect:critical, val:1]</v>
      </c>
      <c r="H16" s="57">
        <f t="shared" si="1"/>
        <v>9</v>
      </c>
      <c r="I16" s="57">
        <f t="shared" si="2"/>
        <v>17</v>
      </c>
      <c r="J16" s="57" t="e">
        <f t="shared" si="3"/>
        <v>#VALUE!</v>
      </c>
      <c r="K16" s="57" t="e">
        <f t="shared" si="4"/>
        <v>#VALUE!</v>
      </c>
      <c r="L16" s="57" t="str">
        <f>IFERROR(VLOOKUP(MID(G16,J16,K16-J16),[5]skilldef!$C:$D,2,FALSE),"-") &amp; " / " &amp; IFERROR(VLOOKUP(MID(G16,H16,I16-H16),[5]skilldef!$A:$B,2,FALSE),"-")</f>
        <v>- / 大攻撃</v>
      </c>
      <c r="M16" s="57" t="str">
        <f t="shared" si="5"/>
        <v>[effect:heal, target:enemy_one, val:0.2, animation:enemy_heal]</v>
      </c>
      <c r="N16" s="42" t="str">
        <f>IFERROR(LEFT(M16,FIND("],",M16)+S24),M16)</f>
        <v>[effect:heal, target:enemy_one, val:0.2, animation:enemy_heal]</v>
      </c>
      <c r="O16" s="57">
        <f t="shared" si="6"/>
        <v>9</v>
      </c>
      <c r="P16" s="57">
        <f t="shared" si="7"/>
        <v>13</v>
      </c>
      <c r="Q16" s="57">
        <f t="shared" si="8"/>
        <v>22</v>
      </c>
      <c r="R16" s="57">
        <f t="shared" si="9"/>
        <v>31</v>
      </c>
      <c r="S16" s="57" t="str">
        <f>IFERROR(VLOOKUP(MID(N16,Q16,R16-Q16),[5]skilldef!$C:$D,2,FALSE),"-") &amp; " / " &amp; IFERROR(VLOOKUP(MID(N16,O16,P16-O16),[5]skilldef!$A:$B,2,FALSE),"-")</f>
        <v>敵単体に / 回復</v>
      </c>
      <c r="T16" s="42" t="str">
        <f t="shared" si="10"/>
        <v>none</v>
      </c>
      <c r="U16" s="57" t="e">
        <f t="shared" si="11"/>
        <v>#VALUE!</v>
      </c>
      <c r="V16" s="57">
        <f t="shared" si="12"/>
        <v>4</v>
      </c>
      <c r="W16" s="57" t="e">
        <f t="shared" si="13"/>
        <v>#VALUE!</v>
      </c>
      <c r="X16" s="57" t="e">
        <f t="shared" si="14"/>
        <v>#VALUE!</v>
      </c>
      <c r="Y16" s="57" t="str">
        <f>IFERROR(VLOOKUP(MID(T16,W16,X16-W16),[5]skilldef!$C:$D,2,FALSE),"-") &amp; " / " &amp; IFERROR(VLOOKUP(MID(T16,U16,V16-U16),[5]skilldef!$A:$B,2,FALSE),"-")</f>
        <v>- / -</v>
      </c>
      <c r="Z16" s="44"/>
      <c r="AA16" s="46"/>
      <c r="AB16" s="44"/>
    </row>
    <row r="17" spans="1:28" ht="21" customHeight="1" x14ac:dyDescent="0.15">
      <c r="A17" s="41">
        <v>39003016</v>
      </c>
      <c r="B17" s="128" t="s">
        <v>255</v>
      </c>
      <c r="C17" s="44">
        <v>3</v>
      </c>
      <c r="D17" s="44" t="s">
        <v>216</v>
      </c>
      <c r="E17" s="45" t="s">
        <v>257</v>
      </c>
      <c r="F17" s="45" t="s">
        <v>256</v>
      </c>
      <c r="G17" s="57" t="str">
        <f t="shared" si="0"/>
        <v>[effect:dark, target:unit_all, turn:1, animation:enemy_dark]</v>
      </c>
      <c r="H17" s="57">
        <f t="shared" si="1"/>
        <v>9</v>
      </c>
      <c r="I17" s="57">
        <f t="shared" si="2"/>
        <v>13</v>
      </c>
      <c r="J17" s="57">
        <f t="shared" si="3"/>
        <v>22</v>
      </c>
      <c r="K17" s="57">
        <f t="shared" si="4"/>
        <v>30</v>
      </c>
      <c r="L17" s="57" t="str">
        <f>IFERROR(VLOOKUP(MID(G17,J17,K17-J17),[5]skilldef!$C:$D,2,FALSE),"-") &amp; " / " &amp; IFERROR(VLOOKUP(MID(G17,H17,I17-H17),[5]skilldef!$A:$B,2,FALSE),"-")</f>
        <v>味方全体に / 暗黒</v>
      </c>
      <c r="M17" s="57" t="str">
        <f t="shared" si="5"/>
        <v>none</v>
      </c>
      <c r="N17" s="42" t="str">
        <f>IFERROR(LEFT(M17,FIND("],",M17)+S26),M17)</f>
        <v>none</v>
      </c>
      <c r="O17" s="57" t="e">
        <f t="shared" si="6"/>
        <v>#VALUE!</v>
      </c>
      <c r="P17" s="57">
        <f t="shared" si="7"/>
        <v>4</v>
      </c>
      <c r="Q17" s="57" t="e">
        <f t="shared" si="8"/>
        <v>#VALUE!</v>
      </c>
      <c r="R17" s="57" t="e">
        <f t="shared" si="9"/>
        <v>#VALUE!</v>
      </c>
      <c r="S17" s="57" t="str">
        <f>IFERROR(VLOOKUP(MID(N17,Q17,R17-Q17),[5]skilldef!$C:$D,2,FALSE),"-") &amp; " / " &amp; IFERROR(VLOOKUP(MID(N17,O17,P17-O17),[5]skilldef!$A:$B,2,FALSE),"-")</f>
        <v>- / -</v>
      </c>
      <c r="T17" s="42" t="str">
        <f t="shared" si="10"/>
        <v>none</v>
      </c>
      <c r="U17" s="57" t="e">
        <f t="shared" si="11"/>
        <v>#VALUE!</v>
      </c>
      <c r="V17" s="57">
        <f t="shared" si="12"/>
        <v>4</v>
      </c>
      <c r="W17" s="57" t="e">
        <f t="shared" si="13"/>
        <v>#VALUE!</v>
      </c>
      <c r="X17" s="57" t="e">
        <f t="shared" si="14"/>
        <v>#VALUE!</v>
      </c>
      <c r="Y17" s="57" t="str">
        <f>IFERROR(VLOOKUP(MID(T17,W17,X17-W17),[5]skilldef!$C:$D,2,FALSE),"-") &amp; " / " &amp; IFERROR(VLOOKUP(MID(T17,U17,V17-U17),[5]skilldef!$A:$B,2,FALSE),"-")</f>
        <v>- / -</v>
      </c>
      <c r="Z17" s="44"/>
      <c r="AA17" s="46"/>
      <c r="AB17" s="44"/>
    </row>
    <row r="18" spans="1:28" ht="21" customHeight="1" x14ac:dyDescent="0.15">
      <c r="A18" s="41">
        <v>39003017</v>
      </c>
      <c r="B18" s="128" t="s">
        <v>288</v>
      </c>
      <c r="C18" s="44">
        <v>3</v>
      </c>
      <c r="D18" s="44" t="s">
        <v>126</v>
      </c>
      <c r="E18" s="45" t="s">
        <v>258</v>
      </c>
      <c r="F18" s="45" t="s">
        <v>259</v>
      </c>
      <c r="G18" s="57" t="str">
        <f t="shared" si="0"/>
        <v>[effect:rush, count:3, val:0.4]</v>
      </c>
      <c r="H18" s="57">
        <f t="shared" si="1"/>
        <v>9</v>
      </c>
      <c r="I18" s="57">
        <f t="shared" si="2"/>
        <v>13</v>
      </c>
      <c r="J18" s="57" t="e">
        <f t="shared" si="3"/>
        <v>#VALUE!</v>
      </c>
      <c r="K18" s="57">
        <f t="shared" si="4"/>
        <v>22</v>
      </c>
      <c r="L18" s="57" t="str">
        <f>IFERROR(VLOOKUP(MID(G18,J18,K18-J18),[5]skilldef!$C:$D,2,FALSE),"-") &amp; " / " &amp; IFERROR(VLOOKUP(MID(G18,H18,I18-H18),[5]skilldef!$A:$B,2,FALSE),"-")</f>
        <v>- / 連続攻撃</v>
      </c>
      <c r="M18" s="57" t="str">
        <f t="shared" si="5"/>
        <v>none</v>
      </c>
      <c r="N18" s="42" t="str">
        <f>IFERROR(LEFT(M18,FIND("],",M18)+S28),M18)</f>
        <v>none</v>
      </c>
      <c r="O18" s="57" t="e">
        <f t="shared" si="6"/>
        <v>#VALUE!</v>
      </c>
      <c r="P18" s="57">
        <f t="shared" si="7"/>
        <v>4</v>
      </c>
      <c r="Q18" s="57" t="e">
        <f t="shared" si="8"/>
        <v>#VALUE!</v>
      </c>
      <c r="R18" s="57" t="e">
        <f t="shared" si="9"/>
        <v>#VALUE!</v>
      </c>
      <c r="S18" s="57" t="str">
        <f>IFERROR(VLOOKUP(MID(N18,Q18,R18-Q18),[5]skilldef!$C:$D,2,FALSE),"-") &amp; " / " &amp; IFERROR(VLOOKUP(MID(N18,O18,P18-O18),[5]skilldef!$A:$B,2,FALSE),"-")</f>
        <v>- / -</v>
      </c>
      <c r="T18" s="42" t="str">
        <f t="shared" si="10"/>
        <v>none</v>
      </c>
      <c r="U18" s="57" t="e">
        <f t="shared" si="11"/>
        <v>#VALUE!</v>
      </c>
      <c r="V18" s="57">
        <f t="shared" si="12"/>
        <v>4</v>
      </c>
      <c r="W18" s="57" t="e">
        <f t="shared" si="13"/>
        <v>#VALUE!</v>
      </c>
      <c r="X18" s="57" t="e">
        <f t="shared" si="14"/>
        <v>#VALUE!</v>
      </c>
      <c r="Y18" s="57" t="str">
        <f>IFERROR(VLOOKUP(MID(T18,W18,X18-W18),[5]skilldef!$C:$D,2,FALSE),"-") &amp; " / " &amp; IFERROR(VLOOKUP(MID(T18,U18,V18-U18),[5]skilldef!$A:$B,2,FALSE),"-")</f>
        <v>- / -</v>
      </c>
      <c r="Z18" s="44"/>
      <c r="AA18" s="46"/>
      <c r="AB18" s="44"/>
    </row>
    <row r="19" spans="1:28" ht="21" customHeight="1" x14ac:dyDescent="0.15">
      <c r="A19" s="41">
        <v>39003018</v>
      </c>
      <c r="B19" s="128" t="s">
        <v>260</v>
      </c>
      <c r="C19" s="44">
        <v>3</v>
      </c>
      <c r="D19" s="44" t="s">
        <v>126</v>
      </c>
      <c r="E19" s="45" t="s">
        <v>261</v>
      </c>
      <c r="F19" s="45" t="s">
        <v>262</v>
      </c>
      <c r="G19" s="57" t="str">
        <f t="shared" si="0"/>
        <v>[effect:change_panel_ratio, turn:-1, block_type:blue, val:0.8, animation:block_incidence04]</v>
      </c>
      <c r="H19" s="57">
        <f>FIND("effect:",G19)+7</f>
        <v>9</v>
      </c>
      <c r="I19" s="57">
        <f t="shared" si="2"/>
        <v>27</v>
      </c>
      <c r="J19" s="57" t="e">
        <f t="shared" si="3"/>
        <v>#VALUE!</v>
      </c>
      <c r="K19" s="57">
        <f t="shared" si="4"/>
        <v>36</v>
      </c>
      <c r="L19" s="57" t="str">
        <f>IFERROR(VLOOKUP(MID(G19,J19,K19-J19),[5]skilldef!$C:$D,2,FALSE),"-") &amp; " / " &amp; IFERROR(VLOOKUP(MID(G19,H19,I19-H19),[5]skilldef!$A:$B,2,FALSE),"-")</f>
        <v>- / -</v>
      </c>
      <c r="M19" s="57" t="str">
        <f t="shared" si="5"/>
        <v>none</v>
      </c>
      <c r="N19" s="42" t="str">
        <f>IFERROR(LEFT(M19,FIND("],",M19)+S30),M19)</f>
        <v>none</v>
      </c>
      <c r="O19" s="57" t="e">
        <f>FIND("effect:",N19)+7</f>
        <v>#VALUE!</v>
      </c>
      <c r="P19" s="57">
        <f t="shared" si="7"/>
        <v>4</v>
      </c>
      <c r="Q19" s="57" t="e">
        <f t="shared" si="8"/>
        <v>#VALUE!</v>
      </c>
      <c r="R19" s="57" t="e">
        <f t="shared" si="9"/>
        <v>#VALUE!</v>
      </c>
      <c r="S19" s="57" t="str">
        <f>IFERROR(VLOOKUP(MID(N19,Q19,R19-Q19),[5]skilldef!$C:$D,2,FALSE),"-") &amp; " / " &amp; IFERROR(VLOOKUP(MID(N19,O19,P19-O19),[5]skilldef!$A:$B,2,FALSE),"-")</f>
        <v>- / -</v>
      </c>
      <c r="T19" s="42" t="str">
        <f t="shared" si="10"/>
        <v>none</v>
      </c>
      <c r="U19" s="57" t="e">
        <f>FIND("effect:",T19)+7</f>
        <v>#VALUE!</v>
      </c>
      <c r="V19" s="57">
        <f t="shared" si="12"/>
        <v>4</v>
      </c>
      <c r="W19" s="57" t="e">
        <f t="shared" si="13"/>
        <v>#VALUE!</v>
      </c>
      <c r="X19" s="57" t="e">
        <f t="shared" si="14"/>
        <v>#VALUE!</v>
      </c>
      <c r="Y19" s="57" t="str">
        <f>IFERROR(VLOOKUP(MID(T19,W19,X19-W19),[5]skilldef!$C:$D,2,FALSE),"-") &amp; " / " &amp; IFERROR(VLOOKUP(MID(T19,U19,V19-U19),[5]skilldef!$A:$B,2,FALSE),"-")</f>
        <v>- / -</v>
      </c>
      <c r="Z19" s="44"/>
      <c r="AA19" s="46"/>
      <c r="AB19" s="44"/>
    </row>
    <row r="20" spans="1:28" ht="21" customHeight="1" x14ac:dyDescent="0.15">
      <c r="A20" s="41">
        <v>39003019</v>
      </c>
      <c r="B20" s="128" t="s">
        <v>260</v>
      </c>
      <c r="C20" s="44">
        <v>3</v>
      </c>
      <c r="D20" s="44" t="s">
        <v>126</v>
      </c>
      <c r="E20" s="45" t="s">
        <v>301</v>
      </c>
      <c r="F20" s="45" t="s">
        <v>262</v>
      </c>
      <c r="G20" s="57" t="str">
        <f t="shared" ref="G20" si="45">IFERROR(LEFT(B20,FIND("],",B20)),B20)</f>
        <v>[effect:change_panel_ratio, turn:-1, block_type:blue, val:0.8, animation:block_incidence04]</v>
      </c>
      <c r="H20" s="57">
        <f>FIND("effect:",G20)+7</f>
        <v>9</v>
      </c>
      <c r="I20" s="57">
        <f t="shared" ref="I20" si="46">IFERROR(FIND(",",G20),LEN(G20))</f>
        <v>27</v>
      </c>
      <c r="J20" s="57" t="e">
        <f t="shared" ref="J20" si="47">FIND("target:",G20)+7</f>
        <v>#VALUE!</v>
      </c>
      <c r="K20" s="57">
        <f t="shared" ref="K20" si="48">FIND(",",G20,I20+1)</f>
        <v>36</v>
      </c>
      <c r="L20" s="57" t="str">
        <f>IFERROR(VLOOKUP(MID(G20,J20,K20-J20),[5]skilldef!$C:$D,2,FALSE),"-") &amp; " / " &amp; IFERROR(VLOOKUP(MID(G20,H20,I20-H20),[5]skilldef!$A:$B,2,FALSE),"-")</f>
        <v>- / -</v>
      </c>
      <c r="M20" s="57" t="str">
        <f t="shared" ref="M20" si="49">IFERROR(RIGHT(B20,LEN(B20)-FIND("],",B20)-1),"none")</f>
        <v>none</v>
      </c>
      <c r="N20" s="42" t="str">
        <f>IFERROR(LEFT(M20,FIND("],",M20)+S31),M20)</f>
        <v>none</v>
      </c>
      <c r="O20" s="57" t="e">
        <f>FIND("effect:",N20)+7</f>
        <v>#VALUE!</v>
      </c>
      <c r="P20" s="57">
        <f t="shared" ref="P20" si="50">IFERROR(FIND(",",N20),LEN(N20))</f>
        <v>4</v>
      </c>
      <c r="Q20" s="57" t="e">
        <f t="shared" ref="Q20" si="51">FIND("target:",N20)+7</f>
        <v>#VALUE!</v>
      </c>
      <c r="R20" s="57" t="e">
        <f t="shared" ref="R20" si="52">FIND(",",N20,P20+1)</f>
        <v>#VALUE!</v>
      </c>
      <c r="S20" s="57" t="str">
        <f>IFERROR(VLOOKUP(MID(N20,Q20,R20-Q20),[5]skilldef!$C:$D,2,FALSE),"-") &amp; " / " &amp; IFERROR(VLOOKUP(MID(N20,O20,P20-O20),[5]skilldef!$A:$B,2,FALSE),"-")</f>
        <v>- / -</v>
      </c>
      <c r="T20" s="42" t="str">
        <f t="shared" ref="T20" si="53">IFERROR(RIGHT(M20,LEN(M20)-FIND("],",M20)-1),"none")</f>
        <v>none</v>
      </c>
      <c r="U20" s="57" t="e">
        <f>FIND("effect:",T20)+7</f>
        <v>#VALUE!</v>
      </c>
      <c r="V20" s="57">
        <f t="shared" ref="V20" si="54">IFERROR(FIND(",",T20),LEN(T20))</f>
        <v>4</v>
      </c>
      <c r="W20" s="57" t="e">
        <f t="shared" ref="W20" si="55">FIND("target:",T20)+7</f>
        <v>#VALUE!</v>
      </c>
      <c r="X20" s="57" t="e">
        <f t="shared" ref="X20" si="56">FIND(",",T20,V20+1)</f>
        <v>#VALUE!</v>
      </c>
      <c r="Y20" s="57" t="str">
        <f>IFERROR(VLOOKUP(MID(T20,W20,X20-W20),[5]skilldef!$C:$D,2,FALSE),"-") &amp; " / " &amp; IFERROR(VLOOKUP(MID(T20,U20,V20-U20),[5]skilldef!$A:$B,2,FALSE),"-")</f>
        <v>- / -</v>
      </c>
      <c r="Z20" s="44"/>
      <c r="AA20" s="46"/>
      <c r="AB20" s="44"/>
    </row>
    <row r="21" spans="1:28" ht="21" customHeight="1" x14ac:dyDescent="0.15">
      <c r="A21" s="41">
        <v>39003020</v>
      </c>
      <c r="B21" s="128" t="s">
        <v>304</v>
      </c>
      <c r="C21" s="44">
        <v>3</v>
      </c>
      <c r="D21" s="44" t="s">
        <v>126</v>
      </c>
      <c r="E21" s="45" t="s">
        <v>295</v>
      </c>
      <c r="F21" s="45" t="s">
        <v>322</v>
      </c>
      <c r="G21" s="57" t="str">
        <f t="shared" si="0"/>
        <v>[effect:break_attack, val:0.044, lowest_val:0.2, count:8, block:block_blue, target:unit_all]</v>
      </c>
      <c r="H21" s="57">
        <f t="shared" si="1"/>
        <v>9</v>
      </c>
      <c r="I21" s="57">
        <f t="shared" si="2"/>
        <v>21</v>
      </c>
      <c r="J21" s="57">
        <f t="shared" si="3"/>
        <v>84</v>
      </c>
      <c r="K21" s="57">
        <f t="shared" si="4"/>
        <v>32</v>
      </c>
      <c r="L21" s="57" t="str">
        <f>IFERROR(VLOOKUP(MID(G21,J21,K21-J21),[5]skilldef!$C:$D,2,FALSE),"-") &amp; " / " &amp; IFERROR(VLOOKUP(MID(G21,H21,I21-H21),[5]skilldef!$A:$B,2,FALSE),"-")</f>
        <v>- / -</v>
      </c>
      <c r="M21" s="57" t="str">
        <f t="shared" si="5"/>
        <v>none</v>
      </c>
      <c r="N21" s="42" t="str">
        <f>IFERROR(LEFT(M21,FIND("],",M21)+S31),M21)</f>
        <v>none</v>
      </c>
      <c r="O21" s="57" t="e">
        <f t="shared" si="6"/>
        <v>#VALUE!</v>
      </c>
      <c r="P21" s="57">
        <f t="shared" si="7"/>
        <v>4</v>
      </c>
      <c r="Q21" s="57" t="e">
        <f t="shared" si="8"/>
        <v>#VALUE!</v>
      </c>
      <c r="R21" s="57" t="e">
        <f t="shared" si="9"/>
        <v>#VALUE!</v>
      </c>
      <c r="S21" s="57" t="str">
        <f>IFERROR(VLOOKUP(MID(N21,Q21,R21-Q21),[5]skilldef!$C:$D,2,FALSE),"-") &amp; " / " &amp; IFERROR(VLOOKUP(MID(N21,O21,P21-O21),[5]skilldef!$A:$B,2,FALSE),"-")</f>
        <v>- / -</v>
      </c>
      <c r="T21" s="42" t="str">
        <f t="shared" si="10"/>
        <v>none</v>
      </c>
      <c r="U21" s="57" t="e">
        <f t="shared" si="11"/>
        <v>#VALUE!</v>
      </c>
      <c r="V21" s="57">
        <f t="shared" si="12"/>
        <v>4</v>
      </c>
      <c r="W21" s="57" t="e">
        <f t="shared" si="13"/>
        <v>#VALUE!</v>
      </c>
      <c r="X21" s="57" t="e">
        <f t="shared" si="14"/>
        <v>#VALUE!</v>
      </c>
      <c r="Y21" s="57" t="str">
        <f>IFERROR(VLOOKUP(MID(T21,W21,X21-W21),[5]skilldef!$C:$D,2,FALSE),"-") &amp; " / " &amp; IFERROR(VLOOKUP(MID(T21,U21,V21-U21),[5]skilldef!$A:$B,2,FALSE),"-")</f>
        <v>- / -</v>
      </c>
      <c r="Z21" s="44"/>
      <c r="AA21" s="46"/>
      <c r="AB21" s="44"/>
    </row>
    <row r="22" spans="1:28" ht="21" customHeight="1" x14ac:dyDescent="0.15">
      <c r="A22" s="41">
        <v>39003021</v>
      </c>
      <c r="B22" s="128" t="s">
        <v>280</v>
      </c>
      <c r="C22" s="44">
        <v>3</v>
      </c>
      <c r="D22" s="44" t="s">
        <v>126</v>
      </c>
      <c r="E22" s="45" t="s">
        <v>296</v>
      </c>
      <c r="F22" s="45" t="s">
        <v>263</v>
      </c>
      <c r="G22" s="57" t="str">
        <f t="shared" ref="G22" si="57">IFERROR(LEFT(B22,FIND("],",B22)),B22)</f>
        <v>[effect:change_block, new_block:block_blue, target:block_yellow, count:8, val:0, animation:change_block]</v>
      </c>
      <c r="H22" s="57">
        <f t="shared" ref="H22" si="58">FIND("effect:",G22)+7</f>
        <v>9</v>
      </c>
      <c r="I22" s="57">
        <f t="shared" ref="I22" si="59">IFERROR(FIND(",",G22),LEN(G22))</f>
        <v>21</v>
      </c>
      <c r="J22" s="57">
        <f t="shared" ref="J22" si="60">FIND("target:",G22)+7</f>
        <v>52</v>
      </c>
      <c r="K22" s="57">
        <f t="shared" ref="K22" si="61">FIND(",",G22,I22+1)</f>
        <v>43</v>
      </c>
      <c r="L22" s="57" t="str">
        <f>IFERROR(VLOOKUP(MID(G22,J22,K22-J22),[5]skilldef!$C:$D,2,FALSE),"-") &amp; " / " &amp; IFERROR(VLOOKUP(MID(G22,H22,I22-H22),[5]skilldef!$A:$B,2,FALSE),"-")</f>
        <v>- / ブロック変換</v>
      </c>
      <c r="M22" s="57" t="str">
        <f t="shared" ref="M22" si="62">IFERROR(RIGHT(B22,LEN(B22)-FIND("],",B22)-1),"none")</f>
        <v>[effect:critical, val:1]</v>
      </c>
      <c r="N22" s="42" t="str">
        <f>IFERROR(LEFT(M22,FIND("],",M22)+S32),M22)</f>
        <v>[effect:critical, val:1]</v>
      </c>
      <c r="O22" s="57">
        <f t="shared" ref="O22" si="63">FIND("effect:",N22)+7</f>
        <v>9</v>
      </c>
      <c r="P22" s="57">
        <f t="shared" ref="P22" si="64">IFERROR(FIND(",",N22),LEN(N22))</f>
        <v>17</v>
      </c>
      <c r="Q22" s="57" t="e">
        <f t="shared" ref="Q22" si="65">FIND("target:",N22)+7</f>
        <v>#VALUE!</v>
      </c>
      <c r="R22" s="57" t="e">
        <f t="shared" ref="R22" si="66">FIND(",",N22,P22+1)</f>
        <v>#VALUE!</v>
      </c>
      <c r="S22" s="57" t="str">
        <f>IFERROR(VLOOKUP(MID(N22,Q22,R22-Q22),[5]skilldef!$C:$D,2,FALSE),"-") &amp; " / " &amp; IFERROR(VLOOKUP(MID(N22,O22,P22-O22),[5]skilldef!$A:$B,2,FALSE),"-")</f>
        <v>- / 大攻撃</v>
      </c>
      <c r="T22" s="42" t="str">
        <f t="shared" ref="T22" si="67">IFERROR(RIGHT(M22,LEN(M22)-FIND("],",M22)-1),"none")</f>
        <v>none</v>
      </c>
      <c r="U22" s="57" t="e">
        <f t="shared" ref="U22" si="68">FIND("effect:",T22)+7</f>
        <v>#VALUE!</v>
      </c>
      <c r="V22" s="57">
        <f t="shared" ref="V22" si="69">IFERROR(FIND(",",T22),LEN(T22))</f>
        <v>4</v>
      </c>
      <c r="W22" s="57" t="e">
        <f t="shared" ref="W22" si="70">FIND("target:",T22)+7</f>
        <v>#VALUE!</v>
      </c>
      <c r="X22" s="57" t="e">
        <f t="shared" ref="X22" si="71">FIND(",",T22,V22+1)</f>
        <v>#VALUE!</v>
      </c>
      <c r="Y22" s="57" t="str">
        <f>IFERROR(VLOOKUP(MID(T22,W22,X22-W22),[5]skilldef!$C:$D,2,FALSE),"-") &amp; " / " &amp; IFERROR(VLOOKUP(MID(T22,U22,V22-U22),[5]skilldef!$A:$B,2,FALSE),"-")</f>
        <v>- / -</v>
      </c>
      <c r="Z22" s="44"/>
      <c r="AA22" s="46"/>
      <c r="AB22" s="44"/>
    </row>
    <row r="23" spans="1:28" ht="21" customHeight="1" x14ac:dyDescent="0.15">
      <c r="A23" s="41">
        <v>39003022</v>
      </c>
      <c r="B23" s="128" t="s">
        <v>281</v>
      </c>
      <c r="C23" s="44">
        <v>3</v>
      </c>
      <c r="D23" s="44" t="s">
        <v>126</v>
      </c>
      <c r="E23" s="45" t="s">
        <v>297</v>
      </c>
      <c r="F23" s="45" t="s">
        <v>285</v>
      </c>
      <c r="G23" s="57" t="str">
        <f t="shared" ref="G23:G24" si="72">IFERROR(LEFT(B23,FIND("],",B23)),B23)</f>
        <v>[effect:rush, count:4, val:0.3]</v>
      </c>
      <c r="H23" s="57">
        <f t="shared" ref="H23:H24" si="73">FIND("effect:",G23)+7</f>
        <v>9</v>
      </c>
      <c r="I23" s="57">
        <f t="shared" ref="I23:I24" si="74">IFERROR(FIND(",",G23),LEN(G23))</f>
        <v>13</v>
      </c>
      <c r="J23" s="57" t="e">
        <f t="shared" ref="J23:J24" si="75">FIND("target:",G23)+7</f>
        <v>#VALUE!</v>
      </c>
      <c r="K23" s="57">
        <f t="shared" ref="K23:K24" si="76">FIND(",",G23,I23+1)</f>
        <v>22</v>
      </c>
      <c r="L23" s="57" t="str">
        <f>IFERROR(VLOOKUP(MID(G23,J23,K23-J23),[5]skilldef!$C:$D,2,FALSE),"-") &amp; " / " &amp; IFERROR(VLOOKUP(MID(G23,H23,I23-H23),[5]skilldef!$A:$B,2,FALSE),"-")</f>
        <v>- / 連続攻撃</v>
      </c>
      <c r="M23" s="57" t="str">
        <f t="shared" ref="M23:M24" si="77">IFERROR(RIGHT(B23,LEN(B23)-FIND("],",B23)-1),"none")</f>
        <v>none</v>
      </c>
      <c r="N23" s="42" t="str">
        <f>IFERROR(LEFT(M23,FIND("],",M23)+S33),M23)</f>
        <v>none</v>
      </c>
      <c r="O23" s="57" t="e">
        <f t="shared" ref="O23:O24" si="78">FIND("effect:",N23)+7</f>
        <v>#VALUE!</v>
      </c>
      <c r="P23" s="57">
        <f t="shared" ref="P23:P24" si="79">IFERROR(FIND(",",N23),LEN(N23))</f>
        <v>4</v>
      </c>
      <c r="Q23" s="57" t="e">
        <f t="shared" ref="Q23:Q24" si="80">FIND("target:",N23)+7</f>
        <v>#VALUE!</v>
      </c>
      <c r="R23" s="57" t="e">
        <f t="shared" ref="R23:R24" si="81">FIND(",",N23,P23+1)</f>
        <v>#VALUE!</v>
      </c>
      <c r="S23" s="57" t="str">
        <f>IFERROR(VLOOKUP(MID(N23,Q23,R23-Q23),[5]skilldef!$C:$D,2,FALSE),"-") &amp; " / " &amp; IFERROR(VLOOKUP(MID(N23,O23,P23-O23),[5]skilldef!$A:$B,2,FALSE),"-")</f>
        <v>- / -</v>
      </c>
      <c r="T23" s="42" t="str">
        <f t="shared" ref="T23:T24" si="82">IFERROR(RIGHT(M23,LEN(M23)-FIND("],",M23)-1),"none")</f>
        <v>none</v>
      </c>
      <c r="U23" s="57" t="e">
        <f t="shared" ref="U23:U24" si="83">FIND("effect:",T23)+7</f>
        <v>#VALUE!</v>
      </c>
      <c r="V23" s="57">
        <f t="shared" ref="V23:V24" si="84">IFERROR(FIND(",",T23),LEN(T23))</f>
        <v>4</v>
      </c>
      <c r="W23" s="57" t="e">
        <f t="shared" ref="W23:W24" si="85">FIND("target:",T23)+7</f>
        <v>#VALUE!</v>
      </c>
      <c r="X23" s="57" t="e">
        <f t="shared" ref="X23:X24" si="86">FIND(",",T23,V23+1)</f>
        <v>#VALUE!</v>
      </c>
      <c r="Y23" s="57" t="str">
        <f>IFERROR(VLOOKUP(MID(T23,W23,X23-W23),[5]skilldef!$C:$D,2,FALSE),"-") &amp; " / " &amp; IFERROR(VLOOKUP(MID(T23,U23,V23-U23),[5]skilldef!$A:$B,2,FALSE),"-")</f>
        <v>- / -</v>
      </c>
      <c r="Z23" s="44"/>
      <c r="AA23" s="46"/>
      <c r="AB23" s="44"/>
    </row>
    <row r="24" spans="1:28" ht="21" customHeight="1" x14ac:dyDescent="0.15">
      <c r="A24" s="41">
        <v>39003023</v>
      </c>
      <c r="B24" s="128" t="s">
        <v>277</v>
      </c>
      <c r="C24" s="44">
        <v>3</v>
      </c>
      <c r="D24" s="44" t="s">
        <v>126</v>
      </c>
      <c r="E24" s="45" t="s">
        <v>300</v>
      </c>
      <c r="F24" s="45" t="s">
        <v>320</v>
      </c>
      <c r="G24" s="57" t="str">
        <f t="shared" si="72"/>
        <v>[effect:dis_panel, target:block_blue, turn:-1, animation:enemy_dis_blue]</v>
      </c>
      <c r="H24" s="57">
        <f t="shared" si="73"/>
        <v>9</v>
      </c>
      <c r="I24" s="57">
        <f t="shared" si="74"/>
        <v>18</v>
      </c>
      <c r="J24" s="57">
        <f t="shared" si="75"/>
        <v>27</v>
      </c>
      <c r="K24" s="57">
        <f t="shared" si="76"/>
        <v>37</v>
      </c>
      <c r="L24" s="57" t="str">
        <f>IFERROR(VLOOKUP(MID(G24,J24,K24-J24),[5]skilldef!$C:$D,2,FALSE),"-") &amp; " / " &amp; IFERROR(VLOOKUP(MID(G24,H24,I24-H24),[5]skilldef!$A:$B,2,FALSE),"-")</f>
        <v>青パネルを / ディスパネル</v>
      </c>
      <c r="M24" s="57" t="str">
        <f t="shared" si="77"/>
        <v>[effect:suicide, val:1, dead_type:escape, target:enemy_animal]</v>
      </c>
      <c r="N24" s="42" t="str">
        <f>IFERROR(LEFT(M24,FIND("],",M24)+S34),M24)</f>
        <v>[effect:suicide, val:1, dead_type:escape, target:enemy_animal]</v>
      </c>
      <c r="O24" s="57">
        <f t="shared" si="78"/>
        <v>9</v>
      </c>
      <c r="P24" s="57">
        <f t="shared" si="79"/>
        <v>16</v>
      </c>
      <c r="Q24" s="57">
        <f t="shared" si="80"/>
        <v>50</v>
      </c>
      <c r="R24" s="57">
        <f t="shared" si="81"/>
        <v>23</v>
      </c>
      <c r="S24" s="57" t="str">
        <f>IFERROR(VLOOKUP(MID(N24,Q24,R24-Q24),[5]skilldef!$C:$D,2,FALSE),"-") &amp; " / " &amp; IFERROR(VLOOKUP(MID(N24,O24,P24-O24),[5]skilldef!$A:$B,2,FALSE),"-")</f>
        <v>- / -</v>
      </c>
      <c r="T24" s="42" t="str">
        <f t="shared" si="82"/>
        <v>none</v>
      </c>
      <c r="U24" s="57" t="e">
        <f t="shared" si="83"/>
        <v>#VALUE!</v>
      </c>
      <c r="V24" s="57">
        <f t="shared" si="84"/>
        <v>4</v>
      </c>
      <c r="W24" s="57" t="e">
        <f t="shared" si="85"/>
        <v>#VALUE!</v>
      </c>
      <c r="X24" s="57" t="e">
        <f t="shared" si="86"/>
        <v>#VALUE!</v>
      </c>
      <c r="Y24" s="57" t="str">
        <f>IFERROR(VLOOKUP(MID(T24,W24,X24-W24),[5]skilldef!$C:$D,2,FALSE),"-") &amp; " / " &amp; IFERROR(VLOOKUP(MID(T24,U24,V24-U24),[5]skilldef!$A:$B,2,FALSE),"-")</f>
        <v>- / -</v>
      </c>
      <c r="Z24" s="44"/>
      <c r="AA24" s="46"/>
      <c r="AB24" s="44"/>
    </row>
    <row r="25" spans="1:28" ht="21" customHeight="1" x14ac:dyDescent="0.15">
      <c r="A25" s="41">
        <v>39003024</v>
      </c>
      <c r="B25" s="128" t="s">
        <v>276</v>
      </c>
      <c r="C25" s="44">
        <v>3</v>
      </c>
      <c r="D25" s="44" t="s">
        <v>126</v>
      </c>
      <c r="E25" s="45" t="s">
        <v>299</v>
      </c>
      <c r="F25" s="45" t="s">
        <v>320</v>
      </c>
      <c r="G25" s="57" t="str">
        <f t="shared" ref="G25" si="87">IFERROR(LEFT(B25,FIND("],",B25)),B25)</f>
        <v>[effect:dis_panel, target:block_blue, turn:-1, animation:enemy_dis_blue]</v>
      </c>
      <c r="H25" s="57">
        <f t="shared" ref="H25" si="88">FIND("effect:",G25)+7</f>
        <v>9</v>
      </c>
      <c r="I25" s="57">
        <f t="shared" ref="I25" si="89">IFERROR(FIND(",",G25),LEN(G25))</f>
        <v>18</v>
      </c>
      <c r="J25" s="57">
        <f t="shared" ref="J25" si="90">FIND("target:",G25)+7</f>
        <v>27</v>
      </c>
      <c r="K25" s="57">
        <f t="shared" ref="K25" si="91">FIND(",",G25,I25+1)</f>
        <v>37</v>
      </c>
      <c r="L25" s="57" t="str">
        <f>IFERROR(VLOOKUP(MID(G25,J25,K25-J25),[5]skilldef!$C:$D,2,FALSE),"-") &amp; " / " &amp; IFERROR(VLOOKUP(MID(G25,H25,I25-H25),[5]skilldef!$A:$B,2,FALSE),"-")</f>
        <v>青パネルを / ディスパネル</v>
      </c>
      <c r="M25" s="57" t="str">
        <f t="shared" ref="M25" si="92">IFERROR(RIGHT(B25,LEN(B25)-FIND("],",B25)-1),"none")</f>
        <v>[effect:suicide, val:1, dead_type:escape, target:enemy_animal]</v>
      </c>
      <c r="N25" s="42" t="str">
        <f>IFERROR(LEFT(M25,FIND("],",M25)+S35),M25)</f>
        <v>[effect:suicide, val:1, dead_type:escape, target:enemy_animal]</v>
      </c>
      <c r="O25" s="57">
        <f t="shared" ref="O25" si="93">FIND("effect:",N25)+7</f>
        <v>9</v>
      </c>
      <c r="P25" s="57">
        <f t="shared" ref="P25" si="94">IFERROR(FIND(",",N25),LEN(N25))</f>
        <v>16</v>
      </c>
      <c r="Q25" s="57">
        <f t="shared" ref="Q25" si="95">FIND("target:",N25)+7</f>
        <v>50</v>
      </c>
      <c r="R25" s="57">
        <f t="shared" ref="R25" si="96">FIND(",",N25,P25+1)</f>
        <v>23</v>
      </c>
      <c r="S25" s="57" t="str">
        <f>IFERROR(VLOOKUP(MID(N25,Q25,R25-Q25),[5]skilldef!$C:$D,2,FALSE),"-") &amp; " / " &amp; IFERROR(VLOOKUP(MID(N25,O25,P25-O25),[5]skilldef!$A:$B,2,FALSE),"-")</f>
        <v>- / -</v>
      </c>
      <c r="T25" s="42" t="str">
        <f t="shared" ref="T25" si="97">IFERROR(RIGHT(M25,LEN(M25)-FIND("],",M25)-1),"none")</f>
        <v>none</v>
      </c>
      <c r="U25" s="57" t="e">
        <f t="shared" ref="U25" si="98">FIND("effect:",T25)+7</f>
        <v>#VALUE!</v>
      </c>
      <c r="V25" s="57">
        <f t="shared" ref="V25" si="99">IFERROR(FIND(",",T25),LEN(T25))</f>
        <v>4</v>
      </c>
      <c r="W25" s="57" t="e">
        <f t="shared" ref="W25" si="100">FIND("target:",T25)+7</f>
        <v>#VALUE!</v>
      </c>
      <c r="X25" s="57" t="e">
        <f t="shared" ref="X25" si="101">FIND(",",T25,V25+1)</f>
        <v>#VALUE!</v>
      </c>
      <c r="Y25" s="57" t="str">
        <f>IFERROR(VLOOKUP(MID(T25,W25,X25-W25),[5]skilldef!$C:$D,2,FALSE),"-") &amp; " / " &amp; IFERROR(VLOOKUP(MID(T25,U25,V25-U25),[5]skilldef!$A:$B,2,FALSE),"-")</f>
        <v>- / -</v>
      </c>
      <c r="Z25" s="44"/>
      <c r="AA25" s="46"/>
      <c r="AB25" s="44"/>
    </row>
    <row r="26" spans="1:28" ht="21" customHeight="1" x14ac:dyDescent="0.15">
      <c r="A26" s="41">
        <v>39003025</v>
      </c>
      <c r="B26" s="128" t="s">
        <v>287</v>
      </c>
      <c r="C26" s="44">
        <v>3</v>
      </c>
      <c r="D26" s="44" t="s">
        <v>126</v>
      </c>
      <c r="E26" s="45" t="s">
        <v>298</v>
      </c>
      <c r="F26" s="45" t="s">
        <v>325</v>
      </c>
      <c r="G26" s="57" t="str">
        <f t="shared" ref="G26" si="102">IFERROR(LEFT(B26,FIND("],",B26)),B26)</f>
        <v>[effect:spread, val:0.3]</v>
      </c>
      <c r="H26" s="57">
        <f t="shared" ref="H26" si="103">FIND("effect:",G26)+7</f>
        <v>9</v>
      </c>
      <c r="I26" s="57">
        <f t="shared" ref="I26" si="104">IFERROR(FIND(",",G26),LEN(G26))</f>
        <v>15</v>
      </c>
      <c r="J26" s="57" t="e">
        <f t="shared" ref="J26" si="105">FIND("target:",G26)+7</f>
        <v>#VALUE!</v>
      </c>
      <c r="K26" s="57" t="e">
        <f t="shared" ref="K26" si="106">FIND(",",G26,I26+1)</f>
        <v>#VALUE!</v>
      </c>
      <c r="L26" s="57" t="str">
        <f>IFERROR(VLOOKUP(MID(G26,J26,K26-J26),[5]skilldef!$C:$D,2,FALSE),"-") &amp; " / " &amp; IFERROR(VLOOKUP(MID(G26,H26,I26-H26),[5]skilldef!$A:$B,2,FALSE),"-")</f>
        <v>- / 全体攻撃</v>
      </c>
      <c r="M26" s="57" t="str">
        <f t="shared" ref="M26" si="107">IFERROR(RIGHT(B26,LEN(B26)-FIND("],",B26)-1),"none")</f>
        <v>[effect:hungup, target:unit_all, turn:4, rate:1, animation:hungup01]</v>
      </c>
      <c r="N26" s="42" t="str">
        <f>IFERROR(LEFT(M26,FIND("],",M26)+S35),M26)</f>
        <v>[effect:hungup, target:unit_all, turn:4, rate:1, animation:hungup01]</v>
      </c>
      <c r="O26" s="57">
        <f t="shared" ref="O26" si="108">FIND("effect:",N26)+7</f>
        <v>9</v>
      </c>
      <c r="P26" s="57">
        <f t="shared" ref="P26" si="109">IFERROR(FIND(",",N26),LEN(N26))</f>
        <v>15</v>
      </c>
      <c r="Q26" s="57">
        <f t="shared" ref="Q26" si="110">FIND("target:",N26)+7</f>
        <v>24</v>
      </c>
      <c r="R26" s="57">
        <f t="shared" ref="R26" si="111">FIND(",",N26,P26+1)</f>
        <v>32</v>
      </c>
      <c r="S26" s="57" t="str">
        <f>IFERROR(VLOOKUP(MID(N26,Q26,R26-Q26),[5]skilldef!$C:$D,2,FALSE),"-") &amp; " / " &amp; IFERROR(VLOOKUP(MID(N26,O26,P26-O26),[5]skilldef!$A:$B,2,FALSE),"-")</f>
        <v>味方全体に / ハングアップ</v>
      </c>
      <c r="T26" s="42" t="str">
        <f t="shared" ref="T26" si="112">IFERROR(RIGHT(M26,LEN(M26)-FIND("],",M26)-1),"none")</f>
        <v>none</v>
      </c>
      <c r="U26" s="57" t="e">
        <f t="shared" ref="U26" si="113">FIND("effect:",T26)+7</f>
        <v>#VALUE!</v>
      </c>
      <c r="V26" s="57">
        <f t="shared" ref="V26" si="114">IFERROR(FIND(",",T26),LEN(T26))</f>
        <v>4</v>
      </c>
      <c r="W26" s="57" t="e">
        <f t="shared" ref="W26" si="115">FIND("target:",T26)+7</f>
        <v>#VALUE!</v>
      </c>
      <c r="X26" s="57" t="e">
        <f t="shared" ref="X26" si="116">FIND(",",T26,V26+1)</f>
        <v>#VALUE!</v>
      </c>
      <c r="Y26" s="57" t="str">
        <f>IFERROR(VLOOKUP(MID(T26,W26,X26-W26),[5]skilldef!$C:$D,2,FALSE),"-") &amp; " / " &amp; IFERROR(VLOOKUP(MID(T26,U26,V26-U26),[5]skilldef!$A:$B,2,FALSE),"-")</f>
        <v>- / -</v>
      </c>
      <c r="Z26" s="44"/>
      <c r="AA26" s="46"/>
      <c r="AB26" s="44"/>
    </row>
    <row r="27" spans="1:28" ht="21" customHeight="1" x14ac:dyDescent="0.15">
      <c r="A27" s="41">
        <v>39003026</v>
      </c>
      <c r="B27" s="128" t="s">
        <v>286</v>
      </c>
      <c r="C27" s="44">
        <v>3</v>
      </c>
      <c r="D27" s="44" t="s">
        <v>126</v>
      </c>
      <c r="E27" s="45" t="s">
        <v>266</v>
      </c>
      <c r="F27" s="45" t="s">
        <v>267</v>
      </c>
      <c r="G27" s="57" t="str">
        <f t="shared" ref="G27" si="117">IFERROR(LEFT(B27,FIND("],",B27)),B27)</f>
        <v>[effect:enemy_message, val1:4, val2:4, dead_type:suicide]</v>
      </c>
      <c r="H27" s="57">
        <f t="shared" ref="H27" si="118">FIND("effect:",G27)+7</f>
        <v>9</v>
      </c>
      <c r="I27" s="57">
        <f t="shared" ref="I27" si="119">IFERROR(FIND(",",G27),LEN(G27))</f>
        <v>22</v>
      </c>
      <c r="J27" s="57" t="e">
        <f t="shared" ref="J27" si="120">FIND("target:",G27)+7</f>
        <v>#VALUE!</v>
      </c>
      <c r="K27" s="57">
        <f t="shared" ref="K27" si="121">FIND(",",G27,I27+1)</f>
        <v>30</v>
      </c>
      <c r="L27" s="57" t="str">
        <f>IFERROR(VLOOKUP(MID(G27,J27,K27-J27),[5]skilldef!$C:$D,2,FALSE),"-") &amp; " / " &amp; IFERROR(VLOOKUP(MID(G27,H27,I27-H27),[5]skilldef!$A:$B,2,FALSE),"-")</f>
        <v>- / -</v>
      </c>
      <c r="M27" s="57" t="str">
        <f t="shared" ref="M27" si="122">IFERROR(RIGHT(B27,LEN(B27)-FIND("],",B27)-1),"none")</f>
        <v>none</v>
      </c>
      <c r="N27" s="42" t="str">
        <f>IFERROR(LEFT(M27,FIND("],",M27)+S36),M27)</f>
        <v>none</v>
      </c>
      <c r="O27" s="57" t="e">
        <f t="shared" ref="O27" si="123">FIND("effect:",N27)+7</f>
        <v>#VALUE!</v>
      </c>
      <c r="P27" s="57">
        <f t="shared" ref="P27" si="124">IFERROR(FIND(",",N27),LEN(N27))</f>
        <v>4</v>
      </c>
      <c r="Q27" s="57" t="e">
        <f t="shared" ref="Q27" si="125">FIND("target:",N27)+7</f>
        <v>#VALUE!</v>
      </c>
      <c r="R27" s="57" t="e">
        <f t="shared" ref="R27" si="126">FIND(",",N27,P27+1)</f>
        <v>#VALUE!</v>
      </c>
      <c r="S27" s="57" t="str">
        <f>IFERROR(VLOOKUP(MID(N27,Q27,R27-Q27),[5]skilldef!$C:$D,2,FALSE),"-") &amp; " / " &amp; IFERROR(VLOOKUP(MID(N27,O27,P27-O27),[5]skilldef!$A:$B,2,FALSE),"-")</f>
        <v>- / -</v>
      </c>
      <c r="T27" s="42" t="str">
        <f t="shared" ref="T27" si="127">IFERROR(RIGHT(M27,LEN(M27)-FIND("],",M27)-1),"none")</f>
        <v>none</v>
      </c>
      <c r="U27" s="57" t="e">
        <f t="shared" ref="U27" si="128">FIND("effect:",T27)+7</f>
        <v>#VALUE!</v>
      </c>
      <c r="V27" s="57">
        <f t="shared" ref="V27" si="129">IFERROR(FIND(",",T27),LEN(T27))</f>
        <v>4</v>
      </c>
      <c r="W27" s="57" t="e">
        <f t="shared" ref="W27" si="130">FIND("target:",T27)+7</f>
        <v>#VALUE!</v>
      </c>
      <c r="X27" s="57" t="e">
        <f t="shared" ref="X27" si="131">FIND(",",T27,V27+1)</f>
        <v>#VALUE!</v>
      </c>
      <c r="Y27" s="57" t="str">
        <f>IFERROR(VLOOKUP(MID(T27,W27,X27-W27),[5]skilldef!$C:$D,2,FALSE),"-") &amp; " / " &amp; IFERROR(VLOOKUP(MID(T27,U27,V27-U27),[5]skilldef!$A:$B,2,FALSE),"-")</f>
        <v>- / -</v>
      </c>
      <c r="Z27" s="44"/>
      <c r="AA27" s="46"/>
      <c r="AB27" s="44"/>
    </row>
    <row r="28" spans="1:28" ht="21" customHeight="1" x14ac:dyDescent="0.15">
      <c r="A28" s="41">
        <v>39003027</v>
      </c>
      <c r="B28" s="128" t="s">
        <v>265</v>
      </c>
      <c r="C28" s="44">
        <v>3</v>
      </c>
      <c r="D28" s="44" t="s">
        <v>126</v>
      </c>
      <c r="E28" s="45" t="s">
        <v>264</v>
      </c>
      <c r="F28" s="45" t="s">
        <v>321</v>
      </c>
      <c r="G28" s="57" t="str">
        <f t="shared" ref="G28:G29" si="132">IFERROR(LEFT(B28,FIND("],",B28)),B28)</f>
        <v>[effect:damage_anti_tribe, target:unit_one, tribe:machine, val1:2, val2:1]</v>
      </c>
      <c r="H28" s="57">
        <f t="shared" ref="H28:H29" si="133">FIND("effect:",G28)+7</f>
        <v>9</v>
      </c>
      <c r="I28" s="57">
        <f t="shared" ref="I28:I29" si="134">IFERROR(FIND(",",G28),LEN(G28))</f>
        <v>26</v>
      </c>
      <c r="J28" s="57">
        <f t="shared" ref="J28:J29" si="135">FIND("target:",G28)+7</f>
        <v>35</v>
      </c>
      <c r="K28" s="57">
        <f t="shared" ref="K28:K29" si="136">FIND(",",G28,I28+1)</f>
        <v>43</v>
      </c>
      <c r="L28" s="57" t="str">
        <f>IFERROR(VLOOKUP(MID(G28,J28,K28-J28),[5]skilldef!$C:$D,2,FALSE),"-") &amp; " / " &amp; IFERROR(VLOOKUP(MID(G28,H28,I28-H28),[5]skilldef!$A:$B,2,FALSE),"-")</f>
        <v>味方単体に / 種族キラー</v>
      </c>
      <c r="M28" s="57" t="str">
        <f t="shared" ref="M28:M29" si="137">IFERROR(RIGHT(B28,LEN(B28)-FIND("],",B28)-1),"none")</f>
        <v>none</v>
      </c>
      <c r="N28" s="42" t="str">
        <f t="shared" ref="N28" si="138">IFERROR(LEFT(M28,FIND("],",M28)+S37),M28)</f>
        <v>none</v>
      </c>
      <c r="O28" s="57" t="e">
        <f t="shared" ref="O28:O29" si="139">FIND("effect:",N28)+7</f>
        <v>#VALUE!</v>
      </c>
      <c r="P28" s="57">
        <f t="shared" ref="P28:P29" si="140">IFERROR(FIND(",",N28),LEN(N28))</f>
        <v>4</v>
      </c>
      <c r="Q28" s="57" t="e">
        <f t="shared" ref="Q28:Q29" si="141">FIND("target:",N28)+7</f>
        <v>#VALUE!</v>
      </c>
      <c r="R28" s="57" t="e">
        <f t="shared" ref="R28:R29" si="142">FIND(",",N28,P28+1)</f>
        <v>#VALUE!</v>
      </c>
      <c r="S28" s="57" t="str">
        <f>IFERROR(VLOOKUP(MID(N28,Q28,R28-Q28),[5]skilldef!$C:$D,2,FALSE),"-") &amp; " / " &amp; IFERROR(VLOOKUP(MID(N28,O28,P28-O28),[5]skilldef!$A:$B,2,FALSE),"-")</f>
        <v>- / -</v>
      </c>
      <c r="T28" s="42" t="str">
        <f t="shared" ref="T28:T29" si="143">IFERROR(RIGHT(M28,LEN(M28)-FIND("],",M28)-1),"none")</f>
        <v>none</v>
      </c>
      <c r="U28" s="57" t="e">
        <f t="shared" ref="U28:U29" si="144">FIND("effect:",T28)+7</f>
        <v>#VALUE!</v>
      </c>
      <c r="V28" s="57">
        <f t="shared" ref="V28:V29" si="145">IFERROR(FIND(",",T28),LEN(T28))</f>
        <v>4</v>
      </c>
      <c r="W28" s="57" t="e">
        <f t="shared" ref="W28:W29" si="146">FIND("target:",T28)+7</f>
        <v>#VALUE!</v>
      </c>
      <c r="X28" s="57" t="e">
        <f t="shared" ref="X28:X29" si="147">FIND(",",T28,V28+1)</f>
        <v>#VALUE!</v>
      </c>
      <c r="Y28" s="57" t="str">
        <f>IFERROR(VLOOKUP(MID(T28,W28,X28-W28),[5]skilldef!$C:$D,2,FALSE),"-") &amp; " / " &amp; IFERROR(VLOOKUP(MID(T28,U28,V28-U28),[5]skilldef!$A:$B,2,FALSE),"-")</f>
        <v>- / -</v>
      </c>
      <c r="Z28" s="44"/>
      <c r="AA28" s="46"/>
      <c r="AB28" s="44"/>
    </row>
    <row r="29" spans="1:28" ht="21" customHeight="1" x14ac:dyDescent="0.15">
      <c r="A29" s="41">
        <v>39003028</v>
      </c>
      <c r="B29" s="128" t="s">
        <v>282</v>
      </c>
      <c r="C29" s="44">
        <v>3</v>
      </c>
      <c r="D29" s="44" t="s">
        <v>126</v>
      </c>
      <c r="E29" s="45" t="s">
        <v>283</v>
      </c>
      <c r="F29" s="45" t="s">
        <v>284</v>
      </c>
      <c r="G29" s="57" t="str">
        <f t="shared" si="132"/>
        <v>[effect:rush, count:2, val:0.6]</v>
      </c>
      <c r="H29" s="57">
        <f t="shared" si="133"/>
        <v>9</v>
      </c>
      <c r="I29" s="57">
        <f t="shared" si="134"/>
        <v>13</v>
      </c>
      <c r="J29" s="57" t="e">
        <f t="shared" si="135"/>
        <v>#VALUE!</v>
      </c>
      <c r="K29" s="57">
        <f t="shared" si="136"/>
        <v>22</v>
      </c>
      <c r="L29" s="57" t="str">
        <f>IFERROR(VLOOKUP(MID(G29,J29,K29-J29),[5]skilldef!$C:$D,2,FALSE),"-") &amp; " / " &amp; IFERROR(VLOOKUP(MID(G29,H29,I29-H29),[5]skilldef!$A:$B,2,FALSE),"-")</f>
        <v>- / 連続攻撃</v>
      </c>
      <c r="M29" s="57" t="str">
        <f t="shared" si="137"/>
        <v>none</v>
      </c>
      <c r="N29" s="42" t="str">
        <f>IFERROR(LEFT(M29,FIND("],",M29)+S39),M29)</f>
        <v>none</v>
      </c>
      <c r="O29" s="57" t="e">
        <f t="shared" si="139"/>
        <v>#VALUE!</v>
      </c>
      <c r="P29" s="57">
        <f t="shared" si="140"/>
        <v>4</v>
      </c>
      <c r="Q29" s="57" t="e">
        <f t="shared" si="141"/>
        <v>#VALUE!</v>
      </c>
      <c r="R29" s="57" t="e">
        <f t="shared" si="142"/>
        <v>#VALUE!</v>
      </c>
      <c r="S29" s="57" t="str">
        <f>IFERROR(VLOOKUP(MID(N29,Q29,R29-Q29),[5]skilldef!$C:$D,2,FALSE),"-") &amp; " / " &amp; IFERROR(VLOOKUP(MID(N29,O29,P29-O29),[5]skilldef!$A:$B,2,FALSE),"-")</f>
        <v>- / -</v>
      </c>
      <c r="T29" s="42" t="str">
        <f t="shared" si="143"/>
        <v>none</v>
      </c>
      <c r="U29" s="57" t="e">
        <f t="shared" si="144"/>
        <v>#VALUE!</v>
      </c>
      <c r="V29" s="57">
        <f t="shared" si="145"/>
        <v>4</v>
      </c>
      <c r="W29" s="57" t="e">
        <f t="shared" si="146"/>
        <v>#VALUE!</v>
      </c>
      <c r="X29" s="57" t="e">
        <f t="shared" si="147"/>
        <v>#VALUE!</v>
      </c>
      <c r="Y29" s="57" t="str">
        <f>IFERROR(VLOOKUP(MID(T29,W29,X29-W29),[5]skilldef!$C:$D,2,FALSE),"-") &amp; " / " &amp; IFERROR(VLOOKUP(MID(T29,U29,V29-U29),[5]skilldef!$A:$B,2,FALSE),"-")</f>
        <v>- / -</v>
      </c>
      <c r="Z29" s="44"/>
      <c r="AA29" s="46"/>
      <c r="AB29" s="44"/>
    </row>
  </sheetData>
  <autoFilter ref="A1:AB1"/>
  <phoneticPr fontId="5"/>
  <pageMargins left="0.75" right="0.75" top="1" bottom="1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33"/>
  <sheetViews>
    <sheetView showGridLines="0" zoomScale="75" zoomScaleNormal="75" zoomScalePageLayoutView="75" workbookViewId="0">
      <pane ySplit="1" topLeftCell="A3" activePane="bottomLeft" state="frozenSplit"/>
      <selection pane="bottomLeft" activeCell="C35" sqref="C35"/>
    </sheetView>
  </sheetViews>
  <sheetFormatPr baseColWidth="12" defaultColWidth="12.83203125" defaultRowHeight="21" customHeight="1" x14ac:dyDescent="0.15"/>
  <cols>
    <col min="1" max="1" width="16.1640625" style="43" bestFit="1" customWidth="1"/>
    <col min="2" max="2" width="13.33203125" style="43" bestFit="1" customWidth="1"/>
    <col min="3" max="3" width="11.83203125" style="43" bestFit="1" customWidth="1"/>
    <col min="4" max="4" width="14.6640625" style="43" bestFit="1" customWidth="1"/>
    <col min="5" max="5" width="15.6640625" style="43" bestFit="1" customWidth="1"/>
    <col min="6" max="6" width="17" style="43" bestFit="1" customWidth="1"/>
    <col min="7" max="7" width="15.6640625" style="43" bestFit="1" customWidth="1"/>
    <col min="8" max="9" width="14.6640625" style="43" customWidth="1"/>
    <col min="10" max="10" width="14.6640625" style="43" bestFit="1" customWidth="1"/>
    <col min="11" max="11" width="22.83203125" style="33" bestFit="1" customWidth="1"/>
    <col min="12" max="16384" width="12.83203125" style="39"/>
  </cols>
  <sheetData>
    <row r="1" spans="1:11" ht="21" customHeight="1" x14ac:dyDescent="0.15">
      <c r="A1" s="36" t="s">
        <v>84</v>
      </c>
      <c r="B1" s="36" t="s">
        <v>85</v>
      </c>
      <c r="C1" s="36" t="s">
        <v>86</v>
      </c>
      <c r="D1" s="36" t="s">
        <v>87</v>
      </c>
      <c r="E1" s="36" t="s">
        <v>70</v>
      </c>
      <c r="F1" s="47" t="s">
        <v>71</v>
      </c>
      <c r="G1" s="47" t="s">
        <v>72</v>
      </c>
      <c r="H1" s="36" t="s">
        <v>73</v>
      </c>
      <c r="I1" s="36" t="s">
        <v>74</v>
      </c>
      <c r="J1" s="36" t="s">
        <v>75</v>
      </c>
      <c r="K1" s="48" t="s">
        <v>88</v>
      </c>
    </row>
    <row r="2" spans="1:11" ht="21" customHeight="1" x14ac:dyDescent="0.15">
      <c r="A2" s="41">
        <v>39003001</v>
      </c>
      <c r="B2" s="41">
        <v>0</v>
      </c>
      <c r="C2" s="41" t="s">
        <v>223</v>
      </c>
      <c r="D2" s="41">
        <v>100</v>
      </c>
      <c r="E2" s="41" t="s">
        <v>224</v>
      </c>
      <c r="F2" s="41" t="s">
        <v>213</v>
      </c>
      <c r="G2" s="41">
        <v>5</v>
      </c>
      <c r="H2" s="41" t="s">
        <v>225</v>
      </c>
      <c r="I2" s="41" t="s">
        <v>223</v>
      </c>
      <c r="J2" s="42">
        <f t="shared" ref="J2:J20" si="0">D2</f>
        <v>100</v>
      </c>
    </row>
    <row r="3" spans="1:11" ht="21" customHeight="1" x14ac:dyDescent="0.15">
      <c r="A3" s="41">
        <v>39003002</v>
      </c>
      <c r="B3" s="41">
        <v>0</v>
      </c>
      <c r="C3" s="41" t="s">
        <v>223</v>
      </c>
      <c r="D3" s="41">
        <v>100</v>
      </c>
      <c r="E3" s="41" t="s">
        <v>224</v>
      </c>
      <c r="F3" s="41" t="s">
        <v>217</v>
      </c>
      <c r="G3" s="41">
        <v>1</v>
      </c>
      <c r="H3" s="41">
        <v>1</v>
      </c>
      <c r="I3" s="41" t="s">
        <v>223</v>
      </c>
      <c r="J3" s="42">
        <f t="shared" si="0"/>
        <v>100</v>
      </c>
    </row>
    <row r="4" spans="1:11" ht="21" customHeight="1" x14ac:dyDescent="0.15">
      <c r="A4" s="41">
        <v>39003003</v>
      </c>
      <c r="B4" s="41">
        <v>0</v>
      </c>
      <c r="C4" s="41" t="s">
        <v>223</v>
      </c>
      <c r="D4" s="41">
        <v>100</v>
      </c>
      <c r="E4" s="41" t="s">
        <v>224</v>
      </c>
      <c r="F4" s="41" t="s">
        <v>217</v>
      </c>
      <c r="G4" s="41" t="s">
        <v>223</v>
      </c>
      <c r="H4" s="41" t="s">
        <v>226</v>
      </c>
      <c r="I4" s="41" t="s">
        <v>223</v>
      </c>
      <c r="J4" s="42">
        <f t="shared" si="0"/>
        <v>100</v>
      </c>
    </row>
    <row r="5" spans="1:11" ht="21" customHeight="1" x14ac:dyDescent="0.15">
      <c r="A5" s="41">
        <v>39003004</v>
      </c>
      <c r="B5" s="41">
        <v>0</v>
      </c>
      <c r="C5" s="41" t="s">
        <v>223</v>
      </c>
      <c r="D5" s="41">
        <v>100</v>
      </c>
      <c r="E5" s="41">
        <v>30</v>
      </c>
      <c r="F5" s="41" t="s">
        <v>217</v>
      </c>
      <c r="G5" s="41">
        <v>1</v>
      </c>
      <c r="H5" s="41" t="s">
        <v>226</v>
      </c>
      <c r="I5" s="41" t="s">
        <v>223</v>
      </c>
      <c r="J5" s="42">
        <f t="shared" si="0"/>
        <v>100</v>
      </c>
    </row>
    <row r="6" spans="1:11" ht="21" customHeight="1" x14ac:dyDescent="0.15">
      <c r="A6" s="41">
        <v>39003005</v>
      </c>
      <c r="B6" s="41">
        <v>0</v>
      </c>
      <c r="C6" s="41" t="s">
        <v>223</v>
      </c>
      <c r="D6" s="41">
        <v>50</v>
      </c>
      <c r="E6" s="41" t="s">
        <v>224</v>
      </c>
      <c r="F6" s="41" t="s">
        <v>217</v>
      </c>
      <c r="G6" s="41" t="s">
        <v>223</v>
      </c>
      <c r="H6" s="41" t="s">
        <v>226</v>
      </c>
      <c r="I6" s="41" t="s">
        <v>223</v>
      </c>
      <c r="J6" s="42">
        <f t="shared" si="0"/>
        <v>50</v>
      </c>
    </row>
    <row r="7" spans="1:11" ht="21" customHeight="1" x14ac:dyDescent="0.15">
      <c r="A7" s="41">
        <v>39003006</v>
      </c>
      <c r="B7" s="41">
        <v>1</v>
      </c>
      <c r="C7" s="41" t="s">
        <v>223</v>
      </c>
      <c r="D7" s="41">
        <v>100</v>
      </c>
      <c r="E7" s="41" t="s">
        <v>224</v>
      </c>
      <c r="F7" s="41" t="s">
        <v>217</v>
      </c>
      <c r="G7" s="41">
        <v>1</v>
      </c>
      <c r="H7" s="41" t="s">
        <v>226</v>
      </c>
      <c r="I7" s="41" t="s">
        <v>223</v>
      </c>
      <c r="J7" s="42">
        <f t="shared" si="0"/>
        <v>100</v>
      </c>
    </row>
    <row r="8" spans="1:11" ht="21" customHeight="1" x14ac:dyDescent="0.15">
      <c r="A8" s="41">
        <v>39003007</v>
      </c>
      <c r="B8" s="41">
        <v>0</v>
      </c>
      <c r="C8" s="41" t="s">
        <v>223</v>
      </c>
      <c r="D8" s="41">
        <v>30</v>
      </c>
      <c r="E8" s="41" t="s">
        <v>224</v>
      </c>
      <c r="F8" s="41" t="s">
        <v>217</v>
      </c>
      <c r="G8" s="41" t="s">
        <v>223</v>
      </c>
      <c r="H8" s="41" t="s">
        <v>226</v>
      </c>
      <c r="I8" s="41" t="s">
        <v>223</v>
      </c>
      <c r="J8" s="42">
        <f t="shared" si="0"/>
        <v>30</v>
      </c>
    </row>
    <row r="9" spans="1:11" ht="21" customHeight="1" x14ac:dyDescent="0.15">
      <c r="A9" s="41">
        <v>39003008</v>
      </c>
      <c r="B9" s="41">
        <v>0</v>
      </c>
      <c r="C9" s="41" t="s">
        <v>223</v>
      </c>
      <c r="D9" s="41">
        <v>100</v>
      </c>
      <c r="E9" s="41" t="s">
        <v>224</v>
      </c>
      <c r="F9" s="41" t="s">
        <v>217</v>
      </c>
      <c r="G9" s="41" t="s">
        <v>223</v>
      </c>
      <c r="H9" s="41" t="s">
        <v>226</v>
      </c>
      <c r="I9" s="41" t="s">
        <v>223</v>
      </c>
      <c r="J9" s="42">
        <f t="shared" si="0"/>
        <v>100</v>
      </c>
    </row>
    <row r="10" spans="1:11" ht="21" customHeight="1" x14ac:dyDescent="0.15">
      <c r="A10" s="41">
        <v>39003009</v>
      </c>
      <c r="B10" s="41">
        <v>1</v>
      </c>
      <c r="C10" s="41" t="s">
        <v>223</v>
      </c>
      <c r="D10" s="41">
        <v>100</v>
      </c>
      <c r="E10" s="41" t="s">
        <v>53</v>
      </c>
      <c r="F10" s="41" t="s">
        <v>53</v>
      </c>
      <c r="G10" s="41">
        <v>1</v>
      </c>
      <c r="H10" s="41" t="s">
        <v>53</v>
      </c>
      <c r="I10" s="41" t="s">
        <v>223</v>
      </c>
      <c r="J10" s="42">
        <f t="shared" si="0"/>
        <v>100</v>
      </c>
    </row>
    <row r="11" spans="1:11" ht="21" customHeight="1" x14ac:dyDescent="0.15">
      <c r="A11" s="41">
        <v>39003010</v>
      </c>
      <c r="B11" s="41">
        <v>0</v>
      </c>
      <c r="C11" s="41" t="s">
        <v>223</v>
      </c>
      <c r="D11" s="41">
        <v>100</v>
      </c>
      <c r="E11" s="41" t="s">
        <v>53</v>
      </c>
      <c r="F11" s="41" t="s">
        <v>53</v>
      </c>
      <c r="G11" s="41" t="s">
        <v>223</v>
      </c>
      <c r="H11" s="41" t="s">
        <v>53</v>
      </c>
      <c r="I11" s="41" t="s">
        <v>223</v>
      </c>
      <c r="J11" s="42">
        <f t="shared" si="0"/>
        <v>100</v>
      </c>
    </row>
    <row r="12" spans="1:11" ht="21" customHeight="1" x14ac:dyDescent="0.15">
      <c r="A12" s="41">
        <v>39003011</v>
      </c>
      <c r="B12" s="41">
        <v>1</v>
      </c>
      <c r="C12" s="41" t="s">
        <v>223</v>
      </c>
      <c r="D12" s="41">
        <v>100</v>
      </c>
      <c r="E12" s="41" t="s">
        <v>224</v>
      </c>
      <c r="F12" s="41" t="s">
        <v>217</v>
      </c>
      <c r="G12" s="41">
        <v>1</v>
      </c>
      <c r="H12" s="41" t="s">
        <v>226</v>
      </c>
      <c r="I12" s="41" t="s">
        <v>223</v>
      </c>
      <c r="J12" s="42">
        <f t="shared" si="0"/>
        <v>100</v>
      </c>
    </row>
    <row r="13" spans="1:11" ht="21" customHeight="1" x14ac:dyDescent="0.15">
      <c r="A13" s="41">
        <v>39003012</v>
      </c>
      <c r="B13" s="41">
        <v>0</v>
      </c>
      <c r="C13" s="41" t="s">
        <v>223</v>
      </c>
      <c r="D13" s="41">
        <v>100</v>
      </c>
      <c r="E13" s="41" t="s">
        <v>224</v>
      </c>
      <c r="F13" s="41" t="s">
        <v>217</v>
      </c>
      <c r="G13" s="41" t="s">
        <v>223</v>
      </c>
      <c r="H13" s="41" t="s">
        <v>226</v>
      </c>
      <c r="I13" s="41" t="s">
        <v>223</v>
      </c>
      <c r="J13" s="42">
        <f t="shared" si="0"/>
        <v>100</v>
      </c>
    </row>
    <row r="14" spans="1:11" ht="21" customHeight="1" x14ac:dyDescent="0.15">
      <c r="A14" s="41">
        <v>39003013</v>
      </c>
      <c r="B14" s="41">
        <v>0</v>
      </c>
      <c r="C14" s="41" t="s">
        <v>223</v>
      </c>
      <c r="D14" s="41">
        <v>100</v>
      </c>
      <c r="E14" s="41">
        <v>30</v>
      </c>
      <c r="F14" s="41" t="s">
        <v>217</v>
      </c>
      <c r="G14" s="41">
        <v>1</v>
      </c>
      <c r="H14" s="41" t="s">
        <v>226</v>
      </c>
      <c r="I14" s="41" t="s">
        <v>223</v>
      </c>
      <c r="J14" s="42">
        <f t="shared" si="0"/>
        <v>100</v>
      </c>
    </row>
    <row r="15" spans="1:11" ht="21" customHeight="1" x14ac:dyDescent="0.15">
      <c r="A15" s="41">
        <v>39003014</v>
      </c>
      <c r="B15" s="41">
        <v>1</v>
      </c>
      <c r="C15" s="41" t="s">
        <v>223</v>
      </c>
      <c r="D15" s="41">
        <v>100</v>
      </c>
      <c r="E15" s="41" t="s">
        <v>224</v>
      </c>
      <c r="F15" s="41" t="s">
        <v>217</v>
      </c>
      <c r="G15" s="41">
        <v>1</v>
      </c>
      <c r="H15" s="41" t="s">
        <v>226</v>
      </c>
      <c r="I15" s="41" t="s">
        <v>223</v>
      </c>
      <c r="J15" s="42">
        <f t="shared" si="0"/>
        <v>100</v>
      </c>
    </row>
    <row r="16" spans="1:11" ht="21" customHeight="1" x14ac:dyDescent="0.15">
      <c r="A16" s="41">
        <v>39003015</v>
      </c>
      <c r="B16" s="41">
        <v>0</v>
      </c>
      <c r="C16" s="41" t="s">
        <v>223</v>
      </c>
      <c r="D16" s="41">
        <v>100</v>
      </c>
      <c r="E16" s="41" t="s">
        <v>224</v>
      </c>
      <c r="F16" s="41" t="s">
        <v>217</v>
      </c>
      <c r="G16" s="41" t="s">
        <v>223</v>
      </c>
      <c r="H16" s="41" t="s">
        <v>226</v>
      </c>
      <c r="I16" s="41" t="s">
        <v>223</v>
      </c>
      <c r="J16" s="42">
        <f t="shared" si="0"/>
        <v>100</v>
      </c>
    </row>
    <row r="17" spans="1:10" ht="21" customHeight="1" x14ac:dyDescent="0.15">
      <c r="A17" s="41">
        <v>39003016</v>
      </c>
      <c r="B17" s="41">
        <v>1</v>
      </c>
      <c r="C17" s="41" t="s">
        <v>223</v>
      </c>
      <c r="D17" s="41">
        <v>100</v>
      </c>
      <c r="E17" s="41" t="s">
        <v>224</v>
      </c>
      <c r="F17" s="41" t="s">
        <v>217</v>
      </c>
      <c r="G17" s="41">
        <v>1</v>
      </c>
      <c r="H17" s="41" t="s">
        <v>226</v>
      </c>
      <c r="I17" s="41" t="s">
        <v>223</v>
      </c>
      <c r="J17" s="42">
        <f t="shared" si="0"/>
        <v>100</v>
      </c>
    </row>
    <row r="18" spans="1:10" ht="21" customHeight="1" x14ac:dyDescent="0.15">
      <c r="A18" s="41">
        <v>39003017</v>
      </c>
      <c r="B18" s="41">
        <v>0</v>
      </c>
      <c r="C18" s="41" t="s">
        <v>223</v>
      </c>
      <c r="D18" s="41">
        <v>30</v>
      </c>
      <c r="E18" s="41" t="s">
        <v>224</v>
      </c>
      <c r="F18" s="41" t="s">
        <v>217</v>
      </c>
      <c r="G18" s="41" t="s">
        <v>223</v>
      </c>
      <c r="H18" s="41" t="s">
        <v>226</v>
      </c>
      <c r="I18" s="41" t="s">
        <v>223</v>
      </c>
      <c r="J18" s="42">
        <f>D18</f>
        <v>30</v>
      </c>
    </row>
    <row r="19" spans="1:10" ht="21" customHeight="1" x14ac:dyDescent="0.15">
      <c r="A19" s="41">
        <v>39003018</v>
      </c>
      <c r="B19" s="41">
        <v>1</v>
      </c>
      <c r="C19" s="41" t="s">
        <v>223</v>
      </c>
      <c r="D19" s="41">
        <v>100</v>
      </c>
      <c r="E19" s="41" t="s">
        <v>224</v>
      </c>
      <c r="F19" s="41" t="s">
        <v>213</v>
      </c>
      <c r="G19" s="41">
        <v>1</v>
      </c>
      <c r="H19" s="41" t="s">
        <v>226</v>
      </c>
      <c r="I19" s="41">
        <v>712</v>
      </c>
      <c r="J19" s="42">
        <f t="shared" si="0"/>
        <v>100</v>
      </c>
    </row>
    <row r="20" spans="1:10" ht="21" customHeight="1" x14ac:dyDescent="0.15">
      <c r="A20" s="41">
        <v>39003019</v>
      </c>
      <c r="B20" s="41">
        <v>1</v>
      </c>
      <c r="C20" s="41" t="s">
        <v>223</v>
      </c>
      <c r="D20" s="41">
        <v>100</v>
      </c>
      <c r="E20" s="41" t="s">
        <v>224</v>
      </c>
      <c r="F20" s="41" t="s">
        <v>213</v>
      </c>
      <c r="G20" s="41">
        <v>1</v>
      </c>
      <c r="H20" s="41" t="s">
        <v>226</v>
      </c>
      <c r="I20" s="41">
        <v>713</v>
      </c>
      <c r="J20" s="42">
        <f t="shared" si="0"/>
        <v>100</v>
      </c>
    </row>
    <row r="21" spans="1:10" ht="21" customHeight="1" x14ac:dyDescent="0.15">
      <c r="A21" s="41">
        <v>39003020</v>
      </c>
      <c r="B21" s="41">
        <v>1</v>
      </c>
      <c r="C21" s="41" t="s">
        <v>223</v>
      </c>
      <c r="D21" s="41">
        <v>100</v>
      </c>
      <c r="E21" s="41" t="s">
        <v>224</v>
      </c>
      <c r="F21" s="41" t="s">
        <v>213</v>
      </c>
      <c r="G21" s="41">
        <v>1</v>
      </c>
      <c r="H21" s="41" t="s">
        <v>226</v>
      </c>
      <c r="I21" s="41" t="s">
        <v>223</v>
      </c>
      <c r="J21" s="42">
        <f t="shared" ref="J21:J33" si="1">D21</f>
        <v>100</v>
      </c>
    </row>
    <row r="22" spans="1:10" ht="21" customHeight="1" x14ac:dyDescent="0.15">
      <c r="A22" s="41">
        <v>39003021</v>
      </c>
      <c r="B22" s="41">
        <v>0</v>
      </c>
      <c r="C22" s="41" t="s">
        <v>53</v>
      </c>
      <c r="D22" s="41">
        <v>30</v>
      </c>
      <c r="E22" s="41" t="s">
        <v>53</v>
      </c>
      <c r="F22" s="41" t="s">
        <v>53</v>
      </c>
      <c r="G22" s="41" t="s">
        <v>53</v>
      </c>
      <c r="H22" s="41" t="s">
        <v>226</v>
      </c>
      <c r="I22" s="41" t="s">
        <v>53</v>
      </c>
      <c r="J22" s="42">
        <f t="shared" si="1"/>
        <v>30</v>
      </c>
    </row>
    <row r="23" spans="1:10" ht="21" customHeight="1" x14ac:dyDescent="0.15">
      <c r="A23" s="41">
        <v>39003022</v>
      </c>
      <c r="B23" s="41">
        <v>0</v>
      </c>
      <c r="C23" s="41" t="s">
        <v>53</v>
      </c>
      <c r="D23" s="41">
        <v>50</v>
      </c>
      <c r="E23" s="41" t="s">
        <v>53</v>
      </c>
      <c r="F23" s="41" t="s">
        <v>53</v>
      </c>
      <c r="G23" s="41" t="s">
        <v>53</v>
      </c>
      <c r="H23" s="41" t="s">
        <v>243</v>
      </c>
      <c r="I23" s="41" t="s">
        <v>53</v>
      </c>
      <c r="J23" s="42">
        <f t="shared" si="1"/>
        <v>50</v>
      </c>
    </row>
    <row r="24" spans="1:10" ht="21" customHeight="1" x14ac:dyDescent="0.15">
      <c r="A24" s="41">
        <v>39003023</v>
      </c>
      <c r="B24" s="41">
        <v>0</v>
      </c>
      <c r="C24" s="41" t="s">
        <v>53</v>
      </c>
      <c r="D24" s="41">
        <v>100</v>
      </c>
      <c r="E24" s="41" t="s">
        <v>53</v>
      </c>
      <c r="F24" s="41" t="s">
        <v>53</v>
      </c>
      <c r="G24" s="41" t="s">
        <v>53</v>
      </c>
      <c r="H24" s="41">
        <v>2</v>
      </c>
      <c r="I24" s="41" t="s">
        <v>53</v>
      </c>
      <c r="J24" s="42">
        <f t="shared" si="1"/>
        <v>100</v>
      </c>
    </row>
    <row r="25" spans="1:10" ht="21" customHeight="1" x14ac:dyDescent="0.15">
      <c r="A25" s="41">
        <v>39003024</v>
      </c>
      <c r="B25" s="41">
        <v>1</v>
      </c>
      <c r="C25" s="41" t="s">
        <v>53</v>
      </c>
      <c r="D25" s="41">
        <v>100</v>
      </c>
      <c r="E25" s="41" t="s">
        <v>53</v>
      </c>
      <c r="F25" s="41" t="s">
        <v>53</v>
      </c>
      <c r="G25" s="41">
        <v>1</v>
      </c>
      <c r="H25" s="41" t="s">
        <v>226</v>
      </c>
      <c r="I25" s="41">
        <v>712</v>
      </c>
      <c r="J25" s="42">
        <f t="shared" si="1"/>
        <v>100</v>
      </c>
    </row>
    <row r="26" spans="1:10" ht="21" customHeight="1" x14ac:dyDescent="0.15">
      <c r="A26" s="41">
        <v>39003025</v>
      </c>
      <c r="B26" s="41">
        <v>1</v>
      </c>
      <c r="C26" s="41" t="s">
        <v>53</v>
      </c>
      <c r="D26" s="41">
        <v>100</v>
      </c>
      <c r="E26" s="41" t="s">
        <v>53</v>
      </c>
      <c r="F26" s="41" t="s">
        <v>53</v>
      </c>
      <c r="G26" s="41">
        <v>1</v>
      </c>
      <c r="H26" s="41" t="s">
        <v>226</v>
      </c>
      <c r="I26" s="41">
        <v>713</v>
      </c>
      <c r="J26" s="42">
        <f t="shared" si="1"/>
        <v>100</v>
      </c>
    </row>
    <row r="27" spans="1:10" ht="21" customHeight="1" x14ac:dyDescent="0.15">
      <c r="A27" s="41">
        <v>39003026</v>
      </c>
      <c r="B27" s="41">
        <v>1</v>
      </c>
      <c r="C27" s="41" t="s">
        <v>53</v>
      </c>
      <c r="D27" s="41">
        <v>100</v>
      </c>
      <c r="E27" s="41" t="s">
        <v>53</v>
      </c>
      <c r="F27" s="41" t="s">
        <v>53</v>
      </c>
      <c r="G27" s="41">
        <v>1</v>
      </c>
      <c r="H27" s="41" t="s">
        <v>226</v>
      </c>
      <c r="I27" s="41" t="s">
        <v>53</v>
      </c>
      <c r="J27" s="42">
        <f t="shared" si="1"/>
        <v>100</v>
      </c>
    </row>
    <row r="28" spans="1:10" ht="21" customHeight="1" x14ac:dyDescent="0.15">
      <c r="A28" s="41">
        <v>39003027</v>
      </c>
      <c r="B28" s="41">
        <v>0</v>
      </c>
      <c r="C28" s="41" t="s">
        <v>53</v>
      </c>
      <c r="D28" s="41">
        <v>100</v>
      </c>
      <c r="E28" s="41">
        <v>30</v>
      </c>
      <c r="F28" s="41" t="s">
        <v>53</v>
      </c>
      <c r="G28" s="41">
        <v>1</v>
      </c>
      <c r="H28" s="41" t="s">
        <v>226</v>
      </c>
      <c r="I28" s="41" t="s">
        <v>53</v>
      </c>
      <c r="J28" s="42">
        <f t="shared" si="1"/>
        <v>100</v>
      </c>
    </row>
    <row r="29" spans="1:10" ht="21" customHeight="1" x14ac:dyDescent="0.15">
      <c r="A29" s="41">
        <v>39003028</v>
      </c>
      <c r="B29" s="41">
        <v>0</v>
      </c>
      <c r="C29" s="41" t="s">
        <v>53</v>
      </c>
      <c r="D29" s="41">
        <v>100</v>
      </c>
      <c r="E29" s="41" t="s">
        <v>53</v>
      </c>
      <c r="F29" s="41" t="s">
        <v>53</v>
      </c>
      <c r="G29" s="41">
        <v>0</v>
      </c>
      <c r="H29" s="41" t="s">
        <v>226</v>
      </c>
      <c r="I29" s="41">
        <v>712</v>
      </c>
      <c r="J29" s="42">
        <f t="shared" si="1"/>
        <v>100</v>
      </c>
    </row>
    <row r="30" spans="1:10" ht="21" customHeight="1" x14ac:dyDescent="0.15">
      <c r="A30" s="41">
        <v>39003029</v>
      </c>
      <c r="B30" s="41">
        <v>0</v>
      </c>
      <c r="C30" s="41" t="s">
        <v>53</v>
      </c>
      <c r="D30" s="41">
        <v>100</v>
      </c>
      <c r="E30" s="41" t="s">
        <v>53</v>
      </c>
      <c r="F30" s="41" t="s">
        <v>53</v>
      </c>
      <c r="G30" s="41">
        <v>0</v>
      </c>
      <c r="H30" s="41" t="s">
        <v>226</v>
      </c>
      <c r="I30" s="41">
        <v>713</v>
      </c>
      <c r="J30" s="42">
        <f t="shared" si="1"/>
        <v>100</v>
      </c>
    </row>
    <row r="31" spans="1:10" ht="21" customHeight="1" x14ac:dyDescent="0.15">
      <c r="A31" s="41">
        <v>39003030</v>
      </c>
      <c r="B31" s="41">
        <v>0</v>
      </c>
      <c r="C31" s="41" t="s">
        <v>53</v>
      </c>
      <c r="D31" s="41">
        <v>100</v>
      </c>
      <c r="E31" s="41" t="s">
        <v>53</v>
      </c>
      <c r="F31" s="41" t="s">
        <v>53</v>
      </c>
      <c r="G31" s="41" t="s">
        <v>244</v>
      </c>
      <c r="H31" s="41" t="s">
        <v>226</v>
      </c>
      <c r="I31" s="41" t="s">
        <v>244</v>
      </c>
      <c r="J31" s="42">
        <f t="shared" si="1"/>
        <v>100</v>
      </c>
    </row>
    <row r="32" spans="1:10" ht="21" customHeight="1" x14ac:dyDescent="0.15">
      <c r="A32" s="41">
        <v>39003031</v>
      </c>
      <c r="B32" s="41">
        <v>0</v>
      </c>
      <c r="C32" s="41" t="s">
        <v>53</v>
      </c>
      <c r="D32" s="41">
        <v>100</v>
      </c>
      <c r="E32" s="41" t="s">
        <v>53</v>
      </c>
      <c r="F32" s="41" t="s">
        <v>53</v>
      </c>
      <c r="G32" s="41" t="s">
        <v>243</v>
      </c>
      <c r="H32" s="41">
        <v>2</v>
      </c>
      <c r="I32" s="41" t="s">
        <v>244</v>
      </c>
      <c r="J32" s="42">
        <f t="shared" si="1"/>
        <v>100</v>
      </c>
    </row>
    <row r="33" spans="1:10" ht="21" customHeight="1" x14ac:dyDescent="0.15">
      <c r="A33" s="41">
        <v>39003032</v>
      </c>
      <c r="B33" s="41">
        <v>0</v>
      </c>
      <c r="C33" s="41" t="s">
        <v>53</v>
      </c>
      <c r="D33" s="41">
        <v>100</v>
      </c>
      <c r="E33" s="41" t="s">
        <v>53</v>
      </c>
      <c r="F33" s="41" t="s">
        <v>217</v>
      </c>
      <c r="G33" s="41">
        <v>3</v>
      </c>
      <c r="H33" s="41" t="s">
        <v>53</v>
      </c>
      <c r="I33" s="41" t="s">
        <v>53</v>
      </c>
      <c r="J33" s="42">
        <f t="shared" si="1"/>
        <v>100</v>
      </c>
    </row>
  </sheetData>
  <autoFilter ref="A1:G1"/>
  <phoneticPr fontId="5"/>
  <conditionalFormatting sqref="K34:K1048576 K1">
    <cfRule type="duplicateValues" dxfId="32" priority="38"/>
  </conditionalFormatting>
  <conditionalFormatting sqref="K2">
    <cfRule type="duplicateValues" dxfId="31" priority="37"/>
  </conditionalFormatting>
  <conditionalFormatting sqref="K3">
    <cfRule type="duplicateValues" dxfId="30" priority="36"/>
  </conditionalFormatting>
  <conditionalFormatting sqref="K4">
    <cfRule type="duplicateValues" dxfId="29" priority="35"/>
  </conditionalFormatting>
  <conditionalFormatting sqref="K5">
    <cfRule type="duplicateValues" dxfId="28" priority="34"/>
  </conditionalFormatting>
  <conditionalFormatting sqref="K6">
    <cfRule type="duplicateValues" dxfId="27" priority="33"/>
  </conditionalFormatting>
  <conditionalFormatting sqref="K7">
    <cfRule type="duplicateValues" dxfId="26" priority="32"/>
  </conditionalFormatting>
  <conditionalFormatting sqref="K8">
    <cfRule type="duplicateValues" dxfId="25" priority="31"/>
  </conditionalFormatting>
  <conditionalFormatting sqref="K9">
    <cfRule type="duplicateValues" dxfId="24" priority="30"/>
  </conditionalFormatting>
  <conditionalFormatting sqref="K10">
    <cfRule type="duplicateValues" dxfId="23" priority="29"/>
  </conditionalFormatting>
  <conditionalFormatting sqref="K11">
    <cfRule type="duplicateValues" dxfId="22" priority="28"/>
  </conditionalFormatting>
  <conditionalFormatting sqref="K12">
    <cfRule type="duplicateValues" dxfId="21" priority="27"/>
  </conditionalFormatting>
  <conditionalFormatting sqref="K21">
    <cfRule type="duplicateValues" dxfId="20" priority="26"/>
  </conditionalFormatting>
  <conditionalFormatting sqref="K13">
    <cfRule type="duplicateValues" dxfId="19" priority="25"/>
  </conditionalFormatting>
  <conditionalFormatting sqref="K14">
    <cfRule type="duplicateValues" dxfId="18" priority="24"/>
  </conditionalFormatting>
  <conditionalFormatting sqref="K15">
    <cfRule type="duplicateValues" dxfId="17" priority="23"/>
  </conditionalFormatting>
  <conditionalFormatting sqref="K16">
    <cfRule type="duplicateValues" dxfId="16" priority="22"/>
  </conditionalFormatting>
  <conditionalFormatting sqref="K17">
    <cfRule type="duplicateValues" dxfId="15" priority="21"/>
  </conditionalFormatting>
  <conditionalFormatting sqref="K19">
    <cfRule type="duplicateValues" dxfId="14" priority="20"/>
  </conditionalFormatting>
  <conditionalFormatting sqref="K18">
    <cfRule type="duplicateValues" dxfId="13" priority="19"/>
  </conditionalFormatting>
  <conditionalFormatting sqref="K20">
    <cfRule type="duplicateValues" dxfId="12" priority="18"/>
  </conditionalFormatting>
  <conditionalFormatting sqref="K22">
    <cfRule type="duplicateValues" dxfId="11" priority="14"/>
  </conditionalFormatting>
  <conditionalFormatting sqref="K23">
    <cfRule type="duplicateValues" dxfId="10" priority="13"/>
  </conditionalFormatting>
  <conditionalFormatting sqref="K24">
    <cfRule type="duplicateValues" dxfId="9" priority="12"/>
  </conditionalFormatting>
  <conditionalFormatting sqref="K25">
    <cfRule type="duplicateValues" dxfId="8" priority="11"/>
  </conditionalFormatting>
  <conditionalFormatting sqref="K26">
    <cfRule type="duplicateValues" dxfId="7" priority="10"/>
  </conditionalFormatting>
  <conditionalFormatting sqref="K27">
    <cfRule type="duplicateValues" dxfId="6" priority="9"/>
  </conditionalFormatting>
  <conditionalFormatting sqref="K28">
    <cfRule type="duplicateValues" dxfId="5" priority="8"/>
  </conditionalFormatting>
  <conditionalFormatting sqref="K29">
    <cfRule type="duplicateValues" dxfId="4" priority="7"/>
  </conditionalFormatting>
  <conditionalFormatting sqref="K30">
    <cfRule type="duplicateValues" dxfId="3" priority="6"/>
  </conditionalFormatting>
  <conditionalFormatting sqref="K31">
    <cfRule type="duplicateValues" dxfId="2" priority="3"/>
  </conditionalFormatting>
  <conditionalFormatting sqref="K32">
    <cfRule type="duplicateValues" dxfId="1" priority="2"/>
  </conditionalFormatting>
  <conditionalFormatting sqref="K33">
    <cfRule type="duplicateValues" dxfId="0" priority="1"/>
  </conditionalFormatting>
  <printOptions gridLines="1"/>
  <pageMargins left="0.75" right="0.75" top="1" bottom="1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40"/>
  <sheetViews>
    <sheetView showGridLines="0" workbookViewId="0">
      <pane xSplit="5" ySplit="1" topLeftCell="F8" activePane="bottomRight" state="frozen"/>
      <selection pane="topRight"/>
      <selection pane="bottomLeft"/>
      <selection pane="bottomRight" activeCell="B38" sqref="B38"/>
    </sheetView>
  </sheetViews>
  <sheetFormatPr baseColWidth="12" defaultColWidth="12.83203125" defaultRowHeight="21" customHeight="1" outlineLevelCol="1" x14ac:dyDescent="0.15"/>
  <cols>
    <col min="1" max="1" width="11.33203125" style="33" bestFit="1" customWidth="1"/>
    <col min="2" max="2" width="9.5" style="43" bestFit="1" customWidth="1"/>
    <col min="3" max="3" width="9.6640625" style="43" customWidth="1"/>
    <col min="4" max="4" width="18.5" style="43" customWidth="1" outlineLevel="1"/>
    <col min="5" max="5" width="44.1640625" style="43" bestFit="1" customWidth="1" outlineLevel="1"/>
    <col min="6" max="6" width="10.83203125" style="43" bestFit="1" customWidth="1"/>
    <col min="7" max="7" width="8.33203125" style="43" bestFit="1" customWidth="1" outlineLevel="1"/>
    <col min="8" max="9" width="12.83203125" style="43" outlineLevel="1"/>
    <col min="10" max="10" width="17.6640625" style="43" bestFit="1" customWidth="1" outlineLevel="1"/>
    <col min="11" max="15" width="12.83203125" style="43" outlineLevel="1"/>
    <col min="16" max="16" width="8.33203125" style="39" bestFit="1" customWidth="1"/>
    <col min="17" max="17" width="9.6640625" style="39" customWidth="1"/>
    <col min="18" max="18" width="56.5" style="39" bestFit="1" customWidth="1"/>
    <col min="19" max="16384" width="12.83203125" style="39"/>
  </cols>
  <sheetData>
    <row r="1" spans="1:18" ht="21" customHeight="1" x14ac:dyDescent="0.15">
      <c r="A1" s="33" t="s">
        <v>60</v>
      </c>
      <c r="B1" s="34" t="s">
        <v>61</v>
      </c>
      <c r="C1" s="34" t="s">
        <v>62</v>
      </c>
      <c r="D1" s="35" t="s">
        <v>63</v>
      </c>
      <c r="E1" s="35" t="s">
        <v>64</v>
      </c>
      <c r="F1" s="36" t="s">
        <v>65</v>
      </c>
      <c r="G1" s="37" t="s">
        <v>66</v>
      </c>
      <c r="H1" s="37" t="s">
        <v>68</v>
      </c>
      <c r="I1" s="37" t="s">
        <v>69</v>
      </c>
      <c r="J1" s="37" t="s">
        <v>70</v>
      </c>
      <c r="K1" s="38" t="s">
        <v>71</v>
      </c>
      <c r="L1" s="38" t="s">
        <v>72</v>
      </c>
      <c r="M1" s="37" t="s">
        <v>73</v>
      </c>
      <c r="N1" s="37" t="s">
        <v>74</v>
      </c>
      <c r="O1" s="37" t="s">
        <v>75</v>
      </c>
      <c r="P1" s="35" t="s">
        <v>76</v>
      </c>
      <c r="Q1" s="35" t="s">
        <v>77</v>
      </c>
      <c r="R1" s="35" t="s">
        <v>78</v>
      </c>
    </row>
    <row r="2" spans="1:18" ht="21" customHeight="1" x14ac:dyDescent="0.15">
      <c r="A2" s="33" t="str">
        <f t="shared" ref="A2:A8" si="0">B2&amp;"_"&amp;C2</f>
        <v>39003001_39003001</v>
      </c>
      <c r="B2" s="41">
        <v>39003001</v>
      </c>
      <c r="C2" s="41">
        <v>39003001</v>
      </c>
      <c r="D2" s="40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ヒール</v>
      </c>
      <c r="E2" s="40" t="str">
        <f ca="1">VLOOKUP($C2,OFFSET(enemy_skills!$A$1,0,0,COUNTA(enemy_skills!$A:$A),MATCH(E$1,enemy_skills!$1:$1,0)-MATCH("enemy_skill_id",enemy_skills!$1:$1,0)+1),MATCH(E$1,enemy_skills!$1:$1,0)-MATCH("enemy_skill_id",enemy_skills!$1:$1,0)+1,FALSE)</f>
        <v>回復</v>
      </c>
      <c r="F2" s="41">
        <v>39003001</v>
      </c>
      <c r="G2" s="42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2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2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2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2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2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5</v>
      </c>
      <c r="M2" s="42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2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2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1"/>
      <c r="Q2" s="41"/>
      <c r="R2" s="41"/>
    </row>
    <row r="3" spans="1:18" ht="21" customHeight="1" x14ac:dyDescent="0.15">
      <c r="A3" s="33" t="str">
        <f t="shared" si="0"/>
        <v>39003002_39003002</v>
      </c>
      <c r="B3" s="41">
        <v>39003002</v>
      </c>
      <c r="C3" s="41">
        <v>39003002</v>
      </c>
      <c r="D3" s="40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ナビ・タイム</v>
      </c>
      <c r="E3" s="40" t="str">
        <f ca="1">VLOOKUP($C3,OFFSET(enemy_skills!$A$1,0,0,COUNTA(enemy_skills!$A:$A),MATCH(E$1,enemy_skills!$1:$1,0)-MATCH("enemy_skill_id",enemy_skills!$1:$1,0)+1),MATCH(E$1,enemy_skills!$1:$1,0)-MATCH("enemy_skill_id",enemy_skills!$1:$1,0)+1,FALSE)</f>
        <v>3ターン攻撃頻度が1ターンにUP</v>
      </c>
      <c r="F3" s="41">
        <v>39003002</v>
      </c>
      <c r="G3" s="42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2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2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2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2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2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2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2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2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1"/>
      <c r="Q3" s="41"/>
      <c r="R3" s="41"/>
    </row>
    <row r="4" spans="1:18" ht="21" customHeight="1" x14ac:dyDescent="0.15">
      <c r="A4" s="33" t="str">
        <f t="shared" si="0"/>
        <v>39003002_39003003</v>
      </c>
      <c r="B4" s="41">
        <v>39003002</v>
      </c>
      <c r="C4" s="41">
        <v>39003003</v>
      </c>
      <c r="D4" s="40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ブリザード</v>
      </c>
      <c r="E4" s="40" t="str">
        <f ca="1">VLOOKUP($C4,OFFSET(enemy_skills!$A$1,0,0,COUNTA(enemy_skills!$A:$A),MATCH(E$1,enemy_skills!$1:$1,0)-MATCH("enemy_skill_id",enemy_skills!$1:$1,0)+1),MATCH(E$1,enemy_skills!$1:$1,0)-MATCH("enemy_skill_id",enemy_skills!$1:$1,0)+1,FALSE)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" s="41">
        <v>39003003</v>
      </c>
      <c r="G4" s="42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2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2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2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2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2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2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2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2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1"/>
      <c r="Q4" s="41"/>
      <c r="R4" s="41"/>
    </row>
    <row r="5" spans="1:18" ht="21" customHeight="1" x14ac:dyDescent="0.15">
      <c r="A5" s="33" t="str">
        <f t="shared" si="0"/>
        <v>39003003_39003004</v>
      </c>
      <c r="B5" s="41">
        <v>39003003</v>
      </c>
      <c r="C5" s="41">
        <v>39003004</v>
      </c>
      <c r="D5" s="40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メガヒール</v>
      </c>
      <c r="E5" s="40" t="str">
        <f ca="1">VLOOKUP($C5,OFFSET(enemy_skills!$A$1,0,0,COUNTA(enemy_skills!$A:$A),MATCH(E$1,enemy_skills!$1:$1,0)-MATCH("enemy_skill_id",enemy_skills!$1:$1,0)+1),MATCH(E$1,enemy_skills!$1:$1,0)-MATCH("enemy_skill_id",enemy_skills!$1:$1,0)+1,FALSE)</f>
        <v>大回復</v>
      </c>
      <c r="F5" s="41">
        <v>39003004</v>
      </c>
      <c r="G5" s="42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2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2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2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" s="42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2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2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2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2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129"/>
      <c r="Q5" s="129"/>
      <c r="R5" s="129"/>
    </row>
    <row r="6" spans="1:18" ht="21" customHeight="1" x14ac:dyDescent="0.15">
      <c r="A6" s="33" t="str">
        <f t="shared" si="0"/>
        <v>39003003_39003005</v>
      </c>
      <c r="B6" s="41">
        <v>39003003</v>
      </c>
      <c r="C6" s="41">
        <v>39003005</v>
      </c>
      <c r="D6" s="40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フロストノヴァ</v>
      </c>
      <c r="E6" s="40" t="str">
        <f ca="1">VLOOKUP($C6,OFFSET(enemy_skills!$A$1,0,0,COUNTA(enemy_skills!$A:$A),MATCH(E$1,enemy_skills!$1:$1,0)-MATCH("enemy_skill_id",enemy_skills!$1:$1,0)+1),MATCH(E$1,enemy_skills!$1:$1,0)-MATCH("enemy_skill_id",enemy_skills!$1:$1,0)+1,FALSE)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6" s="41">
        <v>39003005</v>
      </c>
      <c r="G6" s="42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2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2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" s="42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2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2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2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2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2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" s="129"/>
      <c r="Q6" s="129"/>
      <c r="R6" s="129"/>
    </row>
    <row r="7" spans="1:18" ht="21" customHeight="1" x14ac:dyDescent="0.15">
      <c r="A7" s="33" t="str">
        <f t="shared" si="0"/>
        <v>39003004_39003006</v>
      </c>
      <c r="B7" s="41">
        <v>39003004</v>
      </c>
      <c r="C7" s="41">
        <v>39003006</v>
      </c>
      <c r="D7" s="40" t="str">
        <f ca="1">VLOOKUP($C7,OFFSET(enemy_skills!$A$1,0,0,COUNTA(enemy_skills!$A:$A),MATCH(D$1,enemy_skills!$1:$1,0)-MATCH("enemy_skill_id",enemy_skills!$1:$1,0)+1),MATCH(D$1,enemy_skills!$1:$1,0)-MATCH("enemy_skill_id",enemy_skills!$1:$1,0)+1,FALSE)</f>
        <v>青剛の力</v>
      </c>
      <c r="E7" s="40" t="str">
        <f ca="1">VLOOKUP($C7,OFFSET(enemy_skills!$A$1,0,0,COUNTA(enemy_skills!$A:$A),MATCH(E$1,enemy_skills!$1:$1,0)-MATCH("enemy_skill_id",enemy_skills!$1:$1,0)+1),MATCH(E$1,enemy_skills!$1:$1,0)-MATCH("enemy_skill_id",enemy_skills!$1:$1,0)+1,FALSE)</f>
        <v>敵全体の攻撃力UP</v>
      </c>
      <c r="F7" s="41">
        <v>39003006</v>
      </c>
      <c r="G7" s="42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2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2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2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2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2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2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2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2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129"/>
      <c r="Q7" s="129"/>
      <c r="R7" s="129"/>
    </row>
    <row r="8" spans="1:18" ht="21" customHeight="1" x14ac:dyDescent="0.15">
      <c r="A8" s="33" t="str">
        <f t="shared" si="0"/>
        <v>39003004_39003007</v>
      </c>
      <c r="B8" s="41">
        <v>39003004</v>
      </c>
      <c r="C8" s="41">
        <v>39003007</v>
      </c>
      <c r="D8" s="40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ターミネーター</v>
      </c>
      <c r="E8" s="40" t="str">
        <f ca="1">VLOOKUP($C8,OFFSET(enemy_skills!$A$1,0,0,COUNTA(enemy_skills!$A:$A),MATCH(E$1,enemy_skills!$1:$1,0)-MATCH("enemy_skill_id",enemy_skills!$1:$1,0)+1),MATCH(E$1,enemy_skills!$1:$1,0)-MATCH("enemy_skill_id",enemy_skills!$1:$1,0)+1,FALSE)</f>
        <v>単体に大ダメージ！</v>
      </c>
      <c r="F8" s="41">
        <v>39003007</v>
      </c>
      <c r="G8" s="42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2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2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8" s="42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2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2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2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2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2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8" s="129"/>
      <c r="Q8" s="129"/>
      <c r="R8" s="129"/>
    </row>
    <row r="9" spans="1:18" ht="21" customHeight="1" x14ac:dyDescent="0.15">
      <c r="A9" s="33" t="str">
        <f t="shared" ref="A9:A27" si="1">B9&amp;"_"&amp;C9</f>
        <v>39003005_39003008</v>
      </c>
      <c r="B9" s="41">
        <v>39003005</v>
      </c>
      <c r="C9" s="41">
        <v>39003008</v>
      </c>
      <c r="D9" s="40" t="str">
        <f ca="1">VLOOKUP($C9,OFFSET(enemy_skills!$A$1,0,0,COUNTA(enemy_skills!$A:$A),MATCH(D$1,enemy_skills!$1:$1,0)-MATCH("enemy_skill_id",enemy_skills!$1:$1,0)+1),MATCH(D$1,enemy_skills!$1:$1,0)-MATCH("enemy_skill_id",enemy_skills!$1:$1,0)+1,FALSE)</f>
        <v>アイスエイジ</v>
      </c>
      <c r="E9" s="40" t="str">
        <f ca="1">VLOOKUP($C9,OFFSET(enemy_skills!$A$1,0,0,COUNTA(enemy_skills!$A:$A),MATCH(E$1,enemy_skills!$1:$1,0)-MATCH("enemy_skill_id",enemy_skills!$1:$1,0)+1),MATCH(E$1,enemy_skills!$1:$1,0)-MATCH("enemy_skill_id",enemy_skills!$1:$1,0)+1,FALSE)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9" s="41">
        <v>39003008</v>
      </c>
      <c r="G9" s="42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2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2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2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2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2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2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2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2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129"/>
      <c r="Q9" s="129"/>
      <c r="R9" s="129"/>
    </row>
    <row r="10" spans="1:18" ht="21" customHeight="1" x14ac:dyDescent="0.15">
      <c r="A10" s="33" t="str">
        <f t="shared" si="1"/>
        <v>39003006_39003009</v>
      </c>
      <c r="B10" s="41">
        <v>39003006</v>
      </c>
      <c r="C10" s="41">
        <v>39003009</v>
      </c>
      <c r="D10" s="40" t="str">
        <f ca="1">VLOOKUP($C10,OFFSET(enemy_skills!$A$1,0,0,COUNTA(enemy_skills!$A:$A),MATCH(D$1,enemy_skills!$1:$1,0)-MATCH("enemy_skill_id",enemy_skills!$1:$1,0)+1),MATCH(D$1,enemy_skills!$1:$1,0)-MATCH("enemy_skill_id",enemy_skills!$1:$1,0)+1,FALSE)</f>
        <v>記憶を穿つ秘剣</v>
      </c>
      <c r="E10" s="40" t="str">
        <f ca="1">VLOOKUP($C10,OFFSET(enemy_skills!$A$1,0,0,COUNTA(enemy_skills!$A:$A),MATCH(E$1,enemy_skills!$1:$1,0)-MATCH("enemy_skill_id",enemy_skills!$1:$1,0)+1),MATCH(E$1,enemy_skills!$1:$1,0)-MATCH("enemy_skill_id",enemy_skills!$1:$1,0)+1,FALSE)</f>
        <v>Cパネル吸収攻撃</v>
      </c>
      <c r="F10" s="41">
        <v>39003009</v>
      </c>
      <c r="G10" s="42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2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2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2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2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2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2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2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2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129"/>
      <c r="Q10" s="129"/>
      <c r="R10" s="129"/>
    </row>
    <row r="11" spans="1:18" ht="21" customHeight="1" x14ac:dyDescent="0.15">
      <c r="A11" s="33" t="str">
        <f t="shared" si="1"/>
        <v>39003006_39003010</v>
      </c>
      <c r="B11" s="41">
        <v>39003006</v>
      </c>
      <c r="C11" s="41">
        <v>39003010</v>
      </c>
      <c r="D11" s="40" t="str">
        <f ca="1">VLOOKUP($C11,OFFSET(enemy_skills!$A$1,0,0,COUNTA(enemy_skills!$A:$A),MATCH(D$1,enemy_skills!$1:$1,0)-MATCH("enemy_skill_id",enemy_skills!$1:$1,0)+1),MATCH(D$1,enemy_skills!$1:$1,0)-MATCH("enemy_skill_id",enemy_skills!$1:$1,0)+1,FALSE)</f>
        <v>緊縛</v>
      </c>
      <c r="E11" s="40" t="str">
        <f ca="1">VLOOKUP($C11,OFFSET(enemy_skills!$A$1,0,0,COUNTA(enemy_skills!$A:$A),MATCH(E$1,enemy_skills!$1:$1,0)-MATCH("enemy_skill_id",enemy_skills!$1:$1,0)+1),MATCH(E$1,enemy_skills!$1:$1,0)-MATCH("enemy_skill_id",enemy_skills!$1:$1,0)+1,FALSE)</f>
        <v>2連続攻撃&amp;単体にスキルバインド！</v>
      </c>
      <c r="F11" s="41">
        <v>39003010</v>
      </c>
      <c r="G11" s="42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2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2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2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2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2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2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2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2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129"/>
      <c r="Q11" s="129"/>
      <c r="R11" s="129"/>
    </row>
    <row r="12" spans="1:18" ht="21" customHeight="1" x14ac:dyDescent="0.15">
      <c r="A12" s="33" t="str">
        <f t="shared" si="1"/>
        <v>39003007_39003011</v>
      </c>
      <c r="B12" s="41">
        <v>39003007</v>
      </c>
      <c r="C12" s="41">
        <v>39003011</v>
      </c>
      <c r="D12" s="40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フリーズドライ</v>
      </c>
      <c r="E12" s="40" t="str">
        <f ca="1">VLOOKUP($C12,OFFSET(enemy_skills!$A$1,0,0,COUNTA(enemy_skills!$A:$A),MATCH(E$1,enemy_skills!$1:$1,0)-MATCH("enemy_skill_id",enemy_skills!$1:$1,0)+1),MATCH(E$1,enemy_skills!$1:$1,0)-MATCH("enemy_skill_id",enemy_skills!$1:$1,0)+1,FALSE)</f>
        <v>全体攻撃&amp;青パネルをプロテクト状態にする！</v>
      </c>
      <c r="F12" s="41">
        <v>39003011</v>
      </c>
      <c r="G12" s="42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2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2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2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2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2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2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2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2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129"/>
      <c r="Q12" s="129"/>
      <c r="R12" s="129"/>
    </row>
    <row r="13" spans="1:18" ht="21" customHeight="1" x14ac:dyDescent="0.15">
      <c r="A13" s="33" t="str">
        <f t="shared" si="1"/>
        <v>39003007_39003012</v>
      </c>
      <c r="B13" s="41">
        <v>39003007</v>
      </c>
      <c r="C13" s="41">
        <v>39003012</v>
      </c>
      <c r="D13" s="40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ファナティック・ウェイブ</v>
      </c>
      <c r="E13" s="40" t="str">
        <f ca="1">VLOOKUP($C13,OFFSET(enemy_skills!$A$1,0,0,COUNTA(enemy_skills!$A:$A),MATCH(E$1,enemy_skills!$1:$1,0)-MATCH("enemy_skill_id",enemy_skills!$1:$1,0)+1),MATCH(E$1,enemy_skills!$1:$1,0)-MATCH("enemy_skill_id",enemy_skills!$1:$1,0)+1,FALSE)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3" s="41">
        <v>39003012</v>
      </c>
      <c r="G13" s="42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2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2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2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2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2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2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2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2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129"/>
      <c r="Q13" s="129"/>
      <c r="R13" s="129"/>
    </row>
    <row r="14" spans="1:18" ht="21" customHeight="1" x14ac:dyDescent="0.15">
      <c r="A14" s="33" t="str">
        <f t="shared" si="1"/>
        <v>39003007_39003013</v>
      </c>
      <c r="B14" s="41">
        <v>39003007</v>
      </c>
      <c r="C14" s="41">
        <v>39003013</v>
      </c>
      <c r="D14" s="40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オキシゲン・デストロイ</v>
      </c>
      <c r="E14" s="40" t="str">
        <f ca="1">VLOOKUP($C14,OFFSET(enemy_skills!$A$1,0,0,COUNTA(enemy_skills!$A:$A),MATCH(E$1,enemy_skills!$1:$1,0)-MATCH("enemy_skill_id",enemy_skills!$1:$1,0)+1),MATCH(E$1,enemy_skills!$1:$1,0)-MATCH("enemy_skill_id",enemy_skills!$1:$1,0)+1,FALSE)</f>
        <v>全体に固定ダメージ！</v>
      </c>
      <c r="F14" s="41">
        <v>39003013</v>
      </c>
      <c r="G14" s="42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2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2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2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4" s="42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2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2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2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2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129"/>
      <c r="Q14" s="129"/>
      <c r="R14" s="129"/>
    </row>
    <row r="15" spans="1:18" ht="21" customHeight="1" x14ac:dyDescent="0.15">
      <c r="A15" s="33" t="str">
        <f t="shared" si="1"/>
        <v>39003008_39003014</v>
      </c>
      <c r="B15" s="41">
        <v>39003008</v>
      </c>
      <c r="C15" s="41">
        <v>39003014</v>
      </c>
      <c r="D15" s="40" t="str">
        <f ca="1">VLOOKUP($C15,OFFSET(enemy_skills!$A$1,0,0,COUNTA(enemy_skills!$A:$A),MATCH(D$1,enemy_skills!$1:$1,0)-MATCH("enemy_skill_id",enemy_skills!$1:$1,0)+1),MATCH(D$1,enemy_skills!$1:$1,0)-MATCH("enemy_skill_id",enemy_skills!$1:$1,0)+1,FALSE)</f>
        <v>傀儡の茶会</v>
      </c>
      <c r="E15" s="40" t="str">
        <f ca="1">VLOOKUP($C15,OFFSET(enemy_skills!$A$1,0,0,COUNTA(enemy_skills!$A:$A),MATCH(E$1,enemy_skills!$1:$1,0)-MATCH("enemy_skill_id",enemy_skills!$1:$1,0)+1),MATCH(E$1,enemy_skills!$1:$1,0)-MATCH("enemy_skill_id",enemy_skills!$1:$1,0)+1,FALSE)</f>
        <v>3ターンパネルタップ回数を1減少</v>
      </c>
      <c r="F15" s="41">
        <v>39003014</v>
      </c>
      <c r="G15" s="42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2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2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2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2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2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2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2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2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129"/>
      <c r="Q15" s="129"/>
      <c r="R15" s="129"/>
    </row>
    <row r="16" spans="1:18" ht="21" customHeight="1" x14ac:dyDescent="0.15">
      <c r="A16" s="33" t="str">
        <f t="shared" si="1"/>
        <v>39003008_39003015</v>
      </c>
      <c r="B16" s="41">
        <v>39003008</v>
      </c>
      <c r="C16" s="41">
        <v>39003015</v>
      </c>
      <c r="D16" s="40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ちゃっかり吸血</v>
      </c>
      <c r="E16" s="40" t="str">
        <f ca="1">VLOOKUP($C16,OFFSET(enemy_skills!$A$1,0,0,COUNTA(enemy_skills!$A:$A),MATCH(E$1,enemy_skills!$1:$1,0)-MATCH("enemy_skill_id",enemy_skills!$1:$1,0)+1),MATCH(E$1,enemy_skills!$1:$1,0)-MATCH("enemy_skill_id",enemy_skills!$1:$1,0)+1,FALSE)</f>
        <v>単体攻撃&amp;敵一体のHP回復</v>
      </c>
      <c r="F16" s="41">
        <v>39003015</v>
      </c>
      <c r="G16" s="42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2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2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2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2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2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2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2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2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129"/>
      <c r="Q16" s="129"/>
      <c r="R16" s="129"/>
    </row>
    <row r="17" spans="1:18" ht="21" customHeight="1" x14ac:dyDescent="0.15">
      <c r="A17" s="33" t="str">
        <f t="shared" si="1"/>
        <v>39003009_39003016</v>
      </c>
      <c r="B17" s="41">
        <v>39003009</v>
      </c>
      <c r="C17" s="41">
        <v>39003016</v>
      </c>
      <c r="D17" s="40" t="str">
        <f ca="1">VLOOKUP($C17,OFFSET(enemy_skills!$A$1,0,0,COUNTA(enemy_skills!$A:$A),MATCH(D$1,enemy_skills!$1:$1,0)-MATCH("enemy_skill_id",enemy_skills!$1:$1,0)+1),MATCH(D$1,enemy_skills!$1:$1,0)-MATCH("enemy_skill_id",enemy_skills!$1:$1,0)+1,FALSE)</f>
        <v>煙幕弾</v>
      </c>
      <c r="E17" s="40" t="str">
        <f ca="1">VLOOKUP($C17,OFFSET(enemy_skills!$A$1,0,0,COUNTA(enemy_skills!$A:$A),MATCH(E$1,enemy_skills!$1:$1,0)-MATCH("enemy_skill_id",enemy_skills!$1:$1,0)+1),MATCH(E$1,enemy_skills!$1:$1,0)-MATCH("enemy_skill_id",enemy_skills!$1:$1,0)+1,FALSE)</f>
        <v>1ターンパネルの色が分からなくなる !</v>
      </c>
      <c r="F17" s="41">
        <v>39003016</v>
      </c>
      <c r="G17" s="42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2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2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2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2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2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2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2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2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129"/>
      <c r="Q17" s="129"/>
      <c r="R17" s="129"/>
    </row>
    <row r="18" spans="1:18" ht="21" customHeight="1" x14ac:dyDescent="0.15">
      <c r="A18" s="33" t="str">
        <f t="shared" si="1"/>
        <v>39003009_39003017</v>
      </c>
      <c r="B18" s="41">
        <v>39003009</v>
      </c>
      <c r="C18" s="41">
        <v>39003017</v>
      </c>
      <c r="D18" s="40" t="str">
        <f ca="1">VLOOKUP($C18,OFFSET(enemy_skills!$A$1,0,0,COUNTA(enemy_skills!$A:$A),MATCH(D$1,enemy_skills!$1:$1,0)-MATCH("enemy_skill_id",enemy_skills!$1:$1,0)+1),MATCH(D$1,enemy_skills!$1:$1,0)-MATCH("enemy_skill_id",enemy_skills!$1:$1,0)+1,FALSE)</f>
        <v>三千世界</v>
      </c>
      <c r="E18" s="40" t="str">
        <f ca="1">VLOOKUP($C18,OFFSET(enemy_skills!$A$1,0,0,COUNTA(enemy_skills!$A:$A),MATCH(E$1,enemy_skills!$1:$1,0)-MATCH("enemy_skill_id",enemy_skills!$1:$1,0)+1),MATCH(E$1,enemy_skills!$1:$1,0)-MATCH("enemy_skill_id",enemy_skills!$1:$1,0)+1,FALSE)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18" s="41">
        <v>39003017</v>
      </c>
      <c r="G18" s="42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2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2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8" s="42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2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2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2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2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2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8" s="129"/>
      <c r="Q18" s="129"/>
      <c r="R18" s="129"/>
    </row>
    <row r="19" spans="1:18" ht="21" customHeight="1" x14ac:dyDescent="0.15">
      <c r="A19" s="33" t="str">
        <f t="shared" si="1"/>
        <v>39003010_39003018</v>
      </c>
      <c r="B19" s="41">
        <v>39003010</v>
      </c>
      <c r="C19" s="41">
        <v>39003018</v>
      </c>
      <c r="D19" s="40" t="str">
        <f ca="1">VLOOKUP($C19,OFFSET(enemy_skills!$A$1,0,0,COUNTA(enemy_skills!$A:$A),MATCH(D$1,enemy_skills!$1:$1,0)-MATCH("enemy_skill_id",enemy_skills!$1:$1,0)+1),MATCH(D$1,enemy_skills!$1:$1,0)-MATCH("enemy_skill_id",enemy_skills!$1:$1,0)+1,FALSE)</f>
        <v>先輩、相談したいことがあります</v>
      </c>
      <c r="E19" s="40" t="str">
        <f ca="1">VLOOKUP($C19,OFFSET(enemy_skills!$A$1,0,0,COUNTA(enemy_skills!$A:$A),MATCH(E$1,enemy_skills!$1:$1,0)-MATCH("enemy_skill_id",enemy_skills!$1:$1,0)+1),MATCH(E$1,enemy_skills!$1:$1,0)-MATCH("enemy_skill_id",enemy_skills!$1:$1,0)+1,FALSE)</f>
        <v>青パネルの出現率大UP</v>
      </c>
      <c r="F19" s="41">
        <v>39003018</v>
      </c>
      <c r="G19" s="42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2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2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2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2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2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2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2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712</v>
      </c>
      <c r="O19" s="42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129"/>
      <c r="Q19" s="129"/>
      <c r="R19" s="129"/>
    </row>
    <row r="20" spans="1:18" ht="21" customHeight="1" x14ac:dyDescent="0.15">
      <c r="A20" s="33" t="str">
        <f t="shared" ref="A20" si="2">B20&amp;"_"&amp;C20</f>
        <v>39003010_39003018</v>
      </c>
      <c r="B20" s="41">
        <v>39003010</v>
      </c>
      <c r="C20" s="41">
        <v>39003018</v>
      </c>
      <c r="D20" s="40" t="str">
        <f ca="1">VLOOKUP($C20,OFFSET(enemy_skills!$A$1,0,0,COUNTA(enemy_skills!$A:$A),MATCH(D$1,enemy_skills!$1:$1,0)-MATCH("enemy_skill_id",enemy_skills!$1:$1,0)+1),MATCH(D$1,enemy_skills!$1:$1,0)-MATCH("enemy_skill_id",enemy_skills!$1:$1,0)+1,FALSE)</f>
        <v>先輩、相談したいことがあります</v>
      </c>
      <c r="E20" s="40" t="str">
        <f ca="1">VLOOKUP($C20,OFFSET(enemy_skills!$A$1,0,0,COUNTA(enemy_skills!$A:$A),MATCH(E$1,enemy_skills!$1:$1,0)-MATCH("enemy_skill_id",enemy_skills!$1:$1,0)+1),MATCH(E$1,enemy_skills!$1:$1,0)-MATCH("enemy_skill_id",enemy_skills!$1:$1,0)+1,FALSE)</f>
        <v>青パネルの出現率大UP</v>
      </c>
      <c r="F20" s="41">
        <v>39003019</v>
      </c>
      <c r="G20" s="42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2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42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2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2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2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2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2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713</v>
      </c>
      <c r="O20" s="42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129"/>
      <c r="Q20" s="129"/>
      <c r="R20" s="129"/>
    </row>
    <row r="21" spans="1:18" ht="21" customHeight="1" x14ac:dyDescent="0.15">
      <c r="A21" s="33" t="str">
        <f t="shared" si="1"/>
        <v>39003010_39003019</v>
      </c>
      <c r="B21" s="41">
        <v>39003010</v>
      </c>
      <c r="C21" s="41">
        <v>39003019</v>
      </c>
      <c r="D21" s="40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このチーム名の由来を知ってますか？</v>
      </c>
      <c r="E21" s="40" t="str">
        <f ca="1">VLOOKUP($C21,OFFSET(enemy_skills!$A$1,0,0,COUNTA(enemy_skills!$A:$A),MATCH(E$1,enemy_skills!$1:$1,0)-MATCH("enemy_skill_id",enemy_skills!$1:$1,0)+1),MATCH(E$1,enemy_skills!$1:$1,0)-MATCH("enemy_skill_id",enemy_skills!$1:$1,0)+1,FALSE)</f>
        <v>青パネルの出現率大UP</v>
      </c>
      <c r="F21" s="41">
        <v>39003020</v>
      </c>
      <c r="G21" s="42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2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2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2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2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2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2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2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2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129"/>
      <c r="Q21" s="129"/>
      <c r="R21" s="129"/>
    </row>
    <row r="22" spans="1:18" ht="21" customHeight="1" x14ac:dyDescent="0.15">
      <c r="A22" s="33" t="str">
        <f t="shared" si="1"/>
        <v>39003010_39003020</v>
      </c>
      <c r="B22" s="41">
        <v>39003010</v>
      </c>
      <c r="C22" s="41">
        <v>39003020</v>
      </c>
      <c r="D22" s="40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これならどうですか？</v>
      </c>
      <c r="E22" s="40" t="str">
        <f ca="1">VLOOKUP($C22,OFFSET(enemy_skills!$A$1,0,0,COUNTA(enemy_skills!$A:$A),MATCH(E$1,enemy_skills!$1:$1,0)-MATCH("enemy_skill_id",enemy_skills!$1:$1,0)+1),MATCH(E$1,enemy_skills!$1:$1,0)-MATCH("enemy_skill_id",enemy_skills!$1:$1,0)+1,FALSE)</f>
        <v>青パネル吸収攻撃</v>
      </c>
      <c r="F22" s="41">
        <v>39003021</v>
      </c>
      <c r="G22" s="42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2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42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2" s="42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2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2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2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2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2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2" s="129"/>
      <c r="Q22" s="129"/>
      <c r="R22" s="129"/>
    </row>
    <row r="23" spans="1:18" ht="21" customHeight="1" x14ac:dyDescent="0.15">
      <c r="A23" s="33" t="str">
        <f t="shared" si="1"/>
        <v>39003010_39003021</v>
      </c>
      <c r="B23" s="41">
        <v>39003010</v>
      </c>
      <c r="C23" s="41">
        <v>39003021</v>
      </c>
      <c r="D23" s="40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さすがですね！</v>
      </c>
      <c r="E23" s="40" t="str">
        <f ca="1">VLOOKUP($C23,OFFSET(enemy_skills!$A$1,0,0,COUNTA(enemy_skills!$A:$A),MATCH(E$1,enemy_skills!$1:$1,0)-MATCH("enemy_skill_id",enemy_skills!$1:$1,0)+1),MATCH(E$1,enemy_skills!$1:$1,0)-MATCH("enemy_skill_id",enemy_skills!$1:$1,0)+1,FALSE)</f>
        <v>黄パネルを青パネルに変換&amp;単体攻撃</v>
      </c>
      <c r="F23" s="41">
        <v>39003022</v>
      </c>
      <c r="G23" s="42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2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42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3" s="42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2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2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2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2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2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3" s="129"/>
      <c r="Q23" s="129"/>
      <c r="R23" s="129"/>
    </row>
    <row r="24" spans="1:18" ht="21" customHeight="1" x14ac:dyDescent="0.15">
      <c r="A24" s="33" t="str">
        <f t="shared" si="1"/>
        <v>39003010_39003022</v>
      </c>
      <c r="B24" s="41">
        <v>39003010</v>
      </c>
      <c r="C24" s="41">
        <v>39003022</v>
      </c>
      <c r="D24" s="40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まだまだ行きますよ？</v>
      </c>
      <c r="E24" s="40" t="str">
        <f ca="1">VLOOKUP($C24,OFFSET(enemy_skills!$A$1,0,0,COUNTA(enemy_skills!$A:$A),MATCH(E$1,enemy_skills!$1:$1,0)-MATCH("enemy_skill_id",enemy_skills!$1:$1,0)+1),MATCH(E$1,enemy_skills!$1:$1,0)-MATCH("enemy_skill_id",enemy_skills!$1:$1,0)+1,FALSE)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24" s="41">
        <v>39003023</v>
      </c>
      <c r="G24" s="42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2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2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2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2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2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2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4" s="42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2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129"/>
      <c r="Q24" s="129"/>
      <c r="R24" s="129"/>
    </row>
    <row r="25" spans="1:18" ht="21" customHeight="1" x14ac:dyDescent="0.15">
      <c r="A25" s="33" t="str">
        <f t="shared" si="1"/>
        <v>39003011_39003023</v>
      </c>
      <c r="B25" s="41">
        <v>39003011</v>
      </c>
      <c r="C25" s="41">
        <v>39003023</v>
      </c>
      <c r="D25" s="40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　　僕らブルースクウェアの_x000D_リーダーになって欲しいんですよ</v>
      </c>
      <c r="E25" s="40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この戦闘の間青パネル無効</v>
      </c>
      <c r="F25" s="41">
        <v>39003024</v>
      </c>
      <c r="G25" s="42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2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2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2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2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2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2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2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712</v>
      </c>
      <c r="O25" s="42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129"/>
      <c r="Q25" s="129"/>
      <c r="R25" s="129"/>
    </row>
    <row r="26" spans="1:18" ht="21" customHeight="1" x14ac:dyDescent="0.15">
      <c r="A26" s="33" t="str">
        <f t="shared" ref="A26" si="3">B26&amp;"_"&amp;C26</f>
        <v>39003011_39003023</v>
      </c>
      <c r="B26" s="41">
        <v>39003011</v>
      </c>
      <c r="C26" s="41">
        <v>39003023</v>
      </c>
      <c r="D26" s="40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　　僕らブルースクウェアの_x000D_リーダーになって欲しいんですよ</v>
      </c>
      <c r="E26" s="40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この戦闘の間青パネル無効</v>
      </c>
      <c r="F26" s="41">
        <v>39003025</v>
      </c>
      <c r="G26" s="42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2" t="str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" s="42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2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2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2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2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2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713</v>
      </c>
      <c r="O26" s="42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129"/>
      <c r="Q26" s="129"/>
      <c r="R26" s="129"/>
    </row>
    <row r="27" spans="1:18" ht="21" customHeight="1" x14ac:dyDescent="0.15">
      <c r="A27" s="33" t="str">
        <f t="shared" si="1"/>
        <v>39003011_39003024</v>
      </c>
      <c r="B27" s="41">
        <v>39003011</v>
      </c>
      <c r="C27" s="41">
        <v>39003024</v>
      </c>
      <c r="D27" s="40" t="str">
        <f ca="1">VLOOKUP($C27,OFFSET(enemy_skills!$A$1,0,0,COUNTA(enemy_skills!$A:$A),MATCH(D$1,enemy_skills!$1:$1,0)-MATCH("enemy_skill_id",enemy_skills!$1:$1,0)+1),MATCH(D$1,enemy_skills!$1:$1,0)-MATCH("enemy_skill_id",enemy_skills!$1:$1,0)+1,FALSE)</f>
        <v>先輩以外に興味はないんです</v>
      </c>
      <c r="E27" s="40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この戦闘の間青パネル無効</v>
      </c>
      <c r="F27" s="41">
        <v>39003026</v>
      </c>
      <c r="G27" s="42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2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42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2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2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2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2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2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2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129"/>
      <c r="Q27" s="129"/>
      <c r="R27" s="129"/>
    </row>
    <row r="28" spans="1:18" ht="21" customHeight="1" x14ac:dyDescent="0.15">
      <c r="A28" s="33" t="str">
        <f t="shared" ref="A28" si="4">B28&amp;"_"&amp;C28</f>
        <v>39003011_39003020</v>
      </c>
      <c r="B28" s="41">
        <v>39003011</v>
      </c>
      <c r="C28" s="41">
        <v>39003020</v>
      </c>
      <c r="D28" s="40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これならどうですか？</v>
      </c>
      <c r="E28" s="40" t="str">
        <f ca="1">VLOOKUP($C28,OFFSET(enemy_skills!$A$1,0,0,COUNTA(enemy_skills!$A:$A),MATCH(E$1,enemy_skills!$1:$1,0)-MATCH("enemy_skill_id",enemy_skills!$1:$1,0)+1),MATCH(E$1,enemy_skills!$1:$1,0)-MATCH("enemy_skill_id",enemy_skills!$1:$1,0)+1,FALSE)</f>
        <v>青パネル吸収攻撃</v>
      </c>
      <c r="F28" s="41">
        <v>39003021</v>
      </c>
      <c r="G28" s="42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2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42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8" s="42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2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2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2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2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2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8" s="129"/>
      <c r="Q28" s="129"/>
      <c r="R28" s="129"/>
    </row>
    <row r="29" spans="1:18" ht="21" customHeight="1" x14ac:dyDescent="0.15">
      <c r="A29" s="33" t="str">
        <f t="shared" ref="A29:A40" si="5">B29&amp;"_"&amp;C29</f>
        <v>39003011_39003021</v>
      </c>
      <c r="B29" s="41">
        <v>39003011</v>
      </c>
      <c r="C29" s="41">
        <v>39003021</v>
      </c>
      <c r="D29" s="40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さすがですね！</v>
      </c>
      <c r="E29" s="40" t="str">
        <f ca="1">VLOOKUP($C29,OFFSET(enemy_skills!$A$1,0,0,COUNTA(enemy_skills!$A:$A),MATCH(E$1,enemy_skills!$1:$1,0)-MATCH("enemy_skill_id",enemy_skills!$1:$1,0)+1),MATCH(E$1,enemy_skills!$1:$1,0)-MATCH("enemy_skill_id",enemy_skills!$1:$1,0)+1,FALSE)</f>
        <v>黄パネルを青パネルに変換&amp;単体攻撃</v>
      </c>
      <c r="F29" s="41">
        <v>39003022</v>
      </c>
      <c r="G29" s="42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2" t="str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9" s="42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9" s="42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2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2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2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2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2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9" s="129"/>
      <c r="Q29" s="129"/>
      <c r="R29" s="129"/>
    </row>
    <row r="30" spans="1:18" ht="21" customHeight="1" x14ac:dyDescent="0.15">
      <c r="A30" s="33" t="str">
        <f t="shared" si="5"/>
        <v>39003011_39003022</v>
      </c>
      <c r="B30" s="41">
        <v>39003011</v>
      </c>
      <c r="C30" s="41">
        <v>39003022</v>
      </c>
      <c r="D30" s="40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まだまだ行きますよ？</v>
      </c>
      <c r="E30" s="40" t="str">
        <f ca="1">VLOOKUP($C30,OFFSET(enemy_skills!$A$1,0,0,COUNTA(enemy_skills!$A:$A),MATCH(E$1,enemy_skills!$1:$1,0)-MATCH("enemy_skill_id",enemy_skills!$1:$1,0)+1),MATCH(E$1,enemy_skills!$1:$1,0)-MATCH("enemy_skill_id",enemy_skills!$1:$1,0)+1,FALSE)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30" s="41">
        <v>39003023</v>
      </c>
      <c r="G30" s="42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2" t="str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0" s="42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2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2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2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2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0" s="42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2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129"/>
      <c r="Q30" s="129"/>
      <c r="R30" s="129"/>
    </row>
    <row r="31" spans="1:18" ht="21" customHeight="1" x14ac:dyDescent="0.15">
      <c r="A31" s="33" t="str">
        <f t="shared" si="5"/>
        <v>39003011_39003025</v>
      </c>
      <c r="B31" s="41">
        <v>39003011</v>
      </c>
      <c r="C31" s="41">
        <v>39003025</v>
      </c>
      <c r="D31" s="40" t="str">
        <f ca="1">VLOOKUP($C31,OFFSET(enemy_skills!$A$1,0,0,COUNTA(enemy_skills!$A:$A),MATCH(D$1,enemy_skills!$1:$1,0)-MATCH("enemy_skill_id",enemy_skills!$1:$1,0)+1),MATCH(D$1,enemy_skills!$1:$1,0)-MATCH("enemy_skill_id",enemy_skills!$1:$1,0)+1,FALSE)</f>
        <v>少し黙ってください</v>
      </c>
      <c r="E31" s="40" t="str">
        <f ca="1">VLOOKUP($C31,OFFSET(enemy_skills!$A$1,0,0,COUNTA(enemy_skills!$A:$A),MATCH(E$1,enemy_skills!$1:$1,0)-MATCH("enemy_skill_id",enemy_skills!$1:$1,0)+1),MATCH(E$1,enemy_skills!$1:$1,0)-MATCH("enemy_skill_id",enemy_skills!$1:$1,0)+1,FALSE)</f>
        <v>全体攻撃&amp;4ターン全ユニットスキルバインド状態</v>
      </c>
      <c r="F31" s="41">
        <v>39003027</v>
      </c>
      <c r="G31" s="42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2" t="str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1" s="42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2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31" s="42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2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2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2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2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129"/>
      <c r="Q31" s="129"/>
      <c r="R31" s="129"/>
    </row>
    <row r="32" spans="1:18" ht="21" customHeight="1" x14ac:dyDescent="0.15">
      <c r="A32" s="33" t="str">
        <f t="shared" si="5"/>
        <v>39003011_39003026</v>
      </c>
      <c r="B32" s="41">
        <v>39003011</v>
      </c>
      <c r="C32" s="41">
        <v>39003026</v>
      </c>
      <c r="D32" s="40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この、僕の血に濡れた紙が契約書だ…</v>
      </c>
      <c r="E32" s="40" t="str">
        <f ca="1">VLOOKUP($C32,OFFSET(enemy_skills!$A$1,0,0,COUNTA(enemy_skills!$A:$A),MATCH(E$1,enemy_skills!$1:$1,0)-MATCH("enemy_skill_id",enemy_skills!$1:$1,0)+1),MATCH(E$1,enemy_skills!$1:$1,0)-MATCH("enemy_skill_id",enemy_skills!$1:$1,0)+1,FALSE)</f>
        <v>今日から帝人先輩は…僕たちのリーダーですよ</v>
      </c>
      <c r="F32" s="41">
        <v>39003028</v>
      </c>
      <c r="G32" s="42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2" t="str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2" s="42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2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2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2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2" s="42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2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712</v>
      </c>
      <c r="O32" s="42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129"/>
      <c r="Q32" s="129"/>
      <c r="R32" s="129"/>
    </row>
    <row r="33" spans="1:18" ht="21" customHeight="1" x14ac:dyDescent="0.15">
      <c r="A33" s="33" t="str">
        <f t="shared" si="5"/>
        <v>39003011_39003026</v>
      </c>
      <c r="B33" s="41">
        <v>39003011</v>
      </c>
      <c r="C33" s="41">
        <v>39003026</v>
      </c>
      <c r="D33" s="40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この、僕の血に濡れた紙が契約書だ…</v>
      </c>
      <c r="E33" s="40" t="str">
        <f ca="1">VLOOKUP($C33,OFFSET(enemy_skills!$A$1,0,0,COUNTA(enemy_skills!$A:$A),MATCH(E$1,enemy_skills!$1:$1,0)-MATCH("enemy_skill_id",enemy_skills!$1:$1,0)+1),MATCH(E$1,enemy_skills!$1:$1,0)-MATCH("enemy_skill_id",enemy_skills!$1:$1,0)+1,FALSE)</f>
        <v>今日から帝人先輩は…僕たちのリーダーですよ</v>
      </c>
      <c r="F33" s="41">
        <v>39003029</v>
      </c>
      <c r="G33" s="42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2" t="str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3" s="42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2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2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2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3" s="42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2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713</v>
      </c>
      <c r="O33" s="42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129"/>
      <c r="Q33" s="129"/>
      <c r="R33" s="129"/>
    </row>
    <row r="34" spans="1:18" ht="21" customHeight="1" x14ac:dyDescent="0.15">
      <c r="A34" s="33" t="str">
        <f t="shared" si="5"/>
        <v>39003012_39003027</v>
      </c>
      <c r="B34" s="41">
        <v>39003012</v>
      </c>
      <c r="C34" s="41">
        <v>39003027</v>
      </c>
      <c r="D34" s="40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マシンブレイカー</v>
      </c>
      <c r="E34" s="40" t="str">
        <f ca="1">VLOOKUP($C34,OFFSET(enemy_skills!$A$1,0,0,COUNTA(enemy_skills!$A:$A),MATCH(E$1,enemy_skills!$1:$1,0)-MATCH("enemy_skill_id",enemy_skills!$1:$1,0)+1),MATCH(E$1,enemy_skills!$1:$1,0)-MATCH("enemy_skill_id",enemy_skills!$1:$1,0)+1,FALSE)</f>
        <v>マシン種族のユニットに大ダメージ！</v>
      </c>
      <c r="F34" s="41">
        <v>39003030</v>
      </c>
      <c r="G34" s="42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2" t="str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4" s="42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2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2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2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2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2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2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129"/>
      <c r="Q34" s="129"/>
      <c r="R34" s="129"/>
    </row>
    <row r="35" spans="1:18" ht="21" customHeight="1" x14ac:dyDescent="0.15">
      <c r="A35" s="33" t="str">
        <f t="shared" si="5"/>
        <v>39003012_39003028</v>
      </c>
      <c r="B35" s="41">
        <v>39003012</v>
      </c>
      <c r="C35" s="41">
        <v>39003028</v>
      </c>
      <c r="D35" s="40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フルボッコ</v>
      </c>
      <c r="E35" s="40" t="str">
        <f ca="1">VLOOKUP($C35,OFFSET(enemy_skills!$A$1,0,0,COUNTA(enemy_skills!$A:$A),MATCH(E$1,enemy_skills!$1:$1,0)-MATCH("enemy_skill_id",enemy_skills!$1:$1,0)+1),MATCH(E$1,enemy_skills!$1:$1,0)-MATCH("enemy_skill_id",enemy_skills!$1:$1,0)+1,FALSE)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35" s="41">
        <v>39003031</v>
      </c>
      <c r="G35" s="42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2" t="str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5" s="42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2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2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2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2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5" s="42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2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129"/>
      <c r="Q35" s="129"/>
      <c r="R35" s="129"/>
    </row>
    <row r="36" spans="1:18" ht="21" customHeight="1" x14ac:dyDescent="0.15">
      <c r="A36" s="33" t="str">
        <f t="shared" si="5"/>
        <v>39003013_39003007</v>
      </c>
      <c r="B36" s="41">
        <v>39003013</v>
      </c>
      <c r="C36" s="41">
        <v>39003007</v>
      </c>
      <c r="D36" s="40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ターミネーター</v>
      </c>
      <c r="E36" s="40" t="str">
        <f ca="1">VLOOKUP($C36,OFFSET(enemy_skills!$A$1,0,0,COUNTA(enemy_skills!$A:$A),MATCH(E$1,enemy_skills!$1:$1,0)-MATCH("enemy_skill_id",enemy_skills!$1:$1,0)+1),MATCH(E$1,enemy_skills!$1:$1,0)-MATCH("enemy_skill_id",enemy_skills!$1:$1,0)+1,FALSE)</f>
        <v>単体に大ダメージ！</v>
      </c>
      <c r="F36" s="41">
        <v>39003007</v>
      </c>
      <c r="G36" s="42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2" t="str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6" s="42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6" s="42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2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2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2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2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2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6" s="129"/>
      <c r="Q36" s="129"/>
      <c r="R36" s="129"/>
    </row>
    <row r="37" spans="1:18" ht="21" customHeight="1" x14ac:dyDescent="0.15">
      <c r="A37" s="33" t="str">
        <f t="shared" si="5"/>
        <v>39003014_39003012</v>
      </c>
      <c r="B37" s="41">
        <v>39003014</v>
      </c>
      <c r="C37" s="41">
        <v>39003012</v>
      </c>
      <c r="D37" s="40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ファナティック・ウェイブ</v>
      </c>
      <c r="E37" s="40" t="str">
        <f ca="1">VLOOKUP($C37,OFFSET(enemy_skills!$A$1,0,0,COUNTA(enemy_skills!$A:$A),MATCH(E$1,enemy_skills!$1:$1,0)-MATCH("enemy_skill_id",enemy_skills!$1:$1,0)+1),MATCH(E$1,enemy_skills!$1:$1,0)-MATCH("enemy_skill_id",enemy_skills!$1:$1,0)+1,FALSE)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7" s="41">
        <v>39003012</v>
      </c>
      <c r="G37" s="42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2" t="str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7" s="42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2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2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2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2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2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2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129"/>
      <c r="Q37" s="129"/>
      <c r="R37" s="129"/>
    </row>
    <row r="38" spans="1:18" ht="21" customHeight="1" x14ac:dyDescent="0.15">
      <c r="A38" s="33" t="str">
        <f t="shared" si="5"/>
        <v>39003014_39003013</v>
      </c>
      <c r="B38" s="41">
        <v>39003014</v>
      </c>
      <c r="C38" s="41">
        <v>39003013</v>
      </c>
      <c r="D38" s="40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オキシゲン・デストロイ</v>
      </c>
      <c r="E38" s="40" t="str">
        <f ca="1">VLOOKUP($C38,OFFSET(enemy_skills!$A$1,0,0,COUNTA(enemy_skills!$A:$A),MATCH(E$1,enemy_skills!$1:$1,0)-MATCH("enemy_skill_id",enemy_skills!$1:$1,0)+1),MATCH(E$1,enemy_skills!$1:$1,0)-MATCH("enemy_skill_id",enemy_skills!$1:$1,0)+1,FALSE)</f>
        <v>全体に固定ダメージ！</v>
      </c>
      <c r="F38" s="41">
        <v>39003013</v>
      </c>
      <c r="G38" s="42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2" t="str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8" s="42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2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38" s="42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2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2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2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2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129"/>
      <c r="Q38" s="129"/>
      <c r="R38" s="129"/>
    </row>
    <row r="39" spans="1:18" ht="21" customHeight="1" x14ac:dyDescent="0.15">
      <c r="A39" s="33" t="str">
        <f t="shared" si="5"/>
        <v>39003015_39003014</v>
      </c>
      <c r="B39" s="41">
        <v>39003015</v>
      </c>
      <c r="C39" s="41">
        <v>39003014</v>
      </c>
      <c r="D39" s="40" t="str">
        <f ca="1">VLOOKUP($C39,OFFSET(enemy_skills!$A$1,0,0,COUNTA(enemy_skills!$A:$A),MATCH(D$1,enemy_skills!$1:$1,0)-MATCH("enemy_skill_id",enemy_skills!$1:$1,0)+1),MATCH(D$1,enemy_skills!$1:$1,0)-MATCH("enemy_skill_id",enemy_skills!$1:$1,0)+1,FALSE)</f>
        <v>傀儡の茶会</v>
      </c>
      <c r="E39" s="40" t="str">
        <f ca="1">VLOOKUP($C39,OFFSET(enemy_skills!$A$1,0,0,COUNTA(enemy_skills!$A:$A),MATCH(E$1,enemy_skills!$1:$1,0)-MATCH("enemy_skill_id",enemy_skills!$1:$1,0)+1),MATCH(E$1,enemy_skills!$1:$1,0)-MATCH("enemy_skill_id",enemy_skills!$1:$1,0)+1,FALSE)</f>
        <v>3ターンパネルタップ回数を1減少</v>
      </c>
      <c r="F39" s="41">
        <v>39003014</v>
      </c>
      <c r="G39" s="42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2" t="str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9" s="42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2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2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2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2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2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2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129"/>
      <c r="Q39" s="129"/>
      <c r="R39" s="129"/>
    </row>
    <row r="40" spans="1:18" ht="21" customHeight="1" x14ac:dyDescent="0.15">
      <c r="A40" s="33" t="str">
        <f t="shared" si="5"/>
        <v>39003015_39003015</v>
      </c>
      <c r="B40" s="41">
        <v>39003015</v>
      </c>
      <c r="C40" s="41">
        <v>39003015</v>
      </c>
      <c r="D40" s="40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ちゃっかり吸血</v>
      </c>
      <c r="E40" s="40" t="str">
        <f ca="1">VLOOKUP($C40,OFFSET(enemy_skills!$A$1,0,0,COUNTA(enemy_skills!$A:$A),MATCH(E$1,enemy_skills!$1:$1,0)-MATCH("enemy_skill_id",enemy_skills!$1:$1,0)+1),MATCH(E$1,enemy_skills!$1:$1,0)-MATCH("enemy_skill_id",enemy_skills!$1:$1,0)+1,FALSE)</f>
        <v>単体攻撃&amp;敵一体のHP回復</v>
      </c>
      <c r="F40" s="41">
        <v>39003032</v>
      </c>
      <c r="G40" s="42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2" t="str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0" s="42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2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2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2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40" s="42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2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2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129"/>
      <c r="Q40" s="129"/>
      <c r="R40" s="129"/>
    </row>
  </sheetData>
  <autoFilter ref="A1:R1"/>
  <phoneticPr fontId="5"/>
  <pageMargins left="0.75" right="0.75" top="1" bottom="1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43"/>
  <sheetViews>
    <sheetView tabSelected="1" topLeftCell="B17" workbookViewId="0">
      <selection activeCell="P31" sqref="P31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58" t="s">
        <v>149</v>
      </c>
      <c r="B1" s="58" t="s">
        <v>150</v>
      </c>
      <c r="C1" s="59" t="s">
        <v>151</v>
      </c>
      <c r="D1" s="65" t="s">
        <v>152</v>
      </c>
      <c r="E1" s="60" t="s">
        <v>153</v>
      </c>
      <c r="F1" s="58" t="s">
        <v>154</v>
      </c>
      <c r="G1" s="58" t="s">
        <v>155</v>
      </c>
      <c r="H1" s="58" t="s">
        <v>156</v>
      </c>
      <c r="I1" s="58" t="s">
        <v>157</v>
      </c>
      <c r="J1" s="58" t="s">
        <v>158</v>
      </c>
      <c r="K1" s="58" t="s">
        <v>159</v>
      </c>
      <c r="L1" s="58" t="s">
        <v>160</v>
      </c>
      <c r="M1" s="58" t="s">
        <v>161</v>
      </c>
      <c r="N1" s="58" t="s">
        <v>162</v>
      </c>
      <c r="O1" s="58" t="s">
        <v>163</v>
      </c>
      <c r="P1" s="58" t="s">
        <v>164</v>
      </c>
      <c r="Q1" s="58" t="s">
        <v>165</v>
      </c>
      <c r="R1" s="58" t="s">
        <v>166</v>
      </c>
    </row>
    <row r="2" spans="1:18" x14ac:dyDescent="0.15">
      <c r="A2" s="141">
        <v>39003</v>
      </c>
      <c r="B2" s="75">
        <v>1</v>
      </c>
      <c r="C2" s="64" t="str">
        <f>A2&amp; "_"&amp;B2</f>
        <v>39003_1</v>
      </c>
      <c r="D2" s="15" t="str">
        <f ca="1">VLOOKUP($C2,OFFSET([2]stages!$A$1,0,0,COUNTA([2]stages!$A:$A),MATCH(D$1,[2]stages!$2:$2,0)-MATCH($C$1,[2]stages!$2:$2,0)+1),MATCH(D$1,[2]stages!$2:$2,0)-MATCH($C$1,[2]stages!$2:$2,0)+1,FALSE)</f>
        <v>everyone</v>
      </c>
      <c r="E2" s="75">
        <v>1</v>
      </c>
      <c r="F2" s="75" t="s">
        <v>167</v>
      </c>
      <c r="G2" s="75">
        <v>1700</v>
      </c>
      <c r="H2" s="75" t="s">
        <v>307</v>
      </c>
      <c r="I2" s="75">
        <v>1</v>
      </c>
      <c r="J2" s="75">
        <v>1</v>
      </c>
      <c r="K2" s="75">
        <v>0</v>
      </c>
      <c r="L2" s="75">
        <v>0</v>
      </c>
      <c r="M2" s="75">
        <v>0</v>
      </c>
      <c r="N2" s="75">
        <v>0</v>
      </c>
      <c r="O2" s="75">
        <v>1</v>
      </c>
      <c r="P2" s="75">
        <v>250</v>
      </c>
      <c r="Q2" s="75" t="s">
        <v>169</v>
      </c>
      <c r="R2" s="75" t="s">
        <v>170</v>
      </c>
    </row>
    <row r="3" spans="1:18" x14ac:dyDescent="0.15">
      <c r="A3" s="141">
        <v>39003</v>
      </c>
      <c r="B3" s="75">
        <v>1</v>
      </c>
      <c r="C3" s="64" t="str">
        <f t="shared" ref="C3:C43" si="0">A3&amp; "_"&amp;B3</f>
        <v>39003_1</v>
      </c>
      <c r="D3" s="15" t="str">
        <f ca="1">VLOOKUP($C3,OFFSET([2]stages!$A$1,0,0,COUNTA([2]stages!$A:$A),MATCH(D$1,[2]stages!$2:$2,0)-MATCH($C$1,[2]stages!$2:$2,0)+1),MATCH(D$1,[2]stages!$2:$2,0)-MATCH($C$1,[2]stages!$2:$2,0)+1,FALSE)</f>
        <v>everyone</v>
      </c>
      <c r="E3" s="75">
        <v>2</v>
      </c>
      <c r="F3" s="75" t="s">
        <v>308</v>
      </c>
      <c r="G3" s="75">
        <v>20</v>
      </c>
      <c r="H3" s="75" t="s">
        <v>307</v>
      </c>
      <c r="I3" s="75">
        <v>1</v>
      </c>
      <c r="J3" s="75">
        <v>1</v>
      </c>
      <c r="K3" s="75">
        <v>0</v>
      </c>
      <c r="L3" s="75">
        <v>0</v>
      </c>
      <c r="M3" s="75">
        <v>0</v>
      </c>
      <c r="N3" s="75">
        <v>0</v>
      </c>
      <c r="O3" s="75">
        <v>1</v>
      </c>
      <c r="P3" s="75">
        <v>250</v>
      </c>
      <c r="Q3" s="75" t="s">
        <v>169</v>
      </c>
      <c r="R3" s="75" t="s">
        <v>170</v>
      </c>
    </row>
    <row r="4" spans="1:18" x14ac:dyDescent="0.15">
      <c r="A4" s="141">
        <v>39003</v>
      </c>
      <c r="B4" s="75">
        <v>1</v>
      </c>
      <c r="C4" s="64" t="str">
        <f t="shared" si="0"/>
        <v>39003_1</v>
      </c>
      <c r="D4" s="15" t="str">
        <f ca="1">VLOOKUP($C4,OFFSET([2]stages!$A$1,0,0,COUNTA([2]stages!$A:$A),MATCH(D$1,[2]stages!$2:$2,0)-MATCH($C$1,[2]stages!$2:$2,0)+1),MATCH(D$1,[2]stages!$2:$2,0)-MATCH($C$1,[2]stages!$2:$2,0)+1,FALSE)</f>
        <v>everyone</v>
      </c>
      <c r="E4" s="75">
        <v>3</v>
      </c>
      <c r="F4" s="75" t="s">
        <v>309</v>
      </c>
      <c r="G4" s="75">
        <v>340</v>
      </c>
      <c r="H4" s="75">
        <v>1</v>
      </c>
      <c r="I4" s="75">
        <v>1</v>
      </c>
      <c r="J4" s="75">
        <v>1</v>
      </c>
      <c r="K4" s="75">
        <v>0</v>
      </c>
      <c r="L4" s="75">
        <v>0</v>
      </c>
      <c r="M4" s="75">
        <v>0</v>
      </c>
      <c r="N4" s="75">
        <v>0</v>
      </c>
      <c r="O4" s="75">
        <v>1</v>
      </c>
      <c r="P4" s="75">
        <v>98</v>
      </c>
      <c r="Q4" s="75" t="s">
        <v>169</v>
      </c>
      <c r="R4" s="75" t="s">
        <v>170</v>
      </c>
    </row>
    <row r="5" spans="1:18" x14ac:dyDescent="0.15">
      <c r="A5" s="141">
        <v>39003</v>
      </c>
      <c r="B5" s="75">
        <v>1</v>
      </c>
      <c r="C5" s="64" t="str">
        <f t="shared" si="0"/>
        <v>39003_1</v>
      </c>
      <c r="D5" s="15" t="str">
        <f ca="1">VLOOKUP($C5,OFFSET([2]stages!$A$1,0,0,COUNTA([2]stages!$A:$A),MATCH(D$1,[2]stages!$2:$2,0)-MATCH($C$1,[2]stages!$2:$2,0)+1),MATCH(D$1,[2]stages!$2:$2,0)-MATCH($C$1,[2]stages!$2:$2,0)+1,FALSE)</f>
        <v>everyone</v>
      </c>
      <c r="E5" s="75">
        <v>4</v>
      </c>
      <c r="F5" s="75" t="s">
        <v>309</v>
      </c>
      <c r="G5" s="75">
        <v>341</v>
      </c>
      <c r="H5" s="75">
        <v>1</v>
      </c>
      <c r="I5" s="75">
        <v>1</v>
      </c>
      <c r="J5" s="75">
        <v>1</v>
      </c>
      <c r="K5" s="75">
        <v>0</v>
      </c>
      <c r="L5" s="75">
        <v>0</v>
      </c>
      <c r="M5" s="75">
        <v>0</v>
      </c>
      <c r="N5" s="75">
        <v>0</v>
      </c>
      <c r="O5" s="75">
        <v>1</v>
      </c>
      <c r="P5" s="75">
        <v>42</v>
      </c>
      <c r="Q5" s="75" t="s">
        <v>169</v>
      </c>
      <c r="R5" s="75" t="s">
        <v>170</v>
      </c>
    </row>
    <row r="6" spans="1:18" x14ac:dyDescent="0.15">
      <c r="A6" s="141">
        <v>39003</v>
      </c>
      <c r="B6" s="75">
        <v>1</v>
      </c>
      <c r="C6" s="64" t="str">
        <f t="shared" si="0"/>
        <v>39003_1</v>
      </c>
      <c r="D6" s="15" t="str">
        <f ca="1">VLOOKUP($C6,OFFSET([2]stages!$A$1,0,0,COUNTA([2]stages!$A:$A),MATCH(D$1,[2]stages!$2:$2,0)-MATCH($C$1,[2]stages!$2:$2,0)+1),MATCH(D$1,[2]stages!$2:$2,0)-MATCH($C$1,[2]stages!$2:$2,0)+1,FALSE)</f>
        <v>everyone</v>
      </c>
      <c r="E6" s="75">
        <v>5</v>
      </c>
      <c r="F6" s="75" t="s">
        <v>309</v>
      </c>
      <c r="G6" s="75">
        <v>121</v>
      </c>
      <c r="H6" s="75">
        <v>1</v>
      </c>
      <c r="I6" s="75">
        <v>1</v>
      </c>
      <c r="J6" s="75">
        <v>1</v>
      </c>
      <c r="K6" s="75">
        <v>0</v>
      </c>
      <c r="L6" s="75">
        <v>0</v>
      </c>
      <c r="M6" s="75">
        <v>0</v>
      </c>
      <c r="N6" s="75">
        <v>0</v>
      </c>
      <c r="O6" s="75">
        <v>1</v>
      </c>
      <c r="P6" s="75">
        <v>50</v>
      </c>
      <c r="Q6" s="75" t="s">
        <v>169</v>
      </c>
      <c r="R6" s="75" t="s">
        <v>170</v>
      </c>
    </row>
    <row r="7" spans="1:18" x14ac:dyDescent="0.15">
      <c r="A7" s="141">
        <v>39003</v>
      </c>
      <c r="B7" s="75">
        <v>1</v>
      </c>
      <c r="C7" s="64" t="str">
        <f t="shared" si="0"/>
        <v>39003_1</v>
      </c>
      <c r="D7" s="15" t="str">
        <f ca="1">VLOOKUP($C7,OFFSET([2]stages!$A$1,0,0,COUNTA([2]stages!$A:$A),MATCH(D$1,[2]stages!$2:$2,0)-MATCH($C$1,[2]stages!$2:$2,0)+1),MATCH(D$1,[2]stages!$2:$2,0)-MATCH($C$1,[2]stages!$2:$2,0)+1,FALSE)</f>
        <v>everyone</v>
      </c>
      <c r="E7" s="75">
        <v>6</v>
      </c>
      <c r="F7" s="75" t="s">
        <v>309</v>
      </c>
      <c r="G7" s="75">
        <v>122</v>
      </c>
      <c r="H7" s="75">
        <v>1</v>
      </c>
      <c r="I7" s="75">
        <v>1</v>
      </c>
      <c r="J7" s="75">
        <v>1</v>
      </c>
      <c r="K7" s="75">
        <v>0</v>
      </c>
      <c r="L7" s="75">
        <v>0</v>
      </c>
      <c r="M7" s="75">
        <v>0</v>
      </c>
      <c r="N7" s="75">
        <v>0</v>
      </c>
      <c r="O7" s="75">
        <v>1</v>
      </c>
      <c r="P7" s="75">
        <v>50</v>
      </c>
      <c r="Q7" s="75" t="s">
        <v>169</v>
      </c>
      <c r="R7" s="75" t="s">
        <v>170</v>
      </c>
    </row>
    <row r="8" spans="1:18" x14ac:dyDescent="0.15">
      <c r="A8" s="141">
        <v>39003</v>
      </c>
      <c r="B8" s="75">
        <v>1</v>
      </c>
      <c r="C8" s="64" t="str">
        <f t="shared" si="0"/>
        <v>39003_1</v>
      </c>
      <c r="D8" s="15" t="str">
        <f ca="1">VLOOKUP($C8,OFFSET([2]stages!$A$1,0,0,COUNTA([2]stages!$A:$A),MATCH(D$1,[2]stages!$2:$2,0)-MATCH($C$1,[2]stages!$2:$2,0)+1),MATCH(D$1,[2]stages!$2:$2,0)-MATCH($C$1,[2]stages!$2:$2,0)+1,FALSE)</f>
        <v>everyone</v>
      </c>
      <c r="E8" s="75">
        <v>7</v>
      </c>
      <c r="F8" s="75" t="s">
        <v>309</v>
      </c>
      <c r="G8" s="75">
        <v>123</v>
      </c>
      <c r="H8" s="75">
        <v>1</v>
      </c>
      <c r="I8" s="75">
        <v>1</v>
      </c>
      <c r="J8" s="75">
        <v>1</v>
      </c>
      <c r="K8" s="75">
        <v>0</v>
      </c>
      <c r="L8" s="75">
        <v>0</v>
      </c>
      <c r="M8" s="75">
        <v>0</v>
      </c>
      <c r="N8" s="75">
        <v>0</v>
      </c>
      <c r="O8" s="75">
        <v>1</v>
      </c>
      <c r="P8" s="75">
        <v>50</v>
      </c>
      <c r="Q8" s="75" t="s">
        <v>169</v>
      </c>
      <c r="R8" s="75" t="s">
        <v>170</v>
      </c>
    </row>
    <row r="9" spans="1:18" x14ac:dyDescent="0.15">
      <c r="A9" s="141">
        <v>39003</v>
      </c>
      <c r="B9" s="75">
        <v>1</v>
      </c>
      <c r="C9" s="64" t="str">
        <f t="shared" si="0"/>
        <v>39003_1</v>
      </c>
      <c r="D9" s="15" t="str">
        <f ca="1">VLOOKUP($C9,OFFSET([2]stages!$A$1,0,0,COUNTA([2]stages!$A:$A),MATCH(D$1,[2]stages!$2:$2,0)-MATCH($C$1,[2]stages!$2:$2,0)+1),MATCH(D$1,[2]stages!$2:$2,0)-MATCH($C$1,[2]stages!$2:$2,0)+1,FALSE)</f>
        <v>everyone</v>
      </c>
      <c r="E9" s="75">
        <v>8</v>
      </c>
      <c r="F9" s="75" t="s">
        <v>310</v>
      </c>
      <c r="G9" s="75">
        <v>125</v>
      </c>
      <c r="H9" s="75">
        <v>1</v>
      </c>
      <c r="I9" s="75">
        <v>1</v>
      </c>
      <c r="J9" s="75">
        <v>1</v>
      </c>
      <c r="K9" s="75">
        <v>0</v>
      </c>
      <c r="L9" s="75">
        <v>0</v>
      </c>
      <c r="M9" s="75">
        <v>0</v>
      </c>
      <c r="N9" s="75">
        <v>0</v>
      </c>
      <c r="O9" s="75">
        <v>1</v>
      </c>
      <c r="P9" s="75">
        <v>10</v>
      </c>
      <c r="Q9" s="75" t="s">
        <v>169</v>
      </c>
      <c r="R9" s="75" t="s">
        <v>170</v>
      </c>
    </row>
    <row r="10" spans="1:18" x14ac:dyDescent="0.15">
      <c r="A10" s="141">
        <v>39003</v>
      </c>
      <c r="B10" s="75">
        <v>1</v>
      </c>
      <c r="C10" s="64" t="str">
        <f t="shared" si="0"/>
        <v>39003_1</v>
      </c>
      <c r="D10" s="15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75">
        <v>9</v>
      </c>
      <c r="F10" s="75" t="s">
        <v>309</v>
      </c>
      <c r="G10" s="142">
        <v>691</v>
      </c>
      <c r="H10" s="75">
        <v>1</v>
      </c>
      <c r="I10" s="75">
        <v>1</v>
      </c>
      <c r="J10" s="75">
        <v>1</v>
      </c>
      <c r="K10" s="75">
        <v>0</v>
      </c>
      <c r="L10" s="75">
        <v>0</v>
      </c>
      <c r="M10" s="75">
        <v>0</v>
      </c>
      <c r="N10" s="75">
        <v>0</v>
      </c>
      <c r="O10" s="75">
        <v>1</v>
      </c>
      <c r="P10" s="75">
        <v>50</v>
      </c>
      <c r="Q10" s="75" t="s">
        <v>169</v>
      </c>
      <c r="R10" s="75" t="s">
        <v>170</v>
      </c>
    </row>
    <row r="11" spans="1:18" x14ac:dyDescent="0.15">
      <c r="A11" s="141">
        <v>39003</v>
      </c>
      <c r="B11" s="75">
        <v>1</v>
      </c>
      <c r="C11" s="64" t="str">
        <f t="shared" si="0"/>
        <v>39003_1</v>
      </c>
      <c r="D11" s="15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75">
        <v>10</v>
      </c>
      <c r="F11" s="75" t="s">
        <v>309</v>
      </c>
      <c r="G11" s="75">
        <v>352</v>
      </c>
      <c r="H11" s="75">
        <v>1</v>
      </c>
      <c r="I11" s="75">
        <v>1</v>
      </c>
      <c r="J11" s="75">
        <v>1</v>
      </c>
      <c r="K11" s="75">
        <v>0</v>
      </c>
      <c r="L11" s="75">
        <v>0</v>
      </c>
      <c r="M11" s="75">
        <v>0</v>
      </c>
      <c r="N11" s="75">
        <v>0</v>
      </c>
      <c r="O11" s="75">
        <v>1</v>
      </c>
      <c r="P11" s="75">
        <v>150</v>
      </c>
      <c r="Q11" s="75" t="s">
        <v>169</v>
      </c>
      <c r="R11" s="75" t="s">
        <v>170</v>
      </c>
    </row>
    <row r="12" spans="1:18" x14ac:dyDescent="0.15">
      <c r="A12" s="141">
        <v>39003</v>
      </c>
      <c r="B12" s="75">
        <v>2</v>
      </c>
      <c r="C12" s="64" t="str">
        <f t="shared" si="0"/>
        <v>39003_2</v>
      </c>
      <c r="D12" s="15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75">
        <v>11</v>
      </c>
      <c r="F12" s="75" t="s">
        <v>167</v>
      </c>
      <c r="G12" s="75">
        <v>3200</v>
      </c>
      <c r="H12" s="75" t="s">
        <v>311</v>
      </c>
      <c r="I12" s="75">
        <v>1</v>
      </c>
      <c r="J12" s="75">
        <v>1</v>
      </c>
      <c r="K12" s="75">
        <v>0</v>
      </c>
      <c r="L12" s="75">
        <v>0</v>
      </c>
      <c r="M12" s="75">
        <v>0</v>
      </c>
      <c r="N12" s="75">
        <v>0</v>
      </c>
      <c r="O12" s="75">
        <v>1</v>
      </c>
      <c r="P12" s="75">
        <v>250</v>
      </c>
      <c r="Q12" s="75" t="s">
        <v>169</v>
      </c>
      <c r="R12" s="75" t="s">
        <v>170</v>
      </c>
    </row>
    <row r="13" spans="1:18" x14ac:dyDescent="0.15">
      <c r="A13" s="141">
        <v>39003</v>
      </c>
      <c r="B13" s="75">
        <v>2</v>
      </c>
      <c r="C13" s="64" t="str">
        <f t="shared" si="0"/>
        <v>39003_2</v>
      </c>
      <c r="D13" s="15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75">
        <v>12</v>
      </c>
      <c r="F13" s="75" t="s">
        <v>312</v>
      </c>
      <c r="G13" s="75">
        <v>20</v>
      </c>
      <c r="H13" s="75" t="s">
        <v>311</v>
      </c>
      <c r="I13" s="75">
        <v>1</v>
      </c>
      <c r="J13" s="75">
        <v>1</v>
      </c>
      <c r="K13" s="75">
        <v>0</v>
      </c>
      <c r="L13" s="75">
        <v>0</v>
      </c>
      <c r="M13" s="75">
        <v>0</v>
      </c>
      <c r="N13" s="75">
        <v>0</v>
      </c>
      <c r="O13" s="75">
        <v>1</v>
      </c>
      <c r="P13" s="75">
        <v>200</v>
      </c>
      <c r="Q13" s="75" t="s">
        <v>169</v>
      </c>
      <c r="R13" s="75" t="s">
        <v>170</v>
      </c>
    </row>
    <row r="14" spans="1:18" x14ac:dyDescent="0.15">
      <c r="A14" s="141">
        <v>39003</v>
      </c>
      <c r="B14" s="75">
        <v>2</v>
      </c>
      <c r="C14" s="64" t="str">
        <f t="shared" si="0"/>
        <v>39003_2</v>
      </c>
      <c r="D14" s="15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75">
        <v>13</v>
      </c>
      <c r="F14" s="75" t="s">
        <v>309</v>
      </c>
      <c r="G14" s="75">
        <v>340</v>
      </c>
      <c r="H14" s="75">
        <v>1</v>
      </c>
      <c r="I14" s="75">
        <v>1</v>
      </c>
      <c r="J14" s="75">
        <v>1</v>
      </c>
      <c r="K14" s="75">
        <v>0</v>
      </c>
      <c r="L14" s="75">
        <v>0</v>
      </c>
      <c r="M14" s="75">
        <v>0</v>
      </c>
      <c r="N14" s="75">
        <v>0</v>
      </c>
      <c r="O14" s="75">
        <v>1</v>
      </c>
      <c r="P14" s="75">
        <v>70</v>
      </c>
      <c r="Q14" s="75" t="s">
        <v>169</v>
      </c>
      <c r="R14" s="75" t="s">
        <v>170</v>
      </c>
    </row>
    <row r="15" spans="1:18" x14ac:dyDescent="0.15">
      <c r="A15" s="141">
        <v>39003</v>
      </c>
      <c r="B15" s="75">
        <v>2</v>
      </c>
      <c r="C15" s="64" t="str">
        <f t="shared" si="0"/>
        <v>39003_2</v>
      </c>
      <c r="D15" s="15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75">
        <v>14</v>
      </c>
      <c r="F15" s="75" t="s">
        <v>309</v>
      </c>
      <c r="G15" s="75">
        <v>341</v>
      </c>
      <c r="H15" s="75">
        <v>1</v>
      </c>
      <c r="I15" s="75">
        <v>1</v>
      </c>
      <c r="J15" s="75">
        <v>1</v>
      </c>
      <c r="K15" s="75">
        <v>0</v>
      </c>
      <c r="L15" s="75">
        <v>0</v>
      </c>
      <c r="M15" s="75">
        <v>0</v>
      </c>
      <c r="N15" s="75">
        <v>0</v>
      </c>
      <c r="O15" s="75">
        <v>1</v>
      </c>
      <c r="P15" s="75">
        <v>70</v>
      </c>
      <c r="Q15" s="75" t="s">
        <v>169</v>
      </c>
      <c r="R15" s="75" t="s">
        <v>170</v>
      </c>
    </row>
    <row r="16" spans="1:18" x14ac:dyDescent="0.15">
      <c r="A16" s="141">
        <v>39003</v>
      </c>
      <c r="B16" s="75">
        <v>2</v>
      </c>
      <c r="C16" s="64" t="str">
        <f t="shared" si="0"/>
        <v>39003_2</v>
      </c>
      <c r="D16" s="15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75">
        <v>15</v>
      </c>
      <c r="F16" s="75" t="s">
        <v>309</v>
      </c>
      <c r="G16" s="75">
        <v>121</v>
      </c>
      <c r="H16" s="75">
        <v>1</v>
      </c>
      <c r="I16" s="75">
        <v>1</v>
      </c>
      <c r="J16" s="75">
        <v>1</v>
      </c>
      <c r="K16" s="75">
        <v>0</v>
      </c>
      <c r="L16" s="75">
        <v>0</v>
      </c>
      <c r="M16" s="75">
        <v>0</v>
      </c>
      <c r="N16" s="75">
        <v>0</v>
      </c>
      <c r="O16" s="75">
        <v>1</v>
      </c>
      <c r="P16" s="75">
        <v>50</v>
      </c>
      <c r="Q16" s="75" t="s">
        <v>169</v>
      </c>
      <c r="R16" s="75" t="s">
        <v>170</v>
      </c>
    </row>
    <row r="17" spans="1:18" x14ac:dyDescent="0.15">
      <c r="A17" s="141">
        <v>39003</v>
      </c>
      <c r="B17" s="75">
        <v>2</v>
      </c>
      <c r="C17" s="64" t="str">
        <f t="shared" si="0"/>
        <v>39003_2</v>
      </c>
      <c r="D17" s="15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75">
        <v>16</v>
      </c>
      <c r="F17" s="75" t="s">
        <v>309</v>
      </c>
      <c r="G17" s="75">
        <v>122</v>
      </c>
      <c r="H17" s="75">
        <v>1</v>
      </c>
      <c r="I17" s="75">
        <v>1</v>
      </c>
      <c r="J17" s="75">
        <v>1</v>
      </c>
      <c r="K17" s="75">
        <v>0</v>
      </c>
      <c r="L17" s="75">
        <v>0</v>
      </c>
      <c r="M17" s="75">
        <v>0</v>
      </c>
      <c r="N17" s="75">
        <v>0</v>
      </c>
      <c r="O17" s="75">
        <v>1</v>
      </c>
      <c r="P17" s="75">
        <v>50</v>
      </c>
      <c r="Q17" s="75" t="s">
        <v>169</v>
      </c>
      <c r="R17" s="75" t="s">
        <v>170</v>
      </c>
    </row>
    <row r="18" spans="1:18" x14ac:dyDescent="0.15">
      <c r="A18" s="141">
        <v>39003</v>
      </c>
      <c r="B18" s="75">
        <v>2</v>
      </c>
      <c r="C18" s="64" t="str">
        <f t="shared" si="0"/>
        <v>39003_2</v>
      </c>
      <c r="D18" s="15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75">
        <v>17</v>
      </c>
      <c r="F18" s="75" t="s">
        <v>309</v>
      </c>
      <c r="G18" s="75">
        <v>123</v>
      </c>
      <c r="H18" s="75">
        <v>1</v>
      </c>
      <c r="I18" s="75">
        <v>1</v>
      </c>
      <c r="J18" s="75">
        <v>1</v>
      </c>
      <c r="K18" s="75">
        <v>0</v>
      </c>
      <c r="L18" s="75">
        <v>0</v>
      </c>
      <c r="M18" s="75">
        <v>0</v>
      </c>
      <c r="N18" s="75">
        <v>0</v>
      </c>
      <c r="O18" s="75">
        <v>1</v>
      </c>
      <c r="P18" s="75">
        <v>50</v>
      </c>
      <c r="Q18" s="75" t="s">
        <v>169</v>
      </c>
      <c r="R18" s="75" t="s">
        <v>170</v>
      </c>
    </row>
    <row r="19" spans="1:18" x14ac:dyDescent="0.15">
      <c r="A19" s="141">
        <v>39003</v>
      </c>
      <c r="B19" s="75">
        <v>2</v>
      </c>
      <c r="C19" s="64" t="str">
        <f t="shared" si="0"/>
        <v>39003_2</v>
      </c>
      <c r="D19" s="15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75">
        <v>18</v>
      </c>
      <c r="F19" s="75" t="s">
        <v>309</v>
      </c>
      <c r="G19" s="75">
        <v>125</v>
      </c>
      <c r="H19" s="75">
        <v>1</v>
      </c>
      <c r="I19" s="75">
        <v>1</v>
      </c>
      <c r="J19" s="75">
        <v>1</v>
      </c>
      <c r="K19" s="75">
        <v>0</v>
      </c>
      <c r="L19" s="75">
        <v>0</v>
      </c>
      <c r="M19" s="75">
        <v>0</v>
      </c>
      <c r="N19" s="75">
        <v>0</v>
      </c>
      <c r="O19" s="75">
        <v>1</v>
      </c>
      <c r="P19" s="75">
        <v>10</v>
      </c>
      <c r="Q19" s="75" t="s">
        <v>169</v>
      </c>
      <c r="R19" s="75" t="s">
        <v>170</v>
      </c>
    </row>
    <row r="20" spans="1:18" x14ac:dyDescent="0.15">
      <c r="A20" s="141">
        <v>39003</v>
      </c>
      <c r="B20" s="75">
        <v>2</v>
      </c>
      <c r="C20" s="64" t="str">
        <f t="shared" si="0"/>
        <v>39003_2</v>
      </c>
      <c r="D20" s="15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75">
        <v>19</v>
      </c>
      <c r="F20" s="75" t="s">
        <v>313</v>
      </c>
      <c r="G20" s="142">
        <v>691</v>
      </c>
      <c r="H20" s="75">
        <v>1</v>
      </c>
      <c r="I20" s="75">
        <v>1</v>
      </c>
      <c r="J20" s="75">
        <v>1</v>
      </c>
      <c r="K20" s="75">
        <v>0</v>
      </c>
      <c r="L20" s="75">
        <v>0</v>
      </c>
      <c r="M20" s="75">
        <v>0</v>
      </c>
      <c r="N20" s="75">
        <v>0</v>
      </c>
      <c r="O20" s="75">
        <v>1</v>
      </c>
      <c r="P20" s="75">
        <v>100</v>
      </c>
      <c r="Q20" s="75" t="s">
        <v>169</v>
      </c>
      <c r="R20" s="75" t="s">
        <v>170</v>
      </c>
    </row>
    <row r="21" spans="1:18" x14ac:dyDescent="0.15">
      <c r="A21" s="141">
        <v>39003</v>
      </c>
      <c r="B21" s="75">
        <v>2</v>
      </c>
      <c r="C21" s="64" t="str">
        <f t="shared" si="0"/>
        <v>39003_2</v>
      </c>
      <c r="D21" s="15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75">
        <v>20</v>
      </c>
      <c r="F21" s="75" t="s">
        <v>313</v>
      </c>
      <c r="G21" s="75">
        <v>352</v>
      </c>
      <c r="H21" s="75">
        <v>1</v>
      </c>
      <c r="I21" s="75">
        <v>1</v>
      </c>
      <c r="J21" s="75">
        <v>1</v>
      </c>
      <c r="K21" s="75">
        <v>0</v>
      </c>
      <c r="L21" s="75">
        <v>0</v>
      </c>
      <c r="M21" s="75">
        <v>0</v>
      </c>
      <c r="N21" s="75">
        <v>0</v>
      </c>
      <c r="O21" s="75">
        <v>1</v>
      </c>
      <c r="P21" s="75">
        <v>150</v>
      </c>
      <c r="Q21" s="75" t="s">
        <v>169</v>
      </c>
      <c r="R21" s="75" t="s">
        <v>170</v>
      </c>
    </row>
    <row r="22" spans="1:18" x14ac:dyDescent="0.15">
      <c r="A22" s="141">
        <v>39003</v>
      </c>
      <c r="B22" s="75">
        <v>3</v>
      </c>
      <c r="C22" s="64" t="str">
        <f t="shared" si="0"/>
        <v>39003_3</v>
      </c>
      <c r="D22" s="15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75">
        <v>21</v>
      </c>
      <c r="F22" s="75" t="s">
        <v>167</v>
      </c>
      <c r="G22" s="75">
        <v>5000</v>
      </c>
      <c r="H22" s="75" t="s">
        <v>307</v>
      </c>
      <c r="I22" s="75">
        <v>1</v>
      </c>
      <c r="J22" s="75">
        <v>1</v>
      </c>
      <c r="K22" s="75">
        <v>0</v>
      </c>
      <c r="L22" s="75">
        <v>0</v>
      </c>
      <c r="M22" s="75">
        <v>0</v>
      </c>
      <c r="N22" s="75">
        <v>0</v>
      </c>
      <c r="O22" s="75">
        <v>1</v>
      </c>
      <c r="P22" s="75">
        <v>200</v>
      </c>
      <c r="Q22" s="75" t="s">
        <v>169</v>
      </c>
      <c r="R22" s="75" t="s">
        <v>170</v>
      </c>
    </row>
    <row r="23" spans="1:18" x14ac:dyDescent="0.15">
      <c r="A23" s="141">
        <v>39003</v>
      </c>
      <c r="B23" s="75">
        <v>3</v>
      </c>
      <c r="C23" s="64" t="str">
        <f t="shared" si="0"/>
        <v>39003_3</v>
      </c>
      <c r="D23" s="15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75">
        <v>22</v>
      </c>
      <c r="F23" s="75" t="s">
        <v>308</v>
      </c>
      <c r="G23" s="75">
        <v>25</v>
      </c>
      <c r="H23" s="75" t="s">
        <v>307</v>
      </c>
      <c r="I23" s="75">
        <v>1</v>
      </c>
      <c r="J23" s="75">
        <v>1</v>
      </c>
      <c r="K23" s="75">
        <v>0</v>
      </c>
      <c r="L23" s="75">
        <v>0</v>
      </c>
      <c r="M23" s="75">
        <v>0</v>
      </c>
      <c r="N23" s="75">
        <v>0</v>
      </c>
      <c r="O23" s="75">
        <v>1</v>
      </c>
      <c r="P23" s="75">
        <v>250</v>
      </c>
      <c r="Q23" s="75" t="s">
        <v>169</v>
      </c>
      <c r="R23" s="75" t="s">
        <v>170</v>
      </c>
    </row>
    <row r="24" spans="1:18" x14ac:dyDescent="0.15">
      <c r="A24" s="141">
        <v>39003</v>
      </c>
      <c r="B24" s="75">
        <v>3</v>
      </c>
      <c r="C24" s="64" t="str">
        <f t="shared" si="0"/>
        <v>39003_3</v>
      </c>
      <c r="D24" s="15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75">
        <v>23</v>
      </c>
      <c r="F24" s="75" t="s">
        <v>313</v>
      </c>
      <c r="G24" s="75">
        <v>340</v>
      </c>
      <c r="H24" s="75">
        <v>1</v>
      </c>
      <c r="I24" s="75">
        <v>1</v>
      </c>
      <c r="J24" s="75">
        <v>1</v>
      </c>
      <c r="K24" s="75">
        <v>0</v>
      </c>
      <c r="L24" s="75">
        <v>0</v>
      </c>
      <c r="M24" s="75">
        <v>0</v>
      </c>
      <c r="N24" s="75">
        <v>0</v>
      </c>
      <c r="O24" s="75">
        <v>1</v>
      </c>
      <c r="P24" s="75">
        <v>28</v>
      </c>
      <c r="Q24" s="75" t="s">
        <v>169</v>
      </c>
      <c r="R24" s="75" t="s">
        <v>170</v>
      </c>
    </row>
    <row r="25" spans="1:18" x14ac:dyDescent="0.15">
      <c r="A25" s="141">
        <v>39003</v>
      </c>
      <c r="B25" s="75">
        <v>3</v>
      </c>
      <c r="C25" s="64" t="str">
        <f t="shared" si="0"/>
        <v>39003_3</v>
      </c>
      <c r="D25" s="15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75">
        <v>24</v>
      </c>
      <c r="F25" s="75" t="s">
        <v>313</v>
      </c>
      <c r="G25" s="75">
        <v>341</v>
      </c>
      <c r="H25" s="75">
        <v>1</v>
      </c>
      <c r="I25" s="75">
        <v>1</v>
      </c>
      <c r="J25" s="75">
        <v>1</v>
      </c>
      <c r="K25" s="75">
        <v>0</v>
      </c>
      <c r="L25" s="75">
        <v>0</v>
      </c>
      <c r="M25" s="75">
        <v>0</v>
      </c>
      <c r="N25" s="75">
        <v>0</v>
      </c>
      <c r="O25" s="75">
        <v>1</v>
      </c>
      <c r="P25" s="75">
        <v>56</v>
      </c>
      <c r="Q25" s="75" t="s">
        <v>169</v>
      </c>
      <c r="R25" s="75" t="s">
        <v>170</v>
      </c>
    </row>
    <row r="26" spans="1:18" x14ac:dyDescent="0.15">
      <c r="A26" s="141">
        <v>39003</v>
      </c>
      <c r="B26" s="75">
        <v>3</v>
      </c>
      <c r="C26" s="64" t="str">
        <f t="shared" si="0"/>
        <v>39003_3</v>
      </c>
      <c r="D26" s="15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75">
        <v>25</v>
      </c>
      <c r="F26" s="75" t="s">
        <v>313</v>
      </c>
      <c r="G26" s="75">
        <v>342</v>
      </c>
      <c r="H26" s="75">
        <v>1</v>
      </c>
      <c r="I26" s="75">
        <v>1</v>
      </c>
      <c r="J26" s="75">
        <v>1</v>
      </c>
      <c r="K26" s="75">
        <v>0</v>
      </c>
      <c r="L26" s="75">
        <v>0</v>
      </c>
      <c r="M26" s="75">
        <v>0</v>
      </c>
      <c r="N26" s="75">
        <v>0</v>
      </c>
      <c r="O26" s="75">
        <v>1</v>
      </c>
      <c r="P26" s="75">
        <v>56</v>
      </c>
      <c r="Q26" s="75" t="s">
        <v>169</v>
      </c>
      <c r="R26" s="75" t="s">
        <v>170</v>
      </c>
    </row>
    <row r="27" spans="1:18" x14ac:dyDescent="0.15">
      <c r="A27" s="141">
        <v>39003</v>
      </c>
      <c r="B27" s="75">
        <v>3</v>
      </c>
      <c r="C27" s="64" t="str">
        <f t="shared" si="0"/>
        <v>39003_3</v>
      </c>
      <c r="D27" s="15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75">
        <v>26</v>
      </c>
      <c r="F27" s="75" t="s">
        <v>313</v>
      </c>
      <c r="G27" s="75">
        <v>121</v>
      </c>
      <c r="H27" s="75">
        <v>1</v>
      </c>
      <c r="I27" s="75">
        <v>1</v>
      </c>
      <c r="J27" s="75">
        <v>1</v>
      </c>
      <c r="K27" s="75">
        <v>0</v>
      </c>
      <c r="L27" s="75">
        <v>0</v>
      </c>
      <c r="M27" s="75">
        <v>0</v>
      </c>
      <c r="N27" s="75">
        <v>0</v>
      </c>
      <c r="O27" s="75">
        <v>1</v>
      </c>
      <c r="P27" s="75">
        <v>50</v>
      </c>
      <c r="Q27" s="75" t="s">
        <v>169</v>
      </c>
      <c r="R27" s="75" t="s">
        <v>170</v>
      </c>
    </row>
    <row r="28" spans="1:18" x14ac:dyDescent="0.15">
      <c r="A28" s="141">
        <v>39003</v>
      </c>
      <c r="B28" s="75">
        <v>3</v>
      </c>
      <c r="C28" s="64" t="str">
        <f t="shared" si="0"/>
        <v>39003_3</v>
      </c>
      <c r="D28" s="15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75">
        <v>27</v>
      </c>
      <c r="F28" s="75" t="s">
        <v>313</v>
      </c>
      <c r="G28" s="75">
        <v>122</v>
      </c>
      <c r="H28" s="75">
        <v>1</v>
      </c>
      <c r="I28" s="75">
        <v>1</v>
      </c>
      <c r="J28" s="75">
        <v>1</v>
      </c>
      <c r="K28" s="75">
        <v>0</v>
      </c>
      <c r="L28" s="75">
        <v>0</v>
      </c>
      <c r="M28" s="75">
        <v>0</v>
      </c>
      <c r="N28" s="75">
        <v>0</v>
      </c>
      <c r="O28" s="75">
        <v>1</v>
      </c>
      <c r="P28" s="75">
        <v>50</v>
      </c>
      <c r="Q28" s="75" t="s">
        <v>169</v>
      </c>
      <c r="R28" s="75" t="s">
        <v>170</v>
      </c>
    </row>
    <row r="29" spans="1:18" x14ac:dyDescent="0.15">
      <c r="A29" s="141">
        <v>39003</v>
      </c>
      <c r="B29" s="75">
        <v>3</v>
      </c>
      <c r="C29" s="64" t="str">
        <f t="shared" si="0"/>
        <v>39003_3</v>
      </c>
      <c r="D29" s="15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75">
        <v>28</v>
      </c>
      <c r="F29" s="75" t="s">
        <v>313</v>
      </c>
      <c r="G29" s="75">
        <v>123</v>
      </c>
      <c r="H29" s="75">
        <v>1</v>
      </c>
      <c r="I29" s="75">
        <v>1</v>
      </c>
      <c r="J29" s="75">
        <v>1</v>
      </c>
      <c r="K29" s="75">
        <v>0</v>
      </c>
      <c r="L29" s="75">
        <v>0</v>
      </c>
      <c r="M29" s="75">
        <v>0</v>
      </c>
      <c r="N29" s="75">
        <v>0</v>
      </c>
      <c r="O29" s="75">
        <v>1</v>
      </c>
      <c r="P29" s="75">
        <v>50</v>
      </c>
      <c r="Q29" s="75" t="s">
        <v>169</v>
      </c>
      <c r="R29" s="75" t="s">
        <v>170</v>
      </c>
    </row>
    <row r="30" spans="1:18" x14ac:dyDescent="0.15">
      <c r="A30" s="141">
        <v>39003</v>
      </c>
      <c r="B30" s="75">
        <v>3</v>
      </c>
      <c r="C30" s="64" t="str">
        <f t="shared" si="0"/>
        <v>39003_3</v>
      </c>
      <c r="D30" s="15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75">
        <v>29</v>
      </c>
      <c r="F30" s="75" t="s">
        <v>313</v>
      </c>
      <c r="G30" s="75">
        <v>125</v>
      </c>
      <c r="H30" s="75">
        <v>1</v>
      </c>
      <c r="I30" s="75">
        <v>1</v>
      </c>
      <c r="J30" s="75">
        <v>1</v>
      </c>
      <c r="K30" s="75">
        <v>0</v>
      </c>
      <c r="L30" s="75">
        <v>0</v>
      </c>
      <c r="M30" s="75">
        <v>0</v>
      </c>
      <c r="N30" s="75">
        <v>0</v>
      </c>
      <c r="O30" s="75">
        <v>1</v>
      </c>
      <c r="P30" s="75">
        <v>10</v>
      </c>
      <c r="Q30" s="75" t="s">
        <v>169</v>
      </c>
      <c r="R30" s="75" t="s">
        <v>170</v>
      </c>
    </row>
    <row r="31" spans="1:18" x14ac:dyDescent="0.15">
      <c r="A31" s="141">
        <v>39003</v>
      </c>
      <c r="B31" s="75">
        <v>3</v>
      </c>
      <c r="C31" s="64" t="str">
        <f t="shared" si="0"/>
        <v>39003_3</v>
      </c>
      <c r="D31" s="15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75">
        <v>30</v>
      </c>
      <c r="F31" s="75" t="s">
        <v>313</v>
      </c>
      <c r="G31" s="142">
        <v>691</v>
      </c>
      <c r="H31" s="75">
        <v>1</v>
      </c>
      <c r="I31" s="75">
        <v>1</v>
      </c>
      <c r="J31" s="75">
        <v>1</v>
      </c>
      <c r="K31" s="75">
        <v>0</v>
      </c>
      <c r="L31" s="75">
        <v>0</v>
      </c>
      <c r="M31" s="75">
        <v>0</v>
      </c>
      <c r="N31" s="75">
        <v>0</v>
      </c>
      <c r="O31" s="75">
        <v>1</v>
      </c>
      <c r="P31" s="75">
        <v>150</v>
      </c>
      <c r="Q31" s="75" t="s">
        <v>169</v>
      </c>
      <c r="R31" s="75" t="s">
        <v>170</v>
      </c>
    </row>
    <row r="32" spans="1:18" x14ac:dyDescent="0.15">
      <c r="A32" s="141">
        <v>39003</v>
      </c>
      <c r="B32" s="75">
        <v>3</v>
      </c>
      <c r="C32" s="64" t="str">
        <f t="shared" si="0"/>
        <v>39003_3</v>
      </c>
      <c r="D32" s="15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75">
        <v>31</v>
      </c>
      <c r="F32" s="75" t="s">
        <v>313</v>
      </c>
      <c r="G32" s="75">
        <v>352</v>
      </c>
      <c r="H32" s="75">
        <v>1</v>
      </c>
      <c r="I32" s="75">
        <v>1</v>
      </c>
      <c r="J32" s="75">
        <v>1</v>
      </c>
      <c r="K32" s="75">
        <v>0</v>
      </c>
      <c r="L32" s="75">
        <v>0</v>
      </c>
      <c r="M32" s="75">
        <v>0</v>
      </c>
      <c r="N32" s="75">
        <v>0</v>
      </c>
      <c r="O32" s="75">
        <v>1</v>
      </c>
      <c r="P32" s="75">
        <v>150</v>
      </c>
      <c r="Q32" s="75" t="s">
        <v>169</v>
      </c>
      <c r="R32" s="75" t="s">
        <v>170</v>
      </c>
    </row>
    <row r="33" spans="1:18" x14ac:dyDescent="0.15">
      <c r="A33" s="141">
        <v>39003</v>
      </c>
      <c r="B33" s="75">
        <v>4</v>
      </c>
      <c r="C33" s="64" t="str">
        <f t="shared" si="0"/>
        <v>39003_4</v>
      </c>
      <c r="D33" s="15" t="str">
        <f ca="1">VLOOKUP($C33,OFFSET([2]stages!$A$1,0,0,COUNTA([2]stages!$A:$A),MATCH(D$1,[2]stages!$2:$2,0)-MATCH($C$1,[2]stages!$2:$2,0)+1),MATCH(D$1,[2]stages!$2:$2,0)-MATCH($C$1,[2]stages!$2:$2,0)+1,FALSE)</f>
        <v>everyone</v>
      </c>
      <c r="E33" s="75">
        <v>32</v>
      </c>
      <c r="F33" s="75" t="s">
        <v>167</v>
      </c>
      <c r="G33" s="75">
        <v>6500</v>
      </c>
      <c r="H33" s="75" t="s">
        <v>307</v>
      </c>
      <c r="I33" s="75">
        <v>1</v>
      </c>
      <c r="J33" s="75">
        <v>1</v>
      </c>
      <c r="K33" s="75">
        <v>0</v>
      </c>
      <c r="L33" s="75">
        <v>0</v>
      </c>
      <c r="M33" s="75">
        <v>0</v>
      </c>
      <c r="N33" s="75">
        <v>0</v>
      </c>
      <c r="O33" s="75">
        <v>1</v>
      </c>
      <c r="P33" s="75">
        <v>150</v>
      </c>
      <c r="Q33" s="75" t="s">
        <v>169</v>
      </c>
      <c r="R33" s="143" t="s">
        <v>314</v>
      </c>
    </row>
    <row r="34" spans="1:18" x14ac:dyDescent="0.15">
      <c r="A34" s="141">
        <v>39003</v>
      </c>
      <c r="B34" s="75">
        <v>4</v>
      </c>
      <c r="C34" s="64" t="str">
        <f t="shared" si="0"/>
        <v>39003_4</v>
      </c>
      <c r="D34" s="15" t="str">
        <f ca="1">VLOOKUP($C34,OFFSET([2]stages!$A$1,0,0,COUNTA([2]stages!$A:$A),MATCH(D$1,[2]stages!$2:$2,0)-MATCH($C$1,[2]stages!$2:$2,0)+1),MATCH(D$1,[2]stages!$2:$2,0)-MATCH($C$1,[2]stages!$2:$2,0)+1,FALSE)</f>
        <v>everyone</v>
      </c>
      <c r="E34" s="75">
        <v>33</v>
      </c>
      <c r="F34" s="75" t="s">
        <v>308</v>
      </c>
      <c r="G34" s="75">
        <v>25</v>
      </c>
      <c r="H34" s="75" t="s">
        <v>307</v>
      </c>
      <c r="I34" s="75">
        <v>1</v>
      </c>
      <c r="J34" s="75">
        <v>1</v>
      </c>
      <c r="K34" s="75">
        <v>0</v>
      </c>
      <c r="L34" s="75">
        <v>0</v>
      </c>
      <c r="M34" s="75">
        <v>0</v>
      </c>
      <c r="N34" s="75">
        <v>0</v>
      </c>
      <c r="O34" s="75">
        <v>1</v>
      </c>
      <c r="P34" s="75">
        <v>150</v>
      </c>
      <c r="Q34" s="75" t="s">
        <v>169</v>
      </c>
      <c r="R34" s="143" t="s">
        <v>315</v>
      </c>
    </row>
    <row r="35" spans="1:18" x14ac:dyDescent="0.15">
      <c r="A35" s="141">
        <v>39003</v>
      </c>
      <c r="B35" s="75">
        <v>4</v>
      </c>
      <c r="C35" s="64" t="str">
        <f t="shared" si="0"/>
        <v>39003_4</v>
      </c>
      <c r="D35" s="15" t="str">
        <f ca="1">VLOOKUP($C35,OFFSET([2]stages!$A$1,0,0,COUNTA([2]stages!$A:$A),MATCH(D$1,[2]stages!$2:$2,0)-MATCH($C$1,[2]stages!$2:$2,0)+1),MATCH(D$1,[2]stages!$2:$2,0)-MATCH($C$1,[2]stages!$2:$2,0)+1,FALSE)</f>
        <v>everyone</v>
      </c>
      <c r="E35" s="75">
        <v>34</v>
      </c>
      <c r="F35" s="75" t="s">
        <v>313</v>
      </c>
      <c r="G35" s="75">
        <v>340</v>
      </c>
      <c r="H35" s="75">
        <v>1</v>
      </c>
      <c r="I35" s="75">
        <v>1</v>
      </c>
      <c r="J35" s="75">
        <v>1</v>
      </c>
      <c r="K35" s="75">
        <v>0</v>
      </c>
      <c r="L35" s="75">
        <v>0</v>
      </c>
      <c r="M35" s="75">
        <v>0</v>
      </c>
      <c r="N35" s="75">
        <v>0</v>
      </c>
      <c r="O35" s="75">
        <v>1</v>
      </c>
      <c r="P35" s="75">
        <v>28</v>
      </c>
      <c r="Q35" s="75" t="s">
        <v>169</v>
      </c>
      <c r="R35" s="143" t="s">
        <v>170</v>
      </c>
    </row>
    <row r="36" spans="1:18" x14ac:dyDescent="0.15">
      <c r="A36" s="141">
        <v>39003</v>
      </c>
      <c r="B36" s="75">
        <v>4</v>
      </c>
      <c r="C36" s="64" t="str">
        <f t="shared" si="0"/>
        <v>39003_4</v>
      </c>
      <c r="D36" s="15" t="str">
        <f ca="1">VLOOKUP($C36,OFFSET([2]stages!$A$1,0,0,COUNTA([2]stages!$A:$A),MATCH(D$1,[2]stages!$2:$2,0)-MATCH($C$1,[2]stages!$2:$2,0)+1),MATCH(D$1,[2]stages!$2:$2,0)-MATCH($C$1,[2]stages!$2:$2,0)+1,FALSE)</f>
        <v>everyone</v>
      </c>
      <c r="E36" s="75">
        <v>35</v>
      </c>
      <c r="F36" s="75" t="s">
        <v>313</v>
      </c>
      <c r="G36" s="75">
        <v>341</v>
      </c>
      <c r="H36" s="75">
        <v>1</v>
      </c>
      <c r="I36" s="75">
        <v>1</v>
      </c>
      <c r="J36" s="75">
        <v>1</v>
      </c>
      <c r="K36" s="75">
        <v>0</v>
      </c>
      <c r="L36" s="75">
        <v>0</v>
      </c>
      <c r="M36" s="75">
        <v>0</v>
      </c>
      <c r="N36" s="75">
        <v>0</v>
      </c>
      <c r="O36" s="75">
        <v>1</v>
      </c>
      <c r="P36" s="75">
        <v>56</v>
      </c>
      <c r="Q36" s="75" t="s">
        <v>169</v>
      </c>
      <c r="R36" s="143" t="s">
        <v>170</v>
      </c>
    </row>
    <row r="37" spans="1:18" x14ac:dyDescent="0.15">
      <c r="A37" s="141">
        <v>39003</v>
      </c>
      <c r="B37" s="75">
        <v>4</v>
      </c>
      <c r="C37" s="64" t="str">
        <f t="shared" si="0"/>
        <v>39003_4</v>
      </c>
      <c r="D37" s="15" t="str">
        <f ca="1">VLOOKUP($C37,OFFSET([2]stages!$A$1,0,0,COUNTA([2]stages!$A:$A),MATCH(D$1,[2]stages!$2:$2,0)-MATCH($C$1,[2]stages!$2:$2,0)+1),MATCH(D$1,[2]stages!$2:$2,0)-MATCH($C$1,[2]stages!$2:$2,0)+1,FALSE)</f>
        <v>everyone</v>
      </c>
      <c r="E37" s="75">
        <v>36</v>
      </c>
      <c r="F37" s="75" t="s">
        <v>313</v>
      </c>
      <c r="G37" s="75">
        <v>342</v>
      </c>
      <c r="H37" s="75">
        <v>1</v>
      </c>
      <c r="I37" s="75">
        <v>1</v>
      </c>
      <c r="J37" s="75">
        <v>1</v>
      </c>
      <c r="K37" s="75">
        <v>0</v>
      </c>
      <c r="L37" s="75">
        <v>0</v>
      </c>
      <c r="M37" s="75">
        <v>0</v>
      </c>
      <c r="N37" s="75">
        <v>0</v>
      </c>
      <c r="O37" s="75">
        <v>1</v>
      </c>
      <c r="P37" s="75">
        <v>56</v>
      </c>
      <c r="Q37" s="75" t="s">
        <v>169</v>
      </c>
      <c r="R37" s="143" t="s">
        <v>170</v>
      </c>
    </row>
    <row r="38" spans="1:18" x14ac:dyDescent="0.15">
      <c r="A38" s="141">
        <v>39003</v>
      </c>
      <c r="B38" s="75">
        <v>4</v>
      </c>
      <c r="C38" s="64" t="str">
        <f t="shared" si="0"/>
        <v>39003_4</v>
      </c>
      <c r="D38" s="15" t="str">
        <f ca="1">VLOOKUP($C38,OFFSET([2]stages!$A$1,0,0,COUNTA([2]stages!$A:$A),MATCH(D$1,[2]stages!$2:$2,0)-MATCH($C$1,[2]stages!$2:$2,0)+1),MATCH(D$1,[2]stages!$2:$2,0)-MATCH($C$1,[2]stages!$2:$2,0)+1,FALSE)</f>
        <v>everyone</v>
      </c>
      <c r="E38" s="75">
        <v>37</v>
      </c>
      <c r="F38" s="75" t="s">
        <v>313</v>
      </c>
      <c r="G38" s="75">
        <v>121</v>
      </c>
      <c r="H38" s="75">
        <v>1</v>
      </c>
      <c r="I38" s="75">
        <v>1</v>
      </c>
      <c r="J38" s="75">
        <v>1</v>
      </c>
      <c r="K38" s="75">
        <v>0</v>
      </c>
      <c r="L38" s="75">
        <v>0</v>
      </c>
      <c r="M38" s="75">
        <v>0</v>
      </c>
      <c r="N38" s="75">
        <v>0</v>
      </c>
      <c r="O38" s="75">
        <v>1</v>
      </c>
      <c r="P38" s="75">
        <v>50</v>
      </c>
      <c r="Q38" s="75" t="s">
        <v>169</v>
      </c>
      <c r="R38" s="143" t="s">
        <v>170</v>
      </c>
    </row>
    <row r="39" spans="1:18" x14ac:dyDescent="0.15">
      <c r="A39" s="141">
        <v>39003</v>
      </c>
      <c r="B39" s="75">
        <v>4</v>
      </c>
      <c r="C39" s="64" t="str">
        <f t="shared" si="0"/>
        <v>39003_4</v>
      </c>
      <c r="D39" s="15" t="str">
        <f ca="1">VLOOKUP($C39,OFFSET([2]stages!$A$1,0,0,COUNTA([2]stages!$A:$A),MATCH(D$1,[2]stages!$2:$2,0)-MATCH($C$1,[2]stages!$2:$2,0)+1),MATCH(D$1,[2]stages!$2:$2,0)-MATCH($C$1,[2]stages!$2:$2,0)+1,FALSE)</f>
        <v>everyone</v>
      </c>
      <c r="E39" s="75">
        <v>38</v>
      </c>
      <c r="F39" s="75" t="s">
        <v>313</v>
      </c>
      <c r="G39" s="75">
        <v>122</v>
      </c>
      <c r="H39" s="75">
        <v>1</v>
      </c>
      <c r="I39" s="75">
        <v>1</v>
      </c>
      <c r="J39" s="75">
        <v>1</v>
      </c>
      <c r="K39" s="75">
        <v>0</v>
      </c>
      <c r="L39" s="75">
        <v>0</v>
      </c>
      <c r="M39" s="75">
        <v>0</v>
      </c>
      <c r="N39" s="75">
        <v>0</v>
      </c>
      <c r="O39" s="75">
        <v>1</v>
      </c>
      <c r="P39" s="75">
        <v>50</v>
      </c>
      <c r="Q39" s="75" t="s">
        <v>169</v>
      </c>
      <c r="R39" s="143" t="s">
        <v>170</v>
      </c>
    </row>
    <row r="40" spans="1:18" x14ac:dyDescent="0.15">
      <c r="A40" s="141">
        <v>39003</v>
      </c>
      <c r="B40" s="75">
        <v>4</v>
      </c>
      <c r="C40" s="64" t="str">
        <f t="shared" si="0"/>
        <v>39003_4</v>
      </c>
      <c r="D40" s="15" t="str">
        <f ca="1">VLOOKUP($C40,OFFSET([2]stages!$A$1,0,0,COUNTA([2]stages!$A:$A),MATCH(D$1,[2]stages!$2:$2,0)-MATCH($C$1,[2]stages!$2:$2,0)+1),MATCH(D$1,[2]stages!$2:$2,0)-MATCH($C$1,[2]stages!$2:$2,0)+1,FALSE)</f>
        <v>everyone</v>
      </c>
      <c r="E40" s="75">
        <v>39</v>
      </c>
      <c r="F40" s="75" t="s">
        <v>313</v>
      </c>
      <c r="G40" s="75">
        <v>123</v>
      </c>
      <c r="H40" s="75">
        <v>1</v>
      </c>
      <c r="I40" s="75">
        <v>1</v>
      </c>
      <c r="J40" s="75">
        <v>1</v>
      </c>
      <c r="K40" s="75">
        <v>0</v>
      </c>
      <c r="L40" s="75">
        <v>0</v>
      </c>
      <c r="M40" s="75">
        <v>0</v>
      </c>
      <c r="N40" s="75">
        <v>0</v>
      </c>
      <c r="O40" s="75">
        <v>1</v>
      </c>
      <c r="P40" s="75">
        <v>50</v>
      </c>
      <c r="Q40" s="75" t="s">
        <v>169</v>
      </c>
      <c r="R40" s="143" t="s">
        <v>170</v>
      </c>
    </row>
    <row r="41" spans="1:18" x14ac:dyDescent="0.15">
      <c r="A41" s="141">
        <v>39003</v>
      </c>
      <c r="B41" s="75">
        <v>4</v>
      </c>
      <c r="C41" s="64" t="str">
        <f t="shared" si="0"/>
        <v>39003_4</v>
      </c>
      <c r="D41" s="15" t="str">
        <f ca="1">VLOOKUP($C41,OFFSET([2]stages!$A$1,0,0,COUNTA([2]stages!$A:$A),MATCH(D$1,[2]stages!$2:$2,0)-MATCH($C$1,[2]stages!$2:$2,0)+1),MATCH(D$1,[2]stages!$2:$2,0)-MATCH($C$1,[2]stages!$2:$2,0)+1,FALSE)</f>
        <v>everyone</v>
      </c>
      <c r="E41" s="75">
        <v>40</v>
      </c>
      <c r="F41" s="75" t="s">
        <v>313</v>
      </c>
      <c r="G41" s="75">
        <v>125</v>
      </c>
      <c r="H41" s="75">
        <v>1</v>
      </c>
      <c r="I41" s="75">
        <v>1</v>
      </c>
      <c r="J41" s="75">
        <v>1</v>
      </c>
      <c r="K41" s="75">
        <v>0</v>
      </c>
      <c r="L41" s="75">
        <v>0</v>
      </c>
      <c r="M41" s="75">
        <v>0</v>
      </c>
      <c r="N41" s="75">
        <v>0</v>
      </c>
      <c r="O41" s="75">
        <v>1</v>
      </c>
      <c r="P41" s="75">
        <v>10</v>
      </c>
      <c r="Q41" s="75" t="s">
        <v>169</v>
      </c>
      <c r="R41" s="143" t="s">
        <v>170</v>
      </c>
    </row>
    <row r="42" spans="1:18" x14ac:dyDescent="0.15">
      <c r="A42" s="141">
        <v>39003</v>
      </c>
      <c r="B42" s="75">
        <v>4</v>
      </c>
      <c r="C42" s="64" t="str">
        <f t="shared" si="0"/>
        <v>39003_4</v>
      </c>
      <c r="D42" s="15" t="str">
        <f ca="1">VLOOKUP($C42,OFFSET([2]stages!$A$1,0,0,COUNTA([2]stages!$A:$A),MATCH(D$1,[2]stages!$2:$2,0)-MATCH($C$1,[2]stages!$2:$2,0)+1),MATCH(D$1,[2]stages!$2:$2,0)-MATCH($C$1,[2]stages!$2:$2,0)+1,FALSE)</f>
        <v>everyone</v>
      </c>
      <c r="E42" s="75">
        <v>41</v>
      </c>
      <c r="F42" s="75" t="s">
        <v>313</v>
      </c>
      <c r="G42" s="142">
        <v>691</v>
      </c>
      <c r="H42" s="75">
        <v>1</v>
      </c>
      <c r="I42" s="75">
        <v>1</v>
      </c>
      <c r="J42" s="75">
        <v>1</v>
      </c>
      <c r="K42" s="75">
        <v>0</v>
      </c>
      <c r="L42" s="75">
        <v>0</v>
      </c>
      <c r="M42" s="75">
        <v>0</v>
      </c>
      <c r="N42" s="75">
        <v>0</v>
      </c>
      <c r="O42" s="75">
        <v>1</v>
      </c>
      <c r="P42" s="75">
        <v>250</v>
      </c>
      <c r="Q42" s="75" t="s">
        <v>169</v>
      </c>
      <c r="R42" s="143" t="s">
        <v>170</v>
      </c>
    </row>
    <row r="43" spans="1:18" x14ac:dyDescent="0.15">
      <c r="A43" s="141">
        <v>39003</v>
      </c>
      <c r="B43" s="75">
        <v>4</v>
      </c>
      <c r="C43" s="64" t="str">
        <f t="shared" si="0"/>
        <v>39003_4</v>
      </c>
      <c r="D43" s="15" t="str">
        <f ca="1">VLOOKUP($C43,OFFSET([2]stages!$A$1,0,0,COUNTA([2]stages!$A:$A),MATCH(D$1,[2]stages!$2:$2,0)-MATCH($C$1,[2]stages!$2:$2,0)+1),MATCH(D$1,[2]stages!$2:$2,0)-MATCH($C$1,[2]stages!$2:$2,0)+1,FALSE)</f>
        <v>everyone</v>
      </c>
      <c r="E43" s="75">
        <v>42</v>
      </c>
      <c r="F43" s="75" t="s">
        <v>313</v>
      </c>
      <c r="G43" s="75">
        <v>352</v>
      </c>
      <c r="H43" s="75">
        <v>1</v>
      </c>
      <c r="I43" s="75">
        <v>1</v>
      </c>
      <c r="J43" s="75">
        <v>1</v>
      </c>
      <c r="K43" s="75">
        <v>0</v>
      </c>
      <c r="L43" s="75">
        <v>0</v>
      </c>
      <c r="M43" s="75">
        <v>0</v>
      </c>
      <c r="N43" s="75">
        <v>0</v>
      </c>
      <c r="O43" s="75">
        <v>1</v>
      </c>
      <c r="P43" s="75">
        <v>150</v>
      </c>
      <c r="Q43" s="75" t="s">
        <v>169</v>
      </c>
      <c r="R43" s="143" t="s">
        <v>170</v>
      </c>
    </row>
  </sheetData>
  <phoneticPr fontId="5"/>
  <dataValidations count="1">
    <dataValidation type="list" allowBlank="1" showInputMessage="1" showErrorMessage="1" sqref="F2:F43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topLeftCell="E1" workbookViewId="0">
      <pane ySplit="1" topLeftCell="A2" activePane="bottomLeft" state="frozen"/>
      <selection pane="bottomLeft" activeCell="L131" sqref="L131"/>
    </sheetView>
  </sheetViews>
  <sheetFormatPr baseColWidth="12" defaultColWidth="13" defaultRowHeight="15" outlineLevelCol="1" x14ac:dyDescent="0.15"/>
  <cols>
    <col min="1" max="1" width="13" style="82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0" t="s">
        <v>187</v>
      </c>
      <c r="B1" s="66" t="s">
        <v>188</v>
      </c>
      <c r="C1" s="71" t="s">
        <v>189</v>
      </c>
      <c r="D1" s="71" t="s">
        <v>33</v>
      </c>
      <c r="E1" s="66" t="s">
        <v>190</v>
      </c>
      <c r="F1" s="71" t="s">
        <v>191</v>
      </c>
      <c r="G1" s="71" t="s">
        <v>33</v>
      </c>
      <c r="H1" s="66" t="s">
        <v>192</v>
      </c>
      <c r="I1" s="85" t="s">
        <v>194</v>
      </c>
      <c r="J1" s="73" t="s">
        <v>125</v>
      </c>
      <c r="K1" s="72" t="s">
        <v>186</v>
      </c>
      <c r="L1" s="86" t="s">
        <v>185</v>
      </c>
      <c r="M1" s="74" t="s">
        <v>195</v>
      </c>
    </row>
    <row r="2" spans="1:13" x14ac:dyDescent="0.15">
      <c r="A2" s="75" t="s">
        <v>200</v>
      </c>
      <c r="B2" s="76">
        <f>floors!$C$2</f>
        <v>39003</v>
      </c>
      <c r="C2" s="77" t="str">
        <f ca="1">VLOOKUP($B2,OFFSET([2]quests!$A$1,0,0,COUNTA([2]quests!$A:$A),MATCH(C$1,[2]quests!$1:$1,0)-MATCH($B$1,[2]quests!$1:$1,0)+1),MATCH(C$1,[2]quests!$1:$1,0)-MATCH($B$1,[2]quests!$1:$1,0)+1,FALSE)</f>
        <v>ブルースクウェアを追え！</v>
      </c>
      <c r="D2" s="77" t="str">
        <f ca="1">VLOOKUP($B2,OFFSET([2]quests!$A$1,0,0,COUNTA([2]quests!$A:$A),MATCH(D$1,[2]quests!$1:$1,0)-MATCH($B$1,[2]quests!$1:$1,0)+1),MATCH(D$1,[2]quests!$1:$1,0)-MATCH($B$1,[2]quests!$1:$1,0)+1,FALSE)</f>
        <v>コラボクエスト</v>
      </c>
      <c r="E2" s="81">
        <v>1</v>
      </c>
      <c r="F2" s="77" t="str">
        <f ca="1">VLOOKUP($B2&amp;"_"&amp;$E2,OFFSET([2]stages!$A$1,0,0,COUNTA([2]stages!$A:$A),MATCH(F$1,[2]stages!$2:$2,0)-MATCH("temp_stage",[2]stages!$2:$2,0)+1),MATCH(F$1,[2]stages!$2:$2,0)-MATCH("temp_stage",[2]stages!$2:$2,0)+1,FALSE)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2" s="77" t="str">
        <f ca="1">VLOOKUP($B2&amp;"_"&amp;$E2,OFFSET([2]stages!$A$1,0,0,COUNTA([2]stages!$A:$A),MATCH(G$1,[2]stages!$2:$2,0)-MATCH("temp_stage",[2]stages!$2:$2,0)+1),MATCH(G$1,[2]stages!$2:$2,0)-MATCH("temp_stage",[2]stages!$2:$2,0)+1,FALSE)</f>
        <v>コラボクエスト</v>
      </c>
      <c r="H2" s="79">
        <v>0</v>
      </c>
      <c r="I2">
        <v>1</v>
      </c>
      <c r="J2" s="78" t="s">
        <v>197</v>
      </c>
      <c r="K2" s="87" t="str">
        <f>VLOOKUP(I2,[6]stage_hints!$A:$C,3,FALSE)</f>
        <v>長くつなげて大ダメージ</v>
      </c>
      <c r="L2" s="88" t="str">
        <f>VLOOKUP(I2,[6]stage_hints!$A:$D,4,FALSE)</f>
        <v>パネルを長くつなげるほど_x000D_大ダメージを与えることができます</v>
      </c>
      <c r="M2" s="51" t="s">
        <v>210</v>
      </c>
    </row>
    <row r="3" spans="1:13" x14ac:dyDescent="0.15">
      <c r="A3" s="75" t="s">
        <v>200</v>
      </c>
      <c r="B3" s="76">
        <f>floors!$C$2</f>
        <v>39003</v>
      </c>
      <c r="C3" s="77" t="str">
        <f ca="1">VLOOKUP($B3,OFFSET([2]quests!$A$1,0,0,COUNTA([2]quests!$A:$A),MATCH(C$1,[2]quests!$1:$1,0)-MATCH($B$1,[2]quests!$1:$1,0)+1),MATCH(C$1,[2]quests!$1:$1,0)-MATCH($B$1,[2]quests!$1:$1,0)+1,FALSE)</f>
        <v>ブルースクウェアを追え！</v>
      </c>
      <c r="D3" s="77" t="str">
        <f ca="1">VLOOKUP($B3,OFFSET([2]quests!$A$1,0,0,COUNTA([2]quests!$A:$A),MATCH(D$1,[2]quests!$1:$1,0)-MATCH($B$1,[2]quests!$1:$1,0)+1),MATCH(D$1,[2]quests!$1:$1,0)-MATCH($B$1,[2]quests!$1:$1,0)+1,FALSE)</f>
        <v>コラボクエスト</v>
      </c>
      <c r="E3" s="81">
        <v>1</v>
      </c>
      <c r="F3" s="77" t="str">
        <f ca="1">VLOOKUP($B3&amp;"_"&amp;$E3,OFFSET([2]stages!$A$1,0,0,COUNTA([2]stages!$A:$A),MATCH(F$1,[2]stages!$2:$2,0)-MATCH("temp_stage",[2]stages!$2:$2,0)+1),MATCH(F$1,[2]stages!$2:$2,0)-MATCH("temp_stage",[2]stages!$2:$2,0)+1,FALSE)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3" s="77" t="str">
        <f ca="1">VLOOKUP($B3&amp;"_"&amp;$E3,OFFSET([2]stages!$A$1,0,0,COUNTA([2]stages!$A:$A),MATCH(G$1,[2]stages!$2:$2,0)-MATCH("temp_stage",[2]stages!$2:$2,0)+1),MATCH(G$1,[2]stages!$2:$2,0)-MATCH("temp_stage",[2]stages!$2:$2,0)+1,FALSE)</f>
        <v>コラボクエスト</v>
      </c>
      <c r="H3" s="79">
        <v>0</v>
      </c>
      <c r="I3">
        <v>2</v>
      </c>
      <c r="J3" s="78" t="s">
        <v>197</v>
      </c>
      <c r="K3" s="87" t="str">
        <f>VLOOKUP(I3,[6]stage_hints!$A:$C,3,FALSE)</f>
        <v>属性の相性</v>
      </c>
      <c r="L3" s="88" t="str">
        <f>VLOOKUP(I3,[6]stage_hints!$A:$D,4,FALSE)</f>
        <v>赤＞青　青＞黄　黄＞緑　緑＞赤_x000D_敵属性に最適なパーティがオススメです</v>
      </c>
      <c r="M3" s="51" t="s">
        <v>210</v>
      </c>
    </row>
    <row r="4" spans="1:13" x14ac:dyDescent="0.15">
      <c r="A4" s="75" t="s">
        <v>200</v>
      </c>
      <c r="B4" s="76">
        <f>floors!$C$2</f>
        <v>39003</v>
      </c>
      <c r="C4" s="77" t="str">
        <f ca="1">VLOOKUP($B4,OFFSET([2]quests!$A$1,0,0,COUNTA([2]quests!$A:$A),MATCH(C$1,[2]quests!$1:$1,0)-MATCH($B$1,[2]quests!$1:$1,0)+1),MATCH(C$1,[2]quests!$1:$1,0)-MATCH($B$1,[2]quests!$1:$1,0)+1,FALSE)</f>
        <v>ブルースクウェアを追え！</v>
      </c>
      <c r="D4" s="77" t="str">
        <f ca="1">VLOOKUP($B4,OFFSET([2]quests!$A$1,0,0,COUNTA([2]quests!$A:$A),MATCH(D$1,[2]quests!$1:$1,0)-MATCH($B$1,[2]quests!$1:$1,0)+1),MATCH(D$1,[2]quests!$1:$1,0)-MATCH($B$1,[2]quests!$1:$1,0)+1,FALSE)</f>
        <v>コラボクエスト</v>
      </c>
      <c r="E4" s="81">
        <v>1</v>
      </c>
      <c r="F4" s="77" t="str">
        <f ca="1">VLOOKUP($B4&amp;"_"&amp;$E4,OFFSET([2]stages!$A$1,0,0,COUNTA([2]stages!$A:$A),MATCH(F$1,[2]stages!$2:$2,0)-MATCH("temp_stage",[2]stages!$2:$2,0)+1),MATCH(F$1,[2]stages!$2:$2,0)-MATCH("temp_stage",[2]stages!$2:$2,0)+1,FALSE)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4" s="77" t="str">
        <f ca="1">VLOOKUP($B4&amp;"_"&amp;$E4,OFFSET([2]stages!$A$1,0,0,COUNTA([2]stages!$A:$A),MATCH(G$1,[2]stages!$2:$2,0)-MATCH("temp_stage",[2]stages!$2:$2,0)+1),MATCH(G$1,[2]stages!$2:$2,0)-MATCH("temp_stage",[2]stages!$2:$2,0)+1,FALSE)</f>
        <v>コラボクエスト</v>
      </c>
      <c r="H4" s="79">
        <v>0</v>
      </c>
      <c r="I4">
        <v>3</v>
      </c>
      <c r="J4" s="78" t="s">
        <v>197</v>
      </c>
      <c r="K4" s="87" t="str">
        <f>VLOOKUP(I4,[6]stage_hints!$A:$C,3,FALSE)</f>
        <v>ターゲット</v>
      </c>
      <c r="L4" s="88" t="str">
        <f>VLOOKUP(I4,[6]stage_hints!$A:$D,4,FALSE)</f>
        <v>敵ユニットをタップすると_x000D_その敵を狙い撃ちできます</v>
      </c>
      <c r="M4" s="51" t="s">
        <v>210</v>
      </c>
    </row>
    <row r="5" spans="1:13" x14ac:dyDescent="0.15">
      <c r="A5" s="75" t="s">
        <v>200</v>
      </c>
      <c r="B5" s="76">
        <f>floors!$C$2</f>
        <v>39003</v>
      </c>
      <c r="C5" s="77" t="str">
        <f ca="1">VLOOKUP($B5,OFFSET([2]quests!$A$1,0,0,COUNTA([2]quests!$A:$A),MATCH(C$1,[2]quests!$1:$1,0)-MATCH($B$1,[2]quests!$1:$1,0)+1),MATCH(C$1,[2]quests!$1:$1,0)-MATCH($B$1,[2]quests!$1:$1,0)+1,FALSE)</f>
        <v>ブルースクウェアを追え！</v>
      </c>
      <c r="D5" s="77" t="str">
        <f ca="1">VLOOKUP($B5,OFFSET([2]quests!$A$1,0,0,COUNTA([2]quests!$A:$A),MATCH(D$1,[2]quests!$1:$1,0)-MATCH($B$1,[2]quests!$1:$1,0)+1),MATCH(D$1,[2]quests!$1:$1,0)-MATCH($B$1,[2]quests!$1:$1,0)+1,FALSE)</f>
        <v>コラボクエスト</v>
      </c>
      <c r="E5" s="81">
        <v>1</v>
      </c>
      <c r="F5" s="77" t="str">
        <f ca="1">VLOOKUP($B5&amp;"_"&amp;$E5,OFFSET([2]stages!$A$1,0,0,COUNTA([2]stages!$A:$A),MATCH(F$1,[2]stages!$2:$2,0)-MATCH("temp_stage",[2]stages!$2:$2,0)+1),MATCH(F$1,[2]stages!$2:$2,0)-MATCH("temp_stage",[2]stages!$2:$2,0)+1,FALSE)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5" s="77" t="str">
        <f ca="1">VLOOKUP($B5&amp;"_"&amp;$E5,OFFSET([2]stages!$A$1,0,0,COUNTA([2]stages!$A:$A),MATCH(G$1,[2]stages!$2:$2,0)-MATCH("temp_stage",[2]stages!$2:$2,0)+1),MATCH(G$1,[2]stages!$2:$2,0)-MATCH("temp_stage",[2]stages!$2:$2,0)+1,FALSE)</f>
        <v>コラボクエスト</v>
      </c>
      <c r="H5" s="79">
        <v>0</v>
      </c>
      <c r="I5">
        <v>5</v>
      </c>
      <c r="J5" s="78" t="s">
        <v>197</v>
      </c>
      <c r="K5" s="87" t="str">
        <f>VLOOKUP(I5,[6]stage_hints!$A:$C,3,FALSE)</f>
        <v>ユニット強化でレベルアップ</v>
      </c>
      <c r="L5" s="88" t="str">
        <f>VLOOKUP(I5,[6]stage_hints!$A:$D,4,FALSE)</f>
        <v>「ユニット強化」でレベルアップすると_x000D_勝てない敵にも勝てるようになります</v>
      </c>
      <c r="M5" s="51" t="s">
        <v>210</v>
      </c>
    </row>
    <row r="6" spans="1:13" x14ac:dyDescent="0.15">
      <c r="A6" s="75" t="s">
        <v>200</v>
      </c>
      <c r="B6" s="76">
        <f>floors!$C$2</f>
        <v>39003</v>
      </c>
      <c r="C6" s="77" t="str">
        <f ca="1">VLOOKUP($B6,OFFSET([2]quests!$A$1,0,0,COUNTA([2]quests!$A:$A),MATCH(C$1,[2]quests!$1:$1,0)-MATCH($B$1,[2]quests!$1:$1,0)+1),MATCH(C$1,[2]quests!$1:$1,0)-MATCH($B$1,[2]quests!$1:$1,0)+1,FALSE)</f>
        <v>ブルースクウェアを追え！</v>
      </c>
      <c r="D6" s="77" t="str">
        <f ca="1">VLOOKUP($B6,OFFSET([2]quests!$A$1,0,0,COUNTA([2]quests!$A:$A),MATCH(D$1,[2]quests!$1:$1,0)-MATCH($B$1,[2]quests!$1:$1,0)+1),MATCH(D$1,[2]quests!$1:$1,0)-MATCH($B$1,[2]quests!$1:$1,0)+1,FALSE)</f>
        <v>コラボクエスト</v>
      </c>
      <c r="E6" s="81">
        <v>1</v>
      </c>
      <c r="F6" s="77" t="str">
        <f ca="1">VLOOKUP($B6&amp;"_"&amp;$E6,OFFSET([2]stages!$A$1,0,0,COUNTA([2]stages!$A:$A),MATCH(F$1,[2]stages!$2:$2,0)-MATCH("temp_stage",[2]stages!$2:$2,0)+1),MATCH(F$1,[2]stages!$2:$2,0)-MATCH("temp_stage",[2]stages!$2:$2,0)+1,FALSE)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6" s="77" t="str">
        <f ca="1">VLOOKUP($B6&amp;"_"&amp;$E6,OFFSET([2]stages!$A$1,0,0,COUNTA([2]stages!$A:$A),MATCH(G$1,[2]stages!$2:$2,0)-MATCH("temp_stage",[2]stages!$2:$2,0)+1),MATCH(G$1,[2]stages!$2:$2,0)-MATCH("temp_stage",[2]stages!$2:$2,0)+1,FALSE)</f>
        <v>コラボクエスト</v>
      </c>
      <c r="H6" s="79">
        <v>0</v>
      </c>
      <c r="I6">
        <v>6</v>
      </c>
      <c r="J6" s="78" t="s">
        <v>197</v>
      </c>
      <c r="K6" s="87" t="str">
        <f>VLOOKUP(I6,[6]stage_hints!$A:$C,3,FALSE)</f>
        <v>ユニット強化の属性ボーナス</v>
      </c>
      <c r="L6" s="88" t="str">
        <f>VLOOKUP(I6,[6]stage_hints!$A:$D,4,FALSE)</f>
        <v>同属性ユニットを強化素材にすると_x000D_経験値が多くもらえます</v>
      </c>
      <c r="M6" s="51" t="s">
        <v>210</v>
      </c>
    </row>
    <row r="7" spans="1:13" x14ac:dyDescent="0.15">
      <c r="A7" s="75" t="s">
        <v>200</v>
      </c>
      <c r="B7" s="76">
        <f>floors!$C$2</f>
        <v>39003</v>
      </c>
      <c r="C7" s="77" t="str">
        <f ca="1">VLOOKUP($B7,OFFSET([2]quests!$A$1,0,0,COUNTA([2]quests!$A:$A),MATCH(C$1,[2]quests!$1:$1,0)-MATCH($B$1,[2]quests!$1:$1,0)+1),MATCH(C$1,[2]quests!$1:$1,0)-MATCH($B$1,[2]quests!$1:$1,0)+1,FALSE)</f>
        <v>ブルースクウェアを追え！</v>
      </c>
      <c r="D7" s="77" t="str">
        <f ca="1">VLOOKUP($B7,OFFSET([2]quests!$A$1,0,0,COUNTA([2]quests!$A:$A),MATCH(D$1,[2]quests!$1:$1,0)-MATCH($B$1,[2]quests!$1:$1,0)+1),MATCH(D$1,[2]quests!$1:$1,0)-MATCH($B$1,[2]quests!$1:$1,0)+1,FALSE)</f>
        <v>コラボクエスト</v>
      </c>
      <c r="E7" s="81">
        <v>1</v>
      </c>
      <c r="F7" s="77" t="str">
        <f ca="1">VLOOKUP($B7&amp;"_"&amp;$E7,OFFSET([2]stages!$A$1,0,0,COUNTA([2]stages!$A:$A),MATCH(F$1,[2]stages!$2:$2,0)-MATCH("temp_stage",[2]stages!$2:$2,0)+1),MATCH(F$1,[2]stages!$2:$2,0)-MATCH("temp_stage",[2]stages!$2:$2,0)+1,FALSE)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7" s="77" t="str">
        <f ca="1">VLOOKUP($B7&amp;"_"&amp;$E7,OFFSET([2]stages!$A$1,0,0,COUNTA([2]stages!$A:$A),MATCH(G$1,[2]stages!$2:$2,0)-MATCH("temp_stage",[2]stages!$2:$2,0)+1),MATCH(G$1,[2]stages!$2:$2,0)-MATCH("temp_stage",[2]stages!$2:$2,0)+1,FALSE)</f>
        <v>コラボクエスト</v>
      </c>
      <c r="H7" s="79">
        <v>0</v>
      </c>
      <c r="I7">
        <v>7</v>
      </c>
      <c r="J7" s="78" t="s">
        <v>197</v>
      </c>
      <c r="K7" s="87" t="str">
        <f>VLOOKUP(I7,[6]stage_hints!$A:$C,3,FALSE)</f>
        <v>メタルダックで経験値を獲得</v>
      </c>
      <c r="L7" s="88" t="str">
        <f>VLOOKUP(I7,[6]stage_hints!$A:$D,4,FALSE)</f>
        <v>「メタルなアヒル」を強化素材にすると_x000D_大量の経験値がもらえます</v>
      </c>
      <c r="M7" s="51" t="s">
        <v>210</v>
      </c>
    </row>
    <row r="8" spans="1:13" x14ac:dyDescent="0.15">
      <c r="A8" s="75" t="s">
        <v>200</v>
      </c>
      <c r="B8" s="76">
        <f>floors!$C$2</f>
        <v>39003</v>
      </c>
      <c r="C8" s="77" t="str">
        <f ca="1">VLOOKUP($B8,OFFSET([2]quests!$A$1,0,0,COUNTA([2]quests!$A:$A),MATCH(C$1,[2]quests!$1:$1,0)-MATCH($B$1,[2]quests!$1:$1,0)+1),MATCH(C$1,[2]quests!$1:$1,0)-MATCH($B$1,[2]quests!$1:$1,0)+1,FALSE)</f>
        <v>ブルースクウェアを追え！</v>
      </c>
      <c r="D8" s="77" t="str">
        <f ca="1">VLOOKUP($B8,OFFSET([2]quests!$A$1,0,0,COUNTA([2]quests!$A:$A),MATCH(D$1,[2]quests!$1:$1,0)-MATCH($B$1,[2]quests!$1:$1,0)+1),MATCH(D$1,[2]quests!$1:$1,0)-MATCH($B$1,[2]quests!$1:$1,0)+1,FALSE)</f>
        <v>コラボクエスト</v>
      </c>
      <c r="E8" s="81">
        <v>1</v>
      </c>
      <c r="F8" s="77" t="str">
        <f ca="1">VLOOKUP($B8&amp;"_"&amp;$E8,OFFSET([2]stages!$A$1,0,0,COUNTA([2]stages!$A:$A),MATCH(F$1,[2]stages!$2:$2,0)-MATCH("temp_stage",[2]stages!$2:$2,0)+1),MATCH(F$1,[2]stages!$2:$2,0)-MATCH("temp_stage",[2]stages!$2:$2,0)+1,FALSE)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8" s="77" t="str">
        <f ca="1">VLOOKUP($B8&amp;"_"&amp;$E8,OFFSET([2]stages!$A$1,0,0,COUNTA([2]stages!$A:$A),MATCH(G$1,[2]stages!$2:$2,0)-MATCH("temp_stage",[2]stages!$2:$2,0)+1),MATCH(G$1,[2]stages!$2:$2,0)-MATCH("temp_stage",[2]stages!$2:$2,0)+1,FALSE)</f>
        <v>コラボクエスト</v>
      </c>
      <c r="H8" s="79">
        <v>0</v>
      </c>
      <c r="I8">
        <v>8</v>
      </c>
      <c r="J8" s="78" t="s">
        <v>197</v>
      </c>
      <c r="K8" s="87" t="str">
        <f>VLOOKUP(I8,[6]stage_hints!$A:$C,3,FALSE)</f>
        <v>ゲリラクエストは要チェック</v>
      </c>
      <c r="L8" s="88" t="str">
        <f>VLOOKUP(I8,[6]stage_hints!$A:$D,4,FALSE)</f>
        <v>時間限定の「アヒル捕獲作戦」では_x000D_経験値素材ユニットが多く手に入ります</v>
      </c>
      <c r="M8" s="51" t="s">
        <v>210</v>
      </c>
    </row>
    <row r="9" spans="1:13" x14ac:dyDescent="0.15">
      <c r="A9" s="75" t="s">
        <v>200</v>
      </c>
      <c r="B9" s="76">
        <f>floors!$C$2</f>
        <v>39003</v>
      </c>
      <c r="C9" s="77" t="str">
        <f ca="1">VLOOKUP($B9,OFFSET([2]quests!$A$1,0,0,COUNTA([2]quests!$A:$A),MATCH(C$1,[2]quests!$1:$1,0)-MATCH($B$1,[2]quests!$1:$1,0)+1),MATCH(C$1,[2]quests!$1:$1,0)-MATCH($B$1,[2]quests!$1:$1,0)+1,FALSE)</f>
        <v>ブルースクウェアを追え！</v>
      </c>
      <c r="D9" s="77" t="str">
        <f ca="1">VLOOKUP($B9,OFFSET([2]quests!$A$1,0,0,COUNTA([2]quests!$A:$A),MATCH(D$1,[2]quests!$1:$1,0)-MATCH($B$1,[2]quests!$1:$1,0)+1),MATCH(D$1,[2]quests!$1:$1,0)-MATCH($B$1,[2]quests!$1:$1,0)+1,FALSE)</f>
        <v>コラボクエスト</v>
      </c>
      <c r="E9" s="81">
        <v>1</v>
      </c>
      <c r="F9" s="77" t="str">
        <f ca="1">VLOOKUP($B9&amp;"_"&amp;$E9,OFFSET([2]stages!$A$1,0,0,COUNTA([2]stages!$A:$A),MATCH(F$1,[2]stages!$2:$2,0)-MATCH("temp_stage",[2]stages!$2:$2,0)+1),MATCH(F$1,[2]stages!$2:$2,0)-MATCH("temp_stage",[2]stages!$2:$2,0)+1,FALSE)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9" s="77" t="str">
        <f ca="1">VLOOKUP($B9&amp;"_"&amp;$E9,OFFSET([2]stages!$A$1,0,0,COUNTA([2]stages!$A:$A),MATCH(G$1,[2]stages!$2:$2,0)-MATCH("temp_stage",[2]stages!$2:$2,0)+1),MATCH(G$1,[2]stages!$2:$2,0)-MATCH("temp_stage",[2]stages!$2:$2,0)+1,FALSE)</f>
        <v>コラボクエスト</v>
      </c>
      <c r="H9" s="79">
        <v>0</v>
      </c>
      <c r="I9">
        <v>9</v>
      </c>
      <c r="J9" s="78" t="s">
        <v>197</v>
      </c>
      <c r="K9" s="87" t="str">
        <f>VLOOKUP(I9,[6]stage_hints!$A:$C,3,FALSE)</f>
        <v>ゴールドダックでビットを獲得</v>
      </c>
      <c r="L9" s="88" t="str">
        <f>VLOOKUP(I9,[6]stage_hints!$A:$D,4,FALSE)</f>
        <v>「ゴールドなアヒル」を売却すると_x000D_大量のビットがもらえます</v>
      </c>
      <c r="M9" s="51" t="s">
        <v>210</v>
      </c>
    </row>
    <row r="10" spans="1:13" x14ac:dyDescent="0.15">
      <c r="A10" s="75" t="s">
        <v>200</v>
      </c>
      <c r="B10" s="76">
        <f>floors!$C$2</f>
        <v>39003</v>
      </c>
      <c r="C10" s="77" t="str">
        <f ca="1">VLOOKUP($B10,OFFSET([2]quests!$A$1,0,0,COUNTA([2]quests!$A:$A),MATCH(C$1,[2]quests!$1:$1,0)-MATCH($B$1,[2]quests!$1:$1,0)+1),MATCH(C$1,[2]quests!$1:$1,0)-MATCH($B$1,[2]quests!$1:$1,0)+1,FALSE)</f>
        <v>ブルースクウェアを追え！</v>
      </c>
      <c r="D10" s="77" t="str">
        <f ca="1">VLOOKUP($B10,OFFSET([2]quests!$A$1,0,0,COUNTA([2]quests!$A:$A),MATCH(D$1,[2]quests!$1:$1,0)-MATCH($B$1,[2]quests!$1:$1,0)+1),MATCH(D$1,[2]quests!$1:$1,0)-MATCH($B$1,[2]quests!$1:$1,0)+1,FALSE)</f>
        <v>コラボクエスト</v>
      </c>
      <c r="E10" s="81">
        <v>1</v>
      </c>
      <c r="F10" s="77" t="str">
        <f ca="1">VLOOKUP($B10&amp;"_"&amp;$E10,OFFSET([2]stages!$A$1,0,0,COUNTA([2]stages!$A:$A),MATCH(F$1,[2]stages!$2:$2,0)-MATCH("temp_stage",[2]stages!$2:$2,0)+1),MATCH(F$1,[2]stages!$2:$2,0)-MATCH("temp_stage",[2]stages!$2:$2,0)+1,FALSE)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10" s="77" t="str">
        <f ca="1">VLOOKUP($B10&amp;"_"&amp;$E10,OFFSET([2]stages!$A$1,0,0,COUNTA([2]stages!$A:$A),MATCH(G$1,[2]stages!$2:$2,0)-MATCH("temp_stage",[2]stages!$2:$2,0)+1),MATCH(G$1,[2]stages!$2:$2,0)-MATCH("temp_stage",[2]stages!$2:$2,0)+1,FALSE)</f>
        <v>コラボクエスト</v>
      </c>
      <c r="H10" s="79">
        <v>0</v>
      </c>
      <c r="I10">
        <v>10</v>
      </c>
      <c r="J10" s="78" t="s">
        <v>197</v>
      </c>
      <c r="K10" s="87" t="str">
        <f>VLOOKUP(I10,[6]stage_hints!$A:$C,3,FALSE)</f>
        <v>土日に大量のビットを獲得</v>
      </c>
      <c r="L10" s="88" t="str">
        <f>VLOOKUP(I10,[6]stage_hints!$A:$D,4,FALSE)</f>
        <v>土日限定の「ゴールドカジノ」では_x000D_売却素材ユニットが多く手に入ります</v>
      </c>
      <c r="M10" s="51" t="s">
        <v>210</v>
      </c>
    </row>
    <row r="11" spans="1:13" x14ac:dyDescent="0.15">
      <c r="A11" s="75" t="s">
        <v>200</v>
      </c>
      <c r="B11" s="76">
        <f>floors!$C$2</f>
        <v>39003</v>
      </c>
      <c r="C11" s="77" t="str">
        <f ca="1">VLOOKUP($B11,OFFSET([2]quests!$A$1,0,0,COUNTA([2]quests!$A:$A),MATCH(C$1,[2]quests!$1:$1,0)-MATCH($B$1,[2]quests!$1:$1,0)+1),MATCH(C$1,[2]quests!$1:$1,0)-MATCH($B$1,[2]quests!$1:$1,0)+1,FALSE)</f>
        <v>ブルースクウェアを追え！</v>
      </c>
      <c r="D11" s="77" t="str">
        <f ca="1">VLOOKUP($B11,OFFSET([2]quests!$A$1,0,0,COUNTA([2]quests!$A:$A),MATCH(D$1,[2]quests!$1:$1,0)-MATCH($B$1,[2]quests!$1:$1,0)+1),MATCH(D$1,[2]quests!$1:$1,0)-MATCH($B$1,[2]quests!$1:$1,0)+1,FALSE)</f>
        <v>コラボクエスト</v>
      </c>
      <c r="E11" s="81">
        <v>1</v>
      </c>
      <c r="F11" s="77" t="str">
        <f ca="1">VLOOKUP($B11&amp;"_"&amp;$E11,OFFSET([2]stages!$A$1,0,0,COUNTA([2]stages!$A:$A),MATCH(F$1,[2]stages!$2:$2,0)-MATCH("temp_stage",[2]stages!$2:$2,0)+1),MATCH(F$1,[2]stages!$2:$2,0)-MATCH("temp_stage",[2]stages!$2:$2,0)+1,FALSE)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11" s="77" t="str">
        <f ca="1">VLOOKUP($B11&amp;"_"&amp;$E11,OFFSET([2]stages!$A$1,0,0,COUNTA([2]stages!$A:$A),MATCH(G$1,[2]stages!$2:$2,0)-MATCH("temp_stage",[2]stages!$2:$2,0)+1),MATCH(G$1,[2]stages!$2:$2,0)-MATCH("temp_stage",[2]stages!$2:$2,0)+1,FALSE)</f>
        <v>コラボクエスト</v>
      </c>
      <c r="H11" s="79">
        <v>0</v>
      </c>
      <c r="I11">
        <v>11</v>
      </c>
      <c r="J11" s="78" t="s">
        <v>197</v>
      </c>
      <c r="K11" s="87" t="str">
        <f>VLOOKUP(I11,[6]stage_hints!$A:$C,3,FALSE)</f>
        <v>ランク解放クエスト</v>
      </c>
      <c r="L11" s="88" t="str">
        <f>VLOOKUP(I11,[6]stage_hints!$A:$D,4,FALSE)</f>
        <v>一定ランクに到達すると_x000D_報酬付きのランク開放クエストが現れます</v>
      </c>
      <c r="M11" s="51" t="s">
        <v>210</v>
      </c>
    </row>
    <row r="12" spans="1:13" x14ac:dyDescent="0.15">
      <c r="A12" s="75" t="s">
        <v>200</v>
      </c>
      <c r="B12" s="76">
        <f>floors!$C$2</f>
        <v>39003</v>
      </c>
      <c r="C12" s="77" t="str">
        <f ca="1">VLOOKUP($B12,OFFSET([2]quests!$A$1,0,0,COUNTA([2]quests!$A:$A),MATCH(C$1,[2]quests!$1:$1,0)-MATCH($B$1,[2]quests!$1:$1,0)+1),MATCH(C$1,[2]quests!$1:$1,0)-MATCH($B$1,[2]quests!$1:$1,0)+1,FALSE)</f>
        <v>ブルースクウェアを追え！</v>
      </c>
      <c r="D12" s="77" t="str">
        <f ca="1">VLOOKUP($B12,OFFSET([2]quests!$A$1,0,0,COUNTA([2]quests!$A:$A),MATCH(D$1,[2]quests!$1:$1,0)-MATCH($B$1,[2]quests!$1:$1,0)+1),MATCH(D$1,[2]quests!$1:$1,0)-MATCH($B$1,[2]quests!$1:$1,0)+1,FALSE)</f>
        <v>コラボクエスト</v>
      </c>
      <c r="E12" s="81">
        <v>1</v>
      </c>
      <c r="F12" s="77" t="str">
        <f ca="1">VLOOKUP($B12&amp;"_"&amp;$E12,OFFSET([2]stages!$A$1,0,0,COUNTA([2]stages!$A:$A),MATCH(F$1,[2]stages!$2:$2,0)-MATCH("temp_stage",[2]stages!$2:$2,0)+1),MATCH(F$1,[2]stages!$2:$2,0)-MATCH("temp_stage",[2]stages!$2:$2,0)+1,FALSE)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12" s="77" t="str">
        <f ca="1">VLOOKUP($B12&amp;"_"&amp;$E12,OFFSET([2]stages!$A$1,0,0,COUNTA([2]stages!$A:$A),MATCH(G$1,[2]stages!$2:$2,0)-MATCH("temp_stage",[2]stages!$2:$2,0)+1),MATCH(G$1,[2]stages!$2:$2,0)-MATCH("temp_stage",[2]stages!$2:$2,0)+1,FALSE)</f>
        <v>コラボクエスト</v>
      </c>
      <c r="H12" s="79">
        <v>0</v>
      </c>
      <c r="I12">
        <v>12</v>
      </c>
      <c r="J12" s="78" t="s">
        <v>197</v>
      </c>
      <c r="K12" s="87" t="str">
        <f>VLOOKUP(I12,[6]stage_hints!$A:$C,3,FALSE)</f>
        <v>ユニットのお気に入り登録</v>
      </c>
      <c r="L12" s="88" t="str">
        <f>VLOOKUP(I12,[6]stage_hints!$A:$D,4,FALSE)</f>
        <v>大事なユニットを誤って消さないように_x000D_フォルダから「お気に入り登録」しましょう</v>
      </c>
      <c r="M12" s="51" t="s">
        <v>210</v>
      </c>
    </row>
    <row r="13" spans="1:13" x14ac:dyDescent="0.15">
      <c r="A13" s="75" t="s">
        <v>200</v>
      </c>
      <c r="B13" s="76">
        <f>floors!$C$2</f>
        <v>39003</v>
      </c>
      <c r="C13" s="77" t="str">
        <f ca="1">VLOOKUP($B13,OFFSET([2]quests!$A$1,0,0,COUNTA([2]quests!$A:$A),MATCH(C$1,[2]quests!$1:$1,0)-MATCH($B$1,[2]quests!$1:$1,0)+1),MATCH(C$1,[2]quests!$1:$1,0)-MATCH($B$1,[2]quests!$1:$1,0)+1,FALSE)</f>
        <v>ブルースクウェアを追え！</v>
      </c>
      <c r="D13" s="77" t="str">
        <f ca="1">VLOOKUP($B13,OFFSET([2]quests!$A$1,0,0,COUNTA([2]quests!$A:$A),MATCH(D$1,[2]quests!$1:$1,0)-MATCH($B$1,[2]quests!$1:$1,0)+1),MATCH(D$1,[2]quests!$1:$1,0)-MATCH($B$1,[2]quests!$1:$1,0)+1,FALSE)</f>
        <v>コラボクエスト</v>
      </c>
      <c r="E13" s="81">
        <v>1</v>
      </c>
      <c r="F13" s="77" t="str">
        <f ca="1">VLOOKUP($B13&amp;"_"&amp;$E13,OFFSET([2]stages!$A$1,0,0,COUNTA([2]stages!$A:$A),MATCH(F$1,[2]stages!$2:$2,0)-MATCH("temp_stage",[2]stages!$2:$2,0)+1),MATCH(F$1,[2]stages!$2:$2,0)-MATCH("temp_stage",[2]stages!$2:$2,0)+1,FALSE)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13" s="77" t="str">
        <f ca="1">VLOOKUP($B13&amp;"_"&amp;$E13,OFFSET([2]stages!$A$1,0,0,COUNTA([2]stages!$A:$A),MATCH(G$1,[2]stages!$2:$2,0)-MATCH("temp_stage",[2]stages!$2:$2,0)+1),MATCH(G$1,[2]stages!$2:$2,0)-MATCH("temp_stage",[2]stages!$2:$2,0)+1,FALSE)</f>
        <v>コラボクエスト</v>
      </c>
      <c r="H13" s="79">
        <v>0</v>
      </c>
      <c r="I13">
        <v>13</v>
      </c>
      <c r="J13" s="78" t="s">
        <v>197</v>
      </c>
      <c r="K13" s="87" t="str">
        <f>VLOOKUP(I13,[6]stage_hints!$A:$C,3,FALSE)</f>
        <v>ユニットの覚醒</v>
      </c>
      <c r="L13" s="88" t="str">
        <f>VLOOKUP(I13,[6]stage_hints!$A:$D,4,FALSE)</f>
        <v>ユニットを覚醒させると_x000D_比べものにならない強さが手に入ります</v>
      </c>
      <c r="M13" s="51" t="s">
        <v>210</v>
      </c>
    </row>
    <row r="14" spans="1:13" x14ac:dyDescent="0.15">
      <c r="A14" s="75" t="s">
        <v>200</v>
      </c>
      <c r="B14" s="76">
        <f>floors!$C$2</f>
        <v>39003</v>
      </c>
      <c r="C14" s="77" t="str">
        <f ca="1">VLOOKUP($B14,OFFSET([2]quests!$A$1,0,0,COUNTA([2]quests!$A:$A),MATCH(C$1,[2]quests!$1:$1,0)-MATCH($B$1,[2]quests!$1:$1,0)+1),MATCH(C$1,[2]quests!$1:$1,0)-MATCH($B$1,[2]quests!$1:$1,0)+1,FALSE)</f>
        <v>ブルースクウェアを追え！</v>
      </c>
      <c r="D14" s="77" t="str">
        <f ca="1">VLOOKUP($B14,OFFSET([2]quests!$A$1,0,0,COUNTA([2]quests!$A:$A),MATCH(D$1,[2]quests!$1:$1,0)-MATCH($B$1,[2]quests!$1:$1,0)+1),MATCH(D$1,[2]quests!$1:$1,0)-MATCH($B$1,[2]quests!$1:$1,0)+1,FALSE)</f>
        <v>コラボクエスト</v>
      </c>
      <c r="E14" s="81">
        <v>1</v>
      </c>
      <c r="F14" s="77" t="str">
        <f ca="1">VLOOKUP($B14&amp;"_"&amp;$E14,OFFSET([2]stages!$A$1,0,0,COUNTA([2]stages!$A:$A),MATCH(F$1,[2]stages!$2:$2,0)-MATCH("temp_stage",[2]stages!$2:$2,0)+1),MATCH(F$1,[2]stages!$2:$2,0)-MATCH("temp_stage",[2]stages!$2:$2,0)+1,FALSE)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14" s="77" t="str">
        <f ca="1">VLOOKUP($B14&amp;"_"&amp;$E14,OFFSET([2]stages!$A$1,0,0,COUNTA([2]stages!$A:$A),MATCH(G$1,[2]stages!$2:$2,0)-MATCH("temp_stage",[2]stages!$2:$2,0)+1),MATCH(G$1,[2]stages!$2:$2,0)-MATCH("temp_stage",[2]stages!$2:$2,0)+1,FALSE)</f>
        <v>コラボクエスト</v>
      </c>
      <c r="H14" s="79">
        <v>0</v>
      </c>
      <c r="I14">
        <v>14</v>
      </c>
      <c r="J14" s="78" t="s">
        <v>197</v>
      </c>
      <c r="K14" s="87" t="str">
        <f>VLOOKUP(I14,[6]stage_hints!$A:$C,3,FALSE)</f>
        <v>覚醒するにはレベルを最大に</v>
      </c>
      <c r="L14" s="88" t="str">
        <f>VLOOKUP(I14,[6]stage_hints!$A:$D,4,FALSE)</f>
        <v>覚醒するにはユニットのレベルを_x000D_最大まで上げる必要があります</v>
      </c>
      <c r="M14" s="51" t="s">
        <v>210</v>
      </c>
    </row>
    <row r="15" spans="1:13" x14ac:dyDescent="0.15">
      <c r="A15" s="75" t="s">
        <v>200</v>
      </c>
      <c r="B15" s="76">
        <f>floors!$C$2</f>
        <v>39003</v>
      </c>
      <c r="C15" s="77" t="str">
        <f ca="1">VLOOKUP($B15,OFFSET([2]quests!$A$1,0,0,COUNTA([2]quests!$A:$A),MATCH(C$1,[2]quests!$1:$1,0)-MATCH($B$1,[2]quests!$1:$1,0)+1),MATCH(C$1,[2]quests!$1:$1,0)-MATCH($B$1,[2]quests!$1:$1,0)+1,FALSE)</f>
        <v>ブルースクウェアを追え！</v>
      </c>
      <c r="D15" s="77" t="str">
        <f ca="1">VLOOKUP($B15,OFFSET([2]quests!$A$1,0,0,COUNTA([2]quests!$A:$A),MATCH(D$1,[2]quests!$1:$1,0)-MATCH($B$1,[2]quests!$1:$1,0)+1),MATCH(D$1,[2]quests!$1:$1,0)-MATCH($B$1,[2]quests!$1:$1,0)+1,FALSE)</f>
        <v>コラボクエスト</v>
      </c>
      <c r="E15" s="81">
        <v>1</v>
      </c>
      <c r="F15" s="77" t="str">
        <f ca="1">VLOOKUP($B15&amp;"_"&amp;$E15,OFFSET([2]stages!$A$1,0,0,COUNTA([2]stages!$A:$A),MATCH(F$1,[2]stages!$2:$2,0)-MATCH("temp_stage",[2]stages!$2:$2,0)+1),MATCH(F$1,[2]stages!$2:$2,0)-MATCH("temp_stage",[2]stages!$2:$2,0)+1,FALSE)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15" s="77" t="str">
        <f ca="1">VLOOKUP($B15&amp;"_"&amp;$E15,OFFSET([2]stages!$A$1,0,0,COUNTA([2]stages!$A:$A),MATCH(G$1,[2]stages!$2:$2,0)-MATCH("temp_stage",[2]stages!$2:$2,0)+1),MATCH(G$1,[2]stages!$2:$2,0)-MATCH("temp_stage",[2]stages!$2:$2,0)+1,FALSE)</f>
        <v>コラボクエスト</v>
      </c>
      <c r="H15" s="79">
        <v>0</v>
      </c>
      <c r="I15">
        <v>15</v>
      </c>
      <c r="J15" s="78" t="s">
        <v>197</v>
      </c>
      <c r="K15" s="87" t="str">
        <f>VLOOKUP(I15,[6]stage_hints!$A:$C,3,FALSE)</f>
        <v>覚醒素材を獲得</v>
      </c>
      <c r="L15" s="88" t="str">
        <f>VLOOKUP(I15,[6]stage_hints!$A:$D,4,FALSE)</f>
        <v>「曜日クエスト」では_x000D_ユニットの覚醒に必要な素材が手に入ります</v>
      </c>
      <c r="M15" s="51" t="s">
        <v>210</v>
      </c>
    </row>
    <row r="16" spans="1:13" x14ac:dyDescent="0.15">
      <c r="A16" s="75" t="s">
        <v>200</v>
      </c>
      <c r="B16" s="76">
        <f>floors!$C$2</f>
        <v>39003</v>
      </c>
      <c r="C16" s="77" t="str">
        <f ca="1">VLOOKUP($B16,OFFSET([2]quests!$A$1,0,0,COUNTA([2]quests!$A:$A),MATCH(C$1,[2]quests!$1:$1,0)-MATCH($B$1,[2]quests!$1:$1,0)+1),MATCH(C$1,[2]quests!$1:$1,0)-MATCH($B$1,[2]quests!$1:$1,0)+1,FALSE)</f>
        <v>ブルースクウェアを追え！</v>
      </c>
      <c r="D16" s="77" t="str">
        <f ca="1">VLOOKUP($B16,OFFSET([2]quests!$A$1,0,0,COUNTA([2]quests!$A:$A),MATCH(D$1,[2]quests!$1:$1,0)-MATCH($B$1,[2]quests!$1:$1,0)+1),MATCH(D$1,[2]quests!$1:$1,0)-MATCH($B$1,[2]quests!$1:$1,0)+1,FALSE)</f>
        <v>コラボクエスト</v>
      </c>
      <c r="E16" s="81">
        <v>1</v>
      </c>
      <c r="F16" s="77" t="str">
        <f ca="1">VLOOKUP($B16&amp;"_"&amp;$E16,OFFSET([2]stages!$A$1,0,0,COUNTA([2]stages!$A:$A),MATCH(F$1,[2]stages!$2:$2,0)-MATCH("temp_stage",[2]stages!$2:$2,0)+1),MATCH(F$1,[2]stages!$2:$2,0)-MATCH("temp_stage",[2]stages!$2:$2,0)+1,FALSE)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16" s="77" t="str">
        <f ca="1">VLOOKUP($B16&amp;"_"&amp;$E16,OFFSET([2]stages!$A$1,0,0,COUNTA([2]stages!$A:$A),MATCH(G$1,[2]stages!$2:$2,0)-MATCH("temp_stage",[2]stages!$2:$2,0)+1),MATCH(G$1,[2]stages!$2:$2,0)-MATCH("temp_stage",[2]stages!$2:$2,0)+1,FALSE)</f>
        <v>コラボクエスト</v>
      </c>
      <c r="H16" s="79">
        <v>0</v>
      </c>
      <c r="I16">
        <v>16</v>
      </c>
      <c r="J16" s="78" t="s">
        <v>197</v>
      </c>
      <c r="K16" s="87" t="str">
        <f>VLOOKUP(I16,[6]stage_hints!$A:$C,3,FALSE)</f>
        <v>マルチプレイのメリット（その1）</v>
      </c>
      <c r="L16" s="88" t="str">
        <f>VLOOKUP(I16,[6]stage_hints!$A:$D,4,FALSE)</f>
        <v>他のプレイヤーとマルチプレイで遊ぶと_x000D_ポリゴンがもらえます（100人まで）</v>
      </c>
      <c r="M16" s="51" t="s">
        <v>210</v>
      </c>
    </row>
    <row r="17" spans="1:13" x14ac:dyDescent="0.15">
      <c r="A17" s="75" t="s">
        <v>200</v>
      </c>
      <c r="B17" s="76">
        <f>floors!$C$2</f>
        <v>39003</v>
      </c>
      <c r="C17" s="77" t="str">
        <f ca="1">VLOOKUP($B17,OFFSET([2]quests!$A$1,0,0,COUNTA([2]quests!$A:$A),MATCH(C$1,[2]quests!$1:$1,0)-MATCH($B$1,[2]quests!$1:$1,0)+1),MATCH(C$1,[2]quests!$1:$1,0)-MATCH($B$1,[2]quests!$1:$1,0)+1,FALSE)</f>
        <v>ブルースクウェアを追え！</v>
      </c>
      <c r="D17" s="77" t="str">
        <f ca="1">VLOOKUP($B17,OFFSET([2]quests!$A$1,0,0,COUNTA([2]quests!$A:$A),MATCH(D$1,[2]quests!$1:$1,0)-MATCH($B$1,[2]quests!$1:$1,0)+1),MATCH(D$1,[2]quests!$1:$1,0)-MATCH($B$1,[2]quests!$1:$1,0)+1,FALSE)</f>
        <v>コラボクエスト</v>
      </c>
      <c r="E17" s="81">
        <v>1</v>
      </c>
      <c r="F17" s="77" t="str">
        <f ca="1">VLOOKUP($B17&amp;"_"&amp;$E17,OFFSET([2]stages!$A$1,0,0,COUNTA([2]stages!$A:$A),MATCH(F$1,[2]stages!$2:$2,0)-MATCH("temp_stage",[2]stages!$2:$2,0)+1),MATCH(F$1,[2]stages!$2:$2,0)-MATCH("temp_stage",[2]stages!$2:$2,0)+1,FALSE)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17" s="77" t="str">
        <f ca="1">VLOOKUP($B17&amp;"_"&amp;$E17,OFFSET([2]stages!$A$1,0,0,COUNTA([2]stages!$A:$A),MATCH(G$1,[2]stages!$2:$2,0)-MATCH("temp_stage",[2]stages!$2:$2,0)+1),MATCH(G$1,[2]stages!$2:$2,0)-MATCH("temp_stage",[2]stages!$2:$2,0)+1,FALSE)</f>
        <v>コラボクエスト</v>
      </c>
      <c r="H17" s="79">
        <v>0</v>
      </c>
      <c r="I17">
        <v>17</v>
      </c>
      <c r="J17" s="78" t="s">
        <v>197</v>
      </c>
      <c r="K17" s="87" t="str">
        <f>VLOOKUP(I17,[6]stage_hints!$A:$C,3,FALSE)</f>
        <v>リンクガチャ</v>
      </c>
      <c r="L17" s="88" t="str">
        <f>VLOOKUP(I17,[6]stage_hints!$A:$D,4,FALSE)</f>
        <v>無料のリンクガチャを回して_x000D_経験値素材や売却素材を獲得しましょう</v>
      </c>
      <c r="M17" s="51" t="s">
        <v>210</v>
      </c>
    </row>
    <row r="18" spans="1:13" x14ac:dyDescent="0.15">
      <c r="A18" s="75" t="s">
        <v>200</v>
      </c>
      <c r="B18" s="76">
        <f>floors!$C$2</f>
        <v>39003</v>
      </c>
      <c r="C18" s="77" t="str">
        <f ca="1">VLOOKUP($B18,OFFSET([2]quests!$A$1,0,0,COUNTA([2]quests!$A:$A),MATCH(C$1,[2]quests!$1:$1,0)-MATCH($B$1,[2]quests!$1:$1,0)+1),MATCH(C$1,[2]quests!$1:$1,0)-MATCH($B$1,[2]quests!$1:$1,0)+1,FALSE)</f>
        <v>ブルースクウェアを追え！</v>
      </c>
      <c r="D18" s="77" t="str">
        <f ca="1">VLOOKUP($B18,OFFSET([2]quests!$A$1,0,0,COUNTA([2]quests!$A:$A),MATCH(D$1,[2]quests!$1:$1,0)-MATCH($B$1,[2]quests!$1:$1,0)+1),MATCH(D$1,[2]quests!$1:$1,0)-MATCH($B$1,[2]quests!$1:$1,0)+1,FALSE)</f>
        <v>コラボクエスト</v>
      </c>
      <c r="E18" s="81">
        <v>1</v>
      </c>
      <c r="F18" s="77" t="str">
        <f ca="1">VLOOKUP($B18&amp;"_"&amp;$E18,OFFSET([2]stages!$A$1,0,0,COUNTA([2]stages!$A:$A),MATCH(F$1,[2]stages!$2:$2,0)-MATCH("temp_stage",[2]stages!$2:$2,0)+1),MATCH(F$1,[2]stages!$2:$2,0)-MATCH("temp_stage",[2]stages!$2:$2,0)+1,FALSE)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18" s="77" t="str">
        <f ca="1">VLOOKUP($B18&amp;"_"&amp;$E18,OFFSET([2]stages!$A$1,0,0,COUNTA([2]stages!$A:$A),MATCH(G$1,[2]stages!$2:$2,0)-MATCH("temp_stage",[2]stages!$2:$2,0)+1),MATCH(G$1,[2]stages!$2:$2,0)-MATCH("temp_stage",[2]stages!$2:$2,0)+1,FALSE)</f>
        <v>コラボクエスト</v>
      </c>
      <c r="H18" s="79">
        <v>0</v>
      </c>
      <c r="I18">
        <v>18</v>
      </c>
      <c r="J18" s="78" t="s">
        <v>197</v>
      </c>
      <c r="K18" s="87" t="str">
        <f>VLOOKUP(I18,[6]stage_hints!$A:$C,3,FALSE)</f>
        <v>マルチプレイのメリット（その2）</v>
      </c>
      <c r="L18" s="88" t="str">
        <f>VLOOKUP(I18,[6]stage_hints!$A:$D,4,FALSE)</f>
        <v>マルチプレイならリンクが2倍もらえます_x000D_リンクガチャをたくさん回しましょう</v>
      </c>
      <c r="M18" s="51" t="s">
        <v>210</v>
      </c>
    </row>
    <row r="19" spans="1:13" x14ac:dyDescent="0.15">
      <c r="A19" s="75" t="s">
        <v>200</v>
      </c>
      <c r="B19" s="76">
        <f>floors!$C$2</f>
        <v>39003</v>
      </c>
      <c r="C19" s="77" t="str">
        <f ca="1">VLOOKUP($B19,OFFSET([2]quests!$A$1,0,0,COUNTA([2]quests!$A:$A),MATCH(C$1,[2]quests!$1:$1,0)-MATCH($B$1,[2]quests!$1:$1,0)+1),MATCH(C$1,[2]quests!$1:$1,0)-MATCH($B$1,[2]quests!$1:$1,0)+1,FALSE)</f>
        <v>ブルースクウェアを追え！</v>
      </c>
      <c r="D19" s="77" t="str">
        <f ca="1">VLOOKUP($B19,OFFSET([2]quests!$A$1,0,0,COUNTA([2]quests!$A:$A),MATCH(D$1,[2]quests!$1:$1,0)-MATCH($B$1,[2]quests!$1:$1,0)+1),MATCH(D$1,[2]quests!$1:$1,0)-MATCH($B$1,[2]quests!$1:$1,0)+1,FALSE)</f>
        <v>コラボクエスト</v>
      </c>
      <c r="E19" s="81">
        <v>1</v>
      </c>
      <c r="F19" s="77" t="str">
        <f ca="1">VLOOKUP($B19&amp;"_"&amp;$E19,OFFSET([2]stages!$A$1,0,0,COUNTA([2]stages!$A:$A),MATCH(F$1,[2]stages!$2:$2,0)-MATCH("temp_stage",[2]stages!$2:$2,0)+1),MATCH(F$1,[2]stages!$2:$2,0)-MATCH("temp_stage",[2]stages!$2:$2,0)+1,FALSE)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19" s="77" t="str">
        <f ca="1">VLOOKUP($B19&amp;"_"&amp;$E19,OFFSET([2]stages!$A$1,0,0,COUNTA([2]stages!$A:$A),MATCH(G$1,[2]stages!$2:$2,0)-MATCH("temp_stage",[2]stages!$2:$2,0)+1),MATCH(G$1,[2]stages!$2:$2,0)-MATCH("temp_stage",[2]stages!$2:$2,0)+1,FALSE)</f>
        <v>コラボクエスト</v>
      </c>
      <c r="H19" s="79">
        <v>0</v>
      </c>
      <c r="I19">
        <v>19</v>
      </c>
      <c r="J19" s="78" t="s">
        <v>197</v>
      </c>
      <c r="K19" s="87" t="str">
        <f>VLOOKUP(I19,[6]stage_hints!$A:$C,3,FALSE)</f>
        <v>ソロ専用チャレンジタワー</v>
      </c>
      <c r="L19" s="88" t="str">
        <f>VLOOKUP(I19,[6]stage_hints!$A:$D,4,FALSE)</f>
        <v>ソロ専用の「チャレンジタワー」では_x000D_各フロアごとにクリア報酬がもらえます</v>
      </c>
      <c r="M19" s="51" t="s">
        <v>210</v>
      </c>
    </row>
    <row r="20" spans="1:13" x14ac:dyDescent="0.15">
      <c r="A20" s="75" t="s">
        <v>200</v>
      </c>
      <c r="B20" s="76">
        <f>floors!$C$2</f>
        <v>39003</v>
      </c>
      <c r="C20" s="77" t="str">
        <f ca="1">VLOOKUP($B20,OFFSET([2]quests!$A$1,0,0,COUNTA([2]quests!$A:$A),MATCH(C$1,[2]quests!$1:$1,0)-MATCH($B$1,[2]quests!$1:$1,0)+1),MATCH(C$1,[2]quests!$1:$1,0)-MATCH($B$1,[2]quests!$1:$1,0)+1,FALSE)</f>
        <v>ブルースクウェアを追え！</v>
      </c>
      <c r="D20" s="77" t="str">
        <f ca="1">VLOOKUP($B20,OFFSET([2]quests!$A$1,0,0,COUNTA([2]quests!$A:$A),MATCH(D$1,[2]quests!$1:$1,0)-MATCH($B$1,[2]quests!$1:$1,0)+1),MATCH(D$1,[2]quests!$1:$1,0)-MATCH($B$1,[2]quests!$1:$1,0)+1,FALSE)</f>
        <v>コラボクエスト</v>
      </c>
      <c r="E20" s="81">
        <v>1</v>
      </c>
      <c r="F20" s="77" t="str">
        <f ca="1">VLOOKUP($B20&amp;"_"&amp;$E20,OFFSET([2]stages!$A$1,0,0,COUNTA([2]stages!$A:$A),MATCH(F$1,[2]stages!$2:$2,0)-MATCH("temp_stage",[2]stages!$2:$2,0)+1),MATCH(F$1,[2]stages!$2:$2,0)-MATCH("temp_stage",[2]stages!$2:$2,0)+1,FALSE)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20" s="77" t="str">
        <f ca="1">VLOOKUP($B20&amp;"_"&amp;$E20,OFFSET([2]stages!$A$1,0,0,COUNTA([2]stages!$A:$A),MATCH(G$1,[2]stages!$2:$2,0)-MATCH("temp_stage",[2]stages!$2:$2,0)+1),MATCH(G$1,[2]stages!$2:$2,0)-MATCH("temp_stage",[2]stages!$2:$2,0)+1,FALSE)</f>
        <v>コラボクエスト</v>
      </c>
      <c r="H20" s="79">
        <v>0</v>
      </c>
      <c r="I20">
        <v>20</v>
      </c>
      <c r="J20" s="78" t="s">
        <v>197</v>
      </c>
      <c r="K20" s="87" t="str">
        <f>VLOOKUP(I20,[6]stage_hints!$A:$C,3,FALSE)</f>
        <v>マルチプレイのメリット（その3）</v>
      </c>
      <c r="L20" s="88" t="str">
        <f>VLOOKUP(I20,[6]stage_hints!$A:$D,4,FALSE)</f>
        <v>マルチプレイへの参加はエナジー消費ゼロ_x000D_いつでも好きなだけ遊ぶことができます</v>
      </c>
      <c r="M20" s="51" t="s">
        <v>210</v>
      </c>
    </row>
    <row r="21" spans="1:13" x14ac:dyDescent="0.15">
      <c r="A21" s="75" t="s">
        <v>200</v>
      </c>
      <c r="B21" s="76">
        <f>floors!$C$2</f>
        <v>39003</v>
      </c>
      <c r="C21" s="77" t="str">
        <f ca="1">VLOOKUP($B21,OFFSET([2]quests!$A$1,0,0,COUNTA([2]quests!$A:$A),MATCH(C$1,[2]quests!$1:$1,0)-MATCH($B$1,[2]quests!$1:$1,0)+1),MATCH(C$1,[2]quests!$1:$1,0)-MATCH($B$1,[2]quests!$1:$1,0)+1,FALSE)</f>
        <v>ブルースクウェアを追え！</v>
      </c>
      <c r="D21" s="77" t="str">
        <f ca="1">VLOOKUP($B21,OFFSET([2]quests!$A$1,0,0,COUNTA([2]quests!$A:$A),MATCH(D$1,[2]quests!$1:$1,0)-MATCH($B$1,[2]quests!$1:$1,0)+1),MATCH(D$1,[2]quests!$1:$1,0)-MATCH($B$1,[2]quests!$1:$1,0)+1,FALSE)</f>
        <v>コラボクエスト</v>
      </c>
      <c r="E21" s="81">
        <v>1</v>
      </c>
      <c r="F21" s="77" t="str">
        <f ca="1">VLOOKUP($B21&amp;"_"&amp;$E21,OFFSET([2]stages!$A$1,0,0,COUNTA([2]stages!$A:$A),MATCH(F$1,[2]stages!$2:$2,0)-MATCH("temp_stage",[2]stages!$2:$2,0)+1),MATCH(F$1,[2]stages!$2:$2,0)-MATCH("temp_stage",[2]stages!$2:$2,0)+1,FALSE)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21" s="77" t="str">
        <f ca="1">VLOOKUP($B21&amp;"_"&amp;$E21,OFFSET([2]stages!$A$1,0,0,COUNTA([2]stages!$A:$A),MATCH(G$1,[2]stages!$2:$2,0)-MATCH("temp_stage",[2]stages!$2:$2,0)+1),MATCH(G$1,[2]stages!$2:$2,0)-MATCH("temp_stage",[2]stages!$2:$2,0)+1,FALSE)</f>
        <v>コラボクエスト</v>
      </c>
      <c r="H21" s="79">
        <v>0</v>
      </c>
      <c r="I21">
        <v>21</v>
      </c>
      <c r="J21" s="78" t="s">
        <v>197</v>
      </c>
      <c r="K21" s="87" t="str">
        <f>VLOOKUP(I21,[6]stage_hints!$A:$C,3,FALSE)</f>
        <v>スキルを有効に</v>
      </c>
      <c r="L21" s="88" t="str">
        <f>VLOOKUP(I21,[6]stage_hints!$A:$D,4,FALSE)</f>
        <v>ターン経過でユニットのスキルが使えます_x000D_強力スキルでバトルを有利に進めましょう</v>
      </c>
      <c r="M21" s="51" t="s">
        <v>210</v>
      </c>
    </row>
    <row r="22" spans="1:13" x14ac:dyDescent="0.15">
      <c r="A22" s="75" t="s">
        <v>200</v>
      </c>
      <c r="B22" s="76">
        <f>floors!$C$2</f>
        <v>39003</v>
      </c>
      <c r="C22" s="77" t="str">
        <f ca="1">VLOOKUP($B22,OFFSET([2]quests!$A$1,0,0,COUNTA([2]quests!$A:$A),MATCH(C$1,[2]quests!$1:$1,0)-MATCH($B$1,[2]quests!$1:$1,0)+1),MATCH(C$1,[2]quests!$1:$1,0)-MATCH($B$1,[2]quests!$1:$1,0)+1,FALSE)</f>
        <v>ブルースクウェアを追え！</v>
      </c>
      <c r="D22" s="77" t="str">
        <f ca="1">VLOOKUP($B22,OFFSET([2]quests!$A$1,0,0,COUNTA([2]quests!$A:$A),MATCH(D$1,[2]quests!$1:$1,0)-MATCH($B$1,[2]quests!$1:$1,0)+1),MATCH(D$1,[2]quests!$1:$1,0)-MATCH($B$1,[2]quests!$1:$1,0)+1,FALSE)</f>
        <v>コラボクエスト</v>
      </c>
      <c r="E22" s="81">
        <v>1</v>
      </c>
      <c r="F22" s="77" t="str">
        <f ca="1">VLOOKUP($B22&amp;"_"&amp;$E22,OFFSET([2]stages!$A$1,0,0,COUNTA([2]stages!$A:$A),MATCH(F$1,[2]stages!$2:$2,0)-MATCH("temp_stage",[2]stages!$2:$2,0)+1),MATCH(F$1,[2]stages!$2:$2,0)-MATCH("temp_stage",[2]stages!$2:$2,0)+1,FALSE)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22" s="77" t="str">
        <f ca="1">VLOOKUP($B22&amp;"_"&amp;$E22,OFFSET([2]stages!$A$1,0,0,COUNTA([2]stages!$A:$A),MATCH(G$1,[2]stages!$2:$2,0)-MATCH("temp_stage",[2]stages!$2:$2,0)+1),MATCH(G$1,[2]stages!$2:$2,0)-MATCH("temp_stage",[2]stages!$2:$2,0)+1,FALSE)</f>
        <v>コラボクエスト</v>
      </c>
      <c r="H22" s="79">
        <v>0</v>
      </c>
      <c r="I22">
        <v>22</v>
      </c>
      <c r="J22" s="78" t="s">
        <v>197</v>
      </c>
      <c r="K22" s="87" t="str">
        <f>VLOOKUP(I22,[6]stage_hints!$A:$C,3,FALSE)</f>
        <v>フィーバーで一発逆転（その1）</v>
      </c>
      <c r="L22" s="88" t="str">
        <f>VLOOKUP(I22,[6]stage_hints!$A:$D,4,FALSE)</f>
        <v>フィーバーは攻撃と回復を兼ね備えます_x000D_ピンチからの一発逆転を狙いましょう</v>
      </c>
      <c r="M22" s="51" t="s">
        <v>210</v>
      </c>
    </row>
    <row r="23" spans="1:13" x14ac:dyDescent="0.15">
      <c r="A23" s="75" t="s">
        <v>200</v>
      </c>
      <c r="B23" s="76">
        <f>floors!$C$2</f>
        <v>39003</v>
      </c>
      <c r="C23" s="77" t="str">
        <f ca="1">VLOOKUP($B23,OFFSET([2]quests!$A$1,0,0,COUNTA([2]quests!$A:$A),MATCH(C$1,[2]quests!$1:$1,0)-MATCH($B$1,[2]quests!$1:$1,0)+1),MATCH(C$1,[2]quests!$1:$1,0)-MATCH($B$1,[2]quests!$1:$1,0)+1,FALSE)</f>
        <v>ブルースクウェアを追え！</v>
      </c>
      <c r="D23" s="77" t="str">
        <f ca="1">VLOOKUP($B23,OFFSET([2]quests!$A$1,0,0,COUNTA([2]quests!$A:$A),MATCH(D$1,[2]quests!$1:$1,0)-MATCH($B$1,[2]quests!$1:$1,0)+1),MATCH(D$1,[2]quests!$1:$1,0)-MATCH($B$1,[2]quests!$1:$1,0)+1,FALSE)</f>
        <v>コラボクエスト</v>
      </c>
      <c r="E23" s="81">
        <v>1</v>
      </c>
      <c r="F23" s="77" t="str">
        <f ca="1">VLOOKUP($B23&amp;"_"&amp;$E23,OFFSET([2]stages!$A$1,0,0,COUNTA([2]stages!$A:$A),MATCH(F$1,[2]stages!$2:$2,0)-MATCH("temp_stage",[2]stages!$2:$2,0)+1),MATCH(F$1,[2]stages!$2:$2,0)-MATCH("temp_stage",[2]stages!$2:$2,0)+1,FALSE)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23" s="77" t="str">
        <f ca="1">VLOOKUP($B23&amp;"_"&amp;$E23,OFFSET([2]stages!$A$1,0,0,COUNTA([2]stages!$A:$A),MATCH(G$1,[2]stages!$2:$2,0)-MATCH("temp_stage",[2]stages!$2:$2,0)+1),MATCH(G$1,[2]stages!$2:$2,0)-MATCH("temp_stage",[2]stages!$2:$2,0)+1,FALSE)</f>
        <v>コラボクエスト</v>
      </c>
      <c r="H23" s="79">
        <v>0</v>
      </c>
      <c r="I23">
        <v>23</v>
      </c>
      <c r="J23" s="78" t="s">
        <v>197</v>
      </c>
      <c r="K23" s="87" t="str">
        <f>VLOOKUP(I23,[6]stage_hints!$A:$C,3,FALSE)</f>
        <v>フィーバーで一発逆転（その2）</v>
      </c>
      <c r="L23" s="88" t="str">
        <f>VLOOKUP(I23,[6]stage_hints!$A:$D,4,FALSE)</f>
        <v>フィーバー中は虹色のボムパネルを狙って_x000D_画面上のパネルを一気に破壊しましょう</v>
      </c>
      <c r="M23" s="51" t="s">
        <v>210</v>
      </c>
    </row>
    <row r="24" spans="1:13" x14ac:dyDescent="0.15">
      <c r="A24" s="75" t="s">
        <v>200</v>
      </c>
      <c r="B24" s="76">
        <f>floors!$C$2</f>
        <v>39003</v>
      </c>
      <c r="C24" s="77" t="str">
        <f ca="1">VLOOKUP($B24,OFFSET([2]quests!$A$1,0,0,COUNTA([2]quests!$A:$A),MATCH(C$1,[2]quests!$1:$1,0)-MATCH($B$1,[2]quests!$1:$1,0)+1),MATCH(C$1,[2]quests!$1:$1,0)-MATCH($B$1,[2]quests!$1:$1,0)+1,FALSE)</f>
        <v>ブルースクウェアを追え！</v>
      </c>
      <c r="D24" s="77" t="str">
        <f ca="1">VLOOKUP($B24,OFFSET([2]quests!$A$1,0,0,COUNTA([2]quests!$A:$A),MATCH(D$1,[2]quests!$1:$1,0)-MATCH($B$1,[2]quests!$1:$1,0)+1),MATCH(D$1,[2]quests!$1:$1,0)-MATCH($B$1,[2]quests!$1:$1,0)+1,FALSE)</f>
        <v>コラボクエスト</v>
      </c>
      <c r="E24" s="81">
        <v>1</v>
      </c>
      <c r="F24" s="77" t="str">
        <f ca="1">VLOOKUP($B24&amp;"_"&amp;$E24,OFFSET([2]stages!$A$1,0,0,COUNTA([2]stages!$A:$A),MATCH(F$1,[2]stages!$2:$2,0)-MATCH("temp_stage",[2]stages!$2:$2,0)+1),MATCH(F$1,[2]stages!$2:$2,0)-MATCH("temp_stage",[2]stages!$2:$2,0)+1,FALSE)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24" s="77" t="str">
        <f ca="1">VLOOKUP($B24&amp;"_"&amp;$E24,OFFSET([2]stages!$A$1,0,0,COUNTA([2]stages!$A:$A),MATCH(G$1,[2]stages!$2:$2,0)-MATCH("temp_stage",[2]stages!$2:$2,0)+1),MATCH(G$1,[2]stages!$2:$2,0)-MATCH("temp_stage",[2]stages!$2:$2,0)+1,FALSE)</f>
        <v>コラボクエスト</v>
      </c>
      <c r="H24" s="79">
        <v>0</v>
      </c>
      <c r="I24">
        <v>24</v>
      </c>
      <c r="J24" s="78" t="s">
        <v>197</v>
      </c>
      <c r="K24" s="87" t="str">
        <f>VLOOKUP(I24,[6]stage_hints!$A:$C,3,FALSE)</f>
        <v>りんごを使って限界突破</v>
      </c>
      <c r="L24" s="88" t="str">
        <f>VLOOKUP(I24,[6]stage_hints!$A:$D,4,FALSE)</f>
        <v>赤りんご(攻撃力) 青りんご(回復力)_x000D_緑りんご(体力)をユニット強化に使うと_x000D_ステータスが限界突破します（計99個迄）</v>
      </c>
      <c r="M24" s="51" t="s">
        <v>210</v>
      </c>
    </row>
    <row r="25" spans="1:13" x14ac:dyDescent="0.15">
      <c r="A25" s="75" t="s">
        <v>200</v>
      </c>
      <c r="B25" s="76">
        <f>floors!$C$2</f>
        <v>39003</v>
      </c>
      <c r="C25" s="77" t="str">
        <f ca="1">VLOOKUP($B25,OFFSET([2]quests!$A$1,0,0,COUNTA([2]quests!$A:$A),MATCH(C$1,[2]quests!$1:$1,0)-MATCH($B$1,[2]quests!$1:$1,0)+1),MATCH(C$1,[2]quests!$1:$1,0)-MATCH($B$1,[2]quests!$1:$1,0)+1,FALSE)</f>
        <v>ブルースクウェアを追え！</v>
      </c>
      <c r="D25" s="77" t="str">
        <f ca="1">VLOOKUP($B25,OFFSET([2]quests!$A$1,0,0,COUNTA([2]quests!$A:$A),MATCH(D$1,[2]quests!$1:$1,0)-MATCH($B$1,[2]quests!$1:$1,0)+1),MATCH(D$1,[2]quests!$1:$1,0)-MATCH($B$1,[2]quests!$1:$1,0)+1,FALSE)</f>
        <v>コラボクエスト</v>
      </c>
      <c r="E25" s="81">
        <v>1</v>
      </c>
      <c r="F25" s="77" t="str">
        <f ca="1">VLOOKUP($B25&amp;"_"&amp;$E25,OFFSET([2]stages!$A$1,0,0,COUNTA([2]stages!$A:$A),MATCH(F$1,[2]stages!$2:$2,0)-MATCH("temp_stage",[2]stages!$2:$2,0)+1),MATCH(F$1,[2]stages!$2:$2,0)-MATCH("temp_stage",[2]stages!$2:$2,0)+1,FALSE)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25" s="77" t="str">
        <f ca="1">VLOOKUP($B25&amp;"_"&amp;$E25,OFFSET([2]stages!$A$1,0,0,COUNTA([2]stages!$A:$A),MATCH(G$1,[2]stages!$2:$2,0)-MATCH("temp_stage",[2]stages!$2:$2,0)+1),MATCH(G$1,[2]stages!$2:$2,0)-MATCH("temp_stage",[2]stages!$2:$2,0)+1,FALSE)</f>
        <v>コラボクエスト</v>
      </c>
      <c r="H25" s="79">
        <v>0</v>
      </c>
      <c r="I25">
        <v>25</v>
      </c>
      <c r="J25" s="78" t="s">
        <v>197</v>
      </c>
      <c r="K25" s="87" t="str">
        <f>VLOOKUP(I25,[6]stage_hints!$A:$C,3,FALSE)</f>
        <v>スキルレベルアップ</v>
      </c>
      <c r="L25" s="88" t="str">
        <f>VLOOKUP(I25,[6]stage_hints!$A:$D,4,FALSE)</f>
        <v>「クリスタルのりんご」を強化に使うと_x000D_スキルレベルを上げることができます</v>
      </c>
      <c r="M25" s="51" t="s">
        <v>210</v>
      </c>
    </row>
    <row r="26" spans="1:13" x14ac:dyDescent="0.15">
      <c r="A26" s="75" t="s">
        <v>200</v>
      </c>
      <c r="B26" s="76">
        <f>floors!$C$2</f>
        <v>39003</v>
      </c>
      <c r="C26" s="77" t="str">
        <f ca="1">VLOOKUP($B26,OFFSET([2]quests!$A$1,0,0,COUNTA([2]quests!$A:$A),MATCH(C$1,[2]quests!$1:$1,0)-MATCH($B$1,[2]quests!$1:$1,0)+1),MATCH(C$1,[2]quests!$1:$1,0)-MATCH($B$1,[2]quests!$1:$1,0)+1,FALSE)</f>
        <v>ブルースクウェアを追え！</v>
      </c>
      <c r="D26" s="77" t="str">
        <f ca="1">VLOOKUP($B26,OFFSET([2]quests!$A$1,0,0,COUNTA([2]quests!$A:$A),MATCH(D$1,[2]quests!$1:$1,0)-MATCH($B$1,[2]quests!$1:$1,0)+1),MATCH(D$1,[2]quests!$1:$1,0)-MATCH($B$1,[2]quests!$1:$1,0)+1,FALSE)</f>
        <v>コラボクエスト</v>
      </c>
      <c r="E26" s="81">
        <v>1</v>
      </c>
      <c r="F26" s="77" t="str">
        <f ca="1">VLOOKUP($B26&amp;"_"&amp;$E26,OFFSET([2]stages!$A$1,0,0,COUNTA([2]stages!$A:$A),MATCH(F$1,[2]stages!$2:$2,0)-MATCH("temp_stage",[2]stages!$2:$2,0)+1),MATCH(F$1,[2]stages!$2:$2,0)-MATCH("temp_stage",[2]stages!$2:$2,0)+1,FALSE)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26" s="77" t="str">
        <f ca="1">VLOOKUP($B26&amp;"_"&amp;$E26,OFFSET([2]stages!$A$1,0,0,COUNTA([2]stages!$A:$A),MATCH(G$1,[2]stages!$2:$2,0)-MATCH("temp_stage",[2]stages!$2:$2,0)+1),MATCH(G$1,[2]stages!$2:$2,0)-MATCH("temp_stage",[2]stages!$2:$2,0)+1,FALSE)</f>
        <v>コラボクエスト</v>
      </c>
      <c r="H26" s="79">
        <v>0</v>
      </c>
      <c r="I26">
        <v>26</v>
      </c>
      <c r="J26" s="78" t="s">
        <v>197</v>
      </c>
      <c r="K26" s="87" t="str">
        <f>VLOOKUP(I26,[6]stage_hints!$A:$C,3,FALSE)</f>
        <v>スキルレベルの効果</v>
      </c>
      <c r="L26" s="88" t="str">
        <f>VLOOKUP(I26,[6]stage_hints!$A:$D,4,FALSE)</f>
        <v>スキルレベルが上がると_x000D_短いターンでスキルを使うことができます</v>
      </c>
      <c r="M26" s="51" t="s">
        <v>210</v>
      </c>
    </row>
    <row r="27" spans="1:13" x14ac:dyDescent="0.15">
      <c r="A27" s="75" t="s">
        <v>200</v>
      </c>
      <c r="B27" s="76">
        <f>floors!$C$2</f>
        <v>39003</v>
      </c>
      <c r="C27" s="77" t="str">
        <f ca="1">VLOOKUP($B27,OFFSET([2]quests!$A$1,0,0,COUNTA([2]quests!$A:$A),MATCH(C$1,[2]quests!$1:$1,0)-MATCH($B$1,[2]quests!$1:$1,0)+1),MATCH(C$1,[2]quests!$1:$1,0)-MATCH($B$1,[2]quests!$1:$1,0)+1,FALSE)</f>
        <v>ブルースクウェアを追え！</v>
      </c>
      <c r="D27" s="77" t="str">
        <f ca="1">VLOOKUP($B27,OFFSET([2]quests!$A$1,0,0,COUNTA([2]quests!$A:$A),MATCH(D$1,[2]quests!$1:$1,0)-MATCH($B$1,[2]quests!$1:$1,0)+1),MATCH(D$1,[2]quests!$1:$1,0)-MATCH($B$1,[2]quests!$1:$1,0)+1,FALSE)</f>
        <v>コラボクエスト</v>
      </c>
      <c r="E27" s="81">
        <v>1</v>
      </c>
      <c r="F27" s="77" t="str">
        <f ca="1">VLOOKUP($B27&amp;"_"&amp;$E27,OFFSET([2]stages!$A$1,0,0,COUNTA([2]stages!$A:$A),MATCH(F$1,[2]stages!$2:$2,0)-MATCH("temp_stage",[2]stages!$2:$2,0)+1),MATCH(F$1,[2]stages!$2:$2,0)-MATCH("temp_stage",[2]stages!$2:$2,0)+1,FALSE)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27" s="77" t="str">
        <f ca="1">VLOOKUP($B27&amp;"_"&amp;$E27,OFFSET([2]stages!$A$1,0,0,COUNTA([2]stages!$A:$A),MATCH(G$1,[2]stages!$2:$2,0)-MATCH("temp_stage",[2]stages!$2:$2,0)+1),MATCH(G$1,[2]stages!$2:$2,0)-MATCH("temp_stage",[2]stages!$2:$2,0)+1,FALSE)</f>
        <v>コラボクエスト</v>
      </c>
      <c r="H27" s="79">
        <v>0</v>
      </c>
      <c r="I27">
        <v>39</v>
      </c>
      <c r="J27" s="78" t="s">
        <v>197</v>
      </c>
      <c r="K27" s="87" t="str">
        <f>VLOOKUP(I27,[6]stage_hints!$A:$C,3,FALSE)</f>
        <v>システム適合者を確認</v>
      </c>
      <c r="L27" s="88" t="str">
        <f>VLOOKUP(I27,[6]stage_hints!$A:$D,4,FALSE)</f>
        <v>ALICEが「アナタ」を呼んでいます</v>
      </c>
      <c r="M27" s="51" t="s">
        <v>210</v>
      </c>
    </row>
    <row r="28" spans="1:13" x14ac:dyDescent="0.15">
      <c r="A28" s="75" t="s">
        <v>200</v>
      </c>
      <c r="B28" s="76">
        <f>floors!$C$2</f>
        <v>39003</v>
      </c>
      <c r="C28" s="77" t="str">
        <f ca="1">VLOOKUP($B28,OFFSET([2]quests!$A$1,0,0,COUNTA([2]quests!$A:$A),MATCH(C$1,[2]quests!$1:$1,0)-MATCH($B$1,[2]quests!$1:$1,0)+1),MATCH(C$1,[2]quests!$1:$1,0)-MATCH($B$1,[2]quests!$1:$1,0)+1,FALSE)</f>
        <v>ブルースクウェアを追え！</v>
      </c>
      <c r="D28" s="77" t="str">
        <f ca="1">VLOOKUP($B28,OFFSET([2]quests!$A$1,0,0,COUNTA([2]quests!$A:$A),MATCH(D$1,[2]quests!$1:$1,0)-MATCH($B$1,[2]quests!$1:$1,0)+1),MATCH(D$1,[2]quests!$1:$1,0)-MATCH($B$1,[2]quests!$1:$1,0)+1,FALSE)</f>
        <v>コラボクエスト</v>
      </c>
      <c r="E28" s="81">
        <v>2</v>
      </c>
      <c r="F28" s="77" t="str">
        <f ca="1">VLOOKUP($B28&amp;"_"&amp;$E28,OFFSET([2]stages!$A$1,0,0,COUNTA([2]stages!$A:$A),MATCH(F$1,[2]stages!$2:$2,0)-MATCH("temp_stage",[2]stages!$2:$2,0)+1),MATCH(F$1,[2]stages!$2:$2,0)-MATCH("temp_stage",[2]stages!$2:$2,0)+1,FALSE)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28" s="77" t="str">
        <f ca="1">VLOOKUP($B28&amp;"_"&amp;$E28,OFFSET([2]stages!$A$1,0,0,COUNTA([2]stages!$A:$A),MATCH(G$1,[2]stages!$2:$2,0)-MATCH("temp_stage",[2]stages!$2:$2,0)+1),MATCH(G$1,[2]stages!$2:$2,0)-MATCH("temp_stage",[2]stages!$2:$2,0)+1,FALSE)</f>
        <v>コラボクエスト</v>
      </c>
      <c r="H28" s="79">
        <v>0</v>
      </c>
      <c r="I28">
        <v>3</v>
      </c>
      <c r="J28" s="78" t="s">
        <v>197</v>
      </c>
      <c r="K28" s="87" t="str">
        <f>VLOOKUP(I28,[6]stage_hints!$A:$C,3,FALSE)</f>
        <v>ターゲット</v>
      </c>
      <c r="L28" s="88" t="str">
        <f>VLOOKUP(I28,[6]stage_hints!$A:$D,4,FALSE)</f>
        <v>敵ユニットをタップすると_x000D_その敵を狙い撃ちできます</v>
      </c>
      <c r="M28" s="51" t="s">
        <v>210</v>
      </c>
    </row>
    <row r="29" spans="1:13" x14ac:dyDescent="0.15">
      <c r="A29" s="75" t="s">
        <v>200</v>
      </c>
      <c r="B29" s="76">
        <f>floors!$C$2</f>
        <v>39003</v>
      </c>
      <c r="C29" s="77" t="str">
        <f ca="1">VLOOKUP($B29,OFFSET([2]quests!$A$1,0,0,COUNTA([2]quests!$A:$A),MATCH(C$1,[2]quests!$1:$1,0)-MATCH($B$1,[2]quests!$1:$1,0)+1),MATCH(C$1,[2]quests!$1:$1,0)-MATCH($B$1,[2]quests!$1:$1,0)+1,FALSE)</f>
        <v>ブルースクウェアを追え！</v>
      </c>
      <c r="D29" s="77" t="str">
        <f ca="1">VLOOKUP($B29,OFFSET([2]quests!$A$1,0,0,COUNTA([2]quests!$A:$A),MATCH(D$1,[2]quests!$1:$1,0)-MATCH($B$1,[2]quests!$1:$1,0)+1),MATCH(D$1,[2]quests!$1:$1,0)-MATCH($B$1,[2]quests!$1:$1,0)+1,FALSE)</f>
        <v>コラボクエスト</v>
      </c>
      <c r="E29" s="81">
        <v>2</v>
      </c>
      <c r="F29" s="77" t="str">
        <f ca="1">VLOOKUP($B29&amp;"_"&amp;$E29,OFFSET([2]stages!$A$1,0,0,COUNTA([2]stages!$A:$A),MATCH(F$1,[2]stages!$2:$2,0)-MATCH("temp_stage",[2]stages!$2:$2,0)+1),MATCH(F$1,[2]stages!$2:$2,0)-MATCH("temp_stage",[2]stages!$2:$2,0)+1,FALSE)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29" s="77" t="str">
        <f ca="1">VLOOKUP($B29&amp;"_"&amp;$E29,OFFSET([2]stages!$A$1,0,0,COUNTA([2]stages!$A:$A),MATCH(G$1,[2]stages!$2:$2,0)-MATCH("temp_stage",[2]stages!$2:$2,0)+1),MATCH(G$1,[2]stages!$2:$2,0)-MATCH("temp_stage",[2]stages!$2:$2,0)+1,FALSE)</f>
        <v>コラボクエスト</v>
      </c>
      <c r="H29" s="79">
        <v>0</v>
      </c>
      <c r="I29">
        <v>6</v>
      </c>
      <c r="J29" s="78" t="s">
        <v>197</v>
      </c>
      <c r="K29" s="87" t="str">
        <f>VLOOKUP(I29,[6]stage_hints!$A:$C,3,FALSE)</f>
        <v>ユニット強化の属性ボーナス</v>
      </c>
      <c r="L29" s="88" t="str">
        <f>VLOOKUP(I29,[6]stage_hints!$A:$D,4,FALSE)</f>
        <v>同属性ユニットを強化素材にすると_x000D_経験値が多くもらえます</v>
      </c>
      <c r="M29" s="51" t="s">
        <v>210</v>
      </c>
    </row>
    <row r="30" spans="1:13" x14ac:dyDescent="0.15">
      <c r="A30" s="75" t="s">
        <v>200</v>
      </c>
      <c r="B30" s="76">
        <f>floors!$C$2</f>
        <v>39003</v>
      </c>
      <c r="C30" s="77" t="str">
        <f ca="1">VLOOKUP($B30,OFFSET([2]quests!$A$1,0,0,COUNTA([2]quests!$A:$A),MATCH(C$1,[2]quests!$1:$1,0)-MATCH($B$1,[2]quests!$1:$1,0)+1),MATCH(C$1,[2]quests!$1:$1,0)-MATCH($B$1,[2]quests!$1:$1,0)+1,FALSE)</f>
        <v>ブルースクウェアを追え！</v>
      </c>
      <c r="D30" s="77" t="str">
        <f ca="1">VLOOKUP($B30,OFFSET([2]quests!$A$1,0,0,COUNTA([2]quests!$A:$A),MATCH(D$1,[2]quests!$1:$1,0)-MATCH($B$1,[2]quests!$1:$1,0)+1),MATCH(D$1,[2]quests!$1:$1,0)-MATCH($B$1,[2]quests!$1:$1,0)+1,FALSE)</f>
        <v>コラボクエスト</v>
      </c>
      <c r="E30" s="81">
        <v>2</v>
      </c>
      <c r="F30" s="77" t="str">
        <f ca="1">VLOOKUP($B30&amp;"_"&amp;$E30,OFFSET([2]stages!$A$1,0,0,COUNTA([2]stages!$A:$A),MATCH(F$1,[2]stages!$2:$2,0)-MATCH("temp_stage",[2]stages!$2:$2,0)+1),MATCH(F$1,[2]stages!$2:$2,0)-MATCH("temp_stage",[2]stages!$2:$2,0)+1,FALSE)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30" s="77" t="str">
        <f ca="1">VLOOKUP($B30&amp;"_"&amp;$E30,OFFSET([2]stages!$A$1,0,0,COUNTA([2]stages!$A:$A),MATCH(G$1,[2]stages!$2:$2,0)-MATCH("temp_stage",[2]stages!$2:$2,0)+1),MATCH(G$1,[2]stages!$2:$2,0)-MATCH("temp_stage",[2]stages!$2:$2,0)+1,FALSE)</f>
        <v>コラボクエスト</v>
      </c>
      <c r="H30" s="79">
        <v>0</v>
      </c>
      <c r="I30">
        <v>7</v>
      </c>
      <c r="J30" s="78" t="s">
        <v>197</v>
      </c>
      <c r="K30" s="87" t="str">
        <f>VLOOKUP(I30,[6]stage_hints!$A:$C,3,FALSE)</f>
        <v>メタルダックで経験値を獲得</v>
      </c>
      <c r="L30" s="88" t="str">
        <f>VLOOKUP(I30,[6]stage_hints!$A:$D,4,FALSE)</f>
        <v>「メタルなアヒル」を強化素材にすると_x000D_大量の経験値がもらえます</v>
      </c>
      <c r="M30" s="51" t="s">
        <v>210</v>
      </c>
    </row>
    <row r="31" spans="1:13" x14ac:dyDescent="0.15">
      <c r="A31" s="75" t="s">
        <v>200</v>
      </c>
      <c r="B31" s="76">
        <f>floors!$C$2</f>
        <v>39003</v>
      </c>
      <c r="C31" s="77" t="str">
        <f ca="1">VLOOKUP($B31,OFFSET([2]quests!$A$1,0,0,COUNTA([2]quests!$A:$A),MATCH(C$1,[2]quests!$1:$1,0)-MATCH($B$1,[2]quests!$1:$1,0)+1),MATCH(C$1,[2]quests!$1:$1,0)-MATCH($B$1,[2]quests!$1:$1,0)+1,FALSE)</f>
        <v>ブルースクウェアを追え！</v>
      </c>
      <c r="D31" s="77" t="str">
        <f ca="1">VLOOKUP($B31,OFFSET([2]quests!$A$1,0,0,COUNTA([2]quests!$A:$A),MATCH(D$1,[2]quests!$1:$1,0)-MATCH($B$1,[2]quests!$1:$1,0)+1),MATCH(D$1,[2]quests!$1:$1,0)-MATCH($B$1,[2]quests!$1:$1,0)+1,FALSE)</f>
        <v>コラボクエスト</v>
      </c>
      <c r="E31" s="81">
        <v>2</v>
      </c>
      <c r="F31" s="77" t="str">
        <f ca="1">VLOOKUP($B31&amp;"_"&amp;$E31,OFFSET([2]stages!$A$1,0,0,COUNTA([2]stages!$A:$A),MATCH(F$1,[2]stages!$2:$2,0)-MATCH("temp_stage",[2]stages!$2:$2,0)+1),MATCH(F$1,[2]stages!$2:$2,0)-MATCH("temp_stage",[2]stages!$2:$2,0)+1,FALSE)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31" s="77" t="str">
        <f ca="1">VLOOKUP($B31&amp;"_"&amp;$E31,OFFSET([2]stages!$A$1,0,0,COUNTA([2]stages!$A:$A),MATCH(G$1,[2]stages!$2:$2,0)-MATCH("temp_stage",[2]stages!$2:$2,0)+1),MATCH(G$1,[2]stages!$2:$2,0)-MATCH("temp_stage",[2]stages!$2:$2,0)+1,FALSE)</f>
        <v>コラボクエスト</v>
      </c>
      <c r="H31" s="79">
        <v>0</v>
      </c>
      <c r="I31">
        <v>8</v>
      </c>
      <c r="J31" s="78" t="s">
        <v>197</v>
      </c>
      <c r="K31" s="87" t="str">
        <f>VLOOKUP(I31,[6]stage_hints!$A:$C,3,FALSE)</f>
        <v>ゲリラクエストは要チェック</v>
      </c>
      <c r="L31" s="88" t="str">
        <f>VLOOKUP(I31,[6]stage_hints!$A:$D,4,FALSE)</f>
        <v>時間限定の「アヒル捕獲作戦」では_x000D_経験値素材ユニットが多く手に入ります</v>
      </c>
      <c r="M31" s="51" t="s">
        <v>210</v>
      </c>
    </row>
    <row r="32" spans="1:13" x14ac:dyDescent="0.15">
      <c r="A32" s="75" t="s">
        <v>200</v>
      </c>
      <c r="B32" s="76">
        <f>floors!$C$2</f>
        <v>39003</v>
      </c>
      <c r="C32" s="77" t="str">
        <f ca="1">VLOOKUP($B32,OFFSET([2]quests!$A$1,0,0,COUNTA([2]quests!$A:$A),MATCH(C$1,[2]quests!$1:$1,0)-MATCH($B$1,[2]quests!$1:$1,0)+1),MATCH(C$1,[2]quests!$1:$1,0)-MATCH($B$1,[2]quests!$1:$1,0)+1,FALSE)</f>
        <v>ブルースクウェアを追え！</v>
      </c>
      <c r="D32" s="77" t="str">
        <f ca="1">VLOOKUP($B32,OFFSET([2]quests!$A$1,0,0,COUNTA([2]quests!$A:$A),MATCH(D$1,[2]quests!$1:$1,0)-MATCH($B$1,[2]quests!$1:$1,0)+1),MATCH(D$1,[2]quests!$1:$1,0)-MATCH($B$1,[2]quests!$1:$1,0)+1,FALSE)</f>
        <v>コラボクエスト</v>
      </c>
      <c r="E32" s="81">
        <v>2</v>
      </c>
      <c r="F32" s="77" t="str">
        <f ca="1">VLOOKUP($B32&amp;"_"&amp;$E32,OFFSET([2]stages!$A$1,0,0,COUNTA([2]stages!$A:$A),MATCH(F$1,[2]stages!$2:$2,0)-MATCH("temp_stage",[2]stages!$2:$2,0)+1),MATCH(F$1,[2]stages!$2:$2,0)-MATCH("temp_stage",[2]stages!$2:$2,0)+1,FALSE)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32" s="77" t="str">
        <f ca="1">VLOOKUP($B32&amp;"_"&amp;$E32,OFFSET([2]stages!$A$1,0,0,COUNTA([2]stages!$A:$A),MATCH(G$1,[2]stages!$2:$2,0)-MATCH("temp_stage",[2]stages!$2:$2,0)+1),MATCH(G$1,[2]stages!$2:$2,0)-MATCH("temp_stage",[2]stages!$2:$2,0)+1,FALSE)</f>
        <v>コラボクエスト</v>
      </c>
      <c r="H32" s="79">
        <v>0</v>
      </c>
      <c r="I32">
        <v>9</v>
      </c>
      <c r="J32" s="78" t="s">
        <v>197</v>
      </c>
      <c r="K32" s="87" t="str">
        <f>VLOOKUP(I32,[6]stage_hints!$A:$C,3,FALSE)</f>
        <v>ゴールドダックでビットを獲得</v>
      </c>
      <c r="L32" s="88" t="str">
        <f>VLOOKUP(I32,[6]stage_hints!$A:$D,4,FALSE)</f>
        <v>「ゴールドなアヒル」を売却すると_x000D_大量のビットがもらえます</v>
      </c>
      <c r="M32" s="51" t="s">
        <v>210</v>
      </c>
    </row>
    <row r="33" spans="1:13" x14ac:dyDescent="0.15">
      <c r="A33" s="75" t="s">
        <v>200</v>
      </c>
      <c r="B33" s="76">
        <f>floors!$C$2</f>
        <v>39003</v>
      </c>
      <c r="C33" s="77" t="str">
        <f ca="1">VLOOKUP($B33,OFFSET([2]quests!$A$1,0,0,COUNTA([2]quests!$A:$A),MATCH(C$1,[2]quests!$1:$1,0)-MATCH($B$1,[2]quests!$1:$1,0)+1),MATCH(C$1,[2]quests!$1:$1,0)-MATCH($B$1,[2]quests!$1:$1,0)+1,FALSE)</f>
        <v>ブルースクウェアを追え！</v>
      </c>
      <c r="D33" s="77" t="str">
        <f ca="1">VLOOKUP($B33,OFFSET([2]quests!$A$1,0,0,COUNTA([2]quests!$A:$A),MATCH(D$1,[2]quests!$1:$1,0)-MATCH($B$1,[2]quests!$1:$1,0)+1),MATCH(D$1,[2]quests!$1:$1,0)-MATCH($B$1,[2]quests!$1:$1,0)+1,FALSE)</f>
        <v>コラボクエスト</v>
      </c>
      <c r="E33" s="81">
        <v>2</v>
      </c>
      <c r="F33" s="77" t="str">
        <f ca="1">VLOOKUP($B33&amp;"_"&amp;$E33,OFFSET([2]stages!$A$1,0,0,COUNTA([2]stages!$A:$A),MATCH(F$1,[2]stages!$2:$2,0)-MATCH("temp_stage",[2]stages!$2:$2,0)+1),MATCH(F$1,[2]stages!$2:$2,0)-MATCH("temp_stage",[2]stages!$2:$2,0)+1,FALSE)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33" s="77" t="str">
        <f ca="1">VLOOKUP($B33&amp;"_"&amp;$E33,OFFSET([2]stages!$A$1,0,0,COUNTA([2]stages!$A:$A),MATCH(G$1,[2]stages!$2:$2,0)-MATCH("temp_stage",[2]stages!$2:$2,0)+1),MATCH(G$1,[2]stages!$2:$2,0)-MATCH("temp_stage",[2]stages!$2:$2,0)+1,FALSE)</f>
        <v>コラボクエスト</v>
      </c>
      <c r="H33" s="79">
        <v>0</v>
      </c>
      <c r="I33">
        <v>10</v>
      </c>
      <c r="J33" s="78" t="s">
        <v>197</v>
      </c>
      <c r="K33" s="87" t="str">
        <f>VLOOKUP(I33,[6]stage_hints!$A:$C,3,FALSE)</f>
        <v>土日に大量のビットを獲得</v>
      </c>
      <c r="L33" s="88" t="str">
        <f>VLOOKUP(I33,[6]stage_hints!$A:$D,4,FALSE)</f>
        <v>土日限定の「ゴールドカジノ」では_x000D_売却素材ユニットが多く手に入ります</v>
      </c>
      <c r="M33" s="51" t="s">
        <v>210</v>
      </c>
    </row>
    <row r="34" spans="1:13" x14ac:dyDescent="0.15">
      <c r="A34" s="75" t="s">
        <v>200</v>
      </c>
      <c r="B34" s="76">
        <f>floors!$C$2</f>
        <v>39003</v>
      </c>
      <c r="C34" s="77" t="str">
        <f ca="1">VLOOKUP($B34,OFFSET([2]quests!$A$1,0,0,COUNTA([2]quests!$A:$A),MATCH(C$1,[2]quests!$1:$1,0)-MATCH($B$1,[2]quests!$1:$1,0)+1),MATCH(C$1,[2]quests!$1:$1,0)-MATCH($B$1,[2]quests!$1:$1,0)+1,FALSE)</f>
        <v>ブルースクウェアを追え！</v>
      </c>
      <c r="D34" s="77" t="str">
        <f ca="1">VLOOKUP($B34,OFFSET([2]quests!$A$1,0,0,COUNTA([2]quests!$A:$A),MATCH(D$1,[2]quests!$1:$1,0)-MATCH($B$1,[2]quests!$1:$1,0)+1),MATCH(D$1,[2]quests!$1:$1,0)-MATCH($B$1,[2]quests!$1:$1,0)+1,FALSE)</f>
        <v>コラボクエスト</v>
      </c>
      <c r="E34" s="81">
        <v>2</v>
      </c>
      <c r="F34" s="77" t="str">
        <f ca="1">VLOOKUP($B34&amp;"_"&amp;$E34,OFFSET([2]stages!$A$1,0,0,COUNTA([2]stages!$A:$A),MATCH(F$1,[2]stages!$2:$2,0)-MATCH("temp_stage",[2]stages!$2:$2,0)+1),MATCH(F$1,[2]stages!$2:$2,0)-MATCH("temp_stage",[2]stages!$2:$2,0)+1,FALSE)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34" s="77" t="str">
        <f ca="1">VLOOKUP($B34&amp;"_"&amp;$E34,OFFSET([2]stages!$A$1,0,0,COUNTA([2]stages!$A:$A),MATCH(G$1,[2]stages!$2:$2,0)-MATCH("temp_stage",[2]stages!$2:$2,0)+1),MATCH(G$1,[2]stages!$2:$2,0)-MATCH("temp_stage",[2]stages!$2:$2,0)+1,FALSE)</f>
        <v>コラボクエスト</v>
      </c>
      <c r="H34" s="79">
        <v>0</v>
      </c>
      <c r="I34">
        <v>11</v>
      </c>
      <c r="J34" s="78" t="s">
        <v>197</v>
      </c>
      <c r="K34" s="87" t="str">
        <f>VLOOKUP(I34,[6]stage_hints!$A:$C,3,FALSE)</f>
        <v>ランク解放クエスト</v>
      </c>
      <c r="L34" s="88" t="str">
        <f>VLOOKUP(I34,[6]stage_hints!$A:$D,4,FALSE)</f>
        <v>一定ランクに到達すると_x000D_報酬付きのランク開放クエストが現れます</v>
      </c>
      <c r="M34" s="51" t="s">
        <v>210</v>
      </c>
    </row>
    <row r="35" spans="1:13" x14ac:dyDescent="0.15">
      <c r="A35" s="75" t="s">
        <v>200</v>
      </c>
      <c r="B35" s="76">
        <f>floors!$C$2</f>
        <v>39003</v>
      </c>
      <c r="C35" s="77" t="str">
        <f ca="1">VLOOKUP($B35,OFFSET([2]quests!$A$1,0,0,COUNTA([2]quests!$A:$A),MATCH(C$1,[2]quests!$1:$1,0)-MATCH($B$1,[2]quests!$1:$1,0)+1),MATCH(C$1,[2]quests!$1:$1,0)-MATCH($B$1,[2]quests!$1:$1,0)+1,FALSE)</f>
        <v>ブルースクウェアを追え！</v>
      </c>
      <c r="D35" s="77" t="str">
        <f ca="1">VLOOKUP($B35,OFFSET([2]quests!$A$1,0,0,COUNTA([2]quests!$A:$A),MATCH(D$1,[2]quests!$1:$1,0)-MATCH($B$1,[2]quests!$1:$1,0)+1),MATCH(D$1,[2]quests!$1:$1,0)-MATCH($B$1,[2]quests!$1:$1,0)+1,FALSE)</f>
        <v>コラボクエスト</v>
      </c>
      <c r="E35" s="81">
        <v>2</v>
      </c>
      <c r="F35" s="77" t="str">
        <f ca="1">VLOOKUP($B35&amp;"_"&amp;$E35,OFFSET([2]stages!$A$1,0,0,COUNTA([2]stages!$A:$A),MATCH(F$1,[2]stages!$2:$2,0)-MATCH("temp_stage",[2]stages!$2:$2,0)+1),MATCH(F$1,[2]stages!$2:$2,0)-MATCH("temp_stage",[2]stages!$2:$2,0)+1,FALSE)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35" s="77" t="str">
        <f ca="1">VLOOKUP($B35&amp;"_"&amp;$E35,OFFSET([2]stages!$A$1,0,0,COUNTA([2]stages!$A:$A),MATCH(G$1,[2]stages!$2:$2,0)-MATCH("temp_stage",[2]stages!$2:$2,0)+1),MATCH(G$1,[2]stages!$2:$2,0)-MATCH("temp_stage",[2]stages!$2:$2,0)+1,FALSE)</f>
        <v>コラボクエスト</v>
      </c>
      <c r="H35" s="79">
        <v>0</v>
      </c>
      <c r="I35">
        <v>12</v>
      </c>
      <c r="J35" s="78" t="s">
        <v>197</v>
      </c>
      <c r="K35" s="87" t="str">
        <f>VLOOKUP(I35,[6]stage_hints!$A:$C,3,FALSE)</f>
        <v>ユニットのお気に入り登録</v>
      </c>
      <c r="L35" s="88" t="str">
        <f>VLOOKUP(I35,[6]stage_hints!$A:$D,4,FALSE)</f>
        <v>大事なユニットを誤って消さないように_x000D_フォルダから「お気に入り登録」しましょう</v>
      </c>
      <c r="M35" s="51" t="s">
        <v>210</v>
      </c>
    </row>
    <row r="36" spans="1:13" x14ac:dyDescent="0.15">
      <c r="A36" s="75" t="s">
        <v>200</v>
      </c>
      <c r="B36" s="76">
        <f>floors!$C$2</f>
        <v>39003</v>
      </c>
      <c r="C36" s="77" t="str">
        <f ca="1">VLOOKUP($B36,OFFSET([2]quests!$A$1,0,0,COUNTA([2]quests!$A:$A),MATCH(C$1,[2]quests!$1:$1,0)-MATCH($B$1,[2]quests!$1:$1,0)+1),MATCH(C$1,[2]quests!$1:$1,0)-MATCH($B$1,[2]quests!$1:$1,0)+1,FALSE)</f>
        <v>ブルースクウェアを追え！</v>
      </c>
      <c r="D36" s="77" t="str">
        <f ca="1">VLOOKUP($B36,OFFSET([2]quests!$A$1,0,0,COUNTA([2]quests!$A:$A),MATCH(D$1,[2]quests!$1:$1,0)-MATCH($B$1,[2]quests!$1:$1,0)+1),MATCH(D$1,[2]quests!$1:$1,0)-MATCH($B$1,[2]quests!$1:$1,0)+1,FALSE)</f>
        <v>コラボクエスト</v>
      </c>
      <c r="E36" s="81">
        <v>2</v>
      </c>
      <c r="F36" s="77" t="str">
        <f ca="1">VLOOKUP($B36&amp;"_"&amp;$E36,OFFSET([2]stages!$A$1,0,0,COUNTA([2]stages!$A:$A),MATCH(F$1,[2]stages!$2:$2,0)-MATCH("temp_stage",[2]stages!$2:$2,0)+1),MATCH(F$1,[2]stages!$2:$2,0)-MATCH("temp_stage",[2]stages!$2:$2,0)+1,FALSE)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36" s="77" t="str">
        <f ca="1">VLOOKUP($B36&amp;"_"&amp;$E36,OFFSET([2]stages!$A$1,0,0,COUNTA([2]stages!$A:$A),MATCH(G$1,[2]stages!$2:$2,0)-MATCH("temp_stage",[2]stages!$2:$2,0)+1),MATCH(G$1,[2]stages!$2:$2,0)-MATCH("temp_stage",[2]stages!$2:$2,0)+1,FALSE)</f>
        <v>コラボクエスト</v>
      </c>
      <c r="H36" s="79">
        <v>0</v>
      </c>
      <c r="I36">
        <v>13</v>
      </c>
      <c r="J36" s="78" t="s">
        <v>197</v>
      </c>
      <c r="K36" s="87" t="str">
        <f>VLOOKUP(I36,[6]stage_hints!$A:$C,3,FALSE)</f>
        <v>ユニットの覚醒</v>
      </c>
      <c r="L36" s="88" t="str">
        <f>VLOOKUP(I36,[6]stage_hints!$A:$D,4,FALSE)</f>
        <v>ユニットを覚醒させると_x000D_比べものにならない強さが手に入ります</v>
      </c>
      <c r="M36" s="51" t="s">
        <v>210</v>
      </c>
    </row>
    <row r="37" spans="1:13" x14ac:dyDescent="0.15">
      <c r="A37" s="75" t="s">
        <v>200</v>
      </c>
      <c r="B37" s="76">
        <f>floors!$C$2</f>
        <v>39003</v>
      </c>
      <c r="C37" s="77" t="str">
        <f ca="1">VLOOKUP($B37,OFFSET([2]quests!$A$1,0,0,COUNTA([2]quests!$A:$A),MATCH(C$1,[2]quests!$1:$1,0)-MATCH($B$1,[2]quests!$1:$1,0)+1),MATCH(C$1,[2]quests!$1:$1,0)-MATCH($B$1,[2]quests!$1:$1,0)+1,FALSE)</f>
        <v>ブルースクウェアを追え！</v>
      </c>
      <c r="D37" s="77" t="str">
        <f ca="1">VLOOKUP($B37,OFFSET([2]quests!$A$1,0,0,COUNTA([2]quests!$A:$A),MATCH(D$1,[2]quests!$1:$1,0)-MATCH($B$1,[2]quests!$1:$1,0)+1),MATCH(D$1,[2]quests!$1:$1,0)-MATCH($B$1,[2]quests!$1:$1,0)+1,FALSE)</f>
        <v>コラボクエスト</v>
      </c>
      <c r="E37" s="81">
        <v>2</v>
      </c>
      <c r="F37" s="77" t="str">
        <f ca="1">VLOOKUP($B37&amp;"_"&amp;$E37,OFFSET([2]stages!$A$1,0,0,COUNTA([2]stages!$A:$A),MATCH(F$1,[2]stages!$2:$2,0)-MATCH("temp_stage",[2]stages!$2:$2,0)+1),MATCH(F$1,[2]stages!$2:$2,0)-MATCH("temp_stage",[2]stages!$2:$2,0)+1,FALSE)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37" s="77" t="str">
        <f ca="1">VLOOKUP($B37&amp;"_"&amp;$E37,OFFSET([2]stages!$A$1,0,0,COUNTA([2]stages!$A:$A),MATCH(G$1,[2]stages!$2:$2,0)-MATCH("temp_stage",[2]stages!$2:$2,0)+1),MATCH(G$1,[2]stages!$2:$2,0)-MATCH("temp_stage",[2]stages!$2:$2,0)+1,FALSE)</f>
        <v>コラボクエスト</v>
      </c>
      <c r="H37" s="79">
        <v>0</v>
      </c>
      <c r="I37">
        <v>14</v>
      </c>
      <c r="J37" s="78" t="s">
        <v>197</v>
      </c>
      <c r="K37" s="87" t="str">
        <f>VLOOKUP(I37,[6]stage_hints!$A:$C,3,FALSE)</f>
        <v>覚醒するにはレベルを最大に</v>
      </c>
      <c r="L37" s="88" t="str">
        <f>VLOOKUP(I37,[6]stage_hints!$A:$D,4,FALSE)</f>
        <v>覚醒するにはユニットのレベルを_x000D_最大まで上げる必要があります</v>
      </c>
      <c r="M37" s="51" t="s">
        <v>210</v>
      </c>
    </row>
    <row r="38" spans="1:13" x14ac:dyDescent="0.15">
      <c r="A38" s="75" t="s">
        <v>200</v>
      </c>
      <c r="B38" s="76">
        <f>floors!$C$2</f>
        <v>39003</v>
      </c>
      <c r="C38" s="77" t="str">
        <f ca="1">VLOOKUP($B38,OFFSET([2]quests!$A$1,0,0,COUNTA([2]quests!$A:$A),MATCH(C$1,[2]quests!$1:$1,0)-MATCH($B$1,[2]quests!$1:$1,0)+1),MATCH(C$1,[2]quests!$1:$1,0)-MATCH($B$1,[2]quests!$1:$1,0)+1,FALSE)</f>
        <v>ブルースクウェアを追え！</v>
      </c>
      <c r="D38" s="77" t="str">
        <f ca="1">VLOOKUP($B38,OFFSET([2]quests!$A$1,0,0,COUNTA([2]quests!$A:$A),MATCH(D$1,[2]quests!$1:$1,0)-MATCH($B$1,[2]quests!$1:$1,0)+1),MATCH(D$1,[2]quests!$1:$1,0)-MATCH($B$1,[2]quests!$1:$1,0)+1,FALSE)</f>
        <v>コラボクエスト</v>
      </c>
      <c r="E38" s="81">
        <v>2</v>
      </c>
      <c r="F38" s="77" t="str">
        <f ca="1">VLOOKUP($B38&amp;"_"&amp;$E38,OFFSET([2]stages!$A$1,0,0,COUNTA([2]stages!$A:$A),MATCH(F$1,[2]stages!$2:$2,0)-MATCH("temp_stage",[2]stages!$2:$2,0)+1),MATCH(F$1,[2]stages!$2:$2,0)-MATCH("temp_stage",[2]stages!$2:$2,0)+1,FALSE)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38" s="77" t="str">
        <f ca="1">VLOOKUP($B38&amp;"_"&amp;$E38,OFFSET([2]stages!$A$1,0,0,COUNTA([2]stages!$A:$A),MATCH(G$1,[2]stages!$2:$2,0)-MATCH("temp_stage",[2]stages!$2:$2,0)+1),MATCH(G$1,[2]stages!$2:$2,0)-MATCH("temp_stage",[2]stages!$2:$2,0)+1,FALSE)</f>
        <v>コラボクエスト</v>
      </c>
      <c r="H38" s="79">
        <v>0</v>
      </c>
      <c r="I38">
        <v>15</v>
      </c>
      <c r="J38" s="78" t="s">
        <v>197</v>
      </c>
      <c r="K38" s="87" t="str">
        <f>VLOOKUP(I38,[6]stage_hints!$A:$C,3,FALSE)</f>
        <v>覚醒素材を獲得</v>
      </c>
      <c r="L38" s="88" t="str">
        <f>VLOOKUP(I38,[6]stage_hints!$A:$D,4,FALSE)</f>
        <v>「曜日クエスト」では_x000D_ユニットの覚醒に必要な素材が手に入ります</v>
      </c>
      <c r="M38" s="51" t="s">
        <v>210</v>
      </c>
    </row>
    <row r="39" spans="1:13" x14ac:dyDescent="0.15">
      <c r="A39" s="75" t="s">
        <v>200</v>
      </c>
      <c r="B39" s="76">
        <f>floors!$C$2</f>
        <v>39003</v>
      </c>
      <c r="C39" s="77" t="str">
        <f ca="1">VLOOKUP($B39,OFFSET([2]quests!$A$1,0,0,COUNTA([2]quests!$A:$A),MATCH(C$1,[2]quests!$1:$1,0)-MATCH($B$1,[2]quests!$1:$1,0)+1),MATCH(C$1,[2]quests!$1:$1,0)-MATCH($B$1,[2]quests!$1:$1,0)+1,FALSE)</f>
        <v>ブルースクウェアを追え！</v>
      </c>
      <c r="D39" s="77" t="str">
        <f ca="1">VLOOKUP($B39,OFFSET([2]quests!$A$1,0,0,COUNTA([2]quests!$A:$A),MATCH(D$1,[2]quests!$1:$1,0)-MATCH($B$1,[2]quests!$1:$1,0)+1),MATCH(D$1,[2]quests!$1:$1,0)-MATCH($B$1,[2]quests!$1:$1,0)+1,FALSE)</f>
        <v>コラボクエスト</v>
      </c>
      <c r="E39" s="81">
        <v>2</v>
      </c>
      <c r="F39" s="77" t="str">
        <f ca="1">VLOOKUP($B39&amp;"_"&amp;$E39,OFFSET([2]stages!$A$1,0,0,COUNTA([2]stages!$A:$A),MATCH(F$1,[2]stages!$2:$2,0)-MATCH("temp_stage",[2]stages!$2:$2,0)+1),MATCH(F$1,[2]stages!$2:$2,0)-MATCH("temp_stage",[2]stages!$2:$2,0)+1,FALSE)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39" s="77" t="str">
        <f ca="1">VLOOKUP($B39&amp;"_"&amp;$E39,OFFSET([2]stages!$A$1,0,0,COUNTA([2]stages!$A:$A),MATCH(G$1,[2]stages!$2:$2,0)-MATCH("temp_stage",[2]stages!$2:$2,0)+1),MATCH(G$1,[2]stages!$2:$2,0)-MATCH("temp_stage",[2]stages!$2:$2,0)+1,FALSE)</f>
        <v>コラボクエスト</v>
      </c>
      <c r="H39" s="79">
        <v>0</v>
      </c>
      <c r="I39">
        <v>16</v>
      </c>
      <c r="J39" s="78" t="s">
        <v>197</v>
      </c>
      <c r="K39" s="87" t="str">
        <f>VLOOKUP(I39,[6]stage_hints!$A:$C,3,FALSE)</f>
        <v>マルチプレイのメリット（その1）</v>
      </c>
      <c r="L39" s="88" t="str">
        <f>VLOOKUP(I39,[6]stage_hints!$A:$D,4,FALSE)</f>
        <v>他のプレイヤーとマルチプレイで遊ぶと_x000D_ポリゴンがもらえます（100人まで）</v>
      </c>
      <c r="M39" s="51" t="s">
        <v>210</v>
      </c>
    </row>
    <row r="40" spans="1:13" x14ac:dyDescent="0.15">
      <c r="A40" s="75" t="s">
        <v>200</v>
      </c>
      <c r="B40" s="76">
        <f>floors!$C$2</f>
        <v>39003</v>
      </c>
      <c r="C40" s="77" t="str">
        <f ca="1">VLOOKUP($B40,OFFSET([2]quests!$A$1,0,0,COUNTA([2]quests!$A:$A),MATCH(C$1,[2]quests!$1:$1,0)-MATCH($B$1,[2]quests!$1:$1,0)+1),MATCH(C$1,[2]quests!$1:$1,0)-MATCH($B$1,[2]quests!$1:$1,0)+1,FALSE)</f>
        <v>ブルースクウェアを追え！</v>
      </c>
      <c r="D40" s="77" t="str">
        <f ca="1">VLOOKUP($B40,OFFSET([2]quests!$A$1,0,0,COUNTA([2]quests!$A:$A),MATCH(D$1,[2]quests!$1:$1,0)-MATCH($B$1,[2]quests!$1:$1,0)+1),MATCH(D$1,[2]quests!$1:$1,0)-MATCH($B$1,[2]quests!$1:$1,0)+1,FALSE)</f>
        <v>コラボクエスト</v>
      </c>
      <c r="E40" s="81">
        <v>2</v>
      </c>
      <c r="F40" s="77" t="str">
        <f ca="1">VLOOKUP($B40&amp;"_"&amp;$E40,OFFSET([2]stages!$A$1,0,0,COUNTA([2]stages!$A:$A),MATCH(F$1,[2]stages!$2:$2,0)-MATCH("temp_stage",[2]stages!$2:$2,0)+1),MATCH(F$1,[2]stages!$2:$2,0)-MATCH("temp_stage",[2]stages!$2:$2,0)+1,FALSE)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40" s="77" t="str">
        <f ca="1">VLOOKUP($B40&amp;"_"&amp;$E40,OFFSET([2]stages!$A$1,0,0,COUNTA([2]stages!$A:$A),MATCH(G$1,[2]stages!$2:$2,0)-MATCH("temp_stage",[2]stages!$2:$2,0)+1),MATCH(G$1,[2]stages!$2:$2,0)-MATCH("temp_stage",[2]stages!$2:$2,0)+1,FALSE)</f>
        <v>コラボクエスト</v>
      </c>
      <c r="H40" s="79">
        <v>0</v>
      </c>
      <c r="I40">
        <v>17</v>
      </c>
      <c r="J40" s="78" t="s">
        <v>197</v>
      </c>
      <c r="K40" s="87" t="str">
        <f>VLOOKUP(I40,[6]stage_hints!$A:$C,3,FALSE)</f>
        <v>リンクガチャ</v>
      </c>
      <c r="L40" s="88" t="str">
        <f>VLOOKUP(I40,[6]stage_hints!$A:$D,4,FALSE)</f>
        <v>無料のリンクガチャを回して_x000D_経験値素材や売却素材を獲得しましょう</v>
      </c>
      <c r="M40" s="51" t="s">
        <v>210</v>
      </c>
    </row>
    <row r="41" spans="1:13" x14ac:dyDescent="0.15">
      <c r="A41" s="75" t="s">
        <v>200</v>
      </c>
      <c r="B41" s="76">
        <f>floors!$C$2</f>
        <v>39003</v>
      </c>
      <c r="C41" s="77" t="str">
        <f ca="1">VLOOKUP($B41,OFFSET([2]quests!$A$1,0,0,COUNTA([2]quests!$A:$A),MATCH(C$1,[2]quests!$1:$1,0)-MATCH($B$1,[2]quests!$1:$1,0)+1),MATCH(C$1,[2]quests!$1:$1,0)-MATCH($B$1,[2]quests!$1:$1,0)+1,FALSE)</f>
        <v>ブルースクウェアを追え！</v>
      </c>
      <c r="D41" s="77" t="str">
        <f ca="1">VLOOKUP($B41,OFFSET([2]quests!$A$1,0,0,COUNTA([2]quests!$A:$A),MATCH(D$1,[2]quests!$1:$1,0)-MATCH($B$1,[2]quests!$1:$1,0)+1),MATCH(D$1,[2]quests!$1:$1,0)-MATCH($B$1,[2]quests!$1:$1,0)+1,FALSE)</f>
        <v>コラボクエスト</v>
      </c>
      <c r="E41" s="81">
        <v>2</v>
      </c>
      <c r="F41" s="77" t="str">
        <f ca="1">VLOOKUP($B41&amp;"_"&amp;$E41,OFFSET([2]stages!$A$1,0,0,COUNTA([2]stages!$A:$A),MATCH(F$1,[2]stages!$2:$2,0)-MATCH("temp_stage",[2]stages!$2:$2,0)+1),MATCH(F$1,[2]stages!$2:$2,0)-MATCH("temp_stage",[2]stages!$2:$2,0)+1,FALSE)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41" s="77" t="str">
        <f ca="1">VLOOKUP($B41&amp;"_"&amp;$E41,OFFSET([2]stages!$A$1,0,0,COUNTA([2]stages!$A:$A),MATCH(G$1,[2]stages!$2:$2,0)-MATCH("temp_stage",[2]stages!$2:$2,0)+1),MATCH(G$1,[2]stages!$2:$2,0)-MATCH("temp_stage",[2]stages!$2:$2,0)+1,FALSE)</f>
        <v>コラボクエスト</v>
      </c>
      <c r="H41" s="79">
        <v>0</v>
      </c>
      <c r="I41">
        <v>18</v>
      </c>
      <c r="J41" s="78" t="s">
        <v>197</v>
      </c>
      <c r="K41" s="87" t="str">
        <f>VLOOKUP(I41,[6]stage_hints!$A:$C,3,FALSE)</f>
        <v>マルチプレイのメリット（その2）</v>
      </c>
      <c r="L41" s="88" t="str">
        <f>VLOOKUP(I41,[6]stage_hints!$A:$D,4,FALSE)</f>
        <v>マルチプレイならリンクが2倍もらえます_x000D_リンクガチャをたくさん回しましょう</v>
      </c>
      <c r="M41" s="51" t="s">
        <v>210</v>
      </c>
    </row>
    <row r="42" spans="1:13" x14ac:dyDescent="0.15">
      <c r="A42" s="75" t="s">
        <v>200</v>
      </c>
      <c r="B42" s="76">
        <f>floors!$C$2</f>
        <v>39003</v>
      </c>
      <c r="C42" s="77" t="str">
        <f ca="1">VLOOKUP($B42,OFFSET([2]quests!$A$1,0,0,COUNTA([2]quests!$A:$A),MATCH(C$1,[2]quests!$1:$1,0)-MATCH($B$1,[2]quests!$1:$1,0)+1),MATCH(C$1,[2]quests!$1:$1,0)-MATCH($B$1,[2]quests!$1:$1,0)+1,FALSE)</f>
        <v>ブルースクウェアを追え！</v>
      </c>
      <c r="D42" s="77" t="str">
        <f ca="1">VLOOKUP($B42,OFFSET([2]quests!$A$1,0,0,COUNTA([2]quests!$A:$A),MATCH(D$1,[2]quests!$1:$1,0)-MATCH($B$1,[2]quests!$1:$1,0)+1),MATCH(D$1,[2]quests!$1:$1,0)-MATCH($B$1,[2]quests!$1:$1,0)+1,FALSE)</f>
        <v>コラボクエスト</v>
      </c>
      <c r="E42" s="81">
        <v>2</v>
      </c>
      <c r="F42" s="77" t="str">
        <f ca="1">VLOOKUP($B42&amp;"_"&amp;$E42,OFFSET([2]stages!$A$1,0,0,COUNTA([2]stages!$A:$A),MATCH(F$1,[2]stages!$2:$2,0)-MATCH("temp_stage",[2]stages!$2:$2,0)+1),MATCH(F$1,[2]stages!$2:$2,0)-MATCH("temp_stage",[2]stages!$2:$2,0)+1,FALSE)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42" s="77" t="str">
        <f ca="1">VLOOKUP($B42&amp;"_"&amp;$E42,OFFSET([2]stages!$A$1,0,0,COUNTA([2]stages!$A:$A),MATCH(G$1,[2]stages!$2:$2,0)-MATCH("temp_stage",[2]stages!$2:$2,0)+1),MATCH(G$1,[2]stages!$2:$2,0)-MATCH("temp_stage",[2]stages!$2:$2,0)+1,FALSE)</f>
        <v>コラボクエスト</v>
      </c>
      <c r="H42" s="79">
        <v>0</v>
      </c>
      <c r="I42">
        <v>19</v>
      </c>
      <c r="J42" s="78" t="s">
        <v>197</v>
      </c>
      <c r="K42" s="87" t="str">
        <f>VLOOKUP(I42,[6]stage_hints!$A:$C,3,FALSE)</f>
        <v>ソロ専用チャレンジタワー</v>
      </c>
      <c r="L42" s="88" t="str">
        <f>VLOOKUP(I42,[6]stage_hints!$A:$D,4,FALSE)</f>
        <v>ソロ専用の「チャレンジタワー」では_x000D_各フロアごとにクリア報酬がもらえます</v>
      </c>
      <c r="M42" s="51" t="s">
        <v>210</v>
      </c>
    </row>
    <row r="43" spans="1:13" x14ac:dyDescent="0.15">
      <c r="A43" s="75" t="s">
        <v>200</v>
      </c>
      <c r="B43" s="76">
        <f>floors!$C$2</f>
        <v>39003</v>
      </c>
      <c r="C43" s="77" t="str">
        <f ca="1">VLOOKUP($B43,OFFSET([2]quests!$A$1,0,0,COUNTA([2]quests!$A:$A),MATCH(C$1,[2]quests!$1:$1,0)-MATCH($B$1,[2]quests!$1:$1,0)+1),MATCH(C$1,[2]quests!$1:$1,0)-MATCH($B$1,[2]quests!$1:$1,0)+1,FALSE)</f>
        <v>ブルースクウェアを追え！</v>
      </c>
      <c r="D43" s="77" t="str">
        <f ca="1">VLOOKUP($B43,OFFSET([2]quests!$A$1,0,0,COUNTA([2]quests!$A:$A),MATCH(D$1,[2]quests!$1:$1,0)-MATCH($B$1,[2]quests!$1:$1,0)+1),MATCH(D$1,[2]quests!$1:$1,0)-MATCH($B$1,[2]quests!$1:$1,0)+1,FALSE)</f>
        <v>コラボクエスト</v>
      </c>
      <c r="E43" s="81">
        <v>2</v>
      </c>
      <c r="F43" s="77" t="str">
        <f ca="1">VLOOKUP($B43&amp;"_"&amp;$E43,OFFSET([2]stages!$A$1,0,0,COUNTA([2]stages!$A:$A),MATCH(F$1,[2]stages!$2:$2,0)-MATCH("temp_stage",[2]stages!$2:$2,0)+1),MATCH(F$1,[2]stages!$2:$2,0)-MATCH("temp_stage",[2]stages!$2:$2,0)+1,FALSE)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43" s="77" t="str">
        <f ca="1">VLOOKUP($B43&amp;"_"&amp;$E43,OFFSET([2]stages!$A$1,0,0,COUNTA([2]stages!$A:$A),MATCH(G$1,[2]stages!$2:$2,0)-MATCH("temp_stage",[2]stages!$2:$2,0)+1),MATCH(G$1,[2]stages!$2:$2,0)-MATCH("temp_stage",[2]stages!$2:$2,0)+1,FALSE)</f>
        <v>コラボクエスト</v>
      </c>
      <c r="H43" s="79">
        <v>0</v>
      </c>
      <c r="I43">
        <v>20</v>
      </c>
      <c r="J43" s="78" t="s">
        <v>197</v>
      </c>
      <c r="K43" s="87" t="str">
        <f>VLOOKUP(I43,[6]stage_hints!$A:$C,3,FALSE)</f>
        <v>マルチプレイのメリット（その3）</v>
      </c>
      <c r="L43" s="88" t="str">
        <f>VLOOKUP(I43,[6]stage_hints!$A:$D,4,FALSE)</f>
        <v>マルチプレイへの参加はエナジー消費ゼロ_x000D_いつでも好きなだけ遊ぶことができます</v>
      </c>
      <c r="M43" s="51" t="s">
        <v>210</v>
      </c>
    </row>
    <row r="44" spans="1:13" x14ac:dyDescent="0.15">
      <c r="A44" s="75" t="s">
        <v>200</v>
      </c>
      <c r="B44" s="76">
        <f>floors!$C$2</f>
        <v>39003</v>
      </c>
      <c r="C44" s="77" t="str">
        <f ca="1">VLOOKUP($B44,OFFSET([2]quests!$A$1,0,0,COUNTA([2]quests!$A:$A),MATCH(C$1,[2]quests!$1:$1,0)-MATCH($B$1,[2]quests!$1:$1,0)+1),MATCH(C$1,[2]quests!$1:$1,0)-MATCH($B$1,[2]quests!$1:$1,0)+1,FALSE)</f>
        <v>ブルースクウェアを追え！</v>
      </c>
      <c r="D44" s="77" t="str">
        <f ca="1">VLOOKUP($B44,OFFSET([2]quests!$A$1,0,0,COUNTA([2]quests!$A:$A),MATCH(D$1,[2]quests!$1:$1,0)-MATCH($B$1,[2]quests!$1:$1,0)+1),MATCH(D$1,[2]quests!$1:$1,0)-MATCH($B$1,[2]quests!$1:$1,0)+1,FALSE)</f>
        <v>コラボクエスト</v>
      </c>
      <c r="E44" s="81">
        <v>2</v>
      </c>
      <c r="F44" s="77" t="str">
        <f ca="1">VLOOKUP($B44&amp;"_"&amp;$E44,OFFSET([2]stages!$A$1,0,0,COUNTA([2]stages!$A:$A),MATCH(F$1,[2]stages!$2:$2,0)-MATCH("temp_stage",[2]stages!$2:$2,0)+1),MATCH(F$1,[2]stages!$2:$2,0)-MATCH("temp_stage",[2]stages!$2:$2,0)+1,FALSE)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44" s="77" t="str">
        <f ca="1">VLOOKUP($B44&amp;"_"&amp;$E44,OFFSET([2]stages!$A$1,0,0,COUNTA([2]stages!$A:$A),MATCH(G$1,[2]stages!$2:$2,0)-MATCH("temp_stage",[2]stages!$2:$2,0)+1),MATCH(G$1,[2]stages!$2:$2,0)-MATCH("temp_stage",[2]stages!$2:$2,0)+1,FALSE)</f>
        <v>コラボクエスト</v>
      </c>
      <c r="H44" s="79">
        <v>0</v>
      </c>
      <c r="I44">
        <v>21</v>
      </c>
      <c r="J44" s="78" t="s">
        <v>197</v>
      </c>
      <c r="K44" s="87" t="str">
        <f>VLOOKUP(I44,[6]stage_hints!$A:$C,3,FALSE)</f>
        <v>スキルを有効に</v>
      </c>
      <c r="L44" s="88" t="str">
        <f>VLOOKUP(I44,[6]stage_hints!$A:$D,4,FALSE)</f>
        <v>ターン経過でユニットのスキルが使えます_x000D_強力スキルでバトルを有利に進めましょう</v>
      </c>
      <c r="M44" s="51" t="s">
        <v>210</v>
      </c>
    </row>
    <row r="45" spans="1:13" x14ac:dyDescent="0.15">
      <c r="A45" s="75" t="s">
        <v>200</v>
      </c>
      <c r="B45" s="76">
        <f>floors!$C$2</f>
        <v>39003</v>
      </c>
      <c r="C45" s="77" t="str">
        <f ca="1">VLOOKUP($B45,OFFSET([2]quests!$A$1,0,0,COUNTA([2]quests!$A:$A),MATCH(C$1,[2]quests!$1:$1,0)-MATCH($B$1,[2]quests!$1:$1,0)+1),MATCH(C$1,[2]quests!$1:$1,0)-MATCH($B$1,[2]quests!$1:$1,0)+1,FALSE)</f>
        <v>ブルースクウェアを追え！</v>
      </c>
      <c r="D45" s="77" t="str">
        <f ca="1">VLOOKUP($B45,OFFSET([2]quests!$A$1,0,0,COUNTA([2]quests!$A:$A),MATCH(D$1,[2]quests!$1:$1,0)-MATCH($B$1,[2]quests!$1:$1,0)+1),MATCH(D$1,[2]quests!$1:$1,0)-MATCH($B$1,[2]quests!$1:$1,0)+1,FALSE)</f>
        <v>コラボクエスト</v>
      </c>
      <c r="E45" s="81">
        <v>2</v>
      </c>
      <c r="F45" s="77" t="str">
        <f ca="1">VLOOKUP($B45&amp;"_"&amp;$E45,OFFSET([2]stages!$A$1,0,0,COUNTA([2]stages!$A:$A),MATCH(F$1,[2]stages!$2:$2,0)-MATCH("temp_stage",[2]stages!$2:$2,0)+1),MATCH(F$1,[2]stages!$2:$2,0)-MATCH("temp_stage",[2]stages!$2:$2,0)+1,FALSE)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45" s="77" t="str">
        <f ca="1">VLOOKUP($B45&amp;"_"&amp;$E45,OFFSET([2]stages!$A$1,0,0,COUNTA([2]stages!$A:$A),MATCH(G$1,[2]stages!$2:$2,0)-MATCH("temp_stage",[2]stages!$2:$2,0)+1),MATCH(G$1,[2]stages!$2:$2,0)-MATCH("temp_stage",[2]stages!$2:$2,0)+1,FALSE)</f>
        <v>コラボクエスト</v>
      </c>
      <c r="H45" s="79">
        <v>0</v>
      </c>
      <c r="I45">
        <v>22</v>
      </c>
      <c r="J45" s="78" t="s">
        <v>197</v>
      </c>
      <c r="K45" s="87" t="str">
        <f>VLOOKUP(I45,[6]stage_hints!$A:$C,3,FALSE)</f>
        <v>フィーバーで一発逆転（その1）</v>
      </c>
      <c r="L45" s="88" t="str">
        <f>VLOOKUP(I45,[6]stage_hints!$A:$D,4,FALSE)</f>
        <v>フィーバーは攻撃と回復を兼ね備えます_x000D_ピンチからの一発逆転を狙いましょう</v>
      </c>
      <c r="M45" s="51" t="s">
        <v>210</v>
      </c>
    </row>
    <row r="46" spans="1:13" x14ac:dyDescent="0.15">
      <c r="A46" s="75" t="s">
        <v>200</v>
      </c>
      <c r="B46" s="76">
        <f>floors!$C$2</f>
        <v>39003</v>
      </c>
      <c r="C46" s="77" t="str">
        <f ca="1">VLOOKUP($B46,OFFSET([2]quests!$A$1,0,0,COUNTA([2]quests!$A:$A),MATCH(C$1,[2]quests!$1:$1,0)-MATCH($B$1,[2]quests!$1:$1,0)+1),MATCH(C$1,[2]quests!$1:$1,0)-MATCH($B$1,[2]quests!$1:$1,0)+1,FALSE)</f>
        <v>ブルースクウェアを追え！</v>
      </c>
      <c r="D46" s="77" t="str">
        <f ca="1">VLOOKUP($B46,OFFSET([2]quests!$A$1,0,0,COUNTA([2]quests!$A:$A),MATCH(D$1,[2]quests!$1:$1,0)-MATCH($B$1,[2]quests!$1:$1,0)+1),MATCH(D$1,[2]quests!$1:$1,0)-MATCH($B$1,[2]quests!$1:$1,0)+1,FALSE)</f>
        <v>コラボクエスト</v>
      </c>
      <c r="E46" s="81">
        <v>2</v>
      </c>
      <c r="F46" s="77" t="str">
        <f ca="1">VLOOKUP($B46&amp;"_"&amp;$E46,OFFSET([2]stages!$A$1,0,0,COUNTA([2]stages!$A:$A),MATCH(F$1,[2]stages!$2:$2,0)-MATCH("temp_stage",[2]stages!$2:$2,0)+1),MATCH(F$1,[2]stages!$2:$2,0)-MATCH("temp_stage",[2]stages!$2:$2,0)+1,FALSE)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46" s="77" t="str">
        <f ca="1">VLOOKUP($B46&amp;"_"&amp;$E46,OFFSET([2]stages!$A$1,0,0,COUNTA([2]stages!$A:$A),MATCH(G$1,[2]stages!$2:$2,0)-MATCH("temp_stage",[2]stages!$2:$2,0)+1),MATCH(G$1,[2]stages!$2:$2,0)-MATCH("temp_stage",[2]stages!$2:$2,0)+1,FALSE)</f>
        <v>コラボクエスト</v>
      </c>
      <c r="H46" s="79">
        <v>0</v>
      </c>
      <c r="I46">
        <v>23</v>
      </c>
      <c r="J46" s="78" t="s">
        <v>197</v>
      </c>
      <c r="K46" s="87" t="str">
        <f>VLOOKUP(I46,[6]stage_hints!$A:$C,3,FALSE)</f>
        <v>フィーバーで一発逆転（その2）</v>
      </c>
      <c r="L46" s="88" t="str">
        <f>VLOOKUP(I46,[6]stage_hints!$A:$D,4,FALSE)</f>
        <v>フィーバー中は虹色のボムパネルを狙って_x000D_画面上のパネルを一気に破壊しましょう</v>
      </c>
      <c r="M46" s="51" t="s">
        <v>210</v>
      </c>
    </row>
    <row r="47" spans="1:13" x14ac:dyDescent="0.15">
      <c r="A47" s="75" t="s">
        <v>200</v>
      </c>
      <c r="B47" s="76">
        <f>floors!$C$2</f>
        <v>39003</v>
      </c>
      <c r="C47" s="77" t="str">
        <f ca="1">VLOOKUP($B47,OFFSET([2]quests!$A$1,0,0,COUNTA([2]quests!$A:$A),MATCH(C$1,[2]quests!$1:$1,0)-MATCH($B$1,[2]quests!$1:$1,0)+1),MATCH(C$1,[2]quests!$1:$1,0)-MATCH($B$1,[2]quests!$1:$1,0)+1,FALSE)</f>
        <v>ブルースクウェアを追え！</v>
      </c>
      <c r="D47" s="77" t="str">
        <f ca="1">VLOOKUP($B47,OFFSET([2]quests!$A$1,0,0,COUNTA([2]quests!$A:$A),MATCH(D$1,[2]quests!$1:$1,0)-MATCH($B$1,[2]quests!$1:$1,0)+1),MATCH(D$1,[2]quests!$1:$1,0)-MATCH($B$1,[2]quests!$1:$1,0)+1,FALSE)</f>
        <v>コラボクエスト</v>
      </c>
      <c r="E47" s="81">
        <v>2</v>
      </c>
      <c r="F47" s="77" t="str">
        <f ca="1">VLOOKUP($B47&amp;"_"&amp;$E47,OFFSET([2]stages!$A$1,0,0,COUNTA([2]stages!$A:$A),MATCH(F$1,[2]stages!$2:$2,0)-MATCH("temp_stage",[2]stages!$2:$2,0)+1),MATCH(F$1,[2]stages!$2:$2,0)-MATCH("temp_stage",[2]stages!$2:$2,0)+1,FALSE)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47" s="77" t="str">
        <f ca="1">VLOOKUP($B47&amp;"_"&amp;$E47,OFFSET([2]stages!$A$1,0,0,COUNTA([2]stages!$A:$A),MATCH(G$1,[2]stages!$2:$2,0)-MATCH("temp_stage",[2]stages!$2:$2,0)+1),MATCH(G$1,[2]stages!$2:$2,0)-MATCH("temp_stage",[2]stages!$2:$2,0)+1,FALSE)</f>
        <v>コラボクエスト</v>
      </c>
      <c r="H47" s="79">
        <v>0</v>
      </c>
      <c r="I47">
        <v>24</v>
      </c>
      <c r="J47" s="78" t="s">
        <v>197</v>
      </c>
      <c r="K47" s="87" t="str">
        <f>VLOOKUP(I47,[6]stage_hints!$A:$C,3,FALSE)</f>
        <v>りんごを使って限界突破</v>
      </c>
      <c r="L47" s="88" t="str">
        <f>VLOOKUP(I47,[6]stage_hints!$A:$D,4,FALSE)</f>
        <v>赤りんご(攻撃力) 青りんご(回復力)_x000D_緑りんご(体力)をユニット強化に使うと_x000D_ステータスが限界突破します（計99個迄）</v>
      </c>
      <c r="M47" s="51" t="s">
        <v>210</v>
      </c>
    </row>
    <row r="48" spans="1:13" x14ac:dyDescent="0.15">
      <c r="A48" s="75" t="s">
        <v>200</v>
      </c>
      <c r="B48" s="76">
        <f>floors!$C$2</f>
        <v>39003</v>
      </c>
      <c r="C48" s="77" t="str">
        <f ca="1">VLOOKUP($B48,OFFSET([2]quests!$A$1,0,0,COUNTA([2]quests!$A:$A),MATCH(C$1,[2]quests!$1:$1,0)-MATCH($B$1,[2]quests!$1:$1,0)+1),MATCH(C$1,[2]quests!$1:$1,0)-MATCH($B$1,[2]quests!$1:$1,0)+1,FALSE)</f>
        <v>ブルースクウェアを追え！</v>
      </c>
      <c r="D48" s="77" t="str">
        <f ca="1">VLOOKUP($B48,OFFSET([2]quests!$A$1,0,0,COUNTA([2]quests!$A:$A),MATCH(D$1,[2]quests!$1:$1,0)-MATCH($B$1,[2]quests!$1:$1,0)+1),MATCH(D$1,[2]quests!$1:$1,0)-MATCH($B$1,[2]quests!$1:$1,0)+1,FALSE)</f>
        <v>コラボクエスト</v>
      </c>
      <c r="E48" s="81">
        <v>2</v>
      </c>
      <c r="F48" s="77" t="str">
        <f ca="1">VLOOKUP($B48&amp;"_"&amp;$E48,OFFSET([2]stages!$A$1,0,0,COUNTA([2]stages!$A:$A),MATCH(F$1,[2]stages!$2:$2,0)-MATCH("temp_stage",[2]stages!$2:$2,0)+1),MATCH(F$1,[2]stages!$2:$2,0)-MATCH("temp_stage",[2]stages!$2:$2,0)+1,FALSE)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48" s="77" t="str">
        <f ca="1">VLOOKUP($B48&amp;"_"&amp;$E48,OFFSET([2]stages!$A$1,0,0,COUNTA([2]stages!$A:$A),MATCH(G$1,[2]stages!$2:$2,0)-MATCH("temp_stage",[2]stages!$2:$2,0)+1),MATCH(G$1,[2]stages!$2:$2,0)-MATCH("temp_stage",[2]stages!$2:$2,0)+1,FALSE)</f>
        <v>コラボクエスト</v>
      </c>
      <c r="H48" s="79">
        <v>0</v>
      </c>
      <c r="I48">
        <v>25</v>
      </c>
      <c r="J48" s="78" t="s">
        <v>197</v>
      </c>
      <c r="K48" s="87" t="str">
        <f>VLOOKUP(I48,[6]stage_hints!$A:$C,3,FALSE)</f>
        <v>スキルレベルアップ</v>
      </c>
      <c r="L48" s="88" t="str">
        <f>VLOOKUP(I48,[6]stage_hints!$A:$D,4,FALSE)</f>
        <v>「クリスタルのりんご」を強化に使うと_x000D_スキルレベルを上げることができます</v>
      </c>
      <c r="M48" s="51" t="s">
        <v>210</v>
      </c>
    </row>
    <row r="49" spans="1:13" x14ac:dyDescent="0.15">
      <c r="A49" s="75" t="s">
        <v>200</v>
      </c>
      <c r="B49" s="76">
        <f>floors!$C$2</f>
        <v>39003</v>
      </c>
      <c r="C49" s="77" t="str">
        <f ca="1">VLOOKUP($B49,OFFSET([2]quests!$A$1,0,0,COUNTA([2]quests!$A:$A),MATCH(C$1,[2]quests!$1:$1,0)-MATCH($B$1,[2]quests!$1:$1,0)+1),MATCH(C$1,[2]quests!$1:$1,0)-MATCH($B$1,[2]quests!$1:$1,0)+1,FALSE)</f>
        <v>ブルースクウェアを追え！</v>
      </c>
      <c r="D49" s="77" t="str">
        <f ca="1">VLOOKUP($B49,OFFSET([2]quests!$A$1,0,0,COUNTA([2]quests!$A:$A),MATCH(D$1,[2]quests!$1:$1,0)-MATCH($B$1,[2]quests!$1:$1,0)+1),MATCH(D$1,[2]quests!$1:$1,0)-MATCH($B$1,[2]quests!$1:$1,0)+1,FALSE)</f>
        <v>コラボクエスト</v>
      </c>
      <c r="E49" s="81">
        <v>2</v>
      </c>
      <c r="F49" s="77" t="str">
        <f ca="1">VLOOKUP($B49&amp;"_"&amp;$E49,OFFSET([2]stages!$A$1,0,0,COUNTA([2]stages!$A:$A),MATCH(F$1,[2]stages!$2:$2,0)-MATCH("temp_stage",[2]stages!$2:$2,0)+1),MATCH(F$1,[2]stages!$2:$2,0)-MATCH("temp_stage",[2]stages!$2:$2,0)+1,FALSE)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49" s="77" t="str">
        <f ca="1">VLOOKUP($B49&amp;"_"&amp;$E49,OFFSET([2]stages!$A$1,0,0,COUNTA([2]stages!$A:$A),MATCH(G$1,[2]stages!$2:$2,0)-MATCH("temp_stage",[2]stages!$2:$2,0)+1),MATCH(G$1,[2]stages!$2:$2,0)-MATCH("temp_stage",[2]stages!$2:$2,0)+1,FALSE)</f>
        <v>コラボクエスト</v>
      </c>
      <c r="H49" s="79">
        <v>0</v>
      </c>
      <c r="I49">
        <v>26</v>
      </c>
      <c r="J49" s="78" t="s">
        <v>197</v>
      </c>
      <c r="K49" s="87" t="str">
        <f>VLOOKUP(I49,[6]stage_hints!$A:$C,3,FALSE)</f>
        <v>スキルレベルの効果</v>
      </c>
      <c r="L49" s="88" t="str">
        <f>VLOOKUP(I49,[6]stage_hints!$A:$D,4,FALSE)</f>
        <v>スキルレベルが上がると_x000D_短いターンでスキルを使うことができます</v>
      </c>
      <c r="M49" s="51" t="s">
        <v>210</v>
      </c>
    </row>
    <row r="50" spans="1:13" x14ac:dyDescent="0.15">
      <c r="A50" s="75" t="s">
        <v>200</v>
      </c>
      <c r="B50" s="76">
        <f>floors!$C$2</f>
        <v>39003</v>
      </c>
      <c r="C50" s="77" t="str">
        <f ca="1">VLOOKUP($B50,OFFSET([2]quests!$A$1,0,0,COUNTA([2]quests!$A:$A),MATCH(C$1,[2]quests!$1:$1,0)-MATCH($B$1,[2]quests!$1:$1,0)+1),MATCH(C$1,[2]quests!$1:$1,0)-MATCH($B$1,[2]quests!$1:$1,0)+1,FALSE)</f>
        <v>ブルースクウェアを追え！</v>
      </c>
      <c r="D50" s="77" t="str">
        <f ca="1">VLOOKUP($B50,OFFSET([2]quests!$A$1,0,0,COUNTA([2]quests!$A:$A),MATCH(D$1,[2]quests!$1:$1,0)-MATCH($B$1,[2]quests!$1:$1,0)+1),MATCH(D$1,[2]quests!$1:$1,0)-MATCH($B$1,[2]quests!$1:$1,0)+1,FALSE)</f>
        <v>コラボクエスト</v>
      </c>
      <c r="E50" s="81">
        <v>2</v>
      </c>
      <c r="F50" s="77" t="str">
        <f ca="1">VLOOKUP($B50&amp;"_"&amp;$E50,OFFSET([2]stages!$A$1,0,0,COUNTA([2]stages!$A:$A),MATCH(F$1,[2]stages!$2:$2,0)-MATCH("temp_stage",[2]stages!$2:$2,0)+1),MATCH(F$1,[2]stages!$2:$2,0)-MATCH("temp_stage",[2]stages!$2:$2,0)+1,FALSE)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50" s="77" t="str">
        <f ca="1">VLOOKUP($B50&amp;"_"&amp;$E50,OFFSET([2]stages!$A$1,0,0,COUNTA([2]stages!$A:$A),MATCH(G$1,[2]stages!$2:$2,0)-MATCH("temp_stage",[2]stages!$2:$2,0)+1),MATCH(G$1,[2]stages!$2:$2,0)-MATCH("temp_stage",[2]stages!$2:$2,0)+1,FALSE)</f>
        <v>コラボクエスト</v>
      </c>
      <c r="H50" s="79">
        <v>0</v>
      </c>
      <c r="I50">
        <v>27</v>
      </c>
      <c r="J50" s="78" t="s">
        <v>197</v>
      </c>
      <c r="K50" s="87" t="str">
        <f>VLOOKUP(I50,[6]stage_hints!$A:$C,3,FALSE)</f>
        <v>ホーム画面からデッキを編成</v>
      </c>
      <c r="L50" s="88" t="str">
        <f>VLOOKUP(I50,[6]stage_hints!$A:$D,4,FALSE)</f>
        <v>ホーム画面でユニットを長押しすると_x000D_すぐにパーティ編成に移動できます</v>
      </c>
      <c r="M50" s="51" t="s">
        <v>210</v>
      </c>
    </row>
    <row r="51" spans="1:13" x14ac:dyDescent="0.15">
      <c r="A51" s="75" t="s">
        <v>200</v>
      </c>
      <c r="B51" s="76">
        <f>floors!$C$2</f>
        <v>39003</v>
      </c>
      <c r="C51" s="77" t="str">
        <f ca="1">VLOOKUP($B51,OFFSET([2]quests!$A$1,0,0,COUNTA([2]quests!$A:$A),MATCH(C$1,[2]quests!$1:$1,0)-MATCH($B$1,[2]quests!$1:$1,0)+1),MATCH(C$1,[2]quests!$1:$1,0)-MATCH($B$1,[2]quests!$1:$1,0)+1,FALSE)</f>
        <v>ブルースクウェアを追え！</v>
      </c>
      <c r="D51" s="77" t="str">
        <f ca="1">VLOOKUP($B51,OFFSET([2]quests!$A$1,0,0,COUNTA([2]quests!$A:$A),MATCH(D$1,[2]quests!$1:$1,0)-MATCH($B$1,[2]quests!$1:$1,0)+1),MATCH(D$1,[2]quests!$1:$1,0)-MATCH($B$1,[2]quests!$1:$1,0)+1,FALSE)</f>
        <v>コラボクエスト</v>
      </c>
      <c r="E51" s="81">
        <v>2</v>
      </c>
      <c r="F51" s="77" t="str">
        <f ca="1">VLOOKUP($B51&amp;"_"&amp;$E51,OFFSET([2]stages!$A$1,0,0,COUNTA([2]stages!$A:$A),MATCH(F$1,[2]stages!$2:$2,0)-MATCH("temp_stage",[2]stages!$2:$2,0)+1),MATCH(F$1,[2]stages!$2:$2,0)-MATCH("temp_stage",[2]stages!$2:$2,0)+1,FALSE)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51" s="77" t="str">
        <f ca="1">VLOOKUP($B51&amp;"_"&amp;$E51,OFFSET([2]stages!$A$1,0,0,COUNTA([2]stages!$A:$A),MATCH(G$1,[2]stages!$2:$2,0)-MATCH("temp_stage",[2]stages!$2:$2,0)+1),MATCH(G$1,[2]stages!$2:$2,0)-MATCH("temp_stage",[2]stages!$2:$2,0)+1,FALSE)</f>
        <v>コラボクエスト</v>
      </c>
      <c r="H51" s="79">
        <v>0</v>
      </c>
      <c r="I51">
        <v>28</v>
      </c>
      <c r="J51" s="78" t="s">
        <v>197</v>
      </c>
      <c r="K51" s="87" t="str">
        <f>VLOOKUP(I51,[6]stage_hints!$A:$C,3,FALSE)</f>
        <v>ステータス情報は長押しで</v>
      </c>
      <c r="L51" s="88" t="str">
        <f>VLOOKUP(I51,[6]stage_hints!$A:$D,4,FALSE)</f>
        <v>ユニットのアイコンを長押しすると_x000D_ステータス情報を確認することができます</v>
      </c>
      <c r="M51" s="51" t="s">
        <v>210</v>
      </c>
    </row>
    <row r="52" spans="1:13" x14ac:dyDescent="0.15">
      <c r="A52" s="75" t="s">
        <v>200</v>
      </c>
      <c r="B52" s="76">
        <f>floors!$C$2</f>
        <v>39003</v>
      </c>
      <c r="C52" s="77" t="str">
        <f ca="1">VLOOKUP($B52,OFFSET([2]quests!$A$1,0,0,COUNTA([2]quests!$A:$A),MATCH(C$1,[2]quests!$1:$1,0)-MATCH($B$1,[2]quests!$1:$1,0)+1),MATCH(C$1,[2]quests!$1:$1,0)-MATCH($B$1,[2]quests!$1:$1,0)+1,FALSE)</f>
        <v>ブルースクウェアを追え！</v>
      </c>
      <c r="D52" s="77" t="str">
        <f ca="1">VLOOKUP($B52,OFFSET([2]quests!$A$1,0,0,COUNTA([2]quests!$A:$A),MATCH(D$1,[2]quests!$1:$1,0)-MATCH($B$1,[2]quests!$1:$1,0)+1),MATCH(D$1,[2]quests!$1:$1,0)-MATCH($B$1,[2]quests!$1:$1,0)+1,FALSE)</f>
        <v>コラボクエスト</v>
      </c>
      <c r="E52" s="81">
        <v>2</v>
      </c>
      <c r="F52" s="77" t="str">
        <f ca="1">VLOOKUP($B52&amp;"_"&amp;$E52,OFFSET([2]stages!$A$1,0,0,COUNTA([2]stages!$A:$A),MATCH(F$1,[2]stages!$2:$2,0)-MATCH("temp_stage",[2]stages!$2:$2,0)+1),MATCH(F$1,[2]stages!$2:$2,0)-MATCH("temp_stage",[2]stages!$2:$2,0)+1,FALSE)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52" s="77" t="str">
        <f ca="1">VLOOKUP($B52&amp;"_"&amp;$E52,OFFSET([2]stages!$A$1,0,0,COUNTA([2]stages!$A:$A),MATCH(G$1,[2]stages!$2:$2,0)-MATCH("temp_stage",[2]stages!$2:$2,0)+1),MATCH(G$1,[2]stages!$2:$2,0)-MATCH("temp_stage",[2]stages!$2:$2,0)+1,FALSE)</f>
        <v>コラボクエスト</v>
      </c>
      <c r="H52" s="79">
        <v>0</v>
      </c>
      <c r="I52">
        <v>29</v>
      </c>
      <c r="J52" s="78" t="s">
        <v>197</v>
      </c>
      <c r="K52" s="87" t="str">
        <f>VLOOKUP(I52,[6]stage_hints!$A:$C,3,FALSE)</f>
        <v>「バグ」のメリット</v>
      </c>
      <c r="L52" s="88" t="str">
        <f>VLOOKUP(I52,[6]stage_hints!$A:$D,4,FALSE)</f>
        <v>ユニットの「バグ」を増やすと_x000D_報酬をもらえる確率がアップします</v>
      </c>
      <c r="M52" s="51" t="s">
        <v>210</v>
      </c>
    </row>
    <row r="53" spans="1:13" x14ac:dyDescent="0.15">
      <c r="A53" s="75" t="s">
        <v>200</v>
      </c>
      <c r="B53" s="76">
        <f>floors!$C$2</f>
        <v>39003</v>
      </c>
      <c r="C53" s="77" t="str">
        <f ca="1">VLOOKUP($B53,OFFSET([2]quests!$A$1,0,0,COUNTA([2]quests!$A:$A),MATCH(C$1,[2]quests!$1:$1,0)-MATCH($B$1,[2]quests!$1:$1,0)+1),MATCH(C$1,[2]quests!$1:$1,0)-MATCH($B$1,[2]quests!$1:$1,0)+1,FALSE)</f>
        <v>ブルースクウェアを追え！</v>
      </c>
      <c r="D53" s="77" t="str">
        <f ca="1">VLOOKUP($B53,OFFSET([2]quests!$A$1,0,0,COUNTA([2]quests!$A:$A),MATCH(D$1,[2]quests!$1:$1,0)-MATCH($B$1,[2]quests!$1:$1,0)+1),MATCH(D$1,[2]quests!$1:$1,0)-MATCH($B$1,[2]quests!$1:$1,0)+1,FALSE)</f>
        <v>コラボクエスト</v>
      </c>
      <c r="E53" s="81">
        <v>2</v>
      </c>
      <c r="F53" s="77" t="str">
        <f ca="1">VLOOKUP($B53&amp;"_"&amp;$E53,OFFSET([2]stages!$A$1,0,0,COUNTA([2]stages!$A:$A),MATCH(F$1,[2]stages!$2:$2,0)-MATCH("temp_stage",[2]stages!$2:$2,0)+1),MATCH(F$1,[2]stages!$2:$2,0)-MATCH("temp_stage",[2]stages!$2:$2,0)+1,FALSE)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53" s="77" t="str">
        <f ca="1">VLOOKUP($B53&amp;"_"&amp;$E53,OFFSET([2]stages!$A$1,0,0,COUNTA([2]stages!$A:$A),MATCH(G$1,[2]stages!$2:$2,0)-MATCH("temp_stage",[2]stages!$2:$2,0)+1),MATCH(G$1,[2]stages!$2:$2,0)-MATCH("temp_stage",[2]stages!$2:$2,0)+1,FALSE)</f>
        <v>コラボクエスト</v>
      </c>
      <c r="H53" s="79">
        <v>0</v>
      </c>
      <c r="I53">
        <v>30</v>
      </c>
      <c r="J53" s="78" t="s">
        <v>197</v>
      </c>
      <c r="K53" s="87" t="str">
        <f>VLOOKUP(I53,[6]stage_hints!$A:$C,3,FALSE)</f>
        <v>「バグ」の増やし方</v>
      </c>
      <c r="L53" s="88" t="str">
        <f>VLOOKUP(I53,[6]stage_hints!$A:$D,4,FALSE)</f>
        <v>同じユニット同士を強化で合成すると_x000D_「バグ」を増やすことができます</v>
      </c>
      <c r="M53" s="51" t="s">
        <v>210</v>
      </c>
    </row>
    <row r="54" spans="1:13" x14ac:dyDescent="0.15">
      <c r="A54" s="75" t="s">
        <v>200</v>
      </c>
      <c r="B54" s="76">
        <f>floors!$C$2</f>
        <v>39003</v>
      </c>
      <c r="C54" s="77" t="str">
        <f ca="1">VLOOKUP($B54,OFFSET([2]quests!$A$1,0,0,COUNTA([2]quests!$A:$A),MATCH(C$1,[2]quests!$1:$1,0)-MATCH($B$1,[2]quests!$1:$1,0)+1),MATCH(C$1,[2]quests!$1:$1,0)-MATCH($B$1,[2]quests!$1:$1,0)+1,FALSE)</f>
        <v>ブルースクウェアを追え！</v>
      </c>
      <c r="D54" s="77" t="str">
        <f ca="1">VLOOKUP($B54,OFFSET([2]quests!$A$1,0,0,COUNTA([2]quests!$A:$A),MATCH(D$1,[2]quests!$1:$1,0)-MATCH($B$1,[2]quests!$1:$1,0)+1),MATCH(D$1,[2]quests!$1:$1,0)-MATCH($B$1,[2]quests!$1:$1,0)+1,FALSE)</f>
        <v>コラボクエスト</v>
      </c>
      <c r="E54" s="81">
        <v>2</v>
      </c>
      <c r="F54" s="77" t="str">
        <f ca="1">VLOOKUP($B54&amp;"_"&amp;$E54,OFFSET([2]stages!$A$1,0,0,COUNTA([2]stages!$A:$A),MATCH(F$1,[2]stages!$2:$2,0)-MATCH("temp_stage",[2]stages!$2:$2,0)+1),MATCH(F$1,[2]stages!$2:$2,0)-MATCH("temp_stage",[2]stages!$2:$2,0)+1,FALSE)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54" s="77" t="str">
        <f ca="1">VLOOKUP($B54&amp;"_"&amp;$E54,OFFSET([2]stages!$A$1,0,0,COUNTA([2]stages!$A:$A),MATCH(G$1,[2]stages!$2:$2,0)-MATCH("temp_stage",[2]stages!$2:$2,0)+1),MATCH(G$1,[2]stages!$2:$2,0)-MATCH("temp_stage",[2]stages!$2:$2,0)+1,FALSE)</f>
        <v>コラボクエスト</v>
      </c>
      <c r="H54" s="79">
        <v>0</v>
      </c>
      <c r="I54">
        <v>31</v>
      </c>
      <c r="J54" s="78" t="s">
        <v>197</v>
      </c>
      <c r="K54" s="87" t="str">
        <f>VLOOKUP(I54,[6]stage_hints!$A:$C,3,FALSE)</f>
        <v>イベントはお知らせでチェック</v>
      </c>
      <c r="L54" s="88" t="str">
        <f>VLOOKUP(I54,[6]stage_hints!$A:$D,4,FALSE)</f>
        <v>イベント限定ユニットを取り忘れないように_x000D_お知らせをこまめにチェックしましょう</v>
      </c>
      <c r="M54" s="51" t="s">
        <v>210</v>
      </c>
    </row>
    <row r="55" spans="1:13" x14ac:dyDescent="0.15">
      <c r="A55" s="75" t="s">
        <v>200</v>
      </c>
      <c r="B55" s="76">
        <f>floors!$C$2</f>
        <v>39003</v>
      </c>
      <c r="C55" s="77" t="str">
        <f ca="1">VLOOKUP($B55,OFFSET([2]quests!$A$1,0,0,COUNTA([2]quests!$A:$A),MATCH(C$1,[2]quests!$1:$1,0)-MATCH($B$1,[2]quests!$1:$1,0)+1),MATCH(C$1,[2]quests!$1:$1,0)-MATCH($B$1,[2]quests!$1:$1,0)+1,FALSE)</f>
        <v>ブルースクウェアを追え！</v>
      </c>
      <c r="D55" s="77" t="str">
        <f ca="1">VLOOKUP($B55,OFFSET([2]quests!$A$1,0,0,COUNTA([2]quests!$A:$A),MATCH(D$1,[2]quests!$1:$1,0)-MATCH($B$1,[2]quests!$1:$1,0)+1),MATCH(D$1,[2]quests!$1:$1,0)-MATCH($B$1,[2]quests!$1:$1,0)+1,FALSE)</f>
        <v>コラボクエスト</v>
      </c>
      <c r="E55" s="81">
        <v>2</v>
      </c>
      <c r="F55" s="77" t="str">
        <f ca="1">VLOOKUP($B55&amp;"_"&amp;$E55,OFFSET([2]stages!$A$1,0,0,COUNTA([2]stages!$A:$A),MATCH(F$1,[2]stages!$2:$2,0)-MATCH("temp_stage",[2]stages!$2:$2,0)+1),MATCH(F$1,[2]stages!$2:$2,0)-MATCH("temp_stage",[2]stages!$2:$2,0)+1,FALSE)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55" s="77" t="str">
        <f ca="1">VLOOKUP($B55&amp;"_"&amp;$E55,OFFSET([2]stages!$A$1,0,0,COUNTA([2]stages!$A:$A),MATCH(G$1,[2]stages!$2:$2,0)-MATCH("temp_stage",[2]stages!$2:$2,0)+1),MATCH(G$1,[2]stages!$2:$2,0)-MATCH("temp_stage",[2]stages!$2:$2,0)+1,FALSE)</f>
        <v>コラボクエスト</v>
      </c>
      <c r="H55" s="79">
        <v>0</v>
      </c>
      <c r="I55">
        <v>32</v>
      </c>
      <c r="J55" s="78" t="s">
        <v>197</v>
      </c>
      <c r="K55" s="87" t="str">
        <f>VLOOKUP(I55,[6]stage_hints!$A:$C,3,FALSE)</f>
        <v>敵の連続攻撃には</v>
      </c>
      <c r="L55" s="88" t="str">
        <f>VLOOKUP(I55,[6]stage_hints!$A:$D,4,FALSE)</f>
        <v>カウンタースキルを持つユニットがいれば_x000D_ダメージ回数分の反撃ができます</v>
      </c>
      <c r="M55" s="51" t="s">
        <v>210</v>
      </c>
    </row>
    <row r="56" spans="1:13" x14ac:dyDescent="0.15">
      <c r="A56" s="75" t="s">
        <v>200</v>
      </c>
      <c r="B56" s="76">
        <f>floors!$C$2</f>
        <v>39003</v>
      </c>
      <c r="C56" s="77" t="str">
        <f ca="1">VLOOKUP($B56,OFFSET([2]quests!$A$1,0,0,COUNTA([2]quests!$A:$A),MATCH(C$1,[2]quests!$1:$1,0)-MATCH($B$1,[2]quests!$1:$1,0)+1),MATCH(C$1,[2]quests!$1:$1,0)-MATCH($B$1,[2]quests!$1:$1,0)+1,FALSE)</f>
        <v>ブルースクウェアを追え！</v>
      </c>
      <c r="D56" s="77" t="str">
        <f ca="1">VLOOKUP($B56,OFFSET([2]quests!$A$1,0,0,COUNTA([2]quests!$A:$A),MATCH(D$1,[2]quests!$1:$1,0)-MATCH($B$1,[2]quests!$1:$1,0)+1),MATCH(D$1,[2]quests!$1:$1,0)-MATCH($B$1,[2]quests!$1:$1,0)+1,FALSE)</f>
        <v>コラボクエスト</v>
      </c>
      <c r="E56" s="81">
        <v>2</v>
      </c>
      <c r="F56" s="77" t="str">
        <f ca="1">VLOOKUP($B56&amp;"_"&amp;$E56,OFFSET([2]stages!$A$1,0,0,COUNTA([2]stages!$A:$A),MATCH(F$1,[2]stages!$2:$2,0)-MATCH("temp_stage",[2]stages!$2:$2,0)+1),MATCH(F$1,[2]stages!$2:$2,0)-MATCH("temp_stage",[2]stages!$2:$2,0)+1,FALSE)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56" s="77" t="str">
        <f ca="1">VLOOKUP($B56&amp;"_"&amp;$E56,OFFSET([2]stages!$A$1,0,0,COUNTA([2]stages!$A:$A),MATCH(G$1,[2]stages!$2:$2,0)-MATCH("temp_stage",[2]stages!$2:$2,0)+1),MATCH(G$1,[2]stages!$2:$2,0)-MATCH("temp_stage",[2]stages!$2:$2,0)+1,FALSE)</f>
        <v>コラボクエスト</v>
      </c>
      <c r="H56" s="79">
        <v>0</v>
      </c>
      <c r="I56">
        <v>33</v>
      </c>
      <c r="J56" s="78" t="s">
        <v>197</v>
      </c>
      <c r="K56" s="87" t="str">
        <f>VLOOKUP(I56,[6]stage_hints!$A:$C,3,FALSE)</f>
        <v>敵のカウンター攻撃には</v>
      </c>
      <c r="L56" s="88" t="str">
        <f>VLOOKUP(I56,[6]stage_hints!$A:$D,4,FALSE)</f>
        <v>カウンターブレイクスキルを持っていれば_x000D_敵のカウンターを解除して攻撃ができます</v>
      </c>
      <c r="M56" s="51" t="s">
        <v>210</v>
      </c>
    </row>
    <row r="57" spans="1:13" x14ac:dyDescent="0.15">
      <c r="A57" s="75" t="s">
        <v>200</v>
      </c>
      <c r="B57" s="76">
        <f>floors!$C$2</f>
        <v>39003</v>
      </c>
      <c r="C57" s="77" t="str">
        <f ca="1">VLOOKUP($B57,OFFSET([2]quests!$A$1,0,0,COUNTA([2]quests!$A:$A),MATCH(C$1,[2]quests!$1:$1,0)-MATCH($B$1,[2]quests!$1:$1,0)+1),MATCH(C$1,[2]quests!$1:$1,0)-MATCH($B$1,[2]quests!$1:$1,0)+1,FALSE)</f>
        <v>ブルースクウェアを追え！</v>
      </c>
      <c r="D57" s="77" t="str">
        <f ca="1">VLOOKUP($B57,OFFSET([2]quests!$A$1,0,0,COUNTA([2]quests!$A:$A),MATCH(D$1,[2]quests!$1:$1,0)-MATCH($B$1,[2]quests!$1:$1,0)+1),MATCH(D$1,[2]quests!$1:$1,0)-MATCH($B$1,[2]quests!$1:$1,0)+1,FALSE)</f>
        <v>コラボクエスト</v>
      </c>
      <c r="E57" s="81">
        <v>2</v>
      </c>
      <c r="F57" s="77" t="str">
        <f ca="1">VLOOKUP($B57&amp;"_"&amp;$E57,OFFSET([2]stages!$A$1,0,0,COUNTA([2]stages!$A:$A),MATCH(F$1,[2]stages!$2:$2,0)-MATCH("temp_stage",[2]stages!$2:$2,0)+1),MATCH(F$1,[2]stages!$2:$2,0)-MATCH("temp_stage",[2]stages!$2:$2,0)+1,FALSE)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57" s="77" t="str">
        <f ca="1">VLOOKUP($B57&amp;"_"&amp;$E57,OFFSET([2]stages!$A$1,0,0,COUNTA([2]stages!$A:$A),MATCH(G$1,[2]stages!$2:$2,0)-MATCH("temp_stage",[2]stages!$2:$2,0)+1),MATCH(G$1,[2]stages!$2:$2,0)-MATCH("temp_stage",[2]stages!$2:$2,0)+1,FALSE)</f>
        <v>コラボクエスト</v>
      </c>
      <c r="H57" s="79">
        <v>0</v>
      </c>
      <c r="I57">
        <v>34</v>
      </c>
      <c r="J57" s="78" t="s">
        <v>197</v>
      </c>
      <c r="K57" s="87" t="str">
        <f>VLOOKUP(I57,[6]stage_hints!$A:$C,3,FALSE)</f>
        <v>ステータスをスキルで下げられたら</v>
      </c>
      <c r="L57" s="88" t="str">
        <f>VLOOKUP(I57,[6]stage_hints!$A:$D,4,FALSE)</f>
        <v>ステータスダウンのスキルを受けたら_x000D_ステータスアップスキルで上書きしましょう</v>
      </c>
      <c r="M57" s="51" t="s">
        <v>210</v>
      </c>
    </row>
    <row r="58" spans="1:13" x14ac:dyDescent="0.15">
      <c r="A58" s="75" t="s">
        <v>200</v>
      </c>
      <c r="B58" s="76">
        <f>floors!$C$2</f>
        <v>39003</v>
      </c>
      <c r="C58" s="77" t="str">
        <f ca="1">VLOOKUP($B58,OFFSET([2]quests!$A$1,0,0,COUNTA([2]quests!$A:$A),MATCH(C$1,[2]quests!$1:$1,0)-MATCH($B$1,[2]quests!$1:$1,0)+1),MATCH(C$1,[2]quests!$1:$1,0)-MATCH($B$1,[2]quests!$1:$1,0)+1,FALSE)</f>
        <v>ブルースクウェアを追え！</v>
      </c>
      <c r="D58" s="77" t="str">
        <f ca="1">VLOOKUP($B58,OFFSET([2]quests!$A$1,0,0,COUNTA([2]quests!$A:$A),MATCH(D$1,[2]quests!$1:$1,0)-MATCH($B$1,[2]quests!$1:$1,0)+1),MATCH(D$1,[2]quests!$1:$1,0)-MATCH($B$1,[2]quests!$1:$1,0)+1,FALSE)</f>
        <v>コラボクエスト</v>
      </c>
      <c r="E58" s="81">
        <v>2</v>
      </c>
      <c r="F58" s="77" t="str">
        <f ca="1">VLOOKUP($B58&amp;"_"&amp;$E58,OFFSET([2]stages!$A$1,0,0,COUNTA([2]stages!$A:$A),MATCH(F$1,[2]stages!$2:$2,0)-MATCH("temp_stage",[2]stages!$2:$2,0)+1),MATCH(F$1,[2]stages!$2:$2,0)-MATCH("temp_stage",[2]stages!$2:$2,0)+1,FALSE)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58" s="77" t="str">
        <f ca="1">VLOOKUP($B58&amp;"_"&amp;$E58,OFFSET([2]stages!$A$1,0,0,COUNTA([2]stages!$A:$A),MATCH(G$1,[2]stages!$2:$2,0)-MATCH("temp_stage",[2]stages!$2:$2,0)+1),MATCH(G$1,[2]stages!$2:$2,0)-MATCH("temp_stage",[2]stages!$2:$2,0)+1,FALSE)</f>
        <v>コラボクエスト</v>
      </c>
      <c r="H58" s="79">
        <v>0</v>
      </c>
      <c r="I58">
        <v>35</v>
      </c>
      <c r="J58" s="78" t="s">
        <v>197</v>
      </c>
      <c r="K58" s="87" t="str">
        <f>VLOOKUP(I58,[6]stage_hints!$A:$C,3,FALSE)</f>
        <v>敵のステータスがスキルで上がったら</v>
      </c>
      <c r="L58" s="88" t="str">
        <f>VLOOKUP(I58,[6]stage_hints!$A:$D,4,FALSE)</f>
        <v>敵のステータスがスキルでアップしたときは_x000D_ステータスダウンスキルで上書きしましょう</v>
      </c>
      <c r="M58" s="51" t="s">
        <v>210</v>
      </c>
    </row>
    <row r="59" spans="1:13" x14ac:dyDescent="0.15">
      <c r="A59" s="75" t="s">
        <v>200</v>
      </c>
      <c r="B59" s="76">
        <f>floors!$C$2</f>
        <v>39003</v>
      </c>
      <c r="C59" s="77" t="str">
        <f ca="1">VLOOKUP($B59,OFFSET([2]quests!$A$1,0,0,COUNTA([2]quests!$A:$A),MATCH(C$1,[2]quests!$1:$1,0)-MATCH($B$1,[2]quests!$1:$1,0)+1),MATCH(C$1,[2]quests!$1:$1,0)-MATCH($B$1,[2]quests!$1:$1,0)+1,FALSE)</f>
        <v>ブルースクウェアを追え！</v>
      </c>
      <c r="D59" s="77" t="str">
        <f ca="1">VLOOKUP($B59,OFFSET([2]quests!$A$1,0,0,COUNTA([2]quests!$A:$A),MATCH(D$1,[2]quests!$1:$1,0)-MATCH($B$1,[2]quests!$1:$1,0)+1),MATCH(D$1,[2]quests!$1:$1,0)-MATCH($B$1,[2]quests!$1:$1,0)+1,FALSE)</f>
        <v>コラボクエスト</v>
      </c>
      <c r="E59" s="81">
        <v>2</v>
      </c>
      <c r="F59" s="77" t="str">
        <f ca="1">VLOOKUP($B59&amp;"_"&amp;$E59,OFFSET([2]stages!$A$1,0,0,COUNTA([2]stages!$A:$A),MATCH(F$1,[2]stages!$2:$2,0)-MATCH("temp_stage",[2]stages!$2:$2,0)+1),MATCH(F$1,[2]stages!$2:$2,0)-MATCH("temp_stage",[2]stages!$2:$2,0)+1,FALSE)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59" s="77" t="str">
        <f ca="1">VLOOKUP($B59&amp;"_"&amp;$E59,OFFSET([2]stages!$A$1,0,0,COUNTA([2]stages!$A:$A),MATCH(G$1,[2]stages!$2:$2,0)-MATCH("temp_stage",[2]stages!$2:$2,0)+1),MATCH(G$1,[2]stages!$2:$2,0)-MATCH("temp_stage",[2]stages!$2:$2,0)+1,FALSE)</f>
        <v>コラボクエスト</v>
      </c>
      <c r="H59" s="79">
        <v>0</v>
      </c>
      <c r="I59">
        <v>39</v>
      </c>
      <c r="J59" s="78" t="s">
        <v>197</v>
      </c>
      <c r="K59" s="87" t="str">
        <f>VLOOKUP(I59,[6]stage_hints!$A:$C,3,FALSE)</f>
        <v>システム適合者を確認</v>
      </c>
      <c r="L59" s="88" t="str">
        <f>VLOOKUP(I59,[6]stage_hints!$A:$D,4,FALSE)</f>
        <v>ALICEが「アナタ」を呼んでいます</v>
      </c>
      <c r="M59" s="51" t="s">
        <v>210</v>
      </c>
    </row>
    <row r="60" spans="1:13" x14ac:dyDescent="0.15">
      <c r="A60" s="75" t="s">
        <v>200</v>
      </c>
      <c r="B60" s="76">
        <f>floors!$C$2</f>
        <v>39003</v>
      </c>
      <c r="C60" s="77" t="str">
        <f ca="1">VLOOKUP($B60,OFFSET([2]quests!$A$1,0,0,COUNTA([2]quests!$A:$A),MATCH(C$1,[2]quests!$1:$1,0)-MATCH($B$1,[2]quests!$1:$1,0)+1),MATCH(C$1,[2]quests!$1:$1,0)-MATCH($B$1,[2]quests!$1:$1,0)+1,FALSE)</f>
        <v>ブルースクウェアを追え！</v>
      </c>
      <c r="D60" s="77" t="str">
        <f ca="1">VLOOKUP($B60,OFFSET([2]quests!$A$1,0,0,COUNTA([2]quests!$A:$A),MATCH(D$1,[2]quests!$1:$1,0)-MATCH($B$1,[2]quests!$1:$1,0)+1),MATCH(D$1,[2]quests!$1:$1,0)-MATCH($B$1,[2]quests!$1:$1,0)+1,FALSE)</f>
        <v>コラボクエスト</v>
      </c>
      <c r="E60" s="81">
        <v>3</v>
      </c>
      <c r="F60" s="77" t="str">
        <f ca="1">VLOOKUP($B60&amp;"_"&amp;$E60,OFFSET([2]stages!$A$1,0,0,COUNTA([2]stages!$A:$A),MATCH(F$1,[2]stages!$2:$2,0)-MATCH("temp_stage",[2]stages!$2:$2,0)+1),MATCH(F$1,[2]stages!$2:$2,0)-MATCH("temp_stage",[2]stages!$2:$2,0)+1,FALSE)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60" s="77" t="str">
        <f ca="1">VLOOKUP($B60&amp;"_"&amp;$E60,OFFSET([2]stages!$A$1,0,0,COUNTA([2]stages!$A:$A),MATCH(G$1,[2]stages!$2:$2,0)-MATCH("temp_stage",[2]stages!$2:$2,0)+1),MATCH(G$1,[2]stages!$2:$2,0)-MATCH("temp_stage",[2]stages!$2:$2,0)+1,FALSE)</f>
        <v>コラボクエスト</v>
      </c>
      <c r="H60" s="79">
        <v>0</v>
      </c>
      <c r="I60" s="91">
        <v>3</v>
      </c>
      <c r="J60" s="78" t="s">
        <v>197</v>
      </c>
      <c r="K60" s="87" t="str">
        <f>VLOOKUP(I60,[6]stage_hints!$A:$C,3,FALSE)</f>
        <v>ターゲット</v>
      </c>
      <c r="L60" s="88" t="str">
        <f>VLOOKUP(I60,[6]stage_hints!$A:$D,4,FALSE)</f>
        <v>敵ユニットをタップすると_x000D_その敵を狙い撃ちできます</v>
      </c>
      <c r="M60" s="51" t="s">
        <v>210</v>
      </c>
    </row>
    <row r="61" spans="1:13" x14ac:dyDescent="0.15">
      <c r="A61" s="75" t="s">
        <v>200</v>
      </c>
      <c r="B61" s="76">
        <f>floors!$C$2</f>
        <v>39003</v>
      </c>
      <c r="C61" s="77" t="str">
        <f ca="1">VLOOKUP($B61,OFFSET([2]quests!$A$1,0,0,COUNTA([2]quests!$A:$A),MATCH(C$1,[2]quests!$1:$1,0)-MATCH($B$1,[2]quests!$1:$1,0)+1),MATCH(C$1,[2]quests!$1:$1,0)-MATCH($B$1,[2]quests!$1:$1,0)+1,FALSE)</f>
        <v>ブルースクウェアを追え！</v>
      </c>
      <c r="D61" s="77" t="str">
        <f ca="1">VLOOKUP($B61,OFFSET([2]quests!$A$1,0,0,COUNTA([2]quests!$A:$A),MATCH(D$1,[2]quests!$1:$1,0)-MATCH($B$1,[2]quests!$1:$1,0)+1),MATCH(D$1,[2]quests!$1:$1,0)-MATCH($B$1,[2]quests!$1:$1,0)+1,FALSE)</f>
        <v>コラボクエスト</v>
      </c>
      <c r="E61" s="81">
        <v>3</v>
      </c>
      <c r="F61" s="77" t="str">
        <f ca="1">VLOOKUP($B61&amp;"_"&amp;$E61,OFFSET([2]stages!$A$1,0,0,COUNTA([2]stages!$A:$A),MATCH(F$1,[2]stages!$2:$2,0)-MATCH("temp_stage",[2]stages!$2:$2,0)+1),MATCH(F$1,[2]stages!$2:$2,0)-MATCH("temp_stage",[2]stages!$2:$2,0)+1,FALSE)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61" s="77" t="str">
        <f ca="1">VLOOKUP($B61&amp;"_"&amp;$E61,OFFSET([2]stages!$A$1,0,0,COUNTA([2]stages!$A:$A),MATCH(G$1,[2]stages!$2:$2,0)-MATCH("temp_stage",[2]stages!$2:$2,0)+1),MATCH(G$1,[2]stages!$2:$2,0)-MATCH("temp_stage",[2]stages!$2:$2,0)+1,FALSE)</f>
        <v>コラボクエスト</v>
      </c>
      <c r="H61" s="79">
        <v>0</v>
      </c>
      <c r="I61" s="91">
        <v>6</v>
      </c>
      <c r="J61" s="78" t="s">
        <v>197</v>
      </c>
      <c r="K61" s="87" t="str">
        <f>VLOOKUP(I61,[6]stage_hints!$A:$C,3,FALSE)</f>
        <v>ユニット強化の属性ボーナス</v>
      </c>
      <c r="L61" s="88" t="str">
        <f>VLOOKUP(I61,[6]stage_hints!$A:$D,4,FALSE)</f>
        <v>同属性ユニットを強化素材にすると_x000D_経験値が多くもらえます</v>
      </c>
      <c r="M61" s="51" t="s">
        <v>210</v>
      </c>
    </row>
    <row r="62" spans="1:13" x14ac:dyDescent="0.15">
      <c r="A62" s="75" t="s">
        <v>200</v>
      </c>
      <c r="B62" s="76">
        <f>floors!$C$2</f>
        <v>39003</v>
      </c>
      <c r="C62" s="77" t="str">
        <f ca="1">VLOOKUP($B62,OFFSET([2]quests!$A$1,0,0,COUNTA([2]quests!$A:$A),MATCH(C$1,[2]quests!$1:$1,0)-MATCH($B$1,[2]quests!$1:$1,0)+1),MATCH(C$1,[2]quests!$1:$1,0)-MATCH($B$1,[2]quests!$1:$1,0)+1,FALSE)</f>
        <v>ブルースクウェアを追え！</v>
      </c>
      <c r="D62" s="77" t="str">
        <f ca="1">VLOOKUP($B62,OFFSET([2]quests!$A$1,0,0,COUNTA([2]quests!$A:$A),MATCH(D$1,[2]quests!$1:$1,0)-MATCH($B$1,[2]quests!$1:$1,0)+1),MATCH(D$1,[2]quests!$1:$1,0)-MATCH($B$1,[2]quests!$1:$1,0)+1,FALSE)</f>
        <v>コラボクエスト</v>
      </c>
      <c r="E62" s="81">
        <v>3</v>
      </c>
      <c r="F62" s="77" t="str">
        <f ca="1">VLOOKUP($B62&amp;"_"&amp;$E62,OFFSET([2]stages!$A$1,0,0,COUNTA([2]stages!$A:$A),MATCH(F$1,[2]stages!$2:$2,0)-MATCH("temp_stage",[2]stages!$2:$2,0)+1),MATCH(F$1,[2]stages!$2:$2,0)-MATCH("temp_stage",[2]stages!$2:$2,0)+1,FALSE)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62" s="77" t="str">
        <f ca="1">VLOOKUP($B62&amp;"_"&amp;$E62,OFFSET([2]stages!$A$1,0,0,COUNTA([2]stages!$A:$A),MATCH(G$1,[2]stages!$2:$2,0)-MATCH("temp_stage",[2]stages!$2:$2,0)+1),MATCH(G$1,[2]stages!$2:$2,0)-MATCH("temp_stage",[2]stages!$2:$2,0)+1,FALSE)</f>
        <v>コラボクエスト</v>
      </c>
      <c r="H62" s="79">
        <v>0</v>
      </c>
      <c r="I62" s="91">
        <v>7</v>
      </c>
      <c r="J62" s="78" t="s">
        <v>197</v>
      </c>
      <c r="K62" s="87" t="str">
        <f>VLOOKUP(I62,[6]stage_hints!$A:$C,3,FALSE)</f>
        <v>メタルダックで経験値を獲得</v>
      </c>
      <c r="L62" s="88" t="str">
        <f>VLOOKUP(I62,[6]stage_hints!$A:$D,4,FALSE)</f>
        <v>「メタルなアヒル」を強化素材にすると_x000D_大量の経験値がもらえます</v>
      </c>
      <c r="M62" s="51" t="s">
        <v>210</v>
      </c>
    </row>
    <row r="63" spans="1:13" x14ac:dyDescent="0.15">
      <c r="A63" s="75" t="s">
        <v>200</v>
      </c>
      <c r="B63" s="76">
        <f>floors!$C$2</f>
        <v>39003</v>
      </c>
      <c r="C63" s="77" t="str">
        <f ca="1">VLOOKUP($B63,OFFSET([2]quests!$A$1,0,0,COUNTA([2]quests!$A:$A),MATCH(C$1,[2]quests!$1:$1,0)-MATCH($B$1,[2]quests!$1:$1,0)+1),MATCH(C$1,[2]quests!$1:$1,0)-MATCH($B$1,[2]quests!$1:$1,0)+1,FALSE)</f>
        <v>ブルースクウェアを追え！</v>
      </c>
      <c r="D63" s="77" t="str">
        <f ca="1">VLOOKUP($B63,OFFSET([2]quests!$A$1,0,0,COUNTA([2]quests!$A:$A),MATCH(D$1,[2]quests!$1:$1,0)-MATCH($B$1,[2]quests!$1:$1,0)+1),MATCH(D$1,[2]quests!$1:$1,0)-MATCH($B$1,[2]quests!$1:$1,0)+1,FALSE)</f>
        <v>コラボクエスト</v>
      </c>
      <c r="E63" s="81">
        <v>3</v>
      </c>
      <c r="F63" s="77" t="str">
        <f ca="1">VLOOKUP($B63&amp;"_"&amp;$E63,OFFSET([2]stages!$A$1,0,0,COUNTA([2]stages!$A:$A),MATCH(F$1,[2]stages!$2:$2,0)-MATCH("temp_stage",[2]stages!$2:$2,0)+1),MATCH(F$1,[2]stages!$2:$2,0)-MATCH("temp_stage",[2]stages!$2:$2,0)+1,FALSE)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63" s="77" t="str">
        <f ca="1">VLOOKUP($B63&amp;"_"&amp;$E63,OFFSET([2]stages!$A$1,0,0,COUNTA([2]stages!$A:$A),MATCH(G$1,[2]stages!$2:$2,0)-MATCH("temp_stage",[2]stages!$2:$2,0)+1),MATCH(G$1,[2]stages!$2:$2,0)-MATCH("temp_stage",[2]stages!$2:$2,0)+1,FALSE)</f>
        <v>コラボクエスト</v>
      </c>
      <c r="H63" s="79">
        <v>0</v>
      </c>
      <c r="I63" s="91">
        <v>8</v>
      </c>
      <c r="J63" s="78" t="s">
        <v>197</v>
      </c>
      <c r="K63" s="87" t="str">
        <f>VLOOKUP(I63,[6]stage_hints!$A:$C,3,FALSE)</f>
        <v>ゲリラクエストは要チェック</v>
      </c>
      <c r="L63" s="88" t="str">
        <f>VLOOKUP(I63,[6]stage_hints!$A:$D,4,FALSE)</f>
        <v>時間限定の「アヒル捕獲作戦」では_x000D_経験値素材ユニットが多く手に入ります</v>
      </c>
      <c r="M63" s="51" t="s">
        <v>210</v>
      </c>
    </row>
    <row r="64" spans="1:13" x14ac:dyDescent="0.15">
      <c r="A64" s="75" t="s">
        <v>200</v>
      </c>
      <c r="B64" s="76">
        <f>floors!$C$2</f>
        <v>39003</v>
      </c>
      <c r="C64" s="77" t="str">
        <f ca="1">VLOOKUP($B64,OFFSET([2]quests!$A$1,0,0,COUNTA([2]quests!$A:$A),MATCH(C$1,[2]quests!$1:$1,0)-MATCH($B$1,[2]quests!$1:$1,0)+1),MATCH(C$1,[2]quests!$1:$1,0)-MATCH($B$1,[2]quests!$1:$1,0)+1,FALSE)</f>
        <v>ブルースクウェアを追え！</v>
      </c>
      <c r="D64" s="77" t="str">
        <f ca="1">VLOOKUP($B64,OFFSET([2]quests!$A$1,0,0,COUNTA([2]quests!$A:$A),MATCH(D$1,[2]quests!$1:$1,0)-MATCH($B$1,[2]quests!$1:$1,0)+1),MATCH(D$1,[2]quests!$1:$1,0)-MATCH($B$1,[2]quests!$1:$1,0)+1,FALSE)</f>
        <v>コラボクエスト</v>
      </c>
      <c r="E64" s="81">
        <v>3</v>
      </c>
      <c r="F64" s="77" t="str">
        <f ca="1">VLOOKUP($B64&amp;"_"&amp;$E64,OFFSET([2]stages!$A$1,0,0,COUNTA([2]stages!$A:$A),MATCH(F$1,[2]stages!$2:$2,0)-MATCH("temp_stage",[2]stages!$2:$2,0)+1),MATCH(F$1,[2]stages!$2:$2,0)-MATCH("temp_stage",[2]stages!$2:$2,0)+1,FALSE)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64" s="77" t="str">
        <f ca="1">VLOOKUP($B64&amp;"_"&amp;$E64,OFFSET([2]stages!$A$1,0,0,COUNTA([2]stages!$A:$A),MATCH(G$1,[2]stages!$2:$2,0)-MATCH("temp_stage",[2]stages!$2:$2,0)+1),MATCH(G$1,[2]stages!$2:$2,0)-MATCH("temp_stage",[2]stages!$2:$2,0)+1,FALSE)</f>
        <v>コラボクエスト</v>
      </c>
      <c r="H64" s="79">
        <v>0</v>
      </c>
      <c r="I64" s="91">
        <v>9</v>
      </c>
      <c r="J64" s="78" t="s">
        <v>197</v>
      </c>
      <c r="K64" s="87" t="str">
        <f>VLOOKUP(I64,[6]stage_hints!$A:$C,3,FALSE)</f>
        <v>ゴールドダックでビットを獲得</v>
      </c>
      <c r="L64" s="88" t="str">
        <f>VLOOKUP(I64,[6]stage_hints!$A:$D,4,FALSE)</f>
        <v>「ゴールドなアヒル」を売却すると_x000D_大量のビットがもらえます</v>
      </c>
      <c r="M64" s="51" t="s">
        <v>210</v>
      </c>
    </row>
    <row r="65" spans="1:13" x14ac:dyDescent="0.15">
      <c r="A65" s="75" t="s">
        <v>200</v>
      </c>
      <c r="B65" s="76">
        <f>floors!$C$2</f>
        <v>39003</v>
      </c>
      <c r="C65" s="77" t="str">
        <f ca="1">VLOOKUP($B65,OFFSET([2]quests!$A$1,0,0,COUNTA([2]quests!$A:$A),MATCH(C$1,[2]quests!$1:$1,0)-MATCH($B$1,[2]quests!$1:$1,0)+1),MATCH(C$1,[2]quests!$1:$1,0)-MATCH($B$1,[2]quests!$1:$1,0)+1,FALSE)</f>
        <v>ブルースクウェアを追え！</v>
      </c>
      <c r="D65" s="77" t="str">
        <f ca="1">VLOOKUP($B65,OFFSET([2]quests!$A$1,0,0,COUNTA([2]quests!$A:$A),MATCH(D$1,[2]quests!$1:$1,0)-MATCH($B$1,[2]quests!$1:$1,0)+1),MATCH(D$1,[2]quests!$1:$1,0)-MATCH($B$1,[2]quests!$1:$1,0)+1,FALSE)</f>
        <v>コラボクエスト</v>
      </c>
      <c r="E65" s="81">
        <v>3</v>
      </c>
      <c r="F65" s="77" t="str">
        <f ca="1">VLOOKUP($B65&amp;"_"&amp;$E65,OFFSET([2]stages!$A$1,0,0,COUNTA([2]stages!$A:$A),MATCH(F$1,[2]stages!$2:$2,0)-MATCH("temp_stage",[2]stages!$2:$2,0)+1),MATCH(F$1,[2]stages!$2:$2,0)-MATCH("temp_stage",[2]stages!$2:$2,0)+1,FALSE)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65" s="77" t="str">
        <f ca="1">VLOOKUP($B65&amp;"_"&amp;$E65,OFFSET([2]stages!$A$1,0,0,COUNTA([2]stages!$A:$A),MATCH(G$1,[2]stages!$2:$2,0)-MATCH("temp_stage",[2]stages!$2:$2,0)+1),MATCH(G$1,[2]stages!$2:$2,0)-MATCH("temp_stage",[2]stages!$2:$2,0)+1,FALSE)</f>
        <v>コラボクエスト</v>
      </c>
      <c r="H65" s="79">
        <v>0</v>
      </c>
      <c r="I65" s="91">
        <v>10</v>
      </c>
      <c r="J65" s="78" t="s">
        <v>197</v>
      </c>
      <c r="K65" s="87" t="str">
        <f>VLOOKUP(I65,[6]stage_hints!$A:$C,3,FALSE)</f>
        <v>土日に大量のビットを獲得</v>
      </c>
      <c r="L65" s="88" t="str">
        <f>VLOOKUP(I65,[6]stage_hints!$A:$D,4,FALSE)</f>
        <v>土日限定の「ゴールドカジノ」では_x000D_売却素材ユニットが多く手に入ります</v>
      </c>
      <c r="M65" s="51" t="s">
        <v>210</v>
      </c>
    </row>
    <row r="66" spans="1:13" x14ac:dyDescent="0.15">
      <c r="A66" s="75" t="s">
        <v>200</v>
      </c>
      <c r="B66" s="76">
        <f>floors!$C$2</f>
        <v>39003</v>
      </c>
      <c r="C66" s="77" t="str">
        <f ca="1">VLOOKUP($B66,OFFSET([2]quests!$A$1,0,0,COUNTA([2]quests!$A:$A),MATCH(C$1,[2]quests!$1:$1,0)-MATCH($B$1,[2]quests!$1:$1,0)+1),MATCH(C$1,[2]quests!$1:$1,0)-MATCH($B$1,[2]quests!$1:$1,0)+1,FALSE)</f>
        <v>ブルースクウェアを追え！</v>
      </c>
      <c r="D66" s="77" t="str">
        <f ca="1">VLOOKUP($B66,OFFSET([2]quests!$A$1,0,0,COUNTA([2]quests!$A:$A),MATCH(D$1,[2]quests!$1:$1,0)-MATCH($B$1,[2]quests!$1:$1,0)+1),MATCH(D$1,[2]quests!$1:$1,0)-MATCH($B$1,[2]quests!$1:$1,0)+1,FALSE)</f>
        <v>コラボクエスト</v>
      </c>
      <c r="E66" s="81">
        <v>3</v>
      </c>
      <c r="F66" s="77" t="str">
        <f ca="1">VLOOKUP($B66&amp;"_"&amp;$E66,OFFSET([2]stages!$A$1,0,0,COUNTA([2]stages!$A:$A),MATCH(F$1,[2]stages!$2:$2,0)-MATCH("temp_stage",[2]stages!$2:$2,0)+1),MATCH(F$1,[2]stages!$2:$2,0)-MATCH("temp_stage",[2]stages!$2:$2,0)+1,FALSE)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66" s="77" t="str">
        <f ca="1">VLOOKUP($B66&amp;"_"&amp;$E66,OFFSET([2]stages!$A$1,0,0,COUNTA([2]stages!$A:$A),MATCH(G$1,[2]stages!$2:$2,0)-MATCH("temp_stage",[2]stages!$2:$2,0)+1),MATCH(G$1,[2]stages!$2:$2,0)-MATCH("temp_stage",[2]stages!$2:$2,0)+1,FALSE)</f>
        <v>コラボクエスト</v>
      </c>
      <c r="H66" s="79">
        <v>0</v>
      </c>
      <c r="I66" s="91">
        <v>11</v>
      </c>
      <c r="J66" s="78" t="s">
        <v>197</v>
      </c>
      <c r="K66" s="87" t="str">
        <f>VLOOKUP(I66,[6]stage_hints!$A:$C,3,FALSE)</f>
        <v>ランク解放クエスト</v>
      </c>
      <c r="L66" s="88" t="str">
        <f>VLOOKUP(I66,[6]stage_hints!$A:$D,4,FALSE)</f>
        <v>一定ランクに到達すると_x000D_報酬付きのランク開放クエストが現れます</v>
      </c>
      <c r="M66" s="51" t="s">
        <v>210</v>
      </c>
    </row>
    <row r="67" spans="1:13" x14ac:dyDescent="0.15">
      <c r="A67" s="75" t="s">
        <v>200</v>
      </c>
      <c r="B67" s="76">
        <f>floors!$C$2</f>
        <v>39003</v>
      </c>
      <c r="C67" s="77" t="str">
        <f ca="1">VLOOKUP($B67,OFFSET([2]quests!$A$1,0,0,COUNTA([2]quests!$A:$A),MATCH(C$1,[2]quests!$1:$1,0)-MATCH($B$1,[2]quests!$1:$1,0)+1),MATCH(C$1,[2]quests!$1:$1,0)-MATCH($B$1,[2]quests!$1:$1,0)+1,FALSE)</f>
        <v>ブルースクウェアを追え！</v>
      </c>
      <c r="D67" s="77" t="str">
        <f ca="1">VLOOKUP($B67,OFFSET([2]quests!$A$1,0,0,COUNTA([2]quests!$A:$A),MATCH(D$1,[2]quests!$1:$1,0)-MATCH($B$1,[2]quests!$1:$1,0)+1),MATCH(D$1,[2]quests!$1:$1,0)-MATCH($B$1,[2]quests!$1:$1,0)+1,FALSE)</f>
        <v>コラボクエスト</v>
      </c>
      <c r="E67" s="81">
        <v>3</v>
      </c>
      <c r="F67" s="77" t="str">
        <f ca="1">VLOOKUP($B67&amp;"_"&amp;$E67,OFFSET([2]stages!$A$1,0,0,COUNTA([2]stages!$A:$A),MATCH(F$1,[2]stages!$2:$2,0)-MATCH("temp_stage",[2]stages!$2:$2,0)+1),MATCH(F$1,[2]stages!$2:$2,0)-MATCH("temp_stage",[2]stages!$2:$2,0)+1,FALSE)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67" s="77" t="str">
        <f ca="1">VLOOKUP($B67&amp;"_"&amp;$E67,OFFSET([2]stages!$A$1,0,0,COUNTA([2]stages!$A:$A),MATCH(G$1,[2]stages!$2:$2,0)-MATCH("temp_stage",[2]stages!$2:$2,0)+1),MATCH(G$1,[2]stages!$2:$2,0)-MATCH("temp_stage",[2]stages!$2:$2,0)+1,FALSE)</f>
        <v>コラボクエスト</v>
      </c>
      <c r="H67" s="79">
        <v>0</v>
      </c>
      <c r="I67" s="91">
        <v>12</v>
      </c>
      <c r="J67" s="78" t="s">
        <v>197</v>
      </c>
      <c r="K67" s="87" t="str">
        <f>VLOOKUP(I67,[6]stage_hints!$A:$C,3,FALSE)</f>
        <v>ユニットのお気に入り登録</v>
      </c>
      <c r="L67" s="88" t="str">
        <f>VLOOKUP(I67,[6]stage_hints!$A:$D,4,FALSE)</f>
        <v>大事なユニットを誤って消さないように_x000D_フォルダから「お気に入り登録」しましょう</v>
      </c>
      <c r="M67" s="51" t="s">
        <v>210</v>
      </c>
    </row>
    <row r="68" spans="1:13" x14ac:dyDescent="0.15">
      <c r="A68" s="75" t="s">
        <v>200</v>
      </c>
      <c r="B68" s="76">
        <f>floors!$C$2</f>
        <v>39003</v>
      </c>
      <c r="C68" s="77" t="str">
        <f ca="1">VLOOKUP($B68,OFFSET([2]quests!$A$1,0,0,COUNTA([2]quests!$A:$A),MATCH(C$1,[2]quests!$1:$1,0)-MATCH($B$1,[2]quests!$1:$1,0)+1),MATCH(C$1,[2]quests!$1:$1,0)-MATCH($B$1,[2]quests!$1:$1,0)+1,FALSE)</f>
        <v>ブルースクウェアを追え！</v>
      </c>
      <c r="D68" s="77" t="str">
        <f ca="1">VLOOKUP($B68,OFFSET([2]quests!$A$1,0,0,COUNTA([2]quests!$A:$A),MATCH(D$1,[2]quests!$1:$1,0)-MATCH($B$1,[2]quests!$1:$1,0)+1),MATCH(D$1,[2]quests!$1:$1,0)-MATCH($B$1,[2]quests!$1:$1,0)+1,FALSE)</f>
        <v>コラボクエスト</v>
      </c>
      <c r="E68" s="81">
        <v>3</v>
      </c>
      <c r="F68" s="77" t="str">
        <f ca="1">VLOOKUP($B68&amp;"_"&amp;$E68,OFFSET([2]stages!$A$1,0,0,COUNTA([2]stages!$A:$A),MATCH(F$1,[2]stages!$2:$2,0)-MATCH("temp_stage",[2]stages!$2:$2,0)+1),MATCH(F$1,[2]stages!$2:$2,0)-MATCH("temp_stage",[2]stages!$2:$2,0)+1,FALSE)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68" s="77" t="str">
        <f ca="1">VLOOKUP($B68&amp;"_"&amp;$E68,OFFSET([2]stages!$A$1,0,0,COUNTA([2]stages!$A:$A),MATCH(G$1,[2]stages!$2:$2,0)-MATCH("temp_stage",[2]stages!$2:$2,0)+1),MATCH(G$1,[2]stages!$2:$2,0)-MATCH("temp_stage",[2]stages!$2:$2,0)+1,FALSE)</f>
        <v>コラボクエスト</v>
      </c>
      <c r="H68" s="79">
        <v>0</v>
      </c>
      <c r="I68" s="91">
        <v>13</v>
      </c>
      <c r="J68" s="78" t="s">
        <v>197</v>
      </c>
      <c r="K68" s="87" t="str">
        <f>VLOOKUP(I68,[6]stage_hints!$A:$C,3,FALSE)</f>
        <v>ユニットの覚醒</v>
      </c>
      <c r="L68" s="88" t="str">
        <f>VLOOKUP(I68,[6]stage_hints!$A:$D,4,FALSE)</f>
        <v>ユニットを覚醒させると_x000D_比べものにならない強さが手に入ります</v>
      </c>
      <c r="M68" s="51" t="s">
        <v>210</v>
      </c>
    </row>
    <row r="69" spans="1:13" x14ac:dyDescent="0.15">
      <c r="A69" s="75" t="s">
        <v>200</v>
      </c>
      <c r="B69" s="76">
        <f>floors!$C$2</f>
        <v>39003</v>
      </c>
      <c r="C69" s="77" t="str">
        <f ca="1">VLOOKUP($B69,OFFSET([2]quests!$A$1,0,0,COUNTA([2]quests!$A:$A),MATCH(C$1,[2]quests!$1:$1,0)-MATCH($B$1,[2]quests!$1:$1,0)+1),MATCH(C$1,[2]quests!$1:$1,0)-MATCH($B$1,[2]quests!$1:$1,0)+1,FALSE)</f>
        <v>ブルースクウェアを追え！</v>
      </c>
      <c r="D69" s="77" t="str">
        <f ca="1">VLOOKUP($B69,OFFSET([2]quests!$A$1,0,0,COUNTA([2]quests!$A:$A),MATCH(D$1,[2]quests!$1:$1,0)-MATCH($B$1,[2]quests!$1:$1,0)+1),MATCH(D$1,[2]quests!$1:$1,0)-MATCH($B$1,[2]quests!$1:$1,0)+1,FALSE)</f>
        <v>コラボクエスト</v>
      </c>
      <c r="E69" s="81">
        <v>3</v>
      </c>
      <c r="F69" s="77" t="str">
        <f ca="1">VLOOKUP($B69&amp;"_"&amp;$E69,OFFSET([2]stages!$A$1,0,0,COUNTA([2]stages!$A:$A),MATCH(F$1,[2]stages!$2:$2,0)-MATCH("temp_stage",[2]stages!$2:$2,0)+1),MATCH(F$1,[2]stages!$2:$2,0)-MATCH("temp_stage",[2]stages!$2:$2,0)+1,FALSE)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69" s="77" t="str">
        <f ca="1">VLOOKUP($B69&amp;"_"&amp;$E69,OFFSET([2]stages!$A$1,0,0,COUNTA([2]stages!$A:$A),MATCH(G$1,[2]stages!$2:$2,0)-MATCH("temp_stage",[2]stages!$2:$2,0)+1),MATCH(G$1,[2]stages!$2:$2,0)-MATCH("temp_stage",[2]stages!$2:$2,0)+1,FALSE)</f>
        <v>コラボクエスト</v>
      </c>
      <c r="H69" s="79">
        <v>0</v>
      </c>
      <c r="I69" s="91">
        <v>14</v>
      </c>
      <c r="J69" s="78" t="s">
        <v>197</v>
      </c>
      <c r="K69" s="87" t="str">
        <f>VLOOKUP(I69,[6]stage_hints!$A:$C,3,FALSE)</f>
        <v>覚醒するにはレベルを最大に</v>
      </c>
      <c r="L69" s="88" t="str">
        <f>VLOOKUP(I69,[6]stage_hints!$A:$D,4,FALSE)</f>
        <v>覚醒するにはユニットのレベルを_x000D_最大まで上げる必要があります</v>
      </c>
      <c r="M69" s="51" t="s">
        <v>210</v>
      </c>
    </row>
    <row r="70" spans="1:13" x14ac:dyDescent="0.15">
      <c r="A70" s="75" t="s">
        <v>200</v>
      </c>
      <c r="B70" s="76">
        <f>floors!$C$2</f>
        <v>39003</v>
      </c>
      <c r="C70" s="77" t="str">
        <f ca="1">VLOOKUP($B70,OFFSET([2]quests!$A$1,0,0,COUNTA([2]quests!$A:$A),MATCH(C$1,[2]quests!$1:$1,0)-MATCH($B$1,[2]quests!$1:$1,0)+1),MATCH(C$1,[2]quests!$1:$1,0)-MATCH($B$1,[2]quests!$1:$1,0)+1,FALSE)</f>
        <v>ブルースクウェアを追え！</v>
      </c>
      <c r="D70" s="77" t="str">
        <f ca="1">VLOOKUP($B70,OFFSET([2]quests!$A$1,0,0,COUNTA([2]quests!$A:$A),MATCH(D$1,[2]quests!$1:$1,0)-MATCH($B$1,[2]quests!$1:$1,0)+1),MATCH(D$1,[2]quests!$1:$1,0)-MATCH($B$1,[2]quests!$1:$1,0)+1,FALSE)</f>
        <v>コラボクエスト</v>
      </c>
      <c r="E70" s="81">
        <v>3</v>
      </c>
      <c r="F70" s="77" t="str">
        <f ca="1">VLOOKUP($B70&amp;"_"&amp;$E70,OFFSET([2]stages!$A$1,0,0,COUNTA([2]stages!$A:$A),MATCH(F$1,[2]stages!$2:$2,0)-MATCH("temp_stage",[2]stages!$2:$2,0)+1),MATCH(F$1,[2]stages!$2:$2,0)-MATCH("temp_stage",[2]stages!$2:$2,0)+1,FALSE)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70" s="77" t="str">
        <f ca="1">VLOOKUP($B70&amp;"_"&amp;$E70,OFFSET([2]stages!$A$1,0,0,COUNTA([2]stages!$A:$A),MATCH(G$1,[2]stages!$2:$2,0)-MATCH("temp_stage",[2]stages!$2:$2,0)+1),MATCH(G$1,[2]stages!$2:$2,0)-MATCH("temp_stage",[2]stages!$2:$2,0)+1,FALSE)</f>
        <v>コラボクエスト</v>
      </c>
      <c r="H70" s="79">
        <v>0</v>
      </c>
      <c r="I70" s="91">
        <v>15</v>
      </c>
      <c r="J70" s="78" t="s">
        <v>197</v>
      </c>
      <c r="K70" s="87" t="str">
        <f>VLOOKUP(I70,[6]stage_hints!$A:$C,3,FALSE)</f>
        <v>覚醒素材を獲得</v>
      </c>
      <c r="L70" s="88" t="str">
        <f>VLOOKUP(I70,[6]stage_hints!$A:$D,4,FALSE)</f>
        <v>「曜日クエスト」では_x000D_ユニットの覚醒に必要な素材が手に入ります</v>
      </c>
      <c r="M70" s="51" t="s">
        <v>210</v>
      </c>
    </row>
    <row r="71" spans="1:13" x14ac:dyDescent="0.15">
      <c r="A71" s="75" t="s">
        <v>200</v>
      </c>
      <c r="B71" s="76">
        <f>floors!$C$2</f>
        <v>39003</v>
      </c>
      <c r="C71" s="77" t="str">
        <f ca="1">VLOOKUP($B71,OFFSET([2]quests!$A$1,0,0,COUNTA([2]quests!$A:$A),MATCH(C$1,[2]quests!$1:$1,0)-MATCH($B$1,[2]quests!$1:$1,0)+1),MATCH(C$1,[2]quests!$1:$1,0)-MATCH($B$1,[2]quests!$1:$1,0)+1,FALSE)</f>
        <v>ブルースクウェアを追え！</v>
      </c>
      <c r="D71" s="77" t="str">
        <f ca="1">VLOOKUP($B71,OFFSET([2]quests!$A$1,0,0,COUNTA([2]quests!$A:$A),MATCH(D$1,[2]quests!$1:$1,0)-MATCH($B$1,[2]quests!$1:$1,0)+1),MATCH(D$1,[2]quests!$1:$1,0)-MATCH($B$1,[2]quests!$1:$1,0)+1,FALSE)</f>
        <v>コラボクエスト</v>
      </c>
      <c r="E71" s="81">
        <v>3</v>
      </c>
      <c r="F71" s="77" t="str">
        <f ca="1">VLOOKUP($B71&amp;"_"&amp;$E71,OFFSET([2]stages!$A$1,0,0,COUNTA([2]stages!$A:$A),MATCH(F$1,[2]stages!$2:$2,0)-MATCH("temp_stage",[2]stages!$2:$2,0)+1),MATCH(F$1,[2]stages!$2:$2,0)-MATCH("temp_stage",[2]stages!$2:$2,0)+1,FALSE)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71" s="77" t="str">
        <f ca="1">VLOOKUP($B71&amp;"_"&amp;$E71,OFFSET([2]stages!$A$1,0,0,COUNTA([2]stages!$A:$A),MATCH(G$1,[2]stages!$2:$2,0)-MATCH("temp_stage",[2]stages!$2:$2,0)+1),MATCH(G$1,[2]stages!$2:$2,0)-MATCH("temp_stage",[2]stages!$2:$2,0)+1,FALSE)</f>
        <v>コラボクエスト</v>
      </c>
      <c r="H71" s="79">
        <v>0</v>
      </c>
      <c r="I71" s="91">
        <v>16</v>
      </c>
      <c r="J71" s="78" t="s">
        <v>197</v>
      </c>
      <c r="K71" s="87" t="str">
        <f>VLOOKUP(I71,[6]stage_hints!$A:$C,3,FALSE)</f>
        <v>マルチプレイのメリット（その1）</v>
      </c>
      <c r="L71" s="88" t="str">
        <f>VLOOKUP(I71,[6]stage_hints!$A:$D,4,FALSE)</f>
        <v>他のプレイヤーとマルチプレイで遊ぶと_x000D_ポリゴンがもらえます（100人まで）</v>
      </c>
      <c r="M71" s="51" t="s">
        <v>210</v>
      </c>
    </row>
    <row r="72" spans="1:13" x14ac:dyDescent="0.15">
      <c r="A72" s="75" t="s">
        <v>200</v>
      </c>
      <c r="B72" s="76">
        <f>floors!$C$2</f>
        <v>39003</v>
      </c>
      <c r="C72" s="77" t="str">
        <f ca="1">VLOOKUP($B72,OFFSET([2]quests!$A$1,0,0,COUNTA([2]quests!$A:$A),MATCH(C$1,[2]quests!$1:$1,0)-MATCH($B$1,[2]quests!$1:$1,0)+1),MATCH(C$1,[2]quests!$1:$1,0)-MATCH($B$1,[2]quests!$1:$1,0)+1,FALSE)</f>
        <v>ブルースクウェアを追え！</v>
      </c>
      <c r="D72" s="77" t="str">
        <f ca="1">VLOOKUP($B72,OFFSET([2]quests!$A$1,0,0,COUNTA([2]quests!$A:$A),MATCH(D$1,[2]quests!$1:$1,0)-MATCH($B$1,[2]quests!$1:$1,0)+1),MATCH(D$1,[2]quests!$1:$1,0)-MATCH($B$1,[2]quests!$1:$1,0)+1,FALSE)</f>
        <v>コラボクエスト</v>
      </c>
      <c r="E72" s="81">
        <v>3</v>
      </c>
      <c r="F72" s="77" t="str">
        <f ca="1">VLOOKUP($B72&amp;"_"&amp;$E72,OFFSET([2]stages!$A$1,0,0,COUNTA([2]stages!$A:$A),MATCH(F$1,[2]stages!$2:$2,0)-MATCH("temp_stage",[2]stages!$2:$2,0)+1),MATCH(F$1,[2]stages!$2:$2,0)-MATCH("temp_stage",[2]stages!$2:$2,0)+1,FALSE)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72" s="77" t="str">
        <f ca="1">VLOOKUP($B72&amp;"_"&amp;$E72,OFFSET([2]stages!$A$1,0,0,COUNTA([2]stages!$A:$A),MATCH(G$1,[2]stages!$2:$2,0)-MATCH("temp_stage",[2]stages!$2:$2,0)+1),MATCH(G$1,[2]stages!$2:$2,0)-MATCH("temp_stage",[2]stages!$2:$2,0)+1,FALSE)</f>
        <v>コラボクエスト</v>
      </c>
      <c r="H72" s="79">
        <v>0</v>
      </c>
      <c r="I72" s="91">
        <v>17</v>
      </c>
      <c r="J72" s="78" t="s">
        <v>197</v>
      </c>
      <c r="K72" s="87" t="str">
        <f>VLOOKUP(I72,[6]stage_hints!$A:$C,3,FALSE)</f>
        <v>リンクガチャ</v>
      </c>
      <c r="L72" s="88" t="str">
        <f>VLOOKUP(I72,[6]stage_hints!$A:$D,4,FALSE)</f>
        <v>無料のリンクガチャを回して_x000D_経験値素材や売却素材を獲得しましょう</v>
      </c>
      <c r="M72" s="51" t="s">
        <v>210</v>
      </c>
    </row>
    <row r="73" spans="1:13" x14ac:dyDescent="0.15">
      <c r="A73" s="75" t="s">
        <v>200</v>
      </c>
      <c r="B73" s="76">
        <f>floors!$C$2</f>
        <v>39003</v>
      </c>
      <c r="C73" s="77" t="str">
        <f ca="1">VLOOKUP($B73,OFFSET([2]quests!$A$1,0,0,COUNTA([2]quests!$A:$A),MATCH(C$1,[2]quests!$1:$1,0)-MATCH($B$1,[2]quests!$1:$1,0)+1),MATCH(C$1,[2]quests!$1:$1,0)-MATCH($B$1,[2]quests!$1:$1,0)+1,FALSE)</f>
        <v>ブルースクウェアを追え！</v>
      </c>
      <c r="D73" s="77" t="str">
        <f ca="1">VLOOKUP($B73,OFFSET([2]quests!$A$1,0,0,COUNTA([2]quests!$A:$A),MATCH(D$1,[2]quests!$1:$1,0)-MATCH($B$1,[2]quests!$1:$1,0)+1),MATCH(D$1,[2]quests!$1:$1,0)-MATCH($B$1,[2]quests!$1:$1,0)+1,FALSE)</f>
        <v>コラボクエスト</v>
      </c>
      <c r="E73" s="81">
        <v>3</v>
      </c>
      <c r="F73" s="77" t="str">
        <f ca="1">VLOOKUP($B73&amp;"_"&amp;$E73,OFFSET([2]stages!$A$1,0,0,COUNTA([2]stages!$A:$A),MATCH(F$1,[2]stages!$2:$2,0)-MATCH("temp_stage",[2]stages!$2:$2,0)+1),MATCH(F$1,[2]stages!$2:$2,0)-MATCH("temp_stage",[2]stages!$2:$2,0)+1,FALSE)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73" s="77" t="str">
        <f ca="1">VLOOKUP($B73&amp;"_"&amp;$E73,OFFSET([2]stages!$A$1,0,0,COUNTA([2]stages!$A:$A),MATCH(G$1,[2]stages!$2:$2,0)-MATCH("temp_stage",[2]stages!$2:$2,0)+1),MATCH(G$1,[2]stages!$2:$2,0)-MATCH("temp_stage",[2]stages!$2:$2,0)+1,FALSE)</f>
        <v>コラボクエスト</v>
      </c>
      <c r="H73" s="79">
        <v>0</v>
      </c>
      <c r="I73" s="91">
        <v>18</v>
      </c>
      <c r="J73" s="78" t="s">
        <v>197</v>
      </c>
      <c r="K73" s="87" t="str">
        <f>VLOOKUP(I73,[6]stage_hints!$A:$C,3,FALSE)</f>
        <v>マルチプレイのメリット（その2）</v>
      </c>
      <c r="L73" s="88" t="str">
        <f>VLOOKUP(I73,[6]stage_hints!$A:$D,4,FALSE)</f>
        <v>マルチプレイならリンクが2倍もらえます_x000D_リンクガチャをたくさん回しましょう</v>
      </c>
      <c r="M73" s="51" t="s">
        <v>210</v>
      </c>
    </row>
    <row r="74" spans="1:13" x14ac:dyDescent="0.15">
      <c r="A74" s="75" t="s">
        <v>200</v>
      </c>
      <c r="B74" s="76">
        <f>floors!$C$2</f>
        <v>39003</v>
      </c>
      <c r="C74" s="77" t="str">
        <f ca="1">VLOOKUP($B74,OFFSET([2]quests!$A$1,0,0,COUNTA([2]quests!$A:$A),MATCH(C$1,[2]quests!$1:$1,0)-MATCH($B$1,[2]quests!$1:$1,0)+1),MATCH(C$1,[2]quests!$1:$1,0)-MATCH($B$1,[2]quests!$1:$1,0)+1,FALSE)</f>
        <v>ブルースクウェアを追え！</v>
      </c>
      <c r="D74" s="77" t="str">
        <f ca="1">VLOOKUP($B74,OFFSET([2]quests!$A$1,0,0,COUNTA([2]quests!$A:$A),MATCH(D$1,[2]quests!$1:$1,0)-MATCH($B$1,[2]quests!$1:$1,0)+1),MATCH(D$1,[2]quests!$1:$1,0)-MATCH($B$1,[2]quests!$1:$1,0)+1,FALSE)</f>
        <v>コラボクエスト</v>
      </c>
      <c r="E74" s="81">
        <v>3</v>
      </c>
      <c r="F74" s="77" t="str">
        <f ca="1">VLOOKUP($B74&amp;"_"&amp;$E74,OFFSET([2]stages!$A$1,0,0,COUNTA([2]stages!$A:$A),MATCH(F$1,[2]stages!$2:$2,0)-MATCH("temp_stage",[2]stages!$2:$2,0)+1),MATCH(F$1,[2]stages!$2:$2,0)-MATCH("temp_stage",[2]stages!$2:$2,0)+1,FALSE)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74" s="77" t="str">
        <f ca="1">VLOOKUP($B74&amp;"_"&amp;$E74,OFFSET([2]stages!$A$1,0,0,COUNTA([2]stages!$A:$A),MATCH(G$1,[2]stages!$2:$2,0)-MATCH("temp_stage",[2]stages!$2:$2,0)+1),MATCH(G$1,[2]stages!$2:$2,0)-MATCH("temp_stage",[2]stages!$2:$2,0)+1,FALSE)</f>
        <v>コラボクエスト</v>
      </c>
      <c r="H74" s="79">
        <v>0</v>
      </c>
      <c r="I74" s="91">
        <v>19</v>
      </c>
      <c r="J74" s="78" t="s">
        <v>197</v>
      </c>
      <c r="K74" s="87" t="str">
        <f>VLOOKUP(I74,[6]stage_hints!$A:$C,3,FALSE)</f>
        <v>ソロ専用チャレンジタワー</v>
      </c>
      <c r="L74" s="88" t="str">
        <f>VLOOKUP(I74,[6]stage_hints!$A:$D,4,FALSE)</f>
        <v>ソロ専用の「チャレンジタワー」では_x000D_各フロアごとにクリア報酬がもらえます</v>
      </c>
      <c r="M74" s="51" t="s">
        <v>210</v>
      </c>
    </row>
    <row r="75" spans="1:13" x14ac:dyDescent="0.15">
      <c r="A75" s="75" t="s">
        <v>200</v>
      </c>
      <c r="B75" s="76">
        <f>floors!$C$2</f>
        <v>39003</v>
      </c>
      <c r="C75" s="77" t="str">
        <f ca="1">VLOOKUP($B75,OFFSET([2]quests!$A$1,0,0,COUNTA([2]quests!$A:$A),MATCH(C$1,[2]quests!$1:$1,0)-MATCH($B$1,[2]quests!$1:$1,0)+1),MATCH(C$1,[2]quests!$1:$1,0)-MATCH($B$1,[2]quests!$1:$1,0)+1,FALSE)</f>
        <v>ブルースクウェアを追え！</v>
      </c>
      <c r="D75" s="77" t="str">
        <f ca="1">VLOOKUP($B75,OFFSET([2]quests!$A$1,0,0,COUNTA([2]quests!$A:$A),MATCH(D$1,[2]quests!$1:$1,0)-MATCH($B$1,[2]quests!$1:$1,0)+1),MATCH(D$1,[2]quests!$1:$1,0)-MATCH($B$1,[2]quests!$1:$1,0)+1,FALSE)</f>
        <v>コラボクエスト</v>
      </c>
      <c r="E75" s="81">
        <v>3</v>
      </c>
      <c r="F75" s="77" t="str">
        <f ca="1">VLOOKUP($B75&amp;"_"&amp;$E75,OFFSET([2]stages!$A$1,0,0,COUNTA([2]stages!$A:$A),MATCH(F$1,[2]stages!$2:$2,0)-MATCH("temp_stage",[2]stages!$2:$2,0)+1),MATCH(F$1,[2]stages!$2:$2,0)-MATCH("temp_stage",[2]stages!$2:$2,0)+1,FALSE)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75" s="77" t="str">
        <f ca="1">VLOOKUP($B75&amp;"_"&amp;$E75,OFFSET([2]stages!$A$1,0,0,COUNTA([2]stages!$A:$A),MATCH(G$1,[2]stages!$2:$2,0)-MATCH("temp_stage",[2]stages!$2:$2,0)+1),MATCH(G$1,[2]stages!$2:$2,0)-MATCH("temp_stage",[2]stages!$2:$2,0)+1,FALSE)</f>
        <v>コラボクエスト</v>
      </c>
      <c r="H75" s="79">
        <v>0</v>
      </c>
      <c r="I75" s="91">
        <v>20</v>
      </c>
      <c r="J75" s="78" t="s">
        <v>197</v>
      </c>
      <c r="K75" s="87" t="str">
        <f>VLOOKUP(I75,[6]stage_hints!$A:$C,3,FALSE)</f>
        <v>マルチプレイのメリット（その3）</v>
      </c>
      <c r="L75" s="88" t="str">
        <f>VLOOKUP(I75,[6]stage_hints!$A:$D,4,FALSE)</f>
        <v>マルチプレイへの参加はエナジー消費ゼロ_x000D_いつでも好きなだけ遊ぶことができます</v>
      </c>
      <c r="M75" s="51" t="s">
        <v>210</v>
      </c>
    </row>
    <row r="76" spans="1:13" x14ac:dyDescent="0.15">
      <c r="A76" s="75" t="s">
        <v>200</v>
      </c>
      <c r="B76" s="76">
        <f>floors!$C$2</f>
        <v>39003</v>
      </c>
      <c r="C76" s="77" t="str">
        <f ca="1">VLOOKUP($B76,OFFSET([2]quests!$A$1,0,0,COUNTA([2]quests!$A:$A),MATCH(C$1,[2]quests!$1:$1,0)-MATCH($B$1,[2]quests!$1:$1,0)+1),MATCH(C$1,[2]quests!$1:$1,0)-MATCH($B$1,[2]quests!$1:$1,0)+1,FALSE)</f>
        <v>ブルースクウェアを追え！</v>
      </c>
      <c r="D76" s="77" t="str">
        <f ca="1">VLOOKUP($B76,OFFSET([2]quests!$A$1,0,0,COUNTA([2]quests!$A:$A),MATCH(D$1,[2]quests!$1:$1,0)-MATCH($B$1,[2]quests!$1:$1,0)+1),MATCH(D$1,[2]quests!$1:$1,0)-MATCH($B$1,[2]quests!$1:$1,0)+1,FALSE)</f>
        <v>コラボクエスト</v>
      </c>
      <c r="E76" s="81">
        <v>3</v>
      </c>
      <c r="F76" s="77" t="str">
        <f ca="1">VLOOKUP($B76&amp;"_"&amp;$E76,OFFSET([2]stages!$A$1,0,0,COUNTA([2]stages!$A:$A),MATCH(F$1,[2]stages!$2:$2,0)-MATCH("temp_stage",[2]stages!$2:$2,0)+1),MATCH(F$1,[2]stages!$2:$2,0)-MATCH("temp_stage",[2]stages!$2:$2,0)+1,FALSE)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76" s="77" t="str">
        <f ca="1">VLOOKUP($B76&amp;"_"&amp;$E76,OFFSET([2]stages!$A$1,0,0,COUNTA([2]stages!$A:$A),MATCH(G$1,[2]stages!$2:$2,0)-MATCH("temp_stage",[2]stages!$2:$2,0)+1),MATCH(G$1,[2]stages!$2:$2,0)-MATCH("temp_stage",[2]stages!$2:$2,0)+1,FALSE)</f>
        <v>コラボクエスト</v>
      </c>
      <c r="H76" s="79">
        <v>0</v>
      </c>
      <c r="I76" s="91">
        <v>21</v>
      </c>
      <c r="J76" s="78" t="s">
        <v>197</v>
      </c>
      <c r="K76" s="87" t="str">
        <f>VLOOKUP(I76,[6]stage_hints!$A:$C,3,FALSE)</f>
        <v>スキルを有効に</v>
      </c>
      <c r="L76" s="88" t="str">
        <f>VLOOKUP(I76,[6]stage_hints!$A:$D,4,FALSE)</f>
        <v>ターン経過でユニットのスキルが使えます_x000D_強力スキルでバトルを有利に進めましょう</v>
      </c>
      <c r="M76" s="51" t="s">
        <v>210</v>
      </c>
    </row>
    <row r="77" spans="1:13" x14ac:dyDescent="0.15">
      <c r="A77" s="75" t="s">
        <v>200</v>
      </c>
      <c r="B77" s="76">
        <f>floors!$C$2</f>
        <v>39003</v>
      </c>
      <c r="C77" s="77" t="str">
        <f ca="1">VLOOKUP($B77,OFFSET([2]quests!$A$1,0,0,COUNTA([2]quests!$A:$A),MATCH(C$1,[2]quests!$1:$1,0)-MATCH($B$1,[2]quests!$1:$1,0)+1),MATCH(C$1,[2]quests!$1:$1,0)-MATCH($B$1,[2]quests!$1:$1,0)+1,FALSE)</f>
        <v>ブルースクウェアを追え！</v>
      </c>
      <c r="D77" s="77" t="str">
        <f ca="1">VLOOKUP($B77,OFFSET([2]quests!$A$1,0,0,COUNTA([2]quests!$A:$A),MATCH(D$1,[2]quests!$1:$1,0)-MATCH($B$1,[2]quests!$1:$1,0)+1),MATCH(D$1,[2]quests!$1:$1,0)-MATCH($B$1,[2]quests!$1:$1,0)+1,FALSE)</f>
        <v>コラボクエスト</v>
      </c>
      <c r="E77" s="81">
        <v>3</v>
      </c>
      <c r="F77" s="77" t="str">
        <f ca="1">VLOOKUP($B77&amp;"_"&amp;$E77,OFFSET([2]stages!$A$1,0,0,COUNTA([2]stages!$A:$A),MATCH(F$1,[2]stages!$2:$2,0)-MATCH("temp_stage",[2]stages!$2:$2,0)+1),MATCH(F$1,[2]stages!$2:$2,0)-MATCH("temp_stage",[2]stages!$2:$2,0)+1,FALSE)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77" s="77" t="str">
        <f ca="1">VLOOKUP($B77&amp;"_"&amp;$E77,OFFSET([2]stages!$A$1,0,0,COUNTA([2]stages!$A:$A),MATCH(G$1,[2]stages!$2:$2,0)-MATCH("temp_stage",[2]stages!$2:$2,0)+1),MATCH(G$1,[2]stages!$2:$2,0)-MATCH("temp_stage",[2]stages!$2:$2,0)+1,FALSE)</f>
        <v>コラボクエスト</v>
      </c>
      <c r="H77" s="79">
        <v>0</v>
      </c>
      <c r="I77" s="91">
        <v>22</v>
      </c>
      <c r="J77" s="78" t="s">
        <v>197</v>
      </c>
      <c r="K77" s="87" t="str">
        <f>VLOOKUP(I77,[6]stage_hints!$A:$C,3,FALSE)</f>
        <v>フィーバーで一発逆転（その1）</v>
      </c>
      <c r="L77" s="88" t="str">
        <f>VLOOKUP(I77,[6]stage_hints!$A:$D,4,FALSE)</f>
        <v>フィーバーは攻撃と回復を兼ね備えます_x000D_ピンチからの一発逆転を狙いましょう</v>
      </c>
      <c r="M77" s="51" t="s">
        <v>210</v>
      </c>
    </row>
    <row r="78" spans="1:13" x14ac:dyDescent="0.15">
      <c r="A78" s="75" t="s">
        <v>200</v>
      </c>
      <c r="B78" s="76">
        <f>floors!$C$2</f>
        <v>39003</v>
      </c>
      <c r="C78" s="77" t="str">
        <f ca="1">VLOOKUP($B78,OFFSET([2]quests!$A$1,0,0,COUNTA([2]quests!$A:$A),MATCH(C$1,[2]quests!$1:$1,0)-MATCH($B$1,[2]quests!$1:$1,0)+1),MATCH(C$1,[2]quests!$1:$1,0)-MATCH($B$1,[2]quests!$1:$1,0)+1,FALSE)</f>
        <v>ブルースクウェアを追え！</v>
      </c>
      <c r="D78" s="77" t="str">
        <f ca="1">VLOOKUP($B78,OFFSET([2]quests!$A$1,0,0,COUNTA([2]quests!$A:$A),MATCH(D$1,[2]quests!$1:$1,0)-MATCH($B$1,[2]quests!$1:$1,0)+1),MATCH(D$1,[2]quests!$1:$1,0)-MATCH($B$1,[2]quests!$1:$1,0)+1,FALSE)</f>
        <v>コラボクエスト</v>
      </c>
      <c r="E78" s="81">
        <v>3</v>
      </c>
      <c r="F78" s="77" t="str">
        <f ca="1">VLOOKUP($B78&amp;"_"&amp;$E78,OFFSET([2]stages!$A$1,0,0,COUNTA([2]stages!$A:$A),MATCH(F$1,[2]stages!$2:$2,0)-MATCH("temp_stage",[2]stages!$2:$2,0)+1),MATCH(F$1,[2]stages!$2:$2,0)-MATCH("temp_stage",[2]stages!$2:$2,0)+1,FALSE)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78" s="77" t="str">
        <f ca="1">VLOOKUP($B78&amp;"_"&amp;$E78,OFFSET([2]stages!$A$1,0,0,COUNTA([2]stages!$A:$A),MATCH(G$1,[2]stages!$2:$2,0)-MATCH("temp_stage",[2]stages!$2:$2,0)+1),MATCH(G$1,[2]stages!$2:$2,0)-MATCH("temp_stage",[2]stages!$2:$2,0)+1,FALSE)</f>
        <v>コラボクエスト</v>
      </c>
      <c r="H78" s="79">
        <v>0</v>
      </c>
      <c r="I78" s="91">
        <v>23</v>
      </c>
      <c r="J78" s="78" t="s">
        <v>197</v>
      </c>
      <c r="K78" s="87" t="str">
        <f>VLOOKUP(I78,[6]stage_hints!$A:$C,3,FALSE)</f>
        <v>フィーバーで一発逆転（その2）</v>
      </c>
      <c r="L78" s="88" t="str">
        <f>VLOOKUP(I78,[6]stage_hints!$A:$D,4,FALSE)</f>
        <v>フィーバー中は虹色のボムパネルを狙って_x000D_画面上のパネルを一気に破壊しましょう</v>
      </c>
      <c r="M78" s="51" t="s">
        <v>210</v>
      </c>
    </row>
    <row r="79" spans="1:13" x14ac:dyDescent="0.15">
      <c r="A79" s="75" t="s">
        <v>200</v>
      </c>
      <c r="B79" s="76">
        <f>floors!$C$2</f>
        <v>39003</v>
      </c>
      <c r="C79" s="77" t="str">
        <f ca="1">VLOOKUP($B79,OFFSET([2]quests!$A$1,0,0,COUNTA([2]quests!$A:$A),MATCH(C$1,[2]quests!$1:$1,0)-MATCH($B$1,[2]quests!$1:$1,0)+1),MATCH(C$1,[2]quests!$1:$1,0)-MATCH($B$1,[2]quests!$1:$1,0)+1,FALSE)</f>
        <v>ブルースクウェアを追え！</v>
      </c>
      <c r="D79" s="77" t="str">
        <f ca="1">VLOOKUP($B79,OFFSET([2]quests!$A$1,0,0,COUNTA([2]quests!$A:$A),MATCH(D$1,[2]quests!$1:$1,0)-MATCH($B$1,[2]quests!$1:$1,0)+1),MATCH(D$1,[2]quests!$1:$1,0)-MATCH($B$1,[2]quests!$1:$1,0)+1,FALSE)</f>
        <v>コラボクエスト</v>
      </c>
      <c r="E79" s="81">
        <v>3</v>
      </c>
      <c r="F79" s="77" t="str">
        <f ca="1">VLOOKUP($B79&amp;"_"&amp;$E79,OFFSET([2]stages!$A$1,0,0,COUNTA([2]stages!$A:$A),MATCH(F$1,[2]stages!$2:$2,0)-MATCH("temp_stage",[2]stages!$2:$2,0)+1),MATCH(F$1,[2]stages!$2:$2,0)-MATCH("temp_stage",[2]stages!$2:$2,0)+1,FALSE)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79" s="77" t="str">
        <f ca="1">VLOOKUP($B79&amp;"_"&amp;$E79,OFFSET([2]stages!$A$1,0,0,COUNTA([2]stages!$A:$A),MATCH(G$1,[2]stages!$2:$2,0)-MATCH("temp_stage",[2]stages!$2:$2,0)+1),MATCH(G$1,[2]stages!$2:$2,0)-MATCH("temp_stage",[2]stages!$2:$2,0)+1,FALSE)</f>
        <v>コラボクエスト</v>
      </c>
      <c r="H79" s="79">
        <v>0</v>
      </c>
      <c r="I79" s="91">
        <v>24</v>
      </c>
      <c r="J79" s="78" t="s">
        <v>197</v>
      </c>
      <c r="K79" s="87" t="str">
        <f>VLOOKUP(I79,[6]stage_hints!$A:$C,3,FALSE)</f>
        <v>りんごを使って限界突破</v>
      </c>
      <c r="L79" s="88" t="str">
        <f>VLOOKUP(I79,[6]stage_hints!$A:$D,4,FALSE)</f>
        <v>赤りんご(攻撃力) 青りんご(回復力)_x000D_緑りんご(体力)をユニット強化に使うと_x000D_ステータスが限界突破します（計99個迄）</v>
      </c>
      <c r="M79" s="51" t="s">
        <v>210</v>
      </c>
    </row>
    <row r="80" spans="1:13" x14ac:dyDescent="0.15">
      <c r="A80" s="75" t="s">
        <v>200</v>
      </c>
      <c r="B80" s="76">
        <f>floors!$C$2</f>
        <v>39003</v>
      </c>
      <c r="C80" s="77" t="str">
        <f ca="1">VLOOKUP($B80,OFFSET([2]quests!$A$1,0,0,COUNTA([2]quests!$A:$A),MATCH(C$1,[2]quests!$1:$1,0)-MATCH($B$1,[2]quests!$1:$1,0)+1),MATCH(C$1,[2]quests!$1:$1,0)-MATCH($B$1,[2]quests!$1:$1,0)+1,FALSE)</f>
        <v>ブルースクウェアを追え！</v>
      </c>
      <c r="D80" s="77" t="str">
        <f ca="1">VLOOKUP($B80,OFFSET([2]quests!$A$1,0,0,COUNTA([2]quests!$A:$A),MATCH(D$1,[2]quests!$1:$1,0)-MATCH($B$1,[2]quests!$1:$1,0)+1),MATCH(D$1,[2]quests!$1:$1,0)-MATCH($B$1,[2]quests!$1:$1,0)+1,FALSE)</f>
        <v>コラボクエスト</v>
      </c>
      <c r="E80" s="81">
        <v>3</v>
      </c>
      <c r="F80" s="77" t="str">
        <f ca="1">VLOOKUP($B80&amp;"_"&amp;$E80,OFFSET([2]stages!$A$1,0,0,COUNTA([2]stages!$A:$A),MATCH(F$1,[2]stages!$2:$2,0)-MATCH("temp_stage",[2]stages!$2:$2,0)+1),MATCH(F$1,[2]stages!$2:$2,0)-MATCH("temp_stage",[2]stages!$2:$2,0)+1,FALSE)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80" s="77" t="str">
        <f ca="1">VLOOKUP($B80&amp;"_"&amp;$E80,OFFSET([2]stages!$A$1,0,0,COUNTA([2]stages!$A:$A),MATCH(G$1,[2]stages!$2:$2,0)-MATCH("temp_stage",[2]stages!$2:$2,0)+1),MATCH(G$1,[2]stages!$2:$2,0)-MATCH("temp_stage",[2]stages!$2:$2,0)+1,FALSE)</f>
        <v>コラボクエスト</v>
      </c>
      <c r="H80" s="79">
        <v>0</v>
      </c>
      <c r="I80" s="91">
        <v>25</v>
      </c>
      <c r="J80" s="78" t="s">
        <v>197</v>
      </c>
      <c r="K80" s="87" t="str">
        <f>VLOOKUP(I80,[6]stage_hints!$A:$C,3,FALSE)</f>
        <v>スキルレベルアップ</v>
      </c>
      <c r="L80" s="88" t="str">
        <f>VLOOKUP(I80,[6]stage_hints!$A:$D,4,FALSE)</f>
        <v>「クリスタルのりんご」を強化に使うと_x000D_スキルレベルを上げることができます</v>
      </c>
      <c r="M80" s="51" t="s">
        <v>210</v>
      </c>
    </row>
    <row r="81" spans="1:13" x14ac:dyDescent="0.15">
      <c r="A81" s="75" t="s">
        <v>200</v>
      </c>
      <c r="B81" s="76">
        <f>floors!$C$2</f>
        <v>39003</v>
      </c>
      <c r="C81" s="77" t="str">
        <f ca="1">VLOOKUP($B81,OFFSET([2]quests!$A$1,0,0,COUNTA([2]quests!$A:$A),MATCH(C$1,[2]quests!$1:$1,0)-MATCH($B$1,[2]quests!$1:$1,0)+1),MATCH(C$1,[2]quests!$1:$1,0)-MATCH($B$1,[2]quests!$1:$1,0)+1,FALSE)</f>
        <v>ブルースクウェアを追え！</v>
      </c>
      <c r="D81" s="77" t="str">
        <f ca="1">VLOOKUP($B81,OFFSET([2]quests!$A$1,0,0,COUNTA([2]quests!$A:$A),MATCH(D$1,[2]quests!$1:$1,0)-MATCH($B$1,[2]quests!$1:$1,0)+1),MATCH(D$1,[2]quests!$1:$1,0)-MATCH($B$1,[2]quests!$1:$1,0)+1,FALSE)</f>
        <v>コラボクエスト</v>
      </c>
      <c r="E81" s="81">
        <v>3</v>
      </c>
      <c r="F81" s="77" t="str">
        <f ca="1">VLOOKUP($B81&amp;"_"&amp;$E81,OFFSET([2]stages!$A$1,0,0,COUNTA([2]stages!$A:$A),MATCH(F$1,[2]stages!$2:$2,0)-MATCH("temp_stage",[2]stages!$2:$2,0)+1),MATCH(F$1,[2]stages!$2:$2,0)-MATCH("temp_stage",[2]stages!$2:$2,0)+1,FALSE)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81" s="77" t="str">
        <f ca="1">VLOOKUP($B81&amp;"_"&amp;$E81,OFFSET([2]stages!$A$1,0,0,COUNTA([2]stages!$A:$A),MATCH(G$1,[2]stages!$2:$2,0)-MATCH("temp_stage",[2]stages!$2:$2,0)+1),MATCH(G$1,[2]stages!$2:$2,0)-MATCH("temp_stage",[2]stages!$2:$2,0)+1,FALSE)</f>
        <v>コラボクエスト</v>
      </c>
      <c r="H81" s="79">
        <v>0</v>
      </c>
      <c r="I81" s="91">
        <v>26</v>
      </c>
      <c r="J81" s="78" t="s">
        <v>197</v>
      </c>
      <c r="K81" s="87" t="str">
        <f>VLOOKUP(I81,[6]stage_hints!$A:$C,3,FALSE)</f>
        <v>スキルレベルの効果</v>
      </c>
      <c r="L81" s="88" t="str">
        <f>VLOOKUP(I81,[6]stage_hints!$A:$D,4,FALSE)</f>
        <v>スキルレベルが上がると_x000D_短いターンでスキルを使うことができます</v>
      </c>
      <c r="M81" s="51" t="s">
        <v>210</v>
      </c>
    </row>
    <row r="82" spans="1:13" x14ac:dyDescent="0.15">
      <c r="A82" s="75" t="s">
        <v>200</v>
      </c>
      <c r="B82" s="76">
        <f>floors!$C$2</f>
        <v>39003</v>
      </c>
      <c r="C82" s="77" t="str">
        <f ca="1">VLOOKUP($B82,OFFSET([2]quests!$A$1,0,0,COUNTA([2]quests!$A:$A),MATCH(C$1,[2]quests!$1:$1,0)-MATCH($B$1,[2]quests!$1:$1,0)+1),MATCH(C$1,[2]quests!$1:$1,0)-MATCH($B$1,[2]quests!$1:$1,0)+1,FALSE)</f>
        <v>ブルースクウェアを追え！</v>
      </c>
      <c r="D82" s="77" t="str">
        <f ca="1">VLOOKUP($B82,OFFSET([2]quests!$A$1,0,0,COUNTA([2]quests!$A:$A),MATCH(D$1,[2]quests!$1:$1,0)-MATCH($B$1,[2]quests!$1:$1,0)+1),MATCH(D$1,[2]quests!$1:$1,0)-MATCH($B$1,[2]quests!$1:$1,0)+1,FALSE)</f>
        <v>コラボクエスト</v>
      </c>
      <c r="E82" s="81">
        <v>3</v>
      </c>
      <c r="F82" s="77" t="str">
        <f ca="1">VLOOKUP($B82&amp;"_"&amp;$E82,OFFSET([2]stages!$A$1,0,0,COUNTA([2]stages!$A:$A),MATCH(F$1,[2]stages!$2:$2,0)-MATCH("temp_stage",[2]stages!$2:$2,0)+1),MATCH(F$1,[2]stages!$2:$2,0)-MATCH("temp_stage",[2]stages!$2:$2,0)+1,FALSE)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82" s="77" t="str">
        <f ca="1">VLOOKUP($B82&amp;"_"&amp;$E82,OFFSET([2]stages!$A$1,0,0,COUNTA([2]stages!$A:$A),MATCH(G$1,[2]stages!$2:$2,0)-MATCH("temp_stage",[2]stages!$2:$2,0)+1),MATCH(G$1,[2]stages!$2:$2,0)-MATCH("temp_stage",[2]stages!$2:$2,0)+1,FALSE)</f>
        <v>コラボクエスト</v>
      </c>
      <c r="H82" s="79">
        <v>0</v>
      </c>
      <c r="I82" s="91">
        <v>27</v>
      </c>
      <c r="J82" s="78" t="s">
        <v>197</v>
      </c>
      <c r="K82" s="87" t="str">
        <f>VLOOKUP(I82,[6]stage_hints!$A:$C,3,FALSE)</f>
        <v>ホーム画面からデッキを編成</v>
      </c>
      <c r="L82" s="88" t="str">
        <f>VLOOKUP(I82,[6]stage_hints!$A:$D,4,FALSE)</f>
        <v>ホーム画面でユニットを長押しすると_x000D_すぐにパーティ編成に移動できます</v>
      </c>
      <c r="M82" s="51" t="s">
        <v>210</v>
      </c>
    </row>
    <row r="83" spans="1:13" x14ac:dyDescent="0.15">
      <c r="A83" s="75" t="s">
        <v>200</v>
      </c>
      <c r="B83" s="76">
        <f>floors!$C$2</f>
        <v>39003</v>
      </c>
      <c r="C83" s="77" t="str">
        <f ca="1">VLOOKUP($B83,OFFSET([2]quests!$A$1,0,0,COUNTA([2]quests!$A:$A),MATCH(C$1,[2]quests!$1:$1,0)-MATCH($B$1,[2]quests!$1:$1,0)+1),MATCH(C$1,[2]quests!$1:$1,0)-MATCH($B$1,[2]quests!$1:$1,0)+1,FALSE)</f>
        <v>ブルースクウェアを追え！</v>
      </c>
      <c r="D83" s="77" t="str">
        <f ca="1">VLOOKUP($B83,OFFSET([2]quests!$A$1,0,0,COUNTA([2]quests!$A:$A),MATCH(D$1,[2]quests!$1:$1,0)-MATCH($B$1,[2]quests!$1:$1,0)+1),MATCH(D$1,[2]quests!$1:$1,0)-MATCH($B$1,[2]quests!$1:$1,0)+1,FALSE)</f>
        <v>コラボクエスト</v>
      </c>
      <c r="E83" s="81">
        <v>3</v>
      </c>
      <c r="F83" s="77" t="str">
        <f ca="1">VLOOKUP($B83&amp;"_"&amp;$E83,OFFSET([2]stages!$A$1,0,0,COUNTA([2]stages!$A:$A),MATCH(F$1,[2]stages!$2:$2,0)-MATCH("temp_stage",[2]stages!$2:$2,0)+1),MATCH(F$1,[2]stages!$2:$2,0)-MATCH("temp_stage",[2]stages!$2:$2,0)+1,FALSE)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83" s="77" t="str">
        <f ca="1">VLOOKUP($B83&amp;"_"&amp;$E83,OFFSET([2]stages!$A$1,0,0,COUNTA([2]stages!$A:$A),MATCH(G$1,[2]stages!$2:$2,0)-MATCH("temp_stage",[2]stages!$2:$2,0)+1),MATCH(G$1,[2]stages!$2:$2,0)-MATCH("temp_stage",[2]stages!$2:$2,0)+1,FALSE)</f>
        <v>コラボクエスト</v>
      </c>
      <c r="H83" s="79">
        <v>0</v>
      </c>
      <c r="I83" s="91">
        <v>28</v>
      </c>
      <c r="J83" s="78" t="s">
        <v>197</v>
      </c>
      <c r="K83" s="87" t="str">
        <f>VLOOKUP(I83,[6]stage_hints!$A:$C,3,FALSE)</f>
        <v>ステータス情報は長押しで</v>
      </c>
      <c r="L83" s="88" t="str">
        <f>VLOOKUP(I83,[6]stage_hints!$A:$D,4,FALSE)</f>
        <v>ユニットのアイコンを長押しすると_x000D_ステータス情報を確認することができます</v>
      </c>
      <c r="M83" s="51" t="s">
        <v>210</v>
      </c>
    </row>
    <row r="84" spans="1:13" x14ac:dyDescent="0.15">
      <c r="A84" s="75" t="s">
        <v>200</v>
      </c>
      <c r="B84" s="76">
        <f>floors!$C$2</f>
        <v>39003</v>
      </c>
      <c r="C84" s="77" t="str">
        <f ca="1">VLOOKUP($B84,OFFSET([2]quests!$A$1,0,0,COUNTA([2]quests!$A:$A),MATCH(C$1,[2]quests!$1:$1,0)-MATCH($B$1,[2]quests!$1:$1,0)+1),MATCH(C$1,[2]quests!$1:$1,0)-MATCH($B$1,[2]quests!$1:$1,0)+1,FALSE)</f>
        <v>ブルースクウェアを追え！</v>
      </c>
      <c r="D84" s="77" t="str">
        <f ca="1">VLOOKUP($B84,OFFSET([2]quests!$A$1,0,0,COUNTA([2]quests!$A:$A),MATCH(D$1,[2]quests!$1:$1,0)-MATCH($B$1,[2]quests!$1:$1,0)+1),MATCH(D$1,[2]quests!$1:$1,0)-MATCH($B$1,[2]quests!$1:$1,0)+1,FALSE)</f>
        <v>コラボクエスト</v>
      </c>
      <c r="E84" s="81">
        <v>3</v>
      </c>
      <c r="F84" s="77" t="str">
        <f ca="1">VLOOKUP($B84&amp;"_"&amp;$E84,OFFSET([2]stages!$A$1,0,0,COUNTA([2]stages!$A:$A),MATCH(F$1,[2]stages!$2:$2,0)-MATCH("temp_stage",[2]stages!$2:$2,0)+1),MATCH(F$1,[2]stages!$2:$2,0)-MATCH("temp_stage",[2]stages!$2:$2,0)+1,FALSE)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84" s="77" t="str">
        <f ca="1">VLOOKUP($B84&amp;"_"&amp;$E84,OFFSET([2]stages!$A$1,0,0,COUNTA([2]stages!$A:$A),MATCH(G$1,[2]stages!$2:$2,0)-MATCH("temp_stage",[2]stages!$2:$2,0)+1),MATCH(G$1,[2]stages!$2:$2,0)-MATCH("temp_stage",[2]stages!$2:$2,0)+1,FALSE)</f>
        <v>コラボクエスト</v>
      </c>
      <c r="H84" s="79">
        <v>0</v>
      </c>
      <c r="I84" s="91">
        <v>29</v>
      </c>
      <c r="J84" s="78" t="s">
        <v>197</v>
      </c>
      <c r="K84" s="87" t="str">
        <f>VLOOKUP(I84,[6]stage_hints!$A:$C,3,FALSE)</f>
        <v>「バグ」のメリット</v>
      </c>
      <c r="L84" s="88" t="str">
        <f>VLOOKUP(I84,[6]stage_hints!$A:$D,4,FALSE)</f>
        <v>ユニットの「バグ」を増やすと_x000D_報酬をもらえる確率がアップします</v>
      </c>
      <c r="M84" s="51" t="s">
        <v>210</v>
      </c>
    </row>
    <row r="85" spans="1:13" x14ac:dyDescent="0.15">
      <c r="A85" s="75" t="s">
        <v>200</v>
      </c>
      <c r="B85" s="76">
        <f>floors!$C$2</f>
        <v>39003</v>
      </c>
      <c r="C85" s="77" t="str">
        <f ca="1">VLOOKUP($B85,OFFSET([2]quests!$A$1,0,0,COUNTA([2]quests!$A:$A),MATCH(C$1,[2]quests!$1:$1,0)-MATCH($B$1,[2]quests!$1:$1,0)+1),MATCH(C$1,[2]quests!$1:$1,0)-MATCH($B$1,[2]quests!$1:$1,0)+1,FALSE)</f>
        <v>ブルースクウェアを追え！</v>
      </c>
      <c r="D85" s="77" t="str">
        <f ca="1">VLOOKUP($B85,OFFSET([2]quests!$A$1,0,0,COUNTA([2]quests!$A:$A),MATCH(D$1,[2]quests!$1:$1,0)-MATCH($B$1,[2]quests!$1:$1,0)+1),MATCH(D$1,[2]quests!$1:$1,0)-MATCH($B$1,[2]quests!$1:$1,0)+1,FALSE)</f>
        <v>コラボクエスト</v>
      </c>
      <c r="E85" s="81">
        <v>3</v>
      </c>
      <c r="F85" s="77" t="str">
        <f ca="1">VLOOKUP($B85&amp;"_"&amp;$E85,OFFSET([2]stages!$A$1,0,0,COUNTA([2]stages!$A:$A),MATCH(F$1,[2]stages!$2:$2,0)-MATCH("temp_stage",[2]stages!$2:$2,0)+1),MATCH(F$1,[2]stages!$2:$2,0)-MATCH("temp_stage",[2]stages!$2:$2,0)+1,FALSE)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85" s="77" t="str">
        <f ca="1">VLOOKUP($B85&amp;"_"&amp;$E85,OFFSET([2]stages!$A$1,0,0,COUNTA([2]stages!$A:$A),MATCH(G$1,[2]stages!$2:$2,0)-MATCH("temp_stage",[2]stages!$2:$2,0)+1),MATCH(G$1,[2]stages!$2:$2,0)-MATCH("temp_stage",[2]stages!$2:$2,0)+1,FALSE)</f>
        <v>コラボクエスト</v>
      </c>
      <c r="H85" s="79">
        <v>0</v>
      </c>
      <c r="I85" s="91">
        <v>30</v>
      </c>
      <c r="J85" s="78" t="s">
        <v>197</v>
      </c>
      <c r="K85" s="87" t="str">
        <f>VLOOKUP(I85,[6]stage_hints!$A:$C,3,FALSE)</f>
        <v>「バグ」の増やし方</v>
      </c>
      <c r="L85" s="88" t="str">
        <f>VLOOKUP(I85,[6]stage_hints!$A:$D,4,FALSE)</f>
        <v>同じユニット同士を強化で合成すると_x000D_「バグ」を増やすことができます</v>
      </c>
      <c r="M85" s="51" t="s">
        <v>210</v>
      </c>
    </row>
    <row r="86" spans="1:13" x14ac:dyDescent="0.15">
      <c r="A86" s="75" t="s">
        <v>200</v>
      </c>
      <c r="B86" s="76">
        <f>floors!$C$2</f>
        <v>39003</v>
      </c>
      <c r="C86" s="77" t="str">
        <f ca="1">VLOOKUP($B86,OFFSET([2]quests!$A$1,0,0,COUNTA([2]quests!$A:$A),MATCH(C$1,[2]quests!$1:$1,0)-MATCH($B$1,[2]quests!$1:$1,0)+1),MATCH(C$1,[2]quests!$1:$1,0)-MATCH($B$1,[2]quests!$1:$1,0)+1,FALSE)</f>
        <v>ブルースクウェアを追え！</v>
      </c>
      <c r="D86" s="77" t="str">
        <f ca="1">VLOOKUP($B86,OFFSET([2]quests!$A$1,0,0,COUNTA([2]quests!$A:$A),MATCH(D$1,[2]quests!$1:$1,0)-MATCH($B$1,[2]quests!$1:$1,0)+1),MATCH(D$1,[2]quests!$1:$1,0)-MATCH($B$1,[2]quests!$1:$1,0)+1,FALSE)</f>
        <v>コラボクエスト</v>
      </c>
      <c r="E86" s="81">
        <v>3</v>
      </c>
      <c r="F86" s="77" t="str">
        <f ca="1">VLOOKUP($B86&amp;"_"&amp;$E86,OFFSET([2]stages!$A$1,0,0,COUNTA([2]stages!$A:$A),MATCH(F$1,[2]stages!$2:$2,0)-MATCH("temp_stage",[2]stages!$2:$2,0)+1),MATCH(F$1,[2]stages!$2:$2,0)-MATCH("temp_stage",[2]stages!$2:$2,0)+1,FALSE)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86" s="77" t="str">
        <f ca="1">VLOOKUP($B86&amp;"_"&amp;$E86,OFFSET([2]stages!$A$1,0,0,COUNTA([2]stages!$A:$A),MATCH(G$1,[2]stages!$2:$2,0)-MATCH("temp_stage",[2]stages!$2:$2,0)+1),MATCH(G$1,[2]stages!$2:$2,0)-MATCH("temp_stage",[2]stages!$2:$2,0)+1,FALSE)</f>
        <v>コラボクエスト</v>
      </c>
      <c r="H86" s="79">
        <v>0</v>
      </c>
      <c r="I86" s="91">
        <v>31</v>
      </c>
      <c r="J86" s="78" t="s">
        <v>197</v>
      </c>
      <c r="K86" s="87" t="str">
        <f>VLOOKUP(I86,[6]stage_hints!$A:$C,3,FALSE)</f>
        <v>イベントはお知らせでチェック</v>
      </c>
      <c r="L86" s="88" t="str">
        <f>VLOOKUP(I86,[6]stage_hints!$A:$D,4,FALSE)</f>
        <v>イベント限定ユニットを取り忘れないように_x000D_お知らせをこまめにチェックしましょう</v>
      </c>
      <c r="M86" s="51" t="s">
        <v>210</v>
      </c>
    </row>
    <row r="87" spans="1:13" x14ac:dyDescent="0.15">
      <c r="A87" s="75" t="s">
        <v>200</v>
      </c>
      <c r="B87" s="76">
        <f>floors!$C$2</f>
        <v>39003</v>
      </c>
      <c r="C87" s="77" t="str">
        <f ca="1">VLOOKUP($B87,OFFSET([2]quests!$A$1,0,0,COUNTA([2]quests!$A:$A),MATCH(C$1,[2]quests!$1:$1,0)-MATCH($B$1,[2]quests!$1:$1,0)+1),MATCH(C$1,[2]quests!$1:$1,0)-MATCH($B$1,[2]quests!$1:$1,0)+1,FALSE)</f>
        <v>ブルースクウェアを追え！</v>
      </c>
      <c r="D87" s="77" t="str">
        <f ca="1">VLOOKUP($B87,OFFSET([2]quests!$A$1,0,0,COUNTA([2]quests!$A:$A),MATCH(D$1,[2]quests!$1:$1,0)-MATCH($B$1,[2]quests!$1:$1,0)+1),MATCH(D$1,[2]quests!$1:$1,0)-MATCH($B$1,[2]quests!$1:$1,0)+1,FALSE)</f>
        <v>コラボクエスト</v>
      </c>
      <c r="E87" s="81">
        <v>3</v>
      </c>
      <c r="F87" s="77" t="str">
        <f ca="1">VLOOKUP($B87&amp;"_"&amp;$E87,OFFSET([2]stages!$A$1,0,0,COUNTA([2]stages!$A:$A),MATCH(F$1,[2]stages!$2:$2,0)-MATCH("temp_stage",[2]stages!$2:$2,0)+1),MATCH(F$1,[2]stages!$2:$2,0)-MATCH("temp_stage",[2]stages!$2:$2,0)+1,FALSE)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87" s="77" t="str">
        <f ca="1">VLOOKUP($B87&amp;"_"&amp;$E87,OFFSET([2]stages!$A$1,0,0,COUNTA([2]stages!$A:$A),MATCH(G$1,[2]stages!$2:$2,0)-MATCH("temp_stage",[2]stages!$2:$2,0)+1),MATCH(G$1,[2]stages!$2:$2,0)-MATCH("temp_stage",[2]stages!$2:$2,0)+1,FALSE)</f>
        <v>コラボクエスト</v>
      </c>
      <c r="H87" s="79">
        <v>0</v>
      </c>
      <c r="I87" s="91">
        <v>32</v>
      </c>
      <c r="J87" s="78" t="s">
        <v>197</v>
      </c>
      <c r="K87" s="87" t="str">
        <f>VLOOKUP(I87,[6]stage_hints!$A:$C,3,FALSE)</f>
        <v>敵の連続攻撃には</v>
      </c>
      <c r="L87" s="88" t="str">
        <f>VLOOKUP(I87,[6]stage_hints!$A:$D,4,FALSE)</f>
        <v>カウンタースキルを持つユニットがいれば_x000D_ダメージ回数分の反撃ができます</v>
      </c>
      <c r="M87" s="51" t="s">
        <v>210</v>
      </c>
    </row>
    <row r="88" spans="1:13" x14ac:dyDescent="0.15">
      <c r="A88" s="75" t="s">
        <v>200</v>
      </c>
      <c r="B88" s="76">
        <f>floors!$C$2</f>
        <v>39003</v>
      </c>
      <c r="C88" s="77" t="str">
        <f ca="1">VLOOKUP($B88,OFFSET([2]quests!$A$1,0,0,COUNTA([2]quests!$A:$A),MATCH(C$1,[2]quests!$1:$1,0)-MATCH($B$1,[2]quests!$1:$1,0)+1),MATCH(C$1,[2]quests!$1:$1,0)-MATCH($B$1,[2]quests!$1:$1,0)+1,FALSE)</f>
        <v>ブルースクウェアを追え！</v>
      </c>
      <c r="D88" s="77" t="str">
        <f ca="1">VLOOKUP($B88,OFFSET([2]quests!$A$1,0,0,COUNTA([2]quests!$A:$A),MATCH(D$1,[2]quests!$1:$1,0)-MATCH($B$1,[2]quests!$1:$1,0)+1),MATCH(D$1,[2]quests!$1:$1,0)-MATCH($B$1,[2]quests!$1:$1,0)+1,FALSE)</f>
        <v>コラボクエスト</v>
      </c>
      <c r="E88" s="81">
        <v>3</v>
      </c>
      <c r="F88" s="77" t="str">
        <f ca="1">VLOOKUP($B88&amp;"_"&amp;$E88,OFFSET([2]stages!$A$1,0,0,COUNTA([2]stages!$A:$A),MATCH(F$1,[2]stages!$2:$2,0)-MATCH("temp_stage",[2]stages!$2:$2,0)+1),MATCH(F$1,[2]stages!$2:$2,0)-MATCH("temp_stage",[2]stages!$2:$2,0)+1,FALSE)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88" s="77" t="str">
        <f ca="1">VLOOKUP($B88&amp;"_"&amp;$E88,OFFSET([2]stages!$A$1,0,0,COUNTA([2]stages!$A:$A),MATCH(G$1,[2]stages!$2:$2,0)-MATCH("temp_stage",[2]stages!$2:$2,0)+1),MATCH(G$1,[2]stages!$2:$2,0)-MATCH("temp_stage",[2]stages!$2:$2,0)+1,FALSE)</f>
        <v>コラボクエスト</v>
      </c>
      <c r="H88" s="79">
        <v>0</v>
      </c>
      <c r="I88" s="91">
        <v>33</v>
      </c>
      <c r="J88" s="78" t="s">
        <v>197</v>
      </c>
      <c r="K88" s="87" t="str">
        <f>VLOOKUP(I88,[6]stage_hints!$A:$C,3,FALSE)</f>
        <v>敵のカウンター攻撃には</v>
      </c>
      <c r="L88" s="88" t="str">
        <f>VLOOKUP(I88,[6]stage_hints!$A:$D,4,FALSE)</f>
        <v>カウンターブレイクスキルを持っていれば_x000D_敵のカウンターを解除して攻撃ができます</v>
      </c>
      <c r="M88" s="51" t="s">
        <v>210</v>
      </c>
    </row>
    <row r="89" spans="1:13" x14ac:dyDescent="0.15">
      <c r="A89" s="75" t="s">
        <v>200</v>
      </c>
      <c r="B89" s="76">
        <f>floors!$C$2</f>
        <v>39003</v>
      </c>
      <c r="C89" s="77" t="str">
        <f ca="1">VLOOKUP($B89,OFFSET([2]quests!$A$1,0,0,COUNTA([2]quests!$A:$A),MATCH(C$1,[2]quests!$1:$1,0)-MATCH($B$1,[2]quests!$1:$1,0)+1),MATCH(C$1,[2]quests!$1:$1,0)-MATCH($B$1,[2]quests!$1:$1,0)+1,FALSE)</f>
        <v>ブルースクウェアを追え！</v>
      </c>
      <c r="D89" s="77" t="str">
        <f ca="1">VLOOKUP($B89,OFFSET([2]quests!$A$1,0,0,COUNTA([2]quests!$A:$A),MATCH(D$1,[2]quests!$1:$1,0)-MATCH($B$1,[2]quests!$1:$1,0)+1),MATCH(D$1,[2]quests!$1:$1,0)-MATCH($B$1,[2]quests!$1:$1,0)+1,FALSE)</f>
        <v>コラボクエスト</v>
      </c>
      <c r="E89" s="81">
        <v>3</v>
      </c>
      <c r="F89" s="77" t="str">
        <f ca="1">VLOOKUP($B89&amp;"_"&amp;$E89,OFFSET([2]stages!$A$1,0,0,COUNTA([2]stages!$A:$A),MATCH(F$1,[2]stages!$2:$2,0)-MATCH("temp_stage",[2]stages!$2:$2,0)+1),MATCH(F$1,[2]stages!$2:$2,0)-MATCH("temp_stage",[2]stages!$2:$2,0)+1,FALSE)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89" s="77" t="str">
        <f ca="1">VLOOKUP($B89&amp;"_"&amp;$E89,OFFSET([2]stages!$A$1,0,0,COUNTA([2]stages!$A:$A),MATCH(G$1,[2]stages!$2:$2,0)-MATCH("temp_stage",[2]stages!$2:$2,0)+1),MATCH(G$1,[2]stages!$2:$2,0)-MATCH("temp_stage",[2]stages!$2:$2,0)+1,FALSE)</f>
        <v>コラボクエスト</v>
      </c>
      <c r="H89" s="79">
        <v>0</v>
      </c>
      <c r="I89" s="91">
        <v>34</v>
      </c>
      <c r="J89" s="78" t="s">
        <v>197</v>
      </c>
      <c r="K89" s="87" t="str">
        <f>VLOOKUP(I89,[6]stage_hints!$A:$C,3,FALSE)</f>
        <v>ステータスをスキルで下げられたら</v>
      </c>
      <c r="L89" s="88" t="str">
        <f>VLOOKUP(I89,[6]stage_hints!$A:$D,4,FALSE)</f>
        <v>ステータスダウンのスキルを受けたら_x000D_ステータスアップスキルで上書きしましょう</v>
      </c>
      <c r="M89" s="51" t="s">
        <v>210</v>
      </c>
    </row>
    <row r="90" spans="1:13" x14ac:dyDescent="0.15">
      <c r="A90" s="75" t="s">
        <v>200</v>
      </c>
      <c r="B90" s="76">
        <f>floors!$C$2</f>
        <v>39003</v>
      </c>
      <c r="C90" s="77" t="str">
        <f ca="1">VLOOKUP($B90,OFFSET([2]quests!$A$1,0,0,COUNTA([2]quests!$A:$A),MATCH(C$1,[2]quests!$1:$1,0)-MATCH($B$1,[2]quests!$1:$1,0)+1),MATCH(C$1,[2]quests!$1:$1,0)-MATCH($B$1,[2]quests!$1:$1,0)+1,FALSE)</f>
        <v>ブルースクウェアを追え！</v>
      </c>
      <c r="D90" s="77" t="str">
        <f ca="1">VLOOKUP($B90,OFFSET([2]quests!$A$1,0,0,COUNTA([2]quests!$A:$A),MATCH(D$1,[2]quests!$1:$1,0)-MATCH($B$1,[2]quests!$1:$1,0)+1),MATCH(D$1,[2]quests!$1:$1,0)-MATCH($B$1,[2]quests!$1:$1,0)+1,FALSE)</f>
        <v>コラボクエスト</v>
      </c>
      <c r="E90" s="81">
        <v>3</v>
      </c>
      <c r="F90" s="77" t="str">
        <f ca="1">VLOOKUP($B90&amp;"_"&amp;$E90,OFFSET([2]stages!$A$1,0,0,COUNTA([2]stages!$A:$A),MATCH(F$1,[2]stages!$2:$2,0)-MATCH("temp_stage",[2]stages!$2:$2,0)+1),MATCH(F$1,[2]stages!$2:$2,0)-MATCH("temp_stage",[2]stages!$2:$2,0)+1,FALSE)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90" s="77" t="str">
        <f ca="1">VLOOKUP($B90&amp;"_"&amp;$E90,OFFSET([2]stages!$A$1,0,0,COUNTA([2]stages!$A:$A),MATCH(G$1,[2]stages!$2:$2,0)-MATCH("temp_stage",[2]stages!$2:$2,0)+1),MATCH(G$1,[2]stages!$2:$2,0)-MATCH("temp_stage",[2]stages!$2:$2,0)+1,FALSE)</f>
        <v>コラボクエスト</v>
      </c>
      <c r="H90" s="79">
        <v>0</v>
      </c>
      <c r="I90" s="91">
        <v>35</v>
      </c>
      <c r="J90" s="78" t="s">
        <v>197</v>
      </c>
      <c r="K90" s="87" t="str">
        <f>VLOOKUP(I90,[6]stage_hints!$A:$C,3,FALSE)</f>
        <v>敵のステータスがスキルで上がったら</v>
      </c>
      <c r="L90" s="88" t="str">
        <f>VLOOKUP(I90,[6]stage_hints!$A:$D,4,FALSE)</f>
        <v>敵のステータスがスキルでアップしたときは_x000D_ステータスダウンスキルで上書きしましょう</v>
      </c>
      <c r="M90" s="51" t="s">
        <v>210</v>
      </c>
    </row>
    <row r="91" spans="1:13" x14ac:dyDescent="0.15">
      <c r="A91" s="75" t="s">
        <v>200</v>
      </c>
      <c r="B91" s="76">
        <f>floors!$C$2</f>
        <v>39003</v>
      </c>
      <c r="C91" s="77" t="str">
        <f ca="1">VLOOKUP($B91,OFFSET([2]quests!$A$1,0,0,COUNTA([2]quests!$A:$A),MATCH(C$1,[2]quests!$1:$1,0)-MATCH($B$1,[2]quests!$1:$1,0)+1),MATCH(C$1,[2]quests!$1:$1,0)-MATCH($B$1,[2]quests!$1:$1,0)+1,FALSE)</f>
        <v>ブルースクウェアを追え！</v>
      </c>
      <c r="D91" s="77" t="str">
        <f ca="1">VLOOKUP($B91,OFFSET([2]quests!$A$1,0,0,COUNTA([2]quests!$A:$A),MATCH(D$1,[2]quests!$1:$1,0)-MATCH($B$1,[2]quests!$1:$1,0)+1),MATCH(D$1,[2]quests!$1:$1,0)-MATCH($B$1,[2]quests!$1:$1,0)+1,FALSE)</f>
        <v>コラボクエスト</v>
      </c>
      <c r="E91" s="81">
        <v>3</v>
      </c>
      <c r="F91" s="77" t="str">
        <f ca="1">VLOOKUP($B91&amp;"_"&amp;$E91,OFFSET([2]stages!$A$1,0,0,COUNTA([2]stages!$A:$A),MATCH(F$1,[2]stages!$2:$2,0)-MATCH("temp_stage",[2]stages!$2:$2,0)+1),MATCH(F$1,[2]stages!$2:$2,0)-MATCH("temp_stage",[2]stages!$2:$2,0)+1,FALSE)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91" s="77" t="str">
        <f ca="1">VLOOKUP($B91&amp;"_"&amp;$E91,OFFSET([2]stages!$A$1,0,0,COUNTA([2]stages!$A:$A),MATCH(G$1,[2]stages!$2:$2,0)-MATCH("temp_stage",[2]stages!$2:$2,0)+1),MATCH(G$1,[2]stages!$2:$2,0)-MATCH("temp_stage",[2]stages!$2:$2,0)+1,FALSE)</f>
        <v>コラボクエスト</v>
      </c>
      <c r="H91" s="79">
        <v>0</v>
      </c>
      <c r="I91" s="91">
        <v>36</v>
      </c>
      <c r="J91" s="78" t="s">
        <v>197</v>
      </c>
      <c r="K91" s="87" t="str">
        <f>VLOOKUP(I91,[6]stage_hints!$A:$C,3,FALSE)</f>
        <v>チャレンジタワーのボス</v>
      </c>
      <c r="L91" s="88" t="str">
        <f>VLOOKUP(I91,[6]stage_hints!$A:$D,4,FALSE)</f>
        <v>チャレンジタワーでのみ登場するボスは_x000D_一定確率で獲得することができます</v>
      </c>
      <c r="M91" s="51" t="s">
        <v>210</v>
      </c>
    </row>
    <row r="92" spans="1:13" x14ac:dyDescent="0.15">
      <c r="A92" s="75" t="s">
        <v>200</v>
      </c>
      <c r="B92" s="76">
        <f>floors!$C$2</f>
        <v>39003</v>
      </c>
      <c r="C92" s="77" t="str">
        <f ca="1">VLOOKUP($B92,OFFSET([2]quests!$A$1,0,0,COUNTA([2]quests!$A:$A),MATCH(C$1,[2]quests!$1:$1,0)-MATCH($B$1,[2]quests!$1:$1,0)+1),MATCH(C$1,[2]quests!$1:$1,0)-MATCH($B$1,[2]quests!$1:$1,0)+1,FALSE)</f>
        <v>ブルースクウェアを追え！</v>
      </c>
      <c r="D92" s="77" t="str">
        <f ca="1">VLOOKUP($B92,OFFSET([2]quests!$A$1,0,0,COUNTA([2]quests!$A:$A),MATCH(D$1,[2]quests!$1:$1,0)-MATCH($B$1,[2]quests!$1:$1,0)+1),MATCH(D$1,[2]quests!$1:$1,0)-MATCH($B$1,[2]quests!$1:$1,0)+1,FALSE)</f>
        <v>コラボクエスト</v>
      </c>
      <c r="E92" s="81">
        <v>3</v>
      </c>
      <c r="F92" s="77" t="str">
        <f ca="1">VLOOKUP($B92&amp;"_"&amp;$E92,OFFSET([2]stages!$A$1,0,0,COUNTA([2]stages!$A:$A),MATCH(F$1,[2]stages!$2:$2,0)-MATCH("temp_stage",[2]stages!$2:$2,0)+1),MATCH(F$1,[2]stages!$2:$2,0)-MATCH("temp_stage",[2]stages!$2:$2,0)+1,FALSE)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92" s="77" t="str">
        <f ca="1">VLOOKUP($B92&amp;"_"&amp;$E92,OFFSET([2]stages!$A$1,0,0,COUNTA([2]stages!$A:$A),MATCH(G$1,[2]stages!$2:$2,0)-MATCH("temp_stage",[2]stages!$2:$2,0)+1),MATCH(G$1,[2]stages!$2:$2,0)-MATCH("temp_stage",[2]stages!$2:$2,0)+1,FALSE)</f>
        <v>コラボクエスト</v>
      </c>
      <c r="H92" s="79">
        <v>0</v>
      </c>
      <c r="I92" s="91">
        <v>37</v>
      </c>
      <c r="J92" s="78" t="s">
        <v>197</v>
      </c>
      <c r="K92" s="87" t="str">
        <f>VLOOKUP(I92,[6]stage_hints!$A:$C,3,FALSE)</f>
        <v>限界突破値の引き継ぎ</v>
      </c>
      <c r="L92" s="88" t="str">
        <f>VLOOKUP(I92,[6]stage_hints!$A:$D,4,FALSE)</f>
        <v>同じユニットを強化で合成すると_x000D_限界突破値を引き継げます（覚醒前後も可）</v>
      </c>
      <c r="M92" s="51" t="s">
        <v>210</v>
      </c>
    </row>
    <row r="93" spans="1:13" x14ac:dyDescent="0.15">
      <c r="A93" s="75" t="s">
        <v>200</v>
      </c>
      <c r="B93" s="76">
        <f>floors!$C$2</f>
        <v>39003</v>
      </c>
      <c r="C93" s="77" t="str">
        <f ca="1">VLOOKUP($B93,OFFSET([2]quests!$A$1,0,0,COUNTA([2]quests!$A:$A),MATCH(C$1,[2]quests!$1:$1,0)-MATCH($B$1,[2]quests!$1:$1,0)+1),MATCH(C$1,[2]quests!$1:$1,0)-MATCH($B$1,[2]quests!$1:$1,0)+1,FALSE)</f>
        <v>ブルースクウェアを追え！</v>
      </c>
      <c r="D93" s="77" t="str">
        <f ca="1">VLOOKUP($B93,OFFSET([2]quests!$A$1,0,0,COUNTA([2]quests!$A:$A),MATCH(D$1,[2]quests!$1:$1,0)-MATCH($B$1,[2]quests!$1:$1,0)+1),MATCH(D$1,[2]quests!$1:$1,0)-MATCH($B$1,[2]quests!$1:$1,0)+1,FALSE)</f>
        <v>コラボクエスト</v>
      </c>
      <c r="E93" s="81">
        <v>3</v>
      </c>
      <c r="F93" s="77" t="str">
        <f ca="1">VLOOKUP($B93&amp;"_"&amp;$E93,OFFSET([2]stages!$A$1,0,0,COUNTA([2]stages!$A:$A),MATCH(F$1,[2]stages!$2:$2,0)-MATCH("temp_stage",[2]stages!$2:$2,0)+1),MATCH(F$1,[2]stages!$2:$2,0)-MATCH("temp_stage",[2]stages!$2:$2,0)+1,FALSE)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93" s="77" t="str">
        <f ca="1">VLOOKUP($B93&amp;"_"&amp;$E93,OFFSET([2]stages!$A$1,0,0,COUNTA([2]stages!$A:$A),MATCH(G$1,[2]stages!$2:$2,0)-MATCH("temp_stage",[2]stages!$2:$2,0)+1),MATCH(G$1,[2]stages!$2:$2,0)-MATCH("temp_stage",[2]stages!$2:$2,0)+1,FALSE)</f>
        <v>コラボクエスト</v>
      </c>
      <c r="H93" s="79">
        <v>0</v>
      </c>
      <c r="I93" s="91">
        <v>39</v>
      </c>
      <c r="J93" s="78" t="s">
        <v>197</v>
      </c>
      <c r="K93" s="87" t="str">
        <f>VLOOKUP(I93,[6]stage_hints!$A:$C,3,FALSE)</f>
        <v>システム適合者を確認</v>
      </c>
      <c r="L93" s="88" t="str">
        <f>VLOOKUP(I93,[6]stage_hints!$A:$D,4,FALSE)</f>
        <v>ALICEが「アナタ」を呼んでいます</v>
      </c>
      <c r="M93" s="51" t="s">
        <v>210</v>
      </c>
    </row>
    <row r="94" spans="1:13" x14ac:dyDescent="0.15">
      <c r="A94" s="75" t="s">
        <v>200</v>
      </c>
      <c r="B94" s="76">
        <f>floors!$C$2</f>
        <v>39003</v>
      </c>
      <c r="C94" s="77" t="str">
        <f ca="1">VLOOKUP($B94,OFFSET([2]quests!$A$1,0,0,COUNTA([2]quests!$A:$A),MATCH(C$1,[2]quests!$1:$1,0)-MATCH($B$1,[2]quests!$1:$1,0)+1),MATCH(C$1,[2]quests!$1:$1,0)-MATCH($B$1,[2]quests!$1:$1,0)+1,FALSE)</f>
        <v>ブルースクウェアを追え！</v>
      </c>
      <c r="D94" s="77" t="str">
        <f ca="1">VLOOKUP($B94,OFFSET([2]quests!$A$1,0,0,COUNTA([2]quests!$A:$A),MATCH(D$1,[2]quests!$1:$1,0)-MATCH($B$1,[2]quests!$1:$1,0)+1),MATCH(D$1,[2]quests!$1:$1,0)-MATCH($B$1,[2]quests!$1:$1,0)+1,FALSE)</f>
        <v>コラボクエスト</v>
      </c>
      <c r="E94" s="81">
        <v>4</v>
      </c>
      <c r="F94" s="77" t="str">
        <f ca="1">VLOOKUP($B94&amp;"_"&amp;$E94,OFFSET([2]stages!$A$1,0,0,COUNTA([2]stages!$A:$A),MATCH(F$1,[2]stages!$2:$2,0)-MATCH("temp_stage",[2]stages!$2:$2,0)+1),MATCH(F$1,[2]stages!$2:$2,0)-MATCH("temp_stage",[2]stages!$2:$2,0)+1,FALSE)</f>
        <v>【超級】ブルースクウェアを追え！</v>
      </c>
      <c r="G94" s="77" t="str">
        <f ca="1">VLOOKUP($B94&amp;"_"&amp;$E94,OFFSET([2]stages!$A$1,0,0,COUNTA([2]stages!$A:$A),MATCH(G$1,[2]stages!$2:$2,0)-MATCH("temp_stage",[2]stages!$2:$2,0)+1),MATCH(G$1,[2]stages!$2:$2,0)-MATCH("temp_stage",[2]stages!$2:$2,0)+1,FALSE)</f>
        <v>コラボクエスト</v>
      </c>
      <c r="H94" s="79">
        <v>0</v>
      </c>
      <c r="I94">
        <v>12</v>
      </c>
      <c r="J94" s="78" t="s">
        <v>197</v>
      </c>
      <c r="K94" s="87" t="str">
        <f>VLOOKUP(I94,[6]stage_hints!$A:$C,3,FALSE)</f>
        <v>ユニットのお気に入り登録</v>
      </c>
      <c r="L94" s="88" t="str">
        <f>VLOOKUP(I94,[6]stage_hints!$A:$D,4,FALSE)</f>
        <v>大事なユニットを誤って消さないように_x000D_フォルダから「お気に入り登録」しましょう</v>
      </c>
      <c r="M94" s="51" t="s">
        <v>210</v>
      </c>
    </row>
    <row r="95" spans="1:13" x14ac:dyDescent="0.15">
      <c r="A95" s="75" t="s">
        <v>200</v>
      </c>
      <c r="B95" s="76">
        <f>floors!$C$2</f>
        <v>39003</v>
      </c>
      <c r="C95" s="77" t="str">
        <f ca="1">VLOOKUP($B95,OFFSET([2]quests!$A$1,0,0,COUNTA([2]quests!$A:$A),MATCH(C$1,[2]quests!$1:$1,0)-MATCH($B$1,[2]quests!$1:$1,0)+1),MATCH(C$1,[2]quests!$1:$1,0)-MATCH($B$1,[2]quests!$1:$1,0)+1,FALSE)</f>
        <v>ブルースクウェアを追え！</v>
      </c>
      <c r="D95" s="77" t="str">
        <f ca="1">VLOOKUP($B95,OFFSET([2]quests!$A$1,0,0,COUNTA([2]quests!$A:$A),MATCH(D$1,[2]quests!$1:$1,0)-MATCH($B$1,[2]quests!$1:$1,0)+1),MATCH(D$1,[2]quests!$1:$1,0)-MATCH($B$1,[2]quests!$1:$1,0)+1,FALSE)</f>
        <v>コラボクエスト</v>
      </c>
      <c r="E95" s="81">
        <v>4</v>
      </c>
      <c r="F95" s="77" t="str">
        <f ca="1">VLOOKUP($B95&amp;"_"&amp;$E95,OFFSET([2]stages!$A$1,0,0,COUNTA([2]stages!$A:$A),MATCH(F$1,[2]stages!$2:$2,0)-MATCH("temp_stage",[2]stages!$2:$2,0)+1),MATCH(F$1,[2]stages!$2:$2,0)-MATCH("temp_stage",[2]stages!$2:$2,0)+1,FALSE)</f>
        <v>【超級】ブルースクウェアを追え！</v>
      </c>
      <c r="G95" s="77" t="str">
        <f ca="1">VLOOKUP($B95&amp;"_"&amp;$E95,OFFSET([2]stages!$A$1,0,0,COUNTA([2]stages!$A:$A),MATCH(G$1,[2]stages!$2:$2,0)-MATCH("temp_stage",[2]stages!$2:$2,0)+1),MATCH(G$1,[2]stages!$2:$2,0)-MATCH("temp_stage",[2]stages!$2:$2,0)+1,FALSE)</f>
        <v>コラボクエスト</v>
      </c>
      <c r="H95" s="79">
        <v>0</v>
      </c>
      <c r="I95">
        <v>17</v>
      </c>
      <c r="J95" s="78" t="s">
        <v>197</v>
      </c>
      <c r="K95" s="87" t="str">
        <f>VLOOKUP(I95,[6]stage_hints!$A:$C,3,FALSE)</f>
        <v>リンクガチャ</v>
      </c>
      <c r="L95" s="88" t="str">
        <f>VLOOKUP(I95,[6]stage_hints!$A:$D,4,FALSE)</f>
        <v>無料のリンクガチャを回して_x000D_経験値素材や売却素材を獲得しましょう</v>
      </c>
      <c r="M95" s="51" t="s">
        <v>210</v>
      </c>
    </row>
    <row r="96" spans="1:13" x14ac:dyDescent="0.15">
      <c r="A96" s="75" t="s">
        <v>200</v>
      </c>
      <c r="B96" s="76">
        <f>floors!$C$2</f>
        <v>39003</v>
      </c>
      <c r="C96" s="77" t="str">
        <f ca="1">VLOOKUP($B96,OFFSET([2]quests!$A$1,0,0,COUNTA([2]quests!$A:$A),MATCH(C$1,[2]quests!$1:$1,0)-MATCH($B$1,[2]quests!$1:$1,0)+1),MATCH(C$1,[2]quests!$1:$1,0)-MATCH($B$1,[2]quests!$1:$1,0)+1,FALSE)</f>
        <v>ブルースクウェアを追え！</v>
      </c>
      <c r="D96" s="77" t="str">
        <f ca="1">VLOOKUP($B96,OFFSET([2]quests!$A$1,0,0,COUNTA([2]quests!$A:$A),MATCH(D$1,[2]quests!$1:$1,0)-MATCH($B$1,[2]quests!$1:$1,0)+1),MATCH(D$1,[2]quests!$1:$1,0)-MATCH($B$1,[2]quests!$1:$1,0)+1,FALSE)</f>
        <v>コラボクエスト</v>
      </c>
      <c r="E96" s="81">
        <v>4</v>
      </c>
      <c r="F96" s="77" t="str">
        <f ca="1">VLOOKUP($B96&amp;"_"&amp;$E96,OFFSET([2]stages!$A$1,0,0,COUNTA([2]stages!$A:$A),MATCH(F$1,[2]stages!$2:$2,0)-MATCH("temp_stage",[2]stages!$2:$2,0)+1),MATCH(F$1,[2]stages!$2:$2,0)-MATCH("temp_stage",[2]stages!$2:$2,0)+1,FALSE)</f>
        <v>【超級】ブルースクウェアを追え！</v>
      </c>
      <c r="G96" s="77" t="str">
        <f ca="1">VLOOKUP($B96&amp;"_"&amp;$E96,OFFSET([2]stages!$A$1,0,0,COUNTA([2]stages!$A:$A),MATCH(G$1,[2]stages!$2:$2,0)-MATCH("temp_stage",[2]stages!$2:$2,0)+1),MATCH(G$1,[2]stages!$2:$2,0)-MATCH("temp_stage",[2]stages!$2:$2,0)+1,FALSE)</f>
        <v>コラボクエスト</v>
      </c>
      <c r="H96" s="79">
        <v>0</v>
      </c>
      <c r="I96">
        <v>19</v>
      </c>
      <c r="J96" s="78" t="s">
        <v>197</v>
      </c>
      <c r="K96" s="87" t="str">
        <f>VLOOKUP(I96,[6]stage_hints!$A:$C,3,FALSE)</f>
        <v>ソロ専用チャレンジタワー</v>
      </c>
      <c r="L96" s="88" t="str">
        <f>VLOOKUP(I96,[6]stage_hints!$A:$D,4,FALSE)</f>
        <v>ソロ専用の「チャレンジタワー」では_x000D_各フロアごとにクリア報酬がもらえます</v>
      </c>
      <c r="M96" s="51" t="s">
        <v>210</v>
      </c>
    </row>
    <row r="97" spans="1:13" x14ac:dyDescent="0.15">
      <c r="A97" s="75" t="s">
        <v>200</v>
      </c>
      <c r="B97" s="76">
        <f>floors!$C$2</f>
        <v>39003</v>
      </c>
      <c r="C97" s="77" t="str">
        <f ca="1">VLOOKUP($B97,OFFSET([2]quests!$A$1,0,0,COUNTA([2]quests!$A:$A),MATCH(C$1,[2]quests!$1:$1,0)-MATCH($B$1,[2]quests!$1:$1,0)+1),MATCH(C$1,[2]quests!$1:$1,0)-MATCH($B$1,[2]quests!$1:$1,0)+1,FALSE)</f>
        <v>ブルースクウェアを追え！</v>
      </c>
      <c r="D97" s="77" t="str">
        <f ca="1">VLOOKUP($B97,OFFSET([2]quests!$A$1,0,0,COUNTA([2]quests!$A:$A),MATCH(D$1,[2]quests!$1:$1,0)-MATCH($B$1,[2]quests!$1:$1,0)+1),MATCH(D$1,[2]quests!$1:$1,0)-MATCH($B$1,[2]quests!$1:$1,0)+1,FALSE)</f>
        <v>コラボクエスト</v>
      </c>
      <c r="E97" s="81">
        <v>4</v>
      </c>
      <c r="F97" s="77" t="str">
        <f ca="1">VLOOKUP($B97&amp;"_"&amp;$E97,OFFSET([2]stages!$A$1,0,0,COUNTA([2]stages!$A:$A),MATCH(F$1,[2]stages!$2:$2,0)-MATCH("temp_stage",[2]stages!$2:$2,0)+1),MATCH(F$1,[2]stages!$2:$2,0)-MATCH("temp_stage",[2]stages!$2:$2,0)+1,FALSE)</f>
        <v>【超級】ブルースクウェアを追え！</v>
      </c>
      <c r="G97" s="77" t="str">
        <f ca="1">VLOOKUP($B97&amp;"_"&amp;$E97,OFFSET([2]stages!$A$1,0,0,COUNTA([2]stages!$A:$A),MATCH(G$1,[2]stages!$2:$2,0)-MATCH("temp_stage",[2]stages!$2:$2,0)+1),MATCH(G$1,[2]stages!$2:$2,0)-MATCH("temp_stage",[2]stages!$2:$2,0)+1,FALSE)</f>
        <v>コラボクエスト</v>
      </c>
      <c r="H97" s="79">
        <v>0</v>
      </c>
      <c r="I97">
        <v>21</v>
      </c>
      <c r="J97" s="78" t="s">
        <v>197</v>
      </c>
      <c r="K97" s="87" t="str">
        <f>VLOOKUP(I97,[6]stage_hints!$A:$C,3,FALSE)</f>
        <v>スキルを有効に</v>
      </c>
      <c r="L97" s="88" t="str">
        <f>VLOOKUP(I97,[6]stage_hints!$A:$D,4,FALSE)</f>
        <v>ターン経過でユニットのスキルが使えます_x000D_強力スキルでバトルを有利に進めましょう</v>
      </c>
      <c r="M97" s="51" t="s">
        <v>210</v>
      </c>
    </row>
    <row r="98" spans="1:13" x14ac:dyDescent="0.15">
      <c r="A98" s="75" t="s">
        <v>200</v>
      </c>
      <c r="B98" s="76">
        <f>floors!$C$2</f>
        <v>39003</v>
      </c>
      <c r="C98" s="77" t="str">
        <f ca="1">VLOOKUP($B98,OFFSET([2]quests!$A$1,0,0,COUNTA([2]quests!$A:$A),MATCH(C$1,[2]quests!$1:$1,0)-MATCH($B$1,[2]quests!$1:$1,0)+1),MATCH(C$1,[2]quests!$1:$1,0)-MATCH($B$1,[2]quests!$1:$1,0)+1,FALSE)</f>
        <v>ブルースクウェアを追え！</v>
      </c>
      <c r="D98" s="77" t="str">
        <f ca="1">VLOOKUP($B98,OFFSET([2]quests!$A$1,0,0,COUNTA([2]quests!$A:$A),MATCH(D$1,[2]quests!$1:$1,0)-MATCH($B$1,[2]quests!$1:$1,0)+1),MATCH(D$1,[2]quests!$1:$1,0)-MATCH($B$1,[2]quests!$1:$1,0)+1,FALSE)</f>
        <v>コラボクエスト</v>
      </c>
      <c r="E98" s="81">
        <v>4</v>
      </c>
      <c r="F98" s="77" t="str">
        <f ca="1">VLOOKUP($B98&amp;"_"&amp;$E98,OFFSET([2]stages!$A$1,0,0,COUNTA([2]stages!$A:$A),MATCH(F$1,[2]stages!$2:$2,0)-MATCH("temp_stage",[2]stages!$2:$2,0)+1),MATCH(F$1,[2]stages!$2:$2,0)-MATCH("temp_stage",[2]stages!$2:$2,0)+1,FALSE)</f>
        <v>【超級】ブルースクウェアを追え！</v>
      </c>
      <c r="G98" s="77" t="str">
        <f ca="1">VLOOKUP($B98&amp;"_"&amp;$E98,OFFSET([2]stages!$A$1,0,0,COUNTA([2]stages!$A:$A),MATCH(G$1,[2]stages!$2:$2,0)-MATCH("temp_stage",[2]stages!$2:$2,0)+1),MATCH(G$1,[2]stages!$2:$2,0)-MATCH("temp_stage",[2]stages!$2:$2,0)+1,FALSE)</f>
        <v>コラボクエスト</v>
      </c>
      <c r="H98" s="79">
        <v>0</v>
      </c>
      <c r="I98">
        <v>27</v>
      </c>
      <c r="J98" s="78" t="s">
        <v>197</v>
      </c>
      <c r="K98" s="87" t="str">
        <f>VLOOKUP(I98,[6]stage_hints!$A:$C,3,FALSE)</f>
        <v>ホーム画面からデッキを編成</v>
      </c>
      <c r="L98" s="88" t="str">
        <f>VLOOKUP(I98,[6]stage_hints!$A:$D,4,FALSE)</f>
        <v>ホーム画面でユニットを長押しすると_x000D_すぐにパーティ編成に移動できます</v>
      </c>
      <c r="M98" s="51" t="s">
        <v>210</v>
      </c>
    </row>
    <row r="99" spans="1:13" x14ac:dyDescent="0.15">
      <c r="A99" s="75" t="s">
        <v>200</v>
      </c>
      <c r="B99" s="76">
        <f>floors!$C$2</f>
        <v>39003</v>
      </c>
      <c r="C99" s="77" t="str">
        <f ca="1">VLOOKUP($B99,OFFSET([2]quests!$A$1,0,0,COUNTA([2]quests!$A:$A),MATCH(C$1,[2]quests!$1:$1,0)-MATCH($B$1,[2]quests!$1:$1,0)+1),MATCH(C$1,[2]quests!$1:$1,0)-MATCH($B$1,[2]quests!$1:$1,0)+1,FALSE)</f>
        <v>ブルースクウェアを追え！</v>
      </c>
      <c r="D99" s="77" t="str">
        <f ca="1">VLOOKUP($B99,OFFSET([2]quests!$A$1,0,0,COUNTA([2]quests!$A:$A),MATCH(D$1,[2]quests!$1:$1,0)-MATCH($B$1,[2]quests!$1:$1,0)+1),MATCH(D$1,[2]quests!$1:$1,0)-MATCH($B$1,[2]quests!$1:$1,0)+1,FALSE)</f>
        <v>コラボクエスト</v>
      </c>
      <c r="E99" s="81">
        <v>4</v>
      </c>
      <c r="F99" s="77" t="str">
        <f ca="1">VLOOKUP($B99&amp;"_"&amp;$E99,OFFSET([2]stages!$A$1,0,0,COUNTA([2]stages!$A:$A),MATCH(F$1,[2]stages!$2:$2,0)-MATCH("temp_stage",[2]stages!$2:$2,0)+1),MATCH(F$1,[2]stages!$2:$2,0)-MATCH("temp_stage",[2]stages!$2:$2,0)+1,FALSE)</f>
        <v>【超級】ブルースクウェアを追え！</v>
      </c>
      <c r="G99" s="77" t="str">
        <f ca="1">VLOOKUP($B99&amp;"_"&amp;$E99,OFFSET([2]stages!$A$1,0,0,COUNTA([2]stages!$A:$A),MATCH(G$1,[2]stages!$2:$2,0)-MATCH("temp_stage",[2]stages!$2:$2,0)+1),MATCH(G$1,[2]stages!$2:$2,0)-MATCH("temp_stage",[2]stages!$2:$2,0)+1,FALSE)</f>
        <v>コラボクエスト</v>
      </c>
      <c r="H99" s="79">
        <v>0</v>
      </c>
      <c r="I99">
        <v>28</v>
      </c>
      <c r="J99" s="78" t="s">
        <v>197</v>
      </c>
      <c r="K99" s="87" t="str">
        <f>VLOOKUP(I99,[6]stage_hints!$A:$C,3,FALSE)</f>
        <v>ステータス情報は長押しで</v>
      </c>
      <c r="L99" s="88" t="str">
        <f>VLOOKUP(I99,[6]stage_hints!$A:$D,4,FALSE)</f>
        <v>ユニットのアイコンを長押しすると_x000D_ステータス情報を確認することができます</v>
      </c>
      <c r="M99" s="51" t="s">
        <v>210</v>
      </c>
    </row>
    <row r="100" spans="1:13" x14ac:dyDescent="0.15">
      <c r="A100" s="75" t="s">
        <v>200</v>
      </c>
      <c r="B100" s="76">
        <f>floors!$C$2</f>
        <v>39003</v>
      </c>
      <c r="C100" s="77" t="str">
        <f ca="1">VLOOKUP($B100,OFFSET([2]quests!$A$1,0,0,COUNTA([2]quests!$A:$A),MATCH(C$1,[2]quests!$1:$1,0)-MATCH($B$1,[2]quests!$1:$1,0)+1),MATCH(C$1,[2]quests!$1:$1,0)-MATCH($B$1,[2]quests!$1:$1,0)+1,FALSE)</f>
        <v>ブルースクウェアを追え！</v>
      </c>
      <c r="D100" s="77" t="str">
        <f ca="1">VLOOKUP($B100,OFFSET([2]quests!$A$1,0,0,COUNTA([2]quests!$A:$A),MATCH(D$1,[2]quests!$1:$1,0)-MATCH($B$1,[2]quests!$1:$1,0)+1),MATCH(D$1,[2]quests!$1:$1,0)-MATCH($B$1,[2]quests!$1:$1,0)+1,FALSE)</f>
        <v>コラボクエスト</v>
      </c>
      <c r="E100" s="81">
        <v>4</v>
      </c>
      <c r="F100" s="77" t="str">
        <f ca="1">VLOOKUP($B100&amp;"_"&amp;$E100,OFFSET([2]stages!$A$1,0,0,COUNTA([2]stages!$A:$A),MATCH(F$1,[2]stages!$2:$2,0)-MATCH("temp_stage",[2]stages!$2:$2,0)+1),MATCH(F$1,[2]stages!$2:$2,0)-MATCH("temp_stage",[2]stages!$2:$2,0)+1,FALSE)</f>
        <v>【超級】ブルースクウェアを追え！</v>
      </c>
      <c r="G100" s="77" t="str">
        <f ca="1">VLOOKUP($B100&amp;"_"&amp;$E100,OFFSET([2]stages!$A$1,0,0,COUNTA([2]stages!$A:$A),MATCH(G$1,[2]stages!$2:$2,0)-MATCH("temp_stage",[2]stages!$2:$2,0)+1),MATCH(G$1,[2]stages!$2:$2,0)-MATCH("temp_stage",[2]stages!$2:$2,0)+1,FALSE)</f>
        <v>コラボクエスト</v>
      </c>
      <c r="H100" s="79">
        <v>0</v>
      </c>
      <c r="I100">
        <v>29</v>
      </c>
      <c r="J100" s="78" t="s">
        <v>197</v>
      </c>
      <c r="K100" s="87" t="str">
        <f>VLOOKUP(I100,[6]stage_hints!$A:$C,3,FALSE)</f>
        <v>「バグ」のメリット</v>
      </c>
      <c r="L100" s="88" t="str">
        <f>VLOOKUP(I100,[6]stage_hints!$A:$D,4,FALSE)</f>
        <v>ユニットの「バグ」を増やすと_x000D_報酬をもらえる確率がアップします</v>
      </c>
      <c r="M100" s="51" t="s">
        <v>210</v>
      </c>
    </row>
    <row r="101" spans="1:13" x14ac:dyDescent="0.15">
      <c r="A101" s="75" t="s">
        <v>200</v>
      </c>
      <c r="B101" s="76">
        <f>floors!$C$2</f>
        <v>39003</v>
      </c>
      <c r="C101" s="77" t="str">
        <f ca="1">VLOOKUP($B101,OFFSET([2]quests!$A$1,0,0,COUNTA([2]quests!$A:$A),MATCH(C$1,[2]quests!$1:$1,0)-MATCH($B$1,[2]quests!$1:$1,0)+1),MATCH(C$1,[2]quests!$1:$1,0)-MATCH($B$1,[2]quests!$1:$1,0)+1,FALSE)</f>
        <v>ブルースクウェアを追え！</v>
      </c>
      <c r="D101" s="77" t="str">
        <f ca="1">VLOOKUP($B101,OFFSET([2]quests!$A$1,0,0,COUNTA([2]quests!$A:$A),MATCH(D$1,[2]quests!$1:$1,0)-MATCH($B$1,[2]quests!$1:$1,0)+1),MATCH(D$1,[2]quests!$1:$1,0)-MATCH($B$1,[2]quests!$1:$1,0)+1,FALSE)</f>
        <v>コラボクエスト</v>
      </c>
      <c r="E101" s="81">
        <v>4</v>
      </c>
      <c r="F101" s="77" t="str">
        <f ca="1">VLOOKUP($B101&amp;"_"&amp;$E101,OFFSET([2]stages!$A$1,0,0,COUNTA([2]stages!$A:$A),MATCH(F$1,[2]stages!$2:$2,0)-MATCH("temp_stage",[2]stages!$2:$2,0)+1),MATCH(F$1,[2]stages!$2:$2,0)-MATCH("temp_stage",[2]stages!$2:$2,0)+1,FALSE)</f>
        <v>【超級】ブルースクウェアを追え！</v>
      </c>
      <c r="G101" s="77" t="str">
        <f ca="1">VLOOKUP($B101&amp;"_"&amp;$E101,OFFSET([2]stages!$A$1,0,0,COUNTA([2]stages!$A:$A),MATCH(G$1,[2]stages!$2:$2,0)-MATCH("temp_stage",[2]stages!$2:$2,0)+1),MATCH(G$1,[2]stages!$2:$2,0)-MATCH("temp_stage",[2]stages!$2:$2,0)+1,FALSE)</f>
        <v>コラボクエスト</v>
      </c>
      <c r="H101" s="79">
        <v>0</v>
      </c>
      <c r="I101">
        <v>30</v>
      </c>
      <c r="J101" s="78" t="s">
        <v>197</v>
      </c>
      <c r="K101" s="87" t="str">
        <f>VLOOKUP(I101,[6]stage_hints!$A:$C,3,FALSE)</f>
        <v>「バグ」の増やし方</v>
      </c>
      <c r="L101" s="88" t="str">
        <f>VLOOKUP(I101,[6]stage_hints!$A:$D,4,FALSE)</f>
        <v>同じユニット同士を強化で合成すると_x000D_「バグ」を増やすことができます</v>
      </c>
      <c r="M101" s="51" t="s">
        <v>210</v>
      </c>
    </row>
    <row r="102" spans="1:13" x14ac:dyDescent="0.15">
      <c r="A102" s="75" t="s">
        <v>200</v>
      </c>
      <c r="B102" s="76">
        <f>floors!$C$2</f>
        <v>39003</v>
      </c>
      <c r="C102" s="77" t="str">
        <f ca="1">VLOOKUP($B102,OFFSET([2]quests!$A$1,0,0,COUNTA([2]quests!$A:$A),MATCH(C$1,[2]quests!$1:$1,0)-MATCH($B$1,[2]quests!$1:$1,0)+1),MATCH(C$1,[2]quests!$1:$1,0)-MATCH($B$1,[2]quests!$1:$1,0)+1,FALSE)</f>
        <v>ブルースクウェアを追え！</v>
      </c>
      <c r="D102" s="77" t="str">
        <f ca="1">VLOOKUP($B102,OFFSET([2]quests!$A$1,0,0,COUNTA([2]quests!$A:$A),MATCH(D$1,[2]quests!$1:$1,0)-MATCH($B$1,[2]quests!$1:$1,0)+1),MATCH(D$1,[2]quests!$1:$1,0)-MATCH($B$1,[2]quests!$1:$1,0)+1,FALSE)</f>
        <v>コラボクエスト</v>
      </c>
      <c r="E102" s="81">
        <v>4</v>
      </c>
      <c r="F102" s="77" t="str">
        <f ca="1">VLOOKUP($B102&amp;"_"&amp;$E102,OFFSET([2]stages!$A$1,0,0,COUNTA([2]stages!$A:$A),MATCH(F$1,[2]stages!$2:$2,0)-MATCH("temp_stage",[2]stages!$2:$2,0)+1),MATCH(F$1,[2]stages!$2:$2,0)-MATCH("temp_stage",[2]stages!$2:$2,0)+1,FALSE)</f>
        <v>【超級】ブルースクウェアを追え！</v>
      </c>
      <c r="G102" s="77" t="str">
        <f ca="1">VLOOKUP($B102&amp;"_"&amp;$E102,OFFSET([2]stages!$A$1,0,0,COUNTA([2]stages!$A:$A),MATCH(G$1,[2]stages!$2:$2,0)-MATCH("temp_stage",[2]stages!$2:$2,0)+1),MATCH(G$1,[2]stages!$2:$2,0)-MATCH("temp_stage",[2]stages!$2:$2,0)+1,FALSE)</f>
        <v>コラボクエスト</v>
      </c>
      <c r="H102" s="79">
        <v>0</v>
      </c>
      <c r="I102">
        <v>32</v>
      </c>
      <c r="J102" s="78" t="s">
        <v>197</v>
      </c>
      <c r="K102" s="87" t="str">
        <f>VLOOKUP(I102,[6]stage_hints!$A:$C,3,FALSE)</f>
        <v>敵の連続攻撃には</v>
      </c>
      <c r="L102" s="88" t="str">
        <f>VLOOKUP(I102,[6]stage_hints!$A:$D,4,FALSE)</f>
        <v>カウンタースキルを持つユニットがいれば_x000D_ダメージ回数分の反撃ができます</v>
      </c>
      <c r="M102" s="51" t="s">
        <v>210</v>
      </c>
    </row>
    <row r="103" spans="1:13" x14ac:dyDescent="0.15">
      <c r="A103" s="75" t="s">
        <v>200</v>
      </c>
      <c r="B103" s="76">
        <f>floors!$C$2</f>
        <v>39003</v>
      </c>
      <c r="C103" s="77" t="str">
        <f ca="1">VLOOKUP($B103,OFFSET([2]quests!$A$1,0,0,COUNTA([2]quests!$A:$A),MATCH(C$1,[2]quests!$1:$1,0)-MATCH($B$1,[2]quests!$1:$1,0)+1),MATCH(C$1,[2]quests!$1:$1,0)-MATCH($B$1,[2]quests!$1:$1,0)+1,FALSE)</f>
        <v>ブルースクウェアを追え！</v>
      </c>
      <c r="D103" s="77" t="str">
        <f ca="1">VLOOKUP($B103,OFFSET([2]quests!$A$1,0,0,COUNTA([2]quests!$A:$A),MATCH(D$1,[2]quests!$1:$1,0)-MATCH($B$1,[2]quests!$1:$1,0)+1),MATCH(D$1,[2]quests!$1:$1,0)-MATCH($B$1,[2]quests!$1:$1,0)+1,FALSE)</f>
        <v>コラボクエスト</v>
      </c>
      <c r="E103" s="81">
        <v>4</v>
      </c>
      <c r="F103" s="77" t="str">
        <f ca="1">VLOOKUP($B103&amp;"_"&amp;$E103,OFFSET([2]stages!$A$1,0,0,COUNTA([2]stages!$A:$A),MATCH(F$1,[2]stages!$2:$2,0)-MATCH("temp_stage",[2]stages!$2:$2,0)+1),MATCH(F$1,[2]stages!$2:$2,0)-MATCH("temp_stage",[2]stages!$2:$2,0)+1,FALSE)</f>
        <v>【超級】ブルースクウェアを追え！</v>
      </c>
      <c r="G103" s="77" t="str">
        <f ca="1">VLOOKUP($B103&amp;"_"&amp;$E103,OFFSET([2]stages!$A$1,0,0,COUNTA([2]stages!$A:$A),MATCH(G$1,[2]stages!$2:$2,0)-MATCH("temp_stage",[2]stages!$2:$2,0)+1),MATCH(G$1,[2]stages!$2:$2,0)-MATCH("temp_stage",[2]stages!$2:$2,0)+1,FALSE)</f>
        <v>コラボクエスト</v>
      </c>
      <c r="H103" s="79">
        <v>0</v>
      </c>
      <c r="I103">
        <v>33</v>
      </c>
      <c r="J103" s="78" t="s">
        <v>197</v>
      </c>
      <c r="K103" s="87" t="str">
        <f>VLOOKUP(I103,[6]stage_hints!$A:$C,3,FALSE)</f>
        <v>敵のカウンター攻撃には</v>
      </c>
      <c r="L103" s="88" t="str">
        <f>VLOOKUP(I103,[6]stage_hints!$A:$D,4,FALSE)</f>
        <v>カウンターブレイクスキルを持っていれば_x000D_敵のカウンターを解除して攻撃ができます</v>
      </c>
      <c r="M103" s="51" t="s">
        <v>210</v>
      </c>
    </row>
    <row r="104" spans="1:13" x14ac:dyDescent="0.15">
      <c r="A104" s="75" t="s">
        <v>200</v>
      </c>
      <c r="B104" s="76">
        <f>floors!$C$2</f>
        <v>39003</v>
      </c>
      <c r="C104" s="77" t="str">
        <f ca="1">VLOOKUP($B104,OFFSET([2]quests!$A$1,0,0,COUNTA([2]quests!$A:$A),MATCH(C$1,[2]quests!$1:$1,0)-MATCH($B$1,[2]quests!$1:$1,0)+1),MATCH(C$1,[2]quests!$1:$1,0)-MATCH($B$1,[2]quests!$1:$1,0)+1,FALSE)</f>
        <v>ブルースクウェアを追え！</v>
      </c>
      <c r="D104" s="77" t="str">
        <f ca="1">VLOOKUP($B104,OFFSET([2]quests!$A$1,0,0,COUNTA([2]quests!$A:$A),MATCH(D$1,[2]quests!$1:$1,0)-MATCH($B$1,[2]quests!$1:$1,0)+1),MATCH(D$1,[2]quests!$1:$1,0)-MATCH($B$1,[2]quests!$1:$1,0)+1,FALSE)</f>
        <v>コラボクエスト</v>
      </c>
      <c r="E104" s="81">
        <v>4</v>
      </c>
      <c r="F104" s="77" t="str">
        <f ca="1">VLOOKUP($B104&amp;"_"&amp;$E104,OFFSET([2]stages!$A$1,0,0,COUNTA([2]stages!$A:$A),MATCH(F$1,[2]stages!$2:$2,0)-MATCH("temp_stage",[2]stages!$2:$2,0)+1),MATCH(F$1,[2]stages!$2:$2,0)-MATCH("temp_stage",[2]stages!$2:$2,0)+1,FALSE)</f>
        <v>【超級】ブルースクウェアを追え！</v>
      </c>
      <c r="G104" s="77" t="str">
        <f ca="1">VLOOKUP($B104&amp;"_"&amp;$E104,OFFSET([2]stages!$A$1,0,0,COUNTA([2]stages!$A:$A),MATCH(G$1,[2]stages!$2:$2,0)-MATCH("temp_stage",[2]stages!$2:$2,0)+1),MATCH(G$1,[2]stages!$2:$2,0)-MATCH("temp_stage",[2]stages!$2:$2,0)+1,FALSE)</f>
        <v>コラボクエスト</v>
      </c>
      <c r="H104" s="79">
        <v>0</v>
      </c>
      <c r="I104">
        <v>34</v>
      </c>
      <c r="J104" s="78" t="s">
        <v>197</v>
      </c>
      <c r="K104" s="87" t="str">
        <f>VLOOKUP(I104,[6]stage_hints!$A:$C,3,FALSE)</f>
        <v>ステータスをスキルで下げられたら</v>
      </c>
      <c r="L104" s="88" t="str">
        <f>VLOOKUP(I104,[6]stage_hints!$A:$D,4,FALSE)</f>
        <v>ステータスダウンのスキルを受けたら_x000D_ステータスアップスキルで上書きしましょう</v>
      </c>
      <c r="M104" s="51" t="s">
        <v>210</v>
      </c>
    </row>
    <row r="105" spans="1:13" x14ac:dyDescent="0.15">
      <c r="A105" s="75" t="s">
        <v>200</v>
      </c>
      <c r="B105" s="76">
        <f>floors!$C$2</f>
        <v>39003</v>
      </c>
      <c r="C105" s="77" t="str">
        <f ca="1">VLOOKUP($B105,OFFSET([2]quests!$A$1,0,0,COUNTA([2]quests!$A:$A),MATCH(C$1,[2]quests!$1:$1,0)-MATCH($B$1,[2]quests!$1:$1,0)+1),MATCH(C$1,[2]quests!$1:$1,0)-MATCH($B$1,[2]quests!$1:$1,0)+1,FALSE)</f>
        <v>ブルースクウェアを追え！</v>
      </c>
      <c r="D105" s="77" t="str">
        <f ca="1">VLOOKUP($B105,OFFSET([2]quests!$A$1,0,0,COUNTA([2]quests!$A:$A),MATCH(D$1,[2]quests!$1:$1,0)-MATCH($B$1,[2]quests!$1:$1,0)+1),MATCH(D$1,[2]quests!$1:$1,0)-MATCH($B$1,[2]quests!$1:$1,0)+1,FALSE)</f>
        <v>コラボクエスト</v>
      </c>
      <c r="E105" s="81">
        <v>4</v>
      </c>
      <c r="F105" s="77" t="str">
        <f ca="1">VLOOKUP($B105&amp;"_"&amp;$E105,OFFSET([2]stages!$A$1,0,0,COUNTA([2]stages!$A:$A),MATCH(F$1,[2]stages!$2:$2,0)-MATCH("temp_stage",[2]stages!$2:$2,0)+1),MATCH(F$1,[2]stages!$2:$2,0)-MATCH("temp_stage",[2]stages!$2:$2,0)+1,FALSE)</f>
        <v>【超級】ブルースクウェアを追え！</v>
      </c>
      <c r="G105" s="77" t="str">
        <f ca="1">VLOOKUP($B105&amp;"_"&amp;$E105,OFFSET([2]stages!$A$1,0,0,COUNTA([2]stages!$A:$A),MATCH(G$1,[2]stages!$2:$2,0)-MATCH("temp_stage",[2]stages!$2:$2,0)+1),MATCH(G$1,[2]stages!$2:$2,0)-MATCH("temp_stage",[2]stages!$2:$2,0)+1,FALSE)</f>
        <v>コラボクエスト</v>
      </c>
      <c r="H105" s="79">
        <v>0</v>
      </c>
      <c r="I105">
        <v>35</v>
      </c>
      <c r="J105" s="78" t="s">
        <v>197</v>
      </c>
      <c r="K105" s="87" t="str">
        <f>VLOOKUP(I105,[6]stage_hints!$A:$C,3,FALSE)</f>
        <v>敵のステータスがスキルで上がったら</v>
      </c>
      <c r="L105" s="88" t="str">
        <f>VLOOKUP(I105,[6]stage_hints!$A:$D,4,FALSE)</f>
        <v>敵のステータスがスキルでアップしたときは_x000D_ステータスダウンスキルで上書きしましょう</v>
      </c>
      <c r="M105" s="51" t="s">
        <v>210</v>
      </c>
    </row>
    <row r="106" spans="1:13" x14ac:dyDescent="0.15">
      <c r="A106" s="75" t="s">
        <v>200</v>
      </c>
      <c r="B106" s="76">
        <f>floors!$C$2</f>
        <v>39003</v>
      </c>
      <c r="C106" s="77" t="str">
        <f ca="1">VLOOKUP($B106,OFFSET([2]quests!$A$1,0,0,COUNTA([2]quests!$A:$A),MATCH(C$1,[2]quests!$1:$1,0)-MATCH($B$1,[2]quests!$1:$1,0)+1),MATCH(C$1,[2]quests!$1:$1,0)-MATCH($B$1,[2]quests!$1:$1,0)+1,FALSE)</f>
        <v>ブルースクウェアを追え！</v>
      </c>
      <c r="D106" s="77" t="str">
        <f ca="1">VLOOKUP($B106,OFFSET([2]quests!$A$1,0,0,COUNTA([2]quests!$A:$A),MATCH(D$1,[2]quests!$1:$1,0)-MATCH($B$1,[2]quests!$1:$1,0)+1),MATCH(D$1,[2]quests!$1:$1,0)-MATCH($B$1,[2]quests!$1:$1,0)+1,FALSE)</f>
        <v>コラボクエスト</v>
      </c>
      <c r="E106" s="81">
        <v>4</v>
      </c>
      <c r="F106" s="77" t="str">
        <f ca="1">VLOOKUP($B106&amp;"_"&amp;$E106,OFFSET([2]stages!$A$1,0,0,COUNTA([2]stages!$A:$A),MATCH(F$1,[2]stages!$2:$2,0)-MATCH("temp_stage",[2]stages!$2:$2,0)+1),MATCH(F$1,[2]stages!$2:$2,0)-MATCH("temp_stage",[2]stages!$2:$2,0)+1,FALSE)</f>
        <v>【超級】ブルースクウェアを追え！</v>
      </c>
      <c r="G106" s="77" t="str">
        <f ca="1">VLOOKUP($B106&amp;"_"&amp;$E106,OFFSET([2]stages!$A$1,0,0,COUNTA([2]stages!$A:$A),MATCH(G$1,[2]stages!$2:$2,0)-MATCH("temp_stage",[2]stages!$2:$2,0)+1),MATCH(G$1,[2]stages!$2:$2,0)-MATCH("temp_stage",[2]stages!$2:$2,0)+1,FALSE)</f>
        <v>コラボクエスト</v>
      </c>
      <c r="H106" s="79">
        <v>0</v>
      </c>
      <c r="I106">
        <v>36</v>
      </c>
      <c r="J106" s="78" t="s">
        <v>197</v>
      </c>
      <c r="K106" s="87" t="str">
        <f>VLOOKUP(I106,[6]stage_hints!$A:$C,3,FALSE)</f>
        <v>チャレンジタワーのボス</v>
      </c>
      <c r="L106" s="88" t="str">
        <f>VLOOKUP(I106,[6]stage_hints!$A:$D,4,FALSE)</f>
        <v>チャレンジタワーでのみ登場するボスは_x000D_一定確率で獲得することができます</v>
      </c>
      <c r="M106" s="51" t="s">
        <v>210</v>
      </c>
    </row>
    <row r="107" spans="1:13" x14ac:dyDescent="0.15">
      <c r="A107" s="75" t="s">
        <v>200</v>
      </c>
      <c r="B107" s="76">
        <f>floors!$C$2</f>
        <v>39003</v>
      </c>
      <c r="C107" s="77" t="str">
        <f ca="1">VLOOKUP($B107,OFFSET([2]quests!$A$1,0,0,COUNTA([2]quests!$A:$A),MATCH(C$1,[2]quests!$1:$1,0)-MATCH($B$1,[2]quests!$1:$1,0)+1),MATCH(C$1,[2]quests!$1:$1,0)-MATCH($B$1,[2]quests!$1:$1,0)+1,FALSE)</f>
        <v>ブルースクウェアを追え！</v>
      </c>
      <c r="D107" s="77" t="str">
        <f ca="1">VLOOKUP($B107,OFFSET([2]quests!$A$1,0,0,COUNTA([2]quests!$A:$A),MATCH(D$1,[2]quests!$1:$1,0)-MATCH($B$1,[2]quests!$1:$1,0)+1),MATCH(D$1,[2]quests!$1:$1,0)-MATCH($B$1,[2]quests!$1:$1,0)+1,FALSE)</f>
        <v>コラボクエスト</v>
      </c>
      <c r="E107" s="81">
        <v>4</v>
      </c>
      <c r="F107" s="77" t="str">
        <f ca="1">VLOOKUP($B107&amp;"_"&amp;$E107,OFFSET([2]stages!$A$1,0,0,COUNTA([2]stages!$A:$A),MATCH(F$1,[2]stages!$2:$2,0)-MATCH("temp_stage",[2]stages!$2:$2,0)+1),MATCH(F$1,[2]stages!$2:$2,0)-MATCH("temp_stage",[2]stages!$2:$2,0)+1,FALSE)</f>
        <v>【超級】ブルースクウェアを追え！</v>
      </c>
      <c r="G107" s="77" t="str">
        <f ca="1">VLOOKUP($B107&amp;"_"&amp;$E107,OFFSET([2]stages!$A$1,0,0,COUNTA([2]stages!$A:$A),MATCH(G$1,[2]stages!$2:$2,0)-MATCH("temp_stage",[2]stages!$2:$2,0)+1),MATCH(G$1,[2]stages!$2:$2,0)-MATCH("temp_stage",[2]stages!$2:$2,0)+1,FALSE)</f>
        <v>コラボクエスト</v>
      </c>
      <c r="H107" s="79">
        <v>0</v>
      </c>
      <c r="I107">
        <v>37</v>
      </c>
      <c r="J107" s="78" t="s">
        <v>197</v>
      </c>
      <c r="K107" s="87" t="str">
        <f>VLOOKUP(I107,[6]stage_hints!$A:$C,3,FALSE)</f>
        <v>限界突破値の引き継ぎ</v>
      </c>
      <c r="L107" s="88" t="str">
        <f>VLOOKUP(I107,[6]stage_hints!$A:$D,4,FALSE)</f>
        <v>同じユニットを強化で合成すると_x000D_限界突破値を引き継げます（覚醒前後も可）</v>
      </c>
      <c r="M107" s="51" t="s">
        <v>210</v>
      </c>
    </row>
    <row r="108" spans="1:13" x14ac:dyDescent="0.15">
      <c r="A108" s="75" t="s">
        <v>200</v>
      </c>
      <c r="B108" s="76">
        <f>floors!$C$2</f>
        <v>39003</v>
      </c>
      <c r="C108" s="77" t="str">
        <f ca="1">VLOOKUP($B108,OFFSET([2]quests!$A$1,0,0,COUNTA([2]quests!$A:$A),MATCH(C$1,[2]quests!$1:$1,0)-MATCH($B$1,[2]quests!$1:$1,0)+1),MATCH(C$1,[2]quests!$1:$1,0)-MATCH($B$1,[2]quests!$1:$1,0)+1,FALSE)</f>
        <v>ブルースクウェアを追え！</v>
      </c>
      <c r="D108" s="77" t="str">
        <f ca="1">VLOOKUP($B108,OFFSET([2]quests!$A$1,0,0,COUNTA([2]quests!$A:$A),MATCH(D$1,[2]quests!$1:$1,0)-MATCH($B$1,[2]quests!$1:$1,0)+1),MATCH(D$1,[2]quests!$1:$1,0)-MATCH($B$1,[2]quests!$1:$1,0)+1,FALSE)</f>
        <v>コラボクエスト</v>
      </c>
      <c r="E108" s="81">
        <v>4</v>
      </c>
      <c r="F108" s="77" t="str">
        <f ca="1">VLOOKUP($B108&amp;"_"&amp;$E108,OFFSET([2]stages!$A$1,0,0,COUNTA([2]stages!$A:$A),MATCH(F$1,[2]stages!$2:$2,0)-MATCH("temp_stage",[2]stages!$2:$2,0)+1),MATCH(F$1,[2]stages!$2:$2,0)-MATCH("temp_stage",[2]stages!$2:$2,0)+1,FALSE)</f>
        <v>【超級】ブルースクウェアを追え！</v>
      </c>
      <c r="G108" s="77" t="str">
        <f ca="1">VLOOKUP($B108&amp;"_"&amp;$E108,OFFSET([2]stages!$A$1,0,0,COUNTA([2]stages!$A:$A),MATCH(G$1,[2]stages!$2:$2,0)-MATCH("temp_stage",[2]stages!$2:$2,0)+1),MATCH(G$1,[2]stages!$2:$2,0)-MATCH("temp_stage",[2]stages!$2:$2,0)+1,FALSE)</f>
        <v>コラボクエスト</v>
      </c>
      <c r="H108" s="79">
        <v>0</v>
      </c>
      <c r="I108">
        <v>39</v>
      </c>
      <c r="J108" s="78" t="s">
        <v>197</v>
      </c>
      <c r="K108" s="87" t="str">
        <f>VLOOKUP(I108,[6]stage_hints!$A:$C,3,FALSE)</f>
        <v>システム適合者を確認</v>
      </c>
      <c r="L108" s="88" t="str">
        <f>VLOOKUP(I108,[6]stage_hints!$A:$D,4,FALSE)</f>
        <v>ALICEが「アナタ」を呼んでいます</v>
      </c>
      <c r="M108" s="51" t="s">
        <v>210</v>
      </c>
    </row>
    <row r="109" spans="1:13" x14ac:dyDescent="0.15">
      <c r="A109" s="75"/>
      <c r="B109" s="76"/>
      <c r="C109" s="77"/>
      <c r="D109" s="77"/>
      <c r="E109" s="81"/>
      <c r="F109" s="77"/>
      <c r="G109" s="77"/>
      <c r="H109" s="79"/>
      <c r="J109" s="78"/>
      <c r="K109" s="87"/>
      <c r="L109" s="88"/>
      <c r="M109" s="51"/>
    </row>
    <row r="110" spans="1:13" x14ac:dyDescent="0.15">
      <c r="A110" s="75"/>
      <c r="B110" s="76"/>
      <c r="C110" s="77"/>
      <c r="D110" s="77"/>
      <c r="E110" s="81"/>
      <c r="F110" s="77"/>
      <c r="G110" s="77"/>
      <c r="H110" s="79"/>
      <c r="J110" s="78"/>
      <c r="K110" s="87"/>
      <c r="L110" s="88"/>
      <c r="M110" s="51"/>
    </row>
    <row r="111" spans="1:13" x14ac:dyDescent="0.15">
      <c r="A111" s="75"/>
      <c r="B111" s="76"/>
      <c r="C111" s="77"/>
      <c r="D111" s="77"/>
      <c r="E111" s="81"/>
      <c r="F111" s="77"/>
      <c r="G111" s="77"/>
      <c r="H111" s="79"/>
      <c r="J111" s="78"/>
      <c r="K111" s="87"/>
      <c r="L111" s="88"/>
      <c r="M111" s="51"/>
    </row>
    <row r="112" spans="1:13" x14ac:dyDescent="0.15">
      <c r="A112" s="75"/>
      <c r="B112" s="76"/>
      <c r="C112" s="77"/>
      <c r="D112" s="77"/>
      <c r="E112" s="81"/>
      <c r="F112" s="77"/>
      <c r="G112" s="77"/>
      <c r="H112" s="79"/>
      <c r="J112" s="78"/>
      <c r="K112" s="87"/>
      <c r="L112" s="88"/>
      <c r="M112" s="51"/>
    </row>
    <row r="113" spans="1:13" x14ac:dyDescent="0.15">
      <c r="A113" s="75"/>
      <c r="B113" s="76"/>
      <c r="C113" s="77"/>
      <c r="D113" s="77"/>
      <c r="E113" s="81"/>
      <c r="F113" s="77"/>
      <c r="G113" s="77"/>
      <c r="H113" s="79"/>
      <c r="J113" s="78"/>
      <c r="K113" s="87"/>
      <c r="L113" s="88"/>
      <c r="M113" s="51"/>
    </row>
    <row r="114" spans="1:13" x14ac:dyDescent="0.15">
      <c r="A114" s="75"/>
      <c r="B114" s="76"/>
      <c r="C114" s="77"/>
      <c r="D114" s="77"/>
      <c r="E114" s="81"/>
      <c r="F114" s="77"/>
      <c r="G114" s="77"/>
      <c r="H114" s="79"/>
      <c r="J114" s="78"/>
      <c r="K114" s="87"/>
      <c r="L114" s="88"/>
      <c r="M114" s="51"/>
    </row>
    <row r="115" spans="1:13" x14ac:dyDescent="0.15">
      <c r="A115" s="75"/>
      <c r="B115" s="76"/>
      <c r="C115" s="77"/>
      <c r="D115" s="77"/>
      <c r="E115" s="81"/>
      <c r="F115" s="77"/>
      <c r="G115" s="77"/>
      <c r="H115" s="79"/>
      <c r="J115" s="78"/>
      <c r="K115" s="87"/>
      <c r="L115" s="88"/>
      <c r="M115" s="51"/>
    </row>
    <row r="116" spans="1:13" x14ac:dyDescent="0.15">
      <c r="A116" s="75"/>
      <c r="B116" s="76"/>
      <c r="C116" s="77"/>
      <c r="D116" s="77"/>
      <c r="E116" s="81"/>
      <c r="F116" s="77"/>
      <c r="G116" s="77"/>
      <c r="H116" s="79"/>
      <c r="J116" s="78"/>
      <c r="K116" s="87"/>
      <c r="L116" s="88"/>
      <c r="M116" s="51"/>
    </row>
    <row r="117" spans="1:13" x14ac:dyDescent="0.15">
      <c r="A117" s="75"/>
      <c r="B117" s="76"/>
      <c r="C117" s="77"/>
      <c r="D117" s="77"/>
      <c r="E117" s="81"/>
      <c r="F117" s="77"/>
      <c r="G117" s="77"/>
      <c r="H117" s="79"/>
      <c r="J117" s="78"/>
      <c r="K117" s="87"/>
      <c r="L117" s="88"/>
      <c r="M117" s="51"/>
    </row>
    <row r="118" spans="1:13" x14ac:dyDescent="0.15">
      <c r="A118" s="75"/>
      <c r="B118" s="76"/>
      <c r="C118" s="77"/>
      <c r="D118" s="77"/>
      <c r="E118" s="81"/>
      <c r="F118" s="77"/>
      <c r="G118" s="77"/>
      <c r="H118" s="79"/>
      <c r="J118" s="78"/>
      <c r="K118" s="87"/>
      <c r="L118" s="88"/>
      <c r="M118" s="51"/>
    </row>
    <row r="119" spans="1:13" x14ac:dyDescent="0.15">
      <c r="A119" s="75"/>
      <c r="B119" s="76"/>
      <c r="C119" s="77"/>
      <c r="D119" s="77"/>
      <c r="E119" s="81"/>
      <c r="F119" s="77"/>
      <c r="G119" s="77"/>
      <c r="H119" s="79"/>
      <c r="J119" s="78"/>
      <c r="K119" s="87"/>
      <c r="L119" s="88"/>
      <c r="M119" s="51"/>
    </row>
    <row r="120" spans="1:13" x14ac:dyDescent="0.15">
      <c r="A120" s="75"/>
      <c r="B120" s="76"/>
      <c r="C120" s="77"/>
      <c r="D120" s="77"/>
      <c r="E120" s="81"/>
      <c r="F120" s="77"/>
      <c r="G120" s="77"/>
      <c r="H120" s="79"/>
      <c r="J120" s="78"/>
      <c r="K120" s="87"/>
      <c r="L120" s="88"/>
      <c r="M120" s="51"/>
    </row>
    <row r="121" spans="1:13" x14ac:dyDescent="0.15">
      <c r="A121" s="75"/>
      <c r="B121" s="76"/>
      <c r="C121" s="77"/>
      <c r="D121" s="77"/>
      <c r="E121" s="81"/>
      <c r="F121" s="77"/>
      <c r="G121" s="77"/>
      <c r="H121" s="79"/>
      <c r="J121" s="78"/>
      <c r="K121" s="87"/>
      <c r="L121" s="88"/>
      <c r="M121" s="51"/>
    </row>
    <row r="122" spans="1:13" x14ac:dyDescent="0.15">
      <c r="A122" s="75"/>
      <c r="B122" s="76"/>
      <c r="C122" s="77"/>
      <c r="D122" s="77"/>
      <c r="E122" s="81"/>
      <c r="F122" s="77"/>
      <c r="G122" s="77"/>
      <c r="H122" s="79"/>
      <c r="J122" s="78"/>
      <c r="K122" s="87"/>
      <c r="L122" s="88"/>
      <c r="M122" s="51"/>
    </row>
    <row r="123" spans="1:13" x14ac:dyDescent="0.15">
      <c r="A123" s="75"/>
      <c r="B123" s="76"/>
      <c r="C123" s="77"/>
      <c r="D123" s="77"/>
      <c r="E123" s="81"/>
      <c r="F123" s="77"/>
      <c r="G123" s="77"/>
      <c r="H123" s="79"/>
      <c r="J123" s="78"/>
      <c r="K123" s="87"/>
      <c r="L123" s="88"/>
      <c r="M123" s="51"/>
    </row>
    <row r="124" spans="1:13" x14ac:dyDescent="0.15">
      <c r="A124" s="75"/>
      <c r="B124" s="76"/>
      <c r="C124" s="77"/>
      <c r="D124" s="77"/>
      <c r="E124" s="81"/>
      <c r="F124" s="77"/>
      <c r="G124" s="77"/>
      <c r="H124" s="79"/>
      <c r="J124" s="78"/>
      <c r="K124" s="87"/>
      <c r="L124" s="88"/>
      <c r="M124" s="51"/>
    </row>
    <row r="125" spans="1:13" x14ac:dyDescent="0.15">
      <c r="A125" s="75"/>
      <c r="B125" s="76"/>
      <c r="C125" s="77"/>
      <c r="D125" s="77"/>
      <c r="E125" s="81"/>
      <c r="F125" s="77"/>
      <c r="G125" s="77"/>
      <c r="H125" s="79"/>
      <c r="J125" s="78"/>
      <c r="K125" s="87"/>
      <c r="L125" s="88"/>
      <c r="M125" s="51"/>
    </row>
    <row r="126" spans="1:13" x14ac:dyDescent="0.15">
      <c r="A126" s="75"/>
      <c r="B126" s="76"/>
      <c r="C126" s="77"/>
      <c r="D126" s="77"/>
      <c r="E126" s="81"/>
      <c r="F126" s="77"/>
      <c r="G126" s="77"/>
      <c r="H126" s="79"/>
      <c r="J126" s="78"/>
      <c r="K126" s="87"/>
      <c r="L126" s="88"/>
      <c r="M126" s="51"/>
    </row>
    <row r="127" spans="1:13" x14ac:dyDescent="0.15">
      <c r="A127" s="75"/>
      <c r="B127" s="76"/>
      <c r="C127" s="77"/>
      <c r="D127" s="77"/>
      <c r="E127" s="81"/>
      <c r="F127" s="77"/>
      <c r="G127" s="77"/>
      <c r="H127" s="79"/>
      <c r="J127" s="78"/>
      <c r="K127" s="87"/>
      <c r="L127" s="88"/>
      <c r="M127" s="51"/>
    </row>
    <row r="128" spans="1:13" x14ac:dyDescent="0.15">
      <c r="A128" s="75"/>
      <c r="B128" s="76"/>
      <c r="C128" s="77"/>
      <c r="D128" s="77"/>
      <c r="E128" s="81"/>
      <c r="F128" s="77"/>
      <c r="G128" s="77"/>
      <c r="H128" s="79"/>
      <c r="J128" s="78"/>
      <c r="K128" s="87"/>
      <c r="L128" s="88"/>
      <c r="M128" s="51"/>
    </row>
    <row r="129" spans="1:13" x14ac:dyDescent="0.15">
      <c r="A129" s="75"/>
      <c r="B129" s="76"/>
      <c r="C129" s="77"/>
      <c r="D129" s="77"/>
      <c r="E129" s="81"/>
      <c r="F129" s="77"/>
      <c r="G129" s="77"/>
      <c r="H129" s="79"/>
      <c r="J129" s="78"/>
      <c r="K129" s="87"/>
      <c r="L129" s="88"/>
      <c r="M129" s="51"/>
    </row>
    <row r="130" spans="1:13" x14ac:dyDescent="0.15">
      <c r="A130" s="75"/>
      <c r="B130" s="76"/>
      <c r="C130" s="77"/>
      <c r="D130" s="77"/>
      <c r="E130" s="81"/>
      <c r="F130" s="77"/>
      <c r="G130" s="77"/>
      <c r="H130" s="79"/>
      <c r="J130" s="78"/>
      <c r="K130" s="87"/>
      <c r="L130" s="88"/>
      <c r="M130" s="51"/>
    </row>
    <row r="131" spans="1:13" x14ac:dyDescent="0.15">
      <c r="A131" s="75"/>
      <c r="B131" s="76"/>
      <c r="C131" s="77"/>
      <c r="D131" s="77"/>
      <c r="E131" s="81"/>
      <c r="F131" s="77"/>
      <c r="G131" s="77"/>
      <c r="H131" s="79"/>
      <c r="J131" s="78"/>
      <c r="K131" s="87"/>
      <c r="L131" s="88"/>
      <c r="M131" s="51"/>
    </row>
    <row r="132" spans="1:13" x14ac:dyDescent="0.15">
      <c r="A132" s="75"/>
      <c r="B132" s="76"/>
      <c r="C132" s="77"/>
      <c r="D132" s="77"/>
      <c r="E132" s="81"/>
      <c r="F132" s="77"/>
      <c r="G132" s="77"/>
      <c r="H132" s="79"/>
      <c r="J132" s="78"/>
      <c r="K132" s="87"/>
      <c r="L132" s="88"/>
      <c r="M132" s="51"/>
    </row>
    <row r="133" spans="1:13" x14ac:dyDescent="0.15">
      <c r="A133" s="75"/>
      <c r="B133" s="76"/>
      <c r="C133" s="77"/>
      <c r="D133" s="77"/>
      <c r="E133" s="81"/>
      <c r="F133" s="77"/>
      <c r="G133" s="77"/>
      <c r="H133" s="79"/>
      <c r="J133" s="78"/>
      <c r="K133" s="87"/>
      <c r="L133" s="88"/>
      <c r="M133" s="51"/>
    </row>
    <row r="134" spans="1:13" x14ac:dyDescent="0.15">
      <c r="A134" s="75"/>
      <c r="B134" s="76"/>
      <c r="C134" s="77"/>
      <c r="D134" s="77"/>
      <c r="E134" s="81"/>
      <c r="F134" s="77"/>
      <c r="G134" s="77"/>
      <c r="H134" s="79"/>
      <c r="J134" s="78"/>
      <c r="K134" s="87"/>
      <c r="L134" s="88"/>
      <c r="M134" s="51"/>
    </row>
  </sheetData>
  <phoneticPr fontId="5"/>
  <dataValidations count="1">
    <dataValidation type="list" allowBlank="1" showInputMessage="1" showErrorMessage="1" sqref="A2:A134">
      <formula1>"complete,failure"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1"/>
  <sheetViews>
    <sheetView showGridLines="0" workbookViewId="0">
      <pane ySplit="1" topLeftCell="A15" activePane="bottomLeft" state="frozen"/>
      <selection pane="bottomLeft" activeCell="M22" sqref="M22"/>
    </sheetView>
  </sheetViews>
  <sheetFormatPr baseColWidth="12" defaultColWidth="13" defaultRowHeight="15" outlineLevelCol="1" x14ac:dyDescent="0.15"/>
  <cols>
    <col min="1" max="1" width="13" style="82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0" t="s">
        <v>187</v>
      </c>
      <c r="B1" s="66" t="s">
        <v>149</v>
      </c>
      <c r="C1" s="71" t="s">
        <v>189</v>
      </c>
      <c r="D1" s="71" t="s">
        <v>33</v>
      </c>
      <c r="E1" s="66" t="s">
        <v>190</v>
      </c>
      <c r="F1" s="71" t="s">
        <v>18</v>
      </c>
      <c r="G1" s="71" t="s">
        <v>33</v>
      </c>
      <c r="H1" s="66" t="s">
        <v>192</v>
      </c>
      <c r="I1" s="83" t="s">
        <v>193</v>
      </c>
      <c r="J1" s="85" t="s">
        <v>194</v>
      </c>
      <c r="K1" s="73" t="s">
        <v>125</v>
      </c>
      <c r="L1" s="72" t="s">
        <v>186</v>
      </c>
      <c r="M1" s="86" t="s">
        <v>185</v>
      </c>
      <c r="N1" s="74" t="s">
        <v>195</v>
      </c>
    </row>
    <row r="2" spans="1:14" ht="42" x14ac:dyDescent="0.15">
      <c r="A2" s="75" t="s">
        <v>196</v>
      </c>
      <c r="B2" s="76">
        <f>floors!$C$2</f>
        <v>39003</v>
      </c>
      <c r="C2" s="77" t="str">
        <f ca="1">VLOOKUP($B2,OFFSET([2]quests!$A$1,0,0,COUNTA([2]quests!$A:$A),MATCH(C$1,[2]quests!$1:$1,0)-MATCH($B$1,[2]quests!$1:$1,0)+1),MATCH(C$1,[2]quests!$1:$1,0)-MATCH($B$1,[2]quests!$1:$1,0)+1,FALSE)</f>
        <v>ブルースクウェアを追え！</v>
      </c>
      <c r="D2" s="77" t="str">
        <f ca="1">VLOOKUP($B2,OFFSET([2]quests!$A$1,0,0,COUNTA([2]quests!$A:$A),MATCH(D$1,[2]quests!$1:$1,0)-MATCH($B$1,[2]quests!$1:$1,0)+1),MATCH(D$1,[2]quests!$1:$1,0)-MATCH($B$1,[2]quests!$1:$1,0)+1,FALSE)</f>
        <v>コラボクエスト</v>
      </c>
      <c r="E2" s="78">
        <v>1</v>
      </c>
      <c r="F2" s="77" t="str">
        <f ca="1">VLOOKUP($B2&amp;"_"&amp;$E2,OFFSET([2]stages!$A$1,0,0,COUNTA([2]stages!$A:$A),MATCH(F$1,[2]stages!$2:$2,0)-MATCH("temp_stage",[2]stages!$2:$2,0)+1),MATCH(F$1,[2]stages!$2:$2,0)-MATCH("temp_stage",[2]stages!$2:$2,0)+1,FALSE)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2" s="77" t="str">
        <f ca="1">VLOOKUP($B2&amp;"_"&amp;$E2,OFFSET([2]stages!$A$1,0,0,COUNTA([2]stages!$A:$A),MATCH(G$1,[2]stages!$2:$2,0)-MATCH("temp_stage",[2]stages!$2:$2,0)+1),MATCH(G$1,[2]stages!$2:$2,0)-MATCH("temp_stage",[2]stages!$2:$2,0)+1,FALSE)</f>
        <v>コラボクエスト</v>
      </c>
      <c r="H2" s="79">
        <v>1</v>
      </c>
      <c r="I2" s="84">
        <f>ROW()-1</f>
        <v>1</v>
      </c>
      <c r="J2" s="80" t="str">
        <f>B2&amp;TEXT(I2,"00")</f>
        <v>3900301</v>
      </c>
      <c r="K2" s="78" t="s">
        <v>126</v>
      </c>
      <c r="L2" s="81" t="s">
        <v>198</v>
      </c>
      <c r="M2" s="140" t="s">
        <v>318</v>
      </c>
      <c r="N2" s="51" t="s">
        <v>199</v>
      </c>
    </row>
    <row r="3" spans="1:14" ht="42" x14ac:dyDescent="0.15">
      <c r="A3" s="75" t="s">
        <v>196</v>
      </c>
      <c r="B3" s="76">
        <f>floors!$C$2</f>
        <v>39003</v>
      </c>
      <c r="C3" s="77" t="str">
        <f ca="1">VLOOKUP($B3,OFFSET([2]quests!$A$1,0,0,COUNTA([2]quests!$A:$A),MATCH(C$1,[2]quests!$1:$1,0)-MATCH($B$1,[2]quests!$1:$1,0)+1),MATCH(C$1,[2]quests!$1:$1,0)-MATCH($B$1,[2]quests!$1:$1,0)+1,FALSE)</f>
        <v>ブルースクウェアを追え！</v>
      </c>
      <c r="D3" s="77" t="str">
        <f ca="1">VLOOKUP($B3,OFFSET([2]quests!$A$1,0,0,COUNTA([2]quests!$A:$A),MATCH(D$1,[2]quests!$1:$1,0)-MATCH($B$1,[2]quests!$1:$1,0)+1),MATCH(D$1,[2]quests!$1:$1,0)-MATCH($B$1,[2]quests!$1:$1,0)+1,FALSE)</f>
        <v>コラボクエスト</v>
      </c>
      <c r="E3" s="78">
        <v>1</v>
      </c>
      <c r="F3" s="77" t="str">
        <f ca="1">VLOOKUP($B3&amp;"_"&amp;$E3,OFFSET([2]stages!$A$1,0,0,COUNTA([2]stages!$A:$A),MATCH(F$1,[2]stages!$2:$2,0)-MATCH("temp_stage",[2]stages!$2:$2,0)+1),MATCH(F$1,[2]stages!$2:$2,0)-MATCH("temp_stage",[2]stages!$2:$2,0)+1,FALSE)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3" s="77" t="str">
        <f ca="1">VLOOKUP($B3&amp;"_"&amp;$E3,OFFSET([2]stages!$A$1,0,0,COUNTA([2]stages!$A:$A),MATCH(G$1,[2]stages!$2:$2,0)-MATCH("temp_stage",[2]stages!$2:$2,0)+1),MATCH(G$1,[2]stages!$2:$2,0)-MATCH("temp_stage",[2]stages!$2:$2,0)+1,FALSE)</f>
        <v>コラボクエスト</v>
      </c>
      <c r="H3" s="79">
        <v>2</v>
      </c>
      <c r="I3" s="84">
        <f t="shared" ref="I3:I21" si="0">ROW()-1</f>
        <v>2</v>
      </c>
      <c r="J3" s="80" t="str">
        <f t="shared" ref="J3:J5" si="1">B3&amp;TEXT(I3,"00")</f>
        <v>3900302</v>
      </c>
      <c r="K3" s="78" t="s">
        <v>126</v>
      </c>
      <c r="L3" s="81" t="s">
        <v>198</v>
      </c>
      <c r="M3" s="140" t="s">
        <v>316</v>
      </c>
      <c r="N3" s="51" t="s">
        <v>199</v>
      </c>
    </row>
    <row r="4" spans="1:14" ht="42" x14ac:dyDescent="0.15">
      <c r="A4" s="75" t="s">
        <v>196</v>
      </c>
      <c r="B4" s="76">
        <f>floors!$C$2</f>
        <v>39003</v>
      </c>
      <c r="C4" s="77" t="str">
        <f ca="1">VLOOKUP($B4,OFFSET([2]quests!$A$1,0,0,COUNTA([2]quests!$A:$A),MATCH(C$1,[2]quests!$1:$1,0)-MATCH($B$1,[2]quests!$1:$1,0)+1),MATCH(C$1,[2]quests!$1:$1,0)-MATCH($B$1,[2]quests!$1:$1,0)+1,FALSE)</f>
        <v>ブルースクウェアを追え！</v>
      </c>
      <c r="D4" s="77" t="str">
        <f ca="1">VLOOKUP($B4,OFFSET([2]quests!$A$1,0,0,COUNTA([2]quests!$A:$A),MATCH(D$1,[2]quests!$1:$1,0)-MATCH($B$1,[2]quests!$1:$1,0)+1),MATCH(D$1,[2]quests!$1:$1,0)-MATCH($B$1,[2]quests!$1:$1,0)+1,FALSE)</f>
        <v>コラボクエスト</v>
      </c>
      <c r="E4" s="78">
        <v>1</v>
      </c>
      <c r="F4" s="77" t="str">
        <f ca="1">VLOOKUP($B4&amp;"_"&amp;$E4,OFFSET([2]stages!$A$1,0,0,COUNTA([2]stages!$A:$A),MATCH(F$1,[2]stages!$2:$2,0)-MATCH("temp_stage",[2]stages!$2:$2,0)+1),MATCH(F$1,[2]stages!$2:$2,0)-MATCH("temp_stage",[2]stages!$2:$2,0)+1,FALSE)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4" s="77" t="str">
        <f ca="1">VLOOKUP($B4&amp;"_"&amp;$E4,OFFSET([2]stages!$A$1,0,0,COUNTA([2]stages!$A:$A),MATCH(G$1,[2]stages!$2:$2,0)-MATCH("temp_stage",[2]stages!$2:$2,0)+1),MATCH(G$1,[2]stages!$2:$2,0)-MATCH("temp_stage",[2]stages!$2:$2,0)+1,FALSE)</f>
        <v>コラボクエスト</v>
      </c>
      <c r="H4" s="79">
        <v>3</v>
      </c>
      <c r="I4" s="84">
        <f t="shared" si="0"/>
        <v>3</v>
      </c>
      <c r="J4" s="80" t="str">
        <f t="shared" si="1"/>
        <v>3900303</v>
      </c>
      <c r="K4" s="78" t="s">
        <v>126</v>
      </c>
      <c r="L4" s="81" t="s">
        <v>198</v>
      </c>
      <c r="M4" s="140" t="s">
        <v>317</v>
      </c>
      <c r="N4" s="51" t="s">
        <v>199</v>
      </c>
    </row>
    <row r="5" spans="1:14" ht="42" x14ac:dyDescent="0.15">
      <c r="A5" s="75" t="s">
        <v>196</v>
      </c>
      <c r="B5" s="76">
        <f>floors!$C$2</f>
        <v>39003</v>
      </c>
      <c r="C5" s="77" t="str">
        <f ca="1">VLOOKUP($B5,OFFSET([2]quests!$A$1,0,0,COUNTA([2]quests!$A:$A),MATCH(C$1,[2]quests!$1:$1,0)-MATCH($B$1,[2]quests!$1:$1,0)+1),MATCH(C$1,[2]quests!$1:$1,0)-MATCH($B$1,[2]quests!$1:$1,0)+1,FALSE)</f>
        <v>ブルースクウェアを追え！</v>
      </c>
      <c r="D5" s="77" t="str">
        <f ca="1">VLOOKUP($B5,OFFSET([2]quests!$A$1,0,0,COUNTA([2]quests!$A:$A),MATCH(D$1,[2]quests!$1:$1,0)-MATCH($B$1,[2]quests!$1:$1,0)+1),MATCH(D$1,[2]quests!$1:$1,0)-MATCH($B$1,[2]quests!$1:$1,0)+1,FALSE)</f>
        <v>コラボクエスト</v>
      </c>
      <c r="E5" s="78">
        <v>1</v>
      </c>
      <c r="F5" s="77" t="str">
        <f ca="1">VLOOKUP($B5&amp;"_"&amp;$E5,OFFSET([2]stages!$A$1,0,0,COUNTA([2]stages!$A:$A),MATCH(F$1,[2]stages!$2:$2,0)-MATCH("temp_stage",[2]stages!$2:$2,0)+1),MATCH(F$1,[2]stages!$2:$2,0)-MATCH("temp_stage",[2]stages!$2:$2,0)+1,FALSE)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5" s="77" t="str">
        <f ca="1">VLOOKUP($B5&amp;"_"&amp;$E5,OFFSET([2]stages!$A$1,0,0,COUNTA([2]stages!$A:$A),MATCH(G$1,[2]stages!$2:$2,0)-MATCH("temp_stage",[2]stages!$2:$2,0)+1),MATCH(G$1,[2]stages!$2:$2,0)-MATCH("temp_stage",[2]stages!$2:$2,0)+1,FALSE)</f>
        <v>コラボクエスト</v>
      </c>
      <c r="H5" s="79">
        <v>4</v>
      </c>
      <c r="I5" s="84">
        <f t="shared" si="0"/>
        <v>4</v>
      </c>
      <c r="J5" s="80" t="str">
        <f t="shared" si="1"/>
        <v>3900304</v>
      </c>
      <c r="K5" s="78" t="s">
        <v>126</v>
      </c>
      <c r="L5" s="81" t="s">
        <v>198</v>
      </c>
      <c r="M5" s="140" t="s">
        <v>324</v>
      </c>
      <c r="N5" s="51" t="s">
        <v>199</v>
      </c>
    </row>
    <row r="6" spans="1:14" ht="42" x14ac:dyDescent="0.15">
      <c r="A6" s="75" t="s">
        <v>196</v>
      </c>
      <c r="B6" s="76">
        <f>floors!$C$2</f>
        <v>39003</v>
      </c>
      <c r="C6" s="77" t="str">
        <f ca="1">VLOOKUP($B6,OFFSET([2]quests!$A$1,0,0,COUNTA([2]quests!$A:$A),MATCH(C$1,[2]quests!$1:$1,0)-MATCH($B$1,[2]quests!$1:$1,0)+1),MATCH(C$1,[2]quests!$1:$1,0)-MATCH($B$1,[2]quests!$1:$1,0)+1,FALSE)</f>
        <v>ブルースクウェアを追え！</v>
      </c>
      <c r="D6" s="77" t="str">
        <f ca="1">VLOOKUP($B6,OFFSET([2]quests!$A$1,0,0,COUNTA([2]quests!$A:$A),MATCH(D$1,[2]quests!$1:$1,0)-MATCH($B$1,[2]quests!$1:$1,0)+1),MATCH(D$1,[2]quests!$1:$1,0)-MATCH($B$1,[2]quests!$1:$1,0)+1,FALSE)</f>
        <v>コラボクエスト</v>
      </c>
      <c r="E6" s="78">
        <v>1</v>
      </c>
      <c r="F6" s="77" t="str">
        <f ca="1">VLOOKUP($B6&amp;"_"&amp;$E6,OFFSET([2]stages!$A$1,0,0,COUNTA([2]stages!$A:$A),MATCH(F$1,[2]stages!$2:$2,0)-MATCH("temp_stage",[2]stages!$2:$2,0)+1),MATCH(F$1,[2]stages!$2:$2,0)-MATCH("temp_stage",[2]stages!$2:$2,0)+1,FALSE)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6" s="77" t="str">
        <f ca="1">VLOOKUP($B6&amp;"_"&amp;$E6,OFFSET([2]stages!$A$1,0,0,COUNTA([2]stages!$A:$A),MATCH(G$1,[2]stages!$2:$2,0)-MATCH("temp_stage",[2]stages!$2:$2,0)+1),MATCH(G$1,[2]stages!$2:$2,0)-MATCH("temp_stage",[2]stages!$2:$2,0)+1,FALSE)</f>
        <v>コラボクエスト</v>
      </c>
      <c r="H6" s="79">
        <v>4</v>
      </c>
      <c r="I6" s="84">
        <f t="shared" si="0"/>
        <v>5</v>
      </c>
      <c r="J6" s="80" t="str">
        <f t="shared" ref="J6" si="2">B6&amp;TEXT(I6,"00")</f>
        <v>3900305</v>
      </c>
      <c r="K6" s="78" t="s">
        <v>126</v>
      </c>
      <c r="L6" s="81" t="s">
        <v>198</v>
      </c>
      <c r="M6" s="140" t="s">
        <v>319</v>
      </c>
      <c r="N6" s="51" t="s">
        <v>199</v>
      </c>
    </row>
    <row r="7" spans="1:14" ht="42" x14ac:dyDescent="0.15">
      <c r="A7" s="75" t="s">
        <v>196</v>
      </c>
      <c r="B7" s="76">
        <f>floors!$C$2</f>
        <v>39003</v>
      </c>
      <c r="C7" s="77" t="str">
        <f ca="1">VLOOKUP($B7,OFFSET([2]quests!$A$1,0,0,COUNTA([2]quests!$A:$A),MATCH(C$1,[2]quests!$1:$1,0)-MATCH($B$1,[2]quests!$1:$1,0)+1),MATCH(C$1,[2]quests!$1:$1,0)-MATCH($B$1,[2]quests!$1:$1,0)+1,FALSE)</f>
        <v>ブルースクウェアを追え！</v>
      </c>
      <c r="D7" s="77" t="str">
        <f ca="1">VLOOKUP($B7,OFFSET([2]quests!$A$1,0,0,COUNTA([2]quests!$A:$A),MATCH(D$1,[2]quests!$1:$1,0)-MATCH($B$1,[2]quests!$1:$1,0)+1),MATCH(D$1,[2]quests!$1:$1,0)-MATCH($B$1,[2]quests!$1:$1,0)+1,FALSE)</f>
        <v>コラボクエスト</v>
      </c>
      <c r="E7" s="78">
        <v>2</v>
      </c>
      <c r="F7" s="77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7" s="77" t="str">
        <f ca="1">VLOOKUP($B7&amp;"_"&amp;$E7,OFFSET([2]stages!$A$1,0,0,COUNTA([2]stages!$A:$A),MATCH(G$1,[2]stages!$2:$2,0)-MATCH("temp_stage",[2]stages!$2:$2,0)+1),MATCH(G$1,[2]stages!$2:$2,0)-MATCH("temp_stage",[2]stages!$2:$2,0)+1,FALSE)</f>
        <v>コラボクエスト</v>
      </c>
      <c r="H7" s="79">
        <v>1</v>
      </c>
      <c r="I7" s="84">
        <f>ROW()-1</f>
        <v>6</v>
      </c>
      <c r="J7" s="80" t="str">
        <f>B7&amp;TEXT(I7,"00")</f>
        <v>3900306</v>
      </c>
      <c r="K7" s="78" t="s">
        <v>126</v>
      </c>
      <c r="L7" s="81" t="s">
        <v>198</v>
      </c>
      <c r="M7" s="140" t="s">
        <v>318</v>
      </c>
      <c r="N7" s="51" t="s">
        <v>199</v>
      </c>
    </row>
    <row r="8" spans="1:14" ht="42" x14ac:dyDescent="0.15">
      <c r="A8" s="75" t="s">
        <v>196</v>
      </c>
      <c r="B8" s="76">
        <f>floors!$C$2</f>
        <v>39003</v>
      </c>
      <c r="C8" s="77" t="str">
        <f ca="1">VLOOKUP($B8,OFFSET([2]quests!$A$1,0,0,COUNTA([2]quests!$A:$A),MATCH(C$1,[2]quests!$1:$1,0)-MATCH($B$1,[2]quests!$1:$1,0)+1),MATCH(C$1,[2]quests!$1:$1,0)-MATCH($B$1,[2]quests!$1:$1,0)+1,FALSE)</f>
        <v>ブルースクウェアを追え！</v>
      </c>
      <c r="D8" s="77" t="str">
        <f ca="1">VLOOKUP($B8,OFFSET([2]quests!$A$1,0,0,COUNTA([2]quests!$A:$A),MATCH(D$1,[2]quests!$1:$1,0)-MATCH($B$1,[2]quests!$1:$1,0)+1),MATCH(D$1,[2]quests!$1:$1,0)-MATCH($B$1,[2]quests!$1:$1,0)+1,FALSE)</f>
        <v>コラボクエスト</v>
      </c>
      <c r="E8" s="78">
        <v>2</v>
      </c>
      <c r="F8" s="77" t="str">
        <f ca="1">VLOOKUP($B8&amp;"_"&amp;$E8,OFFSET([2]stages!$A$1,0,0,COUNTA([2]stages!$A:$A),MATCH(F$1,[2]stages!$2:$2,0)-MATCH("temp_stage",[2]stages!$2:$2,0)+1),MATCH(F$1,[2]stages!$2:$2,0)-MATCH("temp_stage",[2]stages!$2:$2,0)+1,FALSE)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8" s="77" t="str">
        <f ca="1">VLOOKUP($B8&amp;"_"&amp;$E8,OFFSET([2]stages!$A$1,0,0,COUNTA([2]stages!$A:$A),MATCH(G$1,[2]stages!$2:$2,0)-MATCH("temp_stage",[2]stages!$2:$2,0)+1),MATCH(G$1,[2]stages!$2:$2,0)-MATCH("temp_stage",[2]stages!$2:$2,0)+1,FALSE)</f>
        <v>コラボクエスト</v>
      </c>
      <c r="H8" s="79">
        <v>2</v>
      </c>
      <c r="I8" s="84">
        <f t="shared" si="0"/>
        <v>7</v>
      </c>
      <c r="J8" s="80" t="str">
        <f t="shared" ref="J8:J11" si="3">B8&amp;TEXT(I8,"00")</f>
        <v>3900307</v>
      </c>
      <c r="K8" s="78" t="s">
        <v>126</v>
      </c>
      <c r="L8" s="81" t="s">
        <v>198</v>
      </c>
      <c r="M8" s="140" t="s">
        <v>316</v>
      </c>
      <c r="N8" s="51" t="s">
        <v>199</v>
      </c>
    </row>
    <row r="9" spans="1:14" ht="42" x14ac:dyDescent="0.15">
      <c r="A9" s="75" t="s">
        <v>196</v>
      </c>
      <c r="B9" s="76">
        <f>floors!$C$2</f>
        <v>39003</v>
      </c>
      <c r="C9" s="77" t="str">
        <f ca="1">VLOOKUP($B9,OFFSET([2]quests!$A$1,0,0,COUNTA([2]quests!$A:$A),MATCH(C$1,[2]quests!$1:$1,0)-MATCH($B$1,[2]quests!$1:$1,0)+1),MATCH(C$1,[2]quests!$1:$1,0)-MATCH($B$1,[2]quests!$1:$1,0)+1,FALSE)</f>
        <v>ブルースクウェアを追え！</v>
      </c>
      <c r="D9" s="77" t="str">
        <f ca="1">VLOOKUP($B9,OFFSET([2]quests!$A$1,0,0,COUNTA([2]quests!$A:$A),MATCH(D$1,[2]quests!$1:$1,0)-MATCH($B$1,[2]quests!$1:$1,0)+1),MATCH(D$1,[2]quests!$1:$1,0)-MATCH($B$1,[2]quests!$1:$1,0)+1,FALSE)</f>
        <v>コラボクエスト</v>
      </c>
      <c r="E9" s="78">
        <v>2</v>
      </c>
      <c r="F9" s="77" t="str">
        <f ca="1">VLOOKUP($B9&amp;"_"&amp;$E9,OFFSET([2]stages!$A$1,0,0,COUNTA([2]stages!$A:$A),MATCH(F$1,[2]stages!$2:$2,0)-MATCH("temp_stage",[2]stages!$2:$2,0)+1),MATCH(F$1,[2]stages!$2:$2,0)-MATCH("temp_stage",[2]stages!$2:$2,0)+1,FALSE)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9" s="77" t="str">
        <f ca="1">VLOOKUP($B9&amp;"_"&amp;$E9,OFFSET([2]stages!$A$1,0,0,COUNTA([2]stages!$A:$A),MATCH(G$1,[2]stages!$2:$2,0)-MATCH("temp_stage",[2]stages!$2:$2,0)+1),MATCH(G$1,[2]stages!$2:$2,0)-MATCH("temp_stage",[2]stages!$2:$2,0)+1,FALSE)</f>
        <v>コラボクエスト</v>
      </c>
      <c r="H9" s="79">
        <v>3</v>
      </c>
      <c r="I9" s="84">
        <f t="shared" si="0"/>
        <v>8</v>
      </c>
      <c r="J9" s="80" t="str">
        <f t="shared" si="3"/>
        <v>3900308</v>
      </c>
      <c r="K9" s="78" t="s">
        <v>126</v>
      </c>
      <c r="L9" s="81" t="s">
        <v>198</v>
      </c>
      <c r="M9" s="140" t="s">
        <v>317</v>
      </c>
      <c r="N9" s="51" t="s">
        <v>199</v>
      </c>
    </row>
    <row r="10" spans="1:14" ht="42" x14ac:dyDescent="0.15">
      <c r="A10" s="75" t="s">
        <v>196</v>
      </c>
      <c r="B10" s="76">
        <f>floors!$C$2</f>
        <v>39003</v>
      </c>
      <c r="C10" s="77" t="str">
        <f ca="1">VLOOKUP($B10,OFFSET([2]quests!$A$1,0,0,COUNTA([2]quests!$A:$A),MATCH(C$1,[2]quests!$1:$1,0)-MATCH($B$1,[2]quests!$1:$1,0)+1),MATCH(C$1,[2]quests!$1:$1,0)-MATCH($B$1,[2]quests!$1:$1,0)+1,FALSE)</f>
        <v>ブルースクウェアを追え！</v>
      </c>
      <c r="D10" s="77" t="str">
        <f ca="1">VLOOKUP($B10,OFFSET([2]quests!$A$1,0,0,COUNTA([2]quests!$A:$A),MATCH(D$1,[2]quests!$1:$1,0)-MATCH($B$1,[2]quests!$1:$1,0)+1),MATCH(D$1,[2]quests!$1:$1,0)-MATCH($B$1,[2]quests!$1:$1,0)+1,FALSE)</f>
        <v>コラボクエスト</v>
      </c>
      <c r="E10" s="78">
        <v>2</v>
      </c>
      <c r="F10" s="77" t="str">
        <f ca="1">VLOOKUP($B10&amp;"_"&amp;$E10,OFFSET([2]stages!$A$1,0,0,COUNTA([2]stages!$A:$A),MATCH(F$1,[2]stages!$2:$2,0)-MATCH("temp_stage",[2]stages!$2:$2,0)+1),MATCH(F$1,[2]stages!$2:$2,0)-MATCH("temp_stage",[2]stages!$2:$2,0)+1,FALSE)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10" s="77" t="str">
        <f ca="1">VLOOKUP($B10&amp;"_"&amp;$E10,OFFSET([2]stages!$A$1,0,0,COUNTA([2]stages!$A:$A),MATCH(G$1,[2]stages!$2:$2,0)-MATCH("temp_stage",[2]stages!$2:$2,0)+1),MATCH(G$1,[2]stages!$2:$2,0)-MATCH("temp_stage",[2]stages!$2:$2,0)+1,FALSE)</f>
        <v>コラボクエスト</v>
      </c>
      <c r="H10" s="79">
        <v>4</v>
      </c>
      <c r="I10" s="84">
        <f t="shared" si="0"/>
        <v>9</v>
      </c>
      <c r="J10" s="80" t="str">
        <f t="shared" si="3"/>
        <v>3900309</v>
      </c>
      <c r="K10" s="78" t="s">
        <v>126</v>
      </c>
      <c r="L10" s="81" t="s">
        <v>198</v>
      </c>
      <c r="M10" s="140" t="s">
        <v>324</v>
      </c>
      <c r="N10" s="51" t="s">
        <v>199</v>
      </c>
    </row>
    <row r="11" spans="1:14" ht="42" x14ac:dyDescent="0.15">
      <c r="A11" s="75" t="s">
        <v>196</v>
      </c>
      <c r="B11" s="76">
        <f>floors!$C$2</f>
        <v>39003</v>
      </c>
      <c r="C11" s="77" t="str">
        <f ca="1">VLOOKUP($B11,OFFSET([2]quests!$A$1,0,0,COUNTA([2]quests!$A:$A),MATCH(C$1,[2]quests!$1:$1,0)-MATCH($B$1,[2]quests!$1:$1,0)+1),MATCH(C$1,[2]quests!$1:$1,0)-MATCH($B$1,[2]quests!$1:$1,0)+1,FALSE)</f>
        <v>ブルースクウェアを追え！</v>
      </c>
      <c r="D11" s="77" t="str">
        <f ca="1">VLOOKUP($B11,OFFSET([2]quests!$A$1,0,0,COUNTA([2]quests!$A:$A),MATCH(D$1,[2]quests!$1:$1,0)-MATCH($B$1,[2]quests!$1:$1,0)+1),MATCH(D$1,[2]quests!$1:$1,0)-MATCH($B$1,[2]quests!$1:$1,0)+1,FALSE)</f>
        <v>コラボクエスト</v>
      </c>
      <c r="E11" s="78">
        <v>2</v>
      </c>
      <c r="F11" s="77" t="str">
        <f ca="1">VLOOKUP($B11&amp;"_"&amp;$E11,OFFSET([2]stages!$A$1,0,0,COUNTA([2]stages!$A:$A),MATCH(F$1,[2]stages!$2:$2,0)-MATCH("temp_stage",[2]stages!$2:$2,0)+1),MATCH(F$1,[2]stages!$2:$2,0)-MATCH("temp_stage",[2]stages!$2:$2,0)+1,FALSE)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11" s="77" t="str">
        <f ca="1">VLOOKUP($B11&amp;"_"&amp;$E11,OFFSET([2]stages!$A$1,0,0,COUNTA([2]stages!$A:$A),MATCH(G$1,[2]stages!$2:$2,0)-MATCH("temp_stage",[2]stages!$2:$2,0)+1),MATCH(G$1,[2]stages!$2:$2,0)-MATCH("temp_stage",[2]stages!$2:$2,0)+1,FALSE)</f>
        <v>コラボクエスト</v>
      </c>
      <c r="H11" s="79">
        <v>4</v>
      </c>
      <c r="I11" s="84">
        <f t="shared" si="0"/>
        <v>10</v>
      </c>
      <c r="J11" s="80" t="str">
        <f t="shared" si="3"/>
        <v>3900310</v>
      </c>
      <c r="K11" s="78" t="s">
        <v>126</v>
      </c>
      <c r="L11" s="81" t="s">
        <v>198</v>
      </c>
      <c r="M11" s="140" t="s">
        <v>319</v>
      </c>
      <c r="N11" s="51" t="s">
        <v>199</v>
      </c>
    </row>
    <row r="12" spans="1:14" ht="42" x14ac:dyDescent="0.15">
      <c r="A12" s="75" t="s">
        <v>196</v>
      </c>
      <c r="B12" s="76">
        <f>floors!$C$2</f>
        <v>39003</v>
      </c>
      <c r="C12" s="77" t="str">
        <f ca="1">VLOOKUP($B12,OFFSET([2]quests!$A$1,0,0,COUNTA([2]quests!$A:$A),MATCH(C$1,[2]quests!$1:$1,0)-MATCH($B$1,[2]quests!$1:$1,0)+1),MATCH(C$1,[2]quests!$1:$1,0)-MATCH($B$1,[2]quests!$1:$1,0)+1,FALSE)</f>
        <v>ブルースクウェアを追え！</v>
      </c>
      <c r="D12" s="77" t="str">
        <f ca="1">VLOOKUP($B12,OFFSET([2]quests!$A$1,0,0,COUNTA([2]quests!$A:$A),MATCH(D$1,[2]quests!$1:$1,0)-MATCH($B$1,[2]quests!$1:$1,0)+1),MATCH(D$1,[2]quests!$1:$1,0)-MATCH($B$1,[2]quests!$1:$1,0)+1,FALSE)</f>
        <v>コラボクエスト</v>
      </c>
      <c r="E12" s="78">
        <v>3</v>
      </c>
      <c r="F12" s="77" t="str">
        <f ca="1">VLOOKUP($B12&amp;"_"&amp;$E12,OFFSET([2]stages!$A$1,0,0,COUNTA([2]stages!$A:$A),MATCH(F$1,[2]stages!$2:$2,0)-MATCH("temp_stage",[2]stages!$2:$2,0)+1),MATCH(F$1,[2]stages!$2:$2,0)-MATCH("temp_stage",[2]stages!$2:$2,0)+1,FALSE)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12" s="77" t="str">
        <f ca="1">VLOOKUP($B12&amp;"_"&amp;$E12,OFFSET([2]stages!$A$1,0,0,COUNTA([2]stages!$A:$A),MATCH(G$1,[2]stages!$2:$2,0)-MATCH("temp_stage",[2]stages!$2:$2,0)+1),MATCH(G$1,[2]stages!$2:$2,0)-MATCH("temp_stage",[2]stages!$2:$2,0)+1,FALSE)</f>
        <v>コラボクエスト</v>
      </c>
      <c r="H12" s="79">
        <v>1</v>
      </c>
      <c r="I12" s="84">
        <f>ROW()-1</f>
        <v>11</v>
      </c>
      <c r="J12" s="80" t="str">
        <f>B12&amp;TEXT(I12,"00")</f>
        <v>3900311</v>
      </c>
      <c r="K12" s="78" t="s">
        <v>126</v>
      </c>
      <c r="L12" s="81" t="s">
        <v>198</v>
      </c>
      <c r="M12" s="140" t="s">
        <v>318</v>
      </c>
      <c r="N12" s="51" t="s">
        <v>199</v>
      </c>
    </row>
    <row r="13" spans="1:14" ht="42" x14ac:dyDescent="0.15">
      <c r="A13" s="75" t="s">
        <v>196</v>
      </c>
      <c r="B13" s="76">
        <f>floors!$C$2</f>
        <v>39003</v>
      </c>
      <c r="C13" s="77" t="str">
        <f ca="1">VLOOKUP($B13,OFFSET([2]quests!$A$1,0,0,COUNTA([2]quests!$A:$A),MATCH(C$1,[2]quests!$1:$1,0)-MATCH($B$1,[2]quests!$1:$1,0)+1),MATCH(C$1,[2]quests!$1:$1,0)-MATCH($B$1,[2]quests!$1:$1,0)+1,FALSE)</f>
        <v>ブルースクウェアを追え！</v>
      </c>
      <c r="D13" s="77" t="str">
        <f ca="1">VLOOKUP($B13,OFFSET([2]quests!$A$1,0,0,COUNTA([2]quests!$A:$A),MATCH(D$1,[2]quests!$1:$1,0)-MATCH($B$1,[2]quests!$1:$1,0)+1),MATCH(D$1,[2]quests!$1:$1,0)-MATCH($B$1,[2]quests!$1:$1,0)+1,FALSE)</f>
        <v>コラボクエスト</v>
      </c>
      <c r="E13" s="78">
        <v>3</v>
      </c>
      <c r="F13" s="77" t="str">
        <f ca="1">VLOOKUP($B13&amp;"_"&amp;$E13,OFFSET([2]stages!$A$1,0,0,COUNTA([2]stages!$A:$A),MATCH(F$1,[2]stages!$2:$2,0)-MATCH("temp_stage",[2]stages!$2:$2,0)+1),MATCH(F$1,[2]stages!$2:$2,0)-MATCH("temp_stage",[2]stages!$2:$2,0)+1,FALSE)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13" s="77" t="str">
        <f ca="1">VLOOKUP($B13&amp;"_"&amp;$E13,OFFSET([2]stages!$A$1,0,0,COUNTA([2]stages!$A:$A),MATCH(G$1,[2]stages!$2:$2,0)-MATCH("temp_stage",[2]stages!$2:$2,0)+1),MATCH(G$1,[2]stages!$2:$2,0)-MATCH("temp_stage",[2]stages!$2:$2,0)+1,FALSE)</f>
        <v>コラボクエスト</v>
      </c>
      <c r="H13" s="79">
        <v>2</v>
      </c>
      <c r="I13" s="84">
        <f t="shared" si="0"/>
        <v>12</v>
      </c>
      <c r="J13" s="80" t="str">
        <f t="shared" ref="J13:J16" si="4">B13&amp;TEXT(I13,"00")</f>
        <v>3900312</v>
      </c>
      <c r="K13" s="78" t="s">
        <v>126</v>
      </c>
      <c r="L13" s="81" t="s">
        <v>198</v>
      </c>
      <c r="M13" s="140" t="s">
        <v>316</v>
      </c>
      <c r="N13" s="51" t="s">
        <v>199</v>
      </c>
    </row>
    <row r="14" spans="1:14" ht="42" x14ac:dyDescent="0.15">
      <c r="A14" s="75" t="s">
        <v>196</v>
      </c>
      <c r="B14" s="76">
        <f>floors!$C$2</f>
        <v>39003</v>
      </c>
      <c r="C14" s="77" t="str">
        <f ca="1">VLOOKUP($B14,OFFSET([2]quests!$A$1,0,0,COUNTA([2]quests!$A:$A),MATCH(C$1,[2]quests!$1:$1,0)-MATCH($B$1,[2]quests!$1:$1,0)+1),MATCH(C$1,[2]quests!$1:$1,0)-MATCH($B$1,[2]quests!$1:$1,0)+1,FALSE)</f>
        <v>ブルースクウェアを追え！</v>
      </c>
      <c r="D14" s="77" t="str">
        <f ca="1">VLOOKUP($B14,OFFSET([2]quests!$A$1,0,0,COUNTA([2]quests!$A:$A),MATCH(D$1,[2]quests!$1:$1,0)-MATCH($B$1,[2]quests!$1:$1,0)+1),MATCH(D$1,[2]quests!$1:$1,0)-MATCH($B$1,[2]quests!$1:$1,0)+1,FALSE)</f>
        <v>コラボクエスト</v>
      </c>
      <c r="E14" s="78">
        <v>3</v>
      </c>
      <c r="F14" s="77" t="str">
        <f ca="1">VLOOKUP($B14&amp;"_"&amp;$E14,OFFSET([2]stages!$A$1,0,0,COUNTA([2]stages!$A:$A),MATCH(F$1,[2]stages!$2:$2,0)-MATCH("temp_stage",[2]stages!$2:$2,0)+1),MATCH(F$1,[2]stages!$2:$2,0)-MATCH("temp_stage",[2]stages!$2:$2,0)+1,FALSE)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14" s="77" t="str">
        <f ca="1">VLOOKUP($B14&amp;"_"&amp;$E14,OFFSET([2]stages!$A$1,0,0,COUNTA([2]stages!$A:$A),MATCH(G$1,[2]stages!$2:$2,0)-MATCH("temp_stage",[2]stages!$2:$2,0)+1),MATCH(G$1,[2]stages!$2:$2,0)-MATCH("temp_stage",[2]stages!$2:$2,0)+1,FALSE)</f>
        <v>コラボクエスト</v>
      </c>
      <c r="H14" s="79">
        <v>3</v>
      </c>
      <c r="I14" s="84">
        <f t="shared" si="0"/>
        <v>13</v>
      </c>
      <c r="J14" s="80" t="str">
        <f t="shared" si="4"/>
        <v>3900313</v>
      </c>
      <c r="K14" s="78" t="s">
        <v>126</v>
      </c>
      <c r="L14" s="81" t="s">
        <v>198</v>
      </c>
      <c r="M14" s="140" t="s">
        <v>317</v>
      </c>
      <c r="N14" s="51" t="s">
        <v>199</v>
      </c>
    </row>
    <row r="15" spans="1:14" ht="42" x14ac:dyDescent="0.15">
      <c r="A15" s="75" t="s">
        <v>196</v>
      </c>
      <c r="B15" s="76">
        <f>floors!$C$2</f>
        <v>39003</v>
      </c>
      <c r="C15" s="77" t="str">
        <f ca="1">VLOOKUP($B15,OFFSET([2]quests!$A$1,0,0,COUNTA([2]quests!$A:$A),MATCH(C$1,[2]quests!$1:$1,0)-MATCH($B$1,[2]quests!$1:$1,0)+1),MATCH(C$1,[2]quests!$1:$1,0)-MATCH($B$1,[2]quests!$1:$1,0)+1,FALSE)</f>
        <v>ブルースクウェアを追え！</v>
      </c>
      <c r="D15" s="77" t="str">
        <f ca="1">VLOOKUP($B15,OFFSET([2]quests!$A$1,0,0,COUNTA([2]quests!$A:$A),MATCH(D$1,[2]quests!$1:$1,0)-MATCH($B$1,[2]quests!$1:$1,0)+1),MATCH(D$1,[2]quests!$1:$1,0)-MATCH($B$1,[2]quests!$1:$1,0)+1,FALSE)</f>
        <v>コラボクエスト</v>
      </c>
      <c r="E15" s="78">
        <v>3</v>
      </c>
      <c r="F15" s="77" t="str">
        <f ca="1">VLOOKUP($B15&amp;"_"&amp;$E15,OFFSET([2]stages!$A$1,0,0,COUNTA([2]stages!$A:$A),MATCH(F$1,[2]stages!$2:$2,0)-MATCH("temp_stage",[2]stages!$2:$2,0)+1),MATCH(F$1,[2]stages!$2:$2,0)-MATCH("temp_stage",[2]stages!$2:$2,0)+1,FALSE)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15" s="77" t="str">
        <f ca="1">VLOOKUP($B15&amp;"_"&amp;$E15,OFFSET([2]stages!$A$1,0,0,COUNTA([2]stages!$A:$A),MATCH(G$1,[2]stages!$2:$2,0)-MATCH("temp_stage",[2]stages!$2:$2,0)+1),MATCH(G$1,[2]stages!$2:$2,0)-MATCH("temp_stage",[2]stages!$2:$2,0)+1,FALSE)</f>
        <v>コラボクエスト</v>
      </c>
      <c r="H15" s="79">
        <v>4</v>
      </c>
      <c r="I15" s="84">
        <f t="shared" si="0"/>
        <v>14</v>
      </c>
      <c r="J15" s="80" t="str">
        <f t="shared" si="4"/>
        <v>3900314</v>
      </c>
      <c r="K15" s="78" t="s">
        <v>126</v>
      </c>
      <c r="L15" s="81" t="s">
        <v>198</v>
      </c>
      <c r="M15" s="140" t="s">
        <v>324</v>
      </c>
      <c r="N15" s="51" t="s">
        <v>199</v>
      </c>
    </row>
    <row r="16" spans="1:14" ht="42" x14ac:dyDescent="0.15">
      <c r="A16" s="75" t="s">
        <v>196</v>
      </c>
      <c r="B16" s="76">
        <f>floors!$C$2</f>
        <v>39003</v>
      </c>
      <c r="C16" s="77" t="str">
        <f ca="1">VLOOKUP($B16,OFFSET([2]quests!$A$1,0,0,COUNTA([2]quests!$A:$A),MATCH(C$1,[2]quests!$1:$1,0)-MATCH($B$1,[2]quests!$1:$1,0)+1),MATCH(C$1,[2]quests!$1:$1,0)-MATCH($B$1,[2]quests!$1:$1,0)+1,FALSE)</f>
        <v>ブルースクウェアを追え！</v>
      </c>
      <c r="D16" s="77" t="str">
        <f ca="1">VLOOKUP($B16,OFFSET([2]quests!$A$1,0,0,COUNTA([2]quests!$A:$A),MATCH(D$1,[2]quests!$1:$1,0)-MATCH($B$1,[2]quests!$1:$1,0)+1),MATCH(D$1,[2]quests!$1:$1,0)-MATCH($B$1,[2]quests!$1:$1,0)+1,FALSE)</f>
        <v>コラボクエスト</v>
      </c>
      <c r="E16" s="78">
        <v>3</v>
      </c>
      <c r="F16" s="77" t="str">
        <f ca="1">VLOOKUP($B16&amp;"_"&amp;$E16,OFFSET([2]stages!$A$1,0,0,COUNTA([2]stages!$A:$A),MATCH(F$1,[2]stages!$2:$2,0)-MATCH("temp_stage",[2]stages!$2:$2,0)+1),MATCH(F$1,[2]stages!$2:$2,0)-MATCH("temp_stage",[2]stages!$2:$2,0)+1,FALSE)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16" s="77" t="str">
        <f ca="1">VLOOKUP($B16&amp;"_"&amp;$E16,OFFSET([2]stages!$A$1,0,0,COUNTA([2]stages!$A:$A),MATCH(G$1,[2]stages!$2:$2,0)-MATCH("temp_stage",[2]stages!$2:$2,0)+1),MATCH(G$1,[2]stages!$2:$2,0)-MATCH("temp_stage",[2]stages!$2:$2,0)+1,FALSE)</f>
        <v>コラボクエスト</v>
      </c>
      <c r="H16" s="79">
        <v>4</v>
      </c>
      <c r="I16" s="84">
        <f t="shared" si="0"/>
        <v>15</v>
      </c>
      <c r="J16" s="80" t="str">
        <f t="shared" si="4"/>
        <v>3900315</v>
      </c>
      <c r="K16" s="78" t="s">
        <v>126</v>
      </c>
      <c r="L16" s="81" t="s">
        <v>198</v>
      </c>
      <c r="M16" s="140" t="s">
        <v>319</v>
      </c>
      <c r="N16" s="51" t="s">
        <v>199</v>
      </c>
    </row>
    <row r="17" spans="1:14" ht="42" x14ac:dyDescent="0.15">
      <c r="A17" s="75" t="s">
        <v>196</v>
      </c>
      <c r="B17" s="76">
        <f>floors!$C$2</f>
        <v>39003</v>
      </c>
      <c r="C17" s="77" t="str">
        <f ca="1">VLOOKUP($B17,OFFSET([2]quests!$A$1,0,0,COUNTA([2]quests!$A:$A),MATCH(C$1,[2]quests!$1:$1,0)-MATCH($B$1,[2]quests!$1:$1,0)+1),MATCH(C$1,[2]quests!$1:$1,0)-MATCH($B$1,[2]quests!$1:$1,0)+1,FALSE)</f>
        <v>ブルースクウェアを追え！</v>
      </c>
      <c r="D17" s="77" t="str">
        <f ca="1">VLOOKUP($B17,OFFSET([2]quests!$A$1,0,0,COUNTA([2]quests!$A:$A),MATCH(D$1,[2]quests!$1:$1,0)-MATCH($B$1,[2]quests!$1:$1,0)+1),MATCH(D$1,[2]quests!$1:$1,0)-MATCH($B$1,[2]quests!$1:$1,0)+1,FALSE)</f>
        <v>コラボクエスト</v>
      </c>
      <c r="E17" s="78">
        <v>4</v>
      </c>
      <c r="F17" s="77" t="str">
        <f ca="1">VLOOKUP($B17&amp;"_"&amp;$E17,OFFSET([2]stages!$A$1,0,0,COUNTA([2]stages!$A:$A),MATCH(F$1,[2]stages!$2:$2,0)-MATCH("temp_stage",[2]stages!$2:$2,0)+1),MATCH(F$1,[2]stages!$2:$2,0)-MATCH("temp_stage",[2]stages!$2:$2,0)+1,FALSE)</f>
        <v>【超級】ブルースクウェアを追え！</v>
      </c>
      <c r="G17" s="77" t="str">
        <f ca="1">VLOOKUP($B17&amp;"_"&amp;$E17,OFFSET([2]stages!$A$1,0,0,COUNTA([2]stages!$A:$A),MATCH(G$1,[2]stages!$2:$2,0)-MATCH("temp_stage",[2]stages!$2:$2,0)+1),MATCH(G$1,[2]stages!$2:$2,0)-MATCH("temp_stage",[2]stages!$2:$2,0)+1,FALSE)</f>
        <v>コラボクエスト</v>
      </c>
      <c r="H17" s="79">
        <v>1</v>
      </c>
      <c r="I17" s="84">
        <f>ROW()-1</f>
        <v>16</v>
      </c>
      <c r="J17" s="80" t="str">
        <f>B17&amp;TEXT(I17,"00")</f>
        <v>3900316</v>
      </c>
      <c r="K17" s="78" t="s">
        <v>126</v>
      </c>
      <c r="L17" s="81" t="s">
        <v>198</v>
      </c>
      <c r="M17" s="140" t="s">
        <v>318</v>
      </c>
      <c r="N17" s="51" t="s">
        <v>199</v>
      </c>
    </row>
    <row r="18" spans="1:14" ht="42" x14ac:dyDescent="0.15">
      <c r="A18" s="75" t="s">
        <v>196</v>
      </c>
      <c r="B18" s="76">
        <f>floors!$C$2</f>
        <v>39003</v>
      </c>
      <c r="C18" s="77" t="str">
        <f ca="1">VLOOKUP($B18,OFFSET([2]quests!$A$1,0,0,COUNTA([2]quests!$A:$A),MATCH(C$1,[2]quests!$1:$1,0)-MATCH($B$1,[2]quests!$1:$1,0)+1),MATCH(C$1,[2]quests!$1:$1,0)-MATCH($B$1,[2]quests!$1:$1,0)+1,FALSE)</f>
        <v>ブルースクウェアを追え！</v>
      </c>
      <c r="D18" s="77" t="str">
        <f ca="1">VLOOKUP($B18,OFFSET([2]quests!$A$1,0,0,COUNTA([2]quests!$A:$A),MATCH(D$1,[2]quests!$1:$1,0)-MATCH($B$1,[2]quests!$1:$1,0)+1),MATCH(D$1,[2]quests!$1:$1,0)-MATCH($B$1,[2]quests!$1:$1,0)+1,FALSE)</f>
        <v>コラボクエスト</v>
      </c>
      <c r="E18" s="78">
        <v>4</v>
      </c>
      <c r="F18" s="77" t="str">
        <f ca="1">VLOOKUP($B18&amp;"_"&amp;$E18,OFFSET([2]stages!$A$1,0,0,COUNTA([2]stages!$A:$A),MATCH(F$1,[2]stages!$2:$2,0)-MATCH("temp_stage",[2]stages!$2:$2,0)+1),MATCH(F$1,[2]stages!$2:$2,0)-MATCH("temp_stage",[2]stages!$2:$2,0)+1,FALSE)</f>
        <v>【超級】ブルースクウェアを追え！</v>
      </c>
      <c r="G18" s="77" t="str">
        <f ca="1">VLOOKUP($B18&amp;"_"&amp;$E18,OFFSET([2]stages!$A$1,0,0,COUNTA([2]stages!$A:$A),MATCH(G$1,[2]stages!$2:$2,0)-MATCH("temp_stage",[2]stages!$2:$2,0)+1),MATCH(G$1,[2]stages!$2:$2,0)-MATCH("temp_stage",[2]stages!$2:$2,0)+1,FALSE)</f>
        <v>コラボクエスト</v>
      </c>
      <c r="H18" s="79">
        <v>2</v>
      </c>
      <c r="I18" s="84">
        <f t="shared" si="0"/>
        <v>17</v>
      </c>
      <c r="J18" s="80" t="str">
        <f t="shared" ref="J18:J21" si="5">B18&amp;TEXT(I18,"00")</f>
        <v>3900317</v>
      </c>
      <c r="K18" s="78" t="s">
        <v>126</v>
      </c>
      <c r="L18" s="81" t="s">
        <v>198</v>
      </c>
      <c r="M18" s="140" t="s">
        <v>316</v>
      </c>
      <c r="N18" s="51" t="s">
        <v>199</v>
      </c>
    </row>
    <row r="19" spans="1:14" ht="42" x14ac:dyDescent="0.15">
      <c r="A19" s="75" t="s">
        <v>196</v>
      </c>
      <c r="B19" s="76">
        <f>floors!$C$2</f>
        <v>39003</v>
      </c>
      <c r="C19" s="77" t="str">
        <f ca="1">VLOOKUP($B19,OFFSET([2]quests!$A$1,0,0,COUNTA([2]quests!$A:$A),MATCH(C$1,[2]quests!$1:$1,0)-MATCH($B$1,[2]quests!$1:$1,0)+1),MATCH(C$1,[2]quests!$1:$1,0)-MATCH($B$1,[2]quests!$1:$1,0)+1,FALSE)</f>
        <v>ブルースクウェアを追え！</v>
      </c>
      <c r="D19" s="77" t="str">
        <f ca="1">VLOOKUP($B19,OFFSET([2]quests!$A$1,0,0,COUNTA([2]quests!$A:$A),MATCH(D$1,[2]quests!$1:$1,0)-MATCH($B$1,[2]quests!$1:$1,0)+1),MATCH(D$1,[2]quests!$1:$1,0)-MATCH($B$1,[2]quests!$1:$1,0)+1,FALSE)</f>
        <v>コラボクエスト</v>
      </c>
      <c r="E19" s="78">
        <v>4</v>
      </c>
      <c r="F19" s="77" t="str">
        <f ca="1">VLOOKUP($B19&amp;"_"&amp;$E19,OFFSET([2]stages!$A$1,0,0,COUNTA([2]stages!$A:$A),MATCH(F$1,[2]stages!$2:$2,0)-MATCH("temp_stage",[2]stages!$2:$2,0)+1),MATCH(F$1,[2]stages!$2:$2,0)-MATCH("temp_stage",[2]stages!$2:$2,0)+1,FALSE)</f>
        <v>【超級】ブルースクウェアを追え！</v>
      </c>
      <c r="G19" s="77" t="str">
        <f ca="1">VLOOKUP($B19&amp;"_"&amp;$E19,OFFSET([2]stages!$A$1,0,0,COUNTA([2]stages!$A:$A),MATCH(G$1,[2]stages!$2:$2,0)-MATCH("temp_stage",[2]stages!$2:$2,0)+1),MATCH(G$1,[2]stages!$2:$2,0)-MATCH("temp_stage",[2]stages!$2:$2,0)+1,FALSE)</f>
        <v>コラボクエスト</v>
      </c>
      <c r="H19" s="79">
        <v>3</v>
      </c>
      <c r="I19" s="84">
        <f t="shared" si="0"/>
        <v>18</v>
      </c>
      <c r="J19" s="80" t="str">
        <f t="shared" si="5"/>
        <v>3900318</v>
      </c>
      <c r="K19" s="78" t="s">
        <v>126</v>
      </c>
      <c r="L19" s="81" t="s">
        <v>198</v>
      </c>
      <c r="M19" s="140" t="s">
        <v>317</v>
      </c>
      <c r="N19" s="51" t="s">
        <v>199</v>
      </c>
    </row>
    <row r="20" spans="1:14" ht="42" x14ac:dyDescent="0.15">
      <c r="A20" s="75" t="s">
        <v>196</v>
      </c>
      <c r="B20" s="76">
        <f>floors!$C$2</f>
        <v>39003</v>
      </c>
      <c r="C20" s="77" t="str">
        <f ca="1">VLOOKUP($B20,OFFSET([2]quests!$A$1,0,0,COUNTA([2]quests!$A:$A),MATCH(C$1,[2]quests!$1:$1,0)-MATCH($B$1,[2]quests!$1:$1,0)+1),MATCH(C$1,[2]quests!$1:$1,0)-MATCH($B$1,[2]quests!$1:$1,0)+1,FALSE)</f>
        <v>ブルースクウェアを追え！</v>
      </c>
      <c r="D20" s="77" t="str">
        <f ca="1">VLOOKUP($B20,OFFSET([2]quests!$A$1,0,0,COUNTA([2]quests!$A:$A),MATCH(D$1,[2]quests!$1:$1,0)-MATCH($B$1,[2]quests!$1:$1,0)+1),MATCH(D$1,[2]quests!$1:$1,0)-MATCH($B$1,[2]quests!$1:$1,0)+1,FALSE)</f>
        <v>コラボクエスト</v>
      </c>
      <c r="E20" s="78">
        <v>4</v>
      </c>
      <c r="F20" s="77" t="str">
        <f ca="1">VLOOKUP($B20&amp;"_"&amp;$E20,OFFSET([2]stages!$A$1,0,0,COUNTA([2]stages!$A:$A),MATCH(F$1,[2]stages!$2:$2,0)-MATCH("temp_stage",[2]stages!$2:$2,0)+1),MATCH(F$1,[2]stages!$2:$2,0)-MATCH("temp_stage",[2]stages!$2:$2,0)+1,FALSE)</f>
        <v>【超級】ブルースクウェアを追え！</v>
      </c>
      <c r="G20" s="77" t="str">
        <f ca="1">VLOOKUP($B20&amp;"_"&amp;$E20,OFFSET([2]stages!$A$1,0,0,COUNTA([2]stages!$A:$A),MATCH(G$1,[2]stages!$2:$2,0)-MATCH("temp_stage",[2]stages!$2:$2,0)+1),MATCH(G$1,[2]stages!$2:$2,0)-MATCH("temp_stage",[2]stages!$2:$2,0)+1,FALSE)</f>
        <v>コラボクエスト</v>
      </c>
      <c r="H20" s="79">
        <v>4</v>
      </c>
      <c r="I20" s="84">
        <f t="shared" si="0"/>
        <v>19</v>
      </c>
      <c r="J20" s="80" t="str">
        <f t="shared" si="5"/>
        <v>3900319</v>
      </c>
      <c r="K20" s="78" t="s">
        <v>126</v>
      </c>
      <c r="L20" s="81" t="s">
        <v>198</v>
      </c>
      <c r="M20" s="140" t="s">
        <v>324</v>
      </c>
      <c r="N20" s="51" t="s">
        <v>199</v>
      </c>
    </row>
    <row r="21" spans="1:14" ht="42" x14ac:dyDescent="0.15">
      <c r="A21" s="75" t="s">
        <v>196</v>
      </c>
      <c r="B21" s="76">
        <f>floors!$C$2</f>
        <v>39003</v>
      </c>
      <c r="C21" s="77" t="str">
        <f ca="1">VLOOKUP($B21,OFFSET([2]quests!$A$1,0,0,COUNTA([2]quests!$A:$A),MATCH(C$1,[2]quests!$1:$1,0)-MATCH($B$1,[2]quests!$1:$1,0)+1),MATCH(C$1,[2]quests!$1:$1,0)-MATCH($B$1,[2]quests!$1:$1,0)+1,FALSE)</f>
        <v>ブルースクウェアを追え！</v>
      </c>
      <c r="D21" s="77" t="str">
        <f ca="1">VLOOKUP($B21,OFFSET([2]quests!$A$1,0,0,COUNTA([2]quests!$A:$A),MATCH(D$1,[2]quests!$1:$1,0)-MATCH($B$1,[2]quests!$1:$1,0)+1),MATCH(D$1,[2]quests!$1:$1,0)-MATCH($B$1,[2]quests!$1:$1,0)+1,FALSE)</f>
        <v>コラボクエスト</v>
      </c>
      <c r="E21" s="78">
        <v>4</v>
      </c>
      <c r="F21" s="77" t="str">
        <f ca="1">VLOOKUP($B21&amp;"_"&amp;$E21,OFFSET([2]stages!$A$1,0,0,COUNTA([2]stages!$A:$A),MATCH(F$1,[2]stages!$2:$2,0)-MATCH("temp_stage",[2]stages!$2:$2,0)+1),MATCH(F$1,[2]stages!$2:$2,0)-MATCH("temp_stage",[2]stages!$2:$2,0)+1,FALSE)</f>
        <v>【超級】ブルースクウェアを追え！</v>
      </c>
      <c r="G21" s="77" t="str">
        <f ca="1">VLOOKUP($B21&amp;"_"&amp;$E21,OFFSET([2]stages!$A$1,0,0,COUNTA([2]stages!$A:$A),MATCH(G$1,[2]stages!$2:$2,0)-MATCH("temp_stage",[2]stages!$2:$2,0)+1),MATCH(G$1,[2]stages!$2:$2,0)-MATCH("temp_stage",[2]stages!$2:$2,0)+1,FALSE)</f>
        <v>コラボクエスト</v>
      </c>
      <c r="H21" s="79">
        <v>4</v>
      </c>
      <c r="I21" s="84">
        <f t="shared" si="0"/>
        <v>20</v>
      </c>
      <c r="J21" s="80" t="str">
        <f t="shared" si="5"/>
        <v>3900320</v>
      </c>
      <c r="K21" s="78" t="s">
        <v>126</v>
      </c>
      <c r="L21" s="81" t="s">
        <v>198</v>
      </c>
      <c r="M21" s="140" t="s">
        <v>319</v>
      </c>
      <c r="N21" s="51" t="s">
        <v>199</v>
      </c>
    </row>
  </sheetData>
  <phoneticPr fontId="5"/>
  <dataValidations count="1">
    <dataValidation type="list" allowBlank="1" showInputMessage="1" showErrorMessage="1" sqref="A2:A21">
      <formula1>"complete,failure"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2016-04-20T13:29:31Z</dcterms:modified>
</cp:coreProperties>
</file>