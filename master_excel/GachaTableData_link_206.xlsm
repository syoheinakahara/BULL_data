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423" codeName="{00000000-0000-0000-0000-000000000000}"/>
  <workbookPr showInkAnnotation="0" codeName="ThisWorkbook" autoCompressPictures="0"/>
  <bookViews>
    <workbookView xWindow="0" yWindow="0" windowWidth="25600" windowHeight="16000" tabRatio="943"/>
  </bookViews>
  <sheets>
    <sheet name="output" sheetId="47" r:id="rId1"/>
    <sheet name="gacha_select_tables" sheetId="49" r:id="rId2"/>
    <sheet name="bug_conf_sheet" sheetId="50" r:id="rId3"/>
  </sheets>
  <externalReferences>
    <externalReference r:id="rId4"/>
  </externalReferences>
  <definedNames>
    <definedName name="_xlnm._FilterDatabase" localSheetId="1" hidden="1">gacha_select_tables!$B$1:$J$80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3" i="47" l="1"/>
  <c r="C4" i="47"/>
  <c r="C5" i="47"/>
  <c r="C6" i="47"/>
  <c r="C2" i="47"/>
  <c r="G2" i="49"/>
  <c r="E2" i="49"/>
  <c r="G62" i="49"/>
  <c r="E62" i="49"/>
  <c r="G18" i="49"/>
  <c r="E18" i="49"/>
  <c r="L81" i="49"/>
  <c r="A81" i="49"/>
  <c r="D81" i="49"/>
  <c r="E81" i="49"/>
  <c r="F81" i="49"/>
  <c r="G81" i="49"/>
  <c r="H81" i="49"/>
  <c r="I81" i="49"/>
  <c r="K81" i="49"/>
  <c r="M81" i="49"/>
  <c r="N81" i="49"/>
  <c r="O81" i="49"/>
  <c r="P81" i="49"/>
  <c r="Q81" i="49"/>
  <c r="L3" i="49"/>
  <c r="M3" i="49"/>
  <c r="N3" i="49"/>
  <c r="O3" i="49"/>
  <c r="P3" i="49"/>
  <c r="Q3" i="49"/>
  <c r="L4" i="49"/>
  <c r="M4" i="49"/>
  <c r="N4" i="49"/>
  <c r="O4" i="49"/>
  <c r="P4" i="49"/>
  <c r="Q4" i="49"/>
  <c r="L5" i="49"/>
  <c r="M5" i="49"/>
  <c r="N5" i="49"/>
  <c r="O5" i="49"/>
  <c r="P5" i="49"/>
  <c r="Q5" i="49"/>
  <c r="L6" i="49"/>
  <c r="M6" i="49"/>
  <c r="N6" i="49"/>
  <c r="O6" i="49"/>
  <c r="P6" i="49"/>
  <c r="Q6" i="49"/>
  <c r="L7" i="49"/>
  <c r="M7" i="49"/>
  <c r="N7" i="49"/>
  <c r="O7" i="49"/>
  <c r="P7" i="49"/>
  <c r="Q7" i="49"/>
  <c r="L8" i="49"/>
  <c r="M8" i="49"/>
  <c r="N8" i="49"/>
  <c r="O8" i="49"/>
  <c r="P8" i="49"/>
  <c r="Q8" i="49"/>
  <c r="L9" i="49"/>
  <c r="M9" i="49"/>
  <c r="N9" i="49"/>
  <c r="O9" i="49"/>
  <c r="P9" i="49"/>
  <c r="Q9" i="49"/>
  <c r="L10" i="49"/>
  <c r="M10" i="49"/>
  <c r="N10" i="49"/>
  <c r="O10" i="49"/>
  <c r="P10" i="49"/>
  <c r="Q10" i="49"/>
  <c r="L11" i="49"/>
  <c r="M11" i="49"/>
  <c r="N11" i="49"/>
  <c r="O11" i="49"/>
  <c r="P11" i="49"/>
  <c r="Q11" i="49"/>
  <c r="L12" i="49"/>
  <c r="M12" i="49"/>
  <c r="N12" i="49"/>
  <c r="O12" i="49"/>
  <c r="P12" i="49"/>
  <c r="Q12" i="49"/>
  <c r="L13" i="49"/>
  <c r="M13" i="49"/>
  <c r="N13" i="49"/>
  <c r="O13" i="49"/>
  <c r="P13" i="49"/>
  <c r="Q13" i="49"/>
  <c r="L14" i="49"/>
  <c r="M14" i="49"/>
  <c r="N14" i="49"/>
  <c r="O14" i="49"/>
  <c r="P14" i="49"/>
  <c r="Q14" i="49"/>
  <c r="L15" i="49"/>
  <c r="M15" i="49"/>
  <c r="N15" i="49"/>
  <c r="O15" i="49"/>
  <c r="P15" i="49"/>
  <c r="Q15" i="49"/>
  <c r="L16" i="49"/>
  <c r="M16" i="49"/>
  <c r="N16" i="49"/>
  <c r="O16" i="49"/>
  <c r="P16" i="49"/>
  <c r="Q16" i="49"/>
  <c r="L17" i="49"/>
  <c r="M17" i="49"/>
  <c r="N17" i="49"/>
  <c r="O17" i="49"/>
  <c r="P17" i="49"/>
  <c r="Q17" i="49"/>
  <c r="L18" i="49"/>
  <c r="M18" i="49"/>
  <c r="N18" i="49"/>
  <c r="O18" i="49"/>
  <c r="P18" i="49"/>
  <c r="Q18" i="49"/>
  <c r="L19" i="49"/>
  <c r="M19" i="49"/>
  <c r="N19" i="49"/>
  <c r="O19" i="49"/>
  <c r="P19" i="49"/>
  <c r="Q19" i="49"/>
  <c r="L20" i="49"/>
  <c r="M20" i="49"/>
  <c r="N20" i="49"/>
  <c r="O20" i="49"/>
  <c r="P20" i="49"/>
  <c r="Q20" i="49"/>
  <c r="L21" i="49"/>
  <c r="M21" i="49"/>
  <c r="N21" i="49"/>
  <c r="O21" i="49"/>
  <c r="P21" i="49"/>
  <c r="Q21" i="49"/>
  <c r="L22" i="49"/>
  <c r="M22" i="49"/>
  <c r="N22" i="49"/>
  <c r="O22" i="49"/>
  <c r="P22" i="49"/>
  <c r="Q22" i="49"/>
  <c r="L23" i="49"/>
  <c r="M23" i="49"/>
  <c r="N23" i="49"/>
  <c r="O23" i="49"/>
  <c r="P23" i="49"/>
  <c r="Q23" i="49"/>
  <c r="L24" i="49"/>
  <c r="M24" i="49"/>
  <c r="N24" i="49"/>
  <c r="O24" i="49"/>
  <c r="P24" i="49"/>
  <c r="Q24" i="49"/>
  <c r="L25" i="49"/>
  <c r="M25" i="49"/>
  <c r="N25" i="49"/>
  <c r="O25" i="49"/>
  <c r="P25" i="49"/>
  <c r="Q25" i="49"/>
  <c r="L26" i="49"/>
  <c r="M26" i="49"/>
  <c r="N26" i="49"/>
  <c r="O26" i="49"/>
  <c r="P26" i="49"/>
  <c r="Q26" i="49"/>
  <c r="L27" i="49"/>
  <c r="M27" i="49"/>
  <c r="N27" i="49"/>
  <c r="O27" i="49"/>
  <c r="P27" i="49"/>
  <c r="Q27" i="49"/>
  <c r="L28" i="49"/>
  <c r="M28" i="49"/>
  <c r="N28" i="49"/>
  <c r="O28" i="49"/>
  <c r="P28" i="49"/>
  <c r="Q28" i="49"/>
  <c r="L29" i="49"/>
  <c r="M29" i="49"/>
  <c r="N29" i="49"/>
  <c r="O29" i="49"/>
  <c r="P29" i="49"/>
  <c r="Q29" i="49"/>
  <c r="L30" i="49"/>
  <c r="M30" i="49"/>
  <c r="N30" i="49"/>
  <c r="O30" i="49"/>
  <c r="P30" i="49"/>
  <c r="Q30" i="49"/>
  <c r="L31" i="49"/>
  <c r="M31" i="49"/>
  <c r="N31" i="49"/>
  <c r="O31" i="49"/>
  <c r="P31" i="49"/>
  <c r="Q31" i="49"/>
  <c r="L32" i="49"/>
  <c r="M32" i="49"/>
  <c r="N32" i="49"/>
  <c r="O32" i="49"/>
  <c r="P32" i="49"/>
  <c r="Q32" i="49"/>
  <c r="L33" i="49"/>
  <c r="M33" i="49"/>
  <c r="N33" i="49"/>
  <c r="O33" i="49"/>
  <c r="P33" i="49"/>
  <c r="Q33" i="49"/>
  <c r="L34" i="49"/>
  <c r="M34" i="49"/>
  <c r="N34" i="49"/>
  <c r="O34" i="49"/>
  <c r="P34" i="49"/>
  <c r="Q34" i="49"/>
  <c r="L35" i="49"/>
  <c r="M35" i="49"/>
  <c r="N35" i="49"/>
  <c r="O35" i="49"/>
  <c r="P35" i="49"/>
  <c r="Q35" i="49"/>
  <c r="L36" i="49"/>
  <c r="M36" i="49"/>
  <c r="N36" i="49"/>
  <c r="O36" i="49"/>
  <c r="P36" i="49"/>
  <c r="Q36" i="49"/>
  <c r="L37" i="49"/>
  <c r="M37" i="49"/>
  <c r="N37" i="49"/>
  <c r="O37" i="49"/>
  <c r="P37" i="49"/>
  <c r="Q37" i="49"/>
  <c r="L38" i="49"/>
  <c r="M38" i="49"/>
  <c r="N38" i="49"/>
  <c r="O38" i="49"/>
  <c r="P38" i="49"/>
  <c r="Q38" i="49"/>
  <c r="L39" i="49"/>
  <c r="M39" i="49"/>
  <c r="N39" i="49"/>
  <c r="O39" i="49"/>
  <c r="P39" i="49"/>
  <c r="Q39" i="49"/>
  <c r="L40" i="49"/>
  <c r="M40" i="49"/>
  <c r="N40" i="49"/>
  <c r="O40" i="49"/>
  <c r="P40" i="49"/>
  <c r="Q40" i="49"/>
  <c r="L41" i="49"/>
  <c r="M41" i="49"/>
  <c r="N41" i="49"/>
  <c r="O41" i="49"/>
  <c r="P41" i="49"/>
  <c r="Q41" i="49"/>
  <c r="L42" i="49"/>
  <c r="M42" i="49"/>
  <c r="N42" i="49"/>
  <c r="O42" i="49"/>
  <c r="P42" i="49"/>
  <c r="Q42" i="49"/>
  <c r="L43" i="49"/>
  <c r="M43" i="49"/>
  <c r="N43" i="49"/>
  <c r="O43" i="49"/>
  <c r="P43" i="49"/>
  <c r="Q43" i="49"/>
  <c r="L44" i="49"/>
  <c r="M44" i="49"/>
  <c r="N44" i="49"/>
  <c r="O44" i="49"/>
  <c r="P44" i="49"/>
  <c r="Q44" i="49"/>
  <c r="L45" i="49"/>
  <c r="M45" i="49"/>
  <c r="N45" i="49"/>
  <c r="O45" i="49"/>
  <c r="P45" i="49"/>
  <c r="Q45" i="49"/>
  <c r="L46" i="49"/>
  <c r="M46" i="49"/>
  <c r="N46" i="49"/>
  <c r="O46" i="49"/>
  <c r="P46" i="49"/>
  <c r="Q46" i="49"/>
  <c r="L47" i="49"/>
  <c r="M47" i="49"/>
  <c r="N47" i="49"/>
  <c r="O47" i="49"/>
  <c r="P47" i="49"/>
  <c r="Q47" i="49"/>
  <c r="L48" i="49"/>
  <c r="M48" i="49"/>
  <c r="N48" i="49"/>
  <c r="O48" i="49"/>
  <c r="P48" i="49"/>
  <c r="Q48" i="49"/>
  <c r="L49" i="49"/>
  <c r="M49" i="49"/>
  <c r="N49" i="49"/>
  <c r="O49" i="49"/>
  <c r="P49" i="49"/>
  <c r="Q49" i="49"/>
  <c r="L50" i="49"/>
  <c r="M50" i="49"/>
  <c r="N50" i="49"/>
  <c r="O50" i="49"/>
  <c r="P50" i="49"/>
  <c r="Q50" i="49"/>
  <c r="L51" i="49"/>
  <c r="M51" i="49"/>
  <c r="N51" i="49"/>
  <c r="O51" i="49"/>
  <c r="P51" i="49"/>
  <c r="Q51" i="49"/>
  <c r="L52" i="49"/>
  <c r="M52" i="49"/>
  <c r="N52" i="49"/>
  <c r="O52" i="49"/>
  <c r="P52" i="49"/>
  <c r="Q52" i="49"/>
  <c r="L53" i="49"/>
  <c r="M53" i="49"/>
  <c r="N53" i="49"/>
  <c r="O53" i="49"/>
  <c r="P53" i="49"/>
  <c r="Q53" i="49"/>
  <c r="L54" i="49"/>
  <c r="M54" i="49"/>
  <c r="N54" i="49"/>
  <c r="O54" i="49"/>
  <c r="P54" i="49"/>
  <c r="Q54" i="49"/>
  <c r="L55" i="49"/>
  <c r="M55" i="49"/>
  <c r="N55" i="49"/>
  <c r="O55" i="49"/>
  <c r="P55" i="49"/>
  <c r="Q55" i="49"/>
  <c r="L56" i="49"/>
  <c r="M56" i="49"/>
  <c r="N56" i="49"/>
  <c r="O56" i="49"/>
  <c r="P56" i="49"/>
  <c r="Q56" i="49"/>
  <c r="L57" i="49"/>
  <c r="M57" i="49"/>
  <c r="N57" i="49"/>
  <c r="O57" i="49"/>
  <c r="P57" i="49"/>
  <c r="Q57" i="49"/>
  <c r="L58" i="49"/>
  <c r="M58" i="49"/>
  <c r="N58" i="49"/>
  <c r="O58" i="49"/>
  <c r="P58" i="49"/>
  <c r="Q58" i="49"/>
  <c r="L59" i="49"/>
  <c r="M59" i="49"/>
  <c r="N59" i="49"/>
  <c r="O59" i="49"/>
  <c r="P59" i="49"/>
  <c r="Q59" i="49"/>
  <c r="L60" i="49"/>
  <c r="M60" i="49"/>
  <c r="N60" i="49"/>
  <c r="O60" i="49"/>
  <c r="P60" i="49"/>
  <c r="Q60" i="49"/>
  <c r="L61" i="49"/>
  <c r="M61" i="49"/>
  <c r="N61" i="49"/>
  <c r="O61" i="49"/>
  <c r="P61" i="49"/>
  <c r="Q61" i="49"/>
  <c r="L62" i="49"/>
  <c r="M62" i="49"/>
  <c r="N62" i="49"/>
  <c r="O62" i="49"/>
  <c r="P62" i="49"/>
  <c r="Q62" i="49"/>
  <c r="L63" i="49"/>
  <c r="M63" i="49"/>
  <c r="N63" i="49"/>
  <c r="O63" i="49"/>
  <c r="P63" i="49"/>
  <c r="Q63" i="49"/>
  <c r="L64" i="49"/>
  <c r="M64" i="49"/>
  <c r="N64" i="49"/>
  <c r="O64" i="49"/>
  <c r="P64" i="49"/>
  <c r="Q64" i="49"/>
  <c r="L65" i="49"/>
  <c r="M65" i="49"/>
  <c r="N65" i="49"/>
  <c r="O65" i="49"/>
  <c r="P65" i="49"/>
  <c r="Q65" i="49"/>
  <c r="L66" i="49"/>
  <c r="M66" i="49"/>
  <c r="N66" i="49"/>
  <c r="O66" i="49"/>
  <c r="P66" i="49"/>
  <c r="Q66" i="49"/>
  <c r="L67" i="49"/>
  <c r="M67" i="49"/>
  <c r="N67" i="49"/>
  <c r="O67" i="49"/>
  <c r="P67" i="49"/>
  <c r="Q67" i="49"/>
  <c r="L68" i="49"/>
  <c r="M68" i="49"/>
  <c r="N68" i="49"/>
  <c r="O68" i="49"/>
  <c r="P68" i="49"/>
  <c r="Q68" i="49"/>
  <c r="L69" i="49"/>
  <c r="M69" i="49"/>
  <c r="N69" i="49"/>
  <c r="O69" i="49"/>
  <c r="P69" i="49"/>
  <c r="Q69" i="49"/>
  <c r="L70" i="49"/>
  <c r="M70" i="49"/>
  <c r="N70" i="49"/>
  <c r="O70" i="49"/>
  <c r="P70" i="49"/>
  <c r="Q70" i="49"/>
  <c r="L71" i="49"/>
  <c r="M71" i="49"/>
  <c r="N71" i="49"/>
  <c r="O71" i="49"/>
  <c r="P71" i="49"/>
  <c r="Q71" i="49"/>
  <c r="L72" i="49"/>
  <c r="M72" i="49"/>
  <c r="N72" i="49"/>
  <c r="O72" i="49"/>
  <c r="P72" i="49"/>
  <c r="Q72" i="49"/>
  <c r="L73" i="49"/>
  <c r="M73" i="49"/>
  <c r="N73" i="49"/>
  <c r="O73" i="49"/>
  <c r="P73" i="49"/>
  <c r="Q73" i="49"/>
  <c r="L74" i="49"/>
  <c r="M74" i="49"/>
  <c r="N74" i="49"/>
  <c r="O74" i="49"/>
  <c r="P74" i="49"/>
  <c r="Q74" i="49"/>
  <c r="L75" i="49"/>
  <c r="M75" i="49"/>
  <c r="N75" i="49"/>
  <c r="O75" i="49"/>
  <c r="P75" i="49"/>
  <c r="Q75" i="49"/>
  <c r="L76" i="49"/>
  <c r="M76" i="49"/>
  <c r="N76" i="49"/>
  <c r="O76" i="49"/>
  <c r="P76" i="49"/>
  <c r="Q76" i="49"/>
  <c r="L77" i="49"/>
  <c r="M77" i="49"/>
  <c r="N77" i="49"/>
  <c r="O77" i="49"/>
  <c r="P77" i="49"/>
  <c r="Q77" i="49"/>
  <c r="L78" i="49"/>
  <c r="M78" i="49"/>
  <c r="N78" i="49"/>
  <c r="O78" i="49"/>
  <c r="P78" i="49"/>
  <c r="Q78" i="49"/>
  <c r="L79" i="49"/>
  <c r="M79" i="49"/>
  <c r="N79" i="49"/>
  <c r="O79" i="49"/>
  <c r="P79" i="49"/>
  <c r="Q79" i="49"/>
  <c r="L80" i="49"/>
  <c r="M80" i="49"/>
  <c r="N80" i="49"/>
  <c r="O80" i="49"/>
  <c r="P80" i="49"/>
  <c r="Q80" i="49"/>
  <c r="Q2" i="49"/>
  <c r="P2" i="49"/>
  <c r="O2" i="49"/>
  <c r="N2" i="49"/>
  <c r="M2" i="49"/>
  <c r="L2" i="49"/>
  <c r="F3" i="49"/>
  <c r="F4" i="49"/>
  <c r="F5" i="49"/>
  <c r="F6" i="49"/>
  <c r="F7" i="49"/>
  <c r="F8" i="49"/>
  <c r="F9" i="49"/>
  <c r="F10" i="49"/>
  <c r="F11" i="49"/>
  <c r="F12" i="49"/>
  <c r="F13" i="49"/>
  <c r="F14" i="49"/>
  <c r="F15" i="49"/>
  <c r="F16" i="49"/>
  <c r="F17" i="49"/>
  <c r="F18" i="49"/>
  <c r="F19" i="49"/>
  <c r="F20" i="49"/>
  <c r="F21" i="49"/>
  <c r="F22" i="49"/>
  <c r="F23" i="49"/>
  <c r="F24" i="49"/>
  <c r="F25" i="49"/>
  <c r="F26" i="49"/>
  <c r="F27" i="49"/>
  <c r="F28" i="49"/>
  <c r="F29" i="49"/>
  <c r="F30" i="49"/>
  <c r="F31" i="49"/>
  <c r="F32" i="49"/>
  <c r="F33" i="49"/>
  <c r="F34" i="49"/>
  <c r="F35" i="49"/>
  <c r="F36" i="49"/>
  <c r="F37" i="49"/>
  <c r="F38" i="49"/>
  <c r="F39" i="49"/>
  <c r="F40" i="49"/>
  <c r="F41" i="49"/>
  <c r="F42" i="49"/>
  <c r="F43" i="49"/>
  <c r="F44" i="49"/>
  <c r="F45" i="49"/>
  <c r="F46" i="49"/>
  <c r="F47" i="49"/>
  <c r="F48" i="49"/>
  <c r="F49" i="49"/>
  <c r="F50" i="49"/>
  <c r="F51" i="49"/>
  <c r="F52" i="49"/>
  <c r="F53" i="49"/>
  <c r="F54" i="49"/>
  <c r="F55" i="49"/>
  <c r="F56" i="49"/>
  <c r="F57" i="49"/>
  <c r="F58" i="49"/>
  <c r="F59" i="49"/>
  <c r="F60" i="49"/>
  <c r="F61" i="49"/>
  <c r="F62" i="49"/>
  <c r="F63" i="49"/>
  <c r="F64" i="49"/>
  <c r="F65" i="49"/>
  <c r="F66" i="49"/>
  <c r="F67" i="49"/>
  <c r="F68" i="49"/>
  <c r="F69" i="49"/>
  <c r="F70" i="49"/>
  <c r="F71" i="49"/>
  <c r="F72" i="49"/>
  <c r="F73" i="49"/>
  <c r="F74" i="49"/>
  <c r="F75" i="49"/>
  <c r="F76" i="49"/>
  <c r="F77" i="49"/>
  <c r="F78" i="49"/>
  <c r="F79" i="49"/>
  <c r="F80" i="49"/>
  <c r="F2" i="49"/>
  <c r="B6" i="50"/>
  <c r="B5" i="50"/>
  <c r="B4" i="50"/>
  <c r="B3" i="50"/>
  <c r="B2" i="50"/>
  <c r="K80" i="49"/>
  <c r="I80" i="49"/>
  <c r="H80" i="49"/>
  <c r="G80" i="49"/>
  <c r="E80" i="49"/>
  <c r="D80" i="49"/>
  <c r="A80" i="49"/>
  <c r="K79" i="49"/>
  <c r="I79" i="49"/>
  <c r="H79" i="49"/>
  <c r="G79" i="49"/>
  <c r="E79" i="49"/>
  <c r="D79" i="49"/>
  <c r="A79" i="49"/>
  <c r="K78" i="49"/>
  <c r="I78" i="49"/>
  <c r="H78" i="49"/>
  <c r="G78" i="49"/>
  <c r="E78" i="49"/>
  <c r="D78" i="49"/>
  <c r="A78" i="49"/>
  <c r="K77" i="49"/>
  <c r="I77" i="49"/>
  <c r="H77" i="49"/>
  <c r="G77" i="49"/>
  <c r="E77" i="49"/>
  <c r="D77" i="49"/>
  <c r="A77" i="49"/>
  <c r="K76" i="49"/>
  <c r="I76" i="49"/>
  <c r="H76" i="49"/>
  <c r="G76" i="49"/>
  <c r="E76" i="49"/>
  <c r="D76" i="49"/>
  <c r="A76" i="49"/>
  <c r="K75" i="49"/>
  <c r="I75" i="49"/>
  <c r="H75" i="49"/>
  <c r="G75" i="49"/>
  <c r="E75" i="49"/>
  <c r="D75" i="49"/>
  <c r="A75" i="49"/>
  <c r="K74" i="49"/>
  <c r="I74" i="49"/>
  <c r="H74" i="49"/>
  <c r="G74" i="49"/>
  <c r="E74" i="49"/>
  <c r="D74" i="49"/>
  <c r="A74" i="49"/>
  <c r="K73" i="49"/>
  <c r="I73" i="49"/>
  <c r="H73" i="49"/>
  <c r="G73" i="49"/>
  <c r="E73" i="49"/>
  <c r="D73" i="49"/>
  <c r="A73" i="49"/>
  <c r="K72" i="49"/>
  <c r="I72" i="49"/>
  <c r="H72" i="49"/>
  <c r="G72" i="49"/>
  <c r="E72" i="49"/>
  <c r="D72" i="49"/>
  <c r="A72" i="49"/>
  <c r="K71" i="49"/>
  <c r="I71" i="49"/>
  <c r="H71" i="49"/>
  <c r="G71" i="49"/>
  <c r="E71" i="49"/>
  <c r="D71" i="49"/>
  <c r="A71" i="49"/>
  <c r="K70" i="49"/>
  <c r="I70" i="49"/>
  <c r="H70" i="49"/>
  <c r="G70" i="49"/>
  <c r="E70" i="49"/>
  <c r="D70" i="49"/>
  <c r="A70" i="49"/>
  <c r="K69" i="49"/>
  <c r="I69" i="49"/>
  <c r="H69" i="49"/>
  <c r="G69" i="49"/>
  <c r="E69" i="49"/>
  <c r="D69" i="49"/>
  <c r="A69" i="49"/>
  <c r="K68" i="49"/>
  <c r="I68" i="49"/>
  <c r="H68" i="49"/>
  <c r="G68" i="49"/>
  <c r="E68" i="49"/>
  <c r="D68" i="49"/>
  <c r="A68" i="49"/>
  <c r="K67" i="49"/>
  <c r="I67" i="49"/>
  <c r="H67" i="49"/>
  <c r="G67" i="49"/>
  <c r="E67" i="49"/>
  <c r="D67" i="49"/>
  <c r="A67" i="49"/>
  <c r="K66" i="49"/>
  <c r="I66" i="49"/>
  <c r="H66" i="49"/>
  <c r="G66" i="49"/>
  <c r="E66" i="49"/>
  <c r="D66" i="49"/>
  <c r="A66" i="49"/>
  <c r="K65" i="49"/>
  <c r="I65" i="49"/>
  <c r="H65" i="49"/>
  <c r="G65" i="49"/>
  <c r="E65" i="49"/>
  <c r="D65" i="49"/>
  <c r="A65" i="49"/>
  <c r="K64" i="49"/>
  <c r="I64" i="49"/>
  <c r="H64" i="49"/>
  <c r="G64" i="49"/>
  <c r="E64" i="49"/>
  <c r="D64" i="49"/>
  <c r="A64" i="49"/>
  <c r="K63" i="49"/>
  <c r="I63" i="49"/>
  <c r="H63" i="49"/>
  <c r="G63" i="49"/>
  <c r="E63" i="49"/>
  <c r="D63" i="49"/>
  <c r="A63" i="49"/>
  <c r="K62" i="49"/>
  <c r="I62" i="49"/>
  <c r="H62" i="49"/>
  <c r="D62" i="49"/>
  <c r="A62" i="49"/>
  <c r="K61" i="49"/>
  <c r="I61" i="49"/>
  <c r="H61" i="49"/>
  <c r="G61" i="49"/>
  <c r="E61" i="49"/>
  <c r="D61" i="49"/>
  <c r="A61" i="49"/>
  <c r="K60" i="49"/>
  <c r="I60" i="49"/>
  <c r="H60" i="49"/>
  <c r="G60" i="49"/>
  <c r="E60" i="49"/>
  <c r="D60" i="49"/>
  <c r="A60" i="49"/>
  <c r="K59" i="49"/>
  <c r="I59" i="49"/>
  <c r="H59" i="49"/>
  <c r="G59" i="49"/>
  <c r="E59" i="49"/>
  <c r="D59" i="49"/>
  <c r="A59" i="49"/>
  <c r="K58" i="49"/>
  <c r="I58" i="49"/>
  <c r="H58" i="49"/>
  <c r="G58" i="49"/>
  <c r="E58" i="49"/>
  <c r="D58" i="49"/>
  <c r="A58" i="49"/>
  <c r="K57" i="49"/>
  <c r="I57" i="49"/>
  <c r="H57" i="49"/>
  <c r="G57" i="49"/>
  <c r="E57" i="49"/>
  <c r="D57" i="49"/>
  <c r="A57" i="49"/>
  <c r="K56" i="49"/>
  <c r="I56" i="49"/>
  <c r="H56" i="49"/>
  <c r="G56" i="49"/>
  <c r="E56" i="49"/>
  <c r="D56" i="49"/>
  <c r="A56" i="49"/>
  <c r="K55" i="49"/>
  <c r="I55" i="49"/>
  <c r="H55" i="49"/>
  <c r="G55" i="49"/>
  <c r="E55" i="49"/>
  <c r="D55" i="49"/>
  <c r="A55" i="49"/>
  <c r="K54" i="49"/>
  <c r="I54" i="49"/>
  <c r="H54" i="49"/>
  <c r="G54" i="49"/>
  <c r="E54" i="49"/>
  <c r="D54" i="49"/>
  <c r="A54" i="49"/>
  <c r="K53" i="49"/>
  <c r="I53" i="49"/>
  <c r="H53" i="49"/>
  <c r="G53" i="49"/>
  <c r="E53" i="49"/>
  <c r="D53" i="49"/>
  <c r="A53" i="49"/>
  <c r="K52" i="49"/>
  <c r="I52" i="49"/>
  <c r="H52" i="49"/>
  <c r="G52" i="49"/>
  <c r="E52" i="49"/>
  <c r="D52" i="49"/>
  <c r="A52" i="49"/>
  <c r="K51" i="49"/>
  <c r="I51" i="49"/>
  <c r="H51" i="49"/>
  <c r="G51" i="49"/>
  <c r="E51" i="49"/>
  <c r="D51" i="49"/>
  <c r="A51" i="49"/>
  <c r="K50" i="49"/>
  <c r="I50" i="49"/>
  <c r="H50" i="49"/>
  <c r="G50" i="49"/>
  <c r="E50" i="49"/>
  <c r="D50" i="49"/>
  <c r="A50" i="49"/>
  <c r="K49" i="49"/>
  <c r="I49" i="49"/>
  <c r="H49" i="49"/>
  <c r="G49" i="49"/>
  <c r="E49" i="49"/>
  <c r="D49" i="49"/>
  <c r="A49" i="49"/>
  <c r="K48" i="49"/>
  <c r="I48" i="49"/>
  <c r="H48" i="49"/>
  <c r="G48" i="49"/>
  <c r="E48" i="49"/>
  <c r="D48" i="49"/>
  <c r="A48" i="49"/>
  <c r="K47" i="49"/>
  <c r="I47" i="49"/>
  <c r="H47" i="49"/>
  <c r="G47" i="49"/>
  <c r="E47" i="49"/>
  <c r="D47" i="49"/>
  <c r="A47" i="49"/>
  <c r="K46" i="49"/>
  <c r="I46" i="49"/>
  <c r="H46" i="49"/>
  <c r="G46" i="49"/>
  <c r="E46" i="49"/>
  <c r="D46" i="49"/>
  <c r="A46" i="49"/>
  <c r="K45" i="49"/>
  <c r="I45" i="49"/>
  <c r="H45" i="49"/>
  <c r="G45" i="49"/>
  <c r="E45" i="49"/>
  <c r="D45" i="49"/>
  <c r="A45" i="49"/>
  <c r="K44" i="49"/>
  <c r="I44" i="49"/>
  <c r="H44" i="49"/>
  <c r="G44" i="49"/>
  <c r="E44" i="49"/>
  <c r="D44" i="49"/>
  <c r="A44" i="49"/>
  <c r="K43" i="49"/>
  <c r="I43" i="49"/>
  <c r="H43" i="49"/>
  <c r="G43" i="49"/>
  <c r="E43" i="49"/>
  <c r="D43" i="49"/>
  <c r="A43" i="49"/>
  <c r="K42" i="49"/>
  <c r="I42" i="49"/>
  <c r="H42" i="49"/>
  <c r="G42" i="49"/>
  <c r="E42" i="49"/>
  <c r="D42" i="49"/>
  <c r="A42" i="49"/>
  <c r="K41" i="49"/>
  <c r="I41" i="49"/>
  <c r="H41" i="49"/>
  <c r="G41" i="49"/>
  <c r="E41" i="49"/>
  <c r="D41" i="49"/>
  <c r="A41" i="49"/>
  <c r="K40" i="49"/>
  <c r="I40" i="49"/>
  <c r="H40" i="49"/>
  <c r="G40" i="49"/>
  <c r="E40" i="49"/>
  <c r="D40" i="49"/>
  <c r="A40" i="49"/>
  <c r="K39" i="49"/>
  <c r="I39" i="49"/>
  <c r="H39" i="49"/>
  <c r="G39" i="49"/>
  <c r="E39" i="49"/>
  <c r="D39" i="49"/>
  <c r="A39" i="49"/>
  <c r="K38" i="49"/>
  <c r="I38" i="49"/>
  <c r="H38" i="49"/>
  <c r="G38" i="49"/>
  <c r="E38" i="49"/>
  <c r="D38" i="49"/>
  <c r="A38" i="49"/>
  <c r="K37" i="49"/>
  <c r="I37" i="49"/>
  <c r="H37" i="49"/>
  <c r="G37" i="49"/>
  <c r="E37" i="49"/>
  <c r="D37" i="49"/>
  <c r="A37" i="49"/>
  <c r="K36" i="49"/>
  <c r="I36" i="49"/>
  <c r="H36" i="49"/>
  <c r="G36" i="49"/>
  <c r="E36" i="49"/>
  <c r="D36" i="49"/>
  <c r="A36" i="49"/>
  <c r="K35" i="49"/>
  <c r="I35" i="49"/>
  <c r="H35" i="49"/>
  <c r="G35" i="49"/>
  <c r="E35" i="49"/>
  <c r="D35" i="49"/>
  <c r="A35" i="49"/>
  <c r="K34" i="49"/>
  <c r="I34" i="49"/>
  <c r="H34" i="49"/>
  <c r="G34" i="49"/>
  <c r="E34" i="49"/>
  <c r="D34" i="49"/>
  <c r="A34" i="49"/>
  <c r="K33" i="49"/>
  <c r="I33" i="49"/>
  <c r="H33" i="49"/>
  <c r="G33" i="49"/>
  <c r="E33" i="49"/>
  <c r="D33" i="49"/>
  <c r="A33" i="49"/>
  <c r="K32" i="49"/>
  <c r="I32" i="49"/>
  <c r="H32" i="49"/>
  <c r="G32" i="49"/>
  <c r="E32" i="49"/>
  <c r="D32" i="49"/>
  <c r="A32" i="49"/>
  <c r="K31" i="49"/>
  <c r="I31" i="49"/>
  <c r="H31" i="49"/>
  <c r="G31" i="49"/>
  <c r="E31" i="49"/>
  <c r="D31" i="49"/>
  <c r="A31" i="49"/>
  <c r="K30" i="49"/>
  <c r="I30" i="49"/>
  <c r="H30" i="49"/>
  <c r="G30" i="49"/>
  <c r="E30" i="49"/>
  <c r="D30" i="49"/>
  <c r="A30" i="49"/>
  <c r="K29" i="49"/>
  <c r="I29" i="49"/>
  <c r="H29" i="49"/>
  <c r="G29" i="49"/>
  <c r="E29" i="49"/>
  <c r="D29" i="49"/>
  <c r="A29" i="49"/>
  <c r="K28" i="49"/>
  <c r="I28" i="49"/>
  <c r="H28" i="49"/>
  <c r="G28" i="49"/>
  <c r="E28" i="49"/>
  <c r="D28" i="49"/>
  <c r="A28" i="49"/>
  <c r="K27" i="49"/>
  <c r="I27" i="49"/>
  <c r="H27" i="49"/>
  <c r="G27" i="49"/>
  <c r="E27" i="49"/>
  <c r="D27" i="49"/>
  <c r="A27" i="49"/>
  <c r="K26" i="49"/>
  <c r="I26" i="49"/>
  <c r="H26" i="49"/>
  <c r="G26" i="49"/>
  <c r="E26" i="49"/>
  <c r="D26" i="49"/>
  <c r="A26" i="49"/>
  <c r="K25" i="49"/>
  <c r="I25" i="49"/>
  <c r="H25" i="49"/>
  <c r="G25" i="49"/>
  <c r="E25" i="49"/>
  <c r="D25" i="49"/>
  <c r="A25" i="49"/>
  <c r="K24" i="49"/>
  <c r="I24" i="49"/>
  <c r="H24" i="49"/>
  <c r="G24" i="49"/>
  <c r="E24" i="49"/>
  <c r="D24" i="49"/>
  <c r="A24" i="49"/>
  <c r="K23" i="49"/>
  <c r="I23" i="49"/>
  <c r="H23" i="49"/>
  <c r="G23" i="49"/>
  <c r="E23" i="49"/>
  <c r="D23" i="49"/>
  <c r="A23" i="49"/>
  <c r="K22" i="49"/>
  <c r="I22" i="49"/>
  <c r="H22" i="49"/>
  <c r="G22" i="49"/>
  <c r="E22" i="49"/>
  <c r="D22" i="49"/>
  <c r="A22" i="49"/>
  <c r="K21" i="49"/>
  <c r="I21" i="49"/>
  <c r="H21" i="49"/>
  <c r="G21" i="49"/>
  <c r="E21" i="49"/>
  <c r="D21" i="49"/>
  <c r="A21" i="49"/>
  <c r="K20" i="49"/>
  <c r="I20" i="49"/>
  <c r="H20" i="49"/>
  <c r="G20" i="49"/>
  <c r="E20" i="49"/>
  <c r="D20" i="49"/>
  <c r="A20" i="49"/>
  <c r="K19" i="49"/>
  <c r="I19" i="49"/>
  <c r="H19" i="49"/>
  <c r="G19" i="49"/>
  <c r="E19" i="49"/>
  <c r="D19" i="49"/>
  <c r="A19" i="49"/>
  <c r="K18" i="49"/>
  <c r="I18" i="49"/>
  <c r="H18" i="49"/>
  <c r="D18" i="49"/>
  <c r="A18" i="49"/>
  <c r="K17" i="49"/>
  <c r="I17" i="49"/>
  <c r="H17" i="49"/>
  <c r="G17" i="49"/>
  <c r="E17" i="49"/>
  <c r="D17" i="49"/>
  <c r="A17" i="49"/>
  <c r="K16" i="49"/>
  <c r="I16" i="49"/>
  <c r="H16" i="49"/>
  <c r="G16" i="49"/>
  <c r="E16" i="49"/>
  <c r="D16" i="49"/>
  <c r="A16" i="49"/>
  <c r="K15" i="49"/>
  <c r="I15" i="49"/>
  <c r="H15" i="49"/>
  <c r="G15" i="49"/>
  <c r="E15" i="49"/>
  <c r="D15" i="49"/>
  <c r="A15" i="49"/>
  <c r="K14" i="49"/>
  <c r="I14" i="49"/>
  <c r="H14" i="49"/>
  <c r="G14" i="49"/>
  <c r="E14" i="49"/>
  <c r="D14" i="49"/>
  <c r="A14" i="49"/>
  <c r="K13" i="49"/>
  <c r="I13" i="49"/>
  <c r="H13" i="49"/>
  <c r="G13" i="49"/>
  <c r="E13" i="49"/>
  <c r="D13" i="49"/>
  <c r="A13" i="49"/>
  <c r="K12" i="49"/>
  <c r="I12" i="49"/>
  <c r="H12" i="49"/>
  <c r="G12" i="49"/>
  <c r="E12" i="49"/>
  <c r="D12" i="49"/>
  <c r="A12" i="49"/>
  <c r="K11" i="49"/>
  <c r="I11" i="49"/>
  <c r="H11" i="49"/>
  <c r="G11" i="49"/>
  <c r="E11" i="49"/>
  <c r="D11" i="49"/>
  <c r="A11" i="49"/>
  <c r="K10" i="49"/>
  <c r="I10" i="49"/>
  <c r="H10" i="49"/>
  <c r="G10" i="49"/>
  <c r="E10" i="49"/>
  <c r="D10" i="49"/>
  <c r="A10" i="49"/>
  <c r="K9" i="49"/>
  <c r="I9" i="49"/>
  <c r="H9" i="49"/>
  <c r="G9" i="49"/>
  <c r="E9" i="49"/>
  <c r="D9" i="49"/>
  <c r="A9" i="49"/>
  <c r="K8" i="49"/>
  <c r="I8" i="49"/>
  <c r="H8" i="49"/>
  <c r="G8" i="49"/>
  <c r="E8" i="49"/>
  <c r="D8" i="49"/>
  <c r="A8" i="49"/>
  <c r="K7" i="49"/>
  <c r="I7" i="49"/>
  <c r="H7" i="49"/>
  <c r="G7" i="49"/>
  <c r="E7" i="49"/>
  <c r="D7" i="49"/>
  <c r="A7" i="49"/>
  <c r="K6" i="49"/>
  <c r="I6" i="49"/>
  <c r="H6" i="49"/>
  <c r="G6" i="49"/>
  <c r="E6" i="49"/>
  <c r="D6" i="49"/>
  <c r="A6" i="49"/>
  <c r="K5" i="49"/>
  <c r="I5" i="49"/>
  <c r="H5" i="49"/>
  <c r="G5" i="49"/>
  <c r="E5" i="49"/>
  <c r="D5" i="49"/>
  <c r="A5" i="49"/>
  <c r="K4" i="49"/>
  <c r="I4" i="49"/>
  <c r="H4" i="49"/>
  <c r="G4" i="49"/>
  <c r="E4" i="49"/>
  <c r="D4" i="49"/>
  <c r="A4" i="49"/>
  <c r="K3" i="49"/>
  <c r="I3" i="49"/>
  <c r="H3" i="49"/>
  <c r="G3" i="49"/>
  <c r="E3" i="49"/>
  <c r="D3" i="49"/>
  <c r="A3" i="49"/>
  <c r="K2" i="49"/>
  <c r="I2" i="49"/>
  <c r="H2" i="49"/>
  <c r="D2" i="49"/>
  <c r="A2" i="49"/>
  <c r="E3" i="47"/>
  <c r="E4" i="47"/>
  <c r="E5" i="47"/>
  <c r="E6" i="47"/>
  <c r="E2" i="47"/>
</calcChain>
</file>

<file path=xl/sharedStrings.xml><?xml version="1.0" encoding="utf-8"?>
<sst xmlns="http://schemas.openxmlformats.org/spreadsheetml/2006/main" count="88" uniqueCount="57">
  <si>
    <t>character_id</t>
  </si>
  <si>
    <t>character_id</t>
    <phoneticPr fontId="6"/>
  </si>
  <si>
    <t>unit_level</t>
    <phoneticPr fontId="6"/>
  </si>
  <si>
    <t>weight</t>
    <phoneticPr fontId="6"/>
  </si>
  <si>
    <t>name</t>
    <phoneticPr fontId="6"/>
  </si>
  <si>
    <t>drop_label</t>
    <phoneticPr fontId="6"/>
  </si>
  <si>
    <t>rare</t>
    <phoneticPr fontId="6"/>
  </si>
  <si>
    <t>color</t>
    <phoneticPr fontId="6"/>
  </si>
  <si>
    <t>character_type_id</t>
    <phoneticPr fontId="6"/>
  </si>
  <si>
    <t>character_tribe_id</t>
    <phoneticPr fontId="6"/>
  </si>
  <si>
    <t>temp_gacha</t>
    <phoneticPr fontId="6"/>
  </si>
  <si>
    <t>unit_level</t>
  </si>
  <si>
    <t>weight</t>
  </si>
  <si>
    <t>hp_plus</t>
    <phoneticPr fontId="36"/>
  </si>
  <si>
    <t>attack_plus</t>
    <phoneticPr fontId="36"/>
  </si>
  <si>
    <t>defense_plus</t>
    <phoneticPr fontId="36"/>
  </si>
  <si>
    <t>heal_plus</t>
    <phoneticPr fontId="36"/>
  </si>
  <si>
    <t>bug</t>
    <phoneticPr fontId="36"/>
  </si>
  <si>
    <t>hp_plus</t>
  </si>
  <si>
    <t>attack_plus</t>
  </si>
  <si>
    <t>defense_plus</t>
  </si>
  <si>
    <t>heal_plus</t>
  </si>
  <si>
    <t>bug</t>
  </si>
  <si>
    <t>select_table_no</t>
    <phoneticPr fontId="6"/>
  </si>
  <si>
    <t>出力flg</t>
    <rPh sb="0" eb="2">
      <t>シュツリョク</t>
    </rPh>
    <phoneticPr fontId="36"/>
  </si>
  <si>
    <t>接頭語</t>
    <rPh sb="0" eb="3">
      <t>セットウゴ</t>
    </rPh>
    <phoneticPr fontId="36"/>
  </si>
  <si>
    <t>識別子</t>
    <rPh sb="0" eb="3">
      <t>シキベツシ</t>
    </rPh>
    <phoneticPr fontId="36"/>
  </si>
  <si>
    <t>形式</t>
    <rPh sb="0" eb="2">
      <t>ケイシキ</t>
    </rPh>
    <phoneticPr fontId="36"/>
  </si>
  <si>
    <t>出力ファイル名</t>
    <rPh sb="0" eb="2">
      <t>シュツリョク</t>
    </rPh>
    <rPh sb="6" eb="7">
      <t>メイ</t>
    </rPh>
    <phoneticPr fontId="36"/>
  </si>
  <si>
    <t>入力シート名</t>
    <rPh sb="0" eb="2">
      <t>ニュウリョク</t>
    </rPh>
    <rPh sb="5" eb="6">
      <t>メイ</t>
    </rPh>
    <phoneticPr fontId="36"/>
  </si>
  <si>
    <t>出力データ</t>
    <rPh sb="0" eb="2">
      <t>シュツリョク</t>
    </rPh>
    <phoneticPr fontId="36"/>
  </si>
  <si>
    <t>old</t>
    <phoneticPr fontId="6"/>
  </si>
  <si>
    <t>gacha_select_tables_</t>
  </si>
  <si>
    <t>.tmp</t>
    <phoneticPr fontId="36"/>
  </si>
  <si>
    <t>select_table_no</t>
    <phoneticPr fontId="6"/>
  </si>
  <si>
    <r>
      <t>gacha_settle_tables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6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</si>
  <si>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6"/>
  </si>
  <si>
    <t>gacha_bonus_tables</t>
    <phoneticPr fontId="36"/>
  </si>
  <si>
    <t>bonus_table_no</t>
    <phoneticPr fontId="6"/>
  </si>
  <si>
    <t>gift_id</t>
    <phoneticPr fontId="6"/>
  </si>
  <si>
    <t>gifts_tmp_</t>
    <phoneticPr fontId="6"/>
  </si>
  <si>
    <t>gift_type</t>
    <phoneticPr fontId="6"/>
  </si>
  <si>
    <t>gift_value</t>
    <phoneticPr fontId="6"/>
  </si>
  <si>
    <t>gift_count</t>
    <phoneticPr fontId="6"/>
  </si>
  <si>
    <t>gifts_i18n_</t>
    <phoneticPr fontId="6"/>
  </si>
  <si>
    <t>language</t>
    <phoneticPr fontId="6"/>
  </si>
  <si>
    <t>title</t>
    <phoneticPr fontId="6"/>
  </si>
  <si>
    <t>detail</t>
    <phoneticPr fontId="6"/>
  </si>
  <si>
    <t>message</t>
    <phoneticPr fontId="6"/>
  </si>
  <si>
    <t xml:space="preserve"> </t>
    <phoneticPr fontId="6"/>
  </si>
  <si>
    <t>skip</t>
    <phoneticPr fontId="6"/>
  </si>
  <si>
    <t>単体排出率</t>
    <rPh sb="0" eb="5">
      <t>タンタイハイシュツリツ</t>
    </rPh>
    <phoneticPr fontId="6"/>
  </si>
  <si>
    <t>character_id</t>
    <phoneticPr fontId="6"/>
  </si>
  <si>
    <t>name</t>
    <phoneticPr fontId="6"/>
  </si>
  <si>
    <t>unit_level</t>
    <phoneticPr fontId="6"/>
  </si>
  <si>
    <t>other</t>
    <phoneticPr fontId="6"/>
  </si>
  <si>
    <t>gacha_select_tables</t>
    <phoneticPr fontId="3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</si>
</sst>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%"/>
  </numFmts>
  <fonts count="40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theme="0"/>
      <name val="ＭＳ Ｐゴシック"/>
      <charset val="128"/>
      <scheme val="minor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</fonts>
  <fills count="2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rgb="FF000000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</borders>
  <cellStyleXfs count="2718">
    <xf numFmtId="0" fontId="0" fillId="0" borderId="0"/>
    <xf numFmtId="0" fontId="5" fillId="0" borderId="0"/>
    <xf numFmtId="0" fontId="7" fillId="0" borderId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4" fillId="0" borderId="0"/>
    <xf numFmtId="0" fontId="14" fillId="6" borderId="2" applyNumberFormat="0" applyAlignment="0" applyProtection="0"/>
    <xf numFmtId="0" fontId="15" fillId="7" borderId="0" applyNumberFormat="0" applyBorder="0" applyAlignment="0" applyProtection="0"/>
    <xf numFmtId="0" fontId="16" fillId="8" borderId="3" applyNumberFormat="0" applyAlignment="0" applyProtection="0"/>
    <xf numFmtId="0" fontId="17" fillId="0" borderId="0" applyNumberFormat="0" applyFill="0" applyBorder="0" applyAlignment="0" applyProtection="0"/>
    <xf numFmtId="0" fontId="18" fillId="9" borderId="0" applyNumberFormat="0" applyBorder="0" applyAlignment="0" applyProtection="0"/>
    <xf numFmtId="0" fontId="19" fillId="10" borderId="4" applyNumberFormat="0" applyAlignment="0" applyProtection="0"/>
    <xf numFmtId="0" fontId="20" fillId="0" borderId="0" applyNumberFormat="0" applyFill="0" applyBorder="0" applyAlignment="0" applyProtection="0"/>
    <xf numFmtId="0" fontId="21" fillId="0" borderId="5" applyNumberFormat="0" applyFill="0" applyAlignment="0" applyProtection="0"/>
    <xf numFmtId="0" fontId="22" fillId="0" borderId="6" applyNumberFormat="0" applyFill="0" applyAlignment="0" applyProtection="0"/>
    <xf numFmtId="0" fontId="23" fillId="0" borderId="7" applyNumberFormat="0" applyFill="0" applyAlignment="0" applyProtection="0"/>
    <xf numFmtId="0" fontId="23" fillId="0" borderId="0" applyNumberFormat="0" applyFill="0" applyBorder="0" applyAlignment="0" applyProtection="0"/>
    <xf numFmtId="0" fontId="24" fillId="8" borderId="0" applyNumberFormat="0" applyBorder="0" applyAlignment="0" applyProtection="0"/>
    <xf numFmtId="0" fontId="24" fillId="7" borderId="0" applyNumberFormat="0" applyBorder="0" applyAlignment="0" applyProtection="0"/>
    <xf numFmtId="0" fontId="24" fillId="11" borderId="0" applyNumberFormat="0" applyBorder="0" applyAlignment="0" applyProtection="0"/>
    <xf numFmtId="0" fontId="24" fillId="8" borderId="0" applyNumberFormat="0" applyBorder="0" applyAlignment="0" applyProtection="0"/>
    <xf numFmtId="0" fontId="24" fillId="12" borderId="0" applyNumberFormat="0" applyBorder="0" applyAlignment="0" applyProtection="0"/>
    <xf numFmtId="0" fontId="24" fillId="6" borderId="0" applyNumberFormat="0" applyBorder="0" applyAlignment="0" applyProtection="0"/>
    <xf numFmtId="0" fontId="24" fillId="8" borderId="0" applyNumberFormat="0" applyBorder="0" applyAlignment="0" applyProtection="0"/>
    <xf numFmtId="0" fontId="24" fillId="13" borderId="0" applyNumberFormat="0" applyBorder="0" applyAlignment="0" applyProtection="0"/>
    <xf numFmtId="0" fontId="24" fillId="11" borderId="0" applyNumberFormat="0" applyBorder="0" applyAlignment="0" applyProtection="0"/>
    <xf numFmtId="0" fontId="24" fillId="8" borderId="0" applyNumberFormat="0" applyBorder="0" applyAlignment="0" applyProtection="0"/>
    <xf numFmtId="0" fontId="24" fillId="14" borderId="0" applyNumberFormat="0" applyBorder="0" applyAlignment="0" applyProtection="0"/>
    <xf numFmtId="0" fontId="24" fillId="7" borderId="0" applyNumberFormat="0" applyBorder="0" applyAlignment="0" applyProtection="0"/>
    <xf numFmtId="0" fontId="25" fillId="15" borderId="0" applyNumberFormat="0" applyBorder="0" applyAlignment="0" applyProtection="0"/>
    <xf numFmtId="0" fontId="25" fillId="13" borderId="0" applyNumberFormat="0" applyBorder="0" applyAlignment="0" applyProtection="0"/>
    <xf numFmtId="0" fontId="25" fillId="11" borderId="0" applyNumberFormat="0" applyBorder="0" applyAlignment="0" applyProtection="0"/>
    <xf numFmtId="0" fontId="25" fillId="8" borderId="0" applyNumberFormat="0" applyBorder="0" applyAlignment="0" applyProtection="0"/>
    <xf numFmtId="0" fontId="25" fillId="15" borderId="0" applyNumberFormat="0" applyBorder="0" applyAlignment="0" applyProtection="0"/>
    <xf numFmtId="0" fontId="25" fillId="7" borderId="0" applyNumberFormat="0" applyBorder="0" applyAlignment="0" applyProtection="0"/>
    <xf numFmtId="0" fontId="17" fillId="0" borderId="0" applyNumberFormat="0" applyFill="0" applyBorder="0" applyAlignment="0" applyProtection="0"/>
    <xf numFmtId="0" fontId="25" fillId="15" borderId="0" applyNumberFormat="0" applyBorder="0" applyAlignment="0" applyProtection="0"/>
    <xf numFmtId="0" fontId="25" fillId="16" borderId="0" applyNumberFormat="0" applyBorder="0" applyAlignment="0" applyProtection="0"/>
    <xf numFmtId="0" fontId="25" fillId="11" borderId="0" applyNumberFormat="0" applyBorder="0" applyAlignment="0" applyProtection="0"/>
    <xf numFmtId="0" fontId="25" fillId="17" borderId="0" applyNumberFormat="0" applyBorder="0" applyAlignment="0" applyProtection="0"/>
    <xf numFmtId="0" fontId="25" fillId="15" borderId="0" applyNumberFormat="0" applyBorder="0" applyAlignment="0" applyProtection="0"/>
    <xf numFmtId="0" fontId="25" fillId="13" borderId="0" applyNumberFormat="0" applyBorder="0" applyAlignment="0" applyProtection="0"/>
    <xf numFmtId="0" fontId="26" fillId="18" borderId="0" applyNumberFormat="0" applyBorder="0" applyAlignment="0" applyProtection="0"/>
    <xf numFmtId="0" fontId="15" fillId="7" borderId="0" applyNumberFormat="0" applyBorder="0" applyAlignment="0" applyProtection="0"/>
    <xf numFmtId="0" fontId="27" fillId="0" borderId="8" applyNumberFormat="0" applyFill="0" applyAlignment="0" applyProtection="0"/>
    <xf numFmtId="0" fontId="28" fillId="8" borderId="9" applyNumberFormat="0" applyAlignment="0" applyProtection="0"/>
    <xf numFmtId="0" fontId="28" fillId="19" borderId="9" applyNumberFormat="0" applyAlignment="0" applyProtection="0"/>
    <xf numFmtId="0" fontId="16" fillId="7" borderId="3" applyNumberFormat="0" applyAlignment="0" applyProtection="0"/>
    <xf numFmtId="0" fontId="29" fillId="0" borderId="10" applyNumberFormat="0" applyFill="0" applyAlignment="0" applyProtection="0"/>
    <xf numFmtId="0" fontId="30" fillId="19" borderId="3" applyNumberFormat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11" applyNumberFormat="0" applyFill="0" applyAlignment="0" applyProtection="0"/>
    <xf numFmtId="38" fontId="4" fillId="0" borderId="0" applyFont="0" applyFill="0" applyBorder="0" applyAlignment="0" applyProtection="0">
      <alignment vertical="center"/>
    </xf>
    <xf numFmtId="0" fontId="33" fillId="20" borderId="0" applyNumberFormat="0" applyBorder="0" applyAlignment="0" applyProtection="0"/>
    <xf numFmtId="0" fontId="34" fillId="21" borderId="0" applyNumberFormat="0" applyBorder="0" applyAlignment="0" applyProtection="0"/>
    <xf numFmtId="0" fontId="4" fillId="0" borderId="0"/>
    <xf numFmtId="0" fontId="35" fillId="21" borderId="0" applyNumberFormat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8" fillId="0" borderId="0">
      <alignment vertical="center"/>
    </xf>
    <xf numFmtId="9" fontId="39" fillId="0" borderId="0" applyFon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2" fillId="0" borderId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31">
    <xf numFmtId="0" fontId="0" fillId="0" borderId="0" xfId="0"/>
    <xf numFmtId="0" fontId="9" fillId="0" borderId="0" xfId="2" applyFont="1" applyAlignment="1">
      <alignment vertical="center"/>
    </xf>
    <xf numFmtId="0" fontId="9" fillId="3" borderId="1" xfId="2" applyFont="1" applyFill="1" applyBorder="1" applyAlignment="1">
      <alignment horizontal="center" vertical="center"/>
    </xf>
    <xf numFmtId="0" fontId="9" fillId="2" borderId="1" xfId="2" applyFont="1" applyFill="1" applyBorder="1" applyAlignment="1">
      <alignment horizontal="center" vertical="center"/>
    </xf>
    <xf numFmtId="0" fontId="9" fillId="0" borderId="0" xfId="2" applyFont="1" applyAlignment="1">
      <alignment horizontal="center" vertical="center"/>
    </xf>
    <xf numFmtId="0" fontId="9" fillId="0" borderId="1" xfId="2" applyFont="1" applyFill="1" applyBorder="1" applyAlignment="1">
      <alignment vertical="center"/>
    </xf>
    <xf numFmtId="0" fontId="9" fillId="4" borderId="1" xfId="2" applyFont="1" applyFill="1" applyBorder="1" applyAlignment="1">
      <alignment vertical="center"/>
    </xf>
    <xf numFmtId="0" fontId="8" fillId="4" borderId="1" xfId="0" applyFont="1" applyFill="1" applyBorder="1" applyAlignment="1">
      <alignment horizontal="right" vertical="center"/>
    </xf>
    <xf numFmtId="0" fontId="13" fillId="5" borderId="0" xfId="2" applyFont="1" applyFill="1" applyAlignment="1">
      <alignment vertical="center"/>
    </xf>
    <xf numFmtId="0" fontId="9" fillId="3" borderId="1" xfId="2" applyFont="1" applyFill="1" applyBorder="1" applyAlignment="1">
      <alignment vertical="center"/>
    </xf>
    <xf numFmtId="0" fontId="8" fillId="2" borderId="1" xfId="0" applyFont="1" applyFill="1" applyBorder="1" applyAlignment="1">
      <alignment horizontal="center" vertical="center"/>
    </xf>
    <xf numFmtId="0" fontId="10" fillId="22" borderId="1" xfId="0" applyFont="1" applyFill="1" applyBorder="1"/>
    <xf numFmtId="0" fontId="10" fillId="22" borderId="1" xfId="2698" applyFont="1" applyFill="1" applyBorder="1"/>
    <xf numFmtId="0" fontId="3" fillId="22" borderId="1" xfId="2698" applyFill="1" applyBorder="1"/>
    <xf numFmtId="0" fontId="3" fillId="0" borderId="0" xfId="2698"/>
    <xf numFmtId="0" fontId="3" fillId="0" borderId="1" xfId="2699" applyFont="1" applyBorder="1"/>
    <xf numFmtId="0" fontId="3" fillId="0" borderId="1" xfId="2698" applyBorder="1"/>
    <xf numFmtId="0" fontId="3" fillId="2" borderId="1" xfId="2700" applyFont="1" applyFill="1" applyBorder="1"/>
    <xf numFmtId="0" fontId="3" fillId="2" borderId="1" xfId="2700" applyFill="1" applyBorder="1"/>
    <xf numFmtId="0" fontId="3" fillId="0" borderId="1" xfId="2698" applyFont="1" applyBorder="1"/>
    <xf numFmtId="0" fontId="3" fillId="2" borderId="1" xfId="2698" applyFill="1" applyBorder="1"/>
    <xf numFmtId="176" fontId="9" fillId="3" borderId="1" xfId="2702" applyNumberFormat="1" applyFont="1" applyFill="1" applyBorder="1" applyAlignment="1">
      <alignment vertical="center"/>
    </xf>
    <xf numFmtId="0" fontId="0" fillId="4" borderId="1" xfId="0" applyFill="1" applyBorder="1"/>
    <xf numFmtId="0" fontId="0" fillId="3" borderId="1" xfId="0" applyFill="1" applyBorder="1" applyAlignment="1">
      <alignment horizontal="center" vertical="top"/>
    </xf>
    <xf numFmtId="0" fontId="0" fillId="4" borderId="1" xfId="0" applyFill="1" applyBorder="1" applyAlignment="1">
      <alignment horizontal="center" vertical="top"/>
    </xf>
    <xf numFmtId="0" fontId="37" fillId="23" borderId="1" xfId="0" applyFont="1" applyFill="1" applyBorder="1" applyAlignment="1">
      <alignment horizontal="center" vertical="center"/>
    </xf>
    <xf numFmtId="0" fontId="9" fillId="3" borderId="1" xfId="2713" applyFont="1" applyFill="1" applyBorder="1" applyAlignment="1">
      <alignment vertical="center"/>
    </xf>
    <xf numFmtId="0" fontId="9" fillId="4" borderId="1" xfId="2713" applyFont="1" applyFill="1" applyBorder="1" applyAlignment="1">
      <alignment vertical="center"/>
    </xf>
    <xf numFmtId="0" fontId="37" fillId="3" borderId="1" xfId="0" applyFont="1" applyFill="1" applyBorder="1" applyAlignment="1">
      <alignment vertical="center"/>
    </xf>
    <xf numFmtId="0" fontId="3" fillId="0" borderId="1" xfId="2698" applyBorder="1" applyAlignment="1">
      <alignment horizontal="right"/>
    </xf>
    <xf numFmtId="0" fontId="1" fillId="0" borderId="1" xfId="2698" applyFont="1" applyBorder="1"/>
  </cellXfs>
  <cellStyles count="2718">
    <cellStyle name="" xfId="20"/>
    <cellStyle name="_" xfId="21"/>
    <cellStyle name="__" xfId="22"/>
    <cellStyle name="__÷" xfId="23"/>
    <cellStyle name="«¢" xfId="24"/>
    <cellStyle name="`FbN Z" xfId="25"/>
    <cellStyle name="^Cg" xfId="26"/>
    <cellStyle name="©oµ 1" xfId="27"/>
    <cellStyle name="©oµ 2" xfId="28"/>
    <cellStyle name="©oµ 3" xfId="29"/>
    <cellStyle name="©oµ 4" xfId="30"/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à¾¶" xfId="49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Ç¢" xfId="56"/>
    <cellStyle name="Ê" xfId="57"/>
    <cellStyle name="Excel Built-in Normal" xfId="1"/>
    <cellStyle name="N Z" xfId="58"/>
    <cellStyle name="o_" xfId="59"/>
    <cellStyle name="oÍ" xfId="60"/>
    <cellStyle name="üÍ" xfId="61"/>
    <cellStyle name="v" xfId="62"/>
    <cellStyle name="vZ" xfId="63"/>
    <cellStyle name="x¶" xfId="64"/>
    <cellStyle name="x÷" xfId="65"/>
    <cellStyle name="ýo_ 1" xfId="66"/>
    <cellStyle name="パーセント" xfId="2702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703" builtinId="8" hidden="1"/>
    <cellStyle name="ハイパーリンク" xfId="2705" builtinId="8" hidden="1"/>
    <cellStyle name="ハイパーリンク" xfId="2707" builtinId="8" hidden="1"/>
    <cellStyle name="ハイパーリンク" xfId="2709" builtinId="8" hidden="1"/>
    <cellStyle name="ハイパーリンク" xfId="2711" builtinId="8" hidden="1"/>
    <cellStyle name="ハイパーリンク" xfId="2714" builtinId="8" hidden="1"/>
    <cellStyle name="ハイパーリンク" xfId="2716" builtinId="8" hidden="1"/>
    <cellStyle name="桁区切り 2" xfId="67"/>
    <cellStyle name="青字強調" xfId="68"/>
    <cellStyle name="赤字強調" xfId="69"/>
    <cellStyle name="標準" xfId="0" builtinId="0"/>
    <cellStyle name="標準 2" xfId="2"/>
    <cellStyle name="標準 2 2" xfId="2701"/>
    <cellStyle name="標準 2 3" xfId="2713"/>
    <cellStyle name="標準 3" xfId="19"/>
    <cellStyle name="標準 3 2" xfId="2700"/>
    <cellStyle name="標準 4" xfId="70"/>
    <cellStyle name="標準 5" xfId="2698"/>
    <cellStyle name="標準 6" xfId="2699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704" builtinId="9" hidden="1"/>
    <cellStyle name="表示済みのハイパーリンク" xfId="2706" builtinId="9" hidden="1"/>
    <cellStyle name="表示済みのハイパーリンク" xfId="2708" builtinId="9" hidden="1"/>
    <cellStyle name="表示済みのハイパーリンク" xfId="2710" builtinId="9" hidden="1"/>
    <cellStyle name="表示済みのハイパーリンク" xfId="2712" builtinId="9" hidden="1"/>
    <cellStyle name="表示済みのハイパーリンク" xfId="2715" builtinId="9" hidden="1"/>
    <cellStyle name="表示済みのハイパーリンク" xfId="2717" builtinId="9" hidden="1"/>
    <cellStyle name="無題1" xfId="71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externalLink" Target="externalLinks/externalLink1.xml"/><Relationship Id="rId5" Type="http://schemas.openxmlformats.org/officeDocument/2006/relationships/theme" Target="theme/theme1.xml"/><Relationship Id="rId6" Type="http://schemas.openxmlformats.org/officeDocument/2006/relationships/styles" Target="styles.xml"/><Relationship Id="rId7" Type="http://schemas.openxmlformats.org/officeDocument/2006/relationships/sharedStrings" Target="sharedStrings.xml"/><Relationship Id="rId8" Type="http://schemas.openxmlformats.org/officeDocument/2006/relationships/calcChain" Target="calcChain.xml"/><Relationship Id="rId9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flavor_text</v>
          </cell>
          <cell r="T1" t="str">
            <v>obtain_message</v>
          </cell>
          <cell r="U1" t="str">
            <v>awaken_message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DL0・赤・R1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DL0・赤・R2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DL0・緑・R1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DL0・緑・R2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DL0・青・R1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DL0・青・R2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DL0・黄・R1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DL0・黄・R2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DL1・アニマル・赤・R1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DL1・アニマル・赤・R2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DL1・アニマル・緑・R1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DL1・アニマル・緑・R2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DL1・アニマル・黄・R1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DL1・アニマル・黄・R2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DL1・ヒューマン・赤・R1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DL1・ヒューマン・赤・R2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DL1・ヒューマン・青・R1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DL1・ヒューマン・青・R2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DL1・ヒューマン・黄・R1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DL1・ヒューマン・黄・R2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DL1・ドラゴン・赤・R1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DL1・ドラゴン・赤・R2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DL1・アニマル・緑・R1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DL1・アニマル・緑・R2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DL1・アニマル・青・R1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DL1・アニマル・青・R2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DL1・マシン・緑・R1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DL1・マシン・緑・R2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DL1・マシン・青・R1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DL1・マシン・青・R1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DL1・マシン・黄・R1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DL1・マシン・黄・R2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DL1・Office・孫悟空・R2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DL1・Office・孫悟空・R3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DL1・Office・F1・R2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DL1・Office・F1・R3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DL1・Office・カイル・R2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DL1・Office・カイル・R3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DL1・Office・マーリン・R2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DL1・Office・マーリン・R3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DL2・ドラゴン・赤・R2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DL2・ドラゴン・赤・R3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DL2・アニマル・緑・R2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DL2・アニマル・緑・R3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DL2・アニマル・青・R2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DL2・アニマル・青・R3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DL2・アニマル・黄・R2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DL2・アニマル・黄・R3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DL2・ヒューマン・赤・R2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DL2・ヒューマン・赤・R3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DL2・ヒューマン・緑・R2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DL2・ヒューマン・緑・R3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DL2・ヒューマン・青・R2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DL2・ヒューマン・青・R3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DL2・ヒューマン・黄・R2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DL2・ヒューマン・黄・R3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DL2・アニマル・パンダR2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DL2・アニマル・パンダR3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DL2・アニマル・ウサギR2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DL2・アニマル・ウサギR3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DL2・アニマル・犬R2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DL2・アニマル・犬R3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DL2・アニマル・ネズミR2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DL2・アニマル・ネズミR3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DL3・Web・Firefox・R2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DL3・Web・Firefox・R3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DL3・Web・Firefox・R4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DL3・Web・Gnu・R2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DL3・Web・Gnu・R3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DL3・Web・Gnu・R4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DL3・Web・Linuxペンギン・R2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DL3・Web・Linuxペンギン・R3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DL3・Web・Linuxペンギン・R4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DL3・Web・Thunderbard・R2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DL3・Web・Thunderbard・R3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DL3・Web・Thunderbard・R4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フレンド専用・相性悪・赤・R3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PremiumW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フレンド専用・相性悪・赤・R4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PremiumW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フレンド専用・相性悪・緑・R3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PremiumW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フレンド専用・相性悪・緑・R4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PremiumW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フレンド専用・相性悪・青・R3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PremiumW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フレンド専用・相性悪・青・R4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PremiumW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フレンド専用・相性悪・黄・R3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PremiumW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フレンド専用・相性悪・黄・R4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PremiumW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フレンド専用・四神・朱雀・R3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フレンド専用・四神・朱雀・R4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フレンド専用・四神・朱雀・R5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フレンド専用・四神・玄武・R3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フレンド専用・四神・玄武・R4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フレンド専用・四神・玄武・R5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フレンド専用・四神・青龍・R3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フレンド専用・四神・青龍・R4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フレンド専用・四神・青龍・R5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フレンド専用・四神・白虎・R3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フレンド専用・四神・白虎・R4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フレンド専用・四神・白虎・R5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強化素材R3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強化素材R4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強化素材R5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攻撃1・アニマル・赤・R3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攻撃1・アニマル・赤・R4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攻撃1・アニマル・緑・R3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攻撃1・アニマル・緑・R4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攻撃1・アニマル・青・R3</v>
          </cell>
          <cell r="E131" t="str">
            <v>アバター</v>
          </cell>
          <cell r="F131" t="str">
            <v>格好いい</v>
          </cell>
          <cell r="G131" t="str">
            <v>男性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攻撃1・アニマル・青・R4</v>
          </cell>
          <cell r="E132" t="str">
            <v>アバター</v>
          </cell>
          <cell r="F132" t="str">
            <v>格好いい</v>
          </cell>
          <cell r="G132" t="str">
            <v>男性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攻撃1・アニマル・黄・R3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攻撃1・アニマル・黄・R4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バランス1・ヒューマン・赤・R3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バランス1・ヒューマン・赤・R4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バランス1・ヒューマン・緑・R3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バランス1・ヒューマン・緑・R4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バランス1・ヒューマン・青・R3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バランス1・ヒューマン・青・R4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バランス1・ヒューマン・黄・R3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バランス1・ヒューマン・黄・R4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体力1・ドラゴン・赤・R3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体力1・ドラゴン・赤・R4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体力1・ドラゴン・緑・R3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体力1・ドラゴン・緑・R4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体力1・ドラゴン・青・R3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体力1・ドラゴン・青・R4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体力1・ドラゴン・黄・R3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体力1・ドラゴン・黄・R4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回復1・ヒューマン・赤・R3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回復1・ヒューマン・赤・R4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回復1・ヒューマン・緑・R3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回復1・ヒューマン・緑・R4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回復1・ヒューマン・青・R3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回復1・ヒューマン・青・R4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回復1・ヒューマン・黄・R3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回復1・ヒューマン・黄・R4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属性相性悪（回復）・赤・R3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属性相性悪（回復）・赤・R4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属性相性悪（バランス）・緑・R3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属性相性悪（バランス）・緑・R4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属性相性悪（攻撃）・青・R3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属性相性悪（攻撃）・青・R4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属性相性悪（回復）・黄・R3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属性相性悪（回復）・黄・R4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攻撃2・ドラゴン・赤・R3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攻撃2・ドラゴン・赤・R4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攻撃2・ドラゴン・赤・R5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攻撃2・ドラゴン・緑・R3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攻撃2・ドラゴン・緑・R4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攻撃2・ドラゴン・緑・R5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攻撃2・ドラゴン・青・R3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攻撃2・ドラゴン・青・R4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攻撃2・ドラゴン・青・R5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攻撃2・ドラゴン・黄・R3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攻撃2・ドラゴン・黄・R4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攻撃2・ドラゴン・黄・R5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バランス2・アニマル・赤・R3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バランス2・アニマル・赤・R4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バランス2・アニマル・赤・R5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バランス2・アニマル・緑・R3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バランス2・アニマル・緑・R4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バランス2・アニマル・緑・R5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バランス2・アニマル・青・R3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バランス2・アニマル・青・R4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バランス2・アニマル・青・R5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バランス2・アニマル・黄・R3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バランス2・アニマル・黄・R4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バランス2・アニマル・黄・R5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バランス3・ヒューマン・赤・R3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バランス3・ヒューマン・赤・R4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バランス3・ヒューマン・赤・R5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バランス3・ヒューマン・緑・R3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バランス3・ヒューマン・緑・R4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バランス3・ヒューマン・緑・R5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バランス3・ヒューマン・青・R3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バランス3・ヒューマン・青・R4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バランス3・ヒューマン・青・R5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バランス3・ヒューマン・黄・R3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バランス3・ヒューマン・黄・R4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バランス3・ヒューマン・黄・R5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防御1・マシン・赤・R3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防御1・マシン・赤・R4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防御1・マシン・赤・R5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防御1・マシン・緑・R3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防御1・マシン・緑・R4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防御1・マシン・緑・R5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防御1・マシン・青・R3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防御1・マシン・青・R4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防御1・マシン・青・R5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防御1・マシン・黄・R3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防御1・マシン・黄・R4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防御1・マシン・黄・R5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属性相性普通・赤・R3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属性相性普通・赤・R4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属性相性普通・赤・R5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属性相性普通・緑・R3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属性相性普通・緑・R4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属性相性普通・緑・R5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属性相性普通・青・R3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属性相性普通・青・R4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属性相性普通・青・R5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属性相性普通・黄・R3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属性相性普通・黄・R4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属性相性普通・黄・R5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各属性相性良1・赤・R3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各属性相性良1・赤・R4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各属性相性良1・赤・R5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各属性相性良1・緑・R3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各属性相性良1・緑・R4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各属性相性良1・緑・R5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各属性相性良1・青・R3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各属性相性良1・青・R4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各属性相性良1・青・R5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各属性相性良1・黄・R3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各属性相性良1・黄・R4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各属性相性良1・黄・R5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各属性相性良2・赤・R3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各属性相性良2・赤・R4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各属性相性良2・赤・R5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各属性相性良2・緑・R3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各属性相性良2・緑・R4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各属性相性良2・緑・R5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各属性相性良2・青・R3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各属性相性良2・青・R4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各属性相性良2・青・R5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各属性相性良2・黄・R3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各属性相性良2・黄・R4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各属性相性良2・黄・R5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各属性相性良3・赤・R3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各属性相性良3・赤・R4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各属性相性良3・赤・R5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各属性相性良3・緑・R3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各属性相性良3・緑・R4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各属性相性良3・緑・R5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各属性相性良3・青・R3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各属性相性良3・青・R4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各属性相性良3・青・R5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各属性相性良3・黄・R3</v>
          </cell>
          <cell r="E260" t="str">
            <v>執行者</v>
          </cell>
          <cell r="F260" t="str">
            <v>格好いい</v>
          </cell>
          <cell r="G260" t="str">
            <v>男性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各属性相性良3・黄・R4</v>
          </cell>
          <cell r="E261" t="str">
            <v>執行者</v>
          </cell>
          <cell r="F261" t="str">
            <v>格好いい</v>
          </cell>
          <cell r="G261" t="str">
            <v>男性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各属性相性良3・黄・R5</v>
          </cell>
          <cell r="E262" t="str">
            <v>執行者</v>
          </cell>
          <cell r="F262" t="str">
            <v>格好いい</v>
          </cell>
          <cell r="G262" t="str">
            <v>男性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イベント用1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イベント用1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イベント用1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イベント用1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イベント用1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イベント用1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イベント用1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イベント用1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マルチ専用1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マルチ専用1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マルチ専用1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マルチ専用1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マルチ専用1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マルチ専用1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マルチ専用1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マルチ専用1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降臨1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PremiumS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降臨1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PremiumS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イベント用2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イベント用2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PremiumW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イベント用2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イベント用2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PremiumW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イベント用2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イベント用2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PremiumW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イベント用2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イベント用2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PremiumW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マルチ専用2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マルチ専用2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マルチ専用2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マルチ専用2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マルチ専用2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マルチ専用2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マルチ専用2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マルチ専用2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降臨2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PremiumS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降臨2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PremiumS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イベント用3・女囚人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イベント用3・女囚人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イベント用3・女囚人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イベント用3・女囚人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イベント用3・女囚人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イベント用3・女囚人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イベント用3・女囚人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イベント用3・女囚人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マルチ専用3・深海生物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マルチ専用3・深海生物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マルチ専用3・深海生物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マルチ専用3・深海生物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マルチ専用3・深海生物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マルチ専用3・深海生物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マルチ専用3・深海生物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マルチ専用3・深海生物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降臨3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PremiumS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降臨3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PremiumS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試練20階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PremiumN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試練20階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PremiumN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試練30階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PremiumN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試練30階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PremiumN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新キャラ3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新キャラ3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新キャラ3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新キャラ3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新キャラ3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新キャラ3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新キャラ3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新キャラ3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H331" t="str">
            <v>blue</v>
          </cell>
          <cell r="I331">
            <v>4</v>
          </cell>
          <cell r="J331" t="str">
            <v>PremiumSSS</v>
          </cell>
          <cell r="K331" t="str">
            <v>balance</v>
          </cell>
          <cell r="L331" t="str">
            <v>バランスタイプ</v>
          </cell>
          <cell r="M331" t="str">
            <v>unknown</v>
          </cell>
        </row>
        <row r="332">
          <cell r="A332">
            <v>331</v>
          </cell>
          <cell r="B332" t="str">
            <v>ja</v>
          </cell>
          <cell r="C332" t="str">
            <v>none</v>
          </cell>
          <cell r="H332" t="str">
            <v>yellow</v>
          </cell>
          <cell r="I332">
            <v>5</v>
          </cell>
          <cell r="J332" t="str">
            <v>PremiumS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DL5ザコ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DL5ザコ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DL5ザコ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DL5ザコ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DL5ザコ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DL5ザコ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DL5ザコ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DL5ザコ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試練25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PremiumN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試練25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PremiumN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試練25</v>
          </cell>
          <cell r="E371" t="str">
            <v>守護者</v>
          </cell>
          <cell r="F371" t="str">
            <v>美しい</v>
          </cell>
          <cell r="G371" t="str">
            <v>女性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balance</v>
          </cell>
          <cell r="L371" t="str">
            <v>バランスタイプ</v>
          </cell>
          <cell r="M371" t="str">
            <v>human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試練25</v>
          </cell>
          <cell r="E372" t="str">
            <v>守護者</v>
          </cell>
          <cell r="F372" t="str">
            <v>美しい</v>
          </cell>
          <cell r="G372" t="str">
            <v>女性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balance</v>
          </cell>
          <cell r="L372" t="str">
            <v>バランスタイプ</v>
          </cell>
          <cell r="M372" t="str">
            <v>human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試練25</v>
          </cell>
          <cell r="E373" t="str">
            <v>守護者</v>
          </cell>
          <cell r="F373" t="str">
            <v>美しい</v>
          </cell>
          <cell r="G373" t="str">
            <v>女性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human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試練25</v>
          </cell>
          <cell r="E374" t="str">
            <v>守護者</v>
          </cell>
          <cell r="F374" t="str">
            <v>美しい</v>
          </cell>
          <cell r="G374" t="str">
            <v>女性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human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試練25</v>
          </cell>
          <cell r="E375" t="str">
            <v>守護者</v>
          </cell>
          <cell r="F375" t="str">
            <v>美しい</v>
          </cell>
          <cell r="G375" t="str">
            <v>女性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balance</v>
          </cell>
          <cell r="L375" t="str">
            <v>バランスタイプ</v>
          </cell>
          <cell r="M375" t="str">
            <v>human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試練25</v>
          </cell>
          <cell r="E376" t="str">
            <v>守護者</v>
          </cell>
          <cell r="F376" t="str">
            <v>美しい</v>
          </cell>
          <cell r="G376" t="str">
            <v>女性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balance</v>
          </cell>
          <cell r="L376" t="str">
            <v>バランスタイプ</v>
          </cell>
          <cell r="M376" t="str">
            <v>human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試練25</v>
          </cell>
          <cell r="E377" t="str">
            <v>守護者</v>
          </cell>
          <cell r="F377" t="str">
            <v>美しい</v>
          </cell>
          <cell r="G377" t="str">
            <v>女性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試練25</v>
          </cell>
          <cell r="E378" t="str">
            <v>守護者</v>
          </cell>
          <cell r="F378" t="str">
            <v>美しい</v>
          </cell>
          <cell r="G378" t="str">
            <v>女性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試練25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試練25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試練25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試練25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試練25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試練25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試練25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試練25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各属性相性良3・黄・R4</v>
          </cell>
          <cell r="E389" t="str">
            <v>執行者</v>
          </cell>
          <cell r="F389" t="str">
            <v>格好いい</v>
          </cell>
          <cell r="G389" t="str">
            <v>男性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各属性相性良3・黄・R5</v>
          </cell>
          <cell r="E390" t="str">
            <v>執行者</v>
          </cell>
          <cell r="F390" t="str">
            <v>格好いい</v>
          </cell>
          <cell r="G390" t="str">
            <v>男性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各属性相性良3・黄・R7</v>
          </cell>
          <cell r="E391" t="str">
            <v>執行者</v>
          </cell>
          <cell r="F391" t="str">
            <v>格好いい</v>
          </cell>
          <cell r="G391" t="str">
            <v>男性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各属性相性良3・黄・R8</v>
          </cell>
          <cell r="E392" t="str">
            <v>執行者</v>
          </cell>
          <cell r="F392" t="str">
            <v>格好いい</v>
          </cell>
          <cell r="G392" t="str">
            <v>男性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各属性相性良3・黄・R9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各属性相性良3・黄・R10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各属性相性良3・黄・R11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各属性相性良3・黄・R12</v>
          </cell>
          <cell r="E396" t="str">
            <v>執行者</v>
          </cell>
          <cell r="F396" t="str">
            <v>格好いい</v>
          </cell>
          <cell r="G396" t="str">
            <v>男性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各属性相性良3・黄・R13</v>
          </cell>
          <cell r="E397" t="str">
            <v>執行者</v>
          </cell>
          <cell r="F397" t="str">
            <v>格好いい</v>
          </cell>
          <cell r="G397" t="str">
            <v>男性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各属性相性良3・黄・R14</v>
          </cell>
          <cell r="E398" t="str">
            <v>執行者</v>
          </cell>
          <cell r="F398" t="str">
            <v>格好いい</v>
          </cell>
          <cell r="G398" t="str">
            <v>男性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各属性相性良3・黄・R16</v>
          </cell>
          <cell r="E399" t="str">
            <v>執行者</v>
          </cell>
          <cell r="F399" t="str">
            <v>格好いい</v>
          </cell>
          <cell r="G399" t="str">
            <v>男性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各属性相性良3・黄・R17</v>
          </cell>
          <cell r="E400" t="str">
            <v>執行者</v>
          </cell>
          <cell r="F400" t="str">
            <v>格好いい</v>
          </cell>
          <cell r="G400" t="str">
            <v>男性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各属性相性良3・黄・R18</v>
          </cell>
          <cell r="E401" t="str">
            <v>執行者</v>
          </cell>
          <cell r="F401" t="str">
            <v>格好いい</v>
          </cell>
          <cell r="G401" t="str">
            <v>男性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各属性相性良3・黄・R19</v>
          </cell>
          <cell r="E402" t="str">
            <v>執行者</v>
          </cell>
          <cell r="F402" t="str">
            <v>格好いい</v>
          </cell>
          <cell r="G402" t="str">
            <v>男性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各属性相性良3・黄・R20</v>
          </cell>
          <cell r="E403" t="str">
            <v>執行者</v>
          </cell>
          <cell r="F403" t="str">
            <v>格好いい</v>
          </cell>
          <cell r="G403" t="str">
            <v>男性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各属性相性良3・黄・R22</v>
          </cell>
          <cell r="E404" t="str">
            <v>執行者</v>
          </cell>
          <cell r="F404" t="str">
            <v>格好いい</v>
          </cell>
          <cell r="G404" t="str">
            <v>男性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各属性相性良3・黄・R23</v>
          </cell>
          <cell r="E405" t="str">
            <v>執行者</v>
          </cell>
          <cell r="F405" t="str">
            <v>格好いい</v>
          </cell>
          <cell r="G405" t="str">
            <v>男性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各属性相性良3・黄・R24</v>
          </cell>
          <cell r="E406" t="str">
            <v>執行者</v>
          </cell>
          <cell r="F406" t="str">
            <v>格好いい</v>
          </cell>
          <cell r="G406" t="str">
            <v>男性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各属性相性良3・黄・R25</v>
          </cell>
          <cell r="E407" t="str">
            <v>執行者</v>
          </cell>
          <cell r="F407" t="str">
            <v>格好いい</v>
          </cell>
          <cell r="G407" t="str">
            <v>男性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各属性相性良3・黄・R26</v>
          </cell>
          <cell r="E408" t="str">
            <v>執行者</v>
          </cell>
          <cell r="F408" t="str">
            <v>格好いい</v>
          </cell>
          <cell r="G408" t="str">
            <v>男性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各属性相性良3・黄・R28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各属性相性良3・黄・R29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各属性相性良3・黄・R30</v>
          </cell>
          <cell r="E411" t="str">
            <v>執行者</v>
          </cell>
          <cell r="F411" t="str">
            <v>格好いい</v>
          </cell>
          <cell r="G411" t="str">
            <v>男性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各属性相性良3・黄・R31</v>
          </cell>
          <cell r="E412" t="str">
            <v>執行者</v>
          </cell>
          <cell r="F412" t="str">
            <v>格好いい</v>
          </cell>
          <cell r="G412" t="str">
            <v>男性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ミケランジェロ</v>
          </cell>
          <cell r="D413" t="str">
            <v>各属性相性良3・黄・R32</v>
          </cell>
          <cell r="E413" t="str">
            <v>執行者</v>
          </cell>
          <cell r="F413" t="str">
            <v>格好いい</v>
          </cell>
          <cell r="G413" t="str">
            <v>男性</v>
          </cell>
          <cell r="H413" t="str">
            <v>green</v>
          </cell>
          <cell r="I413">
            <v>3</v>
          </cell>
          <cell r="J413" t="str">
            <v>Drop2W</v>
          </cell>
          <cell r="K413" t="str">
            <v>balance</v>
          </cell>
          <cell r="L413" t="str">
            <v>バランスタイプ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侵食破壊性ミケランジェロ</v>
          </cell>
          <cell r="D414" t="str">
            <v>各属性相性良3・黄・R33</v>
          </cell>
          <cell r="E414" t="str">
            <v>執行者</v>
          </cell>
          <cell r="F414" t="str">
            <v>格好いい</v>
          </cell>
          <cell r="G414" t="str">
            <v>男性</v>
          </cell>
          <cell r="H414" t="str">
            <v>green</v>
          </cell>
          <cell r="I414">
            <v>4</v>
          </cell>
          <cell r="J414" t="str">
            <v>Drop2W</v>
          </cell>
          <cell r="K414" t="str">
            <v>balance</v>
          </cell>
          <cell r="L414" t="str">
            <v>バランスタイプ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ラブレター</v>
          </cell>
          <cell r="D415" t="str">
            <v>各属性相性良3・黄・R34</v>
          </cell>
          <cell r="E415" t="str">
            <v>執行者</v>
          </cell>
          <cell r="F415" t="str">
            <v>格好いい</v>
          </cell>
          <cell r="G415" t="str">
            <v>男性</v>
          </cell>
          <cell r="H415" t="str">
            <v>blue</v>
          </cell>
          <cell r="I415">
            <v>3</v>
          </cell>
          <cell r="J415" t="str">
            <v>Drop2W</v>
          </cell>
          <cell r="K415" t="str">
            <v>balance</v>
          </cell>
          <cell r="L415" t="str">
            <v>バランスタイプ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連鎖告白型ラブレター</v>
          </cell>
          <cell r="D416" t="str">
            <v>各属性相性良3・黄・R35</v>
          </cell>
          <cell r="E416" t="str">
            <v>執行者</v>
          </cell>
          <cell r="F416" t="str">
            <v>格好いい</v>
          </cell>
          <cell r="G416" t="str">
            <v>男性</v>
          </cell>
          <cell r="H416" t="str">
            <v>blue</v>
          </cell>
          <cell r="I416">
            <v>4</v>
          </cell>
          <cell r="J416" t="str">
            <v>Drop2W</v>
          </cell>
          <cell r="K416" t="str">
            <v>balance</v>
          </cell>
          <cell r="L416" t="str">
            <v>バランスタイプ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カスケード</v>
          </cell>
          <cell r="D417" t="str">
            <v>各属性相性良3・黄・R36</v>
          </cell>
          <cell r="E417" t="str">
            <v>執行者</v>
          </cell>
          <cell r="F417" t="str">
            <v>格好いい</v>
          </cell>
          <cell r="G417" t="str">
            <v>男性</v>
          </cell>
          <cell r="H417" t="str">
            <v>yellow</v>
          </cell>
          <cell r="I417">
            <v>3</v>
          </cell>
          <cell r="J417" t="str">
            <v>Drop2W</v>
          </cell>
          <cell r="K417" t="str">
            <v>balance</v>
          </cell>
          <cell r="L417" t="str">
            <v>バランスタイプ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落下分解型カスケード</v>
          </cell>
          <cell r="D418" t="str">
            <v>各属性相性良3・黄・R37</v>
          </cell>
          <cell r="E418" t="str">
            <v>執行者</v>
          </cell>
          <cell r="F418" t="str">
            <v>格好いい</v>
          </cell>
          <cell r="G418" t="str">
            <v>男性</v>
          </cell>
          <cell r="H418" t="str">
            <v>yellow</v>
          </cell>
          <cell r="I418">
            <v>4</v>
          </cell>
          <cell r="J418" t="str">
            <v>Drop2W</v>
          </cell>
          <cell r="K418" t="str">
            <v>balance</v>
          </cell>
          <cell r="L418" t="str">
            <v>バランスタイプ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各属性相性良3・黄・R38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各属性相性良3・黄・R39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各属性相性良3・黄・R40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各属性相性良3・黄・R41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各属性相性良3・黄・R42</v>
          </cell>
          <cell r="E423" t="str">
            <v>執行者</v>
          </cell>
          <cell r="F423" t="str">
            <v>格好いい</v>
          </cell>
          <cell r="G423" t="str">
            <v>男性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各属性相性良3・黄・R43</v>
          </cell>
          <cell r="E424" t="str">
            <v>執行者</v>
          </cell>
          <cell r="F424" t="str">
            <v>格好いい</v>
          </cell>
          <cell r="G424" t="str">
            <v>男性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各属性相性良3・黄・R44</v>
          </cell>
          <cell r="E425" t="str">
            <v>執行者</v>
          </cell>
          <cell r="F425" t="str">
            <v>格好いい</v>
          </cell>
          <cell r="G425" t="str">
            <v>男性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各属性相性良3・黄・R45</v>
          </cell>
          <cell r="E426" t="str">
            <v>執行者</v>
          </cell>
          <cell r="F426" t="str">
            <v>格好いい</v>
          </cell>
          <cell r="G426" t="str">
            <v>男性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各属性相性良3・黄・R46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PremiumS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各属性相性良3・黄・R47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PremiumS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各属性相性良3・黄・R48</v>
          </cell>
          <cell r="E429" t="str">
            <v>執行者</v>
          </cell>
          <cell r="F429" t="str">
            <v>格好いい</v>
          </cell>
          <cell r="G429" t="str">
            <v>男性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各属性相性良3・黄・R49</v>
          </cell>
          <cell r="E430" t="str">
            <v>執行者</v>
          </cell>
          <cell r="F430" t="str">
            <v>格好いい</v>
          </cell>
          <cell r="G430" t="str">
            <v>男性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各属性相性良3・黄・R50</v>
          </cell>
          <cell r="E431" t="str">
            <v>執行者</v>
          </cell>
          <cell r="F431" t="str">
            <v>格好いい</v>
          </cell>
          <cell r="G431" t="str">
            <v>男性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各属性相性良3・黄・R51</v>
          </cell>
          <cell r="E432" t="str">
            <v>執行者</v>
          </cell>
          <cell r="F432" t="str">
            <v>格好いい</v>
          </cell>
          <cell r="G432" t="str">
            <v>男性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各属性相性良3・黄・R52</v>
          </cell>
          <cell r="E433" t="str">
            <v>執行者</v>
          </cell>
          <cell r="F433" t="str">
            <v>格好いい</v>
          </cell>
          <cell r="G433" t="str">
            <v>男性</v>
          </cell>
          <cell r="H433" t="str">
            <v>yellow</v>
          </cell>
          <cell r="I433">
            <v>4</v>
          </cell>
          <cell r="J433" t="str">
            <v>PremiumSS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各属性相性良3・黄・R53</v>
          </cell>
          <cell r="E434" t="str">
            <v>執行者</v>
          </cell>
          <cell r="F434" t="str">
            <v>格好いい</v>
          </cell>
          <cell r="G434" t="str">
            <v>男性</v>
          </cell>
          <cell r="H434" t="str">
            <v>yellow</v>
          </cell>
          <cell r="I434">
            <v>5</v>
          </cell>
          <cell r="J434" t="str">
            <v>PremiumSS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各属性相性良3・黄・R54</v>
          </cell>
          <cell r="E435" t="str">
            <v>執行者</v>
          </cell>
          <cell r="F435" t="str">
            <v>格好いい</v>
          </cell>
          <cell r="G435" t="str">
            <v>男性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各属性相性良3・黄・R55</v>
          </cell>
          <cell r="E436" t="str">
            <v>執行者</v>
          </cell>
          <cell r="F436" t="str">
            <v>格好いい</v>
          </cell>
          <cell r="G436" t="str">
            <v>男性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各属性相性良3・黄・R56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各属性相性良3・黄・R57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各属性相性良3・黄・R58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各属性相性良3・黄・R59</v>
          </cell>
          <cell r="E440" t="str">
            <v>執行者</v>
          </cell>
          <cell r="F440" t="str">
            <v>格好いい</v>
          </cell>
          <cell r="G440" t="str">
            <v>男性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各属性相性良3・黄・R60</v>
          </cell>
          <cell r="E441" t="str">
            <v>執行者</v>
          </cell>
          <cell r="F441" t="str">
            <v>格好いい</v>
          </cell>
          <cell r="G441" t="str">
            <v>男性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各属性相性良3・黄・R61</v>
          </cell>
          <cell r="E442" t="str">
            <v>執行者</v>
          </cell>
          <cell r="F442" t="str">
            <v>格好いい</v>
          </cell>
          <cell r="G442" t="str">
            <v>男性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各属性相性良3・黄・R62</v>
          </cell>
          <cell r="E443" t="str">
            <v>執行者</v>
          </cell>
          <cell r="F443" t="str">
            <v>格好いい</v>
          </cell>
          <cell r="G443" t="str">
            <v>男性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各属性相性良3・黄・R63</v>
          </cell>
          <cell r="E444" t="str">
            <v>執行者</v>
          </cell>
          <cell r="F444" t="str">
            <v>格好いい</v>
          </cell>
          <cell r="G444" t="str">
            <v>男性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ライオネル</v>
          </cell>
          <cell r="D445" t="str">
            <v>各属性相性良3・黄・R64</v>
          </cell>
          <cell r="E445" t="str">
            <v>執行者</v>
          </cell>
          <cell r="F445" t="str">
            <v>格好いい</v>
          </cell>
          <cell r="G445" t="str">
            <v>男性</v>
          </cell>
          <cell r="H445" t="str">
            <v>red</v>
          </cell>
          <cell r="I445">
            <v>4</v>
          </cell>
          <cell r="J445" t="str">
            <v>PremiumN</v>
          </cell>
          <cell r="K445" t="str">
            <v>balance</v>
          </cell>
          <cell r="L445" t="str">
            <v>バランスタイプ</v>
          </cell>
          <cell r="M445" t="str">
            <v>human</v>
          </cell>
        </row>
        <row r="446">
          <cell r="A446">
            <v>445</v>
          </cell>
          <cell r="B446" t="str">
            <v>ja</v>
          </cell>
          <cell r="C446" t="str">
            <v>怒鬣の紳獅 ライオネル</v>
          </cell>
          <cell r="D446" t="str">
            <v>各属性相性良3・黄・R65</v>
          </cell>
          <cell r="E446" t="str">
            <v>執行者</v>
          </cell>
          <cell r="F446" t="str">
            <v>格好いい</v>
          </cell>
          <cell r="G446" t="str">
            <v>男性</v>
          </cell>
          <cell r="H446" t="str">
            <v>red</v>
          </cell>
          <cell r="I446">
            <v>5</v>
          </cell>
          <cell r="J446" t="str">
            <v>PremiumN</v>
          </cell>
          <cell r="K446" t="str">
            <v>balance</v>
          </cell>
          <cell r="L446" t="str">
            <v>バランスタイプ</v>
          </cell>
          <cell r="M446" t="str">
            <v>human</v>
          </cell>
        </row>
        <row r="447">
          <cell r="A447">
            <v>446</v>
          </cell>
          <cell r="B447" t="str">
            <v>ja</v>
          </cell>
          <cell r="C447" t="str">
            <v>ガラハッド</v>
          </cell>
          <cell r="D447" t="str">
            <v>各属性相性良3・黄・R66</v>
          </cell>
          <cell r="E447" t="str">
            <v>執行者</v>
          </cell>
          <cell r="F447" t="str">
            <v>格好いい</v>
          </cell>
          <cell r="G447" t="str">
            <v>男性</v>
          </cell>
          <cell r="H447" t="str">
            <v>green</v>
          </cell>
          <cell r="I447">
            <v>4</v>
          </cell>
          <cell r="J447" t="str">
            <v>PremiumN</v>
          </cell>
          <cell r="K447" t="str">
            <v>balance</v>
          </cell>
          <cell r="L447" t="str">
            <v>バランスタイプ</v>
          </cell>
          <cell r="M447" t="str">
            <v>human</v>
          </cell>
        </row>
        <row r="448">
          <cell r="A448">
            <v>447</v>
          </cell>
          <cell r="B448" t="str">
            <v>ja</v>
          </cell>
          <cell r="C448" t="str">
            <v>荒息の銃剣 ガラハッド</v>
          </cell>
          <cell r="D448" t="str">
            <v>各属性相性良3・黄・R67</v>
          </cell>
          <cell r="E448" t="str">
            <v>執行者</v>
          </cell>
          <cell r="F448" t="str">
            <v>格好いい</v>
          </cell>
          <cell r="G448" t="str">
            <v>男性</v>
          </cell>
          <cell r="H448" t="str">
            <v>green</v>
          </cell>
          <cell r="I448">
            <v>5</v>
          </cell>
          <cell r="J448" t="str">
            <v>PremiumN</v>
          </cell>
          <cell r="K448" t="str">
            <v>balance</v>
          </cell>
          <cell r="L448" t="str">
            <v>バランスタイプ</v>
          </cell>
          <cell r="M448" t="str">
            <v>human</v>
          </cell>
        </row>
        <row r="449">
          <cell r="A449">
            <v>448</v>
          </cell>
          <cell r="B449" t="str">
            <v>ja</v>
          </cell>
          <cell r="C449" t="str">
            <v>ガレス</v>
          </cell>
          <cell r="D449" t="str">
            <v>各属性相性良3・黄・R68</v>
          </cell>
          <cell r="E449" t="str">
            <v>執行者</v>
          </cell>
          <cell r="F449" t="str">
            <v>格好いい</v>
          </cell>
          <cell r="G449" t="str">
            <v>男性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幽き美手 ガレス</v>
          </cell>
          <cell r="D450" t="str">
            <v>各属性相性良3・黄・R69</v>
          </cell>
          <cell r="E450" t="str">
            <v>執行者</v>
          </cell>
          <cell r="F450" t="str">
            <v>格好いい</v>
          </cell>
          <cell r="G450" t="str">
            <v>男性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各属性相性良3・黄・R70</v>
          </cell>
          <cell r="E451" t="str">
            <v>執行者</v>
          </cell>
          <cell r="F451" t="str">
            <v>格好いい</v>
          </cell>
          <cell r="G451" t="str">
            <v>男性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黄金の媚惑 イゾルデ</v>
          </cell>
          <cell r="D452" t="str">
            <v>各属性相性良3・黄・R71</v>
          </cell>
          <cell r="E452" t="str">
            <v>執行者</v>
          </cell>
          <cell r="F452" t="str">
            <v>格好いい</v>
          </cell>
          <cell r="G452" t="str">
            <v>男性</v>
          </cell>
          <cell r="H452" t="str">
            <v>yellow</v>
          </cell>
          <cell r="I452">
            <v>5</v>
          </cell>
          <cell r="J452" t="str">
            <v>PremiumN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各属性相性良3・黄・R72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各属性相性良3・黄・R73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各属性相性良3・黄・R74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各属性相性良3・黄・R75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各属性相性良3・黄・R76</v>
          </cell>
          <cell r="E457" t="str">
            <v>執行者</v>
          </cell>
          <cell r="F457" t="str">
            <v>格好いい</v>
          </cell>
          <cell r="G457" t="str">
            <v>男性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各属性相性良3・黄・R77</v>
          </cell>
          <cell r="E458" t="str">
            <v>執行者</v>
          </cell>
          <cell r="F458" t="str">
            <v>格好いい</v>
          </cell>
          <cell r="G458" t="str">
            <v>男性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各属性相性良3・黄・R78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各属性相性良3・黄・R79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各属性相性良3・黄・R80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PremiumS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各属性相性良3・黄・R81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PremiumS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各属性相性良3・黄・R82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各属性相性良3・黄・R83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各属性相性良3・黄・R84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各属性相性良3・黄・R85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各属性相性良3・黄・R86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各属性相性良3・黄・R87</v>
          </cell>
          <cell r="E468" t="str">
            <v>執行者</v>
          </cell>
          <cell r="F468" t="str">
            <v>格好いい</v>
          </cell>
          <cell r="G468" t="str">
            <v>男性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各属性相性良3・黄・R88</v>
          </cell>
          <cell r="E469" t="str">
            <v>執行者</v>
          </cell>
          <cell r="F469" t="str">
            <v>格好いい</v>
          </cell>
          <cell r="G469" t="str">
            <v>男性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各属性相性良3・黄・R89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各属性相性良3・黄・R90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各属性相性良3・黄・R91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各属性相性良3・黄・R92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PremiumS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各属性相性良3・黄・R93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PremiumS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各属性相性良3・黄・R100</v>
          </cell>
          <cell r="E475" t="str">
            <v>執行者</v>
          </cell>
          <cell r="F475" t="str">
            <v>格好いい</v>
          </cell>
          <cell r="G475" t="str">
            <v>男性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各属性相性良3・黄・R101</v>
          </cell>
          <cell r="E476" t="str">
            <v>執行者</v>
          </cell>
          <cell r="F476" t="str">
            <v>格好いい</v>
          </cell>
          <cell r="G476" t="str">
            <v>男性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各属性相性良3・黄・R102</v>
          </cell>
          <cell r="E477" t="str">
            <v>執行者</v>
          </cell>
          <cell r="F477" t="str">
            <v>格好いい</v>
          </cell>
          <cell r="G477" t="str">
            <v>男性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各属性相性良3・黄・R103</v>
          </cell>
          <cell r="E478" t="str">
            <v>執行者</v>
          </cell>
          <cell r="F478" t="str">
            <v>格好いい</v>
          </cell>
          <cell r="G478" t="str">
            <v>男性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各属性相性良3・黄・R104</v>
          </cell>
          <cell r="E479" t="str">
            <v>執行者</v>
          </cell>
          <cell r="F479" t="str">
            <v>格好いい</v>
          </cell>
          <cell r="G479" t="str">
            <v>男性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各属性相性良3・黄・R105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各属性相性良3・黄・R106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各属性相性良3・黄・R107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各属性相性良3・黄・R108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各属性相性良3・黄・R109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各属性相性良3・黄・R94</v>
          </cell>
          <cell r="E485" t="str">
            <v>執行者</v>
          </cell>
          <cell r="F485" t="str">
            <v>格好いい</v>
          </cell>
          <cell r="G485" t="str">
            <v>男性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各属性相性良3・黄・R95</v>
          </cell>
          <cell r="E486" t="str">
            <v>執行者</v>
          </cell>
          <cell r="F486" t="str">
            <v>格好いい</v>
          </cell>
          <cell r="G486" t="str">
            <v>男性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各属性相性良3・黄・R96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各属性相性良3・黄・R97</v>
          </cell>
          <cell r="E488" t="str">
            <v>執行者</v>
          </cell>
          <cell r="F488" t="str">
            <v>格好いい</v>
          </cell>
          <cell r="G488" t="str">
            <v>男性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technical</v>
          </cell>
          <cell r="L488" t="str">
            <v>テクニカルタイプ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各属性相性良3・黄・R98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ハップル</v>
          </cell>
          <cell r="D490" t="str">
            <v>各属性相性良3・黄・R99</v>
          </cell>
          <cell r="E490" t="str">
            <v>執行者</v>
          </cell>
          <cell r="F490" t="str">
            <v>格好いい</v>
          </cell>
          <cell r="G490" t="str">
            <v>男性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各属性相性良3・黄・R110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PremiumS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各属性相性良3・黄・R111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PremiumS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各属性相性良3・黄・R112</v>
          </cell>
          <cell r="E493" t="str">
            <v>執行者</v>
          </cell>
          <cell r="F493" t="str">
            <v>格好いい</v>
          </cell>
          <cell r="G493" t="str">
            <v>男性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各属性相性良3・黄・R113</v>
          </cell>
          <cell r="E494" t="str">
            <v>執行者</v>
          </cell>
          <cell r="F494" t="str">
            <v>格好いい</v>
          </cell>
          <cell r="G494" t="str">
            <v>男性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各属性相性良3・黄・R114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各属性相性良3・黄・R115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各属性相性良3・黄・R116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各属性相性良3・黄・R117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各属性相性良3・黄・R118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各属性相性良3・黄・R119</v>
          </cell>
          <cell r="E500" t="str">
            <v>執行者</v>
          </cell>
          <cell r="F500" t="str">
            <v>格好いい</v>
          </cell>
          <cell r="G500" t="str">
            <v>男性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各属性相性良3・黄・R120</v>
          </cell>
          <cell r="E501" t="str">
            <v>執行者</v>
          </cell>
          <cell r="F501" t="str">
            <v>格好いい</v>
          </cell>
          <cell r="G501" t="str">
            <v>男性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各属性相性良3・黄・R121</v>
          </cell>
          <cell r="E502" t="str">
            <v>執行者</v>
          </cell>
          <cell r="F502" t="str">
            <v>格好いい</v>
          </cell>
          <cell r="G502" t="str">
            <v>男性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各属性相性良3・黄・R122</v>
          </cell>
          <cell r="E503" t="str">
            <v>執行者</v>
          </cell>
          <cell r="F503" t="str">
            <v>格好いい</v>
          </cell>
          <cell r="G503" t="str">
            <v>男性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各属性相性良3・黄・R123</v>
          </cell>
          <cell r="E504" t="str">
            <v>執行者</v>
          </cell>
          <cell r="F504" t="str">
            <v>格好いい</v>
          </cell>
          <cell r="G504" t="str">
            <v>男性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各属性相性良3・黄・R124</v>
          </cell>
          <cell r="E505" t="str">
            <v>執行者</v>
          </cell>
          <cell r="F505" t="str">
            <v>格好いい</v>
          </cell>
          <cell r="G505" t="str">
            <v>男性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各属性相性良3・黄・R125</v>
          </cell>
          <cell r="E506" t="str">
            <v>執行者</v>
          </cell>
          <cell r="F506" t="str">
            <v>格好いい</v>
          </cell>
          <cell r="G506" t="str">
            <v>男性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各属性相性良3・黄・R126</v>
          </cell>
          <cell r="E507" t="str">
            <v>執行者</v>
          </cell>
          <cell r="F507" t="str">
            <v>格好いい</v>
          </cell>
          <cell r="G507" t="str">
            <v>男性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各属性相性良3・黄・R127</v>
          </cell>
          <cell r="E508" t="str">
            <v>執行者</v>
          </cell>
          <cell r="F508" t="str">
            <v>格好いい</v>
          </cell>
          <cell r="G508" t="str">
            <v>男性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各属性相性良3・黄・R128</v>
          </cell>
          <cell r="E509" t="str">
            <v>執行者</v>
          </cell>
          <cell r="F509" t="str">
            <v>格好いい</v>
          </cell>
          <cell r="G509" t="str">
            <v>男性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各属性相性良3・黄・R129</v>
          </cell>
          <cell r="E510" t="str">
            <v>執行者</v>
          </cell>
          <cell r="F510" t="str">
            <v>格好いい</v>
          </cell>
          <cell r="G510" t="str">
            <v>男性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各属性相性良3・黄・R130</v>
          </cell>
          <cell r="E511" t="str">
            <v>執行者</v>
          </cell>
          <cell r="F511" t="str">
            <v>格好いい</v>
          </cell>
          <cell r="G511" t="str">
            <v>男性</v>
          </cell>
          <cell r="H511" t="str">
            <v>red</v>
          </cell>
          <cell r="I511">
            <v>4</v>
          </cell>
          <cell r="J511" t="str">
            <v>PremiumS</v>
          </cell>
          <cell r="K511" t="str">
            <v>attack</v>
          </cell>
          <cell r="L511" t="str">
            <v>攻撃タイプ</v>
          </cell>
          <cell r="M511" t="str">
            <v>human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各属性相性良3・黄・R131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PremiumS</v>
          </cell>
          <cell r="K512" t="str">
            <v>attack</v>
          </cell>
          <cell r="L512" t="str">
            <v>攻撃タイプ</v>
          </cell>
          <cell r="M512" t="str">
            <v>human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各属性相性良3・黄・R132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各属性相性良3・黄・R133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各属性相性良3・黄・R134</v>
          </cell>
          <cell r="E515" t="str">
            <v>執行者</v>
          </cell>
          <cell r="F515" t="str">
            <v>格好いい</v>
          </cell>
          <cell r="G515" t="str">
            <v>男性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各属性相性良3・黄・R135</v>
          </cell>
          <cell r="E516" t="str">
            <v>執行者</v>
          </cell>
          <cell r="F516" t="str">
            <v>格好いい</v>
          </cell>
          <cell r="G516" t="str">
            <v>男性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各属性相性良3・黄・R136</v>
          </cell>
          <cell r="E517" t="str">
            <v>執行者</v>
          </cell>
          <cell r="F517" t="str">
            <v>格好いい</v>
          </cell>
          <cell r="G517" t="str">
            <v>男性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各属性相性良3・黄・R137</v>
          </cell>
          <cell r="E518" t="str">
            <v>執行者</v>
          </cell>
          <cell r="F518" t="str">
            <v>格好いい</v>
          </cell>
          <cell r="G518" t="str">
            <v>男性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各属性相性良3・黄・R138</v>
          </cell>
          <cell r="E519" t="str">
            <v>執行者</v>
          </cell>
          <cell r="F519" t="str">
            <v>格好いい</v>
          </cell>
          <cell r="G519" t="str">
            <v>男性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各属性相性良3・黄・R139</v>
          </cell>
          <cell r="E520" t="str">
            <v>執行者</v>
          </cell>
          <cell r="F520" t="str">
            <v>格好いい</v>
          </cell>
          <cell r="G520" t="str">
            <v>男性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各属性相性良3・黄・R140</v>
          </cell>
          <cell r="E521" t="str">
            <v>執行者</v>
          </cell>
          <cell r="F521" t="str">
            <v>格好いい</v>
          </cell>
          <cell r="G521" t="str">
            <v>男性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各属性相性良3・黄・R141</v>
          </cell>
          <cell r="E522" t="str">
            <v>執行者</v>
          </cell>
          <cell r="F522" t="str">
            <v>格好いい</v>
          </cell>
          <cell r="G522" t="str">
            <v>男性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各属性相性良3・黄・R142</v>
          </cell>
          <cell r="E523" t="str">
            <v>執行者</v>
          </cell>
          <cell r="F523" t="str">
            <v>格好いい</v>
          </cell>
          <cell r="G523" t="str">
            <v>男性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各属性相性良3・黄・R143</v>
          </cell>
          <cell r="E524" t="str">
            <v>執行者</v>
          </cell>
          <cell r="F524" t="str">
            <v>格好いい</v>
          </cell>
          <cell r="G524" t="str">
            <v>男性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各属性相性良3・黄・R144</v>
          </cell>
          <cell r="E525" t="str">
            <v>執行者</v>
          </cell>
          <cell r="F525" t="str">
            <v>格好いい</v>
          </cell>
          <cell r="G525" t="str">
            <v>男性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各属性相性良3・黄・R145</v>
          </cell>
          <cell r="E526" t="str">
            <v>執行者</v>
          </cell>
          <cell r="F526" t="str">
            <v>格好いい</v>
          </cell>
          <cell r="G526" t="str">
            <v>男性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各属性相性良3・黄・R146</v>
          </cell>
          <cell r="E527" t="str">
            <v>執行者</v>
          </cell>
          <cell r="F527" t="str">
            <v>格好いい</v>
          </cell>
          <cell r="G527" t="str">
            <v>男性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各属性相性良3・黄・R147</v>
          </cell>
          <cell r="E528" t="str">
            <v>執行者</v>
          </cell>
          <cell r="F528" t="str">
            <v>格好いい</v>
          </cell>
          <cell r="G528" t="str">
            <v>男性</v>
          </cell>
          <cell r="H528" t="str">
            <v>yellow</v>
          </cell>
          <cell r="I528">
            <v>4</v>
          </cell>
          <cell r="J528" t="str">
            <v>PremiumS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新世界の歌姫 初音ミクV3</v>
          </cell>
          <cell r="D529" t="str">
            <v>各属性相性良3・黄・R148</v>
          </cell>
          <cell r="E529" t="str">
            <v>執行者</v>
          </cell>
          <cell r="F529" t="str">
            <v>格好いい</v>
          </cell>
          <cell r="G529" t="str">
            <v>男性</v>
          </cell>
          <cell r="H529" t="str">
            <v>yellow</v>
          </cell>
          <cell r="I529">
            <v>5</v>
          </cell>
          <cell r="J529" t="str">
            <v>PremiumS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各属性相性良3・黄・R149</v>
          </cell>
          <cell r="E530" t="str">
            <v>執行者</v>
          </cell>
          <cell r="F530" t="str">
            <v>格好いい</v>
          </cell>
          <cell r="G530" t="str">
            <v>男性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各属性相性良3・黄・R150</v>
          </cell>
          <cell r="E531" t="str">
            <v>執行者</v>
          </cell>
          <cell r="F531" t="str">
            <v>格好いい</v>
          </cell>
          <cell r="G531" t="str">
            <v>男性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各属性相性良3・黄・R151</v>
          </cell>
          <cell r="E532" t="str">
            <v>執行者</v>
          </cell>
          <cell r="F532" t="str">
            <v>格好いい</v>
          </cell>
          <cell r="G532" t="str">
            <v>男性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各属性相性良3・黄・R152</v>
          </cell>
          <cell r="E533" t="str">
            <v>執行者</v>
          </cell>
          <cell r="F533" t="str">
            <v>格好いい</v>
          </cell>
          <cell r="G533" t="str">
            <v>男性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各属性相性良3・黄・R153</v>
          </cell>
          <cell r="E534" t="str">
            <v>執行者</v>
          </cell>
          <cell r="F534" t="str">
            <v>格好いい</v>
          </cell>
          <cell r="G534" t="str">
            <v>男性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各属性相性良3・黄・R154</v>
          </cell>
          <cell r="E535" t="str">
            <v>執行者</v>
          </cell>
          <cell r="F535" t="str">
            <v>格好いい</v>
          </cell>
          <cell r="G535" t="str">
            <v>男性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各属性相性良3・黄・R155</v>
          </cell>
          <cell r="E536" t="str">
            <v>執行者</v>
          </cell>
          <cell r="F536" t="str">
            <v>格好いい</v>
          </cell>
          <cell r="G536" t="str">
            <v>男性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各属性相性良3・黄・R156</v>
          </cell>
          <cell r="E537" t="str">
            <v>執行者</v>
          </cell>
          <cell r="F537" t="str">
            <v>格好いい</v>
          </cell>
          <cell r="G537" t="str">
            <v>男性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各属性相性良3・黄・R157</v>
          </cell>
          <cell r="E538" t="str">
            <v>執行者</v>
          </cell>
          <cell r="F538" t="str">
            <v>格好いい</v>
          </cell>
          <cell r="G538" t="str">
            <v>男性</v>
          </cell>
          <cell r="H538" t="str">
            <v>green</v>
          </cell>
          <cell r="I538">
            <v>3</v>
          </cell>
          <cell r="J538" t="str">
            <v>PremiumW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各属性相性良3・黄・R158</v>
          </cell>
          <cell r="E539" t="str">
            <v>執行者</v>
          </cell>
          <cell r="F539" t="str">
            <v>格好いい</v>
          </cell>
          <cell r="G539" t="str">
            <v>男性</v>
          </cell>
          <cell r="H539" t="str">
            <v>yellow</v>
          </cell>
          <cell r="I539">
            <v>3</v>
          </cell>
          <cell r="J539" t="str">
            <v>PremiumW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各属性相性良3・黄・R159</v>
          </cell>
          <cell r="E540" t="str">
            <v>執行者</v>
          </cell>
          <cell r="F540" t="str">
            <v>格好いい</v>
          </cell>
          <cell r="G540" t="str">
            <v>男性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各属性相性良3・黄・R160</v>
          </cell>
          <cell r="E541" t="str">
            <v>執行者</v>
          </cell>
          <cell r="F541" t="str">
            <v>格好いい</v>
          </cell>
          <cell r="G541" t="str">
            <v>男性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各属性相性良3・黄・R161</v>
          </cell>
          <cell r="E542" t="str">
            <v>執行者</v>
          </cell>
          <cell r="F542" t="str">
            <v>格好いい</v>
          </cell>
          <cell r="G542" t="str">
            <v>男性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各属性相性良3・黄・R162</v>
          </cell>
          <cell r="E543" t="str">
            <v>執行者</v>
          </cell>
          <cell r="F543" t="str">
            <v>格好いい</v>
          </cell>
          <cell r="G543" t="str">
            <v>男性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各属性相性良3・黄・R163</v>
          </cell>
          <cell r="E544" t="str">
            <v>執行者</v>
          </cell>
          <cell r="F544" t="str">
            <v>格好いい</v>
          </cell>
          <cell r="G544" t="str">
            <v>男性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各属性相性良3・黄・R164</v>
          </cell>
          <cell r="E545" t="str">
            <v>執行者</v>
          </cell>
          <cell r="F545" t="str">
            <v>格好いい</v>
          </cell>
          <cell r="G545" t="str">
            <v>男性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各属性相性良3・黄・R165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各属性相性良3・黄・R166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各属性相性良3・黄・R167</v>
          </cell>
          <cell r="E548" t="str">
            <v>執行者</v>
          </cell>
          <cell r="F548" t="str">
            <v>格好いい</v>
          </cell>
          <cell r="G548" t="str">
            <v>男性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各属性相性良3・黄・R168</v>
          </cell>
          <cell r="E549" t="str">
            <v>執行者</v>
          </cell>
          <cell r="F549" t="str">
            <v>格好いい</v>
          </cell>
          <cell r="G549" t="str">
            <v>男性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各属性相性良3・黄・R169</v>
          </cell>
          <cell r="E550" t="str">
            <v>執行者</v>
          </cell>
          <cell r="F550" t="str">
            <v>格好いい</v>
          </cell>
          <cell r="G550" t="str">
            <v>男性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各属性相性良3・黄・R170</v>
          </cell>
          <cell r="E551" t="str">
            <v>執行者</v>
          </cell>
          <cell r="F551" t="str">
            <v>格好いい</v>
          </cell>
          <cell r="G551" t="str">
            <v>男性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各属性相性良3・黄・R171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各属性相性良3・黄・R172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各属性相性良3・黄・R173</v>
          </cell>
          <cell r="E554" t="str">
            <v>執行者</v>
          </cell>
          <cell r="F554" t="str">
            <v>格好いい</v>
          </cell>
          <cell r="G554" t="str">
            <v>男性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各属性相性良3・黄・R174</v>
          </cell>
          <cell r="E555" t="str">
            <v>執行者</v>
          </cell>
          <cell r="F555" t="str">
            <v>格好いい</v>
          </cell>
          <cell r="G555" t="str">
            <v>男性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各属性相性良3・黄・R175</v>
          </cell>
          <cell r="E556" t="str">
            <v>執行者</v>
          </cell>
          <cell r="F556" t="str">
            <v>格好いい</v>
          </cell>
          <cell r="G556" t="str">
            <v>男性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各属性相性良3・黄・R176</v>
          </cell>
          <cell r="E557" t="str">
            <v>執行者</v>
          </cell>
          <cell r="F557" t="str">
            <v>格好いい</v>
          </cell>
          <cell r="G557" t="str">
            <v>男性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各属性相性良3・黄・R177</v>
          </cell>
          <cell r="E558" t="str">
            <v>執行者</v>
          </cell>
          <cell r="F558" t="str">
            <v>格好いい</v>
          </cell>
          <cell r="G558" t="str">
            <v>男性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各属性相性良3・黄・R178</v>
          </cell>
          <cell r="E559" t="str">
            <v>執行者</v>
          </cell>
          <cell r="F559" t="str">
            <v>格好いい</v>
          </cell>
          <cell r="G559" t="str">
            <v>男性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各属性相性良3・黄・R179</v>
          </cell>
          <cell r="E560" t="str">
            <v>執行者</v>
          </cell>
          <cell r="F560" t="str">
            <v>格好いい</v>
          </cell>
          <cell r="G560" t="str">
            <v>男性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ゴーレム亀</v>
          </cell>
          <cell r="D561" t="str">
            <v>各属性相性良3・黄・R179</v>
          </cell>
          <cell r="E561" t="str">
            <v>執行者</v>
          </cell>
          <cell r="F561" t="str">
            <v>格好いい</v>
          </cell>
          <cell r="G561" t="str">
            <v>男性</v>
          </cell>
          <cell r="H561" t="str">
            <v>yellow</v>
          </cell>
          <cell r="I561">
            <v>4</v>
          </cell>
          <cell r="J561" t="str">
            <v>PremiumS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ゴーレム亀</v>
          </cell>
          <cell r="D562" t="str">
            <v>各属性相性良3・黄・R180</v>
          </cell>
          <cell r="E562" t="str">
            <v>執行者</v>
          </cell>
          <cell r="F562" t="str">
            <v>格好いい</v>
          </cell>
          <cell r="G562" t="str">
            <v>男性</v>
          </cell>
          <cell r="H562" t="str">
            <v>yellow</v>
          </cell>
          <cell r="I562">
            <v>5</v>
          </cell>
          <cell r="J562" t="str">
            <v>PremiumS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雲ドラゴン</v>
          </cell>
          <cell r="D563" t="str">
            <v>各属性相性良3・黄・R181</v>
          </cell>
          <cell r="E563" t="str">
            <v>執行者</v>
          </cell>
          <cell r="F563" t="str">
            <v>格好いい</v>
          </cell>
          <cell r="G563" t="str">
            <v>男性</v>
          </cell>
          <cell r="H563" t="str">
            <v>yellow</v>
          </cell>
          <cell r="I563">
            <v>3</v>
          </cell>
          <cell r="J563" t="str">
            <v>PremiumS</v>
          </cell>
          <cell r="K563" t="str">
            <v>attack</v>
          </cell>
          <cell r="L563" t="str">
            <v>攻撃タイプ</v>
          </cell>
          <cell r="M563" t="str">
            <v>human</v>
          </cell>
        </row>
        <row r="564">
          <cell r="A564">
            <v>563</v>
          </cell>
          <cell r="B564" t="str">
            <v>ja</v>
          </cell>
          <cell r="C564" t="str">
            <v>雲ドラゴン</v>
          </cell>
          <cell r="D564" t="str">
            <v>各属性相性良3・黄・R182</v>
          </cell>
          <cell r="E564" t="str">
            <v>執行者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4</v>
          </cell>
          <cell r="J564" t="str">
            <v>PremiumS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雲ドラゴン</v>
          </cell>
          <cell r="D565" t="str">
            <v>各属性相性良3・黄・R183</v>
          </cell>
          <cell r="E565" t="str">
            <v>執行者</v>
          </cell>
          <cell r="F565" t="str">
            <v>格好いい</v>
          </cell>
          <cell r="G565" t="str">
            <v>男性</v>
          </cell>
          <cell r="H565" t="str">
            <v>yellow</v>
          </cell>
          <cell r="I565">
            <v>5</v>
          </cell>
          <cell r="J565" t="str">
            <v>PremiumS</v>
          </cell>
          <cell r="K565" t="str">
            <v>attack</v>
          </cell>
          <cell r="L565" t="str">
            <v>攻撃タイプ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カスケード</v>
          </cell>
          <cell r="D566" t="str">
            <v>各属性相性良3・黄・R184</v>
          </cell>
          <cell r="E566" t="str">
            <v>執行者</v>
          </cell>
          <cell r="F566" t="str">
            <v>格好いい</v>
          </cell>
          <cell r="G566" t="str">
            <v>男性</v>
          </cell>
          <cell r="H566" t="str">
            <v>yellow</v>
          </cell>
          <cell r="I566">
            <v>3</v>
          </cell>
          <cell r="J566" t="str">
            <v>PremiumS</v>
          </cell>
          <cell r="K566" t="str">
            <v>attack</v>
          </cell>
          <cell r="L566" t="str">
            <v>攻撃タイプ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落下分解型カスケード</v>
          </cell>
          <cell r="D567" t="str">
            <v>各属性相性良3・黄・R185</v>
          </cell>
          <cell r="E567" t="str">
            <v>執行者</v>
          </cell>
          <cell r="F567" t="str">
            <v>格好いい</v>
          </cell>
          <cell r="G567" t="str">
            <v>男性</v>
          </cell>
          <cell r="H567" t="str">
            <v>yellow</v>
          </cell>
          <cell r="I567">
            <v>4</v>
          </cell>
          <cell r="J567" t="str">
            <v>PremiumS</v>
          </cell>
          <cell r="K567" t="str">
            <v>attack</v>
          </cell>
          <cell r="L567" t="str">
            <v>攻撃タイプ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カスケード</v>
          </cell>
          <cell r="D568" t="str">
            <v>各属性相性良3・黄・R186</v>
          </cell>
          <cell r="E568" t="str">
            <v>執行者</v>
          </cell>
          <cell r="F568" t="str">
            <v>格好いい</v>
          </cell>
          <cell r="G568" t="str">
            <v>男性</v>
          </cell>
          <cell r="H568" t="str">
            <v>yellow</v>
          </cell>
          <cell r="I568">
            <v>5</v>
          </cell>
          <cell r="J568" t="str">
            <v>PremiumS</v>
          </cell>
          <cell r="K568" t="str">
            <v>attack</v>
          </cell>
          <cell r="L568" t="str">
            <v>攻撃タイプ</v>
          </cell>
          <cell r="M568" t="str">
            <v>human</v>
          </cell>
        </row>
        <row r="569">
          <cell r="A569">
            <v>568</v>
          </cell>
          <cell r="B569" t="str">
            <v>ja</v>
          </cell>
          <cell r="C569" t="str">
            <v>イゾルデ</v>
          </cell>
          <cell r="D569" t="str">
            <v>各属性相性良3・黄・R187</v>
          </cell>
          <cell r="E569" t="str">
            <v>執行者</v>
          </cell>
          <cell r="F569" t="str">
            <v>格好いい</v>
          </cell>
          <cell r="G569" t="str">
            <v>男性</v>
          </cell>
          <cell r="H569" t="str">
            <v>blue</v>
          </cell>
          <cell r="I569">
            <v>3</v>
          </cell>
          <cell r="J569" t="str">
            <v>PremiumS</v>
          </cell>
          <cell r="K569" t="str">
            <v>attack</v>
          </cell>
          <cell r="L569" t="str">
            <v>攻撃タイプ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各属性相性良3・黄・R188</v>
          </cell>
          <cell r="E570" t="str">
            <v>執行者</v>
          </cell>
          <cell r="F570" t="str">
            <v>格好いい</v>
          </cell>
          <cell r="G570" t="str">
            <v>男性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各属性相性良3・黄・R189</v>
          </cell>
          <cell r="E571" t="str">
            <v>執行者</v>
          </cell>
          <cell r="F571" t="str">
            <v>格好いい</v>
          </cell>
          <cell r="G571" t="str">
            <v>男性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ハッピー（制服&amp;チョコ＆手紙差分）</v>
          </cell>
          <cell r="D572" t="str">
            <v>各属性相性良3・黄・R190</v>
          </cell>
          <cell r="E572" t="str">
            <v>執行者</v>
          </cell>
          <cell r="F572" t="str">
            <v>格好いい</v>
          </cell>
          <cell r="G572" t="str">
            <v>男性</v>
          </cell>
          <cell r="H572" t="str">
            <v>blue</v>
          </cell>
          <cell r="I572">
            <v>3</v>
          </cell>
          <cell r="J572" t="str">
            <v>PremiumS</v>
          </cell>
          <cell r="K572" t="str">
            <v>attack</v>
          </cell>
          <cell r="L572" t="str">
            <v>攻撃タイプ</v>
          </cell>
          <cell r="M572" t="str">
            <v>human</v>
          </cell>
        </row>
        <row r="573">
          <cell r="A573">
            <v>572</v>
          </cell>
          <cell r="B573" t="str">
            <v>ja</v>
          </cell>
          <cell r="C573" t="str">
            <v>チョコりんご（秘術）</v>
          </cell>
          <cell r="D573" t="str">
            <v>各属性相性良3・黄・R191</v>
          </cell>
          <cell r="E573" t="str">
            <v>執行者</v>
          </cell>
          <cell r="F573" t="str">
            <v>格好いい</v>
          </cell>
          <cell r="G573" t="str">
            <v>男性</v>
          </cell>
          <cell r="H573" t="str">
            <v>blue</v>
          </cell>
          <cell r="I573">
            <v>3</v>
          </cell>
          <cell r="J573" t="str">
            <v>PremiumS</v>
          </cell>
          <cell r="K573" t="str">
            <v>attack</v>
          </cell>
          <cell r="L573" t="str">
            <v>攻撃タイプ</v>
          </cell>
          <cell r="M573" t="str">
            <v>human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各属性相性良3・黄・R192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PremiumSS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オーディン</v>
          </cell>
          <cell r="D575" t="str">
            <v>各属性相性良3・黄・R193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PremiumSS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各属性相性良3・黄・R194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PremiumS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フレイ</v>
          </cell>
          <cell r="D577" t="str">
            <v>各属性相性良3・黄・R195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PremiumS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ピュグヴィルとベイラ</v>
          </cell>
          <cell r="D578" t="str">
            <v>各属性相性良3・黄・R196</v>
          </cell>
          <cell r="E578" t="str">
            <v>執行者</v>
          </cell>
          <cell r="F578" t="str">
            <v>格好いい</v>
          </cell>
          <cell r="G578" t="str">
            <v>男性</v>
          </cell>
          <cell r="H578" t="str">
            <v>blue</v>
          </cell>
          <cell r="I578">
            <v>4</v>
          </cell>
          <cell r="J578" t="str">
            <v>Drop2N</v>
          </cell>
          <cell r="K578" t="str">
            <v>attack</v>
          </cell>
          <cell r="L578" t="str">
            <v>攻撃タイプ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ピュグヴィルとベイラ</v>
          </cell>
          <cell r="D579" t="str">
            <v>各属性相性良3・黄・R197</v>
          </cell>
          <cell r="E579" t="str">
            <v>執行者</v>
          </cell>
          <cell r="F579" t="str">
            <v>格好いい</v>
          </cell>
          <cell r="G579" t="str">
            <v>男性</v>
          </cell>
          <cell r="H579" t="str">
            <v>blue</v>
          </cell>
          <cell r="I579">
            <v>5</v>
          </cell>
          <cell r="J579" t="str">
            <v>Drop2N</v>
          </cell>
          <cell r="K579" t="str">
            <v>attack</v>
          </cell>
          <cell r="L579" t="str">
            <v>攻撃タイプ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各属性相性良3・黄・R198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blue</v>
          </cell>
          <cell r="I580">
            <v>4</v>
          </cell>
          <cell r="J580" t="str">
            <v>Drop2N</v>
          </cell>
          <cell r="K580" t="str">
            <v>attack</v>
          </cell>
          <cell r="L580" t="str">
            <v>攻撃タイプ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オーズ</v>
          </cell>
          <cell r="D581" t="str">
            <v>各属性相性良3・黄・R199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blue</v>
          </cell>
          <cell r="I581">
            <v>5</v>
          </cell>
          <cell r="J581" t="str">
            <v>Drop2N</v>
          </cell>
          <cell r="K581" t="str">
            <v>attack</v>
          </cell>
          <cell r="L581" t="str">
            <v>攻撃タイプ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各属性相性良3・黄・R200</v>
          </cell>
          <cell r="E582" t="str">
            <v>執行者</v>
          </cell>
          <cell r="F582" t="str">
            <v>格好いい</v>
          </cell>
          <cell r="G582" t="str">
            <v>男性</v>
          </cell>
          <cell r="H582" t="str">
            <v>blue</v>
          </cell>
          <cell r="I582">
            <v>4</v>
          </cell>
          <cell r="J582" t="str">
            <v>Drop2N</v>
          </cell>
          <cell r="K582" t="str">
            <v>attack</v>
          </cell>
          <cell r="L582" t="str">
            <v>攻撃タイプ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フギンとムニン</v>
          </cell>
          <cell r="D583" t="str">
            <v>各属性相性良3・黄・R201</v>
          </cell>
          <cell r="E583" t="str">
            <v>執行者</v>
          </cell>
          <cell r="F583" t="str">
            <v>格好いい</v>
          </cell>
          <cell r="G583" t="str">
            <v>男性</v>
          </cell>
          <cell r="H583" t="str">
            <v>blue</v>
          </cell>
          <cell r="I583">
            <v>5</v>
          </cell>
          <cell r="J583" t="str">
            <v>Drop2N</v>
          </cell>
          <cell r="K583" t="str">
            <v>attack</v>
          </cell>
          <cell r="L583" t="str">
            <v>攻撃タイプ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各属性相性良3・黄・R202</v>
          </cell>
          <cell r="E584" t="str">
            <v>執行者</v>
          </cell>
          <cell r="F584" t="str">
            <v>格好いい</v>
          </cell>
          <cell r="G584" t="str">
            <v>男性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ミョルニル</v>
          </cell>
          <cell r="D585" t="str">
            <v>各属性相性良3・黄・R203</v>
          </cell>
          <cell r="E585" t="str">
            <v>執行者</v>
          </cell>
          <cell r="F585" t="str">
            <v>格好いい</v>
          </cell>
          <cell r="G585" t="str">
            <v>男性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各属性相性良3・黄・R204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各属性相性良3・黄・R205</v>
          </cell>
          <cell r="E587" t="str">
            <v>執行者</v>
          </cell>
          <cell r="F587" t="str">
            <v>格好いい</v>
          </cell>
          <cell r="G587" t="str">
            <v>男性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原初の煉鋼巨刃ユミル</v>
          </cell>
          <cell r="D588" t="str">
            <v>各属性相性良3・黄・R206</v>
          </cell>
          <cell r="E588" t="str">
            <v>執行者</v>
          </cell>
          <cell r="F588" t="str">
            <v>格好いい</v>
          </cell>
          <cell r="G588" t="str">
            <v>男性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各属性相性良3・黄・R207</v>
          </cell>
          <cell r="E589" t="str">
            <v>執行者</v>
          </cell>
          <cell r="F589" t="str">
            <v>格好いい</v>
          </cell>
          <cell r="G589" t="str">
            <v>男性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不幸の円環ニーベルゲン</v>
          </cell>
          <cell r="D590" t="str">
            <v>各属性相性良3・黄・R208</v>
          </cell>
          <cell r="E590" t="str">
            <v>執行者</v>
          </cell>
          <cell r="F590" t="str">
            <v>格好いい</v>
          </cell>
          <cell r="G590" t="str">
            <v>男性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永遠を廻る呪いニーベルゲン</v>
          </cell>
          <cell r="D591" t="str">
            <v>各属性相性良3・黄・R209</v>
          </cell>
          <cell r="E591" t="str">
            <v>執行者</v>
          </cell>
          <cell r="F591" t="str">
            <v>格好いい</v>
          </cell>
          <cell r="G591" t="str">
            <v>男性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各属性相性良3・黄・R210</v>
          </cell>
          <cell r="E592" t="str">
            <v>執行者</v>
          </cell>
          <cell r="F592" t="str">
            <v>格好いい</v>
          </cell>
          <cell r="G592" t="str">
            <v>男性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財宝への執着ファフニール</v>
          </cell>
          <cell r="D593" t="str">
            <v>各属性相性良3・黄・R211</v>
          </cell>
          <cell r="E593" t="str">
            <v>執行者</v>
          </cell>
          <cell r="F593" t="str">
            <v>格好いい</v>
          </cell>
          <cell r="G593" t="str">
            <v>男性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妄執する邪毒龍ファフニール</v>
          </cell>
          <cell r="D594" t="str">
            <v>各属性相性良3・黄・R212</v>
          </cell>
          <cell r="E594" t="str">
            <v>執行者</v>
          </cell>
          <cell r="F594" t="str">
            <v>格好いい</v>
          </cell>
          <cell r="G594" t="str">
            <v>男性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各属性相性良3・黄・R213</v>
          </cell>
          <cell r="E595" t="str">
            <v>執行者</v>
          </cell>
          <cell r="F595" t="str">
            <v>格好いい</v>
          </cell>
          <cell r="G595" t="str">
            <v>男性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光華なる神域アルフヘイム</v>
          </cell>
          <cell r="D596" t="str">
            <v>各属性相性良3・黄・R214</v>
          </cell>
          <cell r="E596" t="str">
            <v>執行者</v>
          </cell>
          <cell r="F596" t="str">
            <v>格好いい</v>
          </cell>
          <cell r="G596" t="str">
            <v>男性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各属性相性良3・黄・R215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attack</v>
          </cell>
          <cell r="L597" t="str">
            <v>攻撃タイプ</v>
          </cell>
          <cell r="M597" t="str">
            <v>machine</v>
          </cell>
        </row>
        <row r="598">
          <cell r="A598">
            <v>597</v>
          </cell>
          <cell r="B598" t="str">
            <v>ja</v>
          </cell>
          <cell r="C598" t="str">
            <v>ムスペルヘイム</v>
          </cell>
          <cell r="D598" t="str">
            <v>各属性相性良3・黄・R216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attack</v>
          </cell>
          <cell r="L598" t="str">
            <v>攻撃タイプ</v>
          </cell>
          <cell r="M598" t="str">
            <v>machine</v>
          </cell>
        </row>
        <row r="599">
          <cell r="A599">
            <v>598</v>
          </cell>
          <cell r="B599" t="str">
            <v>ja</v>
          </cell>
          <cell r="C599" t="str">
            <v>ムスペルヘイム</v>
          </cell>
          <cell r="D599" t="str">
            <v>各属性相性良3・黄・R217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attack</v>
          </cell>
          <cell r="L599" t="str">
            <v>攻撃タイプ</v>
          </cell>
          <cell r="M599" t="str">
            <v>machine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各属性相性良3・黄・R218</v>
          </cell>
          <cell r="E600" t="str">
            <v>執行者</v>
          </cell>
          <cell r="F600" t="str">
            <v>格好いい</v>
          </cell>
          <cell r="G600" t="str">
            <v>男性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ニーズヘッグ</v>
          </cell>
          <cell r="D601" t="str">
            <v>各属性相性良3・黄・R219</v>
          </cell>
          <cell r="E601" t="str">
            <v>執行者</v>
          </cell>
          <cell r="F601" t="str">
            <v>格好いい</v>
          </cell>
          <cell r="G601" t="str">
            <v>男性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ニーズヘッグ</v>
          </cell>
          <cell r="D602" t="str">
            <v>各属性相性良3・黄・R220</v>
          </cell>
          <cell r="E602" t="str">
            <v>執行者</v>
          </cell>
          <cell r="F602" t="str">
            <v>格好いい</v>
          </cell>
          <cell r="G602" t="str">
            <v>男性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各属性相性良3・黄・R221</v>
          </cell>
          <cell r="E603" t="str">
            <v>執行者</v>
          </cell>
          <cell r="F603" t="str">
            <v>格好いい</v>
          </cell>
          <cell r="G603" t="str">
            <v>男性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balance</v>
          </cell>
          <cell r="L603" t="str">
            <v>バランスタイプ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フレイヤ</v>
          </cell>
          <cell r="D604" t="str">
            <v>各属性相性良3・黄・R222</v>
          </cell>
          <cell r="E604" t="str">
            <v>執行者</v>
          </cell>
          <cell r="F604" t="str">
            <v>格好いい</v>
          </cell>
          <cell r="G604" t="str">
            <v>男性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balance</v>
          </cell>
          <cell r="L604" t="str">
            <v>バランスタイプ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各属性相性良3・黄・R223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バルドル</v>
          </cell>
          <cell r="D606" t="str">
            <v>各属性相性良3・黄・R224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バルドル</v>
          </cell>
          <cell r="D607" t="str">
            <v>各属性相性良3・黄・R225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メガ秘術の果実（+2）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ギガ秘術の果実（+4）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各属性相性良3・黄・R234</v>
          </cell>
          <cell r="E616" t="str">
            <v>執行者</v>
          </cell>
          <cell r="F616" t="str">
            <v>格好いい</v>
          </cell>
          <cell r="G616" t="str">
            <v>男性</v>
          </cell>
          <cell r="H616" t="str">
            <v>red</v>
          </cell>
          <cell r="I616">
            <v>5</v>
          </cell>
          <cell r="J616" t="str">
            <v>PremiumN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各属性相性良3・黄・R235</v>
          </cell>
          <cell r="E617" t="str">
            <v>執行者</v>
          </cell>
          <cell r="F617" t="str">
            <v>格好いい</v>
          </cell>
          <cell r="G617" t="str">
            <v>男性</v>
          </cell>
          <cell r="H617" t="str">
            <v>green</v>
          </cell>
          <cell r="I617">
            <v>5</v>
          </cell>
          <cell r="J617" t="str">
            <v>PremiumN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各属性相性良3・黄・R236</v>
          </cell>
          <cell r="E618" t="str">
            <v>執行者</v>
          </cell>
          <cell r="F618" t="str">
            <v>格好いい</v>
          </cell>
          <cell r="G618" t="str">
            <v>男性</v>
          </cell>
          <cell r="H618" t="str">
            <v>blue</v>
          </cell>
          <cell r="I618">
            <v>5</v>
          </cell>
          <cell r="J618" t="str">
            <v>PremiumN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各属性相性良3・黄・R237</v>
          </cell>
          <cell r="E619" t="str">
            <v>執行者</v>
          </cell>
          <cell r="F619" t="str">
            <v>格好いい</v>
          </cell>
          <cell r="G619" t="str">
            <v>男性</v>
          </cell>
          <cell r="H619" t="str">
            <v>yellow</v>
          </cell>
          <cell r="I619">
            <v>5</v>
          </cell>
          <cell r="J619" t="str">
            <v>PremiumN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各属性相性良3・黄・R238</v>
          </cell>
          <cell r="E620" t="str">
            <v>執行者</v>
          </cell>
          <cell r="F620" t="str">
            <v>格好いい</v>
          </cell>
          <cell r="G620" t="str">
            <v>男性</v>
          </cell>
          <cell r="H620" t="str">
            <v>blue</v>
          </cell>
          <cell r="I620">
            <v>4</v>
          </cell>
          <cell r="J620" t="str">
            <v>PremiumS</v>
          </cell>
          <cell r="K620" t="str">
            <v>attack</v>
          </cell>
          <cell r="L620" t="str">
            <v>攻撃タイプ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メビウス</v>
          </cell>
          <cell r="D621" t="str">
            <v>各属性相性良3・黄・R239</v>
          </cell>
          <cell r="E621" t="str">
            <v>執行者</v>
          </cell>
          <cell r="F621" t="str">
            <v>格好いい</v>
          </cell>
          <cell r="G621" t="str">
            <v>男性</v>
          </cell>
          <cell r="H621" t="str">
            <v>blue</v>
          </cell>
          <cell r="I621">
            <v>5</v>
          </cell>
          <cell r="J621" t="str">
            <v>PremiumS</v>
          </cell>
          <cell r="K621" t="str">
            <v>attack</v>
          </cell>
          <cell r="L621" t="str">
            <v>攻撃タイプ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メビウス</v>
          </cell>
          <cell r="D622" t="str">
            <v>各属性相性良3・黄・R240</v>
          </cell>
          <cell r="E622" t="str">
            <v>執行者</v>
          </cell>
          <cell r="F622" t="str">
            <v>格好いい</v>
          </cell>
          <cell r="G622" t="str">
            <v>男性</v>
          </cell>
          <cell r="H622" t="str">
            <v>blue</v>
          </cell>
          <cell r="I622">
            <v>6</v>
          </cell>
          <cell r="J622" t="str">
            <v>PremiumS</v>
          </cell>
          <cell r="K622" t="str">
            <v>attack</v>
          </cell>
          <cell r="L622" t="str">
            <v>攻撃タイプ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フェルマー</v>
          </cell>
          <cell r="D623" t="str">
            <v>各属性相性良3・黄・R241</v>
          </cell>
          <cell r="E623" t="str">
            <v>執行者</v>
          </cell>
          <cell r="F623" t="str">
            <v>格好いい</v>
          </cell>
          <cell r="G623" t="str">
            <v>男性</v>
          </cell>
          <cell r="H623" t="str">
            <v>blue</v>
          </cell>
          <cell r="I623">
            <v>4</v>
          </cell>
          <cell r="J623" t="str">
            <v>PremiumS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各属性相性良3・黄・R242</v>
          </cell>
          <cell r="E624" t="str">
            <v>執行者</v>
          </cell>
          <cell r="F624" t="str">
            <v>格好いい</v>
          </cell>
          <cell r="G624" t="str">
            <v>男性</v>
          </cell>
          <cell r="H624" t="str">
            <v>blue</v>
          </cell>
          <cell r="I624">
            <v>5</v>
          </cell>
          <cell r="J624" t="str">
            <v>PremiumS</v>
          </cell>
          <cell r="K624" t="str">
            <v>attack</v>
          </cell>
          <cell r="L624" t="str">
            <v>攻撃タイプ</v>
          </cell>
          <cell r="M624" t="str">
            <v>human</v>
          </cell>
        </row>
        <row r="625">
          <cell r="A625">
            <v>624</v>
          </cell>
          <cell r="B625" t="str">
            <v>ja</v>
          </cell>
          <cell r="C625" t="str">
            <v>フェルマー</v>
          </cell>
          <cell r="D625" t="str">
            <v>各属性相性良3・黄・R243</v>
          </cell>
          <cell r="E625" t="str">
            <v>執行者</v>
          </cell>
          <cell r="F625" t="str">
            <v>格好いい</v>
          </cell>
          <cell r="G625" t="str">
            <v>男性</v>
          </cell>
          <cell r="H625" t="str">
            <v>blue</v>
          </cell>
          <cell r="I625">
            <v>6</v>
          </cell>
          <cell r="J625" t="str">
            <v>PremiumS</v>
          </cell>
          <cell r="K625" t="str">
            <v>attack</v>
          </cell>
          <cell r="L625" t="str">
            <v>攻撃タイプ</v>
          </cell>
          <cell r="M625" t="str">
            <v>human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各属性相性良3・黄・R244</v>
          </cell>
          <cell r="E626" t="str">
            <v>執行者</v>
          </cell>
          <cell r="F626" t="str">
            <v>格好いい</v>
          </cell>
          <cell r="G626" t="str">
            <v>男性</v>
          </cell>
          <cell r="H626" t="str">
            <v>blue</v>
          </cell>
          <cell r="I626">
            <v>4</v>
          </cell>
          <cell r="J626" t="str">
            <v>PremiumS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各属性相性良3・黄・R245</v>
          </cell>
          <cell r="E627" t="str">
            <v>執行者</v>
          </cell>
          <cell r="F627" t="str">
            <v>格好いい</v>
          </cell>
          <cell r="G627" t="str">
            <v>男性</v>
          </cell>
          <cell r="H627" t="str">
            <v>blue</v>
          </cell>
          <cell r="I627">
            <v>5</v>
          </cell>
          <cell r="J627" t="str">
            <v>PremiumS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ユークリット</v>
          </cell>
          <cell r="D628" t="str">
            <v>各属性相性良3・黄・R246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blue</v>
          </cell>
          <cell r="I628">
            <v>4</v>
          </cell>
          <cell r="J628" t="str">
            <v>PremiumS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ユークリット</v>
          </cell>
          <cell r="D629" t="str">
            <v>各属性相性良3・黄・R247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blue</v>
          </cell>
          <cell r="I629">
            <v>5</v>
          </cell>
          <cell r="J629" t="str">
            <v>PremiumS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フーリエ</v>
          </cell>
          <cell r="D630" t="str">
            <v>各属性相性良3・黄・R248</v>
          </cell>
          <cell r="E630" t="str">
            <v>執行者</v>
          </cell>
          <cell r="F630" t="str">
            <v>格好いい</v>
          </cell>
          <cell r="G630" t="str">
            <v>男性</v>
          </cell>
          <cell r="H630" t="str">
            <v>blue</v>
          </cell>
          <cell r="I630">
            <v>4</v>
          </cell>
          <cell r="J630" t="str">
            <v>PremiumS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フーリエ</v>
          </cell>
          <cell r="D631" t="str">
            <v>各属性相性良3・黄・R249</v>
          </cell>
          <cell r="E631" t="str">
            <v>執行者</v>
          </cell>
          <cell r="F631" t="str">
            <v>格好いい</v>
          </cell>
          <cell r="G631" t="str">
            <v>男性</v>
          </cell>
          <cell r="H631" t="str">
            <v>blue</v>
          </cell>
          <cell r="I631">
            <v>5</v>
          </cell>
          <cell r="J631" t="str">
            <v>PremiumS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各属性相性良3・黄・R250</v>
          </cell>
          <cell r="E632" t="str">
            <v>執行者</v>
          </cell>
          <cell r="F632" t="str">
            <v>格好いい</v>
          </cell>
          <cell r="G632" t="str">
            <v>男性</v>
          </cell>
          <cell r="H632" t="str">
            <v>blue</v>
          </cell>
          <cell r="I632">
            <v>4</v>
          </cell>
          <cell r="J632" t="str">
            <v>PremiumS</v>
          </cell>
          <cell r="K632" t="str">
            <v>attack</v>
          </cell>
          <cell r="L632" t="str">
            <v>攻撃タイプ</v>
          </cell>
          <cell r="M632" t="str">
            <v>human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各属性相性良3・黄・R251</v>
          </cell>
          <cell r="E633" t="str">
            <v>執行者</v>
          </cell>
          <cell r="F633" t="str">
            <v>格好いい</v>
          </cell>
          <cell r="G633" t="str">
            <v>男性</v>
          </cell>
          <cell r="H633" t="str">
            <v>blue</v>
          </cell>
          <cell r="I633">
            <v>5</v>
          </cell>
          <cell r="J633" t="str">
            <v>PremiumS</v>
          </cell>
          <cell r="K633" t="str">
            <v>attack</v>
          </cell>
          <cell r="L633" t="str">
            <v>攻撃タイプ</v>
          </cell>
          <cell r="M633" t="str">
            <v>human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各属性相性良3・黄・R252</v>
          </cell>
          <cell r="E634" t="str">
            <v>執行者</v>
          </cell>
          <cell r="F634" t="str">
            <v>格好いい</v>
          </cell>
          <cell r="G634" t="str">
            <v>男性</v>
          </cell>
          <cell r="H634" t="str">
            <v>blue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human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各属性相性良3・黄・R253</v>
          </cell>
          <cell r="E635" t="str">
            <v>執行者</v>
          </cell>
          <cell r="F635" t="str">
            <v>格好いい</v>
          </cell>
          <cell r="G635" t="str">
            <v>男性</v>
          </cell>
          <cell r="H635" t="str">
            <v>blue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human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各属性相性良3・黄・R254</v>
          </cell>
          <cell r="E636" t="str">
            <v>執行者</v>
          </cell>
          <cell r="F636" t="str">
            <v>格好いい</v>
          </cell>
          <cell r="G636" t="str">
            <v>男性</v>
          </cell>
          <cell r="H636" t="str">
            <v>blue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human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各属性相性良3・黄・R255</v>
          </cell>
          <cell r="E637" t="str">
            <v>執行者</v>
          </cell>
          <cell r="F637" t="str">
            <v>格好いい</v>
          </cell>
          <cell r="G637" t="str">
            <v>男性</v>
          </cell>
          <cell r="H637" t="str">
            <v>blue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human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各属性相性良3・黄・R256</v>
          </cell>
          <cell r="E638" t="str">
            <v>執行者</v>
          </cell>
          <cell r="F638" t="str">
            <v>格好いい</v>
          </cell>
          <cell r="G638" t="str">
            <v>男性</v>
          </cell>
          <cell r="H638" t="str">
            <v>blue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human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各属性相性良3・黄・R257</v>
          </cell>
          <cell r="E639" t="str">
            <v>執行者</v>
          </cell>
          <cell r="F639" t="str">
            <v>格好いい</v>
          </cell>
          <cell r="G639" t="str">
            <v>男性</v>
          </cell>
          <cell r="H639" t="str">
            <v>blue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human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各属性相性良3・黄・R258</v>
          </cell>
          <cell r="E640" t="str">
            <v>執行者</v>
          </cell>
          <cell r="F640" t="str">
            <v>格好いい</v>
          </cell>
          <cell r="G640" t="str">
            <v>男性</v>
          </cell>
          <cell r="H640" t="str">
            <v>blue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human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各属性相性良3・黄・R259</v>
          </cell>
          <cell r="E641" t="str">
            <v>執行者</v>
          </cell>
          <cell r="F641" t="str">
            <v>格好いい</v>
          </cell>
          <cell r="G641" t="str">
            <v>男性</v>
          </cell>
          <cell r="H641" t="str">
            <v>blue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human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各属性相性良3・黄・R260</v>
          </cell>
          <cell r="E642" t="str">
            <v>執行者</v>
          </cell>
          <cell r="F642" t="str">
            <v>格好いい</v>
          </cell>
          <cell r="G642" t="str">
            <v>男性</v>
          </cell>
          <cell r="H642" t="str">
            <v>blue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human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各属性相性良3・黄・R261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blue</v>
          </cell>
          <cell r="I643">
            <v>4</v>
          </cell>
          <cell r="J643" t="str">
            <v>PremiumS</v>
          </cell>
          <cell r="K643" t="str">
            <v>attack</v>
          </cell>
          <cell r="L643" t="str">
            <v>攻撃タイプ</v>
          </cell>
          <cell r="M643" t="str">
            <v>human</v>
          </cell>
        </row>
        <row r="644">
          <cell r="A644">
            <v>643</v>
          </cell>
          <cell r="B644" t="str">
            <v>ja</v>
          </cell>
          <cell r="C644" t="str">
            <v>カーマ</v>
          </cell>
          <cell r="D644" t="str">
            <v>各属性相性良3・黄・R262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blue</v>
          </cell>
          <cell r="I644">
            <v>5</v>
          </cell>
          <cell r="J644" t="str">
            <v>PremiumS</v>
          </cell>
          <cell r="K644" t="str">
            <v>attack</v>
          </cell>
          <cell r="L644" t="str">
            <v>攻撃タイプ</v>
          </cell>
          <cell r="M644" t="str">
            <v>human</v>
          </cell>
        </row>
        <row r="645">
          <cell r="A645">
            <v>644</v>
          </cell>
          <cell r="B645" t="str">
            <v>ja</v>
          </cell>
          <cell r="C645" t="str">
            <v>カラス天狗</v>
          </cell>
          <cell r="D645" t="str">
            <v>各属性相性良3・黄・R263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blue</v>
          </cell>
          <cell r="I645">
            <v>4</v>
          </cell>
          <cell r="J645" t="str">
            <v>PremiumS</v>
          </cell>
          <cell r="K645" t="str">
            <v>attack</v>
          </cell>
          <cell r="L645" t="str">
            <v>攻撃タイプ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カラス天狗</v>
          </cell>
          <cell r="D646" t="str">
            <v>各属性相性良3・黄・R264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blue</v>
          </cell>
          <cell r="I646">
            <v>5</v>
          </cell>
          <cell r="J646" t="str">
            <v>PremiumS</v>
          </cell>
          <cell r="K646" t="str">
            <v>attack</v>
          </cell>
          <cell r="L646" t="str">
            <v>攻撃タイプ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</v>
          </cell>
          <cell r="D647" t="str">
            <v>各属性相性良3・黄・R265</v>
          </cell>
          <cell r="E647" t="str">
            <v>執行者</v>
          </cell>
          <cell r="F647" t="str">
            <v>格好いい</v>
          </cell>
          <cell r="G647" t="str">
            <v>男性</v>
          </cell>
          <cell r="H647" t="str">
            <v>blue</v>
          </cell>
          <cell r="I647">
            <v>4</v>
          </cell>
          <cell r="J647" t="str">
            <v>PremiumS</v>
          </cell>
          <cell r="K647" t="str">
            <v>attack</v>
          </cell>
          <cell r="L647" t="str">
            <v>攻撃タイプ</v>
          </cell>
          <cell r="M647" t="str">
            <v>human</v>
          </cell>
        </row>
        <row r="648">
          <cell r="A648">
            <v>647</v>
          </cell>
          <cell r="B648" t="str">
            <v>ja</v>
          </cell>
          <cell r="C648" t="str">
            <v>雪女</v>
          </cell>
          <cell r="D648" t="str">
            <v>各属性相性良3・黄・R266</v>
          </cell>
          <cell r="E648" t="str">
            <v>執行者</v>
          </cell>
          <cell r="F648" t="str">
            <v>格好いい</v>
          </cell>
          <cell r="G648" t="str">
            <v>男性</v>
          </cell>
          <cell r="H648" t="str">
            <v>blue</v>
          </cell>
          <cell r="I648">
            <v>5</v>
          </cell>
          <cell r="J648" t="str">
            <v>PremiumS</v>
          </cell>
          <cell r="K648" t="str">
            <v>attack</v>
          </cell>
          <cell r="L648" t="str">
            <v>攻撃タイプ</v>
          </cell>
          <cell r="M648" t="str">
            <v>human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各属性相性良3・黄・R267</v>
          </cell>
          <cell r="E649" t="str">
            <v>執行者</v>
          </cell>
          <cell r="F649" t="str">
            <v>格好いい</v>
          </cell>
          <cell r="G649" t="str">
            <v>男性</v>
          </cell>
          <cell r="H649" t="str">
            <v>blue</v>
          </cell>
          <cell r="I649">
            <v>4</v>
          </cell>
          <cell r="J649" t="str">
            <v>PremiumS</v>
          </cell>
          <cell r="K649" t="str">
            <v>attack</v>
          </cell>
          <cell r="L649" t="str">
            <v>攻撃タイプ</v>
          </cell>
          <cell r="M649" t="str">
            <v>human</v>
          </cell>
        </row>
        <row r="650">
          <cell r="A650">
            <v>649</v>
          </cell>
          <cell r="B650" t="str">
            <v>ja</v>
          </cell>
          <cell r="C650" t="str">
            <v>パールヴァティ</v>
          </cell>
          <cell r="D650" t="str">
            <v>各属性相性良3・黄・R268</v>
          </cell>
          <cell r="E650" t="str">
            <v>執行者</v>
          </cell>
          <cell r="F650" t="str">
            <v>格好いい</v>
          </cell>
          <cell r="G650" t="str">
            <v>男性</v>
          </cell>
          <cell r="H650" t="str">
            <v>blue</v>
          </cell>
          <cell r="I650">
            <v>5</v>
          </cell>
          <cell r="J650" t="str">
            <v>PremiumS</v>
          </cell>
          <cell r="K650" t="str">
            <v>attack</v>
          </cell>
          <cell r="L650" t="str">
            <v>攻撃タイプ</v>
          </cell>
          <cell r="M650" t="str">
            <v>human</v>
          </cell>
        </row>
        <row r="651">
          <cell r="A651">
            <v>650</v>
          </cell>
          <cell r="B651" t="str">
            <v>ja</v>
          </cell>
          <cell r="C651" t="str">
            <v>土蜘蛛</v>
          </cell>
          <cell r="D651" t="str">
            <v>各属性相性良3・黄・R269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blue</v>
          </cell>
          <cell r="I651">
            <v>4</v>
          </cell>
          <cell r="J651" t="str">
            <v>PremiumS</v>
          </cell>
          <cell r="K651" t="str">
            <v>attack</v>
          </cell>
          <cell r="L651" t="str">
            <v>攻撃タイプ</v>
          </cell>
          <cell r="M651" t="str">
            <v>human</v>
          </cell>
        </row>
        <row r="652">
          <cell r="A652">
            <v>651</v>
          </cell>
          <cell r="B652" t="str">
            <v>ja</v>
          </cell>
          <cell r="C652" t="str">
            <v>土蜘蛛</v>
          </cell>
          <cell r="D652" t="str">
            <v>各属性相性良3・黄・R270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blue</v>
          </cell>
          <cell r="I652">
            <v>5</v>
          </cell>
          <cell r="J652" t="str">
            <v>PremiumS</v>
          </cell>
          <cell r="K652" t="str">
            <v>attack</v>
          </cell>
          <cell r="L652" t="str">
            <v>攻撃タイプ</v>
          </cell>
          <cell r="M652" t="str">
            <v>human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各属性相性良3・黄・R271</v>
          </cell>
          <cell r="E653" t="str">
            <v>執行者</v>
          </cell>
          <cell r="F653" t="str">
            <v>格好いい</v>
          </cell>
          <cell r="G653" t="str">
            <v>男性</v>
          </cell>
          <cell r="H653" t="str">
            <v>blue</v>
          </cell>
          <cell r="I653">
            <v>4</v>
          </cell>
          <cell r="J653" t="str">
            <v>PremiumS</v>
          </cell>
          <cell r="K653" t="str">
            <v>attack</v>
          </cell>
          <cell r="L653" t="str">
            <v>攻撃タイプ</v>
          </cell>
          <cell r="M653" t="str">
            <v>human</v>
          </cell>
        </row>
        <row r="654">
          <cell r="A654">
            <v>653</v>
          </cell>
          <cell r="B654" t="str">
            <v>ja</v>
          </cell>
          <cell r="C654" t="str">
            <v>アナンタ</v>
          </cell>
          <cell r="D654" t="str">
            <v>各属性相性良3・黄・R272</v>
          </cell>
          <cell r="E654" t="str">
            <v>執行者</v>
          </cell>
          <cell r="F654" t="str">
            <v>格好いい</v>
          </cell>
          <cell r="G654" t="str">
            <v>男性</v>
          </cell>
          <cell r="H654" t="str">
            <v>blue</v>
          </cell>
          <cell r="I654">
            <v>5</v>
          </cell>
          <cell r="J654" t="str">
            <v>PremiumS</v>
          </cell>
          <cell r="K654" t="str">
            <v>attack</v>
          </cell>
          <cell r="L654" t="str">
            <v>攻撃タイプ</v>
          </cell>
          <cell r="M654" t="str">
            <v>human</v>
          </cell>
        </row>
        <row r="655">
          <cell r="A655">
            <v>654</v>
          </cell>
          <cell r="B655" t="str">
            <v>ja</v>
          </cell>
          <cell r="C655" t="str">
            <v>鬼（酒呑童子）</v>
          </cell>
          <cell r="D655" t="str">
            <v>各属性相性良3・黄・R273</v>
          </cell>
          <cell r="E655" t="str">
            <v>執行者</v>
          </cell>
          <cell r="F655" t="str">
            <v>格好いい</v>
          </cell>
          <cell r="G655" t="str">
            <v>男性</v>
          </cell>
          <cell r="H655" t="str">
            <v>blue</v>
          </cell>
          <cell r="I655">
            <v>4</v>
          </cell>
          <cell r="J655" t="str">
            <v>PremiumS</v>
          </cell>
          <cell r="K655" t="str">
            <v>attack</v>
          </cell>
          <cell r="L655" t="str">
            <v>攻撃タイプ</v>
          </cell>
          <cell r="M655" t="str">
            <v>human</v>
          </cell>
        </row>
        <row r="656">
          <cell r="A656">
            <v>655</v>
          </cell>
          <cell r="B656" t="str">
            <v>ja</v>
          </cell>
          <cell r="C656" t="str">
            <v>鬼（酒呑童子）</v>
          </cell>
          <cell r="D656" t="str">
            <v>各属性相性良3・黄・R274</v>
          </cell>
          <cell r="E656" t="str">
            <v>執行者</v>
          </cell>
          <cell r="F656" t="str">
            <v>格好いい</v>
          </cell>
          <cell r="G656" t="str">
            <v>男性</v>
          </cell>
          <cell r="H656" t="str">
            <v>blue</v>
          </cell>
          <cell r="I656">
            <v>5</v>
          </cell>
          <cell r="J656" t="str">
            <v>PremiumS</v>
          </cell>
          <cell r="K656" t="str">
            <v>attack</v>
          </cell>
          <cell r="L656" t="str">
            <v>攻撃タイプ</v>
          </cell>
          <cell r="M656" t="str">
            <v>human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各属性相性良3・黄・R275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PremiumS</v>
          </cell>
          <cell r="K657" t="str">
            <v>attack</v>
          </cell>
          <cell r="L657" t="str">
            <v>攻撃タイプ</v>
          </cell>
          <cell r="M657" t="str">
            <v>human</v>
          </cell>
        </row>
        <row r="658">
          <cell r="A658">
            <v>657</v>
          </cell>
          <cell r="B658" t="str">
            <v>ja</v>
          </cell>
          <cell r="C658" t="str">
            <v>シヴァ</v>
          </cell>
          <cell r="D658" t="str">
            <v>各属性相性良3・黄・R276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PremiumS</v>
          </cell>
          <cell r="K658" t="str">
            <v>attack</v>
          </cell>
          <cell r="L658" t="str">
            <v>攻撃タイプ</v>
          </cell>
          <cell r="M658" t="str">
            <v>human</v>
          </cell>
        </row>
        <row r="659">
          <cell r="A659">
            <v>658</v>
          </cell>
          <cell r="B659" t="str">
            <v>ja</v>
          </cell>
          <cell r="C659" t="str">
            <v>化け猫</v>
          </cell>
          <cell r="D659" t="str">
            <v>各属性相性良3・黄・R277</v>
          </cell>
          <cell r="E659" t="str">
            <v>執行者</v>
          </cell>
          <cell r="F659" t="str">
            <v>格好いい</v>
          </cell>
          <cell r="G659" t="str">
            <v>男性</v>
          </cell>
          <cell r="H659" t="str">
            <v>blue</v>
          </cell>
          <cell r="I659">
            <v>3</v>
          </cell>
          <cell r="J659" t="str">
            <v>PremiumS</v>
          </cell>
          <cell r="K659" t="str">
            <v>attack</v>
          </cell>
          <cell r="L659" t="str">
            <v>攻撃タイプ</v>
          </cell>
          <cell r="M659" t="str">
            <v>human</v>
          </cell>
        </row>
        <row r="660">
          <cell r="A660">
            <v>659</v>
          </cell>
          <cell r="B660" t="str">
            <v>ja</v>
          </cell>
          <cell r="C660" t="str">
            <v>化け猫</v>
          </cell>
          <cell r="D660" t="str">
            <v>各属性相性良3・黄・R278</v>
          </cell>
          <cell r="E660" t="str">
            <v>執行者</v>
          </cell>
          <cell r="F660" t="str">
            <v>格好いい</v>
          </cell>
          <cell r="G660" t="str">
            <v>男性</v>
          </cell>
          <cell r="H660" t="str">
            <v>blue</v>
          </cell>
          <cell r="I660">
            <v>4</v>
          </cell>
          <cell r="J660" t="str">
            <v>PremiumS</v>
          </cell>
          <cell r="K660" t="str">
            <v>attack</v>
          </cell>
          <cell r="L660" t="str">
            <v>攻撃タイプ</v>
          </cell>
          <cell r="M660" t="str">
            <v>human</v>
          </cell>
        </row>
        <row r="661">
          <cell r="A661">
            <v>660</v>
          </cell>
          <cell r="B661" t="str">
            <v>ja</v>
          </cell>
          <cell r="C661" t="str">
            <v>化け猫</v>
          </cell>
          <cell r="D661" t="str">
            <v>各属性相性良3・黄・R279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blue</v>
          </cell>
          <cell r="I661">
            <v>5</v>
          </cell>
          <cell r="J661" t="str">
            <v>PremiumS</v>
          </cell>
          <cell r="K661" t="str">
            <v>attack</v>
          </cell>
          <cell r="L661" t="str">
            <v>攻撃タイプ</v>
          </cell>
          <cell r="M661" t="str">
            <v>human</v>
          </cell>
        </row>
        <row r="662">
          <cell r="A662">
            <v>661</v>
          </cell>
          <cell r="B662" t="str">
            <v>ja</v>
          </cell>
          <cell r="C662" t="str">
            <v>ぬらりひょん</v>
          </cell>
          <cell r="D662" t="str">
            <v>各属性相性良3・黄・R280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blue</v>
          </cell>
          <cell r="I662">
            <v>4</v>
          </cell>
          <cell r="J662" t="str">
            <v>PremiumS</v>
          </cell>
          <cell r="K662" t="str">
            <v>attack</v>
          </cell>
          <cell r="L662" t="str">
            <v>攻撃タイプ</v>
          </cell>
          <cell r="M662" t="str">
            <v>human</v>
          </cell>
        </row>
        <row r="663">
          <cell r="A663">
            <v>662</v>
          </cell>
          <cell r="B663" t="str">
            <v>ja</v>
          </cell>
          <cell r="C663" t="str">
            <v>ぬらりひょん</v>
          </cell>
          <cell r="D663" t="str">
            <v>各属性相性良3・黄・R281</v>
          </cell>
          <cell r="E663" t="str">
            <v>執行者</v>
          </cell>
          <cell r="F663" t="str">
            <v>格好いい</v>
          </cell>
          <cell r="G663" t="str">
            <v>男性</v>
          </cell>
          <cell r="H663" t="str">
            <v>blue</v>
          </cell>
          <cell r="I663">
            <v>5</v>
          </cell>
          <cell r="J663" t="str">
            <v>PremiumS</v>
          </cell>
          <cell r="K663" t="str">
            <v>attack</v>
          </cell>
          <cell r="L663" t="str">
            <v>攻撃タイプ</v>
          </cell>
          <cell r="M663" t="str">
            <v>human</v>
          </cell>
        </row>
        <row r="664">
          <cell r="A664">
            <v>663</v>
          </cell>
          <cell r="B664" t="str">
            <v>ja</v>
          </cell>
          <cell r="C664" t="str">
            <v>デイダラボッチ</v>
          </cell>
          <cell r="D664" t="str">
            <v>各属性相性良3・黄・R282</v>
          </cell>
          <cell r="E664" t="str">
            <v>執行者</v>
          </cell>
          <cell r="F664" t="str">
            <v>格好いい</v>
          </cell>
          <cell r="G664" t="str">
            <v>男性</v>
          </cell>
          <cell r="H664" t="str">
            <v>blue</v>
          </cell>
          <cell r="I664">
            <v>3</v>
          </cell>
          <cell r="J664" t="str">
            <v>PremiumS</v>
          </cell>
          <cell r="K664" t="str">
            <v>attack</v>
          </cell>
          <cell r="L664" t="str">
            <v>攻撃タイプ</v>
          </cell>
          <cell r="M664" t="str">
            <v>human</v>
          </cell>
        </row>
        <row r="665">
          <cell r="A665">
            <v>664</v>
          </cell>
          <cell r="B665" t="str">
            <v>ja</v>
          </cell>
          <cell r="C665" t="str">
            <v>デイダラボッチ</v>
          </cell>
          <cell r="D665" t="str">
            <v>各属性相性良3・黄・R283</v>
          </cell>
          <cell r="E665" t="str">
            <v>執行者</v>
          </cell>
          <cell r="F665" t="str">
            <v>格好いい</v>
          </cell>
          <cell r="G665" t="str">
            <v>男性</v>
          </cell>
          <cell r="H665" t="str">
            <v>blue</v>
          </cell>
          <cell r="I665">
            <v>4</v>
          </cell>
          <cell r="J665" t="str">
            <v>PremiumS</v>
          </cell>
          <cell r="K665" t="str">
            <v>attack</v>
          </cell>
          <cell r="L665" t="str">
            <v>攻撃タイプ</v>
          </cell>
          <cell r="M665" t="str">
            <v>human</v>
          </cell>
        </row>
        <row r="666">
          <cell r="A666">
            <v>665</v>
          </cell>
          <cell r="B666" t="str">
            <v>ja</v>
          </cell>
          <cell r="C666" t="str">
            <v>デイダラボッチ</v>
          </cell>
          <cell r="D666" t="str">
            <v>各属性相性良3・黄・R284</v>
          </cell>
          <cell r="E666" t="str">
            <v>執行者</v>
          </cell>
          <cell r="F666" t="str">
            <v>格好いい</v>
          </cell>
          <cell r="G666" t="str">
            <v>男性</v>
          </cell>
          <cell r="H666" t="str">
            <v>blue</v>
          </cell>
          <cell r="I666">
            <v>5</v>
          </cell>
          <cell r="J666" t="str">
            <v>PremiumS</v>
          </cell>
          <cell r="K666" t="str">
            <v>attack</v>
          </cell>
          <cell r="L666" t="str">
            <v>攻撃タイプ</v>
          </cell>
          <cell r="M666" t="str">
            <v>human</v>
          </cell>
        </row>
        <row r="667">
          <cell r="A667">
            <v>666</v>
          </cell>
          <cell r="B667" t="str">
            <v>ja</v>
          </cell>
          <cell r="C667" t="str">
            <v>座敷童子</v>
          </cell>
          <cell r="D667" t="str">
            <v>各属性相性良3・黄・R285</v>
          </cell>
          <cell r="E667" t="str">
            <v>執行者</v>
          </cell>
          <cell r="F667" t="str">
            <v>格好いい</v>
          </cell>
          <cell r="G667" t="str">
            <v>男性</v>
          </cell>
          <cell r="H667" t="str">
            <v>blue</v>
          </cell>
          <cell r="I667">
            <v>3</v>
          </cell>
          <cell r="J667" t="str">
            <v>PremiumS</v>
          </cell>
          <cell r="K667" t="str">
            <v>attack</v>
          </cell>
          <cell r="L667" t="str">
            <v>攻撃タイプ</v>
          </cell>
          <cell r="M667" t="str">
            <v>human</v>
          </cell>
        </row>
        <row r="668">
          <cell r="A668">
            <v>667</v>
          </cell>
          <cell r="B668" t="str">
            <v>ja</v>
          </cell>
          <cell r="C668" t="str">
            <v>座敷童子</v>
          </cell>
          <cell r="D668" t="str">
            <v>各属性相性良3・黄・R286</v>
          </cell>
          <cell r="E668" t="str">
            <v>執行者</v>
          </cell>
          <cell r="F668" t="str">
            <v>格好いい</v>
          </cell>
          <cell r="G668" t="str">
            <v>男性</v>
          </cell>
          <cell r="H668" t="str">
            <v>blue</v>
          </cell>
          <cell r="I668">
            <v>4</v>
          </cell>
          <cell r="J668" t="str">
            <v>PremiumS</v>
          </cell>
          <cell r="K668" t="str">
            <v>attack</v>
          </cell>
          <cell r="L668" t="str">
            <v>攻撃タイプ</v>
          </cell>
          <cell r="M668" t="str">
            <v>human</v>
          </cell>
        </row>
        <row r="669">
          <cell r="A669">
            <v>668</v>
          </cell>
          <cell r="B669" t="str">
            <v>ja</v>
          </cell>
          <cell r="C669" t="str">
            <v>座敷童子</v>
          </cell>
          <cell r="D669" t="str">
            <v>各属性相性良3・黄・R287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blue</v>
          </cell>
          <cell r="I669">
            <v>5</v>
          </cell>
          <cell r="J669" t="str">
            <v>PremiumS</v>
          </cell>
          <cell r="K669" t="str">
            <v>attack</v>
          </cell>
          <cell r="L669" t="str">
            <v>攻撃タイプ</v>
          </cell>
          <cell r="M669" t="str">
            <v>human</v>
          </cell>
        </row>
        <row r="670">
          <cell r="A670">
            <v>669</v>
          </cell>
          <cell r="B670" t="str">
            <v>ja</v>
          </cell>
          <cell r="C670" t="str">
            <v>アグニ</v>
          </cell>
          <cell r="D670" t="str">
            <v>各属性相性良3・黄・R288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blue</v>
          </cell>
          <cell r="I670">
            <v>3</v>
          </cell>
          <cell r="J670" t="str">
            <v>PremiumS</v>
          </cell>
          <cell r="K670" t="str">
            <v>attack</v>
          </cell>
          <cell r="L670" t="str">
            <v>攻撃タイプ</v>
          </cell>
          <cell r="M670" t="str">
            <v>human</v>
          </cell>
        </row>
        <row r="671">
          <cell r="A671">
            <v>670</v>
          </cell>
          <cell r="B671" t="str">
            <v>ja</v>
          </cell>
          <cell r="C671" t="str">
            <v>アグニ</v>
          </cell>
          <cell r="D671" t="str">
            <v>各属性相性良3・黄・R289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blue</v>
          </cell>
          <cell r="I671">
            <v>4</v>
          </cell>
          <cell r="J671" t="str">
            <v>PremiumS</v>
          </cell>
          <cell r="K671" t="str">
            <v>attack</v>
          </cell>
          <cell r="L671" t="str">
            <v>攻撃タイプ</v>
          </cell>
          <cell r="M671" t="str">
            <v>human</v>
          </cell>
        </row>
        <row r="672">
          <cell r="A672">
            <v>671</v>
          </cell>
          <cell r="B672" t="str">
            <v>ja</v>
          </cell>
          <cell r="C672" t="str">
            <v>アグニ</v>
          </cell>
          <cell r="D672" t="str">
            <v>各属性相性良3・黄・R290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blue</v>
          </cell>
          <cell r="I672">
            <v>5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human</v>
          </cell>
        </row>
        <row r="673">
          <cell r="A673">
            <v>672</v>
          </cell>
          <cell r="B673" t="str">
            <v>ja</v>
          </cell>
          <cell r="C673" t="str">
            <v>ハヌマーン</v>
          </cell>
          <cell r="D673" t="str">
            <v>各属性相性良3・黄・R291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blue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human</v>
          </cell>
        </row>
        <row r="674">
          <cell r="A674">
            <v>673</v>
          </cell>
          <cell r="B674" t="str">
            <v>ja</v>
          </cell>
          <cell r="C674" t="str">
            <v>ハヌマーン</v>
          </cell>
          <cell r="D674" t="str">
            <v>各属性相性良3・黄・R292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blue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human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各属性相性良3・黄・R293</v>
          </cell>
          <cell r="E675" t="str">
            <v>執行者</v>
          </cell>
          <cell r="F675" t="str">
            <v>格好いい</v>
          </cell>
          <cell r="G675" t="str">
            <v>男性</v>
          </cell>
          <cell r="H675" t="str">
            <v>blue</v>
          </cell>
          <cell r="I675">
            <v>3</v>
          </cell>
          <cell r="J675" t="str">
            <v>PremiumS</v>
          </cell>
          <cell r="K675" t="str">
            <v>attack</v>
          </cell>
          <cell r="L675" t="str">
            <v>攻撃タイプ</v>
          </cell>
          <cell r="M675" t="str">
            <v>human</v>
          </cell>
        </row>
        <row r="676">
          <cell r="A676">
            <v>675</v>
          </cell>
          <cell r="B676" t="str">
            <v>ja</v>
          </cell>
          <cell r="C676" t="str">
            <v>サラスヴァティ</v>
          </cell>
          <cell r="D676" t="str">
            <v>各属性相性良3・黄・R294</v>
          </cell>
          <cell r="E676" t="str">
            <v>執行者</v>
          </cell>
          <cell r="F676" t="str">
            <v>格好いい</v>
          </cell>
          <cell r="G676" t="str">
            <v>男性</v>
          </cell>
          <cell r="H676" t="str">
            <v>blue</v>
          </cell>
          <cell r="I676">
            <v>4</v>
          </cell>
          <cell r="J676" t="str">
            <v>PremiumS</v>
          </cell>
          <cell r="K676" t="str">
            <v>attack</v>
          </cell>
          <cell r="L676" t="str">
            <v>攻撃タイプ</v>
          </cell>
          <cell r="M676" t="str">
            <v>human</v>
          </cell>
        </row>
        <row r="677">
          <cell r="A677">
            <v>676</v>
          </cell>
          <cell r="B677" t="str">
            <v>ja</v>
          </cell>
          <cell r="C677" t="str">
            <v>サラスヴァティ</v>
          </cell>
          <cell r="D677" t="str">
            <v>各属性相性良3・黄・R295</v>
          </cell>
          <cell r="E677" t="str">
            <v>執行者</v>
          </cell>
          <cell r="F677" t="str">
            <v>格好いい</v>
          </cell>
          <cell r="G677" t="str">
            <v>男性</v>
          </cell>
          <cell r="H677" t="str">
            <v>blue</v>
          </cell>
          <cell r="I677">
            <v>5</v>
          </cell>
          <cell r="J677" t="str">
            <v>PremiumS</v>
          </cell>
          <cell r="K677" t="str">
            <v>attack</v>
          </cell>
          <cell r="L677" t="str">
            <v>攻撃タイプ</v>
          </cell>
          <cell r="M677" t="str">
            <v>human</v>
          </cell>
        </row>
        <row r="678">
          <cell r="A678">
            <v>677</v>
          </cell>
          <cell r="B678" t="str">
            <v>ja</v>
          </cell>
          <cell r="C678" t="str">
            <v>ヴィシュヌ</v>
          </cell>
          <cell r="D678" t="str">
            <v>各属性相性良3・黄・R296</v>
          </cell>
          <cell r="E678" t="str">
            <v>執行者</v>
          </cell>
          <cell r="F678" t="str">
            <v>格好いい</v>
          </cell>
          <cell r="G678" t="str">
            <v>男性</v>
          </cell>
          <cell r="H678" t="str">
            <v>blue</v>
          </cell>
          <cell r="I678">
            <v>4</v>
          </cell>
          <cell r="J678" t="str">
            <v>PremiumS</v>
          </cell>
          <cell r="K678" t="str">
            <v>attack</v>
          </cell>
          <cell r="L678" t="str">
            <v>攻撃タイプ</v>
          </cell>
          <cell r="M678" t="str">
            <v>human</v>
          </cell>
        </row>
        <row r="679">
          <cell r="A679">
            <v>678</v>
          </cell>
          <cell r="B679" t="str">
            <v>ja</v>
          </cell>
          <cell r="C679" t="str">
            <v>ヴィシュヌ</v>
          </cell>
          <cell r="D679" t="str">
            <v>各属性相性良3・黄・R297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blue</v>
          </cell>
          <cell r="I679">
            <v>5</v>
          </cell>
          <cell r="J679" t="str">
            <v>PremiumS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プレゼントケロケロ</v>
          </cell>
          <cell r="D680" t="str">
            <v>各属性相性良3・黄・R298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blue</v>
          </cell>
          <cell r="I680">
            <v>5</v>
          </cell>
          <cell r="J680" t="str">
            <v>PremiumS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プレゼントケロケロ</v>
          </cell>
          <cell r="D681" t="str">
            <v>各属性相性良3・黄・R299</v>
          </cell>
          <cell r="E681" t="str">
            <v>執行者</v>
          </cell>
          <cell r="F681" t="str">
            <v>格好いい</v>
          </cell>
          <cell r="G681" t="str">
            <v>男性</v>
          </cell>
          <cell r="H681" t="str">
            <v>blue</v>
          </cell>
          <cell r="I681">
            <v>6</v>
          </cell>
          <cell r="J681" t="str">
            <v>PremiumS</v>
          </cell>
          <cell r="K681" t="str">
            <v>attack</v>
          </cell>
          <cell r="L681" t="str">
            <v>攻撃タイプ</v>
          </cell>
          <cell r="M681" t="str">
            <v>human</v>
          </cell>
        </row>
        <row r="682">
          <cell r="A682">
            <v>681</v>
          </cell>
          <cell r="B682" t="str">
            <v>ja</v>
          </cell>
          <cell r="C682" t="str">
            <v>プレゼントケロケロ</v>
          </cell>
          <cell r="D682" t="str">
            <v>各属性相性良3・黄・R300</v>
          </cell>
          <cell r="E682" t="str">
            <v>執行者</v>
          </cell>
          <cell r="F682" t="str">
            <v>格好いい</v>
          </cell>
          <cell r="G682" t="str">
            <v>男性</v>
          </cell>
          <cell r="H682" t="str">
            <v>blue</v>
          </cell>
          <cell r="I682">
            <v>5</v>
          </cell>
          <cell r="J682" t="str">
            <v>PremiumS</v>
          </cell>
          <cell r="K682" t="str">
            <v>attack</v>
          </cell>
          <cell r="L682" t="str">
            <v>攻撃タイプ</v>
          </cell>
          <cell r="M682" t="str">
            <v>human</v>
          </cell>
        </row>
        <row r="683">
          <cell r="A683">
            <v>682</v>
          </cell>
          <cell r="B683" t="str">
            <v>ja</v>
          </cell>
          <cell r="C683" t="str">
            <v>プレゼントケロケロ</v>
          </cell>
          <cell r="D683" t="str">
            <v>各属性相性良3・黄・R301</v>
          </cell>
          <cell r="E683" t="str">
            <v>執行者</v>
          </cell>
          <cell r="F683" t="str">
            <v>格好いい</v>
          </cell>
          <cell r="G683" t="str">
            <v>男性</v>
          </cell>
          <cell r="H683" t="str">
            <v>blue</v>
          </cell>
          <cell r="I683">
            <v>6</v>
          </cell>
          <cell r="J683" t="str">
            <v>PremiumS</v>
          </cell>
          <cell r="K683" t="str">
            <v>attack</v>
          </cell>
          <cell r="L683" t="str">
            <v>攻撃タイプ</v>
          </cell>
          <cell r="M683" t="str">
            <v>human</v>
          </cell>
        </row>
        <row r="684">
          <cell r="A684">
            <v>683</v>
          </cell>
          <cell r="B684" t="str">
            <v>ja</v>
          </cell>
          <cell r="C684" t="str">
            <v>プレゼントケロケロ</v>
          </cell>
          <cell r="D684" t="str">
            <v>各属性相性良3・黄・R302</v>
          </cell>
          <cell r="E684" t="str">
            <v>執行者</v>
          </cell>
          <cell r="F684" t="str">
            <v>格好いい</v>
          </cell>
          <cell r="G684" t="str">
            <v>男性</v>
          </cell>
          <cell r="H684" t="str">
            <v>blue</v>
          </cell>
          <cell r="I684">
            <v>5</v>
          </cell>
          <cell r="J684" t="str">
            <v>PremiumS</v>
          </cell>
          <cell r="K684" t="str">
            <v>attack</v>
          </cell>
          <cell r="L684" t="str">
            <v>攻撃タイプ</v>
          </cell>
          <cell r="M684" t="str">
            <v>human</v>
          </cell>
        </row>
        <row r="685">
          <cell r="A685">
            <v>684</v>
          </cell>
          <cell r="B685" t="str">
            <v>ja</v>
          </cell>
          <cell r="C685" t="str">
            <v>プレゼントケロケロ</v>
          </cell>
          <cell r="D685" t="str">
            <v>各属性相性良3・黄・R303</v>
          </cell>
          <cell r="E685" t="str">
            <v>執行者</v>
          </cell>
          <cell r="F685" t="str">
            <v>格好いい</v>
          </cell>
          <cell r="G685" t="str">
            <v>男性</v>
          </cell>
          <cell r="H685" t="str">
            <v>blue</v>
          </cell>
          <cell r="I685">
            <v>6</v>
          </cell>
          <cell r="J685" t="str">
            <v>PremiumS</v>
          </cell>
          <cell r="K685" t="str">
            <v>attack</v>
          </cell>
          <cell r="L685" t="str">
            <v>攻撃タイプ</v>
          </cell>
          <cell r="M685" t="str">
            <v>human</v>
          </cell>
        </row>
        <row r="686">
          <cell r="A686">
            <v>685</v>
          </cell>
          <cell r="B686" t="str">
            <v>ja</v>
          </cell>
          <cell r="C686" t="str">
            <v>プレゼントケロケロ</v>
          </cell>
          <cell r="D686" t="str">
            <v>各属性相性良3・黄・R304</v>
          </cell>
          <cell r="E686" t="str">
            <v>執行者</v>
          </cell>
          <cell r="F686" t="str">
            <v>格好いい</v>
          </cell>
          <cell r="G686" t="str">
            <v>男性</v>
          </cell>
          <cell r="H686" t="str">
            <v>blue</v>
          </cell>
          <cell r="I686">
            <v>5</v>
          </cell>
          <cell r="J686" t="str">
            <v>PremiumS</v>
          </cell>
          <cell r="K686" t="str">
            <v>attack</v>
          </cell>
          <cell r="L686" t="str">
            <v>攻撃タイプ</v>
          </cell>
          <cell r="M686" t="str">
            <v>human</v>
          </cell>
        </row>
        <row r="687">
          <cell r="A687">
            <v>686</v>
          </cell>
          <cell r="B687" t="str">
            <v>ja</v>
          </cell>
          <cell r="C687" t="str">
            <v>プレゼントケロケロ</v>
          </cell>
          <cell r="D687" t="str">
            <v>各属性相性良3・黄・R305</v>
          </cell>
          <cell r="E687" t="str">
            <v>執行者</v>
          </cell>
          <cell r="F687" t="str">
            <v>格好いい</v>
          </cell>
          <cell r="G687" t="str">
            <v>男性</v>
          </cell>
          <cell r="H687" t="str">
            <v>blue</v>
          </cell>
          <cell r="I687">
            <v>6</v>
          </cell>
          <cell r="J687" t="str">
            <v>PremiumS</v>
          </cell>
          <cell r="K687" t="str">
            <v>attack</v>
          </cell>
          <cell r="L687" t="str">
            <v>攻撃タイプ</v>
          </cell>
          <cell r="M687" t="str">
            <v>human</v>
          </cell>
        </row>
      </sheetData>
      <sheetData sheetId="4"/>
      <sheetData sheetId="5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O6"/>
  <sheetViews>
    <sheetView tabSelected="1" workbookViewId="0">
      <selection activeCell="E2" sqref="E2"/>
    </sheetView>
  </sheetViews>
  <sheetFormatPr baseColWidth="12" defaultRowHeight="18" x14ac:dyDescent="0"/>
  <cols>
    <col min="1" max="1" width="12.83203125" style="14"/>
    <col min="2" max="2" width="14.83203125" style="14" bestFit="1" customWidth="1"/>
    <col min="3" max="4" width="12.83203125" style="14"/>
    <col min="5" max="5" width="17.6640625" style="14" bestFit="1" customWidth="1"/>
    <col min="6" max="6" width="22.1640625" style="14" bestFit="1" customWidth="1"/>
    <col min="7" max="16384" width="12.83203125" style="14"/>
  </cols>
  <sheetData>
    <row r="1" spans="1:15">
      <c r="A1" s="11" t="s">
        <v>24</v>
      </c>
      <c r="B1" s="12" t="s">
        <v>25</v>
      </c>
      <c r="C1" s="12" t="s">
        <v>26</v>
      </c>
      <c r="D1" s="12" t="s">
        <v>27</v>
      </c>
      <c r="E1" s="12" t="s">
        <v>28</v>
      </c>
      <c r="F1" s="12" t="s">
        <v>29</v>
      </c>
      <c r="G1" s="12" t="s">
        <v>30</v>
      </c>
      <c r="H1" s="12"/>
      <c r="I1" s="12"/>
      <c r="J1" s="12"/>
      <c r="K1" s="12"/>
      <c r="L1" s="13"/>
      <c r="M1" s="13"/>
      <c r="N1" s="13"/>
      <c r="O1" s="13"/>
    </row>
    <row r="2" spans="1:15">
      <c r="A2" s="15" t="s">
        <v>31</v>
      </c>
      <c r="B2" s="16" t="s">
        <v>32</v>
      </c>
      <c r="C2" s="29" t="str">
        <f ca="1">MID(
  CELL("filename",B1),
  FIND("link_",CELL("filename",B1))+5,
  FIND(".xlsm",CELL("filename",B1))-FIND("link_",CELL("filename",B1))-5
)</f>
        <v>206</v>
      </c>
      <c r="D2" s="16" t="s">
        <v>33</v>
      </c>
      <c r="E2" s="13" t="str">
        <f ca="1">B2&amp;C2&amp;D2</f>
        <v>gacha_select_tables_206.tmp</v>
      </c>
      <c r="F2" s="30" t="s">
        <v>56</v>
      </c>
      <c r="G2" s="17" t="s">
        <v>34</v>
      </c>
      <c r="H2" s="18" t="s">
        <v>0</v>
      </c>
      <c r="I2" s="18" t="s">
        <v>11</v>
      </c>
      <c r="J2" s="18" t="s">
        <v>12</v>
      </c>
      <c r="K2" s="18" t="s">
        <v>18</v>
      </c>
      <c r="L2" s="18" t="s">
        <v>19</v>
      </c>
      <c r="M2" s="18" t="s">
        <v>20</v>
      </c>
      <c r="N2" s="18" t="s">
        <v>21</v>
      </c>
      <c r="O2" s="18" t="s">
        <v>22</v>
      </c>
    </row>
    <row r="3" spans="1:15">
      <c r="A3" s="15" t="s">
        <v>50</v>
      </c>
      <c r="B3" s="19" t="s">
        <v>35</v>
      </c>
      <c r="C3" s="29" t="str">
        <f t="shared" ref="C3:C6" ca="1" si="0">MID(
  CELL("filename",B2),
  FIND("link_",CELL("filename",B2))+5,
  FIND(".xlsm",CELL("filename",B2))-FIND("link_",CELL("filename",B2))-5
)</f>
        <v>206</v>
      </c>
      <c r="D3" s="16" t="s">
        <v>33</v>
      </c>
      <c r="E3" s="13" t="str">
        <f ca="1">B3&amp;C3&amp;D3</f>
        <v>gacha_settle_tables_206.tmp</v>
      </c>
      <c r="F3" s="30" t="s">
        <v>56</v>
      </c>
      <c r="G3" s="17" t="s">
        <v>23</v>
      </c>
      <c r="H3" s="18" t="s">
        <v>0</v>
      </c>
      <c r="I3" s="18" t="s">
        <v>11</v>
      </c>
      <c r="J3" s="18" t="s">
        <v>12</v>
      </c>
      <c r="K3" s="18" t="s">
        <v>18</v>
      </c>
      <c r="L3" s="18" t="s">
        <v>19</v>
      </c>
      <c r="M3" s="18" t="s">
        <v>20</v>
      </c>
      <c r="N3" s="18" t="s">
        <v>21</v>
      </c>
      <c r="O3" s="18" t="s">
        <v>22</v>
      </c>
    </row>
    <row r="4" spans="1:15">
      <c r="A4" s="15" t="s">
        <v>50</v>
      </c>
      <c r="B4" s="19" t="s">
        <v>36</v>
      </c>
      <c r="C4" s="29" t="str">
        <f t="shared" ca="1" si="0"/>
        <v>206</v>
      </c>
      <c r="D4" s="16" t="s">
        <v>33</v>
      </c>
      <c r="E4" s="13" t="str">
        <f ca="1">B4&amp;C4&amp;D4</f>
        <v>gacha_bonus_tables_206.tmp</v>
      </c>
      <c r="F4" s="16" t="s">
        <v>37</v>
      </c>
      <c r="G4" s="17" t="s">
        <v>38</v>
      </c>
      <c r="H4" s="17" t="s">
        <v>39</v>
      </c>
      <c r="I4" s="17" t="s">
        <v>3</v>
      </c>
      <c r="J4" s="20"/>
      <c r="K4" s="20"/>
      <c r="L4" s="20"/>
      <c r="M4" s="20"/>
      <c r="N4" s="20"/>
      <c r="O4" s="20"/>
    </row>
    <row r="5" spans="1:15">
      <c r="A5" s="15" t="s">
        <v>50</v>
      </c>
      <c r="B5" s="16" t="s">
        <v>40</v>
      </c>
      <c r="C5" s="29" t="str">
        <f t="shared" ca="1" si="0"/>
        <v>206</v>
      </c>
      <c r="D5" s="16" t="s">
        <v>33</v>
      </c>
      <c r="E5" s="13" t="str">
        <f ca="1">B5&amp;C5&amp;D5</f>
        <v>gifts_tmp_206.tmp</v>
      </c>
      <c r="F5" s="16" t="s">
        <v>37</v>
      </c>
      <c r="G5" s="17" t="s">
        <v>39</v>
      </c>
      <c r="H5" s="17" t="s">
        <v>41</v>
      </c>
      <c r="I5" s="17" t="s">
        <v>42</v>
      </c>
      <c r="J5" s="17" t="s">
        <v>42</v>
      </c>
      <c r="K5" s="17" t="s">
        <v>42</v>
      </c>
      <c r="L5" s="17" t="s">
        <v>43</v>
      </c>
      <c r="M5" s="17" t="s">
        <v>43</v>
      </c>
      <c r="N5" s="17" t="s">
        <v>43</v>
      </c>
      <c r="O5" s="16"/>
    </row>
    <row r="6" spans="1:15">
      <c r="A6" s="15" t="s">
        <v>50</v>
      </c>
      <c r="B6" s="16" t="s">
        <v>44</v>
      </c>
      <c r="C6" s="29" t="str">
        <f t="shared" ca="1" si="0"/>
        <v>206</v>
      </c>
      <c r="D6" s="16" t="s">
        <v>33</v>
      </c>
      <c r="E6" s="13" t="str">
        <f ca="1">B6&amp;C6&amp;D6</f>
        <v>gifts_i18n_206.tmp</v>
      </c>
      <c r="F6" s="16" t="s">
        <v>37</v>
      </c>
      <c r="G6" s="17" t="s">
        <v>39</v>
      </c>
      <c r="H6" s="17" t="s">
        <v>45</v>
      </c>
      <c r="I6" s="17" t="s">
        <v>46</v>
      </c>
      <c r="J6" s="17" t="s">
        <v>47</v>
      </c>
      <c r="K6" s="17" t="s">
        <v>48</v>
      </c>
      <c r="L6" s="17" t="s">
        <v>49</v>
      </c>
      <c r="M6" s="17"/>
      <c r="N6" s="17"/>
      <c r="O6" s="16"/>
    </row>
  </sheetData>
  <phoneticPr fontId="6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rgb="FF0000FF"/>
    <outlinePr summaryBelow="0" summaryRight="0"/>
  </sheetPr>
  <dimension ref="A1:Q81"/>
  <sheetViews>
    <sheetView showGridLines="0" workbookViewId="0">
      <pane ySplit="1" topLeftCell="A63" activePane="bottomLeft" state="frozen"/>
      <selection pane="bottomLeft" activeCell="D73" sqref="D73"/>
    </sheetView>
  </sheetViews>
  <sheetFormatPr baseColWidth="12" defaultRowHeight="21" customHeight="1" outlineLevelCol="1" x14ac:dyDescent="0"/>
  <cols>
    <col min="1" max="1" width="9.6640625" style="8" bestFit="1" customWidth="1"/>
    <col min="2" max="2" width="12.6640625" style="1" bestFit="1" customWidth="1"/>
    <col min="3" max="3" width="15.33203125" style="1" bestFit="1" customWidth="1"/>
    <col min="4" max="4" width="24" style="1" bestFit="1" customWidth="1" outlineLevel="1"/>
    <col min="5" max="5" width="13.6640625" style="1" bestFit="1" customWidth="1" outlineLevel="1"/>
    <col min="6" max="6" width="9.6640625" style="1" bestFit="1" customWidth="1" outlineLevel="1"/>
    <col min="7" max="7" width="10.5" style="4" bestFit="1" customWidth="1" outlineLevel="1"/>
    <col min="8" max="8" width="18.83203125" style="1" bestFit="1" customWidth="1" outlineLevel="1"/>
    <col min="9" max="9" width="19" style="1" bestFit="1" customWidth="1" outlineLevel="1"/>
    <col min="10" max="10" width="11.33203125" style="1" bestFit="1" customWidth="1"/>
    <col min="11" max="11" width="11.33203125" style="1" customWidth="1"/>
    <col min="12" max="12" width="13.1640625" style="1" bestFit="1" customWidth="1"/>
    <col min="13" max="13" width="6.5" style="1" bestFit="1" customWidth="1"/>
    <col min="14" max="14" width="9.33203125" style="1" bestFit="1" customWidth="1"/>
    <col min="15" max="15" width="10.33203125" style="1" bestFit="1" customWidth="1"/>
    <col min="16" max="16" width="7.6640625" style="1" bestFit="1" customWidth="1"/>
    <col min="17" max="17" width="4" style="1" bestFit="1" customWidth="1"/>
    <col min="18" max="16384" width="12.83203125" style="1"/>
  </cols>
  <sheetData>
    <row r="1" spans="1:17" ht="21" customHeight="1">
      <c r="A1" s="8" t="s">
        <v>10</v>
      </c>
      <c r="B1" s="3" t="s">
        <v>23</v>
      </c>
      <c r="C1" s="3" t="s">
        <v>1</v>
      </c>
      <c r="D1" s="2" t="s">
        <v>4</v>
      </c>
      <c r="E1" s="2" t="s">
        <v>5</v>
      </c>
      <c r="F1" s="2" t="s">
        <v>6</v>
      </c>
      <c r="G1" s="2" t="s">
        <v>7</v>
      </c>
      <c r="H1" s="2" t="s">
        <v>8</v>
      </c>
      <c r="I1" s="2" t="s">
        <v>9</v>
      </c>
      <c r="J1" s="3" t="s">
        <v>3</v>
      </c>
      <c r="K1" s="2" t="s">
        <v>51</v>
      </c>
      <c r="L1" s="3" t="s">
        <v>2</v>
      </c>
      <c r="M1" s="10" t="s">
        <v>13</v>
      </c>
      <c r="N1" s="10" t="s">
        <v>14</v>
      </c>
      <c r="O1" s="10" t="s">
        <v>15</v>
      </c>
      <c r="P1" s="10" t="s">
        <v>16</v>
      </c>
      <c r="Q1" s="10" t="s">
        <v>17</v>
      </c>
    </row>
    <row r="2" spans="1:17" ht="21" customHeight="1">
      <c r="A2" s="8" t="str">
        <f t="shared" ref="A2:A33" si="0">B2&amp;"_"&amp;C2&amp;"_"&amp;L2</f>
        <v>206_1_1</v>
      </c>
      <c r="B2" s="5">
        <v>206</v>
      </c>
      <c r="C2" s="7">
        <v>1</v>
      </c>
      <c r="D2" s="9" t="str">
        <f ca="1">VLOOKUP($C2,OFFSET([1]characters!$A$1,0,0,COUNTA([1]characters!$A:$A),MATCH(D$1,[1]characters!$1:$1,0)-MATCH($C$1,[1]characters!$1:$1,0)+1),MATCH(D$1,[1]characters!$1:$1,0)-MATCH($C$1,[1]characters!$1:$1,0)+1,FALSE)</f>
        <v>ジェリー</v>
      </c>
      <c r="E2" s="9" t="str">
        <f ca="1">VLOOKUP($C2,OFFSET([1]characters!$A$1,0,0,COUNTA([1]characters!$A:$A),MATCH(E$1,[1]characters!$1:$1,0)-MATCH($C$1,[1]characters!$1:$1,0)+1),MATCH(E$1,[1]characters!$1:$1,0)-MATCH($C$1,[1]characters!$1:$1,0)+1,FALSE)</f>
        <v>Drop1T</v>
      </c>
      <c r="F2" s="9">
        <f ca="1">VLOOKUP($C2,OFFSET([1]characters!$A$1,0,0,COUNTA([1]characters!$A:$A),MATCH(F$1,[1]characters!$1:$1,0)-MATCH($C$1,[1]characters!$1:$1,0)+1),MATCH(F$1,[1]characters!$1:$1,0)-MATCH($C$1,[1]characters!$1:$1,0)+1,FALSE)</f>
        <v>1</v>
      </c>
      <c r="G2" s="9" t="str">
        <f ca="1">VLOOKUP($C2,OFFSET([1]characters!$A$1,0,0,COUNTA([1]characters!$A:$A),MATCH(G$1,[1]characters!$1:$1,0)-MATCH($C$1,[1]characters!$1:$1,0)+1),MATCH(G$1,[1]characters!$1:$1,0)-MATCH($C$1,[1]characters!$1:$1,0)+1,FALSE)</f>
        <v>red</v>
      </c>
      <c r="H2" s="9" t="str">
        <f>VLOOKUP(C2,[1]characters!$A:$K,11,FALSE)</f>
        <v>attack</v>
      </c>
      <c r="I2" s="9" t="str">
        <f>VLOOKUP(C2,[1]characters!$A:$M,13,FALSE)</f>
        <v>unknown</v>
      </c>
      <c r="J2" s="6">
        <v>245</v>
      </c>
      <c r="K2" s="21">
        <f>J2/SUM($J$2:$J$80)</f>
        <v>3.8372384412980829E-3</v>
      </c>
      <c r="L2" s="28">
        <f>IFERROR(VLOOKUP($C2,bug_conf_sheet!$A:$H,3,FALSE),VLOOKUP("other",bug_conf_sheet!$A:$H,3,FALSE))</f>
        <v>1</v>
      </c>
      <c r="M2" s="28">
        <f>IFERROR(VLOOKUP($C2,bug_conf_sheet!$A:$H,4,FALSE),VLOOKUP("other",bug_conf_sheet!$A:$H,4,FALSE))</f>
        <v>0</v>
      </c>
      <c r="N2" s="28">
        <f>IFERROR(VLOOKUP($C2,bug_conf_sheet!$A:$H,5,FALSE),VLOOKUP("other",bug_conf_sheet!$A:$H,5,FALSE))</f>
        <v>0</v>
      </c>
      <c r="O2" s="28">
        <f>IFERROR(VLOOKUP($C2,bug_conf_sheet!$A:$H,6,FALSE),VLOOKUP("other",bug_conf_sheet!$A:$H,6,FALSE))</f>
        <v>0</v>
      </c>
      <c r="P2" s="28">
        <f>IFERROR(VLOOKUP($C2,bug_conf_sheet!$A:$H,7,FALSE),VLOOKUP("other",bug_conf_sheet!$A:$H,7,FALSE))</f>
        <v>0</v>
      </c>
      <c r="Q2" s="28">
        <f>IFERROR(VLOOKUP($C2,bug_conf_sheet!$A:$H,8,FALSE),VLOOKUP("other",bug_conf_sheet!$A:$H,8,FALSE))</f>
        <v>1</v>
      </c>
    </row>
    <row r="3" spans="1:17" ht="21" customHeight="1">
      <c r="A3" s="8" t="str">
        <f t="shared" si="0"/>
        <v>206_3_1</v>
      </c>
      <c r="B3" s="5">
        <v>206</v>
      </c>
      <c r="C3" s="7">
        <v>3</v>
      </c>
      <c r="D3" s="9" t="str">
        <f ca="1">VLOOKUP($C3,OFFSET([1]characters!$A$1,0,0,COUNTA([1]characters!$A:$A),MATCH(D$1,[1]characters!$1:$1,0)-MATCH($C$1,[1]characters!$1:$1,0)+1),MATCH(D$1,[1]characters!$1:$1,0)-MATCH($C$1,[1]characters!$1:$1,0)+1,FALSE)</f>
        <v>エージェント ジョー</v>
      </c>
      <c r="E3" s="9" t="str">
        <f ca="1">VLOOKUP($C3,OFFSET([1]characters!$A$1,0,0,COUNTA([1]characters!$A:$A),MATCH(E$1,[1]characters!$1:$1,0)-MATCH($C$1,[1]characters!$1:$1,0)+1),MATCH(E$1,[1]characters!$1:$1,0)-MATCH($C$1,[1]characters!$1:$1,0)+1,FALSE)</f>
        <v>Drop1T</v>
      </c>
      <c r="F3" s="9">
        <f ca="1">VLOOKUP($C3,OFFSET([1]characters!$A$1,0,0,COUNTA([1]characters!$A:$A),MATCH(F$1,[1]characters!$1:$1,0)-MATCH($C$1,[1]characters!$1:$1,0)+1),MATCH(F$1,[1]characters!$1:$1,0)-MATCH($C$1,[1]characters!$1:$1,0)+1,FALSE)</f>
        <v>1</v>
      </c>
      <c r="G3" s="9" t="str">
        <f ca="1">VLOOKUP($C3,OFFSET([1]characters!$A$1,0,0,COUNTA([1]characters!$A:$A),MATCH(G$1,[1]characters!$1:$1,0)-MATCH($C$1,[1]characters!$1:$1,0)+1),MATCH(G$1,[1]characters!$1:$1,0)-MATCH($C$1,[1]characters!$1:$1,0)+1,FALSE)</f>
        <v>green</v>
      </c>
      <c r="H3" s="9" t="str">
        <f>VLOOKUP(C3,[1]characters!$A:$K,11,FALSE)</f>
        <v>balance</v>
      </c>
      <c r="I3" s="9" t="str">
        <f>VLOOKUP(C3,[1]characters!$A:$M,13,FALSE)</f>
        <v>unknown</v>
      </c>
      <c r="J3" s="6">
        <v>245</v>
      </c>
      <c r="K3" s="21">
        <f t="shared" ref="K3:K66" si="1">J3/SUM($J$2:$J$80)</f>
        <v>3.8372384412980829E-3</v>
      </c>
      <c r="L3" s="28">
        <f>IFERROR(VLOOKUP($C3,bug_conf_sheet!$A:$H,3,FALSE),VLOOKUP("other",bug_conf_sheet!$A:$H,3,FALSE))</f>
        <v>1</v>
      </c>
      <c r="M3" s="28">
        <f>IFERROR(VLOOKUP($C3,bug_conf_sheet!$A:$H,4,FALSE),VLOOKUP("other",bug_conf_sheet!$A:$H,4,FALSE))</f>
        <v>0</v>
      </c>
      <c r="N3" s="28">
        <f>IFERROR(VLOOKUP($C3,bug_conf_sheet!$A:$H,5,FALSE),VLOOKUP("other",bug_conf_sheet!$A:$H,5,FALSE))</f>
        <v>0</v>
      </c>
      <c r="O3" s="28">
        <f>IFERROR(VLOOKUP($C3,bug_conf_sheet!$A:$H,6,FALSE),VLOOKUP("other",bug_conf_sheet!$A:$H,6,FALSE))</f>
        <v>0</v>
      </c>
      <c r="P3" s="28">
        <f>IFERROR(VLOOKUP($C3,bug_conf_sheet!$A:$H,7,FALSE),VLOOKUP("other",bug_conf_sheet!$A:$H,7,FALSE))</f>
        <v>0</v>
      </c>
      <c r="Q3" s="28">
        <f>IFERROR(VLOOKUP($C3,bug_conf_sheet!$A:$H,8,FALSE),VLOOKUP("other",bug_conf_sheet!$A:$H,8,FALSE))</f>
        <v>1</v>
      </c>
    </row>
    <row r="4" spans="1:17" ht="21" customHeight="1">
      <c r="A4" s="8" t="str">
        <f t="shared" si="0"/>
        <v>206_5_1</v>
      </c>
      <c r="B4" s="5">
        <v>206</v>
      </c>
      <c r="C4" s="7">
        <v>5</v>
      </c>
      <c r="D4" s="9" t="str">
        <f ca="1">VLOOKUP($C4,OFFSET([1]characters!$A$1,0,0,COUNTA([1]characters!$A:$A),MATCH(D$1,[1]characters!$1:$1,0)-MATCH($C$1,[1]characters!$1:$1,0)+1),MATCH(D$1,[1]characters!$1:$1,0)-MATCH($C$1,[1]characters!$1:$1,0)+1,FALSE)</f>
        <v>パトドッグ ポチ</v>
      </c>
      <c r="E4" s="9" t="str">
        <f ca="1">VLOOKUP($C4,OFFSET([1]characters!$A$1,0,0,COUNTA([1]characters!$A:$A),MATCH(E$1,[1]characters!$1:$1,0)-MATCH($C$1,[1]characters!$1:$1,0)+1),MATCH(E$1,[1]characters!$1:$1,0)-MATCH($C$1,[1]characters!$1:$1,0)+1,FALSE)</f>
        <v>Drop1T</v>
      </c>
      <c r="F4" s="9">
        <f ca="1">VLOOKUP($C4,OFFSET([1]characters!$A$1,0,0,COUNTA([1]characters!$A:$A),MATCH(F$1,[1]characters!$1:$1,0)-MATCH($C$1,[1]characters!$1:$1,0)+1),MATCH(F$1,[1]characters!$1:$1,0)-MATCH($C$1,[1]characters!$1:$1,0)+1,FALSE)</f>
        <v>1</v>
      </c>
      <c r="G4" s="9" t="str">
        <f ca="1">VLOOKUP($C4,OFFSET([1]characters!$A$1,0,0,COUNTA([1]characters!$A:$A),MATCH(G$1,[1]characters!$1:$1,0)-MATCH($C$1,[1]characters!$1:$1,0)+1),MATCH(G$1,[1]characters!$1:$1,0)-MATCH($C$1,[1]characters!$1:$1,0)+1,FALSE)</f>
        <v>blue</v>
      </c>
      <c r="H4" s="9" t="str">
        <f>VLOOKUP(C4,[1]characters!$A:$K,11,FALSE)</f>
        <v>heal</v>
      </c>
      <c r="I4" s="9" t="str">
        <f>VLOOKUP(C4,[1]characters!$A:$M,13,FALSE)</f>
        <v>unknown</v>
      </c>
      <c r="J4" s="6">
        <v>245</v>
      </c>
      <c r="K4" s="21">
        <f t="shared" si="1"/>
        <v>3.8372384412980829E-3</v>
      </c>
      <c r="L4" s="28">
        <f>IFERROR(VLOOKUP($C4,bug_conf_sheet!$A:$H,3,FALSE),VLOOKUP("other",bug_conf_sheet!$A:$H,3,FALSE))</f>
        <v>1</v>
      </c>
      <c r="M4" s="28">
        <f>IFERROR(VLOOKUP($C4,bug_conf_sheet!$A:$H,4,FALSE),VLOOKUP("other",bug_conf_sheet!$A:$H,4,FALSE))</f>
        <v>0</v>
      </c>
      <c r="N4" s="28">
        <f>IFERROR(VLOOKUP($C4,bug_conf_sheet!$A:$H,5,FALSE),VLOOKUP("other",bug_conf_sheet!$A:$H,5,FALSE))</f>
        <v>0</v>
      </c>
      <c r="O4" s="28">
        <f>IFERROR(VLOOKUP($C4,bug_conf_sheet!$A:$H,6,FALSE),VLOOKUP("other",bug_conf_sheet!$A:$H,6,FALSE))</f>
        <v>0</v>
      </c>
      <c r="P4" s="28">
        <f>IFERROR(VLOOKUP($C4,bug_conf_sheet!$A:$H,7,FALSE),VLOOKUP("other",bug_conf_sheet!$A:$H,7,FALSE))</f>
        <v>0</v>
      </c>
      <c r="Q4" s="28">
        <f>IFERROR(VLOOKUP($C4,bug_conf_sheet!$A:$H,8,FALSE),VLOOKUP("other",bug_conf_sheet!$A:$H,8,FALSE))</f>
        <v>1</v>
      </c>
    </row>
    <row r="5" spans="1:17" ht="21" customHeight="1">
      <c r="A5" s="8" t="str">
        <f t="shared" si="0"/>
        <v>206_7_1</v>
      </c>
      <c r="B5" s="5">
        <v>206</v>
      </c>
      <c r="C5" s="7">
        <v>7</v>
      </c>
      <c r="D5" s="9" t="str">
        <f ca="1">VLOOKUP($C5,OFFSET([1]characters!$A$1,0,0,COUNTA([1]characters!$A:$A),MATCH(D$1,[1]characters!$1:$1,0)-MATCH($C$1,[1]characters!$1:$1,0)+1),MATCH(D$1,[1]characters!$1:$1,0)-MATCH($C$1,[1]characters!$1:$1,0)+1,FALSE)</f>
        <v>エレキポット</v>
      </c>
      <c r="E5" s="9" t="str">
        <f ca="1">VLOOKUP($C5,OFFSET([1]characters!$A$1,0,0,COUNTA([1]characters!$A:$A),MATCH(E$1,[1]characters!$1:$1,0)-MATCH($C$1,[1]characters!$1:$1,0)+1),MATCH(E$1,[1]characters!$1:$1,0)-MATCH($C$1,[1]characters!$1:$1,0)+1,FALSE)</f>
        <v>Drop1T</v>
      </c>
      <c r="F5" s="9">
        <f ca="1">VLOOKUP($C5,OFFSET([1]characters!$A$1,0,0,COUNTA([1]characters!$A:$A),MATCH(F$1,[1]characters!$1:$1,0)-MATCH($C$1,[1]characters!$1:$1,0)+1),MATCH(F$1,[1]characters!$1:$1,0)-MATCH($C$1,[1]characters!$1:$1,0)+1,FALSE)</f>
        <v>1</v>
      </c>
      <c r="G5" s="9" t="str">
        <f ca="1">VLOOKUP($C5,OFFSET([1]characters!$A$1,0,0,COUNTA([1]characters!$A:$A),MATCH(G$1,[1]characters!$1:$1,0)-MATCH($C$1,[1]characters!$1:$1,0)+1),MATCH(G$1,[1]characters!$1:$1,0)-MATCH($C$1,[1]characters!$1:$1,0)+1,FALSE)</f>
        <v>yellow</v>
      </c>
      <c r="H5" s="9" t="str">
        <f>VLOOKUP(C5,[1]characters!$A:$K,11,FALSE)</f>
        <v>attack</v>
      </c>
      <c r="I5" s="9" t="str">
        <f>VLOOKUP(C5,[1]characters!$A:$M,13,FALSE)</f>
        <v>unknown</v>
      </c>
      <c r="J5" s="6">
        <v>245</v>
      </c>
      <c r="K5" s="21">
        <f t="shared" si="1"/>
        <v>3.8372384412980829E-3</v>
      </c>
      <c r="L5" s="28">
        <f>IFERROR(VLOOKUP($C5,bug_conf_sheet!$A:$H,3,FALSE),VLOOKUP("other",bug_conf_sheet!$A:$H,3,FALSE))</f>
        <v>1</v>
      </c>
      <c r="M5" s="28">
        <f>IFERROR(VLOOKUP($C5,bug_conf_sheet!$A:$H,4,FALSE),VLOOKUP("other",bug_conf_sheet!$A:$H,4,FALSE))</f>
        <v>0</v>
      </c>
      <c r="N5" s="28">
        <f>IFERROR(VLOOKUP($C5,bug_conf_sheet!$A:$H,5,FALSE),VLOOKUP("other",bug_conf_sheet!$A:$H,5,FALSE))</f>
        <v>0</v>
      </c>
      <c r="O5" s="28">
        <f>IFERROR(VLOOKUP($C5,bug_conf_sheet!$A:$H,6,FALSE),VLOOKUP("other",bug_conf_sheet!$A:$H,6,FALSE))</f>
        <v>0</v>
      </c>
      <c r="P5" s="28">
        <f>IFERROR(VLOOKUP($C5,bug_conf_sheet!$A:$H,7,FALSE),VLOOKUP("other",bug_conf_sheet!$A:$H,7,FALSE))</f>
        <v>0</v>
      </c>
      <c r="Q5" s="28">
        <f>IFERROR(VLOOKUP($C5,bug_conf_sheet!$A:$H,8,FALSE),VLOOKUP("other",bug_conf_sheet!$A:$H,8,FALSE))</f>
        <v>1</v>
      </c>
    </row>
    <row r="6" spans="1:17" ht="21" customHeight="1">
      <c r="A6" s="8" t="str">
        <f t="shared" si="0"/>
        <v>206_9_1</v>
      </c>
      <c r="B6" s="5">
        <v>206</v>
      </c>
      <c r="C6" s="7">
        <v>9</v>
      </c>
      <c r="D6" s="9" t="str">
        <f ca="1">VLOOKUP($C6,OFFSET([1]characters!$A$1,0,0,COUNTA([1]characters!$A:$A),MATCH(D$1,[1]characters!$1:$1,0)-MATCH($C$1,[1]characters!$1:$1,0)+1),MATCH(D$1,[1]characters!$1:$1,0)-MATCH($C$1,[1]characters!$1:$1,0)+1,FALSE)</f>
        <v>ブレット</v>
      </c>
      <c r="E6" s="9" t="str">
        <f ca="1">VLOOKUP($C6,OFFSET([1]characters!$A$1,0,0,COUNTA([1]characters!$A:$A),MATCH(E$1,[1]characters!$1:$1,0)-MATCH($C$1,[1]characters!$1:$1,0)+1),MATCH(E$1,[1]characters!$1:$1,0)-MATCH($C$1,[1]characters!$1:$1,0)+1,FALSE)</f>
        <v>Drop1W</v>
      </c>
      <c r="F6" s="9">
        <f ca="1">VLOOKUP($C6,OFFSET([1]characters!$A$1,0,0,COUNTA([1]characters!$A:$A),MATCH(F$1,[1]characters!$1:$1,0)-MATCH($C$1,[1]characters!$1:$1,0)+1),MATCH(F$1,[1]characters!$1:$1,0)-MATCH($C$1,[1]characters!$1:$1,0)+1,FALSE)</f>
        <v>1</v>
      </c>
      <c r="G6" s="9" t="str">
        <f ca="1">VLOOKUP($C6,OFFSET([1]characters!$A$1,0,0,COUNTA([1]characters!$A:$A),MATCH(G$1,[1]characters!$1:$1,0)-MATCH($C$1,[1]characters!$1:$1,0)+1),MATCH(G$1,[1]characters!$1:$1,0)-MATCH($C$1,[1]characters!$1:$1,0)+1,FALSE)</f>
        <v>red</v>
      </c>
      <c r="H6" s="9" t="str">
        <f>VLOOKUP(C6,[1]characters!$A:$K,11,FALSE)</f>
        <v>attack</v>
      </c>
      <c r="I6" s="9" t="str">
        <f>VLOOKUP(C6,[1]characters!$A:$M,13,FALSE)</f>
        <v>animal</v>
      </c>
      <c r="J6" s="6">
        <v>245</v>
      </c>
      <c r="K6" s="21">
        <f t="shared" si="1"/>
        <v>3.8372384412980829E-3</v>
      </c>
      <c r="L6" s="28">
        <f>IFERROR(VLOOKUP($C6,bug_conf_sheet!$A:$H,3,FALSE),VLOOKUP("other",bug_conf_sheet!$A:$H,3,FALSE))</f>
        <v>1</v>
      </c>
      <c r="M6" s="28">
        <f>IFERROR(VLOOKUP($C6,bug_conf_sheet!$A:$H,4,FALSE),VLOOKUP("other",bug_conf_sheet!$A:$H,4,FALSE))</f>
        <v>0</v>
      </c>
      <c r="N6" s="28">
        <f>IFERROR(VLOOKUP($C6,bug_conf_sheet!$A:$H,5,FALSE),VLOOKUP("other",bug_conf_sheet!$A:$H,5,FALSE))</f>
        <v>0</v>
      </c>
      <c r="O6" s="28">
        <f>IFERROR(VLOOKUP($C6,bug_conf_sheet!$A:$H,6,FALSE),VLOOKUP("other",bug_conf_sheet!$A:$H,6,FALSE))</f>
        <v>0</v>
      </c>
      <c r="P6" s="28">
        <f>IFERROR(VLOOKUP($C6,bug_conf_sheet!$A:$H,7,FALSE),VLOOKUP("other",bug_conf_sheet!$A:$H,7,FALSE))</f>
        <v>0</v>
      </c>
      <c r="Q6" s="28">
        <f>IFERROR(VLOOKUP($C6,bug_conf_sheet!$A:$H,8,FALSE),VLOOKUP("other",bug_conf_sheet!$A:$H,8,FALSE))</f>
        <v>1</v>
      </c>
    </row>
    <row r="7" spans="1:17" ht="21" customHeight="1">
      <c r="A7" s="8" t="str">
        <f t="shared" si="0"/>
        <v>206_11_1</v>
      </c>
      <c r="B7" s="5">
        <v>206</v>
      </c>
      <c r="C7" s="7">
        <v>11</v>
      </c>
      <c r="D7" s="9" t="str">
        <f ca="1">VLOOKUP($C7,OFFSET([1]characters!$A$1,0,0,COUNTA([1]characters!$A:$A),MATCH(D$1,[1]characters!$1:$1,0)-MATCH($C$1,[1]characters!$1:$1,0)+1),MATCH(D$1,[1]characters!$1:$1,0)-MATCH($C$1,[1]characters!$1:$1,0)+1,FALSE)</f>
        <v>マグリット</v>
      </c>
      <c r="E7" s="9" t="str">
        <f ca="1">VLOOKUP($C7,OFFSET([1]characters!$A$1,0,0,COUNTA([1]characters!$A:$A),MATCH(E$1,[1]characters!$1:$1,0)-MATCH($C$1,[1]characters!$1:$1,0)+1),MATCH(E$1,[1]characters!$1:$1,0)-MATCH($C$1,[1]characters!$1:$1,0)+1,FALSE)</f>
        <v>Drop1W</v>
      </c>
      <c r="F7" s="9">
        <f ca="1">VLOOKUP($C7,OFFSET([1]characters!$A$1,0,0,COUNTA([1]characters!$A:$A),MATCH(F$1,[1]characters!$1:$1,0)-MATCH($C$1,[1]characters!$1:$1,0)+1),MATCH(F$1,[1]characters!$1:$1,0)-MATCH($C$1,[1]characters!$1:$1,0)+1,FALSE)</f>
        <v>1</v>
      </c>
      <c r="G7" s="9" t="str">
        <f ca="1">VLOOKUP($C7,OFFSET([1]characters!$A$1,0,0,COUNTA([1]characters!$A:$A),MATCH(G$1,[1]characters!$1:$1,0)-MATCH($C$1,[1]characters!$1:$1,0)+1),MATCH(G$1,[1]characters!$1:$1,0)-MATCH($C$1,[1]characters!$1:$1,0)+1,FALSE)</f>
        <v>green</v>
      </c>
      <c r="H7" s="9" t="str">
        <f>VLOOKUP(C7,[1]characters!$A:$K,11,FALSE)</f>
        <v>heal</v>
      </c>
      <c r="I7" s="9" t="str">
        <f>VLOOKUP(C7,[1]characters!$A:$M,13,FALSE)</f>
        <v>animal</v>
      </c>
      <c r="J7" s="6">
        <v>245</v>
      </c>
      <c r="K7" s="21">
        <f t="shared" si="1"/>
        <v>3.8372384412980829E-3</v>
      </c>
      <c r="L7" s="28">
        <f>IFERROR(VLOOKUP($C7,bug_conf_sheet!$A:$H,3,FALSE),VLOOKUP("other",bug_conf_sheet!$A:$H,3,FALSE))</f>
        <v>1</v>
      </c>
      <c r="M7" s="28">
        <f>IFERROR(VLOOKUP($C7,bug_conf_sheet!$A:$H,4,FALSE),VLOOKUP("other",bug_conf_sheet!$A:$H,4,FALSE))</f>
        <v>0</v>
      </c>
      <c r="N7" s="28">
        <f>IFERROR(VLOOKUP($C7,bug_conf_sheet!$A:$H,5,FALSE),VLOOKUP("other",bug_conf_sheet!$A:$H,5,FALSE))</f>
        <v>0</v>
      </c>
      <c r="O7" s="28">
        <f>IFERROR(VLOOKUP($C7,bug_conf_sheet!$A:$H,6,FALSE),VLOOKUP("other",bug_conf_sheet!$A:$H,6,FALSE))</f>
        <v>0</v>
      </c>
      <c r="P7" s="28">
        <f>IFERROR(VLOOKUP($C7,bug_conf_sheet!$A:$H,7,FALSE),VLOOKUP("other",bug_conf_sheet!$A:$H,7,FALSE))</f>
        <v>0</v>
      </c>
      <c r="Q7" s="28">
        <f>IFERROR(VLOOKUP($C7,bug_conf_sheet!$A:$H,8,FALSE),VLOOKUP("other",bug_conf_sheet!$A:$H,8,FALSE))</f>
        <v>1</v>
      </c>
    </row>
    <row r="8" spans="1:17" ht="21" customHeight="1">
      <c r="A8" s="8" t="str">
        <f t="shared" si="0"/>
        <v>206_13_1</v>
      </c>
      <c r="B8" s="5">
        <v>206</v>
      </c>
      <c r="C8" s="7">
        <v>13</v>
      </c>
      <c r="D8" s="9" t="str">
        <f ca="1">VLOOKUP($C8,OFFSET([1]characters!$A$1,0,0,COUNTA([1]characters!$A:$A),MATCH(D$1,[1]characters!$1:$1,0)-MATCH($C$1,[1]characters!$1:$1,0)+1),MATCH(D$1,[1]characters!$1:$1,0)-MATCH($C$1,[1]characters!$1:$1,0)+1,FALSE)</f>
        <v>ミミ</v>
      </c>
      <c r="E8" s="9" t="str">
        <f ca="1">VLOOKUP($C8,OFFSET([1]characters!$A$1,0,0,COUNTA([1]characters!$A:$A),MATCH(E$1,[1]characters!$1:$1,0)-MATCH($C$1,[1]characters!$1:$1,0)+1),MATCH(E$1,[1]characters!$1:$1,0)-MATCH($C$1,[1]characters!$1:$1,0)+1,FALSE)</f>
        <v>Drop1W</v>
      </c>
      <c r="F8" s="9">
        <f ca="1">VLOOKUP($C8,OFFSET([1]characters!$A$1,0,0,COUNTA([1]characters!$A:$A),MATCH(F$1,[1]characters!$1:$1,0)-MATCH($C$1,[1]characters!$1:$1,0)+1),MATCH(F$1,[1]characters!$1:$1,0)-MATCH($C$1,[1]characters!$1:$1,0)+1,FALSE)</f>
        <v>1</v>
      </c>
      <c r="G8" s="9" t="str">
        <f ca="1">VLOOKUP($C8,OFFSET([1]characters!$A$1,0,0,COUNTA([1]characters!$A:$A),MATCH(G$1,[1]characters!$1:$1,0)-MATCH($C$1,[1]characters!$1:$1,0)+1),MATCH(G$1,[1]characters!$1:$1,0)-MATCH($C$1,[1]characters!$1:$1,0)+1,FALSE)</f>
        <v>yellow</v>
      </c>
      <c r="H8" s="9" t="str">
        <f>VLOOKUP(C8,[1]characters!$A:$K,11,FALSE)</f>
        <v>attack</v>
      </c>
      <c r="I8" s="9" t="str">
        <f>VLOOKUP(C8,[1]characters!$A:$M,13,FALSE)</f>
        <v>animal</v>
      </c>
      <c r="J8" s="6">
        <v>245</v>
      </c>
      <c r="K8" s="21">
        <f t="shared" si="1"/>
        <v>3.8372384412980829E-3</v>
      </c>
      <c r="L8" s="28">
        <f>IFERROR(VLOOKUP($C8,bug_conf_sheet!$A:$H,3,FALSE),VLOOKUP("other",bug_conf_sheet!$A:$H,3,FALSE))</f>
        <v>1</v>
      </c>
      <c r="M8" s="28">
        <f>IFERROR(VLOOKUP($C8,bug_conf_sheet!$A:$H,4,FALSE),VLOOKUP("other",bug_conf_sheet!$A:$H,4,FALSE))</f>
        <v>0</v>
      </c>
      <c r="N8" s="28">
        <f>IFERROR(VLOOKUP($C8,bug_conf_sheet!$A:$H,5,FALSE),VLOOKUP("other",bug_conf_sheet!$A:$H,5,FALSE))</f>
        <v>0</v>
      </c>
      <c r="O8" s="28">
        <f>IFERROR(VLOOKUP($C8,bug_conf_sheet!$A:$H,6,FALSE),VLOOKUP("other",bug_conf_sheet!$A:$H,6,FALSE))</f>
        <v>0</v>
      </c>
      <c r="P8" s="28">
        <f>IFERROR(VLOOKUP($C8,bug_conf_sheet!$A:$H,7,FALSE),VLOOKUP("other",bug_conf_sheet!$A:$H,7,FALSE))</f>
        <v>0</v>
      </c>
      <c r="Q8" s="28">
        <f>IFERROR(VLOOKUP($C8,bug_conf_sheet!$A:$H,8,FALSE),VLOOKUP("other",bug_conf_sheet!$A:$H,8,FALSE))</f>
        <v>1</v>
      </c>
    </row>
    <row r="9" spans="1:17" ht="21" customHeight="1">
      <c r="A9" s="8" t="str">
        <f t="shared" si="0"/>
        <v>206_15_1</v>
      </c>
      <c r="B9" s="5">
        <v>206</v>
      </c>
      <c r="C9" s="7">
        <v>15</v>
      </c>
      <c r="D9" s="9" t="str">
        <f ca="1">VLOOKUP($C9,OFFSET([1]characters!$A$1,0,0,COUNTA([1]characters!$A:$A),MATCH(D$1,[1]characters!$1:$1,0)-MATCH($C$1,[1]characters!$1:$1,0)+1),MATCH(D$1,[1]characters!$1:$1,0)-MATCH($C$1,[1]characters!$1:$1,0)+1,FALSE)</f>
        <v>アカネ</v>
      </c>
      <c r="E9" s="9" t="str">
        <f ca="1">VLOOKUP($C9,OFFSET([1]characters!$A$1,0,0,COUNTA([1]characters!$A:$A),MATCH(E$1,[1]characters!$1:$1,0)-MATCH($C$1,[1]characters!$1:$1,0)+1),MATCH(E$1,[1]characters!$1:$1,0)-MATCH($C$1,[1]characters!$1:$1,0)+1,FALSE)</f>
        <v>Drop1W</v>
      </c>
      <c r="F9" s="9">
        <f ca="1">VLOOKUP($C9,OFFSET([1]characters!$A$1,0,0,COUNTA([1]characters!$A:$A),MATCH(F$1,[1]characters!$1:$1,0)-MATCH($C$1,[1]characters!$1:$1,0)+1),MATCH(F$1,[1]characters!$1:$1,0)-MATCH($C$1,[1]characters!$1:$1,0)+1,FALSE)</f>
        <v>1</v>
      </c>
      <c r="G9" s="9" t="str">
        <f ca="1">VLOOKUP($C9,OFFSET([1]characters!$A$1,0,0,COUNTA([1]characters!$A:$A),MATCH(G$1,[1]characters!$1:$1,0)-MATCH($C$1,[1]characters!$1:$1,0)+1),MATCH(G$1,[1]characters!$1:$1,0)-MATCH($C$1,[1]characters!$1:$1,0)+1,FALSE)</f>
        <v>red</v>
      </c>
      <c r="H9" s="9" t="str">
        <f>VLOOKUP(C9,[1]characters!$A:$K,11,FALSE)</f>
        <v>balance</v>
      </c>
      <c r="I9" s="9" t="str">
        <f>VLOOKUP(C9,[1]characters!$A:$M,13,FALSE)</f>
        <v>human</v>
      </c>
      <c r="J9" s="6">
        <v>245</v>
      </c>
      <c r="K9" s="21">
        <f t="shared" si="1"/>
        <v>3.8372384412980829E-3</v>
      </c>
      <c r="L9" s="28">
        <f>IFERROR(VLOOKUP($C9,bug_conf_sheet!$A:$H,3,FALSE),VLOOKUP("other",bug_conf_sheet!$A:$H,3,FALSE))</f>
        <v>1</v>
      </c>
      <c r="M9" s="28">
        <f>IFERROR(VLOOKUP($C9,bug_conf_sheet!$A:$H,4,FALSE),VLOOKUP("other",bug_conf_sheet!$A:$H,4,FALSE))</f>
        <v>0</v>
      </c>
      <c r="N9" s="28">
        <f>IFERROR(VLOOKUP($C9,bug_conf_sheet!$A:$H,5,FALSE),VLOOKUP("other",bug_conf_sheet!$A:$H,5,FALSE))</f>
        <v>0</v>
      </c>
      <c r="O9" s="28">
        <f>IFERROR(VLOOKUP($C9,bug_conf_sheet!$A:$H,6,FALSE),VLOOKUP("other",bug_conf_sheet!$A:$H,6,FALSE))</f>
        <v>0</v>
      </c>
      <c r="P9" s="28">
        <f>IFERROR(VLOOKUP($C9,bug_conf_sheet!$A:$H,7,FALSE),VLOOKUP("other",bug_conf_sheet!$A:$H,7,FALSE))</f>
        <v>0</v>
      </c>
      <c r="Q9" s="28">
        <f>IFERROR(VLOOKUP($C9,bug_conf_sheet!$A:$H,8,FALSE),VLOOKUP("other",bug_conf_sheet!$A:$H,8,FALSE))</f>
        <v>1</v>
      </c>
    </row>
    <row r="10" spans="1:17" ht="21" customHeight="1">
      <c r="A10" s="8" t="str">
        <f t="shared" si="0"/>
        <v>206_17_1</v>
      </c>
      <c r="B10" s="5">
        <v>206</v>
      </c>
      <c r="C10" s="7">
        <v>17</v>
      </c>
      <c r="D10" s="9" t="str">
        <f ca="1">VLOOKUP($C10,OFFSET([1]characters!$A$1,0,0,COUNTA([1]characters!$A:$A),MATCH(D$1,[1]characters!$1:$1,0)-MATCH($C$1,[1]characters!$1:$1,0)+1),MATCH(D$1,[1]characters!$1:$1,0)-MATCH($C$1,[1]characters!$1:$1,0)+1,FALSE)</f>
        <v>リム</v>
      </c>
      <c r="E10" s="9" t="str">
        <f ca="1">VLOOKUP($C10,OFFSET([1]characters!$A$1,0,0,COUNTA([1]characters!$A:$A),MATCH(E$1,[1]characters!$1:$1,0)-MATCH($C$1,[1]characters!$1:$1,0)+1),MATCH(E$1,[1]characters!$1:$1,0)-MATCH($C$1,[1]characters!$1:$1,0)+1,FALSE)</f>
        <v>Drop1W</v>
      </c>
      <c r="F10" s="9">
        <f ca="1">VLOOKUP($C10,OFFSET([1]characters!$A$1,0,0,COUNTA([1]characters!$A:$A),MATCH(F$1,[1]characters!$1:$1,0)-MATCH($C$1,[1]characters!$1:$1,0)+1),MATCH(F$1,[1]characters!$1:$1,0)-MATCH($C$1,[1]characters!$1:$1,0)+1,FALSE)</f>
        <v>1</v>
      </c>
      <c r="G10" s="9" t="str">
        <f ca="1">VLOOKUP($C10,OFFSET([1]characters!$A$1,0,0,COUNTA([1]characters!$A:$A),MATCH(G$1,[1]characters!$1:$1,0)-MATCH($C$1,[1]characters!$1:$1,0)+1),MATCH(G$1,[1]characters!$1:$1,0)-MATCH($C$1,[1]characters!$1:$1,0)+1,FALSE)</f>
        <v>blue</v>
      </c>
      <c r="H10" s="9" t="str">
        <f>VLOOKUP(C10,[1]characters!$A:$K,11,FALSE)</f>
        <v>balance</v>
      </c>
      <c r="I10" s="9" t="str">
        <f>VLOOKUP(C10,[1]characters!$A:$M,13,FALSE)</f>
        <v>human</v>
      </c>
      <c r="J10" s="6">
        <v>245</v>
      </c>
      <c r="K10" s="21">
        <f t="shared" si="1"/>
        <v>3.8372384412980829E-3</v>
      </c>
      <c r="L10" s="28">
        <f>IFERROR(VLOOKUP($C10,bug_conf_sheet!$A:$H,3,FALSE),VLOOKUP("other",bug_conf_sheet!$A:$H,3,FALSE))</f>
        <v>1</v>
      </c>
      <c r="M10" s="28">
        <f>IFERROR(VLOOKUP($C10,bug_conf_sheet!$A:$H,4,FALSE),VLOOKUP("other",bug_conf_sheet!$A:$H,4,FALSE))</f>
        <v>0</v>
      </c>
      <c r="N10" s="28">
        <f>IFERROR(VLOOKUP($C10,bug_conf_sheet!$A:$H,5,FALSE),VLOOKUP("other",bug_conf_sheet!$A:$H,5,FALSE))</f>
        <v>0</v>
      </c>
      <c r="O10" s="28">
        <f>IFERROR(VLOOKUP($C10,bug_conf_sheet!$A:$H,6,FALSE),VLOOKUP("other",bug_conf_sheet!$A:$H,6,FALSE))</f>
        <v>0</v>
      </c>
      <c r="P10" s="28">
        <f>IFERROR(VLOOKUP($C10,bug_conf_sheet!$A:$H,7,FALSE),VLOOKUP("other",bug_conf_sheet!$A:$H,7,FALSE))</f>
        <v>0</v>
      </c>
      <c r="Q10" s="28">
        <f>IFERROR(VLOOKUP($C10,bug_conf_sheet!$A:$H,8,FALSE),VLOOKUP("other",bug_conf_sheet!$A:$H,8,FALSE))</f>
        <v>1</v>
      </c>
    </row>
    <row r="11" spans="1:17" ht="21" customHeight="1">
      <c r="A11" s="8" t="str">
        <f t="shared" si="0"/>
        <v>206_19_1</v>
      </c>
      <c r="B11" s="5">
        <v>206</v>
      </c>
      <c r="C11" s="7">
        <v>19</v>
      </c>
      <c r="D11" s="9" t="str">
        <f ca="1">VLOOKUP($C11,OFFSET([1]characters!$A$1,0,0,COUNTA([1]characters!$A:$A),MATCH(D$1,[1]characters!$1:$1,0)-MATCH($C$1,[1]characters!$1:$1,0)+1),MATCH(D$1,[1]characters!$1:$1,0)-MATCH($C$1,[1]characters!$1:$1,0)+1,FALSE)</f>
        <v>ティンク</v>
      </c>
      <c r="E11" s="9" t="str">
        <f ca="1">VLOOKUP($C11,OFFSET([1]characters!$A$1,0,0,COUNTA([1]characters!$A:$A),MATCH(E$1,[1]characters!$1:$1,0)-MATCH($C$1,[1]characters!$1:$1,0)+1),MATCH(E$1,[1]characters!$1:$1,0)-MATCH($C$1,[1]characters!$1:$1,0)+1,FALSE)</f>
        <v>Drop1W</v>
      </c>
      <c r="F11" s="9">
        <f ca="1">VLOOKUP($C11,OFFSET([1]characters!$A$1,0,0,COUNTA([1]characters!$A:$A),MATCH(F$1,[1]characters!$1:$1,0)-MATCH($C$1,[1]characters!$1:$1,0)+1),MATCH(F$1,[1]characters!$1:$1,0)-MATCH($C$1,[1]characters!$1:$1,0)+1,FALSE)</f>
        <v>1</v>
      </c>
      <c r="G11" s="9" t="str">
        <f ca="1">VLOOKUP($C11,OFFSET([1]characters!$A$1,0,0,COUNTA([1]characters!$A:$A),MATCH(G$1,[1]characters!$1:$1,0)-MATCH($C$1,[1]characters!$1:$1,0)+1),MATCH(G$1,[1]characters!$1:$1,0)-MATCH($C$1,[1]characters!$1:$1,0)+1,FALSE)</f>
        <v>yellow</v>
      </c>
      <c r="H11" s="9" t="str">
        <f>VLOOKUP(C11,[1]characters!$A:$K,11,FALSE)</f>
        <v>balance</v>
      </c>
      <c r="I11" s="9" t="str">
        <f>VLOOKUP(C11,[1]characters!$A:$M,13,FALSE)</f>
        <v>human</v>
      </c>
      <c r="J11" s="6">
        <v>245</v>
      </c>
      <c r="K11" s="21">
        <f t="shared" si="1"/>
        <v>3.8372384412980829E-3</v>
      </c>
      <c r="L11" s="28">
        <f>IFERROR(VLOOKUP($C11,bug_conf_sheet!$A:$H,3,FALSE),VLOOKUP("other",bug_conf_sheet!$A:$H,3,FALSE))</f>
        <v>1</v>
      </c>
      <c r="M11" s="28">
        <f>IFERROR(VLOOKUP($C11,bug_conf_sheet!$A:$H,4,FALSE),VLOOKUP("other",bug_conf_sheet!$A:$H,4,FALSE))</f>
        <v>0</v>
      </c>
      <c r="N11" s="28">
        <f>IFERROR(VLOOKUP($C11,bug_conf_sheet!$A:$H,5,FALSE),VLOOKUP("other",bug_conf_sheet!$A:$H,5,FALSE))</f>
        <v>0</v>
      </c>
      <c r="O11" s="28">
        <f>IFERROR(VLOOKUP($C11,bug_conf_sheet!$A:$H,6,FALSE),VLOOKUP("other",bug_conf_sheet!$A:$H,6,FALSE))</f>
        <v>0</v>
      </c>
      <c r="P11" s="28">
        <f>IFERROR(VLOOKUP($C11,bug_conf_sheet!$A:$H,7,FALSE),VLOOKUP("other",bug_conf_sheet!$A:$H,7,FALSE))</f>
        <v>0</v>
      </c>
      <c r="Q11" s="28">
        <f>IFERROR(VLOOKUP($C11,bug_conf_sheet!$A:$H,8,FALSE),VLOOKUP("other",bug_conf_sheet!$A:$H,8,FALSE))</f>
        <v>1</v>
      </c>
    </row>
    <row r="12" spans="1:17" ht="21" customHeight="1">
      <c r="A12" s="8" t="str">
        <f t="shared" si="0"/>
        <v>206_21_1</v>
      </c>
      <c r="B12" s="5">
        <v>206</v>
      </c>
      <c r="C12" s="7">
        <v>21</v>
      </c>
      <c r="D12" s="9" t="str">
        <f ca="1">VLOOKUP($C12,OFFSET([1]characters!$A$1,0,0,COUNTA([1]characters!$A:$A),MATCH(D$1,[1]characters!$1:$1,0)-MATCH($C$1,[1]characters!$1:$1,0)+1),MATCH(D$1,[1]characters!$1:$1,0)-MATCH($C$1,[1]characters!$1:$1,0)+1,FALSE)</f>
        <v>ヴェロキー</v>
      </c>
      <c r="E12" s="9" t="str">
        <f ca="1">VLOOKUP($C12,OFFSET([1]characters!$A$1,0,0,COUNTA([1]characters!$A:$A),MATCH(E$1,[1]characters!$1:$1,0)-MATCH($C$1,[1]characters!$1:$1,0)+1),MATCH(E$1,[1]characters!$1:$1,0)-MATCH($C$1,[1]characters!$1:$1,0)+1,FALSE)</f>
        <v>Drop1N</v>
      </c>
      <c r="F12" s="9">
        <f ca="1">VLOOKUP($C12,OFFSET([1]characters!$A$1,0,0,COUNTA([1]characters!$A:$A),MATCH(F$1,[1]characters!$1:$1,0)-MATCH($C$1,[1]characters!$1:$1,0)+1),MATCH(F$1,[1]characters!$1:$1,0)-MATCH($C$1,[1]characters!$1:$1,0)+1,FALSE)</f>
        <v>1</v>
      </c>
      <c r="G12" s="9" t="str">
        <f ca="1">VLOOKUP($C12,OFFSET([1]characters!$A$1,0,0,COUNTA([1]characters!$A:$A),MATCH(G$1,[1]characters!$1:$1,0)-MATCH($C$1,[1]characters!$1:$1,0)+1),MATCH(G$1,[1]characters!$1:$1,0)-MATCH($C$1,[1]characters!$1:$1,0)+1,FALSE)</f>
        <v>red</v>
      </c>
      <c r="H12" s="9" t="str">
        <f>VLOOKUP(C12,[1]characters!$A:$K,11,FALSE)</f>
        <v>hp</v>
      </c>
      <c r="I12" s="9" t="str">
        <f>VLOOKUP(C12,[1]characters!$A:$M,13,FALSE)</f>
        <v>dragon</v>
      </c>
      <c r="J12" s="6">
        <v>245</v>
      </c>
      <c r="K12" s="21">
        <f t="shared" si="1"/>
        <v>3.8372384412980829E-3</v>
      </c>
      <c r="L12" s="28">
        <f>IFERROR(VLOOKUP($C12,bug_conf_sheet!$A:$H,3,FALSE),VLOOKUP("other",bug_conf_sheet!$A:$H,3,FALSE))</f>
        <v>1</v>
      </c>
      <c r="M12" s="28">
        <f>IFERROR(VLOOKUP($C12,bug_conf_sheet!$A:$H,4,FALSE),VLOOKUP("other",bug_conf_sheet!$A:$H,4,FALSE))</f>
        <v>0</v>
      </c>
      <c r="N12" s="28">
        <f>IFERROR(VLOOKUP($C12,bug_conf_sheet!$A:$H,5,FALSE),VLOOKUP("other",bug_conf_sheet!$A:$H,5,FALSE))</f>
        <v>0</v>
      </c>
      <c r="O12" s="28">
        <f>IFERROR(VLOOKUP($C12,bug_conf_sheet!$A:$H,6,FALSE),VLOOKUP("other",bug_conf_sheet!$A:$H,6,FALSE))</f>
        <v>0</v>
      </c>
      <c r="P12" s="28">
        <f>IFERROR(VLOOKUP($C12,bug_conf_sheet!$A:$H,7,FALSE),VLOOKUP("other",bug_conf_sheet!$A:$H,7,FALSE))</f>
        <v>0</v>
      </c>
      <c r="Q12" s="28">
        <f>IFERROR(VLOOKUP($C12,bug_conf_sheet!$A:$H,8,FALSE),VLOOKUP("other",bug_conf_sheet!$A:$H,8,FALSE))</f>
        <v>1</v>
      </c>
    </row>
    <row r="13" spans="1:17" ht="21" customHeight="1">
      <c r="A13" s="8" t="str">
        <f t="shared" si="0"/>
        <v>206_23_1</v>
      </c>
      <c r="B13" s="5">
        <v>206</v>
      </c>
      <c r="C13" s="7">
        <v>23</v>
      </c>
      <c r="D13" s="9" t="str">
        <f ca="1">VLOOKUP($C13,OFFSET([1]characters!$A$1,0,0,COUNTA([1]characters!$A:$A),MATCH(D$1,[1]characters!$1:$1,0)-MATCH($C$1,[1]characters!$1:$1,0)+1),MATCH(D$1,[1]characters!$1:$1,0)-MATCH($C$1,[1]characters!$1:$1,0)+1,FALSE)</f>
        <v>ミール</v>
      </c>
      <c r="E13" s="9" t="str">
        <f ca="1">VLOOKUP($C13,OFFSET([1]characters!$A$1,0,0,COUNTA([1]characters!$A:$A),MATCH(E$1,[1]characters!$1:$1,0)-MATCH($C$1,[1]characters!$1:$1,0)+1),MATCH(E$1,[1]characters!$1:$1,0)-MATCH($C$1,[1]characters!$1:$1,0)+1,FALSE)</f>
        <v>Drop1N</v>
      </c>
      <c r="F13" s="9">
        <f ca="1">VLOOKUP($C13,OFFSET([1]characters!$A$1,0,0,COUNTA([1]characters!$A:$A),MATCH(F$1,[1]characters!$1:$1,0)-MATCH($C$1,[1]characters!$1:$1,0)+1),MATCH(F$1,[1]characters!$1:$1,0)-MATCH($C$1,[1]characters!$1:$1,0)+1,FALSE)</f>
        <v>1</v>
      </c>
      <c r="G13" s="9" t="str">
        <f ca="1">VLOOKUP($C13,OFFSET([1]characters!$A$1,0,0,COUNTA([1]characters!$A:$A),MATCH(G$1,[1]characters!$1:$1,0)-MATCH($C$1,[1]characters!$1:$1,0)+1),MATCH(G$1,[1]characters!$1:$1,0)-MATCH($C$1,[1]characters!$1:$1,0)+1,FALSE)</f>
        <v>green</v>
      </c>
      <c r="H13" s="9" t="str">
        <f>VLOOKUP(C13,[1]characters!$A:$K,11,FALSE)</f>
        <v>hp</v>
      </c>
      <c r="I13" s="9" t="str">
        <f>VLOOKUP(C13,[1]characters!$A:$M,13,FALSE)</f>
        <v>animal</v>
      </c>
      <c r="J13" s="6">
        <v>245</v>
      </c>
      <c r="K13" s="21">
        <f t="shared" si="1"/>
        <v>3.8372384412980829E-3</v>
      </c>
      <c r="L13" s="28">
        <f>IFERROR(VLOOKUP($C13,bug_conf_sheet!$A:$H,3,FALSE),VLOOKUP("other",bug_conf_sheet!$A:$H,3,FALSE))</f>
        <v>1</v>
      </c>
      <c r="M13" s="28">
        <f>IFERROR(VLOOKUP($C13,bug_conf_sheet!$A:$H,4,FALSE),VLOOKUP("other",bug_conf_sheet!$A:$H,4,FALSE))</f>
        <v>0</v>
      </c>
      <c r="N13" s="28">
        <f>IFERROR(VLOOKUP($C13,bug_conf_sheet!$A:$H,5,FALSE),VLOOKUP("other",bug_conf_sheet!$A:$H,5,FALSE))</f>
        <v>0</v>
      </c>
      <c r="O13" s="28">
        <f>IFERROR(VLOOKUP($C13,bug_conf_sheet!$A:$H,6,FALSE),VLOOKUP("other",bug_conf_sheet!$A:$H,6,FALSE))</f>
        <v>0</v>
      </c>
      <c r="P13" s="28">
        <f>IFERROR(VLOOKUP($C13,bug_conf_sheet!$A:$H,7,FALSE),VLOOKUP("other",bug_conf_sheet!$A:$H,7,FALSE))</f>
        <v>0</v>
      </c>
      <c r="Q13" s="28">
        <f>IFERROR(VLOOKUP($C13,bug_conf_sheet!$A:$H,8,FALSE),VLOOKUP("other",bug_conf_sheet!$A:$H,8,FALSE))</f>
        <v>1</v>
      </c>
    </row>
    <row r="14" spans="1:17" ht="21" customHeight="1">
      <c r="A14" s="8" t="str">
        <f t="shared" si="0"/>
        <v>206_25_1</v>
      </c>
      <c r="B14" s="5">
        <v>206</v>
      </c>
      <c r="C14" s="7">
        <v>25</v>
      </c>
      <c r="D14" s="9" t="str">
        <f ca="1">VLOOKUP($C14,OFFSET([1]characters!$A$1,0,0,COUNTA([1]characters!$A:$A),MATCH(D$1,[1]characters!$1:$1,0)-MATCH($C$1,[1]characters!$1:$1,0)+1),MATCH(D$1,[1]characters!$1:$1,0)-MATCH($C$1,[1]characters!$1:$1,0)+1,FALSE)</f>
        <v>ハチ</v>
      </c>
      <c r="E14" s="9" t="str">
        <f ca="1">VLOOKUP($C14,OFFSET([1]characters!$A$1,0,0,COUNTA([1]characters!$A:$A),MATCH(E$1,[1]characters!$1:$1,0)-MATCH($C$1,[1]characters!$1:$1,0)+1),MATCH(E$1,[1]characters!$1:$1,0)-MATCH($C$1,[1]characters!$1:$1,0)+1,FALSE)</f>
        <v>Drop1N</v>
      </c>
      <c r="F14" s="9">
        <f ca="1">VLOOKUP($C14,OFFSET([1]characters!$A$1,0,0,COUNTA([1]characters!$A:$A),MATCH(F$1,[1]characters!$1:$1,0)-MATCH($C$1,[1]characters!$1:$1,0)+1),MATCH(F$1,[1]characters!$1:$1,0)-MATCH($C$1,[1]characters!$1:$1,0)+1,FALSE)</f>
        <v>1</v>
      </c>
      <c r="G14" s="9" t="str">
        <f ca="1">VLOOKUP($C14,OFFSET([1]characters!$A$1,0,0,COUNTA([1]characters!$A:$A),MATCH(G$1,[1]characters!$1:$1,0)-MATCH($C$1,[1]characters!$1:$1,0)+1),MATCH(G$1,[1]characters!$1:$1,0)-MATCH($C$1,[1]characters!$1:$1,0)+1,FALSE)</f>
        <v>blue</v>
      </c>
      <c r="H14" s="9" t="str">
        <f>VLOOKUP(C14,[1]characters!$A:$K,11,FALSE)</f>
        <v>hp</v>
      </c>
      <c r="I14" s="9" t="str">
        <f>VLOOKUP(C14,[1]characters!$A:$M,13,FALSE)</f>
        <v>animal</v>
      </c>
      <c r="J14" s="6">
        <v>245</v>
      </c>
      <c r="K14" s="21">
        <f t="shared" si="1"/>
        <v>3.8372384412980829E-3</v>
      </c>
      <c r="L14" s="28">
        <f>IFERROR(VLOOKUP($C14,bug_conf_sheet!$A:$H,3,FALSE),VLOOKUP("other",bug_conf_sheet!$A:$H,3,FALSE))</f>
        <v>1</v>
      </c>
      <c r="M14" s="28">
        <f>IFERROR(VLOOKUP($C14,bug_conf_sheet!$A:$H,4,FALSE),VLOOKUP("other",bug_conf_sheet!$A:$H,4,FALSE))</f>
        <v>0</v>
      </c>
      <c r="N14" s="28">
        <f>IFERROR(VLOOKUP($C14,bug_conf_sheet!$A:$H,5,FALSE),VLOOKUP("other",bug_conf_sheet!$A:$H,5,FALSE))</f>
        <v>0</v>
      </c>
      <c r="O14" s="28">
        <f>IFERROR(VLOOKUP($C14,bug_conf_sheet!$A:$H,6,FALSE),VLOOKUP("other",bug_conf_sheet!$A:$H,6,FALSE))</f>
        <v>0</v>
      </c>
      <c r="P14" s="28">
        <f>IFERROR(VLOOKUP($C14,bug_conf_sheet!$A:$H,7,FALSE),VLOOKUP("other",bug_conf_sheet!$A:$H,7,FALSE))</f>
        <v>0</v>
      </c>
      <c r="Q14" s="28">
        <f>IFERROR(VLOOKUP($C14,bug_conf_sheet!$A:$H,8,FALSE),VLOOKUP("other",bug_conf_sheet!$A:$H,8,FALSE))</f>
        <v>1</v>
      </c>
    </row>
    <row r="15" spans="1:17" ht="21" customHeight="1">
      <c r="A15" s="8" t="str">
        <f t="shared" si="0"/>
        <v>206_27_1</v>
      </c>
      <c r="B15" s="5">
        <v>206</v>
      </c>
      <c r="C15" s="7">
        <v>27</v>
      </c>
      <c r="D15" s="9" t="str">
        <f ca="1">VLOOKUP($C15,OFFSET([1]characters!$A$1,0,0,COUNTA([1]characters!$A:$A),MATCH(D$1,[1]characters!$1:$1,0)-MATCH($C$1,[1]characters!$1:$1,0)+1),MATCH(D$1,[1]characters!$1:$1,0)-MATCH($C$1,[1]characters!$1:$1,0)+1,FALSE)</f>
        <v>パトライン</v>
      </c>
      <c r="E15" s="9" t="str">
        <f ca="1">VLOOKUP($C15,OFFSET([1]characters!$A$1,0,0,COUNTA([1]characters!$A:$A),MATCH(E$1,[1]characters!$1:$1,0)-MATCH($C$1,[1]characters!$1:$1,0)+1),MATCH(E$1,[1]characters!$1:$1,0)-MATCH($C$1,[1]characters!$1:$1,0)+1,FALSE)</f>
        <v>Drop1N</v>
      </c>
      <c r="F15" s="9">
        <f ca="1">VLOOKUP($C15,OFFSET([1]characters!$A$1,0,0,COUNTA([1]characters!$A:$A),MATCH(F$1,[1]characters!$1:$1,0)-MATCH($C$1,[1]characters!$1:$1,0)+1),MATCH(F$1,[1]characters!$1:$1,0)-MATCH($C$1,[1]characters!$1:$1,0)+1,FALSE)</f>
        <v>1</v>
      </c>
      <c r="G15" s="9" t="str">
        <f ca="1">VLOOKUP($C15,OFFSET([1]characters!$A$1,0,0,COUNTA([1]characters!$A:$A),MATCH(G$1,[1]characters!$1:$1,0)-MATCH($C$1,[1]characters!$1:$1,0)+1),MATCH(G$1,[1]characters!$1:$1,0)-MATCH($C$1,[1]characters!$1:$1,0)+1,FALSE)</f>
        <v>green</v>
      </c>
      <c r="H15" s="9" t="str">
        <f>VLOOKUP(C15,[1]characters!$A:$K,11,FALSE)</f>
        <v>heal</v>
      </c>
      <c r="I15" s="9" t="str">
        <f>VLOOKUP(C15,[1]characters!$A:$M,13,FALSE)</f>
        <v>machine</v>
      </c>
      <c r="J15" s="6">
        <v>245</v>
      </c>
      <c r="K15" s="21">
        <f t="shared" si="1"/>
        <v>3.8372384412980829E-3</v>
      </c>
      <c r="L15" s="28">
        <f>IFERROR(VLOOKUP($C15,bug_conf_sheet!$A:$H,3,FALSE),VLOOKUP("other",bug_conf_sheet!$A:$H,3,FALSE))</f>
        <v>1</v>
      </c>
      <c r="M15" s="28">
        <f>IFERROR(VLOOKUP($C15,bug_conf_sheet!$A:$H,4,FALSE),VLOOKUP("other",bug_conf_sheet!$A:$H,4,FALSE))</f>
        <v>0</v>
      </c>
      <c r="N15" s="28">
        <f>IFERROR(VLOOKUP($C15,bug_conf_sheet!$A:$H,5,FALSE),VLOOKUP("other",bug_conf_sheet!$A:$H,5,FALSE))</f>
        <v>0</v>
      </c>
      <c r="O15" s="28">
        <f>IFERROR(VLOOKUP($C15,bug_conf_sheet!$A:$H,6,FALSE),VLOOKUP("other",bug_conf_sheet!$A:$H,6,FALSE))</f>
        <v>0</v>
      </c>
      <c r="P15" s="28">
        <f>IFERROR(VLOOKUP($C15,bug_conf_sheet!$A:$H,7,FALSE),VLOOKUP("other",bug_conf_sheet!$A:$H,7,FALSE))</f>
        <v>0</v>
      </c>
      <c r="Q15" s="28">
        <f>IFERROR(VLOOKUP($C15,bug_conf_sheet!$A:$H,8,FALSE),VLOOKUP("other",bug_conf_sheet!$A:$H,8,FALSE))</f>
        <v>1</v>
      </c>
    </row>
    <row r="16" spans="1:17" ht="21" customHeight="1">
      <c r="A16" s="8" t="str">
        <f t="shared" si="0"/>
        <v>206_29_1</v>
      </c>
      <c r="B16" s="5">
        <v>206</v>
      </c>
      <c r="C16" s="7">
        <v>29</v>
      </c>
      <c r="D16" s="9" t="str">
        <f ca="1">VLOOKUP($C16,OFFSET([1]characters!$A$1,0,0,COUNTA([1]characters!$A:$A),MATCH(D$1,[1]characters!$1:$1,0)-MATCH($C$1,[1]characters!$1:$1,0)+1),MATCH(D$1,[1]characters!$1:$1,0)-MATCH($C$1,[1]characters!$1:$1,0)+1,FALSE)</f>
        <v>スケアクロウ</v>
      </c>
      <c r="E16" s="9" t="str">
        <f ca="1">VLOOKUP($C16,OFFSET([1]characters!$A$1,0,0,COUNTA([1]characters!$A:$A),MATCH(E$1,[1]characters!$1:$1,0)-MATCH($C$1,[1]characters!$1:$1,0)+1),MATCH(E$1,[1]characters!$1:$1,0)-MATCH($C$1,[1]characters!$1:$1,0)+1,FALSE)</f>
        <v>Drop1N</v>
      </c>
      <c r="F16" s="9">
        <f ca="1">VLOOKUP($C16,OFFSET([1]characters!$A$1,0,0,COUNTA([1]characters!$A:$A),MATCH(F$1,[1]characters!$1:$1,0)-MATCH($C$1,[1]characters!$1:$1,0)+1),MATCH(F$1,[1]characters!$1:$1,0)-MATCH($C$1,[1]characters!$1:$1,0)+1,FALSE)</f>
        <v>1</v>
      </c>
      <c r="G16" s="9" t="str">
        <f ca="1">VLOOKUP($C16,OFFSET([1]characters!$A$1,0,0,COUNTA([1]characters!$A:$A),MATCH(G$1,[1]characters!$1:$1,0)-MATCH($C$1,[1]characters!$1:$1,0)+1),MATCH(G$1,[1]characters!$1:$1,0)-MATCH($C$1,[1]characters!$1:$1,0)+1,FALSE)</f>
        <v>blue</v>
      </c>
      <c r="H16" s="9" t="str">
        <f>VLOOKUP(C16,[1]characters!$A:$K,11,FALSE)</f>
        <v>heal</v>
      </c>
      <c r="I16" s="9" t="str">
        <f>VLOOKUP(C16,[1]characters!$A:$M,13,FALSE)</f>
        <v>machine</v>
      </c>
      <c r="J16" s="6">
        <v>245</v>
      </c>
      <c r="K16" s="21">
        <f t="shared" si="1"/>
        <v>3.8372384412980829E-3</v>
      </c>
      <c r="L16" s="28">
        <f>IFERROR(VLOOKUP($C16,bug_conf_sheet!$A:$H,3,FALSE),VLOOKUP("other",bug_conf_sheet!$A:$H,3,FALSE))</f>
        <v>1</v>
      </c>
      <c r="M16" s="28">
        <f>IFERROR(VLOOKUP($C16,bug_conf_sheet!$A:$H,4,FALSE),VLOOKUP("other",bug_conf_sheet!$A:$H,4,FALSE))</f>
        <v>0</v>
      </c>
      <c r="N16" s="28">
        <f>IFERROR(VLOOKUP($C16,bug_conf_sheet!$A:$H,5,FALSE),VLOOKUP("other",bug_conf_sheet!$A:$H,5,FALSE))</f>
        <v>0</v>
      </c>
      <c r="O16" s="28">
        <f>IFERROR(VLOOKUP($C16,bug_conf_sheet!$A:$H,6,FALSE),VLOOKUP("other",bug_conf_sheet!$A:$H,6,FALSE))</f>
        <v>0</v>
      </c>
      <c r="P16" s="28">
        <f>IFERROR(VLOOKUP($C16,bug_conf_sheet!$A:$H,7,FALSE),VLOOKUP("other",bug_conf_sheet!$A:$H,7,FALSE))</f>
        <v>0</v>
      </c>
      <c r="Q16" s="28">
        <f>IFERROR(VLOOKUP($C16,bug_conf_sheet!$A:$H,8,FALSE),VLOOKUP("other",bug_conf_sheet!$A:$H,8,FALSE))</f>
        <v>1</v>
      </c>
    </row>
    <row r="17" spans="1:17" ht="21" customHeight="1">
      <c r="A17" s="8" t="str">
        <f t="shared" si="0"/>
        <v>206_31_1</v>
      </c>
      <c r="B17" s="5">
        <v>206</v>
      </c>
      <c r="C17" s="7">
        <v>31</v>
      </c>
      <c r="D17" s="9" t="str">
        <f ca="1">VLOOKUP($C17,OFFSET([1]characters!$A$1,0,0,COUNTA([1]characters!$A:$A),MATCH(D$1,[1]characters!$1:$1,0)-MATCH($C$1,[1]characters!$1:$1,0)+1),MATCH(D$1,[1]characters!$1:$1,0)-MATCH($C$1,[1]characters!$1:$1,0)+1,FALSE)</f>
        <v>マービー</v>
      </c>
      <c r="E17" s="9" t="str">
        <f ca="1">VLOOKUP($C17,OFFSET([1]characters!$A$1,0,0,COUNTA([1]characters!$A:$A),MATCH(E$1,[1]characters!$1:$1,0)-MATCH($C$1,[1]characters!$1:$1,0)+1),MATCH(E$1,[1]characters!$1:$1,0)-MATCH($C$1,[1]characters!$1:$1,0)+1,FALSE)</f>
        <v>Drop1N</v>
      </c>
      <c r="F17" s="9">
        <f ca="1">VLOOKUP($C17,OFFSET([1]characters!$A$1,0,0,COUNTA([1]characters!$A:$A),MATCH(F$1,[1]characters!$1:$1,0)-MATCH($C$1,[1]characters!$1:$1,0)+1),MATCH(F$1,[1]characters!$1:$1,0)-MATCH($C$1,[1]characters!$1:$1,0)+1,FALSE)</f>
        <v>1</v>
      </c>
      <c r="G17" s="9" t="str">
        <f ca="1">VLOOKUP($C17,OFFSET([1]characters!$A$1,0,0,COUNTA([1]characters!$A:$A),MATCH(G$1,[1]characters!$1:$1,0)-MATCH($C$1,[1]characters!$1:$1,0)+1),MATCH(G$1,[1]characters!$1:$1,0)-MATCH($C$1,[1]characters!$1:$1,0)+1,FALSE)</f>
        <v>yellow</v>
      </c>
      <c r="H17" s="9" t="str">
        <f>VLOOKUP(C17,[1]characters!$A:$K,11,FALSE)</f>
        <v>technical</v>
      </c>
      <c r="I17" s="9" t="str">
        <f>VLOOKUP(C17,[1]characters!$A:$M,13,FALSE)</f>
        <v>machine</v>
      </c>
      <c r="J17" s="6">
        <v>245</v>
      </c>
      <c r="K17" s="21">
        <f t="shared" si="1"/>
        <v>3.8372384412980829E-3</v>
      </c>
      <c r="L17" s="28">
        <f>IFERROR(VLOOKUP($C17,bug_conf_sheet!$A:$H,3,FALSE),VLOOKUP("other",bug_conf_sheet!$A:$H,3,FALSE))</f>
        <v>1</v>
      </c>
      <c r="M17" s="28">
        <f>IFERROR(VLOOKUP($C17,bug_conf_sheet!$A:$H,4,FALSE),VLOOKUP("other",bug_conf_sheet!$A:$H,4,FALSE))</f>
        <v>0</v>
      </c>
      <c r="N17" s="28">
        <f>IFERROR(VLOOKUP($C17,bug_conf_sheet!$A:$H,5,FALSE),VLOOKUP("other",bug_conf_sheet!$A:$H,5,FALSE))</f>
        <v>0</v>
      </c>
      <c r="O17" s="28">
        <f>IFERROR(VLOOKUP($C17,bug_conf_sheet!$A:$H,6,FALSE),VLOOKUP("other",bug_conf_sheet!$A:$H,6,FALSE))</f>
        <v>0</v>
      </c>
      <c r="P17" s="28">
        <f>IFERROR(VLOOKUP($C17,bug_conf_sheet!$A:$H,7,FALSE),VLOOKUP("other",bug_conf_sheet!$A:$H,7,FALSE))</f>
        <v>0</v>
      </c>
      <c r="Q17" s="28">
        <f>IFERROR(VLOOKUP($C17,bug_conf_sheet!$A:$H,8,FALSE),VLOOKUP("other",bug_conf_sheet!$A:$H,8,FALSE))</f>
        <v>1</v>
      </c>
    </row>
    <row r="18" spans="1:17" ht="21" customHeight="1">
      <c r="A18" s="8" t="str">
        <f t="shared" si="0"/>
        <v>206_33_1</v>
      </c>
      <c r="B18" s="5">
        <v>206</v>
      </c>
      <c r="C18" s="7">
        <v>33</v>
      </c>
      <c r="D18" s="9" t="str">
        <f ca="1">VLOOKUP($C18,OFFSET([1]characters!$A$1,0,0,COUNTA([1]characters!$A:$A),MATCH(D$1,[1]characters!$1:$1,0)-MATCH($C$1,[1]characters!$1:$1,0)+1),MATCH(D$1,[1]characters!$1:$1,0)-MATCH($C$1,[1]characters!$1:$1,0)+1,FALSE)</f>
        <v>ゴクウ</v>
      </c>
      <c r="E18" s="9" t="str">
        <f ca="1">VLOOKUP($C18,OFFSET([1]characters!$A$1,0,0,COUNTA([1]characters!$A:$A),MATCH(E$1,[1]characters!$1:$1,0)-MATCH($C$1,[1]characters!$1:$1,0)+1),MATCH(E$1,[1]characters!$1:$1,0)-MATCH($C$1,[1]characters!$1:$1,0)+1,FALSE)</f>
        <v>Drop1S</v>
      </c>
      <c r="F18" s="9">
        <f ca="1">VLOOKUP($C18,OFFSET([1]characters!$A$1,0,0,COUNTA([1]characters!$A:$A),MATCH(F$1,[1]characters!$1:$1,0)-MATCH($C$1,[1]characters!$1:$1,0)+1),MATCH(F$1,[1]characters!$1:$1,0)-MATCH($C$1,[1]characters!$1:$1,0)+1,FALSE)</f>
        <v>2</v>
      </c>
      <c r="G18" s="9" t="str">
        <f ca="1">VLOOKUP($C18,OFFSET([1]characters!$A$1,0,0,COUNTA([1]characters!$A:$A),MATCH(G$1,[1]characters!$1:$1,0)-MATCH($C$1,[1]characters!$1:$1,0)+1),MATCH(G$1,[1]characters!$1:$1,0)-MATCH($C$1,[1]characters!$1:$1,0)+1,FALSE)</f>
        <v>red</v>
      </c>
      <c r="H18" s="9" t="str">
        <f>VLOOKUP(C18,[1]characters!$A:$K,11,FALSE)</f>
        <v>attack</v>
      </c>
      <c r="I18" s="9" t="str">
        <f>VLOOKUP(C18,[1]characters!$A:$M,13,FALSE)</f>
        <v>animal</v>
      </c>
      <c r="J18" s="6">
        <v>160</v>
      </c>
      <c r="K18" s="21">
        <f t="shared" si="1"/>
        <v>2.5059516351334421E-3</v>
      </c>
      <c r="L18" s="28">
        <f>IFERROR(VLOOKUP($C18,bug_conf_sheet!$A:$H,3,FALSE),VLOOKUP("other",bug_conf_sheet!$A:$H,3,FALSE))</f>
        <v>1</v>
      </c>
      <c r="M18" s="28">
        <f>IFERROR(VLOOKUP($C18,bug_conf_sheet!$A:$H,4,FALSE),VLOOKUP("other",bug_conf_sheet!$A:$H,4,FALSE))</f>
        <v>0</v>
      </c>
      <c r="N18" s="28">
        <f>IFERROR(VLOOKUP($C18,bug_conf_sheet!$A:$H,5,FALSE),VLOOKUP("other",bug_conf_sheet!$A:$H,5,FALSE))</f>
        <v>0</v>
      </c>
      <c r="O18" s="28">
        <f>IFERROR(VLOOKUP($C18,bug_conf_sheet!$A:$H,6,FALSE),VLOOKUP("other",bug_conf_sheet!$A:$H,6,FALSE))</f>
        <v>0</v>
      </c>
      <c r="P18" s="28">
        <f>IFERROR(VLOOKUP($C18,bug_conf_sheet!$A:$H,7,FALSE),VLOOKUP("other",bug_conf_sheet!$A:$H,7,FALSE))</f>
        <v>0</v>
      </c>
      <c r="Q18" s="28">
        <f>IFERROR(VLOOKUP($C18,bug_conf_sheet!$A:$H,8,FALSE),VLOOKUP("other",bug_conf_sheet!$A:$H,8,FALSE))</f>
        <v>1</v>
      </c>
    </row>
    <row r="19" spans="1:17" ht="21" customHeight="1">
      <c r="A19" s="8" t="str">
        <f t="shared" si="0"/>
        <v>206_35_1</v>
      </c>
      <c r="B19" s="5">
        <v>206</v>
      </c>
      <c r="C19" s="7">
        <v>35</v>
      </c>
      <c r="D19" s="9" t="str">
        <f ca="1">VLOOKUP($C19,OFFSET([1]characters!$A$1,0,0,COUNTA([1]characters!$A:$A),MATCH(D$1,[1]characters!$1:$1,0)-MATCH($C$1,[1]characters!$1:$1,0)+1),MATCH(D$1,[1]characters!$1:$1,0)-MATCH($C$1,[1]characters!$1:$1,0)+1,FALSE)</f>
        <v>F2</v>
      </c>
      <c r="E19" s="9" t="str">
        <f ca="1">VLOOKUP($C19,OFFSET([1]characters!$A$1,0,0,COUNTA([1]characters!$A:$A),MATCH(E$1,[1]characters!$1:$1,0)-MATCH($C$1,[1]characters!$1:$1,0)+1),MATCH(E$1,[1]characters!$1:$1,0)-MATCH($C$1,[1]characters!$1:$1,0)+1,FALSE)</f>
        <v>Drop1S</v>
      </c>
      <c r="F19" s="9">
        <f ca="1">VLOOKUP($C19,OFFSET([1]characters!$A$1,0,0,COUNTA([1]characters!$A:$A),MATCH(F$1,[1]characters!$1:$1,0)-MATCH($C$1,[1]characters!$1:$1,0)+1),MATCH(F$1,[1]characters!$1:$1,0)-MATCH($C$1,[1]characters!$1:$1,0)+1,FALSE)</f>
        <v>2</v>
      </c>
      <c r="G19" s="9" t="str">
        <f ca="1">VLOOKUP($C19,OFFSET([1]characters!$A$1,0,0,COUNTA([1]characters!$A:$A),MATCH(G$1,[1]characters!$1:$1,0)-MATCH($C$1,[1]characters!$1:$1,0)+1),MATCH(G$1,[1]characters!$1:$1,0)-MATCH($C$1,[1]characters!$1:$1,0)+1,FALSE)</f>
        <v>green</v>
      </c>
      <c r="H19" s="9" t="str">
        <f>VLOOKUP(C19,[1]characters!$A:$K,11,FALSE)</f>
        <v>technical</v>
      </c>
      <c r="I19" s="9" t="str">
        <f>VLOOKUP(C19,[1]characters!$A:$M,13,FALSE)</f>
        <v>machine</v>
      </c>
      <c r="J19" s="6">
        <v>160</v>
      </c>
      <c r="K19" s="21">
        <f t="shared" si="1"/>
        <v>2.5059516351334421E-3</v>
      </c>
      <c r="L19" s="28">
        <f>IFERROR(VLOOKUP($C19,bug_conf_sheet!$A:$H,3,FALSE),VLOOKUP("other",bug_conf_sheet!$A:$H,3,FALSE))</f>
        <v>1</v>
      </c>
      <c r="M19" s="28">
        <f>IFERROR(VLOOKUP($C19,bug_conf_sheet!$A:$H,4,FALSE),VLOOKUP("other",bug_conf_sheet!$A:$H,4,FALSE))</f>
        <v>0</v>
      </c>
      <c r="N19" s="28">
        <f>IFERROR(VLOOKUP($C19,bug_conf_sheet!$A:$H,5,FALSE),VLOOKUP("other",bug_conf_sheet!$A:$H,5,FALSE))</f>
        <v>0</v>
      </c>
      <c r="O19" s="28">
        <f>IFERROR(VLOOKUP($C19,bug_conf_sheet!$A:$H,6,FALSE),VLOOKUP("other",bug_conf_sheet!$A:$H,6,FALSE))</f>
        <v>0</v>
      </c>
      <c r="P19" s="28">
        <f>IFERROR(VLOOKUP($C19,bug_conf_sheet!$A:$H,7,FALSE),VLOOKUP("other",bug_conf_sheet!$A:$H,7,FALSE))</f>
        <v>0</v>
      </c>
      <c r="Q19" s="28">
        <f>IFERROR(VLOOKUP($C19,bug_conf_sheet!$A:$H,8,FALSE),VLOOKUP("other",bug_conf_sheet!$A:$H,8,FALSE))</f>
        <v>1</v>
      </c>
    </row>
    <row r="20" spans="1:17" ht="21" customHeight="1">
      <c r="A20" s="8" t="str">
        <f t="shared" si="0"/>
        <v>206_37_1</v>
      </c>
      <c r="B20" s="5">
        <v>206</v>
      </c>
      <c r="C20" s="7">
        <v>37</v>
      </c>
      <c r="D20" s="9" t="str">
        <f ca="1">VLOOKUP($C20,OFFSET([1]characters!$A$1,0,0,COUNTA([1]characters!$A:$A),MATCH(D$1,[1]characters!$1:$1,0)-MATCH($C$1,[1]characters!$1:$1,0)+1),MATCH(D$1,[1]characters!$1:$1,0)-MATCH($C$1,[1]characters!$1:$1,0)+1,FALSE)</f>
        <v>ガイル</v>
      </c>
      <c r="E20" s="9" t="str">
        <f ca="1">VLOOKUP($C20,OFFSET([1]characters!$A$1,0,0,COUNTA([1]characters!$A:$A),MATCH(E$1,[1]characters!$1:$1,0)-MATCH($C$1,[1]characters!$1:$1,0)+1),MATCH(E$1,[1]characters!$1:$1,0)-MATCH($C$1,[1]characters!$1:$1,0)+1,FALSE)</f>
        <v>Drop1S</v>
      </c>
      <c r="F20" s="9">
        <f ca="1">VLOOKUP($C20,OFFSET([1]characters!$A$1,0,0,COUNTA([1]characters!$A:$A),MATCH(F$1,[1]characters!$1:$1,0)-MATCH($C$1,[1]characters!$1:$1,0)+1),MATCH(F$1,[1]characters!$1:$1,0)-MATCH($C$1,[1]characters!$1:$1,0)+1,FALSE)</f>
        <v>2</v>
      </c>
      <c r="G20" s="9" t="str">
        <f ca="1">VLOOKUP($C20,OFFSET([1]characters!$A$1,0,0,COUNTA([1]characters!$A:$A),MATCH(G$1,[1]characters!$1:$1,0)-MATCH($C$1,[1]characters!$1:$1,0)+1),MATCH(G$1,[1]characters!$1:$1,0)-MATCH($C$1,[1]characters!$1:$1,0)+1,FALSE)</f>
        <v>blue</v>
      </c>
      <c r="H20" s="9" t="str">
        <f>VLOOKUP(C20,[1]characters!$A:$K,11,FALSE)</f>
        <v>balance</v>
      </c>
      <c r="I20" s="9" t="str">
        <f>VLOOKUP(C20,[1]characters!$A:$M,13,FALSE)</f>
        <v>animal</v>
      </c>
      <c r="J20" s="6">
        <v>160</v>
      </c>
      <c r="K20" s="21">
        <f t="shared" si="1"/>
        <v>2.5059516351334421E-3</v>
      </c>
      <c r="L20" s="28">
        <f>IFERROR(VLOOKUP($C20,bug_conf_sheet!$A:$H,3,FALSE),VLOOKUP("other",bug_conf_sheet!$A:$H,3,FALSE))</f>
        <v>1</v>
      </c>
      <c r="M20" s="28">
        <f>IFERROR(VLOOKUP($C20,bug_conf_sheet!$A:$H,4,FALSE),VLOOKUP("other",bug_conf_sheet!$A:$H,4,FALSE))</f>
        <v>0</v>
      </c>
      <c r="N20" s="28">
        <f>IFERROR(VLOOKUP($C20,bug_conf_sheet!$A:$H,5,FALSE),VLOOKUP("other",bug_conf_sheet!$A:$H,5,FALSE))</f>
        <v>0</v>
      </c>
      <c r="O20" s="28">
        <f>IFERROR(VLOOKUP($C20,bug_conf_sheet!$A:$H,6,FALSE),VLOOKUP("other",bug_conf_sheet!$A:$H,6,FALSE))</f>
        <v>0</v>
      </c>
      <c r="P20" s="28">
        <f>IFERROR(VLOOKUP($C20,bug_conf_sheet!$A:$H,7,FALSE),VLOOKUP("other",bug_conf_sheet!$A:$H,7,FALSE))</f>
        <v>0</v>
      </c>
      <c r="Q20" s="28">
        <f>IFERROR(VLOOKUP($C20,bug_conf_sheet!$A:$H,8,FALSE),VLOOKUP("other",bug_conf_sheet!$A:$H,8,FALSE))</f>
        <v>1</v>
      </c>
    </row>
    <row r="21" spans="1:17" ht="21" customHeight="1">
      <c r="A21" s="8" t="str">
        <f t="shared" si="0"/>
        <v>206_39_1</v>
      </c>
      <c r="B21" s="5">
        <v>206</v>
      </c>
      <c r="C21" s="7">
        <v>39</v>
      </c>
      <c r="D21" s="9" t="str">
        <f ca="1">VLOOKUP($C21,OFFSET([1]characters!$A$1,0,0,COUNTA([1]characters!$A:$A),MATCH(D$1,[1]characters!$1:$1,0)-MATCH($C$1,[1]characters!$1:$1,0)+1),MATCH(D$1,[1]characters!$1:$1,0)-MATCH($C$1,[1]characters!$1:$1,0)+1,FALSE)</f>
        <v>マーロン</v>
      </c>
      <c r="E21" s="9" t="str">
        <f ca="1">VLOOKUP($C21,OFFSET([1]characters!$A$1,0,0,COUNTA([1]characters!$A:$A),MATCH(E$1,[1]characters!$1:$1,0)-MATCH($C$1,[1]characters!$1:$1,0)+1),MATCH(E$1,[1]characters!$1:$1,0)-MATCH($C$1,[1]characters!$1:$1,0)+1,FALSE)</f>
        <v>Drop1S</v>
      </c>
      <c r="F21" s="9">
        <f ca="1">VLOOKUP($C21,OFFSET([1]characters!$A$1,0,0,COUNTA([1]characters!$A:$A),MATCH(F$1,[1]characters!$1:$1,0)-MATCH($C$1,[1]characters!$1:$1,0)+1),MATCH(F$1,[1]characters!$1:$1,0)-MATCH($C$1,[1]characters!$1:$1,0)+1,FALSE)</f>
        <v>2</v>
      </c>
      <c r="G21" s="9" t="str">
        <f ca="1">VLOOKUP($C21,OFFSET([1]characters!$A$1,0,0,COUNTA([1]characters!$A:$A),MATCH(G$1,[1]characters!$1:$1,0)-MATCH($C$1,[1]characters!$1:$1,0)+1),MATCH(G$1,[1]characters!$1:$1,0)-MATCH($C$1,[1]characters!$1:$1,0)+1,FALSE)</f>
        <v>yellow</v>
      </c>
      <c r="H21" s="9" t="str">
        <f>VLOOKUP(C21,[1]characters!$A:$K,11,FALSE)</f>
        <v>balance</v>
      </c>
      <c r="I21" s="9" t="str">
        <f>VLOOKUP(C21,[1]characters!$A:$M,13,FALSE)</f>
        <v>human</v>
      </c>
      <c r="J21" s="6">
        <v>160</v>
      </c>
      <c r="K21" s="21">
        <f t="shared" si="1"/>
        <v>2.5059516351334421E-3</v>
      </c>
      <c r="L21" s="28">
        <f>IFERROR(VLOOKUP($C21,bug_conf_sheet!$A:$H,3,FALSE),VLOOKUP("other",bug_conf_sheet!$A:$H,3,FALSE))</f>
        <v>1</v>
      </c>
      <c r="M21" s="28">
        <f>IFERROR(VLOOKUP($C21,bug_conf_sheet!$A:$H,4,FALSE),VLOOKUP("other",bug_conf_sheet!$A:$H,4,FALSE))</f>
        <v>0</v>
      </c>
      <c r="N21" s="28">
        <f>IFERROR(VLOOKUP($C21,bug_conf_sheet!$A:$H,5,FALSE),VLOOKUP("other",bug_conf_sheet!$A:$H,5,FALSE))</f>
        <v>0</v>
      </c>
      <c r="O21" s="28">
        <f>IFERROR(VLOOKUP($C21,bug_conf_sheet!$A:$H,6,FALSE),VLOOKUP("other",bug_conf_sheet!$A:$H,6,FALSE))</f>
        <v>0</v>
      </c>
      <c r="P21" s="28">
        <f>IFERROR(VLOOKUP($C21,bug_conf_sheet!$A:$H,7,FALSE),VLOOKUP("other",bug_conf_sheet!$A:$H,7,FALSE))</f>
        <v>0</v>
      </c>
      <c r="Q21" s="28">
        <f>IFERROR(VLOOKUP($C21,bug_conf_sheet!$A:$H,8,FALSE),VLOOKUP("other",bug_conf_sheet!$A:$H,8,FALSE))</f>
        <v>1</v>
      </c>
    </row>
    <row r="22" spans="1:17" ht="21" customHeight="1">
      <c r="A22" s="8" t="str">
        <f t="shared" si="0"/>
        <v>206_41_1</v>
      </c>
      <c r="B22" s="5">
        <v>206</v>
      </c>
      <c r="C22" s="7">
        <v>41</v>
      </c>
      <c r="D22" s="9" t="str">
        <f ca="1">VLOOKUP($C22,OFFSET([1]characters!$A$1,0,0,COUNTA([1]characters!$A:$A),MATCH(D$1,[1]characters!$1:$1,0)-MATCH($C$1,[1]characters!$1:$1,0)+1),MATCH(D$1,[1]characters!$1:$1,0)-MATCH($C$1,[1]characters!$1:$1,0)+1,FALSE)</f>
        <v>ヒュウガ</v>
      </c>
      <c r="E22" s="9" t="str">
        <f ca="1">VLOOKUP($C22,OFFSET([1]characters!$A$1,0,0,COUNTA([1]characters!$A:$A),MATCH(E$1,[1]characters!$1:$1,0)-MATCH($C$1,[1]characters!$1:$1,0)+1),MATCH(E$1,[1]characters!$1:$1,0)-MATCH($C$1,[1]characters!$1:$1,0)+1,FALSE)</f>
        <v>Drop1N</v>
      </c>
      <c r="F22" s="9">
        <f ca="1">VLOOKUP($C22,OFFSET([1]characters!$A$1,0,0,COUNTA([1]characters!$A:$A),MATCH(F$1,[1]characters!$1:$1,0)-MATCH($C$1,[1]characters!$1:$1,0)+1),MATCH(F$1,[1]characters!$1:$1,0)-MATCH($C$1,[1]characters!$1:$1,0)+1,FALSE)</f>
        <v>2</v>
      </c>
      <c r="G22" s="9" t="str">
        <f ca="1">VLOOKUP($C22,OFFSET([1]characters!$A$1,0,0,COUNTA([1]characters!$A:$A),MATCH(G$1,[1]characters!$1:$1,0)-MATCH($C$1,[1]characters!$1:$1,0)+1),MATCH(G$1,[1]characters!$1:$1,0)-MATCH($C$1,[1]characters!$1:$1,0)+1,FALSE)</f>
        <v>red</v>
      </c>
      <c r="H22" s="9" t="str">
        <f>VLOOKUP(C22,[1]characters!$A:$K,11,FALSE)</f>
        <v>attack</v>
      </c>
      <c r="I22" s="9" t="str">
        <f>VLOOKUP(C22,[1]characters!$A:$M,13,FALSE)</f>
        <v>dragon</v>
      </c>
      <c r="J22" s="6">
        <v>160</v>
      </c>
      <c r="K22" s="21">
        <f t="shared" si="1"/>
        <v>2.5059516351334421E-3</v>
      </c>
      <c r="L22" s="28">
        <f>IFERROR(VLOOKUP($C22,bug_conf_sheet!$A:$H,3,FALSE),VLOOKUP("other",bug_conf_sheet!$A:$H,3,FALSE))</f>
        <v>1</v>
      </c>
      <c r="M22" s="28">
        <f>IFERROR(VLOOKUP($C22,bug_conf_sheet!$A:$H,4,FALSE),VLOOKUP("other",bug_conf_sheet!$A:$H,4,FALSE))</f>
        <v>0</v>
      </c>
      <c r="N22" s="28">
        <f>IFERROR(VLOOKUP($C22,bug_conf_sheet!$A:$H,5,FALSE),VLOOKUP("other",bug_conf_sheet!$A:$H,5,FALSE))</f>
        <v>0</v>
      </c>
      <c r="O22" s="28">
        <f>IFERROR(VLOOKUP($C22,bug_conf_sheet!$A:$H,6,FALSE),VLOOKUP("other",bug_conf_sheet!$A:$H,6,FALSE))</f>
        <v>0</v>
      </c>
      <c r="P22" s="28">
        <f>IFERROR(VLOOKUP($C22,bug_conf_sheet!$A:$H,7,FALSE),VLOOKUP("other",bug_conf_sheet!$A:$H,7,FALSE))</f>
        <v>0</v>
      </c>
      <c r="Q22" s="28">
        <f>IFERROR(VLOOKUP($C22,bug_conf_sheet!$A:$H,8,FALSE),VLOOKUP("other",bug_conf_sheet!$A:$H,8,FALSE))</f>
        <v>1</v>
      </c>
    </row>
    <row r="23" spans="1:17" ht="21" customHeight="1">
      <c r="A23" s="8" t="str">
        <f t="shared" si="0"/>
        <v>206_43_1</v>
      </c>
      <c r="B23" s="5">
        <v>206</v>
      </c>
      <c r="C23" s="7">
        <v>43</v>
      </c>
      <c r="D23" s="9" t="str">
        <f ca="1">VLOOKUP($C23,OFFSET([1]characters!$A$1,0,0,COUNTA([1]characters!$A:$A),MATCH(D$1,[1]characters!$1:$1,0)-MATCH($C$1,[1]characters!$1:$1,0)+1),MATCH(D$1,[1]characters!$1:$1,0)-MATCH($C$1,[1]characters!$1:$1,0)+1,FALSE)</f>
        <v>ムゥ</v>
      </c>
      <c r="E23" s="9" t="str">
        <f ca="1">VLOOKUP($C23,OFFSET([1]characters!$A$1,0,0,COUNTA([1]characters!$A:$A),MATCH(E$1,[1]characters!$1:$1,0)-MATCH($C$1,[1]characters!$1:$1,0)+1),MATCH(E$1,[1]characters!$1:$1,0)-MATCH($C$1,[1]characters!$1:$1,0)+1,FALSE)</f>
        <v>Drop1N</v>
      </c>
      <c r="F23" s="9">
        <f ca="1">VLOOKUP($C23,OFFSET([1]characters!$A$1,0,0,COUNTA([1]characters!$A:$A),MATCH(F$1,[1]characters!$1:$1,0)-MATCH($C$1,[1]characters!$1:$1,0)+1),MATCH(F$1,[1]characters!$1:$1,0)-MATCH($C$1,[1]characters!$1:$1,0)+1,FALSE)</f>
        <v>2</v>
      </c>
      <c r="G23" s="9" t="str">
        <f ca="1">VLOOKUP($C23,OFFSET([1]characters!$A$1,0,0,COUNTA([1]characters!$A:$A),MATCH(G$1,[1]characters!$1:$1,0)-MATCH($C$1,[1]characters!$1:$1,0)+1),MATCH(G$1,[1]characters!$1:$1,0)-MATCH($C$1,[1]characters!$1:$1,0)+1,FALSE)</f>
        <v>green</v>
      </c>
      <c r="H23" s="9" t="str">
        <f>VLOOKUP(C23,[1]characters!$A:$K,11,FALSE)</f>
        <v>technical</v>
      </c>
      <c r="I23" s="9" t="str">
        <f>VLOOKUP(C23,[1]characters!$A:$M,13,FALSE)</f>
        <v>dragon</v>
      </c>
      <c r="J23" s="6">
        <v>160</v>
      </c>
      <c r="K23" s="21">
        <f t="shared" si="1"/>
        <v>2.5059516351334421E-3</v>
      </c>
      <c r="L23" s="28">
        <f>IFERROR(VLOOKUP($C23,bug_conf_sheet!$A:$H,3,FALSE),VLOOKUP("other",bug_conf_sheet!$A:$H,3,FALSE))</f>
        <v>1</v>
      </c>
      <c r="M23" s="28">
        <f>IFERROR(VLOOKUP($C23,bug_conf_sheet!$A:$H,4,FALSE),VLOOKUP("other",bug_conf_sheet!$A:$H,4,FALSE))</f>
        <v>0</v>
      </c>
      <c r="N23" s="28">
        <f>IFERROR(VLOOKUP($C23,bug_conf_sheet!$A:$H,5,FALSE),VLOOKUP("other",bug_conf_sheet!$A:$H,5,FALSE))</f>
        <v>0</v>
      </c>
      <c r="O23" s="28">
        <f>IFERROR(VLOOKUP($C23,bug_conf_sheet!$A:$H,6,FALSE),VLOOKUP("other",bug_conf_sheet!$A:$H,6,FALSE))</f>
        <v>0</v>
      </c>
      <c r="P23" s="28">
        <f>IFERROR(VLOOKUP($C23,bug_conf_sheet!$A:$H,7,FALSE),VLOOKUP("other",bug_conf_sheet!$A:$H,7,FALSE))</f>
        <v>0</v>
      </c>
      <c r="Q23" s="28">
        <f>IFERROR(VLOOKUP($C23,bug_conf_sheet!$A:$H,8,FALSE),VLOOKUP("other",bug_conf_sheet!$A:$H,8,FALSE))</f>
        <v>1</v>
      </c>
    </row>
    <row r="24" spans="1:17" ht="21" customHeight="1">
      <c r="A24" s="8" t="str">
        <f t="shared" si="0"/>
        <v>206_45_1</v>
      </c>
      <c r="B24" s="5">
        <v>206</v>
      </c>
      <c r="C24" s="7">
        <v>45</v>
      </c>
      <c r="D24" s="9" t="str">
        <f ca="1">VLOOKUP($C24,OFFSET([1]characters!$A$1,0,0,COUNTA([1]characters!$A:$A),MATCH(D$1,[1]characters!$1:$1,0)-MATCH($C$1,[1]characters!$1:$1,0)+1),MATCH(D$1,[1]characters!$1:$1,0)-MATCH($C$1,[1]characters!$1:$1,0)+1,FALSE)</f>
        <v>ショウイン</v>
      </c>
      <c r="E24" s="9" t="str">
        <f ca="1">VLOOKUP($C24,OFFSET([1]characters!$A$1,0,0,COUNTA([1]characters!$A:$A),MATCH(E$1,[1]characters!$1:$1,0)-MATCH($C$1,[1]characters!$1:$1,0)+1),MATCH(E$1,[1]characters!$1:$1,0)-MATCH($C$1,[1]characters!$1:$1,0)+1,FALSE)</f>
        <v>Drop1N</v>
      </c>
      <c r="F24" s="9">
        <f ca="1">VLOOKUP($C24,OFFSET([1]characters!$A$1,0,0,COUNTA([1]characters!$A:$A),MATCH(F$1,[1]characters!$1:$1,0)-MATCH($C$1,[1]characters!$1:$1,0)+1),MATCH(F$1,[1]characters!$1:$1,0)-MATCH($C$1,[1]characters!$1:$1,0)+1,FALSE)</f>
        <v>2</v>
      </c>
      <c r="G24" s="9" t="str">
        <f ca="1">VLOOKUP($C24,OFFSET([1]characters!$A$1,0,0,COUNTA([1]characters!$A:$A),MATCH(G$1,[1]characters!$1:$1,0)-MATCH($C$1,[1]characters!$1:$1,0)+1),MATCH(G$1,[1]characters!$1:$1,0)-MATCH($C$1,[1]characters!$1:$1,0)+1,FALSE)</f>
        <v>blue</v>
      </c>
      <c r="H24" s="9" t="str">
        <f>VLOOKUP(C24,[1]characters!$A:$K,11,FALSE)</f>
        <v>hp</v>
      </c>
      <c r="I24" s="9" t="str">
        <f>VLOOKUP(C24,[1]characters!$A:$M,13,FALSE)</f>
        <v>animal</v>
      </c>
      <c r="J24" s="6">
        <v>160</v>
      </c>
      <c r="K24" s="21">
        <f t="shared" si="1"/>
        <v>2.5059516351334421E-3</v>
      </c>
      <c r="L24" s="28">
        <f>IFERROR(VLOOKUP($C24,bug_conf_sheet!$A:$H,3,FALSE),VLOOKUP("other",bug_conf_sheet!$A:$H,3,FALSE))</f>
        <v>1</v>
      </c>
      <c r="M24" s="28">
        <f>IFERROR(VLOOKUP($C24,bug_conf_sheet!$A:$H,4,FALSE),VLOOKUP("other",bug_conf_sheet!$A:$H,4,FALSE))</f>
        <v>0</v>
      </c>
      <c r="N24" s="28">
        <f>IFERROR(VLOOKUP($C24,bug_conf_sheet!$A:$H,5,FALSE),VLOOKUP("other",bug_conf_sheet!$A:$H,5,FALSE))</f>
        <v>0</v>
      </c>
      <c r="O24" s="28">
        <f>IFERROR(VLOOKUP($C24,bug_conf_sheet!$A:$H,6,FALSE),VLOOKUP("other",bug_conf_sheet!$A:$H,6,FALSE))</f>
        <v>0</v>
      </c>
      <c r="P24" s="28">
        <f>IFERROR(VLOOKUP($C24,bug_conf_sheet!$A:$H,7,FALSE),VLOOKUP("other",bug_conf_sheet!$A:$H,7,FALSE))</f>
        <v>0</v>
      </c>
      <c r="Q24" s="28">
        <f>IFERROR(VLOOKUP($C24,bug_conf_sheet!$A:$H,8,FALSE),VLOOKUP("other",bug_conf_sheet!$A:$H,8,FALSE))</f>
        <v>1</v>
      </c>
    </row>
    <row r="25" spans="1:17" ht="21" customHeight="1">
      <c r="A25" s="8" t="str">
        <f t="shared" si="0"/>
        <v>206_47_1</v>
      </c>
      <c r="B25" s="5">
        <v>206</v>
      </c>
      <c r="C25" s="7">
        <v>47</v>
      </c>
      <c r="D25" s="9" t="str">
        <f ca="1">VLOOKUP($C25,OFFSET([1]characters!$A$1,0,0,COUNTA([1]characters!$A:$A),MATCH(D$1,[1]characters!$1:$1,0)-MATCH($C$1,[1]characters!$1:$1,0)+1),MATCH(D$1,[1]characters!$1:$1,0)-MATCH($C$1,[1]characters!$1:$1,0)+1,FALSE)</f>
        <v>ヒロ</v>
      </c>
      <c r="E25" s="9" t="str">
        <f ca="1">VLOOKUP($C25,OFFSET([1]characters!$A$1,0,0,COUNTA([1]characters!$A:$A),MATCH(E$1,[1]characters!$1:$1,0)-MATCH($C$1,[1]characters!$1:$1,0)+1),MATCH(E$1,[1]characters!$1:$1,0)-MATCH($C$1,[1]characters!$1:$1,0)+1,FALSE)</f>
        <v>Drop1N</v>
      </c>
      <c r="F25" s="9">
        <f ca="1">VLOOKUP($C25,OFFSET([1]characters!$A$1,0,0,COUNTA([1]characters!$A:$A),MATCH(F$1,[1]characters!$1:$1,0)-MATCH($C$1,[1]characters!$1:$1,0)+1),MATCH(F$1,[1]characters!$1:$1,0)-MATCH($C$1,[1]characters!$1:$1,0)+1,FALSE)</f>
        <v>2</v>
      </c>
      <c r="G25" s="9" t="str">
        <f ca="1">VLOOKUP($C25,OFFSET([1]characters!$A$1,0,0,COUNTA([1]characters!$A:$A),MATCH(G$1,[1]characters!$1:$1,0)-MATCH($C$1,[1]characters!$1:$1,0)+1),MATCH(G$1,[1]characters!$1:$1,0)-MATCH($C$1,[1]characters!$1:$1,0)+1,FALSE)</f>
        <v>yellow</v>
      </c>
      <c r="H25" s="9" t="str">
        <f>VLOOKUP(C25,[1]characters!$A:$K,11,FALSE)</f>
        <v>attack</v>
      </c>
      <c r="I25" s="9" t="str">
        <f>VLOOKUP(C25,[1]characters!$A:$M,13,FALSE)</f>
        <v>animal</v>
      </c>
      <c r="J25" s="6">
        <v>160</v>
      </c>
      <c r="K25" s="21">
        <f t="shared" si="1"/>
        <v>2.5059516351334421E-3</v>
      </c>
      <c r="L25" s="28">
        <f>IFERROR(VLOOKUP($C25,bug_conf_sheet!$A:$H,3,FALSE),VLOOKUP("other",bug_conf_sheet!$A:$H,3,FALSE))</f>
        <v>1</v>
      </c>
      <c r="M25" s="28">
        <f>IFERROR(VLOOKUP($C25,bug_conf_sheet!$A:$H,4,FALSE),VLOOKUP("other",bug_conf_sheet!$A:$H,4,FALSE))</f>
        <v>0</v>
      </c>
      <c r="N25" s="28">
        <f>IFERROR(VLOOKUP($C25,bug_conf_sheet!$A:$H,5,FALSE),VLOOKUP("other",bug_conf_sheet!$A:$H,5,FALSE))</f>
        <v>0</v>
      </c>
      <c r="O25" s="28">
        <f>IFERROR(VLOOKUP($C25,bug_conf_sheet!$A:$H,6,FALSE),VLOOKUP("other",bug_conf_sheet!$A:$H,6,FALSE))</f>
        <v>0</v>
      </c>
      <c r="P25" s="28">
        <f>IFERROR(VLOOKUP($C25,bug_conf_sheet!$A:$H,7,FALSE),VLOOKUP("other",bug_conf_sheet!$A:$H,7,FALSE))</f>
        <v>0</v>
      </c>
      <c r="Q25" s="28">
        <f>IFERROR(VLOOKUP($C25,bug_conf_sheet!$A:$H,8,FALSE),VLOOKUP("other",bug_conf_sheet!$A:$H,8,FALSE))</f>
        <v>1</v>
      </c>
    </row>
    <row r="26" spans="1:17" ht="21" customHeight="1">
      <c r="A26" s="8" t="str">
        <f t="shared" si="0"/>
        <v>206_49_1</v>
      </c>
      <c r="B26" s="5">
        <v>206</v>
      </c>
      <c r="C26" s="7">
        <v>49</v>
      </c>
      <c r="D26" s="9" t="str">
        <f ca="1">VLOOKUP($C26,OFFSET([1]characters!$A$1,0,0,COUNTA([1]characters!$A:$A),MATCH(D$1,[1]characters!$1:$1,0)-MATCH($C$1,[1]characters!$1:$1,0)+1),MATCH(D$1,[1]characters!$1:$1,0)-MATCH($C$1,[1]characters!$1:$1,0)+1,FALSE)</f>
        <v>ヨシタカ</v>
      </c>
      <c r="E26" s="9" t="str">
        <f ca="1">VLOOKUP($C26,OFFSET([1]characters!$A$1,0,0,COUNTA([1]characters!$A:$A),MATCH(E$1,[1]characters!$1:$1,0)-MATCH($C$1,[1]characters!$1:$1,0)+1),MATCH(E$1,[1]characters!$1:$1,0)-MATCH($C$1,[1]characters!$1:$1,0)+1,FALSE)</f>
        <v>Drop1N</v>
      </c>
      <c r="F26" s="9">
        <f ca="1">VLOOKUP($C26,OFFSET([1]characters!$A$1,0,0,COUNTA([1]characters!$A:$A),MATCH(F$1,[1]characters!$1:$1,0)-MATCH($C$1,[1]characters!$1:$1,0)+1),MATCH(F$1,[1]characters!$1:$1,0)-MATCH($C$1,[1]characters!$1:$1,0)+1,FALSE)</f>
        <v>2</v>
      </c>
      <c r="G26" s="9" t="str">
        <f ca="1">VLOOKUP($C26,OFFSET([1]characters!$A$1,0,0,COUNTA([1]characters!$A:$A),MATCH(G$1,[1]characters!$1:$1,0)-MATCH($C$1,[1]characters!$1:$1,0)+1),MATCH(G$1,[1]characters!$1:$1,0)-MATCH($C$1,[1]characters!$1:$1,0)+1,FALSE)</f>
        <v>red</v>
      </c>
      <c r="H26" s="9" t="str">
        <f>VLOOKUP(C26,[1]characters!$A:$K,11,FALSE)</f>
        <v>hp</v>
      </c>
      <c r="I26" s="9" t="str">
        <f>VLOOKUP(C26,[1]characters!$A:$M,13,FALSE)</f>
        <v>human</v>
      </c>
      <c r="J26" s="6">
        <v>160</v>
      </c>
      <c r="K26" s="21">
        <f t="shared" si="1"/>
        <v>2.5059516351334421E-3</v>
      </c>
      <c r="L26" s="28">
        <f>IFERROR(VLOOKUP($C26,bug_conf_sheet!$A:$H,3,FALSE),VLOOKUP("other",bug_conf_sheet!$A:$H,3,FALSE))</f>
        <v>1</v>
      </c>
      <c r="M26" s="28">
        <f>IFERROR(VLOOKUP($C26,bug_conf_sheet!$A:$H,4,FALSE),VLOOKUP("other",bug_conf_sheet!$A:$H,4,FALSE))</f>
        <v>0</v>
      </c>
      <c r="N26" s="28">
        <f>IFERROR(VLOOKUP($C26,bug_conf_sheet!$A:$H,5,FALSE),VLOOKUP("other",bug_conf_sheet!$A:$H,5,FALSE))</f>
        <v>0</v>
      </c>
      <c r="O26" s="28">
        <f>IFERROR(VLOOKUP($C26,bug_conf_sheet!$A:$H,6,FALSE),VLOOKUP("other",bug_conf_sheet!$A:$H,6,FALSE))</f>
        <v>0</v>
      </c>
      <c r="P26" s="28">
        <f>IFERROR(VLOOKUP($C26,bug_conf_sheet!$A:$H,7,FALSE),VLOOKUP("other",bug_conf_sheet!$A:$H,7,FALSE))</f>
        <v>0</v>
      </c>
      <c r="Q26" s="28">
        <f>IFERROR(VLOOKUP($C26,bug_conf_sheet!$A:$H,8,FALSE),VLOOKUP("other",bug_conf_sheet!$A:$H,8,FALSE))</f>
        <v>1</v>
      </c>
    </row>
    <row r="27" spans="1:17" ht="21" customHeight="1">
      <c r="A27" s="8" t="str">
        <f t="shared" si="0"/>
        <v>206_51_1</v>
      </c>
      <c r="B27" s="5">
        <v>206</v>
      </c>
      <c r="C27" s="7">
        <v>51</v>
      </c>
      <c r="D27" s="9" t="str">
        <f ca="1">VLOOKUP($C27,OFFSET([1]characters!$A$1,0,0,COUNTA([1]characters!$A:$A),MATCH(D$1,[1]characters!$1:$1,0)-MATCH($C$1,[1]characters!$1:$1,0)+1),MATCH(D$1,[1]characters!$1:$1,0)-MATCH($C$1,[1]characters!$1:$1,0)+1,FALSE)</f>
        <v>マイ</v>
      </c>
      <c r="E27" s="9" t="str">
        <f ca="1">VLOOKUP($C27,OFFSET([1]characters!$A$1,0,0,COUNTA([1]characters!$A:$A),MATCH(E$1,[1]characters!$1:$1,0)-MATCH($C$1,[1]characters!$1:$1,0)+1),MATCH(E$1,[1]characters!$1:$1,0)-MATCH($C$1,[1]characters!$1:$1,0)+1,FALSE)</f>
        <v>Drop1N</v>
      </c>
      <c r="F27" s="9">
        <f ca="1">VLOOKUP($C27,OFFSET([1]characters!$A$1,0,0,COUNTA([1]characters!$A:$A),MATCH(F$1,[1]characters!$1:$1,0)-MATCH($C$1,[1]characters!$1:$1,0)+1),MATCH(F$1,[1]characters!$1:$1,0)-MATCH($C$1,[1]characters!$1:$1,0)+1,FALSE)</f>
        <v>2</v>
      </c>
      <c r="G27" s="9" t="str">
        <f ca="1">VLOOKUP($C27,OFFSET([1]characters!$A$1,0,0,COUNTA([1]characters!$A:$A),MATCH(G$1,[1]characters!$1:$1,0)-MATCH($C$1,[1]characters!$1:$1,0)+1),MATCH(G$1,[1]characters!$1:$1,0)-MATCH($C$1,[1]characters!$1:$1,0)+1,FALSE)</f>
        <v>green</v>
      </c>
      <c r="H27" s="9" t="str">
        <f>VLOOKUP(C27,[1]characters!$A:$K,11,FALSE)</f>
        <v>attack</v>
      </c>
      <c r="I27" s="9" t="str">
        <f>VLOOKUP(C27,[1]characters!$A:$M,13,FALSE)</f>
        <v>human</v>
      </c>
      <c r="J27" s="6">
        <v>160</v>
      </c>
      <c r="K27" s="21">
        <f t="shared" si="1"/>
        <v>2.5059516351334421E-3</v>
      </c>
      <c r="L27" s="28">
        <f>IFERROR(VLOOKUP($C27,bug_conf_sheet!$A:$H,3,FALSE),VLOOKUP("other",bug_conf_sheet!$A:$H,3,FALSE))</f>
        <v>1</v>
      </c>
      <c r="M27" s="28">
        <f>IFERROR(VLOOKUP($C27,bug_conf_sheet!$A:$H,4,FALSE),VLOOKUP("other",bug_conf_sheet!$A:$H,4,FALSE))</f>
        <v>0</v>
      </c>
      <c r="N27" s="28">
        <f>IFERROR(VLOOKUP($C27,bug_conf_sheet!$A:$H,5,FALSE),VLOOKUP("other",bug_conf_sheet!$A:$H,5,FALSE))</f>
        <v>0</v>
      </c>
      <c r="O27" s="28">
        <f>IFERROR(VLOOKUP($C27,bug_conf_sheet!$A:$H,6,FALSE),VLOOKUP("other",bug_conf_sheet!$A:$H,6,FALSE))</f>
        <v>0</v>
      </c>
      <c r="P27" s="28">
        <f>IFERROR(VLOOKUP($C27,bug_conf_sheet!$A:$H,7,FALSE),VLOOKUP("other",bug_conf_sheet!$A:$H,7,FALSE))</f>
        <v>0</v>
      </c>
      <c r="Q27" s="28">
        <f>IFERROR(VLOOKUP($C27,bug_conf_sheet!$A:$H,8,FALSE),VLOOKUP("other",bug_conf_sheet!$A:$H,8,FALSE))</f>
        <v>1</v>
      </c>
    </row>
    <row r="28" spans="1:17" ht="21" customHeight="1">
      <c r="A28" s="8" t="str">
        <f t="shared" si="0"/>
        <v>206_53_1</v>
      </c>
      <c r="B28" s="5">
        <v>206</v>
      </c>
      <c r="C28" s="7">
        <v>53</v>
      </c>
      <c r="D28" s="9" t="str">
        <f ca="1">VLOOKUP($C28,OFFSET([1]characters!$A$1,0,0,COUNTA([1]characters!$A:$A),MATCH(D$1,[1]characters!$1:$1,0)-MATCH($C$1,[1]characters!$1:$1,0)+1),MATCH(D$1,[1]characters!$1:$1,0)-MATCH($C$1,[1]characters!$1:$1,0)+1,FALSE)</f>
        <v>ケンジ</v>
      </c>
      <c r="E28" s="9" t="str">
        <f ca="1">VLOOKUP($C28,OFFSET([1]characters!$A$1,0,0,COUNTA([1]characters!$A:$A),MATCH(E$1,[1]characters!$1:$1,0)-MATCH($C$1,[1]characters!$1:$1,0)+1),MATCH(E$1,[1]characters!$1:$1,0)-MATCH($C$1,[1]characters!$1:$1,0)+1,FALSE)</f>
        <v>Drop1N</v>
      </c>
      <c r="F28" s="9">
        <f ca="1">VLOOKUP($C28,OFFSET([1]characters!$A$1,0,0,COUNTA([1]characters!$A:$A),MATCH(F$1,[1]characters!$1:$1,0)-MATCH($C$1,[1]characters!$1:$1,0)+1),MATCH(F$1,[1]characters!$1:$1,0)-MATCH($C$1,[1]characters!$1:$1,0)+1,FALSE)</f>
        <v>2</v>
      </c>
      <c r="G28" s="9" t="str">
        <f ca="1">VLOOKUP($C28,OFFSET([1]characters!$A$1,0,0,COUNTA([1]characters!$A:$A),MATCH(G$1,[1]characters!$1:$1,0)-MATCH($C$1,[1]characters!$1:$1,0)+1),MATCH(G$1,[1]characters!$1:$1,0)-MATCH($C$1,[1]characters!$1:$1,0)+1,FALSE)</f>
        <v>blue</v>
      </c>
      <c r="H28" s="9" t="str">
        <f>VLOOKUP(C28,[1]characters!$A:$K,11,FALSE)</f>
        <v>balance</v>
      </c>
      <c r="I28" s="9" t="str">
        <f>VLOOKUP(C28,[1]characters!$A:$M,13,FALSE)</f>
        <v>human</v>
      </c>
      <c r="J28" s="6">
        <v>160</v>
      </c>
      <c r="K28" s="21">
        <f t="shared" si="1"/>
        <v>2.5059516351334421E-3</v>
      </c>
      <c r="L28" s="28">
        <f>IFERROR(VLOOKUP($C28,bug_conf_sheet!$A:$H,3,FALSE),VLOOKUP("other",bug_conf_sheet!$A:$H,3,FALSE))</f>
        <v>1</v>
      </c>
      <c r="M28" s="28">
        <f>IFERROR(VLOOKUP($C28,bug_conf_sheet!$A:$H,4,FALSE),VLOOKUP("other",bug_conf_sheet!$A:$H,4,FALSE))</f>
        <v>0</v>
      </c>
      <c r="N28" s="28">
        <f>IFERROR(VLOOKUP($C28,bug_conf_sheet!$A:$H,5,FALSE),VLOOKUP("other",bug_conf_sheet!$A:$H,5,FALSE))</f>
        <v>0</v>
      </c>
      <c r="O28" s="28">
        <f>IFERROR(VLOOKUP($C28,bug_conf_sheet!$A:$H,6,FALSE),VLOOKUP("other",bug_conf_sheet!$A:$H,6,FALSE))</f>
        <v>0</v>
      </c>
      <c r="P28" s="28">
        <f>IFERROR(VLOOKUP($C28,bug_conf_sheet!$A:$H,7,FALSE),VLOOKUP("other",bug_conf_sheet!$A:$H,7,FALSE))</f>
        <v>0</v>
      </c>
      <c r="Q28" s="28">
        <f>IFERROR(VLOOKUP($C28,bug_conf_sheet!$A:$H,8,FALSE),VLOOKUP("other",bug_conf_sheet!$A:$H,8,FALSE))</f>
        <v>1</v>
      </c>
    </row>
    <row r="29" spans="1:17" ht="21" customHeight="1">
      <c r="A29" s="8" t="str">
        <f t="shared" si="0"/>
        <v>206_55_1</v>
      </c>
      <c r="B29" s="5">
        <v>206</v>
      </c>
      <c r="C29" s="7">
        <v>55</v>
      </c>
      <c r="D29" s="9" t="str">
        <f ca="1">VLOOKUP($C29,OFFSET([1]characters!$A$1,0,0,COUNTA([1]characters!$A:$A),MATCH(D$1,[1]characters!$1:$1,0)-MATCH($C$1,[1]characters!$1:$1,0)+1),MATCH(D$1,[1]characters!$1:$1,0)-MATCH($C$1,[1]characters!$1:$1,0)+1,FALSE)</f>
        <v>マミコ</v>
      </c>
      <c r="E29" s="9" t="str">
        <f ca="1">VLOOKUP($C29,OFFSET([1]characters!$A$1,0,0,COUNTA([1]characters!$A:$A),MATCH(E$1,[1]characters!$1:$1,0)-MATCH($C$1,[1]characters!$1:$1,0)+1),MATCH(E$1,[1]characters!$1:$1,0)-MATCH($C$1,[1]characters!$1:$1,0)+1,FALSE)</f>
        <v>Drop1N</v>
      </c>
      <c r="F29" s="9">
        <f ca="1">VLOOKUP($C29,OFFSET([1]characters!$A$1,0,0,COUNTA([1]characters!$A:$A),MATCH(F$1,[1]characters!$1:$1,0)-MATCH($C$1,[1]characters!$1:$1,0)+1),MATCH(F$1,[1]characters!$1:$1,0)-MATCH($C$1,[1]characters!$1:$1,0)+1,FALSE)</f>
        <v>2</v>
      </c>
      <c r="G29" s="9" t="str">
        <f ca="1">VLOOKUP($C29,OFFSET([1]characters!$A$1,0,0,COUNTA([1]characters!$A:$A),MATCH(G$1,[1]characters!$1:$1,0)-MATCH($C$1,[1]characters!$1:$1,0)+1),MATCH(G$1,[1]characters!$1:$1,0)-MATCH($C$1,[1]characters!$1:$1,0)+1,FALSE)</f>
        <v>yellow</v>
      </c>
      <c r="H29" s="9" t="str">
        <f>VLOOKUP(C29,[1]characters!$A:$K,11,FALSE)</f>
        <v>balance</v>
      </c>
      <c r="I29" s="9" t="str">
        <f>VLOOKUP(C29,[1]characters!$A:$M,13,FALSE)</f>
        <v>human</v>
      </c>
      <c r="J29" s="6">
        <v>160</v>
      </c>
      <c r="K29" s="21">
        <f t="shared" si="1"/>
        <v>2.5059516351334421E-3</v>
      </c>
      <c r="L29" s="28">
        <f>IFERROR(VLOOKUP($C29,bug_conf_sheet!$A:$H,3,FALSE),VLOOKUP("other",bug_conf_sheet!$A:$H,3,FALSE))</f>
        <v>1</v>
      </c>
      <c r="M29" s="28">
        <f>IFERROR(VLOOKUP($C29,bug_conf_sheet!$A:$H,4,FALSE),VLOOKUP("other",bug_conf_sheet!$A:$H,4,FALSE))</f>
        <v>0</v>
      </c>
      <c r="N29" s="28">
        <f>IFERROR(VLOOKUP($C29,bug_conf_sheet!$A:$H,5,FALSE),VLOOKUP("other",bug_conf_sheet!$A:$H,5,FALSE))</f>
        <v>0</v>
      </c>
      <c r="O29" s="28">
        <f>IFERROR(VLOOKUP($C29,bug_conf_sheet!$A:$H,6,FALSE),VLOOKUP("other",bug_conf_sheet!$A:$H,6,FALSE))</f>
        <v>0</v>
      </c>
      <c r="P29" s="28">
        <f>IFERROR(VLOOKUP($C29,bug_conf_sheet!$A:$H,7,FALSE),VLOOKUP("other",bug_conf_sheet!$A:$H,7,FALSE))</f>
        <v>0</v>
      </c>
      <c r="Q29" s="28">
        <f>IFERROR(VLOOKUP($C29,bug_conf_sheet!$A:$H,8,FALSE),VLOOKUP("other",bug_conf_sheet!$A:$H,8,FALSE))</f>
        <v>1</v>
      </c>
    </row>
    <row r="30" spans="1:17" ht="21" customHeight="1">
      <c r="A30" s="8" t="str">
        <f t="shared" si="0"/>
        <v>206_57_1</v>
      </c>
      <c r="B30" s="5">
        <v>206</v>
      </c>
      <c r="C30" s="7">
        <v>57</v>
      </c>
      <c r="D30" s="9" t="str">
        <f ca="1">VLOOKUP($C30,OFFSET([1]characters!$A$1,0,0,COUNTA([1]characters!$A:$A),MATCH(D$1,[1]characters!$1:$1,0)-MATCH($C$1,[1]characters!$1:$1,0)+1),MATCH(D$1,[1]characters!$1:$1,0)-MATCH($C$1,[1]characters!$1:$1,0)+1,FALSE)</f>
        <v>チェン・リー</v>
      </c>
      <c r="E30" s="9" t="str">
        <f ca="1">VLOOKUP($C30,OFFSET([1]characters!$A$1,0,0,COUNTA([1]characters!$A:$A),MATCH(E$1,[1]characters!$1:$1,0)-MATCH($C$1,[1]characters!$1:$1,0)+1),MATCH(E$1,[1]characters!$1:$1,0)-MATCH($C$1,[1]characters!$1:$1,0)+1,FALSE)</f>
        <v>Drop1N</v>
      </c>
      <c r="F30" s="9">
        <f ca="1">VLOOKUP($C30,OFFSET([1]characters!$A$1,0,0,COUNTA([1]characters!$A:$A),MATCH(F$1,[1]characters!$1:$1,0)-MATCH($C$1,[1]characters!$1:$1,0)+1),MATCH(F$1,[1]characters!$1:$1,0)-MATCH($C$1,[1]characters!$1:$1,0)+1,FALSE)</f>
        <v>2</v>
      </c>
      <c r="G30" s="9" t="str">
        <f ca="1">VLOOKUP($C30,OFFSET([1]characters!$A$1,0,0,COUNTA([1]characters!$A:$A),MATCH(G$1,[1]characters!$1:$1,0)-MATCH($C$1,[1]characters!$1:$1,0)+1),MATCH(G$1,[1]characters!$1:$1,0)-MATCH($C$1,[1]characters!$1:$1,0)+1,FALSE)</f>
        <v>red</v>
      </c>
      <c r="H30" s="9" t="str">
        <f>VLOOKUP(C30,[1]characters!$A:$K,11,FALSE)</f>
        <v>balance</v>
      </c>
      <c r="I30" s="9" t="str">
        <f>VLOOKUP(C30,[1]characters!$A:$M,13,FALSE)</f>
        <v>animal</v>
      </c>
      <c r="J30" s="6">
        <v>160</v>
      </c>
      <c r="K30" s="21">
        <f t="shared" si="1"/>
        <v>2.5059516351334421E-3</v>
      </c>
      <c r="L30" s="28">
        <f>IFERROR(VLOOKUP($C30,bug_conf_sheet!$A:$H,3,FALSE),VLOOKUP("other",bug_conf_sheet!$A:$H,3,FALSE))</f>
        <v>1</v>
      </c>
      <c r="M30" s="28">
        <f>IFERROR(VLOOKUP($C30,bug_conf_sheet!$A:$H,4,FALSE),VLOOKUP("other",bug_conf_sheet!$A:$H,4,FALSE))</f>
        <v>0</v>
      </c>
      <c r="N30" s="28">
        <f>IFERROR(VLOOKUP($C30,bug_conf_sheet!$A:$H,5,FALSE),VLOOKUP("other",bug_conf_sheet!$A:$H,5,FALSE))</f>
        <v>0</v>
      </c>
      <c r="O30" s="28">
        <f>IFERROR(VLOOKUP($C30,bug_conf_sheet!$A:$H,6,FALSE),VLOOKUP("other",bug_conf_sheet!$A:$H,6,FALSE))</f>
        <v>0</v>
      </c>
      <c r="P30" s="28">
        <f>IFERROR(VLOOKUP($C30,bug_conf_sheet!$A:$H,7,FALSE),VLOOKUP("other",bug_conf_sheet!$A:$H,7,FALSE))</f>
        <v>0</v>
      </c>
      <c r="Q30" s="28">
        <f>IFERROR(VLOOKUP($C30,bug_conf_sheet!$A:$H,8,FALSE),VLOOKUP("other",bug_conf_sheet!$A:$H,8,FALSE))</f>
        <v>1</v>
      </c>
    </row>
    <row r="31" spans="1:17" ht="21" customHeight="1">
      <c r="A31" s="8" t="str">
        <f t="shared" si="0"/>
        <v>206_59_1</v>
      </c>
      <c r="B31" s="5">
        <v>206</v>
      </c>
      <c r="C31" s="7">
        <v>59</v>
      </c>
      <c r="D31" s="9" t="str">
        <f ca="1">VLOOKUP($C31,OFFSET([1]characters!$A$1,0,0,COUNTA([1]characters!$A:$A),MATCH(D$1,[1]characters!$1:$1,0)-MATCH($C$1,[1]characters!$1:$1,0)+1),MATCH(D$1,[1]characters!$1:$1,0)-MATCH($C$1,[1]characters!$1:$1,0)+1,FALSE)</f>
        <v>マーチ</v>
      </c>
      <c r="E31" s="9" t="str">
        <f ca="1">VLOOKUP($C31,OFFSET([1]characters!$A$1,0,0,COUNTA([1]characters!$A:$A),MATCH(E$1,[1]characters!$1:$1,0)-MATCH($C$1,[1]characters!$1:$1,0)+1),MATCH(E$1,[1]characters!$1:$1,0)-MATCH($C$1,[1]characters!$1:$1,0)+1,FALSE)</f>
        <v>Drop1N</v>
      </c>
      <c r="F31" s="9">
        <f ca="1">VLOOKUP($C31,OFFSET([1]characters!$A$1,0,0,COUNTA([1]characters!$A:$A),MATCH(F$1,[1]characters!$1:$1,0)-MATCH($C$1,[1]characters!$1:$1,0)+1),MATCH(F$1,[1]characters!$1:$1,0)-MATCH($C$1,[1]characters!$1:$1,0)+1,FALSE)</f>
        <v>2</v>
      </c>
      <c r="G31" s="9" t="str">
        <f ca="1">VLOOKUP($C31,OFFSET([1]characters!$A$1,0,0,COUNTA([1]characters!$A:$A),MATCH(G$1,[1]characters!$1:$1,0)-MATCH($C$1,[1]characters!$1:$1,0)+1),MATCH(G$1,[1]characters!$1:$1,0)-MATCH($C$1,[1]characters!$1:$1,0)+1,FALSE)</f>
        <v>green</v>
      </c>
      <c r="H31" s="9" t="str">
        <f>VLOOKUP(C31,[1]characters!$A:$K,11,FALSE)</f>
        <v>heal</v>
      </c>
      <c r="I31" s="9" t="str">
        <f>VLOOKUP(C31,[1]characters!$A:$M,13,FALSE)</f>
        <v>animal</v>
      </c>
      <c r="J31" s="6">
        <v>160</v>
      </c>
      <c r="K31" s="21">
        <f t="shared" si="1"/>
        <v>2.5059516351334421E-3</v>
      </c>
      <c r="L31" s="28">
        <f>IFERROR(VLOOKUP($C31,bug_conf_sheet!$A:$H,3,FALSE),VLOOKUP("other",bug_conf_sheet!$A:$H,3,FALSE))</f>
        <v>1</v>
      </c>
      <c r="M31" s="28">
        <f>IFERROR(VLOOKUP($C31,bug_conf_sheet!$A:$H,4,FALSE),VLOOKUP("other",bug_conf_sheet!$A:$H,4,FALSE))</f>
        <v>0</v>
      </c>
      <c r="N31" s="28">
        <f>IFERROR(VLOOKUP($C31,bug_conf_sheet!$A:$H,5,FALSE),VLOOKUP("other",bug_conf_sheet!$A:$H,5,FALSE))</f>
        <v>0</v>
      </c>
      <c r="O31" s="28">
        <f>IFERROR(VLOOKUP($C31,bug_conf_sheet!$A:$H,6,FALSE),VLOOKUP("other",bug_conf_sheet!$A:$H,6,FALSE))</f>
        <v>0</v>
      </c>
      <c r="P31" s="28">
        <f>IFERROR(VLOOKUP($C31,bug_conf_sheet!$A:$H,7,FALSE),VLOOKUP("other",bug_conf_sheet!$A:$H,7,FALSE))</f>
        <v>0</v>
      </c>
      <c r="Q31" s="28">
        <f>IFERROR(VLOOKUP($C31,bug_conf_sheet!$A:$H,8,FALSE),VLOOKUP("other",bug_conf_sheet!$A:$H,8,FALSE))</f>
        <v>1</v>
      </c>
    </row>
    <row r="32" spans="1:17" ht="21" customHeight="1">
      <c r="A32" s="8" t="str">
        <f t="shared" si="0"/>
        <v>206_61_1</v>
      </c>
      <c r="B32" s="5">
        <v>206</v>
      </c>
      <c r="C32" s="7">
        <v>61</v>
      </c>
      <c r="D32" s="9" t="str">
        <f ca="1">VLOOKUP($C32,OFFSET([1]characters!$A$1,0,0,COUNTA([1]characters!$A:$A),MATCH(D$1,[1]characters!$1:$1,0)-MATCH($C$1,[1]characters!$1:$1,0)+1),MATCH(D$1,[1]characters!$1:$1,0)-MATCH($C$1,[1]characters!$1:$1,0)+1,FALSE)</f>
        <v>クロウ</v>
      </c>
      <c r="E32" s="9" t="str">
        <f ca="1">VLOOKUP($C32,OFFSET([1]characters!$A$1,0,0,COUNTA([1]characters!$A:$A),MATCH(E$1,[1]characters!$1:$1,0)-MATCH($C$1,[1]characters!$1:$1,0)+1),MATCH(E$1,[1]characters!$1:$1,0)-MATCH($C$1,[1]characters!$1:$1,0)+1,FALSE)</f>
        <v>Drop1N</v>
      </c>
      <c r="F32" s="9">
        <f ca="1">VLOOKUP($C32,OFFSET([1]characters!$A$1,0,0,COUNTA([1]characters!$A:$A),MATCH(F$1,[1]characters!$1:$1,0)-MATCH($C$1,[1]characters!$1:$1,0)+1),MATCH(F$1,[1]characters!$1:$1,0)-MATCH($C$1,[1]characters!$1:$1,0)+1,FALSE)</f>
        <v>2</v>
      </c>
      <c r="G32" s="9" t="str">
        <f ca="1">VLOOKUP($C32,OFFSET([1]characters!$A$1,0,0,COUNTA([1]characters!$A:$A),MATCH(G$1,[1]characters!$1:$1,0)-MATCH($C$1,[1]characters!$1:$1,0)+1),MATCH(G$1,[1]characters!$1:$1,0)-MATCH($C$1,[1]characters!$1:$1,0)+1,FALSE)</f>
        <v>blue</v>
      </c>
      <c r="H32" s="9" t="str">
        <f>VLOOKUP(C32,[1]characters!$A:$K,11,FALSE)</f>
        <v>heal</v>
      </c>
      <c r="I32" s="9" t="str">
        <f>VLOOKUP(C32,[1]characters!$A:$M,13,FALSE)</f>
        <v>animal</v>
      </c>
      <c r="J32" s="6">
        <v>160</v>
      </c>
      <c r="K32" s="21">
        <f t="shared" si="1"/>
        <v>2.5059516351334421E-3</v>
      </c>
      <c r="L32" s="28">
        <f>IFERROR(VLOOKUP($C32,bug_conf_sheet!$A:$H,3,FALSE),VLOOKUP("other",bug_conf_sheet!$A:$H,3,FALSE))</f>
        <v>1</v>
      </c>
      <c r="M32" s="28">
        <f>IFERROR(VLOOKUP($C32,bug_conf_sheet!$A:$H,4,FALSE),VLOOKUP("other",bug_conf_sheet!$A:$H,4,FALSE))</f>
        <v>0</v>
      </c>
      <c r="N32" s="28">
        <f>IFERROR(VLOOKUP($C32,bug_conf_sheet!$A:$H,5,FALSE),VLOOKUP("other",bug_conf_sheet!$A:$H,5,FALSE))</f>
        <v>0</v>
      </c>
      <c r="O32" s="28">
        <f>IFERROR(VLOOKUP($C32,bug_conf_sheet!$A:$H,6,FALSE),VLOOKUP("other",bug_conf_sheet!$A:$H,6,FALSE))</f>
        <v>0</v>
      </c>
      <c r="P32" s="28">
        <f>IFERROR(VLOOKUP($C32,bug_conf_sheet!$A:$H,7,FALSE),VLOOKUP("other",bug_conf_sheet!$A:$H,7,FALSE))</f>
        <v>0</v>
      </c>
      <c r="Q32" s="28">
        <f>IFERROR(VLOOKUP($C32,bug_conf_sheet!$A:$H,8,FALSE),VLOOKUP("other",bug_conf_sheet!$A:$H,8,FALSE))</f>
        <v>1</v>
      </c>
    </row>
    <row r="33" spans="1:17" ht="21" customHeight="1">
      <c r="A33" s="8" t="str">
        <f t="shared" si="0"/>
        <v>206_63_1</v>
      </c>
      <c r="B33" s="5">
        <v>206</v>
      </c>
      <c r="C33" s="7">
        <v>63</v>
      </c>
      <c r="D33" s="9" t="str">
        <f ca="1">VLOOKUP($C33,OFFSET([1]characters!$A$1,0,0,COUNTA([1]characters!$A:$A),MATCH(D$1,[1]characters!$1:$1,0)-MATCH($C$1,[1]characters!$1:$1,0)+1),MATCH(D$1,[1]characters!$1:$1,0)-MATCH($C$1,[1]characters!$1:$1,0)+1,FALSE)</f>
        <v>トニー</v>
      </c>
      <c r="E33" s="9" t="str">
        <f ca="1">VLOOKUP($C33,OFFSET([1]characters!$A$1,0,0,COUNTA([1]characters!$A:$A),MATCH(E$1,[1]characters!$1:$1,0)-MATCH($C$1,[1]characters!$1:$1,0)+1),MATCH(E$1,[1]characters!$1:$1,0)-MATCH($C$1,[1]characters!$1:$1,0)+1,FALSE)</f>
        <v>Drop1N</v>
      </c>
      <c r="F33" s="9">
        <f ca="1">VLOOKUP($C33,OFFSET([1]characters!$A$1,0,0,COUNTA([1]characters!$A:$A),MATCH(F$1,[1]characters!$1:$1,0)-MATCH($C$1,[1]characters!$1:$1,0)+1),MATCH(F$1,[1]characters!$1:$1,0)-MATCH($C$1,[1]characters!$1:$1,0)+1,FALSE)</f>
        <v>2</v>
      </c>
      <c r="G33" s="9" t="str">
        <f ca="1">VLOOKUP($C33,OFFSET([1]characters!$A$1,0,0,COUNTA([1]characters!$A:$A),MATCH(G$1,[1]characters!$1:$1,0)-MATCH($C$1,[1]characters!$1:$1,0)+1),MATCH(G$1,[1]characters!$1:$1,0)-MATCH($C$1,[1]characters!$1:$1,0)+1,FALSE)</f>
        <v>yellow</v>
      </c>
      <c r="H33" s="9" t="str">
        <f>VLOOKUP(C33,[1]characters!$A:$K,11,FALSE)</f>
        <v>technical</v>
      </c>
      <c r="I33" s="9" t="str">
        <f>VLOOKUP(C33,[1]characters!$A:$M,13,FALSE)</f>
        <v>animal</v>
      </c>
      <c r="J33" s="6">
        <v>160</v>
      </c>
      <c r="K33" s="21">
        <f t="shared" si="1"/>
        <v>2.5059516351334421E-3</v>
      </c>
      <c r="L33" s="28">
        <f>IFERROR(VLOOKUP($C33,bug_conf_sheet!$A:$H,3,FALSE),VLOOKUP("other",bug_conf_sheet!$A:$H,3,FALSE))</f>
        <v>1</v>
      </c>
      <c r="M33" s="28">
        <f>IFERROR(VLOOKUP($C33,bug_conf_sheet!$A:$H,4,FALSE),VLOOKUP("other",bug_conf_sheet!$A:$H,4,FALSE))</f>
        <v>0</v>
      </c>
      <c r="N33" s="28">
        <f>IFERROR(VLOOKUP($C33,bug_conf_sheet!$A:$H,5,FALSE),VLOOKUP("other",bug_conf_sheet!$A:$H,5,FALSE))</f>
        <v>0</v>
      </c>
      <c r="O33" s="28">
        <f>IFERROR(VLOOKUP($C33,bug_conf_sheet!$A:$H,6,FALSE),VLOOKUP("other",bug_conf_sheet!$A:$H,6,FALSE))</f>
        <v>0</v>
      </c>
      <c r="P33" s="28">
        <f>IFERROR(VLOOKUP($C33,bug_conf_sheet!$A:$H,7,FALSE),VLOOKUP("other",bug_conf_sheet!$A:$H,7,FALSE))</f>
        <v>0</v>
      </c>
      <c r="Q33" s="28">
        <f>IFERROR(VLOOKUP($C33,bug_conf_sheet!$A:$H,8,FALSE),VLOOKUP("other",bug_conf_sheet!$A:$H,8,FALSE))</f>
        <v>1</v>
      </c>
    </row>
    <row r="34" spans="1:17" ht="21" customHeight="1">
      <c r="A34" s="8" t="str">
        <f t="shared" ref="A34:A65" si="2">B34&amp;"_"&amp;C34&amp;"_"&amp;L34</f>
        <v>206_65_1</v>
      </c>
      <c r="B34" s="5">
        <v>206</v>
      </c>
      <c r="C34" s="7">
        <v>65</v>
      </c>
      <c r="D34" s="9" t="str">
        <f ca="1">VLOOKUP($C34,OFFSET([1]characters!$A$1,0,0,COUNTA([1]characters!$A:$A),MATCH(D$1,[1]characters!$1:$1,0)-MATCH($C$1,[1]characters!$1:$1,0)+1),MATCH(D$1,[1]characters!$1:$1,0)-MATCH($C$1,[1]characters!$1:$1,0)+1,FALSE)</f>
        <v>ファイアフォックス</v>
      </c>
      <c r="E34" s="9" t="str">
        <f ca="1">VLOOKUP($C34,OFFSET([1]characters!$A$1,0,0,COUNTA([1]characters!$A:$A),MATCH(E$1,[1]characters!$1:$1,0)-MATCH($C$1,[1]characters!$1:$1,0)+1),MATCH(E$1,[1]characters!$1:$1,0)-MATCH($C$1,[1]characters!$1:$1,0)+1,FALSE)</f>
        <v>Drop1S</v>
      </c>
      <c r="F34" s="9">
        <f ca="1">VLOOKUP($C34,OFFSET([1]characters!$A$1,0,0,COUNTA([1]characters!$A:$A),MATCH(F$1,[1]characters!$1:$1,0)-MATCH($C$1,[1]characters!$1:$1,0)+1),MATCH(F$1,[1]characters!$1:$1,0)-MATCH($C$1,[1]characters!$1:$1,0)+1,FALSE)</f>
        <v>2</v>
      </c>
      <c r="G34" s="9" t="str">
        <f ca="1">VLOOKUP($C34,OFFSET([1]characters!$A$1,0,0,COUNTA([1]characters!$A:$A),MATCH(G$1,[1]characters!$1:$1,0)-MATCH($C$1,[1]characters!$1:$1,0)+1),MATCH(G$1,[1]characters!$1:$1,0)-MATCH($C$1,[1]characters!$1:$1,0)+1,FALSE)</f>
        <v>red</v>
      </c>
      <c r="H34" s="9" t="str">
        <f>VLOOKUP(C34,[1]characters!$A:$K,11,FALSE)</f>
        <v>attack</v>
      </c>
      <c r="I34" s="9" t="str">
        <f>VLOOKUP(C34,[1]characters!$A:$M,13,FALSE)</f>
        <v>animal</v>
      </c>
      <c r="J34" s="6">
        <v>160</v>
      </c>
      <c r="K34" s="21">
        <f t="shared" si="1"/>
        <v>2.5059516351334421E-3</v>
      </c>
      <c r="L34" s="28">
        <f>IFERROR(VLOOKUP($C34,bug_conf_sheet!$A:$H,3,FALSE),VLOOKUP("other",bug_conf_sheet!$A:$H,3,FALSE))</f>
        <v>1</v>
      </c>
      <c r="M34" s="28">
        <f>IFERROR(VLOOKUP($C34,bug_conf_sheet!$A:$H,4,FALSE),VLOOKUP("other",bug_conf_sheet!$A:$H,4,FALSE))</f>
        <v>0</v>
      </c>
      <c r="N34" s="28">
        <f>IFERROR(VLOOKUP($C34,bug_conf_sheet!$A:$H,5,FALSE),VLOOKUP("other",bug_conf_sheet!$A:$H,5,FALSE))</f>
        <v>0</v>
      </c>
      <c r="O34" s="28">
        <f>IFERROR(VLOOKUP($C34,bug_conf_sheet!$A:$H,6,FALSE),VLOOKUP("other",bug_conf_sheet!$A:$H,6,FALSE))</f>
        <v>0</v>
      </c>
      <c r="P34" s="28">
        <f>IFERROR(VLOOKUP($C34,bug_conf_sheet!$A:$H,7,FALSE),VLOOKUP("other",bug_conf_sheet!$A:$H,7,FALSE))</f>
        <v>0</v>
      </c>
      <c r="Q34" s="28">
        <f>IFERROR(VLOOKUP($C34,bug_conf_sheet!$A:$H,8,FALSE),VLOOKUP("other",bug_conf_sheet!$A:$H,8,FALSE))</f>
        <v>1</v>
      </c>
    </row>
    <row r="35" spans="1:17" ht="21" customHeight="1">
      <c r="A35" s="8" t="str">
        <f t="shared" si="2"/>
        <v>206_68_1</v>
      </c>
      <c r="B35" s="5">
        <v>206</v>
      </c>
      <c r="C35" s="7">
        <v>68</v>
      </c>
      <c r="D35" s="9" t="str">
        <f ca="1">VLOOKUP($C35,OFFSET([1]characters!$A$1,0,0,COUNTA([1]characters!$A:$A),MATCH(D$1,[1]characters!$1:$1,0)-MATCH($C$1,[1]characters!$1:$1,0)+1),MATCH(D$1,[1]characters!$1:$1,0)-MATCH($C$1,[1]characters!$1:$1,0)+1,FALSE)</f>
        <v>ストール</v>
      </c>
      <c r="E35" s="9" t="str">
        <f ca="1">VLOOKUP($C35,OFFSET([1]characters!$A$1,0,0,COUNTA([1]characters!$A:$A),MATCH(E$1,[1]characters!$1:$1,0)-MATCH($C$1,[1]characters!$1:$1,0)+1),MATCH(E$1,[1]characters!$1:$1,0)-MATCH($C$1,[1]characters!$1:$1,0)+1,FALSE)</f>
        <v>Drop1S</v>
      </c>
      <c r="F35" s="9">
        <f ca="1">VLOOKUP($C35,OFFSET([1]characters!$A$1,0,0,COUNTA([1]characters!$A:$A),MATCH(F$1,[1]characters!$1:$1,0)-MATCH($C$1,[1]characters!$1:$1,0)+1),MATCH(F$1,[1]characters!$1:$1,0)-MATCH($C$1,[1]characters!$1:$1,0)+1,FALSE)</f>
        <v>2</v>
      </c>
      <c r="G35" s="9" t="str">
        <f ca="1">VLOOKUP($C35,OFFSET([1]characters!$A$1,0,0,COUNTA([1]characters!$A:$A),MATCH(G$1,[1]characters!$1:$1,0)-MATCH($C$1,[1]characters!$1:$1,0)+1),MATCH(G$1,[1]characters!$1:$1,0)-MATCH($C$1,[1]characters!$1:$1,0)+1,FALSE)</f>
        <v>green</v>
      </c>
      <c r="H35" s="9" t="str">
        <f>VLOOKUP(C35,[1]characters!$A:$K,11,FALSE)</f>
        <v>hp</v>
      </c>
      <c r="I35" s="9" t="str">
        <f>VLOOKUP(C35,[1]characters!$A:$M,13,FALSE)</f>
        <v>animal</v>
      </c>
      <c r="J35" s="6">
        <v>160</v>
      </c>
      <c r="K35" s="21">
        <f t="shared" si="1"/>
        <v>2.5059516351334421E-3</v>
      </c>
      <c r="L35" s="28">
        <f>IFERROR(VLOOKUP($C35,bug_conf_sheet!$A:$H,3,FALSE),VLOOKUP("other",bug_conf_sheet!$A:$H,3,FALSE))</f>
        <v>1</v>
      </c>
      <c r="M35" s="28">
        <f>IFERROR(VLOOKUP($C35,bug_conf_sheet!$A:$H,4,FALSE),VLOOKUP("other",bug_conf_sheet!$A:$H,4,FALSE))</f>
        <v>0</v>
      </c>
      <c r="N35" s="28">
        <f>IFERROR(VLOOKUP($C35,bug_conf_sheet!$A:$H,5,FALSE),VLOOKUP("other",bug_conf_sheet!$A:$H,5,FALSE))</f>
        <v>0</v>
      </c>
      <c r="O35" s="28">
        <f>IFERROR(VLOOKUP($C35,bug_conf_sheet!$A:$H,6,FALSE),VLOOKUP("other",bug_conf_sheet!$A:$H,6,FALSE))</f>
        <v>0</v>
      </c>
      <c r="P35" s="28">
        <f>IFERROR(VLOOKUP($C35,bug_conf_sheet!$A:$H,7,FALSE),VLOOKUP("other",bug_conf_sheet!$A:$H,7,FALSE))</f>
        <v>0</v>
      </c>
      <c r="Q35" s="28">
        <f>IFERROR(VLOOKUP($C35,bug_conf_sheet!$A:$H,8,FALSE),VLOOKUP("other",bug_conf_sheet!$A:$H,8,FALSE))</f>
        <v>1</v>
      </c>
    </row>
    <row r="36" spans="1:17" ht="21" customHeight="1">
      <c r="A36" s="8" t="str">
        <f t="shared" si="2"/>
        <v>206_71_1</v>
      </c>
      <c r="B36" s="5">
        <v>206</v>
      </c>
      <c r="C36" s="7">
        <v>71</v>
      </c>
      <c r="D36" s="9" t="str">
        <f ca="1">VLOOKUP($C36,OFFSET([1]characters!$A$1,0,0,COUNTA([1]characters!$A:$A),MATCH(D$1,[1]characters!$1:$1,0)-MATCH($C$1,[1]characters!$1:$1,0)+1),MATCH(D$1,[1]characters!$1:$1,0)-MATCH($C$1,[1]characters!$1:$1,0)+1,FALSE)</f>
        <v>ダックス</v>
      </c>
      <c r="E36" s="9" t="str">
        <f ca="1">VLOOKUP($C36,OFFSET([1]characters!$A$1,0,0,COUNTA([1]characters!$A:$A),MATCH(E$1,[1]characters!$1:$1,0)-MATCH($C$1,[1]characters!$1:$1,0)+1),MATCH(E$1,[1]characters!$1:$1,0)-MATCH($C$1,[1]characters!$1:$1,0)+1,FALSE)</f>
        <v>Drop1S</v>
      </c>
      <c r="F36" s="9">
        <f ca="1">VLOOKUP($C36,OFFSET([1]characters!$A$1,0,0,COUNTA([1]characters!$A:$A),MATCH(F$1,[1]characters!$1:$1,0)-MATCH($C$1,[1]characters!$1:$1,0)+1),MATCH(F$1,[1]characters!$1:$1,0)-MATCH($C$1,[1]characters!$1:$1,0)+1,FALSE)</f>
        <v>2</v>
      </c>
      <c r="G36" s="9" t="str">
        <f ca="1">VLOOKUP($C36,OFFSET([1]characters!$A$1,0,0,COUNTA([1]characters!$A:$A),MATCH(G$1,[1]characters!$1:$1,0)-MATCH($C$1,[1]characters!$1:$1,0)+1),MATCH(G$1,[1]characters!$1:$1,0)-MATCH($C$1,[1]characters!$1:$1,0)+1,FALSE)</f>
        <v>blue</v>
      </c>
      <c r="H36" s="9" t="str">
        <f>VLOOKUP(C36,[1]characters!$A:$K,11,FALSE)</f>
        <v>balance</v>
      </c>
      <c r="I36" s="9" t="str">
        <f>VLOOKUP(C36,[1]characters!$A:$M,13,FALSE)</f>
        <v>animal</v>
      </c>
      <c r="J36" s="6">
        <v>160</v>
      </c>
      <c r="K36" s="21">
        <f t="shared" si="1"/>
        <v>2.5059516351334421E-3</v>
      </c>
      <c r="L36" s="28">
        <f>IFERROR(VLOOKUP($C36,bug_conf_sheet!$A:$H,3,FALSE),VLOOKUP("other",bug_conf_sheet!$A:$H,3,FALSE))</f>
        <v>1</v>
      </c>
      <c r="M36" s="28">
        <f>IFERROR(VLOOKUP($C36,bug_conf_sheet!$A:$H,4,FALSE),VLOOKUP("other",bug_conf_sheet!$A:$H,4,FALSE))</f>
        <v>0</v>
      </c>
      <c r="N36" s="28">
        <f>IFERROR(VLOOKUP($C36,bug_conf_sheet!$A:$H,5,FALSE),VLOOKUP("other",bug_conf_sheet!$A:$H,5,FALSE))</f>
        <v>0</v>
      </c>
      <c r="O36" s="28">
        <f>IFERROR(VLOOKUP($C36,bug_conf_sheet!$A:$H,6,FALSE),VLOOKUP("other",bug_conf_sheet!$A:$H,6,FALSE))</f>
        <v>0</v>
      </c>
      <c r="P36" s="28">
        <f>IFERROR(VLOOKUP($C36,bug_conf_sheet!$A:$H,7,FALSE),VLOOKUP("other",bug_conf_sheet!$A:$H,7,FALSE))</f>
        <v>0</v>
      </c>
      <c r="Q36" s="28">
        <f>IFERROR(VLOOKUP($C36,bug_conf_sheet!$A:$H,8,FALSE),VLOOKUP("other",bug_conf_sheet!$A:$H,8,FALSE))</f>
        <v>1</v>
      </c>
    </row>
    <row r="37" spans="1:17" ht="21" customHeight="1">
      <c r="A37" s="8" t="str">
        <f t="shared" si="2"/>
        <v>206_74_1</v>
      </c>
      <c r="B37" s="5">
        <v>206</v>
      </c>
      <c r="C37" s="7">
        <v>74</v>
      </c>
      <c r="D37" s="9" t="str">
        <f ca="1">VLOOKUP($C37,OFFSET([1]characters!$A$1,0,0,COUNTA([1]characters!$A:$A),MATCH(D$1,[1]characters!$1:$1,0)-MATCH($C$1,[1]characters!$1:$1,0)+1),MATCH(D$1,[1]characters!$1:$1,0)-MATCH($C$1,[1]characters!$1:$1,0)+1,FALSE)</f>
        <v>サンダーバード</v>
      </c>
      <c r="E37" s="9" t="str">
        <f ca="1">VLOOKUP($C37,OFFSET([1]characters!$A$1,0,0,COUNTA([1]characters!$A:$A),MATCH(E$1,[1]characters!$1:$1,0)-MATCH($C$1,[1]characters!$1:$1,0)+1),MATCH(E$1,[1]characters!$1:$1,0)-MATCH($C$1,[1]characters!$1:$1,0)+1,FALSE)</f>
        <v>Drop1S</v>
      </c>
      <c r="F37" s="9">
        <f ca="1">VLOOKUP($C37,OFFSET([1]characters!$A$1,0,0,COUNTA([1]characters!$A:$A),MATCH(F$1,[1]characters!$1:$1,0)-MATCH($C$1,[1]characters!$1:$1,0)+1),MATCH(F$1,[1]characters!$1:$1,0)-MATCH($C$1,[1]characters!$1:$1,0)+1,FALSE)</f>
        <v>2</v>
      </c>
      <c r="G37" s="9" t="str">
        <f ca="1">VLOOKUP($C37,OFFSET([1]characters!$A$1,0,0,COUNTA([1]characters!$A:$A),MATCH(G$1,[1]characters!$1:$1,0)-MATCH($C$1,[1]characters!$1:$1,0)+1),MATCH(G$1,[1]characters!$1:$1,0)-MATCH($C$1,[1]characters!$1:$1,0)+1,FALSE)</f>
        <v>yellow</v>
      </c>
      <c r="H37" s="9" t="str">
        <f>VLOOKUP(C37,[1]characters!$A:$K,11,FALSE)</f>
        <v>attack</v>
      </c>
      <c r="I37" s="9" t="str">
        <f>VLOOKUP(C37,[1]characters!$A:$M,13,FALSE)</f>
        <v>animal</v>
      </c>
      <c r="J37" s="6">
        <v>0</v>
      </c>
      <c r="K37" s="21">
        <f t="shared" si="1"/>
        <v>0</v>
      </c>
      <c r="L37" s="28">
        <f>IFERROR(VLOOKUP($C37,bug_conf_sheet!$A:$H,3,FALSE),VLOOKUP("other",bug_conf_sheet!$A:$H,3,FALSE))</f>
        <v>1</v>
      </c>
      <c r="M37" s="28">
        <f>IFERROR(VLOOKUP($C37,bug_conf_sheet!$A:$H,4,FALSE),VLOOKUP("other",bug_conf_sheet!$A:$H,4,FALSE))</f>
        <v>0</v>
      </c>
      <c r="N37" s="28">
        <f>IFERROR(VLOOKUP($C37,bug_conf_sheet!$A:$H,5,FALSE),VLOOKUP("other",bug_conf_sheet!$A:$H,5,FALSE))</f>
        <v>0</v>
      </c>
      <c r="O37" s="28">
        <f>IFERROR(VLOOKUP($C37,bug_conf_sheet!$A:$H,6,FALSE),VLOOKUP("other",bug_conf_sheet!$A:$H,6,FALSE))</f>
        <v>0</v>
      </c>
      <c r="P37" s="28">
        <f>IFERROR(VLOOKUP($C37,bug_conf_sheet!$A:$H,7,FALSE),VLOOKUP("other",bug_conf_sheet!$A:$H,7,FALSE))</f>
        <v>0</v>
      </c>
      <c r="Q37" s="28">
        <f>IFERROR(VLOOKUP($C37,bug_conf_sheet!$A:$H,8,FALSE),VLOOKUP("other",bug_conf_sheet!$A:$H,8,FALSE))</f>
        <v>1</v>
      </c>
    </row>
    <row r="38" spans="1:17" ht="21" customHeight="1">
      <c r="A38" s="8" t="str">
        <f t="shared" si="2"/>
        <v>206_2_1</v>
      </c>
      <c r="B38" s="5">
        <v>206</v>
      </c>
      <c r="C38" s="7">
        <v>2</v>
      </c>
      <c r="D38" s="9" t="str">
        <f ca="1">VLOOKUP($C38,OFFSET([1]characters!$A$1,0,0,COUNTA([1]characters!$A:$A),MATCH(D$1,[1]characters!$1:$1,0)-MATCH($C$1,[1]characters!$1:$1,0)+1),MATCH(D$1,[1]characters!$1:$1,0)-MATCH($C$1,[1]characters!$1:$1,0)+1,FALSE)</f>
        <v>イレギュラー・ジェリー</v>
      </c>
      <c r="E38" s="9" t="str">
        <f ca="1">VLOOKUP($C38,OFFSET([1]characters!$A$1,0,0,COUNTA([1]characters!$A:$A),MATCH(E$1,[1]characters!$1:$1,0)-MATCH($C$1,[1]characters!$1:$1,0)+1),MATCH(E$1,[1]characters!$1:$1,0)-MATCH($C$1,[1]characters!$1:$1,0)+1,FALSE)</f>
        <v>Drop1T</v>
      </c>
      <c r="F38" s="9">
        <f ca="1">VLOOKUP($C38,OFFSET([1]characters!$A$1,0,0,COUNTA([1]characters!$A:$A),MATCH(F$1,[1]characters!$1:$1,0)-MATCH($C$1,[1]characters!$1:$1,0)+1),MATCH(F$1,[1]characters!$1:$1,0)-MATCH($C$1,[1]characters!$1:$1,0)+1,FALSE)</f>
        <v>2</v>
      </c>
      <c r="G38" s="9" t="str">
        <f ca="1">VLOOKUP($C38,OFFSET([1]characters!$A$1,0,0,COUNTA([1]characters!$A:$A),MATCH(G$1,[1]characters!$1:$1,0)-MATCH($C$1,[1]characters!$1:$1,0)+1),MATCH(G$1,[1]characters!$1:$1,0)-MATCH($C$1,[1]characters!$1:$1,0)+1,FALSE)</f>
        <v>red</v>
      </c>
      <c r="H38" s="9" t="str">
        <f>VLOOKUP(C38,[1]characters!$A:$K,11,FALSE)</f>
        <v>attack</v>
      </c>
      <c r="I38" s="9" t="str">
        <f>VLOOKUP(C38,[1]characters!$A:$M,13,FALSE)</f>
        <v>unknown</v>
      </c>
      <c r="J38" s="6">
        <v>0</v>
      </c>
      <c r="K38" s="21">
        <f t="shared" si="1"/>
        <v>0</v>
      </c>
      <c r="L38" s="28">
        <f>IFERROR(VLOOKUP($C38,bug_conf_sheet!$A:$H,3,FALSE),VLOOKUP("other",bug_conf_sheet!$A:$H,3,FALSE))</f>
        <v>1</v>
      </c>
      <c r="M38" s="28">
        <f>IFERROR(VLOOKUP($C38,bug_conf_sheet!$A:$H,4,FALSE),VLOOKUP("other",bug_conf_sheet!$A:$H,4,FALSE))</f>
        <v>0</v>
      </c>
      <c r="N38" s="28">
        <f>IFERROR(VLOOKUP($C38,bug_conf_sheet!$A:$H,5,FALSE),VLOOKUP("other",bug_conf_sheet!$A:$H,5,FALSE))</f>
        <v>0</v>
      </c>
      <c r="O38" s="28">
        <f>IFERROR(VLOOKUP($C38,bug_conf_sheet!$A:$H,6,FALSE),VLOOKUP("other",bug_conf_sheet!$A:$H,6,FALSE))</f>
        <v>0</v>
      </c>
      <c r="P38" s="28">
        <f>IFERROR(VLOOKUP($C38,bug_conf_sheet!$A:$H,7,FALSE),VLOOKUP("other",bug_conf_sheet!$A:$H,7,FALSE))</f>
        <v>0</v>
      </c>
      <c r="Q38" s="28">
        <f>IFERROR(VLOOKUP($C38,bug_conf_sheet!$A:$H,8,FALSE),VLOOKUP("other",bug_conf_sheet!$A:$H,8,FALSE))</f>
        <v>1</v>
      </c>
    </row>
    <row r="39" spans="1:17" ht="21" customHeight="1">
      <c r="A39" s="8" t="str">
        <f t="shared" si="2"/>
        <v>206_4_1</v>
      </c>
      <c r="B39" s="5">
        <v>206</v>
      </c>
      <c r="C39" s="7">
        <v>4</v>
      </c>
      <c r="D39" s="9" t="str">
        <f ca="1">VLOOKUP($C39,OFFSET([1]characters!$A$1,0,0,COUNTA([1]characters!$A:$A),MATCH(D$1,[1]characters!$1:$1,0)-MATCH($C$1,[1]characters!$1:$1,0)+1),MATCH(D$1,[1]characters!$1:$1,0)-MATCH($C$1,[1]characters!$1:$1,0)+1,FALSE)</f>
        <v>エースエージェント ジョー</v>
      </c>
      <c r="E39" s="9" t="str">
        <f ca="1">VLOOKUP($C39,OFFSET([1]characters!$A$1,0,0,COUNTA([1]characters!$A:$A),MATCH(E$1,[1]characters!$1:$1,0)-MATCH($C$1,[1]characters!$1:$1,0)+1),MATCH(E$1,[1]characters!$1:$1,0)-MATCH($C$1,[1]characters!$1:$1,0)+1,FALSE)</f>
        <v>Drop1T</v>
      </c>
      <c r="F39" s="9">
        <f ca="1">VLOOKUP($C39,OFFSET([1]characters!$A$1,0,0,COUNTA([1]characters!$A:$A),MATCH(F$1,[1]characters!$1:$1,0)-MATCH($C$1,[1]characters!$1:$1,0)+1),MATCH(F$1,[1]characters!$1:$1,0)-MATCH($C$1,[1]characters!$1:$1,0)+1,FALSE)</f>
        <v>2</v>
      </c>
      <c r="G39" s="9" t="str">
        <f ca="1">VLOOKUP($C39,OFFSET([1]characters!$A$1,0,0,COUNTA([1]characters!$A:$A),MATCH(G$1,[1]characters!$1:$1,0)-MATCH($C$1,[1]characters!$1:$1,0)+1),MATCH(G$1,[1]characters!$1:$1,0)-MATCH($C$1,[1]characters!$1:$1,0)+1,FALSE)</f>
        <v>green</v>
      </c>
      <c r="H39" s="9" t="str">
        <f>VLOOKUP(C39,[1]characters!$A:$K,11,FALSE)</f>
        <v>balance</v>
      </c>
      <c r="I39" s="9" t="str">
        <f>VLOOKUP(C39,[1]characters!$A:$M,13,FALSE)</f>
        <v>unknown</v>
      </c>
      <c r="J39" s="6">
        <v>0</v>
      </c>
      <c r="K39" s="21">
        <f t="shared" si="1"/>
        <v>0</v>
      </c>
      <c r="L39" s="28">
        <f>IFERROR(VLOOKUP($C39,bug_conf_sheet!$A:$H,3,FALSE),VLOOKUP("other",bug_conf_sheet!$A:$H,3,FALSE))</f>
        <v>1</v>
      </c>
      <c r="M39" s="28">
        <f>IFERROR(VLOOKUP($C39,bug_conf_sheet!$A:$H,4,FALSE),VLOOKUP("other",bug_conf_sheet!$A:$H,4,FALSE))</f>
        <v>0</v>
      </c>
      <c r="N39" s="28">
        <f>IFERROR(VLOOKUP($C39,bug_conf_sheet!$A:$H,5,FALSE),VLOOKUP("other",bug_conf_sheet!$A:$H,5,FALSE))</f>
        <v>0</v>
      </c>
      <c r="O39" s="28">
        <f>IFERROR(VLOOKUP($C39,bug_conf_sheet!$A:$H,6,FALSE),VLOOKUP("other",bug_conf_sheet!$A:$H,6,FALSE))</f>
        <v>0</v>
      </c>
      <c r="P39" s="28">
        <f>IFERROR(VLOOKUP($C39,bug_conf_sheet!$A:$H,7,FALSE),VLOOKUP("other",bug_conf_sheet!$A:$H,7,FALSE))</f>
        <v>0</v>
      </c>
      <c r="Q39" s="28">
        <f>IFERROR(VLOOKUP($C39,bug_conf_sheet!$A:$H,8,FALSE),VLOOKUP("other",bug_conf_sheet!$A:$H,8,FALSE))</f>
        <v>1</v>
      </c>
    </row>
    <row r="40" spans="1:17" ht="21" customHeight="1">
      <c r="A40" s="8" t="str">
        <f t="shared" si="2"/>
        <v>206_6_1</v>
      </c>
      <c r="B40" s="5">
        <v>206</v>
      </c>
      <c r="C40" s="7">
        <v>6</v>
      </c>
      <c r="D40" s="9" t="str">
        <f ca="1">VLOOKUP($C40,OFFSET([1]characters!$A$1,0,0,COUNTA([1]characters!$A:$A),MATCH(D$1,[1]characters!$1:$1,0)-MATCH($C$1,[1]characters!$1:$1,0)+1),MATCH(D$1,[1]characters!$1:$1,0)-MATCH($C$1,[1]characters!$1:$1,0)+1,FALSE)</f>
        <v>パトドッグリーダー ポチ</v>
      </c>
      <c r="E40" s="9" t="str">
        <f ca="1">VLOOKUP($C40,OFFSET([1]characters!$A$1,0,0,COUNTA([1]characters!$A:$A),MATCH(E$1,[1]characters!$1:$1,0)-MATCH($C$1,[1]characters!$1:$1,0)+1),MATCH(E$1,[1]characters!$1:$1,0)-MATCH($C$1,[1]characters!$1:$1,0)+1,FALSE)</f>
        <v>Drop1T</v>
      </c>
      <c r="F40" s="9">
        <f ca="1">VLOOKUP($C40,OFFSET([1]characters!$A$1,0,0,COUNTA([1]characters!$A:$A),MATCH(F$1,[1]characters!$1:$1,0)-MATCH($C$1,[1]characters!$1:$1,0)+1),MATCH(F$1,[1]characters!$1:$1,0)-MATCH($C$1,[1]characters!$1:$1,0)+1,FALSE)</f>
        <v>2</v>
      </c>
      <c r="G40" s="9" t="str">
        <f ca="1">VLOOKUP($C40,OFFSET([1]characters!$A$1,0,0,COUNTA([1]characters!$A:$A),MATCH(G$1,[1]characters!$1:$1,0)-MATCH($C$1,[1]characters!$1:$1,0)+1),MATCH(G$1,[1]characters!$1:$1,0)-MATCH($C$1,[1]characters!$1:$1,0)+1,FALSE)</f>
        <v>blue</v>
      </c>
      <c r="H40" s="9" t="str">
        <f>VLOOKUP(C40,[1]characters!$A:$K,11,FALSE)</f>
        <v>heal</v>
      </c>
      <c r="I40" s="9" t="str">
        <f>VLOOKUP(C40,[1]characters!$A:$M,13,FALSE)</f>
        <v>unknown</v>
      </c>
      <c r="J40" s="6">
        <v>0</v>
      </c>
      <c r="K40" s="21">
        <f t="shared" si="1"/>
        <v>0</v>
      </c>
      <c r="L40" s="28">
        <f>IFERROR(VLOOKUP($C40,bug_conf_sheet!$A:$H,3,FALSE),VLOOKUP("other",bug_conf_sheet!$A:$H,3,FALSE))</f>
        <v>1</v>
      </c>
      <c r="M40" s="28">
        <f>IFERROR(VLOOKUP($C40,bug_conf_sheet!$A:$H,4,FALSE),VLOOKUP("other",bug_conf_sheet!$A:$H,4,FALSE))</f>
        <v>0</v>
      </c>
      <c r="N40" s="28">
        <f>IFERROR(VLOOKUP($C40,bug_conf_sheet!$A:$H,5,FALSE),VLOOKUP("other",bug_conf_sheet!$A:$H,5,FALSE))</f>
        <v>0</v>
      </c>
      <c r="O40" s="28">
        <f>IFERROR(VLOOKUP($C40,bug_conf_sheet!$A:$H,6,FALSE),VLOOKUP("other",bug_conf_sheet!$A:$H,6,FALSE))</f>
        <v>0</v>
      </c>
      <c r="P40" s="28">
        <f>IFERROR(VLOOKUP($C40,bug_conf_sheet!$A:$H,7,FALSE),VLOOKUP("other",bug_conf_sheet!$A:$H,7,FALSE))</f>
        <v>0</v>
      </c>
      <c r="Q40" s="28">
        <f>IFERROR(VLOOKUP($C40,bug_conf_sheet!$A:$H,8,FALSE),VLOOKUP("other",bug_conf_sheet!$A:$H,8,FALSE))</f>
        <v>1</v>
      </c>
    </row>
    <row r="41" spans="1:17" ht="21" customHeight="1">
      <c r="A41" s="8" t="str">
        <f t="shared" si="2"/>
        <v>206_8_1</v>
      </c>
      <c r="B41" s="5">
        <v>206</v>
      </c>
      <c r="C41" s="7">
        <v>8</v>
      </c>
      <c r="D41" s="9" t="str">
        <f ca="1">VLOOKUP($C41,OFFSET([1]characters!$A$1,0,0,COUNTA([1]characters!$A:$A),MATCH(D$1,[1]characters!$1:$1,0)-MATCH($C$1,[1]characters!$1:$1,0)+1),MATCH(D$1,[1]characters!$1:$1,0)-MATCH($C$1,[1]characters!$1:$1,0)+1,FALSE)</f>
        <v>ハイボルテージ エレキポット</v>
      </c>
      <c r="E41" s="9" t="str">
        <f ca="1">VLOOKUP($C41,OFFSET([1]characters!$A$1,0,0,COUNTA([1]characters!$A:$A),MATCH(E$1,[1]characters!$1:$1,0)-MATCH($C$1,[1]characters!$1:$1,0)+1),MATCH(E$1,[1]characters!$1:$1,0)-MATCH($C$1,[1]characters!$1:$1,0)+1,FALSE)</f>
        <v>Drop1T</v>
      </c>
      <c r="F41" s="9">
        <f ca="1">VLOOKUP($C41,OFFSET([1]characters!$A$1,0,0,COUNTA([1]characters!$A:$A),MATCH(F$1,[1]characters!$1:$1,0)-MATCH($C$1,[1]characters!$1:$1,0)+1),MATCH(F$1,[1]characters!$1:$1,0)-MATCH($C$1,[1]characters!$1:$1,0)+1,FALSE)</f>
        <v>2</v>
      </c>
      <c r="G41" s="9" t="str">
        <f ca="1">VLOOKUP($C41,OFFSET([1]characters!$A$1,0,0,COUNTA([1]characters!$A:$A),MATCH(G$1,[1]characters!$1:$1,0)-MATCH($C$1,[1]characters!$1:$1,0)+1),MATCH(G$1,[1]characters!$1:$1,0)-MATCH($C$1,[1]characters!$1:$1,0)+1,FALSE)</f>
        <v>yellow</v>
      </c>
      <c r="H41" s="9" t="str">
        <f>VLOOKUP(C41,[1]characters!$A:$K,11,FALSE)</f>
        <v>attack</v>
      </c>
      <c r="I41" s="9" t="str">
        <f>VLOOKUP(C41,[1]characters!$A:$M,13,FALSE)</f>
        <v>unknown</v>
      </c>
      <c r="J41" s="6">
        <v>0</v>
      </c>
      <c r="K41" s="21">
        <f t="shared" si="1"/>
        <v>0</v>
      </c>
      <c r="L41" s="28">
        <f>IFERROR(VLOOKUP($C41,bug_conf_sheet!$A:$H,3,FALSE),VLOOKUP("other",bug_conf_sheet!$A:$H,3,FALSE))</f>
        <v>1</v>
      </c>
      <c r="M41" s="28">
        <f>IFERROR(VLOOKUP($C41,bug_conf_sheet!$A:$H,4,FALSE),VLOOKUP("other",bug_conf_sheet!$A:$H,4,FALSE))</f>
        <v>0</v>
      </c>
      <c r="N41" s="28">
        <f>IFERROR(VLOOKUP($C41,bug_conf_sheet!$A:$H,5,FALSE),VLOOKUP("other",bug_conf_sheet!$A:$H,5,FALSE))</f>
        <v>0</v>
      </c>
      <c r="O41" s="28">
        <f>IFERROR(VLOOKUP($C41,bug_conf_sheet!$A:$H,6,FALSE),VLOOKUP("other",bug_conf_sheet!$A:$H,6,FALSE))</f>
        <v>0</v>
      </c>
      <c r="P41" s="28">
        <f>IFERROR(VLOOKUP($C41,bug_conf_sheet!$A:$H,7,FALSE),VLOOKUP("other",bug_conf_sheet!$A:$H,7,FALSE))</f>
        <v>0</v>
      </c>
      <c r="Q41" s="28">
        <f>IFERROR(VLOOKUP($C41,bug_conf_sheet!$A:$H,8,FALSE),VLOOKUP("other",bug_conf_sheet!$A:$H,8,FALSE))</f>
        <v>1</v>
      </c>
    </row>
    <row r="42" spans="1:17" ht="21" customHeight="1">
      <c r="A42" s="8" t="str">
        <f t="shared" si="2"/>
        <v>206_10_1</v>
      </c>
      <c r="B42" s="5">
        <v>206</v>
      </c>
      <c r="C42" s="7">
        <v>10</v>
      </c>
      <c r="D42" s="9" t="str">
        <f ca="1">VLOOKUP($C42,OFFSET([1]characters!$A$1,0,0,COUNTA([1]characters!$A:$A),MATCH(D$1,[1]characters!$1:$1,0)-MATCH($C$1,[1]characters!$1:$1,0)+1),MATCH(D$1,[1]characters!$1:$1,0)-MATCH($C$1,[1]characters!$1:$1,0)+1,FALSE)</f>
        <v>燃える悪戯魂 ブレット</v>
      </c>
      <c r="E42" s="9" t="str">
        <f ca="1">VLOOKUP($C42,OFFSET([1]characters!$A$1,0,0,COUNTA([1]characters!$A:$A),MATCH(E$1,[1]characters!$1:$1,0)-MATCH($C$1,[1]characters!$1:$1,0)+1),MATCH(E$1,[1]characters!$1:$1,0)-MATCH($C$1,[1]characters!$1:$1,0)+1,FALSE)</f>
        <v>Drop1W</v>
      </c>
      <c r="F42" s="9">
        <f ca="1">VLOOKUP($C42,OFFSET([1]characters!$A$1,0,0,COUNTA([1]characters!$A:$A),MATCH(F$1,[1]characters!$1:$1,0)-MATCH($C$1,[1]characters!$1:$1,0)+1),MATCH(F$1,[1]characters!$1:$1,0)-MATCH($C$1,[1]characters!$1:$1,0)+1,FALSE)</f>
        <v>2</v>
      </c>
      <c r="G42" s="9" t="str">
        <f ca="1">VLOOKUP($C42,OFFSET([1]characters!$A$1,0,0,COUNTA([1]characters!$A:$A),MATCH(G$1,[1]characters!$1:$1,0)-MATCH($C$1,[1]characters!$1:$1,0)+1),MATCH(G$1,[1]characters!$1:$1,0)-MATCH($C$1,[1]characters!$1:$1,0)+1,FALSE)</f>
        <v>red</v>
      </c>
      <c r="H42" s="9" t="str">
        <f>VLOOKUP(C42,[1]characters!$A:$K,11,FALSE)</f>
        <v>attack</v>
      </c>
      <c r="I42" s="9" t="str">
        <f>VLOOKUP(C42,[1]characters!$A:$M,13,FALSE)</f>
        <v>animal</v>
      </c>
      <c r="J42" s="6">
        <v>0</v>
      </c>
      <c r="K42" s="21">
        <f t="shared" si="1"/>
        <v>0</v>
      </c>
      <c r="L42" s="28">
        <f>IFERROR(VLOOKUP($C42,bug_conf_sheet!$A:$H,3,FALSE),VLOOKUP("other",bug_conf_sheet!$A:$H,3,FALSE))</f>
        <v>1</v>
      </c>
      <c r="M42" s="28">
        <f>IFERROR(VLOOKUP($C42,bug_conf_sheet!$A:$H,4,FALSE),VLOOKUP("other",bug_conf_sheet!$A:$H,4,FALSE))</f>
        <v>0</v>
      </c>
      <c r="N42" s="28">
        <f>IFERROR(VLOOKUP($C42,bug_conf_sheet!$A:$H,5,FALSE),VLOOKUP("other",bug_conf_sheet!$A:$H,5,FALSE))</f>
        <v>0</v>
      </c>
      <c r="O42" s="28">
        <f>IFERROR(VLOOKUP($C42,bug_conf_sheet!$A:$H,6,FALSE),VLOOKUP("other",bug_conf_sheet!$A:$H,6,FALSE))</f>
        <v>0</v>
      </c>
      <c r="P42" s="28">
        <f>IFERROR(VLOOKUP($C42,bug_conf_sheet!$A:$H,7,FALSE),VLOOKUP("other",bug_conf_sheet!$A:$H,7,FALSE))</f>
        <v>0</v>
      </c>
      <c r="Q42" s="28">
        <f>IFERROR(VLOOKUP($C42,bug_conf_sheet!$A:$H,8,FALSE),VLOOKUP("other",bug_conf_sheet!$A:$H,8,FALSE))</f>
        <v>1</v>
      </c>
    </row>
    <row r="43" spans="1:17" ht="21" customHeight="1">
      <c r="A43" s="8" t="str">
        <f t="shared" si="2"/>
        <v>206_12_1</v>
      </c>
      <c r="B43" s="5">
        <v>206</v>
      </c>
      <c r="C43" s="7">
        <v>12</v>
      </c>
      <c r="D43" s="9" t="str">
        <f ca="1">VLOOKUP($C43,OFFSET([1]characters!$A$1,0,0,COUNTA([1]characters!$A:$A),MATCH(D$1,[1]characters!$1:$1,0)-MATCH($C$1,[1]characters!$1:$1,0)+1),MATCH(D$1,[1]characters!$1:$1,0)-MATCH($C$1,[1]characters!$1:$1,0)+1,FALSE)</f>
        <v>癒しのグラフィティ マグリット</v>
      </c>
      <c r="E43" s="9" t="str">
        <f ca="1">VLOOKUP($C43,OFFSET([1]characters!$A$1,0,0,COUNTA([1]characters!$A:$A),MATCH(E$1,[1]characters!$1:$1,0)-MATCH($C$1,[1]characters!$1:$1,0)+1),MATCH(E$1,[1]characters!$1:$1,0)-MATCH($C$1,[1]characters!$1:$1,0)+1,FALSE)</f>
        <v>Drop1W</v>
      </c>
      <c r="F43" s="9">
        <f ca="1">VLOOKUP($C43,OFFSET([1]characters!$A$1,0,0,COUNTA([1]characters!$A:$A),MATCH(F$1,[1]characters!$1:$1,0)-MATCH($C$1,[1]characters!$1:$1,0)+1),MATCH(F$1,[1]characters!$1:$1,0)-MATCH($C$1,[1]characters!$1:$1,0)+1,FALSE)</f>
        <v>2</v>
      </c>
      <c r="G43" s="9" t="str">
        <f ca="1">VLOOKUP($C43,OFFSET([1]characters!$A$1,0,0,COUNTA([1]characters!$A:$A),MATCH(G$1,[1]characters!$1:$1,0)-MATCH($C$1,[1]characters!$1:$1,0)+1),MATCH(G$1,[1]characters!$1:$1,0)-MATCH($C$1,[1]characters!$1:$1,0)+1,FALSE)</f>
        <v>green</v>
      </c>
      <c r="H43" s="9" t="str">
        <f>VLOOKUP(C43,[1]characters!$A:$K,11,FALSE)</f>
        <v>heal</v>
      </c>
      <c r="I43" s="9" t="str">
        <f>VLOOKUP(C43,[1]characters!$A:$M,13,FALSE)</f>
        <v>animal</v>
      </c>
      <c r="J43" s="6">
        <v>0</v>
      </c>
      <c r="K43" s="21">
        <f t="shared" si="1"/>
        <v>0</v>
      </c>
      <c r="L43" s="28">
        <f>IFERROR(VLOOKUP($C43,bug_conf_sheet!$A:$H,3,FALSE),VLOOKUP("other",bug_conf_sheet!$A:$H,3,FALSE))</f>
        <v>1</v>
      </c>
      <c r="M43" s="28">
        <f>IFERROR(VLOOKUP($C43,bug_conf_sheet!$A:$H,4,FALSE),VLOOKUP("other",bug_conf_sheet!$A:$H,4,FALSE))</f>
        <v>0</v>
      </c>
      <c r="N43" s="28">
        <f>IFERROR(VLOOKUP($C43,bug_conf_sheet!$A:$H,5,FALSE),VLOOKUP("other",bug_conf_sheet!$A:$H,5,FALSE))</f>
        <v>0</v>
      </c>
      <c r="O43" s="28">
        <f>IFERROR(VLOOKUP($C43,bug_conf_sheet!$A:$H,6,FALSE),VLOOKUP("other",bug_conf_sheet!$A:$H,6,FALSE))</f>
        <v>0</v>
      </c>
      <c r="P43" s="28">
        <f>IFERROR(VLOOKUP($C43,bug_conf_sheet!$A:$H,7,FALSE),VLOOKUP("other",bug_conf_sheet!$A:$H,7,FALSE))</f>
        <v>0</v>
      </c>
      <c r="Q43" s="28">
        <f>IFERROR(VLOOKUP($C43,bug_conf_sheet!$A:$H,8,FALSE),VLOOKUP("other",bug_conf_sheet!$A:$H,8,FALSE))</f>
        <v>1</v>
      </c>
    </row>
    <row r="44" spans="1:17" ht="21" customHeight="1">
      <c r="A44" s="8" t="str">
        <f t="shared" si="2"/>
        <v>206_14_1</v>
      </c>
      <c r="B44" s="5">
        <v>206</v>
      </c>
      <c r="C44" s="7">
        <v>14</v>
      </c>
      <c r="D44" s="9" t="str">
        <f ca="1">VLOOKUP($C44,OFFSET([1]characters!$A$1,0,0,COUNTA([1]characters!$A:$A),MATCH(D$1,[1]characters!$1:$1,0)-MATCH($C$1,[1]characters!$1:$1,0)+1),MATCH(D$1,[1]characters!$1:$1,0)-MATCH($C$1,[1]characters!$1:$1,0)+1,FALSE)</f>
        <v>ミミ・ザ・ガンマンキャット</v>
      </c>
      <c r="E44" s="9" t="str">
        <f ca="1">VLOOKUP($C44,OFFSET([1]characters!$A$1,0,0,COUNTA([1]characters!$A:$A),MATCH(E$1,[1]characters!$1:$1,0)-MATCH($C$1,[1]characters!$1:$1,0)+1),MATCH(E$1,[1]characters!$1:$1,0)-MATCH($C$1,[1]characters!$1:$1,0)+1,FALSE)</f>
        <v>Drop1W</v>
      </c>
      <c r="F44" s="9">
        <f ca="1">VLOOKUP($C44,OFFSET([1]characters!$A$1,0,0,COUNTA([1]characters!$A:$A),MATCH(F$1,[1]characters!$1:$1,0)-MATCH($C$1,[1]characters!$1:$1,0)+1),MATCH(F$1,[1]characters!$1:$1,0)-MATCH($C$1,[1]characters!$1:$1,0)+1,FALSE)</f>
        <v>2</v>
      </c>
      <c r="G44" s="9" t="str">
        <f ca="1">VLOOKUP($C44,OFFSET([1]characters!$A$1,0,0,COUNTA([1]characters!$A:$A),MATCH(G$1,[1]characters!$1:$1,0)-MATCH($C$1,[1]characters!$1:$1,0)+1),MATCH(G$1,[1]characters!$1:$1,0)-MATCH($C$1,[1]characters!$1:$1,0)+1,FALSE)</f>
        <v>yellow</v>
      </c>
      <c r="H44" s="9" t="str">
        <f>VLOOKUP(C44,[1]characters!$A:$K,11,FALSE)</f>
        <v>attack</v>
      </c>
      <c r="I44" s="9" t="str">
        <f>VLOOKUP(C44,[1]characters!$A:$M,13,FALSE)</f>
        <v>animal</v>
      </c>
      <c r="J44" s="6">
        <v>0</v>
      </c>
      <c r="K44" s="21">
        <f t="shared" si="1"/>
        <v>0</v>
      </c>
      <c r="L44" s="28">
        <f>IFERROR(VLOOKUP($C44,bug_conf_sheet!$A:$H,3,FALSE),VLOOKUP("other",bug_conf_sheet!$A:$H,3,FALSE))</f>
        <v>1</v>
      </c>
      <c r="M44" s="28">
        <f>IFERROR(VLOOKUP($C44,bug_conf_sheet!$A:$H,4,FALSE),VLOOKUP("other",bug_conf_sheet!$A:$H,4,FALSE))</f>
        <v>0</v>
      </c>
      <c r="N44" s="28">
        <f>IFERROR(VLOOKUP($C44,bug_conf_sheet!$A:$H,5,FALSE),VLOOKUP("other",bug_conf_sheet!$A:$H,5,FALSE))</f>
        <v>0</v>
      </c>
      <c r="O44" s="28">
        <f>IFERROR(VLOOKUP($C44,bug_conf_sheet!$A:$H,6,FALSE),VLOOKUP("other",bug_conf_sheet!$A:$H,6,FALSE))</f>
        <v>0</v>
      </c>
      <c r="P44" s="28">
        <f>IFERROR(VLOOKUP($C44,bug_conf_sheet!$A:$H,7,FALSE),VLOOKUP("other",bug_conf_sheet!$A:$H,7,FALSE))</f>
        <v>0</v>
      </c>
      <c r="Q44" s="28">
        <f>IFERROR(VLOOKUP($C44,bug_conf_sheet!$A:$H,8,FALSE),VLOOKUP("other",bug_conf_sheet!$A:$H,8,FALSE))</f>
        <v>1</v>
      </c>
    </row>
    <row r="45" spans="1:17" ht="21" customHeight="1">
      <c r="A45" s="8" t="str">
        <f t="shared" si="2"/>
        <v>206_16_1</v>
      </c>
      <c r="B45" s="5">
        <v>206</v>
      </c>
      <c r="C45" s="7">
        <v>16</v>
      </c>
      <c r="D45" s="9" t="str">
        <f ca="1">VLOOKUP($C45,OFFSET([1]characters!$A$1,0,0,COUNTA([1]characters!$A:$A),MATCH(D$1,[1]characters!$1:$1,0)-MATCH($C$1,[1]characters!$1:$1,0)+1),MATCH(D$1,[1]characters!$1:$1,0)-MATCH($C$1,[1]characters!$1:$1,0)+1,FALSE)</f>
        <v>炎戦少女 アカネ</v>
      </c>
      <c r="E45" s="9" t="str">
        <f ca="1">VLOOKUP($C45,OFFSET([1]characters!$A$1,0,0,COUNTA([1]characters!$A:$A),MATCH(E$1,[1]characters!$1:$1,0)-MATCH($C$1,[1]characters!$1:$1,0)+1),MATCH(E$1,[1]characters!$1:$1,0)-MATCH($C$1,[1]characters!$1:$1,0)+1,FALSE)</f>
        <v>Drop1W</v>
      </c>
      <c r="F45" s="9">
        <f ca="1">VLOOKUP($C45,OFFSET([1]characters!$A$1,0,0,COUNTA([1]characters!$A:$A),MATCH(F$1,[1]characters!$1:$1,0)-MATCH($C$1,[1]characters!$1:$1,0)+1),MATCH(F$1,[1]characters!$1:$1,0)-MATCH($C$1,[1]characters!$1:$1,0)+1,FALSE)</f>
        <v>2</v>
      </c>
      <c r="G45" s="9" t="str">
        <f ca="1">VLOOKUP($C45,OFFSET([1]characters!$A$1,0,0,COUNTA([1]characters!$A:$A),MATCH(G$1,[1]characters!$1:$1,0)-MATCH($C$1,[1]characters!$1:$1,0)+1),MATCH(G$1,[1]characters!$1:$1,0)-MATCH($C$1,[1]characters!$1:$1,0)+1,FALSE)</f>
        <v>red</v>
      </c>
      <c r="H45" s="9" t="str">
        <f>VLOOKUP(C45,[1]characters!$A:$K,11,FALSE)</f>
        <v>balance</v>
      </c>
      <c r="I45" s="9" t="str">
        <f>VLOOKUP(C45,[1]characters!$A:$M,13,FALSE)</f>
        <v>human</v>
      </c>
      <c r="J45" s="6">
        <v>0</v>
      </c>
      <c r="K45" s="21">
        <f t="shared" si="1"/>
        <v>0</v>
      </c>
      <c r="L45" s="28">
        <f>IFERROR(VLOOKUP($C45,bug_conf_sheet!$A:$H,3,FALSE),VLOOKUP("other",bug_conf_sheet!$A:$H,3,FALSE))</f>
        <v>1</v>
      </c>
      <c r="M45" s="28">
        <f>IFERROR(VLOOKUP($C45,bug_conf_sheet!$A:$H,4,FALSE),VLOOKUP("other",bug_conf_sheet!$A:$H,4,FALSE))</f>
        <v>0</v>
      </c>
      <c r="N45" s="28">
        <f>IFERROR(VLOOKUP($C45,bug_conf_sheet!$A:$H,5,FALSE),VLOOKUP("other",bug_conf_sheet!$A:$H,5,FALSE))</f>
        <v>0</v>
      </c>
      <c r="O45" s="28">
        <f>IFERROR(VLOOKUP($C45,bug_conf_sheet!$A:$H,6,FALSE),VLOOKUP("other",bug_conf_sheet!$A:$H,6,FALSE))</f>
        <v>0</v>
      </c>
      <c r="P45" s="28">
        <f>IFERROR(VLOOKUP($C45,bug_conf_sheet!$A:$H,7,FALSE),VLOOKUP("other",bug_conf_sheet!$A:$H,7,FALSE))</f>
        <v>0</v>
      </c>
      <c r="Q45" s="28">
        <f>IFERROR(VLOOKUP($C45,bug_conf_sheet!$A:$H,8,FALSE),VLOOKUP("other",bug_conf_sheet!$A:$H,8,FALSE))</f>
        <v>1</v>
      </c>
    </row>
    <row r="46" spans="1:17" ht="21" customHeight="1">
      <c r="A46" s="8" t="str">
        <f t="shared" si="2"/>
        <v>206_18_1</v>
      </c>
      <c r="B46" s="5">
        <v>206</v>
      </c>
      <c r="C46" s="7">
        <v>18</v>
      </c>
      <c r="D46" s="9" t="str">
        <f ca="1">VLOOKUP($C46,OFFSET([1]characters!$A$1,0,0,COUNTA([1]characters!$A:$A),MATCH(D$1,[1]characters!$1:$1,0)-MATCH($C$1,[1]characters!$1:$1,0)+1),MATCH(D$1,[1]characters!$1:$1,0)-MATCH($C$1,[1]characters!$1:$1,0)+1,FALSE)</f>
        <v>戦闘案内人 リム</v>
      </c>
      <c r="E46" s="9" t="str">
        <f ca="1">VLOOKUP($C46,OFFSET([1]characters!$A$1,0,0,COUNTA([1]characters!$A:$A),MATCH(E$1,[1]characters!$1:$1,0)-MATCH($C$1,[1]characters!$1:$1,0)+1),MATCH(E$1,[1]characters!$1:$1,0)-MATCH($C$1,[1]characters!$1:$1,0)+1,FALSE)</f>
        <v>Drop1W</v>
      </c>
      <c r="F46" s="9">
        <f ca="1">VLOOKUP($C46,OFFSET([1]characters!$A$1,0,0,COUNTA([1]characters!$A:$A),MATCH(F$1,[1]characters!$1:$1,0)-MATCH($C$1,[1]characters!$1:$1,0)+1),MATCH(F$1,[1]characters!$1:$1,0)-MATCH($C$1,[1]characters!$1:$1,0)+1,FALSE)</f>
        <v>2</v>
      </c>
      <c r="G46" s="9" t="str">
        <f ca="1">VLOOKUP($C46,OFFSET([1]characters!$A$1,0,0,COUNTA([1]characters!$A:$A),MATCH(G$1,[1]characters!$1:$1,0)-MATCH($C$1,[1]characters!$1:$1,0)+1),MATCH(G$1,[1]characters!$1:$1,0)-MATCH($C$1,[1]characters!$1:$1,0)+1,FALSE)</f>
        <v>blue</v>
      </c>
      <c r="H46" s="9" t="str">
        <f>VLOOKUP(C46,[1]characters!$A:$K,11,FALSE)</f>
        <v>balance</v>
      </c>
      <c r="I46" s="9" t="str">
        <f>VLOOKUP(C46,[1]characters!$A:$M,13,FALSE)</f>
        <v>human</v>
      </c>
      <c r="J46" s="6">
        <v>0</v>
      </c>
      <c r="K46" s="21">
        <f t="shared" si="1"/>
        <v>0</v>
      </c>
      <c r="L46" s="28">
        <f>IFERROR(VLOOKUP($C46,bug_conf_sheet!$A:$H,3,FALSE),VLOOKUP("other",bug_conf_sheet!$A:$H,3,FALSE))</f>
        <v>1</v>
      </c>
      <c r="M46" s="28">
        <f>IFERROR(VLOOKUP($C46,bug_conf_sheet!$A:$H,4,FALSE),VLOOKUP("other",bug_conf_sheet!$A:$H,4,FALSE))</f>
        <v>0</v>
      </c>
      <c r="N46" s="28">
        <f>IFERROR(VLOOKUP($C46,bug_conf_sheet!$A:$H,5,FALSE),VLOOKUP("other",bug_conf_sheet!$A:$H,5,FALSE))</f>
        <v>0</v>
      </c>
      <c r="O46" s="28">
        <f>IFERROR(VLOOKUP($C46,bug_conf_sheet!$A:$H,6,FALSE),VLOOKUP("other",bug_conf_sheet!$A:$H,6,FALSE))</f>
        <v>0</v>
      </c>
      <c r="P46" s="28">
        <f>IFERROR(VLOOKUP($C46,bug_conf_sheet!$A:$H,7,FALSE),VLOOKUP("other",bug_conf_sheet!$A:$H,7,FALSE))</f>
        <v>0</v>
      </c>
      <c r="Q46" s="28">
        <f>IFERROR(VLOOKUP($C46,bug_conf_sheet!$A:$H,8,FALSE),VLOOKUP("other",bug_conf_sheet!$A:$H,8,FALSE))</f>
        <v>1</v>
      </c>
    </row>
    <row r="47" spans="1:17" ht="21" customHeight="1">
      <c r="A47" s="8" t="str">
        <f t="shared" si="2"/>
        <v>206_20_1</v>
      </c>
      <c r="B47" s="5">
        <v>206</v>
      </c>
      <c r="C47" s="7">
        <v>20</v>
      </c>
      <c r="D47" s="9" t="str">
        <f ca="1">VLOOKUP($C47,OFFSET([1]characters!$A$1,0,0,COUNTA([1]characters!$A:$A),MATCH(D$1,[1]characters!$1:$1,0)-MATCH($C$1,[1]characters!$1:$1,0)+1),MATCH(D$1,[1]characters!$1:$1,0)-MATCH($C$1,[1]characters!$1:$1,0)+1,FALSE)</f>
        <v>電子妖精 ティンク</v>
      </c>
      <c r="E47" s="9" t="str">
        <f ca="1">VLOOKUP($C47,OFFSET([1]characters!$A$1,0,0,COUNTA([1]characters!$A:$A),MATCH(E$1,[1]characters!$1:$1,0)-MATCH($C$1,[1]characters!$1:$1,0)+1),MATCH(E$1,[1]characters!$1:$1,0)-MATCH($C$1,[1]characters!$1:$1,0)+1,FALSE)</f>
        <v>Drop1W</v>
      </c>
      <c r="F47" s="9">
        <f ca="1">VLOOKUP($C47,OFFSET([1]characters!$A$1,0,0,COUNTA([1]characters!$A:$A),MATCH(F$1,[1]characters!$1:$1,0)-MATCH($C$1,[1]characters!$1:$1,0)+1),MATCH(F$1,[1]characters!$1:$1,0)-MATCH($C$1,[1]characters!$1:$1,0)+1,FALSE)</f>
        <v>2</v>
      </c>
      <c r="G47" s="9" t="str">
        <f ca="1">VLOOKUP($C47,OFFSET([1]characters!$A$1,0,0,COUNTA([1]characters!$A:$A),MATCH(G$1,[1]characters!$1:$1,0)-MATCH($C$1,[1]characters!$1:$1,0)+1),MATCH(G$1,[1]characters!$1:$1,0)-MATCH($C$1,[1]characters!$1:$1,0)+1,FALSE)</f>
        <v>yellow</v>
      </c>
      <c r="H47" s="9" t="str">
        <f>VLOOKUP(C47,[1]characters!$A:$K,11,FALSE)</f>
        <v>balance</v>
      </c>
      <c r="I47" s="9" t="str">
        <f>VLOOKUP(C47,[1]characters!$A:$M,13,FALSE)</f>
        <v>human</v>
      </c>
      <c r="J47" s="6">
        <v>0</v>
      </c>
      <c r="K47" s="21">
        <f t="shared" si="1"/>
        <v>0</v>
      </c>
      <c r="L47" s="28">
        <f>IFERROR(VLOOKUP($C47,bug_conf_sheet!$A:$H,3,FALSE),VLOOKUP("other",bug_conf_sheet!$A:$H,3,FALSE))</f>
        <v>1</v>
      </c>
      <c r="M47" s="28">
        <f>IFERROR(VLOOKUP($C47,bug_conf_sheet!$A:$H,4,FALSE),VLOOKUP("other",bug_conf_sheet!$A:$H,4,FALSE))</f>
        <v>0</v>
      </c>
      <c r="N47" s="28">
        <f>IFERROR(VLOOKUP($C47,bug_conf_sheet!$A:$H,5,FALSE),VLOOKUP("other",bug_conf_sheet!$A:$H,5,FALSE))</f>
        <v>0</v>
      </c>
      <c r="O47" s="28">
        <f>IFERROR(VLOOKUP($C47,bug_conf_sheet!$A:$H,6,FALSE),VLOOKUP("other",bug_conf_sheet!$A:$H,6,FALSE))</f>
        <v>0</v>
      </c>
      <c r="P47" s="28">
        <f>IFERROR(VLOOKUP($C47,bug_conf_sheet!$A:$H,7,FALSE),VLOOKUP("other",bug_conf_sheet!$A:$H,7,FALSE))</f>
        <v>0</v>
      </c>
      <c r="Q47" s="28">
        <f>IFERROR(VLOOKUP($C47,bug_conf_sheet!$A:$H,8,FALSE),VLOOKUP("other",bug_conf_sheet!$A:$H,8,FALSE))</f>
        <v>1</v>
      </c>
    </row>
    <row r="48" spans="1:17" ht="21" customHeight="1">
      <c r="A48" s="8" t="str">
        <f t="shared" si="2"/>
        <v>206_22_1</v>
      </c>
      <c r="B48" s="5">
        <v>206</v>
      </c>
      <c r="C48" s="7">
        <v>22</v>
      </c>
      <c r="D48" s="9" t="str">
        <f ca="1">VLOOKUP($C48,OFFSET([1]characters!$A$1,0,0,COUNTA([1]characters!$A:$A),MATCH(D$1,[1]characters!$1:$1,0)-MATCH($C$1,[1]characters!$1:$1,0)+1),MATCH(D$1,[1]characters!$1:$1,0)-MATCH($C$1,[1]characters!$1:$1,0)+1,FALSE)</f>
        <v>突然変異ヴェロキー</v>
      </c>
      <c r="E48" s="9" t="str">
        <f ca="1">VLOOKUP($C48,OFFSET([1]characters!$A$1,0,0,COUNTA([1]characters!$A:$A),MATCH(E$1,[1]characters!$1:$1,0)-MATCH($C$1,[1]characters!$1:$1,0)+1),MATCH(E$1,[1]characters!$1:$1,0)-MATCH($C$1,[1]characters!$1:$1,0)+1,FALSE)</f>
        <v>Drop1N</v>
      </c>
      <c r="F48" s="9">
        <f ca="1">VLOOKUP($C48,OFFSET([1]characters!$A$1,0,0,COUNTA([1]characters!$A:$A),MATCH(F$1,[1]characters!$1:$1,0)-MATCH($C$1,[1]characters!$1:$1,0)+1),MATCH(F$1,[1]characters!$1:$1,0)-MATCH($C$1,[1]characters!$1:$1,0)+1,FALSE)</f>
        <v>2</v>
      </c>
      <c r="G48" s="9" t="str">
        <f ca="1">VLOOKUP($C48,OFFSET([1]characters!$A$1,0,0,COUNTA([1]characters!$A:$A),MATCH(G$1,[1]characters!$1:$1,0)-MATCH($C$1,[1]characters!$1:$1,0)+1),MATCH(G$1,[1]characters!$1:$1,0)-MATCH($C$1,[1]characters!$1:$1,0)+1,FALSE)</f>
        <v>red</v>
      </c>
      <c r="H48" s="9" t="str">
        <f>VLOOKUP(C48,[1]characters!$A:$K,11,FALSE)</f>
        <v>hp</v>
      </c>
      <c r="I48" s="9" t="str">
        <f>VLOOKUP(C48,[1]characters!$A:$M,13,FALSE)</f>
        <v>dragon</v>
      </c>
      <c r="J48" s="6">
        <v>0</v>
      </c>
      <c r="K48" s="21">
        <f t="shared" si="1"/>
        <v>0</v>
      </c>
      <c r="L48" s="28">
        <f>IFERROR(VLOOKUP($C48,bug_conf_sheet!$A:$H,3,FALSE),VLOOKUP("other",bug_conf_sheet!$A:$H,3,FALSE))</f>
        <v>1</v>
      </c>
      <c r="M48" s="28">
        <f>IFERROR(VLOOKUP($C48,bug_conf_sheet!$A:$H,4,FALSE),VLOOKUP("other",bug_conf_sheet!$A:$H,4,FALSE))</f>
        <v>0</v>
      </c>
      <c r="N48" s="28">
        <f>IFERROR(VLOOKUP($C48,bug_conf_sheet!$A:$H,5,FALSE),VLOOKUP("other",bug_conf_sheet!$A:$H,5,FALSE))</f>
        <v>0</v>
      </c>
      <c r="O48" s="28">
        <f>IFERROR(VLOOKUP($C48,bug_conf_sheet!$A:$H,6,FALSE),VLOOKUP("other",bug_conf_sheet!$A:$H,6,FALSE))</f>
        <v>0</v>
      </c>
      <c r="P48" s="28">
        <f>IFERROR(VLOOKUP($C48,bug_conf_sheet!$A:$H,7,FALSE),VLOOKUP("other",bug_conf_sheet!$A:$H,7,FALSE))</f>
        <v>0</v>
      </c>
      <c r="Q48" s="28">
        <f>IFERROR(VLOOKUP($C48,bug_conf_sheet!$A:$H,8,FALSE),VLOOKUP("other",bug_conf_sheet!$A:$H,8,FALSE))</f>
        <v>1</v>
      </c>
    </row>
    <row r="49" spans="1:17" ht="21" customHeight="1">
      <c r="A49" s="8" t="str">
        <f t="shared" si="2"/>
        <v>206_24_1</v>
      </c>
      <c r="B49" s="5">
        <v>206</v>
      </c>
      <c r="C49" s="7">
        <v>24</v>
      </c>
      <c r="D49" s="9" t="str">
        <f ca="1">VLOOKUP($C49,OFFSET([1]characters!$A$1,0,0,COUNTA([1]characters!$A:$A),MATCH(D$1,[1]characters!$1:$1,0)-MATCH($C$1,[1]characters!$1:$1,0)+1),MATCH(D$1,[1]characters!$1:$1,0)-MATCH($C$1,[1]characters!$1:$1,0)+1,FALSE)</f>
        <v>天翔のミール</v>
      </c>
      <c r="E49" s="9" t="str">
        <f ca="1">VLOOKUP($C49,OFFSET([1]characters!$A$1,0,0,COUNTA([1]characters!$A:$A),MATCH(E$1,[1]characters!$1:$1,0)-MATCH($C$1,[1]characters!$1:$1,0)+1),MATCH(E$1,[1]characters!$1:$1,0)-MATCH($C$1,[1]characters!$1:$1,0)+1,FALSE)</f>
        <v>Drop1N</v>
      </c>
      <c r="F49" s="9">
        <f ca="1">VLOOKUP($C49,OFFSET([1]characters!$A$1,0,0,COUNTA([1]characters!$A:$A),MATCH(F$1,[1]characters!$1:$1,0)-MATCH($C$1,[1]characters!$1:$1,0)+1),MATCH(F$1,[1]characters!$1:$1,0)-MATCH($C$1,[1]characters!$1:$1,0)+1,FALSE)</f>
        <v>2</v>
      </c>
      <c r="G49" s="9" t="str">
        <f ca="1">VLOOKUP($C49,OFFSET([1]characters!$A$1,0,0,COUNTA([1]characters!$A:$A),MATCH(G$1,[1]characters!$1:$1,0)-MATCH($C$1,[1]characters!$1:$1,0)+1),MATCH(G$1,[1]characters!$1:$1,0)-MATCH($C$1,[1]characters!$1:$1,0)+1,FALSE)</f>
        <v>green</v>
      </c>
      <c r="H49" s="9" t="str">
        <f>VLOOKUP(C49,[1]characters!$A:$K,11,FALSE)</f>
        <v>hp</v>
      </c>
      <c r="I49" s="9" t="str">
        <f>VLOOKUP(C49,[1]characters!$A:$M,13,FALSE)</f>
        <v>animal</v>
      </c>
      <c r="J49" s="6">
        <v>0</v>
      </c>
      <c r="K49" s="21">
        <f t="shared" si="1"/>
        <v>0</v>
      </c>
      <c r="L49" s="28">
        <f>IFERROR(VLOOKUP($C49,bug_conf_sheet!$A:$H,3,FALSE),VLOOKUP("other",bug_conf_sheet!$A:$H,3,FALSE))</f>
        <v>1</v>
      </c>
      <c r="M49" s="28">
        <f>IFERROR(VLOOKUP($C49,bug_conf_sheet!$A:$H,4,FALSE),VLOOKUP("other",bug_conf_sheet!$A:$H,4,FALSE))</f>
        <v>0</v>
      </c>
      <c r="N49" s="28">
        <f>IFERROR(VLOOKUP($C49,bug_conf_sheet!$A:$H,5,FALSE),VLOOKUP("other",bug_conf_sheet!$A:$H,5,FALSE))</f>
        <v>0</v>
      </c>
      <c r="O49" s="28">
        <f>IFERROR(VLOOKUP($C49,bug_conf_sheet!$A:$H,6,FALSE),VLOOKUP("other",bug_conf_sheet!$A:$H,6,FALSE))</f>
        <v>0</v>
      </c>
      <c r="P49" s="28">
        <f>IFERROR(VLOOKUP($C49,bug_conf_sheet!$A:$H,7,FALSE),VLOOKUP("other",bug_conf_sheet!$A:$H,7,FALSE))</f>
        <v>0</v>
      </c>
      <c r="Q49" s="28">
        <f>IFERROR(VLOOKUP($C49,bug_conf_sheet!$A:$H,8,FALSE),VLOOKUP("other",bug_conf_sheet!$A:$H,8,FALSE))</f>
        <v>1</v>
      </c>
    </row>
    <row r="50" spans="1:17" ht="21" customHeight="1">
      <c r="A50" s="8" t="str">
        <f t="shared" si="2"/>
        <v>206_26_1</v>
      </c>
      <c r="B50" s="5">
        <v>206</v>
      </c>
      <c r="C50" s="7">
        <v>26</v>
      </c>
      <c r="D50" s="9" t="str">
        <f ca="1">VLOOKUP($C50,OFFSET([1]characters!$A$1,0,0,COUNTA([1]characters!$A:$A),MATCH(D$1,[1]characters!$1:$1,0)-MATCH($C$1,[1]characters!$1:$1,0)+1),MATCH(D$1,[1]characters!$1:$1,0)-MATCH($C$1,[1]characters!$1:$1,0)+1,FALSE)</f>
        <v>勇犬 ハチ</v>
      </c>
      <c r="E50" s="9" t="str">
        <f ca="1">VLOOKUP($C50,OFFSET([1]characters!$A$1,0,0,COUNTA([1]characters!$A:$A),MATCH(E$1,[1]characters!$1:$1,0)-MATCH($C$1,[1]characters!$1:$1,0)+1),MATCH(E$1,[1]characters!$1:$1,0)-MATCH($C$1,[1]characters!$1:$1,0)+1,FALSE)</f>
        <v>Drop1N</v>
      </c>
      <c r="F50" s="9">
        <f ca="1">VLOOKUP($C50,OFFSET([1]characters!$A$1,0,0,COUNTA([1]characters!$A:$A),MATCH(F$1,[1]characters!$1:$1,0)-MATCH($C$1,[1]characters!$1:$1,0)+1),MATCH(F$1,[1]characters!$1:$1,0)-MATCH($C$1,[1]characters!$1:$1,0)+1,FALSE)</f>
        <v>2</v>
      </c>
      <c r="G50" s="9" t="str">
        <f ca="1">VLOOKUP($C50,OFFSET([1]characters!$A$1,0,0,COUNTA([1]characters!$A:$A),MATCH(G$1,[1]characters!$1:$1,0)-MATCH($C$1,[1]characters!$1:$1,0)+1),MATCH(G$1,[1]characters!$1:$1,0)-MATCH($C$1,[1]characters!$1:$1,0)+1,FALSE)</f>
        <v>blue</v>
      </c>
      <c r="H50" s="9" t="str">
        <f>VLOOKUP(C50,[1]characters!$A:$K,11,FALSE)</f>
        <v>hp</v>
      </c>
      <c r="I50" s="9" t="str">
        <f>VLOOKUP(C50,[1]characters!$A:$M,13,FALSE)</f>
        <v>animal</v>
      </c>
      <c r="J50" s="6">
        <v>0</v>
      </c>
      <c r="K50" s="21">
        <f t="shared" si="1"/>
        <v>0</v>
      </c>
      <c r="L50" s="28">
        <f>IFERROR(VLOOKUP($C50,bug_conf_sheet!$A:$H,3,FALSE),VLOOKUP("other",bug_conf_sheet!$A:$H,3,FALSE))</f>
        <v>1</v>
      </c>
      <c r="M50" s="28">
        <f>IFERROR(VLOOKUP($C50,bug_conf_sheet!$A:$H,4,FALSE),VLOOKUP("other",bug_conf_sheet!$A:$H,4,FALSE))</f>
        <v>0</v>
      </c>
      <c r="N50" s="28">
        <f>IFERROR(VLOOKUP($C50,bug_conf_sheet!$A:$H,5,FALSE),VLOOKUP("other",bug_conf_sheet!$A:$H,5,FALSE))</f>
        <v>0</v>
      </c>
      <c r="O50" s="28">
        <f>IFERROR(VLOOKUP($C50,bug_conf_sheet!$A:$H,6,FALSE),VLOOKUP("other",bug_conf_sheet!$A:$H,6,FALSE))</f>
        <v>0</v>
      </c>
      <c r="P50" s="28">
        <f>IFERROR(VLOOKUP($C50,bug_conf_sheet!$A:$H,7,FALSE),VLOOKUP("other",bug_conf_sheet!$A:$H,7,FALSE))</f>
        <v>0</v>
      </c>
      <c r="Q50" s="28">
        <f>IFERROR(VLOOKUP($C50,bug_conf_sheet!$A:$H,8,FALSE),VLOOKUP("other",bug_conf_sheet!$A:$H,8,FALSE))</f>
        <v>1</v>
      </c>
    </row>
    <row r="51" spans="1:17" ht="21" customHeight="1">
      <c r="A51" s="8" t="str">
        <f t="shared" si="2"/>
        <v>206_28_1</v>
      </c>
      <c r="B51" s="5">
        <v>206</v>
      </c>
      <c r="C51" s="7">
        <v>28</v>
      </c>
      <c r="D51" s="9" t="str">
        <f ca="1">VLOOKUP($C51,OFFSET([1]characters!$A$1,0,0,COUNTA([1]characters!$A:$A),MATCH(D$1,[1]characters!$1:$1,0)-MATCH($C$1,[1]characters!$1:$1,0)+1),MATCH(D$1,[1]characters!$1:$1,0)-MATCH($C$1,[1]characters!$1:$1,0)+1,FALSE)</f>
        <v>現場急行 パトラインカスタム</v>
      </c>
      <c r="E51" s="9" t="str">
        <f ca="1">VLOOKUP($C51,OFFSET([1]characters!$A$1,0,0,COUNTA([1]characters!$A:$A),MATCH(E$1,[1]characters!$1:$1,0)-MATCH($C$1,[1]characters!$1:$1,0)+1),MATCH(E$1,[1]characters!$1:$1,0)-MATCH($C$1,[1]characters!$1:$1,0)+1,FALSE)</f>
        <v>Drop1N</v>
      </c>
      <c r="F51" s="9">
        <f ca="1">VLOOKUP($C51,OFFSET([1]characters!$A$1,0,0,COUNTA([1]characters!$A:$A),MATCH(F$1,[1]characters!$1:$1,0)-MATCH($C$1,[1]characters!$1:$1,0)+1),MATCH(F$1,[1]characters!$1:$1,0)-MATCH($C$1,[1]characters!$1:$1,0)+1,FALSE)</f>
        <v>2</v>
      </c>
      <c r="G51" s="9" t="str">
        <f ca="1">VLOOKUP($C51,OFFSET([1]characters!$A$1,0,0,COUNTA([1]characters!$A:$A),MATCH(G$1,[1]characters!$1:$1,0)-MATCH($C$1,[1]characters!$1:$1,0)+1),MATCH(G$1,[1]characters!$1:$1,0)-MATCH($C$1,[1]characters!$1:$1,0)+1,FALSE)</f>
        <v>green</v>
      </c>
      <c r="H51" s="9" t="str">
        <f>VLOOKUP(C51,[1]characters!$A:$K,11,FALSE)</f>
        <v>heal</v>
      </c>
      <c r="I51" s="9" t="str">
        <f>VLOOKUP(C51,[1]characters!$A:$M,13,FALSE)</f>
        <v>machine</v>
      </c>
      <c r="J51" s="6">
        <v>0</v>
      </c>
      <c r="K51" s="21">
        <f t="shared" si="1"/>
        <v>0</v>
      </c>
      <c r="L51" s="28">
        <f>IFERROR(VLOOKUP($C51,bug_conf_sheet!$A:$H,3,FALSE),VLOOKUP("other",bug_conf_sheet!$A:$H,3,FALSE))</f>
        <v>1</v>
      </c>
      <c r="M51" s="28">
        <f>IFERROR(VLOOKUP($C51,bug_conf_sheet!$A:$H,4,FALSE),VLOOKUP("other",bug_conf_sheet!$A:$H,4,FALSE))</f>
        <v>0</v>
      </c>
      <c r="N51" s="28">
        <f>IFERROR(VLOOKUP($C51,bug_conf_sheet!$A:$H,5,FALSE),VLOOKUP("other",bug_conf_sheet!$A:$H,5,FALSE))</f>
        <v>0</v>
      </c>
      <c r="O51" s="28">
        <f>IFERROR(VLOOKUP($C51,bug_conf_sheet!$A:$H,6,FALSE),VLOOKUP("other",bug_conf_sheet!$A:$H,6,FALSE))</f>
        <v>0</v>
      </c>
      <c r="P51" s="28">
        <f>IFERROR(VLOOKUP($C51,bug_conf_sheet!$A:$H,7,FALSE),VLOOKUP("other",bug_conf_sheet!$A:$H,7,FALSE))</f>
        <v>0</v>
      </c>
      <c r="Q51" s="28">
        <f>IFERROR(VLOOKUP($C51,bug_conf_sheet!$A:$H,8,FALSE),VLOOKUP("other",bug_conf_sheet!$A:$H,8,FALSE))</f>
        <v>1</v>
      </c>
    </row>
    <row r="52" spans="1:17" ht="21" customHeight="1">
      <c r="A52" s="8" t="str">
        <f t="shared" si="2"/>
        <v>206_30_1</v>
      </c>
      <c r="B52" s="5">
        <v>206</v>
      </c>
      <c r="C52" s="7">
        <v>30</v>
      </c>
      <c r="D52" s="9" t="str">
        <f ca="1">VLOOKUP($C52,OFFSET([1]characters!$A$1,0,0,COUNTA([1]characters!$A:$A),MATCH(D$1,[1]characters!$1:$1,0)-MATCH($C$1,[1]characters!$1:$1,0)+1),MATCH(D$1,[1]characters!$1:$1,0)-MATCH($C$1,[1]characters!$1:$1,0)+1,FALSE)</f>
        <v>護衛機人 スケアクロウ</v>
      </c>
      <c r="E52" s="9" t="str">
        <f ca="1">VLOOKUP($C52,OFFSET([1]characters!$A$1,0,0,COUNTA([1]characters!$A:$A),MATCH(E$1,[1]characters!$1:$1,0)-MATCH($C$1,[1]characters!$1:$1,0)+1),MATCH(E$1,[1]characters!$1:$1,0)-MATCH($C$1,[1]characters!$1:$1,0)+1,FALSE)</f>
        <v>Drop1N</v>
      </c>
      <c r="F52" s="9">
        <f ca="1">VLOOKUP($C52,OFFSET([1]characters!$A$1,0,0,COUNTA([1]characters!$A:$A),MATCH(F$1,[1]characters!$1:$1,0)-MATCH($C$1,[1]characters!$1:$1,0)+1),MATCH(F$1,[1]characters!$1:$1,0)-MATCH($C$1,[1]characters!$1:$1,0)+1,FALSE)</f>
        <v>2</v>
      </c>
      <c r="G52" s="9" t="str">
        <f ca="1">VLOOKUP($C52,OFFSET([1]characters!$A$1,0,0,COUNTA([1]characters!$A:$A),MATCH(G$1,[1]characters!$1:$1,0)-MATCH($C$1,[1]characters!$1:$1,0)+1),MATCH(G$1,[1]characters!$1:$1,0)-MATCH($C$1,[1]characters!$1:$1,0)+1,FALSE)</f>
        <v>blue</v>
      </c>
      <c r="H52" s="9" t="str">
        <f>VLOOKUP(C52,[1]characters!$A:$K,11,FALSE)</f>
        <v>heal</v>
      </c>
      <c r="I52" s="9" t="str">
        <f>VLOOKUP(C52,[1]characters!$A:$M,13,FALSE)</f>
        <v>machine</v>
      </c>
      <c r="J52" s="6">
        <v>0</v>
      </c>
      <c r="K52" s="21">
        <f t="shared" si="1"/>
        <v>0</v>
      </c>
      <c r="L52" s="28">
        <f>IFERROR(VLOOKUP($C52,bug_conf_sheet!$A:$H,3,FALSE),VLOOKUP("other",bug_conf_sheet!$A:$H,3,FALSE))</f>
        <v>1</v>
      </c>
      <c r="M52" s="28">
        <f>IFERROR(VLOOKUP($C52,bug_conf_sheet!$A:$H,4,FALSE),VLOOKUP("other",bug_conf_sheet!$A:$H,4,FALSE))</f>
        <v>0</v>
      </c>
      <c r="N52" s="28">
        <f>IFERROR(VLOOKUP($C52,bug_conf_sheet!$A:$H,5,FALSE),VLOOKUP("other",bug_conf_sheet!$A:$H,5,FALSE))</f>
        <v>0</v>
      </c>
      <c r="O52" s="28">
        <f>IFERROR(VLOOKUP($C52,bug_conf_sheet!$A:$H,6,FALSE),VLOOKUP("other",bug_conf_sheet!$A:$H,6,FALSE))</f>
        <v>0</v>
      </c>
      <c r="P52" s="28">
        <f>IFERROR(VLOOKUP($C52,bug_conf_sheet!$A:$H,7,FALSE),VLOOKUP("other",bug_conf_sheet!$A:$H,7,FALSE))</f>
        <v>0</v>
      </c>
      <c r="Q52" s="28">
        <f>IFERROR(VLOOKUP($C52,bug_conf_sheet!$A:$H,8,FALSE),VLOOKUP("other",bug_conf_sheet!$A:$H,8,FALSE))</f>
        <v>1</v>
      </c>
    </row>
    <row r="53" spans="1:17" ht="21" customHeight="1">
      <c r="A53" s="8" t="str">
        <f t="shared" si="2"/>
        <v>206_32_1</v>
      </c>
      <c r="B53" s="5">
        <v>206</v>
      </c>
      <c r="C53" s="7">
        <v>32</v>
      </c>
      <c r="D53" s="9" t="str">
        <f ca="1">VLOOKUP($C53,OFFSET([1]characters!$A$1,0,0,COUNTA([1]characters!$A:$A),MATCH(D$1,[1]characters!$1:$1,0)-MATCH($C$1,[1]characters!$1:$1,0)+1),MATCH(D$1,[1]characters!$1:$1,0)-MATCH($C$1,[1]characters!$1:$1,0)+1,FALSE)</f>
        <v>沈黙のジャミング マービー</v>
      </c>
      <c r="E53" s="9" t="str">
        <f ca="1">VLOOKUP($C53,OFFSET([1]characters!$A$1,0,0,COUNTA([1]characters!$A:$A),MATCH(E$1,[1]characters!$1:$1,0)-MATCH($C$1,[1]characters!$1:$1,0)+1),MATCH(E$1,[1]characters!$1:$1,0)-MATCH($C$1,[1]characters!$1:$1,0)+1,FALSE)</f>
        <v>Drop1N</v>
      </c>
      <c r="F53" s="9">
        <f ca="1">VLOOKUP($C53,OFFSET([1]characters!$A$1,0,0,COUNTA([1]characters!$A:$A),MATCH(F$1,[1]characters!$1:$1,0)-MATCH($C$1,[1]characters!$1:$1,0)+1),MATCH(F$1,[1]characters!$1:$1,0)-MATCH($C$1,[1]characters!$1:$1,0)+1,FALSE)</f>
        <v>2</v>
      </c>
      <c r="G53" s="9" t="str">
        <f ca="1">VLOOKUP($C53,OFFSET([1]characters!$A$1,0,0,COUNTA([1]characters!$A:$A),MATCH(G$1,[1]characters!$1:$1,0)-MATCH($C$1,[1]characters!$1:$1,0)+1),MATCH(G$1,[1]characters!$1:$1,0)-MATCH($C$1,[1]characters!$1:$1,0)+1,FALSE)</f>
        <v>yellow</v>
      </c>
      <c r="H53" s="9" t="str">
        <f>VLOOKUP(C53,[1]characters!$A:$K,11,FALSE)</f>
        <v>technical</v>
      </c>
      <c r="I53" s="9" t="str">
        <f>VLOOKUP(C53,[1]characters!$A:$M,13,FALSE)</f>
        <v>machine</v>
      </c>
      <c r="J53" s="6">
        <v>0</v>
      </c>
      <c r="K53" s="21">
        <f t="shared" si="1"/>
        <v>0</v>
      </c>
      <c r="L53" s="28">
        <f>IFERROR(VLOOKUP($C53,bug_conf_sheet!$A:$H,3,FALSE),VLOOKUP("other",bug_conf_sheet!$A:$H,3,FALSE))</f>
        <v>1</v>
      </c>
      <c r="M53" s="28">
        <f>IFERROR(VLOOKUP($C53,bug_conf_sheet!$A:$H,4,FALSE),VLOOKUP("other",bug_conf_sheet!$A:$H,4,FALSE))</f>
        <v>0</v>
      </c>
      <c r="N53" s="28">
        <f>IFERROR(VLOOKUP($C53,bug_conf_sheet!$A:$H,5,FALSE),VLOOKUP("other",bug_conf_sheet!$A:$H,5,FALSE))</f>
        <v>0</v>
      </c>
      <c r="O53" s="28">
        <f>IFERROR(VLOOKUP($C53,bug_conf_sheet!$A:$H,6,FALSE),VLOOKUP("other",bug_conf_sheet!$A:$H,6,FALSE))</f>
        <v>0</v>
      </c>
      <c r="P53" s="28">
        <f>IFERROR(VLOOKUP($C53,bug_conf_sheet!$A:$H,7,FALSE),VLOOKUP("other",bug_conf_sheet!$A:$H,7,FALSE))</f>
        <v>0</v>
      </c>
      <c r="Q53" s="28">
        <f>IFERROR(VLOOKUP($C53,bug_conf_sheet!$A:$H,8,FALSE),VLOOKUP("other",bug_conf_sheet!$A:$H,8,FALSE))</f>
        <v>1</v>
      </c>
    </row>
    <row r="54" spans="1:17" ht="21" customHeight="1">
      <c r="A54" s="8" t="str">
        <f t="shared" si="2"/>
        <v>206_77_1</v>
      </c>
      <c r="B54" s="5">
        <v>206</v>
      </c>
      <c r="C54" s="7">
        <v>77</v>
      </c>
      <c r="D54" s="9" t="str">
        <f ca="1">VLOOKUP($C54,OFFSET([1]characters!$A$1,0,0,COUNTA([1]characters!$A:$A),MATCH(D$1,[1]characters!$1:$1,0)-MATCH($C$1,[1]characters!$1:$1,0)+1),MATCH(D$1,[1]characters!$1:$1,0)-MATCH($C$1,[1]characters!$1:$1,0)+1,FALSE)</f>
        <v>潜伏型メリッサ</v>
      </c>
      <c r="E54" s="9" t="str">
        <f ca="1">VLOOKUP($C54,OFFSET([1]characters!$A$1,0,0,COUNTA([1]characters!$A:$A),MATCH(E$1,[1]characters!$1:$1,0)-MATCH($C$1,[1]characters!$1:$1,0)+1),MATCH(E$1,[1]characters!$1:$1,0)-MATCH($C$1,[1]characters!$1:$1,0)+1,FALSE)</f>
        <v>PremiumW</v>
      </c>
      <c r="F54" s="9">
        <f ca="1">VLOOKUP($C54,OFFSET([1]characters!$A$1,0,0,COUNTA([1]characters!$A:$A),MATCH(F$1,[1]characters!$1:$1,0)-MATCH($C$1,[1]characters!$1:$1,0)+1),MATCH(F$1,[1]characters!$1:$1,0)-MATCH($C$1,[1]characters!$1:$1,0)+1,FALSE)</f>
        <v>3</v>
      </c>
      <c r="G54" s="9" t="str">
        <f ca="1">VLOOKUP($C54,OFFSET([1]characters!$A$1,0,0,COUNTA([1]characters!$A:$A),MATCH(G$1,[1]characters!$1:$1,0)-MATCH($C$1,[1]characters!$1:$1,0)+1),MATCH(G$1,[1]characters!$1:$1,0)-MATCH($C$1,[1]characters!$1:$1,0)+1,FALSE)</f>
        <v>red</v>
      </c>
      <c r="H54" s="9" t="str">
        <f>VLOOKUP(C54,[1]characters!$A:$K,11,FALSE)</f>
        <v>technical</v>
      </c>
      <c r="I54" s="9" t="str">
        <f>VLOOKUP(C54,[1]characters!$A:$M,13,FALSE)</f>
        <v>unknown</v>
      </c>
      <c r="J54" s="6">
        <v>0</v>
      </c>
      <c r="K54" s="21">
        <f t="shared" si="1"/>
        <v>0</v>
      </c>
      <c r="L54" s="28">
        <f>IFERROR(VLOOKUP($C54,bug_conf_sheet!$A:$H,3,FALSE),VLOOKUP("other",bug_conf_sheet!$A:$H,3,FALSE))</f>
        <v>1</v>
      </c>
      <c r="M54" s="28">
        <f>IFERROR(VLOOKUP($C54,bug_conf_sheet!$A:$H,4,FALSE),VLOOKUP("other",bug_conf_sheet!$A:$H,4,FALSE))</f>
        <v>0</v>
      </c>
      <c r="N54" s="28">
        <f>IFERROR(VLOOKUP($C54,bug_conf_sheet!$A:$H,5,FALSE),VLOOKUP("other",bug_conf_sheet!$A:$H,5,FALSE))</f>
        <v>0</v>
      </c>
      <c r="O54" s="28">
        <f>IFERROR(VLOOKUP($C54,bug_conf_sheet!$A:$H,6,FALSE),VLOOKUP("other",bug_conf_sheet!$A:$H,6,FALSE))</f>
        <v>0</v>
      </c>
      <c r="P54" s="28">
        <f>IFERROR(VLOOKUP($C54,bug_conf_sheet!$A:$H,7,FALSE),VLOOKUP("other",bug_conf_sheet!$A:$H,7,FALSE))</f>
        <v>0</v>
      </c>
      <c r="Q54" s="28">
        <f>IFERROR(VLOOKUP($C54,bug_conf_sheet!$A:$H,8,FALSE),VLOOKUP("other",bug_conf_sheet!$A:$H,8,FALSE))</f>
        <v>1</v>
      </c>
    </row>
    <row r="55" spans="1:17" ht="21" customHeight="1">
      <c r="A55" s="8" t="str">
        <f t="shared" si="2"/>
        <v>206_79_1</v>
      </c>
      <c r="B55" s="5">
        <v>206</v>
      </c>
      <c r="C55" s="7">
        <v>79</v>
      </c>
      <c r="D55" s="9" t="str">
        <f ca="1">VLOOKUP($C55,OFFSET([1]characters!$A$1,0,0,COUNTA([1]characters!$A:$A),MATCH(D$1,[1]characters!$1:$1,0)-MATCH($C$1,[1]characters!$1:$1,0)+1),MATCH(D$1,[1]characters!$1:$1,0)-MATCH($C$1,[1]characters!$1:$1,0)+1,FALSE)</f>
        <v>ハッピー100</v>
      </c>
      <c r="E55" s="9" t="str">
        <f ca="1">VLOOKUP($C55,OFFSET([1]characters!$A$1,0,0,COUNTA([1]characters!$A:$A),MATCH(E$1,[1]characters!$1:$1,0)-MATCH($C$1,[1]characters!$1:$1,0)+1),MATCH(E$1,[1]characters!$1:$1,0)-MATCH($C$1,[1]characters!$1:$1,0)+1,FALSE)</f>
        <v>PremiumW</v>
      </c>
      <c r="F55" s="9">
        <f ca="1">VLOOKUP($C55,OFFSET([1]characters!$A$1,0,0,COUNTA([1]characters!$A:$A),MATCH(F$1,[1]characters!$1:$1,0)-MATCH($C$1,[1]characters!$1:$1,0)+1),MATCH(F$1,[1]characters!$1:$1,0)-MATCH($C$1,[1]characters!$1:$1,0)+1,FALSE)</f>
        <v>3</v>
      </c>
      <c r="G55" s="9" t="str">
        <f ca="1">VLOOKUP($C55,OFFSET([1]characters!$A$1,0,0,COUNTA([1]characters!$A:$A),MATCH(G$1,[1]characters!$1:$1,0)-MATCH($C$1,[1]characters!$1:$1,0)+1),MATCH(G$1,[1]characters!$1:$1,0)-MATCH($C$1,[1]characters!$1:$1,0)+1,FALSE)</f>
        <v>green</v>
      </c>
      <c r="H55" s="9" t="str">
        <f>VLOOKUP(C55,[1]characters!$A:$K,11,FALSE)</f>
        <v>heal</v>
      </c>
      <c r="I55" s="9" t="str">
        <f>VLOOKUP(C55,[1]characters!$A:$M,13,FALSE)</f>
        <v>unknown</v>
      </c>
      <c r="J55" s="6">
        <v>0</v>
      </c>
      <c r="K55" s="21">
        <f t="shared" si="1"/>
        <v>0</v>
      </c>
      <c r="L55" s="28">
        <f>IFERROR(VLOOKUP($C55,bug_conf_sheet!$A:$H,3,FALSE),VLOOKUP("other",bug_conf_sheet!$A:$H,3,FALSE))</f>
        <v>1</v>
      </c>
      <c r="M55" s="28">
        <f>IFERROR(VLOOKUP($C55,bug_conf_sheet!$A:$H,4,FALSE),VLOOKUP("other",bug_conf_sheet!$A:$H,4,FALSE))</f>
        <v>0</v>
      </c>
      <c r="N55" s="28">
        <f>IFERROR(VLOOKUP($C55,bug_conf_sheet!$A:$H,5,FALSE),VLOOKUP("other",bug_conf_sheet!$A:$H,5,FALSE))</f>
        <v>0</v>
      </c>
      <c r="O55" s="28">
        <f>IFERROR(VLOOKUP($C55,bug_conf_sheet!$A:$H,6,FALSE),VLOOKUP("other",bug_conf_sheet!$A:$H,6,FALSE))</f>
        <v>0</v>
      </c>
      <c r="P55" s="28">
        <f>IFERROR(VLOOKUP($C55,bug_conf_sheet!$A:$H,7,FALSE),VLOOKUP("other",bug_conf_sheet!$A:$H,7,FALSE))</f>
        <v>0</v>
      </c>
      <c r="Q55" s="28">
        <f>IFERROR(VLOOKUP($C55,bug_conf_sheet!$A:$H,8,FALSE),VLOOKUP("other",bug_conf_sheet!$A:$H,8,FALSE))</f>
        <v>1</v>
      </c>
    </row>
    <row r="56" spans="1:17" ht="21" customHeight="1">
      <c r="A56" s="8" t="str">
        <f t="shared" si="2"/>
        <v>206_81_1</v>
      </c>
      <c r="B56" s="5">
        <v>206</v>
      </c>
      <c r="C56" s="7">
        <v>81</v>
      </c>
      <c r="D56" s="9" t="str">
        <f ca="1">VLOOKUP($C56,OFFSET([1]characters!$A$1,0,0,COUNTA([1]characters!$A:$A),MATCH(D$1,[1]characters!$1:$1,0)-MATCH($C$1,[1]characters!$1:$1,0)+1),MATCH(D$1,[1]characters!$1:$1,0)-MATCH($C$1,[1]characters!$1:$1,0)+1,FALSE)</f>
        <v>増幅型モリス</v>
      </c>
      <c r="E56" s="9" t="str">
        <f ca="1">VLOOKUP($C56,OFFSET([1]characters!$A$1,0,0,COUNTA([1]characters!$A:$A),MATCH(E$1,[1]characters!$1:$1,0)-MATCH($C$1,[1]characters!$1:$1,0)+1),MATCH(E$1,[1]characters!$1:$1,0)-MATCH($C$1,[1]characters!$1:$1,0)+1,FALSE)</f>
        <v>PremiumW</v>
      </c>
      <c r="F56" s="9">
        <f ca="1">VLOOKUP($C56,OFFSET([1]characters!$A$1,0,0,COUNTA([1]characters!$A:$A),MATCH(F$1,[1]characters!$1:$1,0)-MATCH($C$1,[1]characters!$1:$1,0)+1),MATCH(F$1,[1]characters!$1:$1,0)-MATCH($C$1,[1]characters!$1:$1,0)+1,FALSE)</f>
        <v>3</v>
      </c>
      <c r="G56" s="9" t="str">
        <f ca="1">VLOOKUP($C56,OFFSET([1]characters!$A$1,0,0,COUNTA([1]characters!$A:$A),MATCH(G$1,[1]characters!$1:$1,0)-MATCH($C$1,[1]characters!$1:$1,0)+1),MATCH(G$1,[1]characters!$1:$1,0)-MATCH($C$1,[1]characters!$1:$1,0)+1,FALSE)</f>
        <v>blue</v>
      </c>
      <c r="H56" s="9" t="str">
        <f>VLOOKUP(C56,[1]characters!$A:$K,11,FALSE)</f>
        <v>balance</v>
      </c>
      <c r="I56" s="9" t="str">
        <f>VLOOKUP(C56,[1]characters!$A:$M,13,FALSE)</f>
        <v>unknown</v>
      </c>
      <c r="J56" s="6">
        <v>0</v>
      </c>
      <c r="K56" s="21">
        <f t="shared" si="1"/>
        <v>0</v>
      </c>
      <c r="L56" s="28">
        <f>IFERROR(VLOOKUP($C56,bug_conf_sheet!$A:$H,3,FALSE),VLOOKUP("other",bug_conf_sheet!$A:$H,3,FALSE))</f>
        <v>1</v>
      </c>
      <c r="M56" s="28">
        <f>IFERROR(VLOOKUP($C56,bug_conf_sheet!$A:$H,4,FALSE),VLOOKUP("other",bug_conf_sheet!$A:$H,4,FALSE))</f>
        <v>0</v>
      </c>
      <c r="N56" s="28">
        <f>IFERROR(VLOOKUP($C56,bug_conf_sheet!$A:$H,5,FALSE),VLOOKUP("other",bug_conf_sheet!$A:$H,5,FALSE))</f>
        <v>0</v>
      </c>
      <c r="O56" s="28">
        <f>IFERROR(VLOOKUP($C56,bug_conf_sheet!$A:$H,6,FALSE),VLOOKUP("other",bug_conf_sheet!$A:$H,6,FALSE))</f>
        <v>0</v>
      </c>
      <c r="P56" s="28">
        <f>IFERROR(VLOOKUP($C56,bug_conf_sheet!$A:$H,7,FALSE),VLOOKUP("other",bug_conf_sheet!$A:$H,7,FALSE))</f>
        <v>0</v>
      </c>
      <c r="Q56" s="28">
        <f>IFERROR(VLOOKUP($C56,bug_conf_sheet!$A:$H,8,FALSE),VLOOKUP("other",bug_conf_sheet!$A:$H,8,FALSE))</f>
        <v>1</v>
      </c>
    </row>
    <row r="57" spans="1:17" ht="21" customHeight="1">
      <c r="A57" s="8" t="str">
        <f t="shared" si="2"/>
        <v>206_83_1</v>
      </c>
      <c r="B57" s="5">
        <v>206</v>
      </c>
      <c r="C57" s="7">
        <v>83</v>
      </c>
      <c r="D57" s="9" t="str">
        <f ca="1">VLOOKUP($C57,OFFSET([1]characters!$A$1,0,0,COUNTA([1]characters!$A:$A),MATCH(D$1,[1]characters!$1:$1,0)-MATCH($C$1,[1]characters!$1:$1,0)+1),MATCH(D$1,[1]characters!$1:$1,0)-MATCH($C$1,[1]characters!$1:$1,0)+1,FALSE)</f>
        <v>拡散性ニムダ</v>
      </c>
      <c r="E57" s="9" t="str">
        <f ca="1">VLOOKUP($C57,OFFSET([1]characters!$A$1,0,0,COUNTA([1]characters!$A:$A),MATCH(E$1,[1]characters!$1:$1,0)-MATCH($C$1,[1]characters!$1:$1,0)+1),MATCH(E$1,[1]characters!$1:$1,0)-MATCH($C$1,[1]characters!$1:$1,0)+1,FALSE)</f>
        <v>PremiumW</v>
      </c>
      <c r="F57" s="9">
        <f ca="1">VLOOKUP($C57,OFFSET([1]characters!$A$1,0,0,COUNTA([1]characters!$A:$A),MATCH(F$1,[1]characters!$1:$1,0)-MATCH($C$1,[1]characters!$1:$1,0)+1),MATCH(F$1,[1]characters!$1:$1,0)-MATCH($C$1,[1]characters!$1:$1,0)+1,FALSE)</f>
        <v>3</v>
      </c>
      <c r="G57" s="9" t="str">
        <f ca="1">VLOOKUP($C57,OFFSET([1]characters!$A$1,0,0,COUNTA([1]characters!$A:$A),MATCH(G$1,[1]characters!$1:$1,0)-MATCH($C$1,[1]characters!$1:$1,0)+1),MATCH(G$1,[1]characters!$1:$1,0)-MATCH($C$1,[1]characters!$1:$1,0)+1,FALSE)</f>
        <v>yellow</v>
      </c>
      <c r="H57" s="9" t="str">
        <f>VLOOKUP(C57,[1]characters!$A:$K,11,FALSE)</f>
        <v>heal</v>
      </c>
      <c r="I57" s="9" t="str">
        <f>VLOOKUP(C57,[1]characters!$A:$M,13,FALSE)</f>
        <v>unknown</v>
      </c>
      <c r="J57" s="6">
        <v>0</v>
      </c>
      <c r="K57" s="21">
        <f t="shared" si="1"/>
        <v>0</v>
      </c>
      <c r="L57" s="28">
        <f>IFERROR(VLOOKUP($C57,bug_conf_sheet!$A:$H,3,FALSE),VLOOKUP("other",bug_conf_sheet!$A:$H,3,FALSE))</f>
        <v>1</v>
      </c>
      <c r="M57" s="28">
        <f>IFERROR(VLOOKUP($C57,bug_conf_sheet!$A:$H,4,FALSE),VLOOKUP("other",bug_conf_sheet!$A:$H,4,FALSE))</f>
        <v>0</v>
      </c>
      <c r="N57" s="28">
        <f>IFERROR(VLOOKUP($C57,bug_conf_sheet!$A:$H,5,FALSE),VLOOKUP("other",bug_conf_sheet!$A:$H,5,FALSE))</f>
        <v>0</v>
      </c>
      <c r="O57" s="28">
        <f>IFERROR(VLOOKUP($C57,bug_conf_sheet!$A:$H,6,FALSE),VLOOKUP("other",bug_conf_sheet!$A:$H,6,FALSE))</f>
        <v>0</v>
      </c>
      <c r="P57" s="28">
        <f>IFERROR(VLOOKUP($C57,bug_conf_sheet!$A:$H,7,FALSE),VLOOKUP("other",bug_conf_sheet!$A:$H,7,FALSE))</f>
        <v>0</v>
      </c>
      <c r="Q57" s="28">
        <f>IFERROR(VLOOKUP($C57,bug_conf_sheet!$A:$H,8,FALSE),VLOOKUP("other",bug_conf_sheet!$A:$H,8,FALSE))</f>
        <v>1</v>
      </c>
    </row>
    <row r="58" spans="1:17" ht="21" customHeight="1">
      <c r="A58" s="8" t="str">
        <f t="shared" si="2"/>
        <v>206_85_1</v>
      </c>
      <c r="B58" s="5">
        <v>206</v>
      </c>
      <c r="C58" s="7">
        <v>85</v>
      </c>
      <c r="D58" s="9" t="str">
        <f ca="1">VLOOKUP($C58,OFFSET([1]characters!$A$1,0,0,COUNTA([1]characters!$A:$A),MATCH(D$1,[1]characters!$1:$1,0)-MATCH($C$1,[1]characters!$1:$1,0)+1),MATCH(D$1,[1]characters!$1:$1,0)-MATCH($C$1,[1]characters!$1:$1,0)+1,FALSE)</f>
        <v>朱雀</v>
      </c>
      <c r="E58" s="9" t="str">
        <f ca="1">VLOOKUP($C58,OFFSET([1]characters!$A$1,0,0,COUNTA([1]characters!$A:$A),MATCH(E$1,[1]characters!$1:$1,0)-MATCH($C$1,[1]characters!$1:$1,0)+1),MATCH(E$1,[1]characters!$1:$1,0)-MATCH($C$1,[1]characters!$1:$1,0)+1,FALSE)</f>
        <v>Drop2N</v>
      </c>
      <c r="F58" s="9">
        <f ca="1">VLOOKUP($C58,OFFSET([1]characters!$A$1,0,0,COUNTA([1]characters!$A:$A),MATCH(F$1,[1]characters!$1:$1,0)-MATCH($C$1,[1]characters!$1:$1,0)+1),MATCH(F$1,[1]characters!$1:$1,0)-MATCH($C$1,[1]characters!$1:$1,0)+1,FALSE)</f>
        <v>3</v>
      </c>
      <c r="G58" s="9" t="str">
        <f ca="1">VLOOKUP($C58,OFFSET([1]characters!$A$1,0,0,COUNTA([1]characters!$A:$A),MATCH(G$1,[1]characters!$1:$1,0)-MATCH($C$1,[1]characters!$1:$1,0)+1),MATCH(G$1,[1]characters!$1:$1,0)-MATCH($C$1,[1]characters!$1:$1,0)+1,FALSE)</f>
        <v>red</v>
      </c>
      <c r="H58" s="9" t="str">
        <f>VLOOKUP(C58,[1]characters!$A:$K,11,FALSE)</f>
        <v>balance</v>
      </c>
      <c r="I58" s="9" t="str">
        <f>VLOOKUP(C58,[1]characters!$A:$M,13,FALSE)</f>
        <v>animal</v>
      </c>
      <c r="J58" s="6">
        <v>888</v>
      </c>
      <c r="K58" s="21">
        <f t="shared" si="1"/>
        <v>1.3908031574990603E-2</v>
      </c>
      <c r="L58" s="28">
        <f>IFERROR(VLOOKUP($C58,bug_conf_sheet!$A:$H,3,FALSE),VLOOKUP("other",bug_conf_sheet!$A:$H,3,FALSE))</f>
        <v>1</v>
      </c>
      <c r="M58" s="28">
        <f>IFERROR(VLOOKUP($C58,bug_conf_sheet!$A:$H,4,FALSE),VLOOKUP("other",bug_conf_sheet!$A:$H,4,FALSE))</f>
        <v>0</v>
      </c>
      <c r="N58" s="28">
        <f>IFERROR(VLOOKUP($C58,bug_conf_sheet!$A:$H,5,FALSE),VLOOKUP("other",bug_conf_sheet!$A:$H,5,FALSE))</f>
        <v>0</v>
      </c>
      <c r="O58" s="28">
        <f>IFERROR(VLOOKUP($C58,bug_conf_sheet!$A:$H,6,FALSE),VLOOKUP("other",bug_conf_sheet!$A:$H,6,FALSE))</f>
        <v>0</v>
      </c>
      <c r="P58" s="28">
        <f>IFERROR(VLOOKUP($C58,bug_conf_sheet!$A:$H,7,FALSE),VLOOKUP("other",bug_conf_sheet!$A:$H,7,FALSE))</f>
        <v>0</v>
      </c>
      <c r="Q58" s="28">
        <f>IFERROR(VLOOKUP($C58,bug_conf_sheet!$A:$H,8,FALSE),VLOOKUP("other",bug_conf_sheet!$A:$H,8,FALSE))</f>
        <v>1</v>
      </c>
    </row>
    <row r="59" spans="1:17" ht="21" customHeight="1">
      <c r="A59" s="8" t="str">
        <f t="shared" si="2"/>
        <v>206_88_1</v>
      </c>
      <c r="B59" s="5">
        <v>206</v>
      </c>
      <c r="C59" s="7">
        <v>88</v>
      </c>
      <c r="D59" s="9" t="str">
        <f ca="1">VLOOKUP($C59,OFFSET([1]characters!$A$1,0,0,COUNTA([1]characters!$A:$A),MATCH(D$1,[1]characters!$1:$1,0)-MATCH($C$1,[1]characters!$1:$1,0)+1),MATCH(D$1,[1]characters!$1:$1,0)-MATCH($C$1,[1]characters!$1:$1,0)+1,FALSE)</f>
        <v>玄武</v>
      </c>
      <c r="E59" s="9" t="str">
        <f ca="1">VLOOKUP($C59,OFFSET([1]characters!$A$1,0,0,COUNTA([1]characters!$A:$A),MATCH(E$1,[1]characters!$1:$1,0)-MATCH($C$1,[1]characters!$1:$1,0)+1),MATCH(E$1,[1]characters!$1:$1,0)-MATCH($C$1,[1]characters!$1:$1,0)+1,FALSE)</f>
        <v>Drop2N</v>
      </c>
      <c r="F59" s="9">
        <f ca="1">VLOOKUP($C59,OFFSET([1]characters!$A$1,0,0,COUNTA([1]characters!$A:$A),MATCH(F$1,[1]characters!$1:$1,0)-MATCH($C$1,[1]characters!$1:$1,0)+1),MATCH(F$1,[1]characters!$1:$1,0)-MATCH($C$1,[1]characters!$1:$1,0)+1,FALSE)</f>
        <v>3</v>
      </c>
      <c r="G59" s="9" t="str">
        <f ca="1">VLOOKUP($C59,OFFSET([1]characters!$A$1,0,0,COUNTA([1]characters!$A:$A),MATCH(G$1,[1]characters!$1:$1,0)-MATCH($C$1,[1]characters!$1:$1,0)+1),MATCH(G$1,[1]characters!$1:$1,0)-MATCH($C$1,[1]characters!$1:$1,0)+1,FALSE)</f>
        <v>green</v>
      </c>
      <c r="H59" s="9" t="str">
        <f>VLOOKUP(C59,[1]characters!$A:$K,11,FALSE)</f>
        <v>technical</v>
      </c>
      <c r="I59" s="9" t="str">
        <f>VLOOKUP(C59,[1]characters!$A:$M,13,FALSE)</f>
        <v>dragon</v>
      </c>
      <c r="J59" s="6">
        <v>888</v>
      </c>
      <c r="K59" s="21">
        <f t="shared" si="1"/>
        <v>1.3908031574990603E-2</v>
      </c>
      <c r="L59" s="28">
        <f>IFERROR(VLOOKUP($C59,bug_conf_sheet!$A:$H,3,FALSE),VLOOKUP("other",bug_conf_sheet!$A:$H,3,FALSE))</f>
        <v>1</v>
      </c>
      <c r="M59" s="28">
        <f>IFERROR(VLOOKUP($C59,bug_conf_sheet!$A:$H,4,FALSE),VLOOKUP("other",bug_conf_sheet!$A:$H,4,FALSE))</f>
        <v>0</v>
      </c>
      <c r="N59" s="28">
        <f>IFERROR(VLOOKUP($C59,bug_conf_sheet!$A:$H,5,FALSE),VLOOKUP("other",bug_conf_sheet!$A:$H,5,FALSE))</f>
        <v>0</v>
      </c>
      <c r="O59" s="28">
        <f>IFERROR(VLOOKUP($C59,bug_conf_sheet!$A:$H,6,FALSE),VLOOKUP("other",bug_conf_sheet!$A:$H,6,FALSE))</f>
        <v>0</v>
      </c>
      <c r="P59" s="28">
        <f>IFERROR(VLOOKUP($C59,bug_conf_sheet!$A:$H,7,FALSE),VLOOKUP("other",bug_conf_sheet!$A:$H,7,FALSE))</f>
        <v>0</v>
      </c>
      <c r="Q59" s="28">
        <f>IFERROR(VLOOKUP($C59,bug_conf_sheet!$A:$H,8,FALSE),VLOOKUP("other",bug_conf_sheet!$A:$H,8,FALSE))</f>
        <v>1</v>
      </c>
    </row>
    <row r="60" spans="1:17" ht="21" customHeight="1">
      <c r="A60" s="8" t="str">
        <f t="shared" si="2"/>
        <v>206_91_1</v>
      </c>
      <c r="B60" s="5">
        <v>206</v>
      </c>
      <c r="C60" s="7">
        <v>91</v>
      </c>
      <c r="D60" s="9" t="str">
        <f ca="1">VLOOKUP($C60,OFFSET([1]characters!$A$1,0,0,COUNTA([1]characters!$A:$A),MATCH(D$1,[1]characters!$1:$1,0)-MATCH($C$1,[1]characters!$1:$1,0)+1),MATCH(D$1,[1]characters!$1:$1,0)-MATCH($C$1,[1]characters!$1:$1,0)+1,FALSE)</f>
        <v>青龍</v>
      </c>
      <c r="E60" s="9" t="str">
        <f ca="1">VLOOKUP($C60,OFFSET([1]characters!$A$1,0,0,COUNTA([1]characters!$A:$A),MATCH(E$1,[1]characters!$1:$1,0)-MATCH($C$1,[1]characters!$1:$1,0)+1),MATCH(E$1,[1]characters!$1:$1,0)-MATCH($C$1,[1]characters!$1:$1,0)+1,FALSE)</f>
        <v>Drop2N</v>
      </c>
      <c r="F60" s="9">
        <f ca="1">VLOOKUP($C60,OFFSET([1]characters!$A$1,0,0,COUNTA([1]characters!$A:$A),MATCH(F$1,[1]characters!$1:$1,0)-MATCH($C$1,[1]characters!$1:$1,0)+1),MATCH(F$1,[1]characters!$1:$1,0)-MATCH($C$1,[1]characters!$1:$1,0)+1,FALSE)</f>
        <v>3</v>
      </c>
      <c r="G60" s="9" t="str">
        <f ca="1">VLOOKUP($C60,OFFSET([1]characters!$A$1,0,0,COUNTA([1]characters!$A:$A),MATCH(G$1,[1]characters!$1:$1,0)-MATCH($C$1,[1]characters!$1:$1,0)+1),MATCH(G$1,[1]characters!$1:$1,0)-MATCH($C$1,[1]characters!$1:$1,0)+1,FALSE)</f>
        <v>blue</v>
      </c>
      <c r="H60" s="9" t="str">
        <f>VLOOKUP(C60,[1]characters!$A:$K,11,FALSE)</f>
        <v>balance</v>
      </c>
      <c r="I60" s="9" t="str">
        <f>VLOOKUP(C60,[1]characters!$A:$M,13,FALSE)</f>
        <v>dragon</v>
      </c>
      <c r="J60" s="6">
        <v>888</v>
      </c>
      <c r="K60" s="21">
        <f t="shared" si="1"/>
        <v>1.3908031574990603E-2</v>
      </c>
      <c r="L60" s="28">
        <f>IFERROR(VLOOKUP($C60,bug_conf_sheet!$A:$H,3,FALSE),VLOOKUP("other",bug_conf_sheet!$A:$H,3,FALSE))</f>
        <v>1</v>
      </c>
      <c r="M60" s="28">
        <f>IFERROR(VLOOKUP($C60,bug_conf_sheet!$A:$H,4,FALSE),VLOOKUP("other",bug_conf_sheet!$A:$H,4,FALSE))</f>
        <v>0</v>
      </c>
      <c r="N60" s="28">
        <f>IFERROR(VLOOKUP($C60,bug_conf_sheet!$A:$H,5,FALSE),VLOOKUP("other",bug_conf_sheet!$A:$H,5,FALSE))</f>
        <v>0</v>
      </c>
      <c r="O60" s="28">
        <f>IFERROR(VLOOKUP($C60,bug_conf_sheet!$A:$H,6,FALSE),VLOOKUP("other",bug_conf_sheet!$A:$H,6,FALSE))</f>
        <v>0</v>
      </c>
      <c r="P60" s="28">
        <f>IFERROR(VLOOKUP($C60,bug_conf_sheet!$A:$H,7,FALSE),VLOOKUP("other",bug_conf_sheet!$A:$H,7,FALSE))</f>
        <v>0</v>
      </c>
      <c r="Q60" s="28">
        <f>IFERROR(VLOOKUP($C60,bug_conf_sheet!$A:$H,8,FALSE),VLOOKUP("other",bug_conf_sheet!$A:$H,8,FALSE))</f>
        <v>1</v>
      </c>
    </row>
    <row r="61" spans="1:17" ht="21" customHeight="1">
      <c r="A61" s="8" t="str">
        <f t="shared" si="2"/>
        <v>206_94_1</v>
      </c>
      <c r="B61" s="5">
        <v>206</v>
      </c>
      <c r="C61" s="7">
        <v>94</v>
      </c>
      <c r="D61" s="9" t="str">
        <f ca="1">VLOOKUP($C61,OFFSET([1]characters!$A$1,0,0,COUNTA([1]characters!$A:$A),MATCH(D$1,[1]characters!$1:$1,0)-MATCH($C$1,[1]characters!$1:$1,0)+1),MATCH(D$1,[1]characters!$1:$1,0)-MATCH($C$1,[1]characters!$1:$1,0)+1,FALSE)</f>
        <v>白虎</v>
      </c>
      <c r="E61" s="9" t="str">
        <f ca="1">VLOOKUP($C61,OFFSET([1]characters!$A$1,0,0,COUNTA([1]characters!$A:$A),MATCH(E$1,[1]characters!$1:$1,0)-MATCH($C$1,[1]characters!$1:$1,0)+1),MATCH(E$1,[1]characters!$1:$1,0)-MATCH($C$1,[1]characters!$1:$1,0)+1,FALSE)</f>
        <v>Drop2N</v>
      </c>
      <c r="F61" s="9">
        <f ca="1">VLOOKUP($C61,OFFSET([1]characters!$A$1,0,0,COUNTA([1]characters!$A:$A),MATCH(F$1,[1]characters!$1:$1,0)-MATCH($C$1,[1]characters!$1:$1,0)+1),MATCH(F$1,[1]characters!$1:$1,0)-MATCH($C$1,[1]characters!$1:$1,0)+1,FALSE)</f>
        <v>3</v>
      </c>
      <c r="G61" s="9" t="str">
        <f ca="1">VLOOKUP($C61,OFFSET([1]characters!$A$1,0,0,COUNTA([1]characters!$A:$A),MATCH(G$1,[1]characters!$1:$1,0)-MATCH($C$1,[1]characters!$1:$1,0)+1),MATCH(G$1,[1]characters!$1:$1,0)-MATCH($C$1,[1]characters!$1:$1,0)+1,FALSE)</f>
        <v>yellow</v>
      </c>
      <c r="H61" s="9" t="str">
        <f>VLOOKUP(C61,[1]characters!$A:$K,11,FALSE)</f>
        <v>attack</v>
      </c>
      <c r="I61" s="9" t="str">
        <f>VLOOKUP(C61,[1]characters!$A:$M,13,FALSE)</f>
        <v>animal</v>
      </c>
      <c r="J61" s="6">
        <v>888</v>
      </c>
      <c r="K61" s="21">
        <f t="shared" si="1"/>
        <v>1.3908031574990603E-2</v>
      </c>
      <c r="L61" s="28">
        <f>IFERROR(VLOOKUP($C61,bug_conf_sheet!$A:$H,3,FALSE),VLOOKUP("other",bug_conf_sheet!$A:$H,3,FALSE))</f>
        <v>1</v>
      </c>
      <c r="M61" s="28">
        <f>IFERROR(VLOOKUP($C61,bug_conf_sheet!$A:$H,4,FALSE),VLOOKUP("other",bug_conf_sheet!$A:$H,4,FALSE))</f>
        <v>0</v>
      </c>
      <c r="N61" s="28">
        <f>IFERROR(VLOOKUP($C61,bug_conf_sheet!$A:$H,5,FALSE),VLOOKUP("other",bug_conf_sheet!$A:$H,5,FALSE))</f>
        <v>0</v>
      </c>
      <c r="O61" s="28">
        <f>IFERROR(VLOOKUP($C61,bug_conf_sheet!$A:$H,6,FALSE),VLOOKUP("other",bug_conf_sheet!$A:$H,6,FALSE))</f>
        <v>0</v>
      </c>
      <c r="P61" s="28">
        <f>IFERROR(VLOOKUP($C61,bug_conf_sheet!$A:$H,7,FALSE),VLOOKUP("other",bug_conf_sheet!$A:$H,7,FALSE))</f>
        <v>0</v>
      </c>
      <c r="Q61" s="28">
        <f>IFERROR(VLOOKUP($C61,bug_conf_sheet!$A:$H,8,FALSE),VLOOKUP("other",bug_conf_sheet!$A:$H,8,FALSE))</f>
        <v>1</v>
      </c>
    </row>
    <row r="62" spans="1:17" ht="21" customHeight="1">
      <c r="A62" s="8" t="str">
        <f t="shared" si="2"/>
        <v>206_332_1</v>
      </c>
      <c r="B62" s="5">
        <v>206</v>
      </c>
      <c r="C62" s="7">
        <v>332</v>
      </c>
      <c r="D62" s="9" t="str">
        <f ca="1">VLOOKUP($C62,OFFSET([1]characters!$A$1,0,0,COUNTA([1]characters!$A:$A),MATCH(D$1,[1]characters!$1:$1,0)-MATCH($C$1,[1]characters!$1:$1,0)+1),MATCH(D$1,[1]characters!$1:$1,0)-MATCH($C$1,[1]characters!$1:$1,0)+1,FALSE)</f>
        <v>炎のメタルピヨピヨ</v>
      </c>
      <c r="E62" s="9" t="str">
        <f ca="1">VLOOKUP($C62,OFFSET([1]characters!$A$1,0,0,COUNTA([1]characters!$A:$A),MATCH(E$1,[1]characters!$1:$1,0)-MATCH($C$1,[1]characters!$1:$1,0)+1),MATCH(E$1,[1]characters!$1:$1,0)-MATCH($C$1,[1]characters!$1:$1,0)+1,FALSE)</f>
        <v>Material</v>
      </c>
      <c r="F62" s="9">
        <f ca="1">VLOOKUP($C62,OFFSET([1]characters!$A$1,0,0,COUNTA([1]characters!$A:$A),MATCH(F$1,[1]characters!$1:$1,0)-MATCH($C$1,[1]characters!$1:$1,0)+1),MATCH(F$1,[1]characters!$1:$1,0)-MATCH($C$1,[1]characters!$1:$1,0)+1,FALSE)</f>
        <v>3</v>
      </c>
      <c r="G62" s="9" t="str">
        <f ca="1">VLOOKUP($C62,OFFSET([1]characters!$A$1,0,0,COUNTA([1]characters!$A:$A),MATCH(G$1,[1]characters!$1:$1,0)-MATCH($C$1,[1]characters!$1:$1,0)+1),MATCH(G$1,[1]characters!$1:$1,0)-MATCH($C$1,[1]characters!$1:$1,0)+1,FALSE)</f>
        <v>red</v>
      </c>
      <c r="H62" s="9" t="str">
        <f>VLOOKUP(C62,[1]characters!$A:$K,11,FALSE)</f>
        <v>exp</v>
      </c>
      <c r="I62" s="9" t="str">
        <f>VLOOKUP(C62,[1]characters!$A:$M,13,FALSE)</f>
        <v>unknown</v>
      </c>
      <c r="J62" s="6">
        <v>500</v>
      </c>
      <c r="K62" s="21">
        <f t="shared" si="1"/>
        <v>7.8310988597920066E-3</v>
      </c>
      <c r="L62" s="28">
        <f>IFERROR(VLOOKUP($C62,bug_conf_sheet!$A:$H,3,FALSE),VLOOKUP("other",bug_conf_sheet!$A:$H,3,FALSE))</f>
        <v>1</v>
      </c>
      <c r="M62" s="28">
        <f>IFERROR(VLOOKUP($C62,bug_conf_sheet!$A:$H,4,FALSE),VLOOKUP("other",bug_conf_sheet!$A:$H,4,FALSE))</f>
        <v>0</v>
      </c>
      <c r="N62" s="28">
        <f>IFERROR(VLOOKUP($C62,bug_conf_sheet!$A:$H,5,FALSE),VLOOKUP("other",bug_conf_sheet!$A:$H,5,FALSE))</f>
        <v>0</v>
      </c>
      <c r="O62" s="28">
        <f>IFERROR(VLOOKUP($C62,bug_conf_sheet!$A:$H,6,FALSE),VLOOKUP("other",bug_conf_sheet!$A:$H,6,FALSE))</f>
        <v>0</v>
      </c>
      <c r="P62" s="28">
        <f>IFERROR(VLOOKUP($C62,bug_conf_sheet!$A:$H,7,FALSE),VLOOKUP("other",bug_conf_sheet!$A:$H,7,FALSE))</f>
        <v>0</v>
      </c>
      <c r="Q62" s="28">
        <f>IFERROR(VLOOKUP($C62,bug_conf_sheet!$A:$H,8,FALSE),VLOOKUP("other",bug_conf_sheet!$A:$H,8,FALSE))</f>
        <v>1</v>
      </c>
    </row>
    <row r="63" spans="1:17" ht="21" customHeight="1">
      <c r="A63" s="8" t="str">
        <f t="shared" si="2"/>
        <v>206_336_1</v>
      </c>
      <c r="B63" s="5">
        <v>206</v>
      </c>
      <c r="C63" s="7">
        <v>336</v>
      </c>
      <c r="D63" s="9" t="str">
        <f ca="1">VLOOKUP($C63,OFFSET([1]characters!$A$1,0,0,COUNTA([1]characters!$A:$A),MATCH(D$1,[1]characters!$1:$1,0)-MATCH($C$1,[1]characters!$1:$1,0)+1),MATCH(D$1,[1]characters!$1:$1,0)-MATCH($C$1,[1]characters!$1:$1,0)+1,FALSE)</f>
        <v>森のメタルピヨピヨ</v>
      </c>
      <c r="E63" s="9" t="str">
        <f ca="1">VLOOKUP($C63,OFFSET([1]characters!$A$1,0,0,COUNTA([1]characters!$A:$A),MATCH(E$1,[1]characters!$1:$1,0)-MATCH($C$1,[1]characters!$1:$1,0)+1),MATCH(E$1,[1]characters!$1:$1,0)-MATCH($C$1,[1]characters!$1:$1,0)+1,FALSE)</f>
        <v>Material</v>
      </c>
      <c r="F63" s="9">
        <f ca="1">VLOOKUP($C63,OFFSET([1]characters!$A$1,0,0,COUNTA([1]characters!$A:$A),MATCH(F$1,[1]characters!$1:$1,0)-MATCH($C$1,[1]characters!$1:$1,0)+1),MATCH(F$1,[1]characters!$1:$1,0)-MATCH($C$1,[1]characters!$1:$1,0)+1,FALSE)</f>
        <v>3</v>
      </c>
      <c r="G63" s="9" t="str">
        <f ca="1">VLOOKUP($C63,OFFSET([1]characters!$A$1,0,0,COUNTA([1]characters!$A:$A),MATCH(G$1,[1]characters!$1:$1,0)-MATCH($C$1,[1]characters!$1:$1,0)+1),MATCH(G$1,[1]characters!$1:$1,0)-MATCH($C$1,[1]characters!$1:$1,0)+1,FALSE)</f>
        <v>green</v>
      </c>
      <c r="H63" s="9" t="str">
        <f>VLOOKUP(C63,[1]characters!$A:$K,11,FALSE)</f>
        <v>exp</v>
      </c>
      <c r="I63" s="9" t="str">
        <f>VLOOKUP(C63,[1]characters!$A:$M,13,FALSE)</f>
        <v>unknown</v>
      </c>
      <c r="J63" s="6">
        <v>500</v>
      </c>
      <c r="K63" s="21">
        <f t="shared" si="1"/>
        <v>7.8310988597920066E-3</v>
      </c>
      <c r="L63" s="28">
        <f>IFERROR(VLOOKUP($C63,bug_conf_sheet!$A:$H,3,FALSE),VLOOKUP("other",bug_conf_sheet!$A:$H,3,FALSE))</f>
        <v>1</v>
      </c>
      <c r="M63" s="28">
        <f>IFERROR(VLOOKUP($C63,bug_conf_sheet!$A:$H,4,FALSE),VLOOKUP("other",bug_conf_sheet!$A:$H,4,FALSE))</f>
        <v>0</v>
      </c>
      <c r="N63" s="28">
        <f>IFERROR(VLOOKUP($C63,bug_conf_sheet!$A:$H,5,FALSE),VLOOKUP("other",bug_conf_sheet!$A:$H,5,FALSE))</f>
        <v>0</v>
      </c>
      <c r="O63" s="28">
        <f>IFERROR(VLOOKUP($C63,bug_conf_sheet!$A:$H,6,FALSE),VLOOKUP("other",bug_conf_sheet!$A:$H,6,FALSE))</f>
        <v>0</v>
      </c>
      <c r="P63" s="28">
        <f>IFERROR(VLOOKUP($C63,bug_conf_sheet!$A:$H,7,FALSE),VLOOKUP("other",bug_conf_sheet!$A:$H,7,FALSE))</f>
        <v>0</v>
      </c>
      <c r="Q63" s="28">
        <f>IFERROR(VLOOKUP($C63,bug_conf_sheet!$A:$H,8,FALSE),VLOOKUP("other",bug_conf_sheet!$A:$H,8,FALSE))</f>
        <v>1</v>
      </c>
    </row>
    <row r="64" spans="1:17" ht="21" customHeight="1">
      <c r="A64" s="8" t="str">
        <f t="shared" si="2"/>
        <v>206_340_1</v>
      </c>
      <c r="B64" s="5">
        <v>206</v>
      </c>
      <c r="C64" s="7">
        <v>340</v>
      </c>
      <c r="D64" s="9" t="str">
        <f ca="1">VLOOKUP($C64,OFFSET([1]characters!$A$1,0,0,COUNTA([1]characters!$A:$A),MATCH(D$1,[1]characters!$1:$1,0)-MATCH($C$1,[1]characters!$1:$1,0)+1),MATCH(D$1,[1]characters!$1:$1,0)-MATCH($C$1,[1]characters!$1:$1,0)+1,FALSE)</f>
        <v>水のメタルピヨピヨ</v>
      </c>
      <c r="E64" s="9" t="str">
        <f ca="1">VLOOKUP($C64,OFFSET([1]characters!$A$1,0,0,COUNTA([1]characters!$A:$A),MATCH(E$1,[1]characters!$1:$1,0)-MATCH($C$1,[1]characters!$1:$1,0)+1),MATCH(E$1,[1]characters!$1:$1,0)-MATCH($C$1,[1]characters!$1:$1,0)+1,FALSE)</f>
        <v>Material</v>
      </c>
      <c r="F64" s="9">
        <f ca="1">VLOOKUP($C64,OFFSET([1]characters!$A$1,0,0,COUNTA([1]characters!$A:$A),MATCH(F$1,[1]characters!$1:$1,0)-MATCH($C$1,[1]characters!$1:$1,0)+1),MATCH(F$1,[1]characters!$1:$1,0)-MATCH($C$1,[1]characters!$1:$1,0)+1,FALSE)</f>
        <v>3</v>
      </c>
      <c r="G64" s="9" t="str">
        <f ca="1">VLOOKUP($C64,OFFSET([1]characters!$A$1,0,0,COUNTA([1]characters!$A:$A),MATCH(G$1,[1]characters!$1:$1,0)-MATCH($C$1,[1]characters!$1:$1,0)+1),MATCH(G$1,[1]characters!$1:$1,0)-MATCH($C$1,[1]characters!$1:$1,0)+1,FALSE)</f>
        <v>blue</v>
      </c>
      <c r="H64" s="9" t="str">
        <f>VLOOKUP(C64,[1]characters!$A:$K,11,FALSE)</f>
        <v>exp</v>
      </c>
      <c r="I64" s="9" t="str">
        <f>VLOOKUP(C64,[1]characters!$A:$M,13,FALSE)</f>
        <v>unknown</v>
      </c>
      <c r="J64" s="6">
        <v>500</v>
      </c>
      <c r="K64" s="21">
        <f t="shared" si="1"/>
        <v>7.8310988597920066E-3</v>
      </c>
      <c r="L64" s="28">
        <f>IFERROR(VLOOKUP($C64,bug_conf_sheet!$A:$H,3,FALSE),VLOOKUP("other",bug_conf_sheet!$A:$H,3,FALSE))</f>
        <v>1</v>
      </c>
      <c r="M64" s="28">
        <f>IFERROR(VLOOKUP($C64,bug_conf_sheet!$A:$H,4,FALSE),VLOOKUP("other",bug_conf_sheet!$A:$H,4,FALSE))</f>
        <v>0</v>
      </c>
      <c r="N64" s="28">
        <f>IFERROR(VLOOKUP($C64,bug_conf_sheet!$A:$H,5,FALSE),VLOOKUP("other",bug_conf_sheet!$A:$H,5,FALSE))</f>
        <v>0</v>
      </c>
      <c r="O64" s="28">
        <f>IFERROR(VLOOKUP($C64,bug_conf_sheet!$A:$H,6,FALSE),VLOOKUP("other",bug_conf_sheet!$A:$H,6,FALSE))</f>
        <v>0</v>
      </c>
      <c r="P64" s="28">
        <f>IFERROR(VLOOKUP($C64,bug_conf_sheet!$A:$H,7,FALSE),VLOOKUP("other",bug_conf_sheet!$A:$H,7,FALSE))</f>
        <v>0</v>
      </c>
      <c r="Q64" s="28">
        <f>IFERROR(VLOOKUP($C64,bug_conf_sheet!$A:$H,8,FALSE),VLOOKUP("other",bug_conf_sheet!$A:$H,8,FALSE))</f>
        <v>1</v>
      </c>
    </row>
    <row r="65" spans="1:17" ht="21" customHeight="1">
      <c r="A65" s="8" t="str">
        <f t="shared" si="2"/>
        <v>206_344_1</v>
      </c>
      <c r="B65" s="5">
        <v>206</v>
      </c>
      <c r="C65" s="7">
        <v>344</v>
      </c>
      <c r="D65" s="9" t="str">
        <f ca="1">VLOOKUP($C65,OFFSET([1]characters!$A$1,0,0,COUNTA([1]characters!$A:$A),MATCH(D$1,[1]characters!$1:$1,0)-MATCH($C$1,[1]characters!$1:$1,0)+1),MATCH(D$1,[1]characters!$1:$1,0)-MATCH($C$1,[1]characters!$1:$1,0)+1,FALSE)</f>
        <v>雷のメタルピヨピヨ</v>
      </c>
      <c r="E65" s="9" t="str">
        <f ca="1">VLOOKUP($C65,OFFSET([1]characters!$A$1,0,0,COUNTA([1]characters!$A:$A),MATCH(E$1,[1]characters!$1:$1,0)-MATCH($C$1,[1]characters!$1:$1,0)+1),MATCH(E$1,[1]characters!$1:$1,0)-MATCH($C$1,[1]characters!$1:$1,0)+1,FALSE)</f>
        <v>Material</v>
      </c>
      <c r="F65" s="9">
        <f ca="1">VLOOKUP($C65,OFFSET([1]characters!$A$1,0,0,COUNTA([1]characters!$A:$A),MATCH(F$1,[1]characters!$1:$1,0)-MATCH($C$1,[1]characters!$1:$1,0)+1),MATCH(F$1,[1]characters!$1:$1,0)-MATCH($C$1,[1]characters!$1:$1,0)+1,FALSE)</f>
        <v>3</v>
      </c>
      <c r="G65" s="9" t="str">
        <f ca="1">VLOOKUP($C65,OFFSET([1]characters!$A$1,0,0,COUNTA([1]characters!$A:$A),MATCH(G$1,[1]characters!$1:$1,0)-MATCH($C$1,[1]characters!$1:$1,0)+1),MATCH(G$1,[1]characters!$1:$1,0)-MATCH($C$1,[1]characters!$1:$1,0)+1,FALSE)</f>
        <v>yellow</v>
      </c>
      <c r="H65" s="9" t="str">
        <f>VLOOKUP(C65,[1]characters!$A:$K,11,FALSE)</f>
        <v>exp</v>
      </c>
      <c r="I65" s="9" t="str">
        <f>VLOOKUP(C65,[1]characters!$A:$M,13,FALSE)</f>
        <v>unknown</v>
      </c>
      <c r="J65" s="6">
        <v>500</v>
      </c>
      <c r="K65" s="21">
        <f t="shared" si="1"/>
        <v>7.8310988597920066E-3</v>
      </c>
      <c r="L65" s="28">
        <f>IFERROR(VLOOKUP($C65,bug_conf_sheet!$A:$H,3,FALSE),VLOOKUP("other",bug_conf_sheet!$A:$H,3,FALSE))</f>
        <v>1</v>
      </c>
      <c r="M65" s="28">
        <f>IFERROR(VLOOKUP($C65,bug_conf_sheet!$A:$H,4,FALSE),VLOOKUP("other",bug_conf_sheet!$A:$H,4,FALSE))</f>
        <v>0</v>
      </c>
      <c r="N65" s="28">
        <f>IFERROR(VLOOKUP($C65,bug_conf_sheet!$A:$H,5,FALSE),VLOOKUP("other",bug_conf_sheet!$A:$H,5,FALSE))</f>
        <v>0</v>
      </c>
      <c r="O65" s="28">
        <f>IFERROR(VLOOKUP($C65,bug_conf_sheet!$A:$H,6,FALSE),VLOOKUP("other",bug_conf_sheet!$A:$H,6,FALSE))</f>
        <v>0</v>
      </c>
      <c r="P65" s="28">
        <f>IFERROR(VLOOKUP($C65,bug_conf_sheet!$A:$H,7,FALSE),VLOOKUP("other",bug_conf_sheet!$A:$H,7,FALSE))</f>
        <v>0</v>
      </c>
      <c r="Q65" s="28">
        <f>IFERROR(VLOOKUP($C65,bug_conf_sheet!$A:$H,8,FALSE),VLOOKUP("other",bug_conf_sheet!$A:$H,8,FALSE))</f>
        <v>1</v>
      </c>
    </row>
    <row r="66" spans="1:17" ht="21" customHeight="1">
      <c r="A66" s="8" t="str">
        <f t="shared" ref="A66:A80" si="3">B66&amp;"_"&amp;C66&amp;"_"&amp;L66</f>
        <v>206_333_1</v>
      </c>
      <c r="B66" s="5">
        <v>206</v>
      </c>
      <c r="C66" s="7">
        <v>333</v>
      </c>
      <c r="D66" s="9" t="str">
        <f ca="1">VLOOKUP($C66,OFFSET([1]characters!$A$1,0,0,COUNTA([1]characters!$A:$A),MATCH(D$1,[1]characters!$1:$1,0)-MATCH($C$1,[1]characters!$1:$1,0)+1),MATCH(D$1,[1]characters!$1:$1,0)-MATCH($C$1,[1]characters!$1:$1,0)+1,FALSE)</f>
        <v>炎のメタルチック</v>
      </c>
      <c r="E66" s="9" t="str">
        <f ca="1">VLOOKUP($C66,OFFSET([1]characters!$A$1,0,0,COUNTA([1]characters!$A:$A),MATCH(E$1,[1]characters!$1:$1,0)-MATCH($C$1,[1]characters!$1:$1,0)+1),MATCH(E$1,[1]characters!$1:$1,0)-MATCH($C$1,[1]characters!$1:$1,0)+1,FALSE)</f>
        <v>Material</v>
      </c>
      <c r="F66" s="9">
        <f ca="1">VLOOKUP($C66,OFFSET([1]characters!$A$1,0,0,COUNTA([1]characters!$A:$A),MATCH(F$1,[1]characters!$1:$1,0)-MATCH($C$1,[1]characters!$1:$1,0)+1),MATCH(F$1,[1]characters!$1:$1,0)-MATCH($C$1,[1]characters!$1:$1,0)+1,FALSE)</f>
        <v>4</v>
      </c>
      <c r="G66" s="9" t="str">
        <f ca="1">VLOOKUP($C66,OFFSET([1]characters!$A$1,0,0,COUNTA([1]characters!$A:$A),MATCH(G$1,[1]characters!$1:$1,0)-MATCH($C$1,[1]characters!$1:$1,0)+1),MATCH(G$1,[1]characters!$1:$1,0)-MATCH($C$1,[1]characters!$1:$1,0)+1,FALSE)</f>
        <v>red</v>
      </c>
      <c r="H66" s="9" t="str">
        <f>VLOOKUP(C66,[1]characters!$A:$K,11,FALSE)</f>
        <v>exp</v>
      </c>
      <c r="I66" s="9" t="str">
        <f>VLOOKUP(C66,[1]characters!$A:$M,13,FALSE)</f>
        <v>unknown</v>
      </c>
      <c r="J66" s="6">
        <v>600</v>
      </c>
      <c r="K66" s="21">
        <f t="shared" si="1"/>
        <v>9.3973186317504072E-3</v>
      </c>
      <c r="L66" s="28">
        <f>IFERROR(VLOOKUP($C66,bug_conf_sheet!$A:$H,3,FALSE),VLOOKUP("other",bug_conf_sheet!$A:$H,3,FALSE))</f>
        <v>1</v>
      </c>
      <c r="M66" s="28">
        <f>IFERROR(VLOOKUP($C66,bug_conf_sheet!$A:$H,4,FALSE),VLOOKUP("other",bug_conf_sheet!$A:$H,4,FALSE))</f>
        <v>0</v>
      </c>
      <c r="N66" s="28">
        <f>IFERROR(VLOOKUP($C66,bug_conf_sheet!$A:$H,5,FALSE),VLOOKUP("other",bug_conf_sheet!$A:$H,5,FALSE))</f>
        <v>0</v>
      </c>
      <c r="O66" s="28">
        <f>IFERROR(VLOOKUP($C66,bug_conf_sheet!$A:$H,6,FALSE),VLOOKUP("other",bug_conf_sheet!$A:$H,6,FALSE))</f>
        <v>0</v>
      </c>
      <c r="P66" s="28">
        <f>IFERROR(VLOOKUP($C66,bug_conf_sheet!$A:$H,7,FALSE),VLOOKUP("other",bug_conf_sheet!$A:$H,7,FALSE))</f>
        <v>0</v>
      </c>
      <c r="Q66" s="28">
        <f>IFERROR(VLOOKUP($C66,bug_conf_sheet!$A:$H,8,FALSE),VLOOKUP("other",bug_conf_sheet!$A:$H,8,FALSE))</f>
        <v>1</v>
      </c>
    </row>
    <row r="67" spans="1:17" ht="21" customHeight="1">
      <c r="A67" s="8" t="str">
        <f t="shared" si="3"/>
        <v>206_337_1</v>
      </c>
      <c r="B67" s="5">
        <v>206</v>
      </c>
      <c r="C67" s="7">
        <v>337</v>
      </c>
      <c r="D67" s="9" t="str">
        <f ca="1">VLOOKUP($C67,OFFSET([1]characters!$A$1,0,0,COUNTA([1]characters!$A:$A),MATCH(D$1,[1]characters!$1:$1,0)-MATCH($C$1,[1]characters!$1:$1,0)+1),MATCH(D$1,[1]characters!$1:$1,0)-MATCH($C$1,[1]characters!$1:$1,0)+1,FALSE)</f>
        <v>森のメタルチック</v>
      </c>
      <c r="E67" s="9" t="str">
        <f ca="1">VLOOKUP($C67,OFFSET([1]characters!$A$1,0,0,COUNTA([1]characters!$A:$A),MATCH(E$1,[1]characters!$1:$1,0)-MATCH($C$1,[1]characters!$1:$1,0)+1),MATCH(E$1,[1]characters!$1:$1,0)-MATCH($C$1,[1]characters!$1:$1,0)+1,FALSE)</f>
        <v>Material</v>
      </c>
      <c r="F67" s="9">
        <f ca="1">VLOOKUP($C67,OFFSET([1]characters!$A$1,0,0,COUNTA([1]characters!$A:$A),MATCH(F$1,[1]characters!$1:$1,0)-MATCH($C$1,[1]characters!$1:$1,0)+1),MATCH(F$1,[1]characters!$1:$1,0)-MATCH($C$1,[1]characters!$1:$1,0)+1,FALSE)</f>
        <v>4</v>
      </c>
      <c r="G67" s="9" t="str">
        <f ca="1">VLOOKUP($C67,OFFSET([1]characters!$A$1,0,0,COUNTA([1]characters!$A:$A),MATCH(G$1,[1]characters!$1:$1,0)-MATCH($C$1,[1]characters!$1:$1,0)+1),MATCH(G$1,[1]characters!$1:$1,0)-MATCH($C$1,[1]characters!$1:$1,0)+1,FALSE)</f>
        <v>green</v>
      </c>
      <c r="H67" s="9" t="str">
        <f>VLOOKUP(C67,[1]characters!$A:$K,11,FALSE)</f>
        <v>exp</v>
      </c>
      <c r="I67" s="9" t="str">
        <f>VLOOKUP(C67,[1]characters!$A:$M,13,FALSE)</f>
        <v>unknown</v>
      </c>
      <c r="J67" s="6">
        <v>600</v>
      </c>
      <c r="K67" s="21">
        <f t="shared" ref="K67:K80" si="4">J67/SUM($J$2:$J$80)</f>
        <v>9.3973186317504072E-3</v>
      </c>
      <c r="L67" s="28">
        <f>IFERROR(VLOOKUP($C67,bug_conf_sheet!$A:$H,3,FALSE),VLOOKUP("other",bug_conf_sheet!$A:$H,3,FALSE))</f>
        <v>1</v>
      </c>
      <c r="M67" s="28">
        <f>IFERROR(VLOOKUP($C67,bug_conf_sheet!$A:$H,4,FALSE),VLOOKUP("other",bug_conf_sheet!$A:$H,4,FALSE))</f>
        <v>0</v>
      </c>
      <c r="N67" s="28">
        <f>IFERROR(VLOOKUP($C67,bug_conf_sheet!$A:$H,5,FALSE),VLOOKUP("other",bug_conf_sheet!$A:$H,5,FALSE))</f>
        <v>0</v>
      </c>
      <c r="O67" s="28">
        <f>IFERROR(VLOOKUP($C67,bug_conf_sheet!$A:$H,6,FALSE),VLOOKUP("other",bug_conf_sheet!$A:$H,6,FALSE))</f>
        <v>0</v>
      </c>
      <c r="P67" s="28">
        <f>IFERROR(VLOOKUP($C67,bug_conf_sheet!$A:$H,7,FALSE),VLOOKUP("other",bug_conf_sheet!$A:$H,7,FALSE))</f>
        <v>0</v>
      </c>
      <c r="Q67" s="28">
        <f>IFERROR(VLOOKUP($C67,bug_conf_sheet!$A:$H,8,FALSE),VLOOKUP("other",bug_conf_sheet!$A:$H,8,FALSE))</f>
        <v>1</v>
      </c>
    </row>
    <row r="68" spans="1:17" ht="21" customHeight="1">
      <c r="A68" s="8" t="str">
        <f t="shared" si="3"/>
        <v>206_341_1</v>
      </c>
      <c r="B68" s="5">
        <v>206</v>
      </c>
      <c r="C68" s="7">
        <v>341</v>
      </c>
      <c r="D68" s="9" t="str">
        <f ca="1">VLOOKUP($C68,OFFSET([1]characters!$A$1,0,0,COUNTA([1]characters!$A:$A),MATCH(D$1,[1]characters!$1:$1,0)-MATCH($C$1,[1]characters!$1:$1,0)+1),MATCH(D$1,[1]characters!$1:$1,0)-MATCH($C$1,[1]characters!$1:$1,0)+1,FALSE)</f>
        <v>水のメタルチック</v>
      </c>
      <c r="E68" s="9" t="str">
        <f ca="1">VLOOKUP($C68,OFFSET([1]characters!$A$1,0,0,COUNTA([1]characters!$A:$A),MATCH(E$1,[1]characters!$1:$1,0)-MATCH($C$1,[1]characters!$1:$1,0)+1),MATCH(E$1,[1]characters!$1:$1,0)-MATCH($C$1,[1]characters!$1:$1,0)+1,FALSE)</f>
        <v>Material</v>
      </c>
      <c r="F68" s="9">
        <f ca="1">VLOOKUP($C68,OFFSET([1]characters!$A$1,0,0,COUNTA([1]characters!$A:$A),MATCH(F$1,[1]characters!$1:$1,0)-MATCH($C$1,[1]characters!$1:$1,0)+1),MATCH(F$1,[1]characters!$1:$1,0)-MATCH($C$1,[1]characters!$1:$1,0)+1,FALSE)</f>
        <v>4</v>
      </c>
      <c r="G68" s="9" t="str">
        <f ca="1">VLOOKUP($C68,OFFSET([1]characters!$A$1,0,0,COUNTA([1]characters!$A:$A),MATCH(G$1,[1]characters!$1:$1,0)-MATCH($C$1,[1]characters!$1:$1,0)+1),MATCH(G$1,[1]characters!$1:$1,0)-MATCH($C$1,[1]characters!$1:$1,0)+1,FALSE)</f>
        <v>blue</v>
      </c>
      <c r="H68" s="9" t="str">
        <f>VLOOKUP(C68,[1]characters!$A:$K,11,FALSE)</f>
        <v>exp</v>
      </c>
      <c r="I68" s="9" t="str">
        <f>VLOOKUP(C68,[1]characters!$A:$M,13,FALSE)</f>
        <v>unknown</v>
      </c>
      <c r="J68" s="6">
        <v>600</v>
      </c>
      <c r="K68" s="21">
        <f t="shared" si="4"/>
        <v>9.3973186317504072E-3</v>
      </c>
      <c r="L68" s="28">
        <f>IFERROR(VLOOKUP($C68,bug_conf_sheet!$A:$H,3,FALSE),VLOOKUP("other",bug_conf_sheet!$A:$H,3,FALSE))</f>
        <v>1</v>
      </c>
      <c r="M68" s="28">
        <f>IFERROR(VLOOKUP($C68,bug_conf_sheet!$A:$H,4,FALSE),VLOOKUP("other",bug_conf_sheet!$A:$H,4,FALSE))</f>
        <v>0</v>
      </c>
      <c r="N68" s="28">
        <f>IFERROR(VLOOKUP($C68,bug_conf_sheet!$A:$H,5,FALSE),VLOOKUP("other",bug_conf_sheet!$A:$H,5,FALSE))</f>
        <v>0</v>
      </c>
      <c r="O68" s="28">
        <f>IFERROR(VLOOKUP($C68,bug_conf_sheet!$A:$H,6,FALSE),VLOOKUP("other",bug_conf_sheet!$A:$H,6,FALSE))</f>
        <v>0</v>
      </c>
      <c r="P68" s="28">
        <f>IFERROR(VLOOKUP($C68,bug_conf_sheet!$A:$H,7,FALSE),VLOOKUP("other",bug_conf_sheet!$A:$H,7,FALSE))</f>
        <v>0</v>
      </c>
      <c r="Q68" s="28">
        <f>IFERROR(VLOOKUP($C68,bug_conf_sheet!$A:$H,8,FALSE),VLOOKUP("other",bug_conf_sheet!$A:$H,8,FALSE))</f>
        <v>1</v>
      </c>
    </row>
    <row r="69" spans="1:17" ht="21" customHeight="1">
      <c r="A69" s="8" t="str">
        <f t="shared" si="3"/>
        <v>206_345_1</v>
      </c>
      <c r="B69" s="5">
        <v>206</v>
      </c>
      <c r="C69" s="7">
        <v>345</v>
      </c>
      <c r="D69" s="9" t="str">
        <f ca="1">VLOOKUP($C69,OFFSET([1]characters!$A$1,0,0,COUNTA([1]characters!$A:$A),MATCH(D$1,[1]characters!$1:$1,0)-MATCH($C$1,[1]characters!$1:$1,0)+1),MATCH(D$1,[1]characters!$1:$1,0)-MATCH($C$1,[1]characters!$1:$1,0)+1,FALSE)</f>
        <v>雷のメタルチック</v>
      </c>
      <c r="E69" s="9" t="str">
        <f ca="1">VLOOKUP($C69,OFFSET([1]characters!$A$1,0,0,COUNTA([1]characters!$A:$A),MATCH(E$1,[1]characters!$1:$1,0)-MATCH($C$1,[1]characters!$1:$1,0)+1),MATCH(E$1,[1]characters!$1:$1,0)-MATCH($C$1,[1]characters!$1:$1,0)+1,FALSE)</f>
        <v>Material</v>
      </c>
      <c r="F69" s="9">
        <f ca="1">VLOOKUP($C69,OFFSET([1]characters!$A$1,0,0,COUNTA([1]characters!$A:$A),MATCH(F$1,[1]characters!$1:$1,0)-MATCH($C$1,[1]characters!$1:$1,0)+1),MATCH(F$1,[1]characters!$1:$1,0)-MATCH($C$1,[1]characters!$1:$1,0)+1,FALSE)</f>
        <v>4</v>
      </c>
      <c r="G69" s="9" t="str">
        <f ca="1">VLOOKUP($C69,OFFSET([1]characters!$A$1,0,0,COUNTA([1]characters!$A:$A),MATCH(G$1,[1]characters!$1:$1,0)-MATCH($C$1,[1]characters!$1:$1,0)+1),MATCH(G$1,[1]characters!$1:$1,0)-MATCH($C$1,[1]characters!$1:$1,0)+1,FALSE)</f>
        <v>yellow</v>
      </c>
      <c r="H69" s="9" t="str">
        <f>VLOOKUP(C69,[1]characters!$A:$K,11,FALSE)</f>
        <v>exp</v>
      </c>
      <c r="I69" s="9" t="str">
        <f>VLOOKUP(C69,[1]characters!$A:$M,13,FALSE)</f>
        <v>unknown</v>
      </c>
      <c r="J69" s="6">
        <v>600</v>
      </c>
      <c r="K69" s="21">
        <f t="shared" si="4"/>
        <v>9.3973186317504072E-3</v>
      </c>
      <c r="L69" s="28">
        <f>IFERROR(VLOOKUP($C69,bug_conf_sheet!$A:$H,3,FALSE),VLOOKUP("other",bug_conf_sheet!$A:$H,3,FALSE))</f>
        <v>1</v>
      </c>
      <c r="M69" s="28">
        <f>IFERROR(VLOOKUP($C69,bug_conf_sheet!$A:$H,4,FALSE),VLOOKUP("other",bug_conf_sheet!$A:$H,4,FALSE))</f>
        <v>0</v>
      </c>
      <c r="N69" s="28">
        <f>IFERROR(VLOOKUP($C69,bug_conf_sheet!$A:$H,5,FALSE),VLOOKUP("other",bug_conf_sheet!$A:$H,5,FALSE))</f>
        <v>0</v>
      </c>
      <c r="O69" s="28">
        <f>IFERROR(VLOOKUP($C69,bug_conf_sheet!$A:$H,6,FALSE),VLOOKUP("other",bug_conf_sheet!$A:$H,6,FALSE))</f>
        <v>0</v>
      </c>
      <c r="P69" s="28">
        <f>IFERROR(VLOOKUP($C69,bug_conf_sheet!$A:$H,7,FALSE),VLOOKUP("other",bug_conf_sheet!$A:$H,7,FALSE))</f>
        <v>0</v>
      </c>
      <c r="Q69" s="28">
        <f>IFERROR(VLOOKUP($C69,bug_conf_sheet!$A:$H,8,FALSE),VLOOKUP("other",bug_conf_sheet!$A:$H,8,FALSE))</f>
        <v>1</v>
      </c>
    </row>
    <row r="70" spans="1:17" ht="21" customHeight="1">
      <c r="A70" s="8" t="str">
        <f t="shared" si="3"/>
        <v>206_334_1</v>
      </c>
      <c r="B70" s="5">
        <v>206</v>
      </c>
      <c r="C70" s="7">
        <v>334</v>
      </c>
      <c r="D70" s="9" t="str">
        <f ca="1">VLOOKUP($C70,OFFSET([1]characters!$A$1,0,0,COUNTA([1]characters!$A:$A),MATCH(D$1,[1]characters!$1:$1,0)-MATCH($C$1,[1]characters!$1:$1,0)+1),MATCH(D$1,[1]characters!$1:$1,0)-MATCH($C$1,[1]characters!$1:$1,0)+1,FALSE)</f>
        <v>炎のメタルダック</v>
      </c>
      <c r="E70" s="9" t="str">
        <f ca="1">VLOOKUP($C70,OFFSET([1]characters!$A$1,0,0,COUNTA([1]characters!$A:$A),MATCH(E$1,[1]characters!$1:$1,0)-MATCH($C$1,[1]characters!$1:$1,0)+1),MATCH(E$1,[1]characters!$1:$1,0)-MATCH($C$1,[1]characters!$1:$1,0)+1,FALSE)</f>
        <v>Material</v>
      </c>
      <c r="F70" s="9">
        <f ca="1">VLOOKUP($C70,OFFSET([1]characters!$A$1,0,0,COUNTA([1]characters!$A:$A),MATCH(F$1,[1]characters!$1:$1,0)-MATCH($C$1,[1]characters!$1:$1,0)+1),MATCH(F$1,[1]characters!$1:$1,0)-MATCH($C$1,[1]characters!$1:$1,0)+1,FALSE)</f>
        <v>5</v>
      </c>
      <c r="G70" s="9" t="str">
        <f ca="1">VLOOKUP($C70,OFFSET([1]characters!$A$1,0,0,COUNTA([1]characters!$A:$A),MATCH(G$1,[1]characters!$1:$1,0)-MATCH($C$1,[1]characters!$1:$1,0)+1),MATCH(G$1,[1]characters!$1:$1,0)-MATCH($C$1,[1]characters!$1:$1,0)+1,FALSE)</f>
        <v>red</v>
      </c>
      <c r="H70" s="9" t="str">
        <f>VLOOKUP(C70,[1]characters!$A:$K,11,FALSE)</f>
        <v>exp</v>
      </c>
      <c r="I70" s="9" t="str">
        <f>VLOOKUP(C70,[1]characters!$A:$M,13,FALSE)</f>
        <v>unknown</v>
      </c>
      <c r="J70" s="6">
        <v>3800</v>
      </c>
      <c r="K70" s="21">
        <f t="shared" si="4"/>
        <v>5.9516351334419244E-2</v>
      </c>
      <c r="L70" s="28">
        <f>IFERROR(VLOOKUP($C70,bug_conf_sheet!$A:$H,3,FALSE),VLOOKUP("other",bug_conf_sheet!$A:$H,3,FALSE))</f>
        <v>1</v>
      </c>
      <c r="M70" s="28">
        <f>IFERROR(VLOOKUP($C70,bug_conf_sheet!$A:$H,4,FALSE),VLOOKUP("other",bug_conf_sheet!$A:$H,4,FALSE))</f>
        <v>0</v>
      </c>
      <c r="N70" s="28">
        <f>IFERROR(VLOOKUP($C70,bug_conf_sheet!$A:$H,5,FALSE),VLOOKUP("other",bug_conf_sheet!$A:$H,5,FALSE))</f>
        <v>0</v>
      </c>
      <c r="O70" s="28">
        <f>IFERROR(VLOOKUP($C70,bug_conf_sheet!$A:$H,6,FALSE),VLOOKUP("other",bug_conf_sheet!$A:$H,6,FALSE))</f>
        <v>0</v>
      </c>
      <c r="P70" s="28">
        <f>IFERROR(VLOOKUP($C70,bug_conf_sheet!$A:$H,7,FALSE),VLOOKUP("other",bug_conf_sheet!$A:$H,7,FALSE))</f>
        <v>0</v>
      </c>
      <c r="Q70" s="28">
        <f>IFERROR(VLOOKUP($C70,bug_conf_sheet!$A:$H,8,FALSE),VLOOKUP("other",bug_conf_sheet!$A:$H,8,FALSE))</f>
        <v>1</v>
      </c>
    </row>
    <row r="71" spans="1:17" ht="21" customHeight="1">
      <c r="A71" s="8" t="str">
        <f t="shared" si="3"/>
        <v>206_338_1</v>
      </c>
      <c r="B71" s="5">
        <v>206</v>
      </c>
      <c r="C71" s="7">
        <v>338</v>
      </c>
      <c r="D71" s="9" t="str">
        <f ca="1">VLOOKUP($C71,OFFSET([1]characters!$A$1,0,0,COUNTA([1]characters!$A:$A),MATCH(D$1,[1]characters!$1:$1,0)-MATCH($C$1,[1]characters!$1:$1,0)+1),MATCH(D$1,[1]characters!$1:$1,0)-MATCH($C$1,[1]characters!$1:$1,0)+1,FALSE)</f>
        <v>森のメタルダック</v>
      </c>
      <c r="E71" s="9" t="str">
        <f ca="1">VLOOKUP($C71,OFFSET([1]characters!$A$1,0,0,COUNTA([1]characters!$A:$A),MATCH(E$1,[1]characters!$1:$1,0)-MATCH($C$1,[1]characters!$1:$1,0)+1),MATCH(E$1,[1]characters!$1:$1,0)-MATCH($C$1,[1]characters!$1:$1,0)+1,FALSE)</f>
        <v>Material</v>
      </c>
      <c r="F71" s="9">
        <f ca="1">VLOOKUP($C71,OFFSET([1]characters!$A$1,0,0,COUNTA([1]characters!$A:$A),MATCH(F$1,[1]characters!$1:$1,0)-MATCH($C$1,[1]characters!$1:$1,0)+1),MATCH(F$1,[1]characters!$1:$1,0)-MATCH($C$1,[1]characters!$1:$1,0)+1,FALSE)</f>
        <v>5</v>
      </c>
      <c r="G71" s="9" t="str">
        <f ca="1">VLOOKUP($C71,OFFSET([1]characters!$A$1,0,0,COUNTA([1]characters!$A:$A),MATCH(G$1,[1]characters!$1:$1,0)-MATCH($C$1,[1]characters!$1:$1,0)+1),MATCH(G$1,[1]characters!$1:$1,0)-MATCH($C$1,[1]characters!$1:$1,0)+1,FALSE)</f>
        <v>green</v>
      </c>
      <c r="H71" s="9" t="str">
        <f>VLOOKUP(C71,[1]characters!$A:$K,11,FALSE)</f>
        <v>exp</v>
      </c>
      <c r="I71" s="9" t="str">
        <f>VLOOKUP(C71,[1]characters!$A:$M,13,FALSE)</f>
        <v>unknown</v>
      </c>
      <c r="J71" s="6">
        <v>3800</v>
      </c>
      <c r="K71" s="21">
        <f t="shared" si="4"/>
        <v>5.9516351334419244E-2</v>
      </c>
      <c r="L71" s="28">
        <f>IFERROR(VLOOKUP($C71,bug_conf_sheet!$A:$H,3,FALSE),VLOOKUP("other",bug_conf_sheet!$A:$H,3,FALSE))</f>
        <v>1</v>
      </c>
      <c r="M71" s="28">
        <f>IFERROR(VLOOKUP($C71,bug_conf_sheet!$A:$H,4,FALSE),VLOOKUP("other",bug_conf_sheet!$A:$H,4,FALSE))</f>
        <v>0</v>
      </c>
      <c r="N71" s="28">
        <f>IFERROR(VLOOKUP($C71,bug_conf_sheet!$A:$H,5,FALSE),VLOOKUP("other",bug_conf_sheet!$A:$H,5,FALSE))</f>
        <v>0</v>
      </c>
      <c r="O71" s="28">
        <f>IFERROR(VLOOKUP($C71,bug_conf_sheet!$A:$H,6,FALSE),VLOOKUP("other",bug_conf_sheet!$A:$H,6,FALSE))</f>
        <v>0</v>
      </c>
      <c r="P71" s="28">
        <f>IFERROR(VLOOKUP($C71,bug_conf_sheet!$A:$H,7,FALSE),VLOOKUP("other",bug_conf_sheet!$A:$H,7,FALSE))</f>
        <v>0</v>
      </c>
      <c r="Q71" s="28">
        <f>IFERROR(VLOOKUP($C71,bug_conf_sheet!$A:$H,8,FALSE),VLOOKUP("other",bug_conf_sheet!$A:$H,8,FALSE))</f>
        <v>1</v>
      </c>
    </row>
    <row r="72" spans="1:17" ht="21" customHeight="1">
      <c r="A72" s="8" t="str">
        <f t="shared" si="3"/>
        <v>206_342_1</v>
      </c>
      <c r="B72" s="5">
        <v>206</v>
      </c>
      <c r="C72" s="7">
        <v>342</v>
      </c>
      <c r="D72" s="9" t="str">
        <f ca="1">VLOOKUP($C72,OFFSET([1]characters!$A$1,0,0,COUNTA([1]characters!$A:$A),MATCH(D$1,[1]characters!$1:$1,0)-MATCH($C$1,[1]characters!$1:$1,0)+1),MATCH(D$1,[1]characters!$1:$1,0)-MATCH($C$1,[1]characters!$1:$1,0)+1,FALSE)</f>
        <v>水のメタルダック</v>
      </c>
      <c r="E72" s="9" t="str">
        <f ca="1">VLOOKUP($C72,OFFSET([1]characters!$A$1,0,0,COUNTA([1]characters!$A:$A),MATCH(E$1,[1]characters!$1:$1,0)-MATCH($C$1,[1]characters!$1:$1,0)+1),MATCH(E$1,[1]characters!$1:$1,0)-MATCH($C$1,[1]characters!$1:$1,0)+1,FALSE)</f>
        <v>Material</v>
      </c>
      <c r="F72" s="9">
        <f ca="1">VLOOKUP($C72,OFFSET([1]characters!$A$1,0,0,COUNTA([1]characters!$A:$A),MATCH(F$1,[1]characters!$1:$1,0)-MATCH($C$1,[1]characters!$1:$1,0)+1),MATCH(F$1,[1]characters!$1:$1,0)-MATCH($C$1,[1]characters!$1:$1,0)+1,FALSE)</f>
        <v>5</v>
      </c>
      <c r="G72" s="9" t="str">
        <f ca="1">VLOOKUP($C72,OFFSET([1]characters!$A$1,0,0,COUNTA([1]characters!$A:$A),MATCH(G$1,[1]characters!$1:$1,0)-MATCH($C$1,[1]characters!$1:$1,0)+1),MATCH(G$1,[1]characters!$1:$1,0)-MATCH($C$1,[1]characters!$1:$1,0)+1,FALSE)</f>
        <v>blue</v>
      </c>
      <c r="H72" s="9" t="str">
        <f>VLOOKUP(C72,[1]characters!$A:$K,11,FALSE)</f>
        <v>exp</v>
      </c>
      <c r="I72" s="9" t="str">
        <f>VLOOKUP(C72,[1]characters!$A:$M,13,FALSE)</f>
        <v>unknown</v>
      </c>
      <c r="J72" s="6">
        <v>3800</v>
      </c>
      <c r="K72" s="21">
        <f t="shared" si="4"/>
        <v>5.9516351334419244E-2</v>
      </c>
      <c r="L72" s="28">
        <f>IFERROR(VLOOKUP($C72,bug_conf_sheet!$A:$H,3,FALSE),VLOOKUP("other",bug_conf_sheet!$A:$H,3,FALSE))</f>
        <v>1</v>
      </c>
      <c r="M72" s="28">
        <f>IFERROR(VLOOKUP($C72,bug_conf_sheet!$A:$H,4,FALSE),VLOOKUP("other",bug_conf_sheet!$A:$H,4,FALSE))</f>
        <v>0</v>
      </c>
      <c r="N72" s="28">
        <f>IFERROR(VLOOKUP($C72,bug_conf_sheet!$A:$H,5,FALSE),VLOOKUP("other",bug_conf_sheet!$A:$H,5,FALSE))</f>
        <v>0</v>
      </c>
      <c r="O72" s="28">
        <f>IFERROR(VLOOKUP($C72,bug_conf_sheet!$A:$H,6,FALSE),VLOOKUP("other",bug_conf_sheet!$A:$H,6,FALSE))</f>
        <v>0</v>
      </c>
      <c r="P72" s="28">
        <f>IFERROR(VLOOKUP($C72,bug_conf_sheet!$A:$H,7,FALSE),VLOOKUP("other",bug_conf_sheet!$A:$H,7,FALSE))</f>
        <v>0</v>
      </c>
      <c r="Q72" s="28">
        <f>IFERROR(VLOOKUP($C72,bug_conf_sheet!$A:$H,8,FALSE),VLOOKUP("other",bug_conf_sheet!$A:$H,8,FALSE))</f>
        <v>1</v>
      </c>
    </row>
    <row r="73" spans="1:17" ht="21" customHeight="1">
      <c r="A73" s="8" t="str">
        <f t="shared" si="3"/>
        <v>206_346_1</v>
      </c>
      <c r="B73" s="5">
        <v>206</v>
      </c>
      <c r="C73" s="7">
        <v>346</v>
      </c>
      <c r="D73" s="9" t="str">
        <f ca="1">VLOOKUP($C73,OFFSET([1]characters!$A$1,0,0,COUNTA([1]characters!$A:$A),MATCH(D$1,[1]characters!$1:$1,0)-MATCH($C$1,[1]characters!$1:$1,0)+1),MATCH(D$1,[1]characters!$1:$1,0)-MATCH($C$1,[1]characters!$1:$1,0)+1,FALSE)</f>
        <v>雷のメタルダック</v>
      </c>
      <c r="E73" s="9" t="str">
        <f ca="1">VLOOKUP($C73,OFFSET([1]characters!$A$1,0,0,COUNTA([1]characters!$A:$A),MATCH(E$1,[1]characters!$1:$1,0)-MATCH($C$1,[1]characters!$1:$1,0)+1),MATCH(E$1,[1]characters!$1:$1,0)-MATCH($C$1,[1]characters!$1:$1,0)+1,FALSE)</f>
        <v>Material</v>
      </c>
      <c r="F73" s="9">
        <f ca="1">VLOOKUP($C73,OFFSET([1]characters!$A$1,0,0,COUNTA([1]characters!$A:$A),MATCH(F$1,[1]characters!$1:$1,0)-MATCH($C$1,[1]characters!$1:$1,0)+1),MATCH(F$1,[1]characters!$1:$1,0)-MATCH($C$1,[1]characters!$1:$1,0)+1,FALSE)</f>
        <v>5</v>
      </c>
      <c r="G73" s="9" t="str">
        <f ca="1">VLOOKUP($C73,OFFSET([1]characters!$A$1,0,0,COUNTA([1]characters!$A:$A),MATCH(G$1,[1]characters!$1:$1,0)-MATCH($C$1,[1]characters!$1:$1,0)+1),MATCH(G$1,[1]characters!$1:$1,0)-MATCH($C$1,[1]characters!$1:$1,0)+1,FALSE)</f>
        <v>yellow</v>
      </c>
      <c r="H73" s="9" t="str">
        <f>VLOOKUP(C73,[1]characters!$A:$K,11,FALSE)</f>
        <v>exp</v>
      </c>
      <c r="I73" s="9" t="str">
        <f>VLOOKUP(C73,[1]characters!$A:$M,13,FALSE)</f>
        <v>unknown</v>
      </c>
      <c r="J73" s="6">
        <v>3800</v>
      </c>
      <c r="K73" s="21">
        <f t="shared" si="4"/>
        <v>5.9516351334419244E-2</v>
      </c>
      <c r="L73" s="28">
        <f>IFERROR(VLOOKUP($C73,bug_conf_sheet!$A:$H,3,FALSE),VLOOKUP("other",bug_conf_sheet!$A:$H,3,FALSE))</f>
        <v>1</v>
      </c>
      <c r="M73" s="28">
        <f>IFERROR(VLOOKUP($C73,bug_conf_sheet!$A:$H,4,FALSE),VLOOKUP("other",bug_conf_sheet!$A:$H,4,FALSE))</f>
        <v>0</v>
      </c>
      <c r="N73" s="28">
        <f>IFERROR(VLOOKUP($C73,bug_conf_sheet!$A:$H,5,FALSE),VLOOKUP("other",bug_conf_sheet!$A:$H,5,FALSE))</f>
        <v>0</v>
      </c>
      <c r="O73" s="28">
        <f>IFERROR(VLOOKUP($C73,bug_conf_sheet!$A:$H,6,FALSE),VLOOKUP("other",bug_conf_sheet!$A:$H,6,FALSE))</f>
        <v>0</v>
      </c>
      <c r="P73" s="28">
        <f>IFERROR(VLOOKUP($C73,bug_conf_sheet!$A:$H,7,FALSE),VLOOKUP("other",bug_conf_sheet!$A:$H,7,FALSE))</f>
        <v>0</v>
      </c>
      <c r="Q73" s="28">
        <f>IFERROR(VLOOKUP($C73,bug_conf_sheet!$A:$H,8,FALSE),VLOOKUP("other",bug_conf_sheet!$A:$H,8,FALSE))</f>
        <v>1</v>
      </c>
    </row>
    <row r="74" spans="1:17" ht="21" customHeight="1">
      <c r="A74" s="8" t="str">
        <f t="shared" si="3"/>
        <v>206_117_1</v>
      </c>
      <c r="B74" s="5">
        <v>206</v>
      </c>
      <c r="C74" s="7">
        <v>117</v>
      </c>
      <c r="D74" s="9" t="str">
        <f ca="1">VLOOKUP($C74,OFFSET([1]characters!$A$1,0,0,COUNTA([1]characters!$A:$A),MATCH(D$1,[1]characters!$1:$1,0)-MATCH($C$1,[1]characters!$1:$1,0)+1),MATCH(D$1,[1]characters!$1:$1,0)-MATCH($C$1,[1]characters!$1:$1,0)+1,FALSE)</f>
        <v>ゴールドピヨピヨ</v>
      </c>
      <c r="E74" s="9" t="str">
        <f ca="1">VLOOKUP($C74,OFFSET([1]characters!$A$1,0,0,COUNTA([1]characters!$A:$A),MATCH(E$1,[1]characters!$1:$1,0)-MATCH($C$1,[1]characters!$1:$1,0)+1),MATCH(E$1,[1]characters!$1:$1,0)-MATCH($C$1,[1]characters!$1:$1,0)+1,FALSE)</f>
        <v>Material</v>
      </c>
      <c r="F74" s="9">
        <f ca="1">VLOOKUP($C74,OFFSET([1]characters!$A$1,0,0,COUNTA([1]characters!$A:$A),MATCH(F$1,[1]characters!$1:$1,0)-MATCH($C$1,[1]characters!$1:$1,0)+1),MATCH(F$1,[1]characters!$1:$1,0)-MATCH($C$1,[1]characters!$1:$1,0)+1,FALSE)</f>
        <v>3</v>
      </c>
      <c r="G74" s="9" t="str">
        <f ca="1">VLOOKUP($C74,OFFSET([1]characters!$A$1,0,0,COUNTA([1]characters!$A:$A),MATCH(G$1,[1]characters!$1:$1,0)-MATCH($C$1,[1]characters!$1:$1,0)+1),MATCH(G$1,[1]characters!$1:$1,0)-MATCH($C$1,[1]characters!$1:$1,0)+1,FALSE)</f>
        <v>yellow</v>
      </c>
      <c r="H74" s="9" t="str">
        <f>VLOOKUP(C74,[1]characters!$A:$K,11,FALSE)</f>
        <v>coin</v>
      </c>
      <c r="I74" s="9" t="str">
        <f>VLOOKUP(C74,[1]characters!$A:$M,13,FALSE)</f>
        <v>unknown</v>
      </c>
      <c r="J74" s="6">
        <v>2000</v>
      </c>
      <c r="K74" s="21">
        <f t="shared" si="4"/>
        <v>3.1324395439168026E-2</v>
      </c>
      <c r="L74" s="28">
        <f>IFERROR(VLOOKUP($C74,bug_conf_sheet!$A:$H,3,FALSE),VLOOKUP("other",bug_conf_sheet!$A:$H,3,FALSE))</f>
        <v>1</v>
      </c>
      <c r="M74" s="28">
        <f>IFERROR(VLOOKUP($C74,bug_conf_sheet!$A:$H,4,FALSE),VLOOKUP("other",bug_conf_sheet!$A:$H,4,FALSE))</f>
        <v>0</v>
      </c>
      <c r="N74" s="28">
        <f>IFERROR(VLOOKUP($C74,bug_conf_sheet!$A:$H,5,FALSE),VLOOKUP("other",bug_conf_sheet!$A:$H,5,FALSE))</f>
        <v>0</v>
      </c>
      <c r="O74" s="28">
        <f>IFERROR(VLOOKUP($C74,bug_conf_sheet!$A:$H,6,FALSE),VLOOKUP("other",bug_conf_sheet!$A:$H,6,FALSE))</f>
        <v>0</v>
      </c>
      <c r="P74" s="28">
        <f>IFERROR(VLOOKUP($C74,bug_conf_sheet!$A:$H,7,FALSE),VLOOKUP("other",bug_conf_sheet!$A:$H,7,FALSE))</f>
        <v>0</v>
      </c>
      <c r="Q74" s="28">
        <f>IFERROR(VLOOKUP($C74,bug_conf_sheet!$A:$H,8,FALSE),VLOOKUP("other",bug_conf_sheet!$A:$H,8,FALSE))</f>
        <v>1</v>
      </c>
    </row>
    <row r="75" spans="1:17" ht="21" customHeight="1">
      <c r="A75" s="8" t="str">
        <f t="shared" si="3"/>
        <v>206_118_1</v>
      </c>
      <c r="B75" s="5">
        <v>206</v>
      </c>
      <c r="C75" s="7">
        <v>118</v>
      </c>
      <c r="D75" s="9" t="str">
        <f ca="1">VLOOKUP($C75,OFFSET([1]characters!$A$1,0,0,COUNTA([1]characters!$A:$A),MATCH(D$1,[1]characters!$1:$1,0)-MATCH($C$1,[1]characters!$1:$1,0)+1),MATCH(D$1,[1]characters!$1:$1,0)-MATCH($C$1,[1]characters!$1:$1,0)+1,FALSE)</f>
        <v>ゴールドチック</v>
      </c>
      <c r="E75" s="9" t="str">
        <f ca="1">VLOOKUP($C75,OFFSET([1]characters!$A$1,0,0,COUNTA([1]characters!$A:$A),MATCH(E$1,[1]characters!$1:$1,0)-MATCH($C$1,[1]characters!$1:$1,0)+1),MATCH(E$1,[1]characters!$1:$1,0)-MATCH($C$1,[1]characters!$1:$1,0)+1,FALSE)</f>
        <v>Material</v>
      </c>
      <c r="F75" s="9">
        <f ca="1">VLOOKUP($C75,OFFSET([1]characters!$A$1,0,0,COUNTA([1]characters!$A:$A),MATCH(F$1,[1]characters!$1:$1,0)-MATCH($C$1,[1]characters!$1:$1,0)+1),MATCH(F$1,[1]characters!$1:$1,0)-MATCH($C$1,[1]characters!$1:$1,0)+1,FALSE)</f>
        <v>4</v>
      </c>
      <c r="G75" s="9" t="str">
        <f ca="1">VLOOKUP($C75,OFFSET([1]characters!$A$1,0,0,COUNTA([1]characters!$A:$A),MATCH(G$1,[1]characters!$1:$1,0)-MATCH($C$1,[1]characters!$1:$1,0)+1),MATCH(G$1,[1]characters!$1:$1,0)-MATCH($C$1,[1]characters!$1:$1,0)+1,FALSE)</f>
        <v>yellow</v>
      </c>
      <c r="H75" s="9" t="str">
        <f>VLOOKUP(C75,[1]characters!$A:$K,11,FALSE)</f>
        <v>coin</v>
      </c>
      <c r="I75" s="9" t="str">
        <f>VLOOKUP(C75,[1]characters!$A:$M,13,FALSE)</f>
        <v>unknown</v>
      </c>
      <c r="J75" s="6">
        <v>2400</v>
      </c>
      <c r="K75" s="21">
        <f t="shared" si="4"/>
        <v>3.7589274527001629E-2</v>
      </c>
      <c r="L75" s="28">
        <f>IFERROR(VLOOKUP($C75,bug_conf_sheet!$A:$H,3,FALSE),VLOOKUP("other",bug_conf_sheet!$A:$H,3,FALSE))</f>
        <v>1</v>
      </c>
      <c r="M75" s="28">
        <f>IFERROR(VLOOKUP($C75,bug_conf_sheet!$A:$H,4,FALSE),VLOOKUP("other",bug_conf_sheet!$A:$H,4,FALSE))</f>
        <v>0</v>
      </c>
      <c r="N75" s="28">
        <f>IFERROR(VLOOKUP($C75,bug_conf_sheet!$A:$H,5,FALSE),VLOOKUP("other",bug_conf_sheet!$A:$H,5,FALSE))</f>
        <v>0</v>
      </c>
      <c r="O75" s="28">
        <f>IFERROR(VLOOKUP($C75,bug_conf_sheet!$A:$H,6,FALSE),VLOOKUP("other",bug_conf_sheet!$A:$H,6,FALSE))</f>
        <v>0</v>
      </c>
      <c r="P75" s="28">
        <f>IFERROR(VLOOKUP($C75,bug_conf_sheet!$A:$H,7,FALSE),VLOOKUP("other",bug_conf_sheet!$A:$H,7,FALSE))</f>
        <v>0</v>
      </c>
      <c r="Q75" s="28">
        <f>IFERROR(VLOOKUP($C75,bug_conf_sheet!$A:$H,8,FALSE),VLOOKUP("other",bug_conf_sheet!$A:$H,8,FALSE))</f>
        <v>1</v>
      </c>
    </row>
    <row r="76" spans="1:17" ht="21" customHeight="1">
      <c r="A76" s="8" t="str">
        <f t="shared" si="3"/>
        <v>206_119_1</v>
      </c>
      <c r="B76" s="5">
        <v>206</v>
      </c>
      <c r="C76" s="7">
        <v>119</v>
      </c>
      <c r="D76" s="9" t="str">
        <f ca="1">VLOOKUP($C76,OFFSET([1]characters!$A$1,0,0,COUNTA([1]characters!$A:$A),MATCH(D$1,[1]characters!$1:$1,0)-MATCH($C$1,[1]characters!$1:$1,0)+1),MATCH(D$1,[1]characters!$1:$1,0)-MATCH($C$1,[1]characters!$1:$1,0)+1,FALSE)</f>
        <v>ゴールドダック</v>
      </c>
      <c r="E76" s="9" t="str">
        <f ca="1">VLOOKUP($C76,OFFSET([1]characters!$A$1,0,0,COUNTA([1]characters!$A:$A),MATCH(E$1,[1]characters!$1:$1,0)-MATCH($C$1,[1]characters!$1:$1,0)+1),MATCH(E$1,[1]characters!$1:$1,0)-MATCH($C$1,[1]characters!$1:$1,0)+1,FALSE)</f>
        <v>Material</v>
      </c>
      <c r="F76" s="9">
        <f ca="1">VLOOKUP($C76,OFFSET([1]characters!$A$1,0,0,COUNTA([1]characters!$A:$A),MATCH(F$1,[1]characters!$1:$1,0)-MATCH($C$1,[1]characters!$1:$1,0)+1),MATCH(F$1,[1]characters!$1:$1,0)-MATCH($C$1,[1]characters!$1:$1,0)+1,FALSE)</f>
        <v>5</v>
      </c>
      <c r="G76" s="9" t="str">
        <f ca="1">VLOOKUP($C76,OFFSET([1]characters!$A$1,0,0,COUNTA([1]characters!$A:$A),MATCH(G$1,[1]characters!$1:$1,0)-MATCH($C$1,[1]characters!$1:$1,0)+1),MATCH(G$1,[1]characters!$1:$1,0)-MATCH($C$1,[1]characters!$1:$1,0)+1,FALSE)</f>
        <v>yellow</v>
      </c>
      <c r="H76" s="9" t="str">
        <f>VLOOKUP(C76,[1]characters!$A:$K,11,FALSE)</f>
        <v>coin</v>
      </c>
      <c r="I76" s="9" t="str">
        <f>VLOOKUP(C76,[1]characters!$A:$M,13,FALSE)</f>
        <v>unknown</v>
      </c>
      <c r="J76" s="6">
        <v>11200</v>
      </c>
      <c r="K76" s="21">
        <f t="shared" si="4"/>
        <v>0.17541661445934092</v>
      </c>
      <c r="L76" s="28">
        <f>IFERROR(VLOOKUP($C76,bug_conf_sheet!$A:$H,3,FALSE),VLOOKUP("other",bug_conf_sheet!$A:$H,3,FALSE))</f>
        <v>1</v>
      </c>
      <c r="M76" s="28">
        <f>IFERROR(VLOOKUP($C76,bug_conf_sheet!$A:$H,4,FALSE),VLOOKUP("other",bug_conf_sheet!$A:$H,4,FALSE))</f>
        <v>0</v>
      </c>
      <c r="N76" s="28">
        <f>IFERROR(VLOOKUP($C76,bug_conf_sheet!$A:$H,5,FALSE),VLOOKUP("other",bug_conf_sheet!$A:$H,5,FALSE))</f>
        <v>0</v>
      </c>
      <c r="O76" s="28">
        <f>IFERROR(VLOOKUP($C76,bug_conf_sheet!$A:$H,6,FALSE),VLOOKUP("other",bug_conf_sheet!$A:$H,6,FALSE))</f>
        <v>0</v>
      </c>
      <c r="P76" s="28">
        <f>IFERROR(VLOOKUP($C76,bug_conf_sheet!$A:$H,7,FALSE),VLOOKUP("other",bug_conf_sheet!$A:$H,7,FALSE))</f>
        <v>0</v>
      </c>
      <c r="Q76" s="28">
        <f>IFERROR(VLOOKUP($C76,bug_conf_sheet!$A:$H,8,FALSE),VLOOKUP("other",bug_conf_sheet!$A:$H,8,FALSE))</f>
        <v>1</v>
      </c>
    </row>
    <row r="77" spans="1:17" ht="21" customHeight="1">
      <c r="A77" s="8" t="str">
        <f t="shared" si="3"/>
        <v>206_121_1</v>
      </c>
      <c r="B77" s="5">
        <v>206</v>
      </c>
      <c r="C77" s="7">
        <v>121</v>
      </c>
      <c r="D77" s="9" t="str">
        <f ca="1">VLOOKUP($C77,OFFSET([1]characters!$A$1,0,0,COUNTA([1]characters!$A:$A),MATCH(D$1,[1]characters!$1:$1,0)-MATCH($C$1,[1]characters!$1:$1,0)+1),MATCH(D$1,[1]characters!$1:$1,0)-MATCH($C$1,[1]characters!$1:$1,0)+1,FALSE)</f>
        <v>攻めの果実</v>
      </c>
      <c r="E77" s="9" t="str">
        <f ca="1">VLOOKUP($C77,OFFSET([1]characters!$A$1,0,0,COUNTA([1]characters!$A:$A),MATCH(E$1,[1]characters!$1:$1,0)-MATCH($C$1,[1]characters!$1:$1,0)+1),MATCH(E$1,[1]characters!$1:$1,0)-MATCH($C$1,[1]characters!$1:$1,0)+1,FALSE)</f>
        <v>Material</v>
      </c>
      <c r="F77" s="9">
        <f ca="1">VLOOKUP($C77,OFFSET([1]characters!$A$1,0,0,COUNTA([1]characters!$A:$A),MATCH(F$1,[1]characters!$1:$1,0)-MATCH($C$1,[1]characters!$1:$1,0)+1),MATCH(F$1,[1]characters!$1:$1,0)-MATCH($C$1,[1]characters!$1:$1,0)+1,FALSE)</f>
        <v>3</v>
      </c>
      <c r="G77" s="9" t="str">
        <f ca="1">VLOOKUP($C77,OFFSET([1]characters!$A$1,0,0,COUNTA([1]characters!$A:$A),MATCH(G$1,[1]characters!$1:$1,0)-MATCH($C$1,[1]characters!$1:$1,0)+1),MATCH(G$1,[1]characters!$1:$1,0)-MATCH($C$1,[1]characters!$1:$1,0)+1,FALSE)</f>
        <v>red</v>
      </c>
      <c r="H77" s="9" t="str">
        <f>VLOOKUP(C77,[1]characters!$A:$K,11,FALSE)</f>
        <v>limitbreak</v>
      </c>
      <c r="I77" s="9" t="str">
        <f>VLOOKUP(C77,[1]characters!$A:$M,13,FALSE)</f>
        <v>unknown</v>
      </c>
      <c r="J77" s="6">
        <v>5600</v>
      </c>
      <c r="K77" s="21">
        <f t="shared" si="4"/>
        <v>8.7708307229670462E-2</v>
      </c>
      <c r="L77" s="28">
        <f>IFERROR(VLOOKUP($C77,bug_conf_sheet!$A:$H,3,FALSE),VLOOKUP("other",bug_conf_sheet!$A:$H,3,FALSE))</f>
        <v>1</v>
      </c>
      <c r="M77" s="28">
        <f>IFERROR(VLOOKUP($C77,bug_conf_sheet!$A:$H,4,FALSE),VLOOKUP("other",bug_conf_sheet!$A:$H,4,FALSE))</f>
        <v>0</v>
      </c>
      <c r="N77" s="28">
        <f>IFERROR(VLOOKUP($C77,bug_conf_sheet!$A:$H,5,FALSE),VLOOKUP("other",bug_conf_sheet!$A:$H,5,FALSE))</f>
        <v>0</v>
      </c>
      <c r="O77" s="28">
        <f>IFERROR(VLOOKUP($C77,bug_conf_sheet!$A:$H,6,FALSE),VLOOKUP("other",bug_conf_sheet!$A:$H,6,FALSE))</f>
        <v>0</v>
      </c>
      <c r="P77" s="28">
        <f>IFERROR(VLOOKUP($C77,bug_conf_sheet!$A:$H,7,FALSE),VLOOKUP("other",bug_conf_sheet!$A:$H,7,FALSE))</f>
        <v>0</v>
      </c>
      <c r="Q77" s="28">
        <f>IFERROR(VLOOKUP($C77,bug_conf_sheet!$A:$H,8,FALSE),VLOOKUP("other",bug_conf_sheet!$A:$H,8,FALSE))</f>
        <v>1</v>
      </c>
    </row>
    <row r="78" spans="1:17" ht="21" customHeight="1">
      <c r="A78" s="8" t="str">
        <f t="shared" si="3"/>
        <v>206_122_1</v>
      </c>
      <c r="B78" s="5">
        <v>206</v>
      </c>
      <c r="C78" s="7">
        <v>122</v>
      </c>
      <c r="D78" s="9" t="str">
        <f ca="1">VLOOKUP($C78,OFFSET([1]characters!$A$1,0,0,COUNTA([1]characters!$A:$A),MATCH(D$1,[1]characters!$1:$1,0)-MATCH($C$1,[1]characters!$1:$1,0)+1),MATCH(D$1,[1]characters!$1:$1,0)-MATCH($C$1,[1]characters!$1:$1,0)+1,FALSE)</f>
        <v>生命の果実</v>
      </c>
      <c r="E78" s="9" t="str">
        <f ca="1">VLOOKUP($C78,OFFSET([1]characters!$A$1,0,0,COUNTA([1]characters!$A:$A),MATCH(E$1,[1]characters!$1:$1,0)-MATCH($C$1,[1]characters!$1:$1,0)+1),MATCH(E$1,[1]characters!$1:$1,0)-MATCH($C$1,[1]characters!$1:$1,0)+1,FALSE)</f>
        <v>Material</v>
      </c>
      <c r="F78" s="9">
        <f ca="1">VLOOKUP($C78,OFFSET([1]characters!$A$1,0,0,COUNTA([1]characters!$A:$A),MATCH(F$1,[1]characters!$1:$1,0)-MATCH($C$1,[1]characters!$1:$1,0)+1),MATCH(F$1,[1]characters!$1:$1,0)-MATCH($C$1,[1]characters!$1:$1,0)+1,FALSE)</f>
        <v>3</v>
      </c>
      <c r="G78" s="9" t="str">
        <f ca="1">VLOOKUP($C78,OFFSET([1]characters!$A$1,0,0,COUNTA([1]characters!$A:$A),MATCH(G$1,[1]characters!$1:$1,0)-MATCH($C$1,[1]characters!$1:$1,0)+1),MATCH(G$1,[1]characters!$1:$1,0)-MATCH($C$1,[1]characters!$1:$1,0)+1,FALSE)</f>
        <v>green</v>
      </c>
      <c r="H78" s="9" t="str">
        <f>VLOOKUP(C78,[1]characters!$A:$K,11,FALSE)</f>
        <v>limitbreak</v>
      </c>
      <c r="I78" s="9" t="str">
        <f>VLOOKUP(C78,[1]characters!$A:$M,13,FALSE)</f>
        <v>unknown</v>
      </c>
      <c r="J78" s="6">
        <v>5600</v>
      </c>
      <c r="K78" s="21">
        <f t="shared" si="4"/>
        <v>8.7708307229670462E-2</v>
      </c>
      <c r="L78" s="28">
        <f>IFERROR(VLOOKUP($C78,bug_conf_sheet!$A:$H,3,FALSE),VLOOKUP("other",bug_conf_sheet!$A:$H,3,FALSE))</f>
        <v>1</v>
      </c>
      <c r="M78" s="28">
        <f>IFERROR(VLOOKUP($C78,bug_conf_sheet!$A:$H,4,FALSE),VLOOKUP("other",bug_conf_sheet!$A:$H,4,FALSE))</f>
        <v>0</v>
      </c>
      <c r="N78" s="28">
        <f>IFERROR(VLOOKUP($C78,bug_conf_sheet!$A:$H,5,FALSE),VLOOKUP("other",bug_conf_sheet!$A:$H,5,FALSE))</f>
        <v>0</v>
      </c>
      <c r="O78" s="28">
        <f>IFERROR(VLOOKUP($C78,bug_conf_sheet!$A:$H,6,FALSE),VLOOKUP("other",bug_conf_sheet!$A:$H,6,FALSE))</f>
        <v>0</v>
      </c>
      <c r="P78" s="28">
        <f>IFERROR(VLOOKUP($C78,bug_conf_sheet!$A:$H,7,FALSE),VLOOKUP("other",bug_conf_sheet!$A:$H,7,FALSE))</f>
        <v>0</v>
      </c>
      <c r="Q78" s="28">
        <f>IFERROR(VLOOKUP($C78,bug_conf_sheet!$A:$H,8,FALSE),VLOOKUP("other",bug_conf_sheet!$A:$H,8,FALSE))</f>
        <v>1</v>
      </c>
    </row>
    <row r="79" spans="1:17" ht="21" customHeight="1">
      <c r="A79" s="8" t="str">
        <f t="shared" si="3"/>
        <v>206_123_1</v>
      </c>
      <c r="B79" s="5">
        <v>206</v>
      </c>
      <c r="C79" s="7">
        <v>123</v>
      </c>
      <c r="D79" s="9" t="str">
        <f ca="1">VLOOKUP($C79,OFFSET([1]characters!$A$1,0,0,COUNTA([1]characters!$A:$A),MATCH(D$1,[1]characters!$1:$1,0)-MATCH($C$1,[1]characters!$1:$1,0)+1),MATCH(D$1,[1]characters!$1:$1,0)-MATCH($C$1,[1]characters!$1:$1,0)+1,FALSE)</f>
        <v>癒しの果実</v>
      </c>
      <c r="E79" s="9" t="str">
        <f ca="1">VLOOKUP($C79,OFFSET([1]characters!$A$1,0,0,COUNTA([1]characters!$A:$A),MATCH(E$1,[1]characters!$1:$1,0)-MATCH($C$1,[1]characters!$1:$1,0)+1),MATCH(E$1,[1]characters!$1:$1,0)-MATCH($C$1,[1]characters!$1:$1,0)+1,FALSE)</f>
        <v>Material</v>
      </c>
      <c r="F79" s="9">
        <f ca="1">VLOOKUP($C79,OFFSET([1]characters!$A$1,0,0,COUNTA([1]characters!$A:$A),MATCH(F$1,[1]characters!$1:$1,0)-MATCH($C$1,[1]characters!$1:$1,0)+1),MATCH(F$1,[1]characters!$1:$1,0)-MATCH($C$1,[1]characters!$1:$1,0)+1,FALSE)</f>
        <v>3</v>
      </c>
      <c r="G79" s="9" t="str">
        <f ca="1">VLOOKUP($C79,OFFSET([1]characters!$A$1,0,0,COUNTA([1]characters!$A:$A),MATCH(G$1,[1]characters!$1:$1,0)-MATCH($C$1,[1]characters!$1:$1,0)+1),MATCH(G$1,[1]characters!$1:$1,0)-MATCH($C$1,[1]characters!$1:$1,0)+1,FALSE)</f>
        <v>blue</v>
      </c>
      <c r="H79" s="9" t="str">
        <f>VLOOKUP(C79,[1]characters!$A:$K,11,FALSE)</f>
        <v>limitbreak</v>
      </c>
      <c r="I79" s="9" t="str">
        <f>VLOOKUP(C79,[1]characters!$A:$M,13,FALSE)</f>
        <v>unknown</v>
      </c>
      <c r="J79" s="6">
        <v>5600</v>
      </c>
      <c r="K79" s="21">
        <f t="shared" si="4"/>
        <v>8.7708307229670462E-2</v>
      </c>
      <c r="L79" s="28">
        <f>IFERROR(VLOOKUP($C79,bug_conf_sheet!$A:$H,3,FALSE),VLOOKUP("other",bug_conf_sheet!$A:$H,3,FALSE))</f>
        <v>1</v>
      </c>
      <c r="M79" s="28">
        <f>IFERROR(VLOOKUP($C79,bug_conf_sheet!$A:$H,4,FALSE),VLOOKUP("other",bug_conf_sheet!$A:$H,4,FALSE))</f>
        <v>0</v>
      </c>
      <c r="N79" s="28">
        <f>IFERROR(VLOOKUP($C79,bug_conf_sheet!$A:$H,5,FALSE),VLOOKUP("other",bug_conf_sheet!$A:$H,5,FALSE))</f>
        <v>0</v>
      </c>
      <c r="O79" s="28">
        <f>IFERROR(VLOOKUP($C79,bug_conf_sheet!$A:$H,6,FALSE),VLOOKUP("other",bug_conf_sheet!$A:$H,6,FALSE))</f>
        <v>0</v>
      </c>
      <c r="P79" s="28">
        <f>IFERROR(VLOOKUP($C79,bug_conf_sheet!$A:$H,7,FALSE),VLOOKUP("other",bug_conf_sheet!$A:$H,7,FALSE))</f>
        <v>0</v>
      </c>
      <c r="Q79" s="28">
        <f>IFERROR(VLOOKUP($C79,bug_conf_sheet!$A:$H,8,FALSE),VLOOKUP("other",bug_conf_sheet!$A:$H,8,FALSE))</f>
        <v>1</v>
      </c>
    </row>
    <row r="80" spans="1:17" ht="21" customHeight="1">
      <c r="A80" s="8" t="str">
        <f t="shared" si="3"/>
        <v>206_125_1</v>
      </c>
      <c r="B80" s="5">
        <v>206</v>
      </c>
      <c r="C80" s="7">
        <v>125</v>
      </c>
      <c r="D80" s="9" t="str">
        <f ca="1">VLOOKUP($C80,OFFSET([1]characters!$A$1,0,0,COUNTA([1]characters!$A:$A),MATCH(D$1,[1]characters!$1:$1,0)-MATCH($C$1,[1]characters!$1:$1,0)+1),MATCH(D$1,[1]characters!$1:$1,0)-MATCH($C$1,[1]characters!$1:$1,0)+1,FALSE)</f>
        <v>秘術の果実</v>
      </c>
      <c r="E80" s="9" t="str">
        <f ca="1">VLOOKUP($C80,OFFSET([1]characters!$A$1,0,0,COUNTA([1]characters!$A:$A),MATCH(E$1,[1]characters!$1:$1,0)-MATCH($C$1,[1]characters!$1:$1,0)+1),MATCH(E$1,[1]characters!$1:$1,0)-MATCH($C$1,[1]characters!$1:$1,0)+1,FALSE)</f>
        <v>Material</v>
      </c>
      <c r="F80" s="9">
        <f ca="1">VLOOKUP($C80,OFFSET([1]characters!$A$1,0,0,COUNTA([1]characters!$A:$A),MATCH(F$1,[1]characters!$1:$1,0)-MATCH($C$1,[1]characters!$1:$1,0)+1),MATCH(F$1,[1]characters!$1:$1,0)-MATCH($C$1,[1]characters!$1:$1,0)+1,FALSE)</f>
        <v>3</v>
      </c>
      <c r="G80" s="9" t="str">
        <f ca="1">VLOOKUP($C80,OFFSET([1]characters!$A$1,0,0,COUNTA([1]characters!$A:$A),MATCH(G$1,[1]characters!$1:$1,0)-MATCH($C$1,[1]characters!$1:$1,0)+1),MATCH(G$1,[1]characters!$1:$1,0)-MATCH($C$1,[1]characters!$1:$1,0)+1,FALSE)</f>
        <v>blue</v>
      </c>
      <c r="H80" s="9" t="str">
        <f>VLOOKUP(C80,[1]characters!$A:$K,11,FALSE)</f>
        <v>skilllevel</v>
      </c>
      <c r="I80" s="9" t="str">
        <f>VLOOKUP(C80,[1]characters!$A:$M,13,FALSE)</f>
        <v>unknown</v>
      </c>
      <c r="J80" s="6">
        <v>1336</v>
      </c>
      <c r="K80" s="21">
        <f t="shared" si="4"/>
        <v>2.0924696153364241E-2</v>
      </c>
      <c r="L80" s="28">
        <f>IFERROR(VLOOKUP($C80,bug_conf_sheet!$A:$H,3,FALSE),VLOOKUP("other",bug_conf_sheet!$A:$H,3,FALSE))</f>
        <v>1</v>
      </c>
      <c r="M80" s="28">
        <f>IFERROR(VLOOKUP($C80,bug_conf_sheet!$A:$H,4,FALSE),VLOOKUP("other",bug_conf_sheet!$A:$H,4,FALSE))</f>
        <v>0</v>
      </c>
      <c r="N80" s="28">
        <f>IFERROR(VLOOKUP($C80,bug_conf_sheet!$A:$H,5,FALSE),VLOOKUP("other",bug_conf_sheet!$A:$H,5,FALSE))</f>
        <v>0</v>
      </c>
      <c r="O80" s="28">
        <f>IFERROR(VLOOKUP($C80,bug_conf_sheet!$A:$H,6,FALSE),VLOOKUP("other",bug_conf_sheet!$A:$H,6,FALSE))</f>
        <v>0</v>
      </c>
      <c r="P80" s="28">
        <f>IFERROR(VLOOKUP($C80,bug_conf_sheet!$A:$H,7,FALSE),VLOOKUP("other",bug_conf_sheet!$A:$H,7,FALSE))</f>
        <v>0</v>
      </c>
      <c r="Q80" s="28">
        <f>IFERROR(VLOOKUP($C80,bug_conf_sheet!$A:$H,8,FALSE),VLOOKUP("other",bug_conf_sheet!$A:$H,8,FALSE))</f>
        <v>1</v>
      </c>
    </row>
    <row r="81" spans="1:17" ht="21" customHeight="1">
      <c r="A81" s="8" t="str">
        <f t="shared" ref="A81" si="5">B81&amp;"_"&amp;C81&amp;"_"&amp;L81</f>
        <v>206_557_1</v>
      </c>
      <c r="B81" s="5">
        <v>206</v>
      </c>
      <c r="C81" s="7">
        <v>557</v>
      </c>
      <c r="D81" s="9" t="str">
        <f ca="1">VLOOKUP($C81,OFFSET([1]characters!$A$1,0,0,COUNTA([1]characters!$A:$A),MATCH(D$1,[1]characters!$1:$1,0)-MATCH($C$1,[1]characters!$1:$1,0)+1),MATCH(D$1,[1]characters!$1:$1,0)-MATCH($C$1,[1]characters!$1:$1,0)+1,FALSE)</f>
        <v>ラビット・ユキネ</v>
      </c>
      <c r="E81" s="9" t="str">
        <f ca="1">VLOOKUP($C81,OFFSET([1]characters!$A$1,0,0,COUNTA([1]characters!$A:$A),MATCH(E$1,[1]characters!$1:$1,0)-MATCH($C$1,[1]characters!$1:$1,0)+1),MATCH(E$1,[1]characters!$1:$1,0)-MATCH($C$1,[1]characters!$1:$1,0)+1,FALSE)</f>
        <v>Drop2N</v>
      </c>
      <c r="F81" s="9">
        <f ca="1">VLOOKUP($C81,OFFSET([1]characters!$A$1,0,0,COUNTA([1]characters!$A:$A),MATCH(F$1,[1]characters!$1:$1,0)-MATCH($C$1,[1]characters!$1:$1,0)+1),MATCH(F$1,[1]characters!$1:$1,0)-MATCH($C$1,[1]characters!$1:$1,0)+1,FALSE)</f>
        <v>3</v>
      </c>
      <c r="G81" s="9" t="str">
        <f ca="1">VLOOKUP($C81,OFFSET([1]characters!$A$1,0,0,COUNTA([1]characters!$A:$A),MATCH(G$1,[1]characters!$1:$1,0)-MATCH($C$1,[1]characters!$1:$1,0)+1),MATCH(G$1,[1]characters!$1:$1,0)-MATCH($C$1,[1]characters!$1:$1,0)+1,FALSE)</f>
        <v>blue</v>
      </c>
      <c r="H81" s="9" t="str">
        <f>VLOOKUP(C81,[1]characters!$A:$K,11,FALSE)</f>
        <v>balance</v>
      </c>
      <c r="I81" s="9" t="str">
        <f>VLOOKUP(C81,[1]characters!$A:$M,13,FALSE)</f>
        <v>unknown</v>
      </c>
      <c r="J81" s="6">
        <v>16000</v>
      </c>
      <c r="K81" s="21">
        <f t="shared" ref="K81" si="6">J81/SUM($J$2:$J$80)</f>
        <v>0.25059516351334421</v>
      </c>
      <c r="L81" s="28">
        <f>IFERROR(VLOOKUP($C81,bug_conf_sheet!$A:$H,3,FALSE),VLOOKUP("other",bug_conf_sheet!$A:$H,3,FALSE))</f>
        <v>1</v>
      </c>
      <c r="M81" s="28">
        <f>IFERROR(VLOOKUP($C81,bug_conf_sheet!$A:$H,4,FALSE),VLOOKUP("other",bug_conf_sheet!$A:$H,4,FALSE))</f>
        <v>0</v>
      </c>
      <c r="N81" s="28">
        <f>IFERROR(VLOOKUP($C81,bug_conf_sheet!$A:$H,5,FALSE),VLOOKUP("other",bug_conf_sheet!$A:$H,5,FALSE))</f>
        <v>0</v>
      </c>
      <c r="O81" s="28">
        <f>IFERROR(VLOOKUP($C81,bug_conf_sheet!$A:$H,6,FALSE),VLOOKUP("other",bug_conf_sheet!$A:$H,6,FALSE))</f>
        <v>0</v>
      </c>
      <c r="P81" s="28">
        <f>IFERROR(VLOOKUP($C81,bug_conf_sheet!$A:$H,7,FALSE),VLOOKUP("other",bug_conf_sheet!$A:$H,7,FALSE))</f>
        <v>0</v>
      </c>
      <c r="Q81" s="28">
        <f>IFERROR(VLOOKUP($C81,bug_conf_sheet!$A:$H,8,FALSE),VLOOKUP("other",bug_conf_sheet!$A:$H,8,FALSE))</f>
        <v>1</v>
      </c>
    </row>
  </sheetData>
  <autoFilter ref="B1:J80">
    <sortState ref="B2:S126">
      <sortCondition ref="F1:F126"/>
    </sortState>
  </autoFilter>
  <phoneticPr fontId="6"/>
  <pageMargins left="0.75" right="0.75" top="1" bottom="1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tabColor rgb="FFFF0000"/>
  </sheetPr>
  <dimension ref="A1:H6"/>
  <sheetViews>
    <sheetView workbookViewId="0">
      <pane ySplit="1" topLeftCell="A2" activePane="bottomLeft" state="frozen"/>
      <selection pane="bottomLeft" activeCell="E6" sqref="E6"/>
    </sheetView>
  </sheetViews>
  <sheetFormatPr baseColWidth="12" defaultRowHeight="14" x14ac:dyDescent="0"/>
  <cols>
    <col min="2" max="2" width="36.6640625" customWidth="1"/>
    <col min="3" max="8" width="12.5" customWidth="1"/>
  </cols>
  <sheetData>
    <row r="1" spans="1:8">
      <c r="A1" s="22" t="s">
        <v>52</v>
      </c>
      <c r="B1" s="23" t="s">
        <v>53</v>
      </c>
      <c r="C1" s="24" t="s">
        <v>54</v>
      </c>
      <c r="D1" s="25" t="s">
        <v>18</v>
      </c>
      <c r="E1" s="25" t="s">
        <v>19</v>
      </c>
      <c r="F1" s="25" t="s">
        <v>20</v>
      </c>
      <c r="G1" s="25" t="s">
        <v>21</v>
      </c>
      <c r="H1" s="25" t="s">
        <v>22</v>
      </c>
    </row>
    <row r="2" spans="1:8">
      <c r="A2" s="22"/>
      <c r="B2" s="26" t="str">
        <f>IFERROR(VLOOKUP(A2,[1]characters!$A:$C,3,FALSE),"")</f>
        <v/>
      </c>
      <c r="C2" s="27"/>
      <c r="D2" s="27"/>
      <c r="E2" s="27"/>
      <c r="F2" s="27"/>
      <c r="G2" s="27"/>
      <c r="H2" s="22"/>
    </row>
    <row r="3" spans="1:8">
      <c r="A3" s="22"/>
      <c r="B3" s="26" t="str">
        <f>IFERROR(VLOOKUP(A3,[1]characters!$A:$C,3,FALSE),"")</f>
        <v/>
      </c>
      <c r="C3" s="27"/>
      <c r="D3" s="27"/>
      <c r="E3" s="27"/>
      <c r="F3" s="27"/>
      <c r="G3" s="27"/>
      <c r="H3" s="22"/>
    </row>
    <row r="4" spans="1:8">
      <c r="A4" s="22"/>
      <c r="B4" s="26" t="str">
        <f>IFERROR(VLOOKUP(A4,[1]characters!$A:$C,3,FALSE),"")</f>
        <v/>
      </c>
      <c r="C4" s="27"/>
      <c r="D4" s="27"/>
      <c r="E4" s="27"/>
      <c r="F4" s="27"/>
      <c r="G4" s="27"/>
      <c r="H4" s="22"/>
    </row>
    <row r="5" spans="1:8">
      <c r="A5" s="22"/>
      <c r="B5" s="26" t="str">
        <f>IFERROR(VLOOKUP(A5,[1]characters!$A:$C,3,FALSE),"")</f>
        <v/>
      </c>
      <c r="C5" s="27"/>
      <c r="D5" s="27"/>
      <c r="E5" s="27"/>
      <c r="F5" s="27"/>
      <c r="G5" s="27"/>
      <c r="H5" s="22"/>
    </row>
    <row r="6" spans="1:8">
      <c r="A6" s="22" t="s">
        <v>55</v>
      </c>
      <c r="B6" s="26" t="str">
        <f>IFERROR(VLOOKUP(A6,[1]characters!$A:$C,3,FALSE),"")</f>
        <v/>
      </c>
      <c r="C6" s="27">
        <v>1</v>
      </c>
      <c r="D6" s="27">
        <v>0</v>
      </c>
      <c r="E6" s="27">
        <v>0</v>
      </c>
      <c r="F6" s="27">
        <v>0</v>
      </c>
      <c r="G6" s="27">
        <v>0</v>
      </c>
      <c r="H6" s="22">
        <v>1</v>
      </c>
    </row>
  </sheetData>
  <phoneticPr fontId="6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output</vt:lpstr>
      <vt:lpstr>gacha_select_tables</vt:lpstr>
      <vt:lpstr>bug_conf_sheet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亀井 優一</cp:lastModifiedBy>
  <dcterms:created xsi:type="dcterms:W3CDTF">2015-04-01T12:34:09Z</dcterms:created>
  <dcterms:modified xsi:type="dcterms:W3CDTF">2016-01-26T05:21:06Z</dcterms:modified>
</cp:coreProperties>
</file>