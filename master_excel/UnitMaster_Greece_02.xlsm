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F8" i="57"/>
  <c r="E8" i="57"/>
  <c r="B8" i="57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2" i="23"/>
  <c r="BR2" i="23"/>
  <c r="E10" i="54"/>
  <c r="D10" i="54"/>
  <c r="B10" i="54"/>
  <c r="F7" i="57"/>
  <c r="E7" i="57"/>
  <c r="B7" i="57"/>
  <c r="C12" i="3"/>
  <c r="D12" i="3"/>
  <c r="H15" i="3"/>
  <c r="G7" i="58"/>
  <c r="U7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J25" i="3"/>
  <c r="H25" i="3"/>
  <c r="C25" i="3"/>
  <c r="F25" i="3"/>
  <c r="E25" i="3"/>
  <c r="D25" i="3"/>
  <c r="A25" i="3"/>
  <c r="E51" i="54"/>
  <c r="D51" i="54"/>
  <c r="B51" i="54"/>
  <c r="E50" i="54"/>
  <c r="D50" i="54"/>
  <c r="B50" i="54"/>
  <c r="E49" i="54"/>
  <c r="D49" i="54"/>
  <c r="B49" i="54"/>
  <c r="E48" i="54"/>
  <c r="D48" i="54"/>
  <c r="B48" i="54"/>
  <c r="E47" i="54"/>
  <c r="D47" i="54"/>
  <c r="B47" i="54"/>
  <c r="E46" i="54"/>
  <c r="D46" i="54"/>
  <c r="B46" i="54"/>
  <c r="E45" i="54"/>
  <c r="D45" i="54"/>
  <c r="B45" i="54"/>
  <c r="H13" i="53"/>
  <c r="G13" i="53"/>
  <c r="E13" i="53"/>
  <c r="H12" i="53"/>
  <c r="G12" i="53"/>
  <c r="E12" i="53"/>
  <c r="K13" i="52"/>
  <c r="J13" i="52"/>
  <c r="H13" i="52"/>
  <c r="E13" i="52"/>
  <c r="K12" i="52"/>
  <c r="J12" i="52"/>
  <c r="H12" i="52"/>
  <c r="E12" i="52"/>
  <c r="G13" i="23"/>
  <c r="BC13" i="23"/>
  <c r="BD13" i="23"/>
  <c r="Q13" i="23"/>
  <c r="V13" i="23"/>
  <c r="W13" i="23"/>
  <c r="AD13" i="23"/>
  <c r="I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J13" i="23"/>
  <c r="BK13" i="23"/>
  <c r="G12" i="23"/>
  <c r="BC12" i="23"/>
  <c r="BE13" i="23"/>
  <c r="BJ13" i="23"/>
  <c r="BI13" i="23"/>
  <c r="BH13" i="23"/>
  <c r="BG13" i="23"/>
  <c r="I12" i="23"/>
  <c r="J12" i="23"/>
  <c r="BF13" i="23"/>
  <c r="AX13" i="23"/>
  <c r="AW13" i="23"/>
  <c r="AV13" i="23"/>
  <c r="AU13" i="23"/>
  <c r="AS13" i="23"/>
  <c r="AR13" i="23"/>
  <c r="AQ13" i="23"/>
  <c r="AN13" i="23"/>
  <c r="AM13" i="23"/>
  <c r="AL13" i="23"/>
  <c r="AK13" i="23"/>
  <c r="AI13" i="23"/>
  <c r="AH13" i="23"/>
  <c r="AF13" i="23"/>
  <c r="Y13" i="23"/>
  <c r="Z13" i="23"/>
  <c r="X13" i="23"/>
  <c r="R13" i="23"/>
  <c r="P13" i="23"/>
  <c r="O13" i="23"/>
  <c r="N13" i="23"/>
  <c r="F13" i="23"/>
  <c r="E13" i="23"/>
  <c r="D13" i="23"/>
  <c r="C13" i="23"/>
  <c r="B13" i="23"/>
  <c r="BD12" i="23"/>
  <c r="Q12" i="23"/>
  <c r="V12" i="23"/>
  <c r="W12" i="23"/>
  <c r="AD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BK12" i="23"/>
  <c r="BE12" i="23"/>
  <c r="BJ12" i="23"/>
  <c r="BI12" i="23"/>
  <c r="BH12" i="23"/>
  <c r="BG12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N12" i="23"/>
  <c r="F12" i="23"/>
  <c r="E12" i="23"/>
  <c r="D12" i="23"/>
  <c r="C12" i="23"/>
  <c r="B12" i="23"/>
  <c r="G10" i="23"/>
  <c r="BC10" i="23"/>
  <c r="I10" i="23"/>
  <c r="J10" i="23"/>
  <c r="G4" i="13"/>
  <c r="F6" i="57"/>
  <c r="E6" i="57"/>
  <c r="B6" i="57"/>
  <c r="F5" i="57"/>
  <c r="E5" i="57"/>
  <c r="B5" i="57"/>
  <c r="J24" i="3"/>
  <c r="H24" i="3"/>
  <c r="C24" i="3"/>
  <c r="F24" i="3"/>
  <c r="E24" i="3"/>
  <c r="D24" i="3"/>
  <c r="A24" i="3"/>
  <c r="J23" i="3"/>
  <c r="H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F12" i="3"/>
  <c r="E12" i="3"/>
  <c r="A12" i="3"/>
  <c r="G6" i="58"/>
  <c r="U6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E44" i="54"/>
  <c r="D44" i="54"/>
  <c r="B44" i="54"/>
  <c r="E43" i="54"/>
  <c r="D43" i="54"/>
  <c r="B43" i="54"/>
  <c r="E42" i="54"/>
  <c r="D42" i="54"/>
  <c r="B42" i="54"/>
  <c r="E41" i="54"/>
  <c r="D41" i="54"/>
  <c r="B41" i="54"/>
  <c r="E40" i="54"/>
  <c r="D40" i="54"/>
  <c r="B40" i="54"/>
  <c r="E39" i="54"/>
  <c r="D39" i="54"/>
  <c r="B39" i="54"/>
  <c r="E38" i="54"/>
  <c r="D38" i="54"/>
  <c r="B38" i="54"/>
  <c r="E37" i="54"/>
  <c r="D37" i="54"/>
  <c r="B37" i="54"/>
  <c r="E36" i="54"/>
  <c r="D36" i="54"/>
  <c r="B36" i="54"/>
  <c r="E35" i="54"/>
  <c r="D35" i="54"/>
  <c r="B35" i="54"/>
  <c r="E34" i="54"/>
  <c r="D34" i="54"/>
  <c r="B34" i="54"/>
  <c r="E33" i="54"/>
  <c r="D33" i="54"/>
  <c r="B33" i="54"/>
  <c r="E32" i="54"/>
  <c r="D32" i="54"/>
  <c r="B32" i="54"/>
  <c r="E31" i="54"/>
  <c r="D31" i="54"/>
  <c r="B31" i="54"/>
  <c r="E30" i="54"/>
  <c r="D30" i="54"/>
  <c r="B30" i="54"/>
  <c r="E29" i="54"/>
  <c r="D29" i="54"/>
  <c r="B29" i="54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H11" i="53"/>
  <c r="G11" i="53"/>
  <c r="E11" i="53"/>
  <c r="H10" i="53"/>
  <c r="G10" i="53"/>
  <c r="E10" i="53"/>
  <c r="H9" i="53"/>
  <c r="G9" i="53"/>
  <c r="E9" i="53"/>
  <c r="H8" i="53"/>
  <c r="G8" i="53"/>
  <c r="E8" i="53"/>
  <c r="H7" i="53"/>
  <c r="G7" i="53"/>
  <c r="E7" i="53"/>
  <c r="H6" i="53"/>
  <c r="G6" i="53"/>
  <c r="E6" i="53"/>
  <c r="K11" i="52"/>
  <c r="J11" i="52"/>
  <c r="H11" i="52"/>
  <c r="E11" i="52"/>
  <c r="K10" i="52"/>
  <c r="J10" i="52"/>
  <c r="H10" i="52"/>
  <c r="E10" i="52"/>
  <c r="K9" i="52"/>
  <c r="J9" i="52"/>
  <c r="H9" i="52"/>
  <c r="E9" i="52"/>
  <c r="K8" i="52"/>
  <c r="J8" i="52"/>
  <c r="H8" i="52"/>
  <c r="E8" i="52"/>
  <c r="K7" i="52"/>
  <c r="J7" i="52"/>
  <c r="H7" i="52"/>
  <c r="E7" i="52"/>
  <c r="K6" i="52"/>
  <c r="J6" i="52"/>
  <c r="H6" i="52"/>
  <c r="E6" i="52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BE11" i="23"/>
  <c r="BJ11" i="23"/>
  <c r="BI11" i="23"/>
  <c r="BH11" i="23"/>
  <c r="BG11" i="23"/>
  <c r="I9" i="23"/>
  <c r="J9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G3" i="13"/>
  <c r="N11" i="23"/>
  <c r="F11" i="23"/>
  <c r="E11" i="23"/>
  <c r="D11" i="23"/>
  <c r="C11" i="23"/>
  <c r="B11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I8" i="23"/>
  <c r="J8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G9" i="23"/>
  <c r="BC9" i="23"/>
  <c r="BD9" i="23"/>
  <c r="Q9" i="23"/>
  <c r="V9" i="23"/>
  <c r="W9" i="23"/>
  <c r="AD9" i="23"/>
  <c r="M9" i="23"/>
  <c r="BN9" i="23"/>
  <c r="U9" i="23"/>
  <c r="AC9" i="23"/>
  <c r="L9" i="23"/>
  <c r="BM9" i="23"/>
  <c r="T9" i="23"/>
  <c r="AB9" i="23"/>
  <c r="K9" i="23"/>
  <c r="BL9" i="23"/>
  <c r="S9" i="23"/>
  <c r="AA9" i="23"/>
  <c r="BK9" i="23"/>
  <c r="G8" i="23"/>
  <c r="BC8" i="23"/>
  <c r="BE9" i="23"/>
  <c r="BJ9" i="23"/>
  <c r="BI9" i="23"/>
  <c r="BH9" i="23"/>
  <c r="BG9" i="23"/>
  <c r="I7" i="23"/>
  <c r="J7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I6" i="23"/>
  <c r="J6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G7" i="23"/>
  <c r="BC7" i="23"/>
  <c r="BD7" i="23"/>
  <c r="Q7" i="23"/>
  <c r="V7" i="23"/>
  <c r="W7" i="23"/>
  <c r="AD7" i="23"/>
  <c r="M7" i="23"/>
  <c r="BN7" i="23"/>
  <c r="U7" i="23"/>
  <c r="AC7" i="23"/>
  <c r="L7" i="23"/>
  <c r="BM7" i="23"/>
  <c r="T7" i="23"/>
  <c r="AB7" i="23"/>
  <c r="K7" i="23"/>
  <c r="BL7" i="23"/>
  <c r="S7" i="23"/>
  <c r="AA7" i="23"/>
  <c r="BK7" i="23"/>
  <c r="G4" i="23"/>
  <c r="BC4" i="23"/>
  <c r="G6" i="23"/>
  <c r="BC6" i="23"/>
  <c r="BE7" i="23"/>
  <c r="BJ7" i="23"/>
  <c r="BI7" i="23"/>
  <c r="BH7" i="23"/>
  <c r="BG7" i="23"/>
  <c r="I4" i="23"/>
  <c r="J4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4" i="57"/>
  <c r="E4" i="57"/>
  <c r="B4" i="57"/>
  <c r="J9" i="3"/>
  <c r="H9" i="3"/>
  <c r="C9" i="3"/>
  <c r="F9" i="3"/>
  <c r="E9" i="3"/>
  <c r="D9" i="3"/>
  <c r="A9" i="3"/>
  <c r="J6" i="3"/>
  <c r="H6" i="3"/>
  <c r="C6" i="3"/>
  <c r="F6" i="3"/>
  <c r="E6" i="3"/>
  <c r="D6" i="3"/>
  <c r="A6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A3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10" i="1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AF2" i="23"/>
  <c r="E3" i="54"/>
  <c r="E4" i="54"/>
  <c r="E5" i="54"/>
  <c r="E6" i="54"/>
  <c r="E7" i="54"/>
  <c r="E8" i="54"/>
  <c r="E9" i="54"/>
  <c r="E2" i="54"/>
  <c r="D9" i="54"/>
  <c r="B9" i="54"/>
  <c r="B4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G9" i="13"/>
  <c r="B2" i="23"/>
  <c r="B3" i="2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<sst xmlns="http://schemas.openxmlformats.org/spreadsheetml/2006/main" count="1176" uniqueCount="450">
  <si>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</si>
  <si>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</si>
  <si>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</si>
  <si>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</si>
  <si>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</si>
  <si>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</si>
  <si>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</si>
  <si>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</si>
  <si>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</si>
  <si>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</si>
  <si>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</si>
  <si>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</si>
  <si>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</si>
  <si>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</si>
  <si>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</si>
  <si>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</si>
  <si>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</si>
  <si>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</si>
  <si>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</si>
  <si>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</si>
  <si>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</si>
  <si>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</si>
  <si>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</si>
  <si>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</si>
  <si>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</si>
  <si>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</si>
  <si>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</si>
  <si>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</si>
  <si>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</si>
  <si>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</si>
  <si>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</si>
  <si>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</si>
  <si>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</si>
  <si>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</si>
  <si>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</si>
  <si>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</si>
  <si>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</si>
  <si>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</si>
  <si>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</si>
  <si>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</si>
  <si>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</si>
  <si>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</si>
  <si>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</si>
  <si>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</si>
  <si>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</si>
  <si>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</si>
  <si>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</si>
  <si>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</si>
  <si>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</si>
  <si>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</si>
  <si>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</si>
  <si>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</si>
  <si>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</si>
  <si>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</si>
  <si>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</si>
  <si>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</si>
  <si>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</si>
  <si>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</si>
  <si>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</si>
  <si>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</si>
  <si>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</si>
  <si>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</si>
  <si>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</si>
  <si>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</si>
  <si>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</si>
  <si>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</si>
  <si>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</si>
  <si>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</si>
  <si>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</si>
  <si>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</si>
  <si>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</si>
  <si>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</si>
  <si>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</si>
  <si>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</si>
  <si>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</si>
  <si>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</si>
  <si>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</si>
  <si>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</si>
  <si>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</si>
  <si>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</si>
  <si>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</si>
  <si>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</si>
  <si>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</si>
  <si>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</si>
  <si>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</si>
  <si>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</si>
  <si>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</si>
  <si>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</si>
  <si>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</si>
  <si>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</si>
  <si>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</si>
  <si>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</si>
  <si>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</si>
  <si>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</si>
  <si>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</si>
  <si>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</si>
  <si>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</si>
  <si>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</si>
  <si>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</si>
  <si>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</si>
  <si>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</si>
  <si>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</si>
  <si>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</si>
  <si>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</si>
  <si>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</si>
  <si>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</si>
  <si>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</si>
  <si>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</si>
  <si>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</si>
  <si>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</si>
  <si>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</si>
  <si>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</si>
  <si>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</si>
  <si>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</si>
  <si>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</si>
  <si>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</si>
  <si>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</si>
  <si>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</si>
  <si>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</si>
  <si>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</si>
  <si>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</si>
  <si>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</si>
  <si>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</si>
  <si>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</si>
  <si>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</si>
  <si>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</si>
  <si>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</si>
  <si>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</si>
  <si>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</si>
  <si>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</si>
  <si>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</si>
  <si>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</si>
  <si>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</si>
  <si>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</si>
  <si>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</si>
  <si>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</si>
  <si>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</si>
  <si>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</si>
  <si>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</si>
  <si>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</si>
  <si>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</si>
  <si>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</si>
  <si>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</si>
  <si>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</si>
  <si>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</si>
  <si>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</si>
  <si>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</si>
  <si>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</si>
  <si>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</si>
  <si>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</si>
  <si>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</si>
  <si>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</si>
  <si>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</si>
  <si>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</si>
  <si>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</si>
  <si>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</si>
  <si>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</si>
  <si>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</si>
  <si>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</si>
  <si>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</si>
  <si>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</si>
  <si>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</si>
  <si>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</si>
  <si>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</si>
  <si>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</si>
  <si>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</si>
  <si>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</si>
  <si>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</si>
  <si>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</si>
  <si>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</si>
  <si>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</si>
  <si>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</si>
  <si>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</si>
  <si>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</si>
  <si>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</si>
  <si>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</si>
  <si>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</si>
  <si>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</si>
  <si>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</si>
  <si>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</si>
  <si>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</si>
  <si>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</si>
  <si>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</si>
  <si>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</si>
  <si>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</si>
  <si>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</si>
  <si>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</si>
  <si>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</si>
  <si>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</si>
  <si>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</si>
  <si>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</si>
  <si>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</si>
  <si>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</si>
  <si>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</si>
  <si>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</si>
  <si>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</si>
  <si>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</si>
  <si>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</si>
  <si>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</si>
  <si>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</si>
  <si>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</si>
  <si>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</si>
  <si>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</si>
  <si>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</si>
  <si>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</si>
  <si>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</si>
  <si>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</si>
  <si>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</si>
  <si>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</si>
  <si>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</si>
  <si>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</si>
  <si>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</si>
  <si>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</si>
  <si>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</si>
  <si>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</si>
  <si>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</si>
  <si>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</si>
  <si>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</si>
  <si>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</si>
  <si>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</si>
  <si>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</si>
  <si>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</si>
  <si>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</si>
  <si>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</si>
  <si>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</si>
  <si>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</si>
  <si>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</si>
  <si>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</si>
  <si>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</si>
  <si>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</si>
  <si>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</si>
  <si>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</si>
  <si>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</si>
  <si>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</si>
  <si>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</si>
  <si>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</si>
  <si>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</si>
  <si>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</si>
  <si>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</si>
  <si>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</si>
  <si>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</si>
  <si>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</si>
  <si>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</si>
  <si>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</si>
  <si>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</si>
  <si>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</si>
  <si>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</si>
  <si>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</si>
  <si>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</si>
  <si>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</si>
  <si>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</si>
  <si>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</si>
  <si>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</si>
  <si>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</si>
  <si>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</si>
  <si>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</si>
  <si>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</si>
  <si>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</si>
  <si>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</si>
  <si>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</si>
  <si>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</si>
  <si>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</si>
  <si>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</si>
  <si>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</si>
  <si>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</si>
  <si>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</si>
  <si>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</si>
  <si>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</si>
  <si>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</si>
  <si>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</si>
  <si>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</si>
  <si>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</si>
  <si>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</si>
  <si>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</si>
  <si>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</si>
  <si>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</si>
  <si>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</si>
  <si>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</si>
  <si>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</si>
  <si>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</si>
  <si>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</si>
  <si>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</si>
  <si>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</si>
  <si>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</si>
  <si>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</si>
  <si>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</si>
  <si>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</si>
  <si>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</si>
  <si>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</si>
  <si>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</si>
  <si>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</si>
  <si>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</si>
  <si>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</si>
  <si>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</si>
  <si>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</si>
  <si>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</si>
  <si>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</si>
  <si>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</si>
  <si>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</si>
  <si>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</si>
  <si>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</si>
  <si>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</si>
  <si>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</si>
  <si>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</si>
  <si>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</si>
  <si>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</si>
  <si>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</si>
  <si>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</si>
  <si>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</si>
  <si>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</si>
  <si>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</si>
  <si>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</si>
  <si>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</si>
  <si>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</si>
  <si>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</si>
  <si>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</si>
  <si>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</si>
  <si>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Greece02</t>
    <phoneticPr fontId="22"/>
  </si>
  <si>
    <t xml:space="preserve">1体に特大ダメージ </t>
    <phoneticPr fontId="22"/>
  </si>
  <si>
    <t xml:space="preserve">1体に特大ダメージ </t>
    <phoneticPr fontId="22"/>
  </si>
  <si>
    <t>1</t>
    <phoneticPr fontId="22"/>
  </si>
  <si>
    <t>1</t>
    <phoneticPr fontId="22"/>
  </si>
  <si>
    <t>old</t>
    <phoneticPr fontId="22"/>
  </si>
  <si>
    <t>30</t>
    <phoneticPr fontId="22"/>
  </si>
  <si>
    <t>1ターン全ユニットの防御力特大UP+大カウンター+ボムの爆風を強化する</t>
    <phoneticPr fontId="22"/>
  </si>
  <si>
    <t>1体に特大ダメージ
ドラゴンに効果超大</t>
    <phoneticPr fontId="22"/>
  </si>
  <si>
    <t>全体に超大ダメージ</t>
    <phoneticPr fontId="22"/>
  </si>
  <si>
    <t>3ターン全ユニットの防御力特大UP+特大カウンター+1ターンボムの爆風を強化する</t>
    <rPh sb="18" eb="19">
      <t>トクd</t>
    </rPh>
    <phoneticPr fontId="22"/>
  </si>
  <si>
    <t>skip</t>
  </si>
  <si>
    <t>全体に特大ダメージ</t>
    <phoneticPr fontId="22"/>
  </si>
  <si>
    <t>15</t>
    <phoneticPr fontId="22"/>
  </si>
  <si>
    <t>[effect:damage, target:enemy_one, color:blue, val:2.25, animation:damage_one_blue04]</t>
    <phoneticPr fontId="22"/>
  </si>
  <si>
    <t>[effect:crash_growth, val:2, count:-1, animation:change_block],[effect:enhance_unit, target:unit_red, turn:1, status:attack, val:0.175, calc:mul, animation:enhance_unit_all_attack03_unit01],[effect:enhance_unit, target:unit_red, turn:1, status:heal, val:0.315, calc:mul, animation:enhance_unit_all_heal03_unit01]</t>
    <phoneticPr fontId="22"/>
  </si>
  <si>
    <t>[effect:damage_anti_color, target:enemy_one, color:green, val1:3.375, val2:1.2, animation:damage_one_red04]</t>
    <phoneticPr fontId="22"/>
  </si>
  <si>
    <t>ランダムでボムパネル(特大)を1つ生成、1ターンの間、青属性ユニットの攻撃力大UP</t>
    <phoneticPr fontId="22"/>
  </si>
  <si>
    <t>ランダムでボムパネル(特大)を1つ生成、2ターンの間、青属性ユニットの攻撃力大UP</t>
    <phoneticPr fontId="22"/>
  </si>
  <si>
    <t>ノーミスガンスミス</t>
    <phoneticPr fontId="22"/>
  </si>
  <si>
    <t>ノーミスガンスミス・ZERO</t>
    <phoneticPr fontId="22"/>
  </si>
  <si>
    <t>ユニヴァース&lt;絶対権限&gt;</t>
    <phoneticPr fontId="22"/>
  </si>
  <si>
    <t>リ・ユニヴァース&lt;絶対拳現&gt;</t>
    <phoneticPr fontId="22"/>
  </si>
  <si>
    <t>ズュギア・ジェラス</t>
    <phoneticPr fontId="22"/>
  </si>
  <si>
    <t>ガメイラ・リヴィッド</t>
    <phoneticPr fontId="22"/>
  </si>
  <si>
    <t>真約・夫婦議定書</t>
    <phoneticPr fontId="22"/>
  </si>
  <si>
    <t>スライディング・アダマス</t>
    <phoneticPr fontId="22"/>
  </si>
  <si>
    <t>スウィンギング・アダマス</t>
    <phoneticPr fontId="22"/>
  </si>
  <si>
    <t>バイ・ザ・セカンド</t>
    <phoneticPr fontId="22"/>
  </si>
  <si>
    <t>ナイヴズ＆ウルヴズ</t>
    <phoneticPr fontId="22"/>
  </si>
  <si>
    <t>ナイヴズ・セルヴズ＆ウルヴズ</t>
    <phoneticPr fontId="22"/>
  </si>
  <si>
    <t>驕れる者の悲劇</t>
    <phoneticPr fontId="22"/>
  </si>
  <si>
    <t>驕れる者の末路</t>
    <phoneticPr fontId="22"/>
  </si>
  <si>
    <t>走送曲『ワイルドホース』</t>
    <phoneticPr fontId="22"/>
  </si>
  <si>
    <t>暴風の絶奏</t>
    <phoneticPr fontId="22"/>
  </si>
  <si>
    <t>戦走曲『ダークホース』</t>
    <phoneticPr fontId="22"/>
  </si>
  <si>
    <t>私の武器に…誤射はない</t>
    <phoneticPr fontId="22"/>
  </si>
  <si>
    <t>全弾命中させる…</t>
    <phoneticPr fontId="22"/>
  </si>
  <si>
    <t>武装解除を…要求する</t>
    <phoneticPr fontId="22"/>
  </si>
  <si>
    <t>私自身が…武器だ</t>
    <phoneticPr fontId="22"/>
  </si>
  <si>
    <t>完全破壊が命令だ</t>
    <phoneticPr fontId="22"/>
  </si>
  <si>
    <t>貴公も存在できなくなるぞ…</t>
    <phoneticPr fontId="22"/>
  </si>
  <si>
    <t>宇宙の再演と参ろうか…！</t>
    <phoneticPr fontId="22"/>
  </si>
  <si>
    <t>giza</t>
    <phoneticPr fontId="22"/>
  </si>
  <si>
    <t>怖れは大事だぞ…！</t>
    <phoneticPr fontId="22"/>
  </si>
  <si>
    <t>自信と傲慢は違うのだ！</t>
    <phoneticPr fontId="22"/>
  </si>
  <si>
    <t>貴公達には分不相応だな</t>
    <phoneticPr fontId="22"/>
  </si>
  <si>
    <t>始祖への敬意を捨てたか</t>
    <phoneticPr fontId="22"/>
  </si>
  <si>
    <t>嫉妬される覚悟があるかしら</t>
    <phoneticPr fontId="22"/>
  </si>
  <si>
    <t>気を抜くのが早いわよ…！！</t>
    <phoneticPr fontId="22"/>
  </si>
  <si>
    <t>見たい？…貴方正気？</t>
    <phoneticPr fontId="22"/>
  </si>
  <si>
    <t>野次馬は身を滅ぼすわよ</t>
    <phoneticPr fontId="22"/>
  </si>
  <si>
    <t>これはあの人と私の秘密</t>
    <phoneticPr fontId="22"/>
  </si>
  <si>
    <t>女神だってこと忘れた？</t>
    <phoneticPr fontId="22"/>
  </si>
  <si>
    <t>大地はすべて把握している</t>
    <phoneticPr fontId="22"/>
  </si>
  <si>
    <t>大地に刻まれろ…永遠にな</t>
    <phoneticPr fontId="22"/>
  </si>
  <si>
    <t>よく見ておけ…一瞬だ</t>
    <phoneticPr fontId="22"/>
  </si>
  <si>
    <t>俺にも立場があってな…</t>
    <phoneticPr fontId="22"/>
  </si>
  <si>
    <t>地あっての天だ…</t>
    <phoneticPr fontId="22"/>
  </si>
  <si>
    <t>まったく…楽じゃない</t>
    <phoneticPr fontId="22"/>
  </si>
  <si>
    <t>giza</t>
  </si>
  <si>
    <t>maru</t>
    <phoneticPr fontId="22"/>
  </si>
  <si>
    <t>おしおきが必要みたいね？</t>
    <phoneticPr fontId="22"/>
  </si>
  <si>
    <t>調子に乗っちゃったわね</t>
    <phoneticPr fontId="22"/>
  </si>
  <si>
    <t>痛みで覚えてもらうから</t>
    <phoneticPr fontId="22"/>
  </si>
  <si>
    <t>刻みなさい…後悔を！</t>
    <phoneticPr fontId="22"/>
  </si>
  <si>
    <t>その表情…大好物よ！！</t>
    <phoneticPr fontId="22"/>
  </si>
  <si>
    <t>自分でお願いしてごらん</t>
    <phoneticPr fontId="22"/>
  </si>
  <si>
    <t>神々は天に昇らず</t>
    <phoneticPr fontId="22"/>
  </si>
  <si>
    <t>祝福の独奏</t>
    <phoneticPr fontId="22"/>
  </si>
  <si>
    <t>1体に大ダメージ
緑属性に効果特大</t>
    <phoneticPr fontId="22"/>
  </si>
  <si>
    <t>神々よ天にひれ伏せ</t>
    <phoneticPr fontId="22"/>
  </si>
  <si>
    <t>1体に特大ダメージ+
全体に防御力を無視した固定威力ダメージ</t>
    <phoneticPr fontId="22"/>
  </si>
  <si>
    <t>ウェルカム・トゥ・アームズ</t>
    <phoneticPr fontId="22"/>
  </si>
  <si>
    <t>脚力で勝負を…？</t>
    <phoneticPr fontId="22"/>
  </si>
  <si>
    <t>しばし静粛に願いたい…</t>
    <phoneticPr fontId="22"/>
  </si>
  <si>
    <t>疾き音よ…突き進め！！</t>
    <phoneticPr fontId="22"/>
  </si>
  <si>
    <t>僭越ながら…奏でます</t>
    <phoneticPr fontId="22"/>
  </si>
  <si>
    <t>これが私の凱旋曲です！</t>
    <phoneticPr fontId="22"/>
  </si>
  <si>
    <t>1体に特大ダメージ
緑属性に効果超大</t>
    <phoneticPr fontId="22"/>
  </si>
  <si>
    <t>[effect:damage, target:enemy_one, color:blue, val:1.2, animation:damage_one_blue03],[effect:damage_fix_pierce, target:enemy_all, color:blue, val:1000, animation:damage_all_blue01]</t>
    <phoneticPr fontId="22"/>
  </si>
  <si>
    <t>[effect:damage, target:enemy_all, color:green, val:1.25, animation:damage_all_green04]</t>
    <phoneticPr fontId="22"/>
  </si>
  <si>
    <t>[effect:damage_anti_tribe, target:enemy_one, tribe:dragon, val1:3.75, val2:2.25, animation:damage_one_red04]</t>
    <phoneticPr fontId="22"/>
  </si>
  <si>
    <t>[effect:enhance_unit, target:unit_blue/unit_god, turn:1, status:attack, val:0.255, calc:mul, animation:enhance_unit_all_attack04_unit01],[effect:crash_condition, target:unit_blue/unit_god, turn:1, val:-4, animation:crash_panel_reduce04]</t>
    <phoneticPr fontId="22"/>
  </si>
  <si>
    <t>[effect:crash_growth, val:2, count:-1, animation:change_block],[effect:enhance_unit, target:unit_red, turn:2, status:attack, val:0.21, calc:mul, animation:enhance_unit_all_attack04_unit01],[effect:enhance_unit, target:unit_red, turn:2, status:heal, val:0.45, calc:mul, animation:enhance_unit_all_heal04_unit01]</t>
    <phoneticPr fontId="22"/>
  </si>
  <si>
    <t>[effect:damage_anti_color, target:enemy_one, color:green, val1:3.75, val2:1.5, animation:damage_one_red04]</t>
    <phoneticPr fontId="22"/>
  </si>
  <si>
    <t>[effect:damage, target:enemy_one, color:blue, val:1.5, animation:damage_one_blue04],[effect:damage_fix_pierce, target:enemy_all, color:blue, val:1000, animation:damage_all_blue01]</t>
    <phoneticPr fontId="22"/>
  </si>
  <si>
    <t>[effect:damage, target:enemy_all, color:green, val:1.125, animation:damage_all_green04]</t>
    <phoneticPr fontId="22"/>
  </si>
  <si>
    <t>黄・お邪魔パネルを緑パネルに変換+1ターンの間全ユニットの攻撃力をUP</t>
    <phoneticPr fontId="22"/>
  </si>
  <si>
    <t>黄・お邪魔パネルを緑パネルに変換+1ターンの間全ユニットの攻撃力を大UP</t>
    <phoneticPr fontId="22"/>
  </si>
  <si>
    <t>[effect:enhance_unit, target:unit_all, turn:1, status:attack, val:0.17, calc:mul, animation:enhance_unit_all_attack02_unit01],[effect:force_change_block, new_block:block_green, target:block_yellow, count:0, val:0, animation:change_block],[effect:force_change_block, new_block:block_green, target:jammer, count:0, val:0, animation:change_block]</t>
    <phoneticPr fontId="22"/>
  </si>
  <si>
    <t>[effect:enhance_unit, target:unit_all, turn:1, status:attack, val:0.2125, calc:mul, animation:enhance_unit_all_attack03_unit01],[effect:force_change_block, new_block:block_green, target:block_yellow, count:0, val:0, animation:change_block],[effect:force_change_block, new_block:block_green, target:jammer, count:0, val:0, animation:change_block]</t>
    <phoneticPr fontId="22"/>
  </si>
  <si>
    <t>[effect:force_change_block, new_block:crack_bomb, target:block_all, color:block_blue, count:1, val:42, animation:change_block],[effect:enhance_unit, target:unit_blue, turn:2, status:attack, val:0.2125, calc:mul, animation:enhance_unit_all_attack03_unit01]</t>
    <phoneticPr fontId="22"/>
  </si>
  <si>
    <t>[effect:force_change_block, new_block:crack_bomb, target:block_all, color:block_blue, count:1, val:42, animation:change_block],[effect:enhance_unit, target:unit_blue, turn:1, status:attack, val:0.2125, calc:mul, animation:enhance_unit_all_attack03_unit01]</t>
    <phoneticPr fontId="22"/>
  </si>
  <si>
    <t>[effect:enhance_unit, target:unit_all, turn:3, status:defense, val:1080, calc:add, animation:enhance_unit_all_defense04_unit01],[effect:change_bomb_range, target:unit_all, val:1.2, rate:1, turn:1, animation:bomb_big],[effect:counter_new, target:unit_all,invoke_condition:enemy_all, counter_target:attacker, turn:3, val:3, animation:counter_buff04]</t>
    <phoneticPr fontId="22"/>
  </si>
  <si>
    <t>[effect:enhance_unit, target:unit_all, turn:1, status:defense, val:1080, calc:add, animation:enhance_unit_all_defense04_unit01],[effect:change_bomb_range, target:unit_all, val:1.2, rate:1, turn:1, animation:bomb_big],[effect:counter_new, target:unit_all,invoke_condition:enemy_all, counter_target:attacker, turn:1, val:2, animation:counter_buff04]</t>
    <phoneticPr fontId="22"/>
  </si>
  <si>
    <t>フェアウェル・トゥ・アームズ</t>
    <phoneticPr fontId="22"/>
  </si>
  <si>
    <t>出現しているCパネルを大強化+1ターンの間、赤属性ユニットの攻撃力と回復力を大UP</t>
    <phoneticPr fontId="22"/>
  </si>
  <si>
    <t>出現しているCパネルを大強化+2ターンの間、赤属性ユニットの攻撃力と回復力を特大UP</t>
    <phoneticPr fontId="22"/>
  </si>
  <si>
    <t>1ターンの間、ゴッドと青属性ユニットの攻撃力を特大UPし、Cパネル生成短縮(効果特大)</t>
    <phoneticPr fontId="22"/>
  </si>
  <si>
    <t>[effect:damage_anti_tribe, target:enemy_one, tribe:dragon, val1:3.75, val2:1.5, animation:damage_one_red04],[effect:enhance_unit, target:unit_all, turn:1, status:defense, val:144, calc:add, animation:enhance_unit_all_defense03_unit01]</t>
    <phoneticPr fontId="22"/>
  </si>
  <si>
    <t>1体に大ダメージ+
全体に防御力を無視した固定威力ダメージ</t>
    <phoneticPr fontId="22"/>
  </si>
  <si>
    <t>1体に特大ダメージ
ドラゴンに効果超大+1ターン全ユニットの防御力大UP</t>
    <phoneticPr fontId="22"/>
  </si>
  <si>
    <t>夫婦密約</t>
    <phoneticPr fontId="22"/>
  </si>
  <si>
    <t>1体に特大ダメージ+
全体に超大ダメージ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</si>
  <si>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</si>
  <si>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</si>
  <si>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</si>
  <si>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</si>
  <si>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</si>
  <si>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</si>
  <si>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</si>
  <si>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</si>
  <si>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</si>
  <si>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</si>
  <si>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</si>
  <si>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</si>
  <si>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</si>
  <si>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</si>
  <si>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</si>
  <si>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</si>
  <si>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</si>
  <si>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</si>
  <si>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</si>
  <si>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</si>
  <si>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</si>
  <si>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</si>
  <si>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青パネルを黄パネル、赤パネルをCパネルに変換+HPを大回復</t>
    <phoneticPr fontId="22"/>
  </si>
  <si>
    <t>[effect:force_change_block, new_block:block_yellow, target:block_blue, count:0, val:0, animation:change_block],[effect:force_change_block, new_block:crash, target:block_red, count:0, val:6, animation:change_block],[effect:heal_ratio, val:3, animation:heal03_unit01]</t>
    <phoneticPr fontId="22"/>
  </si>
  <si>
    <t>[effect:damage, target:enemy_one, color:yellow, val:1.5, animation:damage_one_yellow04],[effect:damage, target:enemy_all, color:yellow, val:1, animation:damage_all_yellow04]</t>
    <phoneticPr fontId="22"/>
  </si>
  <si>
    <t>[effect:damage, target:enemy_one, color:yellow, val:1.5, animation:damage_one_yellow04],[effect:damage, target:enemy_all, color:yellow, val:1.25, animation:damage_all_yellow04]</t>
    <phoneticPr fontId="22"/>
  </si>
  <si>
    <t>青を黄パネル、赤をCP変換+HP大回復+ウィルス解除+3ターン種族ゴッドと攻撃･体力タイプの攻撃力超大UP、タップ数を1増やす</t>
    <phoneticPr fontId="22"/>
  </si>
  <si>
    <t>[effect:force_change_block, new_block:block_yellow, target:block_blue, count:0, val:0, animation:change_block],[effect:force_change_block, new_block:crash, target:block_red, count:0, val:6, animation:change_block],[effect:heal_ratio, val:1.75, animation:heal03_unit01],[effect:cure, bad_status:virus, animation:cure01],[effect:enhance_unit, target:unit_god/unit_attack/unit_hp/or, turn:3, status:attack, val:0.25, calc:mul, animation:enhance_unit_all_attack04_unit01],[effect:enhance_unit, target:unit_god/unit_attack/unit_hp/or, turn:3, status:action, val:1, calc:add, animation:enhance_unit_one_action01]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</si>
</sst>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3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29" borderId="0" xfId="0" applyFont="1" applyFill="1" applyAlignment="1">
      <alignment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5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8006</v>
          </cell>
          <cell r="B291" t="str">
            <v>ja</v>
          </cell>
          <cell r="C291" t="str">
            <v>攻撃、回復、体力のCP短縮1</v>
          </cell>
          <cell r="D291" t="str">
            <v>攻撃、回復、体力のCP短縮1</v>
          </cell>
        </row>
        <row r="292">
          <cell r="A292">
            <v>8007</v>
          </cell>
          <cell r="B292" t="str">
            <v>ja</v>
          </cell>
          <cell r="C292" t="str">
            <v>自身の左ユニットが攻撃参加</v>
          </cell>
          <cell r="D292" t="str">
            <v>自身の左ユニットが攻撃参加</v>
          </cell>
        </row>
        <row r="293">
          <cell r="A293">
            <v>8008</v>
          </cell>
          <cell r="B293" t="str">
            <v>ja</v>
          </cell>
          <cell r="C293" t="str">
            <v>ターン経過回復力UP</v>
          </cell>
          <cell r="D293" t="str">
            <v>最初の1ターン目と、その後4ターン毎に2ターン全ユニットの回復力を1500UP</v>
          </cell>
        </row>
        <row r="294">
          <cell r="A294">
            <v>8009</v>
          </cell>
          <cell r="B294" t="str">
            <v>ja</v>
          </cell>
          <cell r="C294" t="str">
            <v>最終フロア Cパネル生成短縮(特大)</v>
          </cell>
          <cell r="D294" t="str">
            <v>最終フロア内で自身が先頭の時、Cパネル生成に必要なチェイン数を4短縮する</v>
          </cell>
        </row>
        <row r="295">
          <cell r="A295">
            <v>9000</v>
          </cell>
          <cell r="B295" t="str">
            <v>ja</v>
          </cell>
          <cell r="C295" t="str">
            <v>ハップルチャレンジ ダメージUP</v>
          </cell>
          <cell r="D295" t="str">
            <v>ハップルチャレンジ内で自身の全ての攻撃の威力をUP</v>
          </cell>
        </row>
        <row r="296">
          <cell r="A296">
            <v>9001</v>
          </cell>
          <cell r="B296" t="str">
            <v>ja</v>
          </cell>
          <cell r="C296" t="str">
            <v>クロネッカーチャレンジ ダメージUP</v>
          </cell>
          <cell r="D296" t="str">
            <v>クロネッカーチャレンジ内で自身の全ての攻撃の威力をUP</v>
          </cell>
        </row>
        <row r="297">
          <cell r="A297">
            <v>9002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クロネッカーチャレンジ内で自身の全ての攻撃+カウンターの威力をUP</v>
          </cell>
        </row>
        <row r="298">
          <cell r="A298">
            <v>9003</v>
          </cell>
          <cell r="B298" t="str">
            <v>ja</v>
          </cell>
          <cell r="C298" t="str">
            <v>オイラーチャレンジ ダメージUP</v>
          </cell>
          <cell r="D298" t="str">
            <v>オイラーチャレンジ内で自身の全ての攻撃の威力をUP</v>
          </cell>
        </row>
        <row r="299">
          <cell r="A299">
            <v>9004</v>
          </cell>
          <cell r="B299" t="str">
            <v>ja</v>
          </cell>
          <cell r="C299" t="str">
            <v>オイラーチャレンジ ダメージ究極UP</v>
          </cell>
          <cell r="D299" t="str">
            <v>オイラーチャレンジ内で自身の全ての攻撃の威力を究極UP</v>
          </cell>
        </row>
        <row r="300">
          <cell r="A300">
            <v>9005</v>
          </cell>
          <cell r="B300" t="str">
            <v>ja</v>
          </cell>
          <cell r="C300" t="str">
            <v>ヘンペルチャレンジ ダメージUP</v>
          </cell>
          <cell r="D300" t="str">
            <v>ヘンペルチャレンジ内で自身の全ての攻撃の威力をUP</v>
          </cell>
        </row>
        <row r="301">
          <cell r="A301">
            <v>9006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ヘンペルチャレンジ内で自身の全ての攻撃+カウンターの威力をUP</v>
          </cell>
        </row>
        <row r="302">
          <cell r="A302">
            <v>9007</v>
          </cell>
          <cell r="B302" t="str">
            <v>ja</v>
          </cell>
          <cell r="C302" t="str">
            <v>フロイトチャレンジ ダメージ究極UP</v>
          </cell>
          <cell r="D302" t="str">
            <v>フロイトチャレンジ内で自身の全ての攻撃の威力を究極UP</v>
          </cell>
        </row>
        <row r="303">
          <cell r="A303">
            <v>9008</v>
          </cell>
          <cell r="B303" t="str">
            <v>ja</v>
          </cell>
          <cell r="C303" t="str">
            <v>フロイトチャレンジ ダメージUP</v>
          </cell>
          <cell r="D303" t="str">
            <v>フロイトチャレンジ内で自身の全ての攻撃の威力をUP</v>
          </cell>
        </row>
        <row r="304">
          <cell r="A304">
            <v>9009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フロイトチャレンジ内で自身の全ての攻撃+カウンターの威力をUP</v>
          </cell>
        </row>
        <row r="305">
          <cell r="A305">
            <v>9010</v>
          </cell>
          <cell r="B305" t="str">
            <v>ja</v>
          </cell>
          <cell r="C305" t="str">
            <v>ウエディングクエスト ダメージUP</v>
          </cell>
          <cell r="D305" t="str">
            <v>ウエディングクエスト内で自身の全ての攻撃の威力をUP</v>
          </cell>
        </row>
        <row r="306">
          <cell r="A306">
            <v>9011</v>
          </cell>
          <cell r="B306" t="str">
            <v>ja</v>
          </cell>
          <cell r="C306" t="str">
            <v>クリスマスクエストダメージ究極UP</v>
          </cell>
          <cell r="D306" t="str">
            <v>クリスマスクエスト内で自身の全ての攻撃の威力を究極UP</v>
          </cell>
        </row>
        <row r="307">
          <cell r="A307">
            <v>119402</v>
          </cell>
          <cell r="B307" t="str">
            <v>ja</v>
          </cell>
          <cell r="C307" t="str">
            <v>ハロウィンナイトパニック！ 威力UP</v>
          </cell>
          <cell r="D307" t="str">
            <v>ハロウィンナイトパニック！内で自身の全ての攻撃の威力を究極UP</v>
          </cell>
        </row>
        <row r="308">
          <cell r="A308">
            <v>500801</v>
          </cell>
          <cell r="B308" t="str">
            <v>ja</v>
          </cell>
          <cell r="C308" t="str">
            <v>パネルブレイク35 攻撃力小UP</v>
          </cell>
          <cell r="D308" t="str">
            <v>自身が先頭の時、1ターンの間に合計35個以上パネルを破壊した場合に攻撃力小UP</v>
          </cell>
        </row>
        <row r="309">
          <cell r="A309">
            <v>808082</v>
          </cell>
          <cell r="B309" t="str">
            <v>ja</v>
          </cell>
          <cell r="C309" t="str">
            <v>Cパネルドロップ</v>
          </cell>
          <cell r="D309" t="str">
            <v>自身が先頭の時、低確率でCパネルをドロップ</v>
          </cell>
        </row>
        <row r="310">
          <cell r="A310">
            <v>900000</v>
          </cell>
          <cell r="B310" t="str">
            <v>ja</v>
          </cell>
          <cell r="C310" t="str">
            <v>フィーバー100 プロテクトブレイク</v>
          </cell>
          <cell r="D310" t="str">
            <v>フィーバーゲージが100％以上の時、1ターンプロテクトブレイク</v>
          </cell>
        </row>
        <row r="311">
          <cell r="A311">
            <v>900001</v>
          </cell>
          <cell r="B311" t="str">
            <v>ja</v>
          </cell>
          <cell r="C311" t="str">
            <v>フィーバー100 お邪魔ブレイク</v>
          </cell>
          <cell r="D311" t="str">
            <v>フィーバーゲージが100％以上の時、1ターンお邪魔ブレイク</v>
          </cell>
        </row>
        <row r="312">
          <cell r="A312">
            <v>900402</v>
          </cell>
          <cell r="B312" t="str">
            <v>ja</v>
          </cell>
          <cell r="C312" t="str">
            <v>バリア3500</v>
          </cell>
          <cell r="D312" t="str">
            <v>戦闘開始時に、自身への直接ダメージを3500まで防ぐバリアを一度だけ展開(バリアは破壊されると復活しない)</v>
          </cell>
        </row>
        <row r="313">
          <cell r="A313">
            <v>810202</v>
          </cell>
          <cell r="B313" t="str">
            <v>ja</v>
          </cell>
          <cell r="C313" t="str">
            <v>パネルブレイク50 ダメージ軽減</v>
          </cell>
          <cell r="D313" t="str">
            <v>自身が先頭の時、1ターンの間に合計50個以上パネルを破壊した場合敵からのダメージを15%軽減（1ターンに1度だけ発動）</v>
          </cell>
        </row>
        <row r="314">
          <cell r="A314">
            <v>811802</v>
          </cell>
          <cell r="B314" t="str">
            <v>ja</v>
          </cell>
          <cell r="C314" t="str">
            <v>ターン攻撃力UP</v>
          </cell>
          <cell r="D314" t="str">
            <v>最初の1ターン目と、その後6ターン毎に1ターン種族ドラゴン・ファンタジー・アニマルの攻撃力1000UP</v>
          </cell>
        </row>
        <row r="315">
          <cell r="A315">
            <v>812002</v>
          </cell>
          <cell r="B315" t="str">
            <v>ja</v>
          </cell>
          <cell r="C315" t="str">
            <v>ターンタップ増加</v>
          </cell>
          <cell r="D315" t="str">
            <v>最初の1ターン目と、その後6ターン毎に1ターン種族ドラゴン・ファンタジー・アニマルのタップ数1増加</v>
          </cell>
        </row>
        <row r="316">
          <cell r="A316">
            <v>811803</v>
          </cell>
          <cell r="B316" t="str">
            <v>ja</v>
          </cell>
          <cell r="C316" t="str">
            <v>端午クエスト ダメージUP</v>
          </cell>
          <cell r="D316" t="str">
            <v>端午クエスト内で自身の全ての攻撃の威力をUP</v>
          </cell>
        </row>
        <row r="317">
          <cell r="A317">
            <v>900802</v>
          </cell>
          <cell r="B317" t="str">
            <v>ja</v>
          </cell>
          <cell r="C317" t="str">
            <v>ターン攻撃力UP</v>
          </cell>
          <cell r="D317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H18" sqref="H1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322</v>
      </c>
      <c r="B2" s="105" t="s">
        <v>129</v>
      </c>
      <c r="C2" s="162" t="s">
        <v>317</v>
      </c>
      <c r="D2" s="105" t="s">
        <v>128</v>
      </c>
      <c r="E2" s="104" t="str">
        <f>B2&amp;C2&amp;D2</f>
        <v>units_Greece02.tmp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422</v>
      </c>
      <c r="S2" s="105"/>
      <c r="T2" s="105"/>
      <c r="U2" s="105"/>
      <c r="V2" s="105"/>
      <c r="W2" s="105"/>
    </row>
    <row r="3" spans="1:29" x14ac:dyDescent="0.15">
      <c r="A3" s="105" t="s">
        <v>322</v>
      </c>
      <c r="B3" s="105" t="s">
        <v>294</v>
      </c>
      <c r="C3" s="162" t="s">
        <v>317</v>
      </c>
      <c r="D3" s="105" t="s">
        <v>128</v>
      </c>
      <c r="E3" s="104" t="str">
        <f>B3&amp;C3&amp;D3</f>
        <v>fork_awake_units_Greece02.tmp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322</v>
      </c>
      <c r="B4" s="105" t="s">
        <v>130</v>
      </c>
      <c r="C4" s="162" t="s">
        <v>317</v>
      </c>
      <c r="D4" s="105" t="s">
        <v>128</v>
      </c>
      <c r="E4" s="104" t="str">
        <f>B4&amp;C4&amp;D4</f>
        <v>awake_materials_Greece02.tmp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322</v>
      </c>
      <c r="B5" s="105" t="s">
        <v>293</v>
      </c>
      <c r="C5" s="162" t="s">
        <v>317</v>
      </c>
      <c r="D5" s="105" t="s">
        <v>128</v>
      </c>
      <c r="E5" s="104" t="str">
        <f>B5&amp;C5&amp;D5</f>
        <v>fork_awake_materials_Greece02.tmp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322</v>
      </c>
      <c r="B6" s="105" t="s">
        <v>131</v>
      </c>
      <c r="C6" s="162" t="s">
        <v>317</v>
      </c>
      <c r="D6" s="105" t="s">
        <v>132</v>
      </c>
      <c r="E6" s="104" t="str">
        <f t="shared" ref="E6" si="0">B6&amp;C6&amp;D6</f>
        <v>unit_levels_calc_Greece02.tmp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322</v>
      </c>
      <c r="B7" s="105" t="s">
        <v>143</v>
      </c>
      <c r="C7" s="162" t="s">
        <v>317</v>
      </c>
      <c r="D7" s="105" t="s">
        <v>144</v>
      </c>
      <c r="E7" s="104" t="str">
        <f>B7&amp;C7&amp;D7</f>
        <v>unit_skills_data_Greece02.tmp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322</v>
      </c>
      <c r="B8" s="105" t="s">
        <v>149</v>
      </c>
      <c r="C8" s="162" t="s">
        <v>317</v>
      </c>
      <c r="D8" s="105" t="s">
        <v>128</v>
      </c>
      <c r="E8" s="104" t="str">
        <f>B8&amp;C8&amp;D8</f>
        <v>unit_skills_i18n_Greece02.tmp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322</v>
      </c>
      <c r="B9" s="105" t="s">
        <v>153</v>
      </c>
      <c r="C9" s="162" t="s">
        <v>317</v>
      </c>
      <c r="D9" s="105" t="s">
        <v>154</v>
      </c>
      <c r="E9" s="104" t="str">
        <f>B9&amp;C9&amp;D9</f>
        <v>crash_skills_data_Greece02.tmp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322</v>
      </c>
      <c r="B10" s="105" t="s">
        <v>157</v>
      </c>
      <c r="C10" s="162" t="s">
        <v>317</v>
      </c>
      <c r="D10" s="105" t="s">
        <v>158</v>
      </c>
      <c r="E10" s="104" t="str">
        <f t="shared" ref="E10" si="1">B10&amp;C10&amp;D10</f>
        <v>crash_skills_i18n_Greece02.tmp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322</v>
      </c>
      <c r="B11" s="108" t="s">
        <v>135</v>
      </c>
      <c r="C11" s="162" t="s">
        <v>317</v>
      </c>
      <c r="D11" s="105" t="s">
        <v>158</v>
      </c>
      <c r="E11" s="104" t="str">
        <f t="shared" ref="E11:E12" si="2">B11&amp;C11&amp;D11</f>
        <v>unit_serifs_data_Greece02.tmp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322</v>
      </c>
      <c r="B12" s="108" t="s">
        <v>136</v>
      </c>
      <c r="C12" s="162" t="s">
        <v>317</v>
      </c>
      <c r="D12" s="105" t="s">
        <v>158</v>
      </c>
      <c r="E12" s="104" t="str">
        <f t="shared" si="2"/>
        <v>unit_serifs_i18n_Greece02.tmp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328</v>
      </c>
      <c r="B13" s="105" t="s">
        <v>253</v>
      </c>
      <c r="C13" s="162" t="s">
        <v>317</v>
      </c>
      <c r="D13" s="105" t="s">
        <v>254</v>
      </c>
      <c r="E13" s="104" t="str">
        <f>B13&amp;C13&amp;D13</f>
        <v>abilities_Greece02.tmp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328</v>
      </c>
      <c r="B14" s="105" t="s">
        <v>259</v>
      </c>
      <c r="C14" s="162" t="s">
        <v>317</v>
      </c>
      <c r="D14" s="105" t="s">
        <v>128</v>
      </c>
      <c r="E14" s="104" t="str">
        <f>B14&amp;C14&amp;D14</f>
        <v>abilities_i18n_Greece02.tmp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322</v>
      </c>
      <c r="B15" s="105" t="s">
        <v>262</v>
      </c>
      <c r="C15" s="162" t="s">
        <v>317</v>
      </c>
      <c r="D15" s="105" t="s">
        <v>128</v>
      </c>
      <c r="E15" s="104" t="str">
        <f>B15&amp;C15&amp;D15</f>
        <v>unit_abilities_Greece02.tmp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workbookViewId="0">
      <pane xSplit="9" ySplit="1" topLeftCell="BB2" activePane="bottomRight" state="frozen"/>
      <selection pane="topRight" activeCell="J1" sqref="J1"/>
      <selection pane="bottomLeft" activeCell="A3" sqref="A3"/>
      <selection pane="bottomRight" activeCell="B20" sqref="B20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423</v>
      </c>
    </row>
    <row r="2" spans="1:70" ht="26" customHeight="1" x14ac:dyDescent="0.15">
      <c r="A2" s="186">
        <v>1212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クロノス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35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0">
        <f ca="1">VLOOKUP(W2,[1]character_tribe_i18n!$A:$H,4,FALSE)</f>
        <v>0.96</v>
      </c>
      <c r="AB2" s="10">
        <f ca="1">VLOOKUP(W2,[1]character_tribe_i18n!$A:$H,5,FALSE)</f>
        <v>1.02</v>
      </c>
      <c r="AC2" s="10">
        <f ca="1">VLOOKUP(W2,[1]character_tribe_i18n!$A:$H,6,FALSE)</f>
        <v>1</v>
      </c>
      <c r="AD2" s="10">
        <f ca="1">VLOOKUP(W2,[1]character_tribe_i18n!$A:$H,7,FALSE)</f>
        <v>1.02</v>
      </c>
      <c r="AE2" s="187">
        <v>1213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能洪の永地神 クロノス</v>
      </c>
      <c r="AG2" s="187">
        <v>1212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クロノス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1212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スライディング・アダマス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1ターンの間、ゴッドと青属性ユニットの攻撃力を特大UPし、Cパネル生成短縮(効果特大)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1212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バイ・ザ・セカンド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 xml:space="preserve">1体に特大ダメージ 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1.05</v>
      </c>
      <c r="AZ2" s="64">
        <v>1.1499999999999999</v>
      </c>
      <c r="BA2" s="64">
        <v>0</v>
      </c>
      <c r="BB2" s="64">
        <v>0.8</v>
      </c>
      <c r="BC2" s="10">
        <f ca="1">INDEX('RC6SV'!$A$1:$G$21,MATCH(H2,'RC6SV'!$A$1:$A$21,FALSE),MATCH(G2,'RC6SV'!$A$1:$G$1,FALSE))</f>
        <v>9500</v>
      </c>
      <c r="BD2" s="44">
        <f t="shared" ref="BD2" ca="1" si="2">ROUND(BC2*IF(AJ2=1,0.95,IF(AJ2=2,1,IF(AJ2,1.05,0))),0)</f>
        <v>9500</v>
      </c>
      <c r="BE2" s="10">
        <f t="shared" ref="BE2:BE13" ca="1" si="3">ROUND(IFERROR(INDIRECT(ADDRESS(MATCH($A2,$AE:$AE,0),MATCH($BC$1,$1:$1,0))),0),0)</f>
        <v>0</v>
      </c>
      <c r="BF2" s="10">
        <f t="shared" ref="BF2:BF13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2155</v>
      </c>
      <c r="BH2" s="15">
        <f ca="1">IF($BE2&lt;=0,ROUND(BL2*0.5,0), ROUND($BE2*T2*AB2*K2*AZ2*0.8*[1]ステータス!$C$2,0))</f>
        <v>1475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890</v>
      </c>
      <c r="BK2" s="10">
        <f ca="1">ROUND(BD2*S2*AA2*J2*AY2*[1]ステータス!$B$2,0)</f>
        <v>4309</v>
      </c>
      <c r="BL2" s="10">
        <f ca="1">ROUND(BD2*T2*AB2*K2*AZ2*[1]ステータス!$C$2,0)</f>
        <v>2949</v>
      </c>
      <c r="BM2" s="10">
        <f ca="1">ROUND(BD2*U2*AC2*L2*BA2*[1]ステータス!$D$2,0)</f>
        <v>0</v>
      </c>
      <c r="BN2" s="10">
        <f ca="1">ROUND(BD2*V2*AD2*M2*BB2*[1]ステータス!$E$2,0)</f>
        <v>1779</v>
      </c>
      <c r="BO2" s="9">
        <v>0</v>
      </c>
      <c r="BP2" s="9">
        <v>1</v>
      </c>
      <c r="BQ2" s="36" t="s">
        <v>47</v>
      </c>
      <c r="BR2" s="9">
        <f ca="1">VLOOKUP(H2,ghosts_label!$A$2:$B$19,2,FALSE)</f>
        <v>5500</v>
      </c>
    </row>
    <row r="3" spans="1:70" ht="26" customHeight="1" x14ac:dyDescent="0.15">
      <c r="A3" s="186">
        <v>1213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能洪の永地神 クロノス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0">
        <f ca="1">VLOOKUP(Q3,[1]character_type_i18n!$A:$H,4,FALSE)</f>
        <v>0.9</v>
      </c>
      <c r="T3" s="10">
        <f ca="1">VLOOKUP(Q3,[1]character_type_i18n!$A:$H,5,FALSE)</f>
        <v>0.9</v>
      </c>
      <c r="U3" s="10">
        <f ca="1">VLOOKUP(Q3,[1]character_type_i18n!$A:$H,6,FALSE)</f>
        <v>1</v>
      </c>
      <c r="V3" s="10">
        <f ca="1">VLOOKUP(Q3,[1]character_type_i18n!$A:$H,7,FALSE)</f>
        <v>0.9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1212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クロノス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1213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スウィンギング・アダマス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1ターンの間、ゴッドと青属性ユニットの攻撃力を特大UPし、Cパネル生成短縮(効果特大)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1213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バイ・ザ・セカンド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 xml:space="preserve">1体に特大ダメージ 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1.05</v>
      </c>
      <c r="AZ3" s="64">
        <v>1.1499999999999999</v>
      </c>
      <c r="BA3" s="64">
        <v>0</v>
      </c>
      <c r="BB3" s="64">
        <v>0.8</v>
      </c>
      <c r="BC3" s="10">
        <f ca="1">INDEX('RC6SV'!$A$1:$G$21,MATCH(H3,'RC6SV'!$A$1:$A$21,FALSE),MATCH(G3,'RC6SV'!$A$1:$G$1,FALSE))</f>
        <v>13000</v>
      </c>
      <c r="BD3" s="44">
        <f t="shared" ref="BD3:BD4" ca="1" si="6">ROUND(BC3*IF(AJ3=1,0.95,IF(AJ3=2,1,IF(AJ3,1.05,0))),0)</f>
        <v>13000</v>
      </c>
      <c r="BE3" s="10">
        <f t="shared" ca="1" si="3"/>
        <v>9500</v>
      </c>
      <c r="BF3" s="10">
        <f t="shared" ca="1" si="4"/>
        <v>1</v>
      </c>
      <c r="BG3" s="15">
        <f ca="1">IF($BE3&lt;=0,ROUND(BK3*0.5,0), ROUND($BE3*S3*AA3*J3*AY3*0.8*[1]ステータス!$B$2,0))</f>
        <v>3447</v>
      </c>
      <c r="BH3" s="15">
        <f ca="1">IF($BE3&lt;=0,ROUND(BL3*0.5,0), ROUND($BE3*T3*AB3*K3*AZ3*0.8*[1]ステータス!$C$2,0))</f>
        <v>2359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1423</v>
      </c>
      <c r="BK3" s="10">
        <f ca="1">ROUND(BD3*S3*AA3*J3*AY3*[1]ステータス!$B$2,0)</f>
        <v>5897</v>
      </c>
      <c r="BL3" s="10">
        <f ca="1">ROUND(BD3*T3*AB3*K3*AZ3*[1]ステータス!$C$2,0)</f>
        <v>4035</v>
      </c>
      <c r="BM3" s="10">
        <f ca="1">ROUND(BD3*U3*AC3*L3*BA3*[1]ステータス!$D$2,0)</f>
        <v>0</v>
      </c>
      <c r="BN3" s="10">
        <f ca="1">ROUND(BD3*V3*AD3*M3*BB3*[1]ステータス!$E$2,0)</f>
        <v>2435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5500</v>
      </c>
    </row>
    <row r="4" spans="1:70" ht="26" customHeight="1" x14ac:dyDescent="0.15">
      <c r="A4" s="186">
        <v>1208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ネメシス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0">
        <f ca="1">VLOOKUP(I4,[1]属性!$A:$E,2,FALSE)</f>
        <v>1</v>
      </c>
      <c r="K4" s="10">
        <f ca="1">VLOOKUP(I4,[1]属性!$A:$E,3,FALSE)</f>
        <v>1.02</v>
      </c>
      <c r="L4" s="10">
        <f ca="1">VLOOKUP(I4,[1]属性!$A:$E,4,FALSE)</f>
        <v>1</v>
      </c>
      <c r="M4" s="10">
        <f ca="1">VLOOKUP(I4,[1]属性!$A:$E,5,FALSE)</f>
        <v>0.98</v>
      </c>
      <c r="N4" s="10">
        <f ca="1">INDEX(コスト!$A$1:$I$21,MATCH(H4,コスト!$A$1:$A$21,FALSE),MATCH(G4,コスト!$A$1:$I$1,FALSE))</f>
        <v>35</v>
      </c>
      <c r="O4" s="10">
        <f ca="1">INDEX(レベル!$A$1:$I$22,MATCH(H4,レベル!$A$1:$A$22,FALSE),MATCH(G4,レベル!$A$1:$I$1,FALSE))</f>
        <v>80</v>
      </c>
      <c r="P4" s="44">
        <f t="shared" ref="P4:P5" ca="1" si="7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0">
        <f ca="1">VLOOKUP(Q4,[1]character_type_i18n!$A:$H,4,FALSE)</f>
        <v>1.45</v>
      </c>
      <c r="T4" s="10">
        <f ca="1">VLOOKUP(Q4,[1]character_type_i18n!$A:$H,5,FALSE)</f>
        <v>0.85</v>
      </c>
      <c r="U4" s="10">
        <f ca="1">VLOOKUP(Q4,[1]character_type_i18n!$A:$H,6,FALSE)</f>
        <v>1</v>
      </c>
      <c r="V4" s="10">
        <f ca="1">VLOOKUP(Q4,[1]character_type_i18n!$A:$H,7,FALSE)</f>
        <v>0.7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0">
        <f ca="1">VLOOKUP(W4,[1]character_tribe_i18n!$A:$H,4,FALSE)</f>
        <v>0.96</v>
      </c>
      <c r="AB4" s="10">
        <f ca="1">VLOOKUP(W4,[1]character_tribe_i18n!$A:$H,5,FALSE)</f>
        <v>1.02</v>
      </c>
      <c r="AC4" s="10">
        <f ca="1">VLOOKUP(W4,[1]character_tribe_i18n!$A:$H,6,FALSE)</f>
        <v>1</v>
      </c>
      <c r="AD4" s="10">
        <f ca="1">VLOOKUP(W4,[1]character_tribe_i18n!$A:$H,7,FALSE)</f>
        <v>1.02</v>
      </c>
      <c r="AE4" s="187">
        <v>1209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刹那の過罰神 ネメシス</v>
      </c>
      <c r="AG4" s="187">
        <v>1208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ネメシス</v>
      </c>
      <c r="AI4" s="10">
        <f ca="1">IF(AE4="NULL","NULL",VLOOKUP(G4,ビット!$A$2:$B$7,2))</f>
        <v>200000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1208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ナイヴズ＆ウルヴズ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1ターン全ユニットの防御力特大UP+大カウンター+ボムの爆風を強化する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1208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驕れる者の悲劇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1体に特大ダメージ_x000D_ドラゴンに効果超大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1.2</v>
      </c>
      <c r="AZ4" s="64">
        <v>1</v>
      </c>
      <c r="BA4" s="64">
        <v>0</v>
      </c>
      <c r="BB4" s="64">
        <v>1</v>
      </c>
      <c r="BC4" s="10">
        <f ca="1">INDEX('RC6SV'!$A$1:$G$21,MATCH(H4,'RC6SV'!$A$1:$A$21,FALSE),MATCH(G4,'RC6SV'!$A$1:$G$1,FALSE))</f>
        <v>9500</v>
      </c>
      <c r="BD4" s="44">
        <f t="shared" ca="1" si="6"/>
        <v>9500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3967</v>
      </c>
      <c r="BH4" s="15">
        <f ca="1">IF($BE4&lt;=0,ROUND(BL4*0.5,0), ROUND($BE4*T4*AB4*K4*AZ4*0.8*[1]ステータス!$C$2,0))</f>
        <v>1260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831</v>
      </c>
      <c r="BK4" s="10">
        <f ca="1">ROUND(BD4*S4*AA4*J4*AY4*[1]ステータス!$B$2,0)</f>
        <v>7934</v>
      </c>
      <c r="BL4" s="10">
        <f ca="1">ROUND(BD4*T4*AB4*K4*AZ4*[1]ステータス!$C$2,0)</f>
        <v>2520</v>
      </c>
      <c r="BM4" s="10">
        <f ca="1">ROUND(BD4*U4*AC4*L4*BA4*[1]ステータス!$D$2,0)</f>
        <v>0</v>
      </c>
      <c r="BN4" s="10">
        <f ca="1">ROUND(BD4*V4*AD4*M4*BB4*[1]ステータス!$E$2,0)</f>
        <v>1662</v>
      </c>
      <c r="BO4" s="9">
        <v>0</v>
      </c>
      <c r="BP4" s="9">
        <v>1</v>
      </c>
      <c r="BQ4" s="36" t="s">
        <v>47</v>
      </c>
      <c r="BR4" s="9">
        <f ca="1">VLOOKUP(H4,ghosts_label!$A$2:$B$19,2,FALSE)</f>
        <v>5500</v>
      </c>
    </row>
    <row r="5" spans="1:70" ht="26" customHeight="1" x14ac:dyDescent="0.15">
      <c r="A5" s="186">
        <v>1209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刹那の過罰神 ネメシス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0">
        <f ca="1">VLOOKUP(I5,[1]属性!$A:$E,2,FALSE)</f>
        <v>1</v>
      </c>
      <c r="K5" s="10">
        <f ca="1">VLOOKUP(I5,[1]属性!$A:$E,3,FALSE)</f>
        <v>1.02</v>
      </c>
      <c r="L5" s="10">
        <f ca="1">VLOOKUP(I5,[1]属性!$A:$E,4,FALSE)</f>
        <v>1</v>
      </c>
      <c r="M5" s="10">
        <f ca="1">VLOOKUP(I5,[1]属性!$A:$E,5,FALSE)</f>
        <v>0.98</v>
      </c>
      <c r="N5" s="10">
        <f ca="1">INDEX(コスト!$A$1:$I$21,MATCH(H5,コスト!$A$1:$A$21,FALSE),MATCH(G5,コスト!$A$1:$I$1,FALSE))</f>
        <v>50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0">
        <f ca="1">VLOOKUP(Q5,[1]character_type_i18n!$A:$H,4,FALSE)</f>
        <v>1.45</v>
      </c>
      <c r="T5" s="10">
        <f ca="1">VLOOKUP(Q5,[1]character_type_i18n!$A:$H,5,FALSE)</f>
        <v>0.85</v>
      </c>
      <c r="U5" s="10">
        <f ca="1">VLOOKUP(Q5,[1]character_type_i18n!$A:$H,6,FALSE)</f>
        <v>1</v>
      </c>
      <c r="V5" s="10">
        <f ca="1">VLOOKUP(Q5,[1]character_type_i18n!$A:$H,7,FALSE)</f>
        <v>0.7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0">
        <f ca="1">VLOOKUP(W5,[1]character_tribe_i18n!$A:$H,4,FALSE)</f>
        <v>0.96</v>
      </c>
      <c r="AB5" s="10">
        <f ca="1">VLOOKUP(W5,[1]character_tribe_i18n!$A:$H,5,FALSE)</f>
        <v>1.02</v>
      </c>
      <c r="AC5" s="10">
        <f ca="1">VLOOKUP(W5,[1]character_tribe_i18n!$A:$H,6,FALSE)</f>
        <v>1</v>
      </c>
      <c r="AD5" s="10">
        <f ca="1">VLOOKUP(W5,[1]character_tribe_i18n!$A:$H,7,FALSE)</f>
        <v>1.02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1208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ネメシス</v>
      </c>
      <c r="AI5" s="10" t="str">
        <f>IF(AE5="NULL","NULL",VLOOKUP(G5,ビット!$A$2:$B$7,2))</f>
        <v>NULL</v>
      </c>
      <c r="AJ5" s="6">
        <v>2</v>
      </c>
      <c r="AK5" s="7" t="str">
        <f t="shared" ref="AK5:AK6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1209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ナイヴズ・セルヴズ＆ウルヴズ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3ターン全ユニットの防御力特大UP+特大カウンター+1ターンボムの爆風を強化する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1209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驕れる者の末路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1体に特大ダメージ_x000D_ドラゴンに効果超大+1ターン全ユニットの防御力大UP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1.2</v>
      </c>
      <c r="AZ5" s="64">
        <v>1</v>
      </c>
      <c r="BA5" s="64">
        <v>0</v>
      </c>
      <c r="BB5" s="64">
        <v>1</v>
      </c>
      <c r="BC5" s="10">
        <f ca="1">INDEX('RC6SV'!$A$1:$G$21,MATCH(H5,'RC6SV'!$A$1:$A$21,FALSE),MATCH(G5,'RC6SV'!$A$1:$G$1,FALSE))</f>
        <v>13000</v>
      </c>
      <c r="BD5" s="44">
        <f t="shared" ref="BD5:BD6" ca="1" si="9">ROUND(BC5*IF(AJ5=1,0.95,IF(AJ5=2,1,IF(AJ5,1.05,0))),0)</f>
        <v>13000</v>
      </c>
      <c r="BE5" s="10">
        <f t="shared" ca="1" si="3"/>
        <v>9500</v>
      </c>
      <c r="BF5" s="10">
        <f t="shared" ca="1" si="4"/>
        <v>1</v>
      </c>
      <c r="BG5" s="15">
        <f ca="1">IF($BE5&lt;=0,ROUND(BK5*0.5,0), ROUND($BE5*S5*AA5*J5*AY5*0.8*[1]ステータス!$B$2,0))</f>
        <v>6348</v>
      </c>
      <c r="BH5" s="15">
        <f ca="1">IF($BE5&lt;=0,ROUND(BL5*0.5,0), ROUND($BE5*T5*AB5*K5*AZ5*0.8*[1]ステータス!$C$2,0))</f>
        <v>2016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1329</v>
      </c>
      <c r="BK5" s="10">
        <f ca="1">ROUND(BD5*S5*AA5*J5*AY5*[1]ステータス!$B$2,0)</f>
        <v>10858</v>
      </c>
      <c r="BL5" s="10">
        <f ca="1">ROUND(BD5*T5*AB5*K5*AZ5*[1]ステータス!$C$2,0)</f>
        <v>3449</v>
      </c>
      <c r="BM5" s="10">
        <f ca="1">ROUND(BD5*U5*AC5*L5*BA5*[1]ステータス!$D$2,0)</f>
        <v>0</v>
      </c>
      <c r="BN5" s="10">
        <f ca="1">ROUND(BD5*V5*AD5*M5*BB5*[1]ステータス!$E$2,0)</f>
        <v>2274</v>
      </c>
      <c r="BO5" s="9">
        <v>0</v>
      </c>
      <c r="BP5" s="9">
        <v>1</v>
      </c>
      <c r="BQ5" s="9" t="s">
        <v>47</v>
      </c>
      <c r="BR5" s="9">
        <f ca="1">VLOOKUP(H5,ghosts_label!$A$2:$B$19,2,FALSE)</f>
        <v>5500</v>
      </c>
    </row>
    <row r="6" spans="1:70" ht="26" customHeight="1" x14ac:dyDescent="0.15">
      <c r="A6" s="186">
        <v>1200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サイクロプス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0">
        <f ca="1">VLOOKUP(I6,[1]属性!$A:$E,2,FALSE)</f>
        <v>1</v>
      </c>
      <c r="K6" s="10">
        <f ca="1">VLOOKUP(I6,[1]属性!$A:$E,3,FALSE)</f>
        <v>0.98</v>
      </c>
      <c r="L6" s="10">
        <f ca="1">VLOOKUP(I6,[1]属性!$A:$E,4,FALSE)</f>
        <v>1</v>
      </c>
      <c r="M6" s="10">
        <f ca="1">VLOOKUP(I6,[1]属性!$A:$E,5,FALSE)</f>
        <v>1.02</v>
      </c>
      <c r="N6" s="10">
        <f ca="1">INDEX(コスト!$A$1:$I$21,MATCH(H6,コスト!$A$1:$A$21,FALSE),MATCH(G6,コスト!$A$1:$I$1,FALSE))</f>
        <v>17</v>
      </c>
      <c r="O6" s="10">
        <f ca="1">INDEX(レベル!$A$1:$I$22,MATCH(H6,レベル!$A$1:$A$22,FALSE),MATCH(G6,レベル!$A$1:$I$1,FALSE))</f>
        <v>60</v>
      </c>
      <c r="P6" s="44">
        <f t="shared" ref="P6:P7" ca="1" si="10">IF(G6 &gt;= 6, 99,G6*15)</f>
        <v>60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0">
        <f ca="1">VLOOKUP(Q6,[1]character_type_i18n!$A:$H,4,FALSE)</f>
        <v>0.9</v>
      </c>
      <c r="T6" s="10">
        <f ca="1">VLOOKUP(Q6,[1]character_type_i18n!$A:$H,5,FALSE)</f>
        <v>0.9</v>
      </c>
      <c r="U6" s="10">
        <f ca="1">VLOOKUP(Q6,[1]character_type_i18n!$A:$H,6,FALSE)</f>
        <v>1</v>
      </c>
      <c r="V6" s="10">
        <f ca="1">VLOOKUP(Q6,[1]character_type_i18n!$A:$H,7,FALSE)</f>
        <v>0.9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7">
        <v>1201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器装の眼囚徒 サイクロプス</v>
      </c>
      <c r="AG6" s="187">
        <v>1200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サイクロプス</v>
      </c>
      <c r="AI6" s="10">
        <f ca="1">IF(AE6="NULL","NULL",VLOOKUP(G6,ビット!$A$2:$B$7,2))</f>
        <v>50000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3400</v>
      </c>
      <c r="AN6" s="16">
        <f ca="1">VLOOKUP(G6,ビット!$G$2:$H$7,2)</f>
        <v>600</v>
      </c>
      <c r="AO6" s="41"/>
      <c r="AP6" s="63">
        <v>1200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ノーミスガンスミス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ランダムでボムパネル(特大)を1つ生成、1ターンの間、青属性ユニットの攻撃力大UP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1200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フェアウェル・トゥ・アームズ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1体に大ダメージ+_x000D_全体に防御力を無視した固定威力ダメージ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1</v>
      </c>
      <c r="AZ6" s="64">
        <v>1.3</v>
      </c>
      <c r="BA6" s="64">
        <v>0</v>
      </c>
      <c r="BB6" s="64">
        <v>0.7</v>
      </c>
      <c r="BC6" s="10">
        <f ca="1">INDEX('RC6SV'!$A$1:$G$21,MATCH(H6,'RC6SV'!$A$1:$A$21,FALSE),MATCH(G6,'RC6SV'!$A$1:$G$1,FALSE))</f>
        <v>5800</v>
      </c>
      <c r="BD6" s="44">
        <f t="shared" ca="1" si="9"/>
        <v>5800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1305</v>
      </c>
      <c r="BH6" s="15">
        <f ca="1">IF($BE6&lt;=0,ROUND(BL6*0.5,0), ROUND($BE6*T6*AB6*K6*AZ6*0.8*[1]ステータス!$C$2,0))</f>
        <v>998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466</v>
      </c>
      <c r="BK6" s="10">
        <f ca="1">ROUND(BD6*S6*AA6*J6*AY6*[1]ステータス!$B$2,0)</f>
        <v>2610</v>
      </c>
      <c r="BL6" s="10">
        <f ca="1">ROUND(BD6*T6*AB6*K6*AZ6*[1]ステータス!$C$2,0)</f>
        <v>1995</v>
      </c>
      <c r="BM6" s="10">
        <f ca="1">ROUND(BD6*U6*AC6*L6*BA6*[1]ステータス!$D$2,0)</f>
        <v>0</v>
      </c>
      <c r="BN6" s="10">
        <f ca="1">ROUND(BD6*V6*AD6*M6*BB6*[1]ステータス!$E$2,0)</f>
        <v>932</v>
      </c>
      <c r="BO6" s="9">
        <v>0</v>
      </c>
      <c r="BP6" s="9">
        <v>1</v>
      </c>
      <c r="BQ6" s="36" t="s">
        <v>47</v>
      </c>
      <c r="BR6" s="9">
        <f ca="1">VLOOKUP(H6,ghosts_label!$A$2:$B$19,2,FALSE)</f>
        <v>1</v>
      </c>
    </row>
    <row r="7" spans="1:70" ht="26" customHeight="1" x14ac:dyDescent="0.15">
      <c r="A7" s="186">
        <v>1201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器装の眼囚徒 サイクロプス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0">
        <f ca="1">VLOOKUP(I7,[1]属性!$A:$E,2,FALSE)</f>
        <v>1</v>
      </c>
      <c r="K7" s="10">
        <f ca="1">VLOOKUP(I7,[1]属性!$A:$E,3,FALSE)</f>
        <v>0.98</v>
      </c>
      <c r="L7" s="10">
        <f ca="1">VLOOKUP(I7,[1]属性!$A:$E,4,FALSE)</f>
        <v>1</v>
      </c>
      <c r="M7" s="10">
        <f ca="1">VLOOKUP(I7,[1]属性!$A:$E,5,FALSE)</f>
        <v>1.02</v>
      </c>
      <c r="N7" s="10">
        <f ca="1">INDEX(コスト!$A$1:$I$21,MATCH(H7,コスト!$A$1:$A$21,FALSE),MATCH(G7,コスト!$A$1:$I$1,FALSE))</f>
        <v>26</v>
      </c>
      <c r="O7" s="10">
        <f ca="1">INDEX(レベル!$A$1:$I$22,MATCH(H7,レベル!$A$1:$A$22,FALSE),MATCH(G7,レベル!$A$1:$I$1,FALSE))</f>
        <v>80</v>
      </c>
      <c r="P7" s="44">
        <f t="shared" ca="1" si="10"/>
        <v>75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0">
        <f ca="1">VLOOKUP(Q7,[1]character_type_i18n!$A:$H,4,FALSE)</f>
        <v>0.9</v>
      </c>
      <c r="T7" s="10">
        <f ca="1">VLOOKUP(Q7,[1]character_type_i18n!$A:$H,5,FALSE)</f>
        <v>0.9</v>
      </c>
      <c r="U7" s="10">
        <f ca="1">VLOOKUP(Q7,[1]character_type_i18n!$A:$H,6,FALSE)</f>
        <v>1</v>
      </c>
      <c r="V7" s="10">
        <f ca="1">VLOOKUP(Q7,[1]character_type_i18n!$A:$H,7,FALSE)</f>
        <v>0.9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1200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サイクロプス</v>
      </c>
      <c r="AI7" s="10" t="str">
        <f>IF(AE7="NULL","NULL",VLOOKUP(G7,ビット!$A$2:$B$7,2))</f>
        <v>NULL</v>
      </c>
      <c r="AJ7" s="6">
        <v>2</v>
      </c>
      <c r="AK7" s="7" t="str">
        <f t="shared" ref="AK7:AK8" si="11">IF(AJ7=1,"早熟",IF(AJ7=2,"普通",IF(AJ7=3,"晩成","")))</f>
        <v>普通</v>
      </c>
      <c r="AL7" s="10" t="str">
        <f ca="1">INDEX(経験値!$A$1:$I$21,MATCH(H7,経験値!$A$1:$A$21,FALSE),MATCH(G7,経験値!$A$1:$I$1,FALSE))</f>
        <v>required_exp_200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1201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ノーミスガンスミス・ZERO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ランダムでボムパネル(特大)を1つ生成、2ターンの間、青属性ユニットの攻撃力大UP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1201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ウェルカム・トゥ・アームズ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1体に特大ダメージ+_x000D_全体に防御力を無視した固定威力ダメージ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1</v>
      </c>
      <c r="AZ7" s="64">
        <v>1.3</v>
      </c>
      <c r="BA7" s="64">
        <v>0</v>
      </c>
      <c r="BB7" s="64">
        <v>0.7</v>
      </c>
      <c r="BC7" s="10">
        <f ca="1">INDEX('RC6SV'!$A$1:$G$21,MATCH(H7,'RC6SV'!$A$1:$A$21,FALSE),MATCH(G7,'RC6SV'!$A$1:$G$1,FALSE))</f>
        <v>7600</v>
      </c>
      <c r="BD7" s="44">
        <f t="shared" ref="BD7:BD8" ca="1" si="12">ROUND(BC7*IF(AJ7=1,0.95,IF(AJ7=2,1,IF(AJ7,1.05,0))),0)</f>
        <v>7600</v>
      </c>
      <c r="BE7" s="10">
        <f t="shared" ca="1" si="3"/>
        <v>5800</v>
      </c>
      <c r="BF7" s="10">
        <f t="shared" ca="1" si="4"/>
        <v>1</v>
      </c>
      <c r="BG7" s="15">
        <f ca="1">IF($BE7&lt;=0,ROUND(BK7*0.5,0), ROUND($BE7*S7*AA7*J7*AY7*0.8*[1]ステータス!$B$2,0))</f>
        <v>2088</v>
      </c>
      <c r="BH7" s="15">
        <f ca="1">IF($BE7&lt;=0,ROUND(BL7*0.5,0), ROUND($BE7*T7*AB7*K7*AZ7*0.8*[1]ステータス!$C$2,0))</f>
        <v>1596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745</v>
      </c>
      <c r="BK7" s="10">
        <f ca="1">ROUND(BD7*S7*AA7*J7*AY7*[1]ステータス!$B$2,0)</f>
        <v>3420</v>
      </c>
      <c r="BL7" s="10">
        <f ca="1">ROUND(BD7*T7*AB7*K7*AZ7*[1]ステータス!$C$2,0)</f>
        <v>2614</v>
      </c>
      <c r="BM7" s="10">
        <f ca="1">ROUND(BD7*U7*AC7*L7*BA7*[1]ステータス!$D$2,0)</f>
        <v>0</v>
      </c>
      <c r="BN7" s="10">
        <f ca="1">ROUND(BD7*V7*AD7*M7*BB7*[1]ステータス!$E$2,0)</f>
        <v>1221</v>
      </c>
      <c r="BO7" s="9">
        <v>0</v>
      </c>
      <c r="BP7" s="9">
        <v>1</v>
      </c>
      <c r="BQ7" s="9" t="s">
        <v>47</v>
      </c>
      <c r="BR7" s="9">
        <f ca="1">VLOOKUP(H7,ghosts_label!$A$2:$B$19,2,FALSE)</f>
        <v>1</v>
      </c>
    </row>
    <row r="8" spans="1:70" ht="26" customHeight="1" x14ac:dyDescent="0.15">
      <c r="A8" s="186">
        <v>1202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ウラヌス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0">
        <f ca="1">VLOOKUP(I8,[1]属性!$A:$E,2,FALSE)</f>
        <v>1</v>
      </c>
      <c r="K8" s="10">
        <f ca="1">VLOOKUP(I8,[1]属性!$A:$E,3,FALSE)</f>
        <v>1.02</v>
      </c>
      <c r="L8" s="10">
        <f ca="1">VLOOKUP(I8,[1]属性!$A:$E,4,FALSE)</f>
        <v>1</v>
      </c>
      <c r="M8" s="10">
        <f ca="1">VLOOKUP(I8,[1]属性!$A:$E,5,FALSE)</f>
        <v>0.98</v>
      </c>
      <c r="N8" s="10">
        <f ca="1">INDEX(コスト!$A$1:$I$21,MATCH(H8,コスト!$A$1:$A$21,FALSE),MATCH(G8,コスト!$A$1:$I$1,FALSE))</f>
        <v>30</v>
      </c>
      <c r="O8" s="10">
        <f ca="1">INDEX(レベル!$A$1:$I$22,MATCH(H8,レベル!$A$1:$A$22,FALSE),MATCH(G8,レベル!$A$1:$I$1,FALSE))</f>
        <v>80</v>
      </c>
      <c r="P8" s="44">
        <f t="shared" ref="P8:P9" ca="1" si="13">IF(G8 &gt;= 6, 99,G8*15)</f>
        <v>75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0">
        <f ca="1">VLOOKUP(Q8,[1]character_type_i18n!$A:$H,4,FALSE)</f>
        <v>0.9</v>
      </c>
      <c r="T8" s="10">
        <f ca="1">VLOOKUP(Q8,[1]character_type_i18n!$A:$H,5,FALSE)</f>
        <v>0.9</v>
      </c>
      <c r="U8" s="10">
        <f ca="1">VLOOKUP(Q8,[1]character_type_i18n!$A:$H,6,FALSE)</f>
        <v>1</v>
      </c>
      <c r="V8" s="10">
        <f ca="1">VLOOKUP(Q8,[1]character_type_i18n!$A:$H,7,FALSE)</f>
        <v>0.9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unknown</v>
      </c>
      <c r="Z8" s="5" t="str">
        <f ca="1">VLOOKUP(Y8,[1]character_tribe_i18n!$A:$H,3,FALSE)</f>
        <v>Unknown</v>
      </c>
      <c r="AA8" s="10">
        <f ca="1">VLOOKUP(W8,[1]character_tribe_i18n!$A:$H,4,FALSE)</f>
        <v>0.96</v>
      </c>
      <c r="AB8" s="10">
        <f ca="1">VLOOKUP(W8,[1]character_tribe_i18n!$A:$H,5,FALSE)</f>
        <v>1.02</v>
      </c>
      <c r="AC8" s="10">
        <f ca="1">VLOOKUP(W8,[1]character_tribe_i18n!$A:$H,6,FALSE)</f>
        <v>1</v>
      </c>
      <c r="AD8" s="10">
        <f ca="1">VLOOKUP(W8,[1]character_tribe_i18n!$A:$H,7,FALSE)</f>
        <v>1.02</v>
      </c>
      <c r="AE8" s="187">
        <v>1203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掌星の原天神 ウラヌス</v>
      </c>
      <c r="AG8" s="187">
        <v>1202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ウラヌス</v>
      </c>
      <c r="AI8" s="10">
        <f ca="1">IF(AE8="NULL","NULL",VLOOKUP(G8,ビット!$A$2:$B$7,2))</f>
        <v>200000</v>
      </c>
      <c r="AJ8" s="6">
        <v>2</v>
      </c>
      <c r="AK8" s="7" t="str">
        <f t="shared" si="11"/>
        <v>普通</v>
      </c>
      <c r="AL8" s="10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63">
        <v>1202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ユニヴァース&lt;絶対権限&gt;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出現しているCパネルを大強化+1ターンの間、赤属性ユニットの攻撃力と回復力を大UP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63">
        <v>1202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神々は天に昇らず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1体に大ダメージ_x000D_緑属性に効果特大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4">
        <v>1</v>
      </c>
      <c r="AZ8" s="64">
        <v>1.1499999999999999</v>
      </c>
      <c r="BA8" s="64">
        <v>0</v>
      </c>
      <c r="BB8" s="64">
        <v>1.05</v>
      </c>
      <c r="BC8" s="10">
        <f ca="1">INDEX('RC6SV'!$A$1:$G$21,MATCH(H8,'RC6SV'!$A$1:$A$21,FALSE),MATCH(G8,'RC6SV'!$A$1:$G$1,FALSE))</f>
        <v>9000</v>
      </c>
      <c r="BD8" s="44">
        <f t="shared" ca="1" si="12"/>
        <v>9000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1944</v>
      </c>
      <c r="BH8" s="15">
        <f ca="1">IF($BE8&lt;=0,ROUND(BL8*0.5,0), ROUND($BE8*T8*AB8*K8*AZ8*0.8*[1]ステータス!$C$2,0))</f>
        <v>1454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1063</v>
      </c>
      <c r="BK8" s="10">
        <f ca="1">ROUND(BD8*S8*AA8*J8*AY8*[1]ステータス!$B$2,0)</f>
        <v>3888</v>
      </c>
      <c r="BL8" s="10">
        <f ca="1">ROUND(BD8*T8*AB8*K8*AZ8*[1]ステータス!$C$2,0)</f>
        <v>2907</v>
      </c>
      <c r="BM8" s="10">
        <f ca="1">ROUND(BD8*U8*AC8*L8*BA8*[1]ステータス!$D$2,0)</f>
        <v>0</v>
      </c>
      <c r="BN8" s="10">
        <f ca="1">ROUND(BD8*V8*AD8*M8*BB8*[1]ステータス!$E$2,0)</f>
        <v>2125</v>
      </c>
      <c r="BO8" s="9">
        <v>0</v>
      </c>
      <c r="BP8" s="9">
        <v>1</v>
      </c>
      <c r="BQ8" s="36" t="s">
        <v>47</v>
      </c>
      <c r="BR8" s="9">
        <f ca="1">VLOOKUP(H8,ghosts_label!$A$2:$B$19,2,FALSE)</f>
        <v>1</v>
      </c>
    </row>
    <row r="9" spans="1:70" ht="26" customHeight="1" x14ac:dyDescent="0.15">
      <c r="A9" s="186">
        <v>1203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掌星の原天神 ウラヌス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0">
        <f ca="1">VLOOKUP(I9,[1]属性!$A:$E,2,FALSE)</f>
        <v>1</v>
      </c>
      <c r="K9" s="10">
        <f ca="1">VLOOKUP(I9,[1]属性!$A:$E,3,FALSE)</f>
        <v>1.02</v>
      </c>
      <c r="L9" s="10">
        <f ca="1">VLOOKUP(I9,[1]属性!$A:$E,4,FALSE)</f>
        <v>1</v>
      </c>
      <c r="M9" s="10">
        <f ca="1">VLOOKUP(I9,[1]属性!$A:$E,5,FALSE)</f>
        <v>0.98</v>
      </c>
      <c r="N9" s="10">
        <f ca="1">INDEX(コスト!$A$1:$I$21,MATCH(H9,コスト!$A$1:$A$21,FALSE),MATCH(G9,コスト!$A$1:$I$1,FALSE))</f>
        <v>45</v>
      </c>
      <c r="O9" s="10">
        <f ca="1">INDEX(レベル!$A$1:$I$22,MATCH(H9,レベル!$A$1:$A$22,FALSE),MATCH(G9,レベル!$A$1:$I$1,FALSE))</f>
        <v>99</v>
      </c>
      <c r="P9" s="44">
        <f t="shared" ca="1" si="13"/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0">
        <f ca="1">VLOOKUP(Q9,[1]character_type_i18n!$A:$H,4,FALSE)</f>
        <v>0.9</v>
      </c>
      <c r="T9" s="10">
        <f ca="1">VLOOKUP(Q9,[1]character_type_i18n!$A:$H,5,FALSE)</f>
        <v>0.9</v>
      </c>
      <c r="U9" s="10">
        <f ca="1">VLOOKUP(Q9,[1]character_type_i18n!$A:$H,6,FALSE)</f>
        <v>1</v>
      </c>
      <c r="V9" s="10">
        <f ca="1">VLOOKUP(Q9,[1]character_type_i18n!$A:$H,7,FALSE)</f>
        <v>0.9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unknown</v>
      </c>
      <c r="Z9" s="5" t="str">
        <f ca="1">VLOOKUP(Y9,[1]character_tribe_i18n!$A:$H,3,FALSE)</f>
        <v>Unknown</v>
      </c>
      <c r="AA9" s="10">
        <f ca="1">VLOOKUP(W9,[1]character_tribe_i18n!$A:$H,4,FALSE)</f>
        <v>0.96</v>
      </c>
      <c r="AB9" s="10">
        <f ca="1">VLOOKUP(W9,[1]character_tribe_i18n!$A:$H,5,FALSE)</f>
        <v>1.02</v>
      </c>
      <c r="AC9" s="10">
        <f ca="1">VLOOKUP(W9,[1]character_tribe_i18n!$A:$H,6,FALSE)</f>
        <v>1</v>
      </c>
      <c r="AD9" s="10">
        <f ca="1">VLOOKUP(W9,[1]character_tribe_i18n!$A:$H,7,FALSE)</f>
        <v>1.02</v>
      </c>
      <c r="AE9" s="187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7">
        <v>1202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ウラヌス</v>
      </c>
      <c r="AI9" s="10" t="str">
        <f>IF(AE9="NULL","NULL",VLOOKUP(G9,ビット!$A$2:$B$7,2))</f>
        <v>NULL</v>
      </c>
      <c r="AJ9" s="6">
        <v>2</v>
      </c>
      <c r="AK9" s="7" t="str">
        <f t="shared" ref="AK9:AK10" si="14">IF(AJ9=1,"早熟",IF(AJ9=2,"普通",IF(AJ9=3,"晩成","")))</f>
        <v>普通</v>
      </c>
      <c r="AL9" s="10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63">
        <v>1203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リ・ユニヴァース&lt;絶対拳現&gt;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出現しているCパネルを大強化+2ターンの間、赤属性ユニットの攻撃力と回復力を特大UP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63">
        <v>1203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神々よ天にひれ伏せ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1体に特大ダメージ_x000D_緑属性に効果超大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4">
        <v>1</v>
      </c>
      <c r="AZ9" s="64">
        <v>1.1499999999999999</v>
      </c>
      <c r="BA9" s="64">
        <v>0</v>
      </c>
      <c r="BB9" s="64">
        <v>1.05</v>
      </c>
      <c r="BC9" s="10">
        <f ca="1">INDEX('RC6SV'!$A$1:$G$21,MATCH(H9,'RC6SV'!$A$1:$A$21,FALSE),MATCH(G9,'RC6SV'!$A$1:$G$1,FALSE))</f>
        <v>12000</v>
      </c>
      <c r="BD9" s="44">
        <f t="shared" ref="BD9:BD10" ca="1" si="15">ROUND(BC9*IF(AJ9=1,0.95,IF(AJ9=2,1,IF(AJ9,1.05,0))),0)</f>
        <v>12000</v>
      </c>
      <c r="BE9" s="10">
        <f t="shared" ca="1" si="3"/>
        <v>9000</v>
      </c>
      <c r="BF9" s="10">
        <f t="shared" ca="1" si="4"/>
        <v>1</v>
      </c>
      <c r="BG9" s="15">
        <f ca="1">IF($BE9&lt;=0,ROUND(BK9*0.5,0), ROUND($BE9*S9*AA9*J9*AY9*0.8*[1]ステータス!$B$2,0))</f>
        <v>3110</v>
      </c>
      <c r="BH9" s="15">
        <f ca="1">IF($BE9&lt;=0,ROUND(BL9*0.5,0), ROUND($BE9*T9*AB9*K9*AZ9*0.8*[1]ステータス!$C$2,0))</f>
        <v>2326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1700</v>
      </c>
      <c r="BK9" s="10">
        <f ca="1">ROUND(BD9*S9*AA9*J9*AY9*[1]ステータス!$B$2,0)</f>
        <v>5184</v>
      </c>
      <c r="BL9" s="10">
        <f ca="1">ROUND(BD9*T9*AB9*K9*AZ9*[1]ステータス!$C$2,0)</f>
        <v>3877</v>
      </c>
      <c r="BM9" s="10">
        <f ca="1">ROUND(BD9*U9*AC9*L9*BA9*[1]ステータス!$D$2,0)</f>
        <v>0</v>
      </c>
      <c r="BN9" s="10">
        <f ca="1">ROUND(BD9*V9*AD9*M9*BB9*[1]ステータス!$E$2,0)</f>
        <v>2834</v>
      </c>
      <c r="BO9" s="9">
        <v>0</v>
      </c>
      <c r="BP9" s="9">
        <v>1</v>
      </c>
      <c r="BQ9" s="9" t="s">
        <v>47</v>
      </c>
      <c r="BR9" s="9">
        <f ca="1">VLOOKUP(H9,ghosts_label!$A$2:$B$19,2,FALSE)</f>
        <v>1</v>
      </c>
    </row>
    <row r="10" spans="1:70" ht="26" customHeight="1" x14ac:dyDescent="0.15">
      <c r="A10" s="186">
        <v>1206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ヘラ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DropWizSS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0">
        <f ca="1">VLOOKUP(I10,[1]属性!$A:$E,2,FALSE)</f>
        <v>0.98</v>
      </c>
      <c r="K10" s="10">
        <f ca="1">VLOOKUP(I10,[1]属性!$A:$E,3,FALSE)</f>
        <v>1.01</v>
      </c>
      <c r="L10" s="10">
        <f ca="1">VLOOKUP(I10,[1]属性!$A:$E,4,FALSE)</f>
        <v>1</v>
      </c>
      <c r="M10" s="10">
        <f ca="1">VLOOKUP(I10,[1]属性!$A:$E,5,FALSE)</f>
        <v>1.01</v>
      </c>
      <c r="N10" s="10">
        <f ca="1">INDEX(コスト!$A$1:$I$21,MATCH(H10,コスト!$A$1:$A$21,FALSE),MATCH(G10,コスト!$A$1:$I$1,FALSE))</f>
        <v>35</v>
      </c>
      <c r="O10" s="10">
        <f ca="1">INDEX(レベル!$A$1:$I$22,MATCH(H10,レベル!$A$1:$A$22,FALSE),MATCH(G10,レベル!$A$1:$I$1,FALSE))</f>
        <v>80</v>
      </c>
      <c r="P10" s="44">
        <f t="shared" ref="P10:P11" ca="1" si="16">IF(G10 &gt;= 6, 99,G10*15)</f>
        <v>75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technical</v>
      </c>
      <c r="R10" s="5" t="str">
        <f ca="1">VLOOKUP(Q10,[1]character_type_i18n!$A:$H,3,FALSE)</f>
        <v>テクニカルタイプ</v>
      </c>
      <c r="S10" s="10">
        <f ca="1">VLOOKUP(Q10,[1]character_type_i18n!$A:$H,4,FALSE)</f>
        <v>0.9</v>
      </c>
      <c r="T10" s="10">
        <f ca="1">VLOOKUP(Q10,[1]character_type_i18n!$A:$H,5,FALSE)</f>
        <v>0.9</v>
      </c>
      <c r="U10" s="10">
        <f ca="1">VLOOKUP(Q10,[1]character_type_i18n!$A:$H,6,FALSE)</f>
        <v>1</v>
      </c>
      <c r="V10" s="10">
        <f ca="1">VLOOKUP(Q10,[1]character_type_i18n!$A:$H,7,FALSE)</f>
        <v>0.9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0">
        <f ca="1">VLOOKUP(W10,[1]character_tribe_i18n!$A:$H,4,FALSE)</f>
        <v>0.96</v>
      </c>
      <c r="AB10" s="10">
        <f ca="1">VLOOKUP(W10,[1]character_tribe_i18n!$A:$H,5,FALSE)</f>
        <v>1.02</v>
      </c>
      <c r="AC10" s="10">
        <f ca="1">VLOOKUP(W10,[1]character_tribe_i18n!$A:$H,6,FALSE)</f>
        <v>1</v>
      </c>
      <c r="AD10" s="10">
        <f ca="1">VLOOKUP(W10,[1]character_tribe_i18n!$A:$H,7,FALSE)</f>
        <v>1.02</v>
      </c>
      <c r="AE10" s="187">
        <v>1207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典麗なる悋気神 ヘラ</v>
      </c>
      <c r="AG10" s="187">
        <v>1206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ヘラ</v>
      </c>
      <c r="AI10" s="10">
        <f ca="1">IF(AE10="NULL","NULL",VLOOKUP(G10,ビット!$A$2:$B$7,2))</f>
        <v>200000</v>
      </c>
      <c r="AJ10" s="6">
        <v>2</v>
      </c>
      <c r="AK10" s="7" t="str">
        <f t="shared" si="14"/>
        <v>普通</v>
      </c>
      <c r="AL10" s="10" t="str">
        <f ca="1">INDEX(経験値!$A$1:$I$21,MATCH(H10,経験値!$A$1:$A$21,FALSE),MATCH(G10,経験値!$A$1:$I$1,FALSE))</f>
        <v>required_exp_200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63">
        <v>1206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ズュギア・ジェラス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青パネルを黄パネル、赤パネルをCパネルに変換+HPを大回復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63">
        <v>1206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夫婦密約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1体に特大ダメージ+_x000D_全体に超大ダメージ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4">
        <v>1</v>
      </c>
      <c r="AZ10" s="64">
        <v>0.9</v>
      </c>
      <c r="BA10" s="64">
        <v>0</v>
      </c>
      <c r="BB10" s="64">
        <v>1.2</v>
      </c>
      <c r="BC10" s="10">
        <f ca="1">INDEX('RC6SV'!$A$1:$G$21,MATCH(H10,'RC6SV'!$A$1:$A$21,FALSE),MATCH(G10,'RC6SV'!$A$1:$G$1,FALSE))</f>
        <v>9500</v>
      </c>
      <c r="BD10" s="44">
        <f t="shared" ca="1" si="15"/>
        <v>9500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2011</v>
      </c>
      <c r="BH10" s="15">
        <f ca="1">IF($BE10&lt;=0,ROUND(BL10*0.5,0), ROUND($BE10*T10*AB10*K10*AZ10*0.8*[1]ステータス!$C$2,0))</f>
        <v>1189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1321</v>
      </c>
      <c r="BK10" s="10">
        <f ca="1">ROUND(BD10*S10*AA10*J10*AY10*[1]ステータス!$B$2,0)</f>
        <v>4022</v>
      </c>
      <c r="BL10" s="10">
        <f ca="1">ROUND(BD10*T10*AB10*K10*AZ10*[1]ステータス!$C$2,0)</f>
        <v>2378</v>
      </c>
      <c r="BM10" s="10">
        <f ca="1">ROUND(BD10*U10*AC10*L10*BA10*[1]ステータス!$D$2,0)</f>
        <v>0</v>
      </c>
      <c r="BN10" s="10">
        <f ca="1">ROUND(BD10*V10*AD10*M10*BB10*[1]ステータス!$E$2,0)</f>
        <v>2642</v>
      </c>
      <c r="BO10" s="9">
        <v>0</v>
      </c>
      <c r="BP10" s="9">
        <v>1</v>
      </c>
      <c r="BQ10" s="36" t="s">
        <v>47</v>
      </c>
      <c r="BR10" s="9">
        <f ca="1">VLOOKUP(H10,ghosts_label!$A$2:$B$19,2,FALSE)</f>
        <v>1</v>
      </c>
    </row>
    <row r="11" spans="1:70" ht="26" customHeight="1" x14ac:dyDescent="0.15">
      <c r="A11" s="186">
        <v>1207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典麗なる悋気神 ヘラ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DropWizSS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0">
        <f ca="1">VLOOKUP(I11,[1]属性!$A:$E,2,FALSE)</f>
        <v>0.98</v>
      </c>
      <c r="K11" s="10">
        <f ca="1">VLOOKUP(I11,[1]属性!$A:$E,3,FALSE)</f>
        <v>1.01</v>
      </c>
      <c r="L11" s="10">
        <f ca="1">VLOOKUP(I11,[1]属性!$A:$E,4,FALSE)</f>
        <v>1</v>
      </c>
      <c r="M11" s="10">
        <f ca="1">VLOOKUP(I11,[1]属性!$A:$E,5,FALSE)</f>
        <v>1.01</v>
      </c>
      <c r="N11" s="10">
        <f ca="1">INDEX(コスト!$A$1:$I$21,MATCH(H11,コスト!$A$1:$A$21,FALSE),MATCH(G11,コスト!$A$1:$I$1,FALSE))</f>
        <v>50</v>
      </c>
      <c r="O11" s="10">
        <f ca="1">INDEX(レベル!$A$1:$I$22,MATCH(H11,レベル!$A$1:$A$22,FALSE),MATCH(G11,レベル!$A$1:$I$1,FALSE))</f>
        <v>99</v>
      </c>
      <c r="P11" s="44">
        <f t="shared" ca="1" si="16"/>
        <v>99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technical</v>
      </c>
      <c r="R11" s="5" t="str">
        <f ca="1">VLOOKUP(Q11,[1]character_type_i18n!$A:$H,3,FALSE)</f>
        <v>テクニカルタイプ</v>
      </c>
      <c r="S11" s="10">
        <f ca="1">VLOOKUP(Q11,[1]character_type_i18n!$A:$H,4,FALSE)</f>
        <v>0.9</v>
      </c>
      <c r="T11" s="10">
        <f ca="1">VLOOKUP(Q11,[1]character_type_i18n!$A:$H,5,FALSE)</f>
        <v>0.9</v>
      </c>
      <c r="U11" s="10">
        <f ca="1">VLOOKUP(Q11,[1]character_type_i18n!$A:$H,6,FALSE)</f>
        <v>1</v>
      </c>
      <c r="V11" s="10">
        <f ca="1">VLOOKUP(Q11,[1]character_type_i18n!$A:$H,7,FALSE)</f>
        <v>0.9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0">
        <f ca="1">VLOOKUP(W11,[1]character_tribe_i18n!$A:$H,4,FALSE)</f>
        <v>0.96</v>
      </c>
      <c r="AB11" s="10">
        <f ca="1">VLOOKUP(W11,[1]character_tribe_i18n!$A:$H,5,FALSE)</f>
        <v>1.02</v>
      </c>
      <c r="AC11" s="10">
        <f ca="1">VLOOKUP(W11,[1]character_tribe_i18n!$A:$H,6,FALSE)</f>
        <v>1</v>
      </c>
      <c r="AD11" s="10">
        <f ca="1">VLOOKUP(W11,[1]character_tribe_i18n!$A:$H,7,FALSE)</f>
        <v>1.02</v>
      </c>
      <c r="AE11" s="187" t="s">
        <v>183</v>
      </c>
      <c r="AF11" s="58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7">
        <v>1206</v>
      </c>
      <c r="AH11" s="58" t="str">
        <f ca="1">VLOOKUP($AG11,OFFSET([1]characters!$A$1,0,0,COUNTA([1]characters!$A:$A),MATCH(AH$1,[1]characters!$1:$1,0)-MATCH($A$1,[1]characters!$1:$1,0)+1),MATCH(AH$1,[1]characters!$1:$1,0)-MATCH($A$1,[1]characters!$1:$1,0)+1,FALSE)</f>
        <v>ヘラ</v>
      </c>
      <c r="AI11" s="10" t="str">
        <f>IF(AE11="NULL","NULL",VLOOKUP(G11,ビット!$A$2:$B$7,2))</f>
        <v>NULL</v>
      </c>
      <c r="AJ11" s="6">
        <v>2</v>
      </c>
      <c r="AK11" s="7" t="str">
        <f t="shared" ref="AK11" si="17">IF(AJ11=1,"早熟",IF(AJ11=2,"普通",IF(AJ11=3,"晩成","")))</f>
        <v>普通</v>
      </c>
      <c r="AL11" s="10" t="str">
        <f ca="1">INDEX(経験値!$A$1:$I$21,MATCH(H11,経験値!$A$1:$A$21,FALSE),MATCH(G11,経験値!$A$1:$I$1,FALSE))</f>
        <v>required_exp_250</v>
      </c>
      <c r="AM11" s="8">
        <f ca="1">VLOOKUP(G11,経験値!$A$28:$B$32,2)</f>
        <v>6400</v>
      </c>
      <c r="AN11" s="16">
        <f ca="1">VLOOKUP(G11,ビット!$G$2:$H$7,2)</f>
        <v>900</v>
      </c>
      <c r="AO11" s="41"/>
      <c r="AP11" s="63">
        <v>1207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ガメイラ・リヴィッド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青を黄パネル、赤をCP変換+HP大回復+ウィルス解除+3ターン種族ゴッドと攻撃･体力タイプの攻撃力超大UP、タップ数を1増やす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63">
        <v>1207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真約・夫婦議定書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1体に特大ダメージ+_x000D_全体に超大ダメージ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4">
        <v>1</v>
      </c>
      <c r="AZ11" s="64">
        <v>0.99670000000000003</v>
      </c>
      <c r="BA11" s="64">
        <v>0</v>
      </c>
      <c r="BB11" s="64">
        <v>1.2332000000000001</v>
      </c>
      <c r="BC11" s="10">
        <f ca="1">INDEX('RC6SV'!$A$1:$G$21,MATCH(H11,'RC6SV'!$A$1:$A$21,FALSE),MATCH(G11,'RC6SV'!$A$1:$G$1,FALSE))</f>
        <v>13000</v>
      </c>
      <c r="BD11" s="44">
        <f t="shared" ref="BD11" ca="1" si="18">ROUND(BC11*IF(AJ11=1,0.95,IF(AJ11=2,1,IF(AJ11,1.05,0))),0)</f>
        <v>13000</v>
      </c>
      <c r="BE11" s="10">
        <f t="shared" ca="1" si="3"/>
        <v>9500</v>
      </c>
      <c r="BF11" s="10">
        <f t="shared" ca="1" si="4"/>
        <v>1</v>
      </c>
      <c r="BG11" s="15">
        <f ca="1">IF($BE11&lt;=0,ROUND(BK11*0.5,0), ROUND($BE11*S11*AA11*J11*AY11*0.8*[1]ステータス!$B$2,0))</f>
        <v>3218</v>
      </c>
      <c r="BH11" s="15">
        <f ca="1">IF($BE11&lt;=0,ROUND(BL11*0.5,0), ROUND($BE11*T11*AB11*K11*AZ11*0.8*[1]ステータス!$C$2,0))</f>
        <v>2107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2172</v>
      </c>
      <c r="BK11" s="10">
        <f ca="1">ROUND(BD11*S11*AA11*J11*AY11*[1]ステータス!$B$2,0)</f>
        <v>5504</v>
      </c>
      <c r="BL11" s="10">
        <f ca="1">ROUND(BD11*T11*AB11*K11*AZ11*[1]ステータス!$C$2,0)</f>
        <v>3604</v>
      </c>
      <c r="BM11" s="10">
        <f ca="1">ROUND(BD11*U11*AC11*L11*BA11*[1]ステータス!$D$2,0)</f>
        <v>0</v>
      </c>
      <c r="BN11" s="10">
        <f ca="1">ROUND(BD11*V11*AD11*M11*BB11*[1]ステータス!$E$2,0)</f>
        <v>3716</v>
      </c>
      <c r="BO11" s="9">
        <v>0</v>
      </c>
      <c r="BP11" s="9">
        <v>1</v>
      </c>
      <c r="BQ11" s="9" t="s">
        <v>47</v>
      </c>
      <c r="BR11" s="9">
        <f ca="1">VLOOKUP(H11,ghosts_label!$A$2:$B$19,2,FALSE)</f>
        <v>1</v>
      </c>
    </row>
    <row r="12" spans="1:70" ht="26" customHeight="1" x14ac:dyDescent="0.15">
      <c r="A12" s="186">
        <v>1210</v>
      </c>
      <c r="B12" s="53" t="str">
        <f ca="1">VLOOKUP($A12,OFFSET([1]characters!$A$1,0,0,COUNTA([1]characters!$A:$A),MATCH(B$1,[1]characters!$1:$1,0)-MATCH($A$1,[1]characters!$1:$1,0)+1),MATCH(B$1,[1]characters!$1:$1,0)-MATCH($A$1,[1]characters!$1:$1,0)+1,FALSE)</f>
        <v>ケンタウロス</v>
      </c>
      <c r="C12" s="53">
        <f ca="1">VLOOKUP($A12,OFFSET([1]characters!$A$1,0,0,COUNTA([1]characters!$A:$A),MATCH(C$1,[1]characters!$1:$1,0)-MATCH($A$1,[1]characters!$1:$1,0)+1),MATCH(C$1,[1]characters!$1:$1,0)-MATCH($A$1,[1]characters!$1:$1,0)+1,FALSE)</f>
        <v>0</v>
      </c>
      <c r="D12" s="53">
        <f ca="1">VLOOKUP($A12,OFFSET([1]characters!$A$1,0,0,COUNTA([1]characters!$A:$A),MATCH(D$1,[1]characters!$1:$1,0)-MATCH($A$1,[1]characters!$1:$1,0)+1),MATCH(D$1,[1]characters!$1:$1,0)-MATCH($A$1,[1]characters!$1:$1,0)+1,FALSE)</f>
        <v>0</v>
      </c>
      <c r="E12" s="53">
        <f ca="1">VLOOKUP($A12,OFFSET([1]characters!$A$1,0,0,COUNTA([1]characters!$A:$A),MATCH(E$1,[1]characters!$1:$1,0)-MATCH($A$1,[1]characters!$1:$1,0)+1),MATCH(E$1,[1]characters!$1:$1,0)-MATCH($A$1,[1]characters!$1:$1,0)+1,FALSE)</f>
        <v>0</v>
      </c>
      <c r="F12" s="53">
        <f ca="1">VLOOKUP($A12,OFFSET([1]characters!$A$1,0,0,COUNTA([1]characters!$A:$A),MATCH(F$1,[1]characters!$1:$1,0)-MATCH($A$1,[1]characters!$1:$1,0)+1),MATCH(F$1,[1]characters!$1:$1,0)-MATCH($A$1,[1]characters!$1:$1,0)+1,FALSE)</f>
        <v>0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0">
        <f ca="1">VLOOKUP(I12,[1]属性!$A:$E,2,FALSE)</f>
        <v>1.02</v>
      </c>
      <c r="K12" s="10">
        <f ca="1">VLOOKUP(I12,[1]属性!$A:$E,3,FALSE)</f>
        <v>0.98</v>
      </c>
      <c r="L12" s="10">
        <f ca="1">VLOOKUP(I12,[1]属性!$A:$E,4,FALSE)</f>
        <v>1</v>
      </c>
      <c r="M12" s="10">
        <f ca="1">VLOOKUP(I12,[1]属性!$A:$E,5,FALSE)</f>
        <v>1</v>
      </c>
      <c r="N12" s="10">
        <f ca="1">INDEX(コスト!$A$1:$I$21,MATCH(H12,コスト!$A$1:$A$21,FALSE),MATCH(G12,コスト!$A$1:$I$1,FALSE))</f>
        <v>20</v>
      </c>
      <c r="O12" s="10">
        <f ca="1">INDEX(レベル!$A$1:$I$22,MATCH(H12,レベル!$A$1:$A$22,FALSE),MATCH(G12,レベル!$A$1:$I$1,FALSE))</f>
        <v>60</v>
      </c>
      <c r="P12" s="44">
        <f t="shared" ref="P12:P13" ca="1" si="19">IF(G12 &gt;= 6, 99,G12*15)</f>
        <v>60</v>
      </c>
      <c r="Q12" s="53" t="str">
        <f ca="1">VLOOKUP($A12,OFFSET([1]characters!$A$1,0,0,COUNTA([1]characters!$A:$A),MATCH(Q$1,[1]characters!$1:$1,0)-MATCH($A$1,[1]characters!$1:$1,0)+1),MATCH(Q$1,[1]characters!$1:$1,0)-MATCH($A$1,[1]characters!$1:$1,0)+1,FALSE)</f>
        <v>attack</v>
      </c>
      <c r="R12" s="5" t="str">
        <f ca="1">VLOOKUP(Q12,[1]character_type_i18n!$A:$H,3,FALSE)</f>
        <v>攻撃タイプ</v>
      </c>
      <c r="S12" s="10">
        <f ca="1">VLOOKUP(Q12,[1]character_type_i18n!$A:$H,4,FALSE)</f>
        <v>1</v>
      </c>
      <c r="T12" s="10">
        <f ca="1">VLOOKUP(Q12,[1]character_type_i18n!$A:$H,5,FALSE)</f>
        <v>1.33</v>
      </c>
      <c r="U12" s="10">
        <f ca="1">VLOOKUP(Q12,[1]character_type_i18n!$A:$H,6,FALSE)</f>
        <v>1</v>
      </c>
      <c r="V12" s="10">
        <f ca="1">VLOOKUP(Q12,[1]character_type_i18n!$A:$H,7,FALSE)</f>
        <v>0.67</v>
      </c>
      <c r="W12" s="53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3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0">
        <f ca="1">VLOOKUP(W12,[1]character_tribe_i18n!$A:$H,4,FALSE)</f>
        <v>0.96</v>
      </c>
      <c r="AB12" s="10">
        <f ca="1">VLOOKUP(W12,[1]character_tribe_i18n!$A:$H,5,FALSE)</f>
        <v>1.02</v>
      </c>
      <c r="AC12" s="10">
        <f ca="1">VLOOKUP(W12,[1]character_tribe_i18n!$A:$H,6,FALSE)</f>
        <v>1</v>
      </c>
      <c r="AD12" s="10">
        <f ca="1">VLOOKUP(W12,[1]character_tribe_i18n!$A:$H,7,FALSE)</f>
        <v>1.02</v>
      </c>
      <c r="AE12" s="187">
        <v>1211</v>
      </c>
      <c r="AF12" s="58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奏駆の翻騎 ケンタウロス</v>
      </c>
      <c r="AG12" s="187">
        <v>1210</v>
      </c>
      <c r="AH12" s="58" t="str">
        <f ca="1">VLOOKUP($AG12,OFFSET([1]characters!$A$1,0,0,COUNTA([1]characters!$A:$A),MATCH(AH$1,[1]characters!$1:$1,0)-MATCH($A$1,[1]characters!$1:$1,0)+1),MATCH(AH$1,[1]characters!$1:$1,0)-MATCH($A$1,[1]characters!$1:$1,0)+1,FALSE)</f>
        <v>ケンタウロス</v>
      </c>
      <c r="AI12" s="10">
        <f ca="1">IF(AE12="NULL","NULL",VLOOKUP(G12,ビット!$A$2:$B$7,2))</f>
        <v>50000</v>
      </c>
      <c r="AJ12" s="6">
        <v>2</v>
      </c>
      <c r="AK12" s="7" t="str">
        <f t="shared" ref="AK12" si="20">IF(AJ12=1,"早熟",IF(AJ12=2,"普通",IF(AJ12=3,"晩成","")))</f>
        <v>普通</v>
      </c>
      <c r="AL12" s="10" t="str">
        <f ca="1">INDEX(経験値!$A$1:$I$21,MATCH(H12,経験値!$A$1:$A$21,FALSE),MATCH(G12,経験値!$A$1:$I$1,FALSE))</f>
        <v>required_exp_200</v>
      </c>
      <c r="AM12" s="8">
        <f ca="1">VLOOKUP(G12,経験値!$A$28:$B$32,2)</f>
        <v>3400</v>
      </c>
      <c r="AN12" s="16">
        <f ca="1">VLOOKUP(G12,ビット!$G$2:$H$7,2)</f>
        <v>600</v>
      </c>
      <c r="AO12" s="41"/>
      <c r="AP12" s="63">
        <v>1210</v>
      </c>
      <c r="AQ12" s="53" t="str">
        <f ca="1">VLOOKUP($AP12,OFFSET(unit_skills!$A$1,0,0,COUNTA(unit_skills!$A:$A),MATCH(AQ$1,unit_skills!$1:$1,0)-MATCH($AP$1,unit_skills!$1:$1,0)+1),MATCH(AQ$1,unit_skills!$1:$1,0)-MATCH($AP$1,unit_skills!$1:$1,0)+1,FALSE)</f>
        <v>走送曲『ワイルドホース』</v>
      </c>
      <c r="AR12" s="53" t="str">
        <f ca="1">VLOOKUP($AP12,OFFSET(unit_skills!$A$1,0,0,COUNTA(unit_skills!$A:$A),MATCH(AR$1,unit_skills!$1:$1,0)-MATCH($AP$1,unit_skills!$1:$1,0)+1),MATCH(AR$1,unit_skills!$1:$1,0)-MATCH($AP$1,unit_skills!$1:$1,0)+1,FALSE)</f>
        <v>黄・お邪魔パネルを緑パネルに変換+1ターンの間全ユニットの攻撃力をUP</v>
      </c>
      <c r="AS12" s="53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63">
        <v>1210</v>
      </c>
      <c r="AU12" s="53" t="str">
        <f ca="1">VLOOKUP($AT12,OFFSET(crash_skills!$A$1,0,0,COUNTA(crash_skills!$A:$A),MATCH(AU$1,crash_skills!$1:$1,0)-MATCH($AT$1,crash_skills!$1:$1,0)+1),MATCH(AU$1,crash_skills!$1:$1,0)-MATCH($AT$1,crash_skills!$1:$1,0)+1,FALSE)</f>
        <v>祝福の独奏</v>
      </c>
      <c r="AV12" s="53" t="str">
        <f ca="1">VLOOKUP($AT12,OFFSET(crash_skills!$A$1,0,0,COUNTA(crash_skills!$A:$A),MATCH(AV$1,crash_skills!$1:$1,0)-MATCH($AT$1,crash_skills!$1:$1,0)+1),MATCH(AV$1,crash_skills!$1:$1,0)-MATCH($AT$1,crash_skills!$1:$1,0)+1,FALSE)</f>
        <v>全体に特大ダメージ</v>
      </c>
      <c r="AW12" s="53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4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4">
        <v>0.88</v>
      </c>
      <c r="AZ12" s="64">
        <v>1.22</v>
      </c>
      <c r="BA12" s="64">
        <v>0</v>
      </c>
      <c r="BB12" s="64">
        <v>0.9</v>
      </c>
      <c r="BC12" s="10">
        <f ca="1">INDEX('RC6SV'!$A$1:$G$21,MATCH(H12,'RC6SV'!$A$1:$A$21,FALSE),MATCH(G12,'RC6SV'!$A$1:$G$1,FALSE))</f>
        <v>7000</v>
      </c>
      <c r="BD12" s="44">
        <f t="shared" ref="BD12" ca="1" si="21">ROUND(BC12*IF(AJ12=1,0.95,IF(AJ12=2,1,IF(AJ12,1.05,0))),0)</f>
        <v>7000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1508</v>
      </c>
      <c r="BH12" s="15">
        <f ca="1">IF($BE12&lt;=0,ROUND(BL12*0.5,0), ROUND($BE12*T12*AB12*K12*AZ12*0.8*[1]ステータス!$C$2,0))</f>
        <v>1703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538</v>
      </c>
      <c r="BK12" s="10">
        <f ca="1">ROUND(BD12*S12*AA12*J12*AY12*[1]ステータス!$B$2,0)</f>
        <v>3016</v>
      </c>
      <c r="BL12" s="10">
        <f ca="1">ROUND(BD12*T12*AB12*K12*AZ12*[1]ステータス!$C$2,0)</f>
        <v>3406</v>
      </c>
      <c r="BM12" s="10">
        <f ca="1">ROUND(BD12*U12*AC12*L12*BA12*[1]ステータス!$D$2,0)</f>
        <v>0</v>
      </c>
      <c r="BN12" s="10">
        <f ca="1">ROUND(BD12*V12*AD12*M12*BB12*[1]ステータス!$E$2,0)</f>
        <v>1076</v>
      </c>
      <c r="BO12" s="9">
        <v>0</v>
      </c>
      <c r="BP12" s="9">
        <v>1</v>
      </c>
      <c r="BQ12" s="36" t="s">
        <v>47</v>
      </c>
      <c r="BR12" s="9">
        <f ca="1">VLOOKUP(H12,ghosts_label!$A$2:$B$19,2,FALSE)</f>
        <v>700</v>
      </c>
    </row>
    <row r="13" spans="1:70" ht="26" customHeight="1" x14ac:dyDescent="0.15">
      <c r="A13" s="186">
        <v>1211</v>
      </c>
      <c r="B13" s="53" t="str">
        <f ca="1">VLOOKUP($A13,OFFSET([1]characters!$A$1,0,0,COUNTA([1]characters!$A:$A),MATCH(B$1,[1]characters!$1:$1,0)-MATCH($A$1,[1]characters!$1:$1,0)+1),MATCH(B$1,[1]characters!$1:$1,0)-MATCH($A$1,[1]characters!$1:$1,0)+1,FALSE)</f>
        <v>奏駆の翻騎 ケンタウロス</v>
      </c>
      <c r="C13" s="53">
        <f ca="1">VLOOKUP($A13,OFFSET([1]characters!$A$1,0,0,COUNTA([1]characters!$A:$A),MATCH(C$1,[1]characters!$1:$1,0)-MATCH($A$1,[1]characters!$1:$1,0)+1),MATCH(C$1,[1]characters!$1:$1,0)-MATCH($A$1,[1]characters!$1:$1,0)+1,FALSE)</f>
        <v>0</v>
      </c>
      <c r="D13" s="53">
        <f ca="1">VLOOKUP($A13,OFFSET([1]characters!$A$1,0,0,COUNTA([1]characters!$A:$A),MATCH(D$1,[1]characters!$1:$1,0)-MATCH($A$1,[1]characters!$1:$1,0)+1),MATCH(D$1,[1]characters!$1:$1,0)-MATCH($A$1,[1]characters!$1:$1,0)+1,FALSE)</f>
        <v>0</v>
      </c>
      <c r="E13" s="53">
        <f ca="1">VLOOKUP($A13,OFFSET([1]characters!$A$1,0,0,COUNTA([1]characters!$A:$A),MATCH(E$1,[1]characters!$1:$1,0)-MATCH($A$1,[1]characters!$1:$1,0)+1),MATCH(E$1,[1]characters!$1:$1,0)-MATCH($A$1,[1]characters!$1:$1,0)+1,FALSE)</f>
        <v>0</v>
      </c>
      <c r="F13" s="53">
        <f ca="1">VLOOKUP($A13,OFFSET([1]characters!$A$1,0,0,COUNTA([1]characters!$A:$A),MATCH(F$1,[1]characters!$1:$1,0)-MATCH($A$1,[1]characters!$1:$1,0)+1),MATCH(F$1,[1]characters!$1:$1,0)-MATCH($A$1,[1]characters!$1:$1,0)+1,FALSE)</f>
        <v>0</v>
      </c>
      <c r="G13" s="53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3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3" t="str">
        <f ca="1">VLOOKUP($A13,OFFSET([1]characters!$A$1,0,0,COUNTA([1]characters!$A:$A),MATCH(I$1,[1]characters!$1:$1,0)-MATCH($A$1,[1]characters!$1:$1,0)+1),MATCH(I$1,[1]characters!$1:$1,0)-MATCH($A$1,[1]characters!$1:$1,0)+1,FALSE)</f>
        <v>green</v>
      </c>
      <c r="J13" s="10">
        <f ca="1">VLOOKUP(I13,[1]属性!$A:$E,2,FALSE)</f>
        <v>1.02</v>
      </c>
      <c r="K13" s="10">
        <f ca="1">VLOOKUP(I13,[1]属性!$A:$E,3,FALSE)</f>
        <v>0.98</v>
      </c>
      <c r="L13" s="10">
        <f ca="1">VLOOKUP(I13,[1]属性!$A:$E,4,FALSE)</f>
        <v>1</v>
      </c>
      <c r="M13" s="10">
        <f ca="1">VLOOKUP(I13,[1]属性!$A:$E,5,FALSE)</f>
        <v>1</v>
      </c>
      <c r="N13" s="10">
        <f ca="1">INDEX(コスト!$A$1:$I$21,MATCH(H13,コスト!$A$1:$A$21,FALSE),MATCH(G13,コスト!$A$1:$I$1,FALSE))</f>
        <v>30</v>
      </c>
      <c r="O13" s="10">
        <f ca="1">INDEX(レベル!$A$1:$I$22,MATCH(H13,レベル!$A$1:$A$22,FALSE),MATCH(G13,レベル!$A$1:$I$1,FALSE))</f>
        <v>80</v>
      </c>
      <c r="P13" s="44">
        <f t="shared" ca="1" si="19"/>
        <v>75</v>
      </c>
      <c r="Q13" s="53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0">
        <f ca="1">VLOOKUP(Q13,[1]character_type_i18n!$A:$H,4,FALSE)</f>
        <v>1</v>
      </c>
      <c r="T13" s="10">
        <f ca="1">VLOOKUP(Q13,[1]character_type_i18n!$A:$H,5,FALSE)</f>
        <v>1.33</v>
      </c>
      <c r="U13" s="10">
        <f ca="1">VLOOKUP(Q13,[1]character_type_i18n!$A:$H,6,FALSE)</f>
        <v>1</v>
      </c>
      <c r="V13" s="10">
        <f ca="1">VLOOKUP(Q13,[1]character_type_i18n!$A:$H,7,FALSE)</f>
        <v>0.67</v>
      </c>
      <c r="W13" s="53" t="str">
        <f ca="1">VLOOKUP($A13,OFFSET([1]characters!$A$1,0,0,COUNTA([1]characters!$A:$A),MATCH(W$1,[1]characters!$1:$1,0)-MATCH($A$1,[1]characters!$1:$1,0)+1),MATCH(W$1,[1]characters!$1:$1,0)-MATCH($A$1,[1]characters!$1:$1,0)+1,FALSE)</f>
        <v>god</v>
      </c>
      <c r="X13" s="5" t="str">
        <f ca="1">VLOOKUP(W13,[1]character_tribe_i18n!$A:$H,3,FALSE)</f>
        <v>ゴッド</v>
      </c>
      <c r="Y13" s="53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0">
        <f ca="1">VLOOKUP(W13,[1]character_tribe_i18n!$A:$H,4,FALSE)</f>
        <v>0.96</v>
      </c>
      <c r="AB13" s="10">
        <f ca="1">VLOOKUP(W13,[1]character_tribe_i18n!$A:$H,5,FALSE)</f>
        <v>1.02</v>
      </c>
      <c r="AC13" s="10">
        <f ca="1">VLOOKUP(W13,[1]character_tribe_i18n!$A:$H,6,FALSE)</f>
        <v>1</v>
      </c>
      <c r="AD13" s="10">
        <f ca="1">VLOOKUP(W13,[1]character_tribe_i18n!$A:$H,7,FALSE)</f>
        <v>1.02</v>
      </c>
      <c r="AE13" s="187" t="s">
        <v>183</v>
      </c>
      <c r="AF13" s="58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187">
        <v>1210</v>
      </c>
      <c r="AH13" s="58" t="str">
        <f ca="1">VLOOKUP($AG13,OFFSET([1]characters!$A$1,0,0,COUNTA([1]characters!$A:$A),MATCH(AH$1,[1]characters!$1:$1,0)-MATCH($A$1,[1]characters!$1:$1,0)+1),MATCH(AH$1,[1]characters!$1:$1,0)-MATCH($A$1,[1]characters!$1:$1,0)+1,FALSE)</f>
        <v>ケンタウロス</v>
      </c>
      <c r="AI13" s="10" t="str">
        <f>IF(AE13="NULL","NULL",VLOOKUP(G13,ビット!$A$2:$B$7,2))</f>
        <v>NULL</v>
      </c>
      <c r="AJ13" s="6">
        <v>2</v>
      </c>
      <c r="AK13" s="7" t="str">
        <f t="shared" ref="AK13" si="22">IF(AJ13=1,"早熟",IF(AJ13=2,"普通",IF(AJ13=3,"晩成","")))</f>
        <v>普通</v>
      </c>
      <c r="AL13" s="10" t="str">
        <f ca="1">INDEX(経験値!$A$1:$I$21,MATCH(H13,経験値!$A$1:$A$21,FALSE),MATCH(G13,経験値!$A$1:$I$1,FALSE))</f>
        <v>required_exp_200</v>
      </c>
      <c r="AM13" s="8">
        <f ca="1">VLOOKUP(G13,経験値!$A$28:$B$32,2)</f>
        <v>6400</v>
      </c>
      <c r="AN13" s="16">
        <f ca="1">VLOOKUP(G13,ビット!$G$2:$H$7,2)</f>
        <v>900</v>
      </c>
      <c r="AO13" s="41"/>
      <c r="AP13" s="63">
        <v>1211</v>
      </c>
      <c r="AQ13" s="53" t="str">
        <f ca="1">VLOOKUP($AP13,OFFSET(unit_skills!$A$1,0,0,COUNTA(unit_skills!$A:$A),MATCH(AQ$1,unit_skills!$1:$1,0)-MATCH($AP$1,unit_skills!$1:$1,0)+1),MATCH(AQ$1,unit_skills!$1:$1,0)-MATCH($AP$1,unit_skills!$1:$1,0)+1,FALSE)</f>
        <v>戦走曲『ダークホース』</v>
      </c>
      <c r="AR13" s="53" t="str">
        <f ca="1">VLOOKUP($AP13,OFFSET(unit_skills!$A$1,0,0,COUNTA(unit_skills!$A:$A),MATCH(AR$1,unit_skills!$1:$1,0)-MATCH($AP$1,unit_skills!$1:$1,0)+1),MATCH(AR$1,unit_skills!$1:$1,0)-MATCH($AP$1,unit_skills!$1:$1,0)+1,FALSE)</f>
        <v>黄・お邪魔パネルを緑パネルに変換+1ターンの間全ユニットの攻撃力を大UP</v>
      </c>
      <c r="AS13" s="53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63">
        <v>1211</v>
      </c>
      <c r="AU13" s="53" t="str">
        <f ca="1">VLOOKUP($AT13,OFFSET(crash_skills!$A$1,0,0,COUNTA(crash_skills!$A:$A),MATCH(AU$1,crash_skills!$1:$1,0)-MATCH($AT$1,crash_skills!$1:$1,0)+1),MATCH(AU$1,crash_skills!$1:$1,0)-MATCH($AT$1,crash_skills!$1:$1,0)+1,FALSE)</f>
        <v>暴風の絶奏</v>
      </c>
      <c r="AV13" s="53" t="str">
        <f ca="1">VLOOKUP($AT13,OFFSET(crash_skills!$A$1,0,0,COUNTA(crash_skills!$A:$A),MATCH(AV$1,crash_skills!$1:$1,0)-MATCH($AT$1,crash_skills!$1:$1,0)+1),MATCH(AV$1,crash_skills!$1:$1,0)-MATCH($AT$1,crash_skills!$1:$1,0)+1,FALSE)</f>
        <v>全体に超大ダメージ</v>
      </c>
      <c r="AW13" s="53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4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4">
        <v>0.88</v>
      </c>
      <c r="AZ13" s="64">
        <v>1.22</v>
      </c>
      <c r="BA13" s="64">
        <v>0</v>
      </c>
      <c r="BB13" s="64">
        <v>0.9</v>
      </c>
      <c r="BC13" s="10">
        <f ca="1">INDEX('RC6SV'!$A$1:$G$21,MATCH(H13,'RC6SV'!$A$1:$A$21,FALSE),MATCH(G13,'RC6SV'!$A$1:$G$1,FALSE))</f>
        <v>9000</v>
      </c>
      <c r="BD13" s="44">
        <f t="shared" ref="BD13" ca="1" si="23">ROUND(BC13*IF(AJ13=1,0.95,IF(AJ13=2,1,IF(AJ13,1.05,0))),0)</f>
        <v>9000</v>
      </c>
      <c r="BE13" s="10">
        <f t="shared" ca="1" si="3"/>
        <v>7000</v>
      </c>
      <c r="BF13" s="10">
        <f t="shared" ca="1" si="4"/>
        <v>1</v>
      </c>
      <c r="BG13" s="15">
        <f ca="1">IF($BE13&lt;=0,ROUND(BK13*0.5,0), ROUND($BE13*S13*AA13*J13*AY13*0.8*[1]ステータス!$B$2,0))</f>
        <v>2413</v>
      </c>
      <c r="BH13" s="15">
        <f ca="1">IF($BE13&lt;=0,ROUND(BL13*0.5,0), ROUND($BE13*T13*AB13*K13*AZ13*0.8*[1]ステータス!$C$2,0))</f>
        <v>2725</v>
      </c>
      <c r="BI13" s="15">
        <f ca="1">IF($BE13&lt;=0,ROUND(BM13*0.5,0), ROUND($BE13*U13*AC13*L13*BA13*0.8*[1]ステータス!$D$2,0))</f>
        <v>0</v>
      </c>
      <c r="BJ13" s="15">
        <f ca="1">IF($BE13&lt;=0,ROUND(BN13*0.5,0), ROUND($BE13*V13*AD13*M13*BB13*0.8*[1]ステータス!$E$2,0))</f>
        <v>861</v>
      </c>
      <c r="BK13" s="10">
        <f ca="1">ROUND(BD13*S13*AA13*J13*AY13*[1]ステータス!$B$2,0)</f>
        <v>3878</v>
      </c>
      <c r="BL13" s="10">
        <f ca="1">ROUND(BD13*T13*AB13*K13*AZ13*[1]ステータス!$C$2,0)</f>
        <v>4379</v>
      </c>
      <c r="BM13" s="10">
        <f ca="1">ROUND(BD13*U13*AC13*L13*BA13*[1]ステータス!$D$2,0)</f>
        <v>0</v>
      </c>
      <c r="BN13" s="10">
        <f ca="1">ROUND(BD13*V13*AD13*M13*BB13*[1]ステータス!$E$2,0)</f>
        <v>1384</v>
      </c>
      <c r="BO13" s="9">
        <v>0</v>
      </c>
      <c r="BP13" s="9">
        <v>1</v>
      </c>
      <c r="BQ13" s="9" t="s">
        <v>47</v>
      </c>
      <c r="BR13" s="9">
        <f ca="1">VLOOKUP(H13,ghosts_label!$A$2:$B$19,2,FALSE)</f>
        <v>700</v>
      </c>
    </row>
  </sheetData>
  <autoFilter ref="A1:BQ1"/>
  <phoneticPr fontId="10"/>
  <conditionalFormatting sqref="BO1">
    <cfRule type="cellIs" dxfId="56" priority="120" stopIfTrue="1" operator="equal">
      <formula>1</formula>
    </cfRule>
  </conditionalFormatting>
  <conditionalFormatting sqref="BQ1">
    <cfRule type="cellIs" dxfId="5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2" sqref="I1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1212</v>
      </c>
      <c r="B2" s="129" t="s">
        <v>185</v>
      </c>
      <c r="C2" s="188" t="s">
        <v>343</v>
      </c>
      <c r="D2" s="188" t="s">
        <v>416</v>
      </c>
      <c r="E2" s="131">
        <f t="shared" ref="E2" si="0">LEN(D2)</f>
        <v>43</v>
      </c>
      <c r="F2" s="63">
        <v>11</v>
      </c>
      <c r="G2" s="113">
        <v>5</v>
      </c>
      <c r="H2" s="132">
        <f>2001</f>
        <v>2001</v>
      </c>
      <c r="I2" s="189" t="s">
        <v>400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クロノス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1213</v>
      </c>
      <c r="B3" s="129" t="s">
        <v>185</v>
      </c>
      <c r="C3" s="188" t="s">
        <v>344</v>
      </c>
      <c r="D3" s="188" t="s">
        <v>416</v>
      </c>
      <c r="E3" s="131">
        <f t="shared" ref="E3:E4" si="1">LEN(D3)</f>
        <v>43</v>
      </c>
      <c r="F3" s="63">
        <v>9</v>
      </c>
      <c r="G3" s="113">
        <v>5</v>
      </c>
      <c r="H3" s="132">
        <f>2001</f>
        <v>2001</v>
      </c>
      <c r="I3" s="189" t="s">
        <v>400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能洪の永地神 クロノス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1208</v>
      </c>
      <c r="B4" s="129" t="s">
        <v>185</v>
      </c>
      <c r="C4" s="188" t="s">
        <v>346</v>
      </c>
      <c r="D4" s="188" t="s">
        <v>324</v>
      </c>
      <c r="E4" s="131">
        <f t="shared" si="1"/>
        <v>35</v>
      </c>
      <c r="F4" s="63">
        <v>13</v>
      </c>
      <c r="G4" s="113">
        <v>5</v>
      </c>
      <c r="H4" s="132">
        <f>2001</f>
        <v>2001</v>
      </c>
      <c r="I4" s="189" t="s">
        <v>412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ネメシス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1209</v>
      </c>
      <c r="B5" s="129" t="s">
        <v>185</v>
      </c>
      <c r="C5" s="188" t="s">
        <v>347</v>
      </c>
      <c r="D5" s="188" t="s">
        <v>327</v>
      </c>
      <c r="E5" s="131">
        <f t="shared" ref="E5:E6" si="2">LEN(D5)</f>
        <v>40</v>
      </c>
      <c r="F5" s="63">
        <v>12</v>
      </c>
      <c r="G5" s="113">
        <v>5</v>
      </c>
      <c r="H5" s="132">
        <f>2001</f>
        <v>2001</v>
      </c>
      <c r="I5" s="189" t="s">
        <v>411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刹那の過罰神 ネメシス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1200</v>
      </c>
      <c r="B6" s="129" t="s">
        <v>185</v>
      </c>
      <c r="C6" s="188" t="s">
        <v>336</v>
      </c>
      <c r="D6" s="188" t="s">
        <v>334</v>
      </c>
      <c r="E6" s="131">
        <f t="shared" si="2"/>
        <v>41</v>
      </c>
      <c r="F6" s="63">
        <v>12</v>
      </c>
      <c r="G6" s="113">
        <v>5</v>
      </c>
      <c r="H6" s="132">
        <f>2001</f>
        <v>2001</v>
      </c>
      <c r="I6" s="189" t="s">
        <v>410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サイクロプス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1201</v>
      </c>
      <c r="B7" s="129" t="s">
        <v>185</v>
      </c>
      <c r="C7" s="188" t="s">
        <v>337</v>
      </c>
      <c r="D7" s="188" t="s">
        <v>335</v>
      </c>
      <c r="E7" s="131">
        <f t="shared" ref="E7:E8" si="3">LEN(D7)</f>
        <v>41</v>
      </c>
      <c r="F7" s="63">
        <v>11</v>
      </c>
      <c r="G7" s="113">
        <v>5</v>
      </c>
      <c r="H7" s="132">
        <f>2001</f>
        <v>2001</v>
      </c>
      <c r="I7" s="189" t="s">
        <v>409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器装の眼囚徒 サイクロプス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1202</v>
      </c>
      <c r="B8" s="129" t="s">
        <v>185</v>
      </c>
      <c r="C8" s="188" t="s">
        <v>338</v>
      </c>
      <c r="D8" s="188" t="s">
        <v>414</v>
      </c>
      <c r="E8" s="131">
        <f t="shared" si="3"/>
        <v>41</v>
      </c>
      <c r="F8" s="63">
        <v>15</v>
      </c>
      <c r="G8" s="113">
        <v>7</v>
      </c>
      <c r="H8" s="132">
        <f>2001</f>
        <v>2001</v>
      </c>
      <c r="I8" s="189" t="s">
        <v>332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ウラヌス</v>
      </c>
      <c r="K8" s="133">
        <f>IFERROR(VLOOKUP(A8,[1]characters!$A:$R,18),0)</f>
        <v>3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1203</v>
      </c>
      <c r="B9" s="129" t="s">
        <v>185</v>
      </c>
      <c r="C9" s="188" t="s">
        <v>339</v>
      </c>
      <c r="D9" s="188" t="s">
        <v>415</v>
      </c>
      <c r="E9" s="131">
        <f t="shared" ref="E9:E10" si="4">LEN(D9)</f>
        <v>42</v>
      </c>
      <c r="F9" s="63">
        <v>14</v>
      </c>
      <c r="G9" s="113">
        <v>7</v>
      </c>
      <c r="H9" s="132">
        <f>2001</f>
        <v>2001</v>
      </c>
      <c r="I9" s="189" t="s">
        <v>401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掌星の原天神 ウラヌス</v>
      </c>
      <c r="K9" s="133">
        <f>IFERROR(VLOOKUP(A9,[1]characters!$A:$R,18),0)</f>
        <v>3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1206</v>
      </c>
      <c r="B10" s="129" t="s">
        <v>185</v>
      </c>
      <c r="C10" s="188" t="s">
        <v>340</v>
      </c>
      <c r="D10" s="188" t="s">
        <v>444</v>
      </c>
      <c r="E10" s="131">
        <f t="shared" si="4"/>
        <v>29</v>
      </c>
      <c r="F10" s="63">
        <v>23</v>
      </c>
      <c r="G10" s="113">
        <v>16</v>
      </c>
      <c r="H10" s="132">
        <f>2001</f>
        <v>2001</v>
      </c>
      <c r="I10" s="189" t="s">
        <v>445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ヘラ</v>
      </c>
      <c r="K10" s="133">
        <f>IFERROR(VLOOKUP(A10,[1]characters!$A:$R,18),0)</f>
        <v>3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1207</v>
      </c>
      <c r="B11" s="129" t="s">
        <v>185</v>
      </c>
      <c r="C11" s="188" t="s">
        <v>341</v>
      </c>
      <c r="D11" s="188" t="s">
        <v>448</v>
      </c>
      <c r="E11" s="131">
        <f t="shared" ref="E11" si="5">LEN(D11)</f>
        <v>63</v>
      </c>
      <c r="F11" s="63">
        <v>23</v>
      </c>
      <c r="G11" s="113">
        <v>16</v>
      </c>
      <c r="H11" s="132">
        <f>2001</f>
        <v>2001</v>
      </c>
      <c r="I11" s="189" t="s">
        <v>449</v>
      </c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典麗なる悋気神 ヘラ</v>
      </c>
      <c r="K11" s="133">
        <f>IFERROR(VLOOKUP(A11,[1]characters!$A:$R,18),0)</f>
        <v>3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1210</v>
      </c>
      <c r="B12" s="129" t="s">
        <v>185</v>
      </c>
      <c r="C12" s="188" t="s">
        <v>350</v>
      </c>
      <c r="D12" s="188" t="s">
        <v>405</v>
      </c>
      <c r="E12" s="131">
        <f t="shared" ref="E12" si="6">LEN(D12)</f>
        <v>35</v>
      </c>
      <c r="F12" s="63">
        <v>13</v>
      </c>
      <c r="G12" s="113">
        <v>5</v>
      </c>
      <c r="H12" s="132">
        <f>2001</f>
        <v>2001</v>
      </c>
      <c r="I12" s="189" t="s">
        <v>407</v>
      </c>
      <c r="J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ケンタウロス</v>
      </c>
      <c r="K12" s="133">
        <f>IFERROR(VLOOKUP(A12,[1]characters!$A:$R,18),0)</f>
        <v>3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6">
        <v>1211</v>
      </c>
      <c r="B13" s="129" t="s">
        <v>185</v>
      </c>
      <c r="C13" s="188" t="s">
        <v>352</v>
      </c>
      <c r="D13" s="188" t="s">
        <v>406</v>
      </c>
      <c r="E13" s="131">
        <f t="shared" ref="E13" si="7">LEN(D13)</f>
        <v>36</v>
      </c>
      <c r="F13" s="63">
        <v>13</v>
      </c>
      <c r="G13" s="113">
        <v>5</v>
      </c>
      <c r="H13" s="132">
        <f>2001</f>
        <v>2001</v>
      </c>
      <c r="I13" s="189" t="s">
        <v>408</v>
      </c>
      <c r="J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奏駆の翻騎 ケンタウロス</v>
      </c>
      <c r="K13" s="133">
        <f>IFERROR(VLOOKUP(A13,[1]characters!$A:$R,18),0)</f>
        <v>3</v>
      </c>
      <c r="L13" s="134"/>
      <c r="M13" s="135"/>
      <c r="N13" s="135"/>
      <c r="O13" s="135"/>
      <c r="P13" s="135"/>
      <c r="Q13" s="135"/>
      <c r="R13" s="130"/>
      <c r="S1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4:E1048576">
    <cfRule type="cellIs" dxfId="54" priority="36" operator="greaterThan">
      <formula>41</formula>
    </cfRule>
  </conditionalFormatting>
  <conditionalFormatting sqref="E2">
    <cfRule type="cellIs" dxfId="53" priority="30" operator="greaterThan">
      <formula>41</formula>
    </cfRule>
  </conditionalFormatting>
  <conditionalFormatting sqref="E3">
    <cfRule type="cellIs" dxfId="52" priority="29" operator="greaterThan">
      <formula>41</formula>
    </cfRule>
  </conditionalFormatting>
  <conditionalFormatting sqref="E4">
    <cfRule type="cellIs" dxfId="51" priority="12" operator="greaterThan">
      <formula>41</formula>
    </cfRule>
  </conditionalFormatting>
  <conditionalFormatting sqref="E5">
    <cfRule type="cellIs" dxfId="50" priority="11" operator="greaterThan">
      <formula>41</formula>
    </cfRule>
  </conditionalFormatting>
  <conditionalFormatting sqref="E6">
    <cfRule type="cellIs" dxfId="49" priority="10" operator="greaterThan">
      <formula>41</formula>
    </cfRule>
  </conditionalFormatting>
  <conditionalFormatting sqref="E7">
    <cfRule type="cellIs" dxfId="48" priority="9" operator="greaterThan">
      <formula>41</formula>
    </cfRule>
  </conditionalFormatting>
  <conditionalFormatting sqref="E8">
    <cfRule type="cellIs" dxfId="47" priority="8" operator="greaterThan">
      <formula>41</formula>
    </cfRule>
  </conditionalFormatting>
  <conditionalFormatting sqref="E9">
    <cfRule type="cellIs" dxfId="46" priority="7" operator="greaterThan">
      <formula>41</formula>
    </cfRule>
  </conditionalFormatting>
  <conditionalFormatting sqref="E10">
    <cfRule type="cellIs" dxfId="45" priority="6" operator="greaterThan">
      <formula>41</formula>
    </cfRule>
  </conditionalFormatting>
  <conditionalFormatting sqref="E11">
    <cfRule type="cellIs" dxfId="44" priority="5" operator="greaterThan">
      <formula>41</formula>
    </cfRule>
  </conditionalFormatting>
  <conditionalFormatting sqref="E12">
    <cfRule type="cellIs" dxfId="43" priority="2" operator="greaterThan">
      <formula>41</formula>
    </cfRule>
  </conditionalFormatting>
  <conditionalFormatting sqref="E13">
    <cfRule type="cellIs" dxfId="42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3"/>
  <sheetViews>
    <sheetView showGridLines="0" workbookViewId="0">
      <pane xSplit="4" ySplit="1" topLeftCell="E4" activePane="bottomRight" state="frozen"/>
      <selection pane="topRight" activeCell="D1" sqref="D1"/>
      <selection pane="bottomLeft" activeCell="A3" sqref="A3"/>
      <selection pane="bottomRight" activeCell="F11" sqref="F11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1212</v>
      </c>
      <c r="B2" s="129" t="s">
        <v>186</v>
      </c>
      <c r="C2" s="188" t="s">
        <v>345</v>
      </c>
      <c r="D2" s="188" t="s">
        <v>318</v>
      </c>
      <c r="E2" s="131">
        <f t="shared" ref="E2" si="0">LEN(D2)</f>
        <v>10</v>
      </c>
      <c r="F2" s="190" t="s">
        <v>331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クロノス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1213</v>
      </c>
      <c r="B3" s="129" t="s">
        <v>186</v>
      </c>
      <c r="C3" s="188" t="s">
        <v>345</v>
      </c>
      <c r="D3" s="188" t="s">
        <v>319</v>
      </c>
      <c r="E3" s="131">
        <f t="shared" ref="E3:E4" si="1">LEN(D3)</f>
        <v>10</v>
      </c>
      <c r="F3" s="190" t="s">
        <v>331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能洪の永地神 クロノス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1208</v>
      </c>
      <c r="B4" s="129" t="s">
        <v>185</v>
      </c>
      <c r="C4" s="188" t="s">
        <v>348</v>
      </c>
      <c r="D4" s="188" t="s">
        <v>325</v>
      </c>
      <c r="E4" s="131">
        <f t="shared" si="1"/>
        <v>19</v>
      </c>
      <c r="F4" s="190" t="s">
        <v>399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ネメシス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1209</v>
      </c>
      <c r="B5" s="129" t="s">
        <v>185</v>
      </c>
      <c r="C5" s="188" t="s">
        <v>349</v>
      </c>
      <c r="D5" s="188" t="s">
        <v>419</v>
      </c>
      <c r="E5" s="131">
        <f t="shared" ref="E5:E6" si="2">LEN(D5)</f>
        <v>36</v>
      </c>
      <c r="F5" s="190" t="s">
        <v>417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刹那の過罰神 ネメシス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1200</v>
      </c>
      <c r="B6" s="129" t="s">
        <v>185</v>
      </c>
      <c r="C6" s="188" t="s">
        <v>413</v>
      </c>
      <c r="D6" s="188" t="s">
        <v>418</v>
      </c>
      <c r="E6" s="131">
        <f t="shared" si="2"/>
        <v>29</v>
      </c>
      <c r="F6" s="190" t="s">
        <v>397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サイクロプス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1201</v>
      </c>
      <c r="B7" s="129" t="s">
        <v>185</v>
      </c>
      <c r="C7" s="188" t="s">
        <v>390</v>
      </c>
      <c r="D7" s="188" t="s">
        <v>389</v>
      </c>
      <c r="E7" s="131">
        <f t="shared" ref="E7:E8" si="3">LEN(D7)</f>
        <v>30</v>
      </c>
      <c r="F7" s="190" t="s">
        <v>403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器装の眼囚徒 サイクロプス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1202</v>
      </c>
      <c r="B8" s="129" t="s">
        <v>185</v>
      </c>
      <c r="C8" s="188" t="s">
        <v>385</v>
      </c>
      <c r="D8" s="188" t="s">
        <v>387</v>
      </c>
      <c r="E8" s="131">
        <f t="shared" si="3"/>
        <v>17</v>
      </c>
      <c r="F8" s="190" t="s">
        <v>333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ウラヌス</v>
      </c>
      <c r="H8" s="132">
        <f>IFERROR(VLOOKUP(A8,[1]characters!$A:$R,18),0)</f>
        <v>3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1203</v>
      </c>
      <c r="B9" s="129" t="s">
        <v>185</v>
      </c>
      <c r="C9" s="188" t="s">
        <v>388</v>
      </c>
      <c r="D9" s="188" t="s">
        <v>396</v>
      </c>
      <c r="E9" s="131">
        <f t="shared" ref="E9:E10" si="4">LEN(D9)</f>
        <v>18</v>
      </c>
      <c r="F9" s="190" t="s">
        <v>402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掌星の原天神 ウラヌス</v>
      </c>
      <c r="H9" s="132">
        <f>IFERROR(VLOOKUP(A9,[1]characters!$A:$R,18),0)</f>
        <v>3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1206</v>
      </c>
      <c r="B10" s="129" t="s">
        <v>185</v>
      </c>
      <c r="C10" s="188" t="s">
        <v>420</v>
      </c>
      <c r="D10" s="188" t="s">
        <v>421</v>
      </c>
      <c r="E10" s="131">
        <f t="shared" si="4"/>
        <v>20</v>
      </c>
      <c r="F10" s="190" t="s">
        <v>446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ヘラ</v>
      </c>
      <c r="H10" s="132">
        <f>IFERROR(VLOOKUP(A10,[1]characters!$A:$R,18),0)</f>
        <v>3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1207</v>
      </c>
      <c r="B11" s="129" t="s">
        <v>185</v>
      </c>
      <c r="C11" s="188" t="s">
        <v>342</v>
      </c>
      <c r="D11" s="188" t="s">
        <v>421</v>
      </c>
      <c r="E11" s="131">
        <f t="shared" ref="E11" si="5">LEN(D11)</f>
        <v>20</v>
      </c>
      <c r="F11" s="198" t="s">
        <v>447</v>
      </c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典麗なる悋気神 ヘラ</v>
      </c>
      <c r="H11" s="132">
        <f>IFERROR(VLOOKUP(A11,[1]characters!$A:$R,18),0)</f>
        <v>3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1210</v>
      </c>
      <c r="B12" s="129" t="s">
        <v>185</v>
      </c>
      <c r="C12" s="188" t="s">
        <v>386</v>
      </c>
      <c r="D12" s="188" t="s">
        <v>329</v>
      </c>
      <c r="E12" s="131">
        <f t="shared" ref="E12" si="6">LEN(D12)</f>
        <v>9</v>
      </c>
      <c r="F12" s="190" t="s">
        <v>404</v>
      </c>
      <c r="G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ケンタウロス</v>
      </c>
      <c r="H12" s="132">
        <f>IFERROR(VLOOKUP(A12,[1]characters!$A:$R,18),0)</f>
        <v>3</v>
      </c>
      <c r="I12" s="132"/>
      <c r="J12" s="137"/>
      <c r="K12" s="133">
        <v>1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6">
        <v>1211</v>
      </c>
      <c r="B13" s="129" t="s">
        <v>185</v>
      </c>
      <c r="C13" s="188" t="s">
        <v>351</v>
      </c>
      <c r="D13" s="188" t="s">
        <v>326</v>
      </c>
      <c r="E13" s="131">
        <f t="shared" ref="E13" si="7">LEN(D13)</f>
        <v>9</v>
      </c>
      <c r="F13" s="190" t="s">
        <v>398</v>
      </c>
      <c r="G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奏駆の翻騎 ケンタウロス</v>
      </c>
      <c r="H13" s="132">
        <f>IFERROR(VLOOKUP(A13,[1]characters!$A:$R,18),0)</f>
        <v>3</v>
      </c>
      <c r="I13" s="132"/>
      <c r="J13" s="137"/>
      <c r="K13" s="133">
        <v>1</v>
      </c>
      <c r="L13" s="134"/>
      <c r="M13" s="135"/>
      <c r="N13" s="135"/>
      <c r="O13" s="135"/>
      <c r="P13" s="135"/>
      <c r="Q13" s="135"/>
      <c r="R13" s="130"/>
      <c r="S13" s="136"/>
    </row>
  </sheetData>
  <sheetProtection selectLockedCells="1" selectUnlockedCells="1"/>
  <autoFilter ref="A1:J1"/>
  <phoneticPr fontId="22"/>
  <conditionalFormatting sqref="E2">
    <cfRule type="cellIs" dxfId="41" priority="30" operator="greaterThan">
      <formula>41</formula>
    </cfRule>
  </conditionalFormatting>
  <conditionalFormatting sqref="E3">
    <cfRule type="cellIs" dxfId="40" priority="29" operator="greaterThan">
      <formula>41</formula>
    </cfRule>
  </conditionalFormatting>
  <conditionalFormatting sqref="E4">
    <cfRule type="cellIs" dxfId="39" priority="12" operator="greaterThan">
      <formula>41</formula>
    </cfRule>
  </conditionalFormatting>
  <conditionalFormatting sqref="E5">
    <cfRule type="cellIs" dxfId="38" priority="11" operator="greaterThan">
      <formula>41</formula>
    </cfRule>
  </conditionalFormatting>
  <conditionalFormatting sqref="E6">
    <cfRule type="cellIs" dxfId="37" priority="10" operator="greaterThan">
      <formula>41</formula>
    </cfRule>
  </conditionalFormatting>
  <conditionalFormatting sqref="E7">
    <cfRule type="cellIs" dxfId="36" priority="9" operator="greaterThan">
      <formula>41</formula>
    </cfRule>
  </conditionalFormatting>
  <conditionalFormatting sqref="E8">
    <cfRule type="cellIs" dxfId="35" priority="8" operator="greaterThan">
      <formula>41</formula>
    </cfRule>
  </conditionalFormatting>
  <conditionalFormatting sqref="E9">
    <cfRule type="cellIs" dxfId="34" priority="7" operator="greaterThan">
      <formula>41</formula>
    </cfRule>
  </conditionalFormatting>
  <conditionalFormatting sqref="E10">
    <cfRule type="cellIs" dxfId="33" priority="6" operator="greaterThan">
      <formula>41</formula>
    </cfRule>
  </conditionalFormatting>
  <conditionalFormatting sqref="E11">
    <cfRule type="cellIs" dxfId="32" priority="5" operator="greaterThan">
      <formula>41</formula>
    </cfRule>
  </conditionalFormatting>
  <conditionalFormatting sqref="E12">
    <cfRule type="cellIs" dxfId="31" priority="2" operator="greaterThan">
      <formula>41</formula>
    </cfRule>
  </conditionalFormatting>
  <conditionalFormatting sqref="E13">
    <cfRule type="cellIs" dxfId="30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1"/>
  <sheetViews>
    <sheetView topLeftCell="A24" zoomScale="110" workbookViewId="0">
      <selection activeCell="A36" sqref="A36:XFD44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1212</v>
      </c>
      <c r="B2" s="138" t="str">
        <f>VLOOKUP(A2,[1]characters!$A:$C,3,FALSE)</f>
        <v>クロノス</v>
      </c>
      <c r="C2" s="105" t="s">
        <v>195</v>
      </c>
      <c r="D2" s="138" t="str">
        <f t="shared" ref="D2" si="0">A2&amp;C2</f>
        <v>1212skill</v>
      </c>
      <c r="E2" s="138" t="str">
        <f>A2&amp;+(COUNTIF(A2:A$45,A2)-1)</f>
        <v>12123</v>
      </c>
      <c r="F2" s="105" t="s">
        <v>197</v>
      </c>
      <c r="G2" s="162" t="s">
        <v>196</v>
      </c>
      <c r="H2" s="162" t="s">
        <v>371</v>
      </c>
    </row>
    <row r="3" spans="1:8" x14ac:dyDescent="0.15">
      <c r="A3" s="105">
        <v>1212</v>
      </c>
      <c r="B3" s="138" t="str">
        <f>VLOOKUP(A3,[1]characters!$A:$C,3,FALSE)</f>
        <v>クロノス</v>
      </c>
      <c r="C3" s="105" t="s">
        <v>198</v>
      </c>
      <c r="D3" s="138" t="str">
        <f>A3&amp;C3</f>
        <v>1212cskill</v>
      </c>
      <c r="E3" s="138" t="str">
        <f>A3&amp;+(COUNTIF(A3:A$45,A3)-1)</f>
        <v>12122</v>
      </c>
      <c r="F3" s="105" t="s">
        <v>186</v>
      </c>
      <c r="G3" s="162" t="s">
        <v>196</v>
      </c>
      <c r="H3" s="162" t="s">
        <v>373</v>
      </c>
    </row>
    <row r="4" spans="1:8" x14ac:dyDescent="0.15">
      <c r="A4" s="105">
        <v>1212</v>
      </c>
      <c r="B4" s="138" t="str">
        <f>VLOOKUP(A4,[1]characters!$A:$C,3,FALSE)</f>
        <v>クロノス</v>
      </c>
      <c r="C4" s="105" t="s">
        <v>198</v>
      </c>
      <c r="D4" s="138" t="str">
        <f>A4&amp;C4</f>
        <v>1212cskill</v>
      </c>
      <c r="E4" s="138" t="str">
        <f>A4&amp;+(COUNTIF(A4:A$45,A4)-1)</f>
        <v>12121</v>
      </c>
      <c r="F4" s="105" t="s">
        <v>186</v>
      </c>
      <c r="G4" s="162" t="s">
        <v>196</v>
      </c>
      <c r="H4" s="162" t="s">
        <v>375</v>
      </c>
    </row>
    <row r="5" spans="1:8" x14ac:dyDescent="0.15">
      <c r="A5" s="105">
        <v>1212</v>
      </c>
      <c r="B5" s="138" t="str">
        <f>VLOOKUP(A5,[1]characters!$A:$C,3,FALSE)</f>
        <v>クロノス</v>
      </c>
      <c r="C5" s="105" t="s">
        <v>198</v>
      </c>
      <c r="D5" s="138" t="str">
        <f>A5&amp;C5</f>
        <v>1212cskill</v>
      </c>
      <c r="E5" s="138" t="str">
        <f>A5&amp;+(COUNTIF(A5:A$45,A5)-1)</f>
        <v>12120</v>
      </c>
      <c r="F5" s="105" t="s">
        <v>197</v>
      </c>
      <c r="G5" s="162" t="s">
        <v>196</v>
      </c>
      <c r="H5" s="162" t="s">
        <v>374</v>
      </c>
    </row>
    <row r="6" spans="1:8" x14ac:dyDescent="0.15">
      <c r="A6" s="105">
        <v>1213</v>
      </c>
      <c r="B6" s="138" t="str">
        <f>VLOOKUP(A6,[1]characters!$A:$C,3,FALSE)</f>
        <v>能洪の永地神 クロノス</v>
      </c>
      <c r="C6" s="105" t="s">
        <v>195</v>
      </c>
      <c r="D6" s="138" t="str">
        <f t="shared" ref="D6" si="1">A6&amp;C6</f>
        <v>1213skill</v>
      </c>
      <c r="E6" s="138" t="str">
        <f>A6&amp;+(COUNTIF(A6:A$45,A6)-1)</f>
        <v>12134</v>
      </c>
      <c r="F6" s="105" t="s">
        <v>186</v>
      </c>
      <c r="G6" s="162" t="s">
        <v>377</v>
      </c>
      <c r="H6" s="162" t="s">
        <v>372</v>
      </c>
    </row>
    <row r="7" spans="1:8" x14ac:dyDescent="0.15">
      <c r="A7" s="105">
        <v>1213</v>
      </c>
      <c r="B7" s="138" t="str">
        <f>VLOOKUP(A7,[1]characters!$A:$C,3,FALSE)</f>
        <v>能洪の永地神 クロノス</v>
      </c>
      <c r="C7" s="105" t="s">
        <v>198</v>
      </c>
      <c r="D7" s="138" t="str">
        <f>A7&amp;C7</f>
        <v>1213cskill</v>
      </c>
      <c r="E7" s="138" t="str">
        <f>A7&amp;+(COUNTIF(A7:A$45,A7)-1)</f>
        <v>12133</v>
      </c>
      <c r="F7" s="105" t="s">
        <v>186</v>
      </c>
      <c r="G7" s="162" t="s">
        <v>196</v>
      </c>
      <c r="H7" s="162" t="s">
        <v>373</v>
      </c>
    </row>
    <row r="8" spans="1:8" x14ac:dyDescent="0.15">
      <c r="A8" s="105">
        <v>1213</v>
      </c>
      <c r="B8" s="138" t="str">
        <f>VLOOKUP(A8,[1]characters!$A:$C,3,FALSE)</f>
        <v>能洪の永地神 クロノス</v>
      </c>
      <c r="C8" s="105" t="s">
        <v>198</v>
      </c>
      <c r="D8" s="138" t="str">
        <f>A8&amp;C8</f>
        <v>1213cskill</v>
      </c>
      <c r="E8" s="138" t="str">
        <f>A8&amp;+(COUNTIF(A8:A$45,A8)-1)</f>
        <v>12132</v>
      </c>
      <c r="F8" s="105" t="s">
        <v>186</v>
      </c>
      <c r="G8" s="162" t="s">
        <v>196</v>
      </c>
      <c r="H8" s="162" t="s">
        <v>375</v>
      </c>
    </row>
    <row r="9" spans="1:8" x14ac:dyDescent="0.15">
      <c r="A9" s="105">
        <v>1213</v>
      </c>
      <c r="B9" s="138" t="str">
        <f>VLOOKUP(A9,[1]characters!$A:$C,3,FALSE)</f>
        <v>能洪の永地神 クロノス</v>
      </c>
      <c r="C9" s="105" t="s">
        <v>198</v>
      </c>
      <c r="D9" s="138" t="str">
        <f>A9&amp;C9</f>
        <v>1213cskill</v>
      </c>
      <c r="E9" s="138" t="str">
        <f>A9&amp;+(COUNTIF(A9:A$45,A9)-1)</f>
        <v>12131</v>
      </c>
      <c r="F9" s="105" t="s">
        <v>186</v>
      </c>
      <c r="G9" s="162" t="s">
        <v>378</v>
      </c>
      <c r="H9" s="162" t="s">
        <v>374</v>
      </c>
    </row>
    <row r="10" spans="1:8" x14ac:dyDescent="0.15">
      <c r="A10" s="105">
        <v>1213</v>
      </c>
      <c r="B10" s="138" t="str">
        <f>VLOOKUP(A10,[1]characters!$A:$C,3,FALSE)</f>
        <v>能洪の永地神 クロノス</v>
      </c>
      <c r="C10" s="105" t="s">
        <v>198</v>
      </c>
      <c r="D10" s="138" t="str">
        <f>A10&amp;C10</f>
        <v>1213cskill</v>
      </c>
      <c r="E10" s="138" t="str">
        <f>A10&amp;+(COUNTIF(A10:A$45,A10)-1)</f>
        <v>12130</v>
      </c>
      <c r="F10" s="105" t="s">
        <v>185</v>
      </c>
      <c r="G10" s="162" t="s">
        <v>196</v>
      </c>
      <c r="H10" s="162" t="s">
        <v>376</v>
      </c>
    </row>
    <row r="11" spans="1:8" x14ac:dyDescent="0.15">
      <c r="A11" s="105">
        <v>1208</v>
      </c>
      <c r="B11" s="138" t="str">
        <f>VLOOKUP(A11,[1]characters!$A:$C,3,FALSE)</f>
        <v>ネメシス</v>
      </c>
      <c r="C11" s="105" t="s">
        <v>195</v>
      </c>
      <c r="D11" s="138" t="str">
        <f t="shared" ref="D11" si="2">A11&amp;C11</f>
        <v>1208skill</v>
      </c>
      <c r="E11" s="138" t="str">
        <f>A11&amp;+(COUNTIF(A11:A$45,A11)-1)</f>
        <v>12083</v>
      </c>
      <c r="F11" s="105" t="s">
        <v>185</v>
      </c>
      <c r="G11" s="162" t="s">
        <v>196</v>
      </c>
      <c r="H11" s="162" t="s">
        <v>379</v>
      </c>
    </row>
    <row r="12" spans="1:8" x14ac:dyDescent="0.15">
      <c r="A12" s="105">
        <v>1208</v>
      </c>
      <c r="B12" s="138" t="str">
        <f>VLOOKUP(A12,[1]characters!$A:$C,3,FALSE)</f>
        <v>ネメシス</v>
      </c>
      <c r="C12" s="105" t="s">
        <v>198</v>
      </c>
      <c r="D12" s="138" t="str">
        <f>A12&amp;C12</f>
        <v>1208cskill</v>
      </c>
      <c r="E12" s="138" t="str">
        <f>A12&amp;+(COUNTIF(A12:A$45,A12)-1)</f>
        <v>12082</v>
      </c>
      <c r="F12" s="105" t="s">
        <v>185</v>
      </c>
      <c r="G12" s="162" t="s">
        <v>196</v>
      </c>
      <c r="H12" s="162" t="s">
        <v>380</v>
      </c>
    </row>
    <row r="13" spans="1:8" x14ac:dyDescent="0.15">
      <c r="A13" s="105">
        <v>1208</v>
      </c>
      <c r="B13" s="138" t="str">
        <f>VLOOKUP(A13,[1]characters!$A:$C,3,FALSE)</f>
        <v>ネメシス</v>
      </c>
      <c r="C13" s="105" t="s">
        <v>198</v>
      </c>
      <c r="D13" s="138" t="str">
        <f>A13&amp;C13</f>
        <v>1208cskill</v>
      </c>
      <c r="E13" s="138" t="str">
        <f>A13&amp;+(COUNTIF(A13:A$45,A13)-1)</f>
        <v>12081</v>
      </c>
      <c r="F13" s="105" t="s">
        <v>185</v>
      </c>
      <c r="G13" s="162" t="s">
        <v>377</v>
      </c>
      <c r="H13" s="162" t="s">
        <v>381</v>
      </c>
    </row>
    <row r="14" spans="1:8" x14ac:dyDescent="0.15">
      <c r="A14" s="105">
        <v>1208</v>
      </c>
      <c r="B14" s="138" t="str">
        <f>VLOOKUP(A14,[1]characters!$A:$C,3,FALSE)</f>
        <v>ネメシス</v>
      </c>
      <c r="C14" s="105" t="s">
        <v>198</v>
      </c>
      <c r="D14" s="138" t="str">
        <f>A14&amp;C14</f>
        <v>1208cskill</v>
      </c>
      <c r="E14" s="138" t="str">
        <f>A14&amp;+(COUNTIF(A14:A$45,A14)-1)</f>
        <v>12080</v>
      </c>
      <c r="F14" s="105" t="s">
        <v>185</v>
      </c>
      <c r="G14" s="162" t="s">
        <v>377</v>
      </c>
      <c r="H14" s="162" t="s">
        <v>382</v>
      </c>
    </row>
    <row r="15" spans="1:8" x14ac:dyDescent="0.15">
      <c r="A15" s="105">
        <v>1209</v>
      </c>
      <c r="B15" s="138" t="str">
        <f>VLOOKUP(A15,[1]characters!$A:$C,3,FALSE)</f>
        <v>刹那の過罰神 ネメシス</v>
      </c>
      <c r="C15" s="105" t="s">
        <v>195</v>
      </c>
      <c r="D15" s="138" t="str">
        <f t="shared" ref="D15" si="3">A15&amp;C15</f>
        <v>1209skill</v>
      </c>
      <c r="E15" s="138" t="str">
        <f>A15&amp;+(COUNTIF(A15:A$45,A15)-1)</f>
        <v>12094</v>
      </c>
      <c r="F15" s="105" t="s">
        <v>185</v>
      </c>
      <c r="G15" s="162" t="s">
        <v>377</v>
      </c>
      <c r="H15" s="162" t="s">
        <v>383</v>
      </c>
    </row>
    <row r="16" spans="1:8" x14ac:dyDescent="0.15">
      <c r="A16" s="105">
        <v>1209</v>
      </c>
      <c r="B16" s="138" t="str">
        <f>VLOOKUP(A16,[1]characters!$A:$C,3,FALSE)</f>
        <v>刹那の過罰神 ネメシス</v>
      </c>
      <c r="C16" s="105" t="s">
        <v>198</v>
      </c>
      <c r="D16" s="138" t="str">
        <f>A16&amp;C16</f>
        <v>1209cskill</v>
      </c>
      <c r="E16" s="138" t="str">
        <f>A16&amp;+(COUNTIF(A16:A$45,A16)-1)</f>
        <v>12093</v>
      </c>
      <c r="F16" s="105" t="s">
        <v>185</v>
      </c>
      <c r="G16" s="162" t="s">
        <v>378</v>
      </c>
      <c r="H16" s="162" t="s">
        <v>380</v>
      </c>
    </row>
    <row r="17" spans="1:8" x14ac:dyDescent="0.15">
      <c r="A17" s="105">
        <v>1209</v>
      </c>
      <c r="B17" s="138" t="str">
        <f>VLOOKUP(A17,[1]characters!$A:$C,3,FALSE)</f>
        <v>刹那の過罰神 ネメシス</v>
      </c>
      <c r="C17" s="105" t="s">
        <v>198</v>
      </c>
      <c r="D17" s="138" t="str">
        <f>A17&amp;C17</f>
        <v>1209cskill</v>
      </c>
      <c r="E17" s="138" t="str">
        <f>A17&amp;+(COUNTIF(A17:A$45,A17)-1)</f>
        <v>12092</v>
      </c>
      <c r="F17" s="105" t="s">
        <v>185</v>
      </c>
      <c r="G17" s="162" t="s">
        <v>377</v>
      </c>
      <c r="H17" s="162" t="s">
        <v>381</v>
      </c>
    </row>
    <row r="18" spans="1:8" x14ac:dyDescent="0.15">
      <c r="A18" s="105">
        <v>1209</v>
      </c>
      <c r="B18" s="138" t="str">
        <f>VLOOKUP(A18,[1]characters!$A:$C,3,FALSE)</f>
        <v>刹那の過罰神 ネメシス</v>
      </c>
      <c r="C18" s="105" t="s">
        <v>198</v>
      </c>
      <c r="D18" s="138" t="str">
        <f>A18&amp;C18</f>
        <v>1209cskill</v>
      </c>
      <c r="E18" s="138" t="str">
        <f>A18&amp;+(COUNTIF(A18:A$45,A18)-1)</f>
        <v>12091</v>
      </c>
      <c r="F18" s="105" t="s">
        <v>185</v>
      </c>
      <c r="G18" s="162" t="s">
        <v>377</v>
      </c>
      <c r="H18" s="162" t="s">
        <v>382</v>
      </c>
    </row>
    <row r="19" spans="1:8" x14ac:dyDescent="0.15">
      <c r="A19" s="105">
        <v>1209</v>
      </c>
      <c r="B19" s="138" t="str">
        <f>VLOOKUP(A19,[1]characters!$A:$C,3,FALSE)</f>
        <v>刹那の過罰神 ネメシス</v>
      </c>
      <c r="C19" s="105" t="s">
        <v>198</v>
      </c>
      <c r="D19" s="138" t="str">
        <f>A19&amp;C19</f>
        <v>1209cskill</v>
      </c>
      <c r="E19" s="138" t="str">
        <f>A19&amp;+(COUNTIF(A19:A$45,A19)-1)</f>
        <v>12090</v>
      </c>
      <c r="F19" s="105" t="s">
        <v>185</v>
      </c>
      <c r="G19" s="162" t="s">
        <v>377</v>
      </c>
      <c r="H19" s="162" t="s">
        <v>384</v>
      </c>
    </row>
    <row r="20" spans="1:8" x14ac:dyDescent="0.15">
      <c r="A20" s="105">
        <v>1200</v>
      </c>
      <c r="B20" s="138" t="str">
        <f>VLOOKUP(A20,[1]characters!$A:$C,3,FALSE)</f>
        <v>サイクロプス</v>
      </c>
      <c r="C20" s="105" t="s">
        <v>195</v>
      </c>
      <c r="D20" s="138" t="str">
        <f t="shared" ref="D20" si="4">A20&amp;C20</f>
        <v>1200skill</v>
      </c>
      <c r="E20" s="138" t="str">
        <f>A20&amp;+(COUNTIF(A20:A$45,A20)-1)</f>
        <v>12002</v>
      </c>
      <c r="F20" s="105" t="s">
        <v>185</v>
      </c>
      <c r="G20" s="162" t="s">
        <v>196</v>
      </c>
      <c r="H20" s="162" t="s">
        <v>353</v>
      </c>
    </row>
    <row r="21" spans="1:8" x14ac:dyDescent="0.15">
      <c r="A21" s="105">
        <v>1200</v>
      </c>
      <c r="B21" s="138" t="str">
        <f>VLOOKUP(A21,[1]characters!$A:$C,3,FALSE)</f>
        <v>サイクロプス</v>
      </c>
      <c r="C21" s="105" t="s">
        <v>198</v>
      </c>
      <c r="D21" s="138" t="str">
        <f>A21&amp;C21</f>
        <v>1200cskill</v>
      </c>
      <c r="E21" s="138" t="str">
        <f>A21&amp;+(COUNTIF(A21:A$45,A21)-1)</f>
        <v>12001</v>
      </c>
      <c r="F21" s="105" t="s">
        <v>185</v>
      </c>
      <c r="G21" s="162" t="s">
        <v>196</v>
      </c>
      <c r="H21" s="162" t="s">
        <v>355</v>
      </c>
    </row>
    <row r="22" spans="1:8" x14ac:dyDescent="0.15">
      <c r="A22" s="105">
        <v>1200</v>
      </c>
      <c r="B22" s="138" t="str">
        <f>VLOOKUP(A22,[1]characters!$A:$C,3,FALSE)</f>
        <v>サイクロプス</v>
      </c>
      <c r="C22" s="105" t="s">
        <v>198</v>
      </c>
      <c r="D22" s="138" t="str">
        <f>A22&amp;C22</f>
        <v>1200cskill</v>
      </c>
      <c r="E22" s="138" t="str">
        <f>A22&amp;+(COUNTIF(A22:A$45,A22)-1)</f>
        <v>12000</v>
      </c>
      <c r="F22" s="105" t="s">
        <v>185</v>
      </c>
      <c r="G22" s="162" t="s">
        <v>196</v>
      </c>
      <c r="H22" s="162" t="s">
        <v>356</v>
      </c>
    </row>
    <row r="23" spans="1:8" x14ac:dyDescent="0.15">
      <c r="A23" s="105">
        <v>1201</v>
      </c>
      <c r="B23" s="138" t="str">
        <f>VLOOKUP(A23,[1]characters!$A:$C,3,FALSE)</f>
        <v>器装の眼囚徒 サイクロプス</v>
      </c>
      <c r="C23" s="105" t="s">
        <v>195</v>
      </c>
      <c r="D23" s="138" t="str">
        <f t="shared" ref="D23" si="5">A23&amp;C23</f>
        <v>1201skill</v>
      </c>
      <c r="E23" s="138" t="str">
        <f>A23&amp;+(COUNTIF(A23:A$45,A23)-1)</f>
        <v>12013</v>
      </c>
      <c r="F23" s="105" t="s">
        <v>185</v>
      </c>
      <c r="G23" s="162" t="s">
        <v>196</v>
      </c>
      <c r="H23" s="162" t="s">
        <v>354</v>
      </c>
    </row>
    <row r="24" spans="1:8" x14ac:dyDescent="0.15">
      <c r="A24" s="105">
        <v>1201</v>
      </c>
      <c r="B24" s="138" t="str">
        <f>VLOOKUP(A24,[1]characters!$A:$C,3,FALSE)</f>
        <v>器装の眼囚徒 サイクロプス</v>
      </c>
      <c r="C24" s="105" t="s">
        <v>198</v>
      </c>
      <c r="D24" s="138" t="str">
        <f>A24&amp;C24</f>
        <v>1201cskill</v>
      </c>
      <c r="E24" s="138" t="str">
        <f>A24&amp;+(COUNTIF(A24:A$45,A24)-1)</f>
        <v>12012</v>
      </c>
      <c r="F24" s="105" t="s">
        <v>185</v>
      </c>
      <c r="G24" s="162" t="s">
        <v>196</v>
      </c>
      <c r="H24" s="162" t="s">
        <v>355</v>
      </c>
    </row>
    <row r="25" spans="1:8" x14ac:dyDescent="0.15">
      <c r="A25" s="105">
        <v>1201</v>
      </c>
      <c r="B25" s="138" t="str">
        <f>VLOOKUP(A25,[1]characters!$A:$C,3,FALSE)</f>
        <v>器装の眼囚徒 サイクロプス</v>
      </c>
      <c r="C25" s="105" t="s">
        <v>198</v>
      </c>
      <c r="D25" s="138" t="str">
        <f>A25&amp;C25</f>
        <v>1201cskill</v>
      </c>
      <c r="E25" s="138" t="str">
        <f>A25&amp;+(COUNTIF(A25:A$45,A25)-1)</f>
        <v>12011</v>
      </c>
      <c r="F25" s="105" t="s">
        <v>185</v>
      </c>
      <c r="G25" s="162" t="s">
        <v>196</v>
      </c>
      <c r="H25" s="162" t="s">
        <v>356</v>
      </c>
    </row>
    <row r="26" spans="1:8" x14ac:dyDescent="0.15">
      <c r="A26" s="105">
        <v>1201</v>
      </c>
      <c r="B26" s="138" t="str">
        <f>VLOOKUP(A26,[1]characters!$A:$C,3,FALSE)</f>
        <v>器装の眼囚徒 サイクロプス</v>
      </c>
      <c r="C26" s="105" t="s">
        <v>198</v>
      </c>
      <c r="D26" s="138" t="str">
        <f>A26&amp;C26</f>
        <v>1201cskill</v>
      </c>
      <c r="E26" s="138" t="str">
        <f>A26&amp;+(COUNTIF(A26:A$45,A26)-1)</f>
        <v>12010</v>
      </c>
      <c r="F26" s="105" t="s">
        <v>185</v>
      </c>
      <c r="G26" s="162" t="s">
        <v>196</v>
      </c>
      <c r="H26" s="162" t="s">
        <v>357</v>
      </c>
    </row>
    <row r="27" spans="1:8" x14ac:dyDescent="0.15">
      <c r="A27" s="105">
        <v>1202</v>
      </c>
      <c r="B27" s="138" t="str">
        <f>VLOOKUP(A27,[1]characters!$A:$C,3,FALSE)</f>
        <v>ウラヌス</v>
      </c>
      <c r="C27" s="105" t="s">
        <v>195</v>
      </c>
      <c r="D27" s="138" t="str">
        <f t="shared" ref="D27" si="6">A27&amp;C27</f>
        <v>1202skill</v>
      </c>
      <c r="E27" s="138" t="str">
        <f>A27&amp;+(COUNTIF(A27:A$45,A27)-1)</f>
        <v>12023</v>
      </c>
      <c r="F27" s="105" t="s">
        <v>185</v>
      </c>
      <c r="G27" s="162" t="s">
        <v>196</v>
      </c>
      <c r="H27" s="162" t="s">
        <v>358</v>
      </c>
    </row>
    <row r="28" spans="1:8" x14ac:dyDescent="0.15">
      <c r="A28" s="105">
        <v>1202</v>
      </c>
      <c r="B28" s="138" t="str">
        <f>VLOOKUP(A28,[1]characters!$A:$C,3,FALSE)</f>
        <v>ウラヌス</v>
      </c>
      <c r="C28" s="105" t="s">
        <v>198</v>
      </c>
      <c r="D28" s="138" t="str">
        <f>A28&amp;C28</f>
        <v>1202cskill</v>
      </c>
      <c r="E28" s="138" t="str">
        <f>A28&amp;+(COUNTIF(A28:A$45,A28)-1)</f>
        <v>12022</v>
      </c>
      <c r="F28" s="105" t="s">
        <v>185</v>
      </c>
      <c r="G28" s="162" t="s">
        <v>360</v>
      </c>
      <c r="H28" s="162" t="s">
        <v>361</v>
      </c>
    </row>
    <row r="29" spans="1:8" x14ac:dyDescent="0.15">
      <c r="A29" s="105">
        <v>1202</v>
      </c>
      <c r="B29" s="138" t="str">
        <f>VLOOKUP(A29,[1]characters!$A:$C,3,FALSE)</f>
        <v>ウラヌス</v>
      </c>
      <c r="C29" s="105" t="s">
        <v>198</v>
      </c>
      <c r="D29" s="138" t="str">
        <f>A29&amp;C29</f>
        <v>1202cskill</v>
      </c>
      <c r="E29" s="138" t="str">
        <f>A29&amp;+(COUNTIF(A29:A$45,A29)-1)</f>
        <v>12021</v>
      </c>
      <c r="F29" s="105" t="s">
        <v>185</v>
      </c>
      <c r="G29" s="162" t="s">
        <v>360</v>
      </c>
      <c r="H29" s="162" t="s">
        <v>362</v>
      </c>
    </row>
    <row r="30" spans="1:8" x14ac:dyDescent="0.15">
      <c r="A30" s="105">
        <v>1202</v>
      </c>
      <c r="B30" s="138" t="str">
        <f>VLOOKUP(A30,[1]characters!$A:$C,3,FALSE)</f>
        <v>ウラヌス</v>
      </c>
      <c r="C30" s="105" t="s">
        <v>198</v>
      </c>
      <c r="D30" s="138" t="str">
        <f>A30&amp;C30</f>
        <v>1202cskill</v>
      </c>
      <c r="E30" s="138" t="str">
        <f>A30&amp;+(COUNTIF(A30:A$45,A30)-1)</f>
        <v>12020</v>
      </c>
      <c r="F30" s="105" t="s">
        <v>185</v>
      </c>
      <c r="G30" s="162" t="s">
        <v>196</v>
      </c>
      <c r="H30" s="162" t="s">
        <v>363</v>
      </c>
    </row>
    <row r="31" spans="1:8" x14ac:dyDescent="0.15">
      <c r="A31" s="105">
        <v>1203</v>
      </c>
      <c r="B31" s="138" t="str">
        <f>VLOOKUP(A31,[1]characters!$A:$C,3,FALSE)</f>
        <v>掌星の原天神 ウラヌス</v>
      </c>
      <c r="C31" s="105" t="s">
        <v>195</v>
      </c>
      <c r="D31" s="138" t="str">
        <f t="shared" ref="D31" si="7">A31&amp;C31</f>
        <v>1203skill</v>
      </c>
      <c r="E31" s="138" t="str">
        <f>A31&amp;+(COUNTIF(A31:A$45,A31)-1)</f>
        <v>12034</v>
      </c>
      <c r="F31" s="105" t="s">
        <v>185</v>
      </c>
      <c r="G31" s="162" t="s">
        <v>360</v>
      </c>
      <c r="H31" s="162" t="s">
        <v>359</v>
      </c>
    </row>
    <row r="32" spans="1:8" x14ac:dyDescent="0.15">
      <c r="A32" s="105">
        <v>1203</v>
      </c>
      <c r="B32" s="138" t="str">
        <f>VLOOKUP(A32,[1]characters!$A:$C,3,FALSE)</f>
        <v>掌星の原天神 ウラヌス</v>
      </c>
      <c r="C32" s="105" t="s">
        <v>198</v>
      </c>
      <c r="D32" s="138" t="str">
        <f>A32&amp;C32</f>
        <v>1203cskill</v>
      </c>
      <c r="E32" s="138" t="str">
        <f>A32&amp;+(COUNTIF(A32:A$45,A32)-1)</f>
        <v>12033</v>
      </c>
      <c r="F32" s="105" t="s">
        <v>185</v>
      </c>
      <c r="G32" s="162" t="s">
        <v>360</v>
      </c>
      <c r="H32" s="162" t="s">
        <v>361</v>
      </c>
    </row>
    <row r="33" spans="1:8" x14ac:dyDescent="0.15">
      <c r="A33" s="105">
        <v>1203</v>
      </c>
      <c r="B33" s="138" t="str">
        <f>VLOOKUP(A33,[1]characters!$A:$C,3,FALSE)</f>
        <v>掌星の原天神 ウラヌス</v>
      </c>
      <c r="C33" s="105" t="s">
        <v>198</v>
      </c>
      <c r="D33" s="138" t="str">
        <f>A33&amp;C33</f>
        <v>1203cskill</v>
      </c>
      <c r="E33" s="138" t="str">
        <f>A33&amp;+(COUNTIF(A33:A$45,A33)-1)</f>
        <v>12032</v>
      </c>
      <c r="F33" s="105" t="s">
        <v>185</v>
      </c>
      <c r="G33" s="162" t="s">
        <v>360</v>
      </c>
      <c r="H33" s="162" t="s">
        <v>362</v>
      </c>
    </row>
    <row r="34" spans="1:8" x14ac:dyDescent="0.15">
      <c r="A34" s="105">
        <v>1203</v>
      </c>
      <c r="B34" s="138" t="str">
        <f>VLOOKUP(A34,[1]characters!$A:$C,3,FALSE)</f>
        <v>掌星の原天神 ウラヌス</v>
      </c>
      <c r="C34" s="105" t="s">
        <v>198</v>
      </c>
      <c r="D34" s="138" t="str">
        <f>A34&amp;C34</f>
        <v>1203cskill</v>
      </c>
      <c r="E34" s="138" t="str">
        <f>A34&amp;+(COUNTIF(A34:A$45,A34)-1)</f>
        <v>12031</v>
      </c>
      <c r="F34" s="105" t="s">
        <v>185</v>
      </c>
      <c r="G34" s="162" t="s">
        <v>196</v>
      </c>
      <c r="H34" s="162" t="s">
        <v>363</v>
      </c>
    </row>
    <row r="35" spans="1:8" x14ac:dyDescent="0.15">
      <c r="A35" s="105">
        <v>1203</v>
      </c>
      <c r="B35" s="138" t="str">
        <f>VLOOKUP(A35,[1]characters!$A:$C,3,FALSE)</f>
        <v>掌星の原天神 ウラヌス</v>
      </c>
      <c r="C35" s="105" t="s">
        <v>198</v>
      </c>
      <c r="D35" s="138" t="str">
        <f>A35&amp;C35</f>
        <v>1203cskill</v>
      </c>
      <c r="E35" s="138" t="str">
        <f>A35&amp;+(COUNTIF(A35:A$45,A35)-1)</f>
        <v>12030</v>
      </c>
      <c r="F35" s="105" t="s">
        <v>185</v>
      </c>
      <c r="G35" s="162" t="s">
        <v>316</v>
      </c>
      <c r="H35" s="162" t="s">
        <v>364</v>
      </c>
    </row>
    <row r="36" spans="1:8" x14ac:dyDescent="0.15">
      <c r="A36" s="105">
        <v>1206</v>
      </c>
      <c r="B36" s="138" t="str">
        <f>VLOOKUP(A36,[1]characters!$A:$C,3,FALSE)</f>
        <v>ヘラ</v>
      </c>
      <c r="C36" s="105" t="s">
        <v>195</v>
      </c>
      <c r="D36" s="138" t="str">
        <f t="shared" ref="D36" si="8">A36&amp;C36</f>
        <v>1206skill</v>
      </c>
      <c r="E36" s="138" t="str">
        <f>A36&amp;+(COUNTIF(A36:A$45,A36)-1)</f>
        <v>12063</v>
      </c>
      <c r="F36" s="105" t="s">
        <v>185</v>
      </c>
      <c r="G36" s="162" t="s">
        <v>196</v>
      </c>
      <c r="H36" s="162" t="s">
        <v>365</v>
      </c>
    </row>
    <row r="37" spans="1:8" x14ac:dyDescent="0.15">
      <c r="A37" s="105">
        <v>1206</v>
      </c>
      <c r="B37" s="138" t="str">
        <f>VLOOKUP(A37,[1]characters!$A:$C,3,FALSE)</f>
        <v>ヘラ</v>
      </c>
      <c r="C37" s="105" t="s">
        <v>198</v>
      </c>
      <c r="D37" s="138" t="str">
        <f>A37&amp;C37</f>
        <v>1206cskill</v>
      </c>
      <c r="E37" s="138" t="str">
        <f>A37&amp;+(COUNTIF(A37:A$45,A37)-1)</f>
        <v>12062</v>
      </c>
      <c r="F37" s="105" t="s">
        <v>185</v>
      </c>
      <c r="G37" s="162" t="s">
        <v>196</v>
      </c>
      <c r="H37" s="162" t="s">
        <v>367</v>
      </c>
    </row>
    <row r="38" spans="1:8" x14ac:dyDescent="0.15">
      <c r="A38" s="105">
        <v>1206</v>
      </c>
      <c r="B38" s="138" t="str">
        <f>VLOOKUP(A38,[1]characters!$A:$C,3,FALSE)</f>
        <v>ヘラ</v>
      </c>
      <c r="C38" s="105" t="s">
        <v>198</v>
      </c>
      <c r="D38" s="138" t="str">
        <f>A38&amp;C38</f>
        <v>1206cskill</v>
      </c>
      <c r="E38" s="138" t="str">
        <f>A38&amp;+(COUNTIF(A38:A$45,A38)-1)</f>
        <v>12061</v>
      </c>
      <c r="F38" s="105" t="s">
        <v>185</v>
      </c>
      <c r="G38" s="162" t="s">
        <v>360</v>
      </c>
      <c r="H38" s="162" t="s">
        <v>368</v>
      </c>
    </row>
    <row r="39" spans="1:8" x14ac:dyDescent="0.15">
      <c r="A39" s="105">
        <v>1206</v>
      </c>
      <c r="B39" s="138" t="str">
        <f>VLOOKUP(A39,[1]characters!$A:$C,3,FALSE)</f>
        <v>ヘラ</v>
      </c>
      <c r="C39" s="105" t="s">
        <v>198</v>
      </c>
      <c r="D39" s="138" t="str">
        <f>A39&amp;C39</f>
        <v>1206cskill</v>
      </c>
      <c r="E39" s="138" t="str">
        <f>A39&amp;+(COUNTIF(A39:A$45,A39)-1)</f>
        <v>12060</v>
      </c>
      <c r="F39" s="105" t="s">
        <v>185</v>
      </c>
      <c r="G39" s="162" t="s">
        <v>196</v>
      </c>
      <c r="H39" s="162" t="s">
        <v>369</v>
      </c>
    </row>
    <row r="40" spans="1:8" x14ac:dyDescent="0.15">
      <c r="A40" s="105">
        <v>1207</v>
      </c>
      <c r="B40" s="138" t="str">
        <f>VLOOKUP(A40,[1]characters!$A:$C,3,FALSE)</f>
        <v>典麗なる悋気神 ヘラ</v>
      </c>
      <c r="C40" s="105" t="s">
        <v>195</v>
      </c>
      <c r="D40" s="138" t="str">
        <f t="shared" ref="D40" si="9">A40&amp;C40</f>
        <v>1207skill</v>
      </c>
      <c r="E40" s="138" t="str">
        <f>A40&amp;+(COUNTIF(A40:A$45,A40)-1)</f>
        <v>12074</v>
      </c>
      <c r="F40" s="105" t="s">
        <v>185</v>
      </c>
      <c r="G40" s="162" t="s">
        <v>360</v>
      </c>
      <c r="H40" s="162" t="s">
        <v>366</v>
      </c>
    </row>
    <row r="41" spans="1:8" x14ac:dyDescent="0.15">
      <c r="A41" s="105">
        <v>1207</v>
      </c>
      <c r="B41" s="138" t="str">
        <f>VLOOKUP(A41,[1]characters!$A:$C,3,FALSE)</f>
        <v>典麗なる悋気神 ヘラ</v>
      </c>
      <c r="C41" s="105" t="s">
        <v>198</v>
      </c>
      <c r="D41" s="138" t="str">
        <f>A41&amp;C41</f>
        <v>1207cskill</v>
      </c>
      <c r="E41" s="138" t="str">
        <f>A41&amp;+(COUNTIF(A41:A$45,A41)-1)</f>
        <v>12073</v>
      </c>
      <c r="F41" s="105" t="s">
        <v>185</v>
      </c>
      <c r="G41" s="162" t="s">
        <v>196</v>
      </c>
      <c r="H41" s="162" t="s">
        <v>367</v>
      </c>
    </row>
    <row r="42" spans="1:8" x14ac:dyDescent="0.15">
      <c r="A42" s="105">
        <v>1207</v>
      </c>
      <c r="B42" s="138" t="str">
        <f>VLOOKUP(A42,[1]characters!$A:$C,3,FALSE)</f>
        <v>典麗なる悋気神 ヘラ</v>
      </c>
      <c r="C42" s="105" t="s">
        <v>198</v>
      </c>
      <c r="D42" s="138" t="str">
        <f>A42&amp;C42</f>
        <v>1207cskill</v>
      </c>
      <c r="E42" s="138" t="str">
        <f>A42&amp;+(COUNTIF(A42:A$45,A42)-1)</f>
        <v>12072</v>
      </c>
      <c r="F42" s="105" t="s">
        <v>185</v>
      </c>
      <c r="G42" s="162" t="s">
        <v>360</v>
      </c>
      <c r="H42" s="162" t="s">
        <v>368</v>
      </c>
    </row>
    <row r="43" spans="1:8" x14ac:dyDescent="0.15">
      <c r="A43" s="105">
        <v>1207</v>
      </c>
      <c r="B43" s="138" t="str">
        <f>VLOOKUP(A43,[1]characters!$A:$C,3,FALSE)</f>
        <v>典麗なる悋気神 ヘラ</v>
      </c>
      <c r="C43" s="105" t="s">
        <v>198</v>
      </c>
      <c r="D43" s="138" t="str">
        <f>A43&amp;C43</f>
        <v>1207cskill</v>
      </c>
      <c r="E43" s="138" t="str">
        <f>A43&amp;+(COUNTIF(A43:A$45,A43)-1)</f>
        <v>12071</v>
      </c>
      <c r="F43" s="105" t="s">
        <v>185</v>
      </c>
      <c r="G43" s="162" t="s">
        <v>196</v>
      </c>
      <c r="H43" s="162" t="s">
        <v>369</v>
      </c>
    </row>
    <row r="44" spans="1:8" x14ac:dyDescent="0.15">
      <c r="A44" s="105">
        <v>1207</v>
      </c>
      <c r="B44" s="138" t="str">
        <f>VLOOKUP(A44,[1]characters!$A:$C,3,FALSE)</f>
        <v>典麗なる悋気神 ヘラ</v>
      </c>
      <c r="C44" s="105" t="s">
        <v>198</v>
      </c>
      <c r="D44" s="138" t="str">
        <f>A44&amp;C44</f>
        <v>1207cskill</v>
      </c>
      <c r="E44" s="138" t="str">
        <f>A44&amp;+(COUNTIF(A44:A$45,A44)-1)</f>
        <v>12070</v>
      </c>
      <c r="F44" s="105" t="s">
        <v>185</v>
      </c>
      <c r="G44" s="162" t="s">
        <v>377</v>
      </c>
      <c r="H44" s="162" t="s">
        <v>370</v>
      </c>
    </row>
    <row r="45" spans="1:8" x14ac:dyDescent="0.15">
      <c r="A45" s="105">
        <v>1210</v>
      </c>
      <c r="B45" s="138" t="str">
        <f>VLOOKUP(A45,[1]characters!$A:$C,3,FALSE)</f>
        <v>ケンタウロス</v>
      </c>
      <c r="C45" s="105" t="s">
        <v>195</v>
      </c>
      <c r="D45" s="138" t="str">
        <f t="shared" ref="D45" si="10">A45&amp;C45</f>
        <v>1210skill</v>
      </c>
      <c r="E45" s="138" t="str">
        <f>A45&amp;+(COUNTIF(A45:A$45,A45)-1)</f>
        <v>12100</v>
      </c>
      <c r="F45" s="105" t="s">
        <v>185</v>
      </c>
      <c r="G45" s="162" t="s">
        <v>196</v>
      </c>
      <c r="H45" s="162" t="s">
        <v>391</v>
      </c>
    </row>
    <row r="46" spans="1:8" x14ac:dyDescent="0.15">
      <c r="A46" s="105">
        <v>1210</v>
      </c>
      <c r="B46" s="138" t="str">
        <f>VLOOKUP(A46,[1]characters!$A:$C,3,FALSE)</f>
        <v>ケンタウロス</v>
      </c>
      <c r="C46" s="105" t="s">
        <v>198</v>
      </c>
      <c r="D46" s="138" t="str">
        <f>A46&amp;C46</f>
        <v>1210cskill</v>
      </c>
      <c r="E46" s="138" t="str">
        <f>A46&amp;+(COUNTIF(A$45:A46,A46)-1)</f>
        <v>12101</v>
      </c>
      <c r="F46" s="105" t="s">
        <v>185</v>
      </c>
      <c r="G46" s="162" t="s">
        <v>196</v>
      </c>
      <c r="H46" s="162" t="s">
        <v>392</v>
      </c>
    </row>
    <row r="47" spans="1:8" x14ac:dyDescent="0.15">
      <c r="A47" s="105">
        <v>1210</v>
      </c>
      <c r="B47" s="138" t="str">
        <f>VLOOKUP(A47,[1]characters!$A:$C,3,FALSE)</f>
        <v>ケンタウロス</v>
      </c>
      <c r="C47" s="105" t="s">
        <v>198</v>
      </c>
      <c r="D47" s="138" t="str">
        <f>A47&amp;C47</f>
        <v>1210cskill</v>
      </c>
      <c r="E47" s="138" t="str">
        <f>A47&amp;+(COUNTIF(A$45:A47,A47)-1)</f>
        <v>12102</v>
      </c>
      <c r="F47" s="105" t="s">
        <v>185</v>
      </c>
      <c r="G47" s="162" t="s">
        <v>196</v>
      </c>
      <c r="H47" s="162" t="s">
        <v>394</v>
      </c>
    </row>
    <row r="48" spans="1:8" x14ac:dyDescent="0.15">
      <c r="A48" s="105">
        <v>1211</v>
      </c>
      <c r="B48" s="138" t="str">
        <f>VLOOKUP(A48,[1]characters!$A:$C,3,FALSE)</f>
        <v>奏駆の翻騎 ケンタウロス</v>
      </c>
      <c r="C48" s="105" t="s">
        <v>195</v>
      </c>
      <c r="D48" s="138" t="str">
        <f t="shared" ref="D48" si="11">A48&amp;C48</f>
        <v>1211skill</v>
      </c>
      <c r="E48" s="138" t="str">
        <f>A48&amp;+(COUNTIF(A$45:A48,A48)-1)</f>
        <v>12110</v>
      </c>
      <c r="F48" s="105" t="s">
        <v>185</v>
      </c>
      <c r="G48" s="162" t="s">
        <v>377</v>
      </c>
      <c r="H48" s="162" t="s">
        <v>395</v>
      </c>
    </row>
    <row r="49" spans="1:8" x14ac:dyDescent="0.15">
      <c r="A49" s="105">
        <v>1211</v>
      </c>
      <c r="B49" s="138" t="str">
        <f>VLOOKUP(A49,[1]characters!$A:$C,3,FALSE)</f>
        <v>奏駆の翻騎 ケンタウロス</v>
      </c>
      <c r="C49" s="105" t="s">
        <v>198</v>
      </c>
      <c r="D49" s="138" t="str">
        <f>A49&amp;C49</f>
        <v>1211cskill</v>
      </c>
      <c r="E49" s="138" t="str">
        <f>A49&amp;+(COUNTIF(A$45:A49,A49)-1)</f>
        <v>12111</v>
      </c>
      <c r="F49" s="105" t="s">
        <v>185</v>
      </c>
      <c r="G49" s="162" t="s">
        <v>196</v>
      </c>
      <c r="H49" s="162" t="s">
        <v>392</v>
      </c>
    </row>
    <row r="50" spans="1:8" x14ac:dyDescent="0.15">
      <c r="A50" s="105">
        <v>1211</v>
      </c>
      <c r="B50" s="138" t="str">
        <f>VLOOKUP(A50,[1]characters!$A:$C,3,FALSE)</f>
        <v>奏駆の翻騎 ケンタウロス</v>
      </c>
      <c r="C50" s="105" t="s">
        <v>198</v>
      </c>
      <c r="D50" s="138" t="str">
        <f>A50&amp;C50</f>
        <v>1211cskill</v>
      </c>
      <c r="E50" s="138" t="str">
        <f>A50&amp;+(COUNTIF(A$45:A50,A50)-1)</f>
        <v>12112</v>
      </c>
      <c r="F50" s="105" t="s">
        <v>185</v>
      </c>
      <c r="G50" s="162" t="s">
        <v>196</v>
      </c>
      <c r="H50" s="162" t="s">
        <v>394</v>
      </c>
    </row>
    <row r="51" spans="1:8" x14ac:dyDescent="0.15">
      <c r="A51" s="105">
        <v>1211</v>
      </c>
      <c r="B51" s="138" t="str">
        <f>VLOOKUP(A51,[1]characters!$A:$C,3,FALSE)</f>
        <v>奏駆の翻騎 ケンタウロス</v>
      </c>
      <c r="C51" s="105" t="s">
        <v>198</v>
      </c>
      <c r="D51" s="138" t="str">
        <f>A51&amp;C51</f>
        <v>1211cskill</v>
      </c>
      <c r="E51" s="138" t="str">
        <f>A51&amp;+(COUNTIF(A$45:A51,A51)-1)</f>
        <v>12113</v>
      </c>
      <c r="F51" s="105" t="s">
        <v>185</v>
      </c>
      <c r="G51" s="162" t="s">
        <v>377</v>
      </c>
      <c r="H51" s="162" t="s">
        <v>393</v>
      </c>
    </row>
  </sheetData>
  <phoneticPr fontId="22"/>
  <dataValidations count="2">
    <dataValidation type="list" allowBlank="1" showInputMessage="1" showErrorMessage="1" sqref="G2:G51">
      <formula1>"maru,giza,kumo"</formula1>
    </dataValidation>
    <dataValidation type="list" allowBlank="1" showInputMessage="1" showErrorMessage="1" sqref="C2:C5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7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5" sqref="A5:XFD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1212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クロノス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1213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能洪の永地神 クロノス</v>
      </c>
      <c r="S2" s="5">
        <f t="shared" ref="S2:S7" ca="1" si="0">IF(ISNA(MATCH(A2,Q:Q,0)),A2,INDIRECT(ADDRESS(MATCH(A2,Q:Q,0),COLUMN())))</f>
        <v>1212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クロノス</v>
      </c>
      <c r="U2" s="10">
        <f ca="1">IF(Q2="NULL","NULL",VLOOKUP(G2,[2]ビット!$A$2:$B$7,2))</f>
        <v>200000</v>
      </c>
    </row>
    <row r="3" spans="1:21" ht="21" customHeight="1" x14ac:dyDescent="0.15">
      <c r="A3" s="191">
        <v>1208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ネメシス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1209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刹那の過罰神 ネメシス</v>
      </c>
      <c r="S3" s="5">
        <f t="shared" ca="1" si="0"/>
        <v>1208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ネメシス</v>
      </c>
      <c r="U3" s="10">
        <f ca="1">IF(Q3="NULL","NULL",VLOOKUP(G3,[2]ビット!$A$2:$B$7,2))</f>
        <v>200000</v>
      </c>
    </row>
    <row r="4" spans="1:21" ht="21" customHeight="1" x14ac:dyDescent="0.15">
      <c r="A4" s="191">
        <v>1200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サイクロプス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1201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器装の眼囚徒 サイクロプス</v>
      </c>
      <c r="S4" s="5">
        <f t="shared" ca="1" si="0"/>
        <v>1200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サイクロプス</v>
      </c>
      <c r="U4" s="10">
        <f ca="1">IF(Q4="NULL","NULL",VLOOKUP(G4,[2]ビット!$A$2:$B$7,2))</f>
        <v>50000</v>
      </c>
    </row>
    <row r="5" spans="1:21" ht="21" customHeight="1" x14ac:dyDescent="0.15">
      <c r="A5" s="191">
        <v>1202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ウラヌス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unknown</v>
      </c>
      <c r="K5" s="5" t="str">
        <f ca="1">VLOOKUP(J5,[1]character_tribe_i18n!$A:$H,3,FALSE)</f>
        <v>Unknown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1203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掌星の原天神 ウラヌス</v>
      </c>
      <c r="S5" s="5">
        <f t="shared" ca="1" si="0"/>
        <v>1202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ウラヌス</v>
      </c>
      <c r="U5" s="10">
        <f ca="1">IF(Q5="NULL","NULL",VLOOKUP(G5,[2]ビット!$A$2:$B$7,2))</f>
        <v>200000</v>
      </c>
    </row>
    <row r="6" spans="1:21" ht="21" customHeight="1" x14ac:dyDescent="0.15">
      <c r="A6" s="191">
        <v>1206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ヘラ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normal</v>
      </c>
      <c r="Q6" s="187">
        <v>1207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典麗なる悋気神 ヘラ</v>
      </c>
      <c r="S6" s="5">
        <f t="shared" ca="1" si="0"/>
        <v>1206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ヘラ</v>
      </c>
      <c r="U6" s="10">
        <f ca="1">IF(Q6="NULL","NULL",VLOOKUP(G6,[2]ビット!$A$2:$B$7,2))</f>
        <v>200000</v>
      </c>
    </row>
    <row r="7" spans="1:21" ht="21" customHeight="1" x14ac:dyDescent="0.15">
      <c r="A7" s="191">
        <v>1210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ケンタウロス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7">
        <v>1211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奏駆の翻騎 ケンタウロス</v>
      </c>
      <c r="S7" s="5">
        <f t="shared" ca="1" si="0"/>
        <v>1210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ケンタウロス</v>
      </c>
      <c r="U7" s="10">
        <f ca="1">IF(Q7="NULL","NULL",VLOOKUP(G7,[2]ビット!$A$2:$B$7,2))</f>
        <v>50000</v>
      </c>
    </row>
  </sheetData>
  <autoFilter ref="A1:U2"/>
  <phoneticPr fontId="22"/>
  <conditionalFormatting sqref="W1:W2 W8:W1048576">
    <cfRule type="cellIs" dxfId="29" priority="12" operator="equal">
      <formula>"FALSE"</formula>
    </cfRule>
  </conditionalFormatting>
  <conditionalFormatting sqref="W3">
    <cfRule type="cellIs" dxfId="28" priority="6" operator="equal">
      <formula>"FALSE"</formula>
    </cfRule>
  </conditionalFormatting>
  <conditionalFormatting sqref="W4">
    <cfRule type="cellIs" dxfId="27" priority="5" operator="equal">
      <formula>"FALSE"</formula>
    </cfRule>
  </conditionalFormatting>
  <conditionalFormatting sqref="W5">
    <cfRule type="cellIs" dxfId="26" priority="4" operator="equal">
      <formula>"FALSE"</formula>
    </cfRule>
  </conditionalFormatting>
  <conditionalFormatting sqref="W6">
    <cfRule type="cellIs" dxfId="25" priority="3" operator="equal">
      <formula>"FALSE"</formula>
    </cfRule>
  </conditionalFormatting>
  <conditionalFormatting sqref="W7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27"/>
  <sheetViews>
    <sheetView showGridLines="0" topLeftCell="B1" workbookViewId="0">
      <pane ySplit="1" topLeftCell="A3" activePane="bottomLeft" state="frozen"/>
      <selection pane="bottomLeft" activeCell="H18" sqref="H18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11" si="0">B2&amp;"_"&amp;I2</f>
        <v>1212_111</v>
      </c>
      <c r="B2" s="195">
        <v>1212</v>
      </c>
      <c r="C2" s="178">
        <f t="shared" ref="C2:C11" si="1">B2</f>
        <v>1212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クロノス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</v>
      </c>
      <c r="G2" s="195">
        <v>1213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能洪の永地神 クロノス</v>
      </c>
      <c r="I2" s="194">
        <v>111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ブルーキャタップ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1212_112</v>
      </c>
      <c r="B3" s="195">
        <v>1212</v>
      </c>
      <c r="C3" s="178">
        <f t="shared" si="1"/>
        <v>1212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クロノス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</v>
      </c>
      <c r="G3" s="195">
        <v>1213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能洪の永地神 クロノス</v>
      </c>
      <c r="I3" s="194">
        <v>112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水のマッドハッター</v>
      </c>
      <c r="K3" s="192">
        <v>1</v>
      </c>
      <c r="L3" s="193">
        <v>1</v>
      </c>
      <c r="M3" s="193">
        <v>10</v>
      </c>
      <c r="N3" s="2" t="s">
        <v>291</v>
      </c>
    </row>
    <row r="4" spans="1:14" ht="21" customHeight="1" x14ac:dyDescent="0.15">
      <c r="A4" s="61" t="str">
        <f t="shared" si="0"/>
        <v>1212_1200</v>
      </c>
      <c r="B4" s="195">
        <v>1212</v>
      </c>
      <c r="C4" s="178">
        <f t="shared" si="1"/>
        <v>1212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クロノス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</v>
      </c>
      <c r="G4" s="195">
        <v>1213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能洪の永地神 クロノス</v>
      </c>
      <c r="I4" s="194">
        <v>1200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サイクロプス</v>
      </c>
      <c r="K4" s="192">
        <v>1</v>
      </c>
      <c r="L4" s="192">
        <v>1</v>
      </c>
      <c r="M4" s="193">
        <v>100</v>
      </c>
      <c r="N4" s="2" t="s">
        <v>291</v>
      </c>
    </row>
    <row r="5" spans="1:14" ht="21" customHeight="1" x14ac:dyDescent="0.15">
      <c r="A5" s="61" t="str">
        <f t="shared" si="0"/>
        <v>1212_300</v>
      </c>
      <c r="B5" s="195">
        <v>1212</v>
      </c>
      <c r="C5" s="178">
        <f t="shared" si="1"/>
        <v>1212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クロノス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</v>
      </c>
      <c r="G5" s="195">
        <v>1213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能洪の永地神 クロノス</v>
      </c>
      <c r="I5" s="194">
        <v>300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毒殺のチカ</v>
      </c>
      <c r="K5" s="192">
        <v>1</v>
      </c>
      <c r="L5" s="192">
        <v>1</v>
      </c>
      <c r="M5" s="193">
        <v>100</v>
      </c>
      <c r="N5" s="2" t="s">
        <v>291</v>
      </c>
    </row>
    <row r="6" spans="1:14" ht="21" customHeight="1" x14ac:dyDescent="0.15">
      <c r="A6" s="61" t="str">
        <f t="shared" si="0"/>
        <v>1212_837</v>
      </c>
      <c r="B6" s="195">
        <v>1212</v>
      </c>
      <c r="C6" s="178">
        <f t="shared" si="1"/>
        <v>1212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クロノス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</v>
      </c>
      <c r="G6" s="195">
        <v>1213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能洪の永地神 クロノス</v>
      </c>
      <c r="I6" s="194">
        <v>837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92">
        <v>1</v>
      </c>
      <c r="L6" s="192">
        <v>1</v>
      </c>
      <c r="M6" s="193">
        <v>1000</v>
      </c>
      <c r="N6" s="2" t="s">
        <v>291</v>
      </c>
    </row>
    <row r="7" spans="1:14" ht="21" customHeight="1" x14ac:dyDescent="0.15">
      <c r="A7" s="61" t="str">
        <f t="shared" si="0"/>
        <v>1208_103</v>
      </c>
      <c r="B7" s="195">
        <v>1208</v>
      </c>
      <c r="C7" s="178">
        <f t="shared" si="1"/>
        <v>1208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ネメシス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</v>
      </c>
      <c r="G7" s="195">
        <v>1209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刹那の過罰神 ネメシス</v>
      </c>
      <c r="I7" s="194">
        <v>103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レッドキャタップ</v>
      </c>
      <c r="K7" s="192">
        <v>1</v>
      </c>
      <c r="L7" s="192">
        <v>1</v>
      </c>
      <c r="M7" s="193">
        <v>10</v>
      </c>
      <c r="N7" s="2" t="s">
        <v>291</v>
      </c>
    </row>
    <row r="8" spans="1:14" ht="21" customHeight="1" x14ac:dyDescent="0.15">
      <c r="A8" s="61" t="str">
        <f t="shared" si="0"/>
        <v>1208_104</v>
      </c>
      <c r="B8" s="195">
        <v>1208</v>
      </c>
      <c r="C8" s="178">
        <f t="shared" si="1"/>
        <v>1208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ネメシス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</v>
      </c>
      <c r="G8" s="195">
        <v>1209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刹那の過罰神 ネメシス</v>
      </c>
      <c r="I8" s="194">
        <v>104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炎のマッドハッター</v>
      </c>
      <c r="K8" s="192">
        <v>1</v>
      </c>
      <c r="L8" s="192">
        <v>1</v>
      </c>
      <c r="M8" s="193">
        <v>10</v>
      </c>
      <c r="N8" s="2" t="s">
        <v>291</v>
      </c>
    </row>
    <row r="9" spans="1:14" ht="21" customHeight="1" x14ac:dyDescent="0.15">
      <c r="A9" s="61" t="str">
        <f t="shared" si="0"/>
        <v>1208_284</v>
      </c>
      <c r="B9" s="195">
        <v>1208</v>
      </c>
      <c r="C9" s="178">
        <f t="shared" si="1"/>
        <v>1208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ネメシス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</v>
      </c>
      <c r="G9" s="195">
        <v>1209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刹那の過罰神 ネメシス</v>
      </c>
      <c r="I9" s="194">
        <v>284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フェルニゲシュ</v>
      </c>
      <c r="K9" s="192">
        <v>1</v>
      </c>
      <c r="L9" s="192">
        <v>1</v>
      </c>
      <c r="M9" s="193">
        <v>100</v>
      </c>
      <c r="N9" s="2" t="s">
        <v>291</v>
      </c>
    </row>
    <row r="10" spans="1:14" ht="21" customHeight="1" x14ac:dyDescent="0.15">
      <c r="A10" s="61" t="str">
        <f t="shared" si="0"/>
        <v>1208_1200</v>
      </c>
      <c r="B10" s="195">
        <v>1208</v>
      </c>
      <c r="C10" s="178">
        <f t="shared" si="1"/>
        <v>1208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ネメシス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PremiumSS</v>
      </c>
      <c r="G10" s="195">
        <v>1209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刹那の過罰神 ネメシス</v>
      </c>
      <c r="I10" s="194">
        <v>1200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サイクロプス</v>
      </c>
      <c r="K10" s="192">
        <v>1</v>
      </c>
      <c r="L10" s="192">
        <v>1</v>
      </c>
      <c r="M10" s="193">
        <v>100</v>
      </c>
      <c r="N10" s="2" t="s">
        <v>291</v>
      </c>
    </row>
    <row r="11" spans="1:14" ht="21" customHeight="1" x14ac:dyDescent="0.15">
      <c r="A11" s="61" t="str">
        <f t="shared" si="0"/>
        <v>1208_837</v>
      </c>
      <c r="B11" s="195">
        <v>1208</v>
      </c>
      <c r="C11" s="178">
        <f t="shared" si="1"/>
        <v>1208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ネメシス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PremiumSS</v>
      </c>
      <c r="G11" s="195">
        <v>1209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刹那の過罰神 ネメシス</v>
      </c>
      <c r="I11" s="194">
        <v>837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リトルハンプティ</v>
      </c>
      <c r="K11" s="192">
        <v>1</v>
      </c>
      <c r="L11" s="192">
        <v>1</v>
      </c>
      <c r="M11" s="193">
        <v>1000</v>
      </c>
      <c r="N11" s="2" t="s">
        <v>291</v>
      </c>
    </row>
    <row r="12" spans="1:14" ht="21" customHeight="1" x14ac:dyDescent="0.15">
      <c r="A12" s="61" t="str">
        <f t="shared" ref="A12:A15" si="2">B12&amp;"_"&amp;I12</f>
        <v>1200_109</v>
      </c>
      <c r="B12" s="195">
        <v>1200</v>
      </c>
      <c r="C12" s="178">
        <f t="shared" ref="C12:C15" si="3">B12</f>
        <v>1200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サイクロプス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4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Drop2N</v>
      </c>
      <c r="G12" s="195">
        <v>1201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器装の眼囚徒 サイクロプス</v>
      </c>
      <c r="I12" s="194">
        <v>109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ブルーチェシャ</v>
      </c>
      <c r="K12" s="192">
        <v>1</v>
      </c>
      <c r="L12" s="192">
        <v>1</v>
      </c>
      <c r="M12" s="193">
        <v>10</v>
      </c>
      <c r="N12" s="2" t="s">
        <v>291</v>
      </c>
    </row>
    <row r="13" spans="1:14" ht="21" customHeight="1" x14ac:dyDescent="0.15">
      <c r="A13" s="61" t="str">
        <f t="shared" si="2"/>
        <v>1200_110</v>
      </c>
      <c r="B13" s="195">
        <v>1200</v>
      </c>
      <c r="C13" s="178">
        <f t="shared" si="3"/>
        <v>1200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サイクロプス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4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Drop2N</v>
      </c>
      <c r="G13" s="195">
        <v>1201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器装の眼囚徒 サイクロプス</v>
      </c>
      <c r="I13" s="194">
        <v>110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ブルーラビット</v>
      </c>
      <c r="K13" s="192">
        <v>2</v>
      </c>
      <c r="L13" s="192">
        <v>1</v>
      </c>
      <c r="M13" s="193">
        <v>10</v>
      </c>
      <c r="N13" s="2" t="s">
        <v>291</v>
      </c>
    </row>
    <row r="14" spans="1:14" ht="21" customHeight="1" x14ac:dyDescent="0.15">
      <c r="A14" s="61" t="str">
        <f t="shared" si="2"/>
        <v>1200_111</v>
      </c>
      <c r="B14" s="195">
        <v>1200</v>
      </c>
      <c r="C14" s="178">
        <f t="shared" si="3"/>
        <v>1200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サイクロプス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4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Drop2N</v>
      </c>
      <c r="G14" s="195">
        <v>1201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器装の眼囚徒 サイクロプス</v>
      </c>
      <c r="I14" s="194">
        <v>111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ブルーキャタップ</v>
      </c>
      <c r="K14" s="192">
        <v>1</v>
      </c>
      <c r="L14" s="192">
        <v>1</v>
      </c>
      <c r="M14" s="193">
        <v>10</v>
      </c>
      <c r="N14" s="2" t="s">
        <v>291</v>
      </c>
    </row>
    <row r="15" spans="1:14" ht="21" customHeight="1" x14ac:dyDescent="0.15">
      <c r="A15" s="61" t="str">
        <f t="shared" si="2"/>
        <v>1200_112</v>
      </c>
      <c r="B15" s="195">
        <v>1200</v>
      </c>
      <c r="C15" s="178">
        <f t="shared" si="3"/>
        <v>1200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サイクロプス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4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Drop2N</v>
      </c>
      <c r="G15" s="195">
        <v>1201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器装の眼囚徒 サイクロプス</v>
      </c>
      <c r="I15" s="194">
        <v>112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水のマッドハッター</v>
      </c>
      <c r="K15" s="192">
        <v>1</v>
      </c>
      <c r="L15" s="192">
        <v>1</v>
      </c>
      <c r="M15" s="193">
        <v>10</v>
      </c>
      <c r="N15" s="2" t="s">
        <v>291</v>
      </c>
    </row>
    <row r="16" spans="1:14" ht="21" customHeight="1" x14ac:dyDescent="0.15">
      <c r="A16" s="61" t="str">
        <f t="shared" ref="A16:A19" si="4">B16&amp;"_"&amp;I16</f>
        <v>1202_104</v>
      </c>
      <c r="B16" s="195">
        <v>1202</v>
      </c>
      <c r="C16" s="178">
        <f t="shared" ref="C16:C19" si="5">B16</f>
        <v>1202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ウラヌス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DropWizS</v>
      </c>
      <c r="G16" s="195">
        <v>1203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掌星の原天神 ウラヌス</v>
      </c>
      <c r="I16" s="194">
        <v>104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炎のマッドハッター</v>
      </c>
      <c r="K16" s="192">
        <v>1</v>
      </c>
      <c r="L16" s="192">
        <v>1</v>
      </c>
      <c r="M16" s="193">
        <v>10</v>
      </c>
      <c r="N16" s="2" t="s">
        <v>291</v>
      </c>
    </row>
    <row r="17" spans="1:14" ht="21" customHeight="1" x14ac:dyDescent="0.15">
      <c r="A17" s="61" t="str">
        <f t="shared" si="4"/>
        <v>1202_1200</v>
      </c>
      <c r="B17" s="195">
        <v>1202</v>
      </c>
      <c r="C17" s="178">
        <f t="shared" si="5"/>
        <v>1202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ウラヌス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195">
        <v>1203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掌星の原天神 ウラヌス</v>
      </c>
      <c r="I17" s="194">
        <v>1200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サイクロプス</v>
      </c>
      <c r="K17" s="192">
        <v>1</v>
      </c>
      <c r="L17" s="192">
        <v>2</v>
      </c>
      <c r="M17" s="193">
        <v>100</v>
      </c>
      <c r="N17" s="2" t="s">
        <v>291</v>
      </c>
    </row>
    <row r="18" spans="1:14" ht="21" customHeight="1" x14ac:dyDescent="0.15">
      <c r="A18" s="61" t="str">
        <f t="shared" si="4"/>
        <v>1202_1096</v>
      </c>
      <c r="B18" s="195">
        <v>1202</v>
      </c>
      <c r="C18" s="178">
        <f t="shared" si="5"/>
        <v>1202</v>
      </c>
      <c r="D18" s="53" t="str">
        <f ca="1">VLOOKUP($C18,OFFSET([1]characters!$A$1,0,0,COUNTA([1]characters!$A:$A),MATCH(D$1,[1]characters!$1:$1,0)-MATCH($C$1,[1]characters!$1:$1,0)+1),MATCH(D$1,[1]characters!$1:$1,0)-MATCH($C$1,[1]characters!$1:$1,0)+1,FALSE)</f>
        <v>ウラヌス</v>
      </c>
      <c r="E18" s="53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3" t="str">
        <f ca="1">VLOOKUP($C18,OFFSET([1]characters!$A$1,0,0,COUNTA([1]characters!$A:$A),MATCH(F$1,[1]characters!$1:$1,0)-MATCH($C$1,[1]characters!$1:$1,0)+1),MATCH(F$1,[1]characters!$1:$1,0)-MATCH($C$1,[1]characters!$1:$1,0)+1,FALSE)</f>
        <v>DropWizS</v>
      </c>
      <c r="G18" s="195">
        <v>1203</v>
      </c>
      <c r="H18" s="53" t="str">
        <f ca="1">VLOOKUP($G18,OFFSET([1]characters!$A$1,0,0,COUNTA([1]characters!$A:$A),MATCH(H$1,[1]characters!$1:$1,0)-MATCH($C$1,[1]characters!$1:$1,0)+1),MATCH(H$1,[1]characters!$1:$1,0)-MATCH($C$1,[1]characters!$1:$1,0)+1,FALSE)</f>
        <v>掌星の原天神 ウラヌス</v>
      </c>
      <c r="I18" s="194">
        <v>1096</v>
      </c>
      <c r="J18" s="53" t="str">
        <f ca="1">VLOOKUP($I18,OFFSET([1]characters!$A$1,0,0,COUNTA([1]characters!$A:$A),MATCH(J$1,[1]characters!$1:$1,0)-MATCH($C$1,[1]characters!$1:$1,0)+1),MATCH(J$1,[1]characters!$1:$1,0)-MATCH($C$1,[1]characters!$1:$1,0)+1,FALSE)</f>
        <v>ジャ・リダルサ</v>
      </c>
      <c r="K18" s="192">
        <v>1</v>
      </c>
      <c r="L18" s="192">
        <v>3</v>
      </c>
      <c r="M18" s="193">
        <v>100</v>
      </c>
      <c r="N18" s="2" t="s">
        <v>291</v>
      </c>
    </row>
    <row r="19" spans="1:14" ht="21" customHeight="1" x14ac:dyDescent="0.15">
      <c r="A19" s="61" t="str">
        <f t="shared" si="4"/>
        <v>1202_837</v>
      </c>
      <c r="B19" s="195">
        <v>1202</v>
      </c>
      <c r="C19" s="178">
        <f t="shared" si="5"/>
        <v>1202</v>
      </c>
      <c r="D19" s="53" t="str">
        <f ca="1">VLOOKUP($C19,OFFSET([1]characters!$A$1,0,0,COUNTA([1]characters!$A:$A),MATCH(D$1,[1]characters!$1:$1,0)-MATCH($C$1,[1]characters!$1:$1,0)+1),MATCH(D$1,[1]characters!$1:$1,0)-MATCH($C$1,[1]characters!$1:$1,0)+1,FALSE)</f>
        <v>ウラヌス</v>
      </c>
      <c r="E19" s="53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3" t="str">
        <f ca="1">VLOOKUP($C19,OFFSET([1]characters!$A$1,0,0,COUNTA([1]characters!$A:$A),MATCH(F$1,[1]characters!$1:$1,0)-MATCH($C$1,[1]characters!$1:$1,0)+1),MATCH(F$1,[1]characters!$1:$1,0)-MATCH($C$1,[1]characters!$1:$1,0)+1,FALSE)</f>
        <v>DropWizS</v>
      </c>
      <c r="G19" s="195">
        <v>1203</v>
      </c>
      <c r="H19" s="53" t="str">
        <f ca="1">VLOOKUP($G19,OFFSET([1]characters!$A$1,0,0,COUNTA([1]characters!$A:$A),MATCH(H$1,[1]characters!$1:$1,0)-MATCH($C$1,[1]characters!$1:$1,0)+1),MATCH(H$1,[1]characters!$1:$1,0)-MATCH($C$1,[1]characters!$1:$1,0)+1,FALSE)</f>
        <v>掌星の原天神 ウラヌス</v>
      </c>
      <c r="I19" s="194">
        <v>837</v>
      </c>
      <c r="J19" s="53" t="str">
        <f ca="1">VLOOKUP($I19,OFFSET([1]characters!$A$1,0,0,COUNTA([1]characters!$A:$A),MATCH(J$1,[1]characters!$1:$1,0)-MATCH($C$1,[1]characters!$1:$1,0)+1),MATCH(J$1,[1]characters!$1:$1,0)-MATCH($C$1,[1]characters!$1:$1,0)+1,FALSE)</f>
        <v>リトルハンプティ</v>
      </c>
      <c r="K19" s="192">
        <v>1</v>
      </c>
      <c r="L19" s="192">
        <v>1</v>
      </c>
      <c r="M19" s="193">
        <v>1000</v>
      </c>
      <c r="N19" s="2" t="s">
        <v>291</v>
      </c>
    </row>
    <row r="20" spans="1:14" ht="21" customHeight="1" x14ac:dyDescent="0.15">
      <c r="A20" s="61" t="str">
        <f t="shared" ref="A20:A24" si="6">B20&amp;"_"&amp;I20</f>
        <v>1206_1024</v>
      </c>
      <c r="B20" s="195">
        <v>1206</v>
      </c>
      <c r="C20" s="178">
        <f t="shared" ref="C20:C24" si="7">B20</f>
        <v>1206</v>
      </c>
      <c r="D20" s="53" t="str">
        <f ca="1">VLOOKUP($C20,OFFSET([1]characters!$A$1,0,0,COUNTA([1]characters!$A:$A),MATCH(D$1,[1]characters!$1:$1,0)-MATCH($C$1,[1]characters!$1:$1,0)+1),MATCH(D$1,[1]characters!$1:$1,0)-MATCH($C$1,[1]characters!$1:$1,0)+1,FALSE)</f>
        <v>ヘラ</v>
      </c>
      <c r="E20" s="53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3" t="str">
        <f ca="1">VLOOKUP($C20,OFFSET([1]characters!$A$1,0,0,COUNTA([1]characters!$A:$A),MATCH(F$1,[1]characters!$1:$1,0)-MATCH($C$1,[1]characters!$1:$1,0)+1),MATCH(F$1,[1]characters!$1:$1,0)-MATCH($C$1,[1]characters!$1:$1,0)+1,FALSE)</f>
        <v>DropWizSS</v>
      </c>
      <c r="G20" s="195">
        <v>1207</v>
      </c>
      <c r="H20" s="53" t="str">
        <f ca="1">VLOOKUP($G20,OFFSET([1]characters!$A$1,0,0,COUNTA([1]characters!$A:$A),MATCH(H$1,[1]characters!$1:$1,0)-MATCH($C$1,[1]characters!$1:$1,0)+1),MATCH(H$1,[1]characters!$1:$1,0)-MATCH($C$1,[1]characters!$1:$1,0)+1,FALSE)</f>
        <v>典麗なる悋気神 ヘラ</v>
      </c>
      <c r="I20" s="194">
        <v>1024</v>
      </c>
      <c r="J20" s="53" t="str">
        <f ca="1">VLOOKUP($I20,OFFSET([1]characters!$A$1,0,0,COUNTA([1]characters!$A:$A),MATCH(J$1,[1]characters!$1:$1,0)-MATCH($C$1,[1]characters!$1:$1,0)+1),MATCH(J$1,[1]characters!$1:$1,0)-MATCH($C$1,[1]characters!$1:$1,0)+1,FALSE)</f>
        <v>武蔵坊弁慶</v>
      </c>
      <c r="K20" s="192">
        <v>1</v>
      </c>
      <c r="L20" s="192">
        <v>1</v>
      </c>
      <c r="M20" s="193">
        <v>100</v>
      </c>
      <c r="N20" s="2" t="s">
        <v>291</v>
      </c>
    </row>
    <row r="21" spans="1:14" ht="21" customHeight="1" x14ac:dyDescent="0.15">
      <c r="A21" s="61" t="str">
        <f t="shared" si="6"/>
        <v>1206_1098</v>
      </c>
      <c r="B21" s="195">
        <v>1206</v>
      </c>
      <c r="C21" s="178">
        <f t="shared" si="7"/>
        <v>1206</v>
      </c>
      <c r="D21" s="53" t="str">
        <f ca="1">VLOOKUP($C21,OFFSET([1]characters!$A$1,0,0,COUNTA([1]characters!$A:$A),MATCH(D$1,[1]characters!$1:$1,0)-MATCH($C$1,[1]characters!$1:$1,0)+1),MATCH(D$1,[1]characters!$1:$1,0)-MATCH($C$1,[1]characters!$1:$1,0)+1,FALSE)</f>
        <v>ヘラ</v>
      </c>
      <c r="E21" s="53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3" t="str">
        <f ca="1">VLOOKUP($C21,OFFSET([1]characters!$A$1,0,0,COUNTA([1]characters!$A:$A),MATCH(F$1,[1]characters!$1:$1,0)-MATCH($C$1,[1]characters!$1:$1,0)+1),MATCH(F$1,[1]characters!$1:$1,0)-MATCH($C$1,[1]characters!$1:$1,0)+1,FALSE)</f>
        <v>DropWizSS</v>
      </c>
      <c r="G21" s="195">
        <v>1207</v>
      </c>
      <c r="H21" s="53" t="str">
        <f ca="1">VLOOKUP($G21,OFFSET([1]characters!$A$1,0,0,COUNTA([1]characters!$A:$A),MATCH(H$1,[1]characters!$1:$1,0)-MATCH($C$1,[1]characters!$1:$1,0)+1),MATCH(H$1,[1]characters!$1:$1,0)-MATCH($C$1,[1]characters!$1:$1,0)+1,FALSE)</f>
        <v>典麗なる悋気神 ヘラ</v>
      </c>
      <c r="I21" s="194">
        <v>1098</v>
      </c>
      <c r="J21" s="53" t="str">
        <f ca="1">VLOOKUP($I21,OFFSET([1]characters!$A$1,0,0,COUNTA([1]characters!$A:$A),MATCH(J$1,[1]characters!$1:$1,0)-MATCH($C$1,[1]characters!$1:$1,0)+1),MATCH(J$1,[1]characters!$1:$1,0)-MATCH($C$1,[1]characters!$1:$1,0)+1,FALSE)</f>
        <v>ルピカ</v>
      </c>
      <c r="K21" s="192">
        <v>1</v>
      </c>
      <c r="L21" s="192">
        <v>1</v>
      </c>
      <c r="M21" s="193">
        <v>100</v>
      </c>
      <c r="N21" s="2" t="s">
        <v>291</v>
      </c>
    </row>
    <row r="22" spans="1:14" ht="21" customHeight="1" x14ac:dyDescent="0.15">
      <c r="A22" s="61" t="str">
        <f t="shared" si="6"/>
        <v>1206_1204</v>
      </c>
      <c r="B22" s="195">
        <v>1206</v>
      </c>
      <c r="C22" s="178">
        <f t="shared" si="7"/>
        <v>1206</v>
      </c>
      <c r="D22" s="53" t="str">
        <f ca="1">VLOOKUP($C22,OFFSET([1]characters!$A$1,0,0,COUNTA([1]characters!$A:$A),MATCH(D$1,[1]characters!$1:$1,0)-MATCH($C$1,[1]characters!$1:$1,0)+1),MATCH(D$1,[1]characters!$1:$1,0)-MATCH($C$1,[1]characters!$1:$1,0)+1,FALSE)</f>
        <v>ヘラ</v>
      </c>
      <c r="E22" s="53">
        <f ca="1">VLOOKUP($C22,OFFSET([1]characters!$A$1,0,0,COUNTA([1]characters!$A:$A),MATCH(E$1,[1]characters!$1:$1,0)-MATCH($C$1,[1]characters!$1:$1,0)+1),MATCH(E$1,[1]characters!$1:$1,0)-MATCH($C$1,[1]characters!$1:$1,0)+1,FALSE)</f>
        <v>5</v>
      </c>
      <c r="F22" s="53" t="str">
        <f ca="1">VLOOKUP($C22,OFFSET([1]characters!$A$1,0,0,COUNTA([1]characters!$A:$A),MATCH(F$1,[1]characters!$1:$1,0)-MATCH($C$1,[1]characters!$1:$1,0)+1),MATCH(F$1,[1]characters!$1:$1,0)-MATCH($C$1,[1]characters!$1:$1,0)+1,FALSE)</f>
        <v>DropWizSS</v>
      </c>
      <c r="G22" s="195">
        <v>1207</v>
      </c>
      <c r="H22" s="53" t="str">
        <f ca="1">VLOOKUP($G22,OFFSET([1]characters!$A$1,0,0,COUNTA([1]characters!$A:$A),MATCH(H$1,[1]characters!$1:$1,0)-MATCH($C$1,[1]characters!$1:$1,0)+1),MATCH(H$1,[1]characters!$1:$1,0)-MATCH($C$1,[1]characters!$1:$1,0)+1,FALSE)</f>
        <v>典麗なる悋気神 ヘラ</v>
      </c>
      <c r="I22" s="194">
        <v>1204</v>
      </c>
      <c r="J22" s="53" t="str">
        <f ca="1">VLOOKUP($I22,OFFSET([1]characters!$A$1,0,0,COUNTA([1]characters!$A:$A),MATCH(J$1,[1]characters!$1:$1,0)-MATCH($C$1,[1]characters!$1:$1,0)+1),MATCH(J$1,[1]characters!$1:$1,0)-MATCH($C$1,[1]characters!$1:$1,0)+1,FALSE)</f>
        <v>デルピュネー</v>
      </c>
      <c r="K22" s="192">
        <v>1</v>
      </c>
      <c r="L22" s="192">
        <v>1</v>
      </c>
      <c r="M22" s="193">
        <v>100</v>
      </c>
      <c r="N22" s="2" t="s">
        <v>291</v>
      </c>
    </row>
    <row r="23" spans="1:14" ht="21" customHeight="1" x14ac:dyDescent="0.15">
      <c r="A23" s="61" t="str">
        <f t="shared" si="6"/>
        <v>1206_1202</v>
      </c>
      <c r="B23" s="195">
        <v>1206</v>
      </c>
      <c r="C23" s="178">
        <f t="shared" si="7"/>
        <v>1206</v>
      </c>
      <c r="D23" s="53" t="str">
        <f ca="1">VLOOKUP($C23,OFFSET([1]characters!$A$1,0,0,COUNTA([1]characters!$A:$A),MATCH(D$1,[1]characters!$1:$1,0)-MATCH($C$1,[1]characters!$1:$1,0)+1),MATCH(D$1,[1]characters!$1:$1,0)-MATCH($C$1,[1]characters!$1:$1,0)+1,FALSE)</f>
        <v>ヘラ</v>
      </c>
      <c r="E23" s="53">
        <f ca="1">VLOOKUP($C23,OFFSET([1]characters!$A$1,0,0,COUNTA([1]characters!$A:$A),MATCH(E$1,[1]characters!$1:$1,0)-MATCH($C$1,[1]characters!$1:$1,0)+1),MATCH(E$1,[1]characters!$1:$1,0)-MATCH($C$1,[1]characters!$1:$1,0)+1,FALSE)</f>
        <v>5</v>
      </c>
      <c r="F23" s="53" t="str">
        <f ca="1">VLOOKUP($C23,OFFSET([1]characters!$A$1,0,0,COUNTA([1]characters!$A:$A),MATCH(F$1,[1]characters!$1:$1,0)-MATCH($C$1,[1]characters!$1:$1,0)+1),MATCH(F$1,[1]characters!$1:$1,0)-MATCH($C$1,[1]characters!$1:$1,0)+1,FALSE)</f>
        <v>DropWizSS</v>
      </c>
      <c r="G23" s="195">
        <v>1207</v>
      </c>
      <c r="H23" s="53" t="str">
        <f ca="1">VLOOKUP($G23,OFFSET([1]characters!$A$1,0,0,COUNTA([1]characters!$A:$A),MATCH(H$1,[1]characters!$1:$1,0)-MATCH($C$1,[1]characters!$1:$1,0)+1),MATCH(H$1,[1]characters!$1:$1,0)-MATCH($C$1,[1]characters!$1:$1,0)+1,FALSE)</f>
        <v>典麗なる悋気神 ヘラ</v>
      </c>
      <c r="I23" s="194">
        <v>1202</v>
      </c>
      <c r="J23" s="53" t="str">
        <f ca="1">VLOOKUP($I23,OFFSET([1]characters!$A$1,0,0,COUNTA([1]characters!$A:$A),MATCH(J$1,[1]characters!$1:$1,0)-MATCH($C$1,[1]characters!$1:$1,0)+1),MATCH(J$1,[1]characters!$1:$1,0)-MATCH($C$1,[1]characters!$1:$1,0)+1,FALSE)</f>
        <v>ウラヌス</v>
      </c>
      <c r="K23" s="192">
        <v>1</v>
      </c>
      <c r="L23" s="192">
        <v>1</v>
      </c>
      <c r="M23" s="193">
        <v>100</v>
      </c>
      <c r="N23" s="2" t="s">
        <v>291</v>
      </c>
    </row>
    <row r="24" spans="1:14" ht="21" customHeight="1" x14ac:dyDescent="0.15">
      <c r="A24" s="61" t="str">
        <f t="shared" si="6"/>
        <v>1206_837</v>
      </c>
      <c r="B24" s="195">
        <v>1206</v>
      </c>
      <c r="C24" s="178">
        <f t="shared" si="7"/>
        <v>1206</v>
      </c>
      <c r="D24" s="53" t="str">
        <f ca="1">VLOOKUP($C24,OFFSET([1]characters!$A$1,0,0,COUNTA([1]characters!$A:$A),MATCH(D$1,[1]characters!$1:$1,0)-MATCH($C$1,[1]characters!$1:$1,0)+1),MATCH(D$1,[1]characters!$1:$1,0)-MATCH($C$1,[1]characters!$1:$1,0)+1,FALSE)</f>
        <v>ヘラ</v>
      </c>
      <c r="E24" s="53">
        <f ca="1">VLOOKUP($C24,OFFSET([1]characters!$A$1,0,0,COUNTA([1]characters!$A:$A),MATCH(E$1,[1]characters!$1:$1,0)-MATCH($C$1,[1]characters!$1:$1,0)+1),MATCH(E$1,[1]characters!$1:$1,0)-MATCH($C$1,[1]characters!$1:$1,0)+1,FALSE)</f>
        <v>5</v>
      </c>
      <c r="F24" s="53" t="str">
        <f ca="1">VLOOKUP($C24,OFFSET([1]characters!$A$1,0,0,COUNTA([1]characters!$A:$A),MATCH(F$1,[1]characters!$1:$1,0)-MATCH($C$1,[1]characters!$1:$1,0)+1),MATCH(F$1,[1]characters!$1:$1,0)-MATCH($C$1,[1]characters!$1:$1,0)+1,FALSE)</f>
        <v>DropWizSS</v>
      </c>
      <c r="G24" s="195">
        <v>1207</v>
      </c>
      <c r="H24" s="53" t="str">
        <f ca="1">VLOOKUP($G24,OFFSET([1]characters!$A$1,0,0,COUNTA([1]characters!$A:$A),MATCH(H$1,[1]characters!$1:$1,0)-MATCH($C$1,[1]characters!$1:$1,0)+1),MATCH(H$1,[1]characters!$1:$1,0)-MATCH($C$1,[1]characters!$1:$1,0)+1,FALSE)</f>
        <v>典麗なる悋気神 ヘラ</v>
      </c>
      <c r="I24" s="194">
        <v>837</v>
      </c>
      <c r="J24" s="53" t="str">
        <f ca="1">VLOOKUP($I24,OFFSET([1]characters!$A$1,0,0,COUNTA([1]characters!$A:$A),MATCH(J$1,[1]characters!$1:$1,0)-MATCH($C$1,[1]characters!$1:$1,0)+1),MATCH(J$1,[1]characters!$1:$1,0)-MATCH($C$1,[1]characters!$1:$1,0)+1,FALSE)</f>
        <v>リトルハンプティ</v>
      </c>
      <c r="K24" s="192">
        <v>1</v>
      </c>
      <c r="L24" s="192">
        <v>1</v>
      </c>
      <c r="M24" s="193">
        <v>1000</v>
      </c>
      <c r="N24" s="2" t="s">
        <v>291</v>
      </c>
    </row>
    <row r="25" spans="1:14" ht="21" customHeight="1" x14ac:dyDescent="0.15">
      <c r="A25" s="61" t="str">
        <f t="shared" ref="A25:A27" si="8">B25&amp;"_"&amp;I25</f>
        <v>1210_106</v>
      </c>
      <c r="B25" s="195">
        <v>1210</v>
      </c>
      <c r="C25" s="178">
        <f t="shared" ref="C25:C27" si="9">B25</f>
        <v>1210</v>
      </c>
      <c r="D25" s="53" t="str">
        <f ca="1">VLOOKUP($C25,OFFSET([1]characters!$A$1,0,0,COUNTA([1]characters!$A:$A),MATCH(D$1,[1]characters!$1:$1,0)-MATCH($C$1,[1]characters!$1:$1,0)+1),MATCH(D$1,[1]characters!$1:$1,0)-MATCH($C$1,[1]characters!$1:$1,0)+1,FALSE)</f>
        <v>ケンタウロス</v>
      </c>
      <c r="E25" s="53">
        <f ca="1">VLOOKUP($C25,OFFSET([1]characters!$A$1,0,0,COUNTA([1]characters!$A:$A),MATCH(E$1,[1]characters!$1:$1,0)-MATCH($C$1,[1]characters!$1:$1,0)+1),MATCH(E$1,[1]characters!$1:$1,0)-MATCH($C$1,[1]characters!$1:$1,0)+1,FALSE)</f>
        <v>4</v>
      </c>
      <c r="F25" s="53" t="str">
        <f ca="1">VLOOKUP($C25,OFFSET([1]characters!$A$1,0,0,COUNTA([1]characters!$A:$A),MATCH(F$1,[1]characters!$1:$1,0)-MATCH($C$1,[1]characters!$1:$1,0)+1),MATCH(F$1,[1]characters!$1:$1,0)-MATCH($C$1,[1]characters!$1:$1,0)+1,FALSE)</f>
        <v>PremiumS</v>
      </c>
      <c r="G25" s="195">
        <v>1211</v>
      </c>
      <c r="H25" s="53" t="str">
        <f ca="1">VLOOKUP($G25,OFFSET([1]characters!$A$1,0,0,COUNTA([1]characters!$A:$A),MATCH(H$1,[1]characters!$1:$1,0)-MATCH($C$1,[1]characters!$1:$1,0)+1),MATCH(H$1,[1]characters!$1:$1,0)-MATCH($C$1,[1]characters!$1:$1,0)+1,FALSE)</f>
        <v>奏駆の翻騎 ケンタウロス</v>
      </c>
      <c r="I25" s="194">
        <v>106</v>
      </c>
      <c r="J25" s="53" t="str">
        <f ca="1">VLOOKUP($I25,OFFSET([1]characters!$A$1,0,0,COUNTA([1]characters!$A:$A),MATCH(J$1,[1]characters!$1:$1,0)-MATCH($C$1,[1]characters!$1:$1,0)+1),MATCH(J$1,[1]characters!$1:$1,0)-MATCH($C$1,[1]characters!$1:$1,0)+1,FALSE)</f>
        <v>グリーンラビット</v>
      </c>
      <c r="K25" s="192">
        <v>1</v>
      </c>
      <c r="L25" s="192">
        <v>1</v>
      </c>
      <c r="M25" s="193">
        <v>10</v>
      </c>
      <c r="N25" s="2" t="s">
        <v>291</v>
      </c>
    </row>
    <row r="26" spans="1:14" ht="21" customHeight="1" x14ac:dyDescent="0.15">
      <c r="A26" s="61" t="str">
        <f t="shared" si="8"/>
        <v>1210_107</v>
      </c>
      <c r="B26" s="195">
        <v>1210</v>
      </c>
      <c r="C26" s="178">
        <f t="shared" si="9"/>
        <v>1210</v>
      </c>
      <c r="D26" s="53" t="str">
        <f ca="1">VLOOKUP($C26,OFFSET([1]characters!$A$1,0,0,COUNTA([1]characters!$A:$A),MATCH(D$1,[1]characters!$1:$1,0)-MATCH($C$1,[1]characters!$1:$1,0)+1),MATCH(D$1,[1]characters!$1:$1,0)-MATCH($C$1,[1]characters!$1:$1,0)+1,FALSE)</f>
        <v>ケンタウロス</v>
      </c>
      <c r="E26" s="53">
        <f ca="1">VLOOKUP($C26,OFFSET([1]characters!$A$1,0,0,COUNTA([1]characters!$A:$A),MATCH(E$1,[1]characters!$1:$1,0)-MATCH($C$1,[1]characters!$1:$1,0)+1),MATCH(E$1,[1]characters!$1:$1,0)-MATCH($C$1,[1]characters!$1:$1,0)+1,FALSE)</f>
        <v>4</v>
      </c>
      <c r="F26" s="53" t="str">
        <f ca="1">VLOOKUP($C26,OFFSET([1]characters!$A$1,0,0,COUNTA([1]characters!$A:$A),MATCH(F$1,[1]characters!$1:$1,0)-MATCH($C$1,[1]characters!$1:$1,0)+1),MATCH(F$1,[1]characters!$1:$1,0)-MATCH($C$1,[1]characters!$1:$1,0)+1,FALSE)</f>
        <v>PremiumS</v>
      </c>
      <c r="G26" s="195">
        <v>1211</v>
      </c>
      <c r="H26" s="53" t="str">
        <f ca="1">VLOOKUP($G26,OFFSET([1]characters!$A$1,0,0,COUNTA([1]characters!$A:$A),MATCH(H$1,[1]characters!$1:$1,0)-MATCH($C$1,[1]characters!$1:$1,0)+1),MATCH(H$1,[1]characters!$1:$1,0)-MATCH($C$1,[1]characters!$1:$1,0)+1,FALSE)</f>
        <v>奏駆の翻騎 ケンタウロス</v>
      </c>
      <c r="I26" s="194">
        <v>107</v>
      </c>
      <c r="J26" s="53" t="str">
        <f ca="1">VLOOKUP($I26,OFFSET([1]characters!$A$1,0,0,COUNTA([1]characters!$A:$A),MATCH(J$1,[1]characters!$1:$1,0)-MATCH($C$1,[1]characters!$1:$1,0)+1),MATCH(J$1,[1]characters!$1:$1,0)-MATCH($C$1,[1]characters!$1:$1,0)+1,FALSE)</f>
        <v>グリーンキャタップ</v>
      </c>
      <c r="K26" s="192">
        <v>2</v>
      </c>
      <c r="L26" s="192">
        <v>1</v>
      </c>
      <c r="M26" s="193">
        <v>10</v>
      </c>
      <c r="N26" s="2" t="s">
        <v>291</v>
      </c>
    </row>
    <row r="27" spans="1:14" ht="21" customHeight="1" x14ac:dyDescent="0.15">
      <c r="A27" s="61" t="str">
        <f t="shared" si="8"/>
        <v>1210_108</v>
      </c>
      <c r="B27" s="195">
        <v>1210</v>
      </c>
      <c r="C27" s="178">
        <f t="shared" si="9"/>
        <v>1210</v>
      </c>
      <c r="D27" s="53" t="str">
        <f ca="1">VLOOKUP($C27,OFFSET([1]characters!$A$1,0,0,COUNTA([1]characters!$A:$A),MATCH(D$1,[1]characters!$1:$1,0)-MATCH($C$1,[1]characters!$1:$1,0)+1),MATCH(D$1,[1]characters!$1:$1,0)-MATCH($C$1,[1]characters!$1:$1,0)+1,FALSE)</f>
        <v>ケンタウロス</v>
      </c>
      <c r="E27" s="53">
        <f ca="1">VLOOKUP($C27,OFFSET([1]characters!$A$1,0,0,COUNTA([1]characters!$A:$A),MATCH(E$1,[1]characters!$1:$1,0)-MATCH($C$1,[1]characters!$1:$1,0)+1),MATCH(E$1,[1]characters!$1:$1,0)-MATCH($C$1,[1]characters!$1:$1,0)+1,FALSE)</f>
        <v>4</v>
      </c>
      <c r="F27" s="53" t="str">
        <f ca="1">VLOOKUP($C27,OFFSET([1]characters!$A$1,0,0,COUNTA([1]characters!$A:$A),MATCH(F$1,[1]characters!$1:$1,0)-MATCH($C$1,[1]characters!$1:$1,0)+1),MATCH(F$1,[1]characters!$1:$1,0)-MATCH($C$1,[1]characters!$1:$1,0)+1,FALSE)</f>
        <v>PremiumS</v>
      </c>
      <c r="G27" s="195">
        <v>1211</v>
      </c>
      <c r="H27" s="53" t="str">
        <f ca="1">VLOOKUP($G27,OFFSET([1]characters!$A$1,0,0,COUNTA([1]characters!$A:$A),MATCH(H$1,[1]characters!$1:$1,0)-MATCH($C$1,[1]characters!$1:$1,0)+1),MATCH(H$1,[1]characters!$1:$1,0)-MATCH($C$1,[1]characters!$1:$1,0)+1,FALSE)</f>
        <v>奏駆の翻騎 ケンタウロス</v>
      </c>
      <c r="I27" s="194">
        <v>108</v>
      </c>
      <c r="J27" s="53" t="str">
        <f ca="1">VLOOKUP($I27,OFFSET([1]characters!$A$1,0,0,COUNTA([1]characters!$A:$A),MATCH(J$1,[1]characters!$1:$1,0)-MATCH($C$1,[1]characters!$1:$1,0)+1),MATCH(J$1,[1]characters!$1:$1,0)-MATCH($C$1,[1]characters!$1:$1,0)+1,FALSE)</f>
        <v>森のマッドハッター</v>
      </c>
      <c r="K27" s="192">
        <v>2</v>
      </c>
      <c r="L27" s="192">
        <v>1</v>
      </c>
      <c r="M27" s="193">
        <v>10</v>
      </c>
      <c r="N27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8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1213</v>
      </c>
      <c r="B2" s="172" t="str">
        <f>VLOOKUP(A2,[1]characters!$A:$C,3)</f>
        <v>能洪の永地神 クロノス</v>
      </c>
      <c r="C2" s="196">
        <v>1</v>
      </c>
      <c r="D2" s="196">
        <v>319</v>
      </c>
      <c r="E2" s="173" t="str">
        <f>IF(ISERROR(VLOOKUP(D2,[3]abilities!A:D,3,FALSE))=FALSE,VLOOKUP(D2,[3]abilities!A:D,3),IF(ISERROR(VLOOKUP(D2,abilities!A:D,3,FALSE))=FALSE,VLOOKUP(D2,abilities!A:D,3),"なし"))</f>
        <v>対Unknown ダメージUP</v>
      </c>
      <c r="F2" s="173" t="str">
        <f>IF(ISERROR(VLOOKUP(D2,[3]abilities!A:D,4,FALSE))=FALSE,VLOOKUP(D2,[3]abilities!A:D,4),IF(ISERROR(VLOOKUP(D2,abilities!A:D,4,FALSE))=FALSE,VLOOKUP(D2,abilities!A:D,4),"なし"))</f>
        <v>自身の攻撃対象が種族Unknownの場合全ての攻撃の威力をUP</v>
      </c>
      <c r="G2" s="174" t="s">
        <v>275</v>
      </c>
      <c r="H2" s="197" t="s">
        <v>320</v>
      </c>
    </row>
    <row r="3" spans="1:8" s="4" customFormat="1" ht="21" customHeight="1" x14ac:dyDescent="0.15">
      <c r="A3" s="169">
        <v>1213</v>
      </c>
      <c r="B3" s="172" t="str">
        <f>VLOOKUP(A3,[1]characters!$A:$C,3)</f>
        <v>能洪の永地神 クロノス</v>
      </c>
      <c r="C3" s="196">
        <v>2</v>
      </c>
      <c r="D3" s="196">
        <v>9008</v>
      </c>
      <c r="E3" s="173" t="str">
        <f>IF(ISERROR(VLOOKUP(D3,[3]abilities!A:D,3,FALSE))=FALSE,VLOOKUP(D3,[3]abilities!A:D,3),IF(ISERROR(VLOOKUP(D3,abilities!A:D,3,FALSE))=FALSE,VLOOKUP(D3,abilities!A:D,3),"なし"))</f>
        <v>フロイトチャレンジ ダメージUP</v>
      </c>
      <c r="F3" s="173" t="str">
        <f>IF(ISERROR(VLOOKUP(D3,[3]abilities!A:D,4,FALSE))=FALSE,VLOOKUP(D3,[3]abilities!A:D,4),IF(ISERROR(VLOOKUP(D3,abilities!A:D,4,FALSE))=FALSE,VLOOKUP(D3,abilities!A:D,4),"なし"))</f>
        <v>フロイトチャレンジ内で自身の全ての攻撃の威力をUP</v>
      </c>
      <c r="G3" s="174" t="s">
        <v>275</v>
      </c>
      <c r="H3" s="197" t="s">
        <v>320</v>
      </c>
    </row>
    <row r="4" spans="1:8" s="4" customFormat="1" ht="21" customHeight="1" x14ac:dyDescent="0.15">
      <c r="A4" s="169">
        <v>1209</v>
      </c>
      <c r="B4" s="172" t="str">
        <f>VLOOKUP(A4,[1]characters!$A:$C,3)</f>
        <v>刹那の過罰神 ネメシス</v>
      </c>
      <c r="C4" s="196">
        <v>1</v>
      </c>
      <c r="D4" s="196">
        <v>102</v>
      </c>
      <c r="E4" s="173" t="str">
        <f>IF(ISERROR(VLOOKUP(D4,[3]abilities!A:D,3,FALSE))=FALSE,VLOOKUP(D4,[3]abilities!A:D,3),IF(ISERROR(VLOOKUP(D4,abilities!A:D,3,FALSE))=FALSE,VLOOKUP(D4,abilities!A:D,3),"なし"))</f>
        <v>プロテクトブレイク</v>
      </c>
      <c r="F4" s="173" t="str">
        <f>IF(ISERROR(VLOOKUP(D4,[3]abilities!A:D,4,FALSE))=FALSE,VLOOKUP(D4,[3]abilities!A:D,4),IF(ISERROR(VLOOKUP(D4,abilities!A:D,4,FALSE))=FALSE,VLOOKUP(D4,abilities!A:D,4),"なし"))</f>
        <v>自身が先頭の時、プロテクトを無視してパネル破壊できる</v>
      </c>
      <c r="G4" s="174" t="s">
        <v>275</v>
      </c>
      <c r="H4" s="197" t="s">
        <v>321</v>
      </c>
    </row>
    <row r="5" spans="1:8" s="4" customFormat="1" ht="21" customHeight="1" x14ac:dyDescent="0.15">
      <c r="A5" s="169">
        <v>1203</v>
      </c>
      <c r="B5" s="172" t="str">
        <f>VLOOKUP(A5,[1]characters!$A:$C,3)</f>
        <v>掌星の原天神 ウラヌス</v>
      </c>
      <c r="C5" s="196">
        <v>1</v>
      </c>
      <c r="D5" s="196">
        <v>900</v>
      </c>
      <c r="E5" s="173" t="str">
        <f>IF(ISERROR(VLOOKUP(D5,[3]abilities!A:D,3,FALSE))=FALSE,VLOOKUP(D5,[3]abilities!A:D,3),IF(ISERROR(VLOOKUP(D5,abilities!A:D,3,FALSE))=FALSE,VLOOKUP(D5,abilities!A:D,3),"なし"))</f>
        <v>チェイン12 攻撃力UP</v>
      </c>
      <c r="F5" s="173" t="str">
        <f>IF(ISERROR(VLOOKUP(D5,[3]abilities!A:D,4,FALSE))=FALSE,VLOOKUP(D5,[3]abilities!A:D,4),IF(ISERROR(VLOOKUP(D5,abilities!A:D,4,FALSE))=FALSE,VLOOKUP(D5,abilities!A:D,4),"なし"))</f>
        <v>自身が先頭の時、1タップで12個以上パネルを繋げた場合に攻撃力UP(1ターンに1度だけ発動)</v>
      </c>
      <c r="G5" s="174" t="s">
        <v>275</v>
      </c>
      <c r="H5" s="197" t="s">
        <v>323</v>
      </c>
    </row>
    <row r="6" spans="1:8" s="4" customFormat="1" ht="21" customHeight="1" x14ac:dyDescent="0.15">
      <c r="A6" s="169">
        <v>1207</v>
      </c>
      <c r="B6" s="172" t="str">
        <f>VLOOKUP(A6,[1]characters!$A:$C,3)</f>
        <v>典麗なる悋気神 ヘラ</v>
      </c>
      <c r="C6" s="196">
        <v>1</v>
      </c>
      <c r="D6" s="196">
        <v>100</v>
      </c>
      <c r="E6" s="173" t="str">
        <f>IF(ISERROR(VLOOKUP(D6,[3]abilities!A:D,3,FALSE))=FALSE,VLOOKUP(D6,[3]abilities!A:D,3),IF(ISERROR(VLOOKUP(D6,abilities!A:D,3,FALSE))=FALSE,VLOOKUP(D6,abilities!A:D,3),"なし"))</f>
        <v>プロテクトブレイク</v>
      </c>
      <c r="F6" s="173" t="str">
        <f>IF(ISERROR(VLOOKUP(D6,[3]abilities!A:D,4,FALSE))=FALSE,VLOOKUP(D6,[3]abilities!A:D,4),IF(ISERROR(VLOOKUP(D6,abilities!A:D,4,FALSE))=FALSE,VLOOKUP(D6,abilities!A:D,4),"なし"))</f>
        <v>自身が先頭の時、プロテクトを無視してパネル破壊できる</v>
      </c>
      <c r="G6" s="174" t="s">
        <v>275</v>
      </c>
      <c r="H6" s="197" t="s">
        <v>320</v>
      </c>
    </row>
    <row r="7" spans="1:8" s="4" customFormat="1" ht="21" customHeight="1" x14ac:dyDescent="0.15">
      <c r="A7" s="169">
        <v>1207</v>
      </c>
      <c r="B7" s="172" t="str">
        <f>VLOOKUP(A7,[1]characters!$A:$C,3)</f>
        <v>典麗なる悋気神 ヘラ</v>
      </c>
      <c r="C7" s="196">
        <v>2</v>
      </c>
      <c r="D7" s="196">
        <v>900</v>
      </c>
      <c r="E7" s="173" t="str">
        <f>IF(ISERROR(VLOOKUP(D7,[3]abilities!A:D,3,FALSE))=FALSE,VLOOKUP(D7,[3]abilities!A:D,3),IF(ISERROR(VLOOKUP(D7,abilities!A:D,3,FALSE))=FALSE,VLOOKUP(D7,abilities!A:D,3),"なし"))</f>
        <v>チェイン12 攻撃力UP</v>
      </c>
      <c r="F7" s="173" t="str">
        <f>IF(ISERROR(VLOOKUP(D7,[3]abilities!A:D,4,FALSE))=FALSE,VLOOKUP(D7,[3]abilities!A:D,4),IF(ISERROR(VLOOKUP(D7,abilities!A:D,4,FALSE))=FALSE,VLOOKUP(D7,abilities!A:D,4),"なし"))</f>
        <v>自身が先頭の時、1タップで12個以上パネルを繋げた場合に攻撃力UP(1ターンに1度だけ発動)</v>
      </c>
      <c r="G7" s="174" t="s">
        <v>275</v>
      </c>
      <c r="H7" s="197" t="s">
        <v>330</v>
      </c>
    </row>
    <row r="8" spans="1:8" s="4" customFormat="1" ht="21" customHeight="1" x14ac:dyDescent="0.15">
      <c r="A8" s="169">
        <v>1211</v>
      </c>
      <c r="B8" s="172" t="str">
        <f>VLOOKUP(A8,[1]characters!$A:$C,3)</f>
        <v>奏駆の翻騎 ケンタウロス</v>
      </c>
      <c r="C8" s="196">
        <v>1</v>
      </c>
      <c r="D8" s="196">
        <v>9000</v>
      </c>
      <c r="E8" s="173" t="str">
        <f>IF(ISERROR(VLOOKUP(D8,[3]abilities!A:D,3,FALSE))=FALSE,VLOOKUP(D8,[3]abilities!A:D,3),IF(ISERROR(VLOOKUP(D8,abilities!A:D,3,FALSE))=FALSE,VLOOKUP(D8,abilities!A:D,3),"なし"))</f>
        <v>ハップルチャレンジ ダメージUP</v>
      </c>
      <c r="F8" s="173" t="str">
        <f>IF(ISERROR(VLOOKUP(D8,[3]abilities!A:D,4,FALSE))=FALSE,VLOOKUP(D8,[3]abilities!A:D,4),IF(ISERROR(VLOOKUP(D8,abilities!A:D,4,FALSE))=FALSE,VLOOKUP(D8,abilities!A:D,4),"なし"))</f>
        <v>ハップルチャレンジ内で自身の全ての攻撃の威力をUP</v>
      </c>
      <c r="G8" s="174" t="s">
        <v>275</v>
      </c>
      <c r="H8" s="197" t="s">
        <v>320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424</v>
      </c>
      <c r="B1" t="s">
        <v>425</v>
      </c>
    </row>
    <row r="2" spans="1:2" x14ac:dyDescent="0.15">
      <c r="A2" t="s">
        <v>426</v>
      </c>
      <c r="B2">
        <v>1</v>
      </c>
    </row>
    <row r="3" spans="1:2" x14ac:dyDescent="0.15">
      <c r="A3" t="s">
        <v>427</v>
      </c>
      <c r="B3">
        <v>1</v>
      </c>
    </row>
    <row r="4" spans="1:2" x14ac:dyDescent="0.15">
      <c r="A4" t="s">
        <v>428</v>
      </c>
      <c r="B4">
        <v>1</v>
      </c>
    </row>
    <row r="5" spans="1:2" x14ac:dyDescent="0.15">
      <c r="A5" t="s">
        <v>429</v>
      </c>
      <c r="B5">
        <v>1</v>
      </c>
    </row>
    <row r="6" spans="1:2" x14ac:dyDescent="0.15">
      <c r="A6" t="s">
        <v>430</v>
      </c>
      <c r="B6">
        <v>1</v>
      </c>
    </row>
    <row r="7" spans="1:2" x14ac:dyDescent="0.15">
      <c r="A7" t="s">
        <v>431</v>
      </c>
      <c r="B7">
        <v>1</v>
      </c>
    </row>
    <row r="8" spans="1:2" x14ac:dyDescent="0.15">
      <c r="A8" t="s">
        <v>432</v>
      </c>
      <c r="B8">
        <v>1</v>
      </c>
    </row>
    <row r="9" spans="1:2" x14ac:dyDescent="0.15">
      <c r="A9" t="s">
        <v>433</v>
      </c>
      <c r="B9">
        <v>1</v>
      </c>
    </row>
    <row r="10" spans="1:2" x14ac:dyDescent="0.15">
      <c r="A10" t="s">
        <v>434</v>
      </c>
      <c r="B10">
        <v>1</v>
      </c>
    </row>
    <row r="11" spans="1:2" x14ac:dyDescent="0.15">
      <c r="A11" t="s">
        <v>435</v>
      </c>
      <c r="B11">
        <v>1</v>
      </c>
    </row>
    <row r="12" spans="1:2" x14ac:dyDescent="0.15">
      <c r="A12" t="s">
        <v>436</v>
      </c>
      <c r="B12">
        <v>1</v>
      </c>
    </row>
    <row r="13" spans="1:2" x14ac:dyDescent="0.15">
      <c r="A13" t="s">
        <v>437</v>
      </c>
      <c r="B13">
        <v>0</v>
      </c>
    </row>
    <row r="14" spans="1:2" x14ac:dyDescent="0.15">
      <c r="A14" t="s">
        <v>438</v>
      </c>
      <c r="B14">
        <v>500</v>
      </c>
    </row>
    <row r="15" spans="1:2" x14ac:dyDescent="0.15">
      <c r="A15" t="s">
        <v>439</v>
      </c>
      <c r="B15">
        <v>600</v>
      </c>
    </row>
    <row r="16" spans="1:2" x14ac:dyDescent="0.15">
      <c r="A16" t="s">
        <v>440</v>
      </c>
      <c r="B16">
        <v>700</v>
      </c>
    </row>
    <row r="17" spans="1:2" x14ac:dyDescent="0.15">
      <c r="A17" t="s">
        <v>441</v>
      </c>
      <c r="B17">
        <v>5500</v>
      </c>
    </row>
    <row r="18" spans="1:2" x14ac:dyDescent="0.15">
      <c r="A18" t="s">
        <v>442</v>
      </c>
      <c r="B18">
        <v>6000</v>
      </c>
    </row>
    <row r="19" spans="1:2" x14ac:dyDescent="0.15">
      <c r="A19" t="s">
        <v>443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2017-06-06T08:43:59Z</dcterms:modified>
</cp:coreProperties>
</file>