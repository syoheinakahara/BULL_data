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460" windowWidth="38400" windowHeight="19680" tabRatio="827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stage_hints_failure!$B$1:$M$5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9" l="1"/>
  <c r="C10" i="21"/>
  <c r="D10" i="21"/>
  <c r="C11" i="21"/>
  <c r="D11" i="21"/>
  <c r="C12" i="21"/>
  <c r="D12" i="21"/>
  <c r="C6" i="21"/>
  <c r="D6" i="21"/>
  <c r="C7" i="21"/>
  <c r="D7" i="21"/>
  <c r="C8" i="21"/>
  <c r="D8" i="21"/>
  <c r="C2" i="21"/>
  <c r="D2" i="21"/>
  <c r="C3" i="21"/>
  <c r="D3" i="21"/>
  <c r="C4" i="21"/>
  <c r="D4" i="21"/>
  <c r="F10" i="21"/>
  <c r="G10" i="21"/>
  <c r="F11" i="21"/>
  <c r="G11" i="21"/>
  <c r="F12" i="21"/>
  <c r="G12" i="21"/>
  <c r="F6" i="21"/>
  <c r="G6" i="21"/>
  <c r="F7" i="21"/>
  <c r="G7" i="21"/>
  <c r="F8" i="21"/>
  <c r="G8" i="21"/>
  <c r="F2" i="21"/>
  <c r="G2" i="21"/>
  <c r="F3" i="21"/>
  <c r="G3" i="21"/>
  <c r="F4" i="21"/>
  <c r="G4" i="21"/>
  <c r="I6" i="21"/>
  <c r="J6" i="21"/>
  <c r="I7" i="21"/>
  <c r="J7" i="21"/>
  <c r="I8" i="21"/>
  <c r="J8" i="21"/>
  <c r="I9" i="21"/>
  <c r="J9" i="21"/>
  <c r="I10" i="21"/>
  <c r="J10" i="21"/>
  <c r="I11" i="21"/>
  <c r="J11" i="21"/>
  <c r="I12" i="21"/>
  <c r="J12" i="21"/>
  <c r="I2" i="21"/>
  <c r="J2" i="21"/>
  <c r="I3" i="21"/>
  <c r="J3" i="21"/>
  <c r="I4" i="21"/>
  <c r="J4" i="21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C9" i="21"/>
  <c r="D9" i="21"/>
  <c r="F9" i="21"/>
  <c r="G9" i="21"/>
  <c r="B13" i="21"/>
  <c r="C13" i="21"/>
  <c r="D13" i="21"/>
  <c r="F13" i="21"/>
  <c r="G13" i="21"/>
  <c r="I13" i="21"/>
  <c r="J13" i="21"/>
  <c r="J17" i="11"/>
  <c r="J16" i="11"/>
  <c r="J15" i="11"/>
  <c r="J14" i="11"/>
  <c r="A18" i="9"/>
  <c r="D18" i="9"/>
  <c r="E18" i="9"/>
  <c r="G18" i="9"/>
  <c r="H18" i="9"/>
  <c r="I18" i="9"/>
  <c r="J18" i="9"/>
  <c r="K18" i="9"/>
  <c r="L18" i="9"/>
  <c r="M18" i="9"/>
  <c r="N18" i="9"/>
  <c r="J10" i="11"/>
  <c r="O18" i="9"/>
  <c r="W6" i="7"/>
  <c r="W4" i="7"/>
  <c r="W2" i="7"/>
  <c r="J13" i="11"/>
  <c r="O27" i="9"/>
  <c r="N27" i="9"/>
  <c r="M27" i="9"/>
  <c r="L27" i="9"/>
  <c r="K27" i="9"/>
  <c r="J27" i="9"/>
  <c r="I27" i="9"/>
  <c r="H27" i="9"/>
  <c r="G27" i="9"/>
  <c r="E27" i="9"/>
  <c r="D27" i="9"/>
  <c r="A27" i="9"/>
  <c r="J3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J12" i="11"/>
  <c r="O24" i="9"/>
  <c r="N24" i="9"/>
  <c r="M24" i="9"/>
  <c r="L24" i="9"/>
  <c r="K24" i="9"/>
  <c r="J24" i="9"/>
  <c r="I24" i="9"/>
  <c r="H24" i="9"/>
  <c r="G24" i="9"/>
  <c r="E24" i="9"/>
  <c r="D24" i="9"/>
  <c r="A24" i="9"/>
  <c r="O14" i="9"/>
  <c r="N14" i="9"/>
  <c r="M14" i="9"/>
  <c r="L14" i="9"/>
  <c r="K14" i="9"/>
  <c r="J14" i="9"/>
  <c r="I14" i="9"/>
  <c r="H14" i="9"/>
  <c r="G14" i="9"/>
  <c r="E14" i="9"/>
  <c r="D14" i="9"/>
  <c r="A14" i="9"/>
  <c r="J6" i="11"/>
  <c r="O15" i="9"/>
  <c r="N15" i="9"/>
  <c r="M15" i="9"/>
  <c r="L15" i="9"/>
  <c r="K15" i="9"/>
  <c r="J15" i="9"/>
  <c r="I15" i="9"/>
  <c r="H15" i="9"/>
  <c r="G15" i="9"/>
  <c r="E15" i="9"/>
  <c r="D15" i="9"/>
  <c r="A15" i="9"/>
  <c r="J4" i="11"/>
  <c r="J5" i="11"/>
  <c r="J7" i="11"/>
  <c r="J8" i="11"/>
  <c r="J9" i="11"/>
  <c r="J11" i="11"/>
  <c r="D6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G3" i="10"/>
  <c r="H3" i="10"/>
  <c r="I3" i="10"/>
  <c r="J3" i="10"/>
  <c r="K3" i="10"/>
  <c r="L3" i="10"/>
  <c r="M3" i="10"/>
  <c r="M14" i="10"/>
  <c r="M25" i="10"/>
  <c r="N25" i="10"/>
  <c r="Q25" i="10"/>
  <c r="P25" i="10"/>
  <c r="R25" i="10"/>
  <c r="O25" i="10"/>
  <c r="S25" i="10"/>
  <c r="N14" i="10"/>
  <c r="Q14" i="10"/>
  <c r="P14" i="10"/>
  <c r="R14" i="10"/>
  <c r="O14" i="10"/>
  <c r="S14" i="10"/>
  <c r="N3" i="10"/>
  <c r="O3" i="10"/>
  <c r="P3" i="10"/>
  <c r="Q3" i="10"/>
  <c r="R3" i="10"/>
  <c r="S3" i="10"/>
  <c r="T3" i="10"/>
  <c r="U3" i="10"/>
  <c r="V3" i="10"/>
  <c r="W3" i="10"/>
  <c r="X3" i="10"/>
  <c r="Y3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Y7" i="7"/>
  <c r="W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7" i="7"/>
  <c r="I7" i="7"/>
  <c r="D7" i="7"/>
  <c r="F7" i="7"/>
  <c r="E7" i="7"/>
  <c r="A7" i="7"/>
  <c r="Y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R5" i="7"/>
  <c r="Q5" i="7"/>
  <c r="P5" i="7"/>
  <c r="O5" i="7"/>
  <c r="N5" i="7"/>
  <c r="H5" i="7"/>
  <c r="J5" i="7"/>
  <c r="I5" i="7"/>
  <c r="D5" i="7"/>
  <c r="F5" i="7"/>
  <c r="E5" i="7"/>
  <c r="A5" i="7"/>
  <c r="Y4" i="7"/>
  <c r="R4" i="7"/>
  <c r="Q4" i="7"/>
  <c r="P4" i="7"/>
  <c r="O4" i="7"/>
  <c r="N4" i="7"/>
  <c r="H4" i="7"/>
  <c r="J4" i="7"/>
  <c r="I4" i="7"/>
  <c r="D4" i="7"/>
  <c r="F4" i="7"/>
  <c r="E4" i="7"/>
  <c r="A4" i="7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E6" i="9"/>
  <c r="G6" i="9"/>
  <c r="H6" i="9"/>
  <c r="I6" i="9"/>
  <c r="J6" i="9"/>
  <c r="K6" i="9"/>
  <c r="L6" i="9"/>
  <c r="M6" i="9"/>
  <c r="N6" i="9"/>
  <c r="J2" i="11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Y3" i="7"/>
  <c r="W3" i="7"/>
  <c r="R3" i="7"/>
  <c r="Q3" i="7"/>
  <c r="P3" i="7"/>
  <c r="O3" i="7"/>
  <c r="N3" i="7"/>
  <c r="H3" i="7"/>
  <c r="J3" i="7"/>
  <c r="I3" i="7"/>
  <c r="D3" i="7"/>
  <c r="F3" i="7"/>
  <c r="E3" i="7"/>
  <c r="A3" i="7"/>
  <c r="A15" i="1"/>
  <c r="D15" i="1"/>
  <c r="E15" i="1"/>
  <c r="F15" i="1"/>
  <c r="H15" i="1"/>
  <c r="I15" i="1"/>
  <c r="J15" i="1"/>
  <c r="M15" i="1"/>
  <c r="N15" i="1"/>
  <c r="O15" i="1"/>
  <c r="P15" i="1"/>
  <c r="Q15" i="1"/>
  <c r="V15" i="1"/>
  <c r="AB15" i="1"/>
  <c r="AC15" i="1"/>
  <c r="AD15" i="1"/>
  <c r="AE15" i="1"/>
  <c r="AG15" i="1"/>
  <c r="A16" i="1"/>
  <c r="D16" i="1"/>
  <c r="E16" i="1"/>
  <c r="F16" i="1"/>
  <c r="H16" i="1"/>
  <c r="I16" i="1"/>
  <c r="J16" i="1"/>
  <c r="M16" i="1"/>
  <c r="N16" i="1"/>
  <c r="O16" i="1"/>
  <c r="P16" i="1"/>
  <c r="Q16" i="1"/>
  <c r="V16" i="1"/>
  <c r="AB16" i="1"/>
  <c r="AC16" i="1"/>
  <c r="AD16" i="1"/>
  <c r="AE16" i="1"/>
  <c r="AG16" i="1"/>
  <c r="AA17" i="1"/>
  <c r="A17" i="1"/>
  <c r="D17" i="1"/>
  <c r="E17" i="1"/>
  <c r="F17" i="1"/>
  <c r="H17" i="1"/>
  <c r="I17" i="1"/>
  <c r="J17" i="1"/>
  <c r="M17" i="1"/>
  <c r="N17" i="1"/>
  <c r="O17" i="1"/>
  <c r="P17" i="1"/>
  <c r="Q17" i="1"/>
  <c r="V17" i="1"/>
  <c r="AB17" i="1"/>
  <c r="AC17" i="1"/>
  <c r="AD17" i="1"/>
  <c r="AE17" i="1"/>
  <c r="AG17" i="1"/>
  <c r="A18" i="1"/>
  <c r="D18" i="1"/>
  <c r="E18" i="1"/>
  <c r="F18" i="1"/>
  <c r="H18" i="1"/>
  <c r="I18" i="1"/>
  <c r="J18" i="1"/>
  <c r="M18" i="1"/>
  <c r="N18" i="1"/>
  <c r="O18" i="1"/>
  <c r="P18" i="1"/>
  <c r="Q18" i="1"/>
  <c r="V18" i="1"/>
  <c r="AB18" i="1"/>
  <c r="AC18" i="1"/>
  <c r="AD18" i="1"/>
  <c r="AE18" i="1"/>
  <c r="AG18" i="1"/>
  <c r="AA19" i="1"/>
  <c r="A19" i="1"/>
  <c r="D19" i="1"/>
  <c r="E19" i="1"/>
  <c r="F19" i="1"/>
  <c r="H19" i="1"/>
  <c r="I19" i="1"/>
  <c r="J19" i="1"/>
  <c r="M19" i="1"/>
  <c r="N19" i="1"/>
  <c r="O19" i="1"/>
  <c r="P19" i="1"/>
  <c r="Q19" i="1"/>
  <c r="V19" i="1"/>
  <c r="AB19" i="1"/>
  <c r="AC19" i="1"/>
  <c r="AD19" i="1"/>
  <c r="AE19" i="1"/>
  <c r="AG19" i="1"/>
  <c r="A3" i="1"/>
  <c r="D3" i="1"/>
  <c r="E3" i="1"/>
  <c r="F3" i="1"/>
  <c r="H3" i="1"/>
  <c r="I3" i="1"/>
  <c r="J3" i="1"/>
  <c r="M3" i="1"/>
  <c r="N3" i="1"/>
  <c r="O3" i="1"/>
  <c r="P3" i="1"/>
  <c r="Q3" i="1"/>
  <c r="V3" i="1"/>
  <c r="AB3" i="1"/>
  <c r="AC3" i="1"/>
  <c r="AD3" i="1"/>
  <c r="AE3" i="1"/>
  <c r="AG3" i="1"/>
  <c r="AA4" i="1"/>
  <c r="A4" i="1"/>
  <c r="D4" i="1"/>
  <c r="E4" i="1"/>
  <c r="F4" i="1"/>
  <c r="H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A5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A7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9" i="1"/>
  <c r="D9" i="1"/>
  <c r="E9" i="1"/>
  <c r="F9" i="1"/>
  <c r="H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A10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A11" i="1"/>
  <c r="A11" i="1"/>
  <c r="D11" i="1"/>
  <c r="E11" i="1"/>
  <c r="F11" i="1"/>
  <c r="H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12" i="1"/>
  <c r="D12" i="1"/>
  <c r="E12" i="1"/>
  <c r="F12" i="1"/>
  <c r="H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A13" i="1"/>
  <c r="A13" i="1"/>
  <c r="D13" i="1"/>
  <c r="E13" i="1"/>
  <c r="F13" i="1"/>
  <c r="H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A14" i="1"/>
  <c r="D14" i="1"/>
  <c r="E14" i="1"/>
  <c r="F14" i="1"/>
  <c r="H14" i="1"/>
  <c r="I14" i="1"/>
  <c r="J14" i="1"/>
  <c r="M14" i="1"/>
  <c r="N14" i="1"/>
  <c r="O14" i="1"/>
  <c r="P14" i="1"/>
  <c r="Q14" i="1"/>
  <c r="V14" i="1"/>
  <c r="AB14" i="1"/>
  <c r="AC14" i="1"/>
  <c r="AD14" i="1"/>
  <c r="AE14" i="1"/>
  <c r="AG14" i="1"/>
  <c r="H2" i="1"/>
  <c r="B13" i="2"/>
  <c r="D13" i="2"/>
  <c r="E13" i="2"/>
  <c r="H13" i="2"/>
  <c r="B9" i="2"/>
  <c r="D9" i="2"/>
  <c r="E9" i="2"/>
  <c r="H9" i="2"/>
  <c r="B5" i="2"/>
  <c r="D5" i="2"/>
  <c r="E5" i="2"/>
  <c r="H5" i="2"/>
  <c r="B3" i="2"/>
  <c r="D3" i="2"/>
  <c r="E3" i="2"/>
  <c r="H3" i="2"/>
  <c r="B4" i="2"/>
  <c r="D4" i="2"/>
  <c r="E4" i="2"/>
  <c r="H4" i="2"/>
  <c r="B6" i="2"/>
  <c r="D6" i="2"/>
  <c r="E6" i="2"/>
  <c r="H6" i="2"/>
  <c r="B7" i="2"/>
  <c r="D7" i="2"/>
  <c r="E7" i="2"/>
  <c r="H7" i="2"/>
  <c r="B8" i="2"/>
  <c r="D8" i="2"/>
  <c r="E8" i="2"/>
  <c r="H8" i="2"/>
  <c r="B10" i="2"/>
  <c r="D10" i="2"/>
  <c r="E10" i="2"/>
  <c r="H10" i="2"/>
  <c r="B11" i="2"/>
  <c r="D11" i="2"/>
  <c r="E11" i="2"/>
  <c r="H11" i="2"/>
  <c r="B12" i="2"/>
  <c r="D12" i="2"/>
  <c r="E12" i="2"/>
  <c r="H12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I5" i="21"/>
  <c r="J5" i="21"/>
  <c r="G5" i="21"/>
  <c r="F5" i="21"/>
  <c r="D5" i="21"/>
  <c r="C5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E2" i="9"/>
  <c r="D2" i="9"/>
  <c r="Y2" i="7"/>
  <c r="C4" i="16"/>
  <c r="C5" i="16"/>
  <c r="C6" i="16"/>
  <c r="C7" i="16"/>
  <c r="C8" i="16"/>
  <c r="C9" i="16"/>
  <c r="C3" i="16"/>
  <c r="E9" i="16"/>
  <c r="V2" i="1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<sst xmlns="http://schemas.openxmlformats.org/spreadsheetml/2006/main" count="987" uniqueCount="348">
  <si>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</si>
  <si>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</si>
  <si>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</si>
  <si>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</si>
  <si>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</si>
  <si>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</si>
  <si>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</si>
  <si>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</si>
  <si>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</si>
  <si>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</si>
  <si>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</si>
  <si>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</si>
  <si>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</si>
  <si>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</si>
  <si>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</si>
  <si>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</si>
  <si>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</si>
  <si>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</si>
  <si>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</si>
  <si>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</si>
  <si>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</si>
  <si>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</si>
  <si>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</si>
  <si>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</si>
  <si>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</si>
  <si>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</si>
  <si>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</si>
  <si>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</si>
  <si>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</si>
  <si>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</si>
  <si>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</si>
  <si>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</si>
  <si>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</si>
  <si>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</si>
  <si>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</si>
  <si>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</si>
  <si>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</si>
  <si>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</si>
  <si>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</si>
  <si>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</si>
  <si>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</si>
  <si>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</si>
  <si>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</si>
  <si>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</si>
  <si>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</si>
  <si>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</si>
  <si>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</si>
  <si>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</si>
  <si>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</si>
  <si>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</si>
  <si>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</si>
  <si>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</si>
  <si>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</si>
  <si>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</si>
  <si>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</si>
  <si>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</si>
  <si>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</si>
  <si>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</si>
  <si>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</si>
  <si>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</si>
  <si>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</si>
  <si>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</si>
  <si>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</si>
  <si>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</si>
  <si>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</si>
  <si>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</si>
  <si>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</si>
  <si>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</si>
  <si>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</si>
  <si>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</si>
  <si>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</si>
  <si>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</si>
  <si>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</si>
  <si>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</si>
  <si>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</si>
  <si>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</si>
  <si>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</si>
  <si>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</si>
  <si>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</si>
  <si>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</si>
  <si>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</si>
  <si>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</si>
  <si>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</si>
  <si>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</si>
  <si>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</si>
  <si>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</si>
  <si>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</si>
  <si>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</si>
  <si>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</si>
  <si>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</si>
  <si>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</si>
  <si>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</si>
  <si>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</si>
  <si>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</si>
  <si>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</si>
  <si>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</si>
  <si>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</si>
  <si>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</si>
  <si>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</si>
  <si>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</si>
  <si>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</si>
  <si>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</si>
  <si>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</si>
  <si>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</si>
  <si>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</si>
  <si>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</si>
  <si>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</si>
  <si>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</si>
  <si>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</si>
  <si>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</si>
  <si>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</si>
  <si>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</si>
  <si>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</si>
  <si>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</si>
  <si>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</si>
  <si>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</si>
  <si>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</si>
  <si>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</si>
  <si>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</si>
  <si>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</si>
  <si>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</si>
  <si>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</si>
  <si>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</si>
  <si>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</si>
  <si>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</si>
  <si>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</si>
  <si>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</si>
  <si>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</si>
  <si>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</si>
  <si>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</si>
  <si>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</si>
  <si>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</si>
  <si>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</si>
  <si>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</si>
  <si>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</si>
  <si>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</si>
  <si>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</si>
  <si>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</si>
  <si>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</si>
  <si>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</si>
  <si>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</si>
  <si>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</si>
  <si>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</si>
  <si>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</si>
  <si>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</si>
  <si>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</si>
  <si>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</si>
  <si>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</si>
  <si>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</si>
  <si>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</si>
  <si>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</si>
  <si>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</si>
  <si>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</si>
  <si>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</si>
  <si>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</si>
  <si>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</si>
  <si>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</si>
  <si>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</si>
  <si>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</si>
  <si>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</si>
  <si>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</si>
  <si>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</si>
  <si>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</si>
  <si>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</si>
  <si>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</si>
  <si>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</si>
  <si>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</si>
  <si>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</si>
  <si>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</si>
  <si>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</si>
  <si>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</si>
  <si>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</si>
  <si>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</si>
  <si>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</si>
  <si>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</si>
  <si>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</si>
  <si>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</si>
  <si>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</si>
  <si>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</si>
  <si>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</si>
  <si>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</si>
  <si>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</si>
  <si>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</si>
  <si>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</si>
  <si>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</si>
  <si>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</si>
  <si>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</si>
  <si>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</si>
  <si>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</si>
  <si>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</si>
  <si>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</si>
  <si>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</si>
  <si>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</si>
  <si>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</si>
  <si>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</si>
  <si>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</si>
  <si>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</si>
  <si>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</si>
  <si>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</si>
  <si>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</si>
  <si>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</si>
  <si>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</si>
  <si>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</si>
  <si>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</si>
  <si>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</si>
  <si>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</si>
  <si>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</si>
  <si>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</si>
  <si>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小原</t>
    <rPh sb="0" eb="2">
      <t>オバラ</t>
    </rPh>
    <phoneticPr fontId="5"/>
  </si>
  <si>
    <t>[effect:change_panel_ratio, turn:5, block_type:blue, val:0.1, animation:block_incidence04]</t>
    <phoneticPr fontId="5"/>
  </si>
  <si>
    <t>１Fヒュウガ 開幕</t>
    <rPh sb="7" eb="9">
      <t>カイマク</t>
    </rPh>
    <phoneticPr fontId="5"/>
  </si>
  <si>
    <t xml:space="preserve">[effect:damage_anti_tribe, target:unit_one, tribe:unknown, val1:0.6, val2:0.2]    </t>
    <phoneticPr fontId="5"/>
  </si>
  <si>
    <t>１Fヒュウガ ギミック予告</t>
    <rPh sb="11" eb="13">
      <t>ヨコク</t>
    </rPh>
    <phoneticPr fontId="5"/>
  </si>
  <si>
    <t>１Fヒュウガ ギミック使用</t>
    <rPh sb="11" eb="13">
      <t>シヨウ</t>
    </rPh>
    <phoneticPr fontId="5"/>
  </si>
  <si>
    <t>１Fヒュウガ 色変換+攻撃</t>
    <rPh sb="7" eb="8">
      <t>イロ</t>
    </rPh>
    <rPh sb="8" eb="10">
      <t>ヘンカン</t>
    </rPh>
    <rPh sb="11" eb="13">
      <t>コウゲキ</t>
    </rPh>
    <phoneticPr fontId="5"/>
  </si>
  <si>
    <t>全体攻撃</t>
    <rPh sb="0" eb="4">
      <t>ゼンタイコウゲキ</t>
    </rPh>
    <phoneticPr fontId="5"/>
  </si>
  <si>
    <t>２Fファフニール２B</t>
    <phoneticPr fontId="5"/>
  </si>
  <si>
    <t>2Fファフニール２A開幕</t>
    <rPh sb="10" eb="12">
      <t>カイマク</t>
    </rPh>
    <phoneticPr fontId="5"/>
  </si>
  <si>
    <t>２Fファフニール２C</t>
    <phoneticPr fontId="5"/>
  </si>
  <si>
    <t>２Fファフニール２D</t>
    <phoneticPr fontId="5"/>
  </si>
  <si>
    <t>３Fヴェロキー</t>
    <phoneticPr fontId="5"/>
  </si>
  <si>
    <t>３Fヒュウガ</t>
    <phoneticPr fontId="5"/>
  </si>
  <si>
    <t>３F共通</t>
    <rPh sb="2" eb="4">
      <t>キョウツウ</t>
    </rPh>
    <phoneticPr fontId="5"/>
  </si>
  <si>
    <t>４Fサラマンダー1A</t>
    <phoneticPr fontId="5"/>
  </si>
  <si>
    <t>４Fサラマンダー1B</t>
    <phoneticPr fontId="5"/>
  </si>
  <si>
    <t>４Fサラマンダー1C</t>
    <phoneticPr fontId="5"/>
  </si>
  <si>
    <t>４Fサラマンダー1D</t>
    <phoneticPr fontId="5"/>
  </si>
  <si>
    <t>４Fサラマンダー2B</t>
    <phoneticPr fontId="5"/>
  </si>
  <si>
    <t>４Fサラマンダー2C</t>
    <phoneticPr fontId="5"/>
  </si>
  <si>
    <t>４Fサラマンダー2D</t>
    <phoneticPr fontId="5"/>
  </si>
  <si>
    <t>４Fサラマンダー2A超級</t>
    <rPh sb="10" eb="12">
      <t>チョウキュウ</t>
    </rPh>
    <phoneticPr fontId="5"/>
  </si>
  <si>
    <t>４Fサラマンダー2A</t>
    <phoneticPr fontId="5"/>
  </si>
  <si>
    <t>４Fサラマンダー2E</t>
    <phoneticPr fontId="5"/>
  </si>
  <si>
    <t>[effect:damage_anti_color, target:unit_one, color:green, val1:0.7, val2:0.3]</t>
  </si>
  <si>
    <t>old</t>
  </si>
  <si>
    <t>[effect:heal, target:enemy_one, val:0.08, animation:enemy_heal]</t>
    <phoneticPr fontId="5"/>
  </si>
  <si>
    <t>２Fファフニール１A開幕</t>
    <rPh sb="10" eb="12">
      <t>カイマク</t>
    </rPh>
    <phoneticPr fontId="5"/>
  </si>
  <si>
    <t>２Fファフニール1B</t>
    <phoneticPr fontId="5"/>
  </si>
  <si>
    <t>２Fファフニール1C</t>
    <phoneticPr fontId="5"/>
  </si>
  <si>
    <t xml:space="preserve">[effect:freq_turn, target:myself, turn:-1, val:1, animation:enemy_freq_turn]    </t>
    <phoneticPr fontId="5"/>
  </si>
  <si>
    <t xml:space="preserve">[effect:spread, val:0.3]    </t>
    <phoneticPr fontId="5"/>
  </si>
  <si>
    <t xml:space="preserve">[effect:dis_panel, target:block_yellow, turn:3, animation:enemy_dis_yellow]    </t>
    <phoneticPr fontId="5"/>
  </si>
  <si>
    <t xml:space="preserve">[effect:crash_growth, count:-1, val:-3, animation:change_block]    </t>
    <phoneticPr fontId="5"/>
  </si>
  <si>
    <t>[effect:critical, val:1.5]</t>
    <phoneticPr fontId="5"/>
  </si>
  <si>
    <t>null</t>
    <phoneticPr fontId="5"/>
  </si>
  <si>
    <t>４Fサラマンダー超級２A開幕</t>
    <rPh sb="8" eb="10">
      <t>チョウキュウ</t>
    </rPh>
    <rPh sb="12" eb="14">
      <t>カイマク</t>
    </rPh>
    <phoneticPr fontId="5"/>
  </si>
  <si>
    <t>４Fサラマンダー中上級２A開幕</t>
    <rPh sb="8" eb="9">
      <t>tyuuji</t>
    </rPh>
    <rPh sb="9" eb="10">
      <t>ジョウ</t>
    </rPh>
    <rPh sb="10" eb="11">
      <t>チョウキュウ</t>
    </rPh>
    <rPh sb="13" eb="15">
      <t>カイマク</t>
    </rPh>
    <phoneticPr fontId="5"/>
  </si>
  <si>
    <t>４Fサラマンダー２B</t>
    <phoneticPr fontId="5"/>
  </si>
  <si>
    <t>４Fサラマンダー2C</t>
    <phoneticPr fontId="5"/>
  </si>
  <si>
    <t>４Fサラマンダー1A開幕</t>
    <rPh sb="10" eb="12">
      <t>カイマク</t>
    </rPh>
    <phoneticPr fontId="5"/>
  </si>
  <si>
    <t>[effect:rush, count:1, val:0.4],[effect:freq_turn, target:myself, turn:-1, val:1, animation:enemy_freq_turn]</t>
    <phoneticPr fontId="5"/>
  </si>
  <si>
    <t>3Fサンダーバード</t>
    <phoneticPr fontId="5"/>
  </si>
  <si>
    <t>[effect:virus, turn:5, rate:1, val:0.1, animation:enemy_virus]</t>
    <phoneticPr fontId="5"/>
  </si>
  <si>
    <t xml:space="preserve">[effect:break_enchance_enemy, val:0.1, lowest_val:0, count :-1, status:attack, turn:-1, block:block_red, target:myself, calc:mul, animation:enemy_enhance_attack]    </t>
    <phoneticPr fontId="5"/>
  </si>
  <si>
    <t>フレイムブレス</t>
    <phoneticPr fontId="5"/>
  </si>
  <si>
    <t>フレイムスキン</t>
    <phoneticPr fontId="5"/>
  </si>
  <si>
    <t>全体攻撃＆緑パネル１０個を赤パネルに変換</t>
    <rPh sb="0" eb="2">
      <t>ゼンタイ</t>
    </rPh>
    <rPh sb="2" eb="4">
      <t>コウゲキ</t>
    </rPh>
    <rPh sb="5" eb="6">
      <t>ミドリ</t>
    </rPh>
    <rPh sb="11" eb="12">
      <t>コ</t>
    </rPh>
    <rPh sb="13" eb="14">
      <t>アカ</t>
    </rPh>
    <rPh sb="18" eb="20">
      <t>ヘンカン</t>
    </rPh>
    <phoneticPr fontId="5"/>
  </si>
  <si>
    <t xml:space="preserve">[effect:freq_turn, target:myself, turn:-1, val:1, animation:enemy_freq_turn]    </t>
    <phoneticPr fontId="5"/>
  </si>
  <si>
    <t xml:space="preserve">[effect:crash_growth, count:-1, val:-3, animation:change_block], [effect:rush, count:1, val:1.2]    </t>
    <phoneticPr fontId="5"/>
  </si>
  <si>
    <t>[effect:remove_enhancement, target:unit_all, target_effect:all, target_type:all, animation:frozen_wave],[effect:spread, val:0.4]</t>
    <phoneticPr fontId="5"/>
  </si>
  <si>
    <t>[effect:break_enchance_enemy, val:0.08, lowest_val:0.08, count :-1, status:attack, turn:1, block:block_yellow, target:myself, calc:mul, animation:enemy_enhance_attack],[effect:freq_turn, target:myself, turn:2, val:1, animation:enemy_freq_turn]</t>
    <phoneticPr fontId="5"/>
  </si>
  <si>
    <t>[effect:remove_enhancement, target:unit_all, target_effect:enhance, target_type:buff, status:defense, animation:frozen_wave],[effect:spread, val:0.12],[effect:spread, val:0.14]</t>
    <phoneticPr fontId="5"/>
  </si>
  <si>
    <t xml:space="preserve">[effect:rush, count:2, val:0.4]    </t>
    <phoneticPr fontId="5"/>
  </si>
  <si>
    <t>[effect:change_block, new_block:block_red, target:block_green, count:3, val:0, min_time_count:2, max_time_count:2, no_effect_msg:no_effect_msg_change_block, animation:change_block],[effect:rush, count:1, val:0.4]</t>
    <phoneticPr fontId="5"/>
  </si>
  <si>
    <t>種族Unknownのユニットに大ダメージ</t>
    <phoneticPr fontId="5"/>
  </si>
  <si>
    <t>緑属性のユニットに大ダメージ</t>
    <phoneticPr fontId="5"/>
  </si>
  <si>
    <t>2回連続攻撃</t>
    <phoneticPr fontId="5"/>
  </si>
  <si>
    <t xml:space="preserve">[effect:change_block, new_block:block_yellow, target:block_blue, count:3, val:0, min_time_count:2, max_time_count:2, no_effect_msg:no_effect_msg_change_block, animation:change_block]    </t>
    <phoneticPr fontId="5"/>
  </si>
  <si>
    <t>5ターンの間青パネルの出現率小DOWN</t>
    <phoneticPr fontId="5"/>
  </si>
  <si>
    <t>咆哮</t>
    <rPh sb="0" eb="2">
      <t>ホウコウ</t>
    </rPh>
    <phoneticPr fontId="5"/>
  </si>
  <si>
    <t>逃がさんぞッ！！</t>
    <rPh sb="0" eb="1">
      <t>ニ</t>
    </rPh>
    <phoneticPr fontId="5"/>
  </si>
  <si>
    <t>ヒート・アトモスフィア</t>
    <phoneticPr fontId="5"/>
  </si>
  <si>
    <t>バーニング・ブリーズ</t>
    <phoneticPr fontId="5"/>
  </si>
  <si>
    <t xml:space="preserve">[effect:suicide, val:1, dead_type:escape, target:myself]    </t>
    <phoneticPr fontId="5"/>
  </si>
  <si>
    <t>出現しているCパネルが大幅に縮小</t>
    <rPh sb="11" eb="12">
      <t>オオ</t>
    </rPh>
    <rPh sb="12" eb="13">
      <t>ハバ</t>
    </rPh>
    <rPh sb="14" eb="16">
      <t>シュクショウ</t>
    </rPh>
    <phoneticPr fontId="5"/>
  </si>
  <si>
    <t>トキシックブレス</t>
    <phoneticPr fontId="5"/>
  </si>
  <si>
    <t>漏洩する強欲</t>
    <phoneticPr fontId="5"/>
  </si>
  <si>
    <t>暴走する強欲</t>
    <rPh sb="0" eb="2">
      <t>ボウソウ</t>
    </rPh>
    <rPh sb="4" eb="6">
      <t>ゴウヨク</t>
    </rPh>
    <phoneticPr fontId="5"/>
  </si>
  <si>
    <t>お宝独り占め</t>
    <rPh sb="1" eb="2">
      <t>タカラ</t>
    </rPh>
    <rPh sb="2" eb="3">
      <t>ヒト</t>
    </rPh>
    <rPh sb="4" eb="5">
      <t>ジ</t>
    </rPh>
    <phoneticPr fontId="5"/>
  </si>
  <si>
    <t>爆炎天国</t>
    <rPh sb="0" eb="2">
      <t>bakueン</t>
    </rPh>
    <rPh sb="2" eb="4">
      <t>テンゴク</t>
    </rPh>
    <phoneticPr fontId="5"/>
  </si>
  <si>
    <t>大咆哮</t>
    <rPh sb="0" eb="1">
      <t>dai</t>
    </rPh>
    <rPh sb="1" eb="3">
      <t>ホウコウ</t>
    </rPh>
    <phoneticPr fontId="5"/>
  </si>
  <si>
    <t>灼熱衝撃波</t>
    <rPh sb="0" eb="2">
      <t>シャクネツ</t>
    </rPh>
    <rPh sb="2" eb="5">
      <t>syougekiha</t>
    </rPh>
    <phoneticPr fontId="5"/>
  </si>
  <si>
    <t>鋭い爪の一撃</t>
    <rPh sb="0" eb="1">
      <t>スルド</t>
    </rPh>
    <rPh sb="2" eb="3">
      <t>ツメ</t>
    </rPh>
    <rPh sb="4" eb="6">
      <t>イチゲキ</t>
    </rPh>
    <phoneticPr fontId="5"/>
  </si>
  <si>
    <t>デュアルバーン</t>
    <phoneticPr fontId="5"/>
  </si>
  <si>
    <t>リトルファイア</t>
    <phoneticPr fontId="5"/>
  </si>
  <si>
    <t>伝播する妄執</t>
    <rPh sb="0" eb="2">
      <t>deンンpa</t>
    </rPh>
    <rPh sb="4" eb="6">
      <t>モウシュウ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</si>
  <si>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</si>
  <si>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</si>
  <si>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</si>
  <si>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</si>
  <si>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</si>
  <si>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</si>
  <si>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</si>
  <si>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</si>
  <si>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</si>
  <si>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</si>
  <si>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</si>
  <si>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</si>
  <si>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</si>
  <si>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</si>
  <si>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definite_end_date</t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</si>
  <si>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</si>
  <si>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</si>
  <si>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</si>
  <si>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</si>
  <si>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</si>
  <si>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</si>
  <si>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</si>
  <si>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</si>
  <si>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null</t>
    <phoneticPr fontId="5"/>
  </si>
  <si>
    <t>link</t>
    <phoneticPr fontId="5"/>
  </si>
  <si>
    <t>一体ずつ的確に攻撃を加えましょう</t>
    <rPh sb="0" eb="2">
      <t>イッタイ</t>
    </rPh>
    <rPh sb="4" eb="6">
      <t>テキカク</t>
    </rPh>
    <rPh sb="7" eb="9">
      <t>コウゲキ</t>
    </rPh>
    <rPh sb="10" eb="11">
      <t>クワ</t>
    </rPh>
    <phoneticPr fontId="5"/>
  </si>
  <si>
    <t>攻撃＋最大３個の緑パネルが赤パネルに変化</t>
    <phoneticPr fontId="5"/>
  </si>
  <si>
    <t>5ターンダメージを受けるウィルス</t>
    <phoneticPr fontId="5"/>
  </si>
  <si>
    <t>防御力UPバフ解除＋2回全体攻撃</t>
    <phoneticPr fontId="5"/>
  </si>
  <si>
    <t>最大３個の青パネルが黄パネルに変換</t>
    <phoneticPr fontId="5"/>
  </si>
  <si>
    <t>出現しているCパネルが大幅に縮小</t>
    <phoneticPr fontId="5"/>
  </si>
  <si>
    <t>攻撃頻度が1ターンにUP</t>
    <phoneticPr fontId="5"/>
  </si>
  <si>
    <t>攻撃頻度が1ターンにUP</t>
    <phoneticPr fontId="5"/>
  </si>
  <si>
    <t>炎よ我が力となれ！！</t>
    <rPh sb="0" eb="1">
      <t>ホノオ</t>
    </rPh>
    <rPh sb="2" eb="3">
      <t>ワ</t>
    </rPh>
    <rPh sb="4" eb="5">
      <t>チカラ</t>
    </rPh>
    <phoneticPr fontId="5"/>
  </si>
  <si>
    <t>オレの宝に触るな！</t>
    <rPh sb="3" eb="4">
      <t>タカラ</t>
    </rPh>
    <rPh sb="5" eb="6">
      <t>サワ</t>
    </rPh>
    <phoneticPr fontId="5"/>
  </si>
  <si>
    <t>癒しの宝玉</t>
    <rPh sb="0" eb="1">
      <t>イヤ</t>
    </rPh>
    <rPh sb="3" eb="5">
      <t>ホウギョク</t>
    </rPh>
    <phoneticPr fontId="5"/>
  </si>
  <si>
    <t>3ターン黄パネルが使えない！</t>
    <phoneticPr fontId="5"/>
  </si>
  <si>
    <t>回復</t>
    <rPh sb="0" eb="2">
      <t>カイフク</t>
    </rPh>
    <phoneticPr fontId="5"/>
  </si>
  <si>
    <t>逃げていった…</t>
    <rPh sb="0" eb="1">
      <t>ニ</t>
    </rPh>
    <phoneticPr fontId="5"/>
  </si>
  <si>
    <t>次のターン赤パネル吸収で攻撃力UP
＋攻撃頻度が1ターンにUP</t>
  </si>
  <si>
    <t>吸収した赤パネルが多いほど攻撃力UP</t>
    <rPh sb="0" eb="2">
      <t>キュウシュウ</t>
    </rPh>
    <rPh sb="4" eb="5">
      <t>アカ</t>
    </rPh>
    <rPh sb="9" eb="10">
      <t>オオ</t>
    </rPh>
    <rPh sb="13" eb="16">
      <t>コウゲキリョク</t>
    </rPh>
    <phoneticPr fontId="5"/>
  </si>
  <si>
    <t>黄パネルを吸収して１ターン攻撃力UP
＋２ターンの間攻撃頻度が１ターンにUP</t>
    <rPh sb="0" eb="1">
      <t>キイロ</t>
    </rPh>
    <rPh sb="5" eb="7">
      <t>キュウシュウ</t>
    </rPh>
    <rPh sb="13" eb="15">
      <t>コウゲキ</t>
    </rPh>
    <rPh sb="15" eb="16">
      <t>チカラ</t>
    </rPh>
    <rPh sb="25" eb="26">
      <t>アイダ</t>
    </rPh>
    <rPh sb="26" eb="30">
      <t>コウゲキヒンド</t>
    </rPh>
    <phoneticPr fontId="5"/>
  </si>
  <si>
    <t>攻撃力UP&amp;次のターン強力な攻撃</t>
    <rPh sb="0" eb="3">
      <t>コウゲキリョク</t>
    </rPh>
    <phoneticPr fontId="5"/>
  </si>
  <si>
    <t>雷エネルギー吸収</t>
    <rPh sb="0" eb="1">
      <t>カミナリ</t>
    </rPh>
    <rPh sb="6" eb="8">
      <t>キュウシュウ</t>
    </rPh>
    <phoneticPr fontId="5"/>
  </si>
  <si>
    <t>エスケープ</t>
    <phoneticPr fontId="5"/>
  </si>
  <si>
    <t>……（大きく息を吸った！）</t>
    <rPh sb="3" eb="4">
      <t>オオ</t>
    </rPh>
    <rPh sb="6" eb="7">
      <t>イキ</t>
    </rPh>
    <rPh sb="8" eb="9">
      <t>ス</t>
    </rPh>
    <phoneticPr fontId="5"/>
  </si>
  <si>
    <t>熱暴走</t>
    <rPh sb="0" eb="3">
      <t>ンetubousou</t>
    </rPh>
    <phoneticPr fontId="5"/>
  </si>
  <si>
    <t>スパーク</t>
    <phoneticPr fontId="5"/>
  </si>
  <si>
    <t>クリティカル！</t>
    <phoneticPr fontId="5"/>
  </si>
  <si>
    <t>３Fサンダーバード</t>
    <phoneticPr fontId="5"/>
  </si>
  <si>
    <t xml:space="preserve">[effect:change_block, new_block:block_red, target:block_green, count:0, val:0, no_effect_msg:no_effect_msg_change_block, animation:change_block],[effect:change_block, new_block:time_bomb, target:block_heart, count:5, val:0.2, min_time_count:2, max_time_count:4, no_effect_msg:no_effect_msg_change_block, animation:change_block] </t>
    <phoneticPr fontId="5"/>
  </si>
  <si>
    <t>４Fサラマンダー2D</t>
    <phoneticPr fontId="5"/>
  </si>
  <si>
    <t>ヒュウガは赤パネルを吸収すると
数に応じて攻撃力が上昇します
タイミング良く赤パネルを減らしましょう</t>
    <rPh sb="5" eb="6">
      <t>アカ</t>
    </rPh>
    <rPh sb="10" eb="12">
      <t>キュウシュウ</t>
    </rPh>
    <rPh sb="16" eb="17">
      <t>カズ</t>
    </rPh>
    <rPh sb="18" eb="19">
      <t>オウ</t>
    </rPh>
    <rPh sb="21" eb="24">
      <t>コウゲキリョク</t>
    </rPh>
    <rPh sb="25" eb="27">
      <t>ジョウショウ</t>
    </rPh>
    <rPh sb="37" eb="38">
      <t>ヨ</t>
    </rPh>
    <rPh sb="39" eb="40">
      <t>アカ</t>
    </rPh>
    <rPh sb="44" eb="45">
      <t>ヘ</t>
    </rPh>
    <phoneticPr fontId="5"/>
  </si>
  <si>
    <t>ファフニールは強力な全体攻撃を
使用してきます
こちらも攻撃を集中して
短期決戦に持ち込みましょう</t>
    <rPh sb="7" eb="9">
      <t>キョウリョク</t>
    </rPh>
    <rPh sb="10" eb="12">
      <t>ゼンタイ</t>
    </rPh>
    <rPh sb="12" eb="14">
      <t>コウゲキ</t>
    </rPh>
    <rPh sb="16" eb="18">
      <t>シヨウ</t>
    </rPh>
    <rPh sb="29" eb="31">
      <t>コウゲキ</t>
    </rPh>
    <rPh sb="32" eb="34">
      <t>シュウチュウ</t>
    </rPh>
    <rPh sb="37" eb="39">
      <t>タンキケッ</t>
    </rPh>
    <rPh sb="39" eb="41">
      <t>ケッセン</t>
    </rPh>
    <rPh sb="42" eb="43">
      <t>モ</t>
    </rPh>
    <rPh sb="44" eb="45">
      <t>コ</t>
    </rPh>
    <phoneticPr fontId="5"/>
  </si>
  <si>
    <t>赤・緑・黄の攻撃スキルダメージを半減
＆青属性以外のユニットに大ダメージ</t>
    <phoneticPr fontId="5"/>
  </si>
  <si>
    <t>緑パネルを赤パネルに変換＆ハートを
最大５個時限式ダメージパネルに変換</t>
    <rPh sb="0" eb="1">
      <t>ミドリ</t>
    </rPh>
    <phoneticPr fontId="5"/>
  </si>
  <si>
    <t>ランドラグのフレイムブレスには
防御力アップ等のスキルで対抗しましょう</t>
    <rPh sb="16" eb="19">
      <t>ボウギョリョク</t>
    </rPh>
    <rPh sb="22" eb="23">
      <t>トウ</t>
    </rPh>
    <rPh sb="28" eb="30">
      <t>タイコウ</t>
    </rPh>
    <phoneticPr fontId="5"/>
  </si>
  <si>
    <t>ランドラグのフレイムブレスには
防御力アップ等のスキルで対抗しましょう</t>
    <rPh sb="16" eb="19">
      <t>ボウギョリョク</t>
    </rPh>
    <rPh sb="28" eb="30">
      <t>タイコウ</t>
    </rPh>
    <phoneticPr fontId="5"/>
  </si>
  <si>
    <t>[effect:barrier_attack_skill_color, target:myself, option:guard, color:red, turn:-1, val:0.5, animation:crash_panel_reduce04_unit02],[effect:barrier_attack_skill_color, target:myself, option:guard, color:yellow, turn:-1, val:0.5],[effect:barrier_attack_skill_color, target:myself, option:guard, color:green, turn:-1, val:0.5],[effect:damage_anti_color, target:unit_all, color:blue, val1:0.1, val2:0.4]</t>
    <phoneticPr fontId="5"/>
  </si>
  <si>
    <t xml:space="preserve">[effect:spread, val:0.25],[effect:rush, count:8, val:0.15],[effect:change_block, new_block:block_red, target:block_green, count:10, val:0, no_effect_msg:no_effect_msg_change_block_heal, animation:change_block]    </t>
    <phoneticPr fontId="5"/>
  </si>
  <si>
    <t>[effect:enhance_enemy, target:myself, turn:1, status:attack, val:1.2, calc:mul, animation:enemy_enhance_attack],[effect:freq_turn, target:myself, turn:2, val:1, animation:enemy_freq_turn]</t>
    <phoneticPr fontId="5"/>
  </si>
  <si>
    <t>全てのスキル効果を解除＋全体攻撃</t>
    <rPh sb="12" eb="14">
      <t>ゼンタイ</t>
    </rPh>
    <rPh sb="14" eb="16">
      <t>コウゲキ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</si>
</sst>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CC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5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6" fillId="31" borderId="7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 wrapText="1"/>
    </xf>
    <xf numFmtId="0" fontId="14" fillId="7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 wrapText="1"/>
    </xf>
    <xf numFmtId="0" fontId="16" fillId="0" borderId="25" xfId="0" applyFont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3" borderId="28" xfId="0" applyFont="1" applyFill="1" applyBorder="1" applyAlignment="1">
      <alignment horizontal="left" vertical="center"/>
    </xf>
    <xf numFmtId="0" fontId="16" fillId="3" borderId="28" xfId="0" applyFont="1" applyFill="1" applyBorder="1" applyAlignment="1">
      <alignment vertical="center"/>
    </xf>
    <xf numFmtId="0" fontId="16" fillId="0" borderId="28" xfId="0" applyFont="1" applyFill="1" applyBorder="1" applyAlignment="1">
      <alignment horizontal="left" vertical="center" wrapText="1"/>
    </xf>
    <xf numFmtId="0" fontId="16" fillId="0" borderId="29" xfId="0" applyFont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8" fillId="0" borderId="32" xfId="0" applyFont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37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12" fillId="7" borderId="26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176" fontId="4" fillId="0" borderId="41" xfId="0" applyNumberFormat="1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6" fillId="5" borderId="41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6" fillId="5" borderId="42" xfId="0" applyFont="1" applyFill="1" applyBorder="1" applyAlignment="1">
      <alignment vertical="center"/>
    </xf>
    <xf numFmtId="0" fontId="8" fillId="0" borderId="43" xfId="0" applyFont="1" applyBorder="1" applyAlignment="1">
      <alignment vertical="center"/>
    </xf>
    <xf numFmtId="177" fontId="8" fillId="0" borderId="43" xfId="0" applyNumberFormat="1" applyFont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4" fillId="3" borderId="28" xfId="0" applyFont="1" applyFill="1" applyBorder="1" applyAlignment="1">
      <alignment vertical="center"/>
    </xf>
    <xf numFmtId="0" fontId="4" fillId="0" borderId="28" xfId="0" applyFont="1" applyFill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27" fillId="0" borderId="7" xfId="0" applyFont="1" applyFill="1" applyBorder="1" applyAlignment="1">
      <alignment horizontal="center"/>
    </xf>
    <xf numFmtId="0" fontId="16" fillId="0" borderId="12" xfId="0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56" fontId="16" fillId="0" borderId="7" xfId="0" applyNumberFormat="1" applyFont="1" applyFill="1" applyBorder="1" applyAlignment="1">
      <alignment horizontal="left"/>
    </xf>
    <xf numFmtId="0" fontId="30" fillId="0" borderId="7" xfId="0" applyFont="1" applyFill="1" applyBorder="1" applyAlignment="1">
      <alignment horizontal="center"/>
    </xf>
    <xf numFmtId="0" fontId="30" fillId="30" borderId="7" xfId="0" applyFont="1" applyFill="1" applyBorder="1" applyAlignment="1">
      <alignment horizontal="center"/>
    </xf>
    <xf numFmtId="0" fontId="30" fillId="14" borderId="7" xfId="0" applyFont="1" applyFill="1" applyBorder="1" applyAlignment="1">
      <alignment horizontal="center"/>
    </xf>
    <xf numFmtId="0" fontId="31" fillId="0" borderId="7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29" fillId="3" borderId="12" xfId="0" applyFont="1" applyFill="1" applyBorder="1" applyAlignment="1">
      <alignment horizontal="center" vertical="center"/>
    </xf>
    <xf numFmtId="0" fontId="29" fillId="0" borderId="12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56" fontId="16" fillId="0" borderId="7" xfId="0" applyNumberFormat="1" applyFont="1" applyFill="1" applyBorder="1" applyAlignment="1">
      <alignment horizontal="left" wrapText="1"/>
    </xf>
    <xf numFmtId="38" fontId="16" fillId="0" borderId="7" xfId="628" applyFont="1" applyFill="1" applyBorder="1" applyAlignment="1">
      <alignment horizontal="left" wrapText="1"/>
    </xf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0" borderId="46" xfId="0" applyFont="1" applyFill="1" applyBorder="1"/>
    <xf numFmtId="0" fontId="0" fillId="3" borderId="46" xfId="0" applyFill="1" applyBorder="1"/>
    <xf numFmtId="0" fontId="6" fillId="5" borderId="46" xfId="0" applyFont="1" applyFill="1" applyBorder="1" applyAlignment="1">
      <alignment vertical="center"/>
    </xf>
  </cellXfs>
  <cellStyles count="85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E19" sqref="E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234</v>
      </c>
      <c r="B2" s="57" t="s">
        <v>106</v>
      </c>
      <c r="C2" s="62">
        <v>30032</v>
      </c>
      <c r="D2" s="57" t="s">
        <v>107</v>
      </c>
      <c r="E2" s="56" t="str">
        <f>B2&amp;C2&amp;D2</f>
        <v>floors_30032.tmp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234</v>
      </c>
      <c r="B3" s="57" t="s">
        <v>109</v>
      </c>
      <c r="C3" s="62">
        <f>C$2</f>
        <v>30032</v>
      </c>
      <c r="D3" s="57" t="s">
        <v>107</v>
      </c>
      <c r="E3" s="56" t="str">
        <f>B3&amp;C3&amp;D3</f>
        <v>enemy_habitats_30032.tmp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173</v>
      </c>
    </row>
    <row r="4" spans="1:30" x14ac:dyDescent="0.15">
      <c r="A4" s="61" t="s">
        <v>234</v>
      </c>
      <c r="B4" s="57" t="s">
        <v>111</v>
      </c>
      <c r="C4" s="62">
        <f t="shared" ref="C4:C12" si="0">C$2</f>
        <v>30032</v>
      </c>
      <c r="D4" s="57" t="s">
        <v>107</v>
      </c>
      <c r="E4" s="56" t="str">
        <f>B4&amp;C4&amp;D4</f>
        <v>enemy_habitat_S_30032.tmp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234</v>
      </c>
      <c r="B5" s="57" t="s">
        <v>113</v>
      </c>
      <c r="C5" s="62">
        <f t="shared" si="0"/>
        <v>30032</v>
      </c>
      <c r="D5" s="57" t="s">
        <v>107</v>
      </c>
      <c r="E5" s="56" t="str">
        <f>B5&amp;C5&amp;D5</f>
        <v>enemy_skill_sets_30032.tmp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234</v>
      </c>
      <c r="B6" s="57" t="s">
        <v>115</v>
      </c>
      <c r="C6" s="62">
        <f t="shared" si="0"/>
        <v>30032</v>
      </c>
      <c r="D6" s="57" t="s">
        <v>116</v>
      </c>
      <c r="E6" s="56" t="str">
        <f t="shared" ref="E6:E10" si="1">B6&amp;C6&amp;D6</f>
        <v>enemy_skills_tmp_30032.tmp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234</v>
      </c>
      <c r="B7" s="57" t="s">
        <v>117</v>
      </c>
      <c r="C7" s="62">
        <f t="shared" si="0"/>
        <v>30032</v>
      </c>
      <c r="D7" s="57" t="s">
        <v>107</v>
      </c>
      <c r="E7" s="56" t="str">
        <f>B7&amp;C7&amp;D7</f>
        <v>enemy_skills_i18n_30032.tmp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234</v>
      </c>
      <c r="B8" s="57" t="s">
        <v>119</v>
      </c>
      <c r="C8" s="62">
        <f t="shared" si="0"/>
        <v>30032</v>
      </c>
      <c r="D8" s="57" t="s">
        <v>120</v>
      </c>
      <c r="E8" s="56" t="str">
        <f t="shared" si="1"/>
        <v>enemy_skill_triggers_30032.tmp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234</v>
      </c>
      <c r="B9" s="67" t="s">
        <v>172</v>
      </c>
      <c r="C9" s="62">
        <f t="shared" si="0"/>
        <v>30032</v>
      </c>
      <c r="D9" s="67" t="s">
        <v>166</v>
      </c>
      <c r="E9" s="68" t="str">
        <f t="shared" si="1"/>
        <v>stage_bug_bonuses_30032.tmp</v>
      </c>
      <c r="F9" s="67" t="s">
        <v>167</v>
      </c>
      <c r="G9" s="64" t="s">
        <v>150</v>
      </c>
      <c r="H9" s="64" t="s">
        <v>168</v>
      </c>
      <c r="I9" s="64" t="s">
        <v>169</v>
      </c>
      <c r="J9" s="66" t="s">
        <v>170</v>
      </c>
      <c r="K9" s="64" t="s">
        <v>171</v>
      </c>
      <c r="L9" s="64" t="s">
        <v>151</v>
      </c>
      <c r="M9" s="64" t="s">
        <v>152</v>
      </c>
      <c r="N9" s="64" t="s">
        <v>153</v>
      </c>
      <c r="O9" s="64" t="s">
        <v>154</v>
      </c>
      <c r="P9" s="64" t="s">
        <v>155</v>
      </c>
      <c r="Q9" s="64" t="s">
        <v>156</v>
      </c>
      <c r="R9" s="64" t="s">
        <v>157</v>
      </c>
      <c r="S9" s="64" t="s">
        <v>158</v>
      </c>
      <c r="T9" s="64" t="s">
        <v>159</v>
      </c>
      <c r="U9" s="64" t="s">
        <v>160</v>
      </c>
      <c r="V9" s="64" t="s">
        <v>161</v>
      </c>
      <c r="W9" s="64" t="s">
        <v>162</v>
      </c>
    </row>
    <row r="10" spans="1:30" s="76" customFormat="1" x14ac:dyDescent="0.15">
      <c r="A10" s="61" t="s">
        <v>234</v>
      </c>
      <c r="B10" s="67" t="s">
        <v>196</v>
      </c>
      <c r="C10" s="62">
        <f>C$2</f>
        <v>30032</v>
      </c>
      <c r="D10" s="67" t="s">
        <v>175</v>
      </c>
      <c r="E10" s="68" t="str">
        <f t="shared" si="1"/>
        <v>stage_hints_data_c_30032.tmp</v>
      </c>
      <c r="F10" s="67" t="s">
        <v>204</v>
      </c>
      <c r="G10" s="73" t="s">
        <v>176</v>
      </c>
      <c r="H10" s="73" t="s">
        <v>168</v>
      </c>
      <c r="I10" s="74" t="s">
        <v>177</v>
      </c>
      <c r="J10" s="66" t="s">
        <v>178</v>
      </c>
      <c r="K10" s="75" t="s">
        <v>179</v>
      </c>
    </row>
    <row r="11" spans="1:30" s="76" customFormat="1" x14ac:dyDescent="0.15">
      <c r="A11" s="61" t="s">
        <v>234</v>
      </c>
      <c r="B11" s="67" t="s">
        <v>197</v>
      </c>
      <c r="C11" s="62">
        <f t="shared" si="0"/>
        <v>30032</v>
      </c>
      <c r="D11" s="67" t="s">
        <v>166</v>
      </c>
      <c r="E11" s="68" t="str">
        <f t="shared" ref="E11:E12" si="2">B11&amp;C11&amp;D11</f>
        <v>stage_hints_data_f_30032.tmp</v>
      </c>
      <c r="F11" s="67" t="s">
        <v>206</v>
      </c>
      <c r="G11" s="73" t="s">
        <v>176</v>
      </c>
      <c r="H11" s="73" t="s">
        <v>168</v>
      </c>
      <c r="I11" s="74" t="s">
        <v>177</v>
      </c>
      <c r="J11" s="66" t="s">
        <v>178</v>
      </c>
      <c r="K11" s="75" t="s">
        <v>179</v>
      </c>
    </row>
    <row r="12" spans="1:30" s="76" customFormat="1" x14ac:dyDescent="0.15">
      <c r="A12" s="61" t="s">
        <v>234</v>
      </c>
      <c r="B12" s="67" t="s">
        <v>198</v>
      </c>
      <c r="C12" s="62">
        <f t="shared" si="0"/>
        <v>30032</v>
      </c>
      <c r="D12" s="67" t="s">
        <v>166</v>
      </c>
      <c r="E12" s="68" t="str">
        <f t="shared" si="2"/>
        <v>stage_hints_i18n_30032.tmp</v>
      </c>
      <c r="F12" s="67" t="s">
        <v>207</v>
      </c>
      <c r="G12" s="74" t="s">
        <v>199</v>
      </c>
      <c r="H12" s="94" t="s">
        <v>200</v>
      </c>
      <c r="I12" s="73" t="s">
        <v>201</v>
      </c>
      <c r="J12" s="95" t="s">
        <v>202</v>
      </c>
      <c r="K12" s="75" t="s">
        <v>203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L8" sqref="L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7.1640625" style="3" customWidth="1" outlineLevel="1"/>
    <col min="5" max="5" width="18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30032_1-1</v>
      </c>
      <c r="B2" s="16" t="str">
        <f>IF(COUNTIF(enemy_habitats!$H:$H,A2),"OK","NG")</f>
        <v>OK</v>
      </c>
      <c r="C2" s="7">
        <v>30032</v>
      </c>
      <c r="D2" s="11" t="str">
        <f ca="1">VLOOKUP($C2,OFFSET([2]quests!$A$1,0,0,COUNTA([2]quests!$A:$A),MATCH(D$1,[2]quests!$1:$1,0)-MATCH($C$1,[2]quests!$1:$1,0)+1),MATCH(D$1,[2]quests!$1:$1,0)-MATCH($C$1,[2]quests!$1:$1,0)+1,FALSE)</f>
        <v>赤き竜の制裁</v>
      </c>
      <c r="E2" s="18" t="str">
        <f ca="1">VLOOKUP($C2,OFFSET([2]quests!$A$1,0,0,COUNTA([2]quests!$A:$A),MATCH(E$1,[2]quests!$1:$1,0)-MATCH($C$1,[2]quests!$1:$1,0)+1),MATCH(E$1,[2]quests!$1:$1,0)-MATCH($C$1,[2]quests!$1:$1,0)+1,FALSE)</f>
        <v>円卓2（マルチ専用）</v>
      </c>
      <c r="F2" s="21">
        <v>1</v>
      </c>
      <c r="G2" s="23" t="str">
        <f>C2&amp;"_"&amp;F2</f>
        <v>30032_1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【中級】赤き竜の制裁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30032_1-2</v>
      </c>
      <c r="B3" s="16" t="str">
        <f>IF(COUNTIF(enemy_habitats!$H:$H,A3),"OK","NG")</f>
        <v>OK</v>
      </c>
      <c r="C3" s="7">
        <v>30032</v>
      </c>
      <c r="D3" s="11" t="str">
        <f ca="1">VLOOKUP($C3,OFFSET([2]quests!$A$1,0,0,COUNTA([2]quests!$A:$A),MATCH(D$1,[2]quests!$1:$1,0)-MATCH($C$1,[2]quests!$1:$1,0)+1),MATCH(D$1,[2]quests!$1:$1,0)-MATCH($C$1,[2]quests!$1:$1,0)+1,FALSE)</f>
        <v>赤き竜の制裁</v>
      </c>
      <c r="E3" s="18" t="str">
        <f ca="1">VLOOKUP($C3,OFFSET([2]quests!$A$1,0,0,COUNTA([2]quests!$A:$A),MATCH(E$1,[2]quests!$1:$1,0)-MATCH($C$1,[2]quests!$1:$1,0)+1),MATCH(E$1,[2]quests!$1:$1,0)-MATCH($C$1,[2]quests!$1:$1,0)+1,FALSE)</f>
        <v>円卓2（マルチ専用）</v>
      </c>
      <c r="F3" s="21">
        <v>1</v>
      </c>
      <c r="G3" s="23" t="str">
        <f t="shared" ref="G3:G12" si="0">C3&amp;"_"&amp;F3</f>
        <v>30032_1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【中級】赤き竜の制裁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12" si="1">G4&amp;"-"&amp;I4</f>
        <v>30032_1-3</v>
      </c>
      <c r="B4" s="16" t="str">
        <f>IF(COUNTIF(enemy_habitats!$H:$H,A4),"OK","NG")</f>
        <v>OK</v>
      </c>
      <c r="C4" s="7">
        <v>30032</v>
      </c>
      <c r="D4" s="11" t="str">
        <f ca="1">VLOOKUP($C4,OFFSET([2]quests!$A$1,0,0,COUNTA([2]quests!$A:$A),MATCH(D$1,[2]quests!$1:$1,0)-MATCH($C$1,[2]quests!$1:$1,0)+1),MATCH(D$1,[2]quests!$1:$1,0)-MATCH($C$1,[2]quests!$1:$1,0)+1,FALSE)</f>
        <v>赤き竜の制裁</v>
      </c>
      <c r="E4" s="18" t="str">
        <f ca="1">VLOOKUP($C4,OFFSET([2]quests!$A$1,0,0,COUNTA([2]quests!$A:$A),MATCH(E$1,[2]quests!$1:$1,0)-MATCH($C$1,[2]quests!$1:$1,0)+1),MATCH(E$1,[2]quests!$1:$1,0)-MATCH($C$1,[2]quests!$1:$1,0)+1,FALSE)</f>
        <v>円卓2（マルチ専用）</v>
      </c>
      <c r="F4" s="21">
        <v>1</v>
      </c>
      <c r="G4" s="23" t="str">
        <f t="shared" si="0"/>
        <v>30032_1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【中級】赤き竜の制裁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ref="A5" si="2">G5&amp;"-"&amp;I5</f>
        <v>30032_1-4</v>
      </c>
      <c r="B5" s="16" t="str">
        <f>IF(COUNTIF(enemy_habitats!$H:$H,A5),"OK","NG")</f>
        <v>OK</v>
      </c>
      <c r="C5" s="7">
        <v>30032</v>
      </c>
      <c r="D5" s="11" t="str">
        <f ca="1">VLOOKUP($C5,OFFSET([2]quests!$A$1,0,0,COUNTA([2]quests!$A:$A),MATCH(D$1,[2]quests!$1:$1,0)-MATCH($C$1,[2]quests!$1:$1,0)+1),MATCH(D$1,[2]quests!$1:$1,0)-MATCH($C$1,[2]quests!$1:$1,0)+1,FALSE)</f>
        <v>赤き竜の制裁</v>
      </c>
      <c r="E5" s="18" t="str">
        <f ca="1">VLOOKUP($C5,OFFSET([2]quests!$A$1,0,0,COUNTA([2]quests!$A:$A),MATCH(E$1,[2]quests!$1:$1,0)-MATCH($C$1,[2]quests!$1:$1,0)+1),MATCH(E$1,[2]quests!$1:$1,0)-MATCH($C$1,[2]quests!$1:$1,0)+1,FALSE)</f>
        <v>円卓2（マルチ専用）</v>
      </c>
      <c r="F5" s="21">
        <v>1</v>
      </c>
      <c r="G5" s="23" t="str">
        <f t="shared" ref="G5" si="3">C5&amp;"_"&amp;F5</f>
        <v>30032_1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【中級】赤き竜の制裁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1"/>
        <v>30032_2-1</v>
      </c>
      <c r="B6" s="16" t="str">
        <f>IF(COUNTIF(enemy_habitats!$H:$H,A6),"OK","NG")</f>
        <v>OK</v>
      </c>
      <c r="C6" s="7">
        <v>30032</v>
      </c>
      <c r="D6" s="11" t="str">
        <f ca="1">VLOOKUP($C6,OFFSET([2]quests!$A$1,0,0,COUNTA([2]quests!$A:$A),MATCH(D$1,[2]quests!$1:$1,0)-MATCH($C$1,[2]quests!$1:$1,0)+1),MATCH(D$1,[2]quests!$1:$1,0)-MATCH($C$1,[2]quests!$1:$1,0)+1,FALSE)</f>
        <v>赤き竜の制裁</v>
      </c>
      <c r="E6" s="18" t="str">
        <f ca="1">VLOOKUP($C6,OFFSET([2]quests!$A$1,0,0,COUNTA([2]quests!$A:$A),MATCH(E$1,[2]quests!$1:$1,0)-MATCH($C$1,[2]quests!$1:$1,0)+1),MATCH(E$1,[2]quests!$1:$1,0)-MATCH($C$1,[2]quests!$1:$1,0)+1,FALSE)</f>
        <v>円卓2（マルチ専用）</v>
      </c>
      <c r="F6" s="21">
        <v>2</v>
      </c>
      <c r="G6" s="23" t="str">
        <f t="shared" si="0"/>
        <v>30032_2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【上級】赤き竜の制裁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1"/>
        <v>30032_2-2</v>
      </c>
      <c r="B7" s="16" t="str">
        <f>IF(COUNTIF(enemy_habitats!$H:$H,A7),"OK","NG")</f>
        <v>OK</v>
      </c>
      <c r="C7" s="7">
        <v>30032</v>
      </c>
      <c r="D7" s="11" t="str">
        <f ca="1">VLOOKUP($C7,OFFSET([2]quests!$A$1,0,0,COUNTA([2]quests!$A:$A),MATCH(D$1,[2]quests!$1:$1,0)-MATCH($C$1,[2]quests!$1:$1,0)+1),MATCH(D$1,[2]quests!$1:$1,0)-MATCH($C$1,[2]quests!$1:$1,0)+1,FALSE)</f>
        <v>赤き竜の制裁</v>
      </c>
      <c r="E7" s="18" t="str">
        <f ca="1">VLOOKUP($C7,OFFSET([2]quests!$A$1,0,0,COUNTA([2]quests!$A:$A),MATCH(E$1,[2]quests!$1:$1,0)-MATCH($C$1,[2]quests!$1:$1,0)+1),MATCH(E$1,[2]quests!$1:$1,0)-MATCH($C$1,[2]quests!$1:$1,0)+1,FALSE)</f>
        <v>円卓2（マルチ専用）</v>
      </c>
      <c r="F7" s="21">
        <v>2</v>
      </c>
      <c r="G7" s="23" t="str">
        <f t="shared" si="0"/>
        <v>30032_2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【上級】赤き竜の制裁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1"/>
        <v>30032_2-3</v>
      </c>
      <c r="B8" s="16" t="str">
        <f>IF(COUNTIF(enemy_habitats!$H:$H,A8),"OK","NG")</f>
        <v>OK</v>
      </c>
      <c r="C8" s="7">
        <v>30032</v>
      </c>
      <c r="D8" s="11" t="str">
        <f ca="1">VLOOKUP($C8,OFFSET([2]quests!$A$1,0,0,COUNTA([2]quests!$A:$A),MATCH(D$1,[2]quests!$1:$1,0)-MATCH($C$1,[2]quests!$1:$1,0)+1),MATCH(D$1,[2]quests!$1:$1,0)-MATCH($C$1,[2]quests!$1:$1,0)+1,FALSE)</f>
        <v>赤き竜の制裁</v>
      </c>
      <c r="E8" s="18" t="str">
        <f ca="1">VLOOKUP($C8,OFFSET([2]quests!$A$1,0,0,COUNTA([2]quests!$A:$A),MATCH(E$1,[2]quests!$1:$1,0)-MATCH($C$1,[2]quests!$1:$1,0)+1),MATCH(E$1,[2]quests!$1:$1,0)-MATCH($C$1,[2]quests!$1:$1,0)+1,FALSE)</f>
        <v>円卓2（マルチ専用）</v>
      </c>
      <c r="F8" s="21">
        <v>2</v>
      </c>
      <c r="G8" s="23" t="str">
        <f t="shared" si="0"/>
        <v>30032_2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【上級】赤き竜の制裁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ref="A9" si="4">G9&amp;"-"&amp;I9</f>
        <v>30032_2-4</v>
      </c>
      <c r="B9" s="16" t="str">
        <f>IF(COUNTIF(enemy_habitats!$H:$H,A9),"OK","NG")</f>
        <v>OK</v>
      </c>
      <c r="C9" s="7">
        <v>30032</v>
      </c>
      <c r="D9" s="11" t="str">
        <f ca="1">VLOOKUP($C9,OFFSET([2]quests!$A$1,0,0,COUNTA([2]quests!$A:$A),MATCH(D$1,[2]quests!$1:$1,0)-MATCH($C$1,[2]quests!$1:$1,0)+1),MATCH(D$1,[2]quests!$1:$1,0)-MATCH($C$1,[2]quests!$1:$1,0)+1,FALSE)</f>
        <v>赤き竜の制裁</v>
      </c>
      <c r="E9" s="18" t="str">
        <f ca="1">VLOOKUP($C9,OFFSET([2]quests!$A$1,0,0,COUNTA([2]quests!$A:$A),MATCH(E$1,[2]quests!$1:$1,0)-MATCH($C$1,[2]quests!$1:$1,0)+1),MATCH(E$1,[2]quests!$1:$1,0)-MATCH($C$1,[2]quests!$1:$1,0)+1,FALSE)</f>
        <v>円卓2（マルチ専用）</v>
      </c>
      <c r="F9" s="21">
        <v>2</v>
      </c>
      <c r="G9" s="23" t="str">
        <f t="shared" ref="G9" si="5">C9&amp;"_"&amp;F9</f>
        <v>30032_2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【上級】赤き竜の制裁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1"/>
        <v>30032_3-1</v>
      </c>
      <c r="B10" s="16" t="str">
        <f>IF(COUNTIF(enemy_habitats!$H:$H,A10),"OK","NG")</f>
        <v>OK</v>
      </c>
      <c r="C10" s="7">
        <v>30032</v>
      </c>
      <c r="D10" s="11" t="str">
        <f ca="1">VLOOKUP($C10,OFFSET([2]quests!$A$1,0,0,COUNTA([2]quests!$A:$A),MATCH(D$1,[2]quests!$1:$1,0)-MATCH($C$1,[2]quests!$1:$1,0)+1),MATCH(D$1,[2]quests!$1:$1,0)-MATCH($C$1,[2]quests!$1:$1,0)+1,FALSE)</f>
        <v>赤き竜の制裁</v>
      </c>
      <c r="E10" s="18" t="str">
        <f ca="1">VLOOKUP($C10,OFFSET([2]quests!$A$1,0,0,COUNTA([2]quests!$A:$A),MATCH(E$1,[2]quests!$1:$1,0)-MATCH($C$1,[2]quests!$1:$1,0)+1),MATCH(E$1,[2]quests!$1:$1,0)-MATCH($C$1,[2]quests!$1:$1,0)+1,FALSE)</f>
        <v>円卓2（マルチ専用）</v>
      </c>
      <c r="F10" s="21">
        <v>3</v>
      </c>
      <c r="G10" s="23" t="str">
        <f t="shared" si="0"/>
        <v>30032_3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【超級】赤き竜の制裁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1"/>
        <v>30032_3-2</v>
      </c>
      <c r="B11" s="16" t="str">
        <f>IF(COUNTIF(enemy_habitats!$H:$H,A11),"OK","NG")</f>
        <v>OK</v>
      </c>
      <c r="C11" s="7">
        <v>30032</v>
      </c>
      <c r="D11" s="11" t="str">
        <f ca="1">VLOOKUP($C11,OFFSET([2]quests!$A$1,0,0,COUNTA([2]quests!$A:$A),MATCH(D$1,[2]quests!$1:$1,0)-MATCH($C$1,[2]quests!$1:$1,0)+1),MATCH(D$1,[2]quests!$1:$1,0)-MATCH($C$1,[2]quests!$1:$1,0)+1,FALSE)</f>
        <v>赤き竜の制裁</v>
      </c>
      <c r="E11" s="18" t="str">
        <f ca="1">VLOOKUP($C11,OFFSET([2]quests!$A$1,0,0,COUNTA([2]quests!$A:$A),MATCH(E$1,[2]quests!$1:$1,0)-MATCH($C$1,[2]quests!$1:$1,0)+1),MATCH(E$1,[2]quests!$1:$1,0)-MATCH($C$1,[2]quests!$1:$1,0)+1,FALSE)</f>
        <v>円卓2（マルチ専用）</v>
      </c>
      <c r="F11" s="21">
        <v>3</v>
      </c>
      <c r="G11" s="23" t="str">
        <f t="shared" si="0"/>
        <v>30032_3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【超級】赤き竜の制裁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1"/>
        <v>30032_3-3</v>
      </c>
      <c r="B12" s="16" t="str">
        <f>IF(COUNTIF(enemy_habitats!$H:$H,A12),"OK","NG")</f>
        <v>OK</v>
      </c>
      <c r="C12" s="7">
        <v>30032</v>
      </c>
      <c r="D12" s="11" t="str">
        <f ca="1">VLOOKUP($C12,OFFSET([2]quests!$A$1,0,0,COUNTA([2]quests!$A:$A),MATCH(D$1,[2]quests!$1:$1,0)-MATCH($C$1,[2]quests!$1:$1,0)+1),MATCH(D$1,[2]quests!$1:$1,0)-MATCH($C$1,[2]quests!$1:$1,0)+1,FALSE)</f>
        <v>赤き竜の制裁</v>
      </c>
      <c r="E12" s="18" t="str">
        <f ca="1">VLOOKUP($C12,OFFSET([2]quests!$A$1,0,0,COUNTA([2]quests!$A:$A),MATCH(E$1,[2]quests!$1:$1,0)-MATCH($C$1,[2]quests!$1:$1,0)+1),MATCH(E$1,[2]quests!$1:$1,0)-MATCH($C$1,[2]quests!$1:$1,0)+1,FALSE)</f>
        <v>円卓2（マルチ専用）</v>
      </c>
      <c r="F12" s="21">
        <v>3</v>
      </c>
      <c r="G12" s="23" t="str">
        <f t="shared" si="0"/>
        <v>30032_3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【超級】赤き竜の制裁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ref="A13" si="6">G13&amp;"-"&amp;I13</f>
        <v>30032_3-4</v>
      </c>
      <c r="B13" s="16" t="str">
        <f>IF(COUNTIF(enemy_habitats!$H:$H,A13),"OK","NG")</f>
        <v>OK</v>
      </c>
      <c r="C13" s="7">
        <v>30032</v>
      </c>
      <c r="D13" s="11" t="str">
        <f ca="1">VLOOKUP($C13,OFFSET([2]quests!$A$1,0,0,COUNTA([2]quests!$A:$A),MATCH(D$1,[2]quests!$1:$1,0)-MATCH($C$1,[2]quests!$1:$1,0)+1),MATCH(D$1,[2]quests!$1:$1,0)-MATCH($C$1,[2]quests!$1:$1,0)+1,FALSE)</f>
        <v>赤き竜の制裁</v>
      </c>
      <c r="E13" s="18" t="str">
        <f ca="1">VLOOKUP($C13,OFFSET([2]quests!$A$1,0,0,COUNTA([2]quests!$A:$A),MATCH(E$1,[2]quests!$1:$1,0)-MATCH($C$1,[2]quests!$1:$1,0)+1),MATCH(E$1,[2]quests!$1:$1,0)-MATCH($C$1,[2]quests!$1:$1,0)+1,FALSE)</f>
        <v>円卓2（マルチ専用）</v>
      </c>
      <c r="F13" s="21">
        <v>3</v>
      </c>
      <c r="G13" s="23" t="str">
        <f t="shared" ref="G13" si="7">C13&amp;"_"&amp;F13</f>
        <v>30032_3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【超級】赤き竜の制裁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workbookViewId="0">
      <selection activeCell="AF24" sqref="AF24:AF2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24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2.5" style="3" customWidth="1" collapsed="1"/>
    <col min="23" max="23" width="12.1640625" style="3" hidden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25.83203125" style="13" hidden="1" customWidth="1" outlineLevel="1"/>
    <col min="30" max="30" width="8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174</v>
      </c>
    </row>
    <row r="2" spans="1:40" ht="21" customHeight="1" x14ac:dyDescent="0.15">
      <c r="A2" s="16" t="str">
        <f>B2&amp;"_"&amp;C2&amp;"-"&amp;G2&amp;"/"&amp;L2&amp;"&lt;lv"&amp;R2&amp;"&gt;s"&amp;AA2</f>
        <v>30032_1-1/511&lt;lv30&gt;s3</v>
      </c>
      <c r="B2" s="22">
        <v>30032</v>
      </c>
      <c r="C2" s="21">
        <v>1</v>
      </c>
      <c r="D2" s="2" t="str">
        <f>B2&amp;"_"&amp;C2</f>
        <v>30032_1</v>
      </c>
      <c r="E2" s="4" t="str">
        <f ca="1">VLOOKUP($B2,OFFSET([2]quests!$A$1,0,0,COUNTA([2]quests!$A:$A),MATCH(E$1,[2]quests!$1:$1,0)-MATCH($B$1,[2]quests!$1:$1,0)+1),MATCH(E$1,[2]quests!$1:$1,0)-MATCH($B$1,[2]quests!$1:$1,0)+1,FALSE)</f>
        <v>赤き竜の制裁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【中級】赤き竜の制裁</v>
      </c>
      <c r="G2" s="21">
        <v>1</v>
      </c>
      <c r="H2" s="15" t="str">
        <f>B2&amp;"_"&amp;C2&amp;"-"&amp;G2</f>
        <v>30032_1-1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511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灼き尽くす紅息 ヒュウガ・レアル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30</v>
      </c>
      <c r="S2" s="25">
        <v>1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7">
        <v>30032001</v>
      </c>
      <c r="X2" s="6">
        <v>0</v>
      </c>
      <c r="Y2" s="6">
        <v>100</v>
      </c>
      <c r="Z2" s="6">
        <v>0</v>
      </c>
      <c r="AA2" s="17">
        <v>3</v>
      </c>
      <c r="AB2" s="24">
        <f>L2</f>
        <v>511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灼き尽くす紅息 ヒュウガ・レアル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4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14" si="0">B3&amp;"_"&amp;C3&amp;"-"&amp;G3&amp;"/"&amp;L3&amp;"&lt;lv"&amp;R3&amp;"&gt;s"&amp;AA3</f>
        <v>30032_1-2/592&lt;lv30&gt;s2</v>
      </c>
      <c r="B3" s="22">
        <v>30032</v>
      </c>
      <c r="C3" s="21">
        <v>1</v>
      </c>
      <c r="D3" s="2" t="str">
        <f t="shared" ref="D3:D14" si="1">B3&amp;"_"&amp;C3</f>
        <v>30032_1</v>
      </c>
      <c r="E3" s="4" t="str">
        <f ca="1">VLOOKUP($B3,OFFSET([2]quests!$A$1,0,0,COUNTA([2]quests!$A:$A),MATCH(E$1,[2]quests!$1:$1,0)-MATCH($B$1,[2]quests!$1:$1,0)+1),MATCH(E$1,[2]quests!$1:$1,0)-MATCH($B$1,[2]quests!$1:$1,0)+1,FALSE)</f>
        <v>赤き竜の制裁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【中級】赤き竜の制裁</v>
      </c>
      <c r="G3" s="21">
        <v>2</v>
      </c>
      <c r="H3" s="15" t="str">
        <f t="shared" ref="H3:H14" si="2">B3&amp;"_"&amp;C3&amp;"-"&amp;G3</f>
        <v>30032_1-2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592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財宝への執着 ファフニール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30</v>
      </c>
      <c r="S3" s="25">
        <v>1</v>
      </c>
      <c r="T3" s="25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7">
        <v>30032002</v>
      </c>
      <c r="X3" s="6">
        <v>0</v>
      </c>
      <c r="Y3" s="6">
        <v>100</v>
      </c>
      <c r="Z3" s="6">
        <v>1</v>
      </c>
      <c r="AA3" s="17">
        <v>2</v>
      </c>
      <c r="AB3" s="24">
        <f t="shared" ref="AB3:AB14" si="3">L3</f>
        <v>592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財宝への執着 ファフニール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4">
        <f t="shared" ref="AG3:AG14" ca="1" si="4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30032_1-3/21&lt;lv25&gt;s2</v>
      </c>
      <c r="B4" s="22">
        <v>30032</v>
      </c>
      <c r="C4" s="21">
        <v>1</v>
      </c>
      <c r="D4" s="2" t="str">
        <f t="shared" si="1"/>
        <v>30032_1</v>
      </c>
      <c r="E4" s="4" t="str">
        <f ca="1">VLOOKUP($B4,OFFSET([2]quests!$A$1,0,0,COUNTA([2]quests!$A:$A),MATCH(E$1,[2]quests!$1:$1,0)-MATCH($B$1,[2]quests!$1:$1,0)+1),MATCH(E$1,[2]quests!$1:$1,0)-MATCH($B$1,[2]quests!$1:$1,0)+1,FALSE)</f>
        <v>赤き竜の制裁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【中級】赤き竜の制裁</v>
      </c>
      <c r="G4" s="21">
        <v>3</v>
      </c>
      <c r="H4" s="15" t="str">
        <f t="shared" si="2"/>
        <v>30032_1-3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ヴェロキー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25</v>
      </c>
      <c r="S4" s="25">
        <v>1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7">
        <v>30032004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21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30032_1-3/41&lt;lv25&gt;s1</v>
      </c>
      <c r="B5" s="22">
        <v>30032</v>
      </c>
      <c r="C5" s="21">
        <v>1</v>
      </c>
      <c r="D5" s="2" t="str">
        <f t="shared" si="1"/>
        <v>30032_1</v>
      </c>
      <c r="E5" s="4" t="str">
        <f ca="1">VLOOKUP($B5,OFFSET([2]quests!$A$1,0,0,COUNTA([2]quests!$A:$A),MATCH(E$1,[2]quests!$1:$1,0)-MATCH($B$1,[2]quests!$1:$1,0)+1),MATCH(E$1,[2]quests!$1:$1,0)-MATCH($B$1,[2]quests!$1:$1,0)+1,FALSE)</f>
        <v>赤き竜の制裁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【中級】赤き竜の制裁</v>
      </c>
      <c r="G5" s="21">
        <v>3</v>
      </c>
      <c r="H5" s="15" t="str">
        <f t="shared" si="2"/>
        <v>30032_1-3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41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ヒュウガ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25</v>
      </c>
      <c r="S5" s="25">
        <v>1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7">
        <v>30032005</v>
      </c>
      <c r="X5" s="6">
        <v>0</v>
      </c>
      <c r="Y5" s="6">
        <v>100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1</v>
      </c>
      <c r="AB5" s="24">
        <f t="shared" si="3"/>
        <v>41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30032_1-3/74&lt;lv25&gt;s2</v>
      </c>
      <c r="B6" s="22">
        <v>30032</v>
      </c>
      <c r="C6" s="21">
        <v>1</v>
      </c>
      <c r="D6" s="2" t="str">
        <f t="shared" si="1"/>
        <v>30032_1</v>
      </c>
      <c r="E6" s="4" t="str">
        <f ca="1">VLOOKUP($B6,OFFSET([2]quests!$A$1,0,0,COUNTA([2]quests!$A:$A),MATCH(E$1,[2]quests!$1:$1,0)-MATCH($B$1,[2]quests!$1:$1,0)+1),MATCH(E$1,[2]quests!$1:$1,0)-MATCH($B$1,[2]quests!$1:$1,0)+1,FALSE)</f>
        <v>赤き竜の制裁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【中級】赤き竜の制裁</v>
      </c>
      <c r="G6" s="21">
        <v>3</v>
      </c>
      <c r="H6" s="15" t="str">
        <f t="shared" si="2"/>
        <v>30032_1-3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74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サンダーバード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25</v>
      </c>
      <c r="S6" s="25">
        <v>1</v>
      </c>
      <c r="T6" s="25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7">
        <v>30032006</v>
      </c>
      <c r="X6" s="6">
        <v>0</v>
      </c>
      <c r="Y6" s="6">
        <v>100</v>
      </c>
      <c r="Z6" s="6">
        <v>2</v>
      </c>
      <c r="AA6" s="17">
        <v>2</v>
      </c>
      <c r="AB6" s="24">
        <f t="shared" si="3"/>
        <v>74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thickBot="1" x14ac:dyDescent="0.2">
      <c r="A7" s="16" t="str">
        <f t="shared" ca="1" si="0"/>
        <v>30032_1-4/766&lt;lv40&gt;s3</v>
      </c>
      <c r="B7" s="120">
        <v>30032</v>
      </c>
      <c r="C7" s="121">
        <v>1</v>
      </c>
      <c r="D7" s="122" t="str">
        <f t="shared" si="1"/>
        <v>30032_1</v>
      </c>
      <c r="E7" s="123" t="str">
        <f ca="1">VLOOKUP($B7,OFFSET([2]quests!$A$1,0,0,COUNTA([2]quests!$A:$A),MATCH(E$1,[2]quests!$1:$1,0)-MATCH($B$1,[2]quests!$1:$1,0)+1),MATCH(E$1,[2]quests!$1:$1,0)-MATCH($B$1,[2]quests!$1:$1,0)+1,FALSE)</f>
        <v>赤き竜の制裁</v>
      </c>
      <c r="F7" s="123" t="str">
        <f ca="1">VLOOKUP($D7,OFFSET([2]stages!$A$1,0,0,COUNTA([2]stages!$A:$A),MATCH(F$1,[2]stages!$2:$2,0)-MATCH($D$1,[2]stages!$2:$2,0)+1),MATCH(F$1,[2]stages!$2:$2,0)-MATCH($D$1,[2]stages!$2:$2,0)+1,FALSE)</f>
        <v>【中級】赤き竜の制裁</v>
      </c>
      <c r="G7" s="121">
        <v>4</v>
      </c>
      <c r="H7" s="122" t="str">
        <f t="shared" si="2"/>
        <v>30032_1-4</v>
      </c>
      <c r="I7" s="123">
        <f ca="1">VLOOKUP($H7,OFFSET(floors!$A$1,0,0,COUNTA(floors!$A:$A),MATCH(I$1,floors!$1:$1,0)-MATCH($H$1,floors!$1:$1,0)+1),MATCH(I$1,floors!$1:$1,0)-MATCH($H$1,floors!$1:$1,0)+1,FALSE)</f>
        <v>60</v>
      </c>
      <c r="J7" s="123">
        <f ca="1">VLOOKUP($H7,OFFSET(floors!$A$1,0,0,COUNTA(floors!$A:$A),MATCH(J$1,floors!$1:$1,0)-MATCH($H$1,floors!$1:$1,0)+1),MATCH(J$1,floors!$1:$1,0)-MATCH($H$1,floors!$1:$1,0)+1,FALSE)</f>
        <v>60</v>
      </c>
      <c r="K7" s="124">
        <v>2</v>
      </c>
      <c r="L7" s="125">
        <v>766</v>
      </c>
      <c r="M7" s="126" t="str">
        <f ca="1">VLOOKUP($L7,OFFSET([3]enemies!$A$1,0,0,COUNTA([3]enemies!$A:$A),MATCH(M$1,[3]enemies!$1:$1,0)-MATCH($L$1,[3]enemies!$1:$1,0)+1),MATCH(M$1,[3]enemies!$1:$1,0)-MATCH($L$1,[3]enemies!$1:$1,0)+1,FALSE)</f>
        <v>ランドラグ</v>
      </c>
      <c r="N7" s="12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2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26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26">
        <f ca="1">VLOOKUP($L7,OFFSET([3]enemies!$A$1,0,0,COUNTA([3]enemies!$A:$A),MATCH(Q$1,[3]enemies!$1:$1,0)-MATCH($L$1,[3]enemies!$1:$1,0)+1),MATCH(Q$1,[3]enemies!$1:$1,0)-MATCH($L$1,[3]enemies!$1:$1,0)+1,FALSE)</f>
        <v>30</v>
      </c>
      <c r="R7" s="127">
        <v>40</v>
      </c>
      <c r="S7" s="128">
        <v>1</v>
      </c>
      <c r="T7" s="128">
        <v>1</v>
      </c>
      <c r="U7" s="127">
        <v>0</v>
      </c>
      <c r="V7" s="123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98">
        <v>30032007</v>
      </c>
      <c r="X7" s="129">
        <v>0</v>
      </c>
      <c r="Y7" s="129">
        <v>100</v>
      </c>
      <c r="Z7" s="129">
        <v>1</v>
      </c>
      <c r="AA7" s="126">
        <f ca="1">VLOOKUP($L7,OFFSET([3]enemies!$A$1,0,0,COUNTA([3]enemies!$A:$A),MATCH(AA$1,[3]enemies!$1:$1,0)-MATCH($L$1,[3]enemies!$1:$1,0)+1),MATCH(AA$1,[3]enemies!$1:$1,0)-MATCH($L$1,[3]enemies!$1:$1,0)+1,FALSE)</f>
        <v>3</v>
      </c>
      <c r="AB7" s="130">
        <f t="shared" si="3"/>
        <v>766</v>
      </c>
      <c r="AC7" s="12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ランドラグ</v>
      </c>
      <c r="AD7" s="123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12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131">
        <v>1</v>
      </c>
      <c r="AG7" s="130">
        <f t="shared" ca="1" si="4"/>
        <v>4</v>
      </c>
      <c r="AH7" s="132">
        <v>20</v>
      </c>
      <c r="AI7" s="131">
        <v>0</v>
      </c>
      <c r="AJ7" s="131">
        <v>0</v>
      </c>
      <c r="AK7" s="131">
        <v>0</v>
      </c>
      <c r="AL7" s="131">
        <v>0</v>
      </c>
      <c r="AM7" s="131">
        <v>1</v>
      </c>
      <c r="AN7" s="133">
        <v>1</v>
      </c>
    </row>
    <row r="8" spans="1:40" s="160" customFormat="1" ht="21" customHeight="1" x14ac:dyDescent="0.15">
      <c r="A8" s="145" t="str">
        <f t="shared" si="0"/>
        <v>30032_2-1/511&lt;lv40&gt;s3</v>
      </c>
      <c r="B8" s="146">
        <v>30032</v>
      </c>
      <c r="C8" s="147">
        <v>2</v>
      </c>
      <c r="D8" s="148" t="str">
        <f t="shared" si="1"/>
        <v>30032_2</v>
      </c>
      <c r="E8" s="149" t="str">
        <f ca="1">VLOOKUP($B8,OFFSET([2]quests!$A$1,0,0,COUNTA([2]quests!$A:$A),MATCH(E$1,[2]quests!$1:$1,0)-MATCH($B$1,[2]quests!$1:$1,0)+1),MATCH(E$1,[2]quests!$1:$1,0)-MATCH($B$1,[2]quests!$1:$1,0)+1,FALSE)</f>
        <v>赤き竜の制裁</v>
      </c>
      <c r="F8" s="149" t="str">
        <f ca="1">VLOOKUP($D8,OFFSET([2]stages!$A$1,0,0,COUNTA([2]stages!$A:$A),MATCH(F$1,[2]stages!$2:$2,0)-MATCH($D$1,[2]stages!$2:$2,0)+1),MATCH(F$1,[2]stages!$2:$2,0)-MATCH($D$1,[2]stages!$2:$2,0)+1,FALSE)</f>
        <v>【上級】赤き竜の制裁</v>
      </c>
      <c r="G8" s="147">
        <v>1</v>
      </c>
      <c r="H8" s="148" t="str">
        <f t="shared" si="2"/>
        <v>30032_2-1</v>
      </c>
      <c r="I8" s="149">
        <f ca="1">VLOOKUP($H8,OFFSET(floors!$A$1,0,0,COUNTA(floors!$A:$A),MATCH(I$1,floors!$1:$1,0)-MATCH($H$1,floors!$1:$1,0)+1),MATCH(I$1,floors!$1:$1,0)-MATCH($H$1,floors!$1:$1,0)+1,FALSE)</f>
        <v>60</v>
      </c>
      <c r="J8" s="149">
        <f ca="1">VLOOKUP($H8,OFFSET(floors!$A$1,0,0,COUNTA(floors!$A:$A),MATCH(J$1,floors!$1:$1,0)-MATCH($H$1,floors!$1:$1,0)+1),MATCH(J$1,floors!$1:$1,0)-MATCH($H$1,floors!$1:$1,0)+1,FALSE)</f>
        <v>60</v>
      </c>
      <c r="K8" s="150" t="s">
        <v>53</v>
      </c>
      <c r="L8" s="151">
        <v>511</v>
      </c>
      <c r="M8" s="152" t="str">
        <f ca="1">VLOOKUP($L8,OFFSET([3]enemies!$A$1,0,0,COUNTA([3]enemies!$A:$A),MATCH(M$1,[3]enemies!$1:$1,0)-MATCH($L$1,[3]enemies!$1:$1,0)+1),MATCH(M$1,[3]enemies!$1:$1,0)-MATCH($L$1,[3]enemies!$1:$1,0)+1,FALSE)</f>
        <v>灼き尽くす紅息 ヒュウガ・レアル</v>
      </c>
      <c r="N8" s="152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52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52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52">
        <f ca="1">VLOOKUP($L8,OFFSET([3]enemies!$A$1,0,0,COUNTA([3]enemies!$A:$A),MATCH(Q$1,[3]enemies!$1:$1,0)-MATCH($L$1,[3]enemies!$1:$1,0)+1),MATCH(Q$1,[3]enemies!$1:$1,0)-MATCH($L$1,[3]enemies!$1:$1,0)+1,FALSE)</f>
        <v>60</v>
      </c>
      <c r="R8" s="153">
        <v>40</v>
      </c>
      <c r="S8" s="154">
        <v>1</v>
      </c>
      <c r="T8" s="154">
        <v>1</v>
      </c>
      <c r="U8" s="153">
        <v>0</v>
      </c>
      <c r="V8" s="149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107">
        <v>30032001</v>
      </c>
      <c r="X8" s="155">
        <v>0</v>
      </c>
      <c r="Y8" s="155">
        <v>100</v>
      </c>
      <c r="Z8" s="155">
        <v>0</v>
      </c>
      <c r="AA8" s="152">
        <v>3</v>
      </c>
      <c r="AB8" s="156">
        <f t="shared" si="3"/>
        <v>511</v>
      </c>
      <c r="AC8" s="149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灼き尽くす紅息 ヒュウガ・レアル</v>
      </c>
      <c r="AD8" s="149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149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157">
        <v>1</v>
      </c>
      <c r="AG8" s="156">
        <f t="shared" ca="1" si="4"/>
        <v>5</v>
      </c>
      <c r="AH8" s="158">
        <v>0</v>
      </c>
      <c r="AI8" s="157">
        <v>0</v>
      </c>
      <c r="AJ8" s="157">
        <v>0</v>
      </c>
      <c r="AK8" s="157">
        <v>0</v>
      </c>
      <c r="AL8" s="157">
        <v>0</v>
      </c>
      <c r="AM8" s="157">
        <v>1</v>
      </c>
      <c r="AN8" s="159">
        <v>1</v>
      </c>
    </row>
    <row r="9" spans="1:40" s="166" customFormat="1" ht="21" customHeight="1" x14ac:dyDescent="0.15">
      <c r="A9" s="161" t="str">
        <f t="shared" si="0"/>
        <v>30032_2-2/592&lt;lv40&gt;s2</v>
      </c>
      <c r="B9" s="22">
        <v>30032</v>
      </c>
      <c r="C9" s="162">
        <v>2</v>
      </c>
      <c r="D9" s="15" t="str">
        <f t="shared" si="1"/>
        <v>30032_2</v>
      </c>
      <c r="E9" s="4" t="str">
        <f ca="1">VLOOKUP($B9,OFFSET([2]quests!$A$1,0,0,COUNTA([2]quests!$A:$A),MATCH(E$1,[2]quests!$1:$1,0)-MATCH($B$1,[2]quests!$1:$1,0)+1),MATCH(E$1,[2]quests!$1:$1,0)-MATCH($B$1,[2]quests!$1:$1,0)+1,FALSE)</f>
        <v>赤き竜の制裁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【上級】赤き竜の制裁</v>
      </c>
      <c r="G9" s="162">
        <v>2</v>
      </c>
      <c r="H9" s="15" t="str">
        <f t="shared" si="2"/>
        <v>30032_2-2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3</v>
      </c>
      <c r="L9" s="163">
        <v>592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財宝への執着 ファフニール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40</v>
      </c>
      <c r="S9" s="25">
        <v>1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7">
        <v>30032002</v>
      </c>
      <c r="X9" s="6">
        <v>0</v>
      </c>
      <c r="Y9" s="6">
        <v>100</v>
      </c>
      <c r="Z9" s="6">
        <v>1</v>
      </c>
      <c r="AA9" s="17">
        <v>2</v>
      </c>
      <c r="AB9" s="164">
        <f t="shared" si="3"/>
        <v>592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財宝への執着 ファフニール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165">
        <v>1</v>
      </c>
      <c r="AG9" s="164">
        <f t="shared" ca="1" si="4"/>
        <v>4</v>
      </c>
      <c r="AH9" s="8">
        <v>0</v>
      </c>
      <c r="AI9" s="165">
        <v>0</v>
      </c>
      <c r="AJ9" s="165">
        <v>0</v>
      </c>
      <c r="AK9" s="165">
        <v>0</v>
      </c>
      <c r="AL9" s="165">
        <v>0</v>
      </c>
      <c r="AM9" s="165">
        <v>1</v>
      </c>
      <c r="AN9" s="69">
        <v>1</v>
      </c>
    </row>
    <row r="10" spans="1:40" s="166" customFormat="1" ht="21" customHeight="1" x14ac:dyDescent="0.15">
      <c r="A10" s="161" t="str">
        <f t="shared" ca="1" si="0"/>
        <v>30032_2-3/22&lt;lv30&gt;s2</v>
      </c>
      <c r="B10" s="22">
        <v>30032</v>
      </c>
      <c r="C10" s="162">
        <v>2</v>
      </c>
      <c r="D10" s="15" t="str">
        <f t="shared" si="1"/>
        <v>30032_2</v>
      </c>
      <c r="E10" s="4" t="str">
        <f ca="1">VLOOKUP($B10,OFFSET([2]quests!$A$1,0,0,COUNTA([2]quests!$A:$A),MATCH(E$1,[2]quests!$1:$1,0)-MATCH($B$1,[2]quests!$1:$1,0)+1),MATCH(E$1,[2]quests!$1:$1,0)-MATCH($B$1,[2]quests!$1:$1,0)+1,FALSE)</f>
        <v>赤き竜の制裁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【上級】赤き竜の制裁</v>
      </c>
      <c r="G10" s="162">
        <v>3</v>
      </c>
      <c r="H10" s="15" t="str">
        <f t="shared" si="2"/>
        <v>30032_2-3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163">
        <v>22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突然変異ヴェロキー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30</v>
      </c>
      <c r="S10" s="25">
        <v>1</v>
      </c>
      <c r="T10" s="25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47">
        <v>30032004</v>
      </c>
      <c r="X10" s="6">
        <v>0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164">
        <f t="shared" si="3"/>
        <v>22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165">
        <v>1</v>
      </c>
      <c r="AG10" s="164">
        <f t="shared" ca="1" si="4"/>
        <v>2</v>
      </c>
      <c r="AH10" s="8">
        <v>20</v>
      </c>
      <c r="AI10" s="165">
        <v>0</v>
      </c>
      <c r="AJ10" s="165">
        <v>0</v>
      </c>
      <c r="AK10" s="165">
        <v>0</v>
      </c>
      <c r="AL10" s="165">
        <v>0</v>
      </c>
      <c r="AM10" s="165">
        <v>1</v>
      </c>
      <c r="AN10" s="69">
        <v>1</v>
      </c>
    </row>
    <row r="11" spans="1:40" s="166" customFormat="1" ht="21" customHeight="1" x14ac:dyDescent="0.15">
      <c r="A11" s="161" t="str">
        <f t="shared" ca="1" si="0"/>
        <v>30032_2-3/41&lt;lv30&gt;s1</v>
      </c>
      <c r="B11" s="22">
        <v>30032</v>
      </c>
      <c r="C11" s="162">
        <v>2</v>
      </c>
      <c r="D11" s="15" t="str">
        <f t="shared" si="1"/>
        <v>30032_2</v>
      </c>
      <c r="E11" s="4" t="str">
        <f ca="1">VLOOKUP($B11,OFFSET([2]quests!$A$1,0,0,COUNTA([2]quests!$A:$A),MATCH(E$1,[2]quests!$1:$1,0)-MATCH($B$1,[2]quests!$1:$1,0)+1),MATCH(E$1,[2]quests!$1:$1,0)-MATCH($B$1,[2]quests!$1:$1,0)+1,FALSE)</f>
        <v>赤き竜の制裁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【上級】赤き竜の制裁</v>
      </c>
      <c r="G11" s="162">
        <v>3</v>
      </c>
      <c r="H11" s="15" t="str">
        <f t="shared" si="2"/>
        <v>30032_2-3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163">
        <v>41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ヒュウガ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30</v>
      </c>
      <c r="S11" s="25">
        <v>1</v>
      </c>
      <c r="T11" s="25">
        <v>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47">
        <v>30032005</v>
      </c>
      <c r="X11" s="6">
        <v>0</v>
      </c>
      <c r="Y11" s="6">
        <v>100</v>
      </c>
      <c r="Z11" s="6">
        <v>1</v>
      </c>
      <c r="AA11" s="17">
        <f ca="1">VLOOKUP($L11,OFFSET([3]enemies!$A$1,0,0,COUNTA([3]enemies!$A:$A),MATCH(AA$1,[3]enemies!$1:$1,0)-MATCH($L$1,[3]enemies!$1:$1,0)+1),MATCH(AA$1,[3]enemies!$1:$1,0)-MATCH($L$1,[3]enemies!$1:$1,0)+1,FALSE)</f>
        <v>1</v>
      </c>
      <c r="AB11" s="164">
        <f t="shared" si="3"/>
        <v>41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165">
        <v>1</v>
      </c>
      <c r="AG11" s="164">
        <f t="shared" ca="1" si="4"/>
        <v>2</v>
      </c>
      <c r="AH11" s="8">
        <v>20</v>
      </c>
      <c r="AI11" s="165">
        <v>0</v>
      </c>
      <c r="AJ11" s="165">
        <v>0</v>
      </c>
      <c r="AK11" s="165">
        <v>0</v>
      </c>
      <c r="AL11" s="165">
        <v>0</v>
      </c>
      <c r="AM11" s="165">
        <v>1</v>
      </c>
      <c r="AN11" s="69">
        <v>1</v>
      </c>
    </row>
    <row r="12" spans="1:40" s="166" customFormat="1" ht="21" customHeight="1" x14ac:dyDescent="0.15">
      <c r="A12" s="161" t="str">
        <f t="shared" si="0"/>
        <v>30032_2-3/74&lt;lv35&gt;s2</v>
      </c>
      <c r="B12" s="22">
        <v>30032</v>
      </c>
      <c r="C12" s="162">
        <v>2</v>
      </c>
      <c r="D12" s="15" t="str">
        <f t="shared" si="1"/>
        <v>30032_2</v>
      </c>
      <c r="E12" s="4" t="str">
        <f ca="1">VLOOKUP($B12,OFFSET([2]quests!$A$1,0,0,COUNTA([2]quests!$A:$A),MATCH(E$1,[2]quests!$1:$1,0)-MATCH($B$1,[2]quests!$1:$1,0)+1),MATCH(E$1,[2]quests!$1:$1,0)-MATCH($B$1,[2]quests!$1:$1,0)+1,FALSE)</f>
        <v>赤き竜の制裁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【上級】赤き竜の制裁</v>
      </c>
      <c r="G12" s="162">
        <v>3</v>
      </c>
      <c r="H12" s="15" t="str">
        <f t="shared" si="2"/>
        <v>30032_2-3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163">
        <v>74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サンダーバード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35</v>
      </c>
      <c r="S12" s="25">
        <v>1</v>
      </c>
      <c r="T12" s="25">
        <v>1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47">
        <v>30032006</v>
      </c>
      <c r="X12" s="6">
        <v>0</v>
      </c>
      <c r="Y12" s="6">
        <v>100</v>
      </c>
      <c r="Z12" s="6">
        <v>2</v>
      </c>
      <c r="AA12" s="17">
        <v>2</v>
      </c>
      <c r="AB12" s="164">
        <f t="shared" si="3"/>
        <v>74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165">
        <v>1</v>
      </c>
      <c r="AG12" s="164">
        <f t="shared" ca="1" si="4"/>
        <v>2</v>
      </c>
      <c r="AH12" s="8">
        <v>20</v>
      </c>
      <c r="AI12" s="165">
        <v>0</v>
      </c>
      <c r="AJ12" s="165">
        <v>0</v>
      </c>
      <c r="AK12" s="165">
        <v>0</v>
      </c>
      <c r="AL12" s="165">
        <v>0</v>
      </c>
      <c r="AM12" s="165">
        <v>1</v>
      </c>
      <c r="AN12" s="69">
        <v>1</v>
      </c>
    </row>
    <row r="13" spans="1:40" s="182" customFormat="1" ht="21" customHeight="1" thickBot="1" x14ac:dyDescent="0.2">
      <c r="A13" s="167" t="str">
        <f t="shared" ca="1" si="0"/>
        <v>30032_2-4/766&lt;lv50&gt;s3</v>
      </c>
      <c r="B13" s="168">
        <v>30032</v>
      </c>
      <c r="C13" s="169">
        <v>2</v>
      </c>
      <c r="D13" s="170" t="str">
        <f t="shared" si="1"/>
        <v>30032_2</v>
      </c>
      <c r="E13" s="171" t="str">
        <f ca="1">VLOOKUP($B13,OFFSET([2]quests!$A$1,0,0,COUNTA([2]quests!$A:$A),MATCH(E$1,[2]quests!$1:$1,0)-MATCH($B$1,[2]quests!$1:$1,0)+1),MATCH(E$1,[2]quests!$1:$1,0)-MATCH($B$1,[2]quests!$1:$1,0)+1,FALSE)</f>
        <v>赤き竜の制裁</v>
      </c>
      <c r="F13" s="171" t="str">
        <f ca="1">VLOOKUP($D13,OFFSET([2]stages!$A$1,0,0,COUNTA([2]stages!$A:$A),MATCH(F$1,[2]stages!$2:$2,0)-MATCH($D$1,[2]stages!$2:$2,0)+1),MATCH(F$1,[2]stages!$2:$2,0)-MATCH($D$1,[2]stages!$2:$2,0)+1,FALSE)</f>
        <v>【上級】赤き竜の制裁</v>
      </c>
      <c r="G13" s="169">
        <v>4</v>
      </c>
      <c r="H13" s="170" t="str">
        <f t="shared" si="2"/>
        <v>30032_2-4</v>
      </c>
      <c r="I13" s="171">
        <f ca="1">VLOOKUP($H13,OFFSET(floors!$A$1,0,0,COUNTA(floors!$A:$A),MATCH(I$1,floors!$1:$1,0)-MATCH($H$1,floors!$1:$1,0)+1),MATCH(I$1,floors!$1:$1,0)-MATCH($H$1,floors!$1:$1,0)+1,FALSE)</f>
        <v>60</v>
      </c>
      <c r="J13" s="171">
        <f ca="1">VLOOKUP($H13,OFFSET(floors!$A$1,0,0,COUNTA(floors!$A:$A),MATCH(J$1,floors!$1:$1,0)-MATCH($H$1,floors!$1:$1,0)+1),MATCH(J$1,floors!$1:$1,0)-MATCH($H$1,floors!$1:$1,0)+1,FALSE)</f>
        <v>60</v>
      </c>
      <c r="K13" s="172">
        <v>4</v>
      </c>
      <c r="L13" s="173">
        <v>766</v>
      </c>
      <c r="M13" s="174" t="str">
        <f ca="1">VLOOKUP($L13,OFFSET([3]enemies!$A$1,0,0,COUNTA([3]enemies!$A:$A),MATCH(M$1,[3]enemies!$1:$1,0)-MATCH($L$1,[3]enemies!$1:$1,0)+1),MATCH(M$1,[3]enemies!$1:$1,0)-MATCH($L$1,[3]enemies!$1:$1,0)+1,FALSE)</f>
        <v>ランドラグ</v>
      </c>
      <c r="N13" s="174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4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4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4">
        <f ca="1">VLOOKUP($L13,OFFSET([3]enemies!$A$1,0,0,COUNTA([3]enemies!$A:$A),MATCH(Q$1,[3]enemies!$1:$1,0)-MATCH($L$1,[3]enemies!$1:$1,0)+1),MATCH(Q$1,[3]enemies!$1:$1,0)-MATCH($L$1,[3]enemies!$1:$1,0)+1,FALSE)</f>
        <v>30</v>
      </c>
      <c r="R13" s="175">
        <v>50</v>
      </c>
      <c r="S13" s="176">
        <v>1</v>
      </c>
      <c r="T13" s="176">
        <v>1</v>
      </c>
      <c r="U13" s="175">
        <v>0</v>
      </c>
      <c r="V13" s="171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115">
        <v>30032007</v>
      </c>
      <c r="X13" s="177">
        <v>0</v>
      </c>
      <c r="Y13" s="177">
        <v>100</v>
      </c>
      <c r="Z13" s="177">
        <v>1</v>
      </c>
      <c r="AA13" s="174">
        <f ca="1">VLOOKUP($L13,OFFSET([3]enemies!$A$1,0,0,COUNTA([3]enemies!$A:$A),MATCH(AA$1,[3]enemies!$1:$1,0)-MATCH($L$1,[3]enemies!$1:$1,0)+1),MATCH(AA$1,[3]enemies!$1:$1,0)-MATCH($L$1,[3]enemies!$1:$1,0)+1,FALSE)</f>
        <v>3</v>
      </c>
      <c r="AB13" s="178">
        <f t="shared" si="3"/>
        <v>766</v>
      </c>
      <c r="AC13" s="171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ランドラグ</v>
      </c>
      <c r="AD13" s="171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171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179">
        <v>1</v>
      </c>
      <c r="AG13" s="178">
        <f t="shared" ca="1" si="4"/>
        <v>4</v>
      </c>
      <c r="AH13" s="180">
        <v>50</v>
      </c>
      <c r="AI13" s="179">
        <v>0</v>
      </c>
      <c r="AJ13" s="179">
        <v>0</v>
      </c>
      <c r="AK13" s="179">
        <v>0</v>
      </c>
      <c r="AL13" s="179">
        <v>0</v>
      </c>
      <c r="AM13" s="179">
        <v>1</v>
      </c>
      <c r="AN13" s="181">
        <v>1</v>
      </c>
    </row>
    <row r="14" spans="1:40" ht="21" customHeight="1" x14ac:dyDescent="0.15">
      <c r="A14" s="16" t="str">
        <f t="shared" si="0"/>
        <v>30032_3-1/511&lt;lv50&gt;s3</v>
      </c>
      <c r="B14" s="22">
        <v>30032</v>
      </c>
      <c r="C14" s="134">
        <v>3</v>
      </c>
      <c r="D14" s="135" t="str">
        <f t="shared" si="1"/>
        <v>30032_3</v>
      </c>
      <c r="E14" s="4" t="str">
        <f ca="1">VLOOKUP($B14,OFFSET([2]quests!$A$1,0,0,COUNTA([2]quests!$A:$A),MATCH(E$1,[2]quests!$1:$1,0)-MATCH($B$1,[2]quests!$1:$1,0)+1),MATCH(E$1,[2]quests!$1:$1,0)-MATCH($B$1,[2]quests!$1:$1,0)+1,FALSE)</f>
        <v>赤き竜の制裁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【超級】赤き竜の制裁</v>
      </c>
      <c r="G14" s="134">
        <v>1</v>
      </c>
      <c r="H14" s="135" t="str">
        <f t="shared" si="2"/>
        <v>30032_3-1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136" t="s">
        <v>53</v>
      </c>
      <c r="L14" s="137">
        <v>511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灼き尽くす紅息 ヒュウガ・レアル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60</v>
      </c>
      <c r="R14" s="138">
        <v>50</v>
      </c>
      <c r="S14" s="139">
        <v>1</v>
      </c>
      <c r="T14" s="139">
        <v>1.1000000000000001</v>
      </c>
      <c r="U14" s="138">
        <v>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4" s="102">
        <v>30032001</v>
      </c>
      <c r="X14" s="140">
        <v>0</v>
      </c>
      <c r="Y14" s="140">
        <v>100</v>
      </c>
      <c r="Z14" s="140">
        <v>0</v>
      </c>
      <c r="AA14" s="17">
        <v>3</v>
      </c>
      <c r="AB14" s="141">
        <f t="shared" si="3"/>
        <v>511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灼き尽くす紅息 ヒュウガ・レアル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5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Drop2N</v>
      </c>
      <c r="AF14" s="142">
        <v>1</v>
      </c>
      <c r="AG14" s="141">
        <f t="shared" ca="1" si="4"/>
        <v>5</v>
      </c>
      <c r="AH14" s="143">
        <v>0</v>
      </c>
      <c r="AI14" s="142">
        <v>0</v>
      </c>
      <c r="AJ14" s="142">
        <v>0</v>
      </c>
      <c r="AK14" s="142">
        <v>0</v>
      </c>
      <c r="AL14" s="142">
        <v>0</v>
      </c>
      <c r="AM14" s="142">
        <v>1</v>
      </c>
      <c r="AN14" s="144">
        <v>1</v>
      </c>
    </row>
    <row r="15" spans="1:40" ht="21" customHeight="1" x14ac:dyDescent="0.15">
      <c r="A15" s="16" t="str">
        <f t="shared" ref="A15:A19" si="5">B15&amp;"_"&amp;C15&amp;"-"&amp;G15&amp;"/"&amp;L15&amp;"&lt;lv"&amp;R15&amp;"&gt;s"&amp;AA15</f>
        <v>30032_3-2/593&lt;lv50&gt;s2</v>
      </c>
      <c r="B15" s="22">
        <v>30032</v>
      </c>
      <c r="C15" s="21">
        <v>3</v>
      </c>
      <c r="D15" s="2" t="str">
        <f t="shared" ref="D15:D19" si="6">B15&amp;"_"&amp;C15</f>
        <v>30032_3</v>
      </c>
      <c r="E15" s="4" t="str">
        <f ca="1">VLOOKUP($B15,OFFSET([2]quests!$A$1,0,0,COUNTA([2]quests!$A:$A),MATCH(E$1,[2]quests!$1:$1,0)-MATCH($B$1,[2]quests!$1:$1,0)+1),MATCH(E$1,[2]quests!$1:$1,0)-MATCH($B$1,[2]quests!$1:$1,0)+1,FALSE)</f>
        <v>赤き竜の制裁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【超級】赤き竜の制裁</v>
      </c>
      <c r="G15" s="21">
        <v>2</v>
      </c>
      <c r="H15" s="15" t="str">
        <f t="shared" ref="H15:H19" si="7">B15&amp;"_"&amp;C15&amp;"-"&amp;G15</f>
        <v>30032_3-2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5</v>
      </c>
      <c r="L15" s="20">
        <v>593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妄執する邪毒龍 ファフニール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50</v>
      </c>
      <c r="S15" s="25">
        <v>0.8</v>
      </c>
      <c r="T15" s="25">
        <v>1</v>
      </c>
      <c r="U15" s="5">
        <v>0</v>
      </c>
      <c r="V15" s="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5" s="47">
        <v>30032002</v>
      </c>
      <c r="X15" s="6">
        <v>0</v>
      </c>
      <c r="Y15" s="6">
        <v>100</v>
      </c>
      <c r="Z15" s="6">
        <v>1</v>
      </c>
      <c r="AA15" s="17">
        <v>2</v>
      </c>
      <c r="AB15" s="24">
        <f t="shared" ref="AB15:AB19" si="8">L15</f>
        <v>593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妄執する邪毒龍 ファフニール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5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5" s="7">
        <v>1</v>
      </c>
      <c r="AG15" s="24">
        <f t="shared" ref="AG15:AG19" ca="1" si="9">AD15</f>
        <v>5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5"/>
        <v>30032_3-3/22&lt;lv40&gt;s2</v>
      </c>
      <c r="B16" s="22">
        <v>30032</v>
      </c>
      <c r="C16" s="21">
        <v>3</v>
      </c>
      <c r="D16" s="2" t="str">
        <f t="shared" si="6"/>
        <v>30032_3</v>
      </c>
      <c r="E16" s="4" t="str">
        <f ca="1">VLOOKUP($B16,OFFSET([2]quests!$A$1,0,0,COUNTA([2]quests!$A:$A),MATCH(E$1,[2]quests!$1:$1,0)-MATCH($B$1,[2]quests!$1:$1,0)+1),MATCH(E$1,[2]quests!$1:$1,0)-MATCH($B$1,[2]quests!$1:$1,0)+1,FALSE)</f>
        <v>赤き竜の制裁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【超級】赤き竜の制裁</v>
      </c>
      <c r="G16" s="21">
        <v>3</v>
      </c>
      <c r="H16" s="15" t="str">
        <f t="shared" si="7"/>
        <v>30032_3-3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22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突然変異ヴェロキー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40</v>
      </c>
      <c r="S16" s="25">
        <v>1</v>
      </c>
      <c r="T16" s="25">
        <v>1</v>
      </c>
      <c r="U16" s="5">
        <v>0</v>
      </c>
      <c r="V16" s="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6" s="47">
        <v>30032004</v>
      </c>
      <c r="X16" s="6">
        <v>0</v>
      </c>
      <c r="Y16" s="6">
        <v>100</v>
      </c>
      <c r="Z16" s="6">
        <v>0</v>
      </c>
      <c r="AA16" s="17">
        <v>2</v>
      </c>
      <c r="AB16" s="24">
        <f t="shared" si="8"/>
        <v>22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7">
        <v>1</v>
      </c>
      <c r="AG16" s="24">
        <f t="shared" ca="1" si="9"/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ca="1" si="5"/>
        <v>30032_3-3/42&lt;lv40&gt;s1</v>
      </c>
      <c r="B17" s="22">
        <v>30032</v>
      </c>
      <c r="C17" s="21">
        <v>3</v>
      </c>
      <c r="D17" s="2" t="str">
        <f t="shared" si="6"/>
        <v>30032_3</v>
      </c>
      <c r="E17" s="4" t="str">
        <f ca="1">VLOOKUP($B17,OFFSET([2]quests!$A$1,0,0,COUNTA([2]quests!$A:$A),MATCH(E$1,[2]quests!$1:$1,0)-MATCH($B$1,[2]quests!$1:$1,0)+1),MATCH(E$1,[2]quests!$1:$1,0)-MATCH($B$1,[2]quests!$1:$1,0)+1,FALSE)</f>
        <v>赤き竜の制裁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【超級】赤き竜の制裁</v>
      </c>
      <c r="G17" s="21">
        <v>3</v>
      </c>
      <c r="H17" s="15" t="str">
        <f t="shared" si="7"/>
        <v>30032_3-3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42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燃えゆる吐息 ヒュウガ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dragon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40</v>
      </c>
      <c r="S17" s="25">
        <v>1</v>
      </c>
      <c r="T17" s="25">
        <v>1</v>
      </c>
      <c r="U17" s="5">
        <v>0</v>
      </c>
      <c r="V17" s="4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7" s="47">
        <v>30032005</v>
      </c>
      <c r="X17" s="6">
        <v>0</v>
      </c>
      <c r="Y17" s="6">
        <v>100</v>
      </c>
      <c r="Z17" s="6">
        <v>1</v>
      </c>
      <c r="AA17" s="17">
        <f ca="1">VLOOKUP($L17,OFFSET([3]enemies!$A$1,0,0,COUNTA([3]enemies!$A:$A),MATCH(AA$1,[3]enemies!$1:$1,0)-MATCH($L$1,[3]enemies!$1:$1,0)+1),MATCH(AA$1,[3]enemies!$1:$1,0)-MATCH($L$1,[3]enemies!$1:$1,0)+1,FALSE)</f>
        <v>1</v>
      </c>
      <c r="AB17" s="24">
        <f t="shared" si="8"/>
        <v>42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燃えゆる吐息 ヒュウガ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7">
        <v>1</v>
      </c>
      <c r="AG17" s="24">
        <f t="shared" ca="1" si="9"/>
        <v>3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si="5"/>
        <v>30032_3-3/74&lt;lv50&gt;s2</v>
      </c>
      <c r="B18" s="22">
        <v>30032</v>
      </c>
      <c r="C18" s="21">
        <v>3</v>
      </c>
      <c r="D18" s="2" t="str">
        <f t="shared" si="6"/>
        <v>30032_3</v>
      </c>
      <c r="E18" s="4" t="str">
        <f ca="1">VLOOKUP($B18,OFFSET([2]quests!$A$1,0,0,COUNTA([2]quests!$A:$A),MATCH(E$1,[2]quests!$1:$1,0)-MATCH($B$1,[2]quests!$1:$1,0)+1),MATCH(E$1,[2]quests!$1:$1,0)-MATCH($B$1,[2]quests!$1:$1,0)+1,FALSE)</f>
        <v>赤き竜の制裁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【超級】赤き竜の制裁</v>
      </c>
      <c r="G18" s="21">
        <v>3</v>
      </c>
      <c r="H18" s="15" t="str">
        <f t="shared" si="7"/>
        <v>30032_3-3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74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サンダーバード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50</v>
      </c>
      <c r="S18" s="25">
        <v>1</v>
      </c>
      <c r="T18" s="25">
        <v>0.9</v>
      </c>
      <c r="U18" s="5">
        <v>0</v>
      </c>
      <c r="V18" s="4" t="e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8" s="47">
        <v>30032006</v>
      </c>
      <c r="X18" s="6">
        <v>0</v>
      </c>
      <c r="Y18" s="6">
        <v>100</v>
      </c>
      <c r="Z18" s="6">
        <v>2</v>
      </c>
      <c r="AA18" s="17">
        <v>2</v>
      </c>
      <c r="AB18" s="24">
        <f t="shared" si="8"/>
        <v>74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7">
        <v>1</v>
      </c>
      <c r="AG18" s="24">
        <f t="shared" ca="1" si="9"/>
        <v>2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ca="1" si="5"/>
        <v>30032_3-4/766&lt;lv65&gt;s3</v>
      </c>
      <c r="B19" s="22">
        <v>30032</v>
      </c>
      <c r="C19" s="21">
        <v>3</v>
      </c>
      <c r="D19" s="2" t="str">
        <f t="shared" si="6"/>
        <v>30032_3</v>
      </c>
      <c r="E19" s="4" t="str">
        <f ca="1">VLOOKUP($B19,OFFSET([2]quests!$A$1,0,0,COUNTA([2]quests!$A:$A),MATCH(E$1,[2]quests!$1:$1,0)-MATCH($B$1,[2]quests!$1:$1,0)+1),MATCH(E$1,[2]quests!$1:$1,0)-MATCH($B$1,[2]quests!$1:$1,0)+1,FALSE)</f>
        <v>赤き竜の制裁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【超級】赤き竜の制裁</v>
      </c>
      <c r="G19" s="21">
        <v>4</v>
      </c>
      <c r="H19" s="15" t="str">
        <f t="shared" si="7"/>
        <v>30032_3-4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6</v>
      </c>
      <c r="L19" s="20">
        <v>766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ランドラグ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dragon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65</v>
      </c>
      <c r="S19" s="25">
        <v>1.1000000000000001</v>
      </c>
      <c r="T19" s="25">
        <v>1.1000000000000001</v>
      </c>
      <c r="U19" s="5">
        <v>0</v>
      </c>
      <c r="V19" s="4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9" s="47">
        <v>30032007</v>
      </c>
      <c r="X19" s="6">
        <v>0</v>
      </c>
      <c r="Y19" s="6">
        <v>100</v>
      </c>
      <c r="Z19" s="6">
        <v>1</v>
      </c>
      <c r="AA19" s="17">
        <f ca="1">VLOOKUP($L19,OFFSET([3]enemies!$A$1,0,0,COUNTA([3]enemies!$A:$A),MATCH(AA$1,[3]enemies!$1:$1,0)-MATCH($L$1,[3]enemies!$1:$1,0)+1),MATCH(AA$1,[3]enemies!$1:$1,0)-MATCH($L$1,[3]enemies!$1:$1,0)+1,FALSE)</f>
        <v>3</v>
      </c>
      <c r="AB19" s="24">
        <f t="shared" si="8"/>
        <v>766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ランドラグ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4">
        <f t="shared" ca="1" si="9"/>
        <v>4</v>
      </c>
      <c r="AH19" s="8">
        <v>100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topLeftCell="G1" workbookViewId="0">
      <selection activeCell="J8" sqref="J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31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 t="shared" ref="A2:A7" si="0">B2&amp;"_"&amp;C2&amp;"-"&amp;G2&amp;"/"&amp;M2&amp;"&lt;lv"&amp;S2&amp;"&gt;sq"&amp;K2&amp;"st"&amp;L2</f>
        <v>30032_1-2/593&lt;lv30&gt;sq1st2</v>
      </c>
      <c r="B2" s="22">
        <v>30032</v>
      </c>
      <c r="C2" s="21">
        <v>1</v>
      </c>
      <c r="D2" s="2" t="str">
        <f t="shared" ref="D2:D7" si="1">B2&amp;"_"&amp;C2</f>
        <v>30032_1</v>
      </c>
      <c r="E2" s="4" t="str">
        <f ca="1">VLOOKUP($B2,OFFSET([2]quests!$A$1,0,0,COUNTA([2]quests!$A:$A),MATCH(E$1,[2]quests!$1:$1,0)-MATCH($B$1,[2]quests!$1:$1,0)+1),MATCH(E$1,[2]quests!$1:$1,0)-MATCH($B$1,[2]quests!$1:$1,0)+1,FALSE)</f>
        <v>赤き竜の制裁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【中級】赤き竜の制裁</v>
      </c>
      <c r="G2" s="21">
        <v>2</v>
      </c>
      <c r="H2" s="15" t="str">
        <f t="shared" ref="H2:H7" si="2">B2&amp;"_"&amp;C2&amp;"-"&amp;G2</f>
        <v>30032_1-2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593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妄執する邪毒龍 ファフニール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25">
        <v>1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7">
        <v>30032003</v>
      </c>
      <c r="Y2" s="70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6" t="str">
        <f t="shared" si="0"/>
        <v>30032_1-4/767&lt;lv40&gt;sq2st2</v>
      </c>
      <c r="B3" s="22">
        <v>30032</v>
      </c>
      <c r="C3" s="21">
        <v>1</v>
      </c>
      <c r="D3" s="2" t="str">
        <f t="shared" si="1"/>
        <v>30032_1</v>
      </c>
      <c r="E3" s="4" t="str">
        <f ca="1">VLOOKUP($B3,OFFSET([2]quests!$A$1,0,0,COUNTA([2]quests!$A:$A),MATCH(E$1,[2]quests!$1:$1,0)-MATCH($B$1,[2]quests!$1:$1,0)+1),MATCH(E$1,[2]quests!$1:$1,0)-MATCH($B$1,[2]quests!$1:$1,0)+1,FALSE)</f>
        <v>赤き竜の制裁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【中級】赤き竜の制裁</v>
      </c>
      <c r="G3" s="21">
        <v>4</v>
      </c>
      <c r="H3" s="15" t="str">
        <f t="shared" si="2"/>
        <v>30032_1-4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767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灼炎業竜 ランドラグ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1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7">
        <v>30032009</v>
      </c>
      <c r="Y3" s="70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6" t="str">
        <f t="shared" si="0"/>
        <v>30032_2-2/593&lt;lv40&gt;sq3st2</v>
      </c>
      <c r="B4" s="22">
        <v>30032</v>
      </c>
      <c r="C4" s="21">
        <v>2</v>
      </c>
      <c r="D4" s="2" t="str">
        <f t="shared" si="1"/>
        <v>30032_2</v>
      </c>
      <c r="E4" s="4" t="str">
        <f ca="1">VLOOKUP($B4,OFFSET([2]quests!$A$1,0,0,COUNTA([2]quests!$A:$A),MATCH(E$1,[2]quests!$1:$1,0)-MATCH($B$1,[2]quests!$1:$1,0)+1),MATCH(E$1,[2]quests!$1:$1,0)-MATCH($B$1,[2]quests!$1:$1,0)+1,FALSE)</f>
        <v>赤き竜の制裁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【上級】赤き竜の制裁</v>
      </c>
      <c r="G4" s="21">
        <v>2</v>
      </c>
      <c r="H4" s="15" t="str">
        <f t="shared" si="2"/>
        <v>30032_2-2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593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妄執する邪毒龍 ファフニール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dragon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1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7">
        <v>30032003</v>
      </c>
      <c r="Y4" s="70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6" t="str">
        <f t="shared" si="0"/>
        <v>30032_2-4/767&lt;lv50&gt;sq4st2</v>
      </c>
      <c r="B5" s="22">
        <v>30032</v>
      </c>
      <c r="C5" s="21">
        <v>2</v>
      </c>
      <c r="D5" s="2" t="str">
        <f t="shared" si="1"/>
        <v>30032_2</v>
      </c>
      <c r="E5" s="4" t="str">
        <f ca="1">VLOOKUP($B5,OFFSET([2]quests!$A$1,0,0,COUNTA([2]quests!$A:$A),MATCH(E$1,[2]quests!$1:$1,0)-MATCH($B$1,[2]quests!$1:$1,0)+1),MATCH(E$1,[2]quests!$1:$1,0)-MATCH($B$1,[2]quests!$1:$1,0)+1,FALSE)</f>
        <v>赤き竜の制裁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【上級】赤き竜の制裁</v>
      </c>
      <c r="G5" s="21">
        <v>4</v>
      </c>
      <c r="H5" s="15" t="str">
        <f t="shared" si="2"/>
        <v>30032_2-4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767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灼炎業竜 ランドラグ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50</v>
      </c>
      <c r="T5" s="25">
        <v>1</v>
      </c>
      <c r="U5" s="25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7">
        <v>30032009</v>
      </c>
      <c r="Y5" s="70">
        <f ca="1">VLOOKUP($M5,OFFSET([3]enemies!$A$1,0,0,COUNTA([3]enemies!$A:$A),MATCH(Y$1,[3]enemies!$1:$1,0)-MATCH($M$1,[3]enemies!$1:$1,0)+1),MATCH(Y$1,[3]enemies!$1:$1,0)-MATCH($M$1,[3]enemies!$1:$1,0)+1,FALSE)</f>
        <v>3</v>
      </c>
    </row>
    <row r="6" spans="1:25" ht="21" customHeight="1" x14ac:dyDescent="0.15">
      <c r="A6" s="16" t="str">
        <f t="shared" si="0"/>
        <v>30032_3-2/593&lt;lv50&gt;sq5st2</v>
      </c>
      <c r="B6" s="22">
        <v>30032</v>
      </c>
      <c r="C6" s="21">
        <v>3</v>
      </c>
      <c r="D6" s="2" t="str">
        <f t="shared" si="1"/>
        <v>30032_3</v>
      </c>
      <c r="E6" s="4" t="str">
        <f ca="1">VLOOKUP($B6,OFFSET([2]quests!$A$1,0,0,COUNTA([2]quests!$A:$A),MATCH(E$1,[2]quests!$1:$1,0)-MATCH($B$1,[2]quests!$1:$1,0)+1),MATCH(E$1,[2]quests!$1:$1,0)-MATCH($B$1,[2]quests!$1:$1,0)+1,FALSE)</f>
        <v>赤き竜の制裁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【超級】赤き竜の制裁</v>
      </c>
      <c r="G6" s="21">
        <v>2</v>
      </c>
      <c r="H6" s="15" t="str">
        <f t="shared" si="2"/>
        <v>30032_3-2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5</v>
      </c>
      <c r="L6" s="38">
        <v>2</v>
      </c>
      <c r="M6" s="20">
        <v>593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妄執する邪毒龍 ファフニール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dragon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50</v>
      </c>
      <c r="T6" s="25">
        <v>0.7</v>
      </c>
      <c r="U6" s="25">
        <v>1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47">
        <v>30032003</v>
      </c>
      <c r="Y6" s="70">
        <f ca="1">VLOOKUP($M6,OFFSET([3]enemies!$A$1,0,0,COUNTA([3]enemies!$A:$A),MATCH(Y$1,[3]enemies!$1:$1,0)-MATCH($M$1,[3]enemies!$1:$1,0)+1),MATCH(Y$1,[3]enemies!$1:$1,0)-MATCH($M$1,[3]enemies!$1:$1,0)+1,FALSE)</f>
        <v>3</v>
      </c>
    </row>
    <row r="7" spans="1:25" ht="21" customHeight="1" x14ac:dyDescent="0.15">
      <c r="A7" s="16" t="str">
        <f t="shared" si="0"/>
        <v>30032_3-4/767&lt;lv65&gt;sq6st2</v>
      </c>
      <c r="B7" s="22">
        <v>30032</v>
      </c>
      <c r="C7" s="21">
        <v>3</v>
      </c>
      <c r="D7" s="2" t="str">
        <f t="shared" si="1"/>
        <v>30032_3</v>
      </c>
      <c r="E7" s="4" t="str">
        <f ca="1">VLOOKUP($B7,OFFSET([2]quests!$A$1,0,0,COUNTA([2]quests!$A:$A),MATCH(E$1,[2]quests!$1:$1,0)-MATCH($B$1,[2]quests!$1:$1,0)+1),MATCH(E$1,[2]quests!$1:$1,0)-MATCH($B$1,[2]quests!$1:$1,0)+1,FALSE)</f>
        <v>赤き竜の制裁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【超級】赤き竜の制裁</v>
      </c>
      <c r="G7" s="21">
        <v>4</v>
      </c>
      <c r="H7" s="15" t="str">
        <f t="shared" si="2"/>
        <v>30032_3-4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6</v>
      </c>
      <c r="L7" s="38">
        <v>2</v>
      </c>
      <c r="M7" s="20">
        <v>767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灼炎業竜 ランドラグ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dragon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65</v>
      </c>
      <c r="T7" s="25">
        <v>1.3</v>
      </c>
      <c r="U7" s="25">
        <v>1.1000000000000001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47">
        <v>30032008</v>
      </c>
      <c r="Y7" s="70">
        <f ca="1">VLOOKUP($M7,OFFSET([3]enemies!$A$1,0,0,COUNTA([3]enemies!$A:$A),MATCH(Y$1,[3]enemies!$1:$1,0)-MATCH($M$1,[3]enemies!$1:$1,0)+1),MATCH(Y$1,[3]enemies!$1:$1,0)-MATCH($M$1,[3]enemies!$1:$1,0)+1,FALSE)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4" sqref="E34"/>
    </sheetView>
  </sheetViews>
  <sheetFormatPr baseColWidth="12" defaultColWidth="12.83203125" defaultRowHeight="21" customHeight="1" outlineLevelCol="1" x14ac:dyDescent="0.15"/>
  <cols>
    <col min="1" max="1" width="16.33203125" style="39" customWidth="1"/>
    <col min="2" max="3" width="15.83203125" style="49" customWidth="1"/>
    <col min="4" max="4" width="29.5" style="49" customWidth="1" outlineLevel="1"/>
    <col min="5" max="5" width="44.1640625" style="49" bestFit="1" customWidth="1" outlineLevel="1"/>
    <col min="6" max="6" width="17.1640625" style="49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30032001_30032001</v>
      </c>
      <c r="B2" s="47">
        <v>30032001</v>
      </c>
      <c r="C2" s="47">
        <v>30032001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ヒート・アトモスフィア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5ターンの間青パネルの出現率小DOWN</v>
      </c>
      <c r="F2" s="47">
        <v>30032001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51" t="s">
        <v>210</v>
      </c>
    </row>
    <row r="3" spans="1:18" ht="21" customHeight="1" x14ac:dyDescent="0.15">
      <c r="A3" s="39" t="str">
        <f t="shared" ref="A3:A29" si="1">B3&amp;"_"&amp;C3</f>
        <v>30032001_30032002</v>
      </c>
      <c r="B3" s="47">
        <v>30032001</v>
      </c>
      <c r="C3" s="47">
        <v>30032002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逃がさんぞッ！！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次のターン赤パネル吸収で攻撃力UP_x000D_＋攻撃頻度が1ターンにUP</v>
      </c>
      <c r="F3" s="47">
        <v>30032002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51" t="s">
        <v>212</v>
      </c>
    </row>
    <row r="4" spans="1:18" ht="21" customHeight="1" x14ac:dyDescent="0.15">
      <c r="A4" s="39" t="str">
        <f t="shared" si="1"/>
        <v>30032001_30032003</v>
      </c>
      <c r="B4" s="47">
        <v>30032001</v>
      </c>
      <c r="C4" s="47">
        <v>30032003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炎よ我が力となれ！！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吸収した赤パネルが多いほど攻撃力UP</v>
      </c>
      <c r="F4" s="47">
        <v>30032003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51" t="s">
        <v>213</v>
      </c>
    </row>
    <row r="5" spans="1:18" ht="21" customHeight="1" x14ac:dyDescent="0.15">
      <c r="A5" s="39" t="str">
        <f t="shared" si="1"/>
        <v>30032001_30032004</v>
      </c>
      <c r="B5" s="47">
        <v>30032001</v>
      </c>
      <c r="C5" s="47">
        <v>30032004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バーニング・ブリーズ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攻撃＋最大３個の緑パネルが赤パネルに変化</v>
      </c>
      <c r="F5" s="47">
        <v>30032004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5" s="47"/>
      <c r="Q5" s="47"/>
      <c r="R5" s="51" t="s">
        <v>214</v>
      </c>
    </row>
    <row r="6" spans="1:18" ht="21" customHeight="1" x14ac:dyDescent="0.15">
      <c r="A6" s="39" t="str">
        <f t="shared" si="1"/>
        <v>30032002_30032005</v>
      </c>
      <c r="B6" s="47">
        <v>30032002</v>
      </c>
      <c r="C6" s="47">
        <v>30032005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トキシックブレス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5ターンダメージを受けるウィルス</v>
      </c>
      <c r="F6" s="47">
        <v>30032001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51" t="s">
        <v>236</v>
      </c>
    </row>
    <row r="7" spans="1:18" ht="21" customHeight="1" x14ac:dyDescent="0.15">
      <c r="A7" s="39" t="str">
        <f t="shared" si="1"/>
        <v>30032002_30032006</v>
      </c>
      <c r="B7" s="47">
        <v>30032002</v>
      </c>
      <c r="C7" s="47">
        <v>30032006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漏洩する強欲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種族Unknownのユニットに大ダメージ</v>
      </c>
      <c r="F7" s="47">
        <v>30032016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7"/>
      <c r="Q7" s="47"/>
      <c r="R7" s="51" t="s">
        <v>237</v>
      </c>
    </row>
    <row r="8" spans="1:18" ht="21" customHeight="1" x14ac:dyDescent="0.15">
      <c r="A8" s="39" t="str">
        <f t="shared" si="1"/>
        <v>30032002_30032007</v>
      </c>
      <c r="B8" s="47">
        <v>30032002</v>
      </c>
      <c r="C8" s="47">
        <v>30032007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伝播する妄執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7">
        <v>30032015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8" s="47"/>
      <c r="Q8" s="47"/>
      <c r="R8" s="51" t="s">
        <v>238</v>
      </c>
    </row>
    <row r="9" spans="1:18" ht="21" customHeight="1" x14ac:dyDescent="0.15">
      <c r="A9" s="39" t="str">
        <f t="shared" si="1"/>
        <v>30032003_30032008</v>
      </c>
      <c r="B9" s="47">
        <v>30032003</v>
      </c>
      <c r="C9" s="47">
        <v>30032008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暴走する強欲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9" s="47">
        <v>30032001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51" t="s">
        <v>217</v>
      </c>
    </row>
    <row r="10" spans="1:18" ht="21" customHeight="1" x14ac:dyDescent="0.15">
      <c r="A10" s="39" t="str">
        <f t="shared" si="1"/>
        <v>30032003_30032009</v>
      </c>
      <c r="B10" s="47">
        <v>30032003</v>
      </c>
      <c r="C10" s="47">
        <v>30032009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オレの宝に触るな！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防御力UPバフ解除＋2回全体攻撃</v>
      </c>
      <c r="F10" s="47">
        <v>30032007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51" t="s">
        <v>216</v>
      </c>
    </row>
    <row r="11" spans="1:18" ht="21" customHeight="1" x14ac:dyDescent="0.15">
      <c r="A11" s="39" t="str">
        <f t="shared" si="1"/>
        <v>30032003_30032010</v>
      </c>
      <c r="B11" s="47">
        <v>30032003</v>
      </c>
      <c r="C11" s="47">
        <v>30032010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癒しの宝玉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回復</v>
      </c>
      <c r="F11" s="47">
        <v>30032008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" s="47"/>
      <c r="Q11" s="47"/>
      <c r="R11" s="51" t="s">
        <v>218</v>
      </c>
    </row>
    <row r="12" spans="1:18" ht="21" customHeight="1" x14ac:dyDescent="0.15">
      <c r="A12" s="39" t="str">
        <f t="shared" si="1"/>
        <v>30032003_30032011</v>
      </c>
      <c r="B12" s="47">
        <v>30032003</v>
      </c>
      <c r="C12" s="47">
        <v>30032011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お宝独り占め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3ターン黄パネルが使えない！</v>
      </c>
      <c r="F12" s="47">
        <v>30032002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51" t="s">
        <v>219</v>
      </c>
    </row>
    <row r="13" spans="1:18" ht="21" customHeight="1" x14ac:dyDescent="0.15">
      <c r="A13" s="39" t="str">
        <f t="shared" si="1"/>
        <v>30032004_30032012</v>
      </c>
      <c r="B13" s="47">
        <v>30032004</v>
      </c>
      <c r="C13" s="47">
        <v>30032012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リトルファイア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13" s="47">
        <v>30032006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/>
      <c r="Q13" s="47"/>
      <c r="R13" s="51" t="s">
        <v>220</v>
      </c>
    </row>
    <row r="14" spans="1:18" ht="21" customHeight="1" x14ac:dyDescent="0.15">
      <c r="A14" s="39" t="str">
        <f t="shared" ref="A14" si="2">B14&amp;"_"&amp;C14</f>
        <v>30032004_30032014</v>
      </c>
      <c r="B14" s="47">
        <v>30032004</v>
      </c>
      <c r="C14" s="47">
        <v>30032014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エスケープ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逃げていった…</v>
      </c>
      <c r="F14" s="47">
        <v>30032009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51" t="s">
        <v>220</v>
      </c>
    </row>
    <row r="15" spans="1:18" ht="21" customHeight="1" x14ac:dyDescent="0.15">
      <c r="A15" s="39" t="str">
        <f t="shared" ref="A15" si="3">B15&amp;"_"&amp;C15</f>
        <v>30032005_30032013</v>
      </c>
      <c r="B15" s="47">
        <v>30032005</v>
      </c>
      <c r="C15" s="47">
        <v>30032013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デュアルバーン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5" s="47">
        <v>30032005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5" s="47"/>
      <c r="Q15" s="47"/>
      <c r="R15" s="51" t="s">
        <v>221</v>
      </c>
    </row>
    <row r="16" spans="1:18" ht="21" customHeight="1" x14ac:dyDescent="0.15">
      <c r="A16" s="39" t="str">
        <f t="shared" si="1"/>
        <v>30032005_30032014</v>
      </c>
      <c r="B16" s="47">
        <v>30032005</v>
      </c>
      <c r="C16" s="47">
        <v>30032014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エスケープ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逃げていった…</v>
      </c>
      <c r="F16" s="47">
        <v>30032009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51" t="s">
        <v>221</v>
      </c>
    </row>
    <row r="17" spans="1:18" ht="21" customHeight="1" x14ac:dyDescent="0.15">
      <c r="A17" s="39" t="str">
        <f t="shared" si="1"/>
        <v>30032006_30032015</v>
      </c>
      <c r="B17" s="47">
        <v>30032006</v>
      </c>
      <c r="C17" s="47">
        <v>30032015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スパーク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最大３個の青パネルが黄パネルに変換</v>
      </c>
      <c r="F17" s="47">
        <v>30032005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7" s="47"/>
      <c r="Q17" s="47"/>
      <c r="R17" s="51" t="s">
        <v>251</v>
      </c>
    </row>
    <row r="18" spans="1:18" ht="21" customHeight="1" thickBot="1" x14ac:dyDescent="0.2">
      <c r="A18" s="39" t="str">
        <f t="shared" ref="A18" si="4">B18&amp;"_"&amp;C18</f>
        <v>30032006_30032014</v>
      </c>
      <c r="B18" s="98">
        <v>30032006</v>
      </c>
      <c r="C18" s="98">
        <v>30032014</v>
      </c>
      <c r="D18" s="99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エスケープ</v>
      </c>
      <c r="E18" s="99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逃げていった…</v>
      </c>
      <c r="F18" s="98">
        <v>30032009</v>
      </c>
      <c r="G18" s="100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00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8" s="100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00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" s="100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00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100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00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00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98"/>
      <c r="Q18" s="98"/>
      <c r="R18" s="101" t="s">
        <v>251</v>
      </c>
    </row>
    <row r="19" spans="1:18" s="111" customFormat="1" ht="21" customHeight="1" x14ac:dyDescent="0.15">
      <c r="A19" s="106" t="str">
        <f t="shared" si="1"/>
        <v>30032007_30032016</v>
      </c>
      <c r="B19" s="107">
        <v>30032007</v>
      </c>
      <c r="C19" s="107">
        <v>30032016</v>
      </c>
      <c r="D19" s="108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咆哮</v>
      </c>
      <c r="E19" s="108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出現しているCパネルが大幅に縮小</v>
      </c>
      <c r="F19" s="107">
        <v>30032001</v>
      </c>
      <c r="G19" s="109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109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109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09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09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09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09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09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09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07"/>
      <c r="Q19" s="107"/>
      <c r="R19" s="110" t="s">
        <v>249</v>
      </c>
    </row>
    <row r="20" spans="1:18" s="113" customFormat="1" ht="21" customHeight="1" x14ac:dyDescent="0.15">
      <c r="A20" s="112" t="str">
        <f t="shared" si="1"/>
        <v>30032007_30032017</v>
      </c>
      <c r="B20" s="47">
        <v>30032007</v>
      </c>
      <c r="C20" s="47">
        <v>30032017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灼熱衝撃波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全てのスキル効果を解除＋全体攻撃</v>
      </c>
      <c r="F20" s="47">
        <v>30032010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8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51" t="s">
        <v>224</v>
      </c>
    </row>
    <row r="21" spans="1:18" s="113" customFormat="1" ht="21" customHeight="1" x14ac:dyDescent="0.15">
      <c r="A21" s="112" t="str">
        <f t="shared" si="1"/>
        <v>30032007_30032018</v>
      </c>
      <c r="B21" s="47">
        <v>30032007</v>
      </c>
      <c r="C21" s="47">
        <v>30032018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鋭い爪の一撃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47">
        <v>30032006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1" s="47"/>
      <c r="Q21" s="47"/>
      <c r="R21" s="51" t="s">
        <v>225</v>
      </c>
    </row>
    <row r="22" spans="1:18" s="119" customFormat="1" ht="21" customHeight="1" thickBot="1" x14ac:dyDescent="0.2">
      <c r="A22" s="114" t="str">
        <f t="shared" si="1"/>
        <v>30032007_30032019</v>
      </c>
      <c r="B22" s="115">
        <v>30032007</v>
      </c>
      <c r="C22" s="115">
        <v>30032019</v>
      </c>
      <c r="D22" s="11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熱暴走</v>
      </c>
      <c r="E22" s="11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22" s="115">
        <v>30032014</v>
      </c>
      <c r="G22" s="11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1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11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1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11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1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1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1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1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15"/>
      <c r="Q22" s="115"/>
      <c r="R22" s="118" t="s">
        <v>226</v>
      </c>
    </row>
    <row r="23" spans="1:18" s="111" customFormat="1" ht="21" customHeight="1" x14ac:dyDescent="0.15">
      <c r="A23" s="106" t="str">
        <f t="shared" si="1"/>
        <v>30032008_30032020</v>
      </c>
      <c r="B23" s="107">
        <v>30032008</v>
      </c>
      <c r="C23" s="107">
        <v>30032020</v>
      </c>
      <c r="D23" s="108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雷エネルギー吸収</v>
      </c>
      <c r="E23" s="108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黄パネルを吸収して１ターン攻撃力UP_x000D_＋２ターンの間攻撃頻度が１ターンにUP</v>
      </c>
      <c r="F23" s="107">
        <v>30032001</v>
      </c>
      <c r="G23" s="109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109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109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09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09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09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109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09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09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07"/>
      <c r="Q23" s="107"/>
      <c r="R23" s="110" t="s">
        <v>245</v>
      </c>
    </row>
    <row r="24" spans="1:18" s="113" customFormat="1" ht="21" customHeight="1" x14ac:dyDescent="0.15">
      <c r="A24" s="112" t="str">
        <f t="shared" ref="A24:A27" si="5">B24&amp;"_"&amp;C24</f>
        <v>30032008_30032022</v>
      </c>
      <c r="B24" s="47">
        <v>30032008</v>
      </c>
      <c r="C24" s="47">
        <v>30032022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フレイムブレス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全体攻撃＆緑パネル１０個を赤パネルに変換</v>
      </c>
      <c r="F24" s="47">
        <v>30032011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51" t="s">
        <v>247</v>
      </c>
    </row>
    <row r="25" spans="1:18" s="113" customFormat="1" ht="21" customHeight="1" x14ac:dyDescent="0.15">
      <c r="A25" s="112" t="str">
        <f t="shared" si="5"/>
        <v>30032008_30032023</v>
      </c>
      <c r="B25" s="47">
        <v>30032008</v>
      </c>
      <c r="C25" s="47">
        <v>30032023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フレイムスキン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赤・緑・黄の攻撃スキルダメージを半減_x000D_＆青属性以外のユニットに大ダメージ</v>
      </c>
      <c r="F25" s="47">
        <v>30032013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51" t="s">
        <v>248</v>
      </c>
    </row>
    <row r="26" spans="1:18" s="113" customFormat="1" ht="21" customHeight="1" x14ac:dyDescent="0.15">
      <c r="A26" s="112" t="str">
        <f t="shared" si="5"/>
        <v>30032008_30032024</v>
      </c>
      <c r="B26" s="47">
        <v>30032008</v>
      </c>
      <c r="C26" s="47">
        <v>30032024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爆炎天国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緑パネルを赤パネルに変換＆ハートを_x000D_最大５個時限式ダメージパネルに変換</v>
      </c>
      <c r="F26" s="47">
        <v>30032002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51" t="s">
        <v>229</v>
      </c>
    </row>
    <row r="27" spans="1:18" s="119" customFormat="1" ht="21" customHeight="1" thickBot="1" x14ac:dyDescent="0.2">
      <c r="A27" s="114" t="str">
        <f t="shared" si="5"/>
        <v>30032008_30032025</v>
      </c>
      <c r="B27" s="115">
        <v>30032008</v>
      </c>
      <c r="C27" s="115">
        <v>30032025</v>
      </c>
      <c r="D27" s="11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大咆哮</v>
      </c>
      <c r="E27" s="11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出現しているCパネルが大幅に縮小</v>
      </c>
      <c r="F27" s="115">
        <v>30032012</v>
      </c>
      <c r="G27" s="11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1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" s="11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1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1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1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11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1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11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15"/>
      <c r="Q27" s="115"/>
      <c r="R27" s="118" t="s">
        <v>232</v>
      </c>
    </row>
    <row r="28" spans="1:18" ht="21" customHeight="1" x14ac:dyDescent="0.15">
      <c r="A28" s="39" t="str">
        <f t="shared" si="1"/>
        <v>30032009_30032021</v>
      </c>
      <c r="B28" s="102">
        <v>30032009</v>
      </c>
      <c r="C28" s="102">
        <v>30032021</v>
      </c>
      <c r="D28" s="10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……（大きく息を吸った！）</v>
      </c>
      <c r="E28" s="10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攻撃力UP&amp;次のターン強力な攻撃</v>
      </c>
      <c r="F28" s="102">
        <v>30032001</v>
      </c>
      <c r="G28" s="10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10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10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0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0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0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10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0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0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102"/>
      <c r="Q28" s="102"/>
      <c r="R28" s="105" t="s">
        <v>246</v>
      </c>
    </row>
    <row r="29" spans="1:18" ht="21" customHeight="1" x14ac:dyDescent="0.15">
      <c r="A29" s="39" t="str">
        <f t="shared" si="1"/>
        <v>30032009_30032022</v>
      </c>
      <c r="B29" s="47">
        <v>30032009</v>
      </c>
      <c r="C29" s="47">
        <v>30032022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フレイムブレス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全体攻撃＆緑パネル１０個を赤パネルに変換</v>
      </c>
      <c r="F29" s="47">
        <v>30032011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51" t="s">
        <v>227</v>
      </c>
    </row>
    <row r="30" spans="1:18" ht="21" customHeight="1" x14ac:dyDescent="0.15">
      <c r="A30" s="39" t="str">
        <f t="shared" ref="A30:A32" si="6">B30&amp;"_"&amp;C30</f>
        <v>30032009_30032023</v>
      </c>
      <c r="B30" s="47">
        <v>30032009</v>
      </c>
      <c r="C30" s="47">
        <v>30032023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フレイムスキン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赤・緑・黄の攻撃スキルダメージを半減_x000D_＆青属性以外のユニットに大ダメージ</v>
      </c>
      <c r="F30" s="47">
        <v>30032013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51" t="s">
        <v>228</v>
      </c>
    </row>
    <row r="31" spans="1:18" ht="21" customHeight="1" x14ac:dyDescent="0.15">
      <c r="A31" s="39" t="str">
        <f t="shared" si="6"/>
        <v>30032009_30032024</v>
      </c>
      <c r="B31" s="47">
        <v>30032009</v>
      </c>
      <c r="C31" s="47">
        <v>30032024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爆炎天国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緑パネルを赤パネルに変換＆ハートを_x000D_最大５個時限式ダメージパネルに変換</v>
      </c>
      <c r="F31" s="47">
        <v>30032002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51" t="s">
        <v>229</v>
      </c>
    </row>
    <row r="32" spans="1:18" ht="21" customHeight="1" x14ac:dyDescent="0.15">
      <c r="A32" s="39" t="str">
        <f t="shared" si="6"/>
        <v>30032009_30032025</v>
      </c>
      <c r="B32" s="47">
        <v>30032009</v>
      </c>
      <c r="C32" s="47">
        <v>30032025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大咆哮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出現しているCパネルが大幅に縮小</v>
      </c>
      <c r="F32" s="47">
        <v>30032012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51" t="s">
        <v>232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zoomScale="125" zoomScaleNormal="125" zoomScalePageLayoutView="125" workbookViewId="0">
      <selection activeCell="B2" sqref="B2"/>
    </sheetView>
  </sheetViews>
  <sheetFormatPr baseColWidth="12" defaultColWidth="12.83203125" defaultRowHeight="21" customHeight="1" outlineLevelCol="1" x14ac:dyDescent="0.15"/>
  <cols>
    <col min="1" max="1" width="16.5" style="49" customWidth="1"/>
    <col min="2" max="2" width="170.6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30032001</v>
      </c>
      <c r="B2" s="97" t="s">
        <v>209</v>
      </c>
      <c r="C2" s="50">
        <v>3</v>
      </c>
      <c r="D2" s="50" t="s">
        <v>127</v>
      </c>
      <c r="E2" s="51" t="s">
        <v>271</v>
      </c>
      <c r="F2" s="51" t="s">
        <v>268</v>
      </c>
      <c r="G2" s="63" t="str">
        <f>IFERROR(LEFT(B2,FIND("],",B2)),B2)</f>
        <v>[effect:change_panel_ratio, turn:5, block_type:blue, val:0.1, animation:block_incidence04]</v>
      </c>
      <c r="H2" s="63">
        <f>FIND("effect:",G2)+7</f>
        <v>9</v>
      </c>
      <c r="I2" s="63">
        <f>IFERROR(FIND(",",G2),LEN(G2))</f>
        <v>27</v>
      </c>
      <c r="J2" s="63" t="e">
        <f>FIND("target:",G2)+7</f>
        <v>#VALUE!</v>
      </c>
      <c r="K2" s="63">
        <f>FIND(",",G2,I2+1)</f>
        <v>35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none</v>
      </c>
      <c r="N2" s="48" t="str">
        <f>IFERROR(LEFT(M2,FIND("],",M2)+S13),M2)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 t="s">
        <v>208</v>
      </c>
      <c r="AA2" s="52">
        <v>42438</v>
      </c>
      <c r="AB2" s="51" t="s">
        <v>210</v>
      </c>
    </row>
    <row r="3" spans="1:28" ht="33" customHeight="1" x14ac:dyDescent="0.15">
      <c r="A3" s="47">
        <v>30032002</v>
      </c>
      <c r="B3" s="97" t="s">
        <v>250</v>
      </c>
      <c r="C3" s="50">
        <v>3</v>
      </c>
      <c r="D3" s="50" t="s">
        <v>127</v>
      </c>
      <c r="E3" s="51" t="s">
        <v>270</v>
      </c>
      <c r="F3" s="51" t="s">
        <v>325</v>
      </c>
      <c r="G3" s="63" t="str">
        <f>IFERROR(LEFT(B3,FIND("],",B3)),B3)</f>
        <v>[effect:rush, count:1, val:0.4]</v>
      </c>
      <c r="H3" s="63">
        <f>FIND("effect:",G3)+7</f>
        <v>9</v>
      </c>
      <c r="I3" s="63">
        <f>IFERROR(FIND(",",G3),LEN(G3))</f>
        <v>13</v>
      </c>
      <c r="J3" s="63" t="e">
        <f>FIND("target:",G3)+7</f>
        <v>#VALUE!</v>
      </c>
      <c r="K3" s="63">
        <f>FIND(",",G3,I3+1)</f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>IFERROR(RIGHT(B3,LEN(B3)-FIND("],",B3)-1),"none")</f>
        <v>[effect:freq_turn, target:myself, turn:-1, val:1, animation:enemy_freq_turn]</v>
      </c>
      <c r="N3" s="48" t="str">
        <f>IFERROR(LEFT(M3,FIND("],",M3)+S14),M3)</f>
        <v>[effect:freq_turn, target:myself, turn:-1, val:1, animation:enemy_freq_turn]</v>
      </c>
      <c r="O3" s="63">
        <f>FIND("effect:",N3)+7</f>
        <v>9</v>
      </c>
      <c r="P3" s="63">
        <f>IFERROR(FIND(",",N3),LEN(N3))</f>
        <v>18</v>
      </c>
      <c r="Q3" s="63">
        <f>FIND("target:",N3)+7</f>
        <v>27</v>
      </c>
      <c r="R3" s="63">
        <f>FIND(",",N3,P3+1)</f>
        <v>33</v>
      </c>
      <c r="S3" s="63" t="str">
        <f>IFERROR(VLOOKUP(MID(N3,Q3,R3-Q3),[6]skilldef!$C:$D,2,FALSE),"-") &amp; " / " &amp; IFERROR(VLOOKUP(MID(N3,O3,P3-O3),[6]skilldef!$A:$B,2,FALSE),"-")</f>
        <v>自分自身に / 攻撃頻度がUP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 t="s">
        <v>208</v>
      </c>
      <c r="AA3" s="52">
        <v>42438</v>
      </c>
      <c r="AB3" s="51" t="s">
        <v>212</v>
      </c>
    </row>
    <row r="4" spans="1:28" ht="21" customHeight="1" x14ac:dyDescent="0.15">
      <c r="A4" s="47">
        <v>30032003</v>
      </c>
      <c r="B4" s="97" t="s">
        <v>253</v>
      </c>
      <c r="C4" s="50">
        <v>3</v>
      </c>
      <c r="D4" s="50" t="s">
        <v>127</v>
      </c>
      <c r="E4" s="51" t="s">
        <v>319</v>
      </c>
      <c r="F4" s="51" t="s">
        <v>326</v>
      </c>
      <c r="G4" s="63" t="str">
        <f t="shared" ref="G4:G16" si="0">IFERROR(LEFT(B4,FIND("],",B4)),B4)</f>
        <v xml:space="preserve">[effect:break_enchance_enemy, val:0.1, lowest_val:0, count :-1, status:attack, turn:-1, block:block_red, target:myself, calc:mul, animation:enemy_enhance_attack]    </v>
      </c>
      <c r="H4" s="63">
        <f t="shared" ref="H4:H26" si="1">FIND("effect:",G4)+7</f>
        <v>9</v>
      </c>
      <c r="I4" s="63">
        <f t="shared" ref="I4:I16" si="2">IFERROR(FIND(",",G4),LEN(G4))</f>
        <v>29</v>
      </c>
      <c r="J4" s="63">
        <f t="shared" ref="J4:J16" si="3">FIND("target:",G4)+7</f>
        <v>113</v>
      </c>
      <c r="K4" s="63">
        <f t="shared" ref="K4:K16" si="4">FIND(",",G4,I4+1)</f>
        <v>38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ref="M4:M16" si="5">IFERROR(RIGHT(B4,LEN(B4)-FIND("],",B4)-1),"none")</f>
        <v>none</v>
      </c>
      <c r="N4" s="48" t="str">
        <f t="shared" ref="N4:N11" si="6">IFERROR(LEFT(M4,FIND("],",M4)+S14),M4)</f>
        <v>none</v>
      </c>
      <c r="O4" s="63" t="e">
        <f t="shared" ref="O4:O26" si="7">FIND("effect:",N4)+7</f>
        <v>#VALUE!</v>
      </c>
      <c r="P4" s="63">
        <f t="shared" ref="P4:P16" si="8">IFERROR(FIND(",",N4),LEN(N4))</f>
        <v>4</v>
      </c>
      <c r="Q4" s="63" t="e">
        <f t="shared" ref="Q4:Q16" si="9">FIND("target:",N4)+7</f>
        <v>#VALUE!</v>
      </c>
      <c r="R4" s="63" t="e">
        <f t="shared" ref="R4:R16" si="10"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:T16" si="11">IFERROR(RIGHT(M4,LEN(M4)-FIND("],",M4)-1),"none")</f>
        <v>none</v>
      </c>
      <c r="U4" s="63" t="e">
        <f t="shared" ref="U4:U26" si="12">FIND("effect:",T4)+7</f>
        <v>#VALUE!</v>
      </c>
      <c r="V4" s="63">
        <f t="shared" ref="V4:V16" si="13">IFERROR(FIND(",",T4),LEN(T4))</f>
        <v>4</v>
      </c>
      <c r="W4" s="63" t="e">
        <f t="shared" ref="W4:W16" si="14">FIND("target:",T4)+7</f>
        <v>#VALUE!</v>
      </c>
      <c r="X4" s="63" t="e">
        <f t="shared" ref="X4:X16" si="15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 t="s">
        <v>208</v>
      </c>
      <c r="AA4" s="52">
        <v>42438</v>
      </c>
      <c r="AB4" s="51" t="s">
        <v>213</v>
      </c>
    </row>
    <row r="5" spans="1:28" ht="21" customHeight="1" x14ac:dyDescent="0.15">
      <c r="A5" s="47">
        <v>30032004</v>
      </c>
      <c r="B5" s="97" t="s">
        <v>263</v>
      </c>
      <c r="C5" s="50">
        <v>3</v>
      </c>
      <c r="D5" s="50" t="s">
        <v>127</v>
      </c>
      <c r="E5" s="51" t="s">
        <v>272</v>
      </c>
      <c r="F5" s="51" t="s">
        <v>312</v>
      </c>
      <c r="G5" s="63" t="str">
        <f t="shared" si="0"/>
        <v>[effect:change_block, new_block:block_red, target:block_green, count:3, val:0, min_time_count:2, max_time_count:2, no_effect_msg:no_effect_msg_change_block, animation:change_block]</v>
      </c>
      <c r="H5" s="63">
        <f t="shared" si="1"/>
        <v>9</v>
      </c>
      <c r="I5" s="63">
        <f t="shared" si="2"/>
        <v>21</v>
      </c>
      <c r="J5" s="63">
        <f t="shared" si="3"/>
        <v>51</v>
      </c>
      <c r="K5" s="63">
        <f t="shared" si="4"/>
        <v>42</v>
      </c>
      <c r="L5" s="63" t="str">
        <f>IFERROR(VLOOKUP(MID(G5,J5,K5-J5),[6]skilldef!$C:$D,2,FALSE),"-") &amp; " / " &amp; IFERROR(VLOOKUP(MID(G5,H5,I5-H5),[6]skilldef!$A:$B,2,FALSE),"-")</f>
        <v>- / ブロック変換</v>
      </c>
      <c r="M5" s="63" t="str">
        <f t="shared" si="5"/>
        <v>[effect:rush, count:1, val:0.4]</v>
      </c>
      <c r="N5" s="48" t="str">
        <f t="shared" si="6"/>
        <v>[effect:rush, count:1, val:0.4]</v>
      </c>
      <c r="O5" s="63">
        <f t="shared" si="7"/>
        <v>9</v>
      </c>
      <c r="P5" s="63">
        <f t="shared" si="8"/>
        <v>13</v>
      </c>
      <c r="Q5" s="63" t="e">
        <f t="shared" si="9"/>
        <v>#VALUE!</v>
      </c>
      <c r="R5" s="63">
        <f t="shared" si="10"/>
        <v>22</v>
      </c>
      <c r="S5" s="63" t="str">
        <f>IFERROR(VLOOKUP(MID(N5,Q5,R5-Q5),[6]skilldef!$C:$D,2,FALSE),"-") &amp; " / " &amp; IFERROR(VLOOKUP(MID(N5,O5,P5-O5),[6]skilldef!$A:$B,2,FALSE),"-")</f>
        <v>- / 連続攻撃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 t="s">
        <v>208</v>
      </c>
      <c r="AA5" s="52">
        <v>42447</v>
      </c>
      <c r="AB5" s="51" t="s">
        <v>214</v>
      </c>
    </row>
    <row r="6" spans="1:28" ht="21" customHeight="1" x14ac:dyDescent="0.15">
      <c r="A6" s="47">
        <v>30032005</v>
      </c>
      <c r="B6" s="97" t="s">
        <v>252</v>
      </c>
      <c r="C6" s="50">
        <v>3</v>
      </c>
      <c r="D6" s="50" t="s">
        <v>127</v>
      </c>
      <c r="E6" s="51" t="s">
        <v>275</v>
      </c>
      <c r="F6" s="51" t="s">
        <v>313</v>
      </c>
      <c r="G6" s="63" t="str">
        <f t="shared" si="0"/>
        <v>[effect:virus, turn:5, rate:1, val:0.1, animation:enemy_virus]</v>
      </c>
      <c r="H6" s="63">
        <f t="shared" si="1"/>
        <v>9</v>
      </c>
      <c r="I6" s="63">
        <f t="shared" si="2"/>
        <v>14</v>
      </c>
      <c r="J6" s="63" t="e">
        <f t="shared" si="3"/>
        <v>#VALUE!</v>
      </c>
      <c r="K6" s="63">
        <f t="shared" si="4"/>
        <v>22</v>
      </c>
      <c r="L6" s="63" t="str">
        <f>IFERROR(VLOOKUP(MID(G6,J6,K6-J6),[6]skilldef!$C:$D,2,FALSE),"-") &amp; " / " &amp; IFERROR(VLOOKUP(MID(G6,H6,I6-H6),[6]skilldef!$A:$B,2,FALSE),"-")</f>
        <v>- / ウィルス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 t="s">
        <v>208</v>
      </c>
      <c r="AA6" s="52">
        <v>42447</v>
      </c>
      <c r="AB6" s="51" t="s">
        <v>236</v>
      </c>
    </row>
    <row r="7" spans="1:28" ht="21" customHeight="1" x14ac:dyDescent="0.15">
      <c r="A7" s="47">
        <v>30032006</v>
      </c>
      <c r="B7" s="97" t="s">
        <v>211</v>
      </c>
      <c r="C7" s="50">
        <v>3</v>
      </c>
      <c r="D7" s="50" t="s">
        <v>127</v>
      </c>
      <c r="E7" s="51" t="s">
        <v>276</v>
      </c>
      <c r="F7" s="51" t="s">
        <v>264</v>
      </c>
      <c r="G7" s="63" t="str">
        <f t="shared" si="0"/>
        <v xml:space="preserve">[effect:damage_anti_tribe, target:unit_one, tribe:unknown, val1:0.6, val2:0.2]    </v>
      </c>
      <c r="H7" s="63">
        <f t="shared" si="1"/>
        <v>9</v>
      </c>
      <c r="I7" s="63">
        <f t="shared" si="2"/>
        <v>26</v>
      </c>
      <c r="J7" s="63">
        <f t="shared" si="3"/>
        <v>35</v>
      </c>
      <c r="K7" s="63">
        <f t="shared" si="4"/>
        <v>43</v>
      </c>
      <c r="L7" s="63" t="str">
        <f>IFERROR(VLOOKUP(MID(G7,J7,K7-J7),[6]skilldef!$C:$D,2,FALSE),"-") &amp; " / " &amp; IFERROR(VLOOKUP(MID(G7,H7,I7-H7),[6]skilldef!$A:$B,2,FALSE),"-")</f>
        <v>味方単体に / 種族キラー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 t="s">
        <v>208</v>
      </c>
      <c r="AA7" s="52">
        <v>42438</v>
      </c>
      <c r="AB7" s="51" t="s">
        <v>237</v>
      </c>
    </row>
    <row r="8" spans="1:28" ht="21" customHeight="1" x14ac:dyDescent="0.15">
      <c r="A8" s="47">
        <v>30032007</v>
      </c>
      <c r="B8" s="97" t="s">
        <v>240</v>
      </c>
      <c r="C8" s="50">
        <v>3</v>
      </c>
      <c r="D8" s="50" t="s">
        <v>127</v>
      </c>
      <c r="E8" s="51" t="s">
        <v>285</v>
      </c>
      <c r="F8" s="51" t="s">
        <v>215</v>
      </c>
      <c r="G8" s="63" t="str">
        <f t="shared" si="0"/>
        <v xml:space="preserve">[effect:spread, val:0.3]    </v>
      </c>
      <c r="H8" s="63">
        <f t="shared" si="1"/>
        <v>9</v>
      </c>
      <c r="I8" s="63">
        <f t="shared" si="2"/>
        <v>15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全体攻撃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 t="s">
        <v>208</v>
      </c>
      <c r="AA8" s="52">
        <v>42438</v>
      </c>
      <c r="AB8" s="51" t="s">
        <v>238</v>
      </c>
    </row>
    <row r="9" spans="1:28" ht="21" customHeight="1" x14ac:dyDescent="0.15">
      <c r="A9" s="47">
        <v>30032008</v>
      </c>
      <c r="B9" s="97" t="s">
        <v>257</v>
      </c>
      <c r="C9" s="50">
        <v>3</v>
      </c>
      <c r="D9" s="50" t="s">
        <v>127</v>
      </c>
      <c r="E9" s="51" t="s">
        <v>277</v>
      </c>
      <c r="F9" s="51" t="s">
        <v>317</v>
      </c>
      <c r="G9" s="63" t="str">
        <f t="shared" si="0"/>
        <v xml:space="preserve">[effect:freq_turn, target:myself, turn:-1, val:1, animation:enemy_freq_turn]    </v>
      </c>
      <c r="H9" s="63">
        <f t="shared" si="1"/>
        <v>9</v>
      </c>
      <c r="I9" s="63">
        <f t="shared" si="2"/>
        <v>18</v>
      </c>
      <c r="J9" s="63">
        <f t="shared" si="3"/>
        <v>27</v>
      </c>
      <c r="K9" s="63">
        <f t="shared" si="4"/>
        <v>33</v>
      </c>
      <c r="L9" s="63" t="str">
        <f>IFERROR(VLOOKUP(MID(G9,J9,K9-J9),[6]skilldef!$C:$D,2,FALSE),"-") &amp; " / " &amp; IFERROR(VLOOKUP(MID(G9,H9,I9-H9),[6]skilldef!$A:$B,2,FALSE),"-")</f>
        <v>自分自身に / 攻撃頻度がUP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 t="s">
        <v>208</v>
      </c>
      <c r="AA9" s="52">
        <v>42438</v>
      </c>
      <c r="AB9" s="51" t="s">
        <v>217</v>
      </c>
    </row>
    <row r="10" spans="1:28" ht="21" customHeight="1" x14ac:dyDescent="0.15">
      <c r="A10" s="47">
        <v>30032009</v>
      </c>
      <c r="B10" s="97" t="s">
        <v>261</v>
      </c>
      <c r="C10" s="50">
        <v>3</v>
      </c>
      <c r="D10" s="50" t="s">
        <v>127</v>
      </c>
      <c r="E10" s="51" t="s">
        <v>320</v>
      </c>
      <c r="F10" s="51" t="s">
        <v>314</v>
      </c>
      <c r="G10" s="63" t="str">
        <f t="shared" si="0"/>
        <v>[effect:remove_enhancement, target:unit_all, target_effect:enhance, target_type:buff, status:defense, animation:frozen_wave]</v>
      </c>
      <c r="H10" s="63">
        <f t="shared" si="1"/>
        <v>9</v>
      </c>
      <c r="I10" s="63">
        <f t="shared" si="2"/>
        <v>27</v>
      </c>
      <c r="J10" s="63">
        <f t="shared" si="3"/>
        <v>36</v>
      </c>
      <c r="K10" s="63">
        <f t="shared" si="4"/>
        <v>44</v>
      </c>
      <c r="L10" s="63" t="str">
        <f>IFERROR(VLOOKUP(MID(G10,J10,K10-J10),[6]skilldef!$C:$D,2,FALSE),"-") &amp; " / " &amp; IFERROR(VLOOKUP(MID(G10,H10,I10-H10),[6]skilldef!$A:$B,2,FALSE),"-")</f>
        <v>味方全体に / -</v>
      </c>
      <c r="M10" s="63" t="str">
        <f t="shared" si="5"/>
        <v>[effect:spread, val:0.12],[effect:spread, val:0.14]</v>
      </c>
      <c r="N10" s="48" t="str">
        <f t="shared" si="6"/>
        <v>[effect:spread, val:0.12],[effect:spread, val:0.14]</v>
      </c>
      <c r="O10" s="63">
        <f t="shared" si="7"/>
        <v>9</v>
      </c>
      <c r="P10" s="63">
        <f t="shared" si="8"/>
        <v>15</v>
      </c>
      <c r="Q10" s="63" t="e">
        <f t="shared" si="9"/>
        <v>#VALUE!</v>
      </c>
      <c r="R10" s="63">
        <f t="shared" si="10"/>
        <v>26</v>
      </c>
      <c r="S10" s="63" t="str">
        <f>IFERROR(VLOOKUP(MID(N10,Q10,R10-Q10),[6]skilldef!$C:$D,2,FALSE),"-") &amp; " / " &amp; IFERROR(VLOOKUP(MID(N10,O10,P10-O10),[6]skilldef!$A:$B,2,FALSE),"-")</f>
        <v>- / 全体攻撃</v>
      </c>
      <c r="T10" s="48" t="str">
        <f t="shared" si="11"/>
        <v>[effect:spread, val:0.14]</v>
      </c>
      <c r="U10" s="63">
        <f t="shared" si="12"/>
        <v>9</v>
      </c>
      <c r="V10" s="63">
        <f t="shared" si="13"/>
        <v>15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全体攻撃</v>
      </c>
      <c r="Z10" s="50" t="s">
        <v>208</v>
      </c>
      <c r="AA10" s="52">
        <v>42447</v>
      </c>
      <c r="AB10" s="51" t="s">
        <v>216</v>
      </c>
    </row>
    <row r="11" spans="1:28" ht="21" customHeight="1" x14ac:dyDescent="0.15">
      <c r="A11" s="47">
        <v>30032010</v>
      </c>
      <c r="B11" s="97" t="s">
        <v>235</v>
      </c>
      <c r="C11" s="50">
        <v>3</v>
      </c>
      <c r="D11" s="50" t="s">
        <v>127</v>
      </c>
      <c r="E11" s="51" t="s">
        <v>321</v>
      </c>
      <c r="F11" s="51" t="s">
        <v>323</v>
      </c>
      <c r="G11" s="63" t="str">
        <f t="shared" si="0"/>
        <v>[effect:heal, target:enemy_one, val:0.08, animation:enemy_heal]</v>
      </c>
      <c r="H11" s="63">
        <f t="shared" si="1"/>
        <v>9</v>
      </c>
      <c r="I11" s="63">
        <f t="shared" si="2"/>
        <v>13</v>
      </c>
      <c r="J11" s="63">
        <f t="shared" si="3"/>
        <v>22</v>
      </c>
      <c r="K11" s="63">
        <f t="shared" si="4"/>
        <v>31</v>
      </c>
      <c r="L11" s="63" t="str">
        <f>IFERROR(VLOOKUP(MID(G11,J11,K11-J11),[6]skilldef!$C:$D,2,FALSE),"-") &amp; " / " &amp; IFERROR(VLOOKUP(MID(G11,H11,I11-H11),[6]skilldef!$A:$B,2,FALSE),"-")</f>
        <v>敵単体に / 回復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 t="s">
        <v>208</v>
      </c>
      <c r="AA11" s="52">
        <v>42438</v>
      </c>
      <c r="AB11" s="51" t="s">
        <v>218</v>
      </c>
    </row>
    <row r="12" spans="1:28" ht="21" customHeight="1" x14ac:dyDescent="0.15">
      <c r="A12" s="47">
        <v>30032011</v>
      </c>
      <c r="B12" s="97" t="s">
        <v>241</v>
      </c>
      <c r="C12" s="50">
        <v>3</v>
      </c>
      <c r="D12" s="50" t="s">
        <v>127</v>
      </c>
      <c r="E12" s="51" t="s">
        <v>278</v>
      </c>
      <c r="F12" s="51" t="s">
        <v>322</v>
      </c>
      <c r="G12" s="63" t="str">
        <f t="shared" si="0"/>
        <v xml:space="preserve">[effect:dis_panel, target:block_yellow, turn:3, animation:enemy_dis_yellow]    </v>
      </c>
      <c r="H12" s="63">
        <f t="shared" si="1"/>
        <v>9</v>
      </c>
      <c r="I12" s="63">
        <f t="shared" si="2"/>
        <v>18</v>
      </c>
      <c r="J12" s="63">
        <f t="shared" si="3"/>
        <v>27</v>
      </c>
      <c r="K12" s="63">
        <f t="shared" si="4"/>
        <v>39</v>
      </c>
      <c r="L12" s="63" t="str">
        <f>IFERROR(VLOOKUP(MID(G12,J12,K12-J12),[6]skilldef!$C:$D,2,FALSE),"-") &amp; " / " &amp; IFERROR(VLOOKUP(MID(G12,H12,I12-H12),[6]skilldef!$A:$B,2,FALSE),"-")</f>
        <v>黄色パネルを / ディスパネル</v>
      </c>
      <c r="M12" s="63" t="str">
        <f t="shared" si="5"/>
        <v>none</v>
      </c>
      <c r="N12" s="48" t="str">
        <f t="shared" ref="N12:N22" si="16">IFERROR(LEFT(M12,FIND("],",M12)+S23),M12)</f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 t="s">
        <v>208</v>
      </c>
      <c r="AA12" s="52">
        <v>42438</v>
      </c>
      <c r="AB12" s="51" t="s">
        <v>219</v>
      </c>
    </row>
    <row r="13" spans="1:28" ht="21" customHeight="1" x14ac:dyDescent="0.15">
      <c r="A13" s="47">
        <v>30032012</v>
      </c>
      <c r="B13" s="97" t="s">
        <v>233</v>
      </c>
      <c r="C13" s="50">
        <v>3</v>
      </c>
      <c r="D13" s="50" t="s">
        <v>127</v>
      </c>
      <c r="E13" s="51" t="s">
        <v>284</v>
      </c>
      <c r="F13" s="51" t="s">
        <v>265</v>
      </c>
      <c r="G13" s="63" t="str">
        <f t="shared" si="0"/>
        <v>[effect:damage_anti_color, target:unit_one, color:green, val1:0.7, val2:0.3]</v>
      </c>
      <c r="H13" s="63">
        <f t="shared" si="1"/>
        <v>9</v>
      </c>
      <c r="I13" s="63">
        <f t="shared" si="2"/>
        <v>26</v>
      </c>
      <c r="J13" s="63">
        <f t="shared" si="3"/>
        <v>35</v>
      </c>
      <c r="K13" s="63">
        <f t="shared" si="4"/>
        <v>43</v>
      </c>
      <c r="L13" s="63" t="str">
        <f>IFERROR(VLOOKUP(MID(G13,J13,K13-J13),[6]skilldef!$C:$D,2,FALSE),"-") &amp; " / " &amp; IFERROR(VLOOKUP(MID(G13,H13,I13-H13),[6]skilldef!$A:$B,2,FALSE),"-")</f>
        <v>味方単体に / 属性キラー</v>
      </c>
      <c r="M13" s="63" t="str">
        <f t="shared" si="5"/>
        <v>none</v>
      </c>
      <c r="N13" s="48" t="str">
        <f t="shared" si="1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 t="s">
        <v>208</v>
      </c>
      <c r="AA13" s="52">
        <v>42438</v>
      </c>
      <c r="AB13" s="51" t="s">
        <v>220</v>
      </c>
    </row>
    <row r="14" spans="1:28" ht="21" customHeight="1" x14ac:dyDescent="0.15">
      <c r="A14" s="47">
        <v>30032013</v>
      </c>
      <c r="B14" s="97" t="s">
        <v>262</v>
      </c>
      <c r="C14" s="50">
        <v>3</v>
      </c>
      <c r="D14" s="50" t="s">
        <v>127</v>
      </c>
      <c r="E14" s="51" t="s">
        <v>283</v>
      </c>
      <c r="F14" s="51" t="s">
        <v>266</v>
      </c>
      <c r="G14" s="63" t="str">
        <f t="shared" si="0"/>
        <v xml:space="preserve">[effect:rush, count:2, val:0.4]    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22</v>
      </c>
      <c r="L14" s="63" t="str">
        <f>IFERROR(VLOOKUP(MID(G14,J14,K14-J14),[6]skilldef!$C:$D,2,FALSE),"-") &amp; " / " &amp; IFERROR(VLOOKUP(MID(G14,H14,I14-H14),[6]skilldef!$A:$B,2,FALSE),"-")</f>
        <v>- / 連続攻撃</v>
      </c>
      <c r="M14" s="63" t="str">
        <f t="shared" si="5"/>
        <v>none</v>
      </c>
      <c r="N14" s="48" t="str">
        <f t="shared" si="1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 t="s">
        <v>208</v>
      </c>
      <c r="AA14" s="52">
        <v>42438</v>
      </c>
      <c r="AB14" s="51" t="s">
        <v>221</v>
      </c>
    </row>
    <row r="15" spans="1:28" ht="21" customHeight="1" x14ac:dyDescent="0.15">
      <c r="A15" s="47">
        <v>30032014</v>
      </c>
      <c r="B15" s="97" t="s">
        <v>273</v>
      </c>
      <c r="C15" s="50">
        <v>3</v>
      </c>
      <c r="D15" s="50" t="s">
        <v>127</v>
      </c>
      <c r="E15" s="51" t="s">
        <v>330</v>
      </c>
      <c r="F15" s="51" t="s">
        <v>324</v>
      </c>
      <c r="G15" s="63" t="str">
        <f t="shared" si="0"/>
        <v xml:space="preserve">[effect:suicide, val:1, dead_type:escape, target:myself]    </v>
      </c>
      <c r="H15" s="63">
        <f t="shared" si="1"/>
        <v>9</v>
      </c>
      <c r="I15" s="63">
        <f t="shared" si="2"/>
        <v>16</v>
      </c>
      <c r="J15" s="63">
        <f t="shared" si="3"/>
        <v>50</v>
      </c>
      <c r="K15" s="63">
        <f t="shared" si="4"/>
        <v>23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none</v>
      </c>
      <c r="N15" s="48" t="str">
        <f t="shared" si="1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 t="s">
        <v>208</v>
      </c>
      <c r="AA15" s="52">
        <v>42438</v>
      </c>
      <c r="AB15" s="51" t="s">
        <v>222</v>
      </c>
    </row>
    <row r="16" spans="1:28" ht="21" customHeight="1" x14ac:dyDescent="0.15">
      <c r="A16" s="47">
        <v>30032015</v>
      </c>
      <c r="B16" s="97" t="s">
        <v>267</v>
      </c>
      <c r="C16" s="50">
        <v>3</v>
      </c>
      <c r="D16" s="50" t="s">
        <v>127</v>
      </c>
      <c r="E16" s="51" t="s">
        <v>333</v>
      </c>
      <c r="F16" s="51" t="s">
        <v>315</v>
      </c>
      <c r="G16" s="63" t="str">
        <f t="shared" si="0"/>
        <v xml:space="preserve">[effect:change_block, new_block:block_yellow, target:block_blue, count:3, val:0, min_time_count:2, max_time_count:2, no_effect_msg:no_effect_msg_change_block, animation:change_block]    </v>
      </c>
      <c r="H16" s="63">
        <f t="shared" si="1"/>
        <v>9</v>
      </c>
      <c r="I16" s="63">
        <f t="shared" si="2"/>
        <v>21</v>
      </c>
      <c r="J16" s="63">
        <f t="shared" si="3"/>
        <v>54</v>
      </c>
      <c r="K16" s="63">
        <f t="shared" si="4"/>
        <v>45</v>
      </c>
      <c r="L16" s="63" t="str">
        <f>IFERROR(VLOOKUP(MID(G16,J16,K16-J16),[6]skilldef!$C:$D,2,FALSE),"-") &amp; " / " &amp; IFERROR(VLOOKUP(MID(G16,H16,I16-H16),[6]skilldef!$A:$B,2,FALSE),"-")</f>
        <v>- / ブロック変換</v>
      </c>
      <c r="M16" s="63" t="str">
        <f t="shared" si="5"/>
        <v>none</v>
      </c>
      <c r="N16" s="48" t="str">
        <f t="shared" si="1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 t="s">
        <v>208</v>
      </c>
      <c r="AA16" s="52">
        <v>42447</v>
      </c>
      <c r="AB16" s="51" t="s">
        <v>335</v>
      </c>
    </row>
    <row r="17" spans="1:28" ht="21" customHeight="1" x14ac:dyDescent="0.15">
      <c r="A17" s="47">
        <v>30032016</v>
      </c>
      <c r="B17" s="97" t="s">
        <v>242</v>
      </c>
      <c r="C17" s="50">
        <v>3</v>
      </c>
      <c r="D17" s="50" t="s">
        <v>127</v>
      </c>
      <c r="E17" s="51" t="s">
        <v>269</v>
      </c>
      <c r="F17" s="51" t="s">
        <v>274</v>
      </c>
      <c r="G17" s="63" t="str">
        <f t="shared" ref="G17:G24" si="17">IFERROR(LEFT(B17,FIND("],",B17)),B17)</f>
        <v xml:space="preserve">[effect:crash_growth, count:-1, val:-3, animation:change_block]    </v>
      </c>
      <c r="H17" s="63">
        <f t="shared" si="1"/>
        <v>9</v>
      </c>
      <c r="I17" s="63">
        <f t="shared" ref="I17:I24" si="18">IFERROR(FIND(",",G17),LEN(G17))</f>
        <v>21</v>
      </c>
      <c r="J17" s="63" t="e">
        <f t="shared" ref="J17:J24" si="19">FIND("target:",G17)+7</f>
        <v>#VALUE!</v>
      </c>
      <c r="K17" s="63">
        <f t="shared" ref="K17:K24" si="20">FIND(",",G17,I17+1)</f>
        <v>31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ref="M17:M24" si="21">IFERROR(RIGHT(B17,LEN(B17)-FIND("],",B17)-1),"none")</f>
        <v>none</v>
      </c>
      <c r="N17" s="48" t="str">
        <f t="shared" si="16"/>
        <v>none</v>
      </c>
      <c r="O17" s="63" t="e">
        <f t="shared" si="7"/>
        <v>#VALUE!</v>
      </c>
      <c r="P17" s="63">
        <f t="shared" ref="P17:P24" si="22">IFERROR(FIND(",",N17),LEN(N17))</f>
        <v>4</v>
      </c>
      <c r="Q17" s="63" t="e">
        <f t="shared" ref="Q17:Q24" si="23">FIND("target:",N17)+7</f>
        <v>#VALUE!</v>
      </c>
      <c r="R17" s="63" t="e">
        <f t="shared" ref="R17:R24" si="24">FIND(",",N17,P17+1)</f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ref="T17:T24" si="25">IFERROR(RIGHT(M17,LEN(M17)-FIND("],",M17)-1),"none")</f>
        <v>none</v>
      </c>
      <c r="U17" s="63" t="e">
        <f t="shared" si="12"/>
        <v>#VALUE!</v>
      </c>
      <c r="V17" s="63">
        <f t="shared" ref="V17:V24" si="26">IFERROR(FIND(",",T17),LEN(T17))</f>
        <v>4</v>
      </c>
      <c r="W17" s="63" t="e">
        <f t="shared" ref="W17:W24" si="27">FIND("target:",T17)+7</f>
        <v>#VALUE!</v>
      </c>
      <c r="X17" s="63" t="e">
        <f t="shared" ref="X17:X24" si="28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 t="s">
        <v>208</v>
      </c>
      <c r="AA17" s="52">
        <v>42438</v>
      </c>
      <c r="AB17" s="51" t="s">
        <v>223</v>
      </c>
    </row>
    <row r="18" spans="1:28" ht="21" customHeight="1" x14ac:dyDescent="0.15">
      <c r="A18" s="47">
        <v>30032017</v>
      </c>
      <c r="B18" s="97" t="s">
        <v>259</v>
      </c>
      <c r="C18" s="50">
        <v>3</v>
      </c>
      <c r="D18" s="50" t="s">
        <v>127</v>
      </c>
      <c r="E18" s="51" t="s">
        <v>281</v>
      </c>
      <c r="F18" s="51" t="s">
        <v>347</v>
      </c>
      <c r="G18" s="63" t="str">
        <f t="shared" si="17"/>
        <v>[effect:remove_enhancement, target:unit_all, target_effect:all, target_type:all, animation:frozen_wave]</v>
      </c>
      <c r="H18" s="63">
        <f t="shared" si="1"/>
        <v>9</v>
      </c>
      <c r="I18" s="63">
        <f t="shared" si="18"/>
        <v>27</v>
      </c>
      <c r="J18" s="63">
        <f t="shared" si="19"/>
        <v>36</v>
      </c>
      <c r="K18" s="63">
        <f t="shared" si="20"/>
        <v>44</v>
      </c>
      <c r="L18" s="63" t="str">
        <f>IFERROR(VLOOKUP(MID(G18,J18,K18-J18),[6]skilldef!$C:$D,2,FALSE),"-") &amp; " / " &amp; IFERROR(VLOOKUP(MID(G18,H18,I18-H18),[6]skilldef!$A:$B,2,FALSE),"-")</f>
        <v>味方全体に / -</v>
      </c>
      <c r="M18" s="63" t="str">
        <f t="shared" si="21"/>
        <v>[effect:spread, val:0.4]</v>
      </c>
      <c r="N18" s="48" t="str">
        <f t="shared" si="16"/>
        <v>[effect:spread, val:0.4]</v>
      </c>
      <c r="O18" s="63">
        <f t="shared" si="7"/>
        <v>9</v>
      </c>
      <c r="P18" s="63">
        <f t="shared" si="22"/>
        <v>15</v>
      </c>
      <c r="Q18" s="63" t="e">
        <f t="shared" si="23"/>
        <v>#VALUE!</v>
      </c>
      <c r="R18" s="63" t="e">
        <f t="shared" si="24"/>
        <v>#VALUE!</v>
      </c>
      <c r="S18" s="63" t="str">
        <f>IFERROR(VLOOKUP(MID(N18,Q18,R18-Q18),[6]skilldef!$C:$D,2,FALSE),"-") &amp; " / " &amp; IFERROR(VLOOKUP(MID(N18,O18,P18-O18),[6]skilldef!$A:$B,2,FALSE),"-")</f>
        <v>- / 全体攻撃</v>
      </c>
      <c r="T18" s="48" t="str">
        <f t="shared" si="25"/>
        <v>none</v>
      </c>
      <c r="U18" s="63" t="e">
        <f t="shared" si="12"/>
        <v>#VALUE!</v>
      </c>
      <c r="V18" s="63">
        <f t="shared" si="26"/>
        <v>4</v>
      </c>
      <c r="W18" s="63" t="e">
        <f t="shared" si="27"/>
        <v>#VALUE!</v>
      </c>
      <c r="X18" s="63" t="e">
        <f t="shared" si="28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 t="s">
        <v>208</v>
      </c>
      <c r="AA18" s="52">
        <v>42438</v>
      </c>
      <c r="AB18" s="51" t="s">
        <v>224</v>
      </c>
    </row>
    <row r="19" spans="1:28" ht="21" customHeight="1" x14ac:dyDescent="0.15">
      <c r="A19" s="47">
        <v>30032018</v>
      </c>
      <c r="B19" s="97" t="s">
        <v>243</v>
      </c>
      <c r="C19" s="50">
        <v>3</v>
      </c>
      <c r="D19" s="50" t="s">
        <v>127</v>
      </c>
      <c r="E19" s="51" t="s">
        <v>282</v>
      </c>
      <c r="F19" s="51" t="s">
        <v>334</v>
      </c>
      <c r="G19" s="63" t="str">
        <f t="shared" si="17"/>
        <v>[effect:critical, val:1.5]</v>
      </c>
      <c r="H19" s="63">
        <f t="shared" si="1"/>
        <v>9</v>
      </c>
      <c r="I19" s="63">
        <f t="shared" si="18"/>
        <v>17</v>
      </c>
      <c r="J19" s="63" t="e">
        <f t="shared" si="19"/>
        <v>#VALUE!</v>
      </c>
      <c r="K19" s="63" t="e">
        <f t="shared" si="20"/>
        <v>#VALUE!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21"/>
        <v>none</v>
      </c>
      <c r="N19" s="48" t="str">
        <f t="shared" si="16"/>
        <v>none</v>
      </c>
      <c r="O19" s="63" t="e">
        <f t="shared" si="7"/>
        <v>#VALUE!</v>
      </c>
      <c r="P19" s="63">
        <f t="shared" si="22"/>
        <v>4</v>
      </c>
      <c r="Q19" s="63" t="e">
        <f t="shared" si="23"/>
        <v>#VALUE!</v>
      </c>
      <c r="R19" s="63" t="e">
        <f t="shared" si="24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25"/>
        <v>none</v>
      </c>
      <c r="U19" s="63" t="e">
        <f t="shared" si="12"/>
        <v>#VALUE!</v>
      </c>
      <c r="V19" s="63">
        <f t="shared" si="26"/>
        <v>4</v>
      </c>
      <c r="W19" s="63" t="e">
        <f t="shared" si="27"/>
        <v>#VALUE!</v>
      </c>
      <c r="X19" s="63" t="e">
        <f t="shared" si="28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 t="s">
        <v>208</v>
      </c>
      <c r="AA19" s="52">
        <v>42447</v>
      </c>
      <c r="AB19" s="51" t="s">
        <v>225</v>
      </c>
    </row>
    <row r="20" spans="1:28" ht="21" customHeight="1" x14ac:dyDescent="0.15">
      <c r="A20" s="47">
        <v>30032019</v>
      </c>
      <c r="B20" s="97" t="s">
        <v>239</v>
      </c>
      <c r="C20" s="50">
        <v>3</v>
      </c>
      <c r="D20" s="50" t="s">
        <v>127</v>
      </c>
      <c r="E20" s="51" t="s">
        <v>332</v>
      </c>
      <c r="F20" s="51" t="s">
        <v>318</v>
      </c>
      <c r="G20" s="63" t="str">
        <f t="shared" si="17"/>
        <v xml:space="preserve">[effect:freq_turn, target:myself, turn:-1, val:1, animation:enemy_freq_turn]    </v>
      </c>
      <c r="H20" s="63">
        <f t="shared" si="1"/>
        <v>9</v>
      </c>
      <c r="I20" s="63">
        <f t="shared" si="18"/>
        <v>18</v>
      </c>
      <c r="J20" s="63">
        <f t="shared" si="19"/>
        <v>27</v>
      </c>
      <c r="K20" s="63">
        <f t="shared" si="20"/>
        <v>33</v>
      </c>
      <c r="L20" s="63" t="str">
        <f>IFERROR(VLOOKUP(MID(G20,J20,K20-J20),[6]skilldef!$C:$D,2,FALSE),"-") &amp; " / " &amp; IFERROR(VLOOKUP(MID(G20,H20,I20-H20),[6]skilldef!$A:$B,2,FALSE),"-")</f>
        <v>自分自身に / 攻撃頻度がUP</v>
      </c>
      <c r="M20" s="63" t="str">
        <f t="shared" si="21"/>
        <v>none</v>
      </c>
      <c r="N20" s="48" t="str">
        <f t="shared" si="16"/>
        <v>none</v>
      </c>
      <c r="O20" s="63" t="e">
        <f t="shared" si="7"/>
        <v>#VALUE!</v>
      </c>
      <c r="P20" s="63">
        <f t="shared" si="22"/>
        <v>4</v>
      </c>
      <c r="Q20" s="63" t="e">
        <f t="shared" si="23"/>
        <v>#VALUE!</v>
      </c>
      <c r="R20" s="63" t="e">
        <f t="shared" si="24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25"/>
        <v>none</v>
      </c>
      <c r="U20" s="63" t="e">
        <f t="shared" si="12"/>
        <v>#VALUE!</v>
      </c>
      <c r="V20" s="63">
        <f t="shared" si="26"/>
        <v>4</v>
      </c>
      <c r="W20" s="63" t="e">
        <f t="shared" si="27"/>
        <v>#VALUE!</v>
      </c>
      <c r="X20" s="63" t="e">
        <f t="shared" si="28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 t="s">
        <v>208</v>
      </c>
      <c r="AA20" s="52">
        <v>42447</v>
      </c>
      <c r="AB20" s="51" t="s">
        <v>226</v>
      </c>
    </row>
    <row r="21" spans="1:28" ht="21" customHeight="1" x14ac:dyDescent="0.15">
      <c r="A21" s="47">
        <v>30032020</v>
      </c>
      <c r="B21" s="97" t="s">
        <v>260</v>
      </c>
      <c r="C21" s="50">
        <v>3</v>
      </c>
      <c r="D21" s="50" t="s">
        <v>127</v>
      </c>
      <c r="E21" s="51" t="s">
        <v>329</v>
      </c>
      <c r="F21" s="51" t="s">
        <v>327</v>
      </c>
      <c r="G21" s="63" t="str">
        <f t="shared" si="17"/>
        <v>[effect:break_enchance_enemy, val:0.08, lowest_val:0.08, count :-1, status:attack, turn:1, block:block_yellow, target:myself, calc:mul, animation:enemy_enhance_attack]</v>
      </c>
      <c r="H21" s="63">
        <f t="shared" si="1"/>
        <v>9</v>
      </c>
      <c r="I21" s="63">
        <f t="shared" si="18"/>
        <v>29</v>
      </c>
      <c r="J21" s="63">
        <f t="shared" si="19"/>
        <v>119</v>
      </c>
      <c r="K21" s="63">
        <f t="shared" si="20"/>
        <v>39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21"/>
        <v>[effect:freq_turn, target:myself, turn:2, val:1, animation:enemy_freq_turn]</v>
      </c>
      <c r="N21" s="48" t="str">
        <f t="shared" si="16"/>
        <v>[effect:freq_turn, target:myself, turn:2, val:1, animation:enemy_freq_turn]</v>
      </c>
      <c r="O21" s="63">
        <f t="shared" si="7"/>
        <v>9</v>
      </c>
      <c r="P21" s="63">
        <f t="shared" si="22"/>
        <v>18</v>
      </c>
      <c r="Q21" s="63">
        <f t="shared" si="23"/>
        <v>27</v>
      </c>
      <c r="R21" s="63">
        <f t="shared" si="24"/>
        <v>33</v>
      </c>
      <c r="S21" s="63" t="str">
        <f>IFERROR(VLOOKUP(MID(N21,Q21,R21-Q21),[6]skilldef!$C:$D,2,FALSE),"-") &amp; " / " &amp; IFERROR(VLOOKUP(MID(N21,O21,P21-O21),[6]skilldef!$A:$B,2,FALSE),"-")</f>
        <v>自分自身に / 攻撃頻度がUP</v>
      </c>
      <c r="T21" s="48" t="str">
        <f t="shared" si="25"/>
        <v>none</v>
      </c>
      <c r="U21" s="63" t="e">
        <f t="shared" si="12"/>
        <v>#VALUE!</v>
      </c>
      <c r="V21" s="63">
        <f t="shared" si="26"/>
        <v>4</v>
      </c>
      <c r="W21" s="63" t="e">
        <f t="shared" si="27"/>
        <v>#VALUE!</v>
      </c>
      <c r="X21" s="63" t="e">
        <f t="shared" si="28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 t="s">
        <v>208</v>
      </c>
      <c r="AA21" s="52">
        <v>42447</v>
      </c>
      <c r="AB21" s="51" t="s">
        <v>230</v>
      </c>
    </row>
    <row r="22" spans="1:28" ht="21" customHeight="1" x14ac:dyDescent="0.15">
      <c r="A22" s="47">
        <v>30032021</v>
      </c>
      <c r="B22" s="97" t="s">
        <v>346</v>
      </c>
      <c r="C22" s="50">
        <v>3</v>
      </c>
      <c r="D22" s="50" t="s">
        <v>127</v>
      </c>
      <c r="E22" s="51" t="s">
        <v>331</v>
      </c>
      <c r="F22" s="51" t="s">
        <v>328</v>
      </c>
      <c r="G22" s="63" t="str">
        <f t="shared" ref="G22" si="29">IFERROR(LEFT(B22,FIND("],",B22)),B22)</f>
        <v>[effect:enhance_enemy, target:myself, turn:1, status:attack, val:1.2, calc:mul, animation:enemy_enhance_attack]</v>
      </c>
      <c r="H22" s="63">
        <f t="shared" si="1"/>
        <v>9</v>
      </c>
      <c r="I22" s="63">
        <f t="shared" ref="I22" si="30">IFERROR(FIND(",",G22),LEN(G22))</f>
        <v>22</v>
      </c>
      <c r="J22" s="63">
        <f t="shared" ref="J22" si="31">FIND("target:",G22)+7</f>
        <v>31</v>
      </c>
      <c r="K22" s="63">
        <f t="shared" ref="K22" si="32">FIND(",",G22,I22+1)</f>
        <v>37</v>
      </c>
      <c r="L22" s="63" t="str">
        <f>IFERROR(VLOOKUP(MID(G22,J22,K22-J22),[6]skilldef!$C:$D,2,FALSE),"-") &amp; " / " &amp; IFERROR(VLOOKUP(MID(G22,H22,I22-H22),[6]skilldef!$A:$B,2,FALSE),"-")</f>
        <v>自分自身に / ステータス強化</v>
      </c>
      <c r="M22" s="63" t="str">
        <f t="shared" ref="M22" si="33">IFERROR(RIGHT(B22,LEN(B22)-FIND("],",B22)-1),"none")</f>
        <v>[effect:freq_turn, target:myself, turn:2, val:1, animation:enemy_freq_turn]</v>
      </c>
      <c r="N22" s="48" t="str">
        <f t="shared" si="16"/>
        <v>[effect:freq_turn, target:myself, turn:2, val:1, animation:enemy_freq_turn]</v>
      </c>
      <c r="O22" s="63">
        <f t="shared" si="7"/>
        <v>9</v>
      </c>
      <c r="P22" s="63">
        <f t="shared" ref="P22" si="34">IFERROR(FIND(",",N22),LEN(N22))</f>
        <v>18</v>
      </c>
      <c r="Q22" s="63">
        <f t="shared" ref="Q22" si="35">FIND("target:",N22)+7</f>
        <v>27</v>
      </c>
      <c r="R22" s="63">
        <f t="shared" ref="R22" si="36">FIND(",",N22,P22+1)</f>
        <v>33</v>
      </c>
      <c r="S22" s="63" t="str">
        <f>IFERROR(VLOOKUP(MID(N22,Q22,R22-Q22),[6]skilldef!$C:$D,2,FALSE),"-") &amp; " / " &amp; IFERROR(VLOOKUP(MID(N22,O22,P22-O22),[6]skilldef!$A:$B,2,FALSE),"-")</f>
        <v>自分自身に / 攻撃頻度がUP</v>
      </c>
      <c r="T22" s="48" t="str">
        <f t="shared" ref="T22" si="37">IFERROR(RIGHT(M22,LEN(M22)-FIND("],",M22)-1),"none")</f>
        <v>none</v>
      </c>
      <c r="U22" s="63" t="e">
        <f t="shared" si="12"/>
        <v>#VALUE!</v>
      </c>
      <c r="V22" s="63">
        <f t="shared" ref="V22" si="38">IFERROR(FIND(",",T22),LEN(T22))</f>
        <v>4</v>
      </c>
      <c r="W22" s="63" t="e">
        <f t="shared" ref="W22" si="39">FIND("target:",T22)+7</f>
        <v>#VALUE!</v>
      </c>
      <c r="X22" s="63" t="e">
        <f t="shared" ref="X22" si="40">FIND(",",T22,V22+1)</f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 t="s">
        <v>208</v>
      </c>
      <c r="AA22" s="52">
        <v>42447</v>
      </c>
      <c r="AB22" s="51" t="s">
        <v>231</v>
      </c>
    </row>
    <row r="23" spans="1:28" ht="21" customHeight="1" x14ac:dyDescent="0.15">
      <c r="A23" s="47">
        <v>30032022</v>
      </c>
      <c r="B23" s="97" t="s">
        <v>345</v>
      </c>
      <c r="C23" s="50">
        <v>3</v>
      </c>
      <c r="D23" s="50" t="s">
        <v>127</v>
      </c>
      <c r="E23" s="51" t="s">
        <v>254</v>
      </c>
      <c r="F23" s="51" t="s">
        <v>256</v>
      </c>
      <c r="G23" s="63" t="str">
        <f t="shared" si="17"/>
        <v>[effect:spread, val:0.25]</v>
      </c>
      <c r="H23" s="63">
        <f t="shared" si="1"/>
        <v>9</v>
      </c>
      <c r="I23" s="63">
        <f t="shared" si="18"/>
        <v>15</v>
      </c>
      <c r="J23" s="63" t="e">
        <f t="shared" si="19"/>
        <v>#VALUE!</v>
      </c>
      <c r="K23" s="63" t="e">
        <f t="shared" si="20"/>
        <v>#VALUE!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21"/>
        <v xml:space="preserve">[effect:rush, count:8, val:0.15],[effect:change_block, new_block:block_red, target:block_green, count:10, val:0, no_effect_msg:no_effect_msg_change_block_heal, animation:change_block]    </v>
      </c>
      <c r="N23" s="48" t="str">
        <f t="shared" ref="N23:N24" si="41">IFERROR(LEFT(M23,FIND("],",M23)+S33),M23)</f>
        <v>[effect:rush, count:8, val:0.15]</v>
      </c>
      <c r="O23" s="63">
        <f t="shared" si="7"/>
        <v>9</v>
      </c>
      <c r="P23" s="63">
        <f t="shared" si="22"/>
        <v>13</v>
      </c>
      <c r="Q23" s="63" t="e">
        <f t="shared" si="23"/>
        <v>#VALUE!</v>
      </c>
      <c r="R23" s="63">
        <f t="shared" si="24"/>
        <v>22</v>
      </c>
      <c r="S23" s="63" t="str">
        <f>IFERROR(VLOOKUP(MID(N23,Q23,R23-Q23),[6]skilldef!$C:$D,2,FALSE),"-") &amp; " / " &amp; IFERROR(VLOOKUP(MID(N23,O23,P23-O23),[6]skilldef!$A:$B,2,FALSE),"-")</f>
        <v>- / 連続攻撃</v>
      </c>
      <c r="T23" s="48" t="str">
        <f t="shared" si="25"/>
        <v xml:space="preserve">[effect:change_block, new_block:block_red, target:block_green, count:10, val:0, no_effect_msg:no_effect_msg_change_block_heal, animation:change_block]    </v>
      </c>
      <c r="U23" s="63">
        <f t="shared" si="12"/>
        <v>9</v>
      </c>
      <c r="V23" s="63">
        <f t="shared" si="26"/>
        <v>21</v>
      </c>
      <c r="W23" s="63">
        <f t="shared" si="27"/>
        <v>51</v>
      </c>
      <c r="X23" s="63">
        <f t="shared" si="28"/>
        <v>42</v>
      </c>
      <c r="Y23" s="63" t="str">
        <f>IFERROR(VLOOKUP(MID(T23,W23,X23-W23),[6]skilldef!$C:$D,2,FALSE),"-") &amp; " / " &amp; IFERROR(VLOOKUP(MID(T23,U23,V23-U23),[6]skilldef!$A:$B,2,FALSE),"-")</f>
        <v>- / ブロック変換</v>
      </c>
      <c r="Z23" s="50" t="s">
        <v>208</v>
      </c>
      <c r="AA23" s="52">
        <v>42447</v>
      </c>
      <c r="AB23" s="51" t="s">
        <v>227</v>
      </c>
    </row>
    <row r="24" spans="1:28" ht="21" customHeight="1" x14ac:dyDescent="0.15">
      <c r="A24" s="47">
        <v>30032023</v>
      </c>
      <c r="B24" s="97" t="s">
        <v>344</v>
      </c>
      <c r="C24" s="50">
        <v>3</v>
      </c>
      <c r="D24" s="50" t="s">
        <v>127</v>
      </c>
      <c r="E24" s="51" t="s">
        <v>255</v>
      </c>
      <c r="F24" s="51" t="s">
        <v>340</v>
      </c>
      <c r="G24" s="63" t="str">
        <f t="shared" si="17"/>
        <v>[effect:barrier_attack_skill_color, target:myself, option:guard, color:red, turn:-1, val:0.5, animation:crash_panel_reduce04_unit02]</v>
      </c>
      <c r="H24" s="63">
        <f t="shared" si="1"/>
        <v>9</v>
      </c>
      <c r="I24" s="63">
        <f t="shared" si="18"/>
        <v>35</v>
      </c>
      <c r="J24" s="63">
        <f t="shared" si="19"/>
        <v>44</v>
      </c>
      <c r="K24" s="63">
        <f t="shared" si="20"/>
        <v>50</v>
      </c>
      <c r="L24" s="63" t="str">
        <f>IFERROR(VLOOKUP(MID(G24,J24,K24-J24),[6]skilldef!$C:$D,2,FALSE),"-") &amp; " / " &amp; IFERROR(VLOOKUP(MID(G24,H24,I24-H24),[6]skilldef!$A:$B,2,FALSE),"-")</f>
        <v>自分自身に / 一定ターン特定属性のユニットの攻撃スキルダメージを軽減／無効／反射</v>
      </c>
      <c r="M24" s="63" t="str">
        <f t="shared" si="21"/>
        <v>[effect:barrier_attack_skill_color, target:myself, option:guard, color:yellow, turn:-1, val:0.5],[effect:barrier_attack_skill_color, target:myself, option:guard, color:green, turn:-1, val:0.5],[effect:damage_anti_color, target:unit_all, color:blue, val1:0.1, val2:0.4]</v>
      </c>
      <c r="N24" s="48" t="str">
        <f t="shared" si="41"/>
        <v>[effect:barrier_attack_skill_color, target:myself, option:guard, color:yellow, turn:-1, val:0.5]</v>
      </c>
      <c r="O24" s="63">
        <f t="shared" si="7"/>
        <v>9</v>
      </c>
      <c r="P24" s="63">
        <f t="shared" si="22"/>
        <v>35</v>
      </c>
      <c r="Q24" s="63">
        <f t="shared" si="23"/>
        <v>44</v>
      </c>
      <c r="R24" s="63">
        <f t="shared" si="24"/>
        <v>50</v>
      </c>
      <c r="S24" s="63" t="str">
        <f>IFERROR(VLOOKUP(MID(N24,Q24,R24-Q24),[6]skilldef!$C:$D,2,FALSE),"-") &amp; " / " &amp; IFERROR(VLOOKUP(MID(N24,O24,P24-O24),[6]skilldef!$A:$B,2,FALSE),"-")</f>
        <v>自分自身に / 一定ターン特定属性のユニットの攻撃スキルダメージを軽減／無効／反射</v>
      </c>
      <c r="T24" s="48" t="str">
        <f t="shared" si="25"/>
        <v>[effect:barrier_attack_skill_color, target:myself, option:guard, color:green, turn:-1, val:0.5],[effect:damage_anti_color, target:unit_all, color:blue, val1:0.1, val2:0.4]</v>
      </c>
      <c r="U24" s="63">
        <f t="shared" si="12"/>
        <v>9</v>
      </c>
      <c r="V24" s="63">
        <f t="shared" si="26"/>
        <v>35</v>
      </c>
      <c r="W24" s="63">
        <f t="shared" si="27"/>
        <v>44</v>
      </c>
      <c r="X24" s="63">
        <f t="shared" si="28"/>
        <v>50</v>
      </c>
      <c r="Y24" s="63" t="str">
        <f>IFERROR(VLOOKUP(MID(T24,W24,X24-W24),[6]skilldef!$C:$D,2,FALSE),"-") &amp; " / " &amp; IFERROR(VLOOKUP(MID(T24,U24,V24-U24),[6]skilldef!$A:$B,2,FALSE),"-")</f>
        <v>自分自身に / 一定ターン特定属性のユニットの攻撃スキルダメージを軽減／無効／反射</v>
      </c>
      <c r="Z24" s="50" t="s">
        <v>208</v>
      </c>
      <c r="AA24" s="52">
        <v>42438</v>
      </c>
      <c r="AB24" s="51" t="s">
        <v>228</v>
      </c>
    </row>
    <row r="25" spans="1:28" ht="21" customHeight="1" x14ac:dyDescent="0.15">
      <c r="A25" s="47">
        <v>30032024</v>
      </c>
      <c r="B25" s="97" t="s">
        <v>336</v>
      </c>
      <c r="C25" s="50">
        <v>3</v>
      </c>
      <c r="D25" s="50" t="s">
        <v>127</v>
      </c>
      <c r="E25" s="51" t="s">
        <v>279</v>
      </c>
      <c r="F25" s="51" t="s">
        <v>341</v>
      </c>
      <c r="G25" s="63" t="str">
        <f t="shared" ref="G25:G26" si="42">IFERROR(LEFT(B25,FIND("],",B25)),B25)</f>
        <v>[effect:change_block, new_block:block_red, target:block_green, count:0, val:0, no_effect_msg:no_effect_msg_change_block, animation:change_block]</v>
      </c>
      <c r="H25" s="63">
        <f t="shared" si="1"/>
        <v>9</v>
      </c>
      <c r="I25" s="63">
        <f t="shared" ref="I25:I26" si="43">IFERROR(FIND(",",G25),LEN(G25))</f>
        <v>21</v>
      </c>
      <c r="J25" s="63">
        <f t="shared" ref="J25:J26" si="44">FIND("target:",G25)+7</f>
        <v>51</v>
      </c>
      <c r="K25" s="63">
        <f t="shared" ref="K25:K26" si="45">FIND(",",G25,I25+1)</f>
        <v>42</v>
      </c>
      <c r="L25" s="63" t="str">
        <f>IFERROR(VLOOKUP(MID(G25,J25,K25-J25),[6]skilldef!$C:$D,2,FALSE),"-") &amp; " / " &amp; IFERROR(VLOOKUP(MID(G25,H25,I25-H25),[6]skilldef!$A:$B,2,FALSE),"-")</f>
        <v>- / ブロック変換</v>
      </c>
      <c r="M25" s="63" t="str">
        <f t="shared" ref="M25:M26" si="46">IFERROR(RIGHT(B25,LEN(B25)-FIND("],",B25)-1),"none")</f>
        <v xml:space="preserve">[effect:change_block, new_block:time_bomb, target:block_heart, count:5, val:0.2, min_time_count:2, max_time_count:4, no_effect_msg:no_effect_msg_change_block, animation:change_block] </v>
      </c>
      <c r="N25" s="48" t="str">
        <f t="shared" ref="N25:N26" si="47">IFERROR(LEFT(M25,FIND("],",M25)+S35),M25)</f>
        <v xml:space="preserve">[effect:change_block, new_block:time_bomb, target:block_heart, count:5, val:0.2, min_time_count:2, max_time_count:4, no_effect_msg:no_effect_msg_change_block, animation:change_block] </v>
      </c>
      <c r="O25" s="63">
        <f t="shared" si="7"/>
        <v>9</v>
      </c>
      <c r="P25" s="63">
        <f t="shared" ref="P25:P26" si="48">IFERROR(FIND(",",N25),LEN(N25))</f>
        <v>21</v>
      </c>
      <c r="Q25" s="63">
        <f t="shared" ref="Q25:Q26" si="49">FIND("target:",N25)+7</f>
        <v>51</v>
      </c>
      <c r="R25" s="63">
        <f t="shared" ref="R25:R26" si="50">FIND(",",N25,P25+1)</f>
        <v>42</v>
      </c>
      <c r="S25" s="63" t="str">
        <f>IFERROR(VLOOKUP(MID(N25,Q25,R25-Q25),[6]skilldef!$C:$D,2,FALSE),"-") &amp; " / " &amp; IFERROR(VLOOKUP(MID(N25,O25,P25-O25),[6]skilldef!$A:$B,2,FALSE),"-")</f>
        <v>- / ブロック変換</v>
      </c>
      <c r="T25" s="48" t="str">
        <f t="shared" ref="T25:T26" si="51">IFERROR(RIGHT(M25,LEN(M25)-FIND("],",M25)-1),"none")</f>
        <v>none</v>
      </c>
      <c r="U25" s="63" t="e">
        <f t="shared" si="12"/>
        <v>#VALUE!</v>
      </c>
      <c r="V25" s="63">
        <f t="shared" ref="V25:V26" si="52">IFERROR(FIND(",",T25),LEN(T25))</f>
        <v>4</v>
      </c>
      <c r="W25" s="63" t="e">
        <f t="shared" ref="W25:W26" si="53">FIND("target:",T25)+7</f>
        <v>#VALUE!</v>
      </c>
      <c r="X25" s="63" t="e">
        <f t="shared" ref="X25:X26" si="54">FIND(",",T25,V25+1)</f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 t="s">
        <v>208</v>
      </c>
      <c r="AA25" s="52">
        <v>42438</v>
      </c>
      <c r="AB25" s="51" t="s">
        <v>337</v>
      </c>
    </row>
    <row r="26" spans="1:28" ht="21" customHeight="1" x14ac:dyDescent="0.15">
      <c r="A26" s="47">
        <v>30032025</v>
      </c>
      <c r="B26" s="97" t="s">
        <v>258</v>
      </c>
      <c r="C26" s="50">
        <v>3</v>
      </c>
      <c r="D26" s="50" t="s">
        <v>127</v>
      </c>
      <c r="E26" s="51" t="s">
        <v>280</v>
      </c>
      <c r="F26" s="51" t="s">
        <v>316</v>
      </c>
      <c r="G26" s="63" t="str">
        <f t="shared" si="42"/>
        <v>[effect:crash_growth, count:-1, val:-3, animation:change_block]</v>
      </c>
      <c r="H26" s="63">
        <f t="shared" si="1"/>
        <v>9</v>
      </c>
      <c r="I26" s="63">
        <f t="shared" si="43"/>
        <v>21</v>
      </c>
      <c r="J26" s="63" t="e">
        <f t="shared" si="44"/>
        <v>#VALUE!</v>
      </c>
      <c r="K26" s="63">
        <f t="shared" si="45"/>
        <v>31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46"/>
        <v xml:space="preserve"> [effect:rush, count:1, val:1.2]    </v>
      </c>
      <c r="N26" s="48" t="str">
        <f t="shared" si="47"/>
        <v xml:space="preserve"> [effect:rush, count:1, val:1.2]    </v>
      </c>
      <c r="O26" s="63">
        <f t="shared" si="7"/>
        <v>10</v>
      </c>
      <c r="P26" s="63">
        <f t="shared" si="48"/>
        <v>14</v>
      </c>
      <c r="Q26" s="63" t="e">
        <f t="shared" si="49"/>
        <v>#VALUE!</v>
      </c>
      <c r="R26" s="63">
        <f t="shared" si="50"/>
        <v>23</v>
      </c>
      <c r="S26" s="63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51"/>
        <v>none</v>
      </c>
      <c r="U26" s="63" t="e">
        <f t="shared" si="12"/>
        <v>#VALUE!</v>
      </c>
      <c r="V26" s="63">
        <f t="shared" si="52"/>
        <v>4</v>
      </c>
      <c r="W26" s="63" t="e">
        <f t="shared" si="53"/>
        <v>#VALUE!</v>
      </c>
      <c r="X26" s="63" t="e">
        <f t="shared" si="5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 t="s">
        <v>208</v>
      </c>
      <c r="AA26" s="52">
        <v>42447</v>
      </c>
      <c r="AB26" s="51" t="s">
        <v>232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7"/>
  <sheetViews>
    <sheetView showGridLines="0" workbookViewId="0">
      <pane ySplit="1" topLeftCell="A6" activePane="bottomLeft" state="frozenSplit"/>
      <selection pane="bottomLeft" activeCell="A12" sqref="A1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30032001</v>
      </c>
      <c r="B2" s="47">
        <v>1</v>
      </c>
      <c r="C2" s="47">
        <v>100</v>
      </c>
      <c r="D2" s="47">
        <v>100</v>
      </c>
      <c r="E2" s="47" t="s">
        <v>244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30032002</v>
      </c>
      <c r="B3" s="47">
        <v>0</v>
      </c>
      <c r="C3" s="47">
        <v>80</v>
      </c>
      <c r="D3" s="47">
        <v>100</v>
      </c>
      <c r="E3" s="47">
        <v>50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13" si="1">D3</f>
        <v>100</v>
      </c>
    </row>
    <row r="4" spans="1:11" ht="21" customHeight="1" x14ac:dyDescent="0.15">
      <c r="A4" s="47">
        <v>30032003</v>
      </c>
      <c r="B4" s="47">
        <v>0</v>
      </c>
      <c r="C4" s="47">
        <v>60</v>
      </c>
      <c r="D4" s="47">
        <v>100</v>
      </c>
      <c r="E4" s="47">
        <v>50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30032004</v>
      </c>
      <c r="B5" s="47">
        <v>0</v>
      </c>
      <c r="C5" s="47" t="s">
        <v>53</v>
      </c>
      <c r="D5" s="47">
        <v>70</v>
      </c>
      <c r="E5" s="47" t="s">
        <v>244</v>
      </c>
      <c r="F5" s="47">
        <v>50</v>
      </c>
      <c r="G5" s="47" t="s">
        <v>244</v>
      </c>
      <c r="H5" s="47" t="s">
        <v>53</v>
      </c>
      <c r="I5" s="47" t="s">
        <v>53</v>
      </c>
      <c r="J5" s="48">
        <f t="shared" si="1"/>
        <v>70</v>
      </c>
    </row>
    <row r="6" spans="1:11" ht="21" customHeight="1" x14ac:dyDescent="0.15">
      <c r="A6" s="47">
        <v>30032005</v>
      </c>
      <c r="B6" s="47">
        <v>0</v>
      </c>
      <c r="C6" s="47" t="s">
        <v>53</v>
      </c>
      <c r="D6" s="47">
        <v>60</v>
      </c>
      <c r="E6" s="47" t="s">
        <v>244</v>
      </c>
      <c r="F6" s="47" t="s">
        <v>53</v>
      </c>
      <c r="G6" s="47" t="s">
        <v>244</v>
      </c>
      <c r="H6" s="47" t="s">
        <v>53</v>
      </c>
      <c r="I6" s="47" t="s">
        <v>53</v>
      </c>
      <c r="J6" s="48">
        <f t="shared" si="1"/>
        <v>60</v>
      </c>
    </row>
    <row r="7" spans="1:11" ht="21" customHeight="1" x14ac:dyDescent="0.15">
      <c r="A7" s="47">
        <v>30032006</v>
      </c>
      <c r="B7" s="47">
        <v>0</v>
      </c>
      <c r="C7" s="47" t="s">
        <v>53</v>
      </c>
      <c r="D7" s="47">
        <v>40</v>
      </c>
      <c r="E7" s="47" t="s">
        <v>244</v>
      </c>
      <c r="F7" s="47" t="s">
        <v>53</v>
      </c>
      <c r="G7" s="47" t="s">
        <v>244</v>
      </c>
      <c r="H7" s="47" t="s">
        <v>53</v>
      </c>
      <c r="I7" s="47" t="s">
        <v>53</v>
      </c>
      <c r="J7" s="48">
        <f t="shared" si="1"/>
        <v>40</v>
      </c>
    </row>
    <row r="8" spans="1:11" ht="21" customHeight="1" x14ac:dyDescent="0.15">
      <c r="A8" s="47">
        <v>30032007</v>
      </c>
      <c r="B8" s="47">
        <v>0</v>
      </c>
      <c r="C8" s="47" t="s">
        <v>53</v>
      </c>
      <c r="D8" s="47">
        <v>100</v>
      </c>
      <c r="E8" s="47" t="s">
        <v>244</v>
      </c>
      <c r="F8" s="47" t="s">
        <v>53</v>
      </c>
      <c r="G8" s="47">
        <v>5</v>
      </c>
      <c r="H8" s="47">
        <v>2</v>
      </c>
      <c r="I8" s="47" t="s">
        <v>53</v>
      </c>
      <c r="J8" s="48">
        <f t="shared" si="1"/>
        <v>100</v>
      </c>
    </row>
    <row r="9" spans="1:11" ht="21" customHeight="1" x14ac:dyDescent="0.15">
      <c r="A9" s="47">
        <v>30032008</v>
      </c>
      <c r="B9" s="47">
        <v>0</v>
      </c>
      <c r="C9" s="47" t="s">
        <v>53</v>
      </c>
      <c r="D9" s="47">
        <v>25</v>
      </c>
      <c r="E9" s="47">
        <v>80</v>
      </c>
      <c r="F9" s="47" t="s">
        <v>53</v>
      </c>
      <c r="G9" s="47">
        <v>5</v>
      </c>
      <c r="H9" s="47" t="s">
        <v>53</v>
      </c>
      <c r="I9" s="47" t="s">
        <v>53</v>
      </c>
      <c r="J9" s="48">
        <f t="shared" si="1"/>
        <v>25</v>
      </c>
    </row>
    <row r="10" spans="1:11" ht="21" customHeight="1" x14ac:dyDescent="0.15">
      <c r="A10" s="47">
        <v>30032009</v>
      </c>
      <c r="B10" s="47">
        <v>0</v>
      </c>
      <c r="C10" s="47">
        <v>97</v>
      </c>
      <c r="D10" s="47">
        <v>100</v>
      </c>
      <c r="E10" s="47">
        <v>30</v>
      </c>
      <c r="F10" s="47" t="s">
        <v>53</v>
      </c>
      <c r="G10" s="47" t="s">
        <v>244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x14ac:dyDescent="0.15">
      <c r="A11" s="47">
        <v>30032010</v>
      </c>
      <c r="B11" s="47">
        <v>0</v>
      </c>
      <c r="C11" s="47">
        <v>96</v>
      </c>
      <c r="D11" s="47">
        <v>100</v>
      </c>
      <c r="E11" s="47" t="s">
        <v>244</v>
      </c>
      <c r="F11" s="47" t="s">
        <v>53</v>
      </c>
      <c r="G11" s="47">
        <v>8</v>
      </c>
      <c r="H11" s="47">
        <v>3</v>
      </c>
      <c r="I11" s="47" t="s">
        <v>53</v>
      </c>
      <c r="J11" s="48">
        <f t="shared" si="1"/>
        <v>100</v>
      </c>
    </row>
    <row r="12" spans="1:11" ht="21" customHeight="1" x14ac:dyDescent="0.15">
      <c r="A12" s="47">
        <v>30032011</v>
      </c>
      <c r="B12" s="47">
        <v>0</v>
      </c>
      <c r="C12" s="47">
        <v>99</v>
      </c>
      <c r="D12" s="47">
        <v>100</v>
      </c>
      <c r="E12" s="47" t="s">
        <v>244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1"/>
        <v>100</v>
      </c>
    </row>
    <row r="13" spans="1:11" ht="21" customHeight="1" x14ac:dyDescent="0.15">
      <c r="A13" s="47">
        <v>30032012</v>
      </c>
      <c r="B13" s="47">
        <v>0</v>
      </c>
      <c r="C13" s="47">
        <v>60</v>
      </c>
      <c r="D13" s="47">
        <v>100</v>
      </c>
      <c r="E13" s="47" t="s">
        <v>244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1"/>
        <v>100</v>
      </c>
    </row>
    <row r="14" spans="1:11" ht="21" customHeight="1" x14ac:dyDescent="0.15">
      <c r="A14" s="47">
        <v>30032013</v>
      </c>
      <c r="B14" s="47">
        <v>0</v>
      </c>
      <c r="C14" s="47">
        <v>98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ref="J14:J17" si="2">D14</f>
        <v>100</v>
      </c>
    </row>
    <row r="15" spans="1:11" ht="21" customHeight="1" x14ac:dyDescent="0.15">
      <c r="A15" s="47">
        <v>30032014</v>
      </c>
      <c r="B15" s="47">
        <v>0</v>
      </c>
      <c r="C15" s="47">
        <v>100</v>
      </c>
      <c r="D15" s="47">
        <v>100</v>
      </c>
      <c r="E15" s="47">
        <v>50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2"/>
        <v>100</v>
      </c>
    </row>
    <row r="16" spans="1:11" ht="21" customHeight="1" x14ac:dyDescent="0.15">
      <c r="A16" s="47">
        <v>30032015</v>
      </c>
      <c r="B16" s="47">
        <v>0</v>
      </c>
      <c r="C16" s="47">
        <v>50</v>
      </c>
      <c r="D16" s="47">
        <v>55</v>
      </c>
      <c r="E16" s="47" t="s">
        <v>53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2"/>
        <v>55</v>
      </c>
    </row>
    <row r="17" spans="1:10" ht="21" customHeight="1" x14ac:dyDescent="0.15">
      <c r="A17" s="47">
        <v>30032016</v>
      </c>
      <c r="B17" s="47">
        <v>0</v>
      </c>
      <c r="C17" s="47">
        <v>25</v>
      </c>
      <c r="D17" s="47">
        <v>75</v>
      </c>
      <c r="E17" s="47" t="s">
        <v>53</v>
      </c>
      <c r="F17" s="47" t="s">
        <v>53</v>
      </c>
      <c r="G17" s="47" t="s">
        <v>53</v>
      </c>
      <c r="H17" s="47" t="s">
        <v>53</v>
      </c>
      <c r="I17" s="47" t="s">
        <v>53</v>
      </c>
      <c r="J17" s="48">
        <f t="shared" si="2"/>
        <v>75</v>
      </c>
    </row>
  </sheetData>
  <autoFilter ref="A1:G1"/>
  <phoneticPr fontId="5"/>
  <conditionalFormatting sqref="K1:K13 K18:K1048576">
    <cfRule type="duplicateValues" dxfId="4" priority="5"/>
  </conditionalFormatting>
  <conditionalFormatting sqref="K14">
    <cfRule type="duplicateValues" dxfId="3" priority="4"/>
  </conditionalFormatting>
  <conditionalFormatting sqref="K15">
    <cfRule type="duplicateValues" dxfId="2" priority="3"/>
  </conditionalFormatting>
  <conditionalFormatting sqref="K16">
    <cfRule type="duplicateValues" dxfId="1" priority="2"/>
  </conditionalFormatting>
  <conditionalFormatting sqref="K1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O37" sqref="O3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286</v>
      </c>
      <c r="B1" s="64" t="s">
        <v>287</v>
      </c>
      <c r="C1" s="65" t="s">
        <v>288</v>
      </c>
      <c r="D1" s="72" t="s">
        <v>289</v>
      </c>
      <c r="E1" s="66" t="s">
        <v>290</v>
      </c>
      <c r="F1" s="64" t="s">
        <v>291</v>
      </c>
      <c r="G1" s="64" t="s">
        <v>292</v>
      </c>
      <c r="H1" s="64" t="s">
        <v>293</v>
      </c>
      <c r="I1" s="64" t="s">
        <v>294</v>
      </c>
      <c r="J1" s="64" t="s">
        <v>295</v>
      </c>
      <c r="K1" s="64" t="s">
        <v>296</v>
      </c>
      <c r="L1" s="64" t="s">
        <v>297</v>
      </c>
      <c r="M1" s="64" t="s">
        <v>298</v>
      </c>
      <c r="N1" s="64" t="s">
        <v>299</v>
      </c>
      <c r="O1" s="64" t="s">
        <v>46</v>
      </c>
      <c r="P1" s="64" t="s">
        <v>160</v>
      </c>
      <c r="Q1" s="64" t="s">
        <v>161</v>
      </c>
      <c r="R1" s="64" t="s">
        <v>300</v>
      </c>
    </row>
    <row r="2" spans="1:18" x14ac:dyDescent="0.15">
      <c r="A2" s="82">
        <v>30032</v>
      </c>
      <c r="B2" s="82">
        <v>1</v>
      </c>
      <c r="C2" s="71" t="str">
        <f>A2&amp; "_"&amp;B2</f>
        <v>30032_1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163</v>
      </c>
      <c r="G2" s="82">
        <v>3200</v>
      </c>
      <c r="H2" s="82" t="s">
        <v>301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200</v>
      </c>
      <c r="Q2" s="82" t="s">
        <v>164</v>
      </c>
      <c r="R2" s="82" t="s">
        <v>165</v>
      </c>
    </row>
    <row r="3" spans="1:18" x14ac:dyDescent="0.15">
      <c r="A3" s="82">
        <v>30032</v>
      </c>
      <c r="B3" s="82">
        <v>1</v>
      </c>
      <c r="C3" s="71" t="str">
        <f t="shared" ref="C3:C33" si="0">A3&amp; "_"&amp;B3</f>
        <v>30032_1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302</v>
      </c>
      <c r="G3" s="82">
        <v>20</v>
      </c>
      <c r="H3" s="82" t="s">
        <v>303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200</v>
      </c>
      <c r="Q3" s="82" t="s">
        <v>164</v>
      </c>
      <c r="R3" s="82" t="s">
        <v>165</v>
      </c>
    </row>
    <row r="4" spans="1:18" x14ac:dyDescent="0.15">
      <c r="A4" s="82">
        <v>30032</v>
      </c>
      <c r="B4" s="82">
        <v>1</v>
      </c>
      <c r="C4" s="71" t="str">
        <f t="shared" si="0"/>
        <v>30032_1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304</v>
      </c>
      <c r="G4" s="82">
        <v>332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70</v>
      </c>
      <c r="Q4" s="82" t="s">
        <v>164</v>
      </c>
      <c r="R4" s="82" t="s">
        <v>165</v>
      </c>
    </row>
    <row r="5" spans="1:18" x14ac:dyDescent="0.15">
      <c r="A5" s="82">
        <v>30032</v>
      </c>
      <c r="B5" s="82">
        <v>1</v>
      </c>
      <c r="C5" s="71" t="str">
        <f t="shared" si="0"/>
        <v>30032_1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305</v>
      </c>
      <c r="G5" s="82">
        <v>333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70</v>
      </c>
      <c r="Q5" s="82" t="s">
        <v>164</v>
      </c>
      <c r="R5" s="82" t="s">
        <v>165</v>
      </c>
    </row>
    <row r="6" spans="1:18" x14ac:dyDescent="0.15">
      <c r="A6" s="82">
        <v>30032</v>
      </c>
      <c r="B6" s="82">
        <v>1</v>
      </c>
      <c r="C6" s="71" t="str">
        <f t="shared" si="0"/>
        <v>30032_1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305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164</v>
      </c>
      <c r="R6" s="82" t="s">
        <v>165</v>
      </c>
    </row>
    <row r="7" spans="1:18" x14ac:dyDescent="0.15">
      <c r="A7" s="82">
        <v>30032</v>
      </c>
      <c r="B7" s="82">
        <v>1</v>
      </c>
      <c r="C7" s="71" t="str">
        <f t="shared" si="0"/>
        <v>30032_1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305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164</v>
      </c>
      <c r="R7" s="82" t="s">
        <v>165</v>
      </c>
    </row>
    <row r="8" spans="1:18" x14ac:dyDescent="0.15">
      <c r="A8" s="82">
        <v>30032</v>
      </c>
      <c r="B8" s="82">
        <v>1</v>
      </c>
      <c r="C8" s="71" t="str">
        <f t="shared" si="0"/>
        <v>30032_1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305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164</v>
      </c>
      <c r="R8" s="82" t="s">
        <v>165</v>
      </c>
    </row>
    <row r="9" spans="1:18" x14ac:dyDescent="0.15">
      <c r="A9" s="82">
        <v>30032</v>
      </c>
      <c r="B9" s="82">
        <v>1</v>
      </c>
      <c r="C9" s="71" t="str">
        <f t="shared" si="0"/>
        <v>30032_1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306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164</v>
      </c>
      <c r="R9" s="82" t="s">
        <v>165</v>
      </c>
    </row>
    <row r="10" spans="1:18" x14ac:dyDescent="0.15">
      <c r="A10" s="82">
        <v>30032</v>
      </c>
      <c r="B10" s="82">
        <v>1</v>
      </c>
      <c r="C10" s="71" t="str">
        <f t="shared" si="0"/>
        <v>30032_1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304</v>
      </c>
      <c r="G10" s="82">
        <v>766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200</v>
      </c>
      <c r="Q10" s="82" t="s">
        <v>164</v>
      </c>
      <c r="R10" s="82" t="s">
        <v>165</v>
      </c>
    </row>
    <row r="11" spans="1:18" ht="16" thickBot="1" x14ac:dyDescent="0.2">
      <c r="A11" s="201">
        <v>30032</v>
      </c>
      <c r="B11" s="201">
        <v>1</v>
      </c>
      <c r="C11" s="202" t="str">
        <f t="shared" si="0"/>
        <v>30032_1</v>
      </c>
      <c r="D11" s="20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01">
        <v>10</v>
      </c>
      <c r="F11" s="201" t="s">
        <v>305</v>
      </c>
      <c r="G11" s="201">
        <v>348</v>
      </c>
      <c r="H11" s="201">
        <v>1</v>
      </c>
      <c r="I11" s="201">
        <v>1</v>
      </c>
      <c r="J11" s="201">
        <v>1</v>
      </c>
      <c r="K11" s="201">
        <v>0</v>
      </c>
      <c r="L11" s="201">
        <v>0</v>
      </c>
      <c r="M11" s="201">
        <v>0</v>
      </c>
      <c r="N11" s="201">
        <v>0</v>
      </c>
      <c r="O11" s="201">
        <v>1</v>
      </c>
      <c r="P11" s="201">
        <v>100</v>
      </c>
      <c r="Q11" s="201" t="s">
        <v>164</v>
      </c>
      <c r="R11" s="201" t="s">
        <v>165</v>
      </c>
    </row>
    <row r="12" spans="1:18" ht="16" thickTop="1" x14ac:dyDescent="0.15">
      <c r="A12" s="198">
        <v>30032</v>
      </c>
      <c r="B12" s="198">
        <v>2</v>
      </c>
      <c r="C12" s="199" t="str">
        <f t="shared" si="0"/>
        <v>30032_2</v>
      </c>
      <c r="D12" s="20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98">
        <v>11</v>
      </c>
      <c r="F12" s="198" t="s">
        <v>163</v>
      </c>
      <c r="G12" s="198">
        <v>5000</v>
      </c>
      <c r="H12" s="198" t="s">
        <v>307</v>
      </c>
      <c r="I12" s="198">
        <v>1</v>
      </c>
      <c r="J12" s="198">
        <v>1</v>
      </c>
      <c r="K12" s="198">
        <v>0</v>
      </c>
      <c r="L12" s="198">
        <v>0</v>
      </c>
      <c r="M12" s="198">
        <v>0</v>
      </c>
      <c r="N12" s="198">
        <v>0</v>
      </c>
      <c r="O12" s="198">
        <v>1</v>
      </c>
      <c r="P12" s="198">
        <v>200</v>
      </c>
      <c r="Q12" s="198" t="s">
        <v>164</v>
      </c>
      <c r="R12" s="198" t="s">
        <v>165</v>
      </c>
    </row>
    <row r="13" spans="1:18" x14ac:dyDescent="0.15">
      <c r="A13" s="82">
        <v>30032</v>
      </c>
      <c r="B13" s="82">
        <v>2</v>
      </c>
      <c r="C13" s="71" t="str">
        <f t="shared" si="0"/>
        <v>30032_2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308</v>
      </c>
      <c r="G13" s="82">
        <v>25</v>
      </c>
      <c r="H13" s="82" t="s">
        <v>303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150</v>
      </c>
      <c r="Q13" s="82" t="s">
        <v>164</v>
      </c>
      <c r="R13" s="82" t="s">
        <v>165</v>
      </c>
    </row>
    <row r="14" spans="1:18" x14ac:dyDescent="0.15">
      <c r="A14" s="82">
        <v>30032</v>
      </c>
      <c r="B14" s="82">
        <v>2</v>
      </c>
      <c r="C14" s="71" t="str">
        <f t="shared" si="0"/>
        <v>30032_2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304</v>
      </c>
      <c r="G14" s="82">
        <v>332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56</v>
      </c>
      <c r="Q14" s="82" t="s">
        <v>164</v>
      </c>
      <c r="R14" s="82" t="s">
        <v>165</v>
      </c>
    </row>
    <row r="15" spans="1:18" x14ac:dyDescent="0.15">
      <c r="A15" s="82">
        <v>30032</v>
      </c>
      <c r="B15" s="82">
        <v>2</v>
      </c>
      <c r="C15" s="71" t="str">
        <f t="shared" si="0"/>
        <v>30032_2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305</v>
      </c>
      <c r="G15" s="82">
        <v>333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56</v>
      </c>
      <c r="Q15" s="82" t="s">
        <v>164</v>
      </c>
      <c r="R15" s="82" t="s">
        <v>165</v>
      </c>
    </row>
    <row r="16" spans="1:18" x14ac:dyDescent="0.15">
      <c r="A16" s="82">
        <v>30032</v>
      </c>
      <c r="B16" s="82">
        <v>2</v>
      </c>
      <c r="C16" s="71" t="str">
        <f t="shared" si="0"/>
        <v>30032_2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15</v>
      </c>
      <c r="F16" s="82" t="s">
        <v>304</v>
      </c>
      <c r="G16" s="82">
        <v>334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28</v>
      </c>
      <c r="Q16" s="82" t="s">
        <v>164</v>
      </c>
      <c r="R16" s="82" t="s">
        <v>165</v>
      </c>
    </row>
    <row r="17" spans="1:18" x14ac:dyDescent="0.15">
      <c r="A17" s="82">
        <v>30032</v>
      </c>
      <c r="B17" s="82">
        <v>2</v>
      </c>
      <c r="C17" s="71" t="str">
        <f t="shared" si="0"/>
        <v>30032_2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16</v>
      </c>
      <c r="F17" s="82" t="s">
        <v>306</v>
      </c>
      <c r="G17" s="82">
        <v>121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164</v>
      </c>
      <c r="R17" s="82" t="s">
        <v>165</v>
      </c>
    </row>
    <row r="18" spans="1:18" x14ac:dyDescent="0.15">
      <c r="A18" s="82">
        <v>30032</v>
      </c>
      <c r="B18" s="82">
        <v>2</v>
      </c>
      <c r="C18" s="71" t="str">
        <f t="shared" si="0"/>
        <v>30032_2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17</v>
      </c>
      <c r="F18" s="82" t="s">
        <v>306</v>
      </c>
      <c r="G18" s="82">
        <v>122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164</v>
      </c>
      <c r="R18" s="82" t="s">
        <v>165</v>
      </c>
    </row>
    <row r="19" spans="1:18" x14ac:dyDescent="0.15">
      <c r="A19" s="82">
        <v>30032</v>
      </c>
      <c r="B19" s="82">
        <v>2</v>
      </c>
      <c r="C19" s="71" t="str">
        <f t="shared" si="0"/>
        <v>30032_2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18</v>
      </c>
      <c r="F19" s="82" t="s">
        <v>306</v>
      </c>
      <c r="G19" s="82">
        <v>123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50</v>
      </c>
      <c r="Q19" s="82" t="s">
        <v>164</v>
      </c>
      <c r="R19" s="82" t="s">
        <v>165</v>
      </c>
    </row>
    <row r="20" spans="1:18" x14ac:dyDescent="0.15">
      <c r="A20" s="82">
        <v>30032</v>
      </c>
      <c r="B20" s="82">
        <v>2</v>
      </c>
      <c r="C20" s="71" t="str">
        <f t="shared" si="0"/>
        <v>30032_2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19</v>
      </c>
      <c r="F20" s="82" t="s">
        <v>304</v>
      </c>
      <c r="G20" s="82">
        <v>125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</v>
      </c>
      <c r="Q20" s="82" t="s">
        <v>164</v>
      </c>
      <c r="R20" s="82" t="s">
        <v>165</v>
      </c>
    </row>
    <row r="21" spans="1:18" x14ac:dyDescent="0.15">
      <c r="A21" s="82">
        <v>30032</v>
      </c>
      <c r="B21" s="82">
        <v>2</v>
      </c>
      <c r="C21" s="71" t="str">
        <f t="shared" si="0"/>
        <v>30032_2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20</v>
      </c>
      <c r="F21" s="82" t="s">
        <v>306</v>
      </c>
      <c r="G21" s="82">
        <v>766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250</v>
      </c>
      <c r="Q21" s="82" t="s">
        <v>164</v>
      </c>
      <c r="R21" s="82" t="s">
        <v>165</v>
      </c>
    </row>
    <row r="22" spans="1:18" ht="16" thickBot="1" x14ac:dyDescent="0.2">
      <c r="A22" s="201">
        <v>30032</v>
      </c>
      <c r="B22" s="201">
        <v>2</v>
      </c>
      <c r="C22" s="202" t="str">
        <f t="shared" si="0"/>
        <v>30032_2</v>
      </c>
      <c r="D22" s="203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01">
        <v>21</v>
      </c>
      <c r="F22" s="201" t="s">
        <v>304</v>
      </c>
      <c r="G22" s="201">
        <v>348</v>
      </c>
      <c r="H22" s="201">
        <v>1</v>
      </c>
      <c r="I22" s="201">
        <v>1</v>
      </c>
      <c r="J22" s="201">
        <v>1</v>
      </c>
      <c r="K22" s="201">
        <v>0</v>
      </c>
      <c r="L22" s="201">
        <v>0</v>
      </c>
      <c r="M22" s="201">
        <v>0</v>
      </c>
      <c r="N22" s="201">
        <v>0</v>
      </c>
      <c r="O22" s="201">
        <v>1</v>
      </c>
      <c r="P22" s="201">
        <v>100</v>
      </c>
      <c r="Q22" s="201" t="s">
        <v>164</v>
      </c>
      <c r="R22" s="201" t="s">
        <v>165</v>
      </c>
    </row>
    <row r="23" spans="1:18" ht="16" thickTop="1" x14ac:dyDescent="0.15">
      <c r="A23" s="198">
        <v>30032</v>
      </c>
      <c r="B23" s="198">
        <v>3</v>
      </c>
      <c r="C23" s="199" t="str">
        <f t="shared" si="0"/>
        <v>30032_3</v>
      </c>
      <c r="D23" s="200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98">
        <v>22</v>
      </c>
      <c r="F23" s="198" t="s">
        <v>163</v>
      </c>
      <c r="G23" s="198">
        <v>6500</v>
      </c>
      <c r="H23" s="198" t="s">
        <v>309</v>
      </c>
      <c r="I23" s="198">
        <v>1</v>
      </c>
      <c r="J23" s="198">
        <v>1</v>
      </c>
      <c r="K23" s="198">
        <v>0</v>
      </c>
      <c r="L23" s="198">
        <v>0</v>
      </c>
      <c r="M23" s="198">
        <v>0</v>
      </c>
      <c r="N23" s="198">
        <v>0</v>
      </c>
      <c r="O23" s="198">
        <v>1</v>
      </c>
      <c r="P23" s="198">
        <v>100</v>
      </c>
      <c r="Q23" s="198" t="s">
        <v>164</v>
      </c>
      <c r="R23" s="198" t="s">
        <v>165</v>
      </c>
    </row>
    <row r="24" spans="1:18" x14ac:dyDescent="0.15">
      <c r="A24" s="82">
        <v>30032</v>
      </c>
      <c r="B24" s="82">
        <v>3</v>
      </c>
      <c r="C24" s="71" t="str">
        <f t="shared" si="0"/>
        <v>30032_3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23</v>
      </c>
      <c r="F24" s="82" t="s">
        <v>310</v>
      </c>
      <c r="G24" s="82">
        <v>25</v>
      </c>
      <c r="H24" s="82" t="s">
        <v>309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100</v>
      </c>
      <c r="Q24" s="82" t="s">
        <v>164</v>
      </c>
      <c r="R24" s="82" t="s">
        <v>165</v>
      </c>
    </row>
    <row r="25" spans="1:18" x14ac:dyDescent="0.15">
      <c r="A25" s="82">
        <v>30032</v>
      </c>
      <c r="B25" s="82">
        <v>3</v>
      </c>
      <c r="C25" s="71" t="str">
        <f t="shared" si="0"/>
        <v>30032_3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24</v>
      </c>
      <c r="F25" s="82" t="s">
        <v>304</v>
      </c>
      <c r="G25" s="82">
        <v>332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28</v>
      </c>
      <c r="Q25" s="82" t="s">
        <v>164</v>
      </c>
      <c r="R25" s="82" t="s">
        <v>165</v>
      </c>
    </row>
    <row r="26" spans="1:18" x14ac:dyDescent="0.15">
      <c r="A26" s="82">
        <v>30032</v>
      </c>
      <c r="B26" s="82">
        <v>3</v>
      </c>
      <c r="C26" s="71" t="str">
        <f t="shared" si="0"/>
        <v>30032_3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25</v>
      </c>
      <c r="F26" s="82" t="s">
        <v>306</v>
      </c>
      <c r="G26" s="82">
        <v>333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56</v>
      </c>
      <c r="Q26" s="82" t="s">
        <v>164</v>
      </c>
      <c r="R26" s="82" t="s">
        <v>165</v>
      </c>
    </row>
    <row r="27" spans="1:18" x14ac:dyDescent="0.15">
      <c r="A27" s="82">
        <v>30032</v>
      </c>
      <c r="B27" s="82">
        <v>3</v>
      </c>
      <c r="C27" s="71" t="str">
        <f t="shared" si="0"/>
        <v>30032_3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26</v>
      </c>
      <c r="F27" s="82" t="s">
        <v>305</v>
      </c>
      <c r="G27" s="82">
        <v>334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56</v>
      </c>
      <c r="Q27" s="82" t="s">
        <v>164</v>
      </c>
      <c r="R27" s="82" t="s">
        <v>165</v>
      </c>
    </row>
    <row r="28" spans="1:18" x14ac:dyDescent="0.15">
      <c r="A28" s="82">
        <v>30032</v>
      </c>
      <c r="B28" s="82">
        <v>3</v>
      </c>
      <c r="C28" s="71" t="str">
        <f t="shared" si="0"/>
        <v>30032_3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27</v>
      </c>
      <c r="F28" s="82" t="s">
        <v>305</v>
      </c>
      <c r="G28" s="82">
        <v>121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164</v>
      </c>
      <c r="R28" s="82" t="s">
        <v>165</v>
      </c>
    </row>
    <row r="29" spans="1:18" x14ac:dyDescent="0.15">
      <c r="A29" s="82">
        <v>30032</v>
      </c>
      <c r="B29" s="82">
        <v>3</v>
      </c>
      <c r="C29" s="71" t="str">
        <f t="shared" si="0"/>
        <v>30032_3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28</v>
      </c>
      <c r="F29" s="82" t="s">
        <v>305</v>
      </c>
      <c r="G29" s="82">
        <v>122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164</v>
      </c>
      <c r="R29" s="82" t="s">
        <v>165</v>
      </c>
    </row>
    <row r="30" spans="1:18" x14ac:dyDescent="0.15">
      <c r="A30" s="82">
        <v>30032</v>
      </c>
      <c r="B30" s="82">
        <v>3</v>
      </c>
      <c r="C30" s="71" t="str">
        <f t="shared" si="0"/>
        <v>30032_3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29</v>
      </c>
      <c r="F30" s="82" t="s">
        <v>305</v>
      </c>
      <c r="G30" s="82">
        <v>123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50</v>
      </c>
      <c r="Q30" s="82" t="s">
        <v>164</v>
      </c>
      <c r="R30" s="82" t="s">
        <v>165</v>
      </c>
    </row>
    <row r="31" spans="1:18" x14ac:dyDescent="0.15">
      <c r="A31" s="82">
        <v>30032</v>
      </c>
      <c r="B31" s="82">
        <v>3</v>
      </c>
      <c r="C31" s="71" t="str">
        <f t="shared" si="0"/>
        <v>30032_3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30</v>
      </c>
      <c r="F31" s="82" t="s">
        <v>305</v>
      </c>
      <c r="G31" s="82">
        <v>125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10</v>
      </c>
      <c r="Q31" s="82" t="s">
        <v>164</v>
      </c>
      <c r="R31" s="82" t="s">
        <v>165</v>
      </c>
    </row>
    <row r="32" spans="1:18" x14ac:dyDescent="0.15">
      <c r="A32" s="82">
        <v>30032</v>
      </c>
      <c r="B32" s="82">
        <v>3</v>
      </c>
      <c r="C32" s="71" t="str">
        <f t="shared" si="0"/>
        <v>30032_3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31</v>
      </c>
      <c r="F32" s="82" t="s">
        <v>305</v>
      </c>
      <c r="G32" s="82">
        <v>766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400</v>
      </c>
      <c r="Q32" s="82" t="s">
        <v>164</v>
      </c>
      <c r="R32" s="82" t="s">
        <v>165</v>
      </c>
    </row>
    <row r="33" spans="1:18" x14ac:dyDescent="0.15">
      <c r="A33" s="82">
        <v>30032</v>
      </c>
      <c r="B33" s="82">
        <v>3</v>
      </c>
      <c r="C33" s="71" t="str">
        <f t="shared" si="0"/>
        <v>30032_3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32</v>
      </c>
      <c r="F33" s="82" t="s">
        <v>305</v>
      </c>
      <c r="G33" s="82">
        <v>348</v>
      </c>
      <c r="H33" s="82">
        <v>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100</v>
      </c>
      <c r="Q33" s="82" t="s">
        <v>164</v>
      </c>
      <c r="R33" s="82" t="s">
        <v>165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53" activePane="bottomLeft" state="frozen"/>
      <selection pane="bottomLeft" activeCell="A91" sqref="A91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182</v>
      </c>
      <c r="B1" s="73" t="s">
        <v>183</v>
      </c>
      <c r="C1" s="78" t="s">
        <v>184</v>
      </c>
      <c r="D1" s="78" t="s">
        <v>33</v>
      </c>
      <c r="E1" s="73" t="s">
        <v>185</v>
      </c>
      <c r="F1" s="78" t="s">
        <v>186</v>
      </c>
      <c r="G1" s="78" t="s">
        <v>33</v>
      </c>
      <c r="H1" s="73" t="s">
        <v>187</v>
      </c>
      <c r="I1" s="90" t="s">
        <v>189</v>
      </c>
      <c r="J1" s="80" t="s">
        <v>126</v>
      </c>
      <c r="K1" s="79" t="s">
        <v>181</v>
      </c>
      <c r="L1" s="91" t="s">
        <v>180</v>
      </c>
      <c r="M1" s="81" t="s">
        <v>190</v>
      </c>
    </row>
    <row r="2" spans="1:13" x14ac:dyDescent="0.15">
      <c r="A2" s="82" t="s">
        <v>195</v>
      </c>
      <c r="B2" s="83">
        <f>floors!$C$2</f>
        <v>30032</v>
      </c>
      <c r="C2" s="84" t="str">
        <f ca="1">VLOOKUP($B2,OFFSET([2]quests!$A$1,0,0,COUNTA([2]quests!$A:$A),MATCH(C$1,[2]quests!$1:$1,0)-MATCH($B$1,[2]quests!$1:$1,0)+1),MATCH(C$1,[2]quests!$1:$1,0)-MATCH($B$1,[2]quests!$1:$1,0)+1,FALSE)</f>
        <v>赤き竜の制裁</v>
      </c>
      <c r="D2" s="84" t="str">
        <f ca="1">VLOOKUP($B2,OFFSET([2]quests!$A$1,0,0,COUNTA([2]quests!$A:$A),MATCH(D$1,[2]quests!$1:$1,0)-MATCH($B$1,[2]quests!$1:$1,0)+1),MATCH(D$1,[2]quests!$1:$1,0)-MATCH($B$1,[2]quests!$1:$1,0)+1,FALSE)</f>
        <v>円卓2（マルチ専用）</v>
      </c>
      <c r="E2" s="87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【中級】赤き竜の制裁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円卓2（マルチ専用）</v>
      </c>
      <c r="H2" s="86">
        <v>0</v>
      </c>
      <c r="I2">
        <v>3</v>
      </c>
      <c r="J2" s="85" t="s">
        <v>192</v>
      </c>
      <c r="K2" s="92" t="str">
        <f>VLOOKUP(I2,[7]stage_hints!$A:$C,3,FALSE)</f>
        <v>ターゲット</v>
      </c>
      <c r="L2" s="93" t="str">
        <f>VLOOKUP(I2,[7]stage_hints!$A:$D,4,FALSE)</f>
        <v>敵ユニットをタップすると_x000D_その敵を狙い撃ちできます</v>
      </c>
      <c r="M2" s="57" t="s">
        <v>205</v>
      </c>
    </row>
    <row r="3" spans="1:13" x14ac:dyDescent="0.15">
      <c r="A3" s="82" t="s">
        <v>195</v>
      </c>
      <c r="B3" s="83">
        <f>floors!$C$2</f>
        <v>30032</v>
      </c>
      <c r="C3" s="84" t="str">
        <f ca="1">VLOOKUP($B3,OFFSET([2]quests!$A$1,0,0,COUNTA([2]quests!$A:$A),MATCH(C$1,[2]quests!$1:$1,0)-MATCH($B$1,[2]quests!$1:$1,0)+1),MATCH(C$1,[2]quests!$1:$1,0)-MATCH($B$1,[2]quests!$1:$1,0)+1,FALSE)</f>
        <v>赤き竜の制裁</v>
      </c>
      <c r="D3" s="84" t="str">
        <f ca="1">VLOOKUP($B3,OFFSET([2]quests!$A$1,0,0,COUNTA([2]quests!$A:$A),MATCH(D$1,[2]quests!$1:$1,0)-MATCH($B$1,[2]quests!$1:$1,0)+1),MATCH(D$1,[2]quests!$1:$1,0)-MATCH($B$1,[2]quests!$1:$1,0)+1,FALSE)</f>
        <v>円卓2（マルチ専用）</v>
      </c>
      <c r="E3" s="87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【中級】赤き竜の制裁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円卓2（マルチ専用）</v>
      </c>
      <c r="H3" s="86">
        <v>0</v>
      </c>
      <c r="I3">
        <v>6</v>
      </c>
      <c r="J3" s="85" t="s">
        <v>192</v>
      </c>
      <c r="K3" s="92" t="str">
        <f>VLOOKUP(I3,[7]stage_hints!$A:$C,3,FALSE)</f>
        <v>ユニット強化の属性ボーナス</v>
      </c>
      <c r="L3" s="93" t="str">
        <f>VLOOKUP(I3,[7]stage_hints!$A:$D,4,FALSE)</f>
        <v>同属性ユニットを強化素材にすると_x000D_経験値が多くもらえます</v>
      </c>
      <c r="M3" s="57" t="s">
        <v>205</v>
      </c>
    </row>
    <row r="4" spans="1:13" x14ac:dyDescent="0.15">
      <c r="A4" s="82" t="s">
        <v>195</v>
      </c>
      <c r="B4" s="83">
        <f>floors!$C$2</f>
        <v>30032</v>
      </c>
      <c r="C4" s="84" t="str">
        <f ca="1">VLOOKUP($B4,OFFSET([2]quests!$A$1,0,0,COUNTA([2]quests!$A:$A),MATCH(C$1,[2]quests!$1:$1,0)-MATCH($B$1,[2]quests!$1:$1,0)+1),MATCH(C$1,[2]quests!$1:$1,0)-MATCH($B$1,[2]quests!$1:$1,0)+1,FALSE)</f>
        <v>赤き竜の制裁</v>
      </c>
      <c r="D4" s="84" t="str">
        <f ca="1">VLOOKUP($B4,OFFSET([2]quests!$A$1,0,0,COUNTA([2]quests!$A:$A),MATCH(D$1,[2]quests!$1:$1,0)-MATCH($B$1,[2]quests!$1:$1,0)+1),MATCH(D$1,[2]quests!$1:$1,0)-MATCH($B$1,[2]quests!$1:$1,0)+1,FALSE)</f>
        <v>円卓2（マルチ専用）</v>
      </c>
      <c r="E4" s="87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【中級】赤き竜の制裁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円卓2（マルチ専用）</v>
      </c>
      <c r="H4" s="86">
        <v>0</v>
      </c>
      <c r="I4">
        <v>7</v>
      </c>
      <c r="J4" s="85" t="s">
        <v>192</v>
      </c>
      <c r="K4" s="92" t="str">
        <f>VLOOKUP(I4,[7]stage_hints!$A:$C,3,FALSE)</f>
        <v>メタルダックで経験値を獲得</v>
      </c>
      <c r="L4" s="93" t="str">
        <f>VLOOKUP(I4,[7]stage_hints!$A:$D,4,FALSE)</f>
        <v>「メタルなアヒル」を強化素材にすると_x000D_大量の経験値がもらえます</v>
      </c>
      <c r="M4" s="57" t="s">
        <v>205</v>
      </c>
    </row>
    <row r="5" spans="1:13" x14ac:dyDescent="0.15">
      <c r="A5" s="82" t="s">
        <v>195</v>
      </c>
      <c r="B5" s="83">
        <f>floors!$C$2</f>
        <v>30032</v>
      </c>
      <c r="C5" s="84" t="str">
        <f ca="1">VLOOKUP($B5,OFFSET([2]quests!$A$1,0,0,COUNTA([2]quests!$A:$A),MATCH(C$1,[2]quests!$1:$1,0)-MATCH($B$1,[2]quests!$1:$1,0)+1),MATCH(C$1,[2]quests!$1:$1,0)-MATCH($B$1,[2]quests!$1:$1,0)+1,FALSE)</f>
        <v>赤き竜の制裁</v>
      </c>
      <c r="D5" s="84" t="str">
        <f ca="1">VLOOKUP($B5,OFFSET([2]quests!$A$1,0,0,COUNTA([2]quests!$A:$A),MATCH(D$1,[2]quests!$1:$1,0)-MATCH($B$1,[2]quests!$1:$1,0)+1),MATCH(D$1,[2]quests!$1:$1,0)-MATCH($B$1,[2]quests!$1:$1,0)+1,FALSE)</f>
        <v>円卓2（マルチ専用）</v>
      </c>
      <c r="E5" s="87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【中級】赤き竜の制裁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円卓2（マルチ専用）</v>
      </c>
      <c r="H5" s="86">
        <v>0</v>
      </c>
      <c r="I5">
        <v>8</v>
      </c>
      <c r="J5" s="85" t="s">
        <v>192</v>
      </c>
      <c r="K5" s="92" t="str">
        <f>VLOOKUP(I5,[7]stage_hints!$A:$C,3,FALSE)</f>
        <v>ゲリラクエストは要チェック</v>
      </c>
      <c r="L5" s="93" t="str">
        <f>VLOOKUP(I5,[7]stage_hints!$A:$D,4,FALSE)</f>
        <v>時間限定の「アヒル捕獲作戦」では_x000D_経験値素材ユニットが多く手に入ります</v>
      </c>
      <c r="M5" s="57" t="s">
        <v>205</v>
      </c>
    </row>
    <row r="6" spans="1:13" x14ac:dyDescent="0.15">
      <c r="A6" s="82" t="s">
        <v>195</v>
      </c>
      <c r="B6" s="83">
        <f>floors!$C$2</f>
        <v>30032</v>
      </c>
      <c r="C6" s="84" t="str">
        <f ca="1">VLOOKUP($B6,OFFSET([2]quests!$A$1,0,0,COUNTA([2]quests!$A:$A),MATCH(C$1,[2]quests!$1:$1,0)-MATCH($B$1,[2]quests!$1:$1,0)+1),MATCH(C$1,[2]quests!$1:$1,0)-MATCH($B$1,[2]quests!$1:$1,0)+1,FALSE)</f>
        <v>赤き竜の制裁</v>
      </c>
      <c r="D6" s="84" t="str">
        <f ca="1">VLOOKUP($B6,OFFSET([2]quests!$A$1,0,0,COUNTA([2]quests!$A:$A),MATCH(D$1,[2]quests!$1:$1,0)-MATCH($B$1,[2]quests!$1:$1,0)+1),MATCH(D$1,[2]quests!$1:$1,0)-MATCH($B$1,[2]quests!$1:$1,0)+1,FALSE)</f>
        <v>円卓2（マルチ専用）</v>
      </c>
      <c r="E6" s="87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【中級】赤き竜の制裁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円卓2（マルチ専用）</v>
      </c>
      <c r="H6" s="86">
        <v>0</v>
      </c>
      <c r="I6">
        <v>9</v>
      </c>
      <c r="J6" s="85" t="s">
        <v>192</v>
      </c>
      <c r="K6" s="92" t="str">
        <f>VLOOKUP(I6,[7]stage_hints!$A:$C,3,FALSE)</f>
        <v>ゴールドダックでビットを獲得</v>
      </c>
      <c r="L6" s="93" t="str">
        <f>VLOOKUP(I6,[7]stage_hints!$A:$D,4,FALSE)</f>
        <v>「ゴールドなアヒル」を売却すると_x000D_大量のビットがもらえます</v>
      </c>
      <c r="M6" s="57" t="s">
        <v>205</v>
      </c>
    </row>
    <row r="7" spans="1:13" x14ac:dyDescent="0.15">
      <c r="A7" s="82" t="s">
        <v>195</v>
      </c>
      <c r="B7" s="83">
        <f>floors!$C$2</f>
        <v>30032</v>
      </c>
      <c r="C7" s="84" t="str">
        <f ca="1">VLOOKUP($B7,OFFSET([2]quests!$A$1,0,0,COUNTA([2]quests!$A:$A),MATCH(C$1,[2]quests!$1:$1,0)-MATCH($B$1,[2]quests!$1:$1,0)+1),MATCH(C$1,[2]quests!$1:$1,0)-MATCH($B$1,[2]quests!$1:$1,0)+1,FALSE)</f>
        <v>赤き竜の制裁</v>
      </c>
      <c r="D7" s="84" t="str">
        <f ca="1">VLOOKUP($B7,OFFSET([2]quests!$A$1,0,0,COUNTA([2]quests!$A:$A),MATCH(D$1,[2]quests!$1:$1,0)-MATCH($B$1,[2]quests!$1:$1,0)+1),MATCH(D$1,[2]quests!$1:$1,0)-MATCH($B$1,[2]quests!$1:$1,0)+1,FALSE)</f>
        <v>円卓2（マルチ専用）</v>
      </c>
      <c r="E7" s="87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【中級】赤き竜の制裁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円卓2（マルチ専用）</v>
      </c>
      <c r="H7" s="86">
        <v>0</v>
      </c>
      <c r="I7">
        <v>10</v>
      </c>
      <c r="J7" s="85" t="s">
        <v>192</v>
      </c>
      <c r="K7" s="92" t="str">
        <f>VLOOKUP(I7,[7]stage_hints!$A:$C,3,FALSE)</f>
        <v>土日に大量のビットを獲得</v>
      </c>
      <c r="L7" s="93" t="str">
        <f>VLOOKUP(I7,[7]stage_hints!$A:$D,4,FALSE)</f>
        <v>土日限定の「ゴールドカジノ」では_x000D_売却素材ユニットが多く手に入ります</v>
      </c>
      <c r="M7" s="57" t="s">
        <v>205</v>
      </c>
    </row>
    <row r="8" spans="1:13" x14ac:dyDescent="0.15">
      <c r="A8" s="82" t="s">
        <v>195</v>
      </c>
      <c r="B8" s="83">
        <f>floors!$C$2</f>
        <v>30032</v>
      </c>
      <c r="C8" s="84" t="str">
        <f ca="1">VLOOKUP($B8,OFFSET([2]quests!$A$1,0,0,COUNTA([2]quests!$A:$A),MATCH(C$1,[2]quests!$1:$1,0)-MATCH($B$1,[2]quests!$1:$1,0)+1),MATCH(C$1,[2]quests!$1:$1,0)-MATCH($B$1,[2]quests!$1:$1,0)+1,FALSE)</f>
        <v>赤き竜の制裁</v>
      </c>
      <c r="D8" s="84" t="str">
        <f ca="1">VLOOKUP($B8,OFFSET([2]quests!$A$1,0,0,COUNTA([2]quests!$A:$A),MATCH(D$1,[2]quests!$1:$1,0)-MATCH($B$1,[2]quests!$1:$1,0)+1),MATCH(D$1,[2]quests!$1:$1,0)-MATCH($B$1,[2]quests!$1:$1,0)+1,FALSE)</f>
        <v>円卓2（マルチ専用）</v>
      </c>
      <c r="E8" s="87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【中級】赤き竜の制裁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円卓2（マルチ専用）</v>
      </c>
      <c r="H8" s="86">
        <v>0</v>
      </c>
      <c r="I8">
        <v>11</v>
      </c>
      <c r="J8" s="85" t="s">
        <v>192</v>
      </c>
      <c r="K8" s="92" t="str">
        <f>VLOOKUP(I8,[7]stage_hints!$A:$C,3,FALSE)</f>
        <v>ランク解放クエスト</v>
      </c>
      <c r="L8" s="93" t="str">
        <f>VLOOKUP(I8,[7]stage_hints!$A:$D,4,FALSE)</f>
        <v>一定ランクに到達すると_x000D_報酬付きのランク開放クエストが現れます</v>
      </c>
      <c r="M8" s="57" t="s">
        <v>205</v>
      </c>
    </row>
    <row r="9" spans="1:13" x14ac:dyDescent="0.15">
      <c r="A9" s="82" t="s">
        <v>195</v>
      </c>
      <c r="B9" s="83">
        <f>floors!$C$2</f>
        <v>30032</v>
      </c>
      <c r="C9" s="84" t="str">
        <f ca="1">VLOOKUP($B9,OFFSET([2]quests!$A$1,0,0,COUNTA([2]quests!$A:$A),MATCH(C$1,[2]quests!$1:$1,0)-MATCH($B$1,[2]quests!$1:$1,0)+1),MATCH(C$1,[2]quests!$1:$1,0)-MATCH($B$1,[2]quests!$1:$1,0)+1,FALSE)</f>
        <v>赤き竜の制裁</v>
      </c>
      <c r="D9" s="84" t="str">
        <f ca="1">VLOOKUP($B9,OFFSET([2]quests!$A$1,0,0,COUNTA([2]quests!$A:$A),MATCH(D$1,[2]quests!$1:$1,0)-MATCH($B$1,[2]quests!$1:$1,0)+1),MATCH(D$1,[2]quests!$1:$1,0)-MATCH($B$1,[2]quests!$1:$1,0)+1,FALSE)</f>
        <v>円卓2（マルチ専用）</v>
      </c>
      <c r="E9" s="87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【中級】赤き竜の制裁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円卓2（マルチ専用）</v>
      </c>
      <c r="H9" s="86">
        <v>0</v>
      </c>
      <c r="I9">
        <v>12</v>
      </c>
      <c r="J9" s="85" t="s">
        <v>192</v>
      </c>
      <c r="K9" s="92" t="str">
        <f>VLOOKUP(I9,[7]stage_hints!$A:$C,3,FALSE)</f>
        <v>ユニットのお気に入り登録</v>
      </c>
      <c r="L9" s="93" t="str">
        <f>VLOOKUP(I9,[7]stage_hints!$A:$D,4,FALSE)</f>
        <v>大事なユニットを誤って消さないように_x000D_フォルダから「お気に入り登録」しましょう</v>
      </c>
      <c r="M9" s="57" t="s">
        <v>205</v>
      </c>
    </row>
    <row r="10" spans="1:13" x14ac:dyDescent="0.15">
      <c r="A10" s="82" t="s">
        <v>195</v>
      </c>
      <c r="B10" s="83">
        <f>floors!$C$2</f>
        <v>30032</v>
      </c>
      <c r="C10" s="84" t="str">
        <f ca="1">VLOOKUP($B10,OFFSET([2]quests!$A$1,0,0,COUNTA([2]quests!$A:$A),MATCH(C$1,[2]quests!$1:$1,0)-MATCH($B$1,[2]quests!$1:$1,0)+1),MATCH(C$1,[2]quests!$1:$1,0)-MATCH($B$1,[2]quests!$1:$1,0)+1,FALSE)</f>
        <v>赤き竜の制裁</v>
      </c>
      <c r="D10" s="84" t="str">
        <f ca="1">VLOOKUP($B10,OFFSET([2]quests!$A$1,0,0,COUNTA([2]quests!$A:$A),MATCH(D$1,[2]quests!$1:$1,0)-MATCH($B$1,[2]quests!$1:$1,0)+1),MATCH(D$1,[2]quests!$1:$1,0)-MATCH($B$1,[2]quests!$1:$1,0)+1,FALSE)</f>
        <v>円卓2（マルチ専用）</v>
      </c>
      <c r="E10" s="87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【中級】赤き竜の制裁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円卓2（マルチ専用）</v>
      </c>
      <c r="H10" s="86">
        <v>0</v>
      </c>
      <c r="I10">
        <v>13</v>
      </c>
      <c r="J10" s="85" t="s">
        <v>192</v>
      </c>
      <c r="K10" s="92" t="str">
        <f>VLOOKUP(I10,[7]stage_hints!$A:$C,3,FALSE)</f>
        <v>ユニットの覚醒</v>
      </c>
      <c r="L10" s="93" t="str">
        <f>VLOOKUP(I10,[7]stage_hints!$A:$D,4,FALSE)</f>
        <v>ユニットを覚醒させると_x000D_比べものにならない強さが手に入ります</v>
      </c>
      <c r="M10" s="57" t="s">
        <v>205</v>
      </c>
    </row>
    <row r="11" spans="1:13" x14ac:dyDescent="0.15">
      <c r="A11" s="82" t="s">
        <v>195</v>
      </c>
      <c r="B11" s="83">
        <f>floors!$C$2</f>
        <v>30032</v>
      </c>
      <c r="C11" s="84" t="str">
        <f ca="1">VLOOKUP($B11,OFFSET([2]quests!$A$1,0,0,COUNTA([2]quests!$A:$A),MATCH(C$1,[2]quests!$1:$1,0)-MATCH($B$1,[2]quests!$1:$1,0)+1),MATCH(C$1,[2]quests!$1:$1,0)-MATCH($B$1,[2]quests!$1:$1,0)+1,FALSE)</f>
        <v>赤き竜の制裁</v>
      </c>
      <c r="D11" s="84" t="str">
        <f ca="1">VLOOKUP($B11,OFFSET([2]quests!$A$1,0,0,COUNTA([2]quests!$A:$A),MATCH(D$1,[2]quests!$1:$1,0)-MATCH($B$1,[2]quests!$1:$1,0)+1),MATCH(D$1,[2]quests!$1:$1,0)-MATCH($B$1,[2]quests!$1:$1,0)+1,FALSE)</f>
        <v>円卓2（マルチ専用）</v>
      </c>
      <c r="E11" s="87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【中級】赤き竜の制裁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円卓2（マルチ専用）</v>
      </c>
      <c r="H11" s="86">
        <v>0</v>
      </c>
      <c r="I11">
        <v>14</v>
      </c>
      <c r="J11" s="85" t="s">
        <v>192</v>
      </c>
      <c r="K11" s="92" t="str">
        <f>VLOOKUP(I11,[7]stage_hints!$A:$C,3,FALSE)</f>
        <v>覚醒するにはレベルを最大に</v>
      </c>
      <c r="L11" s="93" t="str">
        <f>VLOOKUP(I11,[7]stage_hints!$A:$D,4,FALSE)</f>
        <v>覚醒するにはユニットのレベルを_x000D_最大まで上げる必要があります</v>
      </c>
      <c r="M11" s="57" t="s">
        <v>205</v>
      </c>
    </row>
    <row r="12" spans="1:13" x14ac:dyDescent="0.15">
      <c r="A12" s="82" t="s">
        <v>195</v>
      </c>
      <c r="B12" s="83">
        <f>floors!$C$2</f>
        <v>30032</v>
      </c>
      <c r="C12" s="84" t="str">
        <f ca="1">VLOOKUP($B12,OFFSET([2]quests!$A$1,0,0,COUNTA([2]quests!$A:$A),MATCH(C$1,[2]quests!$1:$1,0)-MATCH($B$1,[2]quests!$1:$1,0)+1),MATCH(C$1,[2]quests!$1:$1,0)-MATCH($B$1,[2]quests!$1:$1,0)+1,FALSE)</f>
        <v>赤き竜の制裁</v>
      </c>
      <c r="D12" s="84" t="str">
        <f ca="1">VLOOKUP($B12,OFFSET([2]quests!$A$1,0,0,COUNTA([2]quests!$A:$A),MATCH(D$1,[2]quests!$1:$1,0)-MATCH($B$1,[2]quests!$1:$1,0)+1),MATCH(D$1,[2]quests!$1:$1,0)-MATCH($B$1,[2]quests!$1:$1,0)+1,FALSE)</f>
        <v>円卓2（マルチ専用）</v>
      </c>
      <c r="E12" s="87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【中級】赤き竜の制裁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円卓2（マルチ専用）</v>
      </c>
      <c r="H12" s="86">
        <v>0</v>
      </c>
      <c r="I12">
        <v>15</v>
      </c>
      <c r="J12" s="85" t="s">
        <v>192</v>
      </c>
      <c r="K12" s="92" t="str">
        <f>VLOOKUP(I12,[7]stage_hints!$A:$C,3,FALSE)</f>
        <v>覚醒素材を獲得</v>
      </c>
      <c r="L12" s="93" t="str">
        <f>VLOOKUP(I12,[7]stage_hints!$A:$D,4,FALSE)</f>
        <v>「曜日クエスト」では_x000D_ユニットの覚醒に必要な素材が手に入ります</v>
      </c>
      <c r="M12" s="57" t="s">
        <v>205</v>
      </c>
    </row>
    <row r="13" spans="1:13" x14ac:dyDescent="0.15">
      <c r="A13" s="82" t="s">
        <v>195</v>
      </c>
      <c r="B13" s="83">
        <f>floors!$C$2</f>
        <v>30032</v>
      </c>
      <c r="C13" s="84" t="str">
        <f ca="1">VLOOKUP($B13,OFFSET([2]quests!$A$1,0,0,COUNTA([2]quests!$A:$A),MATCH(C$1,[2]quests!$1:$1,0)-MATCH($B$1,[2]quests!$1:$1,0)+1),MATCH(C$1,[2]quests!$1:$1,0)-MATCH($B$1,[2]quests!$1:$1,0)+1,FALSE)</f>
        <v>赤き竜の制裁</v>
      </c>
      <c r="D13" s="84" t="str">
        <f ca="1">VLOOKUP($B13,OFFSET([2]quests!$A$1,0,0,COUNTA([2]quests!$A:$A),MATCH(D$1,[2]quests!$1:$1,0)-MATCH($B$1,[2]quests!$1:$1,0)+1),MATCH(D$1,[2]quests!$1:$1,0)-MATCH($B$1,[2]quests!$1:$1,0)+1,FALSE)</f>
        <v>円卓2（マルチ専用）</v>
      </c>
      <c r="E13" s="87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【中級】赤き竜の制裁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円卓2（マルチ専用）</v>
      </c>
      <c r="H13" s="86">
        <v>0</v>
      </c>
      <c r="I13">
        <v>16</v>
      </c>
      <c r="J13" s="85" t="s">
        <v>192</v>
      </c>
      <c r="K13" s="92" t="str">
        <f>VLOOKUP(I13,[7]stage_hints!$A:$C,3,FALSE)</f>
        <v>マルチプレイのメリット（その1）</v>
      </c>
      <c r="L13" s="93" t="str">
        <f>VLOOKUP(I13,[7]stage_hints!$A:$D,4,FALSE)</f>
        <v>他のプレイヤーとマルチプレイで遊ぶと_x000D_ポリゴンがもらえます（100人まで）</v>
      </c>
      <c r="M13" s="57" t="s">
        <v>205</v>
      </c>
    </row>
    <row r="14" spans="1:13" x14ac:dyDescent="0.15">
      <c r="A14" s="82" t="s">
        <v>195</v>
      </c>
      <c r="B14" s="83">
        <f>floors!$C$2</f>
        <v>30032</v>
      </c>
      <c r="C14" s="84" t="str">
        <f ca="1">VLOOKUP($B14,OFFSET([2]quests!$A$1,0,0,COUNTA([2]quests!$A:$A),MATCH(C$1,[2]quests!$1:$1,0)-MATCH($B$1,[2]quests!$1:$1,0)+1),MATCH(C$1,[2]quests!$1:$1,0)-MATCH($B$1,[2]quests!$1:$1,0)+1,FALSE)</f>
        <v>赤き竜の制裁</v>
      </c>
      <c r="D14" s="84" t="str">
        <f ca="1">VLOOKUP($B14,OFFSET([2]quests!$A$1,0,0,COUNTA([2]quests!$A:$A),MATCH(D$1,[2]quests!$1:$1,0)-MATCH($B$1,[2]quests!$1:$1,0)+1),MATCH(D$1,[2]quests!$1:$1,0)-MATCH($B$1,[2]quests!$1:$1,0)+1,FALSE)</f>
        <v>円卓2（マルチ専用）</v>
      </c>
      <c r="E14" s="87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【中級】赤き竜の制裁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円卓2（マルチ専用）</v>
      </c>
      <c r="H14" s="86">
        <v>0</v>
      </c>
      <c r="I14">
        <v>17</v>
      </c>
      <c r="J14" s="85" t="s">
        <v>192</v>
      </c>
      <c r="K14" s="92" t="str">
        <f>VLOOKUP(I14,[7]stage_hints!$A:$C,3,FALSE)</f>
        <v>リンクガチャ</v>
      </c>
      <c r="L14" s="93" t="str">
        <f>VLOOKUP(I14,[7]stage_hints!$A:$D,4,FALSE)</f>
        <v>無料のリンクガチャを回して_x000D_経験値素材や売却素材を獲得しましょう</v>
      </c>
      <c r="M14" s="57" t="s">
        <v>205</v>
      </c>
    </row>
    <row r="15" spans="1:13" x14ac:dyDescent="0.15">
      <c r="A15" s="82" t="s">
        <v>195</v>
      </c>
      <c r="B15" s="83">
        <f>floors!$C$2</f>
        <v>30032</v>
      </c>
      <c r="C15" s="84" t="str">
        <f ca="1">VLOOKUP($B15,OFFSET([2]quests!$A$1,0,0,COUNTA([2]quests!$A:$A),MATCH(C$1,[2]quests!$1:$1,0)-MATCH($B$1,[2]quests!$1:$1,0)+1),MATCH(C$1,[2]quests!$1:$1,0)-MATCH($B$1,[2]quests!$1:$1,0)+1,FALSE)</f>
        <v>赤き竜の制裁</v>
      </c>
      <c r="D15" s="84" t="str">
        <f ca="1">VLOOKUP($B15,OFFSET([2]quests!$A$1,0,0,COUNTA([2]quests!$A:$A),MATCH(D$1,[2]quests!$1:$1,0)-MATCH($B$1,[2]quests!$1:$1,0)+1),MATCH(D$1,[2]quests!$1:$1,0)-MATCH($B$1,[2]quests!$1:$1,0)+1,FALSE)</f>
        <v>円卓2（マルチ専用）</v>
      </c>
      <c r="E15" s="87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【中級】赤き竜の制裁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円卓2（マルチ専用）</v>
      </c>
      <c r="H15" s="86">
        <v>0</v>
      </c>
      <c r="I15">
        <v>18</v>
      </c>
      <c r="J15" s="85" t="s">
        <v>192</v>
      </c>
      <c r="K15" s="92" t="str">
        <f>VLOOKUP(I15,[7]stage_hints!$A:$C,3,FALSE)</f>
        <v>マルチプレイのメリット（その2）</v>
      </c>
      <c r="L15" s="93" t="str">
        <f>VLOOKUP(I15,[7]stage_hints!$A:$D,4,FALSE)</f>
        <v>マルチプレイならリンクが2倍もらえます_x000D_リンクガチャをたくさん回しましょう</v>
      </c>
      <c r="M15" s="57" t="s">
        <v>205</v>
      </c>
    </row>
    <row r="16" spans="1:13" x14ac:dyDescent="0.15">
      <c r="A16" s="82" t="s">
        <v>195</v>
      </c>
      <c r="B16" s="83">
        <f>floors!$C$2</f>
        <v>30032</v>
      </c>
      <c r="C16" s="84" t="str">
        <f ca="1">VLOOKUP($B16,OFFSET([2]quests!$A$1,0,0,COUNTA([2]quests!$A:$A),MATCH(C$1,[2]quests!$1:$1,0)-MATCH($B$1,[2]quests!$1:$1,0)+1),MATCH(C$1,[2]quests!$1:$1,0)-MATCH($B$1,[2]quests!$1:$1,0)+1,FALSE)</f>
        <v>赤き竜の制裁</v>
      </c>
      <c r="D16" s="84" t="str">
        <f ca="1">VLOOKUP($B16,OFFSET([2]quests!$A$1,0,0,COUNTA([2]quests!$A:$A),MATCH(D$1,[2]quests!$1:$1,0)-MATCH($B$1,[2]quests!$1:$1,0)+1),MATCH(D$1,[2]quests!$1:$1,0)-MATCH($B$1,[2]quests!$1:$1,0)+1,FALSE)</f>
        <v>円卓2（マルチ専用）</v>
      </c>
      <c r="E16" s="87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【中級】赤き竜の制裁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円卓2（マルチ専用）</v>
      </c>
      <c r="H16" s="86">
        <v>0</v>
      </c>
      <c r="I16">
        <v>19</v>
      </c>
      <c r="J16" s="85" t="s">
        <v>192</v>
      </c>
      <c r="K16" s="92" t="str">
        <f>VLOOKUP(I16,[7]stage_hints!$A:$C,3,FALSE)</f>
        <v>ソロ専用タワーオブザクイーン</v>
      </c>
      <c r="L16" s="93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205</v>
      </c>
    </row>
    <row r="17" spans="1:13" x14ac:dyDescent="0.15">
      <c r="A17" s="82" t="s">
        <v>195</v>
      </c>
      <c r="B17" s="83">
        <f>floors!$C$2</f>
        <v>30032</v>
      </c>
      <c r="C17" s="84" t="str">
        <f ca="1">VLOOKUP($B17,OFFSET([2]quests!$A$1,0,0,COUNTA([2]quests!$A:$A),MATCH(C$1,[2]quests!$1:$1,0)-MATCH($B$1,[2]quests!$1:$1,0)+1),MATCH(C$1,[2]quests!$1:$1,0)-MATCH($B$1,[2]quests!$1:$1,0)+1,FALSE)</f>
        <v>赤き竜の制裁</v>
      </c>
      <c r="D17" s="84" t="str">
        <f ca="1">VLOOKUP($B17,OFFSET([2]quests!$A$1,0,0,COUNTA([2]quests!$A:$A),MATCH(D$1,[2]quests!$1:$1,0)-MATCH($B$1,[2]quests!$1:$1,0)+1),MATCH(D$1,[2]quests!$1:$1,0)-MATCH($B$1,[2]quests!$1:$1,0)+1,FALSE)</f>
        <v>円卓2（マルチ専用）</v>
      </c>
      <c r="E17" s="87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【中級】赤き竜の制裁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円卓2（マルチ専用）</v>
      </c>
      <c r="H17" s="86">
        <v>0</v>
      </c>
      <c r="I17">
        <v>20</v>
      </c>
      <c r="J17" s="85" t="s">
        <v>192</v>
      </c>
      <c r="K17" s="92" t="str">
        <f>VLOOKUP(I17,[7]stage_hints!$A:$C,3,FALSE)</f>
        <v>マルチプレイのメリット（その3）</v>
      </c>
      <c r="L17" s="93" t="str">
        <f>VLOOKUP(I17,[7]stage_hints!$A:$D,4,FALSE)</f>
        <v>マルチプレイへの参加はエナジー消費ゼロ_x000D_いつでも好きなだけ遊ぶことができます</v>
      </c>
      <c r="M17" s="57" t="s">
        <v>205</v>
      </c>
    </row>
    <row r="18" spans="1:13" x14ac:dyDescent="0.15">
      <c r="A18" s="82" t="s">
        <v>195</v>
      </c>
      <c r="B18" s="83">
        <f>floors!$C$2</f>
        <v>30032</v>
      </c>
      <c r="C18" s="84" t="str">
        <f ca="1">VLOOKUP($B18,OFFSET([2]quests!$A$1,0,0,COUNTA([2]quests!$A:$A),MATCH(C$1,[2]quests!$1:$1,0)-MATCH($B$1,[2]quests!$1:$1,0)+1),MATCH(C$1,[2]quests!$1:$1,0)-MATCH($B$1,[2]quests!$1:$1,0)+1,FALSE)</f>
        <v>赤き竜の制裁</v>
      </c>
      <c r="D18" s="84" t="str">
        <f ca="1">VLOOKUP($B18,OFFSET([2]quests!$A$1,0,0,COUNTA([2]quests!$A:$A),MATCH(D$1,[2]quests!$1:$1,0)-MATCH($B$1,[2]quests!$1:$1,0)+1),MATCH(D$1,[2]quests!$1:$1,0)-MATCH($B$1,[2]quests!$1:$1,0)+1,FALSE)</f>
        <v>円卓2（マルチ専用）</v>
      </c>
      <c r="E18" s="87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【中級】赤き竜の制裁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円卓2（マルチ専用）</v>
      </c>
      <c r="H18" s="86">
        <v>0</v>
      </c>
      <c r="I18">
        <v>21</v>
      </c>
      <c r="J18" s="85" t="s">
        <v>192</v>
      </c>
      <c r="K18" s="92" t="str">
        <f>VLOOKUP(I18,[7]stage_hints!$A:$C,3,FALSE)</f>
        <v>スキルを有効に</v>
      </c>
      <c r="L18" s="93" t="str">
        <f>VLOOKUP(I18,[7]stage_hints!$A:$D,4,FALSE)</f>
        <v>ターン経過でユニットのスキルが使えます_x000D_強力スキルでバトルを有利に進めましょう</v>
      </c>
      <c r="M18" s="57" t="s">
        <v>205</v>
      </c>
    </row>
    <row r="19" spans="1:13" x14ac:dyDescent="0.15">
      <c r="A19" s="82" t="s">
        <v>195</v>
      </c>
      <c r="B19" s="83">
        <f>floors!$C$2</f>
        <v>30032</v>
      </c>
      <c r="C19" s="84" t="str">
        <f ca="1">VLOOKUP($B19,OFFSET([2]quests!$A$1,0,0,COUNTA([2]quests!$A:$A),MATCH(C$1,[2]quests!$1:$1,0)-MATCH($B$1,[2]quests!$1:$1,0)+1),MATCH(C$1,[2]quests!$1:$1,0)-MATCH($B$1,[2]quests!$1:$1,0)+1,FALSE)</f>
        <v>赤き竜の制裁</v>
      </c>
      <c r="D19" s="84" t="str">
        <f ca="1">VLOOKUP($B19,OFFSET([2]quests!$A$1,0,0,COUNTA([2]quests!$A:$A),MATCH(D$1,[2]quests!$1:$1,0)-MATCH($B$1,[2]quests!$1:$1,0)+1),MATCH(D$1,[2]quests!$1:$1,0)-MATCH($B$1,[2]quests!$1:$1,0)+1,FALSE)</f>
        <v>円卓2（マルチ専用）</v>
      </c>
      <c r="E19" s="87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【中級】赤き竜の制裁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円卓2（マルチ専用）</v>
      </c>
      <c r="H19" s="86">
        <v>0</v>
      </c>
      <c r="I19">
        <v>22</v>
      </c>
      <c r="J19" s="85" t="s">
        <v>192</v>
      </c>
      <c r="K19" s="92" t="str">
        <f>VLOOKUP(I19,[7]stage_hints!$A:$C,3,FALSE)</f>
        <v>フィーバーで一発逆転（その1）</v>
      </c>
      <c r="L19" s="93" t="str">
        <f>VLOOKUP(I19,[7]stage_hints!$A:$D,4,FALSE)</f>
        <v>フィーバーは攻撃と回復を兼ね備えます_x000D_ピンチからの一発逆転を狙いましょう</v>
      </c>
      <c r="M19" s="57" t="s">
        <v>205</v>
      </c>
    </row>
    <row r="20" spans="1:13" x14ac:dyDescent="0.15">
      <c r="A20" s="82" t="s">
        <v>195</v>
      </c>
      <c r="B20" s="83">
        <f>floors!$C$2</f>
        <v>30032</v>
      </c>
      <c r="C20" s="84" t="str">
        <f ca="1">VLOOKUP($B20,OFFSET([2]quests!$A$1,0,0,COUNTA([2]quests!$A:$A),MATCH(C$1,[2]quests!$1:$1,0)-MATCH($B$1,[2]quests!$1:$1,0)+1),MATCH(C$1,[2]quests!$1:$1,0)-MATCH($B$1,[2]quests!$1:$1,0)+1,FALSE)</f>
        <v>赤き竜の制裁</v>
      </c>
      <c r="D20" s="84" t="str">
        <f ca="1">VLOOKUP($B20,OFFSET([2]quests!$A$1,0,0,COUNTA([2]quests!$A:$A),MATCH(D$1,[2]quests!$1:$1,0)-MATCH($B$1,[2]quests!$1:$1,0)+1),MATCH(D$1,[2]quests!$1:$1,0)-MATCH($B$1,[2]quests!$1:$1,0)+1,FALSE)</f>
        <v>円卓2（マルチ専用）</v>
      </c>
      <c r="E20" s="87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【中級】赤き竜の制裁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円卓2（マルチ専用）</v>
      </c>
      <c r="H20" s="86">
        <v>0</v>
      </c>
      <c r="I20">
        <v>23</v>
      </c>
      <c r="J20" s="85" t="s">
        <v>192</v>
      </c>
      <c r="K20" s="92" t="str">
        <f>VLOOKUP(I20,[7]stage_hints!$A:$C,3,FALSE)</f>
        <v>フィーバーで一発逆転（その2）</v>
      </c>
      <c r="L20" s="93" t="str">
        <f>VLOOKUP(I20,[7]stage_hints!$A:$D,4,FALSE)</f>
        <v>フィーバー中は虹色のボムパネルを狙って_x000D_画面上のパネルを一気に破壊しましょう</v>
      </c>
      <c r="M20" s="57" t="s">
        <v>205</v>
      </c>
    </row>
    <row r="21" spans="1:13" x14ac:dyDescent="0.15">
      <c r="A21" s="82" t="s">
        <v>195</v>
      </c>
      <c r="B21" s="83">
        <f>floors!$C$2</f>
        <v>30032</v>
      </c>
      <c r="C21" s="84" t="str">
        <f ca="1">VLOOKUP($B21,OFFSET([2]quests!$A$1,0,0,COUNTA([2]quests!$A:$A),MATCH(C$1,[2]quests!$1:$1,0)-MATCH($B$1,[2]quests!$1:$1,0)+1),MATCH(C$1,[2]quests!$1:$1,0)-MATCH($B$1,[2]quests!$1:$1,0)+1,FALSE)</f>
        <v>赤き竜の制裁</v>
      </c>
      <c r="D21" s="84" t="str">
        <f ca="1">VLOOKUP($B21,OFFSET([2]quests!$A$1,0,0,COUNTA([2]quests!$A:$A),MATCH(D$1,[2]quests!$1:$1,0)-MATCH($B$1,[2]quests!$1:$1,0)+1),MATCH(D$1,[2]quests!$1:$1,0)-MATCH($B$1,[2]quests!$1:$1,0)+1,FALSE)</f>
        <v>円卓2（マルチ専用）</v>
      </c>
      <c r="E21" s="87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【中級】赤き竜の制裁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円卓2（マルチ専用）</v>
      </c>
      <c r="H21" s="86">
        <v>0</v>
      </c>
      <c r="I21">
        <v>24</v>
      </c>
      <c r="J21" s="85" t="s">
        <v>192</v>
      </c>
      <c r="K21" s="92" t="str">
        <f>VLOOKUP(I21,[7]stage_hints!$A:$C,3,FALSE)</f>
        <v>果実を使って限界突破</v>
      </c>
      <c r="L21" s="93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205</v>
      </c>
    </row>
    <row r="22" spans="1:13" x14ac:dyDescent="0.15">
      <c r="A22" s="82" t="s">
        <v>195</v>
      </c>
      <c r="B22" s="83">
        <f>floors!$C$2</f>
        <v>30032</v>
      </c>
      <c r="C22" s="84" t="str">
        <f ca="1">VLOOKUP($B22,OFFSET([2]quests!$A$1,0,0,COUNTA([2]quests!$A:$A),MATCH(C$1,[2]quests!$1:$1,0)-MATCH($B$1,[2]quests!$1:$1,0)+1),MATCH(C$1,[2]quests!$1:$1,0)-MATCH($B$1,[2]quests!$1:$1,0)+1,FALSE)</f>
        <v>赤き竜の制裁</v>
      </c>
      <c r="D22" s="84" t="str">
        <f ca="1">VLOOKUP($B22,OFFSET([2]quests!$A$1,0,0,COUNTA([2]quests!$A:$A),MATCH(D$1,[2]quests!$1:$1,0)-MATCH($B$1,[2]quests!$1:$1,0)+1),MATCH(D$1,[2]quests!$1:$1,0)-MATCH($B$1,[2]quests!$1:$1,0)+1,FALSE)</f>
        <v>円卓2（マルチ専用）</v>
      </c>
      <c r="E22" s="87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【中級】赤き竜の制裁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円卓2（マルチ専用）</v>
      </c>
      <c r="H22" s="86">
        <v>0</v>
      </c>
      <c r="I22">
        <v>25</v>
      </c>
      <c r="J22" s="85" t="s">
        <v>192</v>
      </c>
      <c r="K22" s="92" t="str">
        <f>VLOOKUP(I22,[7]stage_hints!$A:$C,3,FALSE)</f>
        <v>スキルレベルアップ</v>
      </c>
      <c r="L22" s="93" t="str">
        <f>VLOOKUP(I22,[7]stage_hints!$A:$D,4,FALSE)</f>
        <v>「秘術の果実」を強化に使うと_x000D_スキルレベルを上げることができます</v>
      </c>
      <c r="M22" s="57" t="s">
        <v>205</v>
      </c>
    </row>
    <row r="23" spans="1:13" x14ac:dyDescent="0.15">
      <c r="A23" s="82" t="s">
        <v>195</v>
      </c>
      <c r="B23" s="83">
        <f>floors!$C$2</f>
        <v>30032</v>
      </c>
      <c r="C23" s="84" t="str">
        <f ca="1">VLOOKUP($B23,OFFSET([2]quests!$A$1,0,0,COUNTA([2]quests!$A:$A),MATCH(C$1,[2]quests!$1:$1,0)-MATCH($B$1,[2]quests!$1:$1,0)+1),MATCH(C$1,[2]quests!$1:$1,0)-MATCH($B$1,[2]quests!$1:$1,0)+1,FALSE)</f>
        <v>赤き竜の制裁</v>
      </c>
      <c r="D23" s="84" t="str">
        <f ca="1">VLOOKUP($B23,OFFSET([2]quests!$A$1,0,0,COUNTA([2]quests!$A:$A),MATCH(D$1,[2]quests!$1:$1,0)-MATCH($B$1,[2]quests!$1:$1,0)+1),MATCH(D$1,[2]quests!$1:$1,0)-MATCH($B$1,[2]quests!$1:$1,0)+1,FALSE)</f>
        <v>円卓2（マルチ専用）</v>
      </c>
      <c r="E23" s="87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【中級】赤き竜の制裁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円卓2（マルチ専用）</v>
      </c>
      <c r="H23" s="86">
        <v>0</v>
      </c>
      <c r="I23">
        <v>26</v>
      </c>
      <c r="J23" s="85" t="s">
        <v>192</v>
      </c>
      <c r="K23" s="92" t="str">
        <f>VLOOKUP(I23,[7]stage_hints!$A:$C,3,FALSE)</f>
        <v>スキルレベルの効果</v>
      </c>
      <c r="L23" s="93" t="str">
        <f>VLOOKUP(I23,[7]stage_hints!$A:$D,4,FALSE)</f>
        <v>スキルレベルが上がると_x000D_短いターンでスキルを使うことができます</v>
      </c>
      <c r="M23" s="57" t="s">
        <v>205</v>
      </c>
    </row>
    <row r="24" spans="1:13" x14ac:dyDescent="0.15">
      <c r="A24" s="82" t="s">
        <v>195</v>
      </c>
      <c r="B24" s="83">
        <f>floors!$C$2</f>
        <v>30032</v>
      </c>
      <c r="C24" s="84" t="str">
        <f ca="1">VLOOKUP($B24,OFFSET([2]quests!$A$1,0,0,COUNTA([2]quests!$A:$A),MATCH(C$1,[2]quests!$1:$1,0)-MATCH($B$1,[2]quests!$1:$1,0)+1),MATCH(C$1,[2]quests!$1:$1,0)-MATCH($B$1,[2]quests!$1:$1,0)+1,FALSE)</f>
        <v>赤き竜の制裁</v>
      </c>
      <c r="D24" s="84" t="str">
        <f ca="1">VLOOKUP($B24,OFFSET([2]quests!$A$1,0,0,COUNTA([2]quests!$A:$A),MATCH(D$1,[2]quests!$1:$1,0)-MATCH($B$1,[2]quests!$1:$1,0)+1),MATCH(D$1,[2]quests!$1:$1,0)-MATCH($B$1,[2]quests!$1:$1,0)+1,FALSE)</f>
        <v>円卓2（マルチ専用）</v>
      </c>
      <c r="E24" s="87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【中級】赤き竜の制裁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円卓2（マルチ専用）</v>
      </c>
      <c r="H24" s="86">
        <v>0</v>
      </c>
      <c r="I24">
        <v>27</v>
      </c>
      <c r="J24" s="85" t="s">
        <v>192</v>
      </c>
      <c r="K24" s="92" t="str">
        <f>VLOOKUP(I24,[7]stage_hints!$A:$C,3,FALSE)</f>
        <v>ホーム画面からデッキを編成</v>
      </c>
      <c r="L24" s="93" t="str">
        <f>VLOOKUP(I24,[7]stage_hints!$A:$D,4,FALSE)</f>
        <v>ホーム画面でユニットを長押しすると_x000D_すぐにパーティ編成に移動できます</v>
      </c>
      <c r="M24" s="57" t="s">
        <v>205</v>
      </c>
    </row>
    <row r="25" spans="1:13" x14ac:dyDescent="0.15">
      <c r="A25" s="82" t="s">
        <v>195</v>
      </c>
      <c r="B25" s="83">
        <f>floors!$C$2</f>
        <v>30032</v>
      </c>
      <c r="C25" s="84" t="str">
        <f ca="1">VLOOKUP($B25,OFFSET([2]quests!$A$1,0,0,COUNTA([2]quests!$A:$A),MATCH(C$1,[2]quests!$1:$1,0)-MATCH($B$1,[2]quests!$1:$1,0)+1),MATCH(C$1,[2]quests!$1:$1,0)-MATCH($B$1,[2]quests!$1:$1,0)+1,FALSE)</f>
        <v>赤き竜の制裁</v>
      </c>
      <c r="D25" s="84" t="str">
        <f ca="1">VLOOKUP($B25,OFFSET([2]quests!$A$1,0,0,COUNTA([2]quests!$A:$A),MATCH(D$1,[2]quests!$1:$1,0)-MATCH($B$1,[2]quests!$1:$1,0)+1),MATCH(D$1,[2]quests!$1:$1,0)-MATCH($B$1,[2]quests!$1:$1,0)+1,FALSE)</f>
        <v>円卓2（マルチ専用）</v>
      </c>
      <c r="E25" s="87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【中級】赤き竜の制裁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円卓2（マルチ専用）</v>
      </c>
      <c r="H25" s="86">
        <v>0</v>
      </c>
      <c r="I25">
        <v>28</v>
      </c>
      <c r="J25" s="85" t="s">
        <v>192</v>
      </c>
      <c r="K25" s="92" t="str">
        <f>VLOOKUP(I25,[7]stage_hints!$A:$C,3,FALSE)</f>
        <v>ステータス情報は長押しで</v>
      </c>
      <c r="L25" s="93" t="str">
        <f>VLOOKUP(I25,[7]stage_hints!$A:$D,4,FALSE)</f>
        <v>ユニットのアイコンを長押しすると_x000D_ステータス情報を確認することができます</v>
      </c>
      <c r="M25" s="57" t="s">
        <v>205</v>
      </c>
    </row>
    <row r="26" spans="1:13" x14ac:dyDescent="0.15">
      <c r="A26" s="82" t="s">
        <v>195</v>
      </c>
      <c r="B26" s="83">
        <f>floors!$C$2</f>
        <v>30032</v>
      </c>
      <c r="C26" s="84" t="str">
        <f ca="1">VLOOKUP($B26,OFFSET([2]quests!$A$1,0,0,COUNTA([2]quests!$A:$A),MATCH(C$1,[2]quests!$1:$1,0)-MATCH($B$1,[2]quests!$1:$1,0)+1),MATCH(C$1,[2]quests!$1:$1,0)-MATCH($B$1,[2]quests!$1:$1,0)+1,FALSE)</f>
        <v>赤き竜の制裁</v>
      </c>
      <c r="D26" s="84" t="str">
        <f ca="1">VLOOKUP($B26,OFFSET([2]quests!$A$1,0,0,COUNTA([2]quests!$A:$A),MATCH(D$1,[2]quests!$1:$1,0)-MATCH($B$1,[2]quests!$1:$1,0)+1),MATCH(D$1,[2]quests!$1:$1,0)-MATCH($B$1,[2]quests!$1:$1,0)+1,FALSE)</f>
        <v>円卓2（マルチ専用）</v>
      </c>
      <c r="E26" s="87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【中級】赤き竜の制裁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円卓2（マルチ専用）</v>
      </c>
      <c r="H26" s="86">
        <v>0</v>
      </c>
      <c r="I26">
        <v>29</v>
      </c>
      <c r="J26" s="85" t="s">
        <v>192</v>
      </c>
      <c r="K26" s="92" t="str">
        <f>VLOOKUP(I26,[7]stage_hints!$A:$C,3,FALSE)</f>
        <v>「バグ」のメリット</v>
      </c>
      <c r="L26" s="93" t="str">
        <f>VLOOKUP(I26,[7]stage_hints!$A:$D,4,FALSE)</f>
        <v>ユニットの「バグ」を増やすと_x000D_報酬をもらえる確率がアップします</v>
      </c>
      <c r="M26" s="57" t="s">
        <v>205</v>
      </c>
    </row>
    <row r="27" spans="1:13" x14ac:dyDescent="0.15">
      <c r="A27" s="82" t="s">
        <v>195</v>
      </c>
      <c r="B27" s="83">
        <f>floors!$C$2</f>
        <v>30032</v>
      </c>
      <c r="C27" s="84" t="str">
        <f ca="1">VLOOKUP($B27,OFFSET([2]quests!$A$1,0,0,COUNTA([2]quests!$A:$A),MATCH(C$1,[2]quests!$1:$1,0)-MATCH($B$1,[2]quests!$1:$1,0)+1),MATCH(C$1,[2]quests!$1:$1,0)-MATCH($B$1,[2]quests!$1:$1,0)+1,FALSE)</f>
        <v>赤き竜の制裁</v>
      </c>
      <c r="D27" s="84" t="str">
        <f ca="1">VLOOKUP($B27,OFFSET([2]quests!$A$1,0,0,COUNTA([2]quests!$A:$A),MATCH(D$1,[2]quests!$1:$1,0)-MATCH($B$1,[2]quests!$1:$1,0)+1),MATCH(D$1,[2]quests!$1:$1,0)-MATCH($B$1,[2]quests!$1:$1,0)+1,FALSE)</f>
        <v>円卓2（マルチ専用）</v>
      </c>
      <c r="E27" s="87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【中級】赤き竜の制裁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円卓2（マルチ専用）</v>
      </c>
      <c r="H27" s="86">
        <v>0</v>
      </c>
      <c r="I27">
        <v>30</v>
      </c>
      <c r="J27" s="85" t="s">
        <v>192</v>
      </c>
      <c r="K27" s="92" t="str">
        <f>VLOOKUP(I27,[7]stage_hints!$A:$C,3,FALSE)</f>
        <v>「バグ」の増やし方</v>
      </c>
      <c r="L27" s="93" t="str">
        <f>VLOOKUP(I27,[7]stage_hints!$A:$D,4,FALSE)</f>
        <v>同じユニット同士を強化で合成すると_x000D_「バグ」を増やすことができます</v>
      </c>
      <c r="M27" s="57" t="s">
        <v>205</v>
      </c>
    </row>
    <row r="28" spans="1:13" x14ac:dyDescent="0.15">
      <c r="A28" s="82" t="s">
        <v>195</v>
      </c>
      <c r="B28" s="83">
        <f>floors!$C$2</f>
        <v>30032</v>
      </c>
      <c r="C28" s="84" t="str">
        <f ca="1">VLOOKUP($B28,OFFSET([2]quests!$A$1,0,0,COUNTA([2]quests!$A:$A),MATCH(C$1,[2]quests!$1:$1,0)-MATCH($B$1,[2]quests!$1:$1,0)+1),MATCH(C$1,[2]quests!$1:$1,0)-MATCH($B$1,[2]quests!$1:$1,0)+1,FALSE)</f>
        <v>赤き竜の制裁</v>
      </c>
      <c r="D28" s="84" t="str">
        <f ca="1">VLOOKUP($B28,OFFSET([2]quests!$A$1,0,0,COUNTA([2]quests!$A:$A),MATCH(D$1,[2]quests!$1:$1,0)-MATCH($B$1,[2]quests!$1:$1,0)+1),MATCH(D$1,[2]quests!$1:$1,0)-MATCH($B$1,[2]quests!$1:$1,0)+1,FALSE)</f>
        <v>円卓2（マルチ専用）</v>
      </c>
      <c r="E28" s="87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【中級】赤き竜の制裁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円卓2（マルチ専用）</v>
      </c>
      <c r="H28" s="86">
        <v>0</v>
      </c>
      <c r="I28">
        <v>31</v>
      </c>
      <c r="J28" s="85" t="s">
        <v>192</v>
      </c>
      <c r="K28" s="92" t="str">
        <f>VLOOKUP(I28,[7]stage_hints!$A:$C,3,FALSE)</f>
        <v>イベントはお知らせでチェック</v>
      </c>
      <c r="L28" s="93" t="str">
        <f>VLOOKUP(I28,[7]stage_hints!$A:$D,4,FALSE)</f>
        <v>イベント限定ユニットを取り忘れないように_x000D_お知らせをこまめにチェックしましょう</v>
      </c>
      <c r="M28" s="57" t="s">
        <v>205</v>
      </c>
    </row>
    <row r="29" spans="1:13" x14ac:dyDescent="0.15">
      <c r="A29" s="82" t="s">
        <v>195</v>
      </c>
      <c r="B29" s="83">
        <f>floors!$C$2</f>
        <v>30032</v>
      </c>
      <c r="C29" s="84" t="str">
        <f ca="1">VLOOKUP($B29,OFFSET([2]quests!$A$1,0,0,COUNTA([2]quests!$A:$A),MATCH(C$1,[2]quests!$1:$1,0)-MATCH($B$1,[2]quests!$1:$1,0)+1),MATCH(C$1,[2]quests!$1:$1,0)-MATCH($B$1,[2]quests!$1:$1,0)+1,FALSE)</f>
        <v>赤き竜の制裁</v>
      </c>
      <c r="D29" s="84" t="str">
        <f ca="1">VLOOKUP($B29,OFFSET([2]quests!$A$1,0,0,COUNTA([2]quests!$A:$A),MATCH(D$1,[2]quests!$1:$1,0)-MATCH($B$1,[2]quests!$1:$1,0)+1),MATCH(D$1,[2]quests!$1:$1,0)-MATCH($B$1,[2]quests!$1:$1,0)+1,FALSE)</f>
        <v>円卓2（マルチ専用）</v>
      </c>
      <c r="E29" s="87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【中級】赤き竜の制裁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円卓2（マルチ専用）</v>
      </c>
      <c r="H29" s="86">
        <v>0</v>
      </c>
      <c r="I29">
        <v>32</v>
      </c>
      <c r="J29" s="85" t="s">
        <v>192</v>
      </c>
      <c r="K29" s="92" t="str">
        <f>VLOOKUP(I29,[7]stage_hints!$A:$C,3,FALSE)</f>
        <v>敵の連続攻撃には</v>
      </c>
      <c r="L29" s="93" t="str">
        <f>VLOOKUP(I29,[7]stage_hints!$A:$D,4,FALSE)</f>
        <v>カウンタースキルを持つユニットがいれば_x000D_ダメージ回数分の反撃ができます</v>
      </c>
      <c r="M29" s="57" t="s">
        <v>205</v>
      </c>
    </row>
    <row r="30" spans="1:13" x14ac:dyDescent="0.15">
      <c r="A30" s="82" t="s">
        <v>195</v>
      </c>
      <c r="B30" s="83">
        <f>floors!$C$2</f>
        <v>30032</v>
      </c>
      <c r="C30" s="84" t="str">
        <f ca="1">VLOOKUP($B30,OFFSET([2]quests!$A$1,0,0,COUNTA([2]quests!$A:$A),MATCH(C$1,[2]quests!$1:$1,0)-MATCH($B$1,[2]quests!$1:$1,0)+1),MATCH(C$1,[2]quests!$1:$1,0)-MATCH($B$1,[2]quests!$1:$1,0)+1,FALSE)</f>
        <v>赤き竜の制裁</v>
      </c>
      <c r="D30" s="84" t="str">
        <f ca="1">VLOOKUP($B30,OFFSET([2]quests!$A$1,0,0,COUNTA([2]quests!$A:$A),MATCH(D$1,[2]quests!$1:$1,0)-MATCH($B$1,[2]quests!$1:$1,0)+1),MATCH(D$1,[2]quests!$1:$1,0)-MATCH($B$1,[2]quests!$1:$1,0)+1,FALSE)</f>
        <v>円卓2（マルチ専用）</v>
      </c>
      <c r="E30" s="87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【中級】赤き竜の制裁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円卓2（マルチ専用）</v>
      </c>
      <c r="H30" s="86">
        <v>0</v>
      </c>
      <c r="I30">
        <v>33</v>
      </c>
      <c r="J30" s="85" t="s">
        <v>192</v>
      </c>
      <c r="K30" s="92" t="str">
        <f>VLOOKUP(I30,[7]stage_hints!$A:$C,3,FALSE)</f>
        <v>敵のカウンター攻撃には</v>
      </c>
      <c r="L30" s="93" t="str">
        <f>VLOOKUP(I30,[7]stage_hints!$A:$D,4,FALSE)</f>
        <v>カウンターブレイクスキルを持っていれば_x000D_敵のカウンターを解除して攻撃ができます</v>
      </c>
      <c r="M30" s="57" t="s">
        <v>205</v>
      </c>
    </row>
    <row r="31" spans="1:13" x14ac:dyDescent="0.15">
      <c r="A31" s="82" t="s">
        <v>195</v>
      </c>
      <c r="B31" s="83">
        <f>floors!$C$2</f>
        <v>30032</v>
      </c>
      <c r="C31" s="84" t="str">
        <f ca="1">VLOOKUP($B31,OFFSET([2]quests!$A$1,0,0,COUNTA([2]quests!$A:$A),MATCH(C$1,[2]quests!$1:$1,0)-MATCH($B$1,[2]quests!$1:$1,0)+1),MATCH(C$1,[2]quests!$1:$1,0)-MATCH($B$1,[2]quests!$1:$1,0)+1,FALSE)</f>
        <v>赤き竜の制裁</v>
      </c>
      <c r="D31" s="84" t="str">
        <f ca="1">VLOOKUP($B31,OFFSET([2]quests!$A$1,0,0,COUNTA([2]quests!$A:$A),MATCH(D$1,[2]quests!$1:$1,0)-MATCH($B$1,[2]quests!$1:$1,0)+1),MATCH(D$1,[2]quests!$1:$1,0)-MATCH($B$1,[2]quests!$1:$1,0)+1,FALSE)</f>
        <v>円卓2（マルチ専用）</v>
      </c>
      <c r="E31" s="87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【中級】赤き竜の制裁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円卓2（マルチ専用）</v>
      </c>
      <c r="H31" s="86">
        <v>0</v>
      </c>
      <c r="I31">
        <v>34</v>
      </c>
      <c r="J31" s="85" t="s">
        <v>192</v>
      </c>
      <c r="K31" s="92" t="str">
        <f>VLOOKUP(I31,[7]stage_hints!$A:$C,3,FALSE)</f>
        <v>ステータスをスキルで下げられたら</v>
      </c>
      <c r="L31" s="93" t="str">
        <f>VLOOKUP(I31,[7]stage_hints!$A:$D,4,FALSE)</f>
        <v>ステータスダウンのスキルを受けたら_x000D_ステータスアップスキルで上書きしましょう</v>
      </c>
      <c r="M31" s="57" t="s">
        <v>205</v>
      </c>
    </row>
    <row r="32" spans="1:13" x14ac:dyDescent="0.15">
      <c r="A32" s="82" t="s">
        <v>195</v>
      </c>
      <c r="B32" s="83">
        <f>floors!$C$2</f>
        <v>30032</v>
      </c>
      <c r="C32" s="84" t="str">
        <f ca="1">VLOOKUP($B32,OFFSET([2]quests!$A$1,0,0,COUNTA([2]quests!$A:$A),MATCH(C$1,[2]quests!$1:$1,0)-MATCH($B$1,[2]quests!$1:$1,0)+1),MATCH(C$1,[2]quests!$1:$1,0)-MATCH($B$1,[2]quests!$1:$1,0)+1,FALSE)</f>
        <v>赤き竜の制裁</v>
      </c>
      <c r="D32" s="84" t="str">
        <f ca="1">VLOOKUP($B32,OFFSET([2]quests!$A$1,0,0,COUNTA([2]quests!$A:$A),MATCH(D$1,[2]quests!$1:$1,0)-MATCH($B$1,[2]quests!$1:$1,0)+1),MATCH(D$1,[2]quests!$1:$1,0)-MATCH($B$1,[2]quests!$1:$1,0)+1,FALSE)</f>
        <v>円卓2（マルチ専用）</v>
      </c>
      <c r="E32" s="87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【中級】赤き竜の制裁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円卓2（マルチ専用）</v>
      </c>
      <c r="H32" s="86">
        <v>0</v>
      </c>
      <c r="I32">
        <v>35</v>
      </c>
      <c r="J32" s="85" t="s">
        <v>192</v>
      </c>
      <c r="K32" s="92" t="str">
        <f>VLOOKUP(I32,[7]stage_hints!$A:$C,3,FALSE)</f>
        <v>敵のステータスがスキルで上がったら</v>
      </c>
      <c r="L32" s="93" t="str">
        <f>VLOOKUP(I32,[7]stage_hints!$A:$D,4,FALSE)</f>
        <v>敵のステータスがスキルでアップしたときは_x000D_ステータスダウンスキルで上書きしましょう</v>
      </c>
      <c r="M32" s="57" t="s">
        <v>205</v>
      </c>
    </row>
    <row r="33" spans="1:13" x14ac:dyDescent="0.15">
      <c r="A33" s="82" t="s">
        <v>195</v>
      </c>
      <c r="B33" s="83">
        <f>floors!$C$2</f>
        <v>30032</v>
      </c>
      <c r="C33" s="84" t="str">
        <f ca="1">VLOOKUP($B33,OFFSET([2]quests!$A$1,0,0,COUNTA([2]quests!$A:$A),MATCH(C$1,[2]quests!$1:$1,0)-MATCH($B$1,[2]quests!$1:$1,0)+1),MATCH(C$1,[2]quests!$1:$1,0)-MATCH($B$1,[2]quests!$1:$1,0)+1,FALSE)</f>
        <v>赤き竜の制裁</v>
      </c>
      <c r="D33" s="84" t="str">
        <f ca="1">VLOOKUP($B33,OFFSET([2]quests!$A$1,0,0,COUNTA([2]quests!$A:$A),MATCH(D$1,[2]quests!$1:$1,0)-MATCH($B$1,[2]quests!$1:$1,0)+1),MATCH(D$1,[2]quests!$1:$1,0)-MATCH($B$1,[2]quests!$1:$1,0)+1,FALSE)</f>
        <v>円卓2（マルチ専用）</v>
      </c>
      <c r="E33" s="87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【中級】赤き竜の制裁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円卓2（マルチ専用）</v>
      </c>
      <c r="H33" s="86">
        <v>0</v>
      </c>
      <c r="I33">
        <v>39</v>
      </c>
      <c r="J33" s="85" t="s">
        <v>192</v>
      </c>
      <c r="K33" s="92" t="str">
        <f>VLOOKUP(I33,[7]stage_hints!$A:$C,3,FALSE)</f>
        <v>システム適合者を確認</v>
      </c>
      <c r="L33" s="93" t="str">
        <f>VLOOKUP(I33,[7]stage_hints!$A:$D,4,FALSE)</f>
        <v>ALICEが 「アナタ」を呼んでいます</v>
      </c>
      <c r="M33" s="57" t="s">
        <v>205</v>
      </c>
    </row>
    <row r="34" spans="1:13" x14ac:dyDescent="0.15">
      <c r="A34" s="82" t="s">
        <v>195</v>
      </c>
      <c r="B34" s="83">
        <f>floors!$C$2</f>
        <v>30032</v>
      </c>
      <c r="C34" s="84" t="str">
        <f ca="1">VLOOKUP($B34,OFFSET([2]quests!$A$1,0,0,COUNTA([2]quests!$A:$A),MATCH(C$1,[2]quests!$1:$1,0)-MATCH($B$1,[2]quests!$1:$1,0)+1),MATCH(C$1,[2]quests!$1:$1,0)-MATCH($B$1,[2]quests!$1:$1,0)+1,FALSE)</f>
        <v>赤き竜の制裁</v>
      </c>
      <c r="D34" s="84" t="str">
        <f ca="1">VLOOKUP($B34,OFFSET([2]quests!$A$1,0,0,COUNTA([2]quests!$A:$A),MATCH(D$1,[2]quests!$1:$1,0)-MATCH($B$1,[2]quests!$1:$1,0)+1),MATCH(D$1,[2]quests!$1:$1,0)-MATCH($B$1,[2]quests!$1:$1,0)+1,FALSE)</f>
        <v>円卓2（マルチ専用）</v>
      </c>
      <c r="E34" s="87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【上級】赤き竜の制裁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円卓2（マルチ専用）</v>
      </c>
      <c r="H34" s="86">
        <v>0</v>
      </c>
      <c r="I34" s="96">
        <v>3</v>
      </c>
      <c r="J34" s="85" t="s">
        <v>192</v>
      </c>
      <c r="K34" s="92" t="str">
        <f>VLOOKUP(I34,[7]stage_hints!$A:$C,3,FALSE)</f>
        <v>ターゲット</v>
      </c>
      <c r="L34" s="93" t="str">
        <f>VLOOKUP(I34,[7]stage_hints!$A:$D,4,FALSE)</f>
        <v>敵ユニットをタップすると_x000D_その敵を狙い撃ちできます</v>
      </c>
      <c r="M34" s="57" t="s">
        <v>205</v>
      </c>
    </row>
    <row r="35" spans="1:13" x14ac:dyDescent="0.15">
      <c r="A35" s="82" t="s">
        <v>195</v>
      </c>
      <c r="B35" s="83">
        <f>floors!$C$2</f>
        <v>30032</v>
      </c>
      <c r="C35" s="84" t="str">
        <f ca="1">VLOOKUP($B35,OFFSET([2]quests!$A$1,0,0,COUNTA([2]quests!$A:$A),MATCH(C$1,[2]quests!$1:$1,0)-MATCH($B$1,[2]quests!$1:$1,0)+1),MATCH(C$1,[2]quests!$1:$1,0)-MATCH($B$1,[2]quests!$1:$1,0)+1,FALSE)</f>
        <v>赤き竜の制裁</v>
      </c>
      <c r="D35" s="84" t="str">
        <f ca="1">VLOOKUP($B35,OFFSET([2]quests!$A$1,0,0,COUNTA([2]quests!$A:$A),MATCH(D$1,[2]quests!$1:$1,0)-MATCH($B$1,[2]quests!$1:$1,0)+1),MATCH(D$1,[2]quests!$1:$1,0)-MATCH($B$1,[2]quests!$1:$1,0)+1,FALSE)</f>
        <v>円卓2（マルチ専用）</v>
      </c>
      <c r="E35" s="87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【上級】赤き竜の制裁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円卓2（マルチ専用）</v>
      </c>
      <c r="H35" s="86">
        <v>0</v>
      </c>
      <c r="I35" s="96">
        <v>6</v>
      </c>
      <c r="J35" s="85" t="s">
        <v>192</v>
      </c>
      <c r="K35" s="92" t="str">
        <f>VLOOKUP(I35,[7]stage_hints!$A:$C,3,FALSE)</f>
        <v>ユニット強化の属性ボーナス</v>
      </c>
      <c r="L35" s="93" t="str">
        <f>VLOOKUP(I35,[7]stage_hints!$A:$D,4,FALSE)</f>
        <v>同属性ユニットを強化素材にすると_x000D_経験値が多くもらえます</v>
      </c>
      <c r="M35" s="57" t="s">
        <v>205</v>
      </c>
    </row>
    <row r="36" spans="1:13" x14ac:dyDescent="0.15">
      <c r="A36" s="82" t="s">
        <v>195</v>
      </c>
      <c r="B36" s="83">
        <f>floors!$C$2</f>
        <v>30032</v>
      </c>
      <c r="C36" s="84" t="str">
        <f ca="1">VLOOKUP($B36,OFFSET([2]quests!$A$1,0,0,COUNTA([2]quests!$A:$A),MATCH(C$1,[2]quests!$1:$1,0)-MATCH($B$1,[2]quests!$1:$1,0)+1),MATCH(C$1,[2]quests!$1:$1,0)-MATCH($B$1,[2]quests!$1:$1,0)+1,FALSE)</f>
        <v>赤き竜の制裁</v>
      </c>
      <c r="D36" s="84" t="str">
        <f ca="1">VLOOKUP($B36,OFFSET([2]quests!$A$1,0,0,COUNTA([2]quests!$A:$A),MATCH(D$1,[2]quests!$1:$1,0)-MATCH($B$1,[2]quests!$1:$1,0)+1),MATCH(D$1,[2]quests!$1:$1,0)-MATCH($B$1,[2]quests!$1:$1,0)+1,FALSE)</f>
        <v>円卓2（マルチ専用）</v>
      </c>
      <c r="E36" s="87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【上級】赤き竜の制裁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円卓2（マルチ専用）</v>
      </c>
      <c r="H36" s="86">
        <v>0</v>
      </c>
      <c r="I36" s="96">
        <v>7</v>
      </c>
      <c r="J36" s="85" t="s">
        <v>192</v>
      </c>
      <c r="K36" s="92" t="str">
        <f>VLOOKUP(I36,[7]stage_hints!$A:$C,3,FALSE)</f>
        <v>メタルダックで経験値を獲得</v>
      </c>
      <c r="L36" s="93" t="str">
        <f>VLOOKUP(I36,[7]stage_hints!$A:$D,4,FALSE)</f>
        <v>「メタルなアヒル」を強化素材にすると_x000D_大量の経験値がもらえます</v>
      </c>
      <c r="M36" s="57" t="s">
        <v>205</v>
      </c>
    </row>
    <row r="37" spans="1:13" x14ac:dyDescent="0.15">
      <c r="A37" s="82" t="s">
        <v>195</v>
      </c>
      <c r="B37" s="83">
        <f>floors!$C$2</f>
        <v>30032</v>
      </c>
      <c r="C37" s="84" t="str">
        <f ca="1">VLOOKUP($B37,OFFSET([2]quests!$A$1,0,0,COUNTA([2]quests!$A:$A),MATCH(C$1,[2]quests!$1:$1,0)-MATCH($B$1,[2]quests!$1:$1,0)+1),MATCH(C$1,[2]quests!$1:$1,0)-MATCH($B$1,[2]quests!$1:$1,0)+1,FALSE)</f>
        <v>赤き竜の制裁</v>
      </c>
      <c r="D37" s="84" t="str">
        <f ca="1">VLOOKUP($B37,OFFSET([2]quests!$A$1,0,0,COUNTA([2]quests!$A:$A),MATCH(D$1,[2]quests!$1:$1,0)-MATCH($B$1,[2]quests!$1:$1,0)+1),MATCH(D$1,[2]quests!$1:$1,0)-MATCH($B$1,[2]quests!$1:$1,0)+1,FALSE)</f>
        <v>円卓2（マルチ専用）</v>
      </c>
      <c r="E37" s="87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【上級】赤き竜の制裁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円卓2（マルチ専用）</v>
      </c>
      <c r="H37" s="86">
        <v>0</v>
      </c>
      <c r="I37" s="96">
        <v>8</v>
      </c>
      <c r="J37" s="85" t="s">
        <v>192</v>
      </c>
      <c r="K37" s="92" t="str">
        <f>VLOOKUP(I37,[7]stage_hints!$A:$C,3,FALSE)</f>
        <v>ゲリラクエストは要チェック</v>
      </c>
      <c r="L37" s="93" t="str">
        <f>VLOOKUP(I37,[7]stage_hints!$A:$D,4,FALSE)</f>
        <v>時間限定の「アヒル捕獲作戦」では_x000D_経験値素材ユニットが多く手に入ります</v>
      </c>
      <c r="M37" s="57" t="s">
        <v>205</v>
      </c>
    </row>
    <row r="38" spans="1:13" x14ac:dyDescent="0.15">
      <c r="A38" s="82" t="s">
        <v>195</v>
      </c>
      <c r="B38" s="83">
        <f>floors!$C$2</f>
        <v>30032</v>
      </c>
      <c r="C38" s="84" t="str">
        <f ca="1">VLOOKUP($B38,OFFSET([2]quests!$A$1,0,0,COUNTA([2]quests!$A:$A),MATCH(C$1,[2]quests!$1:$1,0)-MATCH($B$1,[2]quests!$1:$1,0)+1),MATCH(C$1,[2]quests!$1:$1,0)-MATCH($B$1,[2]quests!$1:$1,0)+1,FALSE)</f>
        <v>赤き竜の制裁</v>
      </c>
      <c r="D38" s="84" t="str">
        <f ca="1">VLOOKUP($B38,OFFSET([2]quests!$A$1,0,0,COUNTA([2]quests!$A:$A),MATCH(D$1,[2]quests!$1:$1,0)-MATCH($B$1,[2]quests!$1:$1,0)+1),MATCH(D$1,[2]quests!$1:$1,0)-MATCH($B$1,[2]quests!$1:$1,0)+1,FALSE)</f>
        <v>円卓2（マルチ専用）</v>
      </c>
      <c r="E38" s="87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【上級】赤き竜の制裁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円卓2（マルチ専用）</v>
      </c>
      <c r="H38" s="86">
        <v>0</v>
      </c>
      <c r="I38" s="96">
        <v>9</v>
      </c>
      <c r="J38" s="85" t="s">
        <v>192</v>
      </c>
      <c r="K38" s="92" t="str">
        <f>VLOOKUP(I38,[7]stage_hints!$A:$C,3,FALSE)</f>
        <v>ゴールドダックでビットを獲得</v>
      </c>
      <c r="L38" s="93" t="str">
        <f>VLOOKUP(I38,[7]stage_hints!$A:$D,4,FALSE)</f>
        <v>「ゴールドなアヒル」を売却すると_x000D_大量のビットがもらえます</v>
      </c>
      <c r="M38" s="57" t="s">
        <v>205</v>
      </c>
    </row>
    <row r="39" spans="1:13" x14ac:dyDescent="0.15">
      <c r="A39" s="82" t="s">
        <v>195</v>
      </c>
      <c r="B39" s="83">
        <f>floors!$C$2</f>
        <v>30032</v>
      </c>
      <c r="C39" s="84" t="str">
        <f ca="1">VLOOKUP($B39,OFFSET([2]quests!$A$1,0,0,COUNTA([2]quests!$A:$A),MATCH(C$1,[2]quests!$1:$1,0)-MATCH($B$1,[2]quests!$1:$1,0)+1),MATCH(C$1,[2]quests!$1:$1,0)-MATCH($B$1,[2]quests!$1:$1,0)+1,FALSE)</f>
        <v>赤き竜の制裁</v>
      </c>
      <c r="D39" s="84" t="str">
        <f ca="1">VLOOKUP($B39,OFFSET([2]quests!$A$1,0,0,COUNTA([2]quests!$A:$A),MATCH(D$1,[2]quests!$1:$1,0)-MATCH($B$1,[2]quests!$1:$1,0)+1),MATCH(D$1,[2]quests!$1:$1,0)-MATCH($B$1,[2]quests!$1:$1,0)+1,FALSE)</f>
        <v>円卓2（マルチ専用）</v>
      </c>
      <c r="E39" s="87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【上級】赤き竜の制裁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円卓2（マルチ専用）</v>
      </c>
      <c r="H39" s="86">
        <v>0</v>
      </c>
      <c r="I39" s="96">
        <v>10</v>
      </c>
      <c r="J39" s="85" t="s">
        <v>192</v>
      </c>
      <c r="K39" s="92" t="str">
        <f>VLOOKUP(I39,[7]stage_hints!$A:$C,3,FALSE)</f>
        <v>土日に大量のビットを獲得</v>
      </c>
      <c r="L39" s="93" t="str">
        <f>VLOOKUP(I39,[7]stage_hints!$A:$D,4,FALSE)</f>
        <v>土日限定の「ゴールドカジノ」では_x000D_売却素材ユニットが多く手に入ります</v>
      </c>
      <c r="M39" s="57" t="s">
        <v>205</v>
      </c>
    </row>
    <row r="40" spans="1:13" x14ac:dyDescent="0.15">
      <c r="A40" s="82" t="s">
        <v>195</v>
      </c>
      <c r="B40" s="83">
        <f>floors!$C$2</f>
        <v>30032</v>
      </c>
      <c r="C40" s="84" t="str">
        <f ca="1">VLOOKUP($B40,OFFSET([2]quests!$A$1,0,0,COUNTA([2]quests!$A:$A),MATCH(C$1,[2]quests!$1:$1,0)-MATCH($B$1,[2]quests!$1:$1,0)+1),MATCH(C$1,[2]quests!$1:$1,0)-MATCH($B$1,[2]quests!$1:$1,0)+1,FALSE)</f>
        <v>赤き竜の制裁</v>
      </c>
      <c r="D40" s="84" t="str">
        <f ca="1">VLOOKUP($B40,OFFSET([2]quests!$A$1,0,0,COUNTA([2]quests!$A:$A),MATCH(D$1,[2]quests!$1:$1,0)-MATCH($B$1,[2]quests!$1:$1,0)+1),MATCH(D$1,[2]quests!$1:$1,0)-MATCH($B$1,[2]quests!$1:$1,0)+1,FALSE)</f>
        <v>円卓2（マルチ専用）</v>
      </c>
      <c r="E40" s="87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【上級】赤き竜の制裁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円卓2（マルチ専用）</v>
      </c>
      <c r="H40" s="86">
        <v>0</v>
      </c>
      <c r="I40" s="96">
        <v>11</v>
      </c>
      <c r="J40" s="85" t="s">
        <v>192</v>
      </c>
      <c r="K40" s="92" t="str">
        <f>VLOOKUP(I40,[7]stage_hints!$A:$C,3,FALSE)</f>
        <v>ランク解放クエスト</v>
      </c>
      <c r="L40" s="93" t="str">
        <f>VLOOKUP(I40,[7]stage_hints!$A:$D,4,FALSE)</f>
        <v>一定ランクに到達すると_x000D_報酬付きのランク開放クエストが現れます</v>
      </c>
      <c r="M40" s="57" t="s">
        <v>205</v>
      </c>
    </row>
    <row r="41" spans="1:13" x14ac:dyDescent="0.15">
      <c r="A41" s="82" t="s">
        <v>195</v>
      </c>
      <c r="B41" s="83">
        <f>floors!$C$2</f>
        <v>30032</v>
      </c>
      <c r="C41" s="84" t="str">
        <f ca="1">VLOOKUP($B41,OFFSET([2]quests!$A$1,0,0,COUNTA([2]quests!$A:$A),MATCH(C$1,[2]quests!$1:$1,0)-MATCH($B$1,[2]quests!$1:$1,0)+1),MATCH(C$1,[2]quests!$1:$1,0)-MATCH($B$1,[2]quests!$1:$1,0)+1,FALSE)</f>
        <v>赤き竜の制裁</v>
      </c>
      <c r="D41" s="84" t="str">
        <f ca="1">VLOOKUP($B41,OFFSET([2]quests!$A$1,0,0,COUNTA([2]quests!$A:$A),MATCH(D$1,[2]quests!$1:$1,0)-MATCH($B$1,[2]quests!$1:$1,0)+1),MATCH(D$1,[2]quests!$1:$1,0)-MATCH($B$1,[2]quests!$1:$1,0)+1,FALSE)</f>
        <v>円卓2（マルチ専用）</v>
      </c>
      <c r="E41" s="87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【上級】赤き竜の制裁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円卓2（マルチ専用）</v>
      </c>
      <c r="H41" s="86">
        <v>0</v>
      </c>
      <c r="I41" s="96">
        <v>12</v>
      </c>
      <c r="J41" s="85" t="s">
        <v>192</v>
      </c>
      <c r="K41" s="92" t="str">
        <f>VLOOKUP(I41,[7]stage_hints!$A:$C,3,FALSE)</f>
        <v>ユニットのお気に入り登録</v>
      </c>
      <c r="L41" s="93" t="str">
        <f>VLOOKUP(I41,[7]stage_hints!$A:$D,4,FALSE)</f>
        <v>大事なユニットを誤って消さないように_x000D_フォルダから「お気に入り登録」しましょう</v>
      </c>
      <c r="M41" s="57" t="s">
        <v>205</v>
      </c>
    </row>
    <row r="42" spans="1:13" x14ac:dyDescent="0.15">
      <c r="A42" s="82" t="s">
        <v>195</v>
      </c>
      <c r="B42" s="83">
        <f>floors!$C$2</f>
        <v>30032</v>
      </c>
      <c r="C42" s="84" t="str">
        <f ca="1">VLOOKUP($B42,OFFSET([2]quests!$A$1,0,0,COUNTA([2]quests!$A:$A),MATCH(C$1,[2]quests!$1:$1,0)-MATCH($B$1,[2]quests!$1:$1,0)+1),MATCH(C$1,[2]quests!$1:$1,0)-MATCH($B$1,[2]quests!$1:$1,0)+1,FALSE)</f>
        <v>赤き竜の制裁</v>
      </c>
      <c r="D42" s="84" t="str">
        <f ca="1">VLOOKUP($B42,OFFSET([2]quests!$A$1,0,0,COUNTA([2]quests!$A:$A),MATCH(D$1,[2]quests!$1:$1,0)-MATCH($B$1,[2]quests!$1:$1,0)+1),MATCH(D$1,[2]quests!$1:$1,0)-MATCH($B$1,[2]quests!$1:$1,0)+1,FALSE)</f>
        <v>円卓2（マルチ専用）</v>
      </c>
      <c r="E42" s="87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【上級】赤き竜の制裁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円卓2（マルチ専用）</v>
      </c>
      <c r="H42" s="86">
        <v>0</v>
      </c>
      <c r="I42" s="96">
        <v>13</v>
      </c>
      <c r="J42" s="85" t="s">
        <v>192</v>
      </c>
      <c r="K42" s="92" t="str">
        <f>VLOOKUP(I42,[7]stage_hints!$A:$C,3,FALSE)</f>
        <v>ユニットの覚醒</v>
      </c>
      <c r="L42" s="93" t="str">
        <f>VLOOKUP(I42,[7]stage_hints!$A:$D,4,FALSE)</f>
        <v>ユニットを覚醒させると_x000D_比べものにならない強さが手に入ります</v>
      </c>
      <c r="M42" s="57" t="s">
        <v>205</v>
      </c>
    </row>
    <row r="43" spans="1:13" x14ac:dyDescent="0.15">
      <c r="A43" s="82" t="s">
        <v>195</v>
      </c>
      <c r="B43" s="83">
        <f>floors!$C$2</f>
        <v>30032</v>
      </c>
      <c r="C43" s="84" t="str">
        <f ca="1">VLOOKUP($B43,OFFSET([2]quests!$A$1,0,0,COUNTA([2]quests!$A:$A),MATCH(C$1,[2]quests!$1:$1,0)-MATCH($B$1,[2]quests!$1:$1,0)+1),MATCH(C$1,[2]quests!$1:$1,0)-MATCH($B$1,[2]quests!$1:$1,0)+1,FALSE)</f>
        <v>赤き竜の制裁</v>
      </c>
      <c r="D43" s="84" t="str">
        <f ca="1">VLOOKUP($B43,OFFSET([2]quests!$A$1,0,0,COUNTA([2]quests!$A:$A),MATCH(D$1,[2]quests!$1:$1,0)-MATCH($B$1,[2]quests!$1:$1,0)+1),MATCH(D$1,[2]quests!$1:$1,0)-MATCH($B$1,[2]quests!$1:$1,0)+1,FALSE)</f>
        <v>円卓2（マルチ専用）</v>
      </c>
      <c r="E43" s="87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【上級】赤き竜の制裁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円卓2（マルチ専用）</v>
      </c>
      <c r="H43" s="86">
        <v>0</v>
      </c>
      <c r="I43" s="96">
        <v>14</v>
      </c>
      <c r="J43" s="85" t="s">
        <v>192</v>
      </c>
      <c r="K43" s="92" t="str">
        <f>VLOOKUP(I43,[7]stage_hints!$A:$C,3,FALSE)</f>
        <v>覚醒するにはレベルを最大に</v>
      </c>
      <c r="L43" s="93" t="str">
        <f>VLOOKUP(I43,[7]stage_hints!$A:$D,4,FALSE)</f>
        <v>覚醒するにはユニットのレベルを_x000D_最大まで上げる必要があります</v>
      </c>
      <c r="M43" s="57" t="s">
        <v>205</v>
      </c>
    </row>
    <row r="44" spans="1:13" x14ac:dyDescent="0.15">
      <c r="A44" s="82" t="s">
        <v>195</v>
      </c>
      <c r="B44" s="83">
        <f>floors!$C$2</f>
        <v>30032</v>
      </c>
      <c r="C44" s="84" t="str">
        <f ca="1">VLOOKUP($B44,OFFSET([2]quests!$A$1,0,0,COUNTA([2]quests!$A:$A),MATCH(C$1,[2]quests!$1:$1,0)-MATCH($B$1,[2]quests!$1:$1,0)+1),MATCH(C$1,[2]quests!$1:$1,0)-MATCH($B$1,[2]quests!$1:$1,0)+1,FALSE)</f>
        <v>赤き竜の制裁</v>
      </c>
      <c r="D44" s="84" t="str">
        <f ca="1">VLOOKUP($B44,OFFSET([2]quests!$A$1,0,0,COUNTA([2]quests!$A:$A),MATCH(D$1,[2]quests!$1:$1,0)-MATCH($B$1,[2]quests!$1:$1,0)+1),MATCH(D$1,[2]quests!$1:$1,0)-MATCH($B$1,[2]quests!$1:$1,0)+1,FALSE)</f>
        <v>円卓2（マルチ専用）</v>
      </c>
      <c r="E44" s="87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【上級】赤き竜の制裁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円卓2（マルチ専用）</v>
      </c>
      <c r="H44" s="86">
        <v>0</v>
      </c>
      <c r="I44" s="96">
        <v>15</v>
      </c>
      <c r="J44" s="85" t="s">
        <v>192</v>
      </c>
      <c r="K44" s="92" t="str">
        <f>VLOOKUP(I44,[7]stage_hints!$A:$C,3,FALSE)</f>
        <v>覚醒素材を獲得</v>
      </c>
      <c r="L44" s="93" t="str">
        <f>VLOOKUP(I44,[7]stage_hints!$A:$D,4,FALSE)</f>
        <v>「曜日クエスト」では_x000D_ユニットの覚醒に必要な素材が手に入ります</v>
      </c>
      <c r="M44" s="57" t="s">
        <v>205</v>
      </c>
    </row>
    <row r="45" spans="1:13" x14ac:dyDescent="0.15">
      <c r="A45" s="82" t="s">
        <v>195</v>
      </c>
      <c r="B45" s="83">
        <f>floors!$C$2</f>
        <v>30032</v>
      </c>
      <c r="C45" s="84" t="str">
        <f ca="1">VLOOKUP($B45,OFFSET([2]quests!$A$1,0,0,COUNTA([2]quests!$A:$A),MATCH(C$1,[2]quests!$1:$1,0)-MATCH($B$1,[2]quests!$1:$1,0)+1),MATCH(C$1,[2]quests!$1:$1,0)-MATCH($B$1,[2]quests!$1:$1,0)+1,FALSE)</f>
        <v>赤き竜の制裁</v>
      </c>
      <c r="D45" s="84" t="str">
        <f ca="1">VLOOKUP($B45,OFFSET([2]quests!$A$1,0,0,COUNTA([2]quests!$A:$A),MATCH(D$1,[2]quests!$1:$1,0)-MATCH($B$1,[2]quests!$1:$1,0)+1),MATCH(D$1,[2]quests!$1:$1,0)-MATCH($B$1,[2]quests!$1:$1,0)+1,FALSE)</f>
        <v>円卓2（マルチ専用）</v>
      </c>
      <c r="E45" s="87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【上級】赤き竜の制裁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円卓2（マルチ専用）</v>
      </c>
      <c r="H45" s="86">
        <v>0</v>
      </c>
      <c r="I45" s="96">
        <v>16</v>
      </c>
      <c r="J45" s="85" t="s">
        <v>192</v>
      </c>
      <c r="K45" s="92" t="str">
        <f>VLOOKUP(I45,[7]stage_hints!$A:$C,3,FALSE)</f>
        <v>マルチプレイのメリット（その1）</v>
      </c>
      <c r="L45" s="93" t="str">
        <f>VLOOKUP(I45,[7]stage_hints!$A:$D,4,FALSE)</f>
        <v>他のプレイヤーとマルチプレイで遊ぶと_x000D_ポリゴンがもらえます（100人まで）</v>
      </c>
      <c r="M45" s="57" t="s">
        <v>205</v>
      </c>
    </row>
    <row r="46" spans="1:13" x14ac:dyDescent="0.15">
      <c r="A46" s="82" t="s">
        <v>195</v>
      </c>
      <c r="B46" s="83">
        <f>floors!$C$2</f>
        <v>30032</v>
      </c>
      <c r="C46" s="84" t="str">
        <f ca="1">VLOOKUP($B46,OFFSET([2]quests!$A$1,0,0,COUNTA([2]quests!$A:$A),MATCH(C$1,[2]quests!$1:$1,0)-MATCH($B$1,[2]quests!$1:$1,0)+1),MATCH(C$1,[2]quests!$1:$1,0)-MATCH($B$1,[2]quests!$1:$1,0)+1,FALSE)</f>
        <v>赤き竜の制裁</v>
      </c>
      <c r="D46" s="84" t="str">
        <f ca="1">VLOOKUP($B46,OFFSET([2]quests!$A$1,0,0,COUNTA([2]quests!$A:$A),MATCH(D$1,[2]quests!$1:$1,0)-MATCH($B$1,[2]quests!$1:$1,0)+1),MATCH(D$1,[2]quests!$1:$1,0)-MATCH($B$1,[2]quests!$1:$1,0)+1,FALSE)</f>
        <v>円卓2（マルチ専用）</v>
      </c>
      <c r="E46" s="87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【上級】赤き竜の制裁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円卓2（マルチ専用）</v>
      </c>
      <c r="H46" s="86">
        <v>0</v>
      </c>
      <c r="I46" s="96">
        <v>17</v>
      </c>
      <c r="J46" s="85" t="s">
        <v>192</v>
      </c>
      <c r="K46" s="92" t="str">
        <f>VLOOKUP(I46,[7]stage_hints!$A:$C,3,FALSE)</f>
        <v>リンクガチャ</v>
      </c>
      <c r="L46" s="93" t="str">
        <f>VLOOKUP(I46,[7]stage_hints!$A:$D,4,FALSE)</f>
        <v>無料のリンクガチャを回して_x000D_経験値素材や売却素材を獲得しましょう</v>
      </c>
      <c r="M46" s="57" t="s">
        <v>205</v>
      </c>
    </row>
    <row r="47" spans="1:13" x14ac:dyDescent="0.15">
      <c r="A47" s="82" t="s">
        <v>195</v>
      </c>
      <c r="B47" s="83">
        <f>floors!$C$2</f>
        <v>30032</v>
      </c>
      <c r="C47" s="84" t="str">
        <f ca="1">VLOOKUP($B47,OFFSET([2]quests!$A$1,0,0,COUNTA([2]quests!$A:$A),MATCH(C$1,[2]quests!$1:$1,0)-MATCH($B$1,[2]quests!$1:$1,0)+1),MATCH(C$1,[2]quests!$1:$1,0)-MATCH($B$1,[2]quests!$1:$1,0)+1,FALSE)</f>
        <v>赤き竜の制裁</v>
      </c>
      <c r="D47" s="84" t="str">
        <f ca="1">VLOOKUP($B47,OFFSET([2]quests!$A$1,0,0,COUNTA([2]quests!$A:$A),MATCH(D$1,[2]quests!$1:$1,0)-MATCH($B$1,[2]quests!$1:$1,0)+1),MATCH(D$1,[2]quests!$1:$1,0)-MATCH($B$1,[2]quests!$1:$1,0)+1,FALSE)</f>
        <v>円卓2（マルチ専用）</v>
      </c>
      <c r="E47" s="87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【上級】赤き竜の制裁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円卓2（マルチ専用）</v>
      </c>
      <c r="H47" s="86">
        <v>0</v>
      </c>
      <c r="I47" s="96">
        <v>18</v>
      </c>
      <c r="J47" s="85" t="s">
        <v>192</v>
      </c>
      <c r="K47" s="92" t="str">
        <f>VLOOKUP(I47,[7]stage_hints!$A:$C,3,FALSE)</f>
        <v>マルチプレイのメリット（その2）</v>
      </c>
      <c r="L47" s="93" t="str">
        <f>VLOOKUP(I47,[7]stage_hints!$A:$D,4,FALSE)</f>
        <v>マルチプレイならリンクが2倍もらえます_x000D_リンクガチャをたくさん回しましょう</v>
      </c>
      <c r="M47" s="57" t="s">
        <v>205</v>
      </c>
    </row>
    <row r="48" spans="1:13" x14ac:dyDescent="0.15">
      <c r="A48" s="82" t="s">
        <v>195</v>
      </c>
      <c r="B48" s="83">
        <f>floors!$C$2</f>
        <v>30032</v>
      </c>
      <c r="C48" s="84" t="str">
        <f ca="1">VLOOKUP($B48,OFFSET([2]quests!$A$1,0,0,COUNTA([2]quests!$A:$A),MATCH(C$1,[2]quests!$1:$1,0)-MATCH($B$1,[2]quests!$1:$1,0)+1),MATCH(C$1,[2]quests!$1:$1,0)-MATCH($B$1,[2]quests!$1:$1,0)+1,FALSE)</f>
        <v>赤き竜の制裁</v>
      </c>
      <c r="D48" s="84" t="str">
        <f ca="1">VLOOKUP($B48,OFFSET([2]quests!$A$1,0,0,COUNTA([2]quests!$A:$A),MATCH(D$1,[2]quests!$1:$1,0)-MATCH($B$1,[2]quests!$1:$1,0)+1),MATCH(D$1,[2]quests!$1:$1,0)-MATCH($B$1,[2]quests!$1:$1,0)+1,FALSE)</f>
        <v>円卓2（マルチ専用）</v>
      </c>
      <c r="E48" s="87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【上級】赤き竜の制裁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円卓2（マルチ専用）</v>
      </c>
      <c r="H48" s="86">
        <v>0</v>
      </c>
      <c r="I48" s="96">
        <v>19</v>
      </c>
      <c r="J48" s="85" t="s">
        <v>192</v>
      </c>
      <c r="K48" s="92" t="str">
        <f>VLOOKUP(I48,[7]stage_hints!$A:$C,3,FALSE)</f>
        <v>ソロ専用タワーオブザクイーン</v>
      </c>
      <c r="L48" s="93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205</v>
      </c>
    </row>
    <row r="49" spans="1:13" x14ac:dyDescent="0.15">
      <c r="A49" s="82" t="s">
        <v>195</v>
      </c>
      <c r="B49" s="83">
        <f>floors!$C$2</f>
        <v>30032</v>
      </c>
      <c r="C49" s="84" t="str">
        <f ca="1">VLOOKUP($B49,OFFSET([2]quests!$A$1,0,0,COUNTA([2]quests!$A:$A),MATCH(C$1,[2]quests!$1:$1,0)-MATCH($B$1,[2]quests!$1:$1,0)+1),MATCH(C$1,[2]quests!$1:$1,0)-MATCH($B$1,[2]quests!$1:$1,0)+1,FALSE)</f>
        <v>赤き竜の制裁</v>
      </c>
      <c r="D49" s="84" t="str">
        <f ca="1">VLOOKUP($B49,OFFSET([2]quests!$A$1,0,0,COUNTA([2]quests!$A:$A),MATCH(D$1,[2]quests!$1:$1,0)-MATCH($B$1,[2]quests!$1:$1,0)+1),MATCH(D$1,[2]quests!$1:$1,0)-MATCH($B$1,[2]quests!$1:$1,0)+1,FALSE)</f>
        <v>円卓2（マルチ専用）</v>
      </c>
      <c r="E49" s="87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【上級】赤き竜の制裁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円卓2（マルチ専用）</v>
      </c>
      <c r="H49" s="86">
        <v>0</v>
      </c>
      <c r="I49" s="96">
        <v>20</v>
      </c>
      <c r="J49" s="85" t="s">
        <v>192</v>
      </c>
      <c r="K49" s="92" t="str">
        <f>VLOOKUP(I49,[7]stage_hints!$A:$C,3,FALSE)</f>
        <v>マルチプレイのメリット（その3）</v>
      </c>
      <c r="L49" s="93" t="str">
        <f>VLOOKUP(I49,[7]stage_hints!$A:$D,4,FALSE)</f>
        <v>マルチプレイへの参加はエナジー消費ゼロ_x000D_いつでも好きなだけ遊ぶことができます</v>
      </c>
      <c r="M49" s="57" t="s">
        <v>205</v>
      </c>
    </row>
    <row r="50" spans="1:13" x14ac:dyDescent="0.15">
      <c r="A50" s="82" t="s">
        <v>195</v>
      </c>
      <c r="B50" s="83">
        <f>floors!$C$2</f>
        <v>30032</v>
      </c>
      <c r="C50" s="84" t="str">
        <f ca="1">VLOOKUP($B50,OFFSET([2]quests!$A$1,0,0,COUNTA([2]quests!$A:$A),MATCH(C$1,[2]quests!$1:$1,0)-MATCH($B$1,[2]quests!$1:$1,0)+1),MATCH(C$1,[2]quests!$1:$1,0)-MATCH($B$1,[2]quests!$1:$1,0)+1,FALSE)</f>
        <v>赤き竜の制裁</v>
      </c>
      <c r="D50" s="84" t="str">
        <f ca="1">VLOOKUP($B50,OFFSET([2]quests!$A$1,0,0,COUNTA([2]quests!$A:$A),MATCH(D$1,[2]quests!$1:$1,0)-MATCH($B$1,[2]quests!$1:$1,0)+1),MATCH(D$1,[2]quests!$1:$1,0)-MATCH($B$1,[2]quests!$1:$1,0)+1,FALSE)</f>
        <v>円卓2（マルチ専用）</v>
      </c>
      <c r="E50" s="87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【上級】赤き竜の制裁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円卓2（マルチ専用）</v>
      </c>
      <c r="H50" s="86">
        <v>0</v>
      </c>
      <c r="I50" s="96">
        <v>21</v>
      </c>
      <c r="J50" s="85" t="s">
        <v>192</v>
      </c>
      <c r="K50" s="92" t="str">
        <f>VLOOKUP(I50,[7]stage_hints!$A:$C,3,FALSE)</f>
        <v>スキルを有効に</v>
      </c>
      <c r="L50" s="93" t="str">
        <f>VLOOKUP(I50,[7]stage_hints!$A:$D,4,FALSE)</f>
        <v>ターン経過でユニットのスキルが使えます_x000D_強力スキルでバトルを有利に進めましょう</v>
      </c>
      <c r="M50" s="57" t="s">
        <v>205</v>
      </c>
    </row>
    <row r="51" spans="1:13" x14ac:dyDescent="0.15">
      <c r="A51" s="82" t="s">
        <v>195</v>
      </c>
      <c r="B51" s="83">
        <f>floors!$C$2</f>
        <v>30032</v>
      </c>
      <c r="C51" s="84" t="str">
        <f ca="1">VLOOKUP($B51,OFFSET([2]quests!$A$1,0,0,COUNTA([2]quests!$A:$A),MATCH(C$1,[2]quests!$1:$1,0)-MATCH($B$1,[2]quests!$1:$1,0)+1),MATCH(C$1,[2]quests!$1:$1,0)-MATCH($B$1,[2]quests!$1:$1,0)+1,FALSE)</f>
        <v>赤き竜の制裁</v>
      </c>
      <c r="D51" s="84" t="str">
        <f ca="1">VLOOKUP($B51,OFFSET([2]quests!$A$1,0,0,COUNTA([2]quests!$A:$A),MATCH(D$1,[2]quests!$1:$1,0)-MATCH($B$1,[2]quests!$1:$1,0)+1),MATCH(D$1,[2]quests!$1:$1,0)-MATCH($B$1,[2]quests!$1:$1,0)+1,FALSE)</f>
        <v>円卓2（マルチ専用）</v>
      </c>
      <c r="E51" s="87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【上級】赤き竜の制裁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円卓2（マルチ専用）</v>
      </c>
      <c r="H51" s="86">
        <v>0</v>
      </c>
      <c r="I51" s="96">
        <v>22</v>
      </c>
      <c r="J51" s="85" t="s">
        <v>192</v>
      </c>
      <c r="K51" s="92" t="str">
        <f>VLOOKUP(I51,[7]stage_hints!$A:$C,3,FALSE)</f>
        <v>フィーバーで一発逆転（その1）</v>
      </c>
      <c r="L51" s="93" t="str">
        <f>VLOOKUP(I51,[7]stage_hints!$A:$D,4,FALSE)</f>
        <v>フィーバーは攻撃と回復を兼ね備えます_x000D_ピンチからの一発逆転を狙いましょう</v>
      </c>
      <c r="M51" s="57" t="s">
        <v>205</v>
      </c>
    </row>
    <row r="52" spans="1:13" x14ac:dyDescent="0.15">
      <c r="A52" s="82" t="s">
        <v>195</v>
      </c>
      <c r="B52" s="83">
        <f>floors!$C$2</f>
        <v>30032</v>
      </c>
      <c r="C52" s="84" t="str">
        <f ca="1">VLOOKUP($B52,OFFSET([2]quests!$A$1,0,0,COUNTA([2]quests!$A:$A),MATCH(C$1,[2]quests!$1:$1,0)-MATCH($B$1,[2]quests!$1:$1,0)+1),MATCH(C$1,[2]quests!$1:$1,0)-MATCH($B$1,[2]quests!$1:$1,0)+1,FALSE)</f>
        <v>赤き竜の制裁</v>
      </c>
      <c r="D52" s="84" t="str">
        <f ca="1">VLOOKUP($B52,OFFSET([2]quests!$A$1,0,0,COUNTA([2]quests!$A:$A),MATCH(D$1,[2]quests!$1:$1,0)-MATCH($B$1,[2]quests!$1:$1,0)+1),MATCH(D$1,[2]quests!$1:$1,0)-MATCH($B$1,[2]quests!$1:$1,0)+1,FALSE)</f>
        <v>円卓2（マルチ専用）</v>
      </c>
      <c r="E52" s="87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【上級】赤き竜の制裁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円卓2（マルチ専用）</v>
      </c>
      <c r="H52" s="86">
        <v>0</v>
      </c>
      <c r="I52" s="96">
        <v>23</v>
      </c>
      <c r="J52" s="85" t="s">
        <v>192</v>
      </c>
      <c r="K52" s="92" t="str">
        <f>VLOOKUP(I52,[7]stage_hints!$A:$C,3,FALSE)</f>
        <v>フィーバーで一発逆転（その2）</v>
      </c>
      <c r="L52" s="93" t="str">
        <f>VLOOKUP(I52,[7]stage_hints!$A:$D,4,FALSE)</f>
        <v>フィーバー中は虹色のボムパネルを狙って_x000D_画面上のパネルを一気に破壊しましょう</v>
      </c>
      <c r="M52" s="57" t="s">
        <v>205</v>
      </c>
    </row>
    <row r="53" spans="1:13" x14ac:dyDescent="0.15">
      <c r="A53" s="82" t="s">
        <v>195</v>
      </c>
      <c r="B53" s="83">
        <f>floors!$C$2</f>
        <v>30032</v>
      </c>
      <c r="C53" s="84" t="str">
        <f ca="1">VLOOKUP($B53,OFFSET([2]quests!$A$1,0,0,COUNTA([2]quests!$A:$A),MATCH(C$1,[2]quests!$1:$1,0)-MATCH($B$1,[2]quests!$1:$1,0)+1),MATCH(C$1,[2]quests!$1:$1,0)-MATCH($B$1,[2]quests!$1:$1,0)+1,FALSE)</f>
        <v>赤き竜の制裁</v>
      </c>
      <c r="D53" s="84" t="str">
        <f ca="1">VLOOKUP($B53,OFFSET([2]quests!$A$1,0,0,COUNTA([2]quests!$A:$A),MATCH(D$1,[2]quests!$1:$1,0)-MATCH($B$1,[2]quests!$1:$1,0)+1),MATCH(D$1,[2]quests!$1:$1,0)-MATCH($B$1,[2]quests!$1:$1,0)+1,FALSE)</f>
        <v>円卓2（マルチ専用）</v>
      </c>
      <c r="E53" s="87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【上級】赤き竜の制裁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円卓2（マルチ専用）</v>
      </c>
      <c r="H53" s="86">
        <v>0</v>
      </c>
      <c r="I53" s="96">
        <v>24</v>
      </c>
      <c r="J53" s="85" t="s">
        <v>192</v>
      </c>
      <c r="K53" s="92" t="str">
        <f>VLOOKUP(I53,[7]stage_hints!$A:$C,3,FALSE)</f>
        <v>果実を使って限界突破</v>
      </c>
      <c r="L53" s="93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205</v>
      </c>
    </row>
    <row r="54" spans="1:13" x14ac:dyDescent="0.15">
      <c r="A54" s="82" t="s">
        <v>195</v>
      </c>
      <c r="B54" s="83">
        <f>floors!$C$2</f>
        <v>30032</v>
      </c>
      <c r="C54" s="84" t="str">
        <f ca="1">VLOOKUP($B54,OFFSET([2]quests!$A$1,0,0,COUNTA([2]quests!$A:$A),MATCH(C$1,[2]quests!$1:$1,0)-MATCH($B$1,[2]quests!$1:$1,0)+1),MATCH(C$1,[2]quests!$1:$1,0)-MATCH($B$1,[2]quests!$1:$1,0)+1,FALSE)</f>
        <v>赤き竜の制裁</v>
      </c>
      <c r="D54" s="84" t="str">
        <f ca="1">VLOOKUP($B54,OFFSET([2]quests!$A$1,0,0,COUNTA([2]quests!$A:$A),MATCH(D$1,[2]quests!$1:$1,0)-MATCH($B$1,[2]quests!$1:$1,0)+1),MATCH(D$1,[2]quests!$1:$1,0)-MATCH($B$1,[2]quests!$1:$1,0)+1,FALSE)</f>
        <v>円卓2（マルチ専用）</v>
      </c>
      <c r="E54" s="87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【上級】赤き竜の制裁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円卓2（マルチ専用）</v>
      </c>
      <c r="H54" s="86">
        <v>0</v>
      </c>
      <c r="I54" s="96">
        <v>25</v>
      </c>
      <c r="J54" s="85" t="s">
        <v>192</v>
      </c>
      <c r="K54" s="92" t="str">
        <f>VLOOKUP(I54,[7]stage_hints!$A:$C,3,FALSE)</f>
        <v>スキルレベルアップ</v>
      </c>
      <c r="L54" s="93" t="str">
        <f>VLOOKUP(I54,[7]stage_hints!$A:$D,4,FALSE)</f>
        <v>「秘術の果実」を強化に使うと_x000D_スキルレベルを上げることができます</v>
      </c>
      <c r="M54" s="57" t="s">
        <v>205</v>
      </c>
    </row>
    <row r="55" spans="1:13" x14ac:dyDescent="0.15">
      <c r="A55" s="82" t="s">
        <v>195</v>
      </c>
      <c r="B55" s="83">
        <f>floors!$C$2</f>
        <v>30032</v>
      </c>
      <c r="C55" s="84" t="str">
        <f ca="1">VLOOKUP($B55,OFFSET([2]quests!$A$1,0,0,COUNTA([2]quests!$A:$A),MATCH(C$1,[2]quests!$1:$1,0)-MATCH($B$1,[2]quests!$1:$1,0)+1),MATCH(C$1,[2]quests!$1:$1,0)-MATCH($B$1,[2]quests!$1:$1,0)+1,FALSE)</f>
        <v>赤き竜の制裁</v>
      </c>
      <c r="D55" s="84" t="str">
        <f ca="1">VLOOKUP($B55,OFFSET([2]quests!$A$1,0,0,COUNTA([2]quests!$A:$A),MATCH(D$1,[2]quests!$1:$1,0)-MATCH($B$1,[2]quests!$1:$1,0)+1),MATCH(D$1,[2]quests!$1:$1,0)-MATCH($B$1,[2]quests!$1:$1,0)+1,FALSE)</f>
        <v>円卓2（マルチ専用）</v>
      </c>
      <c r="E55" s="87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【上級】赤き竜の制裁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円卓2（マルチ専用）</v>
      </c>
      <c r="H55" s="86">
        <v>0</v>
      </c>
      <c r="I55" s="96">
        <v>26</v>
      </c>
      <c r="J55" s="85" t="s">
        <v>192</v>
      </c>
      <c r="K55" s="92" t="str">
        <f>VLOOKUP(I55,[7]stage_hints!$A:$C,3,FALSE)</f>
        <v>スキルレベルの効果</v>
      </c>
      <c r="L55" s="93" t="str">
        <f>VLOOKUP(I55,[7]stage_hints!$A:$D,4,FALSE)</f>
        <v>スキルレベルが上がると_x000D_短いターンでスキルを使うことができます</v>
      </c>
      <c r="M55" s="57" t="s">
        <v>205</v>
      </c>
    </row>
    <row r="56" spans="1:13" x14ac:dyDescent="0.15">
      <c r="A56" s="82" t="s">
        <v>195</v>
      </c>
      <c r="B56" s="83">
        <f>floors!$C$2</f>
        <v>30032</v>
      </c>
      <c r="C56" s="84" t="str">
        <f ca="1">VLOOKUP($B56,OFFSET([2]quests!$A$1,0,0,COUNTA([2]quests!$A:$A),MATCH(C$1,[2]quests!$1:$1,0)-MATCH($B$1,[2]quests!$1:$1,0)+1),MATCH(C$1,[2]quests!$1:$1,0)-MATCH($B$1,[2]quests!$1:$1,0)+1,FALSE)</f>
        <v>赤き竜の制裁</v>
      </c>
      <c r="D56" s="84" t="str">
        <f ca="1">VLOOKUP($B56,OFFSET([2]quests!$A$1,0,0,COUNTA([2]quests!$A:$A),MATCH(D$1,[2]quests!$1:$1,0)-MATCH($B$1,[2]quests!$1:$1,0)+1),MATCH(D$1,[2]quests!$1:$1,0)-MATCH($B$1,[2]quests!$1:$1,0)+1,FALSE)</f>
        <v>円卓2（マルチ専用）</v>
      </c>
      <c r="E56" s="87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【上級】赤き竜の制裁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円卓2（マルチ専用）</v>
      </c>
      <c r="H56" s="86">
        <v>0</v>
      </c>
      <c r="I56" s="96">
        <v>27</v>
      </c>
      <c r="J56" s="85" t="s">
        <v>192</v>
      </c>
      <c r="K56" s="92" t="str">
        <f>VLOOKUP(I56,[7]stage_hints!$A:$C,3,FALSE)</f>
        <v>ホーム画面からデッキを編成</v>
      </c>
      <c r="L56" s="93" t="str">
        <f>VLOOKUP(I56,[7]stage_hints!$A:$D,4,FALSE)</f>
        <v>ホーム画面でユニットを長押しすると_x000D_すぐにパーティ編成に移動できます</v>
      </c>
      <c r="M56" s="57" t="s">
        <v>205</v>
      </c>
    </row>
    <row r="57" spans="1:13" x14ac:dyDescent="0.15">
      <c r="A57" s="82" t="s">
        <v>195</v>
      </c>
      <c r="B57" s="83">
        <f>floors!$C$2</f>
        <v>30032</v>
      </c>
      <c r="C57" s="84" t="str">
        <f ca="1">VLOOKUP($B57,OFFSET([2]quests!$A$1,0,0,COUNTA([2]quests!$A:$A),MATCH(C$1,[2]quests!$1:$1,0)-MATCH($B$1,[2]quests!$1:$1,0)+1),MATCH(C$1,[2]quests!$1:$1,0)-MATCH($B$1,[2]quests!$1:$1,0)+1,FALSE)</f>
        <v>赤き竜の制裁</v>
      </c>
      <c r="D57" s="84" t="str">
        <f ca="1">VLOOKUP($B57,OFFSET([2]quests!$A$1,0,0,COUNTA([2]quests!$A:$A),MATCH(D$1,[2]quests!$1:$1,0)-MATCH($B$1,[2]quests!$1:$1,0)+1),MATCH(D$1,[2]quests!$1:$1,0)-MATCH($B$1,[2]quests!$1:$1,0)+1,FALSE)</f>
        <v>円卓2（マルチ専用）</v>
      </c>
      <c r="E57" s="87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【上級】赤き竜の制裁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円卓2（マルチ専用）</v>
      </c>
      <c r="H57" s="86">
        <v>0</v>
      </c>
      <c r="I57" s="96">
        <v>28</v>
      </c>
      <c r="J57" s="85" t="s">
        <v>192</v>
      </c>
      <c r="K57" s="92" t="str">
        <f>VLOOKUP(I57,[7]stage_hints!$A:$C,3,FALSE)</f>
        <v>ステータス情報は長押しで</v>
      </c>
      <c r="L57" s="93" t="str">
        <f>VLOOKUP(I57,[7]stage_hints!$A:$D,4,FALSE)</f>
        <v>ユニットのアイコンを長押しすると_x000D_ステータス情報を確認することができます</v>
      </c>
      <c r="M57" s="57" t="s">
        <v>205</v>
      </c>
    </row>
    <row r="58" spans="1:13" x14ac:dyDescent="0.15">
      <c r="A58" s="82" t="s">
        <v>195</v>
      </c>
      <c r="B58" s="83">
        <f>floors!$C$2</f>
        <v>30032</v>
      </c>
      <c r="C58" s="84" t="str">
        <f ca="1">VLOOKUP($B58,OFFSET([2]quests!$A$1,0,0,COUNTA([2]quests!$A:$A),MATCH(C$1,[2]quests!$1:$1,0)-MATCH($B$1,[2]quests!$1:$1,0)+1),MATCH(C$1,[2]quests!$1:$1,0)-MATCH($B$1,[2]quests!$1:$1,0)+1,FALSE)</f>
        <v>赤き竜の制裁</v>
      </c>
      <c r="D58" s="84" t="str">
        <f ca="1">VLOOKUP($B58,OFFSET([2]quests!$A$1,0,0,COUNTA([2]quests!$A:$A),MATCH(D$1,[2]quests!$1:$1,0)-MATCH($B$1,[2]quests!$1:$1,0)+1),MATCH(D$1,[2]quests!$1:$1,0)-MATCH($B$1,[2]quests!$1:$1,0)+1,FALSE)</f>
        <v>円卓2（マルチ専用）</v>
      </c>
      <c r="E58" s="87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【上級】赤き竜の制裁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円卓2（マルチ専用）</v>
      </c>
      <c r="H58" s="86">
        <v>0</v>
      </c>
      <c r="I58" s="96">
        <v>29</v>
      </c>
      <c r="J58" s="85" t="s">
        <v>192</v>
      </c>
      <c r="K58" s="92" t="str">
        <f>VLOOKUP(I58,[7]stage_hints!$A:$C,3,FALSE)</f>
        <v>「バグ」のメリット</v>
      </c>
      <c r="L58" s="93" t="str">
        <f>VLOOKUP(I58,[7]stage_hints!$A:$D,4,FALSE)</f>
        <v>ユニットの「バグ」を増やすと_x000D_報酬をもらえる確率がアップします</v>
      </c>
      <c r="M58" s="57" t="s">
        <v>205</v>
      </c>
    </row>
    <row r="59" spans="1:13" x14ac:dyDescent="0.15">
      <c r="A59" s="82" t="s">
        <v>195</v>
      </c>
      <c r="B59" s="83">
        <f>floors!$C$2</f>
        <v>30032</v>
      </c>
      <c r="C59" s="84" t="str">
        <f ca="1">VLOOKUP($B59,OFFSET([2]quests!$A$1,0,0,COUNTA([2]quests!$A:$A),MATCH(C$1,[2]quests!$1:$1,0)-MATCH($B$1,[2]quests!$1:$1,0)+1),MATCH(C$1,[2]quests!$1:$1,0)-MATCH($B$1,[2]quests!$1:$1,0)+1,FALSE)</f>
        <v>赤き竜の制裁</v>
      </c>
      <c r="D59" s="84" t="str">
        <f ca="1">VLOOKUP($B59,OFFSET([2]quests!$A$1,0,0,COUNTA([2]quests!$A:$A),MATCH(D$1,[2]quests!$1:$1,0)-MATCH($B$1,[2]quests!$1:$1,0)+1),MATCH(D$1,[2]quests!$1:$1,0)-MATCH($B$1,[2]quests!$1:$1,0)+1,FALSE)</f>
        <v>円卓2（マルチ専用）</v>
      </c>
      <c r="E59" s="87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【上級】赤き竜の制裁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円卓2（マルチ専用）</v>
      </c>
      <c r="H59" s="86">
        <v>0</v>
      </c>
      <c r="I59" s="96">
        <v>30</v>
      </c>
      <c r="J59" s="85" t="s">
        <v>192</v>
      </c>
      <c r="K59" s="92" t="str">
        <f>VLOOKUP(I59,[7]stage_hints!$A:$C,3,FALSE)</f>
        <v>「バグ」の増やし方</v>
      </c>
      <c r="L59" s="93" t="str">
        <f>VLOOKUP(I59,[7]stage_hints!$A:$D,4,FALSE)</f>
        <v>同じユニット同士を強化で合成すると_x000D_「バグ」を増やすことができます</v>
      </c>
      <c r="M59" s="57" t="s">
        <v>205</v>
      </c>
    </row>
    <row r="60" spans="1:13" x14ac:dyDescent="0.15">
      <c r="A60" s="82" t="s">
        <v>195</v>
      </c>
      <c r="B60" s="83">
        <f>floors!$C$2</f>
        <v>30032</v>
      </c>
      <c r="C60" s="84" t="str">
        <f ca="1">VLOOKUP($B60,OFFSET([2]quests!$A$1,0,0,COUNTA([2]quests!$A:$A),MATCH(C$1,[2]quests!$1:$1,0)-MATCH($B$1,[2]quests!$1:$1,0)+1),MATCH(C$1,[2]quests!$1:$1,0)-MATCH($B$1,[2]quests!$1:$1,0)+1,FALSE)</f>
        <v>赤き竜の制裁</v>
      </c>
      <c r="D60" s="84" t="str">
        <f ca="1">VLOOKUP($B60,OFFSET([2]quests!$A$1,0,0,COUNTA([2]quests!$A:$A),MATCH(D$1,[2]quests!$1:$1,0)-MATCH($B$1,[2]quests!$1:$1,0)+1),MATCH(D$1,[2]quests!$1:$1,0)-MATCH($B$1,[2]quests!$1:$1,0)+1,FALSE)</f>
        <v>円卓2（マルチ専用）</v>
      </c>
      <c r="E60" s="87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【上級】赤き竜の制裁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円卓2（マルチ専用）</v>
      </c>
      <c r="H60" s="86">
        <v>0</v>
      </c>
      <c r="I60" s="96">
        <v>31</v>
      </c>
      <c r="J60" s="85" t="s">
        <v>192</v>
      </c>
      <c r="K60" s="92" t="str">
        <f>VLOOKUP(I60,[7]stage_hints!$A:$C,3,FALSE)</f>
        <v>イベントはお知らせでチェック</v>
      </c>
      <c r="L60" s="93" t="str">
        <f>VLOOKUP(I60,[7]stage_hints!$A:$D,4,FALSE)</f>
        <v>イベント限定ユニットを取り忘れないように_x000D_お知らせをこまめにチェックしましょう</v>
      </c>
      <c r="M60" s="57" t="s">
        <v>205</v>
      </c>
    </row>
    <row r="61" spans="1:13" x14ac:dyDescent="0.15">
      <c r="A61" s="82" t="s">
        <v>195</v>
      </c>
      <c r="B61" s="83">
        <f>floors!$C$2</f>
        <v>30032</v>
      </c>
      <c r="C61" s="84" t="str">
        <f ca="1">VLOOKUP($B61,OFFSET([2]quests!$A$1,0,0,COUNTA([2]quests!$A:$A),MATCH(C$1,[2]quests!$1:$1,0)-MATCH($B$1,[2]quests!$1:$1,0)+1),MATCH(C$1,[2]quests!$1:$1,0)-MATCH($B$1,[2]quests!$1:$1,0)+1,FALSE)</f>
        <v>赤き竜の制裁</v>
      </c>
      <c r="D61" s="84" t="str">
        <f ca="1">VLOOKUP($B61,OFFSET([2]quests!$A$1,0,0,COUNTA([2]quests!$A:$A),MATCH(D$1,[2]quests!$1:$1,0)-MATCH($B$1,[2]quests!$1:$1,0)+1),MATCH(D$1,[2]quests!$1:$1,0)-MATCH($B$1,[2]quests!$1:$1,0)+1,FALSE)</f>
        <v>円卓2（マルチ専用）</v>
      </c>
      <c r="E61" s="87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【上級】赤き竜の制裁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円卓2（マルチ専用）</v>
      </c>
      <c r="H61" s="86">
        <v>0</v>
      </c>
      <c r="I61" s="96">
        <v>32</v>
      </c>
      <c r="J61" s="85" t="s">
        <v>192</v>
      </c>
      <c r="K61" s="92" t="str">
        <f>VLOOKUP(I61,[7]stage_hints!$A:$C,3,FALSE)</f>
        <v>敵の連続攻撃には</v>
      </c>
      <c r="L61" s="93" t="str">
        <f>VLOOKUP(I61,[7]stage_hints!$A:$D,4,FALSE)</f>
        <v>カウンタースキルを持つユニットがいれば_x000D_ダメージ回数分の反撃ができます</v>
      </c>
      <c r="M61" s="57" t="s">
        <v>205</v>
      </c>
    </row>
    <row r="62" spans="1:13" x14ac:dyDescent="0.15">
      <c r="A62" s="82" t="s">
        <v>195</v>
      </c>
      <c r="B62" s="83">
        <f>floors!$C$2</f>
        <v>30032</v>
      </c>
      <c r="C62" s="84" t="str">
        <f ca="1">VLOOKUP($B62,OFFSET([2]quests!$A$1,0,0,COUNTA([2]quests!$A:$A),MATCH(C$1,[2]quests!$1:$1,0)-MATCH($B$1,[2]quests!$1:$1,0)+1),MATCH(C$1,[2]quests!$1:$1,0)-MATCH($B$1,[2]quests!$1:$1,0)+1,FALSE)</f>
        <v>赤き竜の制裁</v>
      </c>
      <c r="D62" s="84" t="str">
        <f ca="1">VLOOKUP($B62,OFFSET([2]quests!$A$1,0,0,COUNTA([2]quests!$A:$A),MATCH(D$1,[2]quests!$1:$1,0)-MATCH($B$1,[2]quests!$1:$1,0)+1),MATCH(D$1,[2]quests!$1:$1,0)-MATCH($B$1,[2]quests!$1:$1,0)+1,FALSE)</f>
        <v>円卓2（マルチ専用）</v>
      </c>
      <c r="E62" s="87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【上級】赤き竜の制裁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円卓2（マルチ専用）</v>
      </c>
      <c r="H62" s="86">
        <v>0</v>
      </c>
      <c r="I62" s="96">
        <v>33</v>
      </c>
      <c r="J62" s="85" t="s">
        <v>192</v>
      </c>
      <c r="K62" s="92" t="str">
        <f>VLOOKUP(I62,[7]stage_hints!$A:$C,3,FALSE)</f>
        <v>敵のカウンター攻撃には</v>
      </c>
      <c r="L62" s="93" t="str">
        <f>VLOOKUP(I62,[7]stage_hints!$A:$D,4,FALSE)</f>
        <v>カウンターブレイクスキルを持っていれば_x000D_敵のカウンターを解除して攻撃ができます</v>
      </c>
      <c r="M62" s="57" t="s">
        <v>205</v>
      </c>
    </row>
    <row r="63" spans="1:13" x14ac:dyDescent="0.15">
      <c r="A63" s="82" t="s">
        <v>195</v>
      </c>
      <c r="B63" s="83">
        <f>floors!$C$2</f>
        <v>30032</v>
      </c>
      <c r="C63" s="84" t="str">
        <f ca="1">VLOOKUP($B63,OFFSET([2]quests!$A$1,0,0,COUNTA([2]quests!$A:$A),MATCH(C$1,[2]quests!$1:$1,0)-MATCH($B$1,[2]quests!$1:$1,0)+1),MATCH(C$1,[2]quests!$1:$1,0)-MATCH($B$1,[2]quests!$1:$1,0)+1,FALSE)</f>
        <v>赤き竜の制裁</v>
      </c>
      <c r="D63" s="84" t="str">
        <f ca="1">VLOOKUP($B63,OFFSET([2]quests!$A$1,0,0,COUNTA([2]quests!$A:$A),MATCH(D$1,[2]quests!$1:$1,0)-MATCH($B$1,[2]quests!$1:$1,0)+1),MATCH(D$1,[2]quests!$1:$1,0)-MATCH($B$1,[2]quests!$1:$1,0)+1,FALSE)</f>
        <v>円卓2（マルチ専用）</v>
      </c>
      <c r="E63" s="87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【上級】赤き竜の制裁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円卓2（マルチ専用）</v>
      </c>
      <c r="H63" s="86">
        <v>0</v>
      </c>
      <c r="I63" s="96">
        <v>34</v>
      </c>
      <c r="J63" s="85" t="s">
        <v>192</v>
      </c>
      <c r="K63" s="92" t="str">
        <f>VLOOKUP(I63,[7]stage_hints!$A:$C,3,FALSE)</f>
        <v>ステータスをスキルで下げられたら</v>
      </c>
      <c r="L63" s="93" t="str">
        <f>VLOOKUP(I63,[7]stage_hints!$A:$D,4,FALSE)</f>
        <v>ステータスダウンのスキルを受けたら_x000D_ステータスアップスキルで上書きしましょう</v>
      </c>
      <c r="M63" s="57" t="s">
        <v>205</v>
      </c>
    </row>
    <row r="64" spans="1:13" x14ac:dyDescent="0.15">
      <c r="A64" s="82" t="s">
        <v>195</v>
      </c>
      <c r="B64" s="83">
        <f>floors!$C$2</f>
        <v>30032</v>
      </c>
      <c r="C64" s="84" t="str">
        <f ca="1">VLOOKUP($B64,OFFSET([2]quests!$A$1,0,0,COUNTA([2]quests!$A:$A),MATCH(C$1,[2]quests!$1:$1,0)-MATCH($B$1,[2]quests!$1:$1,0)+1),MATCH(C$1,[2]quests!$1:$1,0)-MATCH($B$1,[2]quests!$1:$1,0)+1,FALSE)</f>
        <v>赤き竜の制裁</v>
      </c>
      <c r="D64" s="84" t="str">
        <f ca="1">VLOOKUP($B64,OFFSET([2]quests!$A$1,0,0,COUNTA([2]quests!$A:$A),MATCH(D$1,[2]quests!$1:$1,0)-MATCH($B$1,[2]quests!$1:$1,0)+1),MATCH(D$1,[2]quests!$1:$1,0)-MATCH($B$1,[2]quests!$1:$1,0)+1,FALSE)</f>
        <v>円卓2（マルチ専用）</v>
      </c>
      <c r="E64" s="87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【上級】赤き竜の制裁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円卓2（マルチ専用）</v>
      </c>
      <c r="H64" s="86">
        <v>0</v>
      </c>
      <c r="I64" s="96">
        <v>35</v>
      </c>
      <c r="J64" s="85" t="s">
        <v>192</v>
      </c>
      <c r="K64" s="92" t="str">
        <f>VLOOKUP(I64,[7]stage_hints!$A:$C,3,FALSE)</f>
        <v>敵のステータスがスキルで上がったら</v>
      </c>
      <c r="L64" s="93" t="str">
        <f>VLOOKUP(I64,[7]stage_hints!$A:$D,4,FALSE)</f>
        <v>敵のステータスがスキルでアップしたときは_x000D_ステータスダウンスキルで上書きしましょう</v>
      </c>
      <c r="M64" s="57" t="s">
        <v>205</v>
      </c>
    </row>
    <row r="65" spans="1:13" x14ac:dyDescent="0.15">
      <c r="A65" s="82" t="s">
        <v>195</v>
      </c>
      <c r="B65" s="83">
        <f>floors!$C$2</f>
        <v>30032</v>
      </c>
      <c r="C65" s="84" t="str">
        <f ca="1">VLOOKUP($B65,OFFSET([2]quests!$A$1,0,0,COUNTA([2]quests!$A:$A),MATCH(C$1,[2]quests!$1:$1,0)-MATCH($B$1,[2]quests!$1:$1,0)+1),MATCH(C$1,[2]quests!$1:$1,0)-MATCH($B$1,[2]quests!$1:$1,0)+1,FALSE)</f>
        <v>赤き竜の制裁</v>
      </c>
      <c r="D65" s="84" t="str">
        <f ca="1">VLOOKUP($B65,OFFSET([2]quests!$A$1,0,0,COUNTA([2]quests!$A:$A),MATCH(D$1,[2]quests!$1:$1,0)-MATCH($B$1,[2]quests!$1:$1,0)+1),MATCH(D$1,[2]quests!$1:$1,0)-MATCH($B$1,[2]quests!$1:$1,0)+1,FALSE)</f>
        <v>円卓2（マルチ専用）</v>
      </c>
      <c r="E65" s="87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【上級】赤き竜の制裁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円卓2（マルチ専用）</v>
      </c>
      <c r="H65" s="86">
        <v>0</v>
      </c>
      <c r="I65" s="96">
        <v>36</v>
      </c>
      <c r="J65" s="85" t="s">
        <v>192</v>
      </c>
      <c r="K65" s="92" t="str">
        <f>VLOOKUP(I65,[7]stage_hints!$A:$C,3,FALSE)</f>
        <v>タワーオブザクイーンのボス</v>
      </c>
      <c r="L65" s="93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205</v>
      </c>
    </row>
    <row r="66" spans="1:13" x14ac:dyDescent="0.15">
      <c r="A66" s="82" t="s">
        <v>195</v>
      </c>
      <c r="B66" s="83">
        <f>floors!$C$2</f>
        <v>30032</v>
      </c>
      <c r="C66" s="84" t="str">
        <f ca="1">VLOOKUP($B66,OFFSET([2]quests!$A$1,0,0,COUNTA([2]quests!$A:$A),MATCH(C$1,[2]quests!$1:$1,0)-MATCH($B$1,[2]quests!$1:$1,0)+1),MATCH(C$1,[2]quests!$1:$1,0)-MATCH($B$1,[2]quests!$1:$1,0)+1,FALSE)</f>
        <v>赤き竜の制裁</v>
      </c>
      <c r="D66" s="84" t="str">
        <f ca="1">VLOOKUP($B66,OFFSET([2]quests!$A$1,0,0,COUNTA([2]quests!$A:$A),MATCH(D$1,[2]quests!$1:$1,0)-MATCH($B$1,[2]quests!$1:$1,0)+1),MATCH(D$1,[2]quests!$1:$1,0)-MATCH($B$1,[2]quests!$1:$1,0)+1,FALSE)</f>
        <v>円卓2（マルチ専用）</v>
      </c>
      <c r="E66" s="87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【上級】赤き竜の制裁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円卓2（マルチ専用）</v>
      </c>
      <c r="H66" s="86">
        <v>0</v>
      </c>
      <c r="I66" s="96">
        <v>37</v>
      </c>
      <c r="J66" s="85" t="s">
        <v>192</v>
      </c>
      <c r="K66" s="92" t="str">
        <f>VLOOKUP(I66,[7]stage_hints!$A:$C,3,FALSE)</f>
        <v>限界突破値の引き継ぎ</v>
      </c>
      <c r="L66" s="93" t="str">
        <f>VLOOKUP(I66,[7]stage_hints!$A:$D,4,FALSE)</f>
        <v>同じユニットを強化で合成すると_x000D_限界突破値を引き継げます（覚醒前後も可）</v>
      </c>
      <c r="M66" s="57" t="s">
        <v>205</v>
      </c>
    </row>
    <row r="67" spans="1:13" x14ac:dyDescent="0.15">
      <c r="A67" s="82" t="s">
        <v>195</v>
      </c>
      <c r="B67" s="83">
        <f>floors!$C$2</f>
        <v>30032</v>
      </c>
      <c r="C67" s="84" t="str">
        <f ca="1">VLOOKUP($B67,OFFSET([2]quests!$A$1,0,0,COUNTA([2]quests!$A:$A),MATCH(C$1,[2]quests!$1:$1,0)-MATCH($B$1,[2]quests!$1:$1,0)+1),MATCH(C$1,[2]quests!$1:$1,0)-MATCH($B$1,[2]quests!$1:$1,0)+1,FALSE)</f>
        <v>赤き竜の制裁</v>
      </c>
      <c r="D67" s="84" t="str">
        <f ca="1">VLOOKUP($B67,OFFSET([2]quests!$A$1,0,0,COUNTA([2]quests!$A:$A),MATCH(D$1,[2]quests!$1:$1,0)-MATCH($B$1,[2]quests!$1:$1,0)+1),MATCH(D$1,[2]quests!$1:$1,0)-MATCH($B$1,[2]quests!$1:$1,0)+1,FALSE)</f>
        <v>円卓2（マルチ専用）</v>
      </c>
      <c r="E67" s="87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【上級】赤き竜の制裁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円卓2（マルチ専用）</v>
      </c>
      <c r="H67" s="86">
        <v>0</v>
      </c>
      <c r="I67" s="96">
        <v>39</v>
      </c>
      <c r="J67" s="85" t="s">
        <v>192</v>
      </c>
      <c r="K67" s="92" t="str">
        <f>VLOOKUP(I67,[7]stage_hints!$A:$C,3,FALSE)</f>
        <v>システム適合者を確認</v>
      </c>
      <c r="L67" s="93" t="str">
        <f>VLOOKUP(I67,[7]stage_hints!$A:$D,4,FALSE)</f>
        <v>ALICEが 「アナタ」を呼んでいます</v>
      </c>
      <c r="M67" s="57" t="s">
        <v>205</v>
      </c>
    </row>
    <row r="68" spans="1:13" x14ac:dyDescent="0.15">
      <c r="A68" s="82" t="s">
        <v>195</v>
      </c>
      <c r="B68" s="83">
        <f>floors!$C$2</f>
        <v>30032</v>
      </c>
      <c r="C68" s="84" t="str">
        <f ca="1">VLOOKUP($B68,OFFSET([2]quests!$A$1,0,0,COUNTA([2]quests!$A:$A),MATCH(C$1,[2]quests!$1:$1,0)-MATCH($B$1,[2]quests!$1:$1,0)+1),MATCH(C$1,[2]quests!$1:$1,0)-MATCH($B$1,[2]quests!$1:$1,0)+1,FALSE)</f>
        <v>赤き竜の制裁</v>
      </c>
      <c r="D68" s="84" t="str">
        <f ca="1">VLOOKUP($B68,OFFSET([2]quests!$A$1,0,0,COUNTA([2]quests!$A:$A),MATCH(D$1,[2]quests!$1:$1,0)-MATCH($B$1,[2]quests!$1:$1,0)+1),MATCH(D$1,[2]quests!$1:$1,0)-MATCH($B$1,[2]quests!$1:$1,0)+1,FALSE)</f>
        <v>円卓2（マルチ専用）</v>
      </c>
      <c r="E68" s="87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【超級】赤き竜の制裁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円卓2（マルチ専用）</v>
      </c>
      <c r="H68" s="86">
        <v>0</v>
      </c>
      <c r="I68">
        <v>12</v>
      </c>
      <c r="J68" s="85" t="s">
        <v>192</v>
      </c>
      <c r="K68" s="92" t="str">
        <f>VLOOKUP(I68,[7]stage_hints!$A:$C,3,FALSE)</f>
        <v>ユニットのお気に入り登録</v>
      </c>
      <c r="L68" s="93" t="str">
        <f>VLOOKUP(I68,[7]stage_hints!$A:$D,4,FALSE)</f>
        <v>大事なユニットを誤って消さないように_x000D_フォルダから「お気に入り登録」しましょう</v>
      </c>
      <c r="M68" s="57" t="s">
        <v>205</v>
      </c>
    </row>
    <row r="69" spans="1:13" x14ac:dyDescent="0.15">
      <c r="A69" s="82" t="s">
        <v>195</v>
      </c>
      <c r="B69" s="83">
        <f>floors!$C$2</f>
        <v>30032</v>
      </c>
      <c r="C69" s="84" t="str">
        <f ca="1">VLOOKUP($B69,OFFSET([2]quests!$A$1,0,0,COUNTA([2]quests!$A:$A),MATCH(C$1,[2]quests!$1:$1,0)-MATCH($B$1,[2]quests!$1:$1,0)+1),MATCH(C$1,[2]quests!$1:$1,0)-MATCH($B$1,[2]quests!$1:$1,0)+1,FALSE)</f>
        <v>赤き竜の制裁</v>
      </c>
      <c r="D69" s="84" t="str">
        <f ca="1">VLOOKUP($B69,OFFSET([2]quests!$A$1,0,0,COUNTA([2]quests!$A:$A),MATCH(D$1,[2]quests!$1:$1,0)-MATCH($B$1,[2]quests!$1:$1,0)+1),MATCH(D$1,[2]quests!$1:$1,0)-MATCH($B$1,[2]quests!$1:$1,0)+1,FALSE)</f>
        <v>円卓2（マルチ専用）</v>
      </c>
      <c r="E69" s="87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【超級】赤き竜の制裁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円卓2（マルチ専用）</v>
      </c>
      <c r="H69" s="86">
        <v>0</v>
      </c>
      <c r="I69">
        <v>17</v>
      </c>
      <c r="J69" s="85" t="s">
        <v>192</v>
      </c>
      <c r="K69" s="92" t="str">
        <f>VLOOKUP(I69,[7]stage_hints!$A:$C,3,FALSE)</f>
        <v>リンクガチャ</v>
      </c>
      <c r="L69" s="93" t="str">
        <f>VLOOKUP(I69,[7]stage_hints!$A:$D,4,FALSE)</f>
        <v>無料のリンクガチャを回して_x000D_経験値素材や売却素材を獲得しましょう</v>
      </c>
      <c r="M69" s="57" t="s">
        <v>205</v>
      </c>
    </row>
    <row r="70" spans="1:13" x14ac:dyDescent="0.15">
      <c r="A70" s="82" t="s">
        <v>195</v>
      </c>
      <c r="B70" s="83">
        <f>floors!$C$2</f>
        <v>30032</v>
      </c>
      <c r="C70" s="84" t="str">
        <f ca="1">VLOOKUP($B70,OFFSET([2]quests!$A$1,0,0,COUNTA([2]quests!$A:$A),MATCH(C$1,[2]quests!$1:$1,0)-MATCH($B$1,[2]quests!$1:$1,0)+1),MATCH(C$1,[2]quests!$1:$1,0)-MATCH($B$1,[2]quests!$1:$1,0)+1,FALSE)</f>
        <v>赤き竜の制裁</v>
      </c>
      <c r="D70" s="84" t="str">
        <f ca="1">VLOOKUP($B70,OFFSET([2]quests!$A$1,0,0,COUNTA([2]quests!$A:$A),MATCH(D$1,[2]quests!$1:$1,0)-MATCH($B$1,[2]quests!$1:$1,0)+1),MATCH(D$1,[2]quests!$1:$1,0)-MATCH($B$1,[2]quests!$1:$1,0)+1,FALSE)</f>
        <v>円卓2（マルチ専用）</v>
      </c>
      <c r="E70" s="87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【超級】赤き竜の制裁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円卓2（マルチ専用）</v>
      </c>
      <c r="H70" s="86">
        <v>0</v>
      </c>
      <c r="I70">
        <v>19</v>
      </c>
      <c r="J70" s="85" t="s">
        <v>192</v>
      </c>
      <c r="K70" s="92" t="str">
        <f>VLOOKUP(I70,[7]stage_hints!$A:$C,3,FALSE)</f>
        <v>ソロ専用タワーオブザクイーン</v>
      </c>
      <c r="L70" s="93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205</v>
      </c>
    </row>
    <row r="71" spans="1:13" x14ac:dyDescent="0.15">
      <c r="A71" s="82" t="s">
        <v>195</v>
      </c>
      <c r="B71" s="83">
        <f>floors!$C$2</f>
        <v>30032</v>
      </c>
      <c r="C71" s="84" t="str">
        <f ca="1">VLOOKUP($B71,OFFSET([2]quests!$A$1,0,0,COUNTA([2]quests!$A:$A),MATCH(C$1,[2]quests!$1:$1,0)-MATCH($B$1,[2]quests!$1:$1,0)+1),MATCH(C$1,[2]quests!$1:$1,0)-MATCH($B$1,[2]quests!$1:$1,0)+1,FALSE)</f>
        <v>赤き竜の制裁</v>
      </c>
      <c r="D71" s="84" t="str">
        <f ca="1">VLOOKUP($B71,OFFSET([2]quests!$A$1,0,0,COUNTA([2]quests!$A:$A),MATCH(D$1,[2]quests!$1:$1,0)-MATCH($B$1,[2]quests!$1:$1,0)+1),MATCH(D$1,[2]quests!$1:$1,0)-MATCH($B$1,[2]quests!$1:$1,0)+1,FALSE)</f>
        <v>円卓2（マルチ専用）</v>
      </c>
      <c r="E71" s="87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【超級】赤き竜の制裁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円卓2（マルチ専用）</v>
      </c>
      <c r="H71" s="86">
        <v>0</v>
      </c>
      <c r="I71">
        <v>21</v>
      </c>
      <c r="J71" s="85" t="s">
        <v>192</v>
      </c>
      <c r="K71" s="92" t="str">
        <f>VLOOKUP(I71,[7]stage_hints!$A:$C,3,FALSE)</f>
        <v>スキルを有効に</v>
      </c>
      <c r="L71" s="93" t="str">
        <f>VLOOKUP(I71,[7]stage_hints!$A:$D,4,FALSE)</f>
        <v>ターン経過でユニットのスキルが使えます_x000D_強力スキルでバトルを有利に進めましょう</v>
      </c>
      <c r="M71" s="57" t="s">
        <v>205</v>
      </c>
    </row>
    <row r="72" spans="1:13" x14ac:dyDescent="0.15">
      <c r="A72" s="82" t="s">
        <v>195</v>
      </c>
      <c r="B72" s="83">
        <f>floors!$C$2</f>
        <v>30032</v>
      </c>
      <c r="C72" s="84" t="str">
        <f ca="1">VLOOKUP($B72,OFFSET([2]quests!$A$1,0,0,COUNTA([2]quests!$A:$A),MATCH(C$1,[2]quests!$1:$1,0)-MATCH($B$1,[2]quests!$1:$1,0)+1),MATCH(C$1,[2]quests!$1:$1,0)-MATCH($B$1,[2]quests!$1:$1,0)+1,FALSE)</f>
        <v>赤き竜の制裁</v>
      </c>
      <c r="D72" s="84" t="str">
        <f ca="1">VLOOKUP($B72,OFFSET([2]quests!$A$1,0,0,COUNTA([2]quests!$A:$A),MATCH(D$1,[2]quests!$1:$1,0)-MATCH($B$1,[2]quests!$1:$1,0)+1),MATCH(D$1,[2]quests!$1:$1,0)-MATCH($B$1,[2]quests!$1:$1,0)+1,FALSE)</f>
        <v>円卓2（マルチ専用）</v>
      </c>
      <c r="E72" s="87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【超級】赤き竜の制裁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円卓2（マルチ専用）</v>
      </c>
      <c r="H72" s="86">
        <v>0</v>
      </c>
      <c r="I72">
        <v>27</v>
      </c>
      <c r="J72" s="85" t="s">
        <v>192</v>
      </c>
      <c r="K72" s="92" t="str">
        <f>VLOOKUP(I72,[7]stage_hints!$A:$C,3,FALSE)</f>
        <v>ホーム画面からデッキを編成</v>
      </c>
      <c r="L72" s="93" t="str">
        <f>VLOOKUP(I72,[7]stage_hints!$A:$D,4,FALSE)</f>
        <v>ホーム画面でユニットを長押しすると_x000D_すぐにパーティ編成に移動できます</v>
      </c>
      <c r="M72" s="57" t="s">
        <v>205</v>
      </c>
    </row>
    <row r="73" spans="1:13" x14ac:dyDescent="0.15">
      <c r="A73" s="82" t="s">
        <v>195</v>
      </c>
      <c r="B73" s="83">
        <f>floors!$C$2</f>
        <v>30032</v>
      </c>
      <c r="C73" s="84" t="str">
        <f ca="1">VLOOKUP($B73,OFFSET([2]quests!$A$1,0,0,COUNTA([2]quests!$A:$A),MATCH(C$1,[2]quests!$1:$1,0)-MATCH($B$1,[2]quests!$1:$1,0)+1),MATCH(C$1,[2]quests!$1:$1,0)-MATCH($B$1,[2]quests!$1:$1,0)+1,FALSE)</f>
        <v>赤き竜の制裁</v>
      </c>
      <c r="D73" s="84" t="str">
        <f ca="1">VLOOKUP($B73,OFFSET([2]quests!$A$1,0,0,COUNTA([2]quests!$A:$A),MATCH(D$1,[2]quests!$1:$1,0)-MATCH($B$1,[2]quests!$1:$1,0)+1),MATCH(D$1,[2]quests!$1:$1,0)-MATCH($B$1,[2]quests!$1:$1,0)+1,FALSE)</f>
        <v>円卓2（マルチ専用）</v>
      </c>
      <c r="E73" s="87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【超級】赤き竜の制裁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円卓2（マルチ専用）</v>
      </c>
      <c r="H73" s="86">
        <v>0</v>
      </c>
      <c r="I73">
        <v>28</v>
      </c>
      <c r="J73" s="85" t="s">
        <v>192</v>
      </c>
      <c r="K73" s="92" t="str">
        <f>VLOOKUP(I73,[7]stage_hints!$A:$C,3,FALSE)</f>
        <v>ステータス情報は長押しで</v>
      </c>
      <c r="L73" s="93" t="str">
        <f>VLOOKUP(I73,[7]stage_hints!$A:$D,4,FALSE)</f>
        <v>ユニットのアイコンを長押しすると_x000D_ステータス情報を確認することができます</v>
      </c>
      <c r="M73" s="57" t="s">
        <v>205</v>
      </c>
    </row>
    <row r="74" spans="1:13" x14ac:dyDescent="0.15">
      <c r="A74" s="82" t="s">
        <v>195</v>
      </c>
      <c r="B74" s="83">
        <f>floors!$C$2</f>
        <v>30032</v>
      </c>
      <c r="C74" s="84" t="str">
        <f ca="1">VLOOKUP($B74,OFFSET([2]quests!$A$1,0,0,COUNTA([2]quests!$A:$A),MATCH(C$1,[2]quests!$1:$1,0)-MATCH($B$1,[2]quests!$1:$1,0)+1),MATCH(C$1,[2]quests!$1:$1,0)-MATCH($B$1,[2]quests!$1:$1,0)+1,FALSE)</f>
        <v>赤き竜の制裁</v>
      </c>
      <c r="D74" s="84" t="str">
        <f ca="1">VLOOKUP($B74,OFFSET([2]quests!$A$1,0,0,COUNTA([2]quests!$A:$A),MATCH(D$1,[2]quests!$1:$1,0)-MATCH($B$1,[2]quests!$1:$1,0)+1),MATCH(D$1,[2]quests!$1:$1,0)-MATCH($B$1,[2]quests!$1:$1,0)+1,FALSE)</f>
        <v>円卓2（マルチ専用）</v>
      </c>
      <c r="E74" s="87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【超級】赤き竜の制裁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円卓2（マルチ専用）</v>
      </c>
      <c r="H74" s="86">
        <v>0</v>
      </c>
      <c r="I74">
        <v>29</v>
      </c>
      <c r="J74" s="85" t="s">
        <v>192</v>
      </c>
      <c r="K74" s="92" t="str">
        <f>VLOOKUP(I74,[7]stage_hints!$A:$C,3,FALSE)</f>
        <v>「バグ」のメリット</v>
      </c>
      <c r="L74" s="93" t="str">
        <f>VLOOKUP(I74,[7]stage_hints!$A:$D,4,FALSE)</f>
        <v>ユニットの「バグ」を増やすと_x000D_報酬をもらえる確率がアップします</v>
      </c>
      <c r="M74" s="57" t="s">
        <v>205</v>
      </c>
    </row>
    <row r="75" spans="1:13" x14ac:dyDescent="0.15">
      <c r="A75" s="82" t="s">
        <v>195</v>
      </c>
      <c r="B75" s="83">
        <f>floors!$C$2</f>
        <v>30032</v>
      </c>
      <c r="C75" s="84" t="str">
        <f ca="1">VLOOKUP($B75,OFFSET([2]quests!$A$1,0,0,COUNTA([2]quests!$A:$A),MATCH(C$1,[2]quests!$1:$1,0)-MATCH($B$1,[2]quests!$1:$1,0)+1),MATCH(C$1,[2]quests!$1:$1,0)-MATCH($B$1,[2]quests!$1:$1,0)+1,FALSE)</f>
        <v>赤き竜の制裁</v>
      </c>
      <c r="D75" s="84" t="str">
        <f ca="1">VLOOKUP($B75,OFFSET([2]quests!$A$1,0,0,COUNTA([2]quests!$A:$A),MATCH(D$1,[2]quests!$1:$1,0)-MATCH($B$1,[2]quests!$1:$1,0)+1),MATCH(D$1,[2]quests!$1:$1,0)-MATCH($B$1,[2]quests!$1:$1,0)+1,FALSE)</f>
        <v>円卓2（マルチ専用）</v>
      </c>
      <c r="E75" s="87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【超級】赤き竜の制裁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円卓2（マルチ専用）</v>
      </c>
      <c r="H75" s="86">
        <v>0</v>
      </c>
      <c r="I75">
        <v>30</v>
      </c>
      <c r="J75" s="85" t="s">
        <v>192</v>
      </c>
      <c r="K75" s="92" t="str">
        <f>VLOOKUP(I75,[7]stage_hints!$A:$C,3,FALSE)</f>
        <v>「バグ」の増やし方</v>
      </c>
      <c r="L75" s="93" t="str">
        <f>VLOOKUP(I75,[7]stage_hints!$A:$D,4,FALSE)</f>
        <v>同じユニット同士を強化で合成すると_x000D_「バグ」を増やすことができます</v>
      </c>
      <c r="M75" s="57" t="s">
        <v>205</v>
      </c>
    </row>
    <row r="76" spans="1:13" x14ac:dyDescent="0.15">
      <c r="A76" s="82" t="s">
        <v>195</v>
      </c>
      <c r="B76" s="83">
        <f>floors!$C$2</f>
        <v>30032</v>
      </c>
      <c r="C76" s="84" t="str">
        <f ca="1">VLOOKUP($B76,OFFSET([2]quests!$A$1,0,0,COUNTA([2]quests!$A:$A),MATCH(C$1,[2]quests!$1:$1,0)-MATCH($B$1,[2]quests!$1:$1,0)+1),MATCH(C$1,[2]quests!$1:$1,0)-MATCH($B$1,[2]quests!$1:$1,0)+1,FALSE)</f>
        <v>赤き竜の制裁</v>
      </c>
      <c r="D76" s="84" t="str">
        <f ca="1">VLOOKUP($B76,OFFSET([2]quests!$A$1,0,0,COUNTA([2]quests!$A:$A),MATCH(D$1,[2]quests!$1:$1,0)-MATCH($B$1,[2]quests!$1:$1,0)+1),MATCH(D$1,[2]quests!$1:$1,0)-MATCH($B$1,[2]quests!$1:$1,0)+1,FALSE)</f>
        <v>円卓2（マルチ専用）</v>
      </c>
      <c r="E76" s="87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【超級】赤き竜の制裁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円卓2（マルチ専用）</v>
      </c>
      <c r="H76" s="86">
        <v>0</v>
      </c>
      <c r="I76">
        <v>32</v>
      </c>
      <c r="J76" s="85" t="s">
        <v>192</v>
      </c>
      <c r="K76" s="92" t="str">
        <f>VLOOKUP(I76,[7]stage_hints!$A:$C,3,FALSE)</f>
        <v>敵の連続攻撃には</v>
      </c>
      <c r="L76" s="93" t="str">
        <f>VLOOKUP(I76,[7]stage_hints!$A:$D,4,FALSE)</f>
        <v>カウンタースキルを持つユニットがいれば_x000D_ダメージ回数分の反撃ができます</v>
      </c>
      <c r="M76" s="57" t="s">
        <v>205</v>
      </c>
    </row>
    <row r="77" spans="1:13" x14ac:dyDescent="0.15">
      <c r="A77" s="82" t="s">
        <v>195</v>
      </c>
      <c r="B77" s="83">
        <f>floors!$C$2</f>
        <v>30032</v>
      </c>
      <c r="C77" s="84" t="str">
        <f ca="1">VLOOKUP($B77,OFFSET([2]quests!$A$1,0,0,COUNTA([2]quests!$A:$A),MATCH(C$1,[2]quests!$1:$1,0)-MATCH($B$1,[2]quests!$1:$1,0)+1),MATCH(C$1,[2]quests!$1:$1,0)-MATCH($B$1,[2]quests!$1:$1,0)+1,FALSE)</f>
        <v>赤き竜の制裁</v>
      </c>
      <c r="D77" s="84" t="str">
        <f ca="1">VLOOKUP($B77,OFFSET([2]quests!$A$1,0,0,COUNTA([2]quests!$A:$A),MATCH(D$1,[2]quests!$1:$1,0)-MATCH($B$1,[2]quests!$1:$1,0)+1),MATCH(D$1,[2]quests!$1:$1,0)-MATCH($B$1,[2]quests!$1:$1,0)+1,FALSE)</f>
        <v>円卓2（マルチ専用）</v>
      </c>
      <c r="E77" s="87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【超級】赤き竜の制裁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円卓2（マルチ専用）</v>
      </c>
      <c r="H77" s="86">
        <v>0</v>
      </c>
      <c r="I77">
        <v>33</v>
      </c>
      <c r="J77" s="85" t="s">
        <v>192</v>
      </c>
      <c r="K77" s="92" t="str">
        <f>VLOOKUP(I77,[7]stage_hints!$A:$C,3,FALSE)</f>
        <v>敵のカウンター攻撃には</v>
      </c>
      <c r="L77" s="93" t="str">
        <f>VLOOKUP(I77,[7]stage_hints!$A:$D,4,FALSE)</f>
        <v>カウンターブレイクスキルを持っていれば_x000D_敵のカウンターを解除して攻撃ができます</v>
      </c>
      <c r="M77" s="57" t="s">
        <v>205</v>
      </c>
    </row>
    <row r="78" spans="1:13" x14ac:dyDescent="0.15">
      <c r="A78" s="82" t="s">
        <v>195</v>
      </c>
      <c r="B78" s="83">
        <f>floors!$C$2</f>
        <v>30032</v>
      </c>
      <c r="C78" s="84" t="str">
        <f ca="1">VLOOKUP($B78,OFFSET([2]quests!$A$1,0,0,COUNTA([2]quests!$A:$A),MATCH(C$1,[2]quests!$1:$1,0)-MATCH($B$1,[2]quests!$1:$1,0)+1),MATCH(C$1,[2]quests!$1:$1,0)-MATCH($B$1,[2]quests!$1:$1,0)+1,FALSE)</f>
        <v>赤き竜の制裁</v>
      </c>
      <c r="D78" s="84" t="str">
        <f ca="1">VLOOKUP($B78,OFFSET([2]quests!$A$1,0,0,COUNTA([2]quests!$A:$A),MATCH(D$1,[2]quests!$1:$1,0)-MATCH($B$1,[2]quests!$1:$1,0)+1),MATCH(D$1,[2]quests!$1:$1,0)-MATCH($B$1,[2]quests!$1:$1,0)+1,FALSE)</f>
        <v>円卓2（マルチ専用）</v>
      </c>
      <c r="E78" s="87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【超級】赤き竜の制裁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円卓2（マルチ専用）</v>
      </c>
      <c r="H78" s="86">
        <v>0</v>
      </c>
      <c r="I78">
        <v>34</v>
      </c>
      <c r="J78" s="85" t="s">
        <v>192</v>
      </c>
      <c r="K78" s="92" t="str">
        <f>VLOOKUP(I78,[7]stage_hints!$A:$C,3,FALSE)</f>
        <v>ステータスをスキルで下げられたら</v>
      </c>
      <c r="L78" s="93" t="str">
        <f>VLOOKUP(I78,[7]stage_hints!$A:$D,4,FALSE)</f>
        <v>ステータスダウンのスキルを受けたら_x000D_ステータスアップスキルで上書きしましょう</v>
      </c>
      <c r="M78" s="57" t="s">
        <v>205</v>
      </c>
    </row>
    <row r="79" spans="1:13" x14ac:dyDescent="0.15">
      <c r="A79" s="82" t="s">
        <v>195</v>
      </c>
      <c r="B79" s="83">
        <f>floors!$C$2</f>
        <v>30032</v>
      </c>
      <c r="C79" s="84" t="str">
        <f ca="1">VLOOKUP($B79,OFFSET([2]quests!$A$1,0,0,COUNTA([2]quests!$A:$A),MATCH(C$1,[2]quests!$1:$1,0)-MATCH($B$1,[2]quests!$1:$1,0)+1),MATCH(C$1,[2]quests!$1:$1,0)-MATCH($B$1,[2]quests!$1:$1,0)+1,FALSE)</f>
        <v>赤き竜の制裁</v>
      </c>
      <c r="D79" s="84" t="str">
        <f ca="1">VLOOKUP($B79,OFFSET([2]quests!$A$1,0,0,COUNTA([2]quests!$A:$A),MATCH(D$1,[2]quests!$1:$1,0)-MATCH($B$1,[2]quests!$1:$1,0)+1),MATCH(D$1,[2]quests!$1:$1,0)-MATCH($B$1,[2]quests!$1:$1,0)+1,FALSE)</f>
        <v>円卓2（マルチ専用）</v>
      </c>
      <c r="E79" s="87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【超級】赤き竜の制裁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円卓2（マルチ専用）</v>
      </c>
      <c r="H79" s="86">
        <v>0</v>
      </c>
      <c r="I79">
        <v>35</v>
      </c>
      <c r="J79" s="85" t="s">
        <v>192</v>
      </c>
      <c r="K79" s="92" t="str">
        <f>VLOOKUP(I79,[7]stage_hints!$A:$C,3,FALSE)</f>
        <v>敵のステータスがスキルで上がったら</v>
      </c>
      <c r="L79" s="93" t="str">
        <f>VLOOKUP(I79,[7]stage_hints!$A:$D,4,FALSE)</f>
        <v>敵のステータスがスキルでアップしたときは_x000D_ステータスダウンスキルで上書きしましょう</v>
      </c>
      <c r="M79" s="57" t="s">
        <v>205</v>
      </c>
    </row>
    <row r="80" spans="1:13" x14ac:dyDescent="0.15">
      <c r="A80" s="82" t="s">
        <v>195</v>
      </c>
      <c r="B80" s="83">
        <f>floors!$C$2</f>
        <v>30032</v>
      </c>
      <c r="C80" s="84" t="str">
        <f ca="1">VLOOKUP($B80,OFFSET([2]quests!$A$1,0,0,COUNTA([2]quests!$A:$A),MATCH(C$1,[2]quests!$1:$1,0)-MATCH($B$1,[2]quests!$1:$1,0)+1),MATCH(C$1,[2]quests!$1:$1,0)-MATCH($B$1,[2]quests!$1:$1,0)+1,FALSE)</f>
        <v>赤き竜の制裁</v>
      </c>
      <c r="D80" s="84" t="str">
        <f ca="1">VLOOKUP($B80,OFFSET([2]quests!$A$1,0,0,COUNTA([2]quests!$A:$A),MATCH(D$1,[2]quests!$1:$1,0)-MATCH($B$1,[2]quests!$1:$1,0)+1),MATCH(D$1,[2]quests!$1:$1,0)-MATCH($B$1,[2]quests!$1:$1,0)+1,FALSE)</f>
        <v>円卓2（マルチ専用）</v>
      </c>
      <c r="E80" s="87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【超級】赤き竜の制裁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円卓2（マルチ専用）</v>
      </c>
      <c r="H80" s="86">
        <v>0</v>
      </c>
      <c r="I80">
        <v>36</v>
      </c>
      <c r="J80" s="85" t="s">
        <v>192</v>
      </c>
      <c r="K80" s="92" t="str">
        <f>VLOOKUP(I80,[7]stage_hints!$A:$C,3,FALSE)</f>
        <v>タワーオブザクイーンのボス</v>
      </c>
      <c r="L80" s="93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205</v>
      </c>
    </row>
    <row r="81" spans="1:13" x14ac:dyDescent="0.15">
      <c r="A81" s="82" t="s">
        <v>195</v>
      </c>
      <c r="B81" s="83">
        <f>floors!$C$2</f>
        <v>30032</v>
      </c>
      <c r="C81" s="84" t="str">
        <f ca="1">VLOOKUP($B81,OFFSET([2]quests!$A$1,0,0,COUNTA([2]quests!$A:$A),MATCH(C$1,[2]quests!$1:$1,0)-MATCH($B$1,[2]quests!$1:$1,0)+1),MATCH(C$1,[2]quests!$1:$1,0)-MATCH($B$1,[2]quests!$1:$1,0)+1,FALSE)</f>
        <v>赤き竜の制裁</v>
      </c>
      <c r="D81" s="84" t="str">
        <f ca="1">VLOOKUP($B81,OFFSET([2]quests!$A$1,0,0,COUNTA([2]quests!$A:$A),MATCH(D$1,[2]quests!$1:$1,0)-MATCH($B$1,[2]quests!$1:$1,0)+1),MATCH(D$1,[2]quests!$1:$1,0)-MATCH($B$1,[2]quests!$1:$1,0)+1,FALSE)</f>
        <v>円卓2（マルチ専用）</v>
      </c>
      <c r="E81" s="87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【超級】赤き竜の制裁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円卓2（マルチ専用）</v>
      </c>
      <c r="H81" s="86">
        <v>0</v>
      </c>
      <c r="I81">
        <v>37</v>
      </c>
      <c r="J81" s="85" t="s">
        <v>192</v>
      </c>
      <c r="K81" s="92" t="str">
        <f>VLOOKUP(I81,[7]stage_hints!$A:$C,3,FALSE)</f>
        <v>限界突破値の引き継ぎ</v>
      </c>
      <c r="L81" s="93" t="str">
        <f>VLOOKUP(I81,[7]stage_hints!$A:$D,4,FALSE)</f>
        <v>同じユニットを強化で合成すると_x000D_限界突破値を引き継げます（覚醒前後も可）</v>
      </c>
      <c r="M81" s="57" t="s">
        <v>205</v>
      </c>
    </row>
    <row r="82" spans="1:13" x14ac:dyDescent="0.15">
      <c r="A82" s="82" t="s">
        <v>195</v>
      </c>
      <c r="B82" s="83">
        <f>floors!$C$2</f>
        <v>30032</v>
      </c>
      <c r="C82" s="84" t="str">
        <f ca="1">VLOOKUP($B82,OFFSET([2]quests!$A$1,0,0,COUNTA([2]quests!$A:$A),MATCH(C$1,[2]quests!$1:$1,0)-MATCH($B$1,[2]quests!$1:$1,0)+1),MATCH(C$1,[2]quests!$1:$1,0)-MATCH($B$1,[2]quests!$1:$1,0)+1,FALSE)</f>
        <v>赤き竜の制裁</v>
      </c>
      <c r="D82" s="84" t="str">
        <f ca="1">VLOOKUP($B82,OFFSET([2]quests!$A$1,0,0,COUNTA([2]quests!$A:$A),MATCH(D$1,[2]quests!$1:$1,0)-MATCH($B$1,[2]quests!$1:$1,0)+1),MATCH(D$1,[2]quests!$1:$1,0)-MATCH($B$1,[2]quests!$1:$1,0)+1,FALSE)</f>
        <v>円卓2（マルチ専用）</v>
      </c>
      <c r="E82" s="87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【超級】赤き竜の制裁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円卓2（マルチ専用）</v>
      </c>
      <c r="H82" s="86">
        <v>0</v>
      </c>
      <c r="I82">
        <v>39</v>
      </c>
      <c r="J82" s="85" t="s">
        <v>192</v>
      </c>
      <c r="K82" s="92" t="str">
        <f>VLOOKUP(I82,[7]stage_hints!$A:$C,3,FALSE)</f>
        <v>システム適合者を確認</v>
      </c>
      <c r="L82" s="93" t="str">
        <f>VLOOKUP(I82,[7]stage_hints!$A:$D,4,FALSE)</f>
        <v>ALICEが 「アナタ」を呼んでいます</v>
      </c>
      <c r="M82" s="57" t="s">
        <v>205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K13" sqref="K13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15" customWidth="1"/>
    <col min="9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182</v>
      </c>
      <c r="B1" s="73" t="s">
        <v>150</v>
      </c>
      <c r="C1" s="78" t="s">
        <v>184</v>
      </c>
      <c r="D1" s="78" t="s">
        <v>33</v>
      </c>
      <c r="E1" s="73" t="s">
        <v>185</v>
      </c>
      <c r="F1" s="78" t="s">
        <v>18</v>
      </c>
      <c r="G1" s="78" t="s">
        <v>33</v>
      </c>
      <c r="H1" s="73" t="s">
        <v>187</v>
      </c>
      <c r="I1" s="89" t="s">
        <v>188</v>
      </c>
      <c r="J1" s="90" t="s">
        <v>189</v>
      </c>
      <c r="K1" s="80" t="s">
        <v>126</v>
      </c>
      <c r="L1" s="79" t="s">
        <v>181</v>
      </c>
      <c r="M1" s="91" t="s">
        <v>180</v>
      </c>
      <c r="N1" s="81" t="s">
        <v>190</v>
      </c>
    </row>
    <row r="2" spans="1:14" ht="56" x14ac:dyDescent="0.15">
      <c r="A2" s="183" t="s">
        <v>191</v>
      </c>
      <c r="B2" s="185">
        <v>30032</v>
      </c>
      <c r="C2" s="192" t="str">
        <f ca="1">VLOOKUP($B2,OFFSET([2]quests!$A$1,0,0,COUNTA([2]quests!$A:$A),MATCH(C$1,[2]quests!$1:$1,0)-MATCH($B$1,[2]quests!$1:$1,0)+1),MATCH(C$1,[2]quests!$1:$1,0)-MATCH($B$1,[2]quests!$1:$1,0)+1,FALSE)</f>
        <v>赤き竜の制裁</v>
      </c>
      <c r="D2" s="192" t="str">
        <f ca="1">VLOOKUP($B2,OFFSET([2]quests!$A$1,0,0,COUNTA([2]quests!$A:$A),MATCH(D$1,[2]quests!$1:$1,0)-MATCH($B$1,[2]quests!$1:$1,0)+1),MATCH(D$1,[2]quests!$1:$1,0)-MATCH($B$1,[2]quests!$1:$1,0)+1,FALSE)</f>
        <v>円卓2（マルチ専用）</v>
      </c>
      <c r="E2" s="187">
        <v>1</v>
      </c>
      <c r="F2" s="19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【中級】赤き竜の制裁</v>
      </c>
      <c r="G2" s="192" t="str">
        <f ca="1">VLOOKUP($B2&amp;"_"&amp;$E2,OFFSET([2]stages!$A$1,0,0,COUNTA([2]stages!$A:$A),MATCH(G$1,[2]stages!$2:$2,0)-MATCH("temp_stage",[2]stages!$2:$2,0)+1),MATCH(G$1,[2]stages!$2:$2,0)-MATCH("temp_stage",[2]stages!$2:$2,0)+1,FALSE)</f>
        <v>円卓2（マルチ専用）</v>
      </c>
      <c r="H2" s="184">
        <v>1</v>
      </c>
      <c r="I2" s="188">
        <f t="shared" ref="I2:I4" si="0">ROW()-1</f>
        <v>1</v>
      </c>
      <c r="J2" s="189" t="str">
        <f t="shared" ref="J2:J4" si="1">B2&amp;TEXT(I2,"00")</f>
        <v>3003201</v>
      </c>
      <c r="K2" s="187" t="s">
        <v>127</v>
      </c>
      <c r="L2" s="190" t="s">
        <v>193</v>
      </c>
      <c r="M2" s="196" t="s">
        <v>338</v>
      </c>
      <c r="N2" s="191" t="s">
        <v>194</v>
      </c>
    </row>
    <row r="3" spans="1:14" ht="70" x14ac:dyDescent="0.15">
      <c r="A3" s="183" t="s">
        <v>191</v>
      </c>
      <c r="B3" s="185">
        <v>30032</v>
      </c>
      <c r="C3" s="192" t="str">
        <f ca="1">VLOOKUP($B3,OFFSET([2]quests!$A$1,0,0,COUNTA([2]quests!$A:$A),MATCH(C$1,[2]quests!$1:$1,0)-MATCH($B$1,[2]quests!$1:$1,0)+1),MATCH(C$1,[2]quests!$1:$1,0)-MATCH($B$1,[2]quests!$1:$1,0)+1,FALSE)</f>
        <v>赤き竜の制裁</v>
      </c>
      <c r="D3" s="192" t="str">
        <f ca="1">VLOOKUP($B3,OFFSET([2]quests!$A$1,0,0,COUNTA([2]quests!$A:$A),MATCH(D$1,[2]quests!$1:$1,0)-MATCH($B$1,[2]quests!$1:$1,0)+1),MATCH(D$1,[2]quests!$1:$1,0)-MATCH($B$1,[2]quests!$1:$1,0)+1,FALSE)</f>
        <v>円卓2（マルチ専用）</v>
      </c>
      <c r="E3" s="187">
        <v>1</v>
      </c>
      <c r="F3" s="19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【中級】赤き竜の制裁</v>
      </c>
      <c r="G3" s="192" t="str">
        <f ca="1">VLOOKUP($B3&amp;"_"&amp;$E3,OFFSET([2]stages!$A$1,0,0,COUNTA([2]stages!$A:$A),MATCH(G$1,[2]stages!$2:$2,0)-MATCH("temp_stage",[2]stages!$2:$2,0)+1),MATCH(G$1,[2]stages!$2:$2,0)-MATCH("temp_stage",[2]stages!$2:$2,0)+1,FALSE)</f>
        <v>円卓2（マルチ専用）</v>
      </c>
      <c r="H3" s="184">
        <v>2</v>
      </c>
      <c r="I3" s="188">
        <f t="shared" si="0"/>
        <v>2</v>
      </c>
      <c r="J3" s="189" t="str">
        <f t="shared" si="1"/>
        <v>3003202</v>
      </c>
      <c r="K3" s="187" t="s">
        <v>127</v>
      </c>
      <c r="L3" s="190" t="s">
        <v>193</v>
      </c>
      <c r="M3" s="196" t="s">
        <v>339</v>
      </c>
      <c r="N3" s="191" t="s">
        <v>194</v>
      </c>
    </row>
    <row r="4" spans="1:14" x14ac:dyDescent="0.15">
      <c r="A4" s="183" t="s">
        <v>191</v>
      </c>
      <c r="B4" s="185">
        <v>30032</v>
      </c>
      <c r="C4" s="192" t="str">
        <f ca="1">VLOOKUP($B4,OFFSET([2]quests!$A$1,0,0,COUNTA([2]quests!$A:$A),MATCH(C$1,[2]quests!$1:$1,0)-MATCH($B$1,[2]quests!$1:$1,0)+1),MATCH(C$1,[2]quests!$1:$1,0)-MATCH($B$1,[2]quests!$1:$1,0)+1,FALSE)</f>
        <v>赤き竜の制裁</v>
      </c>
      <c r="D4" s="192" t="str">
        <f ca="1">VLOOKUP($B4,OFFSET([2]quests!$A$1,0,0,COUNTA([2]quests!$A:$A),MATCH(D$1,[2]quests!$1:$1,0)-MATCH($B$1,[2]quests!$1:$1,0)+1),MATCH(D$1,[2]quests!$1:$1,0)-MATCH($B$1,[2]quests!$1:$1,0)+1,FALSE)</f>
        <v>円卓2（マルチ専用）</v>
      </c>
      <c r="E4" s="187">
        <v>1</v>
      </c>
      <c r="F4" s="19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【中級】赤き竜の制裁</v>
      </c>
      <c r="G4" s="192" t="str">
        <f ca="1">VLOOKUP($B4&amp;"_"&amp;$E4,OFFSET([2]stages!$A$1,0,0,COUNTA([2]stages!$A:$A),MATCH(G$1,[2]stages!$2:$2,0)-MATCH("temp_stage",[2]stages!$2:$2,0)+1),MATCH(G$1,[2]stages!$2:$2,0)-MATCH("temp_stage",[2]stages!$2:$2,0)+1,FALSE)</f>
        <v>円卓2（マルチ専用）</v>
      </c>
      <c r="H4" s="184">
        <v>3</v>
      </c>
      <c r="I4" s="188">
        <f t="shared" si="0"/>
        <v>3</v>
      </c>
      <c r="J4" s="189" t="str">
        <f t="shared" si="1"/>
        <v>3003203</v>
      </c>
      <c r="K4" s="187" t="s">
        <v>127</v>
      </c>
      <c r="L4" s="190" t="s">
        <v>193</v>
      </c>
      <c r="M4" s="186" t="s">
        <v>311</v>
      </c>
      <c r="N4" s="191" t="s">
        <v>194</v>
      </c>
    </row>
    <row r="5" spans="1:14" ht="28" x14ac:dyDescent="0.15">
      <c r="A5" s="183" t="s">
        <v>191</v>
      </c>
      <c r="B5" s="185">
        <v>30032</v>
      </c>
      <c r="C5" s="192" t="str">
        <f ca="1">VLOOKUP($B5,OFFSET([2]quests!$A$1,0,0,COUNTA([2]quests!$A:$A),MATCH(C$1,[2]quests!$1:$1,0)-MATCH($B$1,[2]quests!$1:$1,0)+1),MATCH(C$1,[2]quests!$1:$1,0)-MATCH($B$1,[2]quests!$1:$1,0)+1,FALSE)</f>
        <v>赤き竜の制裁</v>
      </c>
      <c r="D5" s="192" t="str">
        <f ca="1">VLOOKUP($B5,OFFSET([2]quests!$A$1,0,0,COUNTA([2]quests!$A:$A),MATCH(D$1,[2]quests!$1:$1,0)-MATCH($B$1,[2]quests!$1:$1,0)+1),MATCH(D$1,[2]quests!$1:$1,0)-MATCH($B$1,[2]quests!$1:$1,0)+1,FALSE)</f>
        <v>円卓2（マルチ専用）</v>
      </c>
      <c r="E5" s="187">
        <v>1</v>
      </c>
      <c r="F5" s="19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【中級】赤き竜の制裁</v>
      </c>
      <c r="G5" s="192" t="str">
        <f ca="1">VLOOKUP($B5&amp;"_"&amp;$E5,OFFSET([2]stages!$A$1,0,0,COUNTA([2]stages!$A:$A),MATCH(G$1,[2]stages!$2:$2,0)-MATCH("temp_stage",[2]stages!$2:$2,0)+1),MATCH(G$1,[2]stages!$2:$2,0)-MATCH("temp_stage",[2]stages!$2:$2,0)+1,FALSE)</f>
        <v>円卓2（マルチ専用）</v>
      </c>
      <c r="H5" s="193">
        <v>4</v>
      </c>
      <c r="I5" s="188">
        <f>ROW()-1</f>
        <v>4</v>
      </c>
      <c r="J5" s="189" t="str">
        <f>B5&amp;TEXT(I5,"00")</f>
        <v>3003204</v>
      </c>
      <c r="K5" s="187" t="s">
        <v>192</v>
      </c>
      <c r="L5" s="190" t="s">
        <v>193</v>
      </c>
      <c r="M5" s="197" t="s">
        <v>342</v>
      </c>
      <c r="N5" s="191" t="s">
        <v>194</v>
      </c>
    </row>
    <row r="6" spans="1:14" ht="56" x14ac:dyDescent="0.15">
      <c r="A6" s="183" t="s">
        <v>191</v>
      </c>
      <c r="B6" s="185">
        <v>30032</v>
      </c>
      <c r="C6" s="192" t="str">
        <f ca="1">VLOOKUP($B6,OFFSET([2]quests!$A$1,0,0,COUNTA([2]quests!$A:$A),MATCH(C$1,[2]quests!$1:$1,0)-MATCH($B$1,[2]quests!$1:$1,0)+1),MATCH(C$1,[2]quests!$1:$1,0)-MATCH($B$1,[2]quests!$1:$1,0)+1,FALSE)</f>
        <v>赤き竜の制裁</v>
      </c>
      <c r="D6" s="192" t="str">
        <f ca="1">VLOOKUP($B6,OFFSET([2]quests!$A$1,0,0,COUNTA([2]quests!$A:$A),MATCH(D$1,[2]quests!$1:$1,0)-MATCH($B$1,[2]quests!$1:$1,0)+1),MATCH(D$1,[2]quests!$1:$1,0)-MATCH($B$1,[2]quests!$1:$1,0)+1,FALSE)</f>
        <v>円卓2（マルチ専用）</v>
      </c>
      <c r="E6" s="187">
        <v>2</v>
      </c>
      <c r="F6" s="192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【上級】赤き竜の制裁</v>
      </c>
      <c r="G6" s="192" t="str">
        <f ca="1">VLOOKUP($B6&amp;"_"&amp;$E6,OFFSET([2]stages!$A$1,0,0,COUNTA([2]stages!$A:$A),MATCH(G$1,[2]stages!$2:$2,0)-MATCH("temp_stage",[2]stages!$2:$2,0)+1),MATCH(G$1,[2]stages!$2:$2,0)-MATCH("temp_stage",[2]stages!$2:$2,0)+1,FALSE)</f>
        <v>円卓2（マルチ専用）</v>
      </c>
      <c r="H6" s="193">
        <v>1</v>
      </c>
      <c r="I6" s="188">
        <f t="shared" ref="I6:I12" si="2">ROW()-1</f>
        <v>5</v>
      </c>
      <c r="J6" s="189" t="str">
        <f t="shared" ref="J6:J12" si="3">B6&amp;TEXT(I6,"00")</f>
        <v>3003205</v>
      </c>
      <c r="K6" s="187" t="s">
        <v>127</v>
      </c>
      <c r="L6" s="190" t="s">
        <v>193</v>
      </c>
      <c r="M6" s="196" t="s">
        <v>338</v>
      </c>
      <c r="N6" s="191" t="s">
        <v>194</v>
      </c>
    </row>
    <row r="7" spans="1:14" ht="70" x14ac:dyDescent="0.15">
      <c r="A7" s="183" t="s">
        <v>191</v>
      </c>
      <c r="B7" s="185">
        <v>30032</v>
      </c>
      <c r="C7" s="192" t="str">
        <f ca="1">VLOOKUP($B7,OFFSET([2]quests!$A$1,0,0,COUNTA([2]quests!$A:$A),MATCH(C$1,[2]quests!$1:$1,0)-MATCH($B$1,[2]quests!$1:$1,0)+1),MATCH(C$1,[2]quests!$1:$1,0)-MATCH($B$1,[2]quests!$1:$1,0)+1,FALSE)</f>
        <v>赤き竜の制裁</v>
      </c>
      <c r="D7" s="192" t="str">
        <f ca="1">VLOOKUP($B7,OFFSET([2]quests!$A$1,0,0,COUNTA([2]quests!$A:$A),MATCH(D$1,[2]quests!$1:$1,0)-MATCH($B$1,[2]quests!$1:$1,0)+1),MATCH(D$1,[2]quests!$1:$1,0)-MATCH($B$1,[2]quests!$1:$1,0)+1,FALSE)</f>
        <v>円卓2（マルチ専用）</v>
      </c>
      <c r="E7" s="187">
        <v>2</v>
      </c>
      <c r="F7" s="192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【上級】赤き竜の制裁</v>
      </c>
      <c r="G7" s="192" t="str">
        <f ca="1">VLOOKUP($B7&amp;"_"&amp;$E7,OFFSET([2]stages!$A$1,0,0,COUNTA([2]stages!$A:$A),MATCH(G$1,[2]stages!$2:$2,0)-MATCH("temp_stage",[2]stages!$2:$2,0)+1),MATCH(G$1,[2]stages!$2:$2,0)-MATCH("temp_stage",[2]stages!$2:$2,0)+1,FALSE)</f>
        <v>円卓2（マルチ専用）</v>
      </c>
      <c r="H7" s="193">
        <v>2</v>
      </c>
      <c r="I7" s="188">
        <f t="shared" si="2"/>
        <v>6</v>
      </c>
      <c r="J7" s="189" t="str">
        <f t="shared" si="3"/>
        <v>3003206</v>
      </c>
      <c r="K7" s="187" t="s">
        <v>127</v>
      </c>
      <c r="L7" s="190" t="s">
        <v>193</v>
      </c>
      <c r="M7" s="196" t="s">
        <v>339</v>
      </c>
      <c r="N7" s="191" t="s">
        <v>194</v>
      </c>
    </row>
    <row r="8" spans="1:14" x14ac:dyDescent="0.15">
      <c r="A8" s="183" t="s">
        <v>191</v>
      </c>
      <c r="B8" s="185">
        <v>30032</v>
      </c>
      <c r="C8" s="192" t="str">
        <f ca="1">VLOOKUP($B8,OFFSET([2]quests!$A$1,0,0,COUNTA([2]quests!$A:$A),MATCH(C$1,[2]quests!$1:$1,0)-MATCH($B$1,[2]quests!$1:$1,0)+1),MATCH(C$1,[2]quests!$1:$1,0)-MATCH($B$1,[2]quests!$1:$1,0)+1,FALSE)</f>
        <v>赤き竜の制裁</v>
      </c>
      <c r="D8" s="192" t="str">
        <f ca="1">VLOOKUP($B8,OFFSET([2]quests!$A$1,0,0,COUNTA([2]quests!$A:$A),MATCH(D$1,[2]quests!$1:$1,0)-MATCH($B$1,[2]quests!$1:$1,0)+1),MATCH(D$1,[2]quests!$1:$1,0)-MATCH($B$1,[2]quests!$1:$1,0)+1,FALSE)</f>
        <v>円卓2（マルチ専用）</v>
      </c>
      <c r="E8" s="187">
        <v>2</v>
      </c>
      <c r="F8" s="192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【上級】赤き竜の制裁</v>
      </c>
      <c r="G8" s="192" t="str">
        <f ca="1">VLOOKUP($B8&amp;"_"&amp;$E8,OFFSET([2]stages!$A$1,0,0,COUNTA([2]stages!$A:$A),MATCH(G$1,[2]stages!$2:$2,0)-MATCH("temp_stage",[2]stages!$2:$2,0)+1),MATCH(G$1,[2]stages!$2:$2,0)-MATCH("temp_stage",[2]stages!$2:$2,0)+1,FALSE)</f>
        <v>円卓2（マルチ専用）</v>
      </c>
      <c r="H8" s="193">
        <v>3</v>
      </c>
      <c r="I8" s="188">
        <f t="shared" si="2"/>
        <v>7</v>
      </c>
      <c r="J8" s="189" t="str">
        <f t="shared" si="3"/>
        <v>3003207</v>
      </c>
      <c r="K8" s="187" t="s">
        <v>127</v>
      </c>
      <c r="L8" s="190" t="s">
        <v>193</v>
      </c>
      <c r="M8" s="186" t="s">
        <v>311</v>
      </c>
      <c r="N8" s="191" t="s">
        <v>194</v>
      </c>
    </row>
    <row r="9" spans="1:14" ht="28" x14ac:dyDescent="0.15">
      <c r="A9" s="183" t="s">
        <v>191</v>
      </c>
      <c r="B9" s="185">
        <v>30032</v>
      </c>
      <c r="C9" s="192" t="str">
        <f ca="1">VLOOKUP($B9,OFFSET([2]quests!$A$1,0,0,COUNTA([2]quests!$A:$A),MATCH(C$1,[2]quests!$1:$1,0)-MATCH($B$1,[2]quests!$1:$1,0)+1),MATCH(C$1,[2]quests!$1:$1,0)-MATCH($B$1,[2]quests!$1:$1,0)+1,FALSE)</f>
        <v>赤き竜の制裁</v>
      </c>
      <c r="D9" s="192" t="str">
        <f ca="1">VLOOKUP($B9,OFFSET([2]quests!$A$1,0,0,COUNTA([2]quests!$A:$A),MATCH(D$1,[2]quests!$1:$1,0)-MATCH($B$1,[2]quests!$1:$1,0)+1),MATCH(D$1,[2]quests!$1:$1,0)-MATCH($B$1,[2]quests!$1:$1,0)+1,FALSE)</f>
        <v>円卓2（マルチ専用）</v>
      </c>
      <c r="E9" s="187">
        <v>2</v>
      </c>
      <c r="F9" s="192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【上級】赤き竜の制裁</v>
      </c>
      <c r="G9" s="192" t="str">
        <f ca="1">VLOOKUP($B9&amp;"_"&amp;$E9,OFFSET([2]stages!$A$1,0,0,COUNTA([2]stages!$A:$A),MATCH(G$1,[2]stages!$2:$2,0)-MATCH("temp_stage",[2]stages!$2:$2,0)+1),MATCH(G$1,[2]stages!$2:$2,0)-MATCH("temp_stage",[2]stages!$2:$2,0)+1,FALSE)</f>
        <v>円卓2（マルチ専用）</v>
      </c>
      <c r="H9" s="193">
        <v>4</v>
      </c>
      <c r="I9" s="188">
        <f t="shared" si="2"/>
        <v>8</v>
      </c>
      <c r="J9" s="189" t="str">
        <f t="shared" si="3"/>
        <v>3003208</v>
      </c>
      <c r="K9" s="187" t="s">
        <v>127</v>
      </c>
      <c r="L9" s="190" t="s">
        <v>193</v>
      </c>
      <c r="M9" s="197" t="s">
        <v>343</v>
      </c>
      <c r="N9" s="191" t="s">
        <v>194</v>
      </c>
    </row>
    <row r="10" spans="1:14" ht="56" x14ac:dyDescent="0.15">
      <c r="A10" s="183" t="s">
        <v>191</v>
      </c>
      <c r="B10" s="185">
        <v>30032</v>
      </c>
      <c r="C10" s="192" t="str">
        <f ca="1">VLOOKUP($B10,OFFSET([2]quests!$A$1,0,0,COUNTA([2]quests!$A:$A),MATCH(C$1,[2]quests!$1:$1,0)-MATCH($B$1,[2]quests!$1:$1,0)+1),MATCH(C$1,[2]quests!$1:$1,0)-MATCH($B$1,[2]quests!$1:$1,0)+1,FALSE)</f>
        <v>赤き竜の制裁</v>
      </c>
      <c r="D10" s="192" t="str">
        <f ca="1">VLOOKUP($B10,OFFSET([2]quests!$A$1,0,0,COUNTA([2]quests!$A:$A),MATCH(D$1,[2]quests!$1:$1,0)-MATCH($B$1,[2]quests!$1:$1,0)+1),MATCH(D$1,[2]quests!$1:$1,0)-MATCH($B$1,[2]quests!$1:$1,0)+1,FALSE)</f>
        <v>円卓2（マルチ専用）</v>
      </c>
      <c r="E10" s="187">
        <v>3</v>
      </c>
      <c r="F10" s="192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【超級】赤き竜の制裁</v>
      </c>
      <c r="G10" s="192" t="str">
        <f ca="1">VLOOKUP($B10&amp;"_"&amp;$E10,OFFSET([2]stages!$A$1,0,0,COUNTA([2]stages!$A:$A),MATCH(G$1,[2]stages!$2:$2,0)-MATCH("temp_stage",[2]stages!$2:$2,0)+1),MATCH(G$1,[2]stages!$2:$2,0)-MATCH("temp_stage",[2]stages!$2:$2,0)+1,FALSE)</f>
        <v>円卓2（マルチ専用）</v>
      </c>
      <c r="H10" s="193">
        <v>1</v>
      </c>
      <c r="I10" s="188">
        <f t="shared" si="2"/>
        <v>9</v>
      </c>
      <c r="J10" s="189" t="str">
        <f t="shared" si="3"/>
        <v>3003209</v>
      </c>
      <c r="K10" s="187" t="s">
        <v>127</v>
      </c>
      <c r="L10" s="190" t="s">
        <v>193</v>
      </c>
      <c r="M10" s="196" t="s">
        <v>338</v>
      </c>
      <c r="N10" s="191" t="s">
        <v>194</v>
      </c>
    </row>
    <row r="11" spans="1:14" ht="70" x14ac:dyDescent="0.15">
      <c r="A11" s="183" t="s">
        <v>191</v>
      </c>
      <c r="B11" s="185">
        <v>30032</v>
      </c>
      <c r="C11" s="192" t="str">
        <f ca="1">VLOOKUP($B11,OFFSET([2]quests!$A$1,0,0,COUNTA([2]quests!$A:$A),MATCH(C$1,[2]quests!$1:$1,0)-MATCH($B$1,[2]quests!$1:$1,0)+1),MATCH(C$1,[2]quests!$1:$1,0)-MATCH($B$1,[2]quests!$1:$1,0)+1,FALSE)</f>
        <v>赤き竜の制裁</v>
      </c>
      <c r="D11" s="192" t="str">
        <f ca="1">VLOOKUP($B11,OFFSET([2]quests!$A$1,0,0,COUNTA([2]quests!$A:$A),MATCH(D$1,[2]quests!$1:$1,0)-MATCH($B$1,[2]quests!$1:$1,0)+1),MATCH(D$1,[2]quests!$1:$1,0)-MATCH($B$1,[2]quests!$1:$1,0)+1,FALSE)</f>
        <v>円卓2（マルチ専用）</v>
      </c>
      <c r="E11" s="187">
        <v>3</v>
      </c>
      <c r="F11" s="192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【超級】赤き竜の制裁</v>
      </c>
      <c r="G11" s="192" t="str">
        <f ca="1">VLOOKUP($B11&amp;"_"&amp;$E11,OFFSET([2]stages!$A$1,0,0,COUNTA([2]stages!$A:$A),MATCH(G$1,[2]stages!$2:$2,0)-MATCH("temp_stage",[2]stages!$2:$2,0)+1),MATCH(G$1,[2]stages!$2:$2,0)-MATCH("temp_stage",[2]stages!$2:$2,0)+1,FALSE)</f>
        <v>円卓2（マルチ専用）</v>
      </c>
      <c r="H11" s="193">
        <v>2</v>
      </c>
      <c r="I11" s="188">
        <f t="shared" si="2"/>
        <v>10</v>
      </c>
      <c r="J11" s="189" t="str">
        <f t="shared" si="3"/>
        <v>3003210</v>
      </c>
      <c r="K11" s="187" t="s">
        <v>127</v>
      </c>
      <c r="L11" s="190" t="s">
        <v>193</v>
      </c>
      <c r="M11" s="196" t="s">
        <v>339</v>
      </c>
      <c r="N11" s="191" t="s">
        <v>194</v>
      </c>
    </row>
    <row r="12" spans="1:14" x14ac:dyDescent="0.15">
      <c r="A12" s="183" t="s">
        <v>191</v>
      </c>
      <c r="B12" s="185">
        <v>30032</v>
      </c>
      <c r="C12" s="192" t="str">
        <f ca="1">VLOOKUP($B12,OFFSET([2]quests!$A$1,0,0,COUNTA([2]quests!$A:$A),MATCH(C$1,[2]quests!$1:$1,0)-MATCH($B$1,[2]quests!$1:$1,0)+1),MATCH(C$1,[2]quests!$1:$1,0)-MATCH($B$1,[2]quests!$1:$1,0)+1,FALSE)</f>
        <v>赤き竜の制裁</v>
      </c>
      <c r="D12" s="192" t="str">
        <f ca="1">VLOOKUP($B12,OFFSET([2]quests!$A$1,0,0,COUNTA([2]quests!$A:$A),MATCH(D$1,[2]quests!$1:$1,0)-MATCH($B$1,[2]quests!$1:$1,0)+1),MATCH(D$1,[2]quests!$1:$1,0)-MATCH($B$1,[2]quests!$1:$1,0)+1,FALSE)</f>
        <v>円卓2（マルチ専用）</v>
      </c>
      <c r="E12" s="187">
        <v>3</v>
      </c>
      <c r="F12" s="192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【超級】赤き竜の制裁</v>
      </c>
      <c r="G12" s="192" t="str">
        <f ca="1">VLOOKUP($B12&amp;"_"&amp;$E12,OFFSET([2]stages!$A$1,0,0,COUNTA([2]stages!$A:$A),MATCH(G$1,[2]stages!$2:$2,0)-MATCH("temp_stage",[2]stages!$2:$2,0)+1),MATCH(G$1,[2]stages!$2:$2,0)-MATCH("temp_stage",[2]stages!$2:$2,0)+1,FALSE)</f>
        <v>円卓2（マルチ専用）</v>
      </c>
      <c r="H12" s="193">
        <v>3</v>
      </c>
      <c r="I12" s="188">
        <f t="shared" si="2"/>
        <v>11</v>
      </c>
      <c r="J12" s="189" t="str">
        <f t="shared" si="3"/>
        <v>3003211</v>
      </c>
      <c r="K12" s="187" t="s">
        <v>127</v>
      </c>
      <c r="L12" s="190" t="s">
        <v>193</v>
      </c>
      <c r="M12" s="186" t="s">
        <v>311</v>
      </c>
      <c r="N12" s="191" t="s">
        <v>194</v>
      </c>
    </row>
    <row r="13" spans="1:14" ht="28" x14ac:dyDescent="0.15">
      <c r="A13" s="183" t="s">
        <v>191</v>
      </c>
      <c r="B13" s="194">
        <f>floors!$C$2</f>
        <v>30032</v>
      </c>
      <c r="C13" s="192" t="str">
        <f ca="1">VLOOKUP($B13,OFFSET([2]quests!$A$1,0,0,COUNTA([2]quests!$A:$A),MATCH(C$1,[2]quests!$1:$1,0)-MATCH($B$1,[2]quests!$1:$1,0)+1),MATCH(C$1,[2]quests!$1:$1,0)-MATCH($B$1,[2]quests!$1:$1,0)+1,FALSE)</f>
        <v>赤き竜の制裁</v>
      </c>
      <c r="D13" s="192" t="str">
        <f ca="1">VLOOKUP($B13,OFFSET([2]quests!$A$1,0,0,COUNTA([2]quests!$A:$A),MATCH(D$1,[2]quests!$1:$1,0)-MATCH($B$1,[2]quests!$1:$1,0)+1),MATCH(D$1,[2]quests!$1:$1,0)-MATCH($B$1,[2]quests!$1:$1,0)+1,FALSE)</f>
        <v>円卓2（マルチ専用）</v>
      </c>
      <c r="E13" s="187">
        <v>3</v>
      </c>
      <c r="F13" s="192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【超級】赤き竜の制裁</v>
      </c>
      <c r="G13" s="192" t="str">
        <f ca="1">VLOOKUP($B13&amp;"_"&amp;$E13,OFFSET([2]stages!$A$1,0,0,COUNTA([2]stages!$A:$A),MATCH(G$1,[2]stages!$2:$2,0)-MATCH("temp_stage",[2]stages!$2:$2,0)+1),MATCH(G$1,[2]stages!$2:$2,0)-MATCH("temp_stage",[2]stages!$2:$2,0)+1,FALSE)</f>
        <v>円卓2（マルチ専用）</v>
      </c>
      <c r="H13" s="193">
        <v>4</v>
      </c>
      <c r="I13" s="188">
        <f t="shared" ref="I13" si="4">ROW()-1</f>
        <v>12</v>
      </c>
      <c r="J13" s="189" t="str">
        <f t="shared" ref="J13" si="5">B13&amp;TEXT(I13,"00")</f>
        <v>3003212</v>
      </c>
      <c r="K13" s="187" t="s">
        <v>127</v>
      </c>
      <c r="L13" s="190" t="s">
        <v>193</v>
      </c>
      <c r="M13" s="197" t="s">
        <v>343</v>
      </c>
      <c r="N13" s="195" t="s">
        <v>194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2017-03-08T06:23:14Z</dcterms:modified>
</cp:coreProperties>
</file>