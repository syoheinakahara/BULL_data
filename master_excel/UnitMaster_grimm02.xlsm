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2" i="23"/>
  <c r="BR2" i="23"/>
  <c r="G5" i="23"/>
  <c r="BC5" i="23"/>
  <c r="BD5" i="23"/>
  <c r="Q5" i="23"/>
  <c r="S5" i="23"/>
  <c r="W5" i="23"/>
  <c r="AA5" i="23"/>
  <c r="I5" i="23"/>
  <c r="J5" i="23"/>
  <c r="BK5" i="23"/>
  <c r="G6" i="3"/>
  <c r="A6" i="3"/>
  <c r="B2" i="23"/>
  <c r="C6" i="3"/>
  <c r="D6" i="3"/>
  <c r="E6" i="3"/>
  <c r="G3" i="23"/>
  <c r="BC3" i="23"/>
  <c r="BD3" i="23"/>
  <c r="Q3" i="23"/>
  <c r="T3" i="23"/>
  <c r="W3" i="23"/>
  <c r="AB3" i="23"/>
  <c r="I3" i="23"/>
  <c r="K3" i="23"/>
  <c r="BL3" i="23"/>
  <c r="E31" i="54"/>
  <c r="E13" i="52"/>
  <c r="E12" i="52"/>
  <c r="H56" i="54"/>
  <c r="H55" i="54"/>
  <c r="H54" i="54"/>
  <c r="H47" i="54"/>
  <c r="H46" i="54"/>
  <c r="H45" i="54"/>
  <c r="H37" i="54"/>
  <c r="H30" i="54"/>
  <c r="H29" i="54"/>
  <c r="H23" i="54"/>
  <c r="H24" i="54"/>
  <c r="H22" i="54"/>
  <c r="H15" i="54"/>
  <c r="H14" i="54"/>
  <c r="H8" i="54"/>
  <c r="H7" i="54"/>
  <c r="E7" i="54"/>
  <c r="E2" i="54"/>
  <c r="B9" i="54"/>
  <c r="B2" i="54"/>
  <c r="E56" i="54"/>
  <c r="B56" i="54"/>
  <c r="E55" i="54"/>
  <c r="B55" i="54"/>
  <c r="E54" i="54"/>
  <c r="B54" i="54"/>
  <c r="E53" i="54"/>
  <c r="B53" i="54"/>
  <c r="E52" i="54"/>
  <c r="B52" i="54"/>
  <c r="E51" i="54"/>
  <c r="B51" i="54"/>
  <c r="E50" i="54"/>
  <c r="B50" i="54"/>
  <c r="E49" i="54"/>
  <c r="B49" i="54"/>
  <c r="E48" i="54"/>
  <c r="B48" i="54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B25" i="54"/>
  <c r="E24" i="54"/>
  <c r="B24" i="54"/>
  <c r="E23" i="54"/>
  <c r="B23" i="54"/>
  <c r="E22" i="54"/>
  <c r="B22" i="54"/>
  <c r="E21" i="54"/>
  <c r="B21" i="54"/>
  <c r="E20" i="54"/>
  <c r="B20" i="54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G8" i="54"/>
  <c r="E8" i="54"/>
  <c r="B8" i="54"/>
  <c r="G7" i="54"/>
  <c r="B7" i="54"/>
  <c r="E6" i="54"/>
  <c r="B6" i="54"/>
  <c r="E5" i="54"/>
  <c r="B5" i="54"/>
  <c r="E4" i="54"/>
  <c r="B4" i="54"/>
  <c r="E3" i="54"/>
  <c r="B3" i="54"/>
  <c r="E14" i="53"/>
  <c r="E10" i="52"/>
  <c r="E14" i="52"/>
  <c r="B4" i="23"/>
  <c r="C2" i="3"/>
  <c r="C3" i="3"/>
  <c r="C4" i="3"/>
  <c r="C5" i="3"/>
  <c r="B6" i="23"/>
  <c r="C7" i="3"/>
  <c r="C8" i="3"/>
  <c r="C9" i="3"/>
  <c r="B8" i="23"/>
  <c r="C10" i="3"/>
  <c r="C11" i="3"/>
  <c r="C12" i="3"/>
  <c r="B10" i="23"/>
  <c r="C13" i="3"/>
  <c r="C14" i="3"/>
  <c r="C15" i="3"/>
  <c r="B12" i="23"/>
  <c r="C16" i="3"/>
  <c r="C17" i="3"/>
  <c r="C18" i="3"/>
  <c r="C19" i="3"/>
  <c r="C20" i="3"/>
  <c r="B14" i="23"/>
  <c r="C21" i="3"/>
  <c r="C22" i="3"/>
  <c r="C23" i="3"/>
  <c r="C24" i="3"/>
  <c r="C25" i="3"/>
  <c r="G25" i="3"/>
  <c r="E25" i="3"/>
  <c r="D25" i="3"/>
  <c r="A25" i="3"/>
  <c r="G24" i="3"/>
  <c r="E24" i="3"/>
  <c r="D24" i="3"/>
  <c r="A24" i="3"/>
  <c r="G23" i="3"/>
  <c r="E23" i="3"/>
  <c r="D23" i="3"/>
  <c r="A23" i="3"/>
  <c r="G22" i="3"/>
  <c r="E22" i="3"/>
  <c r="D22" i="3"/>
  <c r="A22" i="3"/>
  <c r="G21" i="3"/>
  <c r="E21" i="3"/>
  <c r="D21" i="3"/>
  <c r="A21" i="3"/>
  <c r="G20" i="3"/>
  <c r="E20" i="3"/>
  <c r="D20" i="3"/>
  <c r="A20" i="3"/>
  <c r="G19" i="3"/>
  <c r="E19" i="3"/>
  <c r="D19" i="3"/>
  <c r="A19" i="3"/>
  <c r="G18" i="3"/>
  <c r="E18" i="3"/>
  <c r="D18" i="3"/>
  <c r="A18" i="3"/>
  <c r="G17" i="3"/>
  <c r="E17" i="3"/>
  <c r="D17" i="3"/>
  <c r="A17" i="3"/>
  <c r="G16" i="3"/>
  <c r="E16" i="3"/>
  <c r="D16" i="3"/>
  <c r="A16" i="3"/>
  <c r="G15" i="3"/>
  <c r="E15" i="3"/>
  <c r="D15" i="3"/>
  <c r="A15" i="3"/>
  <c r="G14" i="3"/>
  <c r="E14" i="3"/>
  <c r="D14" i="3"/>
  <c r="A14" i="3"/>
  <c r="G13" i="3"/>
  <c r="E13" i="3"/>
  <c r="D13" i="3"/>
  <c r="A13" i="3"/>
  <c r="G12" i="3"/>
  <c r="E12" i="3"/>
  <c r="D12" i="3"/>
  <c r="A12" i="3"/>
  <c r="G11" i="3"/>
  <c r="E11" i="3"/>
  <c r="D11" i="3"/>
  <c r="A11" i="3"/>
  <c r="G10" i="3"/>
  <c r="E10" i="3"/>
  <c r="D10" i="3"/>
  <c r="A10" i="3"/>
  <c r="G9" i="3"/>
  <c r="E9" i="3"/>
  <c r="D9" i="3"/>
  <c r="A9" i="3"/>
  <c r="G8" i="3"/>
  <c r="E8" i="3"/>
  <c r="D8" i="3"/>
  <c r="A8" i="3"/>
  <c r="G7" i="3"/>
  <c r="E7" i="3"/>
  <c r="D7" i="3"/>
  <c r="A7" i="3"/>
  <c r="G5" i="3"/>
  <c r="E5" i="3"/>
  <c r="D5" i="3"/>
  <c r="A5" i="3"/>
  <c r="G4" i="3"/>
  <c r="E4" i="3"/>
  <c r="D4" i="3"/>
  <c r="A4" i="3"/>
  <c r="G3" i="3"/>
  <c r="E3" i="3"/>
  <c r="D3" i="3"/>
  <c r="A3" i="3"/>
  <c r="G2" i="3"/>
  <c r="E2" i="3"/>
  <c r="D2" i="3"/>
  <c r="A2" i="3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G12" i="53"/>
  <c r="E12" i="53"/>
  <c r="G13" i="53"/>
  <c r="E13" i="53"/>
  <c r="G14" i="53"/>
  <c r="G15" i="53"/>
  <c r="E15" i="53"/>
  <c r="G3" i="53"/>
  <c r="E3" i="53"/>
  <c r="J4" i="52"/>
  <c r="E4" i="52"/>
  <c r="H4" i="52"/>
  <c r="J5" i="52"/>
  <c r="E5" i="52"/>
  <c r="H5" i="52"/>
  <c r="J6" i="52"/>
  <c r="E6" i="52"/>
  <c r="H6" i="52"/>
  <c r="J7" i="52"/>
  <c r="E7" i="52"/>
  <c r="H7" i="52"/>
  <c r="J8" i="52"/>
  <c r="E8" i="52"/>
  <c r="H8" i="52"/>
  <c r="J9" i="52"/>
  <c r="E9" i="52"/>
  <c r="H9" i="52"/>
  <c r="J10" i="52"/>
  <c r="H10" i="52"/>
  <c r="J11" i="52"/>
  <c r="E11" i="52"/>
  <c r="H11" i="52"/>
  <c r="J12" i="52"/>
  <c r="H12" i="52"/>
  <c r="J13" i="52"/>
  <c r="H13" i="52"/>
  <c r="J14" i="52"/>
  <c r="H14" i="52"/>
  <c r="J15" i="52"/>
  <c r="E15" i="52"/>
  <c r="H15" i="52"/>
  <c r="J3" i="52"/>
  <c r="H3" i="52"/>
  <c r="E3" i="52"/>
  <c r="AE4" i="23"/>
  <c r="AE6" i="23"/>
  <c r="AE8" i="23"/>
  <c r="AE10" i="23"/>
  <c r="AE12" i="23"/>
  <c r="AE14" i="23"/>
  <c r="AE2" i="23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2" i="23"/>
  <c r="J2" i="52"/>
  <c r="G2" i="5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K5" i="23"/>
  <c r="L5" i="23"/>
  <c r="M5" i="23"/>
  <c r="N5" i="23"/>
  <c r="O5" i="23"/>
  <c r="P5" i="23"/>
  <c r="R5" i="23"/>
  <c r="T5" i="23"/>
  <c r="U5" i="23"/>
  <c r="V5" i="23"/>
  <c r="X5" i="23"/>
  <c r="Y5" i="23"/>
  <c r="Z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L5" i="23"/>
  <c r="BH5" i="23"/>
  <c r="BM5" i="23"/>
  <c r="BI5" i="23"/>
  <c r="BN5" i="23"/>
  <c r="BJ5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G4" i="1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G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G13" i="23"/>
  <c r="I13" i="23"/>
  <c r="J13" i="23"/>
  <c r="K13" i="23"/>
  <c r="L13" i="23"/>
  <c r="M13" i="23"/>
  <c r="G9" i="1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G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G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P3" i="23"/>
  <c r="G2" i="23"/>
  <c r="P2" i="23"/>
  <c r="C3" i="49"/>
  <c r="C4" i="49"/>
  <c r="C5" i="49"/>
  <c r="C6" i="49"/>
  <c r="C7" i="49"/>
  <c r="C8" i="49"/>
  <c r="C9" i="49"/>
  <c r="C10" i="49"/>
  <c r="G10" i="13"/>
  <c r="G8" i="13"/>
  <c r="G3" i="13"/>
  <c r="G2" i="1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J3" i="23"/>
  <c r="L3" i="23"/>
  <c r="M3" i="23"/>
  <c r="N3" i="23"/>
  <c r="O3" i="23"/>
  <c r="R3" i="23"/>
  <c r="S3" i="23"/>
  <c r="U3" i="23"/>
  <c r="V3" i="23"/>
  <c r="X3" i="23"/>
  <c r="Y3" i="23"/>
  <c r="Z3" i="23"/>
  <c r="AA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K3" i="23"/>
  <c r="BG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<sst xmlns="http://schemas.openxmlformats.org/spreadsheetml/2006/main" count="1032" uniqueCount="405">
  <si>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</si>
  <si>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</si>
  <si>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</si>
  <si>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</si>
  <si>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</si>
  <si>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</si>
  <si>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</si>
  <si>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</si>
  <si>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</si>
  <si>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</si>
  <si>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</si>
  <si>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</si>
  <si>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</si>
  <si>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</si>
  <si>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</si>
  <si>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</si>
  <si>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</si>
  <si>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</si>
  <si>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</si>
  <si>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</si>
  <si>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</si>
  <si>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</si>
  <si>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</si>
  <si>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</si>
  <si>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</si>
  <si>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</si>
  <si>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</si>
  <si>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</si>
  <si>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</si>
  <si>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</si>
  <si>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</si>
  <si>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</si>
  <si>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</si>
  <si>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</si>
  <si>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</si>
  <si>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</si>
  <si>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</si>
  <si>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</si>
  <si>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</si>
  <si>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</si>
  <si>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</si>
  <si>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</si>
  <si>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</si>
  <si>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</si>
  <si>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</si>
  <si>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</si>
  <si>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</si>
  <si>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</si>
  <si>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</si>
  <si>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</si>
  <si>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</si>
  <si>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</si>
  <si>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</si>
  <si>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</si>
  <si>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</si>
  <si>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</si>
  <si>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</si>
  <si>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</si>
  <si>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</si>
  <si>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</si>
  <si>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</si>
  <si>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</si>
  <si>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</si>
  <si>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</si>
  <si>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</si>
  <si>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</si>
  <si>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</si>
  <si>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</si>
  <si>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</si>
  <si>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</si>
  <si>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</si>
  <si>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</si>
  <si>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</si>
  <si>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</si>
  <si>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</si>
  <si>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</si>
  <si>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</si>
  <si>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</si>
  <si>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</si>
  <si>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</si>
  <si>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</si>
  <si>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</si>
  <si>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</si>
  <si>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</si>
  <si>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</si>
  <si>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</si>
  <si>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</si>
  <si>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</si>
  <si>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</si>
  <si>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</si>
  <si>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</si>
  <si>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</si>
  <si>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</si>
  <si>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</si>
  <si>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</si>
  <si>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</si>
  <si>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</si>
  <si>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</si>
  <si>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</si>
  <si>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</si>
  <si>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</si>
  <si>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</si>
  <si>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</si>
  <si>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</si>
  <si>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</si>
  <si>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</si>
  <si>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</si>
  <si>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</si>
  <si>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</si>
  <si>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</si>
  <si>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</si>
  <si>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</si>
  <si>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</si>
  <si>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</si>
  <si>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</si>
  <si>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</si>
  <si>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</si>
  <si>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</si>
  <si>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</si>
  <si>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</si>
  <si>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</si>
  <si>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</si>
  <si>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</si>
  <si>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</si>
  <si>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</si>
  <si>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</si>
  <si>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</si>
  <si>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</si>
  <si>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</si>
  <si>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</si>
  <si>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</si>
  <si>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</si>
  <si>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</si>
  <si>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</si>
  <si>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</si>
  <si>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</si>
  <si>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</si>
  <si>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</si>
  <si>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</si>
  <si>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</si>
  <si>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</si>
  <si>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</si>
  <si>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</si>
  <si>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</si>
  <si>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</si>
  <si>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</si>
  <si>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</si>
  <si>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</si>
  <si>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</si>
  <si>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</si>
  <si>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</si>
  <si>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</si>
  <si>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</si>
  <si>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</si>
  <si>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</si>
  <si>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</si>
  <si>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</si>
  <si>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</si>
  <si>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</si>
  <si>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</si>
  <si>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</si>
  <si>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</si>
  <si>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</si>
  <si>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</si>
  <si>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</si>
  <si>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</si>
  <si>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</si>
  <si>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</si>
  <si>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</si>
  <si>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</si>
  <si>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</si>
  <si>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</si>
  <si>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</si>
  <si>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</si>
  <si>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</si>
  <si>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</si>
  <si>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</si>
  <si>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</si>
  <si>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</si>
  <si>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</si>
  <si>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</si>
  <si>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</si>
  <si>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</si>
  <si>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</si>
  <si>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</si>
  <si>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</si>
  <si>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</si>
  <si>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</si>
  <si>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</si>
  <si>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</si>
  <si>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</si>
  <si>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</si>
  <si>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</si>
  <si>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</si>
  <si>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</si>
  <si>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</si>
  <si>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</si>
  <si>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</si>
  <si>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</si>
  <si>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</si>
  <si>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</si>
  <si>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</si>
  <si>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</si>
  <si>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</si>
  <si>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</si>
  <si>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</si>
  <si>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</si>
  <si>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</si>
  <si>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</si>
  <si>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</si>
  <si>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</si>
  <si>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</si>
  <si>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</si>
  <si>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</si>
  <si>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</si>
  <si>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</si>
  <si>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</si>
  <si>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</si>
  <si>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</si>
  <si>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</si>
  <si>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</si>
  <si>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</si>
  <si>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</si>
  <si>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</si>
  <si>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</si>
  <si>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</si>
  <si>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</si>
  <si>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</si>
  <si>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</si>
  <si>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</si>
  <si>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</si>
  <si>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</si>
  <si>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</si>
  <si>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</si>
  <si>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</si>
  <si>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</si>
  <si>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</si>
  <si>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</si>
  <si>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</si>
  <si>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</si>
  <si>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</si>
  <si>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</si>
  <si>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</si>
  <si>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</si>
  <si>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</si>
  <si>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</si>
  <si>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</si>
  <si>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</si>
  <si>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grimm02</t>
    <phoneticPr fontId="22"/>
  </si>
  <si>
    <t>old</t>
    <phoneticPr fontId="22"/>
  </si>
  <si>
    <t>3ターン黄属性の防御力UP(青パネルを吸収し効果UP)+特大カウンター+赤パネルを黄パネルに変換</t>
    <rPh sb="4" eb="5">
      <t>キイロ</t>
    </rPh>
    <rPh sb="5" eb="7">
      <t>ゾクセイ</t>
    </rPh>
    <rPh sb="8" eb="11">
      <t>ボウギョリョク</t>
    </rPh>
    <rPh sb="14" eb="15">
      <t>アオ</t>
    </rPh>
    <rPh sb="19" eb="21">
      <t>キュウシュウ</t>
    </rPh>
    <rPh sb="22" eb="24">
      <t>コウカ</t>
    </rPh>
    <rPh sb="28" eb="30">
      <t>トクダイ</t>
    </rPh>
    <rPh sb="36" eb="37">
      <t>アカ</t>
    </rPh>
    <rPh sb="41" eb="42">
      <t>キイロ</t>
    </rPh>
    <rPh sb="46" eb="48">
      <t>ヘンカン</t>
    </rPh>
    <phoneticPr fontId="22"/>
  </si>
  <si>
    <t>3ターン黄属性の防御力UP(青パネルを吸収し効果UP)+超大カウンター+赤パネルを黄パネルに変換</t>
    <rPh sb="4" eb="5">
      <t>キイロ</t>
    </rPh>
    <rPh sb="5" eb="7">
      <t>ゾクセイ</t>
    </rPh>
    <rPh sb="8" eb="11">
      <t>ボウギョリョク</t>
    </rPh>
    <rPh sb="14" eb="15">
      <t>アオ</t>
    </rPh>
    <rPh sb="19" eb="21">
      <t>キュウシュウ</t>
    </rPh>
    <rPh sb="22" eb="24">
      <t>コウカ</t>
    </rPh>
    <rPh sb="28" eb="29">
      <t>チョウ</t>
    </rPh>
    <rPh sb="29" eb="30">
      <t>トクダイ</t>
    </rPh>
    <rPh sb="36" eb="37">
      <t>アカ</t>
    </rPh>
    <rPh sb="41" eb="42">
      <t>キイロ</t>
    </rPh>
    <rPh sb="46" eb="48">
      <t>ヘンカン</t>
    </rPh>
    <phoneticPr fontId="22"/>
  </si>
  <si>
    <t>comment</t>
    <phoneticPr fontId="9"/>
  </si>
  <si>
    <t>自身のHPの最大値に比例して
単体に特大ダメージ</t>
    <rPh sb="6" eb="9">
      <t>サイダ</t>
    </rPh>
    <rPh sb="18" eb="20">
      <t>トクダイ</t>
    </rPh>
    <phoneticPr fontId="22"/>
  </si>
  <si>
    <t>自身のHPの最大値に比例して
単体に超大ダメージ</t>
    <rPh sb="6" eb="9">
      <t>サイダ</t>
    </rPh>
    <rPh sb="18" eb="19">
      <t>チョウ</t>
    </rPh>
    <rPh sb="19" eb="20">
      <t>トクダイ</t>
    </rPh>
    <phoneticPr fontId="22"/>
  </si>
  <si>
    <t>[effect:damage_hp, target:enemy_one, color:yellow, val:1.125, animation:damage_one_yellow04]</t>
    <phoneticPr fontId="22"/>
  </si>
  <si>
    <t>アンサー・ミー！</t>
    <phoneticPr fontId="22"/>
  </si>
  <si>
    <t>アンサー・ミー・ケアフリー！</t>
    <phoneticPr fontId="22"/>
  </si>
  <si>
    <t>イノセント・ダイジェスチョン</t>
    <phoneticPr fontId="22"/>
  </si>
  <si>
    <t>イート・ザ・ワールド</t>
    <phoneticPr fontId="22"/>
  </si>
  <si>
    <t>デザイア・3rd</t>
    <phoneticPr fontId="22"/>
  </si>
  <si>
    <t>ワンニャンピヨピヨムジーク♪</t>
    <phoneticPr fontId="22"/>
  </si>
  <si>
    <t>ノー・モア・エモーション</t>
    <phoneticPr fontId="22"/>
  </si>
  <si>
    <t>オペレーション：アヴァランチ</t>
    <phoneticPr fontId="22"/>
  </si>
  <si>
    <t>サモン・ザ・デストラクション</t>
    <phoneticPr fontId="22"/>
  </si>
  <si>
    <t>イントゥ・ザ・ファイアー</t>
    <phoneticPr fontId="22"/>
  </si>
  <si>
    <t>スイミング・ボディアタック</t>
    <phoneticPr fontId="22"/>
  </si>
  <si>
    <t>スマイリング・ボディアタック</t>
    <phoneticPr fontId="22"/>
  </si>
  <si>
    <t>ミラーリング・アサルト</t>
    <phoneticPr fontId="22"/>
  </si>
  <si>
    <t>ランプ・オブ・グリード</t>
    <phoneticPr fontId="22"/>
  </si>
  <si>
    <t>ランプ・オブ・ミラージュ</t>
    <phoneticPr fontId="22"/>
  </si>
  <si>
    <t>火律のタクト</t>
    <rPh sb="0" eb="1">
      <t>ヒ</t>
    </rPh>
    <rPh sb="1" eb="2">
      <t>リツ</t>
    </rPh>
    <phoneticPr fontId="22"/>
  </si>
  <si>
    <t>炎旋律のハッピータクト</t>
    <rPh sb="0" eb="1">
      <t>エン</t>
    </rPh>
    <rPh sb="1" eb="3">
      <t>センリツ</t>
    </rPh>
    <phoneticPr fontId="22"/>
  </si>
  <si>
    <t>ワイヤード・デスサイズ</t>
    <phoneticPr fontId="22"/>
  </si>
  <si>
    <t>アップル・オープンファイア</t>
    <phoneticPr fontId="22"/>
  </si>
  <si>
    <t>アップル・オーヴァーロード</t>
  </si>
  <si>
    <t>サウザンド・ナイツ</t>
    <phoneticPr fontId="22"/>
  </si>
  <si>
    <t>サウザンド・ナイツ＆ワン</t>
    <phoneticPr fontId="22"/>
  </si>
  <si>
    <t>skill</t>
  </si>
  <si>
    <t>giza</t>
    <phoneticPr fontId="22"/>
  </si>
  <si>
    <t>ja</t>
    <phoneticPr fontId="22"/>
  </si>
  <si>
    <t>ja</t>
    <phoneticPr fontId="22"/>
  </si>
  <si>
    <t>giza</t>
    <phoneticPr fontId="22"/>
  </si>
  <si>
    <t>ja</t>
    <phoneticPr fontId="22"/>
  </si>
  <si>
    <t>cskill</t>
    <phoneticPr fontId="22"/>
  </si>
  <si>
    <t>cskill</t>
    <phoneticPr fontId="22"/>
  </si>
  <si>
    <t>cskill</t>
    <phoneticPr fontId="22"/>
  </si>
  <si>
    <t>maru</t>
    <phoneticPr fontId="22"/>
  </si>
  <si>
    <t>maru</t>
    <phoneticPr fontId="22"/>
  </si>
  <si>
    <t>maru</t>
    <phoneticPr fontId="22"/>
  </si>
  <si>
    <t>maru</t>
    <phoneticPr fontId="22"/>
  </si>
  <si>
    <t>cskill</t>
  </si>
  <si>
    <t>skill</t>
    <phoneticPr fontId="22"/>
  </si>
  <si>
    <t>skill</t>
    <phoneticPr fontId="22"/>
  </si>
  <si>
    <t>cskill</t>
    <phoneticPr fontId="22"/>
  </si>
  <si>
    <t>ja</t>
    <phoneticPr fontId="22"/>
  </si>
  <si>
    <t>口は災の元じゃぞ……？</t>
    <rPh sb="0" eb="1">
      <t>クチ</t>
    </rPh>
    <rPh sb="2" eb="3">
      <t>ワザ</t>
    </rPh>
    <rPh sb="4" eb="5">
      <t>モト</t>
    </rPh>
    <phoneticPr fontId="22"/>
  </si>
  <si>
    <t>わらわの問いに答えよ！！</t>
    <rPh sb="4" eb="5">
      <t>ト</t>
    </rPh>
    <rPh sb="7" eb="8">
      <t>コタ</t>
    </rPh>
    <phoneticPr fontId="22"/>
  </si>
  <si>
    <t>鏡！さっさとやれ！！</t>
    <rPh sb="0" eb="1">
      <t>カガミ</t>
    </rPh>
    <phoneticPr fontId="22"/>
  </si>
  <si>
    <t>ヘマしたらお仕置きじゃ！</t>
    <phoneticPr fontId="22"/>
  </si>
  <si>
    <t>わらわが最も美しい！！</t>
    <phoneticPr fontId="22"/>
  </si>
  <si>
    <t>ほぇ〜キミ達ちいさいぉ〜</t>
    <rPh sb="5" eb="6">
      <t>タチ</t>
    </rPh>
    <phoneticPr fontId="22"/>
  </si>
  <si>
    <t>ほぇほぇ〜体当たりだぉ</t>
    <rPh sb="5" eb="7">
      <t>タイア</t>
    </rPh>
    <phoneticPr fontId="22"/>
  </si>
  <si>
    <t>ざぶ〜んといくぉ〜</t>
    <phoneticPr fontId="22"/>
  </si>
  <si>
    <t>まだまだお腹ぺこりんだぉ〜</t>
    <rPh sb="5" eb="6">
      <t>ナカ</t>
    </rPh>
    <phoneticPr fontId="22"/>
  </si>
  <si>
    <t>ボクは怒ったりしないぉ</t>
    <rPh sb="3" eb="4">
      <t>オコ</t>
    </rPh>
    <phoneticPr fontId="22"/>
  </si>
  <si>
    <t>さてお願いはなにかしら〜？</t>
    <rPh sb="3" eb="4">
      <t>ネガ</t>
    </rPh>
    <phoneticPr fontId="22"/>
  </si>
  <si>
    <t>ふふっ…悪戯しちゃお</t>
    <rPh sb="4" eb="6">
      <t>イタズラ</t>
    </rPh>
    <phoneticPr fontId="22"/>
  </si>
  <si>
    <t>どこ見てるのかしら〜？</t>
    <rPh sb="2" eb="3">
      <t>ミ</t>
    </rPh>
    <phoneticPr fontId="22"/>
  </si>
  <si>
    <t>素直な子は好きよぅ〜？</t>
    <rPh sb="0" eb="2">
      <t>スナオ</t>
    </rPh>
    <rPh sb="3" eb="4">
      <t>コ</t>
    </rPh>
    <rPh sb="5" eb="6">
      <t>ス</t>
    </rPh>
    <phoneticPr fontId="22"/>
  </si>
  <si>
    <t>欲望は増え続けるものよぅ〜</t>
    <rPh sb="0" eb="2">
      <t>ヨクボウ</t>
    </rPh>
    <rPh sb="3" eb="4">
      <t>フ</t>
    </rPh>
    <rPh sb="5" eb="6">
      <t>ツヅ</t>
    </rPh>
    <phoneticPr fontId="22"/>
  </si>
  <si>
    <t>そんなに驚かないでよぅ！</t>
    <rPh sb="4" eb="5">
      <t>オドロ</t>
    </rPh>
    <phoneticPr fontId="22"/>
  </si>
  <si>
    <t>よぉーしみんな集まれー♪</t>
    <rPh sb="7" eb="8">
      <t>アツ</t>
    </rPh>
    <phoneticPr fontId="22"/>
  </si>
  <si>
    <t>せーのっ！で歌うよー！</t>
    <rPh sb="6" eb="7">
      <t>ウタ</t>
    </rPh>
    <phoneticPr fontId="22"/>
  </si>
  <si>
    <t>みんな出番だよーっ！</t>
    <rPh sb="3" eb="5">
      <t>デバン</t>
    </rPh>
    <phoneticPr fontId="22"/>
  </si>
  <si>
    <t>発声練習よーしっ！</t>
    <rPh sb="0" eb="4">
      <t>ハッセイレンシュウ</t>
    </rPh>
    <phoneticPr fontId="22"/>
  </si>
  <si>
    <t>ボクは心を失ったんだ…</t>
    <rPh sb="3" eb="4">
      <t>ココロ</t>
    </rPh>
    <rPh sb="5" eb="6">
      <t>ウシナ</t>
    </rPh>
    <phoneticPr fontId="22"/>
  </si>
  <si>
    <t>もう誰の言葉も要らないよ…</t>
    <rPh sb="2" eb="3">
      <t>ダレ</t>
    </rPh>
    <rPh sb="4" eb="6">
      <t>コトバ</t>
    </rPh>
    <rPh sb="7" eb="8">
      <t>イ</t>
    </rPh>
    <phoneticPr fontId="22"/>
  </si>
  <si>
    <t>ボクは殺意の操り人形…</t>
    <rPh sb="3" eb="5">
      <t>サツイ</t>
    </rPh>
    <rPh sb="6" eb="7">
      <t>アヤツ</t>
    </rPh>
    <rPh sb="8" eb="10">
      <t>ニンギョウ</t>
    </rPh>
    <phoneticPr fontId="22"/>
  </si>
  <si>
    <t>嘘つきはキミ達の方さ…</t>
    <rPh sb="0" eb="1">
      <t>ウソ</t>
    </rPh>
    <rPh sb="6" eb="7">
      <t>タチ</t>
    </rPh>
    <rPh sb="8" eb="9">
      <t>ホウ</t>
    </rPh>
    <phoneticPr fontId="22"/>
  </si>
  <si>
    <t>人形に狩られる感想は？</t>
    <rPh sb="0" eb="2">
      <t>ニンギョウ</t>
    </rPh>
    <rPh sb="3" eb="4">
      <t>カ</t>
    </rPh>
    <rPh sb="7" eb="9">
      <t>カンソウ</t>
    </rPh>
    <phoneticPr fontId="22"/>
  </si>
  <si>
    <t>ふふっ…罠とも知らずに…</t>
    <rPh sb="4" eb="5">
      <t>ワナ</t>
    </rPh>
    <rPh sb="7" eb="8">
      <t>シ</t>
    </rPh>
    <phoneticPr fontId="22"/>
  </si>
  <si>
    <t>giza</t>
    <phoneticPr fontId="22"/>
  </si>
  <si>
    <t>全滅してもらいましょうね！</t>
    <rPh sb="0" eb="2">
      <t>ゼンメツセン</t>
    </rPh>
    <phoneticPr fontId="22"/>
  </si>
  <si>
    <t>懸けてる時間が違うのよ</t>
    <rPh sb="0" eb="1">
      <t>カ</t>
    </rPh>
    <rPh sb="4" eb="6">
      <t>ジカン</t>
    </rPh>
    <rPh sb="7" eb="8">
      <t>チガ</t>
    </rPh>
    <phoneticPr fontId="22"/>
  </si>
  <si>
    <t>ほらそこ！守り甘すぎ！</t>
    <rPh sb="5" eb="6">
      <t>マモ</t>
    </rPh>
    <rPh sb="7" eb="8">
      <t>ア</t>
    </rPh>
    <phoneticPr fontId="22"/>
  </si>
  <si>
    <t>７人全員プロ中のプロよ</t>
    <rPh sb="1" eb="2">
      <t>ニン</t>
    </rPh>
    <rPh sb="2" eb="4">
      <t>ゼンイン</t>
    </rPh>
    <rPh sb="6" eb="7">
      <t>チュウ</t>
    </rPh>
    <phoneticPr fontId="22"/>
  </si>
  <si>
    <t>ぜんぶ投入しちゃうわ！</t>
    <rPh sb="3" eb="5">
      <t>トウニュウ</t>
    </rPh>
    <phoneticPr fontId="22"/>
  </si>
  <si>
    <t>へっ…夜泣きするなよ！！</t>
    <rPh sb="3" eb="5">
      <t>ヨナ</t>
    </rPh>
    <phoneticPr fontId="22"/>
  </si>
  <si>
    <t>maru</t>
    <phoneticPr fontId="22"/>
  </si>
  <si>
    <t>こうなったら手遅れだぜ…？</t>
    <rPh sb="6" eb="8">
      <t>テオク</t>
    </rPh>
    <phoneticPr fontId="22"/>
  </si>
  <si>
    <t>いいぜ…起動だ！！</t>
    <phoneticPr fontId="22"/>
  </si>
  <si>
    <t>オレの傑作を見な…！</t>
    <phoneticPr fontId="22"/>
  </si>
  <si>
    <t>逆らっても無駄だぜ！</t>
    <rPh sb="0" eb="1">
      <t>サカ</t>
    </rPh>
    <rPh sb="5" eb="7">
      <t>ムダ</t>
    </rPh>
    <phoneticPr fontId="22"/>
  </si>
  <si>
    <t>giza</t>
    <phoneticPr fontId="22"/>
  </si>
  <si>
    <t>最後の夜にしてやるか！</t>
    <rPh sb="0" eb="2">
      <t>サイゴ</t>
    </rPh>
    <rPh sb="3" eb="4">
      <t>ヨル</t>
    </rPh>
    <phoneticPr fontId="22"/>
  </si>
  <si>
    <t>単体に2回大ダメージ</t>
    <rPh sb="0" eb="2">
      <t>タンタ</t>
    </rPh>
    <rPh sb="4" eb="5">
      <t>カ</t>
    </rPh>
    <rPh sb="5" eb="6">
      <t>ダ</t>
    </rPh>
    <phoneticPr fontId="22"/>
  </si>
  <si>
    <t>[effect:damage, target:enemy_one, color:blue, val:1.2, animation:damage_one_blue03],[effect:damage, target:enemy_one, color:blue, val:1.2, animation:damage_one_blue03]</t>
    <phoneticPr fontId="22"/>
  </si>
  <si>
    <t>[effect:damage, target:enemy_one, color:blue, val:1.35, animation:damage_one_blue04],[effect:damage, target:enemy_one, color:blue, val:1.35, animation:damage_one_blue04]</t>
    <phoneticPr fontId="22"/>
  </si>
  <si>
    <t>[effect:damage_hp, target:enemy_one, color:yellow, val:1.25, animation:damage_one_yellow04]</t>
    <phoneticPr fontId="22"/>
  </si>
  <si>
    <t>単体に2回中ダメージ</t>
    <rPh sb="0" eb="2">
      <t>タンタ</t>
    </rPh>
    <rPh sb="4" eb="5">
      <t>カ</t>
    </rPh>
    <phoneticPr fontId="22"/>
  </si>
  <si>
    <t>1体に中ダメージ
ヒューマンに効果特大</t>
    <rPh sb="3" eb="4">
      <t>チュウ</t>
    </rPh>
    <rPh sb="17" eb="18">
      <t>トk</t>
    </rPh>
    <phoneticPr fontId="22"/>
  </si>
  <si>
    <t>1体に中ダメージ
アニマルに効果特大</t>
    <rPh sb="3" eb="4">
      <t>チュウ</t>
    </rPh>
    <rPh sb="16" eb="17">
      <t>トk</t>
    </rPh>
    <phoneticPr fontId="22"/>
  </si>
  <si>
    <t>[effect:damage_anti_tribe, target:enemy_one, tribe:animal, val1:3.375, val2:1.13,  animation:damage_one_green05]</t>
    <phoneticPr fontId="22"/>
  </si>
  <si>
    <t>1体に大ダメージ</t>
    <rPh sb="1" eb="2">
      <t>タイニ</t>
    </rPh>
    <rPh sb="3" eb="4">
      <t>ダ</t>
    </rPh>
    <phoneticPr fontId="22"/>
  </si>
  <si>
    <t>[effect:damage, target:enemy_one, color:red, val:2.25, animation:damage_one_red05]</t>
  </si>
  <si>
    <t>1体に特大ダメージ</t>
    <rPh sb="1" eb="2">
      <t>タイニ</t>
    </rPh>
    <rPh sb="3" eb="5">
      <t>トクダ</t>
    </rPh>
    <phoneticPr fontId="22"/>
  </si>
  <si>
    <t>[effect:damage_anti_tribe, target:enemy_one, tribe:human, val1:3.375, val2:1.13,  animation:damage_one_red05]</t>
    <phoneticPr fontId="22"/>
  </si>
  <si>
    <t>[effect:damage_anti_tribe, target:enemy_one, tribe:human, val1:3.0, val2:1.13,  animation:damage_one_red05]</t>
    <phoneticPr fontId="22"/>
  </si>
  <si>
    <t>1体に中ダメージ
ヒューマンに効果大</t>
    <rPh sb="3" eb="4">
      <t>チュウ</t>
    </rPh>
    <phoneticPr fontId="22"/>
  </si>
  <si>
    <t>3ターン赤属性の攻撃力を大UP+大カウンター</t>
    <rPh sb="4" eb="7">
      <t>アカz</t>
    </rPh>
    <rPh sb="8" eb="11">
      <t>コウゲk</t>
    </rPh>
    <rPh sb="12" eb="13">
      <t>トk</t>
    </rPh>
    <rPh sb="16" eb="17">
      <t>ダイカ</t>
    </rPh>
    <phoneticPr fontId="22"/>
  </si>
  <si>
    <t>3ターン赤属性の攻撃力と防御力を特大UP+特大カウンター</t>
    <rPh sb="4" eb="7">
      <t>アカz</t>
    </rPh>
    <rPh sb="8" eb="11">
      <t>コウゲk</t>
    </rPh>
    <rPh sb="12" eb="15">
      <t>ボ</t>
    </rPh>
    <rPh sb="16" eb="18">
      <t>トk</t>
    </rPh>
    <rPh sb="21" eb="22">
      <t>トk</t>
    </rPh>
    <rPh sb="22" eb="23">
      <t>ダイカ</t>
    </rPh>
    <phoneticPr fontId="22"/>
  </si>
  <si>
    <t>3ターン種族アニマルの攻撃力・防御力・回復力を特大UP</t>
    <rPh sb="4" eb="6">
      <t>シュゾk</t>
    </rPh>
    <rPh sb="11" eb="14">
      <t>コウゲk</t>
    </rPh>
    <rPh sb="15" eb="18">
      <t>ボ</t>
    </rPh>
    <rPh sb="19" eb="22">
      <t>カ</t>
    </rPh>
    <rPh sb="23" eb="25">
      <t>トk</t>
    </rPh>
    <phoneticPr fontId="22"/>
  </si>
  <si>
    <t>[effect:enhance_unit, target:unit_animal, turn:3, status:attack, val:0.21, calc:mul, animation:enhance_unit_all_attack04_unit01],
[effect:enhance_unit, target:unit_animal, turn:3, status:defense, val:1080, calc:add, animation:enhance_unit_all_defense04_unit01],[effect:enhance_unit, target:unit_animal, turn:3, status:heal, val:0.45, calc:mul, animation:enhance_unit_all_heal04_unit01]</t>
    <phoneticPr fontId="22"/>
  </si>
  <si>
    <t>[effect:enhance_unit, target:unit_red, turn:3, status:attack, val:0.21, calc:mul, animation:enhance_unit_all_attack04_unit01],
[effect:enhance_unit, target:unit_red, turn:3, status:defense, val:1080, calc:add, animation:enhance_unit_all_defense04_unit01],
[effect:counter_new, target:unit_all, invoke_condition:enemy_all, counter_target:attacker, turn:3, val:2.0]</t>
    <phoneticPr fontId="22"/>
  </si>
  <si>
    <t>3ターン種族マシンの攻撃力と防御力を特大UP+ハートパネルを緑パネルに変換</t>
    <rPh sb="4" eb="6">
      <t>SY</t>
    </rPh>
    <rPh sb="10" eb="13">
      <t>コウゲK</t>
    </rPh>
    <rPh sb="14" eb="17">
      <t>ボ</t>
    </rPh>
    <rPh sb="18" eb="20">
      <t>トK</t>
    </rPh>
    <rPh sb="30" eb="31">
      <t>ミドR</t>
    </rPh>
    <rPh sb="35" eb="37">
      <t>ヘN</t>
    </rPh>
    <phoneticPr fontId="22"/>
  </si>
  <si>
    <t>[effect:enhance_unit, target:unit_animal, turn:3, status:attack, val:0.21, calc:mul, animation:enhance_unit_all_attack04_unit01],
[effect:enhance_unit, target:unit_animal, turn:3, status:defense, val:1080, calc:add, animation:enhance_unit_all_defense04_unit01],[effect:enhance_unit, target:unit_animal, turn:3, status:heal, val:0.45, calc:mul, animation:enhance_unit_all_heal04_unit01]</t>
    <phoneticPr fontId="22"/>
  </si>
  <si>
    <t xml:space="preserve">[effect:counter_new, target:unit_all, invoke_condition:enemy_all, counter_target:attacker, turn:3, val:4.0],[effect:force_change_block, new_block:block_yellow, target:block_red, color:block_heart, count:0, val:8, animation:change_block],[effect:break_enchance_unit, val:24, lowest_val:960, count :-1, status:defense, turn:3, block:block_blue, target:unit_yellow, calc:add, animation:enhance_unit_all_defense04]  </t>
    <phoneticPr fontId="22"/>
  </si>
  <si>
    <t xml:space="preserve">[effect:enhance_unit, target:unit_machine, turn:3, status:attack, val:0.21, calc:mul, animation:enhance_unit_all_attack04_unit01],
[effect:enhance_unit, target:unit_machine, turn:3, status:defense, val:1080, calc:add, animation:enhance_unit_all_defense04_unit01],[effect:force_change_block, new_block:block_green, target:block_heart, count:0, val:8, animation:change_block]
</t>
    <phoneticPr fontId="22"/>
  </si>
  <si>
    <t xml:space="preserve">[effect:counter_new, target:unit_all, invoke_condition:enemy_all, counter_target:attacker, turn:3, val:3.0],[effect:force_change_block, new_block:block_yellow, target:block_red, color:block_heart, count:0, val:8, animation:change_block],[effect:break_enchance_unit, val:24, lowest_val:960, count :-1, status:defense, turn:3, block:block_blue, target:unit_yellow, calc:add, animation:enhance_unit_all_defense04]  </t>
    <phoneticPr fontId="22"/>
  </si>
  <si>
    <t>ブート・ザ・ナイトメア</t>
    <phoneticPr fontId="22"/>
  </si>
  <si>
    <t>みんな笑顔にしちゃお！</t>
  </si>
  <si>
    <t>[effect:enhance_unit, target:unit_red, turn:3, status:attack, val:0.213, calc:mul, animation:enhance_unit_all_attack03],[effect:counter_new, target:unit_all, invoke_condition:enemy_all, counter_target:attacker, turn:3, val:2.0]</t>
    <phoneticPr fontId="22"/>
  </si>
  <si>
    <t>[effect:damage, target:enemy_one, color:red, val:2.0, animation:damage_one_red04]</t>
    <phoneticPr fontId="22"/>
  </si>
  <si>
    <t>全体に特大ダメージ</t>
    <rPh sb="0" eb="2">
      <t>ゼn</t>
    </rPh>
    <rPh sb="3" eb="5">
      <t>トk</t>
    </rPh>
    <phoneticPr fontId="22"/>
  </si>
  <si>
    <t>全体に超大ダメージ</t>
    <rPh sb="0" eb="2">
      <t>ゼn</t>
    </rPh>
    <rPh sb="3" eb="4">
      <t>チョ</t>
    </rPh>
    <rPh sb="4" eb="5">
      <t>トk</t>
    </rPh>
    <phoneticPr fontId="22"/>
  </si>
  <si>
    <t>青パネルを黄パネルに変換+1ターン黄パネルの出現率UP</t>
    <rPh sb="17" eb="18">
      <t>キイロ</t>
    </rPh>
    <rPh sb="22" eb="25">
      <t>シュツゲンリツ</t>
    </rPh>
    <phoneticPr fontId="22"/>
  </si>
  <si>
    <t>青パネルを黄パネルに変換+1ターン黄パネルの出現率大UP</t>
    <rPh sb="17" eb="18">
      <t>キイロ</t>
    </rPh>
    <rPh sb="22" eb="25">
      <t>シュツゲンリツ</t>
    </rPh>
    <rPh sb="25" eb="26">
      <t>ダ</t>
    </rPh>
    <phoneticPr fontId="22"/>
  </si>
  <si>
    <t>全体に特大ダメージ</t>
    <rPh sb="0" eb="2">
      <t>ゼn</t>
    </rPh>
    <rPh sb="3" eb="5">
      <t>トクダ</t>
    </rPh>
    <phoneticPr fontId="22"/>
  </si>
  <si>
    <t>[effect:damage, target:enemy_all, color:blue, val:1.125, animation:damage_all_blue05]</t>
    <phoneticPr fontId="22"/>
  </si>
  <si>
    <t>[effect:damage, target:enemy_all, color:yellow, val:1.125, animation:damage_all_yellow05]</t>
    <phoneticPr fontId="22"/>
  </si>
  <si>
    <t>[effect:damage, target:enemy_all, color:yellow, val:1.25, animation:damage_all_yellow05]</t>
    <phoneticPr fontId="22"/>
  </si>
  <si>
    <t>[effect:force_change_block, new_block:block_yellow, target:block_blue, color:block_heart, count:0, val:8, animation:change_block], 
[effect:change_panel_ratio, turn:1, block_type:yellow, val:0.4]</t>
    <phoneticPr fontId="22"/>
  </si>
  <si>
    <t>[effect:force_change_block, new_block:block_yellow, target:block_blue, color:block_heart, count:0, val:8, animation:change_block], 
[effect:change_panel_ratio, turn:1, block_type:yellow, val:0.6]</t>
    <phoneticPr fontId="22"/>
  </si>
  <si>
    <t>kumo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</si>
  <si>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</si>
  <si>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</si>
  <si>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</si>
  <si>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</si>
  <si>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</si>
  <si>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</si>
  <si>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</si>
  <si>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</si>
  <si>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</si>
  <si>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</si>
  <si>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</si>
  <si>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</si>
  <si>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</si>
  <si>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</si>
  <si>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</si>
  <si>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</si>
  <si>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</si>
  <si>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</si>
  <si>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</si>
  <si>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</si>
  <si>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</si>
  <si>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10"/>
  </si>
  <si>
    <t>[effect:break_attack, val:0.43, lowest_val:0, count:-1, block01:block_green,block02:block_red,color:blue, target:enemy_one, animation:damage_one_blue06],[effect:force_change_block, new_block:crash, target:block_blue, count:7, val:8, animation:change_block]</t>
    <phoneticPr fontId="22"/>
  </si>
  <si>
    <t>[effect:break_attack, val:0.43, lowest_val:0, count:-1, block01:block_green,block02:block_red,color:blue, target:enemy_one, animation:damage_one_blue06],[effect:force_change_block, new_block:crash, target:block_blue, count:7, val:8, animation:change_block],[effect:enhance_unit, target:unit_all, turn:1, status:attack, val:0.175, calc:mul, animation:enhance_unit_all_attack03]</t>
    <phoneticPr fontId="22"/>
  </si>
  <si>
    <t>青パネルを最大7つCパネルに変換+1体にダメージ（赤・緑パネルを吸収して効果特大UP）+1ターン全ユニットの攻撃力大UP</t>
    <phoneticPr fontId="22"/>
  </si>
  <si>
    <t>青パネルを最大7つCパネルに変換+1体にダメージ（赤・緑パネルを吸収して効果特大UP）</t>
    <phoneticPr fontId="22"/>
  </si>
  <si>
    <t>[effect:damage, target:enemy_all, color:blue, val:1.75, animation:damage_all_blue05]</t>
    <phoneticPr fontId="22"/>
  </si>
  <si>
    <t>1ターン敵の防御力を0にし、自身のHPの最大値で1体に特大ダメージ+3ターン青属性ユニットの攻撃力と防御力を特大UP</t>
    <phoneticPr fontId="22"/>
  </si>
  <si>
    <t>[effect:guard_break, target:enemy_all, turn:1, val:1.0, calc:mul, animation:guard_break02],[effect:enhance_unit, target:unit_blue, turn:3, status:attack, val:0.213, calc:mul, animation:enhance_unit_all_attack03],[effect:enhance_unit, target:unit_blue, turn:3, status:defense, val:1080, calc:add, animation:enhance_unit_all_defense03_unit01],[effect:damage_hp, target:enemy_one, color:blue, val:4.896, animation:damage_one_blue04]</t>
    <phoneticPr fontId="22"/>
  </si>
  <si>
    <t>[effect:guard_break, target:enemy_all, turn:1, val:1.0, calc:mul, animation:guard_break02],[effect:enhance_unit, target:unit_blue, turn:3, status:attack, val:0.213, calc:mul, animation:enhance_unit_all_attack03],[effect:enhance_unit, target:unit_blue, turn:3, status:defense, val:1080, calc:add, animation:enhance_unit_all_defense03_unit01],[effect:damage_hp, target:enemy_one, color:blue, val:4.896, animation:damage_one_blue04]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</si>
</sst>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8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3" fillId="0" borderId="4" xfId="0" applyFont="1" applyBorder="1"/>
    <xf numFmtId="0" fontId="29" fillId="0" borderId="0" xfId="0" applyFont="1"/>
    <xf numFmtId="0" fontId="12" fillId="27" borderId="4" xfId="0" applyFont="1" applyFill="1" applyBorder="1" applyAlignment="1">
      <alignment horizontal="left" vertical="center"/>
    </xf>
    <xf numFmtId="0" fontId="12" fillId="27" borderId="4" xfId="0" applyFont="1" applyFill="1" applyBorder="1" applyAlignment="1">
      <alignment horizontal="left" vertical="center" wrapText="1"/>
    </xf>
    <xf numFmtId="0" fontId="16" fillId="27" borderId="4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16" fillId="27" borderId="4" xfId="0" applyFont="1" applyFill="1" applyBorder="1" applyAlignment="1">
      <alignment horizontal="left" vertical="center" wrapText="1"/>
    </xf>
    <xf numFmtId="0" fontId="0" fillId="0" borderId="4" xfId="0" applyFill="1" applyBorder="1" applyAlignment="1">
      <alignment wrapText="1"/>
    </xf>
    <xf numFmtId="0" fontId="12" fillId="27" borderId="4" xfId="0" applyFont="1" applyFill="1" applyBorder="1" applyAlignment="1">
      <alignment vertical="center"/>
    </xf>
    <xf numFmtId="0" fontId="12" fillId="27" borderId="4" xfId="0" applyFont="1" applyFill="1" applyBorder="1" applyAlignment="1">
      <alignment vertical="center" wrapText="1"/>
    </xf>
    <xf numFmtId="0" fontId="12" fillId="28" borderId="4" xfId="0" applyFont="1" applyFill="1" applyBorder="1" applyAlignment="1">
      <alignment horizontal="left" vertical="center" wrapText="1"/>
    </xf>
    <xf numFmtId="0" fontId="14" fillId="26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13" fillId="29" borderId="4" xfId="0" applyFont="1" applyFill="1" applyBorder="1" applyAlignment="1">
      <alignment vertical="center"/>
    </xf>
  </cellXfs>
  <cellStyles count="468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engoku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awake_material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name</v>
          </cell>
          <cell r="AR1" t="str">
            <v>comment</v>
          </cell>
          <cell r="AS1" t="str">
            <v>等級</v>
          </cell>
          <cell r="AT1" t="str">
            <v>crash_skill_id</v>
          </cell>
          <cell r="AU1" t="str">
            <v>name</v>
          </cell>
          <cell r="AV1" t="str">
            <v>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720</v>
          </cell>
        </row>
        <row r="3">
          <cell r="A3">
            <v>721</v>
          </cell>
        </row>
        <row r="4">
          <cell r="A4">
            <v>722</v>
          </cell>
        </row>
        <row r="5">
          <cell r="A5">
            <v>723</v>
          </cell>
        </row>
        <row r="6">
          <cell r="A6">
            <v>724</v>
          </cell>
        </row>
        <row r="7">
          <cell r="A7">
            <v>725</v>
          </cell>
        </row>
        <row r="8">
          <cell r="A8">
            <v>726</v>
          </cell>
        </row>
        <row r="9">
          <cell r="A9">
            <v>727</v>
          </cell>
        </row>
        <row r="10">
          <cell r="A10">
            <v>728</v>
          </cell>
        </row>
        <row r="11">
          <cell r="A11">
            <v>729</v>
          </cell>
        </row>
        <row r="12">
          <cell r="A12">
            <v>730</v>
          </cell>
        </row>
        <row r="13">
          <cell r="A13">
            <v>731</v>
          </cell>
        </row>
        <row r="14">
          <cell r="A14">
            <v>732</v>
          </cell>
        </row>
        <row r="15">
          <cell r="A15">
            <v>733</v>
          </cell>
        </row>
        <row r="16">
          <cell r="A16">
            <v>734</v>
          </cell>
        </row>
        <row r="17">
          <cell r="A17">
            <v>735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R3" sqref="R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249</v>
      </c>
      <c r="B2" s="109" t="s">
        <v>129</v>
      </c>
      <c r="C2" s="168" t="s">
        <v>248</v>
      </c>
      <c r="D2" s="109" t="s">
        <v>128</v>
      </c>
      <c r="E2" s="108" t="str">
        <f>B2&amp;C2&amp;D2</f>
        <v>units_grimm02.tmp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395</v>
      </c>
      <c r="S2" s="109"/>
      <c r="T2" s="109"/>
      <c r="U2" s="109"/>
      <c r="V2" s="109"/>
      <c r="W2" s="109"/>
    </row>
    <row r="3" spans="1:23" x14ac:dyDescent="0.15">
      <c r="A3" s="109" t="s">
        <v>249</v>
      </c>
      <c r="B3" s="109" t="s">
        <v>130</v>
      </c>
      <c r="C3" s="168" t="str">
        <f>C2</f>
        <v>grimm02</v>
      </c>
      <c r="D3" s="109" t="s">
        <v>128</v>
      </c>
      <c r="E3" s="108" t="str">
        <f>B3&amp;C3&amp;D3</f>
        <v>awake_materials_grimm02.tmp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249</v>
      </c>
      <c r="B4" s="109" t="s">
        <v>131</v>
      </c>
      <c r="C4" s="168" t="str">
        <f t="shared" ref="C4:C10" si="0">C3</f>
        <v>grimm02</v>
      </c>
      <c r="D4" s="109" t="s">
        <v>132</v>
      </c>
      <c r="E4" s="108" t="str">
        <f t="shared" ref="E4" si="1">B4&amp;C4&amp;D4</f>
        <v>unit_levels_calc_grimm02.tmp</v>
      </c>
      <c r="F4" s="109" t="s">
        <v>122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249</v>
      </c>
      <c r="B5" s="109" t="s">
        <v>143</v>
      </c>
      <c r="C5" s="168" t="str">
        <f t="shared" si="0"/>
        <v>grimm02</v>
      </c>
      <c r="D5" s="109" t="s">
        <v>144</v>
      </c>
      <c r="E5" s="108" t="str">
        <f>B5&amp;C5&amp;D5</f>
        <v>unit_skills_data_grimm02.tmp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249</v>
      </c>
      <c r="B6" s="109" t="s">
        <v>149</v>
      </c>
      <c r="C6" s="168" t="str">
        <f t="shared" si="0"/>
        <v>grimm02</v>
      </c>
      <c r="D6" s="109" t="s">
        <v>128</v>
      </c>
      <c r="E6" s="108" t="str">
        <f>B6&amp;C6&amp;D6</f>
        <v>unit_skills_i18n_grimm02.tmp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249</v>
      </c>
      <c r="B7" s="109" t="s">
        <v>153</v>
      </c>
      <c r="C7" s="168" t="str">
        <f t="shared" si="0"/>
        <v>grimm02</v>
      </c>
      <c r="D7" s="109" t="s">
        <v>154</v>
      </c>
      <c r="E7" s="108" t="str">
        <f>B7&amp;C7&amp;D7</f>
        <v>crash_skills_data_grimm02.tmp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249</v>
      </c>
      <c r="B8" s="109" t="s">
        <v>157</v>
      </c>
      <c r="C8" s="168" t="str">
        <f t="shared" si="0"/>
        <v>grimm02</v>
      </c>
      <c r="D8" s="109" t="s">
        <v>158</v>
      </c>
      <c r="E8" s="108" t="str">
        <f t="shared" ref="E8" si="2">B8&amp;C8&amp;D8</f>
        <v>crash_skills_i18n_grimm02.tmp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249</v>
      </c>
      <c r="B9" s="112" t="s">
        <v>135</v>
      </c>
      <c r="C9" s="168" t="str">
        <f t="shared" si="0"/>
        <v>grimm02</v>
      </c>
      <c r="D9" s="109" t="s">
        <v>158</v>
      </c>
      <c r="E9" s="108" t="str">
        <f t="shared" ref="E9:E10" si="3">B9&amp;C9&amp;D9</f>
        <v>unit_serifs_data_grimm02.tmp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189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249</v>
      </c>
      <c r="B10" s="112" t="s">
        <v>136</v>
      </c>
      <c r="C10" s="168" t="str">
        <f t="shared" si="0"/>
        <v>grimm02</v>
      </c>
      <c r="D10" s="109" t="s">
        <v>158</v>
      </c>
      <c r="E10" s="108" t="str">
        <f t="shared" si="3"/>
        <v>unit_serifs_i18n_grimm02.tmp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5"/>
  <sheetViews>
    <sheetView showGridLines="0" workbookViewId="0">
      <pane xSplit="9" ySplit="1" topLeftCell="AO2" activePane="bottomRight" state="frozen"/>
      <selection pane="topRight" activeCell="J1" sqref="J1"/>
      <selection pane="bottomLeft" activeCell="A3" sqref="A3"/>
      <selection pane="bottomRight" activeCell="H7" sqref="H7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82" t="s">
        <v>86</v>
      </c>
      <c r="BR1" s="10" t="s">
        <v>396</v>
      </c>
    </row>
    <row r="2" spans="1:70" ht="26" customHeight="1" x14ac:dyDescent="0.15">
      <c r="A2" s="12">
        <v>856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リフレクト＆M.I.R.R.O.R.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各属性相性良3・黄・R474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8">
        <f ca="1">IF(G2 &gt;= 6, 99,G2*15)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f>A3</f>
        <v>857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嫉心のリフレクト＆M.I.R.R.O.R.</v>
      </c>
      <c r="AG2" s="5">
        <f t="shared" ref="AG2:AG15" ca="1" si="0">IF(ISNA(MATCH(A2,AE:AE,0)),A2,INDIRECT(ADDRESS(MATCH(A2,AE:AE,0),COLUMN())))</f>
        <v>856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リフレクト＆M.I.R.R.O.R.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7">
        <f>A2</f>
        <v>856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アンサー・ミー！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3ターン赤属性の攻撃力を大UP+大カウンター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856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ミラーリング・アサルト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5800</v>
      </c>
      <c r="BD2" s="48">
        <f t="shared" ref="BD2:BD3" ca="1" si="2">ROUND(BC2*IF(AJ2=1,0.95,IF(AJ2=2,1,IF(AJ2,1.05,0))),0)</f>
        <v>5800</v>
      </c>
      <c r="BE2" s="11">
        <f t="shared" ref="BE2:BE15" ca="1" si="3">ROUND(IFERROR(INDIRECT(ADDRESS(MATCH($A2,$AE:$AE,0),MATCH($BC$1,$1:$1,0))),0),0)</f>
        <v>0</v>
      </c>
      <c r="BF2" s="11">
        <f t="shared" ref="BF2:BF15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1227</v>
      </c>
      <c r="BH2" s="16">
        <f ca="1">IF($BE2&lt;=0,ROUND(BL2*0.5,0), ROUND($BE2*T2*AB2*K2*AZ2*0.8*[1]ステータス!$C$2,0))</f>
        <v>791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684</v>
      </c>
      <c r="BK2" s="11">
        <f ca="1">ROUND(BD2*S2*AA2*J2*AY2*[1]ステータス!$B$2,0)</f>
        <v>2453</v>
      </c>
      <c r="BL2" s="11">
        <f ca="1">ROUND(BD2*T2*AB2*K2*AZ2*[1]ステータス!$C$2,0)</f>
        <v>1581</v>
      </c>
      <c r="BM2" s="11">
        <f ca="1">ROUND(BD2*U2*AC2*L2*BA2*[1]ステータス!$D$2,0)</f>
        <v>0</v>
      </c>
      <c r="BN2" s="11">
        <f ca="1">ROUND(BD2*V2*AD2*M2*BB2*[1]ステータス!$E$2,0)</f>
        <v>1368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857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嫉心のリフレクト＆M.I.R.R.O.R.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各属性相性良3・黄・R475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8">
        <f t="shared" ref="P3:P4" ca="1" si="5">IF(G3 &gt;= 6, 99,G3*15)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182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856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リフレクト＆M.I.R.R.O.R.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ref="AP3:AP15" si="6">A3</f>
        <v>857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アンサー・ミー・ケアフリー！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3ターン赤属性の攻撃力と防御力を特大UP+特大カウンター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5" si="7">A3</f>
        <v>857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イントゥ・ザ・ファイアー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1体に中ダメージ_x000D_ヒューマンに効果特大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1.1000000000000001</v>
      </c>
      <c r="AZ3" s="68">
        <v>1.4</v>
      </c>
      <c r="BA3" s="68">
        <v>0</v>
      </c>
      <c r="BB3" s="68">
        <v>0.93799999999999994</v>
      </c>
      <c r="BC3" s="11">
        <f ca="1">INDEX('RC6SV'!$A$1:$G$20,MATCH(H3,'RC6SV'!$A$1:$A$20,FALSE),MATCH(G3,'RC6SV'!$A$1:$G$1,FALSE))</f>
        <v>7600</v>
      </c>
      <c r="BD3" s="48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2159</v>
      </c>
      <c r="BH3" s="16">
        <f ca="1">IF($BE3&lt;=0,ROUND(BL3*0.5,0), ROUND($BE3*T3*AB3*K3*AZ3*0.8*[1]ステータス!$C$2,0))</f>
        <v>1771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1027</v>
      </c>
      <c r="BK3" s="11">
        <f ca="1">ROUND(BD3*S3*AA3*J3*AY3*[1]ステータス!$B$2,0)</f>
        <v>3536</v>
      </c>
      <c r="BL3" s="11">
        <f ca="1">ROUND(BD3*T3*AB3*K3*AZ3*[1]ステータス!$C$2,0)</f>
        <v>2901</v>
      </c>
      <c r="BM3" s="11">
        <f ca="1">ROUND(BD3*U3*AC3*L3*BA3*[1]ステータス!$D$2,0)</f>
        <v>0</v>
      </c>
      <c r="BN3" s="11">
        <f ca="1">ROUND(BD3*V3*AD3*M3*BB3*[1]ステータス!$E$2,0)</f>
        <v>1682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858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Mr.ホエール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各属性相性良3・黄・R476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8">
        <f t="shared" ca="1" si="5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machine</v>
      </c>
      <c r="X4" s="5" t="str">
        <f ca="1">VLOOKUP(W4,[1]character_tribe_i18n!$A:$H,3,FALSE)</f>
        <v>マシン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 t="shared" ref="AE4" si="8">A5</f>
        <v>859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夢鯨大食 Mr.ホエール</v>
      </c>
      <c r="AG4" s="5">
        <f t="shared" ca="1" si="0"/>
        <v>858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Mr.ホエール</v>
      </c>
      <c r="AI4" s="11">
        <f ca="1">IF(AE4="NULL","NULL",VLOOKUP(G4,ビット!$A$2:$B$7,2))</f>
        <v>50000</v>
      </c>
      <c r="AJ4" s="6">
        <v>2</v>
      </c>
      <c r="AK4" s="7" t="str">
        <f t="shared" ref="AK4:AK15" si="9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7">
        <f t="shared" si="6"/>
        <v>858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イノセント・ダイジェスチョン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青パネルを黄パネルに変換+1ターン黄パネルの出現率UP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858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スイミング・ボディアタック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全体に特大ダメージ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</v>
      </c>
      <c r="BA4" s="68">
        <v>0</v>
      </c>
      <c r="BB4" s="68">
        <v>1</v>
      </c>
      <c r="BC4" s="11">
        <f ca="1">INDEX('RC6SV'!$A$1:$G$20,MATCH(H4,'RC6SV'!$A$1:$A$20,FALSE),MATCH(G4,'RC6SV'!$A$1:$G$1,FALSE))</f>
        <v>5800</v>
      </c>
      <c r="BD4" s="48">
        <f t="shared" ref="BD4:BD15" ca="1" si="10">ROUND(BC4*IF(AJ4=1,0.95,IF(AJ4=2,1,IF(AJ4,1.05,0))),0)</f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2061</v>
      </c>
      <c r="BH4" s="16">
        <f ca="1">IF($BE4&lt;=0,ROUND(BL4*0.5,0), ROUND($BE4*T4*AB4*K4*AZ4*0.8*[1]ステータス!$C$2,0))</f>
        <v>747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513</v>
      </c>
      <c r="BK4" s="11">
        <f ca="1">ROUND(BD4*S4*AA4*J4*AY4*[1]ステータス!$B$2,0)</f>
        <v>4121</v>
      </c>
      <c r="BL4" s="11">
        <f ca="1">ROUND(BD4*T4*AB4*K4*AZ4*[1]ステータス!$C$2,0)</f>
        <v>1494</v>
      </c>
      <c r="BM4" s="11">
        <f ca="1">ROUND(BD4*U4*AC4*L4*BA4*[1]ステータス!$D$2,0)</f>
        <v>0</v>
      </c>
      <c r="BN4" s="11">
        <f ca="1">ROUND(BD4*V4*AD4*M4*BB4*[1]ステータス!$E$2,0)</f>
        <v>1025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859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夢鯨大食 Mr.ホエール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各属性相性良3・黄・R477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8">
        <f t="shared" ref="P5:P15" ca="1" si="11">IF(G5 &gt;= 6, 99,G5*15)</f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1">
        <f ca="1">VLOOKUP(Q5,[1]character_type_i18n!$A:$H,4,FALSE)</f>
        <v>1.45</v>
      </c>
      <c r="T5" s="11">
        <f ca="1">VLOOKUP(Q5,[1]character_type_i18n!$A:$H,5,FALSE)</f>
        <v>0.85</v>
      </c>
      <c r="U5" s="11">
        <f ca="1">VLOOKUP(Q5,[1]character_type_i18n!$A:$H,6,FALSE)</f>
        <v>1</v>
      </c>
      <c r="V5" s="11">
        <f ca="1">VLOOKUP(Q5,[1]character_type_i18n!$A:$H,7,FALSE)</f>
        <v>0.7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machine</v>
      </c>
      <c r="X5" s="5" t="str">
        <f ca="1">VLOOKUP(W5,[1]character_tribe_i18n!$A:$H,3,FALSE)</f>
        <v>マシン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182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858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Mr.ホエール</v>
      </c>
      <c r="AI5" s="11" t="str">
        <f>IF(AE5="NULL","NULL",VLOOKUP(G5,ビット!$A$2:$B$7,2))</f>
        <v>NULL</v>
      </c>
      <c r="AJ5" s="6">
        <v>2</v>
      </c>
      <c r="AK5" s="7" t="str">
        <f t="shared" si="9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 t="shared" si="6"/>
        <v>859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イート・ザ・ワールド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青パネルを黄パネルに変換+1ターン黄パネルの出現率大UP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859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スマイリング・ボディアタック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全体に超大ダメージ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1.1000000000000001</v>
      </c>
      <c r="AZ5" s="68">
        <v>1.03</v>
      </c>
      <c r="BA5" s="68">
        <v>0</v>
      </c>
      <c r="BB5" s="68">
        <v>1</v>
      </c>
      <c r="BC5" s="11">
        <f ca="1">INDEX('RC6SV'!$A$1:$G$20,MATCH(H5,'RC6SV'!$A$1:$A$20,FALSE),MATCH(G5,'RC6SV'!$A$1:$G$1,FALSE))</f>
        <v>7600</v>
      </c>
      <c r="BD5" s="48">
        <f t="shared" ca="1" si="10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3626</v>
      </c>
      <c r="BH5" s="16">
        <f ca="1">IF($BE5&lt;=0,ROUND(BL5*0.5,0), ROUND($BE5*T5*AB5*K5*AZ5*0.8*[1]ステータス!$C$2,0))</f>
        <v>1231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820</v>
      </c>
      <c r="BK5" s="11">
        <f ca="1">ROUND(BD5*S5*AA5*J5*AY5*[1]ステータス!$B$2,0)</f>
        <v>5940</v>
      </c>
      <c r="BL5" s="11">
        <f ca="1">ROUND(BD5*T5*AB5*K5*AZ5*[1]ステータス!$C$2,0)</f>
        <v>2016</v>
      </c>
      <c r="BM5" s="11">
        <f ca="1">ROUND(BD5*U5*AC5*L5*BA5*[1]ステータス!$D$2,0)</f>
        <v>0</v>
      </c>
      <c r="BN5" s="11">
        <f ca="1">ROUND(BD5*V5*AD5*M5*BB5*[1]ステータス!$E$2,0)</f>
        <v>1343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860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叶望の幻燈 ジーナ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各属性相性良3・黄・R478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30</v>
      </c>
      <c r="O6" s="11">
        <f ca="1">INDEX(レベル!$A$1:$I$21,MATCH(H6,レベル!$A$1:$A$21,FALSE),MATCH(G6,レベル!$A$1:$I$1,FALSE))</f>
        <v>80</v>
      </c>
      <c r="P6" s="48">
        <f t="shared" ca="1" si="11"/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god</v>
      </c>
      <c r="Z6" s="5" t="str">
        <f ca="1">VLOOKUP(Y6,[1]character_tribe_i18n!$A:$H,3,FALSE)</f>
        <v>ゴッド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 t="shared" ref="AE6" si="12">A7</f>
        <v>861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青燈の巨躯 ジーナ</v>
      </c>
      <c r="AG6" s="5">
        <f t="shared" ca="1" si="0"/>
        <v>860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叶望の幻燈 ジーナ</v>
      </c>
      <c r="AI6" s="11">
        <f ca="1">IF(AE6="NULL","NULL",VLOOKUP(G6,ビット!$A$2:$B$7,2))</f>
        <v>200000</v>
      </c>
      <c r="AJ6" s="6">
        <v>2</v>
      </c>
      <c r="AK6" s="7" t="str">
        <f t="shared" si="9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7">
        <f t="shared" si="6"/>
        <v>860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デザイア・3rd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1ターン敵の防御力を0にし、自身のHPの最大値で1体に特大ダメージ+3ターン青属性ユニットの攻撃力と防御力を特大UP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860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ランプ・オブ・グリード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全体に特大ダメージ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</v>
      </c>
      <c r="AZ6" s="68">
        <v>1</v>
      </c>
      <c r="BA6" s="68">
        <v>0</v>
      </c>
      <c r="BB6" s="68">
        <v>1</v>
      </c>
      <c r="BC6" s="11">
        <f ca="1">INDEX('RC6SV'!$A$1:$G$20,MATCH(H6,'RC6SV'!$A$1:$A$20,FALSE),MATCH(G6,'RC6SV'!$A$1:$G$1,FALSE))</f>
        <v>9000</v>
      </c>
      <c r="BD6" s="48">
        <f t="shared" ca="1" si="10"/>
        <v>9000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3263</v>
      </c>
      <c r="BH6" s="16">
        <f ca="1">IF($BE6&lt;=0,ROUND(BL6*0.5,0), ROUND($BE6*T6*AB6*K6*AZ6*0.8*[1]ステータス!$C$2,0))</f>
        <v>1125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804</v>
      </c>
      <c r="BK6" s="11">
        <f ca="1">ROUND(BD6*S6*AA6*J6*AY6*[1]ステータス!$B$2,0)</f>
        <v>6525</v>
      </c>
      <c r="BL6" s="11">
        <f ca="1">ROUND(BD6*T6*AB6*K6*AZ6*[1]ステータス!$C$2,0)</f>
        <v>2249</v>
      </c>
      <c r="BM6" s="11">
        <f ca="1">ROUND(BD6*U6*AC6*L6*BA6*[1]ステータス!$D$2,0)</f>
        <v>0</v>
      </c>
      <c r="BN6" s="11">
        <f ca="1">ROUND(BD6*V6*AD6*M6*BB6*[1]ステータス!$E$2,0)</f>
        <v>1607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6" customHeight="1" x14ac:dyDescent="0.15">
      <c r="A7" s="12">
        <v>861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青燈の巨躯 ジーナ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各属性相性良3・黄・R479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45</v>
      </c>
      <c r="O7" s="11">
        <f ca="1">INDEX(レベル!$A$1:$I$21,MATCH(H7,レベル!$A$1:$A$21,FALSE),MATCH(G7,レベル!$A$1:$I$1,FALSE))</f>
        <v>99</v>
      </c>
      <c r="P7" s="48">
        <f t="shared" ca="1" si="11"/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god</v>
      </c>
      <c r="Z7" s="5" t="str">
        <f ca="1">VLOOKUP(Y7,[1]character_tribe_i18n!$A:$H,3,FALSE)</f>
        <v>ゴッド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182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860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叶望の幻燈 ジーナ</v>
      </c>
      <c r="AI7" s="11" t="str">
        <f>IF(AE7="NULL","NULL",VLOOKUP(G7,ビット!$A$2:$B$7,2))</f>
        <v>NULL</v>
      </c>
      <c r="AJ7" s="6">
        <v>2</v>
      </c>
      <c r="AK7" s="7" t="str">
        <f t="shared" si="9"/>
        <v>普通</v>
      </c>
      <c r="AL7" s="11" t="str">
        <f ca="1">INDEX(経験値!$A$1:$I$20,MATCH(H7,経験値!$A$1:$A$20,FALSE),MATCH(G7,経験値!$A$1:$I$1,FALSE))</f>
        <v>required_exp_250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f t="shared" si="6"/>
        <v>861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デザイア・3rd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1ターン敵の防御力を0にし、自身のHPの最大値で1体に特大ダメージ+3ターン青属性ユニットの攻撃力と防御力を特大UP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861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ランプ・オブ・ミラージュ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全体に超大ダメージ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</v>
      </c>
      <c r="AZ7" s="68">
        <v>1.03</v>
      </c>
      <c r="BA7" s="68">
        <v>0</v>
      </c>
      <c r="BB7" s="68">
        <v>1</v>
      </c>
      <c r="BC7" s="11">
        <f ca="1">INDEX('RC6SV'!$A$1:$G$20,MATCH(H7,'RC6SV'!$A$1:$A$20,FALSE),MATCH(G7,'RC6SV'!$A$1:$G$1,FALSE))</f>
        <v>12000</v>
      </c>
      <c r="BD7" s="48">
        <f t="shared" ca="1" si="10"/>
        <v>12000</v>
      </c>
      <c r="BE7" s="11">
        <f t="shared" ca="1" si="3"/>
        <v>9000</v>
      </c>
      <c r="BF7" s="11">
        <f t="shared" ca="1" si="4"/>
        <v>1</v>
      </c>
      <c r="BG7" s="16">
        <f ca="1">IF($BE7&lt;=0,ROUND(BK7*0.5,0), ROUND($BE7*S7*AA7*J7*AY7*0.8*[1]ステータス!$B$2,0))</f>
        <v>5220</v>
      </c>
      <c r="BH7" s="16">
        <f ca="1">IF($BE7&lt;=0,ROUND(BL7*0.5,0), ROUND($BE7*T7*AB7*K7*AZ7*0.8*[1]ステータス!$C$2,0))</f>
        <v>1853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1285</v>
      </c>
      <c r="BK7" s="11">
        <f ca="1">ROUND(BD7*S7*AA7*J7*AY7*[1]ステータス!$B$2,0)</f>
        <v>8700</v>
      </c>
      <c r="BL7" s="11">
        <f ca="1">ROUND(BD7*T7*AB7*K7*AZ7*[1]ステータス!$C$2,0)</f>
        <v>3089</v>
      </c>
      <c r="BM7" s="11">
        <f ca="1">ROUND(BD7*U7*AC7*L7*BA7*[1]ステータス!$D$2,0)</f>
        <v>0</v>
      </c>
      <c r="BN7" s="11">
        <f ca="1">ROUND(BD7*V7*AD7*M7*BB7*[1]ステータス!$E$2,0)</f>
        <v>2142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  <row r="8" spans="1:70" ht="26" customHeight="1" x14ac:dyDescent="0.15">
      <c r="A8" s="12">
        <v>862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ブレーメン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各属性相性良3・黄・R480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20</v>
      </c>
      <c r="O8" s="11">
        <f ca="1">INDEX(レベル!$A$1:$I$21,MATCH(H8,レベル!$A$1:$A$21,FALSE),MATCH(G8,レベル!$A$1:$I$1,FALSE))</f>
        <v>60</v>
      </c>
      <c r="P8" s="48">
        <f t="shared" ca="1" si="11"/>
        <v>60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animal</v>
      </c>
      <c r="X8" s="5" t="str">
        <f ca="1">VLOOKUP(W8,[1]character_tribe_i18n!$A:$H,3,FALSE)</f>
        <v>アニマル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0.9</v>
      </c>
      <c r="AE8" s="9">
        <f t="shared" ref="AE8" si="13">A9</f>
        <v>863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歓揮の楽団長 ブレーメン</v>
      </c>
      <c r="AG8" s="5">
        <f t="shared" ca="1" si="0"/>
        <v>862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ブレーメン</v>
      </c>
      <c r="AI8" s="11">
        <f ca="1">IF(AE8="NULL","NULL",VLOOKUP(G8,ビット!$A$2:$B$7,2))</f>
        <v>50000</v>
      </c>
      <c r="AJ8" s="6">
        <v>2</v>
      </c>
      <c r="AK8" s="7" t="str">
        <f t="shared" si="9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5"/>
      <c r="AP8" s="67">
        <f t="shared" si="6"/>
        <v>862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ワンニャンピヨピヨムジーク♪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3ターン種族アニマルの攻撃力・防御力・回復力を特大UP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7"/>
        <v>862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火律のタクト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</v>
      </c>
      <c r="BC8" s="11">
        <f ca="1">INDEX('RC6SV'!$A$1:$G$20,MATCH(H8,'RC6SV'!$A$1:$A$20,FALSE),MATCH(G8,'RC6SV'!$A$1:$G$1,FALSE))</f>
        <v>7000</v>
      </c>
      <c r="BD8" s="48">
        <f t="shared" ca="1" si="10"/>
        <v>7000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1750</v>
      </c>
      <c r="BH8" s="16">
        <f ca="1">IF($BE8&lt;=0,ROUND(BL8*0.5,0), ROUND($BE8*T8*AB8*K8*AZ8*0.8*[1]ステータス!$C$2,0))</f>
        <v>1178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772</v>
      </c>
      <c r="BK8" s="11">
        <f ca="1">ROUND(BD8*S8*AA8*J8*AY8*[1]ステータス!$B$2,0)</f>
        <v>3500</v>
      </c>
      <c r="BL8" s="11">
        <f ca="1">ROUND(BD8*T8*AB8*K8*AZ8*[1]ステータス!$C$2,0)</f>
        <v>2356</v>
      </c>
      <c r="BM8" s="11">
        <f ca="1">ROUND(BD8*U8*AC8*L8*BA8*[1]ステータス!$D$2,0)</f>
        <v>0</v>
      </c>
      <c r="BN8" s="11">
        <f ca="1">ROUND(BD8*V8*AD8*M8*BB8*[1]ステータス!$E$2,0)</f>
        <v>1544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700</v>
      </c>
    </row>
    <row r="9" spans="1:70" ht="26" customHeight="1" x14ac:dyDescent="0.15">
      <c r="A9" s="12">
        <v>863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歓揮の楽団長 ブレーメン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各属性相性良3・黄・R481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8">
        <f t="shared" ca="1" si="11"/>
        <v>75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animal</v>
      </c>
      <c r="X9" s="5" t="str">
        <f ca="1">VLOOKUP(W9,[1]character_tribe_i18n!$A:$H,3,FALSE)</f>
        <v>アニマル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1.1000000000000001</v>
      </c>
      <c r="AC9" s="11">
        <f ca="1">VLOOKUP(W9,[1]character_tribe_i18n!$A:$H,6,FALSE)</f>
        <v>1</v>
      </c>
      <c r="AD9" s="11">
        <f ca="1">VLOOKUP(W9,[1]character_tribe_i18n!$A:$H,7,FALSE)</f>
        <v>0.9</v>
      </c>
      <c r="AE9" s="9" t="s">
        <v>182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862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ブレーメン</v>
      </c>
      <c r="AI9" s="11" t="str">
        <f>IF(AE9="NULL","NULL",VLOOKUP(G9,ビット!$A$2:$B$7,2))</f>
        <v>NULL</v>
      </c>
      <c r="AJ9" s="6">
        <v>2</v>
      </c>
      <c r="AK9" s="7" t="str">
        <f t="shared" si="9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7">
        <f t="shared" si="6"/>
        <v>863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ワンニャンピヨピヨムジーク♪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3ターン種族アニマルの攻撃力・防御力・回復力を特大UP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7"/>
        <v>863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炎旋律のハッピータクト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</v>
      </c>
      <c r="BA9" s="68">
        <v>0</v>
      </c>
      <c r="BB9" s="68">
        <v>1</v>
      </c>
      <c r="BC9" s="11">
        <f ca="1">INDEX('RC6SV'!$A$1:$G$20,MATCH(H9,'RC6SV'!$A$1:$A$20,FALSE),MATCH(G9,'RC6SV'!$A$1:$G$1,FALSE))</f>
        <v>9000</v>
      </c>
      <c r="BD9" s="48">
        <f t="shared" ca="1" si="10"/>
        <v>9000</v>
      </c>
      <c r="BE9" s="11">
        <f t="shared" ca="1" si="3"/>
        <v>7000</v>
      </c>
      <c r="BF9" s="11">
        <f t="shared" ca="1" si="4"/>
        <v>1</v>
      </c>
      <c r="BG9" s="16">
        <f ca="1">IF($BE9&lt;=0,ROUND(BK9*0.5,0), ROUND($BE9*S9*AA9*J9*AY9*0.8*[1]ステータス!$B$2,0))</f>
        <v>2800</v>
      </c>
      <c r="BH9" s="16">
        <f ca="1">IF($BE9&lt;=0,ROUND(BL9*0.5,0), ROUND($BE9*T9*AB9*K9*AZ9*0.8*[1]ステータス!$C$2,0))</f>
        <v>1885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1235</v>
      </c>
      <c r="BK9" s="11">
        <f ca="1">ROUND(BD9*S9*AA9*J9*AY9*[1]ステータス!$B$2,0)</f>
        <v>4500</v>
      </c>
      <c r="BL9" s="11">
        <f ca="1">ROUND(BD9*T9*AB9*K9*AZ9*[1]ステータス!$C$2,0)</f>
        <v>3029</v>
      </c>
      <c r="BM9" s="11">
        <f ca="1">ROUND(BD9*U9*AC9*L9*BA9*[1]ステータス!$D$2,0)</f>
        <v>0</v>
      </c>
      <c r="BN9" s="11">
        <f ca="1">ROUND(BD9*V9*AD9*M9*BB9*[1]ステータス!$E$2,0)</f>
        <v>1985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700</v>
      </c>
    </row>
    <row r="10" spans="1:70" ht="26" customHeight="1" x14ac:dyDescent="0.15">
      <c r="A10" s="12">
        <v>864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ピノキオ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各属性相性良3・黄・R482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8">
        <f t="shared" ca="1" si="11"/>
        <v>60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1">
        <f ca="1">VLOOKUP(Q10,[1]character_type_i18n!$A:$H,4,FALSE)</f>
        <v>1</v>
      </c>
      <c r="T10" s="11">
        <f ca="1">VLOOKUP(Q10,[1]character_type_i18n!$A:$H,5,FALSE)</f>
        <v>1.33</v>
      </c>
      <c r="U10" s="11">
        <f ca="1">VLOOKUP(Q10,[1]character_type_i18n!$A:$H,6,FALSE)</f>
        <v>1</v>
      </c>
      <c r="V10" s="11">
        <f ca="1">VLOOKUP(Q10,[1]character_type_i18n!$A:$H,7,FALSE)</f>
        <v>0.67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machine</v>
      </c>
      <c r="X10" s="5" t="str">
        <f ca="1">VLOOKUP(W10,[1]character_tribe_i18n!$A:$H,3,FALSE)</f>
        <v>マシン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f t="shared" ref="AE10" si="14">A11</f>
        <v>865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無情の感線 ピノキオ</v>
      </c>
      <c r="AG10" s="5">
        <f t="shared" ca="1" si="0"/>
        <v>864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ピノキオ</v>
      </c>
      <c r="AI10" s="11">
        <f ca="1">IF(AE10="NULL","NULL",VLOOKUP(G10,ビット!$A$2:$B$7,2))</f>
        <v>50000</v>
      </c>
      <c r="AJ10" s="6">
        <v>2</v>
      </c>
      <c r="AK10" s="7" t="str">
        <f t="shared" si="9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5"/>
      <c r="AP10" s="67">
        <f t="shared" si="6"/>
        <v>864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ノー・モア・エモーション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3ターン種族マシンの攻撃力と防御力を特大UP+ハートパネルを緑パネルに変換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7"/>
        <v>864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ワイヤード・デスサイズ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1体に中ダメージ_x000D_アニマルに効果特大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</v>
      </c>
      <c r="BA10" s="68">
        <v>0</v>
      </c>
      <c r="BB10" s="68">
        <v>1</v>
      </c>
      <c r="BC10" s="11">
        <f ca="1">INDEX('RC6SV'!$A$1:$G$20,MATCH(H10,'RC6SV'!$A$1:$A$20,FALSE),MATCH(G10,'RC6SV'!$A$1:$G$1,FALSE))</f>
        <v>7000</v>
      </c>
      <c r="BD10" s="48">
        <f t="shared" ca="1" si="10"/>
        <v>7000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1785</v>
      </c>
      <c r="BH10" s="16">
        <f ca="1">IF($BE10&lt;=0,ROUND(BL10*0.5,0), ROUND($BE10*T10*AB10*K10*AZ10*0.8*[1]ステータス!$C$2,0))</f>
        <v>1369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587</v>
      </c>
      <c r="BK10" s="11">
        <f ca="1">ROUND(BD10*S10*AA10*J10*AY10*[1]ステータス!$B$2,0)</f>
        <v>3570</v>
      </c>
      <c r="BL10" s="11">
        <f ca="1">ROUND(BD10*T10*AB10*K10*AZ10*[1]ステータス!$C$2,0)</f>
        <v>2737</v>
      </c>
      <c r="BM10" s="11">
        <f ca="1">ROUND(BD10*U10*AC10*L10*BA10*[1]ステータス!$D$2,0)</f>
        <v>0</v>
      </c>
      <c r="BN10" s="11">
        <f ca="1">ROUND(BD10*V10*AD10*M10*BB10*[1]ステータス!$E$2,0)</f>
        <v>1173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700</v>
      </c>
    </row>
    <row r="11" spans="1:70" ht="26" customHeight="1" x14ac:dyDescent="0.15">
      <c r="A11" s="12">
        <v>865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無情の感線 ピノキオ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各属性相性良3・黄・R483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8">
        <f t="shared" ca="1" si="11"/>
        <v>75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1">
        <f ca="1">VLOOKUP(Q11,[1]character_type_i18n!$A:$H,4,FALSE)</f>
        <v>1</v>
      </c>
      <c r="T11" s="11">
        <f ca="1">VLOOKUP(Q11,[1]character_type_i18n!$A:$H,5,FALSE)</f>
        <v>1.33</v>
      </c>
      <c r="U11" s="11">
        <f ca="1">VLOOKUP(Q11,[1]character_type_i18n!$A:$H,6,FALSE)</f>
        <v>1</v>
      </c>
      <c r="V11" s="11">
        <f ca="1">VLOOKUP(Q11,[1]character_type_i18n!$A:$H,7,FALSE)</f>
        <v>0.67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machine</v>
      </c>
      <c r="X11" s="5" t="str">
        <f ca="1">VLOOKUP(W11,[1]character_tribe_i18n!$A:$H,3,FALSE)</f>
        <v>マシン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182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864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ピノキオ</v>
      </c>
      <c r="AI11" s="11" t="str">
        <f>IF(AE11="NULL","NULL",VLOOKUP(G11,ビット!$A$2:$B$7,2))</f>
        <v>NULL</v>
      </c>
      <c r="AJ11" s="6">
        <v>2</v>
      </c>
      <c r="AK11" s="7" t="str">
        <f t="shared" si="9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f t="shared" si="6"/>
        <v>865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ノー・モア・エモーション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3ターン種族マシンの攻撃力と防御力を特大UP+ハートパネルを緑パネルに変換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7"/>
        <v>865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ワイヤード・デスサイズ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1体に中ダメージ_x000D_アニマルに効果特大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</v>
      </c>
      <c r="BA11" s="68">
        <v>0</v>
      </c>
      <c r="BB11" s="68">
        <v>1</v>
      </c>
      <c r="BC11" s="11">
        <f ca="1">INDEX('RC6SV'!$A$1:$G$20,MATCH(H11,'RC6SV'!$A$1:$A$20,FALSE),MATCH(G11,'RC6SV'!$A$1:$G$1,FALSE))</f>
        <v>9000</v>
      </c>
      <c r="BD11" s="48">
        <f t="shared" ca="1" si="10"/>
        <v>9000</v>
      </c>
      <c r="BE11" s="11">
        <f t="shared" ca="1" si="3"/>
        <v>7000</v>
      </c>
      <c r="BF11" s="11">
        <f t="shared" ca="1" si="4"/>
        <v>1</v>
      </c>
      <c r="BG11" s="16">
        <f ca="1">IF($BE11&lt;=0,ROUND(BK11*0.5,0), ROUND($BE11*S11*AA11*J11*AY11*0.8*[1]ステータス!$B$2,0))</f>
        <v>2856</v>
      </c>
      <c r="BH11" s="16">
        <f ca="1">IF($BE11&lt;=0,ROUND(BL11*0.5,0), ROUND($BE11*T11*AB11*K11*AZ11*0.8*[1]ステータス!$C$2,0))</f>
        <v>2190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938</v>
      </c>
      <c r="BK11" s="11">
        <f ca="1">ROUND(BD11*S11*AA11*J11*AY11*[1]ステータス!$B$2,0)</f>
        <v>4590</v>
      </c>
      <c r="BL11" s="11">
        <f ca="1">ROUND(BD11*T11*AB11*K11*AZ11*[1]ステータス!$C$2,0)</f>
        <v>3519</v>
      </c>
      <c r="BM11" s="11">
        <f ca="1">ROUND(BD11*U11*AC11*L11*BA11*[1]ステータス!$D$2,0)</f>
        <v>0</v>
      </c>
      <c r="BN11" s="11">
        <f ca="1">ROUND(BD11*V11*AD11*M11*BB11*[1]ステータス!$E$2,0)</f>
        <v>1508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700</v>
      </c>
    </row>
    <row r="12" spans="1:70" ht="26" customHeight="1" x14ac:dyDescent="0.15">
      <c r="A12" s="12">
        <v>866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無敗の司令姫 白雪姫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各属性相性良3・黄・R474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35</v>
      </c>
      <c r="O12" s="11">
        <f ca="1">INDEX(レベル!$A$1:$I$21,MATCH(H12,レベル!$A$1:$A$21,FALSE),MATCH(G12,レベル!$A$1:$I$1,FALSE))</f>
        <v>80</v>
      </c>
      <c r="P12" s="48">
        <f t="shared" ca="1" si="11"/>
        <v>75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unknown</v>
      </c>
      <c r="Z12" s="5" t="str">
        <f ca="1">VLOOKUP(Y12,[1]character_tribe_i18n!$A:$H,3,FALSE)</f>
        <v>Unknown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>
        <f t="shared" ref="AE12" si="15">A13</f>
        <v>867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華麗なる作戦 白雪姫</v>
      </c>
      <c r="AG12" s="5">
        <f t="shared" ca="1" si="0"/>
        <v>866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無敗の司令姫 白雪姫</v>
      </c>
      <c r="AI12" s="11">
        <f ca="1">IF(AE12="NULL","NULL",VLOOKUP(G12,ビット!$A$2:$B$7,2))</f>
        <v>200000</v>
      </c>
      <c r="AJ12" s="6">
        <v>2</v>
      </c>
      <c r="AK12" s="7" t="str">
        <f t="shared" si="9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5"/>
      <c r="AP12" s="67">
        <f t="shared" si="6"/>
        <v>866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オペレーション：アヴァランチ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青パネルを最大7つCパネルに変換+1体にダメージ（赤・緑パネルを吸収して効果特大UP）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7"/>
        <v>866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アップル・オープンファイア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単体に2回中ダメージ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</v>
      </c>
      <c r="BA12" s="68">
        <v>0</v>
      </c>
      <c r="BB12" s="68">
        <v>1</v>
      </c>
      <c r="BC12" s="11">
        <f ca="1">INDEX('RC6SV'!$A$1:$G$20,MATCH(H12,'RC6SV'!$A$1:$A$20,FALSE),MATCH(G12,'RC6SV'!$A$1:$G$1,FALSE))</f>
        <v>9500</v>
      </c>
      <c r="BD12" s="48">
        <f t="shared" ca="1" si="10"/>
        <v>9500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2233</v>
      </c>
      <c r="BH12" s="16">
        <f ca="1">IF($BE12&lt;=0,ROUND(BL12*0.5,0), ROUND($BE12*T12*AB12*K12*AZ12*0.8*[1]ステータス!$C$2,0))</f>
        <v>1383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1296</v>
      </c>
      <c r="BK12" s="11">
        <f ca="1">ROUND(BD12*S12*AA12*J12*AY12*[1]ステータス!$B$2,0)</f>
        <v>4465</v>
      </c>
      <c r="BL12" s="11">
        <f ca="1">ROUND(BD12*T12*AB12*K12*AZ12*[1]ステータス!$C$2,0)</f>
        <v>2765</v>
      </c>
      <c r="BM12" s="11">
        <f ca="1">ROUND(BD12*U12*AC12*L12*BA12*[1]ステータス!$D$2,0)</f>
        <v>0</v>
      </c>
      <c r="BN12" s="11">
        <f ca="1">ROUND(BD12*V12*AD12*M12*BB12*[1]ステータス!$E$2,0)</f>
        <v>2592</v>
      </c>
      <c r="BO12" s="10">
        <v>0</v>
      </c>
      <c r="BP12" s="10">
        <v>1</v>
      </c>
      <c r="BQ12" s="10" t="s">
        <v>47</v>
      </c>
      <c r="BR12" s="10">
        <f ca="1">VLOOKUP(H12,ghosts_label!$A$2:$B$19,2,FALSE)</f>
        <v>5500</v>
      </c>
    </row>
    <row r="13" spans="1:70" ht="26" customHeight="1" x14ac:dyDescent="0.15">
      <c r="A13" s="12">
        <v>867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華麗なる作戦 白雪姫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各属性相性良3・黄・R475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INDEX(コスト!$A$1:$I$20,MATCH(H13,コスト!$A$1:$A$20,FALSE),MATCH(G13,コスト!$A$1:$I$1,FALSE))</f>
        <v>50</v>
      </c>
      <c r="O13" s="11">
        <f ca="1">INDEX(レベル!$A$1:$I$21,MATCH(H13,レベル!$A$1:$A$21,FALSE),MATCH(G13,レベル!$A$1:$I$1,FALSE))</f>
        <v>99</v>
      </c>
      <c r="P13" s="48">
        <f t="shared" ca="1" si="11"/>
        <v>99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balance</v>
      </c>
      <c r="R13" s="5" t="str">
        <f ca="1">VLOOKUP(Q13,[1]character_type_i18n!$A:$H,3,FALSE)</f>
        <v>バランスタイプ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unknown</v>
      </c>
      <c r="Z13" s="5" t="str">
        <f ca="1">VLOOKUP(Y13,[1]character_tribe_i18n!$A:$H,3,FALSE)</f>
        <v>Unknown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182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866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無敗の司令姫 白雪姫</v>
      </c>
      <c r="AI13" s="11" t="str">
        <f>IF(AE13="NULL","NULL",VLOOKUP(G13,ビット!$A$2:$B$7,2))</f>
        <v>NULL</v>
      </c>
      <c r="AJ13" s="6">
        <v>2</v>
      </c>
      <c r="AK13" s="7" t="str">
        <f t="shared" si="9"/>
        <v>普通</v>
      </c>
      <c r="AL13" s="11" t="str">
        <f ca="1">INDEX(経験値!$A$1:$I$20,MATCH(H13,経験値!$A$1:$A$20,FALSE),MATCH(G13,経験値!$A$1:$I$1,FALSE))</f>
        <v>required_exp_250</v>
      </c>
      <c r="AM13" s="8">
        <f ca="1">VLOOKUP(G13,経験値!$A$27:$B$31,2)</f>
        <v>6400</v>
      </c>
      <c r="AN13" s="17">
        <f ca="1">VLOOKUP(G13,ビット!$G$2:$H$7,2)</f>
        <v>900</v>
      </c>
      <c r="AO13" s="45"/>
      <c r="AP13" s="67">
        <f t="shared" si="6"/>
        <v>867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オペレーション：アヴァランチ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青パネルを最大7つCパネルに変換+1体にダメージ（赤・緑パネルを吸収して効果特大UP）+1ターン全ユニットの攻撃力大UP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7"/>
        <v>867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アップル・オーヴァーロード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単体に2回大ダメージ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1.08</v>
      </c>
      <c r="AZ13" s="68">
        <v>1.1359999999999999</v>
      </c>
      <c r="BA13" s="68">
        <v>0</v>
      </c>
      <c r="BB13" s="68">
        <v>1</v>
      </c>
      <c r="BC13" s="11">
        <f ca="1">INDEX('RC6SV'!$A$1:$G$20,MATCH(H13,'RC6SV'!$A$1:$A$20,FALSE),MATCH(G13,'RC6SV'!$A$1:$G$1,FALSE))</f>
        <v>13000</v>
      </c>
      <c r="BD13" s="48">
        <f t="shared" ca="1" si="10"/>
        <v>13000</v>
      </c>
      <c r="BE13" s="11">
        <f t="shared" ca="1" si="3"/>
        <v>9500</v>
      </c>
      <c r="BF13" s="11">
        <f t="shared" ca="1" si="4"/>
        <v>1</v>
      </c>
      <c r="BG13" s="16">
        <f ca="1">IF($BE13&lt;=0,ROUND(BK13*0.5,0), ROUND($BE13*S13*AA13*J13*AY13*0.8*[1]ステータス!$B$2,0))</f>
        <v>3858</v>
      </c>
      <c r="BH13" s="16">
        <f ca="1">IF($BE13&lt;=0,ROUND(BL13*0.5,0), ROUND($BE13*T13*AB13*K13*AZ13*0.8*[1]ステータス!$C$2,0))</f>
        <v>2513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2074</v>
      </c>
      <c r="BK13" s="11">
        <f ca="1">ROUND(BD13*S13*AA13*J13*AY13*[1]ステータス!$B$2,0)</f>
        <v>6599</v>
      </c>
      <c r="BL13" s="11">
        <f ca="1">ROUND(BD13*T13*AB13*K13*AZ13*[1]ステータス!$C$2,0)</f>
        <v>4298</v>
      </c>
      <c r="BM13" s="11">
        <f ca="1">ROUND(BD13*U13*AC13*L13*BA13*[1]ステータス!$D$2,0)</f>
        <v>0</v>
      </c>
      <c r="BN13" s="11">
        <f ca="1">ROUND(BD13*V13*AD13*M13*BB13*[1]ステータス!$E$2,0)</f>
        <v>3547</v>
      </c>
      <c r="BO13" s="10">
        <v>0</v>
      </c>
      <c r="BP13" s="10">
        <v>1</v>
      </c>
      <c r="BQ13" s="10" t="s">
        <v>47</v>
      </c>
      <c r="BR13" s="10">
        <f ca="1">VLOOKUP(H13,ghosts_label!$A$2:$B$19,2,FALSE)</f>
        <v>5500</v>
      </c>
    </row>
    <row r="14" spans="1:70" ht="26" customHeight="1" x14ac:dyDescent="0.15">
      <c r="A14" s="12">
        <v>868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アラジンと殲滅機兵LAMP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各属性相性良3・黄・R476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INDEX(コスト!$A$1:$I$20,MATCH(H14,コスト!$A$1:$A$20,FALSE),MATCH(G14,コスト!$A$1:$I$1,FALSE))</f>
        <v>35</v>
      </c>
      <c r="O14" s="11">
        <f ca="1">INDEX(レベル!$A$1:$I$21,MATCH(H14,レベル!$A$1:$A$21,FALSE),MATCH(G14,レベル!$A$1:$I$1,FALSE))</f>
        <v>80</v>
      </c>
      <c r="P14" s="48">
        <f t="shared" ca="1" si="11"/>
        <v>75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hp</v>
      </c>
      <c r="R14" s="5" t="str">
        <f ca="1">VLOOKUP(Q14,[1]character_type_i18n!$A:$H,3,FALSE)</f>
        <v>体力タイプ</v>
      </c>
      <c r="S14" s="11">
        <f ca="1">VLOOKUP(Q14,[1]character_type_i18n!$A:$H,4,FALSE)</f>
        <v>1.45</v>
      </c>
      <c r="T14" s="11">
        <f ca="1">VLOOKUP(Q14,[1]character_type_i18n!$A:$H,5,FALSE)</f>
        <v>0.85</v>
      </c>
      <c r="U14" s="11">
        <f ca="1">VLOOKUP(Q14,[1]character_type_i18n!$A:$H,6,FALSE)</f>
        <v>1</v>
      </c>
      <c r="V14" s="11">
        <f ca="1">VLOOKUP(Q14,[1]character_type_i18n!$A:$H,7,FALSE)</f>
        <v>0.7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machine</v>
      </c>
      <c r="Z14" s="5" t="str">
        <f ca="1">VLOOKUP(Y14,[1]character_tribe_i18n!$A:$H,3,FALSE)</f>
        <v>マシン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>
        <f t="shared" ref="AE14" si="16">A15</f>
        <v>869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 xml:space="preserve">マスター･アラジンと殲滅機兵LAMP </v>
      </c>
      <c r="AG14" s="5">
        <f t="shared" ca="1" si="0"/>
        <v>868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アラジンと殲滅機兵LAMP</v>
      </c>
      <c r="AI14" s="11">
        <f ca="1">IF(AE14="NULL","NULL",VLOOKUP(G14,ビット!$A$2:$B$7,2))</f>
        <v>200000</v>
      </c>
      <c r="AJ14" s="6">
        <v>2</v>
      </c>
      <c r="AK14" s="7" t="str">
        <f t="shared" si="9"/>
        <v>普通</v>
      </c>
      <c r="AL14" s="11" t="str">
        <f ca="1">INDEX(経験値!$A$1:$I$20,MATCH(H14,経験値!$A$1:$A$20,FALSE),MATCH(G14,経験値!$A$1:$I$1,FALSE))</f>
        <v>required_exp_200</v>
      </c>
      <c r="AM14" s="8">
        <f ca="1">VLOOKUP(G14,経験値!$A$27:$B$31,2)</f>
        <v>6400</v>
      </c>
      <c r="AN14" s="17">
        <f ca="1">VLOOKUP(G14,ビット!$G$2:$H$7,2)</f>
        <v>900</v>
      </c>
      <c r="AO14" s="45"/>
      <c r="AP14" s="67">
        <f t="shared" si="6"/>
        <v>868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ブート・ザ・ナイトメア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3ターン黄属性の防御力UP(青パネルを吸収し効果UP)+特大カウンター+赤パネルを黄パネルに変換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7"/>
        <v>868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サウザンド・ナイツ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自身のHPの最大値に比例して_x000D_単体に特大ダメージ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</v>
      </c>
      <c r="AZ14" s="68">
        <v>1</v>
      </c>
      <c r="BA14" s="68">
        <v>0</v>
      </c>
      <c r="BB14" s="68">
        <v>1</v>
      </c>
      <c r="BC14" s="11">
        <f ca="1">INDEX('RC6SV'!$A$1:$G$20,MATCH(H14,'RC6SV'!$A$1:$A$20,FALSE),MATCH(G14,'RC6SV'!$A$1:$G$1,FALSE))</f>
        <v>9500</v>
      </c>
      <c r="BD14" s="48">
        <f t="shared" ca="1" si="10"/>
        <v>9500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3173</v>
      </c>
      <c r="BH14" s="16">
        <f ca="1">IF($BE14&lt;=0,ROUND(BL14*0.5,0), ROUND($BE14*T14*AB14*K14*AZ14*0.8*[1]ステータス!$C$2,0))</f>
        <v>1211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899</v>
      </c>
      <c r="BK14" s="11">
        <f ca="1">ROUND(BD14*S14*AA14*J14*AY14*[1]ステータス!$B$2,0)</f>
        <v>6345</v>
      </c>
      <c r="BL14" s="11">
        <f ca="1">ROUND(BD14*T14*AB14*K14*AZ14*[1]ステータス!$C$2,0)</f>
        <v>2422</v>
      </c>
      <c r="BM14" s="11">
        <f ca="1">ROUND(BD14*U14*AC14*L14*BA14*[1]ステータス!$D$2,0)</f>
        <v>0</v>
      </c>
      <c r="BN14" s="11">
        <f ca="1">ROUND(BD14*V14*AD14*M14*BB14*[1]ステータス!$E$2,0)</f>
        <v>1797</v>
      </c>
      <c r="BO14" s="10">
        <v>0</v>
      </c>
      <c r="BP14" s="10">
        <v>1</v>
      </c>
      <c r="BQ14" s="10" t="s">
        <v>47</v>
      </c>
      <c r="BR14" s="10">
        <f ca="1">VLOOKUP(H14,ghosts_label!$A$2:$B$19,2,FALSE)</f>
        <v>5500</v>
      </c>
    </row>
    <row r="15" spans="1:70" ht="26" customHeight="1" x14ac:dyDescent="0.15">
      <c r="A15" s="12">
        <v>869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 xml:space="preserve">マスター･アラジンと殲滅機兵LAMP 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各属性相性良3・黄・R477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INDEX(コスト!$A$1:$I$20,MATCH(H15,コスト!$A$1:$A$20,FALSE),MATCH(G15,コスト!$A$1:$I$1,FALSE))</f>
        <v>50</v>
      </c>
      <c r="O15" s="11">
        <f ca="1">INDEX(レベル!$A$1:$I$21,MATCH(H15,レベル!$A$1:$A$21,FALSE),MATCH(G15,レベル!$A$1:$I$1,FALSE))</f>
        <v>99</v>
      </c>
      <c r="P15" s="48">
        <f t="shared" ca="1" si="11"/>
        <v>99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hp</v>
      </c>
      <c r="R15" s="5" t="str">
        <f ca="1">VLOOKUP(Q15,[1]character_type_i18n!$A:$H,3,FALSE)</f>
        <v>体力タイプ</v>
      </c>
      <c r="S15" s="11">
        <f ca="1">VLOOKUP(Q15,[1]character_type_i18n!$A:$H,4,FALSE)</f>
        <v>1.45</v>
      </c>
      <c r="T15" s="11">
        <f ca="1">VLOOKUP(Q15,[1]character_type_i18n!$A:$H,5,FALSE)</f>
        <v>0.85</v>
      </c>
      <c r="U15" s="11">
        <f ca="1">VLOOKUP(Q15,[1]character_type_i18n!$A:$H,6,FALSE)</f>
        <v>1</v>
      </c>
      <c r="V15" s="11">
        <f ca="1">VLOOKUP(Q15,[1]character_type_i18n!$A:$H,7,FALSE)</f>
        <v>0.7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machine</v>
      </c>
      <c r="Z15" s="5" t="str">
        <f ca="1">VLOOKUP(Y15,[1]character_tribe_i18n!$A:$H,3,FALSE)</f>
        <v>マシン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 t="s">
        <v>182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0"/>
        <v>868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アラジンと殲滅機兵LAMP</v>
      </c>
      <c r="AI15" s="11" t="str">
        <f>IF(AE15="NULL","NULL",VLOOKUP(G15,ビット!$A$2:$B$7,2))</f>
        <v>NULL</v>
      </c>
      <c r="AJ15" s="6">
        <v>2</v>
      </c>
      <c r="AK15" s="7" t="str">
        <f t="shared" si="9"/>
        <v>普通</v>
      </c>
      <c r="AL15" s="11" t="str">
        <f ca="1">INDEX(経験値!$A$1:$I$20,MATCH(H15,経験値!$A$1:$A$20,FALSE),MATCH(G15,経験値!$A$1:$I$1,FALSE))</f>
        <v>required_exp_250</v>
      </c>
      <c r="AM15" s="8">
        <f ca="1">VLOOKUP(G15,経験値!$A$27:$B$31,2)</f>
        <v>6400</v>
      </c>
      <c r="AN15" s="17">
        <f ca="1">VLOOKUP(G15,ビット!$G$2:$H$7,2)</f>
        <v>900</v>
      </c>
      <c r="AO15" s="45"/>
      <c r="AP15" s="67">
        <f t="shared" si="6"/>
        <v>869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サモン・ザ・デストラクション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3ターン黄属性の防御力UP(青パネルを吸収し効果UP)+超大カウンター+赤パネルを黄パネルに変換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7"/>
        <v>869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サウザンド・ナイツ＆ワン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自身のHPの最大値に比例して_x000D_単体に超大ダメージ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</v>
      </c>
      <c r="AZ15" s="68">
        <v>1.03</v>
      </c>
      <c r="BA15" s="68">
        <v>0</v>
      </c>
      <c r="BB15" s="68">
        <v>1</v>
      </c>
      <c r="BC15" s="11">
        <f ca="1">INDEX('RC6SV'!$A$1:$G$20,MATCH(H15,'RC6SV'!$A$1:$A$20,FALSE),MATCH(G15,'RC6SV'!$A$1:$G$1,FALSE))</f>
        <v>13000</v>
      </c>
      <c r="BD15" s="48">
        <f t="shared" ca="1" si="10"/>
        <v>13000</v>
      </c>
      <c r="BE15" s="11">
        <f t="shared" ca="1" si="3"/>
        <v>9500</v>
      </c>
      <c r="BF15" s="11">
        <f t="shared" ca="1" si="4"/>
        <v>1</v>
      </c>
      <c r="BG15" s="16">
        <f ca="1">IF($BE15&lt;=0,ROUND(BK15*0.5,0), ROUND($BE15*S15*AA15*J15*AY15*0.8*[1]ステータス!$B$2,0))</f>
        <v>5076</v>
      </c>
      <c r="BH15" s="16">
        <f ca="1">IF($BE15&lt;=0,ROUND(BL15*0.5,0), ROUND($BE15*T15*AB15*K15*AZ15*0.8*[1]ステータス!$C$2,0))</f>
        <v>1996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1437</v>
      </c>
      <c r="BK15" s="11">
        <f ca="1">ROUND(BD15*S15*AA15*J15*AY15*[1]ステータス!$B$2,0)</f>
        <v>8682</v>
      </c>
      <c r="BL15" s="11">
        <f ca="1">ROUND(BD15*T15*AB15*K15*AZ15*[1]ステータス!$C$2,0)</f>
        <v>3414</v>
      </c>
      <c r="BM15" s="11">
        <f ca="1">ROUND(BD15*U15*AC15*L15*BA15*[1]ステータス!$D$2,0)</f>
        <v>0</v>
      </c>
      <c r="BN15" s="11">
        <f ca="1">ROUND(BD15*V15*AD15*M15*BB15*[1]ステータス!$E$2,0)</f>
        <v>2459</v>
      </c>
      <c r="BO15" s="10">
        <v>0</v>
      </c>
      <c r="BP15" s="10">
        <v>1</v>
      </c>
      <c r="BQ15" s="10" t="s">
        <v>47</v>
      </c>
      <c r="BR15" s="10">
        <f ca="1">VLOOKUP(H15,ghosts_label!$A$2:$B$19,2,FALSE)</f>
        <v>5500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3" sqref="I3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183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856</v>
      </c>
      <c r="B2" s="135" t="s">
        <v>184</v>
      </c>
      <c r="C2" s="171" t="s">
        <v>256</v>
      </c>
      <c r="D2" s="136" t="s">
        <v>350</v>
      </c>
      <c r="E2" s="137">
        <f t="shared" ref="E2" si="0">LEN(D2)</f>
        <v>22</v>
      </c>
      <c r="F2" s="119">
        <v>12</v>
      </c>
      <c r="G2" s="119">
        <v>5</v>
      </c>
      <c r="H2" s="138">
        <f>2001</f>
        <v>2001</v>
      </c>
      <c r="I2" s="138" t="s">
        <v>362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リフレクト＆M.I.R.R.O.R.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857</v>
      </c>
      <c r="B3" s="135" t="s">
        <v>184</v>
      </c>
      <c r="C3" s="171" t="s">
        <v>257</v>
      </c>
      <c r="D3" s="136" t="s">
        <v>351</v>
      </c>
      <c r="E3" s="137">
        <f t="shared" ref="E3:E4" si="1">LEN(D3)</f>
        <v>28</v>
      </c>
      <c r="F3" s="119">
        <v>12</v>
      </c>
      <c r="G3" s="119">
        <v>5</v>
      </c>
      <c r="H3" s="138">
        <f>2001</f>
        <v>2001</v>
      </c>
      <c r="I3" s="138" t="s">
        <v>354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嫉心のリフレクト＆M.I.R.R.O.R.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858</v>
      </c>
      <c r="B4" s="135" t="s">
        <v>184</v>
      </c>
      <c r="C4" s="171" t="s">
        <v>258</v>
      </c>
      <c r="D4" s="136" t="s">
        <v>366</v>
      </c>
      <c r="E4" s="137">
        <f t="shared" si="1"/>
        <v>27</v>
      </c>
      <c r="F4" s="119">
        <v>11</v>
      </c>
      <c r="G4" s="119">
        <v>5</v>
      </c>
      <c r="H4" s="138">
        <f>2001</f>
        <v>2001</v>
      </c>
      <c r="I4" s="138" t="s">
        <v>372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Mr.ホエール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859</v>
      </c>
      <c r="B5" s="135" t="s">
        <v>184</v>
      </c>
      <c r="C5" s="171" t="s">
        <v>259</v>
      </c>
      <c r="D5" s="136" t="s">
        <v>367</v>
      </c>
      <c r="E5" s="137">
        <f t="shared" ref="E5:E15" si="2">LEN(D5)</f>
        <v>28</v>
      </c>
      <c r="F5" s="119">
        <v>12</v>
      </c>
      <c r="G5" s="119">
        <v>5</v>
      </c>
      <c r="H5" s="138">
        <f>2001</f>
        <v>2001</v>
      </c>
      <c r="I5" s="138" t="s">
        <v>373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夢鯨大食 Mr.ホエール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860</v>
      </c>
      <c r="B6" s="135" t="s">
        <v>184</v>
      </c>
      <c r="C6" s="172" t="s">
        <v>260</v>
      </c>
      <c r="D6" s="136" t="s">
        <v>402</v>
      </c>
      <c r="E6" s="137">
        <f t="shared" si="2"/>
        <v>58</v>
      </c>
      <c r="F6" s="119">
        <v>12</v>
      </c>
      <c r="G6" s="119">
        <v>5</v>
      </c>
      <c r="H6" s="138">
        <f>2001</f>
        <v>2001</v>
      </c>
      <c r="I6" s="138" t="s">
        <v>403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叶望の幻燈 ジーナ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861</v>
      </c>
      <c r="B7" s="135" t="s">
        <v>184</v>
      </c>
      <c r="C7" s="172" t="s">
        <v>260</v>
      </c>
      <c r="D7" s="136" t="s">
        <v>402</v>
      </c>
      <c r="E7" s="137">
        <f t="shared" si="2"/>
        <v>58</v>
      </c>
      <c r="F7" s="119">
        <v>12</v>
      </c>
      <c r="G7" s="119">
        <v>5</v>
      </c>
      <c r="H7" s="138">
        <f>2001</f>
        <v>2001</v>
      </c>
      <c r="I7" s="138" t="s">
        <v>404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青燈の巨躯 ジーナ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862</v>
      </c>
      <c r="B8" s="135" t="s">
        <v>184</v>
      </c>
      <c r="C8" s="171" t="s">
        <v>261</v>
      </c>
      <c r="D8" s="136" t="s">
        <v>352</v>
      </c>
      <c r="E8" s="137">
        <f t="shared" si="2"/>
        <v>27</v>
      </c>
      <c r="F8" s="119">
        <v>11</v>
      </c>
      <c r="G8" s="119">
        <v>5</v>
      </c>
      <c r="H8" s="138">
        <f>2001</f>
        <v>2001</v>
      </c>
      <c r="I8" s="138" t="s">
        <v>353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ブレーメン</v>
      </c>
      <c r="K8" s="139">
        <v>3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863</v>
      </c>
      <c r="B9" s="135" t="s">
        <v>184</v>
      </c>
      <c r="C9" s="171" t="s">
        <v>261</v>
      </c>
      <c r="D9" s="136" t="s">
        <v>352</v>
      </c>
      <c r="E9" s="137">
        <f t="shared" si="2"/>
        <v>27</v>
      </c>
      <c r="F9" s="119">
        <v>11</v>
      </c>
      <c r="G9" s="119">
        <v>5</v>
      </c>
      <c r="H9" s="138">
        <f>2001</f>
        <v>2001</v>
      </c>
      <c r="I9" s="138" t="s">
        <v>356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歓揮の楽団長 ブレーメン</v>
      </c>
      <c r="K9" s="139">
        <v>3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864</v>
      </c>
      <c r="B10" s="135" t="s">
        <v>184</v>
      </c>
      <c r="C10" s="171" t="s">
        <v>262</v>
      </c>
      <c r="D10" s="136" t="s">
        <v>355</v>
      </c>
      <c r="E10" s="137">
        <f>LEN(D10)</f>
        <v>37</v>
      </c>
      <c r="F10" s="119">
        <v>18</v>
      </c>
      <c r="G10" s="119">
        <v>5</v>
      </c>
      <c r="H10" s="138">
        <f>2001</f>
        <v>2001</v>
      </c>
      <c r="I10" s="138" t="s">
        <v>358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ピノキオ</v>
      </c>
      <c r="K10" s="139">
        <v>3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865</v>
      </c>
      <c r="B11" s="135" t="s">
        <v>184</v>
      </c>
      <c r="C11" s="171" t="s">
        <v>262</v>
      </c>
      <c r="D11" s="136" t="s">
        <v>355</v>
      </c>
      <c r="E11" s="137">
        <f t="shared" si="2"/>
        <v>37</v>
      </c>
      <c r="F11" s="119">
        <v>18</v>
      </c>
      <c r="G11" s="119">
        <v>5</v>
      </c>
      <c r="H11" s="138">
        <f>2001</f>
        <v>2001</v>
      </c>
      <c r="I11" s="138" t="s">
        <v>358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無情の感線 ピノキオ</v>
      </c>
      <c r="K11" s="139">
        <v>3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866</v>
      </c>
      <c r="B12" s="135" t="s">
        <v>184</v>
      </c>
      <c r="C12" s="171" t="s">
        <v>263</v>
      </c>
      <c r="D12" s="136" t="s">
        <v>400</v>
      </c>
      <c r="E12" s="137">
        <f>LEN(D12)</f>
        <v>43</v>
      </c>
      <c r="F12" s="119">
        <v>11</v>
      </c>
      <c r="G12" s="119">
        <v>5</v>
      </c>
      <c r="H12" s="138">
        <f>2001</f>
        <v>2001</v>
      </c>
      <c r="I12" s="138" t="s">
        <v>397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無敗の司令姫 白雪姫</v>
      </c>
      <c r="K12" s="139">
        <v>3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867</v>
      </c>
      <c r="B13" s="135" t="s">
        <v>184</v>
      </c>
      <c r="C13" s="171" t="s">
        <v>263</v>
      </c>
      <c r="D13" s="136" t="s">
        <v>399</v>
      </c>
      <c r="E13" s="137">
        <f>LEN(D13)</f>
        <v>60</v>
      </c>
      <c r="F13" s="119">
        <v>11</v>
      </c>
      <c r="G13" s="119">
        <v>5</v>
      </c>
      <c r="H13" s="138">
        <f>2001</f>
        <v>2001</v>
      </c>
      <c r="I13" s="138" t="s">
        <v>398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華麗なる作戦 白雪姫</v>
      </c>
      <c r="K13" s="139">
        <v>3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25">
      <c r="A14" s="12">
        <v>868</v>
      </c>
      <c r="B14" s="135" t="s">
        <v>184</v>
      </c>
      <c r="C14" s="172" t="s">
        <v>360</v>
      </c>
      <c r="D14" s="136" t="s">
        <v>250</v>
      </c>
      <c r="E14" s="137">
        <f>LEN(D14)</f>
        <v>48</v>
      </c>
      <c r="F14" s="119">
        <v>12</v>
      </c>
      <c r="G14" s="119">
        <v>5</v>
      </c>
      <c r="H14" s="138">
        <f>2001</f>
        <v>2001</v>
      </c>
      <c r="I14" s="170" t="s">
        <v>359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アラジンと殲滅機兵LAMP</v>
      </c>
      <c r="K14" s="139">
        <v>3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25">
      <c r="A15" s="12">
        <v>869</v>
      </c>
      <c r="B15" s="135" t="s">
        <v>184</v>
      </c>
      <c r="C15" s="172" t="s">
        <v>264</v>
      </c>
      <c r="D15" s="136" t="s">
        <v>251</v>
      </c>
      <c r="E15" s="137">
        <f t="shared" si="2"/>
        <v>48</v>
      </c>
      <c r="F15" s="119">
        <v>12</v>
      </c>
      <c r="G15" s="119">
        <v>5</v>
      </c>
      <c r="H15" s="138">
        <f>2001</f>
        <v>2001</v>
      </c>
      <c r="I15" s="170" t="s">
        <v>357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 xml:space="preserve">マスター･アラジンと殲滅機兵LAMP </v>
      </c>
      <c r="K15" s="139">
        <v>3</v>
      </c>
      <c r="L15" s="140"/>
      <c r="M15" s="141"/>
      <c r="N15" s="141"/>
      <c r="O15" s="141"/>
      <c r="P15" s="141"/>
      <c r="Q15" s="141"/>
      <c r="R15" s="136"/>
      <c r="S15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27" priority="8" operator="greaterThan">
      <formula>41</formula>
    </cfRule>
  </conditionalFormatting>
  <conditionalFormatting sqref="E2 E4 E6 E8 E10 E12 E14">
    <cfRule type="cellIs" dxfId="26" priority="2" operator="greaterThan">
      <formula>41</formula>
    </cfRule>
  </conditionalFormatting>
  <conditionalFormatting sqref="E3 E5 E7 E9 E11 E13 E15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6" sqref="D6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181</v>
      </c>
      <c r="B1" s="121" t="s">
        <v>180</v>
      </c>
      <c r="C1" s="122" t="s">
        <v>179</v>
      </c>
      <c r="D1" s="123" t="s">
        <v>252</v>
      </c>
      <c r="E1" s="123" t="s">
        <v>178</v>
      </c>
      <c r="F1" s="124" t="s">
        <v>177</v>
      </c>
      <c r="G1" s="125" t="s">
        <v>183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856</v>
      </c>
      <c r="B2" s="135" t="s">
        <v>185</v>
      </c>
      <c r="C2" s="171" t="s">
        <v>268</v>
      </c>
      <c r="D2" s="180" t="s">
        <v>349</v>
      </c>
      <c r="E2" s="137">
        <f t="shared" ref="E2" si="0">LEN(D2)</f>
        <v>18</v>
      </c>
      <c r="F2" s="181" t="s">
        <v>348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リフレクト＆M.I.R.R.O.R.</v>
      </c>
      <c r="H2" s="138">
        <v>3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857</v>
      </c>
      <c r="B3" s="135" t="s">
        <v>185</v>
      </c>
      <c r="C3" s="171" t="s">
        <v>265</v>
      </c>
      <c r="D3" s="180" t="s">
        <v>341</v>
      </c>
      <c r="E3" s="137">
        <f t="shared" ref="E3:E4" si="1">LEN(D3)</f>
        <v>19</v>
      </c>
      <c r="F3" s="181" t="s">
        <v>347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嫉心のリフレクト＆M.I.R.R.O.R.</v>
      </c>
      <c r="H3" s="138">
        <v>3</v>
      </c>
      <c r="I3" s="138"/>
      <c r="J3" s="143"/>
      <c r="K3" s="139">
        <v>1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858</v>
      </c>
      <c r="B4" s="135" t="s">
        <v>185</v>
      </c>
      <c r="C4" s="171" t="s">
        <v>266</v>
      </c>
      <c r="D4" s="136" t="s">
        <v>364</v>
      </c>
      <c r="E4" s="137">
        <f t="shared" si="1"/>
        <v>9</v>
      </c>
      <c r="F4" s="119" t="s">
        <v>370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Mr.ホエール</v>
      </c>
      <c r="H4" s="138">
        <v>3</v>
      </c>
      <c r="I4" s="138"/>
      <c r="J4" s="143"/>
      <c r="K4" s="139">
        <v>1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859</v>
      </c>
      <c r="B5" s="135" t="s">
        <v>185</v>
      </c>
      <c r="C5" s="171" t="s">
        <v>267</v>
      </c>
      <c r="D5" s="136" t="s">
        <v>365</v>
      </c>
      <c r="E5" s="137">
        <f t="shared" ref="E5:E15" si="2">LEN(D5)</f>
        <v>9</v>
      </c>
      <c r="F5" s="119" t="s">
        <v>371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夢鯨大食 Mr.ホエール</v>
      </c>
      <c r="H5" s="138">
        <v>3</v>
      </c>
      <c r="I5" s="138"/>
      <c r="J5" s="143"/>
      <c r="K5" s="139">
        <v>1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860</v>
      </c>
      <c r="B6" s="135" t="s">
        <v>185</v>
      </c>
      <c r="C6" s="171" t="s">
        <v>269</v>
      </c>
      <c r="D6" s="136" t="s">
        <v>368</v>
      </c>
      <c r="E6" s="137">
        <f t="shared" si="2"/>
        <v>9</v>
      </c>
      <c r="F6" s="119" t="s">
        <v>369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叶望の幻燈 ジーナ</v>
      </c>
      <c r="H6" s="138">
        <v>3</v>
      </c>
      <c r="I6" s="138"/>
      <c r="J6" s="143"/>
      <c r="K6" s="139">
        <v>1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861</v>
      </c>
      <c r="B7" s="135" t="s">
        <v>185</v>
      </c>
      <c r="C7" s="171" t="s">
        <v>270</v>
      </c>
      <c r="D7" s="136" t="s">
        <v>365</v>
      </c>
      <c r="E7" s="137">
        <f t="shared" si="2"/>
        <v>9</v>
      </c>
      <c r="F7" s="182" t="s">
        <v>401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青燈の巨躯 ジーナ</v>
      </c>
      <c r="H7" s="138">
        <v>3</v>
      </c>
      <c r="I7" s="138"/>
      <c r="J7" s="143"/>
      <c r="K7" s="139">
        <v>1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862</v>
      </c>
      <c r="B8" s="135" t="s">
        <v>185</v>
      </c>
      <c r="C8" s="172" t="s">
        <v>271</v>
      </c>
      <c r="D8" s="180" t="s">
        <v>344</v>
      </c>
      <c r="E8" s="137">
        <f t="shared" si="2"/>
        <v>8</v>
      </c>
      <c r="F8" s="119" t="s">
        <v>363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ブレーメン</v>
      </c>
      <c r="H8" s="138">
        <v>3</v>
      </c>
      <c r="I8" s="138"/>
      <c r="J8" s="143"/>
      <c r="K8" s="139">
        <v>1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863</v>
      </c>
      <c r="B9" s="135" t="s">
        <v>185</v>
      </c>
      <c r="C9" s="172" t="s">
        <v>272</v>
      </c>
      <c r="D9" s="180" t="s">
        <v>346</v>
      </c>
      <c r="E9" s="137">
        <f t="shared" si="2"/>
        <v>9</v>
      </c>
      <c r="F9" s="119" t="s">
        <v>345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歓揮の楽団長 ブレーメン</v>
      </c>
      <c r="H9" s="138">
        <v>3</v>
      </c>
      <c r="I9" s="138"/>
      <c r="J9" s="143"/>
      <c r="K9" s="139">
        <v>1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864</v>
      </c>
      <c r="B10" s="135" t="s">
        <v>185</v>
      </c>
      <c r="C10" s="171" t="s">
        <v>273</v>
      </c>
      <c r="D10" s="180" t="s">
        <v>342</v>
      </c>
      <c r="E10" s="137">
        <f t="shared" si="2"/>
        <v>18</v>
      </c>
      <c r="F10" s="181" t="s">
        <v>343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ピノキオ</v>
      </c>
      <c r="H10" s="138">
        <v>3</v>
      </c>
      <c r="I10" s="138"/>
      <c r="J10" s="143"/>
      <c r="K10" s="139">
        <v>1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865</v>
      </c>
      <c r="B11" s="135" t="s">
        <v>185</v>
      </c>
      <c r="C11" s="171" t="s">
        <v>273</v>
      </c>
      <c r="D11" s="180" t="s">
        <v>342</v>
      </c>
      <c r="E11" s="137">
        <f t="shared" si="2"/>
        <v>18</v>
      </c>
      <c r="F11" s="181" t="s">
        <v>343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無情の感線 ピノキオ</v>
      </c>
      <c r="H11" s="138">
        <v>3</v>
      </c>
      <c r="I11" s="138"/>
      <c r="J11" s="143"/>
      <c r="K11" s="139">
        <v>1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866</v>
      </c>
      <c r="B12" s="135" t="s">
        <v>185</v>
      </c>
      <c r="C12" s="172" t="s">
        <v>274</v>
      </c>
      <c r="D12" s="136" t="s">
        <v>340</v>
      </c>
      <c r="E12" s="137">
        <f t="shared" si="2"/>
        <v>10</v>
      </c>
      <c r="F12" s="119" t="s">
        <v>337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無敗の司令姫 白雪姫</v>
      </c>
      <c r="H12" s="138">
        <v>3</v>
      </c>
      <c r="I12" s="138"/>
      <c r="J12" s="143"/>
      <c r="K12" s="139">
        <v>1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867</v>
      </c>
      <c r="B13" s="135" t="s">
        <v>185</v>
      </c>
      <c r="C13" s="171" t="s">
        <v>275</v>
      </c>
      <c r="D13" s="136" t="s">
        <v>336</v>
      </c>
      <c r="E13" s="137">
        <f t="shared" si="2"/>
        <v>10</v>
      </c>
      <c r="F13" s="119" t="s">
        <v>338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華麗なる作戦 白雪姫</v>
      </c>
      <c r="H13" s="138">
        <v>3</v>
      </c>
      <c r="I13" s="138"/>
      <c r="J13" s="143"/>
      <c r="K13" s="139">
        <v>1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25">
      <c r="A14" s="12">
        <v>868</v>
      </c>
      <c r="B14" s="135" t="s">
        <v>185</v>
      </c>
      <c r="C14" s="172" t="s">
        <v>276</v>
      </c>
      <c r="D14" s="136" t="s">
        <v>253</v>
      </c>
      <c r="E14" s="137">
        <f t="shared" si="2"/>
        <v>24</v>
      </c>
      <c r="F14" s="170" t="s">
        <v>255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アラジンと殲滅機兵LAMP</v>
      </c>
      <c r="H14" s="138">
        <v>3</v>
      </c>
      <c r="I14" s="138"/>
      <c r="J14" s="143"/>
      <c r="K14" s="139">
        <v>1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25">
      <c r="A15" s="12">
        <v>869</v>
      </c>
      <c r="B15" s="135" t="s">
        <v>185</v>
      </c>
      <c r="C15" s="172" t="s">
        <v>277</v>
      </c>
      <c r="D15" s="136" t="s">
        <v>254</v>
      </c>
      <c r="E15" s="137">
        <f t="shared" si="2"/>
        <v>24</v>
      </c>
      <c r="F15" s="170" t="s">
        <v>339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 xml:space="preserve">マスター･アラジンと殲滅機兵LAMP </v>
      </c>
      <c r="H15" s="138">
        <v>3</v>
      </c>
      <c r="I15" s="138"/>
      <c r="J15" s="143"/>
      <c r="K15" s="139">
        <v>1</v>
      </c>
      <c r="L15" s="140"/>
      <c r="M15" s="141"/>
      <c r="N15" s="141"/>
      <c r="O15" s="141"/>
      <c r="P15" s="141"/>
      <c r="Q15" s="141"/>
      <c r="R15" s="136"/>
      <c r="S15" s="142"/>
    </row>
  </sheetData>
  <sheetProtection selectLockedCells="1" selectUnlockedCells="1"/>
  <autoFilter ref="A1:J1"/>
  <phoneticPr fontId="22"/>
  <conditionalFormatting sqref="E2 E4 E6 E8 E10 E12 E14">
    <cfRule type="cellIs" dxfId="24" priority="2" operator="greaterThan">
      <formula>41</formula>
    </cfRule>
  </conditionalFormatting>
  <conditionalFormatting sqref="E3 E5 E7 E9 E11 E13 E15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6"/>
  <sheetViews>
    <sheetView topLeftCell="A10" workbookViewId="0">
      <selection activeCell="J38" sqref="J38"/>
    </sheetView>
  </sheetViews>
  <sheetFormatPr baseColWidth="12" defaultRowHeight="15" outlineLevelCol="1" x14ac:dyDescent="0.15"/>
  <cols>
    <col min="2" max="2" width="24.5" style="145" customWidth="1"/>
    <col min="4" max="4" width="12.83203125" style="145" customWidth="1" outlineLevel="1"/>
    <col min="5" max="5" width="12.83203125" style="145"/>
    <col min="8" max="8" width="25.5" customWidth="1"/>
  </cols>
  <sheetData>
    <row r="1" spans="1:8" x14ac:dyDescent="0.15">
      <c r="A1" s="116" t="s">
        <v>186</v>
      </c>
      <c r="B1" s="144" t="s">
        <v>187</v>
      </c>
      <c r="C1" s="116" t="s">
        <v>188</v>
      </c>
      <c r="D1" s="144" t="s">
        <v>190</v>
      </c>
      <c r="E1" s="144" t="s">
        <v>191</v>
      </c>
      <c r="F1" s="113" t="s">
        <v>192</v>
      </c>
      <c r="G1" s="116" t="s">
        <v>189</v>
      </c>
      <c r="H1" s="113" t="s">
        <v>193</v>
      </c>
    </row>
    <row r="2" spans="1:8" x14ac:dyDescent="0.15">
      <c r="A2" s="12">
        <v>856</v>
      </c>
      <c r="B2" s="144" t="str">
        <f>VLOOKUP(A2,[1]characters!$A:$C,3,FALSE)</f>
        <v>リフレクト＆M.I.R.R.O.R.</v>
      </c>
      <c r="C2" s="109" t="s">
        <v>278</v>
      </c>
      <c r="D2" s="144"/>
      <c r="E2" s="144" t="str">
        <f>A2&amp;+(COUNTIF(A$2:A2,A2)-1)</f>
        <v>8560</v>
      </c>
      <c r="F2" s="109" t="s">
        <v>184</v>
      </c>
      <c r="G2" s="112" t="s">
        <v>279</v>
      </c>
      <c r="H2" s="177" t="s">
        <v>297</v>
      </c>
    </row>
    <row r="3" spans="1:8" x14ac:dyDescent="0.15">
      <c r="A3" s="12">
        <v>856</v>
      </c>
      <c r="B3" s="144" t="str">
        <f>VLOOKUP(A3,[1]characters!$A:$C,3,FALSE)</f>
        <v>リフレクト＆M.I.R.R.O.R.</v>
      </c>
      <c r="C3" s="109" t="s">
        <v>284</v>
      </c>
      <c r="D3" s="144"/>
      <c r="E3" s="144" t="str">
        <f>A3&amp;+(COUNTIF(A$2:A3,A3)-1)</f>
        <v>8561</v>
      </c>
      <c r="F3" s="109" t="s">
        <v>184</v>
      </c>
      <c r="G3" s="112" t="s">
        <v>279</v>
      </c>
      <c r="H3" s="172" t="s">
        <v>298</v>
      </c>
    </row>
    <row r="4" spans="1:8" x14ac:dyDescent="0.15">
      <c r="A4" s="12">
        <v>856</v>
      </c>
      <c r="B4" s="144" t="str">
        <f>VLOOKUP(A4,[1]characters!$A:$C,3,FALSE)</f>
        <v>リフレクト＆M.I.R.R.O.R.</v>
      </c>
      <c r="C4" s="109" t="s">
        <v>284</v>
      </c>
      <c r="D4" s="144"/>
      <c r="E4" s="144" t="str">
        <f>A4&amp;+(COUNTIF(A$2:A4,A4)-1)</f>
        <v>8562</v>
      </c>
      <c r="F4" s="109" t="s">
        <v>184</v>
      </c>
      <c r="G4" s="174" t="s">
        <v>287</v>
      </c>
      <c r="H4" s="172" t="s">
        <v>299</v>
      </c>
    </row>
    <row r="5" spans="1:8" x14ac:dyDescent="0.15">
      <c r="A5" s="12">
        <v>857</v>
      </c>
      <c r="B5" s="144" t="str">
        <f>VLOOKUP(A5,[1]characters!$A:$C,3,FALSE)</f>
        <v>嫉心のリフレクト＆M.I.R.R.O.R.</v>
      </c>
      <c r="C5" s="109" t="s">
        <v>278</v>
      </c>
      <c r="D5" s="144"/>
      <c r="E5" s="144" t="str">
        <f>A5&amp;+(COUNTIF(A$2:A5,A5)-1)</f>
        <v>8570</v>
      </c>
      <c r="F5" s="109" t="s">
        <v>184</v>
      </c>
      <c r="G5" s="174" t="s">
        <v>287</v>
      </c>
      <c r="H5" s="177" t="s">
        <v>296</v>
      </c>
    </row>
    <row r="6" spans="1:8" x14ac:dyDescent="0.15">
      <c r="A6" s="12">
        <v>857</v>
      </c>
      <c r="B6" s="144" t="str">
        <f>VLOOKUP(A6,[1]characters!$A:$C,3,FALSE)</f>
        <v>嫉心のリフレクト＆M.I.R.R.O.R.</v>
      </c>
      <c r="C6" s="109" t="s">
        <v>284</v>
      </c>
      <c r="D6" s="144"/>
      <c r="E6" s="144" t="str">
        <f>A6&amp;+(COUNTIF(A$2:A6,A6)-1)</f>
        <v>8571</v>
      </c>
      <c r="F6" s="109" t="s">
        <v>184</v>
      </c>
      <c r="G6" s="112" t="s">
        <v>279</v>
      </c>
      <c r="H6" s="172" t="s">
        <v>300</v>
      </c>
    </row>
    <row r="7" spans="1:8" x14ac:dyDescent="0.15">
      <c r="A7" s="12">
        <v>857</v>
      </c>
      <c r="B7" s="144" t="str">
        <f>VLOOKUP(A7,[1]characters!$A:$C,3,FALSE)</f>
        <v>嫉心のリフレクト＆M.I.R.R.O.R.</v>
      </c>
      <c r="C7" s="109" t="s">
        <v>284</v>
      </c>
      <c r="D7" s="144"/>
      <c r="E7" s="144" t="str">
        <f>A7&amp;+(COUNTIF(A$2:A7,A7)-1)</f>
        <v>8572</v>
      </c>
      <c r="F7" s="109" t="s">
        <v>184</v>
      </c>
      <c r="G7" s="112" t="str">
        <f>G4</f>
        <v>maru</v>
      </c>
      <c r="H7" s="176" t="str">
        <f>H4</f>
        <v>ヘマしたらお仕置きじゃ！</v>
      </c>
    </row>
    <row r="8" spans="1:8" x14ac:dyDescent="0.15">
      <c r="A8" s="12">
        <v>857</v>
      </c>
      <c r="B8" s="144" t="str">
        <f>VLOOKUP(A8,[1]characters!$A:$C,3,FALSE)</f>
        <v>嫉心のリフレクト＆M.I.R.R.O.R.</v>
      </c>
      <c r="C8" s="109" t="s">
        <v>291</v>
      </c>
      <c r="D8" s="144"/>
      <c r="E8" s="144" t="str">
        <f>A8&amp;+(COUNTIF(A$2:A8,A8)-1)</f>
        <v>8573</v>
      </c>
      <c r="F8" s="109" t="s">
        <v>281</v>
      </c>
      <c r="G8" s="112" t="str">
        <f>G5</f>
        <v>maru</v>
      </c>
      <c r="H8" s="175" t="str">
        <f>H3</f>
        <v>鏡！さっさとやれ！！</v>
      </c>
    </row>
    <row r="9" spans="1:8" x14ac:dyDescent="0.15">
      <c r="A9" s="12">
        <v>858</v>
      </c>
      <c r="B9" s="144" t="str">
        <f>VLOOKUP(A9,[1]characters!$A:$C,3,FALSE)</f>
        <v>Mr.ホエール</v>
      </c>
      <c r="C9" s="109" t="s">
        <v>278</v>
      </c>
      <c r="D9" s="144"/>
      <c r="E9" s="144" t="str">
        <f>A9&amp;+(COUNTIF(A$2:A9,A9)-1)</f>
        <v>8580</v>
      </c>
      <c r="F9" s="109" t="s">
        <v>184</v>
      </c>
      <c r="G9" s="173" t="s">
        <v>374</v>
      </c>
      <c r="H9" s="177" t="s">
        <v>301</v>
      </c>
    </row>
    <row r="10" spans="1:8" x14ac:dyDescent="0.15">
      <c r="A10" s="12">
        <v>858</v>
      </c>
      <c r="B10" s="144" t="str">
        <f>VLOOKUP(A10,[1]characters!$A:$C,3,FALSE)</f>
        <v>Mr.ホエール</v>
      </c>
      <c r="C10" s="109" t="s">
        <v>284</v>
      </c>
      <c r="D10" s="144"/>
      <c r="E10" s="144" t="str">
        <f>A10&amp;+(COUNTIF(A$2:A10,A10)-1)</f>
        <v>8581</v>
      </c>
      <c r="F10" s="109" t="s">
        <v>184</v>
      </c>
      <c r="G10" s="173" t="s">
        <v>374</v>
      </c>
      <c r="H10" s="172" t="s">
        <v>302</v>
      </c>
    </row>
    <row r="11" spans="1:8" x14ac:dyDescent="0.15">
      <c r="A11" s="12">
        <v>858</v>
      </c>
      <c r="B11" s="144" t="str">
        <f>VLOOKUP(A11,[1]characters!$A:$C,3,FALSE)</f>
        <v>Mr.ホエール</v>
      </c>
      <c r="C11" s="109" t="s">
        <v>284</v>
      </c>
      <c r="D11" s="144"/>
      <c r="E11" s="144" t="str">
        <f>A11&amp;+(COUNTIF(A$2:A11,A11)-1)</f>
        <v>8582</v>
      </c>
      <c r="F11" s="109" t="s">
        <v>184</v>
      </c>
      <c r="G11" s="173" t="s">
        <v>374</v>
      </c>
      <c r="H11" s="172" t="s">
        <v>303</v>
      </c>
    </row>
    <row r="12" spans="1:8" x14ac:dyDescent="0.15">
      <c r="A12" s="12">
        <v>859</v>
      </c>
      <c r="B12" s="144" t="str">
        <f>VLOOKUP(A12,[1]characters!$A:$C,3,FALSE)</f>
        <v>夢鯨大食 Mr.ホエール</v>
      </c>
      <c r="C12" s="109" t="s">
        <v>278</v>
      </c>
      <c r="D12" s="144"/>
      <c r="E12" s="144" t="str">
        <f>A12&amp;+(COUNTIF(A$2:A12,A12)-1)</f>
        <v>8590</v>
      </c>
      <c r="F12" s="109" t="s">
        <v>184</v>
      </c>
      <c r="G12" s="173" t="s">
        <v>374</v>
      </c>
      <c r="H12" s="177" t="s">
        <v>304</v>
      </c>
    </row>
    <row r="13" spans="1:8" x14ac:dyDescent="0.15">
      <c r="A13" s="12">
        <v>859</v>
      </c>
      <c r="B13" s="144" t="str">
        <f>VLOOKUP(A13,[1]characters!$A:$C,3,FALSE)</f>
        <v>夢鯨大食 Mr.ホエール</v>
      </c>
      <c r="C13" s="109" t="s">
        <v>284</v>
      </c>
      <c r="D13" s="144"/>
      <c r="E13" s="144" t="str">
        <f>A13&amp;+(COUNTIF(A$2:A13,A13)-1)</f>
        <v>8591</v>
      </c>
      <c r="F13" s="109" t="s">
        <v>184</v>
      </c>
      <c r="G13" s="173" t="s">
        <v>374</v>
      </c>
      <c r="H13" s="172" t="s">
        <v>305</v>
      </c>
    </row>
    <row r="14" spans="1:8" x14ac:dyDescent="0.15">
      <c r="A14" s="12">
        <v>859</v>
      </c>
      <c r="B14" s="144" t="str">
        <f>VLOOKUP(A14,[1]characters!$A:$C,3,FALSE)</f>
        <v>夢鯨大食 Mr.ホエール</v>
      </c>
      <c r="C14" s="109" t="s">
        <v>284</v>
      </c>
      <c r="D14" s="144"/>
      <c r="E14" s="144" t="str">
        <f>A14&amp;+(COUNTIF(A$2:A14,A14)-1)</f>
        <v>8592</v>
      </c>
      <c r="F14" s="109" t="s">
        <v>184</v>
      </c>
      <c r="G14" s="173" t="s">
        <v>374</v>
      </c>
      <c r="H14" s="176" t="str">
        <f>H11</f>
        <v>ざぶ〜んといくぉ〜</v>
      </c>
    </row>
    <row r="15" spans="1:8" x14ac:dyDescent="0.15">
      <c r="A15" s="12">
        <v>859</v>
      </c>
      <c r="B15" s="144" t="str">
        <f>VLOOKUP(A15,[1]characters!$A:$C,3,FALSE)</f>
        <v>夢鯨大食 Mr.ホエール</v>
      </c>
      <c r="C15" s="109" t="s">
        <v>291</v>
      </c>
      <c r="D15" s="144"/>
      <c r="E15" s="144" t="str">
        <f>A15&amp;+(COUNTIF(A$2:A15,A15)-1)</f>
        <v>8593</v>
      </c>
      <c r="F15" s="109" t="s">
        <v>184</v>
      </c>
      <c r="G15" s="173" t="s">
        <v>374</v>
      </c>
      <c r="H15" s="175" t="str">
        <f>H10</f>
        <v>ほぇほぇ〜体当たりだぉ</v>
      </c>
    </row>
    <row r="16" spans="1:8" x14ac:dyDescent="0.15">
      <c r="A16" s="12">
        <v>860</v>
      </c>
      <c r="B16" s="144" t="str">
        <f>VLOOKUP(A16,[1]characters!$A:$C,3,FALSE)</f>
        <v>叶望の幻燈 ジーナ</v>
      </c>
      <c r="C16" s="109" t="s">
        <v>278</v>
      </c>
      <c r="D16" s="144"/>
      <c r="E16" s="144" t="str">
        <f>A16&amp;+(COUNTIF(A$2:A16,A16)-1)</f>
        <v>8600</v>
      </c>
      <c r="F16" s="109" t="s">
        <v>184</v>
      </c>
      <c r="G16" s="173" t="s">
        <v>287</v>
      </c>
      <c r="H16" s="177" t="s">
        <v>306</v>
      </c>
    </row>
    <row r="17" spans="1:8" x14ac:dyDescent="0.15">
      <c r="A17" s="12">
        <v>860</v>
      </c>
      <c r="B17" s="144" t="str">
        <f>VLOOKUP(A17,[1]characters!$A:$C,3,FALSE)</f>
        <v>叶望の幻燈 ジーナ</v>
      </c>
      <c r="C17" s="109" t="s">
        <v>286</v>
      </c>
      <c r="D17" s="144"/>
      <c r="E17" s="144" t="str">
        <f>A17&amp;+(COUNTIF(A$2:A17,A17)-1)</f>
        <v>8601</v>
      </c>
      <c r="F17" s="109" t="s">
        <v>283</v>
      </c>
      <c r="G17" s="175" t="s">
        <v>287</v>
      </c>
      <c r="H17" s="172" t="s">
        <v>307</v>
      </c>
    </row>
    <row r="18" spans="1:8" x14ac:dyDescent="0.15">
      <c r="A18" s="12">
        <v>860</v>
      </c>
      <c r="B18" s="144" t="str">
        <f>VLOOKUP(A18,[1]characters!$A:$C,3,FALSE)</f>
        <v>叶望の幻燈 ジーナ</v>
      </c>
      <c r="C18" s="109" t="s">
        <v>284</v>
      </c>
      <c r="D18" s="144"/>
      <c r="E18" s="144" t="str">
        <f>A18&amp;+(COUNTIF(A$2:A18,A18)-1)</f>
        <v>8602</v>
      </c>
      <c r="F18" s="109" t="s">
        <v>184</v>
      </c>
      <c r="G18" s="175" t="s">
        <v>287</v>
      </c>
      <c r="H18" s="172" t="s">
        <v>308</v>
      </c>
    </row>
    <row r="19" spans="1:8" x14ac:dyDescent="0.15">
      <c r="A19" s="12">
        <v>860</v>
      </c>
      <c r="B19" s="144" t="str">
        <f>VLOOKUP(A19,[1]characters!$A:$C,3,FALSE)</f>
        <v>叶望の幻燈 ジーナ</v>
      </c>
      <c r="C19" s="109" t="s">
        <v>284</v>
      </c>
      <c r="D19" s="144"/>
      <c r="E19" s="144" t="str">
        <f>A19&amp;+(COUNTIF(A$2:A19,A19)-1)</f>
        <v>8603</v>
      </c>
      <c r="F19" s="109" t="s">
        <v>184</v>
      </c>
      <c r="G19" s="175" t="s">
        <v>287</v>
      </c>
      <c r="H19" s="172" t="s">
        <v>309</v>
      </c>
    </row>
    <row r="20" spans="1:8" x14ac:dyDescent="0.15">
      <c r="A20" s="12">
        <v>861</v>
      </c>
      <c r="B20" s="144" t="str">
        <f>VLOOKUP(A20,[1]characters!$A:$C,3,FALSE)</f>
        <v>青燈の巨躯 ジーナ</v>
      </c>
      <c r="C20" s="109" t="s">
        <v>278</v>
      </c>
      <c r="D20" s="144"/>
      <c r="E20" s="144" t="str">
        <f>A20&amp;+(COUNTIF(A$2:A20,A20)-1)</f>
        <v>8610</v>
      </c>
      <c r="F20" s="109" t="s">
        <v>184</v>
      </c>
      <c r="G20" s="173" t="s">
        <v>289</v>
      </c>
      <c r="H20" s="177" t="s">
        <v>310</v>
      </c>
    </row>
    <row r="21" spans="1:8" x14ac:dyDescent="0.15">
      <c r="A21" s="12">
        <v>861</v>
      </c>
      <c r="B21" s="144" t="str">
        <f>VLOOKUP(A21,[1]characters!$A:$C,3,FALSE)</f>
        <v>青燈の巨躯 ジーナ</v>
      </c>
      <c r="C21" s="109" t="s">
        <v>284</v>
      </c>
      <c r="D21" s="144"/>
      <c r="E21" s="144" t="str">
        <f>A21&amp;+(COUNTIF(A$2:A21,A21)-1)</f>
        <v>8611</v>
      </c>
      <c r="F21" s="109" t="s">
        <v>184</v>
      </c>
      <c r="G21" s="173" t="s">
        <v>287</v>
      </c>
      <c r="H21" s="172" t="s">
        <v>311</v>
      </c>
    </row>
    <row r="22" spans="1:8" x14ac:dyDescent="0.15">
      <c r="A22" s="12">
        <v>861</v>
      </c>
      <c r="B22" s="144" t="str">
        <f>VLOOKUP(A22,[1]characters!$A:$C,3,FALSE)</f>
        <v>青燈の巨躯 ジーナ</v>
      </c>
      <c r="C22" s="109" t="s">
        <v>284</v>
      </c>
      <c r="D22" s="144"/>
      <c r="E22" s="144" t="str">
        <f>A22&amp;+(COUNTIF(A$2:A22,A22)-1)</f>
        <v>8612</v>
      </c>
      <c r="F22" s="109" t="s">
        <v>184</v>
      </c>
      <c r="G22" s="173" t="s">
        <v>287</v>
      </c>
      <c r="H22" s="176" t="str">
        <f>H17</f>
        <v>ふふっ…悪戯しちゃお</v>
      </c>
    </row>
    <row r="23" spans="1:8" x14ac:dyDescent="0.15">
      <c r="A23" s="12">
        <v>861</v>
      </c>
      <c r="B23" s="144" t="str">
        <f>VLOOKUP(A23,[1]characters!$A:$C,3,FALSE)</f>
        <v>青燈の巨躯 ジーナ</v>
      </c>
      <c r="C23" s="109" t="s">
        <v>291</v>
      </c>
      <c r="D23" s="144"/>
      <c r="E23" s="144" t="str">
        <f>A23&amp;+(COUNTIF(A$2:A23,A23)-1)</f>
        <v>8613</v>
      </c>
      <c r="F23" s="109" t="s">
        <v>184</v>
      </c>
      <c r="G23" s="173" t="s">
        <v>287</v>
      </c>
      <c r="H23" s="176" t="str">
        <f>H18</f>
        <v>どこ見てるのかしら〜？</v>
      </c>
    </row>
    <row r="24" spans="1:8" x14ac:dyDescent="0.15">
      <c r="A24" s="12">
        <v>861</v>
      </c>
      <c r="B24" s="144" t="str">
        <f>VLOOKUP(A24,[1]characters!$A:$C,3,FALSE)</f>
        <v>青燈の巨躯 ジーナ</v>
      </c>
      <c r="C24" s="109" t="s">
        <v>291</v>
      </c>
      <c r="D24" s="144"/>
      <c r="E24" s="144" t="str">
        <f>A24&amp;+(COUNTIF(A$2:A24,A24)-1)</f>
        <v>8614</v>
      </c>
      <c r="F24" s="109" t="s">
        <v>184</v>
      </c>
      <c r="G24" s="174" t="s">
        <v>287</v>
      </c>
      <c r="H24" s="176" t="str">
        <f>H19</f>
        <v>素直な子は好きよぅ〜？</v>
      </c>
    </row>
    <row r="25" spans="1:8" x14ac:dyDescent="0.15">
      <c r="A25" s="12">
        <v>862</v>
      </c>
      <c r="B25" s="144" t="str">
        <f>VLOOKUP(A25,[1]characters!$A:$C,3,FALSE)</f>
        <v>ブレーメン</v>
      </c>
      <c r="C25" s="109" t="s">
        <v>278</v>
      </c>
      <c r="D25" s="144"/>
      <c r="E25" s="144" t="str">
        <f>A25&amp;+(COUNTIF(A$2:A25,A25)-1)</f>
        <v>8620</v>
      </c>
      <c r="F25" s="109" t="s">
        <v>184</v>
      </c>
      <c r="G25" s="173" t="s">
        <v>287</v>
      </c>
      <c r="H25" s="177" t="s">
        <v>312</v>
      </c>
    </row>
    <row r="26" spans="1:8" x14ac:dyDescent="0.15">
      <c r="A26" s="12">
        <v>862</v>
      </c>
      <c r="B26" s="144" t="str">
        <f>VLOOKUP(A26,[1]characters!$A:$C,3,FALSE)</f>
        <v>ブレーメン</v>
      </c>
      <c r="C26" s="109" t="s">
        <v>284</v>
      </c>
      <c r="D26" s="144"/>
      <c r="E26" s="144" t="str">
        <f>A26&amp;+(COUNTIF(A$2:A26,A26)-1)</f>
        <v>8621</v>
      </c>
      <c r="F26" s="109" t="s">
        <v>184</v>
      </c>
      <c r="G26" s="175" t="s">
        <v>287</v>
      </c>
      <c r="H26" s="172" t="s">
        <v>314</v>
      </c>
    </row>
    <row r="27" spans="1:8" x14ac:dyDescent="0.15">
      <c r="A27" s="12">
        <v>862</v>
      </c>
      <c r="B27" s="144" t="str">
        <f>VLOOKUP(A27,[1]characters!$A:$C,3,FALSE)</f>
        <v>ブレーメン</v>
      </c>
      <c r="C27" s="109" t="s">
        <v>284</v>
      </c>
      <c r="D27" s="144"/>
      <c r="E27" s="144" t="str">
        <f>A27&amp;+(COUNTIF(A$2:A27,A27)-1)</f>
        <v>8622</v>
      </c>
      <c r="F27" s="109" t="s">
        <v>184</v>
      </c>
      <c r="G27" s="175" t="s">
        <v>279</v>
      </c>
      <c r="H27" s="172" t="s">
        <v>315</v>
      </c>
    </row>
    <row r="28" spans="1:8" x14ac:dyDescent="0.15">
      <c r="A28" s="12">
        <v>863</v>
      </c>
      <c r="B28" s="144" t="str">
        <f>VLOOKUP(A28,[1]characters!$A:$C,3,FALSE)</f>
        <v>歓揮の楽団長 ブレーメン</v>
      </c>
      <c r="C28" s="109" t="s">
        <v>293</v>
      </c>
      <c r="D28" s="144"/>
      <c r="E28" s="144" t="str">
        <f>A28&amp;+(COUNTIF(A$2:A28,A28)-1)</f>
        <v>8630</v>
      </c>
      <c r="F28" s="109" t="s">
        <v>283</v>
      </c>
      <c r="G28" s="173" t="s">
        <v>279</v>
      </c>
      <c r="H28" s="177" t="s">
        <v>313</v>
      </c>
    </row>
    <row r="29" spans="1:8" x14ac:dyDescent="0.15">
      <c r="A29" s="12">
        <v>863</v>
      </c>
      <c r="B29" s="144" t="str">
        <f>VLOOKUP(A29,[1]characters!$A:$C,3,FALSE)</f>
        <v>歓揮の楽団長 ブレーメン</v>
      </c>
      <c r="C29" s="109" t="s">
        <v>284</v>
      </c>
      <c r="D29" s="144"/>
      <c r="E29" s="144" t="str">
        <f>A29&amp;+(COUNTIF(A$2:A29,A29)-1)</f>
        <v>8631</v>
      </c>
      <c r="F29" s="109" t="s">
        <v>184</v>
      </c>
      <c r="G29" s="175" t="s">
        <v>287</v>
      </c>
      <c r="H29" s="172" t="str">
        <f>H26</f>
        <v>みんな出番だよーっ！</v>
      </c>
    </row>
    <row r="30" spans="1:8" x14ac:dyDescent="0.15">
      <c r="A30" s="12">
        <v>863</v>
      </c>
      <c r="B30" s="144" t="str">
        <f>VLOOKUP(A30,[1]characters!$A:$C,3,FALSE)</f>
        <v>歓揮の楽団長 ブレーメン</v>
      </c>
      <c r="C30" s="109" t="s">
        <v>284</v>
      </c>
      <c r="D30" s="144"/>
      <c r="E30" s="144" t="str">
        <f>A30&amp;+(COUNTIF(A$2:A30,A30)-1)</f>
        <v>8632</v>
      </c>
      <c r="F30" s="109" t="s">
        <v>184</v>
      </c>
      <c r="G30" s="173" t="s">
        <v>287</v>
      </c>
      <c r="H30" s="172" t="str">
        <f>H27</f>
        <v>発声練習よーしっ！</v>
      </c>
    </row>
    <row r="31" spans="1:8" x14ac:dyDescent="0.15">
      <c r="A31" s="12">
        <v>863</v>
      </c>
      <c r="B31" s="144" t="str">
        <f>VLOOKUP(A31,[1]characters!$A:$C,3,FALSE)</f>
        <v>歓揮の楽団長 ブレーメン</v>
      </c>
      <c r="C31" s="109" t="s">
        <v>291</v>
      </c>
      <c r="D31" s="144"/>
      <c r="E31" s="144" t="str">
        <f>A31&amp;+(COUNTIF(A$2:A31,A31)-1)</f>
        <v>8633</v>
      </c>
      <c r="F31" s="109" t="s">
        <v>184</v>
      </c>
      <c r="G31" s="173" t="s">
        <v>287</v>
      </c>
      <c r="H31" s="175" t="s">
        <v>361</v>
      </c>
    </row>
    <row r="32" spans="1:8" x14ac:dyDescent="0.15">
      <c r="A32" s="12">
        <v>864</v>
      </c>
      <c r="B32" s="144" t="str">
        <f>VLOOKUP(A32,[1]characters!$A:$C,3,FALSE)</f>
        <v>ピノキオ</v>
      </c>
      <c r="C32" s="109" t="s">
        <v>293</v>
      </c>
      <c r="D32" s="144"/>
      <c r="E32" s="144" t="str">
        <f>A32&amp;+(COUNTIF(A$2:A32,A32)-1)</f>
        <v>8640</v>
      </c>
      <c r="F32" s="109" t="s">
        <v>184</v>
      </c>
      <c r="G32" s="173" t="s">
        <v>290</v>
      </c>
      <c r="H32" s="178" t="s">
        <v>316</v>
      </c>
    </row>
    <row r="33" spans="1:8" x14ac:dyDescent="0.15">
      <c r="A33" s="12">
        <v>864</v>
      </c>
      <c r="B33" s="144" t="str">
        <f>VLOOKUP(A33,[1]characters!$A:$C,3,FALSE)</f>
        <v>ピノキオ</v>
      </c>
      <c r="C33" s="109" t="s">
        <v>284</v>
      </c>
      <c r="D33" s="144"/>
      <c r="E33" s="144" t="str">
        <f>A33&amp;+(COUNTIF(A$2:A33,A33)-1)</f>
        <v>8641</v>
      </c>
      <c r="F33" s="109" t="s">
        <v>184</v>
      </c>
      <c r="G33" s="175" t="s">
        <v>288</v>
      </c>
      <c r="H33" s="172" t="s">
        <v>318</v>
      </c>
    </row>
    <row r="34" spans="1:8" x14ac:dyDescent="0.15">
      <c r="A34" s="12">
        <v>864</v>
      </c>
      <c r="B34" s="144" t="str">
        <f>VLOOKUP(A34,[1]characters!$A:$C,3,FALSE)</f>
        <v>ピノキオ</v>
      </c>
      <c r="C34" s="109" t="s">
        <v>284</v>
      </c>
      <c r="D34" s="144"/>
      <c r="E34" s="144" t="str">
        <f>A34&amp;+(COUNTIF(A$2:A34,A34)-1)</f>
        <v>8642</v>
      </c>
      <c r="F34" s="109" t="s">
        <v>184</v>
      </c>
      <c r="G34" s="175" t="s">
        <v>288</v>
      </c>
      <c r="H34" s="172" t="s">
        <v>319</v>
      </c>
    </row>
    <row r="35" spans="1:8" x14ac:dyDescent="0.15">
      <c r="A35" s="12">
        <v>865</v>
      </c>
      <c r="B35" s="144" t="str">
        <f>VLOOKUP(A35,[1]characters!$A:$C,3,FALSE)</f>
        <v>無情の感線 ピノキオ</v>
      </c>
      <c r="C35" s="109" t="s">
        <v>292</v>
      </c>
      <c r="D35" s="144"/>
      <c r="E35" s="144" t="str">
        <f>A35&amp;+(COUNTIF(A$2:A35,A35)-1)</f>
        <v>8650</v>
      </c>
      <c r="F35" s="109" t="s">
        <v>184</v>
      </c>
      <c r="G35" s="173" t="s">
        <v>287</v>
      </c>
      <c r="H35" s="177" t="s">
        <v>317</v>
      </c>
    </row>
    <row r="36" spans="1:8" x14ac:dyDescent="0.15">
      <c r="A36" s="12">
        <v>865</v>
      </c>
      <c r="B36" s="144" t="str">
        <f>VLOOKUP(A36,[1]characters!$A:$C,3,FALSE)</f>
        <v>無情の感線 ピノキオ</v>
      </c>
      <c r="C36" s="109" t="s">
        <v>284</v>
      </c>
      <c r="D36" s="144"/>
      <c r="E36" s="144" t="str">
        <f>A36&amp;+(COUNTIF(A$2:A36,A36)-1)</f>
        <v>8651</v>
      </c>
      <c r="F36" s="109" t="s">
        <v>184</v>
      </c>
      <c r="G36" s="175" t="s">
        <v>287</v>
      </c>
      <c r="H36" s="172" t="s">
        <v>320</v>
      </c>
    </row>
    <row r="37" spans="1:8" x14ac:dyDescent="0.15">
      <c r="A37" s="12">
        <v>865</v>
      </c>
      <c r="B37" s="144" t="str">
        <f>VLOOKUP(A37,[1]characters!$A:$C,3,FALSE)</f>
        <v>無情の感線 ピノキオ</v>
      </c>
      <c r="C37" s="109" t="s">
        <v>284</v>
      </c>
      <c r="D37" s="144"/>
      <c r="E37" s="144" t="str">
        <f>A37&amp;+(COUNTIF(A$2:A37,A37)-1)</f>
        <v>8652</v>
      </c>
      <c r="F37" s="109" t="s">
        <v>184</v>
      </c>
      <c r="G37" s="175" t="s">
        <v>287</v>
      </c>
      <c r="H37" s="172" t="str">
        <f>H34</f>
        <v>嘘つきはキミ達の方さ…</v>
      </c>
    </row>
    <row r="38" spans="1:8" x14ac:dyDescent="0.15">
      <c r="A38" s="12">
        <v>865</v>
      </c>
      <c r="B38" s="144" t="str">
        <f>VLOOKUP(A38,[1]characters!$A:$C,3,FALSE)</f>
        <v>無情の感線 ピノキオ</v>
      </c>
      <c r="C38" s="109" t="s">
        <v>284</v>
      </c>
      <c r="D38" s="144"/>
      <c r="E38" s="144" t="str">
        <f>A38&amp;+(COUNTIF(A$2:A38,A38)-1)</f>
        <v>8653</v>
      </c>
      <c r="F38" s="109" t="s">
        <v>184</v>
      </c>
      <c r="G38" s="173" t="s">
        <v>287</v>
      </c>
      <c r="H38" s="172" t="s">
        <v>318</v>
      </c>
    </row>
    <row r="39" spans="1:8" x14ac:dyDescent="0.15">
      <c r="A39" s="12">
        <v>866</v>
      </c>
      <c r="B39" s="144" t="str">
        <f>VLOOKUP(A39,[1]characters!$A:$C,3,FALSE)</f>
        <v>無敗の司令姫 白雪姫</v>
      </c>
      <c r="C39" s="109" t="s">
        <v>292</v>
      </c>
      <c r="D39" s="144"/>
      <c r="E39" s="144" t="str">
        <f>A39&amp;+(COUNTIF(A$2:A39,A39)-1)</f>
        <v>8660</v>
      </c>
      <c r="F39" s="109" t="s">
        <v>184</v>
      </c>
      <c r="G39" s="173" t="s">
        <v>287</v>
      </c>
      <c r="H39" s="177" t="s">
        <v>321</v>
      </c>
    </row>
    <row r="40" spans="1:8" x14ac:dyDescent="0.15">
      <c r="A40" s="12">
        <v>866</v>
      </c>
      <c r="B40" s="144" t="str">
        <f>VLOOKUP(A40,[1]characters!$A:$C,3,FALSE)</f>
        <v>無敗の司令姫 白雪姫</v>
      </c>
      <c r="C40" s="109" t="s">
        <v>284</v>
      </c>
      <c r="D40" s="144"/>
      <c r="E40" s="144" t="str">
        <f>A40&amp;+(COUNTIF(A$2:A40,A40)-1)</f>
        <v>8661</v>
      </c>
      <c r="F40" s="109" t="s">
        <v>184</v>
      </c>
      <c r="G40" s="175" t="s">
        <v>287</v>
      </c>
      <c r="H40" s="172" t="s">
        <v>324</v>
      </c>
    </row>
    <row r="41" spans="1:8" x14ac:dyDescent="0.15">
      <c r="A41" s="12">
        <v>866</v>
      </c>
      <c r="B41" s="144" t="str">
        <f>VLOOKUP(A41,[1]characters!$A:$C,3,FALSE)</f>
        <v>無敗の司令姫 白雪姫</v>
      </c>
      <c r="C41" s="109" t="s">
        <v>284</v>
      </c>
      <c r="D41" s="144"/>
      <c r="E41" s="144" t="str">
        <f>A41&amp;+(COUNTIF(A$2:A41,A41)-1)</f>
        <v>8662</v>
      </c>
      <c r="F41" s="109" t="s">
        <v>184</v>
      </c>
      <c r="G41" s="175" t="s">
        <v>279</v>
      </c>
      <c r="H41" s="172" t="s">
        <v>325</v>
      </c>
    </row>
    <row r="42" spans="1:8" x14ac:dyDescent="0.15">
      <c r="A42" s="12">
        <v>866</v>
      </c>
      <c r="B42" s="144" t="str">
        <f>VLOOKUP(A42,[1]characters!$A:$C,3,FALSE)</f>
        <v>無敗の司令姫 白雪姫</v>
      </c>
      <c r="C42" s="109" t="s">
        <v>284</v>
      </c>
      <c r="D42" s="144"/>
      <c r="E42" s="144" t="str">
        <f>A42&amp;+(COUNTIF(A$2:A42,A42)-1)</f>
        <v>8663</v>
      </c>
      <c r="F42" s="109" t="s">
        <v>184</v>
      </c>
      <c r="G42" s="175" t="s">
        <v>287</v>
      </c>
      <c r="H42" s="172" t="s">
        <v>326</v>
      </c>
    </row>
    <row r="43" spans="1:8" x14ac:dyDescent="0.15">
      <c r="A43" s="12">
        <v>867</v>
      </c>
      <c r="B43" s="144" t="str">
        <f>VLOOKUP(A43,[1]characters!$A:$C,3,FALSE)</f>
        <v>華麗なる作戦 白雪姫</v>
      </c>
      <c r="C43" s="109" t="s">
        <v>278</v>
      </c>
      <c r="D43" s="144"/>
      <c r="E43" s="144" t="str">
        <f>A43&amp;+(COUNTIF(A$2:A43,A43)-1)</f>
        <v>8670</v>
      </c>
      <c r="F43" s="109" t="s">
        <v>184</v>
      </c>
      <c r="G43" s="173" t="s">
        <v>322</v>
      </c>
      <c r="H43" s="177" t="s">
        <v>323</v>
      </c>
    </row>
    <row r="44" spans="1:8" x14ac:dyDescent="0.15">
      <c r="A44" s="12">
        <v>867</v>
      </c>
      <c r="B44" s="144" t="str">
        <f>VLOOKUP(A44,[1]characters!$A:$C,3,FALSE)</f>
        <v>華麗なる作戦 白雪姫</v>
      </c>
      <c r="C44" s="109" t="s">
        <v>284</v>
      </c>
      <c r="D44" s="144"/>
      <c r="E44" s="144" t="str">
        <f>A44&amp;+(COUNTIF(A$2:A44,A44)-1)</f>
        <v>8671</v>
      </c>
      <c r="F44" s="109" t="s">
        <v>184</v>
      </c>
      <c r="G44" s="172" t="s">
        <v>279</v>
      </c>
      <c r="H44" s="172" t="s">
        <v>327</v>
      </c>
    </row>
    <row r="45" spans="1:8" x14ac:dyDescent="0.15">
      <c r="A45" s="12">
        <v>867</v>
      </c>
      <c r="B45" s="144" t="str">
        <f>VLOOKUP(A45,[1]characters!$A:$C,3,FALSE)</f>
        <v>華麗なる作戦 白雪姫</v>
      </c>
      <c r="C45" s="109" t="s">
        <v>284</v>
      </c>
      <c r="D45" s="144"/>
      <c r="E45" s="144" t="str">
        <f>A45&amp;+(COUNTIF(A$2:A45,A45)-1)</f>
        <v>8672</v>
      </c>
      <c r="F45" s="109" t="s">
        <v>184</v>
      </c>
      <c r="G45" s="173" t="s">
        <v>279</v>
      </c>
      <c r="H45" s="176" t="str">
        <f>H40</f>
        <v>懸けてる時間が違うのよ</v>
      </c>
    </row>
    <row r="46" spans="1:8" x14ac:dyDescent="0.15">
      <c r="A46" s="12">
        <v>867</v>
      </c>
      <c r="B46" s="144" t="str">
        <f>VLOOKUP(A46,[1]characters!$A:$C,3,FALSE)</f>
        <v>華麗なる作戦 白雪姫</v>
      </c>
      <c r="C46" s="109" t="s">
        <v>284</v>
      </c>
      <c r="D46" s="144"/>
      <c r="E46" s="144" t="str">
        <f>A46&amp;+(COUNTIF(A$2:A46,A46)-1)</f>
        <v>8673</v>
      </c>
      <c r="F46" s="109" t="s">
        <v>184</v>
      </c>
      <c r="G46" s="173" t="s">
        <v>279</v>
      </c>
      <c r="H46" s="176" t="str">
        <f>H41</f>
        <v>ほらそこ！守り甘すぎ！</v>
      </c>
    </row>
    <row r="47" spans="1:8" ht="40" customHeight="1" x14ac:dyDescent="0.15">
      <c r="A47" s="12">
        <v>867</v>
      </c>
      <c r="B47" s="144" t="str">
        <f>VLOOKUP(A47,[1]characters!$A:$C,3,FALSE)</f>
        <v>華麗なる作戦 白雪姫</v>
      </c>
      <c r="C47" s="109" t="s">
        <v>284</v>
      </c>
      <c r="D47" s="144"/>
      <c r="E47" s="144" t="str">
        <f>A47&amp;+(COUNTIF(A$2:A47,A47)-1)</f>
        <v>8674</v>
      </c>
      <c r="F47" s="109" t="s">
        <v>184</v>
      </c>
      <c r="G47" s="174" t="s">
        <v>287</v>
      </c>
      <c r="H47" s="176" t="str">
        <f>H42</f>
        <v>７人全員プロ中のプロよ</v>
      </c>
    </row>
    <row r="48" spans="1:8" x14ac:dyDescent="0.15">
      <c r="A48" s="12">
        <v>868</v>
      </c>
      <c r="B48" s="144" t="str">
        <f>VLOOKUP(A48,[1]characters!$A:$C,3,FALSE)</f>
        <v>アラジンと殲滅機兵LAMP</v>
      </c>
      <c r="C48" s="109" t="s">
        <v>293</v>
      </c>
      <c r="D48" s="144"/>
      <c r="E48" s="144" t="str">
        <f>A48&amp;+(COUNTIF(A$2:A48,A48)-1)</f>
        <v>8680</v>
      </c>
      <c r="F48" s="109" t="s">
        <v>184</v>
      </c>
      <c r="G48" s="173" t="s">
        <v>279</v>
      </c>
      <c r="H48" s="177" t="s">
        <v>328</v>
      </c>
    </row>
    <row r="49" spans="1:8" x14ac:dyDescent="0.15">
      <c r="A49" s="12">
        <v>868</v>
      </c>
      <c r="B49" s="144" t="str">
        <f>VLOOKUP(A49,[1]characters!$A:$C,3,FALSE)</f>
        <v>アラジンと殲滅機兵LAMP</v>
      </c>
      <c r="C49" s="109" t="s">
        <v>284</v>
      </c>
      <c r="D49" s="144"/>
      <c r="E49" s="144" t="str">
        <f>A49&amp;+(COUNTIF(A$2:A49,A49)-1)</f>
        <v>8681</v>
      </c>
      <c r="F49" s="109" t="s">
        <v>184</v>
      </c>
      <c r="G49" s="175" t="s">
        <v>279</v>
      </c>
      <c r="H49" s="179" t="s">
        <v>331</v>
      </c>
    </row>
    <row r="50" spans="1:8" x14ac:dyDescent="0.15">
      <c r="A50" s="12">
        <v>868</v>
      </c>
      <c r="B50" s="144" t="str">
        <f>VLOOKUP(A50,[1]characters!$A:$C,3,FALSE)</f>
        <v>アラジンと殲滅機兵LAMP</v>
      </c>
      <c r="C50" s="109" t="s">
        <v>284</v>
      </c>
      <c r="D50" s="144"/>
      <c r="E50" s="144" t="str">
        <f>A50&amp;+(COUNTIF(A$2:A50,A50)-1)</f>
        <v>8682</v>
      </c>
      <c r="F50" s="109" t="s">
        <v>184</v>
      </c>
      <c r="G50" s="175" t="s">
        <v>282</v>
      </c>
      <c r="H50" s="179" t="s">
        <v>332</v>
      </c>
    </row>
    <row r="51" spans="1:8" x14ac:dyDescent="0.15">
      <c r="A51" s="12">
        <v>868</v>
      </c>
      <c r="B51" s="144" t="str">
        <f>VLOOKUP(A51,[1]characters!$A:$C,3,FALSE)</f>
        <v>アラジンと殲滅機兵LAMP</v>
      </c>
      <c r="C51" s="109" t="s">
        <v>294</v>
      </c>
      <c r="D51" s="144"/>
      <c r="E51" s="144" t="str">
        <f>A51&amp;+(COUNTIF(A$2:A51,A51)-1)</f>
        <v>8683</v>
      </c>
      <c r="F51" s="109" t="s">
        <v>295</v>
      </c>
      <c r="G51" s="175" t="s">
        <v>282</v>
      </c>
      <c r="H51" s="172" t="s">
        <v>333</v>
      </c>
    </row>
    <row r="52" spans="1:8" x14ac:dyDescent="0.15">
      <c r="A52" s="12">
        <v>869</v>
      </c>
      <c r="B52" s="144" t="str">
        <f>VLOOKUP(A52,[1]characters!$A:$C,3,FALSE)</f>
        <v xml:space="preserve">マスター･アラジンと殲滅機兵LAMP </v>
      </c>
      <c r="C52" s="109" t="s">
        <v>292</v>
      </c>
      <c r="D52" s="144"/>
      <c r="E52" s="144" t="str">
        <f>A52&amp;+(COUNTIF(A$2:A52,A52)-1)</f>
        <v>8690</v>
      </c>
      <c r="F52" s="109" t="s">
        <v>184</v>
      </c>
      <c r="G52" s="173" t="s">
        <v>329</v>
      </c>
      <c r="H52" s="177" t="s">
        <v>330</v>
      </c>
    </row>
    <row r="53" spans="1:8" x14ac:dyDescent="0.15">
      <c r="A53" s="12">
        <v>869</v>
      </c>
      <c r="B53" s="144" t="str">
        <f>VLOOKUP(A53,[1]characters!$A:$C,3,FALSE)</f>
        <v xml:space="preserve">マスター･アラジンと殲滅機兵LAMP </v>
      </c>
      <c r="C53" s="109" t="s">
        <v>285</v>
      </c>
      <c r="D53" s="144"/>
      <c r="E53" s="144" t="str">
        <f>A53&amp;+(COUNTIF(A$2:A53,A53)-1)</f>
        <v>8691</v>
      </c>
      <c r="F53" s="109" t="s">
        <v>280</v>
      </c>
      <c r="G53" s="175" t="s">
        <v>334</v>
      </c>
      <c r="H53" s="172" t="s">
        <v>335</v>
      </c>
    </row>
    <row r="54" spans="1:8" x14ac:dyDescent="0.15">
      <c r="A54" s="12">
        <v>869</v>
      </c>
      <c r="B54" s="144" t="str">
        <f>VLOOKUP(A54,[1]characters!$A:$C,3,FALSE)</f>
        <v xml:space="preserve">マスター･アラジンと殲滅機兵LAMP </v>
      </c>
      <c r="C54" s="109" t="s">
        <v>285</v>
      </c>
      <c r="D54" s="144"/>
      <c r="E54" s="144" t="str">
        <f>A54&amp;+(COUNTIF(A$2:A54,A54)-1)</f>
        <v>8692</v>
      </c>
      <c r="F54" s="109" t="s">
        <v>184</v>
      </c>
      <c r="G54" s="173" t="s">
        <v>279</v>
      </c>
      <c r="H54" s="176" t="str">
        <f>H49</f>
        <v>いいぜ…起動だ！！</v>
      </c>
    </row>
    <row r="55" spans="1:8" x14ac:dyDescent="0.15">
      <c r="A55" s="12">
        <v>869</v>
      </c>
      <c r="B55" s="144" t="str">
        <f>VLOOKUP(A55,[1]characters!$A:$C,3,FALSE)</f>
        <v xml:space="preserve">マスター･アラジンと殲滅機兵LAMP </v>
      </c>
      <c r="C55" s="109" t="s">
        <v>291</v>
      </c>
      <c r="D55" s="144"/>
      <c r="E55" s="144" t="str">
        <f>A55&amp;+(COUNTIF(A$2:A55,A55)-1)</f>
        <v>8693</v>
      </c>
      <c r="F55" s="109" t="s">
        <v>184</v>
      </c>
      <c r="G55" s="173" t="s">
        <v>279</v>
      </c>
      <c r="H55" s="176" t="str">
        <f>H50</f>
        <v>オレの傑作を見な…！</v>
      </c>
    </row>
    <row r="56" spans="1:8" x14ac:dyDescent="0.15">
      <c r="A56" s="12">
        <v>869</v>
      </c>
      <c r="B56" s="144" t="str">
        <f>VLOOKUP(A56,[1]characters!$A:$C,3,FALSE)</f>
        <v xml:space="preserve">マスター･アラジンと殲滅機兵LAMP </v>
      </c>
      <c r="C56" s="109" t="s">
        <v>291</v>
      </c>
      <c r="D56" s="144"/>
      <c r="E56" s="144" t="str">
        <f>A56&amp;+(COUNTIF(A$2:A56,A56)-1)</f>
        <v>8694</v>
      </c>
      <c r="F56" s="109" t="s">
        <v>184</v>
      </c>
      <c r="G56" s="174" t="s">
        <v>287</v>
      </c>
      <c r="H56" s="176" t="str">
        <f>H51</f>
        <v>逆らっても無駄だぜ！</v>
      </c>
    </row>
  </sheetData>
  <phoneticPr fontId="22"/>
  <dataValidations count="2">
    <dataValidation type="list" allowBlank="1" showInputMessage="1" showErrorMessage="1" sqref="G32:G36 G55:G56 G46:G50 G2:G6 G39:G43 G9:G28">
      <formula1>"maru,giza,kumo"</formula1>
    </dataValidation>
    <dataValidation type="list" allowBlank="1" showInputMessage="1" showErrorMessage="1" sqref="C2:C56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5"/>
  <sheetViews>
    <sheetView showGridLines="0" workbookViewId="0">
      <pane ySplit="1" topLeftCell="A2" activePane="bottomLeft" state="frozen"/>
      <selection pane="bottomLeft" activeCell="E33" sqref="E33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127</v>
      </c>
    </row>
    <row r="2" spans="1:9" x14ac:dyDescent="0.15">
      <c r="A2" s="65" t="str">
        <f t="shared" ref="A2:A6" si="0">B2&amp;"_"&amp;F2</f>
        <v>858_116</v>
      </c>
      <c r="B2" s="169">
        <v>858</v>
      </c>
      <c r="C2" s="21" t="str">
        <f ca="1">VLOOKUP(B2,units!A:B,2)</f>
        <v>Mr.ホエール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4">
        <v>116</v>
      </c>
      <c r="G2" s="21" t="str">
        <f>VLOOKUP(F2,[1]characters!$A:$C,3,FALSE)</f>
        <v>雷のマッドハッター</v>
      </c>
      <c r="H2" s="18">
        <v>1</v>
      </c>
      <c r="I2" s="115">
        <v>1</v>
      </c>
    </row>
    <row r="3" spans="1:9" x14ac:dyDescent="0.15">
      <c r="A3" s="65" t="str">
        <f t="shared" si="0"/>
        <v>858_115</v>
      </c>
      <c r="B3" s="169">
        <v>858</v>
      </c>
      <c r="C3" s="21" t="str">
        <f ca="1">VLOOKUP(B3,units!A:B,2)</f>
        <v>Mr.ホエール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4">
        <v>115</v>
      </c>
      <c r="G3" s="21" t="str">
        <f>VLOOKUP(F3,[1]characters!$A:$C,3,FALSE)</f>
        <v>イエローキャタップ</v>
      </c>
      <c r="H3" s="18">
        <v>1</v>
      </c>
      <c r="I3" s="115">
        <v>1</v>
      </c>
    </row>
    <row r="4" spans="1:9" x14ac:dyDescent="0.15">
      <c r="A4" s="65" t="str">
        <f t="shared" si="0"/>
        <v>858_114</v>
      </c>
      <c r="B4" s="169">
        <v>858</v>
      </c>
      <c r="C4" s="21" t="str">
        <f ca="1">VLOOKUP(B4,units!A:B,2)</f>
        <v>Mr.ホエール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4">
        <v>114</v>
      </c>
      <c r="G4" s="21" t="str">
        <f>VLOOKUP(F4,[1]characters!$A:$C,3,FALSE)</f>
        <v>イエローラビット</v>
      </c>
      <c r="H4" s="18">
        <v>2</v>
      </c>
      <c r="I4" s="115">
        <v>1</v>
      </c>
    </row>
    <row r="5" spans="1:9" x14ac:dyDescent="0.15">
      <c r="A5" s="65" t="str">
        <f t="shared" si="0"/>
        <v>858_113</v>
      </c>
      <c r="B5" s="169">
        <v>858</v>
      </c>
      <c r="C5" s="21" t="str">
        <f ca="1">VLOOKUP(B5,units!A:B,2)</f>
        <v>Mr.ホエール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4">
        <v>113</v>
      </c>
      <c r="G5" s="21" t="str">
        <f>VLOOKUP(F5,[1]characters!$A:$C,3,FALSE)</f>
        <v>イエローチェシャ</v>
      </c>
      <c r="H5" s="18">
        <v>1</v>
      </c>
      <c r="I5" s="115">
        <v>1</v>
      </c>
    </row>
    <row r="6" spans="1:9" x14ac:dyDescent="0.15">
      <c r="A6" s="65" t="str">
        <f t="shared" si="0"/>
        <v>856_856</v>
      </c>
      <c r="B6" s="169">
        <v>856</v>
      </c>
      <c r="C6" s="21" t="str">
        <f ca="1">VLOOKUP(B6,units!A:B,2)</f>
        <v>リフレクト＆M.I.R.R.O.R.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4">
        <v>856</v>
      </c>
      <c r="G6" s="21" t="str">
        <f>VLOOKUP(F6,[1]characters!$A:$C,3,FALSE)</f>
        <v>リフレクト＆M.I.R.R.O.R.</v>
      </c>
      <c r="H6" s="18">
        <v>1</v>
      </c>
      <c r="I6" s="115">
        <v>10</v>
      </c>
    </row>
    <row r="7" spans="1:9" ht="21" customHeight="1" x14ac:dyDescent="0.15">
      <c r="A7" s="65" t="str">
        <f>B7&amp;"_"&amp;F7</f>
        <v>860_856</v>
      </c>
      <c r="B7" s="44">
        <v>860</v>
      </c>
      <c r="C7" s="21" t="str">
        <f ca="1">VLOOKUP(B7,units!A:B,2)</f>
        <v>叶望の幻燈 ジーナ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4">
        <v>856</v>
      </c>
      <c r="G7" s="21" t="str">
        <f>VLOOKUP(F7,[1]characters!$A:$C,3,FALSE)</f>
        <v>リフレクト＆M.I.R.R.O.R.</v>
      </c>
      <c r="H7" s="18">
        <v>1</v>
      </c>
      <c r="I7" s="115">
        <v>3</v>
      </c>
    </row>
    <row r="8" spans="1:9" ht="21" customHeight="1" x14ac:dyDescent="0.15">
      <c r="A8" s="65" t="str">
        <f>B8&amp;"_"&amp;F8</f>
        <v>860_858</v>
      </c>
      <c r="B8" s="44">
        <v>860</v>
      </c>
      <c r="C8" s="21" t="str">
        <f ca="1">VLOOKUP(B8,units!A:B,2)</f>
        <v>叶望の幻燈 ジーナ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4">
        <v>858</v>
      </c>
      <c r="G8" s="21" t="str">
        <f>VLOOKUP(F8,[1]characters!$A:$C,3,FALSE)</f>
        <v>Mr.ホエール</v>
      </c>
      <c r="H8" s="18">
        <v>1</v>
      </c>
      <c r="I8" s="115">
        <v>2</v>
      </c>
    </row>
    <row r="9" spans="1:9" ht="21" customHeight="1" x14ac:dyDescent="0.15">
      <c r="A9" s="65" t="str">
        <f t="shared" ref="A9:A25" si="1">B9&amp;"_"&amp;F9</f>
        <v>860_837</v>
      </c>
      <c r="B9" s="44">
        <v>860</v>
      </c>
      <c r="C9" s="21" t="str">
        <f ca="1">VLOOKUP(B9,units!A:B,2)</f>
        <v>叶望の幻燈 ジーナ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4">
        <v>837</v>
      </c>
      <c r="G9" s="21" t="str">
        <f>VLOOKUP(F9,[1]characters!$A:$C,3,FALSE)</f>
        <v>リトルハンプティ</v>
      </c>
      <c r="H9" s="18">
        <v>1</v>
      </c>
      <c r="I9" s="115">
        <v>1</v>
      </c>
    </row>
    <row r="10" spans="1:9" ht="21" customHeight="1" x14ac:dyDescent="0.15">
      <c r="A10" s="65" t="str">
        <f t="shared" si="1"/>
        <v>862_104</v>
      </c>
      <c r="B10" s="44">
        <v>862</v>
      </c>
      <c r="C10" s="21" t="str">
        <f ca="1">VLOOKUP(B10,units!A:B,2)</f>
        <v>ブレーメン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4">
        <v>104</v>
      </c>
      <c r="G10" s="21" t="str">
        <f>VLOOKUP(F10,[1]characters!$A:$C,3,FALSE)</f>
        <v>炎のマッドハッター</v>
      </c>
      <c r="H10" s="18">
        <v>2</v>
      </c>
      <c r="I10" s="115">
        <v>1</v>
      </c>
    </row>
    <row r="11" spans="1:9" ht="21" customHeight="1" x14ac:dyDescent="0.15">
      <c r="A11" s="65" t="str">
        <f t="shared" si="1"/>
        <v>862_103</v>
      </c>
      <c r="B11" s="44">
        <v>862</v>
      </c>
      <c r="C11" s="21" t="str">
        <f ca="1">VLOOKUP(B11,units!A:B,2)</f>
        <v>ブレーメン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4">
        <v>103</v>
      </c>
      <c r="G11" s="21" t="str">
        <f>VLOOKUP(F11,[1]characters!$A:$C,3,FALSE)</f>
        <v>レッドキャタップ</v>
      </c>
      <c r="H11" s="18">
        <v>2</v>
      </c>
      <c r="I11" s="115">
        <v>1</v>
      </c>
    </row>
    <row r="12" spans="1:9" ht="21" customHeight="1" x14ac:dyDescent="0.15">
      <c r="A12" s="65" t="str">
        <f t="shared" si="1"/>
        <v>862_102</v>
      </c>
      <c r="B12" s="44">
        <v>862</v>
      </c>
      <c r="C12" s="21" t="str">
        <f ca="1">VLOOKUP(B12,units!A:B,2)</f>
        <v>ブレーメン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4">
        <v>102</v>
      </c>
      <c r="G12" s="21" t="str">
        <f>VLOOKUP(F12,[1]characters!$A:$C,3,FALSE)</f>
        <v>レッドラビット</v>
      </c>
      <c r="H12" s="18">
        <v>1</v>
      </c>
      <c r="I12" s="115">
        <v>1</v>
      </c>
    </row>
    <row r="13" spans="1:9" ht="21" customHeight="1" x14ac:dyDescent="0.15">
      <c r="A13" s="65" t="str">
        <f t="shared" si="1"/>
        <v>864_108</v>
      </c>
      <c r="B13" s="44">
        <v>864</v>
      </c>
      <c r="C13" s="21" t="str">
        <f ca="1">VLOOKUP(B13,units!A:B,2)</f>
        <v>ピノキオ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4">
        <v>108</v>
      </c>
      <c r="G13" s="21" t="str">
        <f>VLOOKUP(F13,[1]characters!$A:$C,3,FALSE)</f>
        <v>森のマッドハッター</v>
      </c>
      <c r="H13" s="18">
        <v>2</v>
      </c>
      <c r="I13" s="115">
        <v>1</v>
      </c>
    </row>
    <row r="14" spans="1:9" ht="21" customHeight="1" x14ac:dyDescent="0.15">
      <c r="A14" s="65" t="str">
        <f t="shared" si="1"/>
        <v>864_107</v>
      </c>
      <c r="B14" s="44">
        <v>864</v>
      </c>
      <c r="C14" s="21" t="str">
        <f ca="1">VLOOKUP(B14,units!A:B,2)</f>
        <v>ピノキオ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4">
        <v>107</v>
      </c>
      <c r="G14" s="21" t="str">
        <f>VLOOKUP(F14,[1]characters!$A:$C,3,FALSE)</f>
        <v>グリーンキャタップ</v>
      </c>
      <c r="H14" s="18">
        <v>2</v>
      </c>
      <c r="I14" s="115">
        <v>1</v>
      </c>
    </row>
    <row r="15" spans="1:9" ht="21" customHeight="1" x14ac:dyDescent="0.15">
      <c r="A15" s="65" t="str">
        <f t="shared" si="1"/>
        <v>864_106</v>
      </c>
      <c r="B15" s="44">
        <v>864</v>
      </c>
      <c r="C15" s="21" t="str">
        <f ca="1">VLOOKUP(B15,units!A:B,2)</f>
        <v>ピノキオ</v>
      </c>
      <c r="D15" s="21" t="e">
        <f ca="1">VLOOKUP($B15,OFFSET([2]units!$A$1,0,0,COUNTA([2]units!$A:$A),MATCH(D$1,[2]units!$1:$1,0)-COLUMN(INDIRECT("character_id"))+1),MATCH(D$1,[2]units!$1:$1,0)-COLUMN(INDIRECT("character_id"))+1,FALSE)</f>
        <v>#VALUE!</v>
      </c>
      <c r="E15" s="21" t="e">
        <f ca="1">VLOOKUP($B15,OFFSET([2]units!$A$1,0,0,COUNTA([2]units!$A:$A),MATCH(E$1,[2]units!$1:$1,0)-COLUMN(INDIRECT("character_id"))+1),MATCH(E$1,[2]units!$1:$1,0)-COLUMN(INDIRECT("character_id"))+1,FALSE)</f>
        <v>#VALUE!</v>
      </c>
      <c r="F15" s="44">
        <v>106</v>
      </c>
      <c r="G15" s="21" t="str">
        <f>VLOOKUP(F15,[1]characters!$A:$C,3,FALSE)</f>
        <v>グリーンラビット</v>
      </c>
      <c r="H15" s="18">
        <v>1</v>
      </c>
      <c r="I15" s="115">
        <v>1</v>
      </c>
    </row>
    <row r="16" spans="1:9" ht="21" customHeight="1" x14ac:dyDescent="0.15">
      <c r="A16" s="65" t="str">
        <f t="shared" si="1"/>
        <v>866_837</v>
      </c>
      <c r="B16" s="44">
        <v>866</v>
      </c>
      <c r="C16" s="21" t="str">
        <f ca="1">VLOOKUP(B16,units!A:B,2)</f>
        <v>無敗の司令姫 白雪姫</v>
      </c>
      <c r="D16" s="21" t="e">
        <f ca="1">VLOOKUP($B16,OFFSET([2]units!$A$1,0,0,COUNTA([2]units!$A:$A),MATCH(D$1,[2]units!$1:$1,0)-COLUMN(INDIRECT("character_id"))+1),MATCH(D$1,[2]units!$1:$1,0)-COLUMN(INDIRECT("character_id"))+1,FALSE)</f>
        <v>#VALUE!</v>
      </c>
      <c r="E16" s="21" t="e">
        <f ca="1">VLOOKUP($B16,OFFSET([2]units!$A$1,0,0,COUNTA([2]units!$A:$A),MATCH(E$1,[2]units!$1:$1,0)-COLUMN(INDIRECT("character_id"))+1),MATCH(E$1,[2]units!$1:$1,0)-COLUMN(INDIRECT("character_id"))+1,FALSE)</f>
        <v>#VALUE!</v>
      </c>
      <c r="F16" s="44">
        <v>837</v>
      </c>
      <c r="G16" s="21" t="str">
        <f>VLOOKUP(F16,[1]characters!$A:$C,3,FALSE)</f>
        <v>リトルハンプティ</v>
      </c>
      <c r="H16" s="18">
        <v>1</v>
      </c>
      <c r="I16" s="115">
        <v>1</v>
      </c>
    </row>
    <row r="17" spans="1:9" ht="21" customHeight="1" x14ac:dyDescent="0.15">
      <c r="A17" s="65" t="str">
        <f t="shared" si="1"/>
        <v>866_112</v>
      </c>
      <c r="B17" s="44">
        <v>866</v>
      </c>
      <c r="C17" s="21" t="str">
        <f ca="1">VLOOKUP(B17,units!A:B,2)</f>
        <v>無敗の司令姫 白雪姫</v>
      </c>
      <c r="D17" s="21" t="e">
        <f ca="1">VLOOKUP($B17,OFFSET([2]units!$A$1,0,0,COUNTA([2]units!$A:$A),MATCH(D$1,[2]units!$1:$1,0)-COLUMN(INDIRECT("character_id"))+1),MATCH(D$1,[2]units!$1:$1,0)-COLUMN(INDIRECT("character_id"))+1,FALSE)</f>
        <v>#VALUE!</v>
      </c>
      <c r="E17" s="21" t="e">
        <f ca="1">VLOOKUP($B17,OFFSET([2]units!$A$1,0,0,COUNTA([2]units!$A:$A),MATCH(E$1,[2]units!$1:$1,0)-COLUMN(INDIRECT("character_id"))+1),MATCH(E$1,[2]units!$1:$1,0)-COLUMN(INDIRECT("character_id"))+1,FALSE)</f>
        <v>#VALUE!</v>
      </c>
      <c r="F17" s="44">
        <v>112</v>
      </c>
      <c r="G17" s="21" t="str">
        <f>VLOOKUP(F17,[1]characters!$A:$C,3,FALSE)</f>
        <v>水のマッドハッター</v>
      </c>
      <c r="H17" s="18">
        <v>1</v>
      </c>
      <c r="I17" s="115">
        <v>1</v>
      </c>
    </row>
    <row r="18" spans="1:9" ht="21" customHeight="1" x14ac:dyDescent="0.15">
      <c r="A18" s="65" t="str">
        <f t="shared" si="1"/>
        <v>866_111</v>
      </c>
      <c r="B18" s="44">
        <v>866</v>
      </c>
      <c r="C18" s="21" t="str">
        <f ca="1">VLOOKUP(B18,units!A:B,2)</f>
        <v>無敗の司令姫 白雪姫</v>
      </c>
      <c r="D18" s="21" t="e">
        <f ca="1">VLOOKUP($B18,OFFSET([2]units!$A$1,0,0,COUNTA([2]units!$A:$A),MATCH(D$1,[2]units!$1:$1,0)-COLUMN(INDIRECT("character_id"))+1),MATCH(D$1,[2]units!$1:$1,0)-COLUMN(INDIRECT("character_id"))+1,FALSE)</f>
        <v>#VALUE!</v>
      </c>
      <c r="E18" s="21" t="e">
        <f ca="1">VLOOKUP($B18,OFFSET([2]units!$A$1,0,0,COUNTA([2]units!$A:$A),MATCH(E$1,[2]units!$1:$1,0)-COLUMN(INDIRECT("character_id"))+1),MATCH(E$1,[2]units!$1:$1,0)-COLUMN(INDIRECT("character_id"))+1,FALSE)</f>
        <v>#VALUE!</v>
      </c>
      <c r="F18" s="44">
        <v>111</v>
      </c>
      <c r="G18" s="21" t="str">
        <f>VLOOKUP(F18,[1]characters!$A:$C,3,FALSE)</f>
        <v>ブルーキャタップ</v>
      </c>
      <c r="H18" s="18">
        <v>1</v>
      </c>
      <c r="I18" s="115">
        <v>1</v>
      </c>
    </row>
    <row r="19" spans="1:9" ht="21" customHeight="1" x14ac:dyDescent="0.15">
      <c r="A19" s="65" t="str">
        <f t="shared" si="1"/>
        <v>866_648</v>
      </c>
      <c r="B19" s="44">
        <v>866</v>
      </c>
      <c r="C19" s="21" t="str">
        <f ca="1">VLOOKUP(B19,units!A:B,2)</f>
        <v>無敗の司令姫 白雪姫</v>
      </c>
      <c r="D19" s="21" t="e">
        <f ca="1">VLOOKUP($B19,OFFSET([2]units!$A$1,0,0,COUNTA([2]units!$A:$A),MATCH(D$1,[2]units!$1:$1,0)-COLUMN(INDIRECT("character_id"))+1),MATCH(D$1,[2]units!$1:$1,0)-COLUMN(INDIRECT("character_id"))+1,FALSE)</f>
        <v>#VALUE!</v>
      </c>
      <c r="E19" s="21" t="e">
        <f ca="1">VLOOKUP($B19,OFFSET([2]units!$A$1,0,0,COUNTA([2]units!$A:$A),MATCH(E$1,[2]units!$1:$1,0)-COLUMN(INDIRECT("character_id"))+1),MATCH(E$1,[2]units!$1:$1,0)-COLUMN(INDIRECT("character_id"))+1,FALSE)</f>
        <v>#VALUE!</v>
      </c>
      <c r="F19" s="44">
        <v>648</v>
      </c>
      <c r="G19" s="21" t="str">
        <f>VLOOKUP(F19,[1]characters!$A:$C,3,FALSE)</f>
        <v>パールヴァティ</v>
      </c>
      <c r="H19" s="18">
        <v>1</v>
      </c>
      <c r="I19" s="115">
        <v>2</v>
      </c>
    </row>
    <row r="20" spans="1:9" ht="21" customHeight="1" x14ac:dyDescent="0.15">
      <c r="A20" s="65" t="str">
        <f t="shared" si="1"/>
        <v>866_856</v>
      </c>
      <c r="B20" s="44">
        <v>866</v>
      </c>
      <c r="C20" s="21" t="str">
        <f ca="1">VLOOKUP(B20,units!A:B,2)</f>
        <v>無敗の司令姫 白雪姫</v>
      </c>
      <c r="D20" s="21" t="e">
        <f ca="1">VLOOKUP($B20,OFFSET([2]units!$A$1,0,0,COUNTA([2]units!$A:$A),MATCH(D$1,[2]units!$1:$1,0)-COLUMN(INDIRECT("character_id"))+1),MATCH(D$1,[2]units!$1:$1,0)-COLUMN(INDIRECT("character_id"))+1,FALSE)</f>
        <v>#VALUE!</v>
      </c>
      <c r="E20" s="21" t="e">
        <f ca="1">VLOOKUP($B20,OFFSET([2]units!$A$1,0,0,COUNTA([2]units!$A:$A),MATCH(E$1,[2]units!$1:$1,0)-COLUMN(INDIRECT("character_id"))+1),MATCH(E$1,[2]units!$1:$1,0)-COLUMN(INDIRECT("character_id"))+1,FALSE)</f>
        <v>#VALUE!</v>
      </c>
      <c r="F20" s="44">
        <v>856</v>
      </c>
      <c r="G20" s="21" t="str">
        <f>VLOOKUP(F20,[1]characters!$A:$C,3,FALSE)</f>
        <v>リフレクト＆M.I.R.R.O.R.</v>
      </c>
      <c r="H20" s="18">
        <v>1</v>
      </c>
      <c r="I20" s="115">
        <v>2</v>
      </c>
    </row>
    <row r="21" spans="1:9" ht="21" customHeight="1" x14ac:dyDescent="0.15">
      <c r="A21" s="65" t="str">
        <f t="shared" si="1"/>
        <v>868_837</v>
      </c>
      <c r="B21" s="44">
        <v>868</v>
      </c>
      <c r="C21" s="21" t="str">
        <f ca="1">VLOOKUP(B21,units!A:B,2)</f>
        <v>アラジンと殲滅機兵LAMP</v>
      </c>
      <c r="D21" s="21" t="e">
        <f ca="1">VLOOKUP($B21,OFFSET([2]units!$A$1,0,0,COUNTA([2]units!$A:$A),MATCH(D$1,[2]units!$1:$1,0)-COLUMN(INDIRECT("character_id"))+1),MATCH(D$1,[2]units!$1:$1,0)-COLUMN(INDIRECT("character_id"))+1,FALSE)</f>
        <v>#VALUE!</v>
      </c>
      <c r="E21" s="21" t="e">
        <f ca="1">VLOOKUP($B21,OFFSET([2]units!$A$1,0,0,COUNTA([2]units!$A:$A),MATCH(E$1,[2]units!$1:$1,0)-COLUMN(INDIRECT("character_id"))+1),MATCH(E$1,[2]units!$1:$1,0)-COLUMN(INDIRECT("character_id"))+1,FALSE)</f>
        <v>#VALUE!</v>
      </c>
      <c r="F21" s="44">
        <v>837</v>
      </c>
      <c r="G21" s="21" t="str">
        <f>VLOOKUP(F21,[1]characters!$A:$C,3,FALSE)</f>
        <v>リトルハンプティ</v>
      </c>
      <c r="H21" s="18">
        <v>1</v>
      </c>
      <c r="I21" s="115">
        <v>1</v>
      </c>
    </row>
    <row r="22" spans="1:9" ht="21" customHeight="1" x14ac:dyDescent="0.15">
      <c r="A22" s="65" t="str">
        <f t="shared" si="1"/>
        <v>868_116</v>
      </c>
      <c r="B22" s="44">
        <v>868</v>
      </c>
      <c r="C22" s="21" t="str">
        <f ca="1">VLOOKUP(B22,units!A:B,2)</f>
        <v>アラジンと殲滅機兵LAMP</v>
      </c>
      <c r="D22" s="21" t="e">
        <f ca="1">VLOOKUP($B22,OFFSET([2]units!$A$1,0,0,COUNTA([2]units!$A:$A),MATCH(D$1,[2]units!$1:$1,0)-COLUMN(INDIRECT("character_id"))+1),MATCH(D$1,[2]units!$1:$1,0)-COLUMN(INDIRECT("character_id"))+1,FALSE)</f>
        <v>#VALUE!</v>
      </c>
      <c r="E22" s="21" t="e">
        <f ca="1">VLOOKUP($B22,OFFSET([2]units!$A$1,0,0,COUNTA([2]units!$A:$A),MATCH(E$1,[2]units!$1:$1,0)-COLUMN(INDIRECT("character_id"))+1),MATCH(E$1,[2]units!$1:$1,0)-COLUMN(INDIRECT("character_id"))+1,FALSE)</f>
        <v>#VALUE!</v>
      </c>
      <c r="F22" s="44">
        <v>116</v>
      </c>
      <c r="G22" s="21" t="str">
        <f>VLOOKUP(F22,[1]characters!$A:$C,3,FALSE)</f>
        <v>雷のマッドハッター</v>
      </c>
      <c r="H22" s="18">
        <v>1</v>
      </c>
      <c r="I22" s="115">
        <v>1</v>
      </c>
    </row>
    <row r="23" spans="1:9" ht="21" customHeight="1" x14ac:dyDescent="0.15">
      <c r="A23" s="65" t="str">
        <f t="shared" si="1"/>
        <v>868_115</v>
      </c>
      <c r="B23" s="44">
        <v>868</v>
      </c>
      <c r="C23" s="21" t="str">
        <f ca="1">VLOOKUP(B23,units!A:B,2)</f>
        <v>アラジンと殲滅機兵LAMP</v>
      </c>
      <c r="D23" s="21" t="e">
        <f ca="1">VLOOKUP($B23,OFFSET([2]units!$A$1,0,0,COUNTA([2]units!$A:$A),MATCH(D$1,[2]units!$1:$1,0)-COLUMN(INDIRECT("character_id"))+1),MATCH(D$1,[2]units!$1:$1,0)-COLUMN(INDIRECT("character_id"))+1,FALSE)</f>
        <v>#VALUE!</v>
      </c>
      <c r="E23" s="21" t="e">
        <f ca="1">VLOOKUP($B23,OFFSET([2]units!$A$1,0,0,COUNTA([2]units!$A:$A),MATCH(E$1,[2]units!$1:$1,0)-COLUMN(INDIRECT("character_id"))+1),MATCH(E$1,[2]units!$1:$1,0)-COLUMN(INDIRECT("character_id"))+1,FALSE)</f>
        <v>#VALUE!</v>
      </c>
      <c r="F23" s="44">
        <v>115</v>
      </c>
      <c r="G23" s="21" t="str">
        <f>VLOOKUP(F23,[1]characters!$A:$C,3,FALSE)</f>
        <v>イエローキャタップ</v>
      </c>
      <c r="H23" s="18">
        <v>1</v>
      </c>
      <c r="I23" s="115">
        <v>1</v>
      </c>
    </row>
    <row r="24" spans="1:9" ht="21" customHeight="1" x14ac:dyDescent="0.15">
      <c r="A24" s="65" t="str">
        <f t="shared" si="1"/>
        <v>868_858</v>
      </c>
      <c r="B24" s="44">
        <v>868</v>
      </c>
      <c r="C24" s="21" t="str">
        <f ca="1">VLOOKUP(B24,units!A:B,2)</f>
        <v>アラジンと殲滅機兵LAMP</v>
      </c>
      <c r="D24" s="21" t="e">
        <f ca="1">VLOOKUP($B24,OFFSET([2]units!$A$1,0,0,COUNTA([2]units!$A:$A),MATCH(D$1,[2]units!$1:$1,0)-COLUMN(INDIRECT("character_id"))+1),MATCH(D$1,[2]units!$1:$1,0)-COLUMN(INDIRECT("character_id"))+1,FALSE)</f>
        <v>#VALUE!</v>
      </c>
      <c r="E24" s="21" t="e">
        <f ca="1">VLOOKUP($B24,OFFSET([2]units!$A$1,0,0,COUNTA([2]units!$A:$A),MATCH(E$1,[2]units!$1:$1,0)-COLUMN(INDIRECT("character_id"))+1),MATCH(E$1,[2]units!$1:$1,0)-COLUMN(INDIRECT("character_id"))+1,FALSE)</f>
        <v>#VALUE!</v>
      </c>
      <c r="F24" s="44">
        <v>858</v>
      </c>
      <c r="G24" s="21" t="str">
        <f>VLOOKUP(F24,[1]characters!$A:$C,3,FALSE)</f>
        <v>Mr.ホエール</v>
      </c>
      <c r="H24" s="18">
        <v>1</v>
      </c>
      <c r="I24" s="115">
        <v>2</v>
      </c>
    </row>
    <row r="25" spans="1:9" ht="21" customHeight="1" x14ac:dyDescent="0.15">
      <c r="A25" s="65" t="str">
        <f t="shared" si="1"/>
        <v>868_583</v>
      </c>
      <c r="B25" s="44">
        <v>868</v>
      </c>
      <c r="C25" s="21" t="str">
        <f ca="1">VLOOKUP(B25,units!A:B,2)</f>
        <v>アラジンと殲滅機兵LAMP</v>
      </c>
      <c r="D25" s="21" t="e">
        <f ca="1">VLOOKUP($B25,OFFSET([2]units!$A$1,0,0,COUNTA([2]units!$A:$A),MATCH(D$1,[2]units!$1:$1,0)-COLUMN(INDIRECT("character_id"))+1),MATCH(D$1,[2]units!$1:$1,0)-COLUMN(INDIRECT("character_id"))+1,FALSE)</f>
        <v>#VALUE!</v>
      </c>
      <c r="E25" s="21" t="e">
        <f ca="1">VLOOKUP($B25,OFFSET([2]units!$A$1,0,0,COUNTA([2]units!$A:$A),MATCH(E$1,[2]units!$1:$1,0)-COLUMN(INDIRECT("character_id"))+1),MATCH(E$1,[2]units!$1:$1,0)-COLUMN(INDIRECT("character_id"))+1,FALSE)</f>
        <v>#VALUE!</v>
      </c>
      <c r="F25" s="44">
        <v>583</v>
      </c>
      <c r="G25" s="21" t="str">
        <f>VLOOKUP(F25,[1]characters!$A:$C,3,FALSE)</f>
        <v>ミョルニル</v>
      </c>
      <c r="H25" s="18">
        <v>1</v>
      </c>
      <c r="I25" s="115">
        <v>2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375</v>
      </c>
      <c r="B1" t="s">
        <v>376</v>
      </c>
    </row>
    <row r="2" spans="1:2" x14ac:dyDescent="0.15">
      <c r="A2" t="s">
        <v>377</v>
      </c>
      <c r="B2">
        <v>1</v>
      </c>
    </row>
    <row r="3" spans="1:2" x14ac:dyDescent="0.15">
      <c r="A3" t="s">
        <v>378</v>
      </c>
      <c r="B3">
        <v>1</v>
      </c>
    </row>
    <row r="4" spans="1:2" x14ac:dyDescent="0.15">
      <c r="A4" t="s">
        <v>379</v>
      </c>
      <c r="B4">
        <v>1</v>
      </c>
    </row>
    <row r="5" spans="1:2" x14ac:dyDescent="0.15">
      <c r="A5" t="s">
        <v>380</v>
      </c>
      <c r="B5">
        <v>1</v>
      </c>
    </row>
    <row r="6" spans="1:2" x14ac:dyDescent="0.15">
      <c r="A6" t="s">
        <v>381</v>
      </c>
      <c r="B6">
        <v>1</v>
      </c>
    </row>
    <row r="7" spans="1:2" x14ac:dyDescent="0.15">
      <c r="A7" t="s">
        <v>382</v>
      </c>
      <c r="B7">
        <v>1</v>
      </c>
    </row>
    <row r="8" spans="1:2" x14ac:dyDescent="0.15">
      <c r="A8" t="s">
        <v>383</v>
      </c>
      <c r="B8">
        <v>1</v>
      </c>
    </row>
    <row r="9" spans="1:2" x14ac:dyDescent="0.15">
      <c r="A9" t="s">
        <v>384</v>
      </c>
      <c r="B9">
        <v>1</v>
      </c>
    </row>
    <row r="10" spans="1:2" x14ac:dyDescent="0.15">
      <c r="A10" t="s">
        <v>385</v>
      </c>
      <c r="B10">
        <v>1</v>
      </c>
    </row>
    <row r="11" spans="1:2" x14ac:dyDescent="0.15">
      <c r="A11" t="s">
        <v>386</v>
      </c>
      <c r="B11">
        <v>1</v>
      </c>
    </row>
    <row r="12" spans="1:2" x14ac:dyDescent="0.15">
      <c r="A12" t="s">
        <v>387</v>
      </c>
      <c r="B12">
        <v>1</v>
      </c>
    </row>
    <row r="13" spans="1:2" x14ac:dyDescent="0.15">
      <c r="A13" t="s">
        <v>388</v>
      </c>
      <c r="B13">
        <v>0</v>
      </c>
    </row>
    <row r="14" spans="1:2" x14ac:dyDescent="0.15">
      <c r="A14" t="s">
        <v>389</v>
      </c>
      <c r="B14">
        <v>500</v>
      </c>
    </row>
    <row r="15" spans="1:2" x14ac:dyDescent="0.15">
      <c r="A15" t="s">
        <v>390</v>
      </c>
      <c r="B15">
        <v>600</v>
      </c>
    </row>
    <row r="16" spans="1:2" x14ac:dyDescent="0.15">
      <c r="A16" t="s">
        <v>391</v>
      </c>
      <c r="B16">
        <v>700</v>
      </c>
    </row>
    <row r="17" spans="1:2" x14ac:dyDescent="0.15">
      <c r="A17" t="s">
        <v>392</v>
      </c>
      <c r="B17">
        <v>5500</v>
      </c>
    </row>
    <row r="18" spans="1:2" x14ac:dyDescent="0.15">
      <c r="A18" t="s">
        <v>393</v>
      </c>
      <c r="B18">
        <v>6000</v>
      </c>
    </row>
    <row r="19" spans="1:2" x14ac:dyDescent="0.15">
      <c r="A19" t="s">
        <v>394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229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230</v>
      </c>
      <c r="B2" s="148"/>
      <c r="C2" s="149"/>
      <c r="D2" s="150" t="s">
        <v>231</v>
      </c>
      <c r="E2" s="150">
        <v>30</v>
      </c>
      <c r="F2" s="150">
        <v>40</v>
      </c>
      <c r="G2" s="150">
        <f>15+F2</f>
        <v>55</v>
      </c>
      <c r="H2" s="149"/>
      <c r="I2" s="149"/>
    </row>
    <row r="3" spans="1:9" s="4" customFormat="1" ht="21" customHeight="1" x14ac:dyDescent="0.15">
      <c r="A3" s="147" t="s">
        <v>232</v>
      </c>
      <c r="B3" s="151"/>
      <c r="C3" s="152"/>
      <c r="D3" s="153" t="s">
        <v>231</v>
      </c>
      <c r="E3" s="153">
        <v>25</v>
      </c>
      <c r="F3" s="153">
        <v>35</v>
      </c>
      <c r="G3" s="150">
        <f t="shared" ref="G3:G4" si="0">15+F3</f>
        <v>50</v>
      </c>
      <c r="H3" s="152"/>
      <c r="I3" s="152"/>
    </row>
    <row r="4" spans="1:9" s="4" customFormat="1" ht="21" customHeight="1" x14ac:dyDescent="0.15">
      <c r="A4" s="147" t="s">
        <v>233</v>
      </c>
      <c r="B4" s="154"/>
      <c r="C4" s="155"/>
      <c r="D4" s="156">
        <v>10</v>
      </c>
      <c r="E4" s="156">
        <v>20</v>
      </c>
      <c r="F4" s="156">
        <v>30</v>
      </c>
      <c r="G4" s="156">
        <f t="shared" si="0"/>
        <v>45</v>
      </c>
      <c r="H4" s="155"/>
      <c r="I4" s="155"/>
    </row>
    <row r="5" spans="1:9" s="4" customFormat="1" ht="21" customHeight="1" x14ac:dyDescent="0.15">
      <c r="A5" s="166" t="s">
        <v>234</v>
      </c>
      <c r="B5" s="161"/>
      <c r="C5" s="162"/>
      <c r="D5" s="29">
        <v>9</v>
      </c>
      <c r="E5" s="29">
        <v>18</v>
      </c>
      <c r="F5" s="29">
        <v>28</v>
      </c>
      <c r="G5" s="39">
        <v>38</v>
      </c>
      <c r="H5" s="162"/>
      <c r="I5" s="162"/>
    </row>
    <row r="6" spans="1:9" s="4" customFormat="1" ht="21" customHeight="1" x14ac:dyDescent="0.15">
      <c r="A6" s="166" t="s">
        <v>235</v>
      </c>
      <c r="B6" s="161"/>
      <c r="C6" s="162"/>
      <c r="D6" s="29">
        <v>7</v>
      </c>
      <c r="E6" s="29">
        <v>16</v>
      </c>
      <c r="F6" s="69" t="s">
        <v>11</v>
      </c>
      <c r="G6" s="69" t="s">
        <v>11</v>
      </c>
      <c r="H6" s="162"/>
      <c r="I6" s="162"/>
    </row>
    <row r="7" spans="1:9" ht="21" customHeight="1" x14ac:dyDescent="0.15">
      <c r="A7" s="74" t="s">
        <v>236</v>
      </c>
      <c r="B7" s="47" t="s">
        <v>11</v>
      </c>
      <c r="C7" s="47" t="s">
        <v>11</v>
      </c>
      <c r="D7" s="39" t="s">
        <v>231</v>
      </c>
      <c r="E7" s="39" t="s">
        <v>231</v>
      </c>
      <c r="F7" s="39" t="s">
        <v>231</v>
      </c>
      <c r="G7" s="39" t="s">
        <v>231</v>
      </c>
      <c r="H7" s="39" t="s">
        <v>231</v>
      </c>
      <c r="I7" s="39" t="s">
        <v>231</v>
      </c>
    </row>
    <row r="8" spans="1:9" ht="21" customHeight="1" x14ac:dyDescent="0.15">
      <c r="A8" s="75" t="s">
        <v>237</v>
      </c>
      <c r="B8" s="47" t="s">
        <v>11</v>
      </c>
      <c r="C8" s="47" t="s">
        <v>11</v>
      </c>
      <c r="D8" s="39" t="s">
        <v>231</v>
      </c>
      <c r="E8" s="39">
        <v>30</v>
      </c>
      <c r="F8" s="39">
        <v>40</v>
      </c>
      <c r="G8" s="39">
        <f>15+F8</f>
        <v>55</v>
      </c>
      <c r="H8" s="39" t="s">
        <v>231</v>
      </c>
      <c r="I8" s="39" t="s">
        <v>231</v>
      </c>
    </row>
    <row r="9" spans="1:9" s="46" customFormat="1" ht="21" customHeight="1" x14ac:dyDescent="0.15">
      <c r="A9" s="76" t="s">
        <v>238</v>
      </c>
      <c r="B9" s="29" t="s">
        <v>11</v>
      </c>
      <c r="C9" s="29" t="s">
        <v>11</v>
      </c>
      <c r="D9" s="106" t="s">
        <v>231</v>
      </c>
      <c r="E9" s="106">
        <v>25</v>
      </c>
      <c r="F9" s="106">
        <v>35</v>
      </c>
      <c r="G9" s="39">
        <f t="shared" ref="G9:G10" si="1">15+F9</f>
        <v>50</v>
      </c>
      <c r="H9" s="106" t="s">
        <v>231</v>
      </c>
      <c r="I9" s="106" t="s">
        <v>231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239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240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241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242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243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244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245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246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7" t="s">
        <v>230</v>
      </c>
      <c r="B2" s="163"/>
      <c r="C2" s="149"/>
      <c r="D2" s="157" t="s">
        <v>109</v>
      </c>
      <c r="E2" s="157">
        <v>60</v>
      </c>
      <c r="F2" s="157">
        <v>80</v>
      </c>
      <c r="G2" s="157">
        <v>99</v>
      </c>
      <c r="H2" s="149"/>
      <c r="I2" s="149"/>
    </row>
    <row r="3" spans="1:9" s="4" customFormat="1" ht="21" customHeight="1" x14ac:dyDescent="0.15">
      <c r="A3" s="147" t="s">
        <v>232</v>
      </c>
      <c r="B3" s="164"/>
      <c r="C3" s="152"/>
      <c r="D3" s="157" t="s">
        <v>109</v>
      </c>
      <c r="E3" s="157">
        <v>60</v>
      </c>
      <c r="F3" s="157">
        <v>80</v>
      </c>
      <c r="G3" s="157">
        <v>99</v>
      </c>
      <c r="H3" s="152"/>
      <c r="I3" s="152"/>
    </row>
    <row r="4" spans="1:9" s="4" customFormat="1" ht="21" customHeight="1" x14ac:dyDescent="0.15">
      <c r="A4" s="147" t="s">
        <v>226</v>
      </c>
      <c r="B4" s="165"/>
      <c r="C4" s="155"/>
      <c r="D4" s="157">
        <v>40</v>
      </c>
      <c r="E4" s="157">
        <v>60</v>
      </c>
      <c r="F4" s="157">
        <v>80</v>
      </c>
      <c r="G4" s="157">
        <v>99</v>
      </c>
      <c r="H4" s="155"/>
      <c r="I4" s="155"/>
    </row>
    <row r="5" spans="1:9" s="4" customFormat="1" ht="21" customHeight="1" x14ac:dyDescent="0.15">
      <c r="A5" s="166" t="s">
        <v>234</v>
      </c>
      <c r="B5" s="161"/>
      <c r="C5" s="162"/>
      <c r="D5" s="157">
        <v>40</v>
      </c>
      <c r="E5" s="157">
        <v>60</v>
      </c>
      <c r="F5" s="157">
        <v>80</v>
      </c>
      <c r="G5" s="157">
        <v>99</v>
      </c>
      <c r="H5" s="162"/>
      <c r="I5" s="162"/>
    </row>
    <row r="6" spans="1:9" s="4" customFormat="1" ht="21" customHeight="1" x14ac:dyDescent="0.15">
      <c r="A6" s="166" t="s">
        <v>235</v>
      </c>
      <c r="B6" s="161"/>
      <c r="C6" s="162"/>
      <c r="D6" s="157">
        <v>40</v>
      </c>
      <c r="E6" s="157">
        <v>60</v>
      </c>
      <c r="F6" s="157" t="s">
        <v>109</v>
      </c>
      <c r="G6" s="157" t="s">
        <v>109</v>
      </c>
      <c r="H6" s="162"/>
      <c r="I6" s="162"/>
    </row>
    <row r="7" spans="1:9" ht="21" customHeight="1" x14ac:dyDescent="0.15">
      <c r="A7" s="74" t="s">
        <v>202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237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238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205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201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241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242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244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211</v>
      </c>
      <c r="F18" s="71" t="s">
        <v>211</v>
      </c>
      <c r="G18" s="71" t="s">
        <v>211</v>
      </c>
      <c r="H18" s="71" t="s">
        <v>211</v>
      </c>
      <c r="I18" s="71" t="s">
        <v>211</v>
      </c>
    </row>
    <row r="19" spans="1:9" ht="21" customHeight="1" x14ac:dyDescent="0.15">
      <c r="A19" s="78" t="s">
        <v>245</v>
      </c>
      <c r="B19" s="37">
        <v>10</v>
      </c>
      <c r="C19" s="37">
        <v>20</v>
      </c>
      <c r="D19" s="71" t="s">
        <v>211</v>
      </c>
      <c r="E19" s="71" t="s">
        <v>211</v>
      </c>
      <c r="F19" s="71" t="s">
        <v>211</v>
      </c>
      <c r="G19" s="71" t="s">
        <v>211</v>
      </c>
      <c r="H19" s="71" t="s">
        <v>211</v>
      </c>
      <c r="I19" s="71" t="s">
        <v>211</v>
      </c>
    </row>
    <row r="20" spans="1:9" ht="21" customHeight="1" x14ac:dyDescent="0.15">
      <c r="A20" s="38" t="s">
        <v>246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7" t="s">
        <v>230</v>
      </c>
      <c r="B2" s="148"/>
      <c r="C2" s="149"/>
      <c r="D2" s="157" t="s">
        <v>109</v>
      </c>
      <c r="E2" s="158" t="s">
        <v>59</v>
      </c>
      <c r="F2" s="158" t="s">
        <v>59</v>
      </c>
      <c r="G2" s="158" t="s">
        <v>247</v>
      </c>
      <c r="H2" s="149"/>
      <c r="I2" s="149"/>
    </row>
    <row r="3" spans="1:11" s="4" customFormat="1" ht="21" customHeight="1" x14ac:dyDescent="0.15">
      <c r="A3" s="147" t="s">
        <v>232</v>
      </c>
      <c r="B3" s="151"/>
      <c r="C3" s="152"/>
      <c r="D3" s="158" t="s">
        <v>59</v>
      </c>
      <c r="E3" s="158" t="s">
        <v>59</v>
      </c>
      <c r="F3" s="158" t="s">
        <v>59</v>
      </c>
      <c r="G3" s="158" t="s">
        <v>225</v>
      </c>
      <c r="H3" s="152"/>
      <c r="I3" s="152"/>
    </row>
    <row r="4" spans="1:11" s="4" customFormat="1" ht="21" customHeight="1" x14ac:dyDescent="0.15">
      <c r="A4" s="147" t="s">
        <v>226</v>
      </c>
      <c r="B4" s="154"/>
      <c r="C4" s="155"/>
      <c r="D4" s="159" t="s">
        <v>59</v>
      </c>
      <c r="E4" s="159" t="s">
        <v>59</v>
      </c>
      <c r="F4" s="159" t="s">
        <v>59</v>
      </c>
      <c r="G4" s="158" t="s">
        <v>225</v>
      </c>
      <c r="H4" s="155"/>
      <c r="I4" s="155"/>
    </row>
    <row r="5" spans="1:11" s="4" customFormat="1" ht="21" customHeight="1" x14ac:dyDescent="0.15">
      <c r="A5" s="166" t="s">
        <v>234</v>
      </c>
      <c r="B5" s="161"/>
      <c r="C5" s="162"/>
      <c r="D5" s="159" t="s">
        <v>59</v>
      </c>
      <c r="E5" s="159" t="s">
        <v>59</v>
      </c>
      <c r="F5" s="159" t="s">
        <v>59</v>
      </c>
      <c r="G5" s="158" t="s">
        <v>215</v>
      </c>
      <c r="H5" s="162"/>
      <c r="I5" s="162"/>
    </row>
    <row r="6" spans="1:11" s="4" customFormat="1" ht="21" customHeight="1" x14ac:dyDescent="0.15">
      <c r="A6" s="166" t="s">
        <v>235</v>
      </c>
      <c r="B6" s="161"/>
      <c r="C6" s="162"/>
      <c r="D6" s="167" t="s">
        <v>60</v>
      </c>
      <c r="E6" s="167" t="s">
        <v>60</v>
      </c>
      <c r="F6" s="157" t="s">
        <v>109</v>
      </c>
      <c r="G6" s="157" t="s">
        <v>109</v>
      </c>
      <c r="H6" s="162"/>
      <c r="I6" s="162"/>
    </row>
    <row r="7" spans="1:11" ht="21" customHeight="1" x14ac:dyDescent="0.15">
      <c r="A7" s="74" t="s">
        <v>202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237</v>
      </c>
      <c r="B8" s="40" t="s">
        <v>109</v>
      </c>
      <c r="C8" s="40" t="s">
        <v>109</v>
      </c>
      <c r="D8" s="40" t="s">
        <v>212</v>
      </c>
      <c r="E8" s="52" t="s">
        <v>115</v>
      </c>
      <c r="F8" s="52" t="s">
        <v>115</v>
      </c>
      <c r="G8" s="52" t="s">
        <v>213</v>
      </c>
      <c r="H8" s="40" t="s">
        <v>212</v>
      </c>
      <c r="I8" s="40" t="s">
        <v>109</v>
      </c>
    </row>
    <row r="9" spans="1:11" s="46" customFormat="1" ht="21" customHeight="1" x14ac:dyDescent="0.15">
      <c r="A9" s="76" t="s">
        <v>238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214</v>
      </c>
      <c r="I9" s="66" t="s">
        <v>214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215</v>
      </c>
      <c r="H10" s="71" t="s">
        <v>214</v>
      </c>
      <c r="I10" s="71" t="s">
        <v>214</v>
      </c>
      <c r="K10" s="28" t="s">
        <v>12</v>
      </c>
    </row>
    <row r="11" spans="1:11" ht="21" customHeight="1" x14ac:dyDescent="0.15">
      <c r="A11" s="76" t="s">
        <v>205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215</v>
      </c>
      <c r="H11" s="71" t="s">
        <v>214</v>
      </c>
      <c r="I11" s="71" t="s">
        <v>214</v>
      </c>
      <c r="K11" s="30" t="s">
        <v>13</v>
      </c>
    </row>
    <row r="12" spans="1:11" ht="21" customHeight="1" x14ac:dyDescent="0.15">
      <c r="A12" s="76" t="s">
        <v>201</v>
      </c>
      <c r="B12" s="71" t="s">
        <v>109</v>
      </c>
      <c r="C12" s="71" t="s">
        <v>109</v>
      </c>
      <c r="D12" s="54" t="s">
        <v>60</v>
      </c>
      <c r="E12" s="54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241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242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244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245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246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223</v>
      </c>
      <c r="B2" s="148"/>
      <c r="C2" s="149"/>
      <c r="D2" s="160" t="s">
        <v>11</v>
      </c>
      <c r="E2" s="160">
        <v>8000</v>
      </c>
      <c r="F2" s="160">
        <v>10000</v>
      </c>
      <c r="G2" s="160">
        <v>14000</v>
      </c>
      <c r="H2" s="149"/>
      <c r="I2" s="149"/>
    </row>
    <row r="3" spans="1:9" s="4" customFormat="1" ht="21" customHeight="1" x14ac:dyDescent="0.15">
      <c r="A3" s="147" t="s">
        <v>224</v>
      </c>
      <c r="B3" s="151"/>
      <c r="C3" s="152"/>
      <c r="D3" s="160" t="s">
        <v>11</v>
      </c>
      <c r="E3" s="160">
        <v>7500</v>
      </c>
      <c r="F3" s="160">
        <v>9500</v>
      </c>
      <c r="G3" s="160">
        <v>13000</v>
      </c>
      <c r="H3" s="152"/>
      <c r="I3" s="152"/>
    </row>
    <row r="4" spans="1:9" s="4" customFormat="1" ht="21" customHeight="1" x14ac:dyDescent="0.15">
      <c r="A4" s="147" t="s">
        <v>226</v>
      </c>
      <c r="B4" s="154"/>
      <c r="C4" s="155"/>
      <c r="D4" s="160">
        <v>5000</v>
      </c>
      <c r="E4" s="160">
        <v>7000</v>
      </c>
      <c r="F4" s="160">
        <v>9000</v>
      </c>
      <c r="G4" s="160">
        <v>12000</v>
      </c>
      <c r="H4" s="155"/>
      <c r="I4" s="155"/>
    </row>
    <row r="5" spans="1:9" s="4" customFormat="1" ht="21" customHeight="1" x14ac:dyDescent="0.15">
      <c r="A5" s="166" t="s">
        <v>227</v>
      </c>
      <c r="B5" s="161"/>
      <c r="C5" s="162"/>
      <c r="D5" s="160">
        <v>4900</v>
      </c>
      <c r="E5" s="160">
        <v>6700</v>
      </c>
      <c r="F5" s="160">
        <v>8500</v>
      </c>
      <c r="G5" s="160">
        <v>11000</v>
      </c>
      <c r="H5" s="162"/>
      <c r="I5" s="162"/>
    </row>
    <row r="6" spans="1:9" s="4" customFormat="1" ht="21" customHeight="1" x14ac:dyDescent="0.15">
      <c r="A6" s="166" t="s">
        <v>228</v>
      </c>
      <c r="B6" s="161"/>
      <c r="C6" s="162"/>
      <c r="D6" s="160">
        <v>4800</v>
      </c>
      <c r="E6" s="160">
        <v>6600</v>
      </c>
      <c r="F6" s="160" t="s">
        <v>11</v>
      </c>
      <c r="G6" s="160" t="s">
        <v>11</v>
      </c>
      <c r="H6" s="162"/>
      <c r="I6" s="162"/>
    </row>
    <row r="7" spans="1:9" ht="21" customHeight="1" x14ac:dyDescent="0.15">
      <c r="A7" s="74" t="s">
        <v>202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203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204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205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206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207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208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209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210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194</v>
      </c>
      <c r="B2" s="12">
        <v>591</v>
      </c>
    </row>
    <row r="3" spans="1:4" x14ac:dyDescent="0.15">
      <c r="A3" t="s">
        <v>195</v>
      </c>
      <c r="B3" s="134">
        <v>592</v>
      </c>
    </row>
    <row r="4" spans="1:4" x14ac:dyDescent="0.15">
      <c r="A4" t="s">
        <v>196</v>
      </c>
      <c r="B4" s="134">
        <v>593</v>
      </c>
    </row>
    <row r="7" spans="1:4" x14ac:dyDescent="0.15">
      <c r="A7" t="s">
        <v>197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216</v>
      </c>
    </row>
    <row r="13" spans="1:4" x14ac:dyDescent="0.15">
      <c r="B13" t="s">
        <v>220</v>
      </c>
      <c r="C13" t="s">
        <v>221</v>
      </c>
      <c r="D13" t="s">
        <v>222</v>
      </c>
    </row>
    <row r="14" spans="1:4" x14ac:dyDescent="0.15">
      <c r="A14" t="s">
        <v>218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219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217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198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199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200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2017-06-06T08:45:27Z</dcterms:modified>
</cp:coreProperties>
</file>