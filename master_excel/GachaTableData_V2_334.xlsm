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500" yWindow="460" windowWidth="25100" windowHeight="14640" tabRatio="943" activeTab="5"/>
  </bookViews>
  <sheets>
    <sheet name="確率の考え方" sheetId="110" r:id="rId1"/>
    <sheet name="Sheet1" sheetId="107" r:id="rId2"/>
    <sheet name="output" sheetId="103" r:id="rId3"/>
    <sheet name="input_334100" sheetId="106" r:id="rId4"/>
    <sheet name="tables_334100" sheetId="82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tables_334100!$A$1:$V$271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06" l="1"/>
  <c r="I15" i="82"/>
  <c r="D15" i="82"/>
  <c r="J15" i="82"/>
  <c r="E15" i="82"/>
  <c r="F15" i="82"/>
  <c r="C15" i="82"/>
  <c r="I2" i="82"/>
  <c r="D2" i="82"/>
  <c r="J2" i="82"/>
  <c r="E2" i="82"/>
  <c r="F2" i="82"/>
  <c r="C2" i="82"/>
  <c r="I3" i="82"/>
  <c r="D3" i="82"/>
  <c r="J3" i="82"/>
  <c r="E3" i="82"/>
  <c r="F3" i="82"/>
  <c r="C3" i="82"/>
  <c r="I4" i="82"/>
  <c r="D4" i="82"/>
  <c r="J4" i="82"/>
  <c r="E4" i="82"/>
  <c r="F4" i="82"/>
  <c r="C4" i="82"/>
  <c r="I5" i="82"/>
  <c r="D5" i="82"/>
  <c r="J5" i="82"/>
  <c r="E5" i="82"/>
  <c r="F5" i="82"/>
  <c r="C5" i="82"/>
  <c r="I6" i="82"/>
  <c r="D6" i="82"/>
  <c r="J6" i="82"/>
  <c r="E6" i="82"/>
  <c r="F6" i="82"/>
  <c r="C6" i="82"/>
  <c r="I7" i="82"/>
  <c r="D7" i="82"/>
  <c r="J7" i="82"/>
  <c r="E7" i="82"/>
  <c r="F7" i="82"/>
  <c r="C7" i="82"/>
  <c r="I8" i="82"/>
  <c r="D8" i="82"/>
  <c r="J8" i="82"/>
  <c r="E8" i="82"/>
  <c r="F8" i="82"/>
  <c r="C8" i="82"/>
  <c r="I9" i="82"/>
  <c r="D9" i="82"/>
  <c r="J9" i="82"/>
  <c r="E9" i="82"/>
  <c r="F9" i="82"/>
  <c r="C9" i="82"/>
  <c r="I10" i="82"/>
  <c r="D10" i="82"/>
  <c r="J10" i="82"/>
  <c r="E10" i="82"/>
  <c r="F10" i="82"/>
  <c r="C10" i="82"/>
  <c r="I11" i="82"/>
  <c r="D11" i="82"/>
  <c r="J11" i="82"/>
  <c r="E11" i="82"/>
  <c r="F11" i="82"/>
  <c r="C11" i="82"/>
  <c r="I12" i="82"/>
  <c r="D12" i="82"/>
  <c r="J12" i="82"/>
  <c r="E12" i="82"/>
  <c r="F12" i="82"/>
  <c r="C12" i="82"/>
  <c r="I13" i="82"/>
  <c r="D13" i="82"/>
  <c r="J13" i="82"/>
  <c r="E13" i="82"/>
  <c r="F13" i="82"/>
  <c r="C13" i="82"/>
  <c r="I14" i="82"/>
  <c r="D14" i="82"/>
  <c r="J14" i="82"/>
  <c r="E14" i="82"/>
  <c r="F14" i="82"/>
  <c r="C14" i="82"/>
  <c r="I16" i="82"/>
  <c r="D16" i="82"/>
  <c r="J16" i="82"/>
  <c r="E16" i="82"/>
  <c r="F16" i="82"/>
  <c r="C16" i="82"/>
  <c r="I17" i="82"/>
  <c r="D17" i="82"/>
  <c r="J17" i="82"/>
  <c r="E17" i="82"/>
  <c r="F17" i="82"/>
  <c r="C17" i="82"/>
  <c r="I18" i="82"/>
  <c r="D18" i="82"/>
  <c r="J18" i="82"/>
  <c r="E18" i="82"/>
  <c r="F18" i="82"/>
  <c r="C18" i="82"/>
  <c r="I19" i="82"/>
  <c r="D19" i="82"/>
  <c r="J19" i="82"/>
  <c r="E19" i="82"/>
  <c r="F19" i="82"/>
  <c r="C19" i="82"/>
  <c r="I20" i="82"/>
  <c r="D20" i="82"/>
  <c r="J20" i="82"/>
  <c r="E20" i="82"/>
  <c r="F20" i="82"/>
  <c r="C20" i="82"/>
  <c r="I21" i="82"/>
  <c r="D21" i="82"/>
  <c r="J21" i="82"/>
  <c r="E21" i="82"/>
  <c r="F21" i="82"/>
  <c r="C21" i="82"/>
  <c r="I22" i="82"/>
  <c r="D22" i="82"/>
  <c r="J22" i="82"/>
  <c r="E22" i="82"/>
  <c r="F22" i="82"/>
  <c r="C22" i="82"/>
  <c r="I23" i="82"/>
  <c r="D23" i="82"/>
  <c r="J23" i="82"/>
  <c r="E23" i="82"/>
  <c r="F23" i="82"/>
  <c r="C23" i="82"/>
  <c r="I24" i="82"/>
  <c r="D24" i="82"/>
  <c r="J24" i="82"/>
  <c r="E24" i="82"/>
  <c r="F24" i="82"/>
  <c r="C24" i="82"/>
  <c r="I25" i="82"/>
  <c r="D25" i="82"/>
  <c r="J25" i="82"/>
  <c r="E25" i="82"/>
  <c r="F25" i="82"/>
  <c r="C25" i="82"/>
  <c r="I26" i="82"/>
  <c r="D26" i="82"/>
  <c r="J26" i="82"/>
  <c r="E26" i="82"/>
  <c r="F26" i="82"/>
  <c r="C26" i="82"/>
  <c r="I27" i="82"/>
  <c r="D27" i="82"/>
  <c r="J27" i="82"/>
  <c r="E27" i="82"/>
  <c r="F27" i="82"/>
  <c r="C27" i="82"/>
  <c r="I28" i="82"/>
  <c r="D28" i="82"/>
  <c r="J28" i="82"/>
  <c r="E28" i="82"/>
  <c r="F28" i="82"/>
  <c r="C28" i="82"/>
  <c r="I29" i="82"/>
  <c r="D29" i="82"/>
  <c r="J29" i="82"/>
  <c r="E29" i="82"/>
  <c r="F29" i="82"/>
  <c r="C29" i="82"/>
  <c r="I30" i="82"/>
  <c r="D30" i="82"/>
  <c r="J30" i="82"/>
  <c r="E30" i="82"/>
  <c r="F30" i="82"/>
  <c r="C30" i="82"/>
  <c r="I31" i="82"/>
  <c r="D31" i="82"/>
  <c r="J31" i="82"/>
  <c r="E31" i="82"/>
  <c r="F31" i="82"/>
  <c r="C31" i="82"/>
  <c r="I32" i="82"/>
  <c r="D32" i="82"/>
  <c r="J32" i="82"/>
  <c r="E32" i="82"/>
  <c r="F32" i="82"/>
  <c r="C32" i="82"/>
  <c r="I33" i="82"/>
  <c r="D33" i="82"/>
  <c r="J33" i="82"/>
  <c r="E33" i="82"/>
  <c r="F33" i="82"/>
  <c r="C33" i="82"/>
  <c r="I34" i="82"/>
  <c r="D34" i="82"/>
  <c r="J34" i="82"/>
  <c r="E34" i="82"/>
  <c r="F34" i="82"/>
  <c r="C34" i="82"/>
  <c r="I35" i="82"/>
  <c r="D35" i="82"/>
  <c r="J35" i="82"/>
  <c r="E35" i="82"/>
  <c r="F35" i="82"/>
  <c r="C35" i="82"/>
  <c r="I36" i="82"/>
  <c r="D36" i="82"/>
  <c r="J36" i="82"/>
  <c r="E36" i="82"/>
  <c r="F36" i="82"/>
  <c r="C36" i="82"/>
  <c r="I37" i="82"/>
  <c r="D37" i="82"/>
  <c r="J37" i="82"/>
  <c r="E37" i="82"/>
  <c r="F37" i="82"/>
  <c r="C37" i="82"/>
  <c r="I38" i="82"/>
  <c r="D38" i="82"/>
  <c r="J38" i="82"/>
  <c r="E38" i="82"/>
  <c r="F38" i="82"/>
  <c r="C38" i="82"/>
  <c r="I39" i="82"/>
  <c r="D39" i="82"/>
  <c r="J39" i="82"/>
  <c r="E39" i="82"/>
  <c r="F39" i="82"/>
  <c r="C39" i="82"/>
  <c r="I40" i="82"/>
  <c r="D40" i="82"/>
  <c r="J40" i="82"/>
  <c r="E40" i="82"/>
  <c r="F40" i="82"/>
  <c r="C40" i="82"/>
  <c r="I41" i="82"/>
  <c r="D41" i="82"/>
  <c r="J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D215" i="82"/>
  <c r="J215" i="82"/>
  <c r="E215" i="82"/>
  <c r="F215" i="82"/>
  <c r="C215" i="82"/>
  <c r="I216" i="82"/>
  <c r="D216" i="82"/>
  <c r="J216" i="82"/>
  <c r="E216" i="82"/>
  <c r="F216" i="82"/>
  <c r="C216" i="82"/>
  <c r="I217" i="82"/>
  <c r="D217" i="82"/>
  <c r="J217" i="82"/>
  <c r="E217" i="82"/>
  <c r="F217" i="82"/>
  <c r="C217" i="82"/>
  <c r="I218" i="82"/>
  <c r="D218" i="82"/>
  <c r="J218" i="82"/>
  <c r="E218" i="82"/>
  <c r="F218" i="82"/>
  <c r="C218" i="82"/>
  <c r="I219" i="82"/>
  <c r="D219" i="82"/>
  <c r="J219" i="82"/>
  <c r="E219" i="82"/>
  <c r="F219" i="82"/>
  <c r="C219" i="82"/>
  <c r="I220" i="82"/>
  <c r="D220" i="82"/>
  <c r="J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F5" i="106"/>
  <c r="F6" i="106"/>
  <c r="A36" i="106"/>
  <c r="E6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18" i="106"/>
  <c r="B18" i="106"/>
  <c r="G18" i="106"/>
  <c r="H18" i="106"/>
  <c r="O15" i="82"/>
  <c r="G17" i="106"/>
  <c r="E17" i="106"/>
  <c r="H17" i="106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E24" i="106"/>
  <c r="H24" i="106"/>
  <c r="O42" i="82"/>
  <c r="E5" i="106"/>
  <c r="E25" i="106"/>
  <c r="B25" i="106"/>
  <c r="G25" i="106"/>
  <c r="H25" i="106"/>
  <c r="O43" i="82"/>
  <c r="E26" i="106"/>
  <c r="B26" i="106"/>
  <c r="G26" i="106"/>
  <c r="H26" i="106"/>
  <c r="O44" i="82"/>
  <c r="O45" i="82"/>
  <c r="O46" i="82"/>
  <c r="O47" i="82"/>
  <c r="O48" i="82"/>
  <c r="O49" i="82"/>
  <c r="O50" i="82"/>
  <c r="G19" i="106"/>
  <c r="E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E28" i="106"/>
  <c r="B28" i="106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B29" i="106"/>
  <c r="V6" i="106"/>
  <c r="B23" i="106"/>
  <c r="B22" i="106"/>
  <c r="G22" i="106"/>
  <c r="E22" i="106"/>
  <c r="H22" i="106"/>
  <c r="O256" i="82"/>
  <c r="G23" i="106"/>
  <c r="E23" i="106"/>
  <c r="H23" i="106"/>
  <c r="O257" i="82"/>
  <c r="O258" i="82"/>
  <c r="O259" i="82"/>
  <c r="G29" i="106"/>
  <c r="E29" i="106"/>
  <c r="H29" i="106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P15" i="82"/>
  <c r="R5" i="106"/>
  <c r="R4" i="106"/>
  <c r="B10" i="106"/>
  <c r="R3" i="106"/>
  <c r="F40" i="106"/>
  <c r="F42" i="106"/>
  <c r="G42" i="106"/>
  <c r="B5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5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<sst xmlns="http://schemas.openxmlformats.org/spreadsheetml/2006/main" count="310" uniqueCount="228">
  <si>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</si>
  <si>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</si>
  <si>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</si>
  <si>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</si>
  <si>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</si>
  <si>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</si>
  <si>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</si>
  <si>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</si>
  <si>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</si>
  <si>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</si>
  <si>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</si>
  <si>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</si>
  <si>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</si>
  <si>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</si>
  <si>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</si>
  <si>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</si>
  <si>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</si>
  <si>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</si>
  <si>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</si>
  <si>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</si>
  <si>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</si>
  <si>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</si>
  <si>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</si>
  <si>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</si>
  <si>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</si>
  <si>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</si>
  <si>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</si>
  <si>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</si>
  <si>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</si>
  <si>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</si>
  <si>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</si>
  <si>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</si>
  <si>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</si>
  <si>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</si>
  <si>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</si>
  <si>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</si>
  <si>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</si>
  <si>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</si>
  <si>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</si>
  <si>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</si>
  <si>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</si>
  <si>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</si>
  <si>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</si>
  <si>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</si>
  <si>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</si>
  <si>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</si>
  <si>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</si>
  <si>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</si>
  <si>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</si>
  <si>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</si>
  <si>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</si>
  <si>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</si>
  <si>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</si>
  <si>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</si>
  <si>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</si>
  <si>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</si>
  <si>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</si>
  <si>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</si>
  <si>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</si>
  <si>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</si>
  <si>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</si>
  <si>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</si>
  <si>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</si>
  <si>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</si>
  <si>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</si>
  <si>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</si>
  <si>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</si>
  <si>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</si>
  <si>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</si>
  <si>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</si>
  <si>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</si>
  <si>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</si>
  <si>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</si>
  <si>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</si>
  <si>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</si>
  <si>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</si>
  <si>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</si>
  <si>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</si>
  <si>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</si>
  <si>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</si>
  <si>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</si>
  <si>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</si>
  <si>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</si>
  <si>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</si>
  <si>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</si>
  <si>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</si>
  <si>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</si>
  <si>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</si>
  <si>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</si>
  <si>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</si>
  <si>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</si>
  <si>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</si>
  <si>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</si>
  <si>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</si>
  <si>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</si>
  <si>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</si>
  <si>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</si>
  <si>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</si>
  <si>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</si>
  <si>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</si>
  <si>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</si>
  <si>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</si>
  <si>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</si>
  <si>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</si>
  <si>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</si>
  <si>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</si>
  <si>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</si>
  <si>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</si>
  <si>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</si>
  <si>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</si>
  <si>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</si>
  <si>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</si>
  <si>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</si>
  <si>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</si>
  <si>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</si>
  <si>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</si>
  <si>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</si>
  <si>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</si>
  <si>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</si>
  <si>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</si>
  <si>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</si>
  <si>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</si>
  <si>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</si>
  <si>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</si>
  <si>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</si>
  <si>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</si>
  <si>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</si>
  <si>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</si>
  <si>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</si>
  <si>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</si>
  <si>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</si>
  <si>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</si>
  <si>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</si>
  <si>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</si>
  <si>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</si>
  <si>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</si>
  <si>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</si>
  <si>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</si>
  <si>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</si>
  <si>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</si>
  <si>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</si>
  <si>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</si>
  <si>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</si>
  <si>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</si>
  <si>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</si>
  <si>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</si>
  <si>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</si>
  <si>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</si>
  <si>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</si>
  <si>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</si>
  <si>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</si>
  <si>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</si>
  <si>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</si>
  <si>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</si>
  <si>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</si>
  <si>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</si>
  <si>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</si>
  <si>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</si>
  <si>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</si>
  <si>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</si>
  <si>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</si>
  <si>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</si>
  <si>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</si>
  <si>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</si>
  <si>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</si>
  <si>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</si>
  <si>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</si>
  <si>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</si>
  <si>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</si>
  <si>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</si>
  <si>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</si>
  <si>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</si>
  <si>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</si>
  <si>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</si>
  <si>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</si>
  <si>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</si>
  <si>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</si>
  <si>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</si>
  <si>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</si>
  <si>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</si>
  <si>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</si>
  <si>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</si>
  <si>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</si>
  <si>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</si>
  <si>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</si>
  <si>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</si>
  <si>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</si>
  <si>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</si>
  <si>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</si>
  <si>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</si>
  <si>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</si>
  <si>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</si>
  <si>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</si>
  <si>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</si>
  <si>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</si>
  <si>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</si>
  <si>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PremiumW3</t>
    <phoneticPr fontId="17"/>
  </si>
  <si>
    <t>PremiumW4</t>
    <phoneticPr fontId="17"/>
  </si>
  <si>
    <t>ラベル確率</t>
    <rPh sb="3" eb="5">
      <t>カクリツ</t>
    </rPh>
    <phoneticPr fontId="17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</si>
  <si>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</si>
  <si>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</si>
  <si>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</si>
  <si>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</si>
  <si>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</si>
  <si>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7"/>
  </si>
  <si>
    <t>PremiumSS5R5only</t>
  </si>
  <si>
    <t>計算用中間データ</t>
    <rPh sb="0" eb="3">
      <t>ケイサンヨウ</t>
    </rPh>
    <rPh sb="3" eb="5">
      <t>チュウカン</t>
    </rPh>
    <phoneticPr fontId="17"/>
  </si>
  <si>
    <t>X</t>
    <phoneticPr fontId="17"/>
  </si>
  <si>
    <t>Y</t>
    <phoneticPr fontId="17"/>
  </si>
  <si>
    <t>対象数</t>
    <rPh sb="0" eb="3">
      <t>タイショウスウ</t>
    </rPh>
    <phoneticPr fontId="17"/>
  </si>
  <si>
    <t>PremiumW</t>
    <phoneticPr fontId="17"/>
  </si>
  <si>
    <t>PremiumN</t>
    <phoneticPr fontId="17"/>
  </si>
  <si>
    <t>PremiumS</t>
    <phoneticPr fontId="17"/>
  </si>
  <si>
    <t>PremiumSS</t>
    <phoneticPr fontId="17"/>
  </si>
  <si>
    <t>weight</t>
    <phoneticPr fontId="17"/>
  </si>
  <si>
    <t>←R6分はここから差し引く</t>
    <rPh sb="3" eb="4">
      <t>ブン</t>
    </rPh>
    <rPh sb="9" eb="10">
      <t>サシヒク</t>
    </rPh>
    <phoneticPr fontId="17"/>
  </si>
  <si>
    <t>除外確率</t>
    <rPh sb="0" eb="2">
      <t>ジョガイ</t>
    </rPh>
    <rPh sb="2" eb="4">
      <t>カクリツ</t>
    </rPh>
    <phoneticPr fontId="17"/>
  </si>
  <si>
    <t>除外数</t>
    <rPh sb="0" eb="3">
      <t>ジョガイスウ</t>
    </rPh>
    <phoneticPr fontId="17"/>
  </si>
  <si>
    <t>もうここは手で入れよう…</t>
    <rPh sb="5" eb="6">
      <t>テ</t>
    </rPh>
    <rPh sb="7" eb="8">
      <t>イレヨウ</t>
    </rPh>
    <phoneticPr fontId="17"/>
  </si>
  <si>
    <t>通常weight</t>
    <rPh sb="0" eb="2">
      <t>ツウジョウ</t>
    </rPh>
    <phoneticPr fontId="17"/>
  </si>
  <si>
    <t>フェス確率！</t>
    <rPh sb="3" eb="5">
      <t>カクリツ</t>
    </rPh>
    <phoneticPr fontId="17"/>
  </si>
  <si>
    <t>old</t>
    <phoneticPr fontId="17"/>
  </si>
  <si>
    <t>unit</t>
  </si>
  <si>
    <t>ja</t>
  </si>
  <si>
    <t>リトルハンプティ × 1</t>
    <phoneticPr fontId="17"/>
  </si>
  <si>
    <t>tables_334100</t>
    <phoneticPr fontId="17"/>
  </si>
  <si>
    <t>ガチャ特典</t>
    <rPh sb="3" eb="5">
      <t>トクテン</t>
    </rPh>
    <phoneticPr fontId="17"/>
  </si>
  <si>
    <t>★4以上確定5連ガチャの初回限定特典としてリトルハンプティ１体をプレゼント！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</si>
</sst>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" fillId="0" borderId="0"/>
  </cellStyleXfs>
  <cellXfs count="86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49" fillId="30" borderId="1" xfId="0" applyFont="1" applyFill="1" applyBorder="1" applyAlignment="1">
      <alignment horizontal="left" vertical="center"/>
    </xf>
    <xf numFmtId="0" fontId="22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5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3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9" fontId="54" fillId="32" borderId="1" xfId="0" applyNumberFormat="1" applyFont="1" applyFill="1" applyBorder="1"/>
    <xf numFmtId="177" fontId="0" fillId="32" borderId="1" xfId="0" applyNumberFormat="1" applyFill="1" applyBorder="1"/>
    <xf numFmtId="0" fontId="3" fillId="0" borderId="1" xfId="3036" applyFont="1" applyBorder="1"/>
    <xf numFmtId="0" fontId="49" fillId="0" borderId="1" xfId="0" applyFont="1" applyBorder="1" applyAlignment="1">
      <alignment vertical="center"/>
    </xf>
    <xf numFmtId="0" fontId="49" fillId="0" borderId="1" xfId="0" applyFont="1" applyBorder="1" applyAlignment="1">
      <alignment vertical="center" wrapText="1"/>
    </xf>
    <xf numFmtId="0" fontId="2" fillId="4" borderId="1" xfId="2978" applyFont="1" applyFill="1" applyBorder="1"/>
    <xf numFmtId="0" fontId="7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technical</v>
          </cell>
          <cell r="L861" t="str">
            <v>テクニカルタイプ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technical</v>
          </cell>
          <cell r="L862" t="str">
            <v>テクニカルタイプ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human</v>
          </cell>
        </row>
        <row r="878">
          <cell r="A878">
            <v>877</v>
          </cell>
          <cell r="B878" t="str">
            <v>ja</v>
          </cell>
          <cell r="C878" t="str">
            <v>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human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attack</v>
          </cell>
          <cell r="L879" t="str">
            <v>攻撃タイプ</v>
          </cell>
          <cell r="M879" t="str">
            <v>human</v>
          </cell>
        </row>
        <row r="880">
          <cell r="A880">
            <v>879</v>
          </cell>
          <cell r="B880" t="str">
            <v>ja</v>
          </cell>
          <cell r="C880" t="str">
            <v>イグニス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attack</v>
          </cell>
          <cell r="L880" t="str">
            <v>攻撃タイプ</v>
          </cell>
          <cell r="M880" t="str">
            <v>human</v>
          </cell>
        </row>
        <row r="881">
          <cell r="A881">
            <v>880</v>
          </cell>
          <cell r="B881" t="str">
            <v>ja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3</v>
          </cell>
          <cell r="J881" t="str">
            <v>Drop2N</v>
          </cell>
          <cell r="K881" t="str">
            <v>attack</v>
          </cell>
          <cell r="L881" t="str">
            <v>攻撃タイプ</v>
          </cell>
          <cell r="M881" t="str">
            <v>human</v>
          </cell>
        </row>
        <row r="882">
          <cell r="A882">
            <v>881</v>
          </cell>
          <cell r="B882" t="str">
            <v>ja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blue</v>
          </cell>
          <cell r="I882">
            <v>3</v>
          </cell>
          <cell r="J882" t="str">
            <v>Drop2N</v>
          </cell>
          <cell r="K882" t="str">
            <v>attack</v>
          </cell>
          <cell r="L882" t="str">
            <v>攻撃タイプ</v>
          </cell>
          <cell r="M882" t="str">
            <v>human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 t="str">
            <v>三蔵法師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三蔵法師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C898" t="str">
            <v>孫悟空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C899" t="str">
            <v>孫悟空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blue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blue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blue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blue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blue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blue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blue</v>
          </cell>
          <cell r="I954">
            <v>5</v>
          </cell>
          <cell r="J954" t="str">
            <v>Drop2N</v>
          </cell>
          <cell r="K954" t="str">
            <v>attack</v>
          </cell>
          <cell r="L954" t="str">
            <v>攻撃タイプ</v>
          </cell>
          <cell r="M954" t="str">
            <v>human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blue</v>
          </cell>
          <cell r="I955">
            <v>6</v>
          </cell>
          <cell r="J955" t="str">
            <v>Drop2N</v>
          </cell>
          <cell r="K955" t="str">
            <v>attack</v>
          </cell>
          <cell r="L955" t="str">
            <v>攻撃タイプ</v>
          </cell>
          <cell r="M955" t="str">
            <v>human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DropWizS</v>
          </cell>
          <cell r="K979" t="str">
            <v>balance</v>
          </cell>
          <cell r="L979" t="str">
            <v>バランスタイプ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DropWizS</v>
          </cell>
          <cell r="K980" t="str">
            <v>balance</v>
          </cell>
          <cell r="L980" t="str">
            <v>バランスタイプ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Drop1T</v>
          </cell>
          <cell r="K981" t="str">
            <v>attack</v>
          </cell>
          <cell r="L981" t="str">
            <v>攻撃タイプ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Drop1T</v>
          </cell>
          <cell r="K982" t="str">
            <v>balance</v>
          </cell>
          <cell r="L982" t="str">
            <v>バランスタイプ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Drop1T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Drop1T</v>
          </cell>
          <cell r="K984" t="str">
            <v>attack</v>
          </cell>
          <cell r="L984" t="str">
            <v>攻撃タイプ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Drop1W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Drop1W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DropWizW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DropWizW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Drop2N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Drop2N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green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green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3" x14ac:dyDescent="0.15">
      <c r="A33" s="64" t="s">
        <v>131</v>
      </c>
      <c r="B33" s="66" t="s">
        <v>147</v>
      </c>
      <c r="C33" s="66" t="s">
        <v>188</v>
      </c>
    </row>
    <row r="34" spans="1:3" x14ac:dyDescent="0.15">
      <c r="A34" s="64" t="s">
        <v>128</v>
      </c>
      <c r="B34" s="66" t="s">
        <v>147</v>
      </c>
      <c r="C34" s="66" t="s">
        <v>189</v>
      </c>
    </row>
    <row r="35" spans="1:3" x14ac:dyDescent="0.15">
      <c r="A35" s="64" t="s">
        <v>127</v>
      </c>
      <c r="B35" s="66" t="s">
        <v>147</v>
      </c>
      <c r="C35" s="66" t="s">
        <v>190</v>
      </c>
    </row>
    <row r="36" spans="1:3" x14ac:dyDescent="0.15">
      <c r="A36" s="64" t="s">
        <v>130</v>
      </c>
      <c r="B36" s="66" t="s">
        <v>147</v>
      </c>
      <c r="C36" s="66" t="s">
        <v>191</v>
      </c>
    </row>
    <row r="37" spans="1:3" x14ac:dyDescent="0.15">
      <c r="A37" s="64" t="s">
        <v>136</v>
      </c>
      <c r="B37" s="66" t="s">
        <v>147</v>
      </c>
      <c r="C37" s="66" t="s">
        <v>192</v>
      </c>
    </row>
    <row r="38" spans="1:3" x14ac:dyDescent="0.15">
      <c r="A38" s="64" t="s">
        <v>132</v>
      </c>
      <c r="B38" s="66" t="s">
        <v>147</v>
      </c>
      <c r="C38" s="66" t="s">
        <v>193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5"/>
  <sheetViews>
    <sheetView workbookViewId="0">
      <selection activeCell="F29" sqref="F29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1" t="s">
        <v>221</v>
      </c>
      <c r="B2" s="61" t="s">
        <v>116</v>
      </c>
      <c r="C2" s="50" t="str">
        <f>RIGHT(F2,6)</f>
        <v>334100</v>
      </c>
      <c r="D2" s="19" t="s">
        <v>46</v>
      </c>
      <c r="E2" s="17" t="str">
        <f t="shared" ref="E2:E5" si="0">B2&amp;C2&amp;D2</f>
        <v>gacha_select_tables_334100.tmp</v>
      </c>
      <c r="F2" s="84" t="s">
        <v>225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1" t="s">
        <v>221</v>
      </c>
      <c r="B3" s="27" t="s">
        <v>51</v>
      </c>
      <c r="C3" s="85">
        <v>334</v>
      </c>
      <c r="D3" s="19" t="s">
        <v>47</v>
      </c>
      <c r="E3" s="17" t="str">
        <f t="shared" si="0"/>
        <v>gacha_bonus_tables_334.tmp</v>
      </c>
      <c r="F3" s="19" t="s">
        <v>48</v>
      </c>
      <c r="G3" s="21" t="s">
        <v>11</v>
      </c>
      <c r="H3" s="23" t="s">
        <v>14</v>
      </c>
      <c r="I3" s="21" t="s">
        <v>12</v>
      </c>
      <c r="J3" s="20"/>
      <c r="K3" s="20"/>
      <c r="L3" s="20"/>
      <c r="M3" s="20"/>
      <c r="N3" s="20"/>
      <c r="O3" s="20"/>
    </row>
    <row r="4" spans="1:21" x14ac:dyDescent="0.15">
      <c r="A4" s="81" t="s">
        <v>221</v>
      </c>
      <c r="B4" s="19" t="s">
        <v>49</v>
      </c>
      <c r="C4" s="85">
        <v>334</v>
      </c>
      <c r="D4" s="19" t="s">
        <v>47</v>
      </c>
      <c r="E4" s="17" t="str">
        <f t="shared" si="0"/>
        <v>gifts_tmp_334.tmp</v>
      </c>
      <c r="F4" s="19" t="s">
        <v>48</v>
      </c>
      <c r="G4" s="23" t="s">
        <v>22</v>
      </c>
      <c r="H4" s="24" t="s">
        <v>30</v>
      </c>
      <c r="I4" s="23" t="s">
        <v>23</v>
      </c>
      <c r="J4" s="23" t="s">
        <v>24</v>
      </c>
      <c r="K4" s="23" t="s">
        <v>24</v>
      </c>
      <c r="L4" s="23" t="s">
        <v>25</v>
      </c>
      <c r="M4" s="23" t="s">
        <v>25</v>
      </c>
      <c r="N4" s="23" t="s">
        <v>25</v>
      </c>
      <c r="O4" s="51" t="s">
        <v>7</v>
      </c>
      <c r="P4" s="51" t="s">
        <v>9</v>
      </c>
      <c r="Q4" s="51" t="s">
        <v>6</v>
      </c>
      <c r="R4" s="51" t="s">
        <v>88</v>
      </c>
      <c r="S4" s="51" t="s">
        <v>8</v>
      </c>
      <c r="T4" s="51" t="s">
        <v>89</v>
      </c>
      <c r="U4" s="51" t="s">
        <v>5</v>
      </c>
    </row>
    <row r="5" spans="1:21" x14ac:dyDescent="0.15">
      <c r="A5" s="81" t="s">
        <v>221</v>
      </c>
      <c r="B5" s="19" t="s">
        <v>50</v>
      </c>
      <c r="C5" s="85">
        <v>334</v>
      </c>
      <c r="D5" s="19" t="s">
        <v>47</v>
      </c>
      <c r="E5" s="17" t="str">
        <f t="shared" si="0"/>
        <v>gifts_i18n_334.tmp</v>
      </c>
      <c r="F5" s="19" t="s">
        <v>48</v>
      </c>
      <c r="G5" s="23" t="s">
        <v>13</v>
      </c>
      <c r="H5" s="25" t="s">
        <v>26</v>
      </c>
      <c r="I5" s="25" t="s">
        <v>27</v>
      </c>
      <c r="J5" s="25" t="s">
        <v>28</v>
      </c>
      <c r="K5" s="25" t="s">
        <v>29</v>
      </c>
      <c r="L5" s="26"/>
      <c r="M5" s="23"/>
      <c r="N5" s="23"/>
      <c r="O5" s="1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F27" sqref="F27:F2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334100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>
        <v>1E-3</v>
      </c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VLOOKUP(L3,tables_334100!B:C,2,FALSE)</f>
        <v>#N/A</v>
      </c>
      <c r="R3" s="62">
        <f t="shared" ref="R3:R20" si="0">N3*A$36</f>
        <v>2516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>
        <v>4.0000000000000001E-3</v>
      </c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VLOOKUP(L4,tables_334100!B:C,2,FALSE)</f>
        <v>#N/A</v>
      </c>
      <c r="R4" s="62">
        <f t="shared" si="0"/>
        <v>10064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4.163336342344337E-17</v>
      </c>
      <c r="D5" t="s">
        <v>207</v>
      </c>
      <c r="E5" s="43">
        <f>(B11-H5)/(F5-I5)</f>
        <v>8.8235294117647051E-4</v>
      </c>
      <c r="F5">
        <f>(COUNTIF(tables_334100!C:C,input_334100!A26)+COUNTIF(tables_334100!C:C,input_334100!A28)+COUNTIF(tables_334100!C:C,input_334100!A29))</f>
        <v>34</v>
      </c>
      <c r="H5" s="74">
        <v>0</v>
      </c>
      <c r="I5" s="31">
        <v>0</v>
      </c>
      <c r="L5" s="60"/>
      <c r="M5" s="37" t="e">
        <f>VLOOKUP(L5,[1]characters!$A:$C,3,FALSE)</f>
        <v>#N/A</v>
      </c>
      <c r="N5" s="63">
        <v>5.0000000000000001E-3</v>
      </c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VLOOKUP(L5,tables_334100!B:C,2,FALSE)</f>
        <v>#N/A</v>
      </c>
      <c r="R5" s="62">
        <f>N5*A$36</f>
        <v>12580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0.95</v>
      </c>
      <c r="D6" t="s">
        <v>208</v>
      </c>
      <c r="E6" s="78">
        <f>(B10-H6)/(F6-I6)</f>
        <v>1.3108108108108108E-2</v>
      </c>
      <c r="F6">
        <f>(COUNTIF(tables_334100!C:C,input_334100!A18)+COUNTIF(tables_334100!C:C,input_334100!A20)+COUNTIF(tables_334100!C:C,input_334100!A22))</f>
        <v>74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VLOOKUP(L6,tables_334100!B:C,2,FALSE)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VLOOKUP(L7,tables_334100!B:C,2,FALSE)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VLOOKUP(L8,tables_334100!B:C,2,FALSE)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VLOOKUP(L9,tables_334100!B:C,2,FALSE)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VLOOKUP(L10,tables_334100!B:C,2,FALSE)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9">
        <v>0.03</v>
      </c>
      <c r="C11" t="s">
        <v>220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VLOOKUP(L11,tables_334100!B:C,2,FALSE)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VLOOKUP(L12,tables_334100!B:C,2,FALSE)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VLOOKUP(L13,tables_334100!B:C,2,FALSE)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VLOOKUP(L14,tables_334100!B:C,2,FALSE)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VLOOKUP(L15,tables_334100!B:C,2,FALSE)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VLOOKUP(L16,tables_334100!B:C,2,FALSE)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80">
        <v>0</v>
      </c>
      <c r="C17" s="75">
        <f t="shared" ref="C17:C31" si="2">SUMIF(Q:Q,A17,N:N)</f>
        <v>0</v>
      </c>
      <c r="D17" s="76">
        <f t="shared" ref="D17:D26" si="3">B17-C17</f>
        <v>0</v>
      </c>
      <c r="E17">
        <f>COUNTIF(tables_334100!C:C,input_334100!A17)-COUNTIF(Q:Q,A17)</f>
        <v>20</v>
      </c>
      <c r="F17" s="43">
        <f>IFERROR(B17/E17,0)</f>
        <v>0</v>
      </c>
      <c r="G17">
        <f>A$36*B17</f>
        <v>0</v>
      </c>
      <c r="H17">
        <f t="shared" ref="H17:H26" si="4">IFERROR(ROUND(G17/E17,5),0)</f>
        <v>0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VLOOKUP(L17,tables_334100!B:C,2,FALSE)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0.26216216216216215</v>
      </c>
      <c r="C18" s="75">
        <f t="shared" si="2"/>
        <v>0</v>
      </c>
      <c r="D18" s="76">
        <f t="shared" si="3"/>
        <v>0.26216216216216215</v>
      </c>
      <c r="E18">
        <f>COUNTIF(tables_334100!C:C,input_334100!A18)-COUNTIF(Q:Q,A18)</f>
        <v>20</v>
      </c>
      <c r="F18" s="43">
        <f t="shared" ref="F18:F31" si="7">IFERROR(B18/E18,0)</f>
        <v>1.3108108108108108E-2</v>
      </c>
      <c r="G18">
        <f t="shared" ref="G18:G31" si="8">A$36*B18</f>
        <v>659600</v>
      </c>
      <c r="H18">
        <f t="shared" si="4"/>
        <v>32980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VLOOKUP(L18,tables_334100!B:C,2,FALSE)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80">
        <v>0</v>
      </c>
      <c r="C19" s="75">
        <f t="shared" si="2"/>
        <v>0</v>
      </c>
      <c r="D19" s="76">
        <f t="shared" si="3"/>
        <v>0</v>
      </c>
      <c r="E19">
        <f>COUNTIF(tables_334100!C:C,input_334100!A19)-COUNTIF(Q:Q,A19)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VLOOKUP(L19,tables_334100!B:C,2,FALSE)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0.64754054054054055</v>
      </c>
      <c r="C20" s="75">
        <f t="shared" si="2"/>
        <v>0</v>
      </c>
      <c r="D20" s="76">
        <f t="shared" si="3"/>
        <v>0.64754054054054055</v>
      </c>
      <c r="E20">
        <f>COUNTIF(tables_334100!C:C,input_334100!A20)-COUNTIF(Q:Q,A20)</f>
        <v>52</v>
      </c>
      <c r="F20" s="43">
        <f t="shared" si="7"/>
        <v>1.2452702702702703E-2</v>
      </c>
      <c r="G20">
        <f t="shared" si="8"/>
        <v>1629212</v>
      </c>
      <c r="H20">
        <f t="shared" si="4"/>
        <v>31331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VLOOKUP(L20,tables_334100!B:C,2,FALSE)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3.4081081081081085E-2</v>
      </c>
      <c r="C21" s="75">
        <f t="shared" si="2"/>
        <v>0</v>
      </c>
      <c r="D21" s="76">
        <f t="shared" si="3"/>
        <v>3.4081081081081085E-2</v>
      </c>
      <c r="E21">
        <f>COUNTIF(tables_334100!C:C,input_334100!A21)-COUNTIF(Q:Q,A21)</f>
        <v>52</v>
      </c>
      <c r="F21" s="43">
        <f t="shared" si="7"/>
        <v>6.554054054054055E-4</v>
      </c>
      <c r="G21">
        <f t="shared" si="8"/>
        <v>85748.000000000015</v>
      </c>
      <c r="H21">
        <f t="shared" si="4"/>
        <v>1649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7">
        <f>E6*COUNTIF(tables_334100!C:C,input_334100!A22)-B23</f>
        <v>1.3473767885532586E-2</v>
      </c>
      <c r="C22" s="75">
        <f t="shared" si="2"/>
        <v>0</v>
      </c>
      <c r="D22" s="76">
        <f t="shared" si="3"/>
        <v>1.3473767885532586E-2</v>
      </c>
      <c r="E22">
        <f>COUNTIF(tables_334100!C:C,input_334100!A22)-COUNTIF(Q:Q,A22)</f>
        <v>2</v>
      </c>
      <c r="F22" s="43">
        <f t="shared" si="7"/>
        <v>6.7368839427662929E-3</v>
      </c>
      <c r="G22">
        <f t="shared" si="8"/>
        <v>33899.999999999985</v>
      </c>
      <c r="H22">
        <f t="shared" si="4"/>
        <v>16950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</f>
        <v>1.274244833068363E-2</v>
      </c>
      <c r="C23" s="75">
        <f t="shared" si="2"/>
        <v>0</v>
      </c>
      <c r="D23" s="76">
        <f t="shared" si="3"/>
        <v>1.274244833068363E-2</v>
      </c>
      <c r="E23">
        <f>COUNTIF(tables_334100!C:C,input_334100!A23)-COUNTIF(Q:Q,A23)</f>
        <v>2</v>
      </c>
      <c r="F23" s="43">
        <f t="shared" si="7"/>
        <v>6.3712241653418149E-3</v>
      </c>
      <c r="G23">
        <f t="shared" si="8"/>
        <v>32060.000000000011</v>
      </c>
      <c r="H23">
        <f t="shared" si="4"/>
        <v>16030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80">
        <v>0</v>
      </c>
      <c r="C24" s="75">
        <f t="shared" si="2"/>
        <v>0</v>
      </c>
      <c r="D24" s="76">
        <f t="shared" si="3"/>
        <v>0</v>
      </c>
      <c r="E24">
        <f>COUNTIF(tables_334100!C:C,input_334100!A24)-COUNTIF(Q:Q,A24)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3.3529411764705876E-3</v>
      </c>
      <c r="C25" s="75">
        <f t="shared" si="2"/>
        <v>0</v>
      </c>
      <c r="D25" s="76">
        <f t="shared" si="3"/>
        <v>3.3529411764705876E-3</v>
      </c>
      <c r="E25">
        <f>COUNTIF(tables_334100!C:C,input_334100!A25)-COUNTIF(Q:Q,A25)</f>
        <v>4</v>
      </c>
      <c r="F25" s="43">
        <f t="shared" si="7"/>
        <v>8.382352941176469E-4</v>
      </c>
      <c r="G25">
        <f t="shared" si="8"/>
        <v>8435.9999999999982</v>
      </c>
      <c r="H25">
        <f t="shared" si="4"/>
        <v>2109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1.764705882352941E-4</v>
      </c>
      <c r="C26" s="75">
        <f t="shared" si="2"/>
        <v>0</v>
      </c>
      <c r="D26" s="76">
        <f t="shared" si="3"/>
        <v>1.764705882352941E-4</v>
      </c>
      <c r="E26">
        <f>COUNTIF(tables_334100!C:C,input_334100!A26)-COUNTIF(Q:Q,A26)</f>
        <v>4</v>
      </c>
      <c r="F26" s="43">
        <f t="shared" si="7"/>
        <v>4.4117647058823526E-5</v>
      </c>
      <c r="G26">
        <f t="shared" si="8"/>
        <v>443.99999999999994</v>
      </c>
      <c r="H26">
        <f t="shared" si="4"/>
        <v>111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2.3470588235294115E-2</v>
      </c>
      <c r="C27" s="75">
        <f t="shared" si="2"/>
        <v>0</v>
      </c>
      <c r="D27" s="76">
        <f t="shared" ref="D27:D29" si="9">B27-C27</f>
        <v>2.3470588235294115E-2</v>
      </c>
      <c r="E27">
        <f>COUNTIF(tables_334100!C:C,input_334100!A27)-COUNTIF(Q:Q,A27)</f>
        <v>28</v>
      </c>
      <c r="F27" s="43">
        <f>IFERROR(B27/E27,0)</f>
        <v>8.382352941176469E-4</v>
      </c>
      <c r="G27">
        <f t="shared" si="8"/>
        <v>59051.999999999993</v>
      </c>
      <c r="H27">
        <f t="shared" ref="H27:H29" si="10">IFERROR(ROUND(G27/E27,5),0)</f>
        <v>2109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1.2352941176470588E-3</v>
      </c>
      <c r="C28" s="75">
        <f t="shared" si="2"/>
        <v>0</v>
      </c>
      <c r="D28" s="76">
        <f t="shared" si="9"/>
        <v>1.2352941176470588E-3</v>
      </c>
      <c r="E28">
        <f>COUNTIF(tables_334100!C:C,input_334100!A28)-COUNTIF(Q:Q,A28)</f>
        <v>28</v>
      </c>
      <c r="F28" s="43">
        <f t="shared" si="7"/>
        <v>4.4117647058823532E-5</v>
      </c>
      <c r="G28">
        <f t="shared" si="8"/>
        <v>3108</v>
      </c>
      <c r="H28">
        <f t="shared" si="10"/>
        <v>111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E5*COUNTIF(tables_334100!C:C,input_334100!A29)</f>
        <v>1.764705882352941E-3</v>
      </c>
      <c r="C29" s="75">
        <f t="shared" si="2"/>
        <v>0</v>
      </c>
      <c r="D29" s="76">
        <f t="shared" si="9"/>
        <v>1.764705882352941E-3</v>
      </c>
      <c r="E29">
        <f>COUNTIF(tables_334100!C:C,input_334100!A29)-COUNTIF(Q:Q,A29)</f>
        <v>2</v>
      </c>
      <c r="F29" s="43">
        <f t="shared" si="7"/>
        <v>8.8235294117647051E-4</v>
      </c>
      <c r="G29">
        <f t="shared" si="8"/>
        <v>4440</v>
      </c>
      <c r="H29">
        <f t="shared" si="10"/>
        <v>2220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5">
        <f t="shared" si="2"/>
        <v>0</v>
      </c>
      <c r="D30" s="76">
        <f t="shared" ref="D30:D31" si="12">B30-C30</f>
        <v>0</v>
      </c>
      <c r="E30">
        <f>COUNTIF(tables_334100!C:C,input_334100!A30)-COUNTIF(Q:Q,A30)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5">
        <f t="shared" si="2"/>
        <v>0</v>
      </c>
      <c r="D31" s="76">
        <f t="shared" si="12"/>
        <v>0</v>
      </c>
      <c r="E31">
        <f>COUNTIF(tables_334100!C:C,input_334100!A31)-COUNTIF(Q:Q,A31)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ref="D32" si="15">B32-C32</f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</f>
        <v>2516000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2" t="s">
        <v>106</v>
      </c>
      <c r="B40">
        <f ca="1">SUMIF(tables_334100!C:C,input_334100!A40,tables_334100!O:O)</f>
        <v>0</v>
      </c>
      <c r="C40" s="54">
        <f t="shared" ref="C40:C46" ca="1" si="16">B40/B$47</f>
        <v>0</v>
      </c>
      <c r="E40">
        <v>3</v>
      </c>
      <c r="F40">
        <f ca="1">SUMIF(tables_334100!J:J,input_334100!E40,tables_334100!O:O)</f>
        <v>0</v>
      </c>
      <c r="G40">
        <f ca="1">F40/A36</f>
        <v>0</v>
      </c>
    </row>
    <row r="41" spans="1:7" x14ac:dyDescent="0.15">
      <c r="A41" s="32" t="s">
        <v>107</v>
      </c>
      <c r="B41">
        <f ca="1">SUMIF(tables_334100!C:C,input_334100!A41,tables_334100!O:O)</f>
        <v>1629212</v>
      </c>
      <c r="C41" s="54">
        <f t="shared" ca="1" si="16"/>
        <v>0.91677095525344376</v>
      </c>
      <c r="E41">
        <v>4</v>
      </c>
      <c r="F41">
        <f ca="1">SUMIF(tables_334100!J:J,input_334100!E41,tables_334100!O:O)</f>
        <v>2390200</v>
      </c>
      <c r="G41">
        <f ca="1">F41/A36</f>
        <v>0.95</v>
      </c>
    </row>
    <row r="42" spans="1:7" x14ac:dyDescent="0.15">
      <c r="A42" s="32" t="s">
        <v>112</v>
      </c>
      <c r="B42">
        <f ca="1">SUMIF(tables_334100!C:C,input_334100!A42,tables_334100!O:O)</f>
        <v>59052</v>
      </c>
      <c r="C42" s="54">
        <f t="shared" ca="1" si="16"/>
        <v>3.3229044746556226E-2</v>
      </c>
      <c r="E42">
        <v>5</v>
      </c>
      <c r="F42">
        <f ca="1">SUMIF(tables_334100!J:J,input_334100!E42,tables_334100!O:O)</f>
        <v>125800</v>
      </c>
      <c r="G42">
        <f ca="1">F42/A36</f>
        <v>0.05</v>
      </c>
    </row>
    <row r="43" spans="1:7" x14ac:dyDescent="0.15">
      <c r="A43" s="32" t="s">
        <v>113</v>
      </c>
      <c r="B43">
        <f>SUMIF(tables_334100!C:C,input_334100!A43,tables_334100!O:O)</f>
        <v>0</v>
      </c>
      <c r="C43" s="54">
        <f t="shared" ca="1" si="16"/>
        <v>0</v>
      </c>
      <c r="F43" s="55"/>
    </row>
    <row r="44" spans="1:7" x14ac:dyDescent="0.15">
      <c r="A44" s="32" t="s">
        <v>108</v>
      </c>
      <c r="B44">
        <f ca="1">SUMIF(tables_334100!C:C,input_334100!A44,tables_334100!O:O)</f>
        <v>85748</v>
      </c>
      <c r="C44" s="54">
        <f t="shared" ca="1" si="16"/>
        <v>4.8251102908075987E-2</v>
      </c>
      <c r="E44" t="s">
        <v>104</v>
      </c>
      <c r="F44" s="55"/>
    </row>
    <row r="45" spans="1:7" x14ac:dyDescent="0.15">
      <c r="A45" s="32" t="s">
        <v>114</v>
      </c>
      <c r="B45">
        <f ca="1">SUMIF(tables_334100!C:C,input_334100!A45,tables_334100!O:O)</f>
        <v>3108</v>
      </c>
      <c r="C45" s="54">
        <f t="shared" ca="1" si="16"/>
        <v>1.7488970919240119E-3</v>
      </c>
      <c r="E45" t="s">
        <v>210</v>
      </c>
      <c r="F45" s="55">
        <f ca="1">SUMIF(tables_334100!I:I,input_334100!E45,tables_334100!P:P)</f>
        <v>0.26451351351351354</v>
      </c>
    </row>
    <row r="46" spans="1:7" x14ac:dyDescent="0.15">
      <c r="A46" s="32" t="s">
        <v>115</v>
      </c>
      <c r="B46">
        <f>SUMIF(tables_334100!C:C,input_334100!A46,tables_334100!O:O)</f>
        <v>0</v>
      </c>
      <c r="C46" s="54">
        <f t="shared" ca="1" si="16"/>
        <v>0</v>
      </c>
      <c r="E46" t="s">
        <v>211</v>
      </c>
      <c r="F46" s="55">
        <f ca="1">SUMIF(tables_334100!I:I,input_334100!E46,tables_334100!P:P)</f>
        <v>0.22548489666136726</v>
      </c>
    </row>
    <row r="47" spans="1:7" x14ac:dyDescent="0.15">
      <c r="A47" s="39" t="s">
        <v>60</v>
      </c>
      <c r="B47">
        <f ca="1">SUM(B40:B46)</f>
        <v>1777120</v>
      </c>
      <c r="C47" s="55">
        <f ca="1">SUM(C40:C46)</f>
        <v>1</v>
      </c>
      <c r="E47" t="s">
        <v>212</v>
      </c>
      <c r="F47" s="55">
        <f ca="1">SUMIF(tables_334100!I:I,input_334100!E47,tables_334100!P:P)</f>
        <v>0.48588235294117693</v>
      </c>
    </row>
    <row r="48" spans="1:7" x14ac:dyDescent="0.15">
      <c r="E48" t="s">
        <v>213</v>
      </c>
      <c r="F48" s="55">
        <f ca="1">SUMIF(tables_334100!I:I,input_334100!E48,tables_334100!P:P)</f>
        <v>2.6470588235294096E-2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1"/>
  <sheetViews>
    <sheetView showGridLines="0" zoomScale="75" zoomScaleNormal="75" zoomScalePageLayoutView="75" workbookViewId="0">
      <pane ySplit="1" topLeftCell="A2" activePane="bottomLeft" state="frozen"/>
      <selection activeCell="F31" sqref="F31"/>
      <selection pane="bottomLeft" activeCell="A272" sqref="A272:XFD27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input_334100!A$2</f>
        <v>334100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IFERROR(VLOOKUP(B2,input_334100!L:R,7,FALSE),VLOOKUP(tables_334100!C2,input_334100!A:H,8,FALSE))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input_334100!A$2</f>
        <v>334100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IFERROR(VLOOKUP(B3,input_334100!L:R,7,FALSE),VLOOKUP(tables_334100!C3,input_334100!A:H,8,FALSE))</f>
        <v>32980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input_334100!A$2</f>
        <v>334100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IFERROR(VLOOKUP(B4,input_334100!L:R,7,FALSE),VLOOKUP(tables_334100!C4,input_334100!A:H,8,FALSE))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input_334100!A$2</f>
        <v>334100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IFERROR(VLOOKUP(B5,input_334100!L:R,7,FALSE),VLOOKUP(tables_334100!C5,input_334100!A:H,8,FALSE))</f>
        <v>32980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input_334100!A$2</f>
        <v>334100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IFERROR(VLOOKUP(B6,input_334100!L:R,7,FALSE),VLOOKUP(tables_334100!C6,input_334100!A:H,8,FALSE))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input_334100!A$2</f>
        <v>334100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IFERROR(VLOOKUP(B7,input_334100!L:R,7,FALSE),VLOOKUP(tables_334100!C7,input_334100!A:H,8,FALSE))</f>
        <v>32980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input_334100!A$2</f>
        <v>334100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IFERROR(VLOOKUP(B8,input_334100!L:R,7,FALSE),VLOOKUP(tables_334100!C8,input_334100!A:H,8,FALSE))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input_334100!A$2</f>
        <v>334100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IFERROR(VLOOKUP(B9,input_334100!L:R,7,FALSE),VLOOKUP(tables_334100!C9,input_334100!A:H,8,FALSE))</f>
        <v>32980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input_334100!A$2</f>
        <v>334100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IFERROR(VLOOKUP(B10,input_334100!L:R,7,FALSE),VLOOKUP(tables_334100!C10,input_334100!A:H,8,FALSE))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input_334100!A$2</f>
        <v>334100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IFERROR(VLOOKUP(B11,input_334100!L:R,7,FALSE),VLOOKUP(tables_334100!C11,input_334100!A:H,8,FALSE))</f>
        <v>32980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input_334100!A$2</f>
        <v>334100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IFERROR(VLOOKUP(B12,input_334100!L:R,7,FALSE),VLOOKUP(tables_334100!C12,input_334100!A:H,8,FALSE))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input_334100!A$2</f>
        <v>334100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IFERROR(VLOOKUP(B13,input_334100!L:R,7,FALSE),VLOOKUP(tables_334100!C13,input_334100!A:H,8,FALSE))</f>
        <v>32980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input_334100!A$2</f>
        <v>334100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IFERROR(VLOOKUP(B14,input_334100!L:R,7,FALSE),VLOOKUP(tables_334100!C14,input_334100!A:H,8,FALSE))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input_334100!A$2</f>
        <v>334100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IFERROR(VLOOKUP(B15,input_334100!L:R,7,FALSE),VLOOKUP(tables_334100!C15,input_334100!A:H,8,FALSE))</f>
        <v>32980</v>
      </c>
      <c r="P15" s="46">
        <f t="shared" ref="P15:P78" ca="1" si="2">O15/SUM(O:O)</f>
        <v>1.3108108108108108E-2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input_334100!A$2</f>
        <v>334100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IFERROR(VLOOKUP(B16,input_334100!L:R,7,FALSE),VLOOKUP(tables_334100!C16,input_334100!A:H,8,FALSE))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input_334100!A$2</f>
        <v>334100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IFERROR(VLOOKUP(B17,input_334100!L:R,7,FALSE),VLOOKUP(tables_334100!C17,input_334100!A:H,8,FALSE))</f>
        <v>32980</v>
      </c>
      <c r="P17" s="46">
        <f t="shared" ca="1" si="2"/>
        <v>1.3108108108108108E-2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input_334100!A$2</f>
        <v>334100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IFERROR(VLOOKUP(B18,input_334100!L:R,7,FALSE),VLOOKUP(tables_334100!C18,input_334100!A:H,8,FALSE))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input_334100!A$2</f>
        <v>334100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IFERROR(VLOOKUP(B19,input_334100!L:R,7,FALSE),VLOOKUP(tables_334100!C19,input_334100!A:H,8,FALSE))</f>
        <v>32980</v>
      </c>
      <c r="P19" s="46">
        <f t="shared" ca="1" si="2"/>
        <v>1.3108108108108108E-2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input_334100!A$2</f>
        <v>334100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IFERROR(VLOOKUP(B20,input_334100!L:R,7,FALSE),VLOOKUP(tables_334100!C20,input_334100!A:H,8,FALSE))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input_334100!A$2</f>
        <v>334100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IFERROR(VLOOKUP(B21,input_334100!L:R,7,FALSE),VLOOKUP(tables_334100!C21,input_334100!A:H,8,FALSE))</f>
        <v>32980</v>
      </c>
      <c r="P21" s="46">
        <f t="shared" ca="1" si="2"/>
        <v>1.3108108108108108E-2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input_334100!A$2</f>
        <v>334100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IFERROR(VLOOKUP(B22,input_334100!L:R,7,FALSE),VLOOKUP(tables_334100!C22,input_334100!A:H,8,FALSE))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input_334100!A$2</f>
        <v>334100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IFERROR(VLOOKUP(B23,input_334100!L:R,7,FALSE),VLOOKUP(tables_334100!C23,input_334100!A:H,8,FALSE))</f>
        <v>32980</v>
      </c>
      <c r="P23" s="46">
        <f t="shared" ca="1" si="2"/>
        <v>1.3108108108108108E-2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input_334100!A$2</f>
        <v>334100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IFERROR(VLOOKUP(B24,input_334100!L:R,7,FALSE),VLOOKUP(tables_334100!C24,input_334100!A:H,8,FALSE))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input_334100!A$2</f>
        <v>334100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IFERROR(VLOOKUP(B25,input_334100!L:R,7,FALSE),VLOOKUP(tables_334100!C25,input_334100!A:H,8,FALSE))</f>
        <v>32980</v>
      </c>
      <c r="P25" s="46">
        <f t="shared" ca="1" si="2"/>
        <v>1.3108108108108108E-2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input_334100!A$2</f>
        <v>334100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IFERROR(VLOOKUP(B26,input_334100!L:R,7,FALSE),VLOOKUP(tables_334100!C26,input_334100!A:H,8,FALSE))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input_334100!A$2</f>
        <v>334100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IFERROR(VLOOKUP(B27,input_334100!L:R,7,FALSE),VLOOKUP(tables_334100!C27,input_334100!A:H,8,FALSE))</f>
        <v>32980</v>
      </c>
      <c r="P27" s="46">
        <f t="shared" ca="1" si="2"/>
        <v>1.3108108108108108E-2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input_334100!A$2</f>
        <v>334100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IFERROR(VLOOKUP(B28,input_334100!L:R,7,FALSE),VLOOKUP(tables_334100!C28,input_334100!A:H,8,FALSE))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input_334100!A$2</f>
        <v>334100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IFERROR(VLOOKUP(B29,input_334100!L:R,7,FALSE),VLOOKUP(tables_334100!C29,input_334100!A:H,8,FALSE))</f>
        <v>32980</v>
      </c>
      <c r="P29" s="46">
        <f t="shared" ca="1" si="2"/>
        <v>1.3108108108108108E-2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input_334100!A$2</f>
        <v>334100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IFERROR(VLOOKUP(B30,input_334100!L:R,7,FALSE),VLOOKUP(tables_334100!C30,input_334100!A:H,8,FALSE))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input_334100!A$2</f>
        <v>334100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IFERROR(VLOOKUP(B31,input_334100!L:R,7,FALSE),VLOOKUP(tables_334100!C31,input_334100!A:H,8,FALSE))</f>
        <v>32980</v>
      </c>
      <c r="P31" s="46">
        <f t="shared" ca="1" si="2"/>
        <v>1.3108108108108108E-2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input_334100!A$2</f>
        <v>334100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IFERROR(VLOOKUP(B32,input_334100!L:R,7,FALSE),VLOOKUP(tables_334100!C32,input_334100!A:H,8,FALSE))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input_334100!A$2</f>
        <v>334100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IFERROR(VLOOKUP(B33,input_334100!L:R,7,FALSE),VLOOKUP(tables_334100!C33,input_334100!A:H,8,FALSE))</f>
        <v>32980</v>
      </c>
      <c r="P33" s="46">
        <f t="shared" ca="1" si="2"/>
        <v>1.3108108108108108E-2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input_334100!A$2</f>
        <v>334100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IFERROR(VLOOKUP(B34,input_334100!L:R,7,FALSE),VLOOKUP(tables_334100!C34,input_334100!A:H,8,FALSE))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input_334100!A$2</f>
        <v>334100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IFERROR(VLOOKUP(B35,input_334100!L:R,7,FALSE),VLOOKUP(tables_334100!C35,input_334100!A:H,8,FALSE))</f>
        <v>32980</v>
      </c>
      <c r="P35" s="46">
        <f t="shared" ca="1" si="2"/>
        <v>1.3108108108108108E-2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input_334100!A$2</f>
        <v>334100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IFERROR(VLOOKUP(B36,input_334100!L:R,7,FALSE),VLOOKUP(tables_334100!C36,input_334100!A:H,8,FALSE))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input_334100!A$2</f>
        <v>334100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IFERROR(VLOOKUP(B37,input_334100!L:R,7,FALSE),VLOOKUP(tables_334100!C37,input_334100!A:H,8,FALSE))</f>
        <v>32980</v>
      </c>
      <c r="P37" s="46">
        <f t="shared" ca="1" si="2"/>
        <v>1.3108108108108108E-2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input_334100!A$2</f>
        <v>334100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IFERROR(VLOOKUP(B38,input_334100!L:R,7,FALSE),VLOOKUP(tables_334100!C38,input_334100!A:H,8,FALSE))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input_334100!A$2</f>
        <v>334100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IFERROR(VLOOKUP(B39,input_334100!L:R,7,FALSE),VLOOKUP(tables_334100!C39,input_334100!A:H,8,FALSE))</f>
        <v>32980</v>
      </c>
      <c r="P39" s="46">
        <f t="shared" ca="1" si="2"/>
        <v>1.3108108108108108E-2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input_334100!A$2</f>
        <v>334100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IFERROR(VLOOKUP(B40,input_334100!L:R,7,FALSE),VLOOKUP(tables_334100!C40,input_334100!A:H,8,FALSE))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input_334100!A$2</f>
        <v>334100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IFERROR(VLOOKUP(B41,input_334100!L:R,7,FALSE),VLOOKUP(tables_334100!C41,input_334100!A:H,8,FALSE))</f>
        <v>32980</v>
      </c>
      <c r="P41" s="46">
        <f t="shared" ca="1" si="2"/>
        <v>1.3108108108108108E-2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input_334100!A$2</f>
        <v>334100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IFERROR(VLOOKUP(B42,input_334100!L:R,7,FALSE),VLOOKUP(tables_334100!C42,input_334100!A:H,8,FALSE))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input_334100!A$2</f>
        <v>334100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IFERROR(VLOOKUP(B43,input_334100!L:R,7,FALSE),VLOOKUP(tables_334100!C43,input_334100!A:H,8,FALSE))</f>
        <v>2109</v>
      </c>
      <c r="P43" s="46">
        <f t="shared" ca="1" si="2"/>
        <v>8.3823529411764701E-4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input_334100!A$2</f>
        <v>334100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IFERROR(VLOOKUP(B44,input_334100!L:R,7,FALSE),VLOOKUP(tables_334100!C44,input_334100!A:H,8,FALSE))</f>
        <v>111</v>
      </c>
      <c r="P44" s="46">
        <f t="shared" ca="1" si="2"/>
        <v>4.4117647058823532E-5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input_334100!A$2</f>
        <v>334100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IFERROR(VLOOKUP(B45,input_334100!L:R,7,FALSE),VLOOKUP(tables_334100!C45,input_334100!A:H,8,FALSE))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input_334100!A$2</f>
        <v>334100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IFERROR(VLOOKUP(B46,input_334100!L:R,7,FALSE),VLOOKUP(tables_334100!C46,input_334100!A:H,8,FALSE))</f>
        <v>2109</v>
      </c>
      <c r="P46" s="46">
        <f t="shared" ca="1" si="2"/>
        <v>8.3823529411764701E-4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input_334100!A$2</f>
        <v>334100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IFERROR(VLOOKUP(B47,input_334100!L:R,7,FALSE),VLOOKUP(tables_334100!C47,input_334100!A:H,8,FALSE))</f>
        <v>111</v>
      </c>
      <c r="P47" s="46">
        <f t="shared" ca="1" si="2"/>
        <v>4.4117647058823532E-5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input_334100!A$2</f>
        <v>334100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IFERROR(VLOOKUP(B48,input_334100!L:R,7,FALSE),VLOOKUP(tables_334100!C48,input_334100!A:H,8,FALSE))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input_334100!A$2</f>
        <v>334100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IFERROR(VLOOKUP(B49,input_334100!L:R,7,FALSE),VLOOKUP(tables_334100!C49,input_334100!A:H,8,FALSE))</f>
        <v>2109</v>
      </c>
      <c r="P49" s="46">
        <f t="shared" ca="1" si="2"/>
        <v>8.3823529411764701E-4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input_334100!A$2</f>
        <v>334100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IFERROR(VLOOKUP(B50,input_334100!L:R,7,FALSE),VLOOKUP(tables_334100!C50,input_334100!A:H,8,FALSE))</f>
        <v>111</v>
      </c>
      <c r="P50" s="46">
        <f t="shared" ca="1" si="2"/>
        <v>4.4117647058823532E-5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input_334100!A$2</f>
        <v>334100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IFERROR(VLOOKUP(B51,input_334100!L:R,7,FALSE),VLOOKUP(tables_334100!C51,input_334100!A:H,8,FALSE))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input_334100!A$2</f>
        <v>334100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IFERROR(VLOOKUP(B52,input_334100!L:R,7,FALSE),VLOOKUP(tables_334100!C52,input_334100!A:H,8,FALSE))</f>
        <v>31331</v>
      </c>
      <c r="P52" s="46">
        <f t="shared" ca="1" si="2"/>
        <v>1.2452702702702703E-2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input_334100!A$2</f>
        <v>334100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IFERROR(VLOOKUP(B53,input_334100!L:R,7,FALSE),VLOOKUP(tables_334100!C53,input_334100!A:H,8,FALSE))</f>
        <v>1649</v>
      </c>
      <c r="P53" s="46">
        <f t="shared" ca="1" si="2"/>
        <v>6.5540540540540539E-4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input_334100!A$2</f>
        <v>334100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IFERROR(VLOOKUP(B54,input_334100!L:R,7,FALSE),VLOOKUP(tables_334100!C54,input_334100!A:H,8,FALSE))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input_334100!A$2</f>
        <v>334100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IFERROR(VLOOKUP(B55,input_334100!L:R,7,FALSE),VLOOKUP(tables_334100!C55,input_334100!A:H,8,FALSE))</f>
        <v>31331</v>
      </c>
      <c r="P55" s="46">
        <f t="shared" ca="1" si="2"/>
        <v>1.2452702702702703E-2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input_334100!A$2</f>
        <v>334100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IFERROR(VLOOKUP(B56,input_334100!L:R,7,FALSE),VLOOKUP(tables_334100!C56,input_334100!A:H,8,FALSE))</f>
        <v>1649</v>
      </c>
      <c r="P56" s="46">
        <f t="shared" ca="1" si="2"/>
        <v>6.5540540540540539E-4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input_334100!A$2</f>
        <v>334100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IFERROR(VLOOKUP(B57,input_334100!L:R,7,FALSE),VLOOKUP(tables_334100!C57,input_334100!A:H,8,FALSE))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input_334100!A$2</f>
        <v>334100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IFERROR(VLOOKUP(B58,input_334100!L:R,7,FALSE),VLOOKUP(tables_334100!C58,input_334100!A:H,8,FALSE))</f>
        <v>31331</v>
      </c>
      <c r="P58" s="46">
        <f t="shared" ca="1" si="2"/>
        <v>1.2452702702702703E-2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input_334100!A$2</f>
        <v>334100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IFERROR(VLOOKUP(B59,input_334100!L:R,7,FALSE),VLOOKUP(tables_334100!C59,input_334100!A:H,8,FALSE))</f>
        <v>1649</v>
      </c>
      <c r="P59" s="46">
        <f t="shared" ca="1" si="2"/>
        <v>6.5540540540540539E-4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input_334100!A$2</f>
        <v>334100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IFERROR(VLOOKUP(B60,input_334100!L:R,7,FALSE),VLOOKUP(tables_334100!C60,input_334100!A:H,8,FALSE))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input_334100!A$2</f>
        <v>334100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IFERROR(VLOOKUP(B61,input_334100!L:R,7,FALSE),VLOOKUP(tables_334100!C61,input_334100!A:H,8,FALSE))</f>
        <v>31331</v>
      </c>
      <c r="P61" s="46">
        <f t="shared" ca="1" si="2"/>
        <v>1.2452702702702703E-2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input_334100!A$2</f>
        <v>334100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IFERROR(VLOOKUP(B62,input_334100!L:R,7,FALSE),VLOOKUP(tables_334100!C62,input_334100!A:H,8,FALSE))</f>
        <v>1649</v>
      </c>
      <c r="P62" s="46">
        <f t="shared" ca="1" si="2"/>
        <v>6.5540540540540539E-4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input_334100!A$2</f>
        <v>334100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IFERROR(VLOOKUP(B63,input_334100!L:R,7,FALSE),VLOOKUP(tables_334100!C63,input_334100!A:H,8,FALSE))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input_334100!A$2</f>
        <v>334100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IFERROR(VLOOKUP(B64,input_334100!L:R,7,FALSE),VLOOKUP(tables_334100!C64,input_334100!A:H,8,FALSE))</f>
        <v>31331</v>
      </c>
      <c r="P64" s="46">
        <f t="shared" ca="1" si="2"/>
        <v>1.2452702702702703E-2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input_334100!A$2</f>
        <v>334100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IFERROR(VLOOKUP(B65,input_334100!L:R,7,FALSE),VLOOKUP(tables_334100!C65,input_334100!A:H,8,FALSE))</f>
        <v>1649</v>
      </c>
      <c r="P65" s="46">
        <f t="shared" ca="1" si="2"/>
        <v>6.5540540540540539E-4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input_334100!A$2</f>
        <v>334100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IFERROR(VLOOKUP(B66,input_334100!L:R,7,FALSE),VLOOKUP(tables_334100!C66,input_334100!A:H,8,FALSE))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input_334100!A$2</f>
        <v>334100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IFERROR(VLOOKUP(B67,input_334100!L:R,7,FALSE),VLOOKUP(tables_334100!C67,input_334100!A:H,8,FALSE))</f>
        <v>31331</v>
      </c>
      <c r="P67" s="46">
        <f t="shared" ca="1" si="2"/>
        <v>1.2452702702702703E-2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input_334100!A$2</f>
        <v>334100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IFERROR(VLOOKUP(B68,input_334100!L:R,7,FALSE),VLOOKUP(tables_334100!C68,input_334100!A:H,8,FALSE))</f>
        <v>1649</v>
      </c>
      <c r="P68" s="46">
        <f t="shared" ca="1" si="2"/>
        <v>6.5540540540540539E-4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input_334100!A$2</f>
        <v>334100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IFERROR(VLOOKUP(B69,input_334100!L:R,7,FALSE),VLOOKUP(tables_334100!C69,input_334100!A:H,8,FALSE))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input_334100!A$2</f>
        <v>334100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IFERROR(VLOOKUP(B70,input_334100!L:R,7,FALSE),VLOOKUP(tables_334100!C70,input_334100!A:H,8,FALSE))</f>
        <v>31331</v>
      </c>
      <c r="P70" s="46">
        <f t="shared" ca="1" si="2"/>
        <v>1.2452702702702703E-2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input_334100!A$2</f>
        <v>334100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IFERROR(VLOOKUP(B71,input_334100!L:R,7,FALSE),VLOOKUP(tables_334100!C71,input_334100!A:H,8,FALSE))</f>
        <v>1649</v>
      </c>
      <c r="P71" s="46">
        <f t="shared" ca="1" si="2"/>
        <v>6.5540540540540539E-4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input_334100!A$2</f>
        <v>334100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IFERROR(VLOOKUP(B72,input_334100!L:R,7,FALSE),VLOOKUP(tables_334100!C72,input_334100!A:H,8,FALSE))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input_334100!A$2</f>
        <v>334100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IFERROR(VLOOKUP(B73,input_334100!L:R,7,FALSE),VLOOKUP(tables_334100!C73,input_334100!A:H,8,FALSE))</f>
        <v>31331</v>
      </c>
      <c r="P73" s="46">
        <f t="shared" ca="1" si="2"/>
        <v>1.2452702702702703E-2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input_334100!A$2</f>
        <v>334100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IFERROR(VLOOKUP(B74,input_334100!L:R,7,FALSE),VLOOKUP(tables_334100!C74,input_334100!A:H,8,FALSE))</f>
        <v>1649</v>
      </c>
      <c r="P74" s="46">
        <f t="shared" ca="1" si="2"/>
        <v>6.5540540540540539E-4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input_334100!A$2</f>
        <v>334100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IFERROR(VLOOKUP(B75,input_334100!L:R,7,FALSE),VLOOKUP(tables_334100!C75,input_334100!A:H,8,FALSE))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input_334100!A$2</f>
        <v>334100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IFERROR(VLOOKUP(B76,input_334100!L:R,7,FALSE),VLOOKUP(tables_334100!C76,input_334100!A:H,8,FALSE))</f>
        <v>31331</v>
      </c>
      <c r="P76" s="46">
        <f t="shared" ca="1" si="2"/>
        <v>1.2452702702702703E-2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input_334100!A$2</f>
        <v>334100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IFERROR(VLOOKUP(B77,input_334100!L:R,7,FALSE),VLOOKUP(tables_334100!C77,input_334100!A:H,8,FALSE))</f>
        <v>1649</v>
      </c>
      <c r="P77" s="46">
        <f t="shared" ca="1" si="2"/>
        <v>6.5540540540540539E-4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input_334100!A$2</f>
        <v>334100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IFERROR(VLOOKUP(B78,input_334100!L:R,7,FALSE),VLOOKUP(tables_334100!C78,input_334100!A:H,8,FALSE))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input_334100!A$2</f>
        <v>334100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IFERROR(VLOOKUP(B79,input_334100!L:R,7,FALSE),VLOOKUP(tables_334100!C79,input_334100!A:H,8,FALSE))</f>
        <v>31331</v>
      </c>
      <c r="P79" s="46">
        <f t="shared" ref="P79:P142" ca="1" si="5">O79/SUM(O:O)</f>
        <v>1.2452702702702703E-2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input_334100!A$2</f>
        <v>334100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IFERROR(VLOOKUP(B80,input_334100!L:R,7,FALSE),VLOOKUP(tables_334100!C80,input_334100!A:H,8,FALSE))</f>
        <v>1649</v>
      </c>
      <c r="P80" s="46">
        <f t="shared" ca="1" si="5"/>
        <v>6.5540540540540539E-4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input_334100!A$2</f>
        <v>334100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IFERROR(VLOOKUP(B81,input_334100!L:R,7,FALSE),VLOOKUP(tables_334100!C81,input_334100!A:H,8,FALSE))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input_334100!A$2</f>
        <v>334100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IFERROR(VLOOKUP(B82,input_334100!L:R,7,FALSE),VLOOKUP(tables_334100!C82,input_334100!A:H,8,FALSE))</f>
        <v>31331</v>
      </c>
      <c r="P82" s="46">
        <f t="shared" ca="1" si="5"/>
        <v>1.2452702702702703E-2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input_334100!A$2</f>
        <v>334100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IFERROR(VLOOKUP(B83,input_334100!L:R,7,FALSE),VLOOKUP(tables_334100!C83,input_334100!A:H,8,FALSE))</f>
        <v>1649</v>
      </c>
      <c r="P83" s="46">
        <f t="shared" ca="1" si="5"/>
        <v>6.5540540540540539E-4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input_334100!A$2</f>
        <v>334100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IFERROR(VLOOKUP(B84,input_334100!L:R,7,FALSE),VLOOKUP(tables_334100!C84,input_334100!A:H,8,FALSE))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input_334100!A$2</f>
        <v>334100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IFERROR(VLOOKUP(B85,input_334100!L:R,7,FALSE),VLOOKUP(tables_334100!C85,input_334100!A:H,8,FALSE))</f>
        <v>31331</v>
      </c>
      <c r="P85" s="46">
        <f t="shared" ca="1" si="5"/>
        <v>1.2452702702702703E-2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input_334100!A$2</f>
        <v>334100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IFERROR(VLOOKUP(B86,input_334100!L:R,7,FALSE),VLOOKUP(tables_334100!C86,input_334100!A:H,8,FALSE))</f>
        <v>1649</v>
      </c>
      <c r="P86" s="46">
        <f t="shared" ca="1" si="5"/>
        <v>6.5540540540540539E-4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input_334100!A$2</f>
        <v>334100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IFERROR(VLOOKUP(B87,input_334100!L:R,7,FALSE),VLOOKUP(tables_334100!C87,input_334100!A:H,8,FALSE))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input_334100!A$2</f>
        <v>334100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IFERROR(VLOOKUP(B88,input_334100!L:R,7,FALSE),VLOOKUP(tables_334100!C88,input_334100!A:H,8,FALSE))</f>
        <v>31331</v>
      </c>
      <c r="P88" s="46">
        <f t="shared" ca="1" si="5"/>
        <v>1.2452702702702703E-2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input_334100!A$2</f>
        <v>334100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IFERROR(VLOOKUP(B89,input_334100!L:R,7,FALSE),VLOOKUP(tables_334100!C89,input_334100!A:H,8,FALSE))</f>
        <v>1649</v>
      </c>
      <c r="P89" s="46">
        <f t="shared" ca="1" si="5"/>
        <v>6.5540540540540539E-4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input_334100!A$2</f>
        <v>334100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IFERROR(VLOOKUP(B90,input_334100!L:R,7,FALSE),VLOOKUP(tables_334100!C90,input_334100!A:H,8,FALSE))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input_334100!A$2</f>
        <v>334100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IFERROR(VLOOKUP(B91,input_334100!L:R,7,FALSE),VLOOKUP(tables_334100!C91,input_334100!A:H,8,FALSE))</f>
        <v>31331</v>
      </c>
      <c r="P91" s="46">
        <f t="shared" ca="1" si="5"/>
        <v>1.2452702702702703E-2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input_334100!A$2</f>
        <v>334100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IFERROR(VLOOKUP(B92,input_334100!L:R,7,FALSE),VLOOKUP(tables_334100!C92,input_334100!A:H,8,FALSE))</f>
        <v>1649</v>
      </c>
      <c r="P92" s="46">
        <f t="shared" ca="1" si="5"/>
        <v>6.5540540540540539E-4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input_334100!A$2</f>
        <v>334100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IFERROR(VLOOKUP(B93,input_334100!L:R,7,FALSE),VLOOKUP(tables_334100!C93,input_334100!A:H,8,FALSE))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input_334100!A$2</f>
        <v>334100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IFERROR(VLOOKUP(B94,input_334100!L:R,7,FALSE),VLOOKUP(tables_334100!C94,input_334100!A:H,8,FALSE))</f>
        <v>31331</v>
      </c>
      <c r="P94" s="46">
        <f t="shared" ca="1" si="5"/>
        <v>1.2452702702702703E-2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input_334100!A$2</f>
        <v>334100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IFERROR(VLOOKUP(B95,input_334100!L:R,7,FALSE),VLOOKUP(tables_334100!C95,input_334100!A:H,8,FALSE))</f>
        <v>1649</v>
      </c>
      <c r="P95" s="46">
        <f t="shared" ca="1" si="5"/>
        <v>6.5540540540540539E-4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input_334100!A$2</f>
        <v>334100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IFERROR(VLOOKUP(B96,input_334100!L:R,7,FALSE),VLOOKUP(tables_334100!C96,input_334100!A:H,8,FALSE))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input_334100!A$2</f>
        <v>334100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IFERROR(VLOOKUP(B97,input_334100!L:R,7,FALSE),VLOOKUP(tables_334100!C97,input_334100!A:H,8,FALSE))</f>
        <v>31331</v>
      </c>
      <c r="P97" s="46">
        <f t="shared" ca="1" si="5"/>
        <v>1.2452702702702703E-2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input_334100!A$2</f>
        <v>334100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IFERROR(VLOOKUP(B98,input_334100!L:R,7,FALSE),VLOOKUP(tables_334100!C98,input_334100!A:H,8,FALSE))</f>
        <v>1649</v>
      </c>
      <c r="P98" s="46">
        <f t="shared" ca="1" si="5"/>
        <v>6.5540540540540539E-4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input_334100!A$2</f>
        <v>334100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IFERROR(VLOOKUP(B99,input_334100!L:R,7,FALSE),VLOOKUP(tables_334100!C99,input_334100!A:H,8,FALSE))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input_334100!A$2</f>
        <v>334100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IFERROR(VLOOKUP(B100,input_334100!L:R,7,FALSE),VLOOKUP(tables_334100!C100,input_334100!A:H,8,FALSE))</f>
        <v>31331</v>
      </c>
      <c r="P100" s="46">
        <f t="shared" ca="1" si="5"/>
        <v>1.2452702702702703E-2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input_334100!A$2</f>
        <v>334100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IFERROR(VLOOKUP(B101,input_334100!L:R,7,FALSE),VLOOKUP(tables_334100!C101,input_334100!A:H,8,FALSE))</f>
        <v>1649</v>
      </c>
      <c r="P101" s="46">
        <f t="shared" ca="1" si="5"/>
        <v>6.5540540540540539E-4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input_334100!A$2</f>
        <v>334100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IFERROR(VLOOKUP(B102,input_334100!L:R,7,FALSE),VLOOKUP(tables_334100!C102,input_334100!A:H,8,FALSE))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input_334100!A$2</f>
        <v>334100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IFERROR(VLOOKUP(B103,input_334100!L:R,7,FALSE),VLOOKUP(tables_334100!C103,input_334100!A:H,8,FALSE))</f>
        <v>31331</v>
      </c>
      <c r="P103" s="46">
        <f t="shared" ca="1" si="5"/>
        <v>1.2452702702702703E-2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input_334100!A$2</f>
        <v>334100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IFERROR(VLOOKUP(B104,input_334100!L:R,7,FALSE),VLOOKUP(tables_334100!C104,input_334100!A:H,8,FALSE))</f>
        <v>1649</v>
      </c>
      <c r="P104" s="46">
        <f t="shared" ca="1" si="5"/>
        <v>6.5540540540540539E-4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input_334100!A$2</f>
        <v>334100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IFERROR(VLOOKUP(B105,input_334100!L:R,7,FALSE),VLOOKUP(tables_334100!C105,input_334100!A:H,8,FALSE))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input_334100!A$2</f>
        <v>334100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IFERROR(VLOOKUP(B106,input_334100!L:R,7,FALSE),VLOOKUP(tables_334100!C106,input_334100!A:H,8,FALSE))</f>
        <v>31331</v>
      </c>
      <c r="P106" s="46">
        <f t="shared" ca="1" si="5"/>
        <v>1.2452702702702703E-2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input_334100!A$2</f>
        <v>334100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IFERROR(VLOOKUP(B107,input_334100!L:R,7,FALSE),VLOOKUP(tables_334100!C107,input_334100!A:H,8,FALSE))</f>
        <v>1649</v>
      </c>
      <c r="P107" s="46">
        <f t="shared" ca="1" si="5"/>
        <v>6.5540540540540539E-4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input_334100!A$2</f>
        <v>334100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IFERROR(VLOOKUP(B108,input_334100!L:R,7,FALSE),VLOOKUP(tables_334100!C108,input_334100!A:H,8,FALSE))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input_334100!A$2</f>
        <v>334100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IFERROR(VLOOKUP(B109,input_334100!L:R,7,FALSE),VLOOKUP(tables_334100!C109,input_334100!A:H,8,FALSE))</f>
        <v>31331</v>
      </c>
      <c r="P109" s="46">
        <f t="shared" ca="1" si="5"/>
        <v>1.2452702702702703E-2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input_334100!A$2</f>
        <v>334100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IFERROR(VLOOKUP(B110,input_334100!L:R,7,FALSE),VLOOKUP(tables_334100!C110,input_334100!A:H,8,FALSE))</f>
        <v>1649</v>
      </c>
      <c r="P110" s="46">
        <f t="shared" ca="1" si="5"/>
        <v>6.5540540540540539E-4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input_334100!A$2</f>
        <v>334100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IFERROR(VLOOKUP(B111,input_334100!L:R,7,FALSE),VLOOKUP(tables_334100!C111,input_334100!A:H,8,FALSE))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input_334100!A$2</f>
        <v>334100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IFERROR(VLOOKUP(B112,input_334100!L:R,7,FALSE),VLOOKUP(tables_334100!C112,input_334100!A:H,8,FALSE))</f>
        <v>2109</v>
      </c>
      <c r="P112" s="46">
        <f t="shared" ca="1" si="5"/>
        <v>8.3823529411764701E-4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input_334100!A$2</f>
        <v>334100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IFERROR(VLOOKUP(B113,input_334100!L:R,7,FALSE),VLOOKUP(tables_334100!C113,input_334100!A:H,8,FALSE))</f>
        <v>111</v>
      </c>
      <c r="P113" s="46">
        <f t="shared" ca="1" si="5"/>
        <v>4.4117647058823532E-5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input_334100!A$2</f>
        <v>334100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IFERROR(VLOOKUP(B114,input_334100!L:R,7,FALSE),VLOOKUP(tables_334100!C114,input_334100!A:H,8,FALSE))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input_334100!A$2</f>
        <v>334100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IFERROR(VLOOKUP(B115,input_334100!L:R,7,FALSE),VLOOKUP(tables_334100!C115,input_334100!A:H,8,FALSE))</f>
        <v>31331</v>
      </c>
      <c r="P115" s="46">
        <f t="shared" ca="1" si="5"/>
        <v>1.2452702702702703E-2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input_334100!A$2</f>
        <v>334100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IFERROR(VLOOKUP(B116,input_334100!L:R,7,FALSE),VLOOKUP(tables_334100!C116,input_334100!A:H,8,FALSE))</f>
        <v>1649</v>
      </c>
      <c r="P116" s="46">
        <f t="shared" ca="1" si="5"/>
        <v>6.5540540540540539E-4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input_334100!A$2</f>
        <v>334100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IFERROR(VLOOKUP(B117,input_334100!L:R,7,FALSE),VLOOKUP(tables_334100!C117,input_334100!A:H,8,FALSE))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input_334100!A$2</f>
        <v>334100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IFERROR(VLOOKUP(B118,input_334100!L:R,7,FALSE),VLOOKUP(tables_334100!C118,input_334100!A:H,8,FALSE))</f>
        <v>31331</v>
      </c>
      <c r="P118" s="46">
        <f t="shared" ca="1" si="5"/>
        <v>1.2452702702702703E-2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input_334100!A$2</f>
        <v>334100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IFERROR(VLOOKUP(B119,input_334100!L:R,7,FALSE),VLOOKUP(tables_334100!C119,input_334100!A:H,8,FALSE))</f>
        <v>1649</v>
      </c>
      <c r="P119" s="46">
        <f t="shared" ca="1" si="5"/>
        <v>6.5540540540540539E-4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input_334100!A$2</f>
        <v>334100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IFERROR(VLOOKUP(B120,input_334100!L:R,7,FALSE),VLOOKUP(tables_334100!C120,input_334100!A:H,8,FALSE))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input_334100!A$2</f>
        <v>334100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IFERROR(VLOOKUP(B121,input_334100!L:R,7,FALSE),VLOOKUP(tables_334100!C121,input_334100!A:H,8,FALSE))</f>
        <v>31331</v>
      </c>
      <c r="P121" s="46">
        <f t="shared" ca="1" si="5"/>
        <v>1.2452702702702703E-2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input_334100!A$2</f>
        <v>334100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IFERROR(VLOOKUP(B122,input_334100!L:R,7,FALSE),VLOOKUP(tables_334100!C122,input_334100!A:H,8,FALSE))</f>
        <v>1649</v>
      </c>
      <c r="P122" s="46">
        <f t="shared" ca="1" si="5"/>
        <v>6.5540540540540539E-4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input_334100!A$2</f>
        <v>334100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IFERROR(VLOOKUP(B123,input_334100!L:R,7,FALSE),VLOOKUP(tables_334100!C123,input_334100!A:H,8,FALSE))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input_334100!A$2</f>
        <v>334100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IFERROR(VLOOKUP(B124,input_334100!L:R,7,FALSE),VLOOKUP(tables_334100!C124,input_334100!A:H,8,FALSE))</f>
        <v>31331</v>
      </c>
      <c r="P124" s="46">
        <f t="shared" ca="1" si="5"/>
        <v>1.2452702702702703E-2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input_334100!A$2</f>
        <v>334100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IFERROR(VLOOKUP(B125,input_334100!L:R,7,FALSE),VLOOKUP(tables_334100!C125,input_334100!A:H,8,FALSE))</f>
        <v>1649</v>
      </c>
      <c r="P125" s="46">
        <f t="shared" ca="1" si="5"/>
        <v>6.5540540540540539E-4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input_334100!A$2</f>
        <v>334100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IFERROR(VLOOKUP(B126,input_334100!L:R,7,FALSE),VLOOKUP(tables_334100!C126,input_334100!A:H,8,FALSE))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input_334100!A$2</f>
        <v>334100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IFERROR(VLOOKUP(B127,input_334100!L:R,7,FALSE),VLOOKUP(tables_334100!C127,input_334100!A:H,8,FALSE))</f>
        <v>31331</v>
      </c>
      <c r="P127" s="46">
        <f t="shared" ca="1" si="5"/>
        <v>1.2452702702702703E-2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input_334100!A$2</f>
        <v>334100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IFERROR(VLOOKUP(B128,input_334100!L:R,7,FALSE),VLOOKUP(tables_334100!C128,input_334100!A:H,8,FALSE))</f>
        <v>1649</v>
      </c>
      <c r="P128" s="46">
        <f t="shared" ca="1" si="5"/>
        <v>6.5540540540540539E-4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input_334100!A$2</f>
        <v>334100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IFERROR(VLOOKUP(B129,input_334100!L:R,7,FALSE),VLOOKUP(tables_334100!C129,input_334100!A:H,8,FALSE))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input_334100!A$2</f>
        <v>334100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IFERROR(VLOOKUP(B130,input_334100!L:R,7,FALSE),VLOOKUP(tables_334100!C130,input_334100!A:H,8,FALSE))</f>
        <v>31331</v>
      </c>
      <c r="P130" s="46">
        <f t="shared" ca="1" si="5"/>
        <v>1.2452702702702703E-2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input_334100!A$2</f>
        <v>334100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IFERROR(VLOOKUP(B131,input_334100!L:R,7,FALSE),VLOOKUP(tables_334100!C131,input_334100!A:H,8,FALSE))</f>
        <v>1649</v>
      </c>
      <c r="P131" s="46">
        <f t="shared" ca="1" si="5"/>
        <v>6.5540540540540539E-4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input_334100!A$2</f>
        <v>334100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IFERROR(VLOOKUP(B132,input_334100!L:R,7,FALSE),VLOOKUP(tables_334100!C132,input_334100!A:H,8,FALSE))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input_334100!A$2</f>
        <v>334100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IFERROR(VLOOKUP(B133,input_334100!L:R,7,FALSE),VLOOKUP(tables_334100!C133,input_334100!A:H,8,FALSE))</f>
        <v>31331</v>
      </c>
      <c r="P133" s="46">
        <f t="shared" ca="1" si="5"/>
        <v>1.2452702702702703E-2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input_334100!A$2</f>
        <v>334100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IFERROR(VLOOKUP(B134,input_334100!L:R,7,FALSE),VLOOKUP(tables_334100!C134,input_334100!A:H,8,FALSE))</f>
        <v>1649</v>
      </c>
      <c r="P134" s="46">
        <f t="shared" ca="1" si="5"/>
        <v>6.5540540540540539E-4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input_334100!A$2</f>
        <v>334100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IFERROR(VLOOKUP(B135,input_334100!L:R,7,FALSE),VLOOKUP(tables_334100!C135,input_334100!A:H,8,FALSE))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input_334100!A$2</f>
        <v>334100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IFERROR(VLOOKUP(B136,input_334100!L:R,7,FALSE),VLOOKUP(tables_334100!C136,input_334100!A:H,8,FALSE))</f>
        <v>31331</v>
      </c>
      <c r="P136" s="46">
        <f t="shared" ca="1" si="5"/>
        <v>1.2452702702702703E-2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input_334100!A$2</f>
        <v>334100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IFERROR(VLOOKUP(B137,input_334100!L:R,7,FALSE),VLOOKUP(tables_334100!C137,input_334100!A:H,8,FALSE))</f>
        <v>1649</v>
      </c>
      <c r="P137" s="46">
        <f t="shared" ca="1" si="5"/>
        <v>6.5540540540540539E-4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input_334100!A$2</f>
        <v>334100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IFERROR(VLOOKUP(B138,input_334100!L:R,7,FALSE),VLOOKUP(tables_334100!C138,input_334100!A:H,8,FALSE))</f>
        <v>2109</v>
      </c>
      <c r="P138" s="46">
        <f t="shared" ca="1" si="5"/>
        <v>8.3823529411764701E-4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input_334100!A$2</f>
        <v>334100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IFERROR(VLOOKUP(B139,input_334100!L:R,7,FALSE),VLOOKUP(tables_334100!C139,input_334100!A:H,8,FALSE))</f>
        <v>111</v>
      </c>
      <c r="P139" s="46">
        <f t="shared" ca="1" si="5"/>
        <v>4.4117647058823532E-5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input_334100!A$2</f>
        <v>334100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IFERROR(VLOOKUP(B140,input_334100!L:R,7,FALSE),VLOOKUP(tables_334100!C140,input_334100!A:H,8,FALSE))</f>
        <v>2109</v>
      </c>
      <c r="P140" s="46">
        <f t="shared" ca="1" si="5"/>
        <v>8.3823529411764701E-4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input_334100!A$2</f>
        <v>334100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IFERROR(VLOOKUP(B141,input_334100!L:R,7,FALSE),VLOOKUP(tables_334100!C141,input_334100!A:H,8,FALSE))</f>
        <v>111</v>
      </c>
      <c r="P141" s="46">
        <f t="shared" ca="1" si="5"/>
        <v>4.4117647058823532E-5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input_334100!A$2</f>
        <v>334100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IFERROR(VLOOKUP(B142,input_334100!L:R,7,FALSE),VLOOKUP(tables_334100!C142,input_334100!A:H,8,FALSE))</f>
        <v>2109</v>
      </c>
      <c r="P142" s="46">
        <f t="shared" ca="1" si="5"/>
        <v>8.3823529411764701E-4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input_334100!A$2</f>
        <v>334100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IFERROR(VLOOKUP(B143,input_334100!L:R,7,FALSE),VLOOKUP(tables_334100!C143,input_334100!A:H,8,FALSE))</f>
        <v>111</v>
      </c>
      <c r="P143" s="46">
        <f t="shared" ref="P143:P206" ca="1" si="8">O143/SUM(O:O)</f>
        <v>4.4117647058823532E-5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input_334100!A$2</f>
        <v>334100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IFERROR(VLOOKUP(B144,input_334100!L:R,7,FALSE),VLOOKUP(tables_334100!C144,input_334100!A:H,8,FALSE))</f>
        <v>2109</v>
      </c>
      <c r="P144" s="46">
        <f t="shared" ca="1" si="8"/>
        <v>8.3823529411764701E-4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input_334100!A$2</f>
        <v>334100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IFERROR(VLOOKUP(B145,input_334100!L:R,7,FALSE),VLOOKUP(tables_334100!C145,input_334100!A:H,8,FALSE))</f>
        <v>111</v>
      </c>
      <c r="P145" s="46">
        <f t="shared" ca="1" si="8"/>
        <v>4.4117647058823532E-5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input_334100!A$2</f>
        <v>334100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IFERROR(VLOOKUP(B146,input_334100!L:R,7,FALSE),VLOOKUP(tables_334100!C146,input_334100!A:H,8,FALSE))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input_334100!A$2</f>
        <v>334100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IFERROR(VLOOKUP(B147,input_334100!L:R,7,FALSE),VLOOKUP(tables_334100!C147,input_334100!A:H,8,FALSE))</f>
        <v>31331</v>
      </c>
      <c r="P147" s="46">
        <f t="shared" ca="1" si="8"/>
        <v>1.2452702702702703E-2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input_334100!A$2</f>
        <v>334100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IFERROR(VLOOKUP(B148,input_334100!L:R,7,FALSE),VLOOKUP(tables_334100!C148,input_334100!A:H,8,FALSE))</f>
        <v>1649</v>
      </c>
      <c r="P148" s="46">
        <f t="shared" ca="1" si="8"/>
        <v>6.5540540540540539E-4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input_334100!A$2</f>
        <v>334100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IFERROR(VLOOKUP(B149,input_334100!L:R,7,FALSE),VLOOKUP(tables_334100!C149,input_334100!A:H,8,FALSE))</f>
        <v>2109</v>
      </c>
      <c r="P149" s="46">
        <f t="shared" ca="1" si="8"/>
        <v>8.3823529411764701E-4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input_334100!A$2</f>
        <v>334100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IFERROR(VLOOKUP(B150,input_334100!L:R,7,FALSE),VLOOKUP(tables_334100!C150,input_334100!A:H,8,FALSE))</f>
        <v>111</v>
      </c>
      <c r="P150" s="46">
        <f t="shared" ca="1" si="8"/>
        <v>4.4117647058823532E-5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input_334100!A$2</f>
        <v>334100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IFERROR(VLOOKUP(B151,input_334100!L:R,7,FALSE),VLOOKUP(tables_334100!C151,input_334100!A:H,8,FALSE))</f>
        <v>2109</v>
      </c>
      <c r="P151" s="46">
        <f t="shared" ca="1" si="8"/>
        <v>8.3823529411764701E-4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input_334100!A$2</f>
        <v>334100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IFERROR(VLOOKUP(B152,input_334100!L:R,7,FALSE),VLOOKUP(tables_334100!C152,input_334100!A:H,8,FALSE))</f>
        <v>111</v>
      </c>
      <c r="P152" s="46">
        <f t="shared" ca="1" si="8"/>
        <v>4.4117647058823532E-5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input_334100!A$2</f>
        <v>334100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IFERROR(VLOOKUP(B153,input_334100!L:R,7,FALSE),VLOOKUP(tables_334100!C153,input_334100!A:H,8,FALSE))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input_334100!A$2</f>
        <v>334100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IFERROR(VLOOKUP(B154,input_334100!L:R,7,FALSE),VLOOKUP(tables_334100!C154,input_334100!A:H,8,FALSE))</f>
        <v>31331</v>
      </c>
      <c r="P154" s="46">
        <f t="shared" ca="1" si="8"/>
        <v>1.2452702702702703E-2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input_334100!A$2</f>
        <v>334100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IFERROR(VLOOKUP(B155,input_334100!L:R,7,FALSE),VLOOKUP(tables_334100!C155,input_334100!A:H,8,FALSE))</f>
        <v>1649</v>
      </c>
      <c r="P155" s="46">
        <f t="shared" ca="1" si="8"/>
        <v>6.5540540540540539E-4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input_334100!A$2</f>
        <v>334100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IFERROR(VLOOKUP(B156,input_334100!L:R,7,FALSE),VLOOKUP(tables_334100!C156,input_334100!A:H,8,FALSE))</f>
        <v>2109</v>
      </c>
      <c r="P156" s="46">
        <f t="shared" ca="1" si="8"/>
        <v>8.3823529411764701E-4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input_334100!A$2</f>
        <v>334100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IFERROR(VLOOKUP(B157,input_334100!L:R,7,FALSE),VLOOKUP(tables_334100!C157,input_334100!A:H,8,FALSE))</f>
        <v>111</v>
      </c>
      <c r="P157" s="46">
        <f t="shared" ca="1" si="8"/>
        <v>4.4117647058823532E-5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input_334100!A$2</f>
        <v>334100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IFERROR(VLOOKUP(B158,input_334100!L:R,7,FALSE),VLOOKUP(tables_334100!C158,input_334100!A:H,8,FALSE))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input_334100!A$2</f>
        <v>334100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IFERROR(VLOOKUP(B159,input_334100!L:R,7,FALSE),VLOOKUP(tables_334100!C159,input_334100!A:H,8,FALSE))</f>
        <v>31331</v>
      </c>
      <c r="P159" s="46">
        <f t="shared" ca="1" si="8"/>
        <v>1.2452702702702703E-2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input_334100!A$2</f>
        <v>334100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IFERROR(VLOOKUP(B160,input_334100!L:R,7,FALSE),VLOOKUP(tables_334100!C160,input_334100!A:H,8,FALSE))</f>
        <v>1649</v>
      </c>
      <c r="P160" s="46">
        <f t="shared" ca="1" si="8"/>
        <v>6.5540540540540539E-4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input_334100!A$2</f>
        <v>334100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IFERROR(VLOOKUP(B161,input_334100!L:R,7,FALSE),VLOOKUP(tables_334100!C161,input_334100!A:H,8,FALSE))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input_334100!A$2</f>
        <v>334100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IFERROR(VLOOKUP(B162,input_334100!L:R,7,FALSE),VLOOKUP(tables_334100!C162,input_334100!A:H,8,FALSE))</f>
        <v>31331</v>
      </c>
      <c r="P162" s="46">
        <f t="shared" ca="1" si="8"/>
        <v>1.2452702702702703E-2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input_334100!A$2</f>
        <v>334100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IFERROR(VLOOKUP(B163,input_334100!L:R,7,FALSE),VLOOKUP(tables_334100!C163,input_334100!A:H,8,FALSE))</f>
        <v>1649</v>
      </c>
      <c r="P163" s="46">
        <f t="shared" ca="1" si="8"/>
        <v>6.5540540540540539E-4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input_334100!A$2</f>
        <v>334100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IFERROR(VLOOKUP(B164,input_334100!L:R,7,FALSE),VLOOKUP(tables_334100!C164,input_334100!A:H,8,FALSE))</f>
        <v>2109</v>
      </c>
      <c r="P164" s="46">
        <f t="shared" ca="1" si="8"/>
        <v>8.3823529411764701E-4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input_334100!A$2</f>
        <v>334100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IFERROR(VLOOKUP(B165,input_334100!L:R,7,FALSE),VLOOKUP(tables_334100!C165,input_334100!A:H,8,FALSE))</f>
        <v>111</v>
      </c>
      <c r="P165" s="46">
        <f t="shared" ca="1" si="8"/>
        <v>4.4117647058823532E-5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input_334100!A$2</f>
        <v>334100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IFERROR(VLOOKUP(B166,input_334100!L:R,7,FALSE),VLOOKUP(tables_334100!C166,input_334100!A:H,8,FALSE))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input_334100!A$2</f>
        <v>334100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IFERROR(VLOOKUP(B167,input_334100!L:R,7,FALSE),VLOOKUP(tables_334100!C167,input_334100!A:H,8,FALSE))</f>
        <v>31331</v>
      </c>
      <c r="P167" s="46">
        <f t="shared" ca="1" si="8"/>
        <v>1.2452702702702703E-2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input_334100!A$2</f>
        <v>334100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IFERROR(VLOOKUP(B168,input_334100!L:R,7,FALSE),VLOOKUP(tables_334100!C168,input_334100!A:H,8,FALSE))</f>
        <v>1649</v>
      </c>
      <c r="P168" s="46">
        <f t="shared" ca="1" si="8"/>
        <v>6.5540540540540539E-4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input_334100!A$2</f>
        <v>334100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IFERROR(VLOOKUP(B169,input_334100!L:R,7,FALSE),VLOOKUP(tables_334100!C169,input_334100!A:H,8,FALSE))</f>
        <v>2109</v>
      </c>
      <c r="P169" s="46">
        <f t="shared" ca="1" si="8"/>
        <v>8.3823529411764701E-4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input_334100!A$2</f>
        <v>334100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IFERROR(VLOOKUP(B170,input_334100!L:R,7,FALSE),VLOOKUP(tables_334100!C170,input_334100!A:H,8,FALSE))</f>
        <v>111</v>
      </c>
      <c r="P170" s="46">
        <f t="shared" ca="1" si="8"/>
        <v>4.4117647058823532E-5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input_334100!A$2</f>
        <v>334100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IFERROR(VLOOKUP(B171,input_334100!L:R,7,FALSE),VLOOKUP(tables_334100!C171,input_334100!A:H,8,FALSE))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input_334100!A$2</f>
        <v>334100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IFERROR(VLOOKUP(B172,input_334100!L:R,7,FALSE),VLOOKUP(tables_334100!C172,input_334100!A:H,8,FALSE))</f>
        <v>31331</v>
      </c>
      <c r="P172" s="46">
        <f t="shared" ca="1" si="8"/>
        <v>1.2452702702702703E-2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input_334100!A$2</f>
        <v>334100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IFERROR(VLOOKUP(B173,input_334100!L:R,7,FALSE),VLOOKUP(tables_334100!C173,input_334100!A:H,8,FALSE))</f>
        <v>1649</v>
      </c>
      <c r="P173" s="46">
        <f t="shared" ca="1" si="8"/>
        <v>6.5540540540540539E-4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input_334100!A$2</f>
        <v>334100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IFERROR(VLOOKUP(B174,input_334100!L:R,7,FALSE),VLOOKUP(tables_334100!C174,input_334100!A:H,8,FALSE))</f>
        <v>2109</v>
      </c>
      <c r="P174" s="46">
        <f t="shared" ca="1" si="8"/>
        <v>8.3823529411764701E-4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input_334100!A$2</f>
        <v>334100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IFERROR(VLOOKUP(B175,input_334100!L:R,7,FALSE),VLOOKUP(tables_334100!C175,input_334100!A:H,8,FALSE))</f>
        <v>111</v>
      </c>
      <c r="P175" s="46">
        <f t="shared" ca="1" si="8"/>
        <v>4.4117647058823532E-5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input_334100!A$2</f>
        <v>334100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IFERROR(VLOOKUP(B176,input_334100!L:R,7,FALSE),VLOOKUP(tables_334100!C176,input_334100!A:H,8,FALSE))</f>
        <v>2109</v>
      </c>
      <c r="P176" s="46">
        <f t="shared" ca="1" si="8"/>
        <v>8.3823529411764701E-4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input_334100!A$2</f>
        <v>334100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IFERROR(VLOOKUP(B177,input_334100!L:R,7,FALSE),VLOOKUP(tables_334100!C177,input_334100!A:H,8,FALSE))</f>
        <v>111</v>
      </c>
      <c r="P177" s="46">
        <f t="shared" ca="1" si="8"/>
        <v>4.4117647058823532E-5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input_334100!A$2</f>
        <v>334100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IFERROR(VLOOKUP(B178,input_334100!L:R,7,FALSE),VLOOKUP(tables_334100!C178,input_334100!A:H,8,FALSE))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input_334100!A$2</f>
        <v>334100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IFERROR(VLOOKUP(B179,input_334100!L:R,7,FALSE),VLOOKUP(tables_334100!C179,input_334100!A:H,8,FALSE))</f>
        <v>31331</v>
      </c>
      <c r="P179" s="46">
        <f t="shared" ca="1" si="8"/>
        <v>1.2452702702702703E-2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input_334100!A$2</f>
        <v>334100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IFERROR(VLOOKUP(B180,input_334100!L:R,7,FALSE),VLOOKUP(tables_334100!C180,input_334100!A:H,8,FALSE))</f>
        <v>1649</v>
      </c>
      <c r="P180" s="46">
        <f t="shared" ca="1" si="8"/>
        <v>6.5540540540540539E-4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input_334100!A$2</f>
        <v>334100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IFERROR(VLOOKUP(B181,input_334100!L:R,7,FALSE),VLOOKUP(tables_334100!C181,input_334100!A:H,8,FALSE))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input_334100!A$2</f>
        <v>334100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IFERROR(VLOOKUP(B182,input_334100!L:R,7,FALSE),VLOOKUP(tables_334100!C182,input_334100!A:H,8,FALSE))</f>
        <v>31331</v>
      </c>
      <c r="P182" s="46">
        <f t="shared" ca="1" si="8"/>
        <v>1.2452702702702703E-2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input_334100!A$2</f>
        <v>334100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IFERROR(VLOOKUP(B183,input_334100!L:R,7,FALSE),VLOOKUP(tables_334100!C183,input_334100!A:H,8,FALSE))</f>
        <v>1649</v>
      </c>
      <c r="P183" s="46">
        <f t="shared" ca="1" si="8"/>
        <v>6.5540540540540539E-4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input_334100!A$2</f>
        <v>334100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IFERROR(VLOOKUP(B184,input_334100!L:R,7,FALSE),VLOOKUP(tables_334100!C184,input_334100!A:H,8,FALSE))</f>
        <v>2109</v>
      </c>
      <c r="P184" s="46">
        <f t="shared" ca="1" si="8"/>
        <v>8.3823529411764701E-4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input_334100!A$2</f>
        <v>334100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IFERROR(VLOOKUP(B185,input_334100!L:R,7,FALSE),VLOOKUP(tables_334100!C185,input_334100!A:H,8,FALSE))</f>
        <v>111</v>
      </c>
      <c r="P185" s="46">
        <f t="shared" ca="1" si="8"/>
        <v>4.4117647058823532E-5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input_334100!A$2</f>
        <v>334100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IFERROR(VLOOKUP(B186,input_334100!L:R,7,FALSE),VLOOKUP(tables_334100!C186,input_334100!A:H,8,FALSE))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input_334100!A$2</f>
        <v>334100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IFERROR(VLOOKUP(B187,input_334100!L:R,7,FALSE),VLOOKUP(tables_334100!C187,input_334100!A:H,8,FALSE))</f>
        <v>31331</v>
      </c>
      <c r="P187" s="46">
        <f t="shared" ca="1" si="8"/>
        <v>1.2452702702702703E-2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input_334100!A$2</f>
        <v>334100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IFERROR(VLOOKUP(B188,input_334100!L:R,7,FALSE),VLOOKUP(tables_334100!C188,input_334100!A:H,8,FALSE))</f>
        <v>1649</v>
      </c>
      <c r="P188" s="46">
        <f t="shared" ca="1" si="8"/>
        <v>6.5540540540540539E-4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input_334100!A$2</f>
        <v>334100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IFERROR(VLOOKUP(B189,input_334100!L:R,7,FALSE),VLOOKUP(tables_334100!C189,input_334100!A:H,8,FALSE))</f>
        <v>2109</v>
      </c>
      <c r="P189" s="46">
        <f t="shared" ca="1" si="8"/>
        <v>8.3823529411764701E-4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input_334100!A$2</f>
        <v>334100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IFERROR(VLOOKUP(B190,input_334100!L:R,7,FALSE),VLOOKUP(tables_334100!C190,input_334100!A:H,8,FALSE))</f>
        <v>111</v>
      </c>
      <c r="P190" s="46">
        <f t="shared" ca="1" si="8"/>
        <v>4.4117647058823532E-5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input_334100!A$2</f>
        <v>334100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IFERROR(VLOOKUP(B191,input_334100!L:R,7,FALSE),VLOOKUP(tables_334100!C191,input_334100!A:H,8,FALSE))</f>
        <v>2109</v>
      </c>
      <c r="P191" s="46">
        <f t="shared" ca="1" si="8"/>
        <v>8.3823529411764701E-4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input_334100!A$2</f>
        <v>334100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IFERROR(VLOOKUP(B192,input_334100!L:R,7,FALSE),VLOOKUP(tables_334100!C192,input_334100!A:H,8,FALSE))</f>
        <v>111</v>
      </c>
      <c r="P192" s="46">
        <f t="shared" ca="1" si="8"/>
        <v>4.4117647058823532E-5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input_334100!A$2</f>
        <v>334100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IFERROR(VLOOKUP(B193,input_334100!L:R,7,FALSE),VLOOKUP(tables_334100!C193,input_334100!A:H,8,FALSE))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input_334100!A$2</f>
        <v>334100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IFERROR(VLOOKUP(B194,input_334100!L:R,7,FALSE),VLOOKUP(tables_334100!C194,input_334100!A:H,8,FALSE))</f>
        <v>31331</v>
      </c>
      <c r="P194" s="46">
        <f t="shared" ca="1" si="8"/>
        <v>1.2452702702702703E-2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input_334100!A$2</f>
        <v>334100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IFERROR(VLOOKUP(B195,input_334100!L:R,7,FALSE),VLOOKUP(tables_334100!C195,input_334100!A:H,8,FALSE))</f>
        <v>1649</v>
      </c>
      <c r="P195" s="46">
        <f t="shared" ca="1" si="8"/>
        <v>6.5540540540540539E-4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input_334100!A$2</f>
        <v>334100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IFERROR(VLOOKUP(B196,input_334100!L:R,7,FALSE),VLOOKUP(tables_334100!C196,input_334100!A:H,8,FALSE))</f>
        <v>2109</v>
      </c>
      <c r="P196" s="46">
        <f t="shared" ca="1" si="8"/>
        <v>8.3823529411764701E-4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input_334100!A$2</f>
        <v>334100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IFERROR(VLOOKUP(B197,input_334100!L:R,7,FALSE),VLOOKUP(tables_334100!C197,input_334100!A:H,8,FALSE))</f>
        <v>111</v>
      </c>
      <c r="P197" s="46">
        <f t="shared" ca="1" si="8"/>
        <v>4.4117647058823532E-5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input_334100!A$2</f>
        <v>334100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IFERROR(VLOOKUP(B198,input_334100!L:R,7,FALSE),VLOOKUP(tables_334100!C198,input_334100!A:H,8,FALSE))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input_334100!A$2</f>
        <v>334100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IFERROR(VLOOKUP(B199,input_334100!L:R,7,FALSE),VLOOKUP(tables_334100!C199,input_334100!A:H,8,FALSE))</f>
        <v>31331</v>
      </c>
      <c r="P199" s="46">
        <f t="shared" ca="1" si="8"/>
        <v>1.2452702702702703E-2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input_334100!A$2</f>
        <v>334100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IFERROR(VLOOKUP(B200,input_334100!L:R,7,FALSE),VLOOKUP(tables_334100!C200,input_334100!A:H,8,FALSE))</f>
        <v>1649</v>
      </c>
      <c r="P200" s="46">
        <f t="shared" ca="1" si="8"/>
        <v>6.5540540540540539E-4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input_334100!A$2</f>
        <v>334100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IFERROR(VLOOKUP(B201,input_334100!L:R,7,FALSE),VLOOKUP(tables_334100!C201,input_334100!A:H,8,FALSE))</f>
        <v>2109</v>
      </c>
      <c r="P201" s="46">
        <f t="shared" ca="1" si="8"/>
        <v>8.3823529411764701E-4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input_334100!A$2</f>
        <v>334100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IFERROR(VLOOKUP(B202,input_334100!L:R,7,FALSE),VLOOKUP(tables_334100!C202,input_334100!A:H,8,FALSE))</f>
        <v>111</v>
      </c>
      <c r="P202" s="46">
        <f t="shared" ca="1" si="8"/>
        <v>4.4117647058823532E-5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input_334100!A$2</f>
        <v>334100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IFERROR(VLOOKUP(B203,input_334100!L:R,7,FALSE),VLOOKUP(tables_334100!C203,input_334100!A:H,8,FALSE))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input_334100!A$2</f>
        <v>334100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IFERROR(VLOOKUP(B204,input_334100!L:R,7,FALSE),VLOOKUP(tables_334100!C204,input_334100!A:H,8,FALSE))</f>
        <v>31331</v>
      </c>
      <c r="P204" s="46">
        <f t="shared" ca="1" si="8"/>
        <v>1.2452702702702703E-2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input_334100!A$2</f>
        <v>334100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IFERROR(VLOOKUP(B205,input_334100!L:R,7,FALSE),VLOOKUP(tables_334100!C205,input_334100!A:H,8,FALSE))</f>
        <v>1649</v>
      </c>
      <c r="P205" s="46">
        <f t="shared" ca="1" si="8"/>
        <v>6.5540540540540539E-4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input_334100!A$2</f>
        <v>334100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IFERROR(VLOOKUP(B206,input_334100!L:R,7,FALSE),VLOOKUP(tables_334100!C206,input_334100!A:H,8,FALSE))</f>
        <v>2109</v>
      </c>
      <c r="P206" s="46">
        <f t="shared" ca="1" si="8"/>
        <v>8.3823529411764701E-4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input_334100!A$2</f>
        <v>334100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IFERROR(VLOOKUP(B207,input_334100!L:R,7,FALSE),VLOOKUP(tables_334100!C207,input_334100!A:H,8,FALSE))</f>
        <v>111</v>
      </c>
      <c r="P207" s="46">
        <f t="shared" ref="P207:P270" ca="1" si="11">O207/SUM(O:O)</f>
        <v>4.4117647058823532E-5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input_334100!A$2</f>
        <v>334100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IFERROR(VLOOKUP(B208,input_334100!L:R,7,FALSE),VLOOKUP(tables_334100!C208,input_334100!A:H,8,FALSE))</f>
        <v>2109</v>
      </c>
      <c r="P208" s="46">
        <f t="shared" ca="1" si="11"/>
        <v>8.3823529411764701E-4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input_334100!A$2</f>
        <v>334100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IFERROR(VLOOKUP(B209,input_334100!L:R,7,FALSE),VLOOKUP(tables_334100!C209,input_334100!A:H,8,FALSE))</f>
        <v>111</v>
      </c>
      <c r="P209" s="46">
        <f t="shared" ca="1" si="11"/>
        <v>4.4117647058823532E-5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input_334100!A$2</f>
        <v>334100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IFERROR(VLOOKUP(B210,input_334100!L:R,7,FALSE),VLOOKUP(tables_334100!C210,input_334100!A:H,8,FALSE))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input_334100!A$2</f>
        <v>334100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IFERROR(VLOOKUP(B211,input_334100!L:R,7,FALSE),VLOOKUP(tables_334100!C211,input_334100!A:H,8,FALSE))</f>
        <v>31331</v>
      </c>
      <c r="P211" s="46">
        <f t="shared" ca="1" si="11"/>
        <v>1.2452702702702703E-2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input_334100!A$2</f>
        <v>334100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IFERROR(VLOOKUP(B212,input_334100!L:R,7,FALSE),VLOOKUP(tables_334100!C212,input_334100!A:H,8,FALSE))</f>
        <v>1649</v>
      </c>
      <c r="P212" s="46">
        <f t="shared" ca="1" si="11"/>
        <v>6.5540540540540539E-4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input_334100!A$2</f>
        <v>334100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IFERROR(VLOOKUP(B213,input_334100!L:R,7,FALSE),VLOOKUP(tables_334100!C213,input_334100!A:H,8,FALSE))</f>
        <v>2109</v>
      </c>
      <c r="P213" s="46">
        <f t="shared" ca="1" si="11"/>
        <v>8.3823529411764701E-4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input_334100!A$2</f>
        <v>334100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IFERROR(VLOOKUP(B214,input_334100!L:R,7,FALSE),VLOOKUP(tables_334100!C214,input_334100!A:H,8,FALSE))</f>
        <v>111</v>
      </c>
      <c r="P214" s="46">
        <f t="shared" ca="1" si="11"/>
        <v>4.4117647058823532E-5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input_334100!A$2</f>
        <v>334100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IFERROR(VLOOKUP(B215,input_334100!L:R,7,FALSE),VLOOKUP(tables_334100!C215,input_334100!A:H,8,FALSE))</f>
        <v>2109</v>
      </c>
      <c r="P215" s="46">
        <f t="shared" ca="1" si="11"/>
        <v>8.3823529411764701E-4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input_334100!A$2</f>
        <v>334100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IFERROR(VLOOKUP(B216,input_334100!L:R,7,FALSE),VLOOKUP(tables_334100!C216,input_334100!A:H,8,FALSE))</f>
        <v>111</v>
      </c>
      <c r="P216" s="46">
        <f t="shared" ca="1" si="11"/>
        <v>4.4117647058823532E-5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input_334100!A$2</f>
        <v>334100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IFERROR(VLOOKUP(B217,input_334100!L:R,7,FALSE),VLOOKUP(tables_334100!C217,input_334100!A:H,8,FALSE))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input_334100!A$2</f>
        <v>334100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IFERROR(VLOOKUP(B218,input_334100!L:R,7,FALSE),VLOOKUP(tables_334100!C218,input_334100!A:H,8,FALSE))</f>
        <v>31331</v>
      </c>
      <c r="P218" s="46">
        <f t="shared" ca="1" si="11"/>
        <v>1.2452702702702703E-2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input_334100!A$2</f>
        <v>334100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IFERROR(VLOOKUP(B219,input_334100!L:R,7,FALSE),VLOOKUP(tables_334100!C219,input_334100!A:H,8,FALSE))</f>
        <v>1649</v>
      </c>
      <c r="P219" s="46">
        <f t="shared" ca="1" si="11"/>
        <v>6.5540540540540539E-4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input_334100!A$2</f>
        <v>334100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IFERROR(VLOOKUP(B220,input_334100!L:R,7,FALSE),VLOOKUP(tables_334100!C220,input_334100!A:H,8,FALSE))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input_334100!A$2</f>
        <v>334100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IFERROR(VLOOKUP(B221,input_334100!L:R,7,FALSE),VLOOKUP(tables_334100!C221,input_334100!A:H,8,FALSE))</f>
        <v>31331</v>
      </c>
      <c r="P221" s="46">
        <f t="shared" ca="1" si="11"/>
        <v>1.2452702702702703E-2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input_334100!A$2</f>
        <v>334100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IFERROR(VLOOKUP(B222,input_334100!L:R,7,FALSE),VLOOKUP(tables_334100!C222,input_334100!A:H,8,FALSE))</f>
        <v>1649</v>
      </c>
      <c r="P222" s="46">
        <f t="shared" ca="1" si="11"/>
        <v>6.5540540540540539E-4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input_334100!A$2</f>
        <v>334100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IFERROR(VLOOKUP(B223,input_334100!L:R,7,FALSE),VLOOKUP(tables_334100!C223,input_334100!A:H,8,FALSE))</f>
        <v>2109</v>
      </c>
      <c r="P223" s="46">
        <f t="shared" ca="1" si="11"/>
        <v>8.3823529411764701E-4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input_334100!A$2</f>
        <v>334100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IFERROR(VLOOKUP(B224,input_334100!L:R,7,FALSE),VLOOKUP(tables_334100!C224,input_334100!A:H,8,FALSE))</f>
        <v>111</v>
      </c>
      <c r="P224" s="46">
        <f t="shared" ca="1" si="11"/>
        <v>4.4117647058823532E-5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input_334100!A$2</f>
        <v>334100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IFERROR(VLOOKUP(B225,input_334100!L:R,7,FALSE),VLOOKUP(tables_334100!C225,input_334100!A:H,8,FALSE))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input_334100!A$2</f>
        <v>334100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IFERROR(VLOOKUP(B226,input_334100!L:R,7,FALSE),VLOOKUP(tables_334100!C226,input_334100!A:H,8,FALSE))</f>
        <v>31331</v>
      </c>
      <c r="P226" s="46">
        <f t="shared" ca="1" si="11"/>
        <v>1.2452702702702703E-2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input_334100!A$2</f>
        <v>334100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IFERROR(VLOOKUP(B227,input_334100!L:R,7,FALSE),VLOOKUP(tables_334100!C227,input_334100!A:H,8,FALSE))</f>
        <v>1649</v>
      </c>
      <c r="P227" s="46">
        <f t="shared" ca="1" si="11"/>
        <v>6.5540540540540539E-4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input_334100!A$2</f>
        <v>334100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IFERROR(VLOOKUP(B228,input_334100!L:R,7,FALSE),VLOOKUP(tables_334100!C228,input_334100!A:H,8,FALSE))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input_334100!A$2</f>
        <v>334100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IFERROR(VLOOKUP(B229,input_334100!L:R,7,FALSE),VLOOKUP(tables_334100!C229,input_334100!A:H,8,FALSE))</f>
        <v>31331</v>
      </c>
      <c r="P229" s="46">
        <f t="shared" ca="1" si="11"/>
        <v>1.2452702702702703E-2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input_334100!A$2</f>
        <v>334100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IFERROR(VLOOKUP(B230,input_334100!L:R,7,FALSE),VLOOKUP(tables_334100!C230,input_334100!A:H,8,FALSE))</f>
        <v>1649</v>
      </c>
      <c r="P230" s="46">
        <f t="shared" ca="1" si="11"/>
        <v>6.5540540540540539E-4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input_334100!A$2</f>
        <v>334100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IFERROR(VLOOKUP(B231,input_334100!L:R,7,FALSE),VLOOKUP(tables_334100!C231,input_334100!A:H,8,FALSE))</f>
        <v>2109</v>
      </c>
      <c r="P231" s="46">
        <f t="shared" ca="1" si="11"/>
        <v>8.3823529411764701E-4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input_334100!A$2</f>
        <v>334100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IFERROR(VLOOKUP(B232,input_334100!L:R,7,FALSE),VLOOKUP(tables_334100!C232,input_334100!A:H,8,FALSE))</f>
        <v>111</v>
      </c>
      <c r="P232" s="46">
        <f t="shared" ca="1" si="11"/>
        <v>4.4117647058823532E-5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input_334100!A$2</f>
        <v>334100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IFERROR(VLOOKUP(B233,input_334100!L:R,7,FALSE),VLOOKUP(tables_334100!C233,input_334100!A:H,8,FALSE))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input_334100!A$2</f>
        <v>334100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IFERROR(VLOOKUP(B234,input_334100!L:R,7,FALSE),VLOOKUP(tables_334100!C234,input_334100!A:H,8,FALSE))</f>
        <v>31331</v>
      </c>
      <c r="P234" s="46">
        <f t="shared" ca="1" si="11"/>
        <v>1.2452702702702703E-2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input_334100!A$2</f>
        <v>334100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IFERROR(VLOOKUP(B235,input_334100!L:R,7,FALSE),VLOOKUP(tables_334100!C235,input_334100!A:H,8,FALSE))</f>
        <v>1649</v>
      </c>
      <c r="P235" s="46">
        <f t="shared" ca="1" si="11"/>
        <v>6.5540540540540539E-4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input_334100!A$2</f>
        <v>334100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IFERROR(VLOOKUP(B236,input_334100!L:R,7,FALSE),VLOOKUP(tables_334100!C236,input_334100!A:H,8,FALSE))</f>
        <v>2109</v>
      </c>
      <c r="P236" s="46">
        <f t="shared" ca="1" si="11"/>
        <v>8.3823529411764701E-4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input_334100!A$2</f>
        <v>334100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IFERROR(VLOOKUP(B237,input_334100!L:R,7,FALSE),VLOOKUP(tables_334100!C237,input_334100!A:H,8,FALSE))</f>
        <v>111</v>
      </c>
      <c r="P237" s="46">
        <f t="shared" ca="1" si="11"/>
        <v>4.4117647058823532E-5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input_334100!A$2</f>
        <v>334100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IFERROR(VLOOKUP(B238,input_334100!L:R,7,FALSE),VLOOKUP(tables_334100!C238,input_334100!A:H,8,FALSE))</f>
        <v>2109</v>
      </c>
      <c r="P238" s="46">
        <f t="shared" ca="1" si="11"/>
        <v>8.3823529411764701E-4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input_334100!A$2</f>
        <v>334100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IFERROR(VLOOKUP(B239,input_334100!L:R,7,FALSE),VLOOKUP(tables_334100!C239,input_334100!A:H,8,FALSE))</f>
        <v>111</v>
      </c>
      <c r="P239" s="46">
        <f t="shared" ca="1" si="11"/>
        <v>4.4117647058823532E-5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input_334100!A$2</f>
        <v>334100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IFERROR(VLOOKUP(B240,input_334100!L:R,7,FALSE),VLOOKUP(tables_334100!C240,input_334100!A:H,8,FALSE))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input_334100!A$2</f>
        <v>334100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IFERROR(VLOOKUP(B241,input_334100!L:R,7,FALSE),VLOOKUP(tables_334100!C241,input_334100!A:H,8,FALSE))</f>
        <v>31331</v>
      </c>
      <c r="P241" s="46">
        <f t="shared" ca="1" si="11"/>
        <v>1.2452702702702703E-2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input_334100!A$2</f>
        <v>334100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IFERROR(VLOOKUP(B242,input_334100!L:R,7,FALSE),VLOOKUP(tables_334100!C242,input_334100!A:H,8,FALSE))</f>
        <v>1649</v>
      </c>
      <c r="P242" s="46">
        <f t="shared" ca="1" si="11"/>
        <v>6.5540540540540539E-4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input_334100!A$2</f>
        <v>334100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IFERROR(VLOOKUP(B243,input_334100!L:R,7,FALSE),VLOOKUP(tables_334100!C243,input_334100!A:H,8,FALSE))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input_334100!A$2</f>
        <v>334100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IFERROR(VLOOKUP(B244,input_334100!L:R,7,FALSE),VLOOKUP(tables_334100!C244,input_334100!A:H,8,FALSE))</f>
        <v>31331</v>
      </c>
      <c r="P244" s="46">
        <f t="shared" ca="1" si="11"/>
        <v>1.2452702702702703E-2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input_334100!A$2</f>
        <v>334100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IFERROR(VLOOKUP(B245,input_334100!L:R,7,FALSE),VLOOKUP(tables_334100!C245,input_334100!A:H,8,FALSE))</f>
        <v>1649</v>
      </c>
      <c r="P245" s="46">
        <f t="shared" ca="1" si="11"/>
        <v>6.5540540540540539E-4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input_334100!A$2</f>
        <v>334100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IFERROR(VLOOKUP(B246,input_334100!L:R,7,FALSE),VLOOKUP(tables_334100!C246,input_334100!A:H,8,FALSE))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input_334100!A$2</f>
        <v>334100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IFERROR(VLOOKUP(B247,input_334100!L:R,7,FALSE),VLOOKUP(tables_334100!C247,input_334100!A:H,8,FALSE))</f>
        <v>31331</v>
      </c>
      <c r="P247" s="46">
        <f t="shared" ca="1" si="11"/>
        <v>1.2452702702702703E-2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input_334100!A$2</f>
        <v>334100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IFERROR(VLOOKUP(B248,input_334100!L:R,7,FALSE),VLOOKUP(tables_334100!C248,input_334100!A:H,8,FALSE))</f>
        <v>1649</v>
      </c>
      <c r="P248" s="46">
        <f t="shared" ca="1" si="11"/>
        <v>6.5540540540540539E-4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input_334100!A$2</f>
        <v>334100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IFERROR(VLOOKUP(B249,input_334100!L:R,7,FALSE),VLOOKUP(tables_334100!C249,input_334100!A:H,8,FALSE))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input_334100!A$2</f>
        <v>334100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IFERROR(VLOOKUP(B250,input_334100!L:R,7,FALSE),VLOOKUP(tables_334100!C250,input_334100!A:H,8,FALSE))</f>
        <v>31331</v>
      </c>
      <c r="P250" s="46">
        <f t="shared" ca="1" si="11"/>
        <v>1.2452702702702703E-2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input_334100!A$2</f>
        <v>334100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IFERROR(VLOOKUP(B251,input_334100!L:R,7,FALSE),VLOOKUP(tables_334100!C251,input_334100!A:H,8,FALSE))</f>
        <v>1649</v>
      </c>
      <c r="P251" s="46">
        <f t="shared" ca="1" si="11"/>
        <v>6.5540540540540539E-4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input_334100!A$2</f>
        <v>334100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IFERROR(VLOOKUP(B252,input_334100!L:R,7,FALSE),VLOOKUP(tables_334100!C252,input_334100!A:H,8,FALSE))</f>
        <v>2109</v>
      </c>
      <c r="P252" s="46">
        <f t="shared" ca="1" si="11"/>
        <v>8.3823529411764701E-4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input_334100!A$2</f>
        <v>334100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IFERROR(VLOOKUP(B253,input_334100!L:R,7,FALSE),VLOOKUP(tables_334100!C253,input_334100!A:H,8,FALSE))</f>
        <v>111</v>
      </c>
      <c r="P253" s="46">
        <f t="shared" ca="1" si="11"/>
        <v>4.4117647058823532E-5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input_334100!A$2</f>
        <v>334100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IFERROR(VLOOKUP(B254,input_334100!L:R,7,FALSE),VLOOKUP(tables_334100!C254,input_334100!A:H,8,FALSE))</f>
        <v>2109</v>
      </c>
      <c r="P254" s="46">
        <f t="shared" ca="1" si="11"/>
        <v>8.3823529411764701E-4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input_334100!A$2</f>
        <v>334100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IFERROR(VLOOKUP(B255,input_334100!L:R,7,FALSE),VLOOKUP(tables_334100!C255,input_334100!A:H,8,FALSE))</f>
        <v>111</v>
      </c>
      <c r="P255" s="46">
        <f t="shared" ca="1" si="11"/>
        <v>4.4117647058823532E-5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input_334100!A$2</f>
        <v>334100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IFERROR(VLOOKUP(B256,input_334100!L:R,7,FALSE),VLOOKUP(tables_334100!C256,input_334100!A:H,8,FALSE))</f>
        <v>16950</v>
      </c>
      <c r="P256" s="46">
        <f t="shared" ca="1" si="11"/>
        <v>6.7368839427662955E-3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input_334100!A$2</f>
        <v>334100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IFERROR(VLOOKUP(B257,input_334100!L:R,7,FALSE),VLOOKUP(tables_334100!C257,input_334100!A:H,8,FALSE))</f>
        <v>16030</v>
      </c>
      <c r="P257" s="46">
        <f t="shared" ca="1" si="11"/>
        <v>6.3712241653418123E-3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input_334100!A$2</f>
        <v>334100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IFERROR(VLOOKUP(B258,input_334100!L:R,7,FALSE),VLOOKUP(tables_334100!C258,input_334100!A:H,8,FALSE))</f>
        <v>16950</v>
      </c>
      <c r="P258" s="46">
        <f t="shared" ca="1" si="11"/>
        <v>6.7368839427662955E-3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input_334100!A$2</f>
        <v>334100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IFERROR(VLOOKUP(B259,input_334100!L:R,7,FALSE),VLOOKUP(tables_334100!C259,input_334100!A:H,8,FALSE))</f>
        <v>16030</v>
      </c>
      <c r="P259" s="46">
        <f t="shared" ca="1" si="11"/>
        <v>6.3712241653418123E-3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input_334100!A$2</f>
        <v>334100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IFERROR(VLOOKUP(B260,input_334100!L:R,7,FALSE),VLOOKUP(tables_334100!C260,input_334100!A:H,8,FALSE))</f>
        <v>2220</v>
      </c>
      <c r="P260" s="46">
        <f t="shared" ca="1" si="11"/>
        <v>8.8235294117647062E-4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input_334100!A$2</f>
        <v>334100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IFERROR(VLOOKUP(B261,input_334100!L:R,7,FALSE),VLOOKUP(tables_334100!C261,input_334100!A:H,8,FALSE))</f>
        <v>2220</v>
      </c>
      <c r="P261" s="46">
        <f t="shared" ca="1" si="11"/>
        <v>8.8235294117647062E-4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input_334100!A$2</f>
        <v>334100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IFERROR(VLOOKUP(B262,input_334100!L:R,7,FALSE),VLOOKUP(tables_334100!C262,input_334100!A:H,8,FALSE))</f>
        <v>2109</v>
      </c>
      <c r="P262" s="46">
        <f t="shared" ca="1" si="11"/>
        <v>8.3823529411764701E-4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input_334100!A$2</f>
        <v>334100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IFERROR(VLOOKUP(B263,input_334100!L:R,7,FALSE),VLOOKUP(tables_334100!C263,input_334100!A:H,8,FALSE))</f>
        <v>111</v>
      </c>
      <c r="P263" s="46">
        <f t="shared" ca="1" si="11"/>
        <v>4.4117647058823532E-5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input_334100!A$2</f>
        <v>334100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IFERROR(VLOOKUP(B264,input_334100!L:R,7,FALSE),VLOOKUP(tables_334100!C264,input_334100!A:H,8,FALSE))</f>
        <v>2109</v>
      </c>
      <c r="P264" s="46">
        <f t="shared" ca="1" si="11"/>
        <v>8.3823529411764701E-4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input_334100!A$2</f>
        <v>334100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IFERROR(VLOOKUP(B265,input_334100!L:R,7,FALSE),VLOOKUP(tables_334100!C265,input_334100!A:H,8,FALSE))</f>
        <v>111</v>
      </c>
      <c r="P265" s="46">
        <f t="shared" ca="1" si="11"/>
        <v>4.4117647058823532E-5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input_334100!A$2</f>
        <v>334100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IFERROR(VLOOKUP(B266,input_334100!L:R,7,FALSE),VLOOKUP(tables_334100!C266,input_334100!A:H,8,FALSE))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input_334100!A$2</f>
        <v>334100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IFERROR(VLOOKUP(B267,input_334100!L:R,7,FALSE),VLOOKUP(tables_334100!C267,input_334100!A:H,8,FALSE))</f>
        <v>31331</v>
      </c>
      <c r="P267" s="46">
        <f t="shared" ca="1" si="11"/>
        <v>1.2452702702702703E-2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input_334100!A$2</f>
        <v>334100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IFERROR(VLOOKUP(B268,input_334100!L:R,7,FALSE),VLOOKUP(tables_334100!C268,input_334100!A:H,8,FALSE))</f>
        <v>1649</v>
      </c>
      <c r="P268" s="46">
        <f t="shared" ca="1" si="11"/>
        <v>6.5540540540540539E-4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input_334100!A$2</f>
        <v>334100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IFERROR(VLOOKUP(B269,input_334100!L:R,7,FALSE),VLOOKUP(tables_334100!C269,input_334100!A:H,8,FALSE))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input_334100!A$2</f>
        <v>334100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IFERROR(VLOOKUP(B270,input_334100!L:R,7,FALSE),VLOOKUP(tables_334100!C270,input_334100!A:H,8,FALSE))</f>
        <v>31331</v>
      </c>
      <c r="P270" s="46">
        <f t="shared" ca="1" si="11"/>
        <v>1.2452702702702703E-2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input_334100!A$2</f>
        <v>334100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IFERROR(VLOOKUP(B271,input_334100!L:R,7,FALSE),VLOOKUP(tables_334100!C271,input_334100!A:H,8,FALSE))</f>
        <v>1649</v>
      </c>
      <c r="P271" s="46">
        <f t="shared" ref="P271" ca="1" si="14">O271/SUM(O:O)</f>
        <v>6.5540540540540539E-4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</sheetData>
  <sortState ref="A2:Y189">
    <sortCondition ref="A2:A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tabSelected="1" workbookViewId="0">
      <pane ySplit="1" topLeftCell="A2" activePane="bottomLeft" state="frozen"/>
      <selection activeCell="M24" sqref="M24"/>
      <selection pane="bottomLeft" activeCell="K12" sqref="K1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">
        <v>334101</v>
      </c>
      <c r="B2" s="82">
        <v>32401</v>
      </c>
      <c r="C2" s="82" t="s">
        <v>222</v>
      </c>
      <c r="D2" s="82">
        <v>837</v>
      </c>
      <c r="E2" s="82">
        <v>1</v>
      </c>
      <c r="F2" s="82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2" t="s">
        <v>223</v>
      </c>
      <c r="O2" s="82" t="s">
        <v>224</v>
      </c>
      <c r="P2" s="82" t="s">
        <v>226</v>
      </c>
      <c r="Q2" s="83" t="s">
        <v>227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2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2">
        <v>169</v>
      </c>
      <c r="B6" s="37" t="str">
        <f>VLOOKUP(A6,[1]characters!$A:$C,3,FALSE)</f>
        <v>オセ</v>
      </c>
    </row>
    <row r="7" spans="1:2" x14ac:dyDescent="0.15">
      <c r="A7" s="32">
        <v>170</v>
      </c>
      <c r="B7" s="37" t="str">
        <f>VLOOKUP(A7,[1]characters!$A:$C,3,FALSE)</f>
        <v>識徒 オセ</v>
      </c>
    </row>
    <row r="8" spans="1:2" x14ac:dyDescent="0.15">
      <c r="A8" s="32">
        <v>171</v>
      </c>
      <c r="B8" s="37" t="str">
        <f>VLOOKUP(A8,[1]characters!$A:$C,3,FALSE)</f>
        <v>精解の預知者 オセ</v>
      </c>
    </row>
    <row r="9" spans="1:2" x14ac:dyDescent="0.15">
      <c r="A9" s="32">
        <v>172</v>
      </c>
      <c r="B9" s="37" t="str">
        <f>VLOOKUP(A9,[1]characters!$A:$C,3,FALSE)</f>
        <v>フォルネウス</v>
      </c>
    </row>
    <row r="10" spans="1:2" x14ac:dyDescent="0.15">
      <c r="A10" s="32">
        <v>173</v>
      </c>
      <c r="B10" s="37" t="str">
        <f>VLOOKUP(A10,[1]characters!$A:$C,3,FALSE)</f>
        <v>公爵 フォルネウス</v>
      </c>
    </row>
    <row r="11" spans="1:2" x14ac:dyDescent="0.15">
      <c r="A11" s="32">
        <v>174</v>
      </c>
      <c r="B11" s="37" t="str">
        <f>VLOOKUP(A11,[1]characters!$A:$C,3,FALSE)</f>
        <v>偽愛の大公爵 フォルネウス</v>
      </c>
    </row>
    <row r="12" spans="1:2" x14ac:dyDescent="0.15">
      <c r="A12" s="32">
        <v>235</v>
      </c>
      <c r="B12" s="37" t="str">
        <f>VLOOKUP(A12,[1]characters!$A:$C,3,FALSE)</f>
        <v>イザナミ</v>
      </c>
    </row>
    <row r="13" spans="1:2" x14ac:dyDescent="0.15">
      <c r="A13" s="32">
        <v>236</v>
      </c>
      <c r="B13" s="37" t="str">
        <f>VLOOKUP(A13,[1]characters!$A:$C,3,FALSE)</f>
        <v>神産 イザナミ</v>
      </c>
    </row>
    <row r="14" spans="1:2" x14ac:dyDescent="0.15">
      <c r="A14" s="32">
        <v>237</v>
      </c>
      <c r="B14" s="37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input_334100</vt:lpstr>
      <vt:lpstr>tables_334100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2016-05-02T15:04:10Z</dcterms:modified>
</cp:coreProperties>
</file>