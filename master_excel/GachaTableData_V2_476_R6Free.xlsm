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firstSheet="1" activeTab="2"/>
  </bookViews>
  <sheets>
    <sheet name="確率の考え方" sheetId="110" r:id="rId1"/>
    <sheet name="Sheet1" sheetId="107" r:id="rId2"/>
    <sheet name="output" sheetId="103" r:id="rId3"/>
    <sheet name="input_476010" sheetId="157" r:id="rId4"/>
    <sheet name="tables_476010" sheetId="158" r:id="rId5"/>
    <sheet name="gacha_bonus_tables" sheetId="98" r:id="rId6"/>
    <sheet name="R6追加前" sheetId="111" r:id="rId7"/>
    <sheet name="R6開放" sheetId="112" r:id="rId8"/>
  </sheets>
  <externalReferences>
    <externalReference r:id="rId9"/>
  </externalReferences>
  <definedNames>
    <definedName name="_xlnm._FilterDatabase" localSheetId="5" hidden="1">gacha_bonus_tables!$A$1:$F$1</definedName>
    <definedName name="_xlnm._FilterDatabase" localSheetId="4" hidden="1">tables_476010!$A$1:$V$294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36" i="158" l="1"/>
  <c r="D336" i="158"/>
  <c r="J336" i="158"/>
  <c r="E336" i="158"/>
  <c r="F336" i="158"/>
  <c r="C336" i="158"/>
  <c r="H336" i="158"/>
  <c r="K336" i="158"/>
  <c r="L336" i="158"/>
  <c r="M336" i="158"/>
  <c r="N336" i="158"/>
  <c r="A2" i="157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F5" i="157"/>
  <c r="F6" i="157"/>
  <c r="A3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2" i="157"/>
  <c r="E23" i="157"/>
  <c r="B23" i="157"/>
  <c r="B22" i="157"/>
  <c r="G22" i="157"/>
  <c r="H22" i="157"/>
  <c r="O336" i="158"/>
  <c r="E19" i="157"/>
  <c r="B19" i="157"/>
  <c r="E24" i="157"/>
  <c r="B24" i="157"/>
  <c r="B17" i="157"/>
  <c r="G17" i="157"/>
  <c r="E17" i="157"/>
  <c r="H17" i="157"/>
  <c r="O2" i="158"/>
  <c r="E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G20" i="157"/>
  <c r="H20" i="157"/>
  <c r="O52" i="158"/>
  <c r="E5" i="157"/>
  <c r="E28" i="157"/>
  <c r="B28" i="157"/>
  <c r="E29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2" i="158"/>
  <c r="O143" i="158"/>
  <c r="O144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6" i="158"/>
  <c r="O177" i="158"/>
  <c r="O178" i="158"/>
  <c r="O179" i="158"/>
  <c r="O180" i="158"/>
  <c r="O181" i="158"/>
  <c r="O182" i="158"/>
  <c r="O183" i="158"/>
  <c r="O184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7" i="158"/>
  <c r="O338" i="158"/>
  <c r="O339" i="158"/>
  <c r="O340" i="158"/>
  <c r="P336" i="158"/>
  <c r="H337" i="158"/>
  <c r="K337" i="158"/>
  <c r="L337" i="158"/>
  <c r="M337" i="158"/>
  <c r="N337" i="158"/>
  <c r="P337" i="158"/>
  <c r="H338" i="158"/>
  <c r="K338" i="158"/>
  <c r="L338" i="158"/>
  <c r="M338" i="158"/>
  <c r="N338" i="158"/>
  <c r="P338" i="158"/>
  <c r="H339" i="158"/>
  <c r="K339" i="158"/>
  <c r="L339" i="158"/>
  <c r="M339" i="158"/>
  <c r="N339" i="158"/>
  <c r="P339" i="158"/>
  <c r="H340" i="158"/>
  <c r="K340" i="158"/>
  <c r="L340" i="158"/>
  <c r="M340" i="158"/>
  <c r="N340" i="158"/>
  <c r="P340" i="158"/>
  <c r="A336" i="158"/>
  <c r="A337" i="158"/>
  <c r="A338" i="158"/>
  <c r="A339" i="158"/>
  <c r="A340" i="158"/>
  <c r="F41" i="157"/>
  <c r="G41" i="157"/>
  <c r="F34" i="157"/>
  <c r="R3" i="157"/>
  <c r="R4" i="157"/>
  <c r="R5" i="157"/>
  <c r="R6" i="157"/>
  <c r="R7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331" i="158"/>
  <c r="H331" i="158"/>
  <c r="K331" i="158"/>
  <c r="L331" i="158"/>
  <c r="M331" i="158"/>
  <c r="N331" i="158"/>
  <c r="F332" i="158"/>
  <c r="F333" i="158"/>
  <c r="F334" i="158"/>
  <c r="F335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F325" i="158"/>
  <c r="H325" i="158"/>
  <c r="K325" i="158"/>
  <c r="L325" i="158"/>
  <c r="M325" i="158"/>
  <c r="N325" i="158"/>
  <c r="F326" i="158"/>
  <c r="F327" i="158"/>
  <c r="F328" i="158"/>
  <c r="F329" i="158"/>
  <c r="F330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C5" i="103"/>
  <c r="E5" i="103"/>
  <c r="C6" i="103"/>
  <c r="E6" i="103"/>
  <c r="C2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<sst xmlns="http://schemas.openxmlformats.org/spreadsheetml/2006/main" count="399" uniqueCount="255">
  <si>
    <t>character_id</t>
  </si>
  <si>
    <t>character_id</t>
    <phoneticPr fontId="24"/>
  </si>
  <si>
    <t>weight</t>
    <phoneticPr fontId="24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</si>
  <si>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</si>
  <si>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</si>
  <si>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</si>
  <si>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</si>
  <si>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</si>
  <si>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</si>
  <si>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</si>
  <si>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4"/>
  </si>
  <si>
    <t>bonus_table_no</t>
    <phoneticPr fontId="24"/>
  </si>
  <si>
    <t>weight</t>
    <phoneticPr fontId="24"/>
  </si>
  <si>
    <t>gift_id</t>
    <phoneticPr fontId="24"/>
  </si>
  <si>
    <t>gift_id</t>
    <phoneticPr fontId="24"/>
  </si>
  <si>
    <t>gift_type</t>
    <phoneticPr fontId="24"/>
  </si>
  <si>
    <t>gift_value</t>
    <phoneticPr fontId="24"/>
  </si>
  <si>
    <t>gift_count</t>
    <phoneticPr fontId="24"/>
  </si>
  <si>
    <t>language</t>
    <phoneticPr fontId="24"/>
  </si>
  <si>
    <t>title</t>
    <phoneticPr fontId="24"/>
  </si>
  <si>
    <t>detail</t>
    <phoneticPr fontId="24"/>
  </si>
  <si>
    <t>message</t>
    <phoneticPr fontId="24"/>
  </si>
  <si>
    <t>gift_id</t>
    <phoneticPr fontId="24"/>
  </si>
  <si>
    <t>gift_value</t>
    <phoneticPr fontId="24"/>
  </si>
  <si>
    <t>gift_value</t>
    <phoneticPr fontId="24"/>
  </si>
  <si>
    <t>gift_count</t>
    <phoneticPr fontId="24"/>
  </si>
  <si>
    <t>language</t>
    <phoneticPr fontId="24"/>
  </si>
  <si>
    <t>title</t>
    <phoneticPr fontId="24"/>
  </si>
  <si>
    <t>detail</t>
    <phoneticPr fontId="24"/>
  </si>
  <si>
    <t>message</t>
    <phoneticPr fontId="24"/>
  </si>
  <si>
    <t>gift_type</t>
    <phoneticPr fontId="24"/>
  </si>
  <si>
    <t>備考</t>
    <rPh sb="0" eb="2">
      <t>ビコウ</t>
    </rPh>
    <phoneticPr fontId="24"/>
  </si>
  <si>
    <t>character_id</t>
    <phoneticPr fontId="24"/>
  </si>
  <si>
    <t>name</t>
    <phoneticPr fontId="24"/>
  </si>
  <si>
    <t>drop_label</t>
    <phoneticPr fontId="24"/>
  </si>
  <si>
    <t>rare</t>
    <phoneticPr fontId="24"/>
  </si>
  <si>
    <t>character_type_id</t>
    <phoneticPr fontId="24"/>
  </si>
  <si>
    <t>character_tribe_id</t>
    <phoneticPr fontId="24"/>
  </si>
  <si>
    <t>unit_level</t>
    <phoneticPr fontId="24"/>
  </si>
  <si>
    <t>接頭語</t>
    <rPh sb="0" eb="3">
      <t>セットウゴ</t>
    </rPh>
    <phoneticPr fontId="57"/>
  </si>
  <si>
    <t>識別子</t>
    <rPh sb="0" eb="3">
      <t>シキベツシ</t>
    </rPh>
    <phoneticPr fontId="57"/>
  </si>
  <si>
    <t>形式</t>
    <rPh sb="0" eb="2">
      <t>ケイシキ</t>
    </rPh>
    <phoneticPr fontId="57"/>
  </si>
  <si>
    <t>出力ファイル名</t>
    <rPh sb="0" eb="2">
      <t>シュツリョク</t>
    </rPh>
    <rPh sb="6" eb="7">
      <t>メイ</t>
    </rPh>
    <phoneticPr fontId="57"/>
  </si>
  <si>
    <t>入力シート名</t>
    <rPh sb="0" eb="2">
      <t>ニュウリョク</t>
    </rPh>
    <rPh sb="5" eb="6">
      <t>メイ</t>
    </rPh>
    <phoneticPr fontId="57"/>
  </si>
  <si>
    <t>出力データ</t>
    <rPh sb="0" eb="2">
      <t>シュツリョク</t>
    </rPh>
    <phoneticPr fontId="57"/>
  </si>
  <si>
    <t>.tmp</t>
    <phoneticPr fontId="57"/>
  </si>
  <si>
    <t>.tmp</t>
    <phoneticPr fontId="57"/>
  </si>
  <si>
    <t>gacha_bonus_tables</t>
    <phoneticPr fontId="57"/>
  </si>
  <si>
    <t>gifts_tmp_</t>
    <phoneticPr fontId="24"/>
  </si>
  <si>
    <t>gifts_i18n_</t>
    <phoneticPr fontId="24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</si>
  <si>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4"/>
  </si>
  <si>
    <t>出力flg</t>
    <rPh sb="0" eb="2">
      <t>シュツリョク</t>
    </rPh>
    <phoneticPr fontId="57"/>
  </si>
  <si>
    <t>color</t>
    <phoneticPr fontId="24"/>
  </si>
  <si>
    <t>レアリティ別確率</t>
    <rPh sb="5" eb="6">
      <t>ベツ</t>
    </rPh>
    <rPh sb="6" eb="8">
      <t>カクリツ</t>
    </rPh>
    <phoneticPr fontId="24"/>
  </si>
  <si>
    <t>ラベル別確率</t>
    <rPh sb="3" eb="4">
      <t>ベツ</t>
    </rPh>
    <rPh sb="4" eb="6">
      <t>カクリツ</t>
    </rPh>
    <phoneticPr fontId="24"/>
  </si>
  <si>
    <t>SSS</t>
    <phoneticPr fontId="24"/>
  </si>
  <si>
    <t>SS</t>
    <phoneticPr fontId="24"/>
  </si>
  <si>
    <t>ラベル*レアリティ標準確率</t>
    <rPh sb="9" eb="11">
      <t>ヒョウジュン</t>
    </rPh>
    <rPh sb="11" eb="13">
      <t>カクリツ</t>
    </rPh>
    <phoneticPr fontId="24"/>
  </si>
  <si>
    <t>性別</t>
    <rPh sb="0" eb="2">
      <t>セイベツ</t>
    </rPh>
    <phoneticPr fontId="24"/>
  </si>
  <si>
    <t>合計</t>
    <rPh sb="0" eb="2">
      <t>ゴウケイ</t>
    </rPh>
    <phoneticPr fontId="24"/>
  </si>
  <si>
    <t>グループ</t>
    <phoneticPr fontId="24"/>
  </si>
  <si>
    <t>ピックアップ確率</t>
    <rPh sb="6" eb="8">
      <t>カクリツ</t>
    </rPh>
    <phoneticPr fontId="24"/>
  </si>
  <si>
    <t>残り確率</t>
    <rPh sb="0" eb="1">
      <t>ノコ</t>
    </rPh>
    <rPh sb="2" eb="4">
      <t>カクリツ</t>
    </rPh>
    <phoneticPr fontId="24"/>
  </si>
  <si>
    <t>確率</t>
    <rPh sb="0" eb="2">
      <t>カクリツ</t>
    </rPh>
    <phoneticPr fontId="24"/>
  </si>
  <si>
    <t>所属グループ</t>
    <rPh sb="0" eb="2">
      <t>ショゾク</t>
    </rPh>
    <phoneticPr fontId="24"/>
  </si>
  <si>
    <t>名前</t>
    <rPh sb="0" eb="2">
      <t>ナマエ</t>
    </rPh>
    <phoneticPr fontId="24"/>
  </si>
  <si>
    <t>レアリティ</t>
    <phoneticPr fontId="24"/>
  </si>
  <si>
    <t>ラベル</t>
    <phoneticPr fontId="24"/>
  </si>
  <si>
    <t>R3</t>
    <phoneticPr fontId="24"/>
  </si>
  <si>
    <t>R4</t>
    <phoneticPr fontId="24"/>
  </si>
  <si>
    <t>R5</t>
    <phoneticPr fontId="24"/>
  </si>
  <si>
    <t>個別確率</t>
    <rPh sb="0" eb="4">
      <t>コベツカクリツ</t>
    </rPh>
    <phoneticPr fontId="24"/>
  </si>
  <si>
    <t>該当数(ピックアップ除く)</t>
    <rPh sb="0" eb="2">
      <t>ガイトウ</t>
    </rPh>
    <rPh sb="2" eb="3">
      <t>スウ</t>
    </rPh>
    <rPh sb="10" eb="11">
      <t>ノゾ</t>
    </rPh>
    <phoneticPr fontId="24"/>
  </si>
  <si>
    <t>個別weight</t>
    <rPh sb="0" eb="2">
      <t>コベツ</t>
    </rPh>
    <phoneticPr fontId="24"/>
  </si>
  <si>
    <t>グループweight</t>
    <phoneticPr fontId="24"/>
  </si>
  <si>
    <t>端数</t>
    <rPh sb="0" eb="2">
      <t>ハスウ</t>
    </rPh>
    <phoneticPr fontId="24"/>
  </si>
  <si>
    <t>--検算用--</t>
    <rPh sb="3" eb="6">
      <t>ケンザンヨウ</t>
    </rPh>
    <phoneticPr fontId="24"/>
  </si>
  <si>
    <t>端数逆数</t>
    <rPh sb="0" eb="2">
      <t>ハスウ</t>
    </rPh>
    <rPh sb="2" eb="4">
      <t>ギャクスウ</t>
    </rPh>
    <phoneticPr fontId="24"/>
  </si>
  <si>
    <t>テーブルを増やしたい場合</t>
    <rPh sb="5" eb="6">
      <t>フ</t>
    </rPh>
    <rPh sb="10" eb="12">
      <t>バアイ</t>
    </rPh>
    <phoneticPr fontId="24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</si>
  <si>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4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</si>
  <si>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4"/>
  </si>
  <si>
    <t>３．outputシートで２で作ったtablesを指定する</t>
    <rPh sb="14" eb="15">
      <t>ツク</t>
    </rPh>
    <rPh sb="24" eb="26">
      <t>シテイ</t>
    </rPh>
    <phoneticPr fontId="24"/>
  </si>
  <si>
    <t>テーブルid</t>
    <phoneticPr fontId="24"/>
  </si>
  <si>
    <t>→ピックアップの確率は右のほうにいます</t>
    <rPh sb="8" eb="10">
      <t>カクリツ</t>
    </rPh>
    <rPh sb="11" eb="12">
      <t>ミギ</t>
    </rPh>
    <phoneticPr fontId="24"/>
  </si>
  <si>
    <t>table_no</t>
    <phoneticPr fontId="24"/>
  </si>
  <si>
    <t>table_no</t>
    <phoneticPr fontId="24"/>
  </si>
  <si>
    <t>skill_level</t>
  </si>
  <si>
    <t>level</t>
  </si>
  <si>
    <t>hp_plus</t>
    <phoneticPr fontId="57"/>
  </si>
  <si>
    <t>attack_plus</t>
    <phoneticPr fontId="57"/>
  </si>
  <si>
    <t>heal_plus</t>
    <phoneticPr fontId="57"/>
  </si>
  <si>
    <t>defense_plus</t>
    <phoneticPr fontId="57"/>
  </si>
  <si>
    <t>level</t>
    <phoneticPr fontId="57"/>
  </si>
  <si>
    <t>skill_level</t>
    <phoneticPr fontId="57"/>
  </si>
  <si>
    <t>bug</t>
    <phoneticPr fontId="57"/>
  </si>
  <si>
    <t>drop_label2</t>
    <phoneticPr fontId="24"/>
  </si>
  <si>
    <t>Premium</t>
    <phoneticPr fontId="24"/>
  </si>
  <si>
    <t>Premium3</t>
    <phoneticPr fontId="24"/>
  </si>
  <si>
    <t>Premium4</t>
    <phoneticPr fontId="24"/>
  </si>
  <si>
    <t>Premium5</t>
    <phoneticPr fontId="24"/>
  </si>
  <si>
    <t>グループ確率</t>
    <rPh sb="4" eb="6">
      <t>カクリツ</t>
    </rPh>
    <phoneticPr fontId="24"/>
  </si>
  <si>
    <t>レア度別確率</t>
    <rPh sb="2" eb="4">
      <t>ドベツ</t>
    </rPh>
    <rPh sb="4" eb="6">
      <t>カクリツ</t>
    </rPh>
    <phoneticPr fontId="24"/>
  </si>
  <si>
    <t>color2</t>
    <phoneticPr fontId="24"/>
  </si>
  <si>
    <t>Premium3</t>
  </si>
  <si>
    <t>Premium4</t>
  </si>
  <si>
    <t>Premium5</t>
  </si>
  <si>
    <t>PremiumSS4</t>
    <phoneticPr fontId="24"/>
  </si>
  <si>
    <t>PremiumSS5</t>
    <phoneticPr fontId="24"/>
  </si>
  <si>
    <t>PremiumSSS5</t>
    <phoneticPr fontId="24"/>
  </si>
  <si>
    <t>PremiumSSS4</t>
    <phoneticPr fontId="24"/>
  </si>
  <si>
    <t>gacha_select_tables_</t>
    <phoneticPr fontId="24"/>
  </si>
  <si>
    <t>ラベル確率で考えましょう</t>
    <rPh sb="6" eb="7">
      <t>カンガエマショウ</t>
    </rPh>
    <phoneticPr fontId="57"/>
  </si>
  <si>
    <t>ラベル</t>
    <phoneticPr fontId="57"/>
  </si>
  <si>
    <t>レアリティ</t>
    <phoneticPr fontId="57"/>
  </si>
  <si>
    <t>{W}</t>
    <phoneticPr fontId="57"/>
  </si>
  <si>
    <t>{N,S}</t>
    <phoneticPr fontId="57"/>
  </si>
  <si>
    <t>{N,S}R3less</t>
    <phoneticPr fontId="57"/>
  </si>
  <si>
    <t>{N,S}R6release</t>
    <phoneticPr fontId="57"/>
  </si>
  <si>
    <t>{SS}</t>
    <phoneticPr fontId="57"/>
  </si>
  <si>
    <t>{SS}R6only</t>
    <phoneticPr fontId="57"/>
  </si>
  <si>
    <t>小計</t>
    <rPh sb="0" eb="2">
      <t>ショウケイ</t>
    </rPh>
    <phoneticPr fontId="57"/>
  </si>
  <si>
    <t>A</t>
    <phoneticPr fontId="57"/>
  </si>
  <si>
    <t>C</t>
    <phoneticPr fontId="57"/>
  </si>
  <si>
    <t>H</t>
    <phoneticPr fontId="57"/>
  </si>
  <si>
    <t>B</t>
    <phoneticPr fontId="57"/>
  </si>
  <si>
    <t>D</t>
    <phoneticPr fontId="57"/>
  </si>
  <si>
    <t>F</t>
    <phoneticPr fontId="57"/>
  </si>
  <si>
    <t>I</t>
    <phoneticPr fontId="57"/>
  </si>
  <si>
    <t>K</t>
    <phoneticPr fontId="57"/>
  </si>
  <si>
    <t>E</t>
    <phoneticPr fontId="57"/>
  </si>
  <si>
    <t>G</t>
    <phoneticPr fontId="57"/>
  </si>
  <si>
    <t>J</t>
    <phoneticPr fontId="57"/>
  </si>
  <si>
    <t>L</t>
    <phoneticPr fontId="57"/>
  </si>
  <si>
    <t>M</t>
    <phoneticPr fontId="57"/>
  </si>
  <si>
    <t>→</t>
    <phoneticPr fontId="57"/>
  </si>
  <si>
    <t>1-SS率</t>
    <rPh sb="4" eb="5">
      <t>リツ</t>
    </rPh>
    <phoneticPr fontId="57"/>
  </si>
  <si>
    <t>SS率</t>
    <rPh sb="2" eb="3">
      <t>リツ</t>
    </rPh>
    <phoneticPr fontId="57"/>
  </si>
  <si>
    <t>考え方を変える</t>
    <rPh sb="0" eb="1">
      <t>カンガエカタ</t>
    </rPh>
    <rPh sb="4" eb="5">
      <t>カエル</t>
    </rPh>
    <phoneticPr fontId="57"/>
  </si>
  <si>
    <t>SS4%は確定事項</t>
    <rPh sb="5" eb="7">
      <t>カクテイ</t>
    </rPh>
    <rPh sb="7" eb="9">
      <t>ジコウ</t>
    </rPh>
    <phoneticPr fontId="57"/>
  </si>
  <si>
    <t>当たりは分配</t>
    <rPh sb="0" eb="1">
      <t>アタリ</t>
    </rPh>
    <rPh sb="4" eb="6">
      <t>ブンパイ</t>
    </rPh>
    <phoneticPr fontId="57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</si>
  <si>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7"/>
  </si>
  <si>
    <t>=</t>
    <phoneticPr fontId="57"/>
  </si>
  <si>
    <t>X*{SS R5only}</t>
    <phoneticPr fontId="57"/>
  </si>
  <si>
    <t>K</t>
    <phoneticPr fontId="57"/>
  </si>
  <si>
    <t>=</t>
    <phoneticPr fontId="57"/>
  </si>
  <si>
    <t>X*{SS}*(R3率+R4率)</t>
    <rPh sb="10" eb="11">
      <t>リツ</t>
    </rPh>
    <rPh sb="14" eb="15">
      <t>リツ</t>
    </rPh>
    <phoneticPr fontId="57"/>
  </si>
  <si>
    <t>L</t>
    <phoneticPr fontId="57"/>
  </si>
  <si>
    <t>X*{SS}*R5率</t>
    <rPh sb="9" eb="10">
      <t>リツ</t>
    </rPh>
    <phoneticPr fontId="57"/>
  </si>
  <si>
    <t>X*{R6release}*R3率</t>
    <rPh sb="16" eb="17">
      <t>リツ</t>
    </rPh>
    <phoneticPr fontId="57"/>
  </si>
  <si>
    <t>X*{R6release}*R4率</t>
    <rPh sb="16" eb="17">
      <t>リツ</t>
    </rPh>
    <phoneticPr fontId="57"/>
  </si>
  <si>
    <t>J</t>
    <phoneticPr fontId="57"/>
  </si>
  <si>
    <t>X*{R6release}*R5率</t>
    <rPh sb="16" eb="17">
      <t>リツ</t>
    </rPh>
    <phoneticPr fontId="57"/>
  </si>
  <si>
    <t>ハズレで確率を整える</t>
    <rPh sb="4" eb="6">
      <t>カクリツ</t>
    </rPh>
    <rPh sb="7" eb="8">
      <t>トトノエル</t>
    </rPh>
    <phoneticPr fontId="57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</si>
  <si>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7"/>
  </si>
  <si>
    <t>A + C</t>
    <phoneticPr fontId="57"/>
  </si>
  <si>
    <t>=</t>
    <phoneticPr fontId="57"/>
  </si>
  <si>
    <t>50%-H</t>
    <phoneticPr fontId="57"/>
  </si>
  <si>
    <t>①</t>
    <phoneticPr fontId="57"/>
  </si>
  <si>
    <t>B + D + F</t>
    <phoneticPr fontId="57"/>
  </si>
  <si>
    <t>45%-I-K</t>
    <phoneticPr fontId="57"/>
  </si>
  <si>
    <t>②</t>
    <phoneticPr fontId="57"/>
  </si>
  <si>
    <t>E+G</t>
    <phoneticPr fontId="57"/>
  </si>
  <si>
    <t>5%-J-L-M</t>
    <phoneticPr fontId="57"/>
  </si>
  <si>
    <t>③</t>
    <phoneticPr fontId="57"/>
  </si>
  <si>
    <t>A+B</t>
    <phoneticPr fontId="57"/>
  </si>
  <si>
    <t>Y*{W}</t>
    <phoneticPr fontId="57"/>
  </si>
  <si>
    <t>④</t>
    <phoneticPr fontId="57"/>
  </si>
  <si>
    <t>C+D+E</t>
    <phoneticPr fontId="57"/>
  </si>
  <si>
    <t>Y*{N,S}</t>
    <phoneticPr fontId="57"/>
  </si>
  <si>
    <t>⑤</t>
    <phoneticPr fontId="57"/>
  </si>
  <si>
    <t>F+G</t>
    <phoneticPr fontId="57"/>
  </si>
  <si>
    <t>Y*{N,S R3less}</t>
    <phoneticPr fontId="57"/>
  </si>
  <si>
    <t>⑥</t>
    <phoneticPr fontId="57"/>
  </si>
  <si>
    <t>A+B+C+D+E+F+G</t>
    <phoneticPr fontId="57"/>
  </si>
  <si>
    <t>⑦</t>
    <phoneticPr fontId="57"/>
  </si>
  <si>
    <t>←これは4,5,6で作れるのでダメだわ</t>
    <rPh sb="10" eb="11">
      <t>ツクレル</t>
    </rPh>
    <phoneticPr fontId="57"/>
  </si>
  <si>
    <t>E*R3率/R5率</t>
    <rPh sb="4" eb="5">
      <t>リツ</t>
    </rPh>
    <rPh sb="8" eb="9">
      <t>リツ</t>
    </rPh>
    <phoneticPr fontId="57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</si>
  <si>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7"/>
  </si>
  <si>
    <t>E*R4率/R5率</t>
    <rPh sb="4" eb="5">
      <t>リツ</t>
    </rPh>
    <rPh sb="8" eb="9">
      <t>リツ</t>
    </rPh>
    <phoneticPr fontId="57"/>
  </si>
  <si>
    <t>∴</t>
    <phoneticPr fontId="57"/>
  </si>
  <si>
    <t>E</t>
    <phoneticPr fontId="57"/>
  </si>
  <si>
    <t>Y*{N,S}*R5率</t>
    <rPh sb="10" eb="11">
      <t>リツ</t>
    </rPh>
    <phoneticPr fontId="57"/>
  </si>
  <si>
    <t>Y*{N,S}*R4率</t>
    <rPh sb="10" eb="11">
      <t>リツ</t>
    </rPh>
    <phoneticPr fontId="57"/>
  </si>
  <si>
    <t>Y*{N,S}*R3率</t>
    <rPh sb="10" eb="11">
      <t>リツ</t>
    </rPh>
    <phoneticPr fontId="57"/>
  </si>
  <si>
    <t>50%-H-C</t>
    <phoneticPr fontId="57"/>
  </si>
  <si>
    <t>Y*{W}-A</t>
    <phoneticPr fontId="57"/>
  </si>
  <si>
    <t>5%-J-L-M-E</t>
    <phoneticPr fontId="57"/>
  </si>
  <si>
    <t>Y*{N,S R3less} - G</t>
    <phoneticPr fontId="57"/>
  </si>
  <si>
    <t>R6境界前後</t>
    <rPh sb="2" eb="4">
      <t>キョウカイ</t>
    </rPh>
    <rPh sb="4" eb="6">
      <t>ゼンゴ</t>
    </rPh>
    <phoneticPr fontId="24"/>
  </si>
  <si>
    <t>R6事後開放N,S</t>
    <rPh sb="2" eb="6">
      <t>ジゴカイホウ</t>
    </rPh>
    <phoneticPr fontId="24"/>
  </si>
  <si>
    <t>PremiumW3</t>
    <phoneticPr fontId="24"/>
  </si>
  <si>
    <t>PremiumW4</t>
    <phoneticPr fontId="24"/>
  </si>
  <si>
    <t>ラベル確率</t>
    <rPh sb="3" eb="5">
      <t>カクリツ</t>
    </rPh>
    <phoneticPr fontId="24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</si>
  <si>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</si>
  <si>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</si>
  <si>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</si>
  <si>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</si>
  <si>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</si>
  <si>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4"/>
  </si>
  <si>
    <t>PremiumSS5R5only</t>
  </si>
  <si>
    <t>計算用中間データ</t>
    <rPh sb="0" eb="3">
      <t>ケイサンヨウ</t>
    </rPh>
    <rPh sb="3" eb="5">
      <t>チュウカン</t>
    </rPh>
    <phoneticPr fontId="24"/>
  </si>
  <si>
    <t>X</t>
    <phoneticPr fontId="24"/>
  </si>
  <si>
    <t>Y</t>
    <phoneticPr fontId="24"/>
  </si>
  <si>
    <t>対象数</t>
    <rPh sb="0" eb="3">
      <t>タイショウスウ</t>
    </rPh>
    <phoneticPr fontId="24"/>
  </si>
  <si>
    <t>PremiumW</t>
    <phoneticPr fontId="24"/>
  </si>
  <si>
    <t>PremiumN</t>
    <phoneticPr fontId="24"/>
  </si>
  <si>
    <t>PremiumS</t>
    <phoneticPr fontId="24"/>
  </si>
  <si>
    <t>PremiumSS</t>
    <phoneticPr fontId="24"/>
  </si>
  <si>
    <t>←R6分はここから差し引く</t>
    <rPh sb="3" eb="4">
      <t>ブン</t>
    </rPh>
    <rPh sb="9" eb="10">
      <t>サシヒク</t>
    </rPh>
    <phoneticPr fontId="24"/>
  </si>
  <si>
    <t>除外確率</t>
    <rPh sb="0" eb="2">
      <t>ジョガイ</t>
    </rPh>
    <rPh sb="2" eb="4">
      <t>カクリツ</t>
    </rPh>
    <phoneticPr fontId="24"/>
  </si>
  <si>
    <t>除外数</t>
    <rPh sb="0" eb="3">
      <t>ジョガイスウ</t>
    </rPh>
    <phoneticPr fontId="24"/>
  </si>
  <si>
    <t>もうここは手で入れよう…</t>
    <rPh sb="5" eb="6">
      <t>テ</t>
    </rPh>
    <rPh sb="7" eb="8">
      <t>イレヨウ</t>
    </rPh>
    <phoneticPr fontId="24"/>
  </si>
  <si>
    <t>通常weight</t>
    <rPh sb="0" eb="2">
      <t>ツウジョウ</t>
    </rPh>
    <phoneticPr fontId="24"/>
  </si>
  <si>
    <t>A</t>
    <phoneticPr fontId="24"/>
  </si>
  <si>
    <t>B</t>
    <phoneticPr fontId="24"/>
  </si>
  <si>
    <t>PremiumW4</t>
    <phoneticPr fontId="24"/>
  </si>
  <si>
    <t>C</t>
    <phoneticPr fontId="24"/>
  </si>
  <si>
    <t>Premium3</t>
    <phoneticPr fontId="24"/>
  </si>
  <si>
    <t>D</t>
    <phoneticPr fontId="24"/>
  </si>
  <si>
    <t>Premium4</t>
    <phoneticPr fontId="24"/>
  </si>
  <si>
    <t>E</t>
    <phoneticPr fontId="24"/>
  </si>
  <si>
    <t>Premium5</t>
    <phoneticPr fontId="24"/>
  </si>
  <si>
    <t>F</t>
    <phoneticPr fontId="24"/>
  </si>
  <si>
    <t>Premium4R3less</t>
    <phoneticPr fontId="24"/>
  </si>
  <si>
    <t>G</t>
    <phoneticPr fontId="24"/>
  </si>
  <si>
    <t>Premium5R3less</t>
    <phoneticPr fontId="24"/>
  </si>
  <si>
    <t>H</t>
    <phoneticPr fontId="24"/>
  </si>
  <si>
    <t>I</t>
    <phoneticPr fontId="24"/>
  </si>
  <si>
    <t>J</t>
    <phoneticPr fontId="24"/>
  </si>
  <si>
    <t>K</t>
    <phoneticPr fontId="24"/>
  </si>
  <si>
    <t>Premium3R6release</t>
    <phoneticPr fontId="24"/>
  </si>
  <si>
    <t>Premium4R6release</t>
    <phoneticPr fontId="24"/>
  </si>
  <si>
    <t>Premium5R6release</t>
    <phoneticPr fontId="24"/>
  </si>
  <si>
    <t>PremiumSS4</t>
    <phoneticPr fontId="24"/>
  </si>
  <si>
    <t>PremiumSS5</t>
    <phoneticPr fontId="24"/>
  </si>
  <si>
    <t>L</t>
    <phoneticPr fontId="24"/>
  </si>
  <si>
    <t>M</t>
    <phoneticPr fontId="24"/>
  </si>
  <si>
    <t>PremiumSS5R5only</t>
    <phoneticPr fontId="24"/>
  </si>
  <si>
    <t>50% - H - C</t>
    <phoneticPr fontId="24"/>
  </si>
  <si>
    <t>PremiumSSS4R3less</t>
    <phoneticPr fontId="24"/>
  </si>
  <si>
    <t>PremiumSSS5R3less</t>
    <phoneticPr fontId="24"/>
  </si>
  <si>
    <t>skip</t>
    <phoneticPr fontId="24"/>
  </si>
  <si>
    <t>通常確率</t>
    <phoneticPr fontId="24"/>
  </si>
  <si>
    <t>tables_363104</t>
    <phoneticPr fontId="24"/>
  </si>
  <si>
    <t>tables_363105</t>
    <phoneticPr fontId="24"/>
  </si>
  <si>
    <t>tables_363100</t>
    <phoneticPr fontId="24"/>
  </si>
  <si>
    <t>old</t>
    <phoneticPr fontId="24"/>
  </si>
  <si>
    <t>gacha_settle_tables_</t>
    <phoneticPr fontId="24"/>
  </si>
  <si>
    <t>.tmp</t>
    <phoneticPr fontId="57"/>
  </si>
  <si>
    <t>tables_settle_443100</t>
    <phoneticPr fontId="24"/>
  </si>
  <si>
    <t>PremiumSSw</t>
    <phoneticPr fontId="24"/>
  </si>
  <si>
    <t>skip</t>
    <phoneticPr fontId="24"/>
  </si>
  <si>
    <t>tables_455100</t>
    <phoneticPr fontId="24"/>
  </si>
  <si>
    <t>skip</t>
    <phoneticPr fontId="24"/>
  </si>
  <si>
    <t>tables_476010</t>
    <phoneticPr fontId="2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</si>
</sst>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2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3" fillId="0" borderId="0"/>
    <xf numFmtId="0" fontId="27" fillId="0" borderId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22" fillId="0" borderId="0"/>
    <xf numFmtId="0" fontId="34" fillId="5" borderId="2" applyNumberFormat="0" applyAlignment="0" applyProtection="0"/>
    <xf numFmtId="0" fontId="35" fillId="6" borderId="0" applyNumberFormat="0" applyBorder="0" applyAlignment="0" applyProtection="0"/>
    <xf numFmtId="0" fontId="36" fillId="7" borderId="3" applyNumberFormat="0" applyAlignment="0" applyProtection="0"/>
    <xf numFmtId="0" fontId="37" fillId="0" borderId="0" applyNumberFormat="0" applyFill="0" applyBorder="0" applyAlignment="0" applyProtection="0"/>
    <xf numFmtId="0" fontId="38" fillId="8" borderId="0" applyNumberFormat="0" applyBorder="0" applyAlignment="0" applyProtection="0"/>
    <xf numFmtId="0" fontId="39" fillId="9" borderId="4" applyNumberFormat="0" applyAlignment="0" applyProtection="0"/>
    <xf numFmtId="0" fontId="40" fillId="0" borderId="0" applyNumberFormat="0" applyFill="0" applyBorder="0" applyAlignment="0" applyProtection="0"/>
    <xf numFmtId="0" fontId="41" fillId="0" borderId="5" applyNumberFormat="0" applyFill="0" applyAlignment="0" applyProtection="0"/>
    <xf numFmtId="0" fontId="42" fillId="0" borderId="6" applyNumberFormat="0" applyFill="0" applyAlignment="0" applyProtection="0"/>
    <xf numFmtId="0" fontId="43" fillId="0" borderId="7" applyNumberFormat="0" applyFill="0" applyAlignment="0" applyProtection="0"/>
    <xf numFmtId="0" fontId="43" fillId="0" borderId="0" applyNumberFormat="0" applyFill="0" applyBorder="0" applyAlignment="0" applyProtection="0"/>
    <xf numFmtId="0" fontId="44" fillId="7" borderId="0" applyNumberFormat="0" applyBorder="0" applyAlignment="0" applyProtection="0"/>
    <xf numFmtId="0" fontId="44" fillId="6" borderId="0" applyNumberFormat="0" applyBorder="0" applyAlignment="0" applyProtection="0"/>
    <xf numFmtId="0" fontId="44" fillId="10" borderId="0" applyNumberFormat="0" applyBorder="0" applyAlignment="0" applyProtection="0"/>
    <xf numFmtId="0" fontId="44" fillId="7" borderId="0" applyNumberFormat="0" applyBorder="0" applyAlignment="0" applyProtection="0"/>
    <xf numFmtId="0" fontId="44" fillId="11" borderId="0" applyNumberFormat="0" applyBorder="0" applyAlignment="0" applyProtection="0"/>
    <xf numFmtId="0" fontId="44" fillId="5" borderId="0" applyNumberFormat="0" applyBorder="0" applyAlignment="0" applyProtection="0"/>
    <xf numFmtId="0" fontId="44" fillId="7" borderId="0" applyNumberFormat="0" applyBorder="0" applyAlignment="0" applyProtection="0"/>
    <xf numFmtId="0" fontId="44" fillId="12" borderId="0" applyNumberFormat="0" applyBorder="0" applyAlignment="0" applyProtection="0"/>
    <xf numFmtId="0" fontId="44" fillId="10" borderId="0" applyNumberFormat="0" applyBorder="0" applyAlignment="0" applyProtection="0"/>
    <xf numFmtId="0" fontId="44" fillId="7" borderId="0" applyNumberFormat="0" applyBorder="0" applyAlignment="0" applyProtection="0"/>
    <xf numFmtId="0" fontId="44" fillId="13" borderId="0" applyNumberFormat="0" applyBorder="0" applyAlignment="0" applyProtection="0"/>
    <xf numFmtId="0" fontId="44" fillId="6" borderId="0" applyNumberFormat="0" applyBorder="0" applyAlignment="0" applyProtection="0"/>
    <xf numFmtId="0" fontId="45" fillId="14" borderId="0" applyNumberFormat="0" applyBorder="0" applyAlignment="0" applyProtection="0"/>
    <xf numFmtId="0" fontId="45" fillId="12" borderId="0" applyNumberFormat="0" applyBorder="0" applyAlignment="0" applyProtection="0"/>
    <xf numFmtId="0" fontId="45" fillId="10" borderId="0" applyNumberFormat="0" applyBorder="0" applyAlignment="0" applyProtection="0"/>
    <xf numFmtId="0" fontId="45" fillId="7" borderId="0" applyNumberFormat="0" applyBorder="0" applyAlignment="0" applyProtection="0"/>
    <xf numFmtId="0" fontId="45" fillId="14" borderId="0" applyNumberFormat="0" applyBorder="0" applyAlignment="0" applyProtection="0"/>
    <xf numFmtId="0" fontId="45" fillId="6" borderId="0" applyNumberFormat="0" applyBorder="0" applyAlignment="0" applyProtection="0"/>
    <xf numFmtId="0" fontId="37" fillId="0" borderId="0" applyNumberFormat="0" applyFill="0" applyBorder="0" applyAlignment="0" applyProtection="0"/>
    <xf numFmtId="0" fontId="45" fillId="14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4" borderId="0" applyNumberFormat="0" applyBorder="0" applyAlignment="0" applyProtection="0"/>
    <xf numFmtId="0" fontId="45" fillId="12" borderId="0" applyNumberFormat="0" applyBorder="0" applyAlignment="0" applyProtection="0"/>
    <xf numFmtId="0" fontId="46" fillId="17" borderId="0" applyNumberFormat="0" applyBorder="0" applyAlignment="0" applyProtection="0"/>
    <xf numFmtId="0" fontId="35" fillId="6" borderId="0" applyNumberFormat="0" applyBorder="0" applyAlignment="0" applyProtection="0"/>
    <xf numFmtId="0" fontId="47" fillId="0" borderId="8" applyNumberFormat="0" applyFill="0" applyAlignment="0" applyProtection="0"/>
    <xf numFmtId="0" fontId="48" fillId="7" borderId="9" applyNumberFormat="0" applyAlignment="0" applyProtection="0"/>
    <xf numFmtId="0" fontId="48" fillId="18" borderId="9" applyNumberFormat="0" applyAlignment="0" applyProtection="0"/>
    <xf numFmtId="0" fontId="36" fillId="6" borderId="3" applyNumberFormat="0" applyAlignment="0" applyProtection="0"/>
    <xf numFmtId="0" fontId="49" fillId="0" borderId="10" applyNumberFormat="0" applyFill="0" applyAlignment="0" applyProtection="0"/>
    <xf numFmtId="0" fontId="50" fillId="18" borderId="3" applyNumberFormat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38" fontId="22" fillId="0" borderId="0" applyFont="0" applyFill="0" applyBorder="0" applyAlignment="0" applyProtection="0">
      <alignment vertical="center"/>
    </xf>
    <xf numFmtId="0" fontId="53" fillId="19" borderId="0" applyNumberFormat="0" applyBorder="0" applyAlignment="0" applyProtection="0"/>
    <xf numFmtId="0" fontId="54" fillId="20" borderId="0" applyNumberFormat="0" applyBorder="0" applyAlignment="0" applyProtection="0"/>
    <xf numFmtId="0" fontId="22" fillId="0" borderId="0"/>
    <xf numFmtId="0" fontId="55" fillId="20" borderId="0" applyNumberFormat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7" fillId="0" borderId="0"/>
    <xf numFmtId="0" fontId="58" fillId="0" borderId="0">
      <alignment vertical="center"/>
    </xf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5" fillId="0" borderId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9" fontId="5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1" fillId="0" borderId="0"/>
    <xf numFmtId="38" fontId="5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</cellStyleXfs>
  <cellXfs count="102">
    <xf numFmtId="0" fontId="0" fillId="0" borderId="0" xfId="0"/>
    <xf numFmtId="0" fontId="29" fillId="0" borderId="0" xfId="2" applyFont="1" applyAlignment="1">
      <alignment vertical="center"/>
    </xf>
    <xf numFmtId="0" fontId="29" fillId="0" borderId="1" xfId="2" applyFont="1" applyBorder="1" applyAlignment="1">
      <alignment vertical="center"/>
    </xf>
    <xf numFmtId="0" fontId="29" fillId="3" borderId="1" xfId="2" applyFont="1" applyFill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4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horizontal="right" vertical="center"/>
    </xf>
    <xf numFmtId="0" fontId="29" fillId="3" borderId="1" xfId="2" applyFont="1" applyFill="1" applyBorder="1" applyAlignment="1">
      <alignment vertical="center"/>
    </xf>
    <xf numFmtId="0" fontId="30" fillId="4" borderId="1" xfId="0" applyFont="1" applyFill="1" applyBorder="1" applyAlignment="1">
      <alignment vertical="center"/>
    </xf>
    <xf numFmtId="0" fontId="29" fillId="0" borderId="13" xfId="2" applyFont="1" applyBorder="1" applyAlignment="1">
      <alignment vertical="center"/>
    </xf>
    <xf numFmtId="0" fontId="28" fillId="4" borderId="12" xfId="0" applyFont="1" applyFill="1" applyBorder="1" applyAlignment="1">
      <alignment horizontal="right" vertical="center"/>
    </xf>
    <xf numFmtId="0" fontId="28" fillId="4" borderId="14" xfId="0" applyFont="1" applyFill="1" applyBorder="1" applyAlignment="1">
      <alignment horizontal="right" vertical="center"/>
    </xf>
    <xf numFmtId="0" fontId="29" fillId="0" borderId="15" xfId="2" applyFont="1" applyBorder="1" applyAlignment="1">
      <alignment vertical="center"/>
    </xf>
    <xf numFmtId="0" fontId="29" fillId="2" borderId="1" xfId="2" applyFont="1" applyFill="1" applyBorder="1" applyAlignment="1">
      <alignment horizontal="left" vertical="center"/>
    </xf>
    <xf numFmtId="0" fontId="56" fillId="21" borderId="1" xfId="0" applyFont="1" applyFill="1" applyBorder="1" applyAlignment="1">
      <alignment horizontal="left" vertical="center"/>
    </xf>
    <xf numFmtId="0" fontId="29" fillId="2" borderId="1" xfId="2" applyFont="1" applyFill="1" applyBorder="1" applyAlignment="1">
      <alignment horizontal="center" vertical="center"/>
    </xf>
    <xf numFmtId="0" fontId="31" fillId="22" borderId="1" xfId="2978" applyFont="1" applyFill="1" applyBorder="1"/>
    <xf numFmtId="0" fontId="17" fillId="22" borderId="1" xfId="2978" applyFill="1" applyBorder="1"/>
    <xf numFmtId="0" fontId="17" fillId="0" borderId="0" xfId="2978"/>
    <xf numFmtId="0" fontId="17" fillId="0" borderId="1" xfId="2978" applyBorder="1"/>
    <xf numFmtId="0" fontId="17" fillId="2" borderId="1" xfId="2978" applyFill="1" applyBorder="1"/>
    <xf numFmtId="0" fontId="21" fillId="2" borderId="1" xfId="19" applyFont="1" applyFill="1" applyBorder="1"/>
    <xf numFmtId="0" fontId="22" fillId="2" borderId="1" xfId="19" applyFill="1" applyBorder="1"/>
    <xf numFmtId="0" fontId="20" fillId="2" borderId="1" xfId="19" applyFont="1" applyFill="1" applyBorder="1"/>
    <xf numFmtId="0" fontId="18" fillId="2" borderId="1" xfId="19" applyFont="1" applyFill="1" applyBorder="1"/>
    <xf numFmtId="0" fontId="19" fillId="2" borderId="1" xfId="19" applyFont="1" applyFill="1" applyBorder="1"/>
    <xf numFmtId="0" fontId="17" fillId="2" borderId="1" xfId="19" applyFont="1" applyFill="1" applyBorder="1"/>
    <xf numFmtId="0" fontId="16" fillId="0" borderId="1" xfId="2978" applyFont="1" applyBorder="1"/>
    <xf numFmtId="0" fontId="31" fillId="22" borderId="1" xfId="0" applyFont="1" applyFill="1" applyBorder="1"/>
    <xf numFmtId="0" fontId="56" fillId="23" borderId="1" xfId="0" applyFont="1" applyFill="1" applyBorder="1" applyAlignment="1">
      <alignment horizontal="center" vertical="center"/>
    </xf>
    <xf numFmtId="0" fontId="56" fillId="3" borderId="1" xfId="0" applyFont="1" applyFill="1" applyBorder="1" applyAlignment="1">
      <alignment vertical="center"/>
    </xf>
    <xf numFmtId="0" fontId="0" fillId="4" borderId="0" xfId="0" applyFill="1"/>
    <xf numFmtId="0" fontId="14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3" fillId="2" borderId="1" xfId="19" applyFont="1" applyFill="1" applyBorder="1"/>
    <xf numFmtId="0" fontId="13" fillId="4" borderId="1" xfId="2978" applyFont="1" applyFill="1" applyBorder="1"/>
    <xf numFmtId="0" fontId="0" fillId="2" borderId="0" xfId="0" applyFill="1"/>
    <xf numFmtId="0" fontId="56" fillId="30" borderId="1" xfId="0" applyFont="1" applyFill="1" applyBorder="1" applyAlignment="1">
      <alignment horizontal="left" vertical="center"/>
    </xf>
    <xf numFmtId="0" fontId="29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8" fillId="25" borderId="1" xfId="0" applyFont="1" applyFill="1" applyBorder="1" applyAlignment="1">
      <alignment horizontal="right" vertical="center"/>
    </xf>
    <xf numFmtId="0" fontId="12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11" fillId="0" borderId="0" xfId="3662"/>
    <xf numFmtId="0" fontId="11" fillId="4" borderId="0" xfId="3662" applyFill="1"/>
    <xf numFmtId="9" fontId="11" fillId="0" borderId="0" xfId="3662" applyNumberFormat="1"/>
    <xf numFmtId="0" fontId="11" fillId="0" borderId="0" xfId="3662" applyFill="1"/>
    <xf numFmtId="9" fontId="11" fillId="0" borderId="0" xfId="3662" applyNumberFormat="1" applyAlignment="1"/>
    <xf numFmtId="0" fontId="11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60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61" fillId="32" borderId="1" xfId="0" applyNumberFormat="1" applyFont="1" applyFill="1" applyBorder="1"/>
    <xf numFmtId="38" fontId="29" fillId="4" borderId="1" xfId="3663" quotePrefix="1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6" fillId="0" borderId="1" xfId="0" applyFont="1" applyBorder="1" applyAlignment="1">
      <alignment vertical="center" wrapText="1"/>
    </xf>
    <xf numFmtId="0" fontId="29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10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9" fillId="0" borderId="0" xfId="2" applyFont="1" applyFill="1" applyBorder="1" applyAlignment="1">
      <alignment vertical="center"/>
    </xf>
    <xf numFmtId="0" fontId="9" fillId="0" borderId="1" xfId="3036" applyFont="1" applyBorder="1"/>
    <xf numFmtId="0" fontId="28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8" fillId="4" borderId="1" xfId="2978" applyFont="1" applyFill="1" applyBorder="1"/>
    <xf numFmtId="0" fontId="7" fillId="0" borderId="1" xfId="3036" applyFont="1" applyBorder="1"/>
    <xf numFmtId="0" fontId="30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6" fillId="0" borderId="1" xfId="2978" applyFont="1" applyBorder="1"/>
    <xf numFmtId="0" fontId="6" fillId="4" borderId="1" xfId="2978" applyFont="1" applyFill="1" applyBorder="1"/>
    <xf numFmtId="0" fontId="29" fillId="3" borderId="14" xfId="2" applyFont="1" applyFill="1" applyBorder="1" applyAlignment="1">
      <alignment vertical="center"/>
    </xf>
    <xf numFmtId="0" fontId="5" fillId="4" borderId="1" xfId="2978" applyFont="1" applyFill="1" applyBorder="1"/>
    <xf numFmtId="0" fontId="4" fillId="0" borderId="1" xfId="3036" applyFont="1" applyBorder="1"/>
    <xf numFmtId="0" fontId="3" fillId="4" borderId="1" xfId="2978" applyFont="1" applyFill="1" applyBorder="1"/>
    <xf numFmtId="0" fontId="2" fillId="0" borderId="1" xfId="3036" applyFont="1" applyBorder="1"/>
    <xf numFmtId="0" fontId="1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グラーチカ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グラーチカ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ニコラウス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academia</v>
          </cell>
        </row>
        <row r="1288">
          <cell r="A1288">
            <v>1287</v>
          </cell>
          <cell r="B1288" t="str">
            <v>ja</v>
          </cell>
          <cell r="C1288" t="str">
            <v>ニコラウス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academia</v>
          </cell>
        </row>
        <row r="1289">
          <cell r="A1289">
            <v>1288</v>
          </cell>
          <cell r="B1289" t="str">
            <v>ja</v>
          </cell>
          <cell r="C1289" t="str">
            <v>ニコラウス超覚醒</v>
          </cell>
          <cell r="H1289" t="str">
            <v>blue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リボン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ゲルダ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ラビットユキネ(2017)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attack</v>
          </cell>
          <cell r="L1296" t="str">
            <v>攻撃タイプ</v>
          </cell>
          <cell r="M1296" t="str">
            <v>human</v>
          </cell>
        </row>
        <row r="1297">
          <cell r="A1297">
            <v>1296</v>
          </cell>
          <cell r="B1297" t="str">
            <v>ja</v>
          </cell>
          <cell r="C1297" t="str">
            <v>ラビットユキネ(2017)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attack</v>
          </cell>
          <cell r="L1297" t="str">
            <v>攻撃タイプ</v>
          </cell>
          <cell r="M1297" t="str">
            <v>human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attack</v>
          </cell>
          <cell r="L1298" t="str">
            <v>攻撃タイプ</v>
          </cell>
          <cell r="M1298" t="str">
            <v>human</v>
          </cell>
        </row>
        <row r="1299">
          <cell r="A1299">
            <v>1298</v>
          </cell>
          <cell r="B1299" t="str">
            <v>ja</v>
          </cell>
          <cell r="C1299" t="str">
            <v>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attack</v>
          </cell>
          <cell r="L1299" t="str">
            <v>攻撃タイプ</v>
          </cell>
          <cell r="M1299" t="str">
            <v>human</v>
          </cell>
        </row>
        <row r="1300">
          <cell r="A1300">
            <v>1299</v>
          </cell>
          <cell r="B1300" t="str">
            <v>ja</v>
          </cell>
          <cell r="C1300" t="str">
            <v>初音ミクV3R6覚醒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ミクコスプレ(紫式部)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balance</v>
          </cell>
          <cell r="L1301" t="str">
            <v>バランスタイプ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ミクコスプレ(紫式部)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balance</v>
          </cell>
          <cell r="L1302" t="str">
            <v>バランスタイプ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リンコスプレ(イナバ)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リンコスプレ(イナバ)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KAITOコスプレ(ハーメルン)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balance</v>
          </cell>
          <cell r="L1305" t="str">
            <v>バランスタイプ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KAITOコスプレ(ハーメルン)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balance</v>
          </cell>
          <cell r="L1306" t="str">
            <v>バランスタイプ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超ウィズミクコスプレ(ルシファー)</v>
          </cell>
          <cell r="H1307" t="str">
            <v>yellow</v>
          </cell>
          <cell r="I1307">
            <v>5</v>
          </cell>
          <cell r="J1307" t="str">
            <v>DropWizS</v>
          </cell>
          <cell r="K1307" t="str">
            <v>balance</v>
          </cell>
          <cell r="L1307" t="str">
            <v>バランスタイプ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超ウィズミクコスプレ(ルシファー)</v>
          </cell>
          <cell r="H1308" t="str">
            <v>yellow</v>
          </cell>
          <cell r="I1308">
            <v>6</v>
          </cell>
          <cell r="J1308" t="str">
            <v>DropWizS</v>
          </cell>
          <cell r="K1308" t="str">
            <v>balance</v>
          </cell>
          <cell r="L1308" t="str">
            <v>バランスタイプ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初音ミクR6覚醒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初音ミクアペンドR6化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初音ミクアペンド超覚醒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technical</v>
          </cell>
          <cell r="L1311" t="str">
            <v>テクニカルタイプ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鏡音リンR6覚醒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鏡音レンR6覚醒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巡音ルカR5覚醒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MEIKOR5覚醒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KAITOR5覚醒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heal</v>
          </cell>
          <cell r="L1368" t="str">
            <v>回復タイプ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heal</v>
          </cell>
          <cell r="L1369" t="str">
            <v>回復タイプ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6001</v>
          </cell>
          <cell r="B1376" t="str">
            <v>ja</v>
          </cell>
          <cell r="C1376" t="str">
            <v>ジェリー</v>
          </cell>
          <cell r="D1376" t="str">
            <v>ノーマルクエスト</v>
          </cell>
          <cell r="E1376" t="str">
            <v>QoH</v>
          </cell>
          <cell r="F1376" t="str">
            <v>世界観</v>
          </cell>
          <cell r="G1376" t="str">
            <v>不明</v>
          </cell>
          <cell r="H1376" t="str">
            <v>red</v>
          </cell>
          <cell r="I1376">
            <v>1</v>
          </cell>
          <cell r="J1376" t="str">
            <v>Drop1T</v>
          </cell>
          <cell r="K1376" t="str">
            <v>ra</v>
          </cell>
          <cell r="L1376" t="str">
            <v>ラグランジュチャレンジ</v>
          </cell>
          <cell r="M1376" t="str">
            <v>unknown</v>
          </cell>
        </row>
        <row r="1377">
          <cell r="A1377">
            <v>6002</v>
          </cell>
          <cell r="B1377" t="str">
            <v>ja</v>
          </cell>
          <cell r="C1377" t="str">
            <v>ヨシタカ</v>
          </cell>
          <cell r="D1377" t="str">
            <v>ノーマルクエスト</v>
          </cell>
          <cell r="E1377" t="str">
            <v>アバター</v>
          </cell>
          <cell r="F1377" t="str">
            <v>世界観</v>
          </cell>
          <cell r="G1377" t="str">
            <v>男性</v>
          </cell>
          <cell r="H1377" t="str">
            <v>red</v>
          </cell>
          <cell r="I1377">
            <v>2</v>
          </cell>
          <cell r="J1377" t="str">
            <v>Drop1N</v>
          </cell>
          <cell r="K1377" t="str">
            <v>ra</v>
          </cell>
          <cell r="L1377" t="str">
            <v>ラグランジュチャレンジ</v>
          </cell>
          <cell r="M1377" t="str">
            <v>human</v>
          </cell>
        </row>
        <row r="1378">
          <cell r="A1378">
            <v>6003</v>
          </cell>
          <cell r="B1378" t="str">
            <v>ja</v>
          </cell>
          <cell r="C1378" t="str">
            <v>朱雀</v>
          </cell>
          <cell r="D1378" t="str">
            <v>リンクガチャ:4神</v>
          </cell>
          <cell r="E1378" t="str">
            <v>守護神</v>
          </cell>
          <cell r="F1378" t="str">
            <v>格好いい</v>
          </cell>
          <cell r="G1378" t="str">
            <v>不明</v>
          </cell>
          <cell r="H1378" t="str">
            <v>red</v>
          </cell>
          <cell r="I1378">
            <v>3</v>
          </cell>
          <cell r="J1378" t="str">
            <v>Drop2N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6004</v>
          </cell>
          <cell r="B1379" t="str">
            <v>ja</v>
          </cell>
          <cell r="C1379" t="str">
            <v>ブレット</v>
          </cell>
          <cell r="D1379" t="str">
            <v>ノーマルクエスト</v>
          </cell>
          <cell r="E1379" t="str">
            <v>アバター</v>
          </cell>
          <cell r="F1379" t="str">
            <v>世界観</v>
          </cell>
          <cell r="G1379" t="str">
            <v>不明</v>
          </cell>
          <cell r="H1379" t="str">
            <v>red</v>
          </cell>
          <cell r="I1379">
            <v>1</v>
          </cell>
          <cell r="J1379" t="str">
            <v>Drop1W</v>
          </cell>
          <cell r="K1379" t="str">
            <v>ra</v>
          </cell>
          <cell r="L1379" t="str">
            <v>ラグランジュチャレンジ</v>
          </cell>
          <cell r="M1379" t="str">
            <v>animal</v>
          </cell>
        </row>
        <row r="1380">
          <cell r="A1380">
            <v>6005</v>
          </cell>
          <cell r="B1380" t="str">
            <v>ja</v>
          </cell>
          <cell r="C1380" t="str">
            <v>孤神 テティス</v>
          </cell>
          <cell r="D1380" t="str">
            <v>初期ガチャ</v>
          </cell>
          <cell r="E1380" t="str">
            <v>管理者</v>
          </cell>
          <cell r="F1380" t="str">
            <v>美しい</v>
          </cell>
          <cell r="G1380" t="str">
            <v>女性</v>
          </cell>
          <cell r="H1380" t="str">
            <v>blue</v>
          </cell>
          <cell r="I1380">
            <v>4</v>
          </cell>
          <cell r="J1380" t="str">
            <v>PremiumN</v>
          </cell>
          <cell r="K1380" t="str">
            <v>ra</v>
          </cell>
          <cell r="L1380" t="str">
            <v>ラグランジュチャレンジ</v>
          </cell>
          <cell r="M1380" t="str">
            <v>god</v>
          </cell>
        </row>
        <row r="1381">
          <cell r="A1381">
            <v>6006</v>
          </cell>
          <cell r="B1381" t="str">
            <v>ja</v>
          </cell>
          <cell r="C1381" t="str">
            <v>海底の孤高神 テティス</v>
          </cell>
          <cell r="D1381" t="str">
            <v>初期ガチャ</v>
          </cell>
          <cell r="E1381" t="str">
            <v>管理者</v>
          </cell>
          <cell r="F1381" t="str">
            <v>美しい</v>
          </cell>
          <cell r="G1381" t="str">
            <v>女性</v>
          </cell>
          <cell r="H1381" t="str">
            <v>blue</v>
          </cell>
          <cell r="I1381">
            <v>5</v>
          </cell>
          <cell r="J1381" t="str">
            <v>PremiumN</v>
          </cell>
          <cell r="K1381" t="str">
            <v>ra</v>
          </cell>
          <cell r="L1381" t="str">
            <v>ラグランジュチャレンジ</v>
          </cell>
          <cell r="M1381" t="str">
            <v>god</v>
          </cell>
        </row>
        <row r="1382">
          <cell r="A1382">
            <v>6007</v>
          </cell>
          <cell r="B1382" t="str">
            <v>ja</v>
          </cell>
          <cell r="C1382" t="str">
            <v>番犬 ケルベロス</v>
          </cell>
          <cell r="D1382" t="str">
            <v>初期ガチャ</v>
          </cell>
          <cell r="E1382" t="str">
            <v>破界者</v>
          </cell>
          <cell r="F1382" t="str">
            <v>可愛い</v>
          </cell>
          <cell r="G1382" t="str">
            <v>女性</v>
          </cell>
          <cell r="H1382" t="str">
            <v>red</v>
          </cell>
          <cell r="I1382">
            <v>4</v>
          </cell>
          <cell r="J1382" t="str">
            <v>PremiumN</v>
          </cell>
          <cell r="K1382" t="str">
            <v>ra</v>
          </cell>
          <cell r="L1382" t="str">
            <v>ラグランジュチャレンジ</v>
          </cell>
          <cell r="M1382" t="str">
            <v>animal</v>
          </cell>
        </row>
        <row r="1383">
          <cell r="A1383">
            <v>6008</v>
          </cell>
          <cell r="B1383" t="str">
            <v>ja</v>
          </cell>
          <cell r="C1383" t="str">
            <v>焔神 プロメテウス</v>
          </cell>
          <cell r="D1383" t="str">
            <v>初期ガチャ</v>
          </cell>
          <cell r="E1383" t="str">
            <v>管理者</v>
          </cell>
          <cell r="F1383" t="str">
            <v>格好いい</v>
          </cell>
          <cell r="G1383" t="str">
            <v>男性</v>
          </cell>
          <cell r="H1383" t="str">
            <v>red</v>
          </cell>
          <cell r="I1383">
            <v>4</v>
          </cell>
          <cell r="J1383" t="str">
            <v>PremiumN</v>
          </cell>
          <cell r="K1383" t="str">
            <v>ra</v>
          </cell>
          <cell r="L1383" t="str">
            <v>ラグランジュチャレンジ</v>
          </cell>
          <cell r="M1383" t="str">
            <v>god</v>
          </cell>
        </row>
        <row r="1384">
          <cell r="A1384">
            <v>6009</v>
          </cell>
          <cell r="B1384" t="str">
            <v>ja</v>
          </cell>
          <cell r="C1384" t="str">
            <v>超越自我 ラグランジュ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red</v>
          </cell>
          <cell r="I1384">
            <v>5</v>
          </cell>
          <cell r="J1384" t="str">
            <v>PremiumSSS</v>
          </cell>
          <cell r="K1384" t="str">
            <v>ra</v>
          </cell>
          <cell r="L1384" t="str">
            <v>ラグランジュチャレンジ</v>
          </cell>
          <cell r="M1384" t="str">
            <v>human</v>
          </cell>
        </row>
        <row r="1385">
          <cell r="A1385">
            <v>6010</v>
          </cell>
          <cell r="B1385" t="str">
            <v>ja</v>
          </cell>
          <cell r="C1385" t="str">
            <v>超越凌駕 ラグランジュ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red</v>
          </cell>
          <cell r="I1385">
            <v>6</v>
          </cell>
          <cell r="J1385" t="str">
            <v>PremiumSSS</v>
          </cell>
          <cell r="K1385" t="str">
            <v>ra</v>
          </cell>
          <cell r="L1385" t="str">
            <v>ラグランジュチャレンジ</v>
          </cell>
          <cell r="M1385" t="str">
            <v>human</v>
          </cell>
        </row>
        <row r="1386">
          <cell r="A1386">
            <v>6011</v>
          </cell>
          <cell r="B1386" t="str">
            <v>ja</v>
          </cell>
          <cell r="C1386" t="str">
            <v>パトドッグリーダー ポチ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2</v>
          </cell>
          <cell r="J1386" t="str">
            <v>Drop1T</v>
          </cell>
          <cell r="K1386" t="str">
            <v>ra002</v>
          </cell>
          <cell r="L1386" t="str">
            <v>ユークリッドチャレンジ</v>
          </cell>
          <cell r="M1386" t="str">
            <v>unknown</v>
          </cell>
        </row>
        <row r="1387">
          <cell r="A1387">
            <v>6012</v>
          </cell>
          <cell r="B1387" t="str">
            <v>ja</v>
          </cell>
          <cell r="C1387" t="str">
            <v>ミミ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yellow</v>
          </cell>
          <cell r="I1387">
            <v>1</v>
          </cell>
          <cell r="J1387" t="str">
            <v>Drop1W</v>
          </cell>
          <cell r="K1387" t="str">
            <v>ra002</v>
          </cell>
          <cell r="L1387" t="str">
            <v>ユークリッドチャレンジ</v>
          </cell>
          <cell r="M1387" t="str">
            <v>animal</v>
          </cell>
        </row>
        <row r="1388">
          <cell r="A1388">
            <v>6013</v>
          </cell>
          <cell r="B1388" t="str">
            <v>ja</v>
          </cell>
          <cell r="C1388" t="str">
            <v>護衛機人 スケアクロウ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2</v>
          </cell>
          <cell r="J1388" t="str">
            <v>Drop1N</v>
          </cell>
          <cell r="K1388" t="str">
            <v>ra002</v>
          </cell>
          <cell r="L1388" t="str">
            <v>ユークリッドチャレンジ</v>
          </cell>
          <cell r="M1388" t="str">
            <v>machine</v>
          </cell>
        </row>
        <row r="1389">
          <cell r="A1389">
            <v>6014</v>
          </cell>
          <cell r="B1389" t="str">
            <v>ja</v>
          </cell>
          <cell r="C1389" t="str">
            <v>月下の人狼 ローレンス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blue</v>
          </cell>
          <cell r="I1389">
            <v>4</v>
          </cell>
          <cell r="J1389" t="str">
            <v>PremiumW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6015</v>
          </cell>
          <cell r="B1390" t="str">
            <v>ja</v>
          </cell>
          <cell r="C1390" t="str">
            <v>フレイヤ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blue</v>
          </cell>
          <cell r="I1390">
            <v>4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6016</v>
          </cell>
          <cell r="B1391" t="str">
            <v>ja</v>
          </cell>
          <cell r="C1391" t="str">
            <v>根原論理 ユークリッド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5</v>
          </cell>
          <cell r="J1391" t="str">
            <v>PremiumSSS</v>
          </cell>
          <cell r="K1391" t="str">
            <v>ra002</v>
          </cell>
          <cell r="L1391" t="str">
            <v>ユークリッドチャレンジ</v>
          </cell>
          <cell r="M1391" t="str">
            <v>human</v>
          </cell>
        </row>
        <row r="1392">
          <cell r="A1392">
            <v>6017</v>
          </cell>
          <cell r="B1392" t="str">
            <v>ja</v>
          </cell>
          <cell r="C1392" t="str">
            <v>不朽の極論 ユークリッド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ra002</v>
          </cell>
          <cell r="L1392" t="str">
            <v>ユークリッドチャレンジ</v>
          </cell>
          <cell r="M1392" t="str">
            <v>human</v>
          </cell>
        </row>
        <row r="1393">
          <cell r="A1393">
            <v>6018</v>
          </cell>
          <cell r="B1393" t="str">
            <v>ja</v>
          </cell>
          <cell r="C1393" t="str">
            <v>ハヅル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red</v>
          </cell>
          <cell r="I1393">
            <v>4</v>
          </cell>
          <cell r="J1393" t="str">
            <v>PremiumSS</v>
          </cell>
          <cell r="K1393" t="str">
            <v>ra002</v>
          </cell>
          <cell r="L1393" t="str">
            <v>ユークリッドチャレンジ</v>
          </cell>
          <cell r="M1393" t="str">
            <v>animal</v>
          </cell>
        </row>
        <row r="1394">
          <cell r="A1394">
            <v>6019</v>
          </cell>
          <cell r="B1394" t="str">
            <v>ja</v>
          </cell>
          <cell r="C1394" t="str">
            <v>天織羽鶴 ハヅル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red</v>
          </cell>
          <cell r="I1394">
            <v>5</v>
          </cell>
          <cell r="J1394" t="str">
            <v>PremiumSS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6020</v>
          </cell>
          <cell r="B1395" t="str">
            <v>ja</v>
          </cell>
          <cell r="C1395" t="str">
            <v>ミズチ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</v>
          </cell>
          <cell r="K1395" t="str">
            <v>ra002</v>
          </cell>
          <cell r="L1395" t="str">
            <v>ユークリッドチャレンジ</v>
          </cell>
          <cell r="M1395" t="str">
            <v>dragon</v>
          </cell>
        </row>
        <row r="1396">
          <cell r="A1396">
            <v>8001</v>
          </cell>
          <cell r="B1396" t="str">
            <v>ja</v>
          </cell>
          <cell r="C1396" t="str">
            <v>媽祖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女性</v>
          </cell>
          <cell r="H1396" t="str">
            <v>yellow</v>
          </cell>
          <cell r="I1396">
            <v>5</v>
          </cell>
          <cell r="J1396" t="str">
            <v>PremiumSS</v>
          </cell>
          <cell r="K1396" t="str">
            <v>attack</v>
          </cell>
          <cell r="L1396" t="str">
            <v>攻撃タイプ</v>
          </cell>
          <cell r="M1396" t="str">
            <v>god</v>
          </cell>
        </row>
        <row r="1397">
          <cell r="A1397">
            <v>8002</v>
          </cell>
          <cell r="B1397" t="str">
            <v>ja</v>
          </cell>
          <cell r="C1397" t="str">
            <v>天后 媽祖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yellow</v>
          </cell>
          <cell r="I1397">
            <v>6</v>
          </cell>
          <cell r="J1397" t="str">
            <v>PremiumSS</v>
          </cell>
          <cell r="K1397" t="str">
            <v>attack</v>
          </cell>
          <cell r="L1397" t="str">
            <v>攻撃タイプ</v>
          </cell>
          <cell r="M1397" t="str">
            <v>god</v>
          </cell>
        </row>
        <row r="1398">
          <cell r="A1398">
            <v>8003</v>
          </cell>
          <cell r="B1398" t="str">
            <v>ja</v>
          </cell>
          <cell r="C1398" t="str">
            <v>蛟龍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blue</v>
          </cell>
          <cell r="I1398">
            <v>5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8004</v>
          </cell>
          <cell r="B1399" t="str">
            <v>ja</v>
          </cell>
          <cell r="C1399" t="str">
            <v>深海蛟龍怪‧晏公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blue</v>
          </cell>
          <cell r="I1399">
            <v>6</v>
          </cell>
          <cell r="J1399" t="str">
            <v>DropWizS</v>
          </cell>
          <cell r="K1399" t="str">
            <v>hp</v>
          </cell>
          <cell r="L1399" t="str">
            <v>体力タイプ</v>
          </cell>
          <cell r="M1399" t="str">
            <v>dragon</v>
          </cell>
        </row>
        <row r="1400">
          <cell r="A1400">
            <v>8005</v>
          </cell>
          <cell r="B1400" t="str">
            <v>ja</v>
          </cell>
          <cell r="C1400" t="str">
            <v>三蔵法師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blue</v>
          </cell>
          <cell r="I1400">
            <v>5</v>
          </cell>
          <cell r="J1400" t="str">
            <v>PremiumSS</v>
          </cell>
          <cell r="K1400" t="str">
            <v>balance</v>
          </cell>
          <cell r="L1400" t="str">
            <v>バランスタイプ</v>
          </cell>
          <cell r="M1400" t="str">
            <v>human</v>
          </cell>
        </row>
        <row r="1401">
          <cell r="A1401">
            <v>8006</v>
          </cell>
          <cell r="B1401" t="str">
            <v>ja</v>
          </cell>
          <cell r="C1401" t="str">
            <v>三蔵法師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blue</v>
          </cell>
          <cell r="I1401">
            <v>6</v>
          </cell>
          <cell r="J1401" t="str">
            <v>PremiumSS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8007</v>
          </cell>
          <cell r="B1402" t="str">
            <v>ja</v>
          </cell>
          <cell r="C1402" t="str">
            <v>孫悟空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不明</v>
          </cell>
          <cell r="H1402" t="str">
            <v>red</v>
          </cell>
          <cell r="I1402">
            <v>5</v>
          </cell>
          <cell r="J1402" t="str">
            <v>DropWizS</v>
          </cell>
          <cell r="K1402" t="str">
            <v>attack</v>
          </cell>
          <cell r="L1402" t="str">
            <v>攻撃タイプ</v>
          </cell>
          <cell r="M1402" t="str">
            <v>animal</v>
          </cell>
        </row>
        <row r="1403">
          <cell r="A1403">
            <v>8008</v>
          </cell>
          <cell r="B1403" t="str">
            <v>ja</v>
          </cell>
          <cell r="C1403" t="str">
            <v>孫悟空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red</v>
          </cell>
          <cell r="I1403">
            <v>6</v>
          </cell>
          <cell r="J1403" t="str">
            <v>DropWizS</v>
          </cell>
          <cell r="K1403" t="str">
            <v>attack</v>
          </cell>
          <cell r="L1403" t="str">
            <v>攻撃タイプ</v>
          </cell>
          <cell r="M1403" t="str">
            <v>animal</v>
          </cell>
        </row>
        <row r="1404">
          <cell r="A1404">
            <v>8009</v>
          </cell>
          <cell r="B1404" t="str">
            <v>ja</v>
          </cell>
          <cell r="C1404" t="str">
            <v>西王娘娘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green</v>
          </cell>
          <cell r="I1404">
            <v>5</v>
          </cell>
          <cell r="J1404" t="str">
            <v>PremiumSS</v>
          </cell>
          <cell r="K1404" t="str">
            <v>attack</v>
          </cell>
          <cell r="L1404" t="str">
            <v>攻撃タイプ</v>
          </cell>
          <cell r="M1404" t="str">
            <v>god</v>
          </cell>
        </row>
        <row r="1405">
          <cell r="A1405">
            <v>8010</v>
          </cell>
          <cell r="B1405" t="str">
            <v>ja</v>
          </cell>
          <cell r="C1405" t="str">
            <v>西王娘娘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green</v>
          </cell>
          <cell r="I1405">
            <v>6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8011</v>
          </cell>
          <cell r="B1406" t="str">
            <v>ja</v>
          </cell>
          <cell r="C1406" t="str">
            <v>月下老人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8012</v>
          </cell>
          <cell r="B1407" t="str">
            <v>ja</v>
          </cell>
          <cell r="C1407" t="str">
            <v>良緣祈福 月下老人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yellow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8013</v>
          </cell>
          <cell r="B1408" t="str">
            <v>ja</v>
          </cell>
          <cell r="C1408" t="str">
            <v>初音ミクV3</v>
          </cell>
          <cell r="D1408" t="str">
            <v>初音ミクV3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yellow</v>
          </cell>
          <cell r="I1408">
            <v>4</v>
          </cell>
          <cell r="J1408" t="str">
            <v>DropWizS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8014</v>
          </cell>
          <cell r="B1409" t="str">
            <v>ja</v>
          </cell>
          <cell r="C1409" t="str">
            <v>初音ミクV3</v>
          </cell>
          <cell r="D1409" t="str">
            <v>初音ミクV3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yellow</v>
          </cell>
          <cell r="I1409">
            <v>5</v>
          </cell>
          <cell r="J1409" t="str">
            <v>DropWizS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8015</v>
          </cell>
          <cell r="B1410" t="str">
            <v>ja</v>
          </cell>
          <cell r="C1410" t="str">
            <v>初音ミク・アペンド</v>
          </cell>
          <cell r="D1410" t="str">
            <v>初音ミク・アペンド</v>
          </cell>
          <cell r="E1410" t="str">
            <v>執行者</v>
          </cell>
          <cell r="F1410" t="str">
            <v>格好いい</v>
          </cell>
          <cell r="G1410" t="str">
            <v>女性</v>
          </cell>
          <cell r="H1410" t="str">
            <v>green</v>
          </cell>
          <cell r="I1410">
            <v>4</v>
          </cell>
          <cell r="J1410" t="str">
            <v>PremiumSSS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8016</v>
          </cell>
          <cell r="B1411" t="str">
            <v>ja</v>
          </cell>
          <cell r="C1411" t="str">
            <v>初音ミク・アペンド</v>
          </cell>
          <cell r="D1411" t="str">
            <v>初音ミク・アペンド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green</v>
          </cell>
          <cell r="I1411">
            <v>5</v>
          </cell>
          <cell r="J1411" t="str">
            <v>PremiumSSS</v>
          </cell>
          <cell r="K1411" t="str">
            <v>technical</v>
          </cell>
          <cell r="L1411" t="str">
            <v>テクニカルタイプ</v>
          </cell>
          <cell r="M1411" t="str">
            <v>unknown</v>
          </cell>
        </row>
        <row r="1412">
          <cell r="A1412">
            <v>8017</v>
          </cell>
          <cell r="B1412" t="str">
            <v>ja</v>
          </cell>
          <cell r="C1412" t="str">
            <v>初音ミク</v>
          </cell>
          <cell r="D1412" t="str">
            <v>初音ミク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green</v>
          </cell>
          <cell r="I1412">
            <v>4</v>
          </cell>
          <cell r="J1412" t="str">
            <v>PremiumSSS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8018</v>
          </cell>
          <cell r="B1413" t="str">
            <v>ja</v>
          </cell>
          <cell r="C1413" t="str">
            <v>初音ミク</v>
          </cell>
          <cell r="D1413" t="str">
            <v>初音ミク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green</v>
          </cell>
          <cell r="I1413">
            <v>5</v>
          </cell>
          <cell r="J1413" t="str">
            <v>PremiumSSS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8019</v>
          </cell>
          <cell r="B1414" t="str">
            <v>ja</v>
          </cell>
          <cell r="C1414" t="str">
            <v>鏡音リン</v>
          </cell>
          <cell r="D1414" t="str">
            <v>鏡音リン</v>
          </cell>
          <cell r="E1414" t="str">
            <v>執行者</v>
          </cell>
          <cell r="F1414" t="str">
            <v>格好いい</v>
          </cell>
          <cell r="G1414" t="str">
            <v>男性</v>
          </cell>
          <cell r="H1414" t="str">
            <v>yellow</v>
          </cell>
          <cell r="I1414">
            <v>4</v>
          </cell>
          <cell r="J1414" t="str">
            <v>PremiumSS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8020</v>
          </cell>
          <cell r="B1415" t="str">
            <v>ja</v>
          </cell>
          <cell r="C1415" t="str">
            <v>鏡音リン</v>
          </cell>
          <cell r="D1415" t="str">
            <v>鏡音リン</v>
          </cell>
          <cell r="E1415" t="str">
            <v>執行者</v>
          </cell>
          <cell r="F1415" t="str">
            <v>格好いい</v>
          </cell>
          <cell r="G1415" t="str">
            <v>男性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</row>
        <row r="1416">
          <cell r="A1416">
            <v>8021</v>
          </cell>
          <cell r="B1416" t="str">
            <v>ja</v>
          </cell>
          <cell r="C1416" t="str">
            <v>鏡音レン</v>
          </cell>
          <cell r="D1416" t="str">
            <v>鏡音レン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4</v>
          </cell>
          <cell r="J1416" t="str">
            <v>PremiumSS</v>
          </cell>
          <cell r="K1416" t="str">
            <v>heal</v>
          </cell>
          <cell r="L1416" t="str">
            <v>回復タイプ</v>
          </cell>
          <cell r="M1416" t="str">
            <v>unknown</v>
          </cell>
        </row>
        <row r="1417">
          <cell r="A1417">
            <v>8022</v>
          </cell>
          <cell r="B1417" t="str">
            <v>ja</v>
          </cell>
          <cell r="C1417" t="str">
            <v>鏡音レン</v>
          </cell>
          <cell r="D1417" t="str">
            <v>鏡音レン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heal</v>
          </cell>
          <cell r="L1417" t="str">
            <v>回復タイプ</v>
          </cell>
          <cell r="M1417" t="str">
            <v>unknown</v>
          </cell>
        </row>
        <row r="1418">
          <cell r="A1418">
            <v>8023</v>
          </cell>
          <cell r="B1418" t="str">
            <v>ja</v>
          </cell>
          <cell r="C1418" t="str">
            <v>巡音ルカ</v>
          </cell>
          <cell r="D1418" t="str">
            <v>巡音ルカ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red</v>
          </cell>
          <cell r="I1418">
            <v>3</v>
          </cell>
          <cell r="J1418" t="str">
            <v>PremiumS</v>
          </cell>
          <cell r="K1418" t="str">
            <v>attack</v>
          </cell>
          <cell r="L1418" t="str">
            <v>攻撃タイプ</v>
          </cell>
          <cell r="M1418" t="str">
            <v>unknown</v>
          </cell>
        </row>
        <row r="1419">
          <cell r="A1419">
            <v>8024</v>
          </cell>
          <cell r="B1419" t="str">
            <v>ja</v>
          </cell>
          <cell r="C1419" t="str">
            <v>巡音ルカ</v>
          </cell>
          <cell r="D1419" t="str">
            <v>巡音ルカ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red</v>
          </cell>
          <cell r="I1419">
            <v>4</v>
          </cell>
          <cell r="J1419" t="str">
            <v>PremiumS</v>
          </cell>
          <cell r="K1419" t="str">
            <v>attack</v>
          </cell>
          <cell r="L1419" t="str">
            <v>攻撃タイプ</v>
          </cell>
          <cell r="M1419" t="str">
            <v>unknown</v>
          </cell>
        </row>
        <row r="1420">
          <cell r="A1420">
            <v>8025</v>
          </cell>
          <cell r="B1420" t="str">
            <v>ja</v>
          </cell>
          <cell r="C1420" t="str">
            <v>MEIKO</v>
          </cell>
          <cell r="D1420" t="str">
            <v>MEIKO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red</v>
          </cell>
          <cell r="I1420">
            <v>3</v>
          </cell>
          <cell r="J1420" t="str">
            <v>PremiumS</v>
          </cell>
          <cell r="K1420" t="str">
            <v>hp</v>
          </cell>
          <cell r="L1420" t="str">
            <v>体力タイプ</v>
          </cell>
          <cell r="M1420" t="str">
            <v>unknown</v>
          </cell>
        </row>
        <row r="1421">
          <cell r="A1421">
            <v>8026</v>
          </cell>
          <cell r="B1421" t="str">
            <v>ja</v>
          </cell>
          <cell r="C1421" t="str">
            <v>MEIKO</v>
          </cell>
          <cell r="D1421" t="str">
            <v>MEIKO</v>
          </cell>
          <cell r="E1421" t="str">
            <v>執行者</v>
          </cell>
          <cell r="F1421" t="str">
            <v>格好いい</v>
          </cell>
          <cell r="G1421" t="str">
            <v>男性</v>
          </cell>
          <cell r="H1421" t="str">
            <v>red</v>
          </cell>
          <cell r="I1421">
            <v>4</v>
          </cell>
          <cell r="J1421" t="str">
            <v>PremiumS</v>
          </cell>
          <cell r="K1421" t="str">
            <v>hp</v>
          </cell>
          <cell r="L1421" t="str">
            <v>体力タイプ</v>
          </cell>
          <cell r="M1421" t="str">
            <v>unknown</v>
          </cell>
        </row>
        <row r="1422">
          <cell r="A1422">
            <v>8027</v>
          </cell>
          <cell r="B1422" t="str">
            <v>ja</v>
          </cell>
          <cell r="C1422" t="str">
            <v>KAITO</v>
          </cell>
          <cell r="D1422" t="str">
            <v>KAITO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blue</v>
          </cell>
          <cell r="I1422">
            <v>3</v>
          </cell>
          <cell r="J1422" t="str">
            <v>PremiumS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8028</v>
          </cell>
          <cell r="B1423" t="str">
            <v>ja</v>
          </cell>
          <cell r="C1423" t="str">
            <v>KAITO</v>
          </cell>
          <cell r="D1423" t="str">
            <v>KAITO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blue</v>
          </cell>
          <cell r="I1423">
            <v>4</v>
          </cell>
          <cell r="J1423" t="str">
            <v>PremiumS</v>
          </cell>
          <cell r="K1423" t="str">
            <v>technical</v>
          </cell>
          <cell r="L1423" t="str">
            <v>テクニカルタイプ</v>
          </cell>
          <cell r="M1423" t="str">
            <v>unknown</v>
          </cell>
        </row>
        <row r="1424">
          <cell r="A1424">
            <v>8029</v>
          </cell>
          <cell r="B1424" t="str">
            <v>ja</v>
          </cell>
          <cell r="C1424" t="str">
            <v>Expoミク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blue</v>
          </cell>
          <cell r="I1424">
            <v>4</v>
          </cell>
          <cell r="J1424" t="str">
            <v>Drop2N</v>
          </cell>
          <cell r="K1424" t="str">
            <v>heal</v>
          </cell>
          <cell r="L1424" t="str">
            <v>回復タイプ</v>
          </cell>
          <cell r="M1424" t="str">
            <v>unknown</v>
          </cell>
        </row>
        <row r="1425">
          <cell r="A1425">
            <v>8030</v>
          </cell>
          <cell r="B1425" t="str">
            <v>ja</v>
          </cell>
          <cell r="C1425" t="str">
            <v>Expoミク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blue</v>
          </cell>
          <cell r="I1425">
            <v>5</v>
          </cell>
          <cell r="J1425" t="str">
            <v>Drop2N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8031</v>
          </cell>
          <cell r="B1426" t="str">
            <v>ja</v>
          </cell>
          <cell r="C1426" t="str">
            <v>閻羅王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red</v>
          </cell>
          <cell r="I1426">
            <v>5</v>
          </cell>
          <cell r="J1426" t="str">
            <v>PremiumSS</v>
          </cell>
          <cell r="K1426" t="str">
            <v>balance</v>
          </cell>
          <cell r="L1426" t="str">
            <v>バランスタイプ</v>
          </cell>
          <cell r="M1426" t="str">
            <v>god</v>
          </cell>
        </row>
        <row r="1427">
          <cell r="A1427">
            <v>8032</v>
          </cell>
          <cell r="B1427" t="str">
            <v>ja</v>
          </cell>
          <cell r="C1427" t="str">
            <v>十殿閻羅王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6</v>
          </cell>
          <cell r="J1427" t="str">
            <v>PremiumSS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8033</v>
          </cell>
          <cell r="B1428" t="str">
            <v>ja</v>
          </cell>
          <cell r="C1428" t="str">
            <v>牛頭馬面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green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god</v>
          </cell>
        </row>
        <row r="1429">
          <cell r="A1429">
            <v>8034</v>
          </cell>
          <cell r="B1429" t="str">
            <v>ja</v>
          </cell>
          <cell r="C1429" t="str">
            <v>牛頭馬面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green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god</v>
          </cell>
        </row>
        <row r="1430">
          <cell r="A1430">
            <v>8035</v>
          </cell>
          <cell r="B1430" t="str">
            <v>ja</v>
          </cell>
          <cell r="C1430" t="str">
            <v>飛衛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human</v>
          </cell>
        </row>
        <row r="1431">
          <cell r="A1431">
            <v>8036</v>
          </cell>
          <cell r="B1431" t="str">
            <v>ja</v>
          </cell>
          <cell r="C1431" t="str">
            <v>レア６飛衛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6</v>
          </cell>
          <cell r="J1431" t="str">
            <v>PremiumSS</v>
          </cell>
          <cell r="K1431" t="str">
            <v>heal</v>
          </cell>
          <cell r="L1431" t="str">
            <v>回復タイプ</v>
          </cell>
          <cell r="M1431" t="str">
            <v>human</v>
          </cell>
        </row>
        <row r="1432">
          <cell r="A1432">
            <v>8037</v>
          </cell>
          <cell r="B1432" t="str">
            <v>ja</v>
          </cell>
          <cell r="C1432" t="str">
            <v>紀昌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5</v>
          </cell>
          <cell r="J1432" t="str">
            <v>DropWizS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8038</v>
          </cell>
          <cell r="B1433" t="str">
            <v>ja</v>
          </cell>
          <cell r="C1433" t="str">
            <v>レア６紀昌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red</v>
          </cell>
          <cell r="I1433">
            <v>6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human</v>
          </cell>
        </row>
        <row r="1434">
          <cell r="A1434">
            <v>8039</v>
          </cell>
          <cell r="B1434" t="str">
            <v>ja</v>
          </cell>
          <cell r="C1434" t="str">
            <v>何仙姑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yellow</v>
          </cell>
          <cell r="I1434">
            <v>5</v>
          </cell>
          <cell r="J1434" t="str">
            <v>PremiumSS</v>
          </cell>
          <cell r="K1434" t="str">
            <v>hp</v>
          </cell>
          <cell r="L1434" t="str">
            <v>体力タイプ</v>
          </cell>
          <cell r="M1434" t="str">
            <v>god</v>
          </cell>
        </row>
        <row r="1435">
          <cell r="A1435">
            <v>8040</v>
          </cell>
          <cell r="B1435" t="str">
            <v>ja</v>
          </cell>
          <cell r="C1435" t="str">
            <v>何仙姑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yellow</v>
          </cell>
          <cell r="I1435">
            <v>6</v>
          </cell>
          <cell r="J1435" t="str">
            <v>PremiumSS</v>
          </cell>
          <cell r="K1435" t="str">
            <v>hp</v>
          </cell>
          <cell r="L1435" t="str">
            <v>体力タイプ</v>
          </cell>
          <cell r="M1435" t="str">
            <v>god</v>
          </cell>
        </row>
        <row r="1436">
          <cell r="A1436">
            <v>8041</v>
          </cell>
          <cell r="B1436" t="str">
            <v>ja</v>
          </cell>
          <cell r="C1436" t="str">
            <v>藍采和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5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8042</v>
          </cell>
          <cell r="B1437" t="str">
            <v>ja</v>
          </cell>
          <cell r="C1437" t="str">
            <v>藍采和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blue</v>
          </cell>
          <cell r="I1437">
            <v>6</v>
          </cell>
          <cell r="J1437" t="str">
            <v>DropWizS</v>
          </cell>
          <cell r="K1437" t="str">
            <v>balance</v>
          </cell>
          <cell r="L1437" t="str">
            <v>バランスタイプ</v>
          </cell>
          <cell r="M1437" t="str">
            <v>god</v>
          </cell>
        </row>
        <row r="1438">
          <cell r="A1438">
            <v>8043</v>
          </cell>
          <cell r="B1438" t="str">
            <v>ja</v>
          </cell>
          <cell r="C1438" t="str">
            <v>サンリオキャラ大集合+アザゼル</v>
          </cell>
          <cell r="D1438" t="str">
            <v>サンリオキャラ大集合+アザゼル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5</v>
          </cell>
          <cell r="J1438" t="str">
            <v>DropWizS</v>
          </cell>
          <cell r="K1438" t="str">
            <v>technical</v>
          </cell>
          <cell r="L1438" t="str">
            <v>テクニカルタイプ</v>
          </cell>
          <cell r="M1438" t="str">
            <v>ss</v>
          </cell>
        </row>
        <row r="1439">
          <cell r="A1439">
            <v>8044</v>
          </cell>
          <cell r="B1439" t="str">
            <v>ja</v>
          </cell>
          <cell r="C1439" t="str">
            <v>サンリオキャラ大集合+アザゼル</v>
          </cell>
          <cell r="D1439" t="str">
            <v>サンリオキャラ大集合+アザゼル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green</v>
          </cell>
          <cell r="I1439">
            <v>6</v>
          </cell>
          <cell r="J1439" t="str">
            <v>DropWizS</v>
          </cell>
          <cell r="K1439" t="str">
            <v>technical</v>
          </cell>
          <cell r="L1439" t="str">
            <v>テクニカルタイプ</v>
          </cell>
          <cell r="M1439" t="str">
            <v>ss</v>
          </cell>
        </row>
        <row r="1440">
          <cell r="A1440">
            <v>8045</v>
          </cell>
          <cell r="B1440" t="str">
            <v>ja</v>
          </cell>
          <cell r="C1440" t="str">
            <v>ニムダ_サンリオキャラ混じり</v>
          </cell>
          <cell r="D1440" t="str">
            <v>ニムダ_サンリオキャラ混じり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4</v>
          </cell>
          <cell r="J1440" t="str">
            <v>Drop2N</v>
          </cell>
          <cell r="K1440" t="str">
            <v>technical</v>
          </cell>
          <cell r="L1440" t="str">
            <v>テクニカルタイプ</v>
          </cell>
          <cell r="M1440" t="str">
            <v>ss</v>
          </cell>
        </row>
        <row r="1441">
          <cell r="A1441">
            <v>8046</v>
          </cell>
          <cell r="B1441" t="str">
            <v>ja</v>
          </cell>
          <cell r="C1441" t="str">
            <v>ニムダ_サンリオキャラ混じり</v>
          </cell>
          <cell r="D1441" t="str">
            <v>ニムダ_サンリオキャラ混じり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yellow</v>
          </cell>
          <cell r="I1441">
            <v>5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ss</v>
          </cell>
        </row>
        <row r="1442">
          <cell r="A1442">
            <v>8047</v>
          </cell>
          <cell r="B1442" t="str">
            <v>ja</v>
          </cell>
          <cell r="C1442" t="str">
            <v>ハローキティ</v>
          </cell>
          <cell r="D1442" t="str">
            <v>ハローキティ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ss</v>
          </cell>
        </row>
        <row r="1443">
          <cell r="A1443">
            <v>8048</v>
          </cell>
          <cell r="B1443" t="str">
            <v>ja</v>
          </cell>
          <cell r="C1443" t="str">
            <v>ハローキティ</v>
          </cell>
          <cell r="D1443" t="str">
            <v>ハローキティ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ss</v>
          </cell>
        </row>
        <row r="1444">
          <cell r="A1444">
            <v>8049</v>
          </cell>
          <cell r="B1444" t="str">
            <v>ja</v>
          </cell>
          <cell r="C1444" t="str">
            <v>KIRIMIちゃん</v>
          </cell>
          <cell r="D1444" t="str">
            <v>KIRIMIちゃん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4</v>
          </cell>
          <cell r="J1444" t="str">
            <v>Drop2N</v>
          </cell>
          <cell r="K1444" t="str">
            <v>hp</v>
          </cell>
          <cell r="L1444" t="str">
            <v>体力タイプ</v>
          </cell>
          <cell r="M1444" t="str">
            <v>ss</v>
          </cell>
        </row>
        <row r="1445">
          <cell r="A1445">
            <v>8050</v>
          </cell>
          <cell r="B1445" t="str">
            <v>ja</v>
          </cell>
          <cell r="C1445" t="str">
            <v>KIRIMIちゃん</v>
          </cell>
          <cell r="D1445" t="str">
            <v>KIRIMIちゃん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5</v>
          </cell>
          <cell r="J1445" t="str">
            <v>Drop2N</v>
          </cell>
          <cell r="K1445" t="str">
            <v>hp</v>
          </cell>
          <cell r="L1445" t="str">
            <v>体力タイプ</v>
          </cell>
          <cell r="M1445" t="str">
            <v>ss</v>
          </cell>
        </row>
        <row r="1446">
          <cell r="A1446">
            <v>8051</v>
          </cell>
          <cell r="B1446" t="str">
            <v>ja</v>
          </cell>
          <cell r="C1446" t="str">
            <v>ハローキティのリボン</v>
          </cell>
          <cell r="D1446" t="str">
            <v>ハローキティのリボン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5</v>
          </cell>
          <cell r="J1446" t="str">
            <v>Drop2N</v>
          </cell>
          <cell r="K1446" t="str">
            <v>evolution</v>
          </cell>
          <cell r="L1446" t="str">
            <v>覚醒素材タイプ</v>
          </cell>
          <cell r="M1446" t="str">
            <v>ss</v>
          </cell>
        </row>
        <row r="1447">
          <cell r="A1447">
            <v>8052</v>
          </cell>
          <cell r="B1447" t="str">
            <v>ja</v>
          </cell>
          <cell r="C1447" t="str">
            <v>ママの作ったアップルパイ</v>
          </cell>
          <cell r="D1447" t="str">
            <v>ママの作ったアップルパイ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evolution</v>
          </cell>
          <cell r="L1447" t="str">
            <v>覚醒素材タイプ</v>
          </cell>
          <cell r="M1447" t="str">
            <v>ss</v>
          </cell>
        </row>
        <row r="1448">
          <cell r="A1448">
            <v>8053</v>
          </cell>
          <cell r="B1448" t="str">
            <v>ja</v>
          </cell>
          <cell r="C1448" t="str">
            <v>D.R.T.H__キティコスプレ</v>
          </cell>
          <cell r="D1448" t="str">
            <v>D.R.T.H__キティコスプレ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PremiumSS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8054</v>
          </cell>
          <cell r="B1449" t="str">
            <v>ja</v>
          </cell>
          <cell r="C1449" t="str">
            <v>D.R.T.H__キティコスプレ</v>
          </cell>
          <cell r="D1449" t="str">
            <v>D.R.T.H__キティコスプレ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8055</v>
          </cell>
          <cell r="B1450" t="str">
            <v>ja</v>
          </cell>
          <cell r="C1450" t="str">
            <v>マイメロディ</v>
          </cell>
          <cell r="D1450" t="str">
            <v>マイメロディ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4</v>
          </cell>
          <cell r="J1450" t="str">
            <v>PremiumS</v>
          </cell>
          <cell r="K1450" t="str">
            <v>attack</v>
          </cell>
          <cell r="L1450" t="str">
            <v>攻撃タイプ</v>
          </cell>
          <cell r="M1450" t="str">
            <v>ss</v>
          </cell>
        </row>
        <row r="1451">
          <cell r="A1451">
            <v>8056</v>
          </cell>
          <cell r="B1451" t="str">
            <v>ja</v>
          </cell>
          <cell r="C1451" t="str">
            <v>マイメロディ</v>
          </cell>
          <cell r="D1451" t="str">
            <v>マイメロディ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ss</v>
          </cell>
        </row>
        <row r="1452">
          <cell r="A1452">
            <v>8057</v>
          </cell>
          <cell r="B1452" t="str">
            <v>ja</v>
          </cell>
          <cell r="C1452" t="str">
            <v>ニーベルゲン_シナモロールコスプレ</v>
          </cell>
          <cell r="D1452" t="str">
            <v>ニーベルゲン_シナモロールコスプレ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8058</v>
          </cell>
          <cell r="B1453" t="str">
            <v>ja</v>
          </cell>
          <cell r="C1453" t="str">
            <v>ニーベルゲン_シナモロールコスプレ</v>
          </cell>
          <cell r="D1453" t="str">
            <v>ニーベルゲン_シナモロールコスプレ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8059</v>
          </cell>
          <cell r="B1454" t="str">
            <v>ja</v>
          </cell>
          <cell r="C1454" t="str">
            <v>カカシ_マイメロディコスプレ</v>
          </cell>
          <cell r="D1454" t="str">
            <v>カカシ_マイメロディコスプレ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green</v>
          </cell>
          <cell r="I1454">
            <v>4</v>
          </cell>
          <cell r="J1454" t="str">
            <v>PremiumS</v>
          </cell>
          <cell r="K1454" t="str">
            <v>technical</v>
          </cell>
          <cell r="L1454" t="str">
            <v>テクニカルタイプ</v>
          </cell>
          <cell r="M1454" t="str">
            <v>ss</v>
          </cell>
        </row>
        <row r="1455">
          <cell r="A1455">
            <v>8060</v>
          </cell>
          <cell r="B1455" t="str">
            <v>ja</v>
          </cell>
          <cell r="C1455" t="str">
            <v>カカシ_マイメロディコスプレ</v>
          </cell>
          <cell r="D1455" t="str">
            <v>カカシ_マイメロディコスプレ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green</v>
          </cell>
          <cell r="I1455">
            <v>5</v>
          </cell>
          <cell r="J1455" t="str">
            <v>PremiumS</v>
          </cell>
          <cell r="K1455" t="str">
            <v>technical</v>
          </cell>
          <cell r="L1455" t="str">
            <v>テクニカルタイプ</v>
          </cell>
          <cell r="M1455" t="str">
            <v>ss</v>
          </cell>
        </row>
        <row r="1456">
          <cell r="A1456">
            <v>8061</v>
          </cell>
          <cell r="B1456" t="str">
            <v>ja</v>
          </cell>
          <cell r="C1456" t="str">
            <v>ケロケロけろっぴ</v>
          </cell>
          <cell r="D1456" t="str">
            <v>ケロケロけろっぴ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green</v>
          </cell>
          <cell r="I1456">
            <v>3</v>
          </cell>
          <cell r="J1456" t="str">
            <v>PremiumS</v>
          </cell>
          <cell r="K1456" t="str">
            <v>balance</v>
          </cell>
          <cell r="L1456" t="str">
            <v>バランスタイプ</v>
          </cell>
          <cell r="M1456" t="str">
            <v>ss</v>
          </cell>
        </row>
        <row r="1457">
          <cell r="A1457">
            <v>8062</v>
          </cell>
          <cell r="B1457" t="str">
            <v>ja</v>
          </cell>
          <cell r="C1457" t="str">
            <v>ケロケロけろっぴ</v>
          </cell>
          <cell r="D1457" t="str">
            <v>ケロケロけろっぴ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8063</v>
          </cell>
          <cell r="B1458" t="str">
            <v>ja</v>
          </cell>
          <cell r="C1458" t="str">
            <v>モルドレッド_ポムポムプリンコスプレ</v>
          </cell>
          <cell r="D1458" t="str">
            <v>モルドレッド_ポムポムプリンコスプレ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5</v>
          </cell>
          <cell r="J1458" t="str">
            <v>PremiumSS</v>
          </cell>
          <cell r="K1458" t="str">
            <v>heal</v>
          </cell>
          <cell r="L1458" t="str">
            <v>回復タイプ</v>
          </cell>
          <cell r="M1458" t="str">
            <v>ss</v>
          </cell>
        </row>
        <row r="1459">
          <cell r="A1459">
            <v>8064</v>
          </cell>
          <cell r="B1459" t="str">
            <v>ja</v>
          </cell>
          <cell r="C1459" t="str">
            <v>モルドレッド_ポムポムプリンコスプレ</v>
          </cell>
          <cell r="D1459" t="str">
            <v>モルドレッド_ポムポムプリンコスプレ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6</v>
          </cell>
          <cell r="J1459" t="str">
            <v>PremiumSS</v>
          </cell>
          <cell r="K1459" t="str">
            <v>heal</v>
          </cell>
          <cell r="L1459" t="str">
            <v>回復タイプ</v>
          </cell>
          <cell r="M1459" t="str">
            <v>ss</v>
          </cell>
        </row>
        <row r="1460">
          <cell r="A1460">
            <v>8065</v>
          </cell>
          <cell r="B1460" t="str">
            <v>ja</v>
          </cell>
          <cell r="C1460" t="str">
            <v>クロミ</v>
          </cell>
          <cell r="D1460" t="str">
            <v>クロミ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blue</v>
          </cell>
          <cell r="I1460">
            <v>3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8066</v>
          </cell>
          <cell r="B1461" t="str">
            <v>ja</v>
          </cell>
          <cell r="C1461" t="str">
            <v>クロミ</v>
          </cell>
          <cell r="D1461" t="str">
            <v>クロミ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technical</v>
          </cell>
          <cell r="L1461" t="str">
            <v>テクニカルタイプ</v>
          </cell>
          <cell r="M1461" t="str">
            <v>ss</v>
          </cell>
        </row>
        <row r="1462">
          <cell r="A1462">
            <v>8067</v>
          </cell>
          <cell r="B1462" t="str">
            <v>ja</v>
          </cell>
          <cell r="C1462" t="str">
            <v>バッドばつ丸</v>
          </cell>
          <cell r="D1462" t="str">
            <v>バッドばつ丸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blue</v>
          </cell>
          <cell r="I1462">
            <v>3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ss</v>
          </cell>
        </row>
        <row r="1463">
          <cell r="A1463">
            <v>8068</v>
          </cell>
          <cell r="B1463" t="str">
            <v>ja</v>
          </cell>
          <cell r="C1463" t="str">
            <v>バッドばつ丸</v>
          </cell>
          <cell r="D1463" t="str">
            <v>バッドばつ丸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attack</v>
          </cell>
          <cell r="L1463" t="str">
            <v>攻撃タイプ</v>
          </cell>
          <cell r="M1463" t="str">
            <v>ss</v>
          </cell>
        </row>
        <row r="1464">
          <cell r="A1464">
            <v>8069</v>
          </cell>
          <cell r="B1464" t="str">
            <v>ja</v>
          </cell>
          <cell r="C1464" t="str">
            <v>シナモロール</v>
          </cell>
          <cell r="D1464" t="str">
            <v>シナモロール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yellow</v>
          </cell>
          <cell r="I1464">
            <v>4</v>
          </cell>
          <cell r="J1464" t="str">
            <v>PremiumS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8070</v>
          </cell>
          <cell r="B1465" t="str">
            <v>ja</v>
          </cell>
          <cell r="C1465" t="str">
            <v>シナモロール</v>
          </cell>
          <cell r="D1465" t="str">
            <v>シナモロール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yellow</v>
          </cell>
          <cell r="I1465">
            <v>5</v>
          </cell>
          <cell r="J1465" t="str">
            <v>PremiumS</v>
          </cell>
          <cell r="K1465" t="str">
            <v>heal</v>
          </cell>
          <cell r="L1465" t="str">
            <v>回復タイプ</v>
          </cell>
          <cell r="M1465" t="str">
            <v>ss</v>
          </cell>
        </row>
        <row r="1466">
          <cell r="A1466">
            <v>8071</v>
          </cell>
          <cell r="B1466" t="str">
            <v>ja</v>
          </cell>
          <cell r="C1466" t="str">
            <v>ポムポムプリン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yellow</v>
          </cell>
          <cell r="I1466">
            <v>3</v>
          </cell>
          <cell r="J1466" t="str">
            <v>PremiumS</v>
          </cell>
          <cell r="K1466" t="str">
            <v>hp</v>
          </cell>
          <cell r="L1466" t="str">
            <v>体力タイプ</v>
          </cell>
          <cell r="M1466" t="str">
            <v>ss</v>
          </cell>
        </row>
        <row r="1467">
          <cell r="A1467">
            <v>8072</v>
          </cell>
          <cell r="B1467" t="str">
            <v>ja</v>
          </cell>
          <cell r="C1467" t="str">
            <v>ポムポムプリン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hp</v>
          </cell>
          <cell r="L1467" t="str">
            <v>体力タイプ</v>
          </cell>
          <cell r="M1467" t="str">
            <v>ss</v>
          </cell>
        </row>
        <row r="1468">
          <cell r="A1468">
            <v>8077</v>
          </cell>
          <cell r="B1468" t="str">
            <v>ja</v>
          </cell>
          <cell r="C1468" t="str">
            <v>鄭成功</v>
          </cell>
          <cell r="D1468" t="str">
            <v>ポムポムプリン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5</v>
          </cell>
          <cell r="J1468" t="str">
            <v>PremiumSS</v>
          </cell>
          <cell r="K1468" t="str">
            <v>attack</v>
          </cell>
          <cell r="L1468" t="str">
            <v>攻撃タイプ</v>
          </cell>
          <cell r="M1468" t="str">
            <v>human</v>
          </cell>
        </row>
        <row r="1469">
          <cell r="A1469">
            <v>8078</v>
          </cell>
          <cell r="B1469" t="str">
            <v>ja</v>
          </cell>
          <cell r="C1469" t="str">
            <v>レア６鄭成功</v>
          </cell>
          <cell r="D1469" t="str">
            <v>ポムポムプリン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6</v>
          </cell>
          <cell r="J1469" t="str">
            <v>PremiumSS</v>
          </cell>
          <cell r="K1469" t="str">
            <v>attack</v>
          </cell>
          <cell r="L1469" t="str">
            <v>攻撃タイプ</v>
          </cell>
          <cell r="M1469" t="str">
            <v>human</v>
          </cell>
        </row>
        <row r="1470">
          <cell r="A1470">
            <v>8079</v>
          </cell>
          <cell r="B1470" t="str">
            <v>ja</v>
          </cell>
          <cell r="C1470" t="str">
            <v>赤鬼</v>
          </cell>
          <cell r="D1470" t="str">
            <v>ポムポムプリン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red</v>
          </cell>
          <cell r="I1470">
            <v>5</v>
          </cell>
          <cell r="J1470" t="str">
            <v>DropWizS</v>
          </cell>
          <cell r="K1470" t="str">
            <v>hp</v>
          </cell>
          <cell r="L1470" t="str">
            <v>体力タイプ</v>
          </cell>
          <cell r="M1470" t="str">
            <v>dragon</v>
          </cell>
        </row>
        <row r="1471">
          <cell r="A1471">
            <v>8080</v>
          </cell>
          <cell r="B1471" t="str">
            <v>ja</v>
          </cell>
          <cell r="C1471" t="str">
            <v>レア６赤鬼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red</v>
          </cell>
          <cell r="I1471">
            <v>6</v>
          </cell>
          <cell r="J1471" t="str">
            <v>DropWizS</v>
          </cell>
          <cell r="K1471" t="str">
            <v>hp</v>
          </cell>
          <cell r="L1471" t="str">
            <v>体力タイプ</v>
          </cell>
          <cell r="M147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4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4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E17" sqref="E17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100" t="s">
        <v>253</v>
      </c>
      <c r="B2" s="61" t="s">
        <v>110</v>
      </c>
      <c r="C2" s="50" t="str">
        <f t="shared" ref="C2" si="0">RIGHT(F2,6)</f>
        <v>455100</v>
      </c>
      <c r="D2" s="19" t="s">
        <v>45</v>
      </c>
      <c r="E2" s="17" t="str">
        <f t="shared" ref="E2" si="1">B2&amp;C2&amp;D2</f>
        <v>gacha_select_tables_455100.tmp</v>
      </c>
      <c r="F2" s="99" t="s">
        <v>252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1" t="s">
        <v>246</v>
      </c>
      <c r="B3" s="61" t="s">
        <v>110</v>
      </c>
      <c r="C3" s="50" t="str">
        <f t="shared" ref="C3:C7" si="2">RIGHT(F3,6)</f>
        <v>476010</v>
      </c>
      <c r="D3" s="19" t="s">
        <v>45</v>
      </c>
      <c r="E3" s="17" t="str">
        <f t="shared" ref="E3:E10" si="3">B3&amp;C3&amp;D3</f>
        <v>gacha_select_tables_476010.tmp</v>
      </c>
      <c r="F3" s="101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8" t="s">
        <v>251</v>
      </c>
      <c r="B4" s="94" t="s">
        <v>247</v>
      </c>
      <c r="C4" s="95" t="str">
        <f t="shared" si="2"/>
        <v>443100</v>
      </c>
      <c r="D4" s="19" t="s">
        <v>248</v>
      </c>
      <c r="E4" s="17" t="str">
        <f t="shared" si="3"/>
        <v>gacha_settle_tables_443100.tmp</v>
      </c>
      <c r="F4" s="97" t="s">
        <v>249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4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F35" sqref="F3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476010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VLOOKUP(L3,tables_476010!B:C,2,FALSE)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VLOOKUP(L4,tables_476010!B:C,2,FALSE)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1.5873015873015872E-2</v>
      </c>
      <c r="F5">
        <f>(COUNTIF(tables_476010!C:C,input_476010!A28)+COUNTIF(tables_476010!C:C,input_476010!A29))</f>
        <v>63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VLOOKUP(L5,tables_476010!B:C,2,FALSE)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0</v>
      </c>
      <c r="F6">
        <f>(COUNTIF(tables_476010!C:C,input_476010!A25)+COUNTIF(tables_476010!C:C,input_476010!A18)+COUNTIF(tables_476010!C:C,input_476010!A20)+COUNTIF(tables_476010!C:C,input_476010!A22))</f>
        <v>93</v>
      </c>
      <c r="H6" s="89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VLOOKUP(L6,tables_476010!B:C,2,FALSE)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VLOOKUP(L7,tables_476010!B:C,2,FALSE)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VLOOKUP(L8,tables_476010!B:C,2,FALSE)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VLOOKUP(L9,tables_476010!B:C,2,FALSE)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v>0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VLOOKUP(L10,tables_476010!B:C,2,FALSE)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1</v>
      </c>
      <c r="C11" t="s">
        <v>242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VLOOKUP(L11,tables_476010!B:C,2,FALSE)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VLOOKUP(L12,tables_476010!B:C,2,FALSE)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VLOOKUP(L13,tables_476010!B:C,2,FALSE)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VLOOKUP(L14,tables_476010!B:C,2,FALSE)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VLOOKUP(L15,tables_476010!B:C,2,FALSE)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VLOOKUP(L16,tables_476010!B:C,2,FALSE)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COUNTIF(tables_476010!C:C,input_476010!A17)-COUNTIF(Q:Q,A17)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VLOOKUP(L17,tables_476010!B:C,2,FALSE)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v>0</v>
      </c>
      <c r="C18" s="85">
        <f t="shared" si="2"/>
        <v>0</v>
      </c>
      <c r="D18" s="74">
        <f t="shared" si="3"/>
        <v>0</v>
      </c>
      <c r="E18">
        <f>COUNTIF(tables_476010!C:C,input_476010!A18)-COUNTIF(Q:Q,A18)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VLOOKUP(L18,tables_476010!B:C,2,FALSE)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COUNTIF(tables_476010!C:C,input_476010!A19)-COUNTIF(Q:Q,A19)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VLOOKUP(L19,tables_476010!B:C,2,FALSE)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v>0</v>
      </c>
      <c r="C20" s="85">
        <f t="shared" si="2"/>
        <v>0</v>
      </c>
      <c r="D20" s="74">
        <f t="shared" si="3"/>
        <v>0</v>
      </c>
      <c r="E20">
        <f>COUNTIF(tables_476010!C:C,input_476010!A20)-COUNTIF(Q:Q,A20)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VLOOKUP(L20,tables_476010!B:C,2,FALSE)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0</v>
      </c>
      <c r="C21" s="85">
        <f t="shared" si="2"/>
        <v>0</v>
      </c>
      <c r="D21" s="74">
        <f t="shared" si="3"/>
        <v>0</v>
      </c>
      <c r="E21">
        <f>COUNTIF(tables_476010!C:C,input_476010!A21)-COUNTIF(Q:Q,A21)</f>
        <v>52</v>
      </c>
      <c r="F21" s="43">
        <f t="shared" si="8"/>
        <v>0</v>
      </c>
      <c r="G21">
        <f t="shared" si="4"/>
        <v>0</v>
      </c>
      <c r="H21">
        <f t="shared" si="5"/>
        <v>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</v>
      </c>
      <c r="C22" s="85">
        <f t="shared" si="2"/>
        <v>0</v>
      </c>
      <c r="D22" s="74">
        <f t="shared" si="3"/>
        <v>0</v>
      </c>
      <c r="E22">
        <f>COUNTIF(tables_476010!C:C,input_476010!A22)-COUNTIF(Q:Q,A22)</f>
        <v>17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0</v>
      </c>
      <c r="C23" s="85">
        <f t="shared" si="2"/>
        <v>0</v>
      </c>
      <c r="D23" s="74">
        <f t="shared" si="3"/>
        <v>0</v>
      </c>
      <c r="E23">
        <f>COUNTIF(tables_476010!C:C,input_476010!A23)-COUNTIF(Q:Q,A23)</f>
        <v>23</v>
      </c>
      <c r="F23" s="43">
        <f t="shared" si="8"/>
        <v>0</v>
      </c>
      <c r="G23">
        <f t="shared" si="4"/>
        <v>0</v>
      </c>
      <c r="H23">
        <f t="shared" si="5"/>
        <v>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COUNTIF(tables_476010!C:C,input_476010!A24)-COUNTIF(Q:Q,A24)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5">
        <f t="shared" si="2"/>
        <v>0</v>
      </c>
      <c r="D25" s="74">
        <f t="shared" si="3"/>
        <v>0</v>
      </c>
      <c r="E25">
        <f>COUNTIF(tables_476010!C:C,input_476010!A25)-COUNTIF(Q:Q,A25)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0</v>
      </c>
      <c r="C26" s="85">
        <f t="shared" si="2"/>
        <v>0</v>
      </c>
      <c r="D26" s="74">
        <f t="shared" si="3"/>
        <v>0</v>
      </c>
      <c r="E26">
        <f>COUNTIF(tables_476010!C:C,input_476010!A26)-COUNTIF(Q:Q,A26)</f>
        <v>4</v>
      </c>
      <c r="F26" s="43">
        <f t="shared" si="8"/>
        <v>0</v>
      </c>
      <c r="G26">
        <f t="shared" si="4"/>
        <v>0</v>
      </c>
      <c r="H26">
        <f t="shared" si="5"/>
        <v>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5">
        <f t="shared" si="2"/>
        <v>0</v>
      </c>
      <c r="D27" s="74">
        <f t="shared" si="3"/>
        <v>0</v>
      </c>
      <c r="E27">
        <f>COUNTIF(tables_476010!C:C,input_476010!A27)-COUNTIF(Q:Q,A27)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0.44444444444444442</v>
      </c>
      <c r="C28" s="85">
        <f t="shared" si="2"/>
        <v>0</v>
      </c>
      <c r="D28" s="74">
        <f t="shared" si="3"/>
        <v>0.44444444444444442</v>
      </c>
      <c r="E28">
        <f>COUNTIF(tables_476010!C:C,input_476010!A28)-COUNTIF(Q:Q,A28)</f>
        <v>28</v>
      </c>
      <c r="F28" s="43">
        <f t="shared" si="8"/>
        <v>1.5873015873015872E-2</v>
      </c>
      <c r="G28">
        <f t="shared" si="4"/>
        <v>17360000</v>
      </c>
      <c r="H28">
        <f t="shared" si="5"/>
        <v>620000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0.55555555555555558</v>
      </c>
      <c r="C29" s="85">
        <f t="shared" si="2"/>
        <v>0</v>
      </c>
      <c r="D29" s="74">
        <f t="shared" si="3"/>
        <v>0.55555555555555558</v>
      </c>
      <c r="E29">
        <f>COUNTIF(tables_476010!C:C,input_476010!A29)-COUNTIF(Q:Q,A29)</f>
        <v>35</v>
      </c>
      <c r="F29" s="43">
        <f t="shared" si="8"/>
        <v>1.5873015873015872E-2</v>
      </c>
      <c r="G29">
        <f t="shared" si="4"/>
        <v>21700000</v>
      </c>
      <c r="H29">
        <f t="shared" si="5"/>
        <v>620000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COUNTIF(tables_476010!C:C,input_476010!A30)-COUNTIF(Q:Q,A30)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COUNTIF(tables_476010!C:C,input_476010!A31)-COUNTIF(Q:Q,A31)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1.9238351250128294E-2</v>
      </c>
      <c r="F34" s="55">
        <f ca="1">0.45-G41</f>
        <v>0.45</v>
      </c>
    </row>
    <row r="35" spans="1:7" x14ac:dyDescent="0.15">
      <c r="A35" t="s">
        <v>73</v>
      </c>
    </row>
    <row r="36" spans="1:7" x14ac:dyDescent="0.15">
      <c r="A36" s="31">
        <f>LCM(F5-I5,F6-I6)*1000*2*2*5</f>
        <v>39060000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SUMIF(tables_476010!C:C,input_476010!A40,tables_476010!O:O)</f>
        <v>0</v>
      </c>
      <c r="C40" s="54">
        <f t="shared" ref="C40:C46" ca="1" si="9">B40/B$47</f>
        <v>0</v>
      </c>
      <c r="E40">
        <v>3</v>
      </c>
      <c r="F40">
        <f ca="1">SUMIF(tables_476010!J:J,input_476010!E40,tables_476010!O:O)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SUMIF(tables_476010!C:C,input_476010!A41,tables_476010!O:O)</f>
        <v>0</v>
      </c>
      <c r="C41" s="54">
        <f t="shared" ca="1" si="9"/>
        <v>0</v>
      </c>
      <c r="E41">
        <v>4</v>
      </c>
      <c r="F41">
        <f ca="1">SUMIF(tables_476010!J:J,input_476010!E41,tables_476010!O:O)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SUMIF(tables_476010!C:C,input_476010!A42,tables_476010!O:O)</f>
        <v>0</v>
      </c>
      <c r="C42" s="54">
        <f t="shared" ca="1" si="9"/>
        <v>0</v>
      </c>
      <c r="E42">
        <v>5</v>
      </c>
      <c r="F42">
        <f ca="1">SUMIF(tables_476010!J:J,input_476010!E42,tables_476010!O:O)</f>
        <v>35340000</v>
      </c>
      <c r="G42">
        <f ca="1">F42/A36</f>
        <v>0.90476190476190477</v>
      </c>
    </row>
    <row r="43" spans="1:7" x14ac:dyDescent="0.15">
      <c r="A43" s="33" t="s">
        <v>109</v>
      </c>
      <c r="B43">
        <f>SUMIF(tables_476010!C:C,input_476010!A43,tables_476010!O:O)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SUMIF(tables_476010!C:C,input_476010!A44,tables_476010!O:O)</f>
        <v>0</v>
      </c>
      <c r="C44" s="54">
        <f t="shared" ca="1" si="9"/>
        <v>0</v>
      </c>
      <c r="E44" t="s">
        <v>54</v>
      </c>
      <c r="F44" s="55"/>
    </row>
    <row r="45" spans="1:7" x14ac:dyDescent="0.15">
      <c r="A45" s="33" t="s">
        <v>107</v>
      </c>
      <c r="B45">
        <f ca="1">SUMIF(tables_476010!C:C,input_476010!A45,tables_476010!O:O)</f>
        <v>13640000</v>
      </c>
      <c r="C45" s="54">
        <f t="shared" ca="1" si="9"/>
        <v>1</v>
      </c>
      <c r="E45" t="s">
        <v>204</v>
      </c>
      <c r="F45" s="55">
        <f ca="1">SUMIF(tables_476010!I:I,input_476010!E45,tables_476010!P:P)</f>
        <v>0</v>
      </c>
    </row>
    <row r="46" spans="1:7" x14ac:dyDescent="0.15">
      <c r="A46" s="33" t="s">
        <v>108</v>
      </c>
      <c r="B46">
        <f>SUMIF(tables_476010!C:C,input_476010!A46,tables_476010!O:O)</f>
        <v>0</v>
      </c>
      <c r="C46" s="54">
        <f t="shared" ca="1" si="9"/>
        <v>0</v>
      </c>
      <c r="E46" t="s">
        <v>205</v>
      </c>
      <c r="F46" s="55">
        <f ca="1">SUMIF(tables_476010!I:I,input_476010!E46,tables_476010!P:P)</f>
        <v>0</v>
      </c>
    </row>
    <row r="47" spans="1:7" x14ac:dyDescent="0.15">
      <c r="A47" s="39" t="s">
        <v>59</v>
      </c>
      <c r="B47">
        <f ca="1">SUM(B40:B46)</f>
        <v>13640000</v>
      </c>
      <c r="C47" s="55">
        <f ca="1">SUM(C40:C46)</f>
        <v>1</v>
      </c>
      <c r="E47" t="s">
        <v>206</v>
      </c>
      <c r="F47" s="55">
        <f ca="1">SUMIF(tables_476010!I:I,input_476010!E47,tables_476010!P:P)</f>
        <v>0</v>
      </c>
    </row>
    <row r="48" spans="1:7" x14ac:dyDescent="0.15">
      <c r="E48" t="s">
        <v>207</v>
      </c>
      <c r="F48" s="55">
        <f ca="1">SUMIF(tables_476010!I:I,input_476010!E48,tables_476010!P:P)</f>
        <v>0.89473684210526438</v>
      </c>
      <c r="G48" s="55"/>
    </row>
    <row r="49" spans="5:6" x14ac:dyDescent="0.15">
      <c r="E49" t="s">
        <v>250</v>
      </c>
      <c r="F49" s="55">
        <f ca="1">SUMIF(tables_476010!I:I,input_476010!E49,tables_476010!P:P)</f>
        <v>0.10526315789473684</v>
      </c>
    </row>
  </sheetData>
  <phoneticPr fontId="24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0"/>
  <sheetViews>
    <sheetView showGridLines="0" zoomScale="75" zoomScaleNormal="75" zoomScalePageLayoutView="75" workbookViewId="0">
      <pane ySplit="1" topLeftCell="A2" activePane="bottomLeft" state="frozen"/>
      <selection activeCell="H276" sqref="H276"/>
      <selection pane="bottomLeft" activeCell="O233" sqref="O23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input_476010!A$2</f>
        <v>476010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IFERROR(VLOOKUP(B2,input_476010!L:R,7,FALSE),VLOOKUP(tables_476010!C2,input_476010!A:H,8,FALSE))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input_476010!A$2</f>
        <v>476010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IFERROR(VLOOKUP(B3,input_476010!L:R,7,FALSE),VLOOKUP(tables_476010!C3,input_476010!A:H,8,FALSE))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input_476010!A$2</f>
        <v>476010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IFERROR(VLOOKUP(B4,input_476010!L:R,7,FALSE),VLOOKUP(tables_476010!C4,input_476010!A:H,8,FALSE))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input_476010!A$2</f>
        <v>476010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IFERROR(VLOOKUP(B5,input_476010!L:R,7,FALSE),VLOOKUP(tables_476010!C5,input_476010!A:H,8,FALSE))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input_476010!A$2</f>
        <v>476010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IFERROR(VLOOKUP(B6,input_476010!L:R,7,FALSE),VLOOKUP(tables_476010!C6,input_476010!A:H,8,FALSE))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input_476010!A$2</f>
        <v>476010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IFERROR(VLOOKUP(B7,input_476010!L:R,7,FALSE),VLOOKUP(tables_476010!C7,input_476010!A:H,8,FALSE))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input_476010!A$2</f>
        <v>476010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IFERROR(VLOOKUP(B8,input_476010!L:R,7,FALSE),VLOOKUP(tables_476010!C8,input_476010!A:H,8,FALSE))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input_476010!A$2</f>
        <v>476010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IFERROR(VLOOKUP(B9,input_476010!L:R,7,FALSE),VLOOKUP(tables_476010!C9,input_476010!A:H,8,FALSE))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input_476010!A$2</f>
        <v>476010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IFERROR(VLOOKUP(B10,input_476010!L:R,7,FALSE),VLOOKUP(tables_476010!C10,input_476010!A:H,8,FALSE))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input_476010!A$2</f>
        <v>476010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IFERROR(VLOOKUP(B11,input_476010!L:R,7,FALSE),VLOOKUP(tables_476010!C11,input_476010!A:H,8,FALSE))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input_476010!A$2</f>
        <v>476010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IFERROR(VLOOKUP(B12,input_476010!L:R,7,FALSE),VLOOKUP(tables_476010!C12,input_476010!A:H,8,FALSE))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input_476010!A$2</f>
        <v>476010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IFERROR(VLOOKUP(B13,input_476010!L:R,7,FALSE),VLOOKUP(tables_476010!C13,input_476010!A:H,8,FALSE))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input_476010!A$2</f>
        <v>476010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IFERROR(VLOOKUP(B14,input_476010!L:R,7,FALSE),VLOOKUP(tables_476010!C14,input_476010!A:H,8,FALSE))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input_476010!A$2</f>
        <v>476010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IFERROR(VLOOKUP(B15,input_476010!L:R,7,FALSE),VLOOKUP(tables_476010!C15,input_476010!A:H,8,FALSE))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input_476010!A$2</f>
        <v>476010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IFERROR(VLOOKUP(B16,input_476010!L:R,7,FALSE),VLOOKUP(tables_476010!C16,input_476010!A:H,8,FALSE))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input_476010!A$2</f>
        <v>476010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IFERROR(VLOOKUP(B17,input_476010!L:R,7,FALSE),VLOOKUP(tables_476010!C17,input_476010!A:H,8,FALSE))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input_476010!A$2</f>
        <v>476010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IFERROR(VLOOKUP(B18,input_476010!L:R,7,FALSE),VLOOKUP(tables_476010!C18,input_476010!A:H,8,FALSE))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input_476010!A$2</f>
        <v>476010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IFERROR(VLOOKUP(B19,input_476010!L:R,7,FALSE),VLOOKUP(tables_476010!C19,input_476010!A:H,8,FALSE))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input_476010!A$2</f>
        <v>476010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IFERROR(VLOOKUP(B20,input_476010!L:R,7,FALSE),VLOOKUP(tables_476010!C20,input_476010!A:H,8,FALSE))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input_476010!A$2</f>
        <v>476010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IFERROR(VLOOKUP(B21,input_476010!L:R,7,FALSE),VLOOKUP(tables_476010!C21,input_476010!A:H,8,FALSE))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input_476010!A$2</f>
        <v>476010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IFERROR(VLOOKUP(B22,input_476010!L:R,7,FALSE),VLOOKUP(tables_476010!C22,input_476010!A:H,8,FALSE))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input_476010!A$2</f>
        <v>476010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IFERROR(VLOOKUP(B23,input_476010!L:R,7,FALSE),VLOOKUP(tables_476010!C23,input_476010!A:H,8,FALSE))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input_476010!A$2</f>
        <v>476010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IFERROR(VLOOKUP(B24,input_476010!L:R,7,FALSE),VLOOKUP(tables_476010!C24,input_476010!A:H,8,FALSE))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input_476010!A$2</f>
        <v>476010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IFERROR(VLOOKUP(B25,input_476010!L:R,7,FALSE),VLOOKUP(tables_476010!C25,input_476010!A:H,8,FALSE))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input_476010!A$2</f>
        <v>476010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IFERROR(VLOOKUP(B26,input_476010!L:R,7,FALSE),VLOOKUP(tables_476010!C26,input_476010!A:H,8,FALSE))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input_476010!A$2</f>
        <v>476010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IFERROR(VLOOKUP(B27,input_476010!L:R,7,FALSE),VLOOKUP(tables_476010!C27,input_476010!A:H,8,FALSE))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input_476010!A$2</f>
        <v>476010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IFERROR(VLOOKUP(B28,input_476010!L:R,7,FALSE),VLOOKUP(tables_476010!C28,input_476010!A:H,8,FALSE))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input_476010!A$2</f>
        <v>476010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IFERROR(VLOOKUP(B29,input_476010!L:R,7,FALSE),VLOOKUP(tables_476010!C29,input_476010!A:H,8,FALSE))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input_476010!A$2</f>
        <v>476010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IFERROR(VLOOKUP(B30,input_476010!L:R,7,FALSE),VLOOKUP(tables_476010!C30,input_476010!A:H,8,FALSE))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input_476010!A$2</f>
        <v>476010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IFERROR(VLOOKUP(B31,input_476010!L:R,7,FALSE),VLOOKUP(tables_476010!C31,input_476010!A:H,8,FALSE))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input_476010!A$2</f>
        <v>476010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IFERROR(VLOOKUP(B32,input_476010!L:R,7,FALSE),VLOOKUP(tables_476010!C32,input_476010!A:H,8,FALSE))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input_476010!A$2</f>
        <v>476010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IFERROR(VLOOKUP(B33,input_476010!L:R,7,FALSE),VLOOKUP(tables_476010!C33,input_476010!A:H,8,FALSE))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input_476010!A$2</f>
        <v>476010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IFERROR(VLOOKUP(B34,input_476010!L:R,7,FALSE),VLOOKUP(tables_476010!C34,input_476010!A:H,8,FALSE))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input_476010!A$2</f>
        <v>476010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IFERROR(VLOOKUP(B35,input_476010!L:R,7,FALSE),VLOOKUP(tables_476010!C35,input_476010!A:H,8,FALSE))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input_476010!A$2</f>
        <v>476010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IFERROR(VLOOKUP(B36,input_476010!L:R,7,FALSE),VLOOKUP(tables_476010!C36,input_476010!A:H,8,FALSE))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input_476010!A$2</f>
        <v>476010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IFERROR(VLOOKUP(B37,input_476010!L:R,7,FALSE),VLOOKUP(tables_476010!C37,input_476010!A:H,8,FALSE))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input_476010!A$2</f>
        <v>476010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IFERROR(VLOOKUP(B38,input_476010!L:R,7,FALSE),VLOOKUP(tables_476010!C38,input_476010!A:H,8,FALSE))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input_476010!A$2</f>
        <v>476010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IFERROR(VLOOKUP(B39,input_476010!L:R,7,FALSE),VLOOKUP(tables_476010!C39,input_476010!A:H,8,FALSE))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input_476010!A$2</f>
        <v>476010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IFERROR(VLOOKUP(B40,input_476010!L:R,7,FALSE),VLOOKUP(tables_476010!C40,input_476010!A:H,8,FALSE))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input_476010!A$2</f>
        <v>476010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IFERROR(VLOOKUP(B41,input_476010!L:R,7,FALSE),VLOOKUP(tables_476010!C41,input_476010!A:H,8,FALSE))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input_476010!A$2</f>
        <v>476010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IFERROR(VLOOKUP(B42,input_476010!L:R,7,FALSE),VLOOKUP(tables_476010!C42,input_476010!A:H,8,FALSE))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input_476010!A$2</f>
        <v>476010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IFERROR(VLOOKUP(B43,input_476010!L:R,7,FALSE),VLOOKUP(tables_476010!C43,input_476010!A:H,8,FALSE))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input_476010!A$2</f>
        <v>476010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IFERROR(VLOOKUP(B44,input_476010!L:R,7,FALSE),VLOOKUP(tables_476010!C44,input_476010!A:H,8,FALSE))</f>
        <v>0</v>
      </c>
      <c r="P44" s="46">
        <f t="shared" ca="1" si="1"/>
        <v>0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input_476010!A$2</f>
        <v>476010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IFERROR(VLOOKUP(B45,input_476010!L:R,7,FALSE),VLOOKUP(tables_476010!C45,input_476010!A:H,8,FALSE))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input_476010!A$2</f>
        <v>476010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IFERROR(VLOOKUP(B46,input_476010!L:R,7,FALSE),VLOOKUP(tables_476010!C46,input_476010!A:H,8,FALSE))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input_476010!A$2</f>
        <v>476010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IFERROR(VLOOKUP(B47,input_476010!L:R,7,FALSE),VLOOKUP(tables_476010!C47,input_476010!A:H,8,FALSE))</f>
        <v>0</v>
      </c>
      <c r="P47" s="46">
        <f t="shared" ca="1" si="1"/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input_476010!A$2</f>
        <v>476010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IFERROR(VLOOKUP(B48,input_476010!L:R,7,FALSE),VLOOKUP(tables_476010!C48,input_476010!A:H,8,FALSE))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input_476010!A$2</f>
        <v>476010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IFERROR(VLOOKUP(B49,input_476010!L:R,7,FALSE),VLOOKUP(tables_476010!C49,input_476010!A:H,8,FALSE))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input_476010!A$2</f>
        <v>476010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IFERROR(VLOOKUP(B50,input_476010!L:R,7,FALSE),VLOOKUP(tables_476010!C50,input_476010!A:H,8,FALSE))</f>
        <v>0</v>
      </c>
      <c r="P50" s="46">
        <f t="shared" ca="1" si="1"/>
        <v>0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input_476010!A$2</f>
        <v>476010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IFERROR(VLOOKUP(B51,input_476010!L:R,7,FALSE),VLOOKUP(tables_476010!C51,input_476010!A:H,8,FALSE))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input_476010!A$2</f>
        <v>476010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IFERROR(VLOOKUP(B52,input_476010!L:R,7,FALSE),VLOOKUP(tables_476010!C52,input_476010!A:H,8,FALSE))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input_476010!A$2</f>
        <v>476010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IFERROR(VLOOKUP(B53,input_476010!L:R,7,FALSE),VLOOKUP(tables_476010!C53,input_476010!A:H,8,FALSE))</f>
        <v>0</v>
      </c>
      <c r="P53" s="46">
        <f t="shared" ca="1" si="1"/>
        <v>0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input_476010!A$2</f>
        <v>476010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IFERROR(VLOOKUP(B54,input_476010!L:R,7,FALSE),VLOOKUP(tables_476010!C54,input_476010!A:H,8,FALSE))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input_476010!A$2</f>
        <v>476010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IFERROR(VLOOKUP(B55,input_476010!L:R,7,FALSE),VLOOKUP(tables_476010!C55,input_476010!A:H,8,FALSE))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input_476010!A$2</f>
        <v>476010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IFERROR(VLOOKUP(B56,input_476010!L:R,7,FALSE),VLOOKUP(tables_476010!C56,input_476010!A:H,8,FALSE))</f>
        <v>0</v>
      </c>
      <c r="P56" s="46">
        <f t="shared" ca="1" si="1"/>
        <v>0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input_476010!A$2</f>
        <v>476010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IFERROR(VLOOKUP(B57,input_476010!L:R,7,FALSE),VLOOKUP(tables_476010!C57,input_476010!A:H,8,FALSE))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input_476010!A$2</f>
        <v>476010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IFERROR(VLOOKUP(B58,input_476010!L:R,7,FALSE),VLOOKUP(tables_476010!C58,input_476010!A:H,8,FALSE))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input_476010!A$2</f>
        <v>476010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IFERROR(VLOOKUP(B59,input_476010!L:R,7,FALSE),VLOOKUP(tables_476010!C59,input_476010!A:H,8,FALSE))</f>
        <v>0</v>
      </c>
      <c r="P59" s="46">
        <f t="shared" ca="1" si="1"/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input_476010!A$2</f>
        <v>476010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IFERROR(VLOOKUP(B60,input_476010!L:R,7,FALSE),VLOOKUP(tables_476010!C60,input_476010!A:H,8,FALSE))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input_476010!A$2</f>
        <v>476010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IFERROR(VLOOKUP(B61,input_476010!L:R,7,FALSE),VLOOKUP(tables_476010!C61,input_476010!A:H,8,FALSE))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input_476010!A$2</f>
        <v>476010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IFERROR(VLOOKUP(B62,input_476010!L:R,7,FALSE),VLOOKUP(tables_476010!C62,input_476010!A:H,8,FALSE))</f>
        <v>0</v>
      </c>
      <c r="P62" s="46">
        <f t="shared" ca="1" si="1"/>
        <v>0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input_476010!A$2</f>
        <v>476010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IFERROR(VLOOKUP(B63,input_476010!L:R,7,FALSE),VLOOKUP(tables_476010!C63,input_476010!A:H,8,FALSE))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input_476010!A$2</f>
        <v>476010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IFERROR(VLOOKUP(B64,input_476010!L:R,7,FALSE),VLOOKUP(tables_476010!C64,input_476010!A:H,8,FALSE))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input_476010!A$2</f>
        <v>476010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IFERROR(VLOOKUP(B65,input_476010!L:R,7,FALSE),VLOOKUP(tables_476010!C65,input_476010!A:H,8,FALSE))</f>
        <v>0</v>
      </c>
      <c r="P65" s="46">
        <f t="shared" ca="1" si="1"/>
        <v>0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input_476010!A$2</f>
        <v>476010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IFERROR(VLOOKUP(B66,input_476010!L:R,7,FALSE),VLOOKUP(tables_476010!C66,input_476010!A:H,8,FALSE))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input_476010!A$2</f>
        <v>476010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IFERROR(VLOOKUP(B67,input_476010!L:R,7,FALSE),VLOOKUP(tables_476010!C67,input_476010!A:H,8,FALSE))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input_476010!A$2</f>
        <v>476010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IFERROR(VLOOKUP(B68,input_476010!L:R,7,FALSE),VLOOKUP(tables_476010!C68,input_476010!A:H,8,FALSE))</f>
        <v>0</v>
      </c>
      <c r="P68" s="46">
        <f t="shared" ca="1" si="4"/>
        <v>0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input_476010!A$2</f>
        <v>476010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IFERROR(VLOOKUP(B69,input_476010!L:R,7,FALSE),VLOOKUP(tables_476010!C69,input_476010!A:H,8,FALSE))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input_476010!A$2</f>
        <v>476010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IFERROR(VLOOKUP(B70,input_476010!L:R,7,FALSE),VLOOKUP(tables_476010!C70,input_476010!A:H,8,FALSE))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input_476010!A$2</f>
        <v>476010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IFERROR(VLOOKUP(B71,input_476010!L:R,7,FALSE),VLOOKUP(tables_476010!C71,input_476010!A:H,8,FALSE))</f>
        <v>0</v>
      </c>
      <c r="P71" s="46">
        <f t="shared" ca="1" si="4"/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input_476010!A$2</f>
        <v>476010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IFERROR(VLOOKUP(B72,input_476010!L:R,7,FALSE),VLOOKUP(tables_476010!C72,input_476010!A:H,8,FALSE))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input_476010!A$2</f>
        <v>476010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IFERROR(VLOOKUP(B73,input_476010!L:R,7,FALSE),VLOOKUP(tables_476010!C73,input_476010!A:H,8,FALSE))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input_476010!A$2</f>
        <v>476010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IFERROR(VLOOKUP(B74,input_476010!L:R,7,FALSE),VLOOKUP(tables_476010!C74,input_476010!A:H,8,FALSE))</f>
        <v>0</v>
      </c>
      <c r="P74" s="46">
        <f t="shared" ca="1" si="4"/>
        <v>0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input_476010!A$2</f>
        <v>476010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IFERROR(VLOOKUP(B75,input_476010!L:R,7,FALSE),VLOOKUP(tables_476010!C75,input_476010!A:H,8,FALSE))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input_476010!A$2</f>
        <v>476010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IFERROR(VLOOKUP(B76,input_476010!L:R,7,FALSE),VLOOKUP(tables_476010!C76,input_476010!A:H,8,FALSE))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input_476010!A$2</f>
        <v>476010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IFERROR(VLOOKUP(B77,input_476010!L:R,7,FALSE),VLOOKUP(tables_476010!C77,input_476010!A:H,8,FALSE))</f>
        <v>0</v>
      </c>
      <c r="P77" s="46">
        <f t="shared" ca="1" si="4"/>
        <v>0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input_476010!A$2</f>
        <v>476010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IFERROR(VLOOKUP(B78,input_476010!L:R,7,FALSE),VLOOKUP(tables_476010!C78,input_476010!A:H,8,FALSE))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input_476010!A$2</f>
        <v>476010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IFERROR(VLOOKUP(B79,input_476010!L:R,7,FALSE),VLOOKUP(tables_476010!C79,input_476010!A:H,8,FALSE))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input_476010!A$2</f>
        <v>476010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IFERROR(VLOOKUP(B80,input_476010!L:R,7,FALSE),VLOOKUP(tables_476010!C80,input_476010!A:H,8,FALSE))</f>
        <v>0</v>
      </c>
      <c r="P80" s="46">
        <f t="shared" ca="1" si="4"/>
        <v>0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input_476010!A$2</f>
        <v>476010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IFERROR(VLOOKUP(B81,input_476010!L:R,7,FALSE),VLOOKUP(tables_476010!C81,input_476010!A:H,8,FALSE))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input_476010!A$2</f>
        <v>476010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IFERROR(VLOOKUP(B82,input_476010!L:R,7,FALSE),VLOOKUP(tables_476010!C82,input_476010!A:H,8,FALSE))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input_476010!A$2</f>
        <v>476010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IFERROR(VLOOKUP(B83,input_476010!L:R,7,FALSE),VLOOKUP(tables_476010!C83,input_476010!A:H,8,FALSE))</f>
        <v>0</v>
      </c>
      <c r="P83" s="46">
        <f t="shared" ca="1" si="4"/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input_476010!A$2</f>
        <v>476010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IFERROR(VLOOKUP(B84,input_476010!L:R,7,FALSE),VLOOKUP(tables_476010!C84,input_476010!A:H,8,FALSE))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input_476010!A$2</f>
        <v>476010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IFERROR(VLOOKUP(B85,input_476010!L:R,7,FALSE),VLOOKUP(tables_476010!C85,input_476010!A:H,8,FALSE))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input_476010!A$2</f>
        <v>476010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IFERROR(VLOOKUP(B86,input_476010!L:R,7,FALSE),VLOOKUP(tables_476010!C86,input_476010!A:H,8,FALSE))</f>
        <v>0</v>
      </c>
      <c r="P86" s="46">
        <f t="shared" ca="1" si="4"/>
        <v>0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input_476010!A$2</f>
        <v>476010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IFERROR(VLOOKUP(B87,input_476010!L:R,7,FALSE),VLOOKUP(tables_476010!C87,input_476010!A:H,8,FALSE))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input_476010!A$2</f>
        <v>476010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IFERROR(VLOOKUP(B88,input_476010!L:R,7,FALSE),VLOOKUP(tables_476010!C88,input_476010!A:H,8,FALSE))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input_476010!A$2</f>
        <v>476010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IFERROR(VLOOKUP(B89,input_476010!L:R,7,FALSE),VLOOKUP(tables_476010!C89,input_476010!A:H,8,FALSE))</f>
        <v>0</v>
      </c>
      <c r="P89" s="46">
        <f t="shared" ca="1" si="4"/>
        <v>0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input_476010!A$2</f>
        <v>476010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IFERROR(VLOOKUP(B90,input_476010!L:R,7,FALSE),VLOOKUP(tables_476010!C90,input_476010!A:H,8,FALSE))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input_476010!A$2</f>
        <v>476010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IFERROR(VLOOKUP(B91,input_476010!L:R,7,FALSE),VLOOKUP(tables_476010!C91,input_476010!A:H,8,FALSE))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input_476010!A$2</f>
        <v>476010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IFERROR(VLOOKUP(B92,input_476010!L:R,7,FALSE),VLOOKUP(tables_476010!C92,input_476010!A:H,8,FALSE))</f>
        <v>0</v>
      </c>
      <c r="P92" s="46">
        <f t="shared" ca="1" si="4"/>
        <v>0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input_476010!A$2</f>
        <v>476010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IFERROR(VLOOKUP(B93,input_476010!L:R,7,FALSE),VLOOKUP(tables_476010!C93,input_476010!A:H,8,FALSE))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input_476010!A$2</f>
        <v>476010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IFERROR(VLOOKUP(B94,input_476010!L:R,7,FALSE),VLOOKUP(tables_476010!C94,input_476010!A:H,8,FALSE))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input_476010!A$2</f>
        <v>476010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IFERROR(VLOOKUP(B95,input_476010!L:R,7,FALSE),VLOOKUP(tables_476010!C95,input_476010!A:H,8,FALSE))</f>
        <v>0</v>
      </c>
      <c r="P95" s="46">
        <f t="shared" ca="1" si="4"/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input_476010!A$2</f>
        <v>476010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IFERROR(VLOOKUP(B96,input_476010!L:R,7,FALSE),VLOOKUP(tables_476010!C96,input_476010!A:H,8,FALSE))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input_476010!A$2</f>
        <v>476010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IFERROR(VLOOKUP(B97,input_476010!L:R,7,FALSE),VLOOKUP(tables_476010!C97,input_476010!A:H,8,FALSE))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input_476010!A$2</f>
        <v>476010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IFERROR(VLOOKUP(B98,input_476010!L:R,7,FALSE),VLOOKUP(tables_476010!C98,input_476010!A:H,8,FALSE))</f>
        <v>0</v>
      </c>
      <c r="P98" s="46">
        <f t="shared" ca="1" si="4"/>
        <v>0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input_476010!A$2</f>
        <v>476010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IFERROR(VLOOKUP(B99,input_476010!L:R,7,FALSE),VLOOKUP(tables_476010!C99,input_476010!A:H,8,FALSE))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input_476010!A$2</f>
        <v>476010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IFERROR(VLOOKUP(B100,input_476010!L:R,7,FALSE),VLOOKUP(tables_476010!C100,input_476010!A:H,8,FALSE))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input_476010!A$2</f>
        <v>476010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IFERROR(VLOOKUP(B101,input_476010!L:R,7,FALSE),VLOOKUP(tables_476010!C101,input_476010!A:H,8,FALSE))</f>
        <v>0</v>
      </c>
      <c r="P101" s="46">
        <f t="shared" ca="1" si="4"/>
        <v>0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input_476010!A$2</f>
        <v>476010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IFERROR(VLOOKUP(B102,input_476010!L:R,7,FALSE),VLOOKUP(tables_476010!C102,input_476010!A:H,8,FALSE))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input_476010!A$2</f>
        <v>476010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IFERROR(VLOOKUP(B103,input_476010!L:R,7,FALSE),VLOOKUP(tables_476010!C103,input_476010!A:H,8,FALSE))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input_476010!A$2</f>
        <v>476010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IFERROR(VLOOKUP(B104,input_476010!L:R,7,FALSE),VLOOKUP(tables_476010!C104,input_476010!A:H,8,FALSE))</f>
        <v>0</v>
      </c>
      <c r="P104" s="46">
        <f t="shared" ca="1" si="4"/>
        <v>0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input_476010!A$2</f>
        <v>476010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IFERROR(VLOOKUP(B105,input_476010!L:R,7,FALSE),VLOOKUP(tables_476010!C105,input_476010!A:H,8,FALSE))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input_476010!A$2</f>
        <v>476010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IFERROR(VLOOKUP(B106,input_476010!L:R,7,FALSE),VLOOKUP(tables_476010!C106,input_476010!A:H,8,FALSE))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input_476010!A$2</f>
        <v>476010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IFERROR(VLOOKUP(B107,input_476010!L:R,7,FALSE),VLOOKUP(tables_476010!C107,input_476010!A:H,8,FALSE))</f>
        <v>0</v>
      </c>
      <c r="P107" s="46">
        <f t="shared" ca="1" si="4"/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input_476010!A$2</f>
        <v>476010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IFERROR(VLOOKUP(B108,input_476010!L:R,7,FALSE),VLOOKUP(tables_476010!C108,input_476010!A:H,8,FALSE))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input_476010!A$2</f>
        <v>476010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IFERROR(VLOOKUP(B109,input_476010!L:R,7,FALSE),VLOOKUP(tables_476010!C109,input_476010!A:H,8,FALSE))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input_476010!A$2</f>
        <v>476010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IFERROR(VLOOKUP(B110,input_476010!L:R,7,FALSE),VLOOKUP(tables_476010!C110,input_476010!A:H,8,FALSE))</f>
        <v>0</v>
      </c>
      <c r="P110" s="46">
        <f t="shared" ca="1" si="4"/>
        <v>0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input_476010!A$2</f>
        <v>476010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IFERROR(VLOOKUP(B111,input_476010!L:R,7,FALSE),VLOOKUP(tables_476010!C111,input_476010!A:H,8,FALSE))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input_476010!A$2</f>
        <v>476010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IFERROR(VLOOKUP(B112,input_476010!L:R,7,FALSE),VLOOKUP(tables_476010!C112,input_476010!A:H,8,FALSE))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input_476010!A$2</f>
        <v>476010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IFERROR(VLOOKUP(B113,input_476010!L:R,7,FALSE),VLOOKUP(tables_476010!C113,input_476010!A:H,8,FALSE))</f>
        <v>0</v>
      </c>
      <c r="P113" s="46">
        <f t="shared" ca="1" si="4"/>
        <v>0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input_476010!A$2</f>
        <v>476010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IFERROR(VLOOKUP(B114,input_476010!L:R,7,FALSE),VLOOKUP(tables_476010!C114,input_476010!A:H,8,FALSE))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input_476010!A$2</f>
        <v>476010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IFERROR(VLOOKUP(B115,input_476010!L:R,7,FALSE),VLOOKUP(tables_476010!C115,input_476010!A:H,8,FALSE))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input_476010!A$2</f>
        <v>476010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IFERROR(VLOOKUP(B116,input_476010!L:R,7,FALSE),VLOOKUP(tables_476010!C116,input_476010!A:H,8,FALSE))</f>
        <v>0</v>
      </c>
      <c r="P116" s="46">
        <f t="shared" ca="1" si="4"/>
        <v>0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input_476010!A$2</f>
        <v>476010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IFERROR(VLOOKUP(B117,input_476010!L:R,7,FALSE),VLOOKUP(tables_476010!C117,input_476010!A:H,8,FALSE))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input_476010!A$2</f>
        <v>476010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IFERROR(VLOOKUP(B118,input_476010!L:R,7,FALSE),VLOOKUP(tables_476010!C118,input_476010!A:H,8,FALSE))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input_476010!A$2</f>
        <v>476010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IFERROR(VLOOKUP(B119,input_476010!L:R,7,FALSE),VLOOKUP(tables_476010!C119,input_476010!A:H,8,FALSE))</f>
        <v>0</v>
      </c>
      <c r="P119" s="46">
        <f t="shared" ca="1" si="4"/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input_476010!A$2</f>
        <v>476010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IFERROR(VLOOKUP(B120,input_476010!L:R,7,FALSE),VLOOKUP(tables_476010!C120,input_476010!A:H,8,FALSE))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input_476010!A$2</f>
        <v>476010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IFERROR(VLOOKUP(B121,input_476010!L:R,7,FALSE),VLOOKUP(tables_476010!C121,input_476010!A:H,8,FALSE))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input_476010!A$2</f>
        <v>476010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IFERROR(VLOOKUP(B122,input_476010!L:R,7,FALSE),VLOOKUP(tables_476010!C122,input_476010!A:H,8,FALSE))</f>
        <v>0</v>
      </c>
      <c r="P122" s="46">
        <f t="shared" ca="1" si="4"/>
        <v>0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input_476010!A$2</f>
        <v>476010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IFERROR(VLOOKUP(B123,input_476010!L:R,7,FALSE),VLOOKUP(tables_476010!C123,input_476010!A:H,8,FALSE))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input_476010!A$2</f>
        <v>476010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IFERROR(VLOOKUP(B124,input_476010!L:R,7,FALSE),VLOOKUP(tables_476010!C124,input_476010!A:H,8,FALSE))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input_476010!A$2</f>
        <v>476010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IFERROR(VLOOKUP(B125,input_476010!L:R,7,FALSE),VLOOKUP(tables_476010!C125,input_476010!A:H,8,FALSE))</f>
        <v>0</v>
      </c>
      <c r="P125" s="46">
        <f t="shared" ca="1" si="4"/>
        <v>0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input_476010!A$2</f>
        <v>476010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IFERROR(VLOOKUP(B126,input_476010!L:R,7,FALSE),VLOOKUP(tables_476010!C126,input_476010!A:H,8,FALSE))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input_476010!A$2</f>
        <v>476010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IFERROR(VLOOKUP(B127,input_476010!L:R,7,FALSE),VLOOKUP(tables_476010!C127,input_476010!A:H,8,FALSE))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input_476010!A$2</f>
        <v>476010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IFERROR(VLOOKUP(B128,input_476010!L:R,7,FALSE),VLOOKUP(tables_476010!C128,input_476010!A:H,8,FALSE))</f>
        <v>0</v>
      </c>
      <c r="P128" s="46">
        <f t="shared" ca="1" si="4"/>
        <v>0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input_476010!A$2</f>
        <v>476010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IFERROR(VLOOKUP(B129,input_476010!L:R,7,FALSE),VLOOKUP(tables_476010!C129,input_476010!A:H,8,FALSE))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input_476010!A$2</f>
        <v>476010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IFERROR(VLOOKUP(B130,input_476010!L:R,7,FALSE),VLOOKUP(tables_476010!C130,input_476010!A:H,8,FALSE))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input_476010!A$2</f>
        <v>476010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IFERROR(VLOOKUP(B131,input_476010!L:R,7,FALSE),VLOOKUP(tables_476010!C131,input_476010!A:H,8,FALSE))</f>
        <v>0</v>
      </c>
      <c r="P131" s="46">
        <f t="shared" ca="1" si="7"/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input_476010!A$2</f>
        <v>476010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IFERROR(VLOOKUP(B132,input_476010!L:R,7,FALSE),VLOOKUP(tables_476010!C132,input_476010!A:H,8,FALSE))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input_476010!A$2</f>
        <v>476010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IFERROR(VLOOKUP(B133,input_476010!L:R,7,FALSE),VLOOKUP(tables_476010!C133,input_476010!A:H,8,FALSE))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input_476010!A$2</f>
        <v>476010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IFERROR(VLOOKUP(B134,input_476010!L:R,7,FALSE),VLOOKUP(tables_476010!C134,input_476010!A:H,8,FALSE))</f>
        <v>0</v>
      </c>
      <c r="P134" s="46">
        <f t="shared" ca="1" si="7"/>
        <v>0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input_476010!A$2</f>
        <v>476010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IFERROR(VLOOKUP(B135,input_476010!L:R,7,FALSE),VLOOKUP(tables_476010!C135,input_476010!A:H,8,FALSE))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input_476010!A$2</f>
        <v>476010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IFERROR(VLOOKUP(B136,input_476010!L:R,7,FALSE),VLOOKUP(tables_476010!C136,input_476010!A:H,8,FALSE))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input_476010!A$2</f>
        <v>476010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IFERROR(VLOOKUP(B137,input_476010!L:R,7,FALSE),VLOOKUP(tables_476010!C137,input_476010!A:H,8,FALSE))</f>
        <v>0</v>
      </c>
      <c r="P137" s="46">
        <f t="shared" ca="1" si="7"/>
        <v>0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input_476010!A$2</f>
        <v>476010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IFERROR(VLOOKUP(B138,input_476010!L:R,7,FALSE),VLOOKUP(tables_476010!C138,input_476010!A:H,8,FALSE))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input_476010!A$2</f>
        <v>476010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IFERROR(VLOOKUP(B139,input_476010!L:R,7,FALSE),VLOOKUP(tables_476010!C139,input_476010!A:H,8,FALSE))</f>
        <v>620000</v>
      </c>
      <c r="P139" s="46">
        <f t="shared" ca="1" si="7"/>
        <v>1.7543859649122806E-2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input_476010!A$2</f>
        <v>476010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IFERROR(VLOOKUP(B140,input_476010!L:R,7,FALSE),VLOOKUP(tables_476010!C140,input_476010!A:H,8,FALSE))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input_476010!A$2</f>
        <v>476010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v>0</v>
      </c>
      <c r="P141" s="46">
        <f t="shared" ca="1" si="7"/>
        <v>0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input_476010!A$2</f>
        <v>476010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IFERROR(VLOOKUP(B142,input_476010!L:R,7,FALSE),VLOOKUP(tables_476010!C142,input_476010!A:H,8,FALSE))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input_476010!A$2</f>
        <v>476010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IFERROR(VLOOKUP(B143,input_476010!L:R,7,FALSE),VLOOKUP(tables_476010!C143,input_476010!A:H,8,FALSE))</f>
        <v>620000</v>
      </c>
      <c r="P143" s="46">
        <f t="shared" ca="1" si="7"/>
        <v>1.7543859649122806E-2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input_476010!A$2</f>
        <v>476010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IFERROR(VLOOKUP(B144,input_476010!L:R,7,FALSE),VLOOKUP(tables_476010!C144,input_476010!A:H,8,FALSE))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input_476010!A$2</f>
        <v>476010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v>0</v>
      </c>
      <c r="P145" s="46">
        <f t="shared" ca="1" si="7"/>
        <v>0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input_476010!A$2</f>
        <v>476010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IFERROR(VLOOKUP(B146,input_476010!L:R,7,FALSE),VLOOKUP(tables_476010!C146,input_476010!A:H,8,FALSE))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input_476010!A$2</f>
        <v>476010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IFERROR(VLOOKUP(B147,input_476010!L:R,7,FALSE),VLOOKUP(tables_476010!C147,input_476010!A:H,8,FALSE))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input_476010!A$2</f>
        <v>476010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IFERROR(VLOOKUP(B148,input_476010!L:R,7,FALSE),VLOOKUP(tables_476010!C148,input_476010!A:H,8,FALSE))</f>
        <v>0</v>
      </c>
      <c r="P148" s="46">
        <f t="shared" ca="1" si="7"/>
        <v>0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input_476010!A$2</f>
        <v>476010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IFERROR(VLOOKUP(B149,input_476010!L:R,7,FALSE),VLOOKUP(tables_476010!C149,input_476010!A:H,8,FALSE))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input_476010!A$2</f>
        <v>476010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IFERROR(VLOOKUP(B150,input_476010!L:R,7,FALSE),VLOOKUP(tables_476010!C150,input_476010!A:H,8,FALSE))</f>
        <v>620000</v>
      </c>
      <c r="P150" s="46">
        <f t="shared" ca="1" si="7"/>
        <v>1.7543859649122806E-2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input_476010!A$2</f>
        <v>476010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IFERROR(VLOOKUP(B151,input_476010!L:R,7,FALSE),VLOOKUP(tables_476010!C151,input_476010!A:H,8,FALSE))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input_476010!A$2</f>
        <v>476010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IFERROR(VLOOKUP(B152,input_476010!L:R,7,FALSE),VLOOKUP(tables_476010!C152,input_476010!A:H,8,FALSE))</f>
        <v>620000</v>
      </c>
      <c r="P152" s="46">
        <f t="shared" ca="1" si="7"/>
        <v>1.7543859649122806E-2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input_476010!A$2</f>
        <v>476010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IFERROR(VLOOKUP(B153,input_476010!L:R,7,FALSE),VLOOKUP(tables_476010!C153,input_476010!A:H,8,FALSE))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input_476010!A$2</f>
        <v>476010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IFERROR(VLOOKUP(B154,input_476010!L:R,7,FALSE),VLOOKUP(tables_476010!C154,input_476010!A:H,8,FALSE))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input_476010!A$2</f>
        <v>476010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IFERROR(VLOOKUP(B155,input_476010!L:R,7,FALSE),VLOOKUP(tables_476010!C155,input_476010!A:H,8,FALSE))</f>
        <v>0</v>
      </c>
      <c r="P155" s="46">
        <f t="shared" ca="1" si="7"/>
        <v>0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input_476010!A$2</f>
        <v>476010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IFERROR(VLOOKUP(B156,input_476010!L:R,7,FALSE),VLOOKUP(tables_476010!C156,input_476010!A:H,8,FALSE))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input_476010!A$2</f>
        <v>476010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IFERROR(VLOOKUP(B157,input_476010!L:R,7,FALSE),VLOOKUP(tables_476010!C157,input_476010!A:H,8,FALSE))</f>
        <v>620000</v>
      </c>
      <c r="P157" s="46">
        <f t="shared" ca="1" si="7"/>
        <v>1.7543859649122806E-2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input_476010!A$2</f>
        <v>476010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IFERROR(VLOOKUP(B158,input_476010!L:R,7,FALSE),VLOOKUP(tables_476010!C158,input_476010!A:H,8,FALSE))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input_476010!A$2</f>
        <v>476010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IFERROR(VLOOKUP(B159,input_476010!L:R,7,FALSE),VLOOKUP(tables_476010!C159,input_476010!A:H,8,FALSE))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input_476010!A$2</f>
        <v>476010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IFERROR(VLOOKUP(B160,input_476010!L:R,7,FALSE),VLOOKUP(tables_476010!C160,input_476010!A:H,8,FALSE))</f>
        <v>0</v>
      </c>
      <c r="P160" s="46">
        <f t="shared" ca="1" si="7"/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input_476010!A$2</f>
        <v>476010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IFERROR(VLOOKUP(B161,input_476010!L:R,7,FALSE),VLOOKUP(tables_476010!C161,input_476010!A:H,8,FALSE))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input_476010!A$2</f>
        <v>476010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IFERROR(VLOOKUP(B162,input_476010!L:R,7,FALSE),VLOOKUP(tables_476010!C162,input_476010!A:H,8,FALSE))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input_476010!A$2</f>
        <v>476010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IFERROR(VLOOKUP(B163,input_476010!L:R,7,FALSE),VLOOKUP(tables_476010!C163,input_476010!A:H,8,FALSE))</f>
        <v>0</v>
      </c>
      <c r="P163" s="46">
        <f t="shared" ca="1" si="7"/>
        <v>0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input_476010!A$2</f>
        <v>476010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IFERROR(VLOOKUP(B164,input_476010!L:R,7,FALSE),VLOOKUP(tables_476010!C164,input_476010!A:H,8,FALSE))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input_476010!A$2</f>
        <v>476010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IFERROR(VLOOKUP(B165,input_476010!L:R,7,FALSE),VLOOKUP(tables_476010!C165,input_476010!A:H,8,FALSE))</f>
        <v>620000</v>
      </c>
      <c r="P165" s="46">
        <f t="shared" ca="1" si="7"/>
        <v>1.7543859649122806E-2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input_476010!A$2</f>
        <v>476010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IFERROR(VLOOKUP(B166,input_476010!L:R,7,FALSE),VLOOKUP(tables_476010!C166,input_476010!A:H,8,FALSE))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input_476010!A$2</f>
        <v>476010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IFERROR(VLOOKUP(B167,input_476010!L:R,7,FALSE),VLOOKUP(tables_476010!C167,input_476010!A:H,8,FALSE))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input_476010!A$2</f>
        <v>476010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IFERROR(VLOOKUP(B168,input_476010!L:R,7,FALSE),VLOOKUP(tables_476010!C168,input_476010!A:H,8,FALSE))</f>
        <v>0</v>
      </c>
      <c r="P168" s="46">
        <f t="shared" ca="1" si="7"/>
        <v>0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input_476010!A$2</f>
        <v>476010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IFERROR(VLOOKUP(B169,input_476010!L:R,7,FALSE),VLOOKUP(tables_476010!C169,input_476010!A:H,8,FALSE))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input_476010!A$2</f>
        <v>476010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IFERROR(VLOOKUP(B170,input_476010!L:R,7,FALSE),VLOOKUP(tables_476010!C170,input_476010!A:H,8,FALSE))</f>
        <v>620000</v>
      </c>
      <c r="P170" s="46">
        <f t="shared" ca="1" si="7"/>
        <v>1.7543859649122806E-2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input_476010!A$2</f>
        <v>476010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IFERROR(VLOOKUP(B171,input_476010!L:R,7,FALSE),VLOOKUP(tables_476010!C171,input_476010!A:H,8,FALSE))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input_476010!A$2</f>
        <v>476010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IFERROR(VLOOKUP(B172,input_476010!L:R,7,FALSE),VLOOKUP(tables_476010!C172,input_476010!A:H,8,FALSE))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input_476010!A$2</f>
        <v>476010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IFERROR(VLOOKUP(B173,input_476010!L:R,7,FALSE),VLOOKUP(tables_476010!C173,input_476010!A:H,8,FALSE))</f>
        <v>0</v>
      </c>
      <c r="P173" s="46">
        <f t="shared" ca="1" si="7"/>
        <v>0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input_476010!A$2</f>
        <v>476010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IFERROR(VLOOKUP(B174,input_476010!L:R,7,FALSE),VLOOKUP(tables_476010!C174,input_476010!A:H,8,FALSE))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input_476010!A$2</f>
        <v>476010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v>0</v>
      </c>
      <c r="P175" s="46">
        <f t="shared" ca="1" si="7"/>
        <v>0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input_476010!A$2</f>
        <v>476010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IFERROR(VLOOKUP(B176,input_476010!L:R,7,FALSE),VLOOKUP(tables_476010!C176,input_476010!A:H,8,FALSE))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input_476010!A$2</f>
        <v>476010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IFERROR(VLOOKUP(B177,input_476010!L:R,7,FALSE),VLOOKUP(tables_476010!C177,input_476010!A:H,8,FALSE))</f>
        <v>620000</v>
      </c>
      <c r="P177" s="46">
        <f t="shared" ca="1" si="7"/>
        <v>1.7543859649122806E-2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input_476010!A$2</f>
        <v>476010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IFERROR(VLOOKUP(B178,input_476010!L:R,7,FALSE),VLOOKUP(tables_476010!C178,input_476010!A:H,8,FALSE))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input_476010!A$2</f>
        <v>476010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IFERROR(VLOOKUP(B179,input_476010!L:R,7,FALSE),VLOOKUP(tables_476010!C179,input_476010!A:H,8,FALSE))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input_476010!A$2</f>
        <v>476010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IFERROR(VLOOKUP(B180,input_476010!L:R,7,FALSE),VLOOKUP(tables_476010!C180,input_476010!A:H,8,FALSE))</f>
        <v>0</v>
      </c>
      <c r="P180" s="46">
        <f t="shared" ca="1" si="7"/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input_476010!A$2</f>
        <v>476010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IFERROR(VLOOKUP(B181,input_476010!L:R,7,FALSE),VLOOKUP(tables_476010!C181,input_476010!A:H,8,FALSE))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input_476010!A$2</f>
        <v>476010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IFERROR(VLOOKUP(B182,input_476010!L:R,7,FALSE),VLOOKUP(tables_476010!C182,input_476010!A:H,8,FALSE))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input_476010!A$2</f>
        <v>476010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IFERROR(VLOOKUP(B183,input_476010!L:R,7,FALSE),VLOOKUP(tables_476010!C183,input_476010!A:H,8,FALSE))</f>
        <v>0</v>
      </c>
      <c r="P183" s="46">
        <f t="shared" ca="1" si="7"/>
        <v>0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input_476010!A$2</f>
        <v>476010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IFERROR(VLOOKUP(B184,input_476010!L:R,7,FALSE),VLOOKUP(tables_476010!C184,input_476010!A:H,8,FALSE))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input_476010!A$2</f>
        <v>476010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v>0</v>
      </c>
      <c r="P185" s="46">
        <f t="shared" ca="1" si="7"/>
        <v>0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input_476010!A$2</f>
        <v>476010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IFERROR(VLOOKUP(B186,input_476010!L:R,7,FALSE),VLOOKUP(tables_476010!C186,input_476010!A:H,8,FALSE))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input_476010!A$2</f>
        <v>476010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IFERROR(VLOOKUP(B187,input_476010!L:R,7,FALSE),VLOOKUP(tables_476010!C187,input_476010!A:H,8,FALSE))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input_476010!A$2</f>
        <v>476010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IFERROR(VLOOKUP(B188,input_476010!L:R,7,FALSE),VLOOKUP(tables_476010!C188,input_476010!A:H,8,FALSE))</f>
        <v>0</v>
      </c>
      <c r="P188" s="46">
        <f t="shared" ca="1" si="7"/>
        <v>0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input_476010!A$2</f>
        <v>476010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IFERROR(VLOOKUP(B189,input_476010!L:R,7,FALSE),VLOOKUP(tables_476010!C189,input_476010!A:H,8,FALSE))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input_476010!A$2</f>
        <v>476010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IFERROR(VLOOKUP(B190,input_476010!L:R,7,FALSE),VLOOKUP(tables_476010!C190,input_476010!A:H,8,FALSE))</f>
        <v>620000</v>
      </c>
      <c r="P190" s="46">
        <f t="shared" ca="1" si="7"/>
        <v>1.7543859649122806E-2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input_476010!A$2</f>
        <v>476010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IFERROR(VLOOKUP(B191,input_476010!L:R,7,FALSE),VLOOKUP(tables_476010!C191,input_476010!A:H,8,FALSE))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input_476010!A$2</f>
        <v>476010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IFERROR(VLOOKUP(B192,input_476010!L:R,7,FALSE),VLOOKUP(tables_476010!C192,input_476010!A:H,8,FALSE))</f>
        <v>620000</v>
      </c>
      <c r="P192" s="46">
        <f t="shared" ca="1" si="7"/>
        <v>1.7543859649122806E-2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input_476010!A$2</f>
        <v>476010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IFERROR(VLOOKUP(B193,input_476010!L:R,7,FALSE),VLOOKUP(tables_476010!C193,input_476010!A:H,8,FALSE))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input_476010!A$2</f>
        <v>476010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IFERROR(VLOOKUP(B194,input_476010!L:R,7,FALSE),VLOOKUP(tables_476010!C194,input_476010!A:H,8,FALSE))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input_476010!A$2</f>
        <v>476010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IFERROR(VLOOKUP(B195,input_476010!L:R,7,FALSE),VLOOKUP(tables_476010!C195,input_476010!A:H,8,FALSE))</f>
        <v>0</v>
      </c>
      <c r="P195" s="46">
        <f t="shared" ca="1" si="10"/>
        <v>0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input_476010!A$2</f>
        <v>476010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IFERROR(VLOOKUP(B196,input_476010!L:R,7,FALSE),VLOOKUP(tables_476010!C196,input_476010!A:H,8,FALSE))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input_476010!A$2</f>
        <v>476010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IFERROR(VLOOKUP(B197,input_476010!L:R,7,FALSE),VLOOKUP(tables_476010!C197,input_476010!A:H,8,FALSE))</f>
        <v>620000</v>
      </c>
      <c r="P197" s="46">
        <f t="shared" ca="1" si="10"/>
        <v>1.7543859649122806E-2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input_476010!A$2</f>
        <v>476010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IFERROR(VLOOKUP(B198,input_476010!L:R,7,FALSE),VLOOKUP(tables_476010!C198,input_476010!A:H,8,FALSE))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input_476010!A$2</f>
        <v>476010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IFERROR(VLOOKUP(B199,input_476010!L:R,7,FALSE),VLOOKUP(tables_476010!C199,input_476010!A:H,8,FALSE))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input_476010!A$2</f>
        <v>476010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IFERROR(VLOOKUP(B200,input_476010!L:R,7,FALSE),VLOOKUP(tables_476010!C200,input_476010!A:H,8,FALSE))</f>
        <v>0</v>
      </c>
      <c r="P200" s="46">
        <f t="shared" ca="1" si="10"/>
        <v>0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input_476010!A$2</f>
        <v>476010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IFERROR(VLOOKUP(B201,input_476010!L:R,7,FALSE),VLOOKUP(tables_476010!C201,input_476010!A:H,8,FALSE))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input_476010!A$2</f>
        <v>476010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v>0</v>
      </c>
      <c r="P202" s="46">
        <f t="shared" ca="1" si="10"/>
        <v>0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input_476010!A$2</f>
        <v>476010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IFERROR(VLOOKUP(B203,input_476010!L:R,7,FALSE),VLOOKUP(tables_476010!C203,input_476010!A:H,8,FALSE))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input_476010!A$2</f>
        <v>476010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IFERROR(VLOOKUP(B204,input_476010!L:R,7,FALSE),VLOOKUP(tables_476010!C204,input_476010!A:H,8,FALSE))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input_476010!A$2</f>
        <v>476010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IFERROR(VLOOKUP(B205,input_476010!L:R,7,FALSE),VLOOKUP(tables_476010!C205,input_476010!A:H,8,FALSE))</f>
        <v>0</v>
      </c>
      <c r="P205" s="46">
        <f t="shared" ca="1" si="10"/>
        <v>0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input_476010!A$2</f>
        <v>476010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IFERROR(VLOOKUP(B206,input_476010!L:R,7,FALSE),VLOOKUP(tables_476010!C206,input_476010!A:H,8,FALSE))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input_476010!A$2</f>
        <v>476010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IFERROR(VLOOKUP(B207,input_476010!L:R,7,FALSE),VLOOKUP(tables_476010!C207,input_476010!A:H,8,FALSE))</f>
        <v>620000</v>
      </c>
      <c r="P207" s="46">
        <f t="shared" ca="1" si="10"/>
        <v>1.7543859649122806E-2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input_476010!A$2</f>
        <v>476010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IFERROR(VLOOKUP(B208,input_476010!L:R,7,FALSE),VLOOKUP(tables_476010!C208,input_476010!A:H,8,FALSE))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input_476010!A$2</f>
        <v>476010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IFERROR(VLOOKUP(B209,input_476010!L:R,7,FALSE),VLOOKUP(tables_476010!C209,input_476010!A:H,8,FALSE))</f>
        <v>620000</v>
      </c>
      <c r="P209" s="46">
        <f t="shared" ca="1" si="10"/>
        <v>1.7543859649122806E-2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input_476010!A$2</f>
        <v>476010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IFERROR(VLOOKUP(B210,input_476010!L:R,7,FALSE),VLOOKUP(tables_476010!C210,input_476010!A:H,8,FALSE))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input_476010!A$2</f>
        <v>476010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IFERROR(VLOOKUP(B211,input_476010!L:R,7,FALSE),VLOOKUP(tables_476010!C211,input_476010!A:H,8,FALSE))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input_476010!A$2</f>
        <v>476010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IFERROR(VLOOKUP(B212,input_476010!L:R,7,FALSE),VLOOKUP(tables_476010!C212,input_476010!A:H,8,FALSE))</f>
        <v>0</v>
      </c>
      <c r="P212" s="46">
        <f t="shared" ca="1" si="10"/>
        <v>0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input_476010!A$2</f>
        <v>476010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IFERROR(VLOOKUP(B213,input_476010!L:R,7,FALSE),VLOOKUP(tables_476010!C213,input_476010!A:H,8,FALSE))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input_476010!A$2</f>
        <v>476010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IFERROR(VLOOKUP(B214,input_476010!L:R,7,FALSE),VLOOKUP(tables_476010!C214,input_476010!A:H,8,FALSE))</f>
        <v>620000</v>
      </c>
      <c r="P214" s="46">
        <f t="shared" ca="1" si="10"/>
        <v>1.7543859649122806E-2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input_476010!A$2</f>
        <v>476010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IFERROR(VLOOKUP(B215,input_476010!L:R,7,FALSE),VLOOKUP(tables_476010!C215,input_476010!A:H,8,FALSE))</f>
        <v>0</v>
      </c>
      <c r="P215" s="46">
        <f t="shared" ca="1" si="10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input_476010!A$2</f>
        <v>476010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IFERROR(VLOOKUP(B216,input_476010!L:R,7,FALSE),VLOOKUP(tables_476010!C216,input_476010!A:H,8,FALSE))</f>
        <v>0</v>
      </c>
      <c r="P216" s="46">
        <f t="shared" ca="1" si="10"/>
        <v>0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input_476010!A$2</f>
        <v>476010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IFERROR(VLOOKUP(B217,input_476010!L:R,7,FALSE),VLOOKUP(tables_476010!C217,input_476010!A:H,8,FALSE))</f>
        <v>0</v>
      </c>
      <c r="P217" s="46">
        <f t="shared" ca="1" si="10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input_476010!A$2</f>
        <v>476010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IFERROR(VLOOKUP(B218,input_476010!L:R,7,FALSE),VLOOKUP(tables_476010!C218,input_476010!A:H,8,FALSE))</f>
        <v>0</v>
      </c>
      <c r="P218" s="46">
        <f t="shared" ca="1" si="10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input_476010!A$2</f>
        <v>476010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IFERROR(VLOOKUP(B219,input_476010!L:R,7,FALSE),VLOOKUP(tables_476010!C219,input_476010!A:H,8,FALSE))</f>
        <v>0</v>
      </c>
      <c r="P219" s="46">
        <f t="shared" ca="1" si="10"/>
        <v>0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input_476010!A$2</f>
        <v>476010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IFERROR(VLOOKUP(B220,input_476010!L:R,7,FALSE),VLOOKUP(tables_476010!C220,input_476010!A:H,8,FALSE))</f>
        <v>0</v>
      </c>
      <c r="P220" s="46">
        <f t="shared" ca="1" si="10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input_476010!A$2</f>
        <v>476010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IFERROR(VLOOKUP(B221,input_476010!L:R,7,FALSE),VLOOKUP(tables_476010!C221,input_476010!A:H,8,FALSE))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input_476010!A$2</f>
        <v>476010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v>0</v>
      </c>
      <c r="P222" s="46">
        <f t="shared" ca="1" si="10"/>
        <v>0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input_476010!A$2</f>
        <v>476010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IFERROR(VLOOKUP(B223,input_476010!L:R,7,FALSE),VLOOKUP(tables_476010!C223,input_476010!A:H,8,FALSE))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input_476010!A$2</f>
        <v>476010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IFERROR(VLOOKUP(B224,input_476010!L:R,7,FALSE),VLOOKUP(tables_476010!C224,input_476010!A:H,8,FALSE))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input_476010!A$2</f>
        <v>476010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IFERROR(VLOOKUP(B225,input_476010!L:R,7,FALSE),VLOOKUP(tables_476010!C225,input_476010!A:H,8,FALSE))</f>
        <v>0</v>
      </c>
      <c r="P225" s="46">
        <f t="shared" ca="1" si="10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input_476010!A$2</f>
        <v>476010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IFERROR(VLOOKUP(B226,input_476010!L:R,7,FALSE),VLOOKUP(tables_476010!C226,input_476010!A:H,8,FALSE))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input_476010!A$2</f>
        <v>476010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IFERROR(VLOOKUP(B227,input_476010!L:R,7,FALSE),VLOOKUP(tables_476010!C227,input_476010!A:H,8,FALSE))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input_476010!A$2</f>
        <v>476010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IFERROR(VLOOKUP(B228,input_476010!L:R,7,FALSE),VLOOKUP(tables_476010!C228,input_476010!A:H,8,FALSE))</f>
        <v>0</v>
      </c>
      <c r="P228" s="46">
        <f t="shared" ca="1" si="10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input_476010!A$2</f>
        <v>476010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IFERROR(VLOOKUP(B229,input_476010!L:R,7,FALSE),VLOOKUP(tables_476010!C229,input_476010!A:H,8,FALSE))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input_476010!A$2</f>
        <v>476010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IFERROR(VLOOKUP(B230,input_476010!L:R,7,FALSE),VLOOKUP(tables_476010!C230,input_476010!A:H,8,FALSE))</f>
        <v>620000</v>
      </c>
      <c r="P230" s="46">
        <f t="shared" ca="1" si="10"/>
        <v>1.7543859649122806E-2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input_476010!A$2</f>
        <v>476010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IFERROR(VLOOKUP(B231,input_476010!L:R,7,FALSE),VLOOKUP(tables_476010!C231,input_476010!A:H,8,FALSE))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input_476010!A$2</f>
        <v>476010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IFERROR(VLOOKUP(B232,input_476010!L:R,7,FALSE),VLOOKUP(tables_476010!C232,input_476010!A:H,8,FALSE))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input_476010!A$2</f>
        <v>476010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IFERROR(VLOOKUP(B233,input_476010!L:R,7,FALSE),VLOOKUP(tables_476010!C233,input_476010!A:H,8,FALSE))</f>
        <v>0</v>
      </c>
      <c r="P233" s="46">
        <f t="shared" ca="1" si="10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input_476010!A$2</f>
        <v>476010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IFERROR(VLOOKUP(B234,input_476010!L:R,7,FALSE),VLOOKUP(tables_476010!C234,input_476010!A:H,8,FALSE))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input_476010!A$2</f>
        <v>476010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IFERROR(VLOOKUP(B235,input_476010!L:R,7,FALSE),VLOOKUP(tables_476010!C235,input_476010!A:H,8,FALSE))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input_476010!A$2</f>
        <v>476010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IFERROR(VLOOKUP(B236,input_476010!L:R,7,FALSE),VLOOKUP(tables_476010!C236,input_476010!A:H,8,FALSE))</f>
        <v>0</v>
      </c>
      <c r="P236" s="46">
        <f t="shared" ca="1" si="10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input_476010!A$2</f>
        <v>476010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IFERROR(VLOOKUP(B237,input_476010!L:R,7,FALSE),VLOOKUP(tables_476010!C237,input_476010!A:H,8,FALSE))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input_476010!A$2</f>
        <v>476010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IFERROR(VLOOKUP(B238,input_476010!L:R,7,FALSE),VLOOKUP(tables_476010!C238,input_476010!A:H,8,FALSE))</f>
        <v>620000</v>
      </c>
      <c r="P238" s="46">
        <f t="shared" ca="1" si="10"/>
        <v>1.7543859649122806E-2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input_476010!A$2</f>
        <v>476010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IFERROR(VLOOKUP(B239,input_476010!L:R,7,FALSE),VLOOKUP(tables_476010!C239,input_476010!A:H,8,FALSE))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input_476010!A$2</f>
        <v>476010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IFERROR(VLOOKUP(B240,input_476010!L:R,7,FALSE),VLOOKUP(tables_476010!C240,input_476010!A:H,8,FALSE))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input_476010!A$2</f>
        <v>476010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IFERROR(VLOOKUP(B241,input_476010!L:R,7,FALSE),VLOOKUP(tables_476010!C241,input_476010!A:H,8,FALSE))</f>
        <v>0</v>
      </c>
      <c r="P241" s="46">
        <f t="shared" ca="1" si="10"/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input_476010!A$2</f>
        <v>476010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IFERROR(VLOOKUP(B242,input_476010!L:R,7,FALSE),VLOOKUP(tables_476010!C242,input_476010!A:H,8,FALSE))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input_476010!A$2</f>
        <v>476010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IFERROR(VLOOKUP(B243,input_476010!L:R,7,FALSE),VLOOKUP(tables_476010!C243,input_476010!A:H,8,FALSE))</f>
        <v>620000</v>
      </c>
      <c r="P243" s="46">
        <f t="shared" ca="1" si="10"/>
        <v>1.7543859649122806E-2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input_476010!A$2</f>
        <v>476010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IFERROR(VLOOKUP(B244,input_476010!L:R,7,FALSE),VLOOKUP(tables_476010!C244,input_476010!A:H,8,FALSE))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input_476010!A$2</f>
        <v>476010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IFERROR(VLOOKUP(B245,input_476010!L:R,7,FALSE),VLOOKUP(tables_476010!C245,input_476010!A:H,8,FALSE))</f>
        <v>620000</v>
      </c>
      <c r="P245" s="46">
        <f t="shared" ca="1" si="10"/>
        <v>1.7543859649122806E-2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input_476010!A$2</f>
        <v>476010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IFERROR(VLOOKUP(B246,input_476010!L:R,7,FALSE),VLOOKUP(tables_476010!C246,input_476010!A:H,8,FALSE))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input_476010!A$2</f>
        <v>476010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IFERROR(VLOOKUP(B247,input_476010!L:R,7,FALSE),VLOOKUP(tables_476010!C247,input_476010!A:H,8,FALSE))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input_476010!A$2</f>
        <v>476010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IFERROR(VLOOKUP(B248,input_476010!L:R,7,FALSE),VLOOKUP(tables_476010!C248,input_476010!A:H,8,FALSE))</f>
        <v>0</v>
      </c>
      <c r="P248" s="46">
        <f t="shared" ca="1" si="10"/>
        <v>0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input_476010!A$2</f>
        <v>476010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IFERROR(VLOOKUP(B249,input_476010!L:R,7,FALSE),VLOOKUP(tables_476010!C249,input_476010!A:H,8,FALSE))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input_476010!A$2</f>
        <v>476010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IFERROR(VLOOKUP(B250,input_476010!L:R,7,FALSE),VLOOKUP(tables_476010!C250,input_476010!A:H,8,FALSE))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input_476010!A$2</f>
        <v>476010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IFERROR(VLOOKUP(B251,input_476010!L:R,7,FALSE),VLOOKUP(tables_476010!C251,input_476010!A:H,8,FALSE))</f>
        <v>0</v>
      </c>
      <c r="P251" s="46">
        <f t="shared" ca="1" si="10"/>
        <v>0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input_476010!A$2</f>
        <v>476010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IFERROR(VLOOKUP(B252,input_476010!L:R,7,FALSE),VLOOKUP(tables_476010!C252,input_476010!A:H,8,FALSE))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input_476010!A$2</f>
        <v>476010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IFERROR(VLOOKUP(B253,input_476010!L:R,7,FALSE),VLOOKUP(tables_476010!C253,input_476010!A:H,8,FALSE))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input_476010!A$2</f>
        <v>476010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IFERROR(VLOOKUP(B254,input_476010!L:R,7,FALSE),VLOOKUP(tables_476010!C254,input_476010!A:H,8,FALSE))</f>
        <v>0</v>
      </c>
      <c r="P254" s="46">
        <f t="shared" ca="1" si="10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input_476010!A$2</f>
        <v>476010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IFERROR(VLOOKUP(B255,input_476010!L:R,7,FALSE),VLOOKUP(tables_476010!C255,input_476010!A:H,8,FALSE))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input_476010!A$2</f>
        <v>476010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IFERROR(VLOOKUP(B256,input_476010!L:R,7,FALSE),VLOOKUP(tables_476010!C256,input_476010!A:H,8,FALSE))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input_476010!A$2</f>
        <v>476010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IFERROR(VLOOKUP(B257,input_476010!L:R,7,FALSE),VLOOKUP(tables_476010!C257,input_476010!A:H,8,FALSE))</f>
        <v>0</v>
      </c>
      <c r="P257" s="46">
        <f t="shared" ca="1" si="10"/>
        <v>0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input_476010!A$2</f>
        <v>476010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IFERROR(VLOOKUP(B258,input_476010!L:R,7,FALSE),VLOOKUP(tables_476010!C258,input_476010!A:H,8,FALSE))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input_476010!A$2</f>
        <v>476010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IFERROR(VLOOKUP(B259,input_476010!L:R,7,FALSE),VLOOKUP(tables_476010!C259,input_476010!A:H,8,FALSE))</f>
        <v>620000</v>
      </c>
      <c r="P259" s="46">
        <f t="shared" ca="1" si="13"/>
        <v>1.7543859649122806E-2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input_476010!A$2</f>
        <v>476010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IFERROR(VLOOKUP(B260,input_476010!L:R,7,FALSE),VLOOKUP(tables_476010!C260,input_476010!A:H,8,FALSE))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input_476010!A$2</f>
        <v>476010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IFERROR(VLOOKUP(B261,input_476010!L:R,7,FALSE),VLOOKUP(tables_476010!C261,input_476010!A:H,8,FALSE))</f>
        <v>620000</v>
      </c>
      <c r="P261" s="46">
        <f t="shared" ca="1" si="13"/>
        <v>1.7543859649122806E-2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input_476010!A$2</f>
        <v>476010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IFERROR(VLOOKUP(B262,input_476010!L:R,7,FALSE),VLOOKUP(tables_476010!C262,input_476010!A:H,8,FALSE))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input_476010!A$2</f>
        <v>476010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IFERROR(VLOOKUP(B263,input_476010!L:R,7,FALSE),VLOOKUP(tables_476010!C263,input_476010!A:H,8,FALSE))</f>
        <v>0</v>
      </c>
      <c r="P263" s="46">
        <f t="shared" ca="1" si="13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input_476010!A$2</f>
        <v>476010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IFERROR(VLOOKUP(B264,input_476010!L:R,7,FALSE),VLOOKUP(tables_476010!C264,input_476010!A:H,8,FALSE))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input_476010!A$2</f>
        <v>476010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IFERROR(VLOOKUP(B265,input_476010!L:R,7,FALSE),VLOOKUP(tables_476010!C265,input_476010!A:H,8,FALSE))</f>
        <v>0</v>
      </c>
      <c r="P265" s="46">
        <f t="shared" ca="1" si="13"/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input_476010!A$2</f>
        <v>476010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IFERROR(VLOOKUP(B266,input_476010!L:R,7,FALSE),VLOOKUP(tables_476010!C266,input_476010!A:H,8,FALSE))</f>
        <v>620000</v>
      </c>
      <c r="P266" s="46">
        <f t="shared" ca="1" si="13"/>
        <v>1.7543859649122806E-2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input_476010!A$2</f>
        <v>476010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IFERROR(VLOOKUP(B267,input_476010!L:R,7,FALSE),VLOOKUP(tables_476010!C267,input_476010!A:H,8,FALSE))</f>
        <v>620000</v>
      </c>
      <c r="P267" s="46">
        <f t="shared" ca="1" si="13"/>
        <v>1.7543859649122806E-2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input_476010!A$2</f>
        <v>476010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IFERROR(VLOOKUP(B268,input_476010!L:R,7,FALSE),VLOOKUP(tables_476010!C268,input_476010!A:H,8,FALSE))</f>
        <v>620000</v>
      </c>
      <c r="P268" s="46">
        <f t="shared" ca="1" si="13"/>
        <v>1.7543859649122806E-2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input_476010!A$2</f>
        <v>476010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IFERROR(VLOOKUP(B269,input_476010!L:R,7,FALSE),VLOOKUP(tables_476010!C269,input_476010!A:H,8,FALSE))</f>
        <v>620000</v>
      </c>
      <c r="P269" s="46">
        <f t="shared" ca="1" si="13"/>
        <v>1.7543859649122806E-2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input_476010!A$2</f>
        <v>476010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IFERROR(VLOOKUP(B270,input_476010!L:R,7,FALSE),VLOOKUP(tables_476010!C270,input_476010!A:H,8,FALSE))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input_476010!A$2</f>
        <v>476010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IFERROR(VLOOKUP(B271,input_476010!L:R,7,FALSE),VLOOKUP(tables_476010!C271,input_476010!A:H,8,FALSE))</f>
        <v>0</v>
      </c>
      <c r="P271" s="46">
        <f t="shared" ca="1" si="13"/>
        <v>0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input_476010!A$2</f>
        <v>476010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IFERROR(VLOOKUP(B272,input_476010!L:R,7,FALSE),VLOOKUP(tables_476010!C272,input_476010!A:H,8,FALSE))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input_476010!A$2</f>
        <v>476010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IFERROR(VLOOKUP(B273,input_476010!L:R,7,FALSE),VLOOKUP(tables_476010!C273,input_476010!A:H,8,FALSE))</f>
        <v>0</v>
      </c>
      <c r="P273" s="46">
        <f t="shared" ca="1" si="13"/>
        <v>0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input_476010!A$2</f>
        <v>476010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IFERROR(VLOOKUP(B274,input_476010!L:R,7,FALSE),VLOOKUP(tables_476010!C274,input_476010!A:H,8,FALSE))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input_476010!A$2</f>
        <v>476010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IFERROR(VLOOKUP(B275,input_476010!L:R,7,FALSE),VLOOKUP(tables_476010!C275,input_476010!A:H,8,FALSE))</f>
        <v>620000</v>
      </c>
      <c r="P275" s="46">
        <f t="shared" ca="1" si="13"/>
        <v>1.7543859649122806E-2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input_476010!A$2</f>
        <v>476010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IFERROR(VLOOKUP(B276,input_476010!L:R,7,FALSE),VLOOKUP(tables_476010!C276,input_476010!A:H,8,FALSE))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input_476010!A$2</f>
        <v>476010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IFERROR(VLOOKUP(B277,input_476010!L:R,7,FALSE),VLOOKUP(tables_476010!C277,input_476010!A:H,8,FALSE))</f>
        <v>620000</v>
      </c>
      <c r="P277" s="46">
        <f t="shared" ca="1" si="13"/>
        <v>1.7543859649122806E-2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input_476010!A$2</f>
        <v>476010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IFERROR(VLOOKUP(B278,input_476010!L:R,7,FALSE),VLOOKUP(tables_476010!C278,input_476010!A:H,8,FALSE))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input_476010!A$2</f>
        <v>476010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IFERROR(VLOOKUP(B279,input_476010!L:R,7,FALSE),VLOOKUP(tables_476010!C279,input_476010!A:H,8,FALSE))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input_476010!A$2</f>
        <v>476010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IFERROR(VLOOKUP(B280,input_476010!L:R,7,FALSE),VLOOKUP(tables_476010!C280,input_476010!A:H,8,FALSE))</f>
        <v>0</v>
      </c>
      <c r="P280" s="46">
        <f t="shared" ca="1" si="13"/>
        <v>0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input_476010!A$2</f>
        <v>476010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IFERROR(VLOOKUP(B281,input_476010!L:R,7,FALSE),VLOOKUP(tables_476010!C281,input_476010!A:H,8,FALSE))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input_476010!A$2</f>
        <v>476010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IFERROR(VLOOKUP(B282,input_476010!L:R,7,FALSE),VLOOKUP(tables_476010!C282,input_476010!A:H,8,FALSE))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input_476010!A$2</f>
        <v>476010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IFERROR(VLOOKUP(B283,input_476010!L:R,7,FALSE),VLOOKUP(tables_476010!C283,input_476010!A:H,8,FALSE))</f>
        <v>0</v>
      </c>
      <c r="P283" s="46">
        <f t="shared" ca="1" si="13"/>
        <v>0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input_476010!A$2</f>
        <v>476010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IFERROR(VLOOKUP(B284,input_476010!L:R,7,FALSE),VLOOKUP(tables_476010!C284,input_476010!A:H,8,FALSE))</f>
        <v>620000</v>
      </c>
      <c r="P284" s="46">
        <f t="shared" ca="1" si="13"/>
        <v>1.7543859649122806E-2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input_476010!A$2</f>
        <v>476010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IFERROR(VLOOKUP(B285,input_476010!L:R,7,FALSE),VLOOKUP(tables_476010!C285,input_476010!A:H,8,FALSE))</f>
        <v>620000</v>
      </c>
      <c r="P285" s="46">
        <f t="shared" ca="1" si="13"/>
        <v>1.7543859649122806E-2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input_476010!A$2</f>
        <v>476010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IFERROR(VLOOKUP(B286,input_476010!L:R,7,FALSE),VLOOKUP(tables_476010!C286,input_476010!A:H,8,FALSE))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input_476010!A$2</f>
        <v>476010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IFERROR(VLOOKUP(B287,input_476010!L:R,7,FALSE),VLOOKUP(tables_476010!C287,input_476010!A:H,8,FALSE))</f>
        <v>0</v>
      </c>
      <c r="P287" s="46">
        <f t="shared" ca="1" si="13"/>
        <v>0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input_476010!A$2</f>
        <v>476010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IFERROR(VLOOKUP(B288,input_476010!L:R,7,FALSE),VLOOKUP(tables_476010!C288,input_476010!A:H,8,FALSE))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input_476010!A$2</f>
        <v>476010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IFERROR(VLOOKUP(B289,input_476010!L:R,7,FALSE),VLOOKUP(tables_476010!C289,input_476010!A:H,8,FALSE))</f>
        <v>0</v>
      </c>
      <c r="P289" s="46">
        <f t="shared" ca="1" si="13"/>
        <v>0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input_476010!A$2</f>
        <v>476010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IFERROR(VLOOKUP(B290,input_476010!L:R,7,FALSE),VLOOKUP(tables_476010!C290,input_476010!A:H,8,FALSE))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input_476010!A$2</f>
        <v>476010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IFERROR(VLOOKUP(B291,input_476010!L:R,7,FALSE),VLOOKUP(tables_476010!C291,input_476010!A:H,8,FALSE))</f>
        <v>0</v>
      </c>
      <c r="P291" s="46">
        <f t="shared" ca="1" si="13"/>
        <v>0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input_476010!A$2</f>
        <v>476010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IFERROR(VLOOKUP(B292,input_476010!L:R,7,FALSE),VLOOKUP(tables_476010!C292,input_476010!A:H,8,FALSE))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input_476010!A$2</f>
        <v>476010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IFERROR(VLOOKUP(B293,input_476010!L:R,7,FALSE),VLOOKUP(tables_476010!C293,input_476010!A:H,8,FALSE))</f>
        <v>0</v>
      </c>
      <c r="P293" s="46">
        <f t="shared" ca="1" si="13"/>
        <v>0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input_476010!A$2</f>
        <v>476010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IFERROR(VLOOKUP(B294,input_476010!L:R,7,FALSE),VLOOKUP(tables_476010!C294,input_476010!A:H,8,FALSE))</f>
        <v>620000</v>
      </c>
      <c r="P294" s="46">
        <f t="shared" ca="1" si="13"/>
        <v>1.7543859649122806E-2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input_476010!A$2</f>
        <v>476010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IFERROR(VLOOKUP(B295,input_476010!L:R,7,FALSE),VLOOKUP(tables_476010!C295,input_476010!A:H,8,FALSE))</f>
        <v>620000</v>
      </c>
      <c r="P295" s="46">
        <f t="shared" ca="1" si="13"/>
        <v>1.7543859649122806E-2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input_476010!A$2</f>
        <v>476010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IFERROR(VLOOKUP(B296,input_476010!L:R,7,FALSE),VLOOKUP(tables_476010!C296,input_476010!A:H,8,FALSE))</f>
        <v>620000</v>
      </c>
      <c r="P296" s="46">
        <f t="shared" ca="1" si="13"/>
        <v>1.7543859649122806E-2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input_476010!A$2</f>
        <v>476010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IFERROR(VLOOKUP(B297,input_476010!L:R,7,FALSE),VLOOKUP(tables_476010!C297,input_476010!A:H,8,FALSE))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input_476010!A$2</f>
        <v>476010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IFERROR(VLOOKUP(B298,input_476010!L:R,7,FALSE),VLOOKUP(tables_476010!C298,input_476010!A:H,8,FALSE))</f>
        <v>0</v>
      </c>
      <c r="P298" s="46">
        <f t="shared" ca="1" si="13"/>
        <v>0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input_476010!A$2</f>
        <v>476010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IFERROR(VLOOKUP(B299,input_476010!L:R,7,FALSE),VLOOKUP(tables_476010!C299,input_476010!A:H,8,FALSE))</f>
        <v>620000</v>
      </c>
      <c r="P299" s="46">
        <f t="shared" ca="1" si="13"/>
        <v>1.7543859649122806E-2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input_476010!A$2</f>
        <v>476010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IFERROR(VLOOKUP(B300,input_476010!L:R,7,FALSE),VLOOKUP(tables_476010!C300,input_476010!A:H,8,FALSE))</f>
        <v>620000</v>
      </c>
      <c r="P300" s="46">
        <f t="shared" ca="1" si="13"/>
        <v>1.7543859649122806E-2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input_476010!A$2</f>
        <v>476010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IFERROR(VLOOKUP(B301,input_476010!L:R,7,FALSE),VLOOKUP(tables_476010!C301,input_476010!A:H,8,FALSE))</f>
        <v>620000</v>
      </c>
      <c r="P301" s="46">
        <f t="shared" ca="1" si="13"/>
        <v>1.7543859649122806E-2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input_476010!A$2</f>
        <v>476010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IFERROR(VLOOKUP(B302,input_476010!L:R,7,FALSE),VLOOKUP(tables_476010!C302,input_476010!A:H,8,FALSE))</f>
        <v>620000</v>
      </c>
      <c r="P302" s="46">
        <f t="shared" ca="1" si="13"/>
        <v>1.7543859649122806E-2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input_476010!A$2</f>
        <v>476010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IFERROR(VLOOKUP(B303,input_476010!L:R,7,FALSE),VLOOKUP(tables_476010!C303,input_476010!A:H,8,FALSE))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input_476010!A$2</f>
        <v>476010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IFERROR(VLOOKUP(B304,input_476010!L:R,7,FALSE),VLOOKUP(tables_476010!C304,input_476010!A:H,8,FALSE))</f>
        <v>0</v>
      </c>
      <c r="P304" s="46">
        <f t="shared" ca="1" si="13"/>
        <v>0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input_476010!A$2</f>
        <v>476010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IFERROR(VLOOKUP(B305,input_476010!L:R,7,FALSE),VLOOKUP(tables_476010!C305,input_476010!A:H,8,FALSE))</f>
        <v>620000</v>
      </c>
      <c r="P305" s="46">
        <f t="shared" ca="1" si="13"/>
        <v>1.7543859649122806E-2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input_476010!A$2</f>
        <v>476010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IFERROR(VLOOKUP(B306,input_476010!L:R,7,FALSE),VLOOKUP(tables_476010!C306,input_476010!A:H,8,FALSE))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input_476010!A$2</f>
        <v>476010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IFERROR(VLOOKUP(B307,input_476010!L:R,7,FALSE),VLOOKUP(tables_476010!C307,input_476010!A:H,8,FALSE))</f>
        <v>0</v>
      </c>
      <c r="P307" s="46">
        <f t="shared" ca="1" si="13"/>
        <v>0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input_476010!A$2</f>
        <v>476010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IFERROR(VLOOKUP(B308,input_476010!L:R,7,FALSE),VLOOKUP(tables_476010!C308,input_476010!A:H,8,FALSE))</f>
        <v>620000</v>
      </c>
      <c r="P308" s="46">
        <f t="shared" ca="1" si="13"/>
        <v>1.7543859649122806E-2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input_476010!A$2</f>
        <v>476010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IFERROR(VLOOKUP(B309,input_476010!L:R,7,FALSE),VLOOKUP(tables_476010!C309,input_476010!A:H,8,FALSE))</f>
        <v>620000</v>
      </c>
      <c r="P309" s="46">
        <f t="shared" ca="1" si="13"/>
        <v>1.7543859649122806E-2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input_476010!A$2</f>
        <v>476010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IFERROR(VLOOKUP(B310,input_476010!L:R,7,FALSE),VLOOKUP(tables_476010!C310,input_476010!A:H,8,FALSE))</f>
        <v>620000</v>
      </c>
      <c r="P310" s="46">
        <f t="shared" ca="1" si="13"/>
        <v>1.7543859649122806E-2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input_476010!A$2</f>
        <v>476010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IFERROR(VLOOKUP(B311,input_476010!L:R,7,FALSE),VLOOKUP(tables_476010!C311,input_476010!A:H,8,FALSE))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input_476010!A$2</f>
        <v>476010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IFERROR(VLOOKUP(B312,input_476010!L:R,7,FALSE),VLOOKUP(tables_476010!C312,input_476010!A:H,8,FALSE))</f>
        <v>0</v>
      </c>
      <c r="P312" s="46">
        <f t="shared" ca="1" si="13"/>
        <v>0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input_476010!A$2</f>
        <v>476010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IFERROR(VLOOKUP(B313,input_476010!L:R,7,FALSE),VLOOKUP(tables_476010!C313,input_476010!A:H,8,FALSE))</f>
        <v>620000</v>
      </c>
      <c r="P313" s="46">
        <f t="shared" ca="1" si="13"/>
        <v>1.7543859649122806E-2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input_476010!A$2</f>
        <v>476010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IFERROR(VLOOKUP(B314,input_476010!L:R,7,FALSE),VLOOKUP(tables_476010!C314,input_476010!A:H,8,FALSE))</f>
        <v>620000</v>
      </c>
      <c r="P314" s="46">
        <f t="shared" ca="1" si="13"/>
        <v>1.7543859649122806E-2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input_476010!A$2</f>
        <v>476010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IFERROR(VLOOKUP(B315,input_476010!L:R,7,FALSE),VLOOKUP(tables_476010!C315,input_476010!A:H,8,FALSE))</f>
        <v>620000</v>
      </c>
      <c r="P315" s="46">
        <f t="shared" ca="1" si="13"/>
        <v>1.7543859649122806E-2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input_476010!A$2</f>
        <v>476010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IFERROR(VLOOKUP(B316,input_476010!L:R,7,FALSE),VLOOKUP(tables_476010!C316,input_476010!A:H,8,FALSE))</f>
        <v>620000</v>
      </c>
      <c r="P316" s="46">
        <f t="shared" ca="1" si="13"/>
        <v>1.7543859649122806E-2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input_476010!A$2</f>
        <v>476010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IFERROR(VLOOKUP(B317,input_476010!L:R,7,FALSE),VLOOKUP(tables_476010!C317,input_476010!A:H,8,FALSE))</f>
        <v>620000</v>
      </c>
      <c r="P317" s="46">
        <f t="shared" ca="1" si="13"/>
        <v>1.7543859649122806E-2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input_476010!A$2</f>
        <v>476010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IFERROR(VLOOKUP(B318,input_476010!L:R,7,FALSE),VLOOKUP(tables_476010!C318,input_476010!A:H,8,FALSE))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input_476010!A$2</f>
        <v>476010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IFERROR(VLOOKUP(B319,input_476010!L:R,7,FALSE),VLOOKUP(tables_476010!C319,input_476010!A:H,8,FALSE))</f>
        <v>0</v>
      </c>
      <c r="P319" s="46">
        <f t="shared" ca="1" si="13"/>
        <v>0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input_476010!A$2</f>
        <v>476010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IFERROR(VLOOKUP(B320,input_476010!L:R,7,FALSE),VLOOKUP(tables_476010!C320,input_476010!A:H,8,FALSE))</f>
        <v>620000</v>
      </c>
      <c r="P320" s="46">
        <f t="shared" ca="1" si="13"/>
        <v>1.7543859649122806E-2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input_476010!A$2</f>
        <v>476010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IFERROR(VLOOKUP(B321,input_476010!L:R,7,FALSE),VLOOKUP(tables_476010!C321,input_476010!A:H,8,FALSE))</f>
        <v>620000</v>
      </c>
      <c r="P321" s="46">
        <f t="shared" ca="1" si="13"/>
        <v>1.7543859649122806E-2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input_476010!A$2</f>
        <v>476010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IFERROR(VLOOKUP(B322,input_476010!L:R,7,FALSE),VLOOKUP(tables_476010!C322,input_476010!A:H,8,FALSE))</f>
        <v>620000</v>
      </c>
      <c r="P322" s="46">
        <f t="shared" ref="P322:P330" ca="1" si="23">O322/SUM(O:O)</f>
        <v>1.7543859649122806E-2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input_476010!A$2</f>
        <v>476010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IFERROR(VLOOKUP(B323,input_476010!L:R,7,FALSE),VLOOKUP(tables_476010!C323,input_476010!A:H,8,FALSE))</f>
        <v>620000</v>
      </c>
      <c r="P323" s="46">
        <f t="shared" ca="1" si="23"/>
        <v>1.7543859649122806E-2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input_476010!A$2</f>
        <v>476010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IFERROR(VLOOKUP(B324,input_476010!L:R,7,FALSE),VLOOKUP(tables_476010!C324,input_476010!A:H,8,FALSE))</f>
        <v>0</v>
      </c>
      <c r="P324" s="46">
        <f t="shared" ca="1" si="23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input_476010!A$2</f>
        <v>476010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IFERROR(VLOOKUP(B325,input_476010!L:R,7,FALSE),VLOOKUP(tables_476010!C325,input_476010!A:H,8,FALSE))</f>
        <v>0</v>
      </c>
      <c r="P325" s="46">
        <f t="shared" ca="1" si="23"/>
        <v>0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input_476010!A$2</f>
        <v>476010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IFERROR(VLOOKUP(B326,input_476010!L:R,7,FALSE),VLOOKUP(tables_476010!C326,input_476010!A:H,8,FALSE))</f>
        <v>0</v>
      </c>
      <c r="P326" s="46">
        <f t="shared" ca="1" si="23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input_476010!A$2</f>
        <v>476010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IFERROR(VLOOKUP(B327,input_476010!L:R,7,FALSE),VLOOKUP(tables_476010!C327,input_476010!A:H,8,FALSE))</f>
        <v>0</v>
      </c>
      <c r="P327" s="46">
        <f t="shared" ca="1" si="23"/>
        <v>0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input_476010!A$2</f>
        <v>476010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IFERROR(VLOOKUP(B328,input_476010!L:R,7,FALSE),VLOOKUP(tables_476010!C328,input_476010!A:H,8,FALSE))</f>
        <v>620000</v>
      </c>
      <c r="P328" s="46">
        <f t="shared" ca="1" si="23"/>
        <v>1.7543859649122806E-2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input_476010!A$2</f>
        <v>476010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IFERROR(VLOOKUP(B329,input_476010!L:R,7,FALSE),VLOOKUP(tables_476010!C329,input_476010!A:H,8,FALSE))</f>
        <v>620000</v>
      </c>
      <c r="P329" s="46">
        <f t="shared" ca="1" si="23"/>
        <v>1.7543859649122806E-2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input_476010!A$2</f>
        <v>476010</v>
      </c>
      <c r="B330" s="2">
        <v>1157</v>
      </c>
      <c r="C330" s="7" t="str">
        <f t="shared" si="25"/>
        <v>PremiumSS5R5only</v>
      </c>
      <c r="D330" s="96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IFERROR(VLOOKUP(B330,input_476010!L:R,7,FALSE),VLOOKUP(tables_476010!C330,input_476010!A:H,8,FALSE))</f>
        <v>620000</v>
      </c>
      <c r="P330" s="46">
        <f t="shared" ca="1" si="23"/>
        <v>1.7543859649122806E-2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input_476010!A$2</f>
        <v>476010</v>
      </c>
      <c r="B331" s="60">
        <v>1214</v>
      </c>
      <c r="C331" s="7" t="str">
        <f t="shared" ref="C331:C335" si="26">D331&amp;J331&amp;E331&amp;F331&amp;G331</f>
        <v>PremiumSS5R5only</v>
      </c>
      <c r="D331" s="96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IFERROR(VLOOKUP(B331,input_476010!L:R,7,FALSE),VLOOKUP(tables_476010!C331,input_476010!A:H,8,FALSE))</f>
        <v>620000</v>
      </c>
      <c r="P331" s="46">
        <f t="shared" ref="P331:P335" ca="1" si="28">O331/SUM(O:O)</f>
        <v>1.7543859649122806E-2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input_476010!A$2</f>
        <v>476010</v>
      </c>
      <c r="B332" s="60">
        <v>1212</v>
      </c>
      <c r="C332" s="7" t="str">
        <f t="shared" si="26"/>
        <v>PremiumSS5R5only</v>
      </c>
      <c r="D332" s="96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IFERROR(VLOOKUP(B332,input_476010!L:R,7,FALSE),VLOOKUP(tables_476010!C332,input_476010!A:H,8,FALSE))</f>
        <v>620000</v>
      </c>
      <c r="P332" s="46">
        <f t="shared" ca="1" si="28"/>
        <v>1.7543859649122806E-2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input_476010!A$2</f>
        <v>476010</v>
      </c>
      <c r="B333" s="60">
        <v>1208</v>
      </c>
      <c r="C333" s="7" t="str">
        <f t="shared" si="26"/>
        <v>PremiumSS5R5only</v>
      </c>
      <c r="D333" s="96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IFERROR(VLOOKUP(B333,input_476010!L:R,7,FALSE),VLOOKUP(tables_476010!C333,input_476010!A:H,8,FALSE))</f>
        <v>620000</v>
      </c>
      <c r="P333" s="46">
        <f t="shared" ca="1" si="28"/>
        <v>1.7543859649122806E-2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input_476010!A$2</f>
        <v>476010</v>
      </c>
      <c r="B334" s="92">
        <v>1210</v>
      </c>
      <c r="C334" s="7" t="str">
        <f t="shared" si="26"/>
        <v>Premium4R3less</v>
      </c>
      <c r="D334" s="96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IFERROR(VLOOKUP(B334,input_476010!L:R,7,FALSE),VLOOKUP(tables_476010!C334,input_476010!A:H,8,FALSE))</f>
        <v>0</v>
      </c>
      <c r="P334" s="46">
        <f t="shared" ca="1" si="28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input_476010!A$2</f>
        <v>476010</v>
      </c>
      <c r="B335" s="60">
        <v>1211</v>
      </c>
      <c r="C335" s="7" t="str">
        <f t="shared" si="26"/>
        <v>Premium5R3less</v>
      </c>
      <c r="D335" s="96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IFERROR(VLOOKUP(B335,input_476010!L:R,7,FALSE),VLOOKUP(tables_476010!C335,input_476010!A:H,8,FALSE))</f>
        <v>0</v>
      </c>
      <c r="P335" s="46">
        <f t="shared" ca="1" si="28"/>
        <v>0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input_476010!A$2</f>
        <v>476010</v>
      </c>
      <c r="B336" s="2">
        <v>1224</v>
      </c>
      <c r="C336" s="7" t="str">
        <f t="shared" ref="C336:C340" si="29">D336&amp;J336&amp;E336&amp;F336&amp;G336</f>
        <v>Premium4R3less</v>
      </c>
      <c r="D336" s="96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IFERROR(VLOOKUP(B336,input_476010!L:R,7,FALSE),VLOOKUP(tables_476010!C336,input_476010!A:H,8,FALSE))</f>
        <v>0</v>
      </c>
      <c r="P336" s="46">
        <f t="shared" ref="P336:P340" ca="1" si="31">O336/SUM(O:O)</f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input_476010!A$2</f>
        <v>476010</v>
      </c>
      <c r="B337" s="2">
        <v>1225</v>
      </c>
      <c r="C337" s="7" t="str">
        <f t="shared" si="29"/>
        <v>Premium5R3less</v>
      </c>
      <c r="D337" s="96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IFERROR(VLOOKUP(B337,input_476010!L:R,7,FALSE),VLOOKUP(tables_476010!C337,input_476010!A:H,8,FALSE))</f>
        <v>0</v>
      </c>
      <c r="P337" s="46">
        <f t="shared" ca="1" si="31"/>
        <v>0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input_476010!A$2</f>
        <v>476010</v>
      </c>
      <c r="B338" s="2">
        <v>1226</v>
      </c>
      <c r="C338" s="7" t="str">
        <f t="shared" si="29"/>
        <v>PremiumSS5R5only</v>
      </c>
      <c r="D338" s="96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IFERROR(VLOOKUP(B338,input_476010!L:R,7,FALSE),VLOOKUP(tables_476010!C338,input_476010!A:H,8,FALSE))</f>
        <v>620000</v>
      </c>
      <c r="P338" s="46">
        <f t="shared" ca="1" si="31"/>
        <v>1.7543859649122806E-2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input_476010!A$2</f>
        <v>476010</v>
      </c>
      <c r="B339" s="2">
        <v>1228</v>
      </c>
      <c r="C339" s="7" t="str">
        <f t="shared" si="29"/>
        <v>PremiumSS5R5only</v>
      </c>
      <c r="D339" s="96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IFERROR(VLOOKUP(B339,input_476010!L:R,7,FALSE),VLOOKUP(tables_476010!C339,input_476010!A:H,8,FALSE))</f>
        <v>620000</v>
      </c>
      <c r="P339" s="46">
        <f t="shared" ca="1" si="31"/>
        <v>1.7543859649122806E-2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input_476010!A$2</f>
        <v>476010</v>
      </c>
      <c r="B340" s="2">
        <v>1230</v>
      </c>
      <c r="C340" s="7" t="str">
        <f t="shared" si="29"/>
        <v>PremiumSS5R5only</v>
      </c>
      <c r="D340" s="96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IFERROR(VLOOKUP(B340,input_476010!L:R,7,FALSE),VLOOKUP(tables_476010!C340,input_476010!A:H,8,FALSE))</f>
        <v>620000</v>
      </c>
      <c r="P340" s="46">
        <f t="shared" ca="1" si="31"/>
        <v>1.7543859649122806E-2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</sheetData>
  <autoFilter ref="A1:V294"/>
  <phoneticPr fontId="24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4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4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input_476010</vt:lpstr>
      <vt:lpstr>tables_476010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2016-11-24T07:28:20Z</dcterms:modified>
</cp:coreProperties>
</file>