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640" yWindow="460" windowWidth="30400" windowHeight="199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22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enemy_habitat_S!$B$1:$Y$4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7" i="22" l="1"/>
  <c r="G21" i="22"/>
  <c r="I21" i="22"/>
  <c r="K21" i="22"/>
  <c r="G22" i="22"/>
  <c r="I22" i="22"/>
  <c r="K22" i="22"/>
  <c r="J21" i="22"/>
  <c r="J22" i="22"/>
  <c r="H21" i="22"/>
  <c r="H22" i="22"/>
  <c r="G20" i="22"/>
  <c r="AC22" i="1"/>
  <c r="AC15" i="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B8" i="21"/>
  <c r="C8" i="21"/>
  <c r="D8" i="21"/>
  <c r="F8" i="21"/>
  <c r="G8" i="21"/>
  <c r="I8" i="21"/>
  <c r="J8" i="21"/>
  <c r="B9" i="21"/>
  <c r="C9" i="21"/>
  <c r="D9" i="21"/>
  <c r="F9" i="21"/>
  <c r="G9" i="21"/>
  <c r="I9" i="21"/>
  <c r="J9" i="21"/>
  <c r="B10" i="21"/>
  <c r="C10" i="21"/>
  <c r="D10" i="21"/>
  <c r="F10" i="21"/>
  <c r="G10" i="21"/>
  <c r="I10" i="21"/>
  <c r="J10" i="21"/>
  <c r="B11" i="21"/>
  <c r="C11" i="21"/>
  <c r="D11" i="21"/>
  <c r="F11" i="21"/>
  <c r="G11" i="21"/>
  <c r="I11" i="21"/>
  <c r="J11" i="21"/>
  <c r="B12" i="21"/>
  <c r="C12" i="21"/>
  <c r="D12" i="21"/>
  <c r="F12" i="21"/>
  <c r="G12" i="21"/>
  <c r="I12" i="21"/>
  <c r="J12" i="21"/>
  <c r="B13" i="21"/>
  <c r="C13" i="21"/>
  <c r="D13" i="21"/>
  <c r="F13" i="21"/>
  <c r="G13" i="21"/>
  <c r="I13" i="21"/>
  <c r="J13" i="21"/>
  <c r="D78" i="9"/>
  <c r="V15" i="1"/>
  <c r="D29" i="9"/>
  <c r="V8" i="1"/>
  <c r="V22" i="1"/>
  <c r="D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D22" i="9"/>
  <c r="W3" i="7"/>
  <c r="E68" i="9"/>
  <c r="W6" i="7"/>
  <c r="E98" i="9"/>
  <c r="W13" i="7"/>
  <c r="E83" i="9"/>
  <c r="W12" i="7"/>
  <c r="W9" i="7"/>
  <c r="W8" i="7"/>
  <c r="D77" i="9"/>
  <c r="D76" i="9"/>
  <c r="J15" i="11"/>
  <c r="O78" i="9"/>
  <c r="N78" i="9"/>
  <c r="M78" i="9"/>
  <c r="L78" i="9"/>
  <c r="K78" i="9"/>
  <c r="J78" i="9"/>
  <c r="I78" i="9"/>
  <c r="H78" i="9"/>
  <c r="G78" i="9"/>
  <c r="E78" i="9"/>
  <c r="J14" i="11"/>
  <c r="O77" i="9"/>
  <c r="N77" i="9"/>
  <c r="M77" i="9"/>
  <c r="L77" i="9"/>
  <c r="K77" i="9"/>
  <c r="J77" i="9"/>
  <c r="I77" i="9"/>
  <c r="H77" i="9"/>
  <c r="G77" i="9"/>
  <c r="E77" i="9"/>
  <c r="J13" i="11"/>
  <c r="O76" i="9"/>
  <c r="N76" i="9"/>
  <c r="M76" i="9"/>
  <c r="L76" i="9"/>
  <c r="K76" i="9"/>
  <c r="J76" i="9"/>
  <c r="I76" i="9"/>
  <c r="H76" i="9"/>
  <c r="G76" i="9"/>
  <c r="E76" i="9"/>
  <c r="J12" i="11"/>
  <c r="O75" i="9"/>
  <c r="N75" i="9"/>
  <c r="M75" i="9"/>
  <c r="L75" i="9"/>
  <c r="K75" i="9"/>
  <c r="J75" i="9"/>
  <c r="I75" i="9"/>
  <c r="H75" i="9"/>
  <c r="G75" i="9"/>
  <c r="E75" i="9"/>
  <c r="D75" i="9"/>
  <c r="J11" i="11"/>
  <c r="O74" i="9"/>
  <c r="N74" i="9"/>
  <c r="M74" i="9"/>
  <c r="L74" i="9"/>
  <c r="K74" i="9"/>
  <c r="J74" i="9"/>
  <c r="I74" i="9"/>
  <c r="H74" i="9"/>
  <c r="G74" i="9"/>
  <c r="E74" i="9"/>
  <c r="D74" i="9"/>
  <c r="J10" i="11"/>
  <c r="O73" i="9"/>
  <c r="N73" i="9"/>
  <c r="M73" i="9"/>
  <c r="L73" i="9"/>
  <c r="K73" i="9"/>
  <c r="J73" i="9"/>
  <c r="I73" i="9"/>
  <c r="H73" i="9"/>
  <c r="G73" i="9"/>
  <c r="E73" i="9"/>
  <c r="D73" i="9"/>
  <c r="J3" i="11"/>
  <c r="O72" i="9"/>
  <c r="N72" i="9"/>
  <c r="M72" i="9"/>
  <c r="L72" i="9"/>
  <c r="K72" i="9"/>
  <c r="J72" i="9"/>
  <c r="I72" i="9"/>
  <c r="H72" i="9"/>
  <c r="G72" i="9"/>
  <c r="E72" i="9"/>
  <c r="D72" i="9"/>
  <c r="J40" i="11"/>
  <c r="J39" i="11"/>
  <c r="D98" i="9"/>
  <c r="G98" i="9"/>
  <c r="H98" i="9"/>
  <c r="I98" i="9"/>
  <c r="J98" i="9"/>
  <c r="K98" i="9"/>
  <c r="L98" i="9"/>
  <c r="M98" i="9"/>
  <c r="N98" i="9"/>
  <c r="O98" i="9"/>
  <c r="J38" i="11"/>
  <c r="O97" i="9"/>
  <c r="N97" i="9"/>
  <c r="M97" i="9"/>
  <c r="L97" i="9"/>
  <c r="K97" i="9"/>
  <c r="J97" i="9"/>
  <c r="I97" i="9"/>
  <c r="H97" i="9"/>
  <c r="G97" i="9"/>
  <c r="E97" i="9"/>
  <c r="D97" i="9"/>
  <c r="O96" i="9"/>
  <c r="N96" i="9"/>
  <c r="M96" i="9"/>
  <c r="L96" i="9"/>
  <c r="K96" i="9"/>
  <c r="J96" i="9"/>
  <c r="I96" i="9"/>
  <c r="H96" i="9"/>
  <c r="G96" i="9"/>
  <c r="E96" i="9"/>
  <c r="D96" i="9"/>
  <c r="J30" i="11"/>
  <c r="O95" i="9"/>
  <c r="N95" i="9"/>
  <c r="M95" i="9"/>
  <c r="L95" i="9"/>
  <c r="K95" i="9"/>
  <c r="J95" i="9"/>
  <c r="I95" i="9"/>
  <c r="H95" i="9"/>
  <c r="G95" i="9"/>
  <c r="E95" i="9"/>
  <c r="D95" i="9"/>
  <c r="J29" i="11"/>
  <c r="O94" i="9"/>
  <c r="N94" i="9"/>
  <c r="M94" i="9"/>
  <c r="L94" i="9"/>
  <c r="K94" i="9"/>
  <c r="J94" i="9"/>
  <c r="I94" i="9"/>
  <c r="H94" i="9"/>
  <c r="G94" i="9"/>
  <c r="E94" i="9"/>
  <c r="D94" i="9"/>
  <c r="J28" i="11"/>
  <c r="O93" i="9"/>
  <c r="N93" i="9"/>
  <c r="M93" i="9"/>
  <c r="L93" i="9"/>
  <c r="K93" i="9"/>
  <c r="J93" i="9"/>
  <c r="I93" i="9"/>
  <c r="H93" i="9"/>
  <c r="G93" i="9"/>
  <c r="E93" i="9"/>
  <c r="D93" i="9"/>
  <c r="J27" i="11"/>
  <c r="O92" i="9"/>
  <c r="N92" i="9"/>
  <c r="M92" i="9"/>
  <c r="L92" i="9"/>
  <c r="K92" i="9"/>
  <c r="J92" i="9"/>
  <c r="I92" i="9"/>
  <c r="H92" i="9"/>
  <c r="G92" i="9"/>
  <c r="E92" i="9"/>
  <c r="D92" i="9"/>
  <c r="J26" i="11"/>
  <c r="O91" i="9"/>
  <c r="N91" i="9"/>
  <c r="M91" i="9"/>
  <c r="L91" i="9"/>
  <c r="K91" i="9"/>
  <c r="J91" i="9"/>
  <c r="I91" i="9"/>
  <c r="H91" i="9"/>
  <c r="G91" i="9"/>
  <c r="E91" i="9"/>
  <c r="D91" i="9"/>
  <c r="J25" i="11"/>
  <c r="O90" i="9"/>
  <c r="N90" i="9"/>
  <c r="M90" i="9"/>
  <c r="L90" i="9"/>
  <c r="K90" i="9"/>
  <c r="J90" i="9"/>
  <c r="I90" i="9"/>
  <c r="H90" i="9"/>
  <c r="G90" i="9"/>
  <c r="E90" i="9"/>
  <c r="D90" i="9"/>
  <c r="J24" i="11"/>
  <c r="O89" i="9"/>
  <c r="N89" i="9"/>
  <c r="M89" i="9"/>
  <c r="L89" i="9"/>
  <c r="K89" i="9"/>
  <c r="J89" i="9"/>
  <c r="I89" i="9"/>
  <c r="H89" i="9"/>
  <c r="G89" i="9"/>
  <c r="E89" i="9"/>
  <c r="D89" i="9"/>
  <c r="J23" i="11"/>
  <c r="O88" i="9"/>
  <c r="N88" i="9"/>
  <c r="M88" i="9"/>
  <c r="L88" i="9"/>
  <c r="K88" i="9"/>
  <c r="J88" i="9"/>
  <c r="I88" i="9"/>
  <c r="H88" i="9"/>
  <c r="G88" i="9"/>
  <c r="E88" i="9"/>
  <c r="D88" i="9"/>
  <c r="J22" i="11"/>
  <c r="O87" i="9"/>
  <c r="N87" i="9"/>
  <c r="M87" i="9"/>
  <c r="L87" i="9"/>
  <c r="K87" i="9"/>
  <c r="J87" i="9"/>
  <c r="I87" i="9"/>
  <c r="H87" i="9"/>
  <c r="G87" i="9"/>
  <c r="E87" i="9"/>
  <c r="D87" i="9"/>
  <c r="J21" i="11"/>
  <c r="O86" i="9"/>
  <c r="N86" i="9"/>
  <c r="M86" i="9"/>
  <c r="L86" i="9"/>
  <c r="K86" i="9"/>
  <c r="J86" i="9"/>
  <c r="I86" i="9"/>
  <c r="H86" i="9"/>
  <c r="G86" i="9"/>
  <c r="E86" i="9"/>
  <c r="D86" i="9"/>
  <c r="J20" i="11"/>
  <c r="O85" i="9"/>
  <c r="N85" i="9"/>
  <c r="M85" i="9"/>
  <c r="L85" i="9"/>
  <c r="K85" i="9"/>
  <c r="J85" i="9"/>
  <c r="I85" i="9"/>
  <c r="H85" i="9"/>
  <c r="G85" i="9"/>
  <c r="E85" i="9"/>
  <c r="D85" i="9"/>
  <c r="O84" i="9"/>
  <c r="N84" i="9"/>
  <c r="M84" i="9"/>
  <c r="L84" i="9"/>
  <c r="K84" i="9"/>
  <c r="J84" i="9"/>
  <c r="I84" i="9"/>
  <c r="H84" i="9"/>
  <c r="G84" i="9"/>
  <c r="E84" i="9"/>
  <c r="D84" i="9"/>
  <c r="J37" i="11"/>
  <c r="O83" i="9"/>
  <c r="N83" i="9"/>
  <c r="M83" i="9"/>
  <c r="L83" i="9"/>
  <c r="K83" i="9"/>
  <c r="J83" i="9"/>
  <c r="I83" i="9"/>
  <c r="H83" i="9"/>
  <c r="G83" i="9"/>
  <c r="D83" i="9"/>
  <c r="J36" i="11"/>
  <c r="O82" i="9"/>
  <c r="N82" i="9"/>
  <c r="M82" i="9"/>
  <c r="L82" i="9"/>
  <c r="K82" i="9"/>
  <c r="J82" i="9"/>
  <c r="I82" i="9"/>
  <c r="H82" i="9"/>
  <c r="G82" i="9"/>
  <c r="E82" i="9"/>
  <c r="D82" i="9"/>
  <c r="J35" i="11"/>
  <c r="O81" i="9"/>
  <c r="N81" i="9"/>
  <c r="M81" i="9"/>
  <c r="L81" i="9"/>
  <c r="K81" i="9"/>
  <c r="J81" i="9"/>
  <c r="I81" i="9"/>
  <c r="H81" i="9"/>
  <c r="G81" i="9"/>
  <c r="E81" i="9"/>
  <c r="D81" i="9"/>
  <c r="J34" i="11"/>
  <c r="O80" i="9"/>
  <c r="N80" i="9"/>
  <c r="M80" i="9"/>
  <c r="L80" i="9"/>
  <c r="K80" i="9"/>
  <c r="J80" i="9"/>
  <c r="I80" i="9"/>
  <c r="H80" i="9"/>
  <c r="G80" i="9"/>
  <c r="E80" i="9"/>
  <c r="D80" i="9"/>
  <c r="O79" i="9"/>
  <c r="N79" i="9"/>
  <c r="M79" i="9"/>
  <c r="L79" i="9"/>
  <c r="K79" i="9"/>
  <c r="J79" i="9"/>
  <c r="I79" i="9"/>
  <c r="H79" i="9"/>
  <c r="G79" i="9"/>
  <c r="E79" i="9"/>
  <c r="D79" i="9"/>
  <c r="J16" i="11"/>
  <c r="O71" i="9"/>
  <c r="N71" i="9"/>
  <c r="M71" i="9"/>
  <c r="L71" i="9"/>
  <c r="K71" i="9"/>
  <c r="J71" i="9"/>
  <c r="I71" i="9"/>
  <c r="H71" i="9"/>
  <c r="G71" i="9"/>
  <c r="E71" i="9"/>
  <c r="A71" i="9"/>
  <c r="O70" i="9"/>
  <c r="N70" i="9"/>
  <c r="M70" i="9"/>
  <c r="L70" i="9"/>
  <c r="K70" i="9"/>
  <c r="J70" i="9"/>
  <c r="I70" i="9"/>
  <c r="H70" i="9"/>
  <c r="G70" i="9"/>
  <c r="E70" i="9"/>
  <c r="D70" i="9"/>
  <c r="A70" i="9"/>
  <c r="J7" i="11"/>
  <c r="O69" i="9"/>
  <c r="N69" i="9"/>
  <c r="M69" i="9"/>
  <c r="L69" i="9"/>
  <c r="K69" i="9"/>
  <c r="J69" i="9"/>
  <c r="I69" i="9"/>
  <c r="H69" i="9"/>
  <c r="G69" i="9"/>
  <c r="E69" i="9"/>
  <c r="D69" i="9"/>
  <c r="A69" i="9"/>
  <c r="A60" i="9"/>
  <c r="D60" i="9"/>
  <c r="E60" i="9"/>
  <c r="G60" i="9"/>
  <c r="H60" i="9"/>
  <c r="I60" i="9"/>
  <c r="J60" i="9"/>
  <c r="K60" i="9"/>
  <c r="L60" i="9"/>
  <c r="M60" i="9"/>
  <c r="N60" i="9"/>
  <c r="O60" i="9"/>
  <c r="A52" i="9"/>
  <c r="A53" i="9"/>
  <c r="A54" i="9"/>
  <c r="A55" i="9"/>
  <c r="A56" i="9"/>
  <c r="A57" i="9"/>
  <c r="A58" i="9"/>
  <c r="A59" i="9"/>
  <c r="A61" i="9"/>
  <c r="A62" i="9"/>
  <c r="A63" i="9"/>
  <c r="A64" i="9"/>
  <c r="A65" i="9"/>
  <c r="A66" i="9"/>
  <c r="A67" i="9"/>
  <c r="A68" i="9"/>
  <c r="J6" i="11"/>
  <c r="O68" i="9"/>
  <c r="N68" i="9"/>
  <c r="M68" i="9"/>
  <c r="L68" i="9"/>
  <c r="K68" i="9"/>
  <c r="J68" i="9"/>
  <c r="I68" i="9"/>
  <c r="H68" i="9"/>
  <c r="G68" i="9"/>
  <c r="D68" i="9"/>
  <c r="J9" i="11"/>
  <c r="O67" i="9"/>
  <c r="N67" i="9"/>
  <c r="M67" i="9"/>
  <c r="L67" i="9"/>
  <c r="K67" i="9"/>
  <c r="J67" i="9"/>
  <c r="I67" i="9"/>
  <c r="H67" i="9"/>
  <c r="G67" i="9"/>
  <c r="E67" i="9"/>
  <c r="D67" i="9"/>
  <c r="O66" i="9"/>
  <c r="N66" i="9"/>
  <c r="M66" i="9"/>
  <c r="L66" i="9"/>
  <c r="K66" i="9"/>
  <c r="J66" i="9"/>
  <c r="I66" i="9"/>
  <c r="H66" i="9"/>
  <c r="G66" i="9"/>
  <c r="E66" i="9"/>
  <c r="D66" i="9"/>
  <c r="O65" i="9"/>
  <c r="N65" i="9"/>
  <c r="M65" i="9"/>
  <c r="L65" i="9"/>
  <c r="K65" i="9"/>
  <c r="J65" i="9"/>
  <c r="I65" i="9"/>
  <c r="H65" i="9"/>
  <c r="G65" i="9"/>
  <c r="E65" i="9"/>
  <c r="D65" i="9"/>
  <c r="O64" i="9"/>
  <c r="N64" i="9"/>
  <c r="M64" i="9"/>
  <c r="L64" i="9"/>
  <c r="K64" i="9"/>
  <c r="J64" i="9"/>
  <c r="I64" i="9"/>
  <c r="H64" i="9"/>
  <c r="G64" i="9"/>
  <c r="E64" i="9"/>
  <c r="D64" i="9"/>
  <c r="O63" i="9"/>
  <c r="N63" i="9"/>
  <c r="M63" i="9"/>
  <c r="L63" i="9"/>
  <c r="K63" i="9"/>
  <c r="J63" i="9"/>
  <c r="I63" i="9"/>
  <c r="H63" i="9"/>
  <c r="G63" i="9"/>
  <c r="E63" i="9"/>
  <c r="D63" i="9"/>
  <c r="O62" i="9"/>
  <c r="N62" i="9"/>
  <c r="M62" i="9"/>
  <c r="L62" i="9"/>
  <c r="K62" i="9"/>
  <c r="J62" i="9"/>
  <c r="I62" i="9"/>
  <c r="H62" i="9"/>
  <c r="G62" i="9"/>
  <c r="E62" i="9"/>
  <c r="D62" i="9"/>
  <c r="O61" i="9"/>
  <c r="N61" i="9"/>
  <c r="M61" i="9"/>
  <c r="L61" i="9"/>
  <c r="K61" i="9"/>
  <c r="J61" i="9"/>
  <c r="I61" i="9"/>
  <c r="H61" i="9"/>
  <c r="G61" i="9"/>
  <c r="E61" i="9"/>
  <c r="D61" i="9"/>
  <c r="O59" i="9"/>
  <c r="N59" i="9"/>
  <c r="M59" i="9"/>
  <c r="L59" i="9"/>
  <c r="K59" i="9"/>
  <c r="J59" i="9"/>
  <c r="I59" i="9"/>
  <c r="H59" i="9"/>
  <c r="G59" i="9"/>
  <c r="E59" i="9"/>
  <c r="D59" i="9"/>
  <c r="D56" i="9"/>
  <c r="E56" i="9"/>
  <c r="G56" i="9"/>
  <c r="H56" i="9"/>
  <c r="I56" i="9"/>
  <c r="J56" i="9"/>
  <c r="K56" i="9"/>
  <c r="L56" i="9"/>
  <c r="M56" i="9"/>
  <c r="N56" i="9"/>
  <c r="O56" i="9"/>
  <c r="O58" i="9"/>
  <c r="N58" i="9"/>
  <c r="M58" i="9"/>
  <c r="L58" i="9"/>
  <c r="K58" i="9"/>
  <c r="J58" i="9"/>
  <c r="I58" i="9"/>
  <c r="H58" i="9"/>
  <c r="G58" i="9"/>
  <c r="E58" i="9"/>
  <c r="D58" i="9"/>
  <c r="O57" i="9"/>
  <c r="N57" i="9"/>
  <c r="M57" i="9"/>
  <c r="L57" i="9"/>
  <c r="K57" i="9"/>
  <c r="J57" i="9"/>
  <c r="I57" i="9"/>
  <c r="H57" i="9"/>
  <c r="G57" i="9"/>
  <c r="E57" i="9"/>
  <c r="D57" i="9"/>
  <c r="O55" i="9"/>
  <c r="N55" i="9"/>
  <c r="M55" i="9"/>
  <c r="L55" i="9"/>
  <c r="K55" i="9"/>
  <c r="J55" i="9"/>
  <c r="I55" i="9"/>
  <c r="H55" i="9"/>
  <c r="G55" i="9"/>
  <c r="E55" i="9"/>
  <c r="D55" i="9"/>
  <c r="G52" i="9"/>
  <c r="H52" i="9"/>
  <c r="I52" i="9"/>
  <c r="J52" i="9"/>
  <c r="K52" i="9"/>
  <c r="L52" i="9"/>
  <c r="M52" i="9"/>
  <c r="N52" i="9"/>
  <c r="O52" i="9"/>
  <c r="D52" i="9"/>
  <c r="E52" i="9"/>
  <c r="J17" i="11"/>
  <c r="O54" i="9"/>
  <c r="N54" i="9"/>
  <c r="M54" i="9"/>
  <c r="L54" i="9"/>
  <c r="K54" i="9"/>
  <c r="J54" i="9"/>
  <c r="I54" i="9"/>
  <c r="H54" i="9"/>
  <c r="G54" i="9"/>
  <c r="E54" i="9"/>
  <c r="D54" i="9"/>
  <c r="O53" i="9"/>
  <c r="N53" i="9"/>
  <c r="M53" i="9"/>
  <c r="L53" i="9"/>
  <c r="K53" i="9"/>
  <c r="J53" i="9"/>
  <c r="I53" i="9"/>
  <c r="H53" i="9"/>
  <c r="G53" i="9"/>
  <c r="E53" i="9"/>
  <c r="D53" i="9"/>
  <c r="J5" i="11"/>
  <c r="O51" i="9"/>
  <c r="N51" i="9"/>
  <c r="M51" i="9"/>
  <c r="L51" i="9"/>
  <c r="K51" i="9"/>
  <c r="J51" i="9"/>
  <c r="I51" i="9"/>
  <c r="H51" i="9"/>
  <c r="G51" i="9"/>
  <c r="E51" i="9"/>
  <c r="D51" i="9"/>
  <c r="A51" i="9"/>
  <c r="J4" i="11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G53" i="22"/>
  <c r="H53" i="22"/>
  <c r="I53" i="22"/>
  <c r="J53" i="22"/>
  <c r="K53" i="22"/>
  <c r="L53" i="22"/>
  <c r="M53" i="22"/>
  <c r="M55" i="22"/>
  <c r="N55" i="22"/>
  <c r="Q55" i="22"/>
  <c r="P55" i="22"/>
  <c r="R55" i="22"/>
  <c r="O55" i="22"/>
  <c r="S55" i="22"/>
  <c r="N53" i="22"/>
  <c r="O53" i="22"/>
  <c r="P53" i="22"/>
  <c r="Q53" i="22"/>
  <c r="R53" i="22"/>
  <c r="S53" i="22"/>
  <c r="T53" i="22"/>
  <c r="U53" i="22"/>
  <c r="V53" i="22"/>
  <c r="W53" i="22"/>
  <c r="X53" i="22"/>
  <c r="Y53" i="22"/>
  <c r="G54" i="22"/>
  <c r="H54" i="22"/>
  <c r="I54" i="22"/>
  <c r="J54" i="22"/>
  <c r="K54" i="22"/>
  <c r="L54" i="22"/>
  <c r="M54" i="22"/>
  <c r="M56" i="22"/>
  <c r="N56" i="22"/>
  <c r="Q56" i="22"/>
  <c r="P56" i="22"/>
  <c r="R56" i="22"/>
  <c r="O56" i="22"/>
  <c r="S56" i="22"/>
  <c r="N54" i="22"/>
  <c r="O54" i="22"/>
  <c r="P54" i="22"/>
  <c r="Q54" i="22"/>
  <c r="R54" i="22"/>
  <c r="S54" i="22"/>
  <c r="T54" i="22"/>
  <c r="U54" i="22"/>
  <c r="V54" i="22"/>
  <c r="W54" i="22"/>
  <c r="X54" i="22"/>
  <c r="Y54" i="22"/>
  <c r="G55" i="22"/>
  <c r="H55" i="22"/>
  <c r="I55" i="22"/>
  <c r="J55" i="22"/>
  <c r="K55" i="22"/>
  <c r="L55" i="22"/>
  <c r="T55" i="22"/>
  <c r="U55" i="22"/>
  <c r="V55" i="22"/>
  <c r="W55" i="22"/>
  <c r="X55" i="22"/>
  <c r="Y55" i="22"/>
  <c r="G56" i="22"/>
  <c r="H56" i="22"/>
  <c r="I56" i="22"/>
  <c r="J56" i="22"/>
  <c r="K56" i="22"/>
  <c r="L56" i="22"/>
  <c r="T56" i="22"/>
  <c r="U56" i="22"/>
  <c r="V56" i="22"/>
  <c r="W56" i="22"/>
  <c r="X56" i="22"/>
  <c r="Y56" i="22"/>
  <c r="G45" i="22"/>
  <c r="H45" i="22"/>
  <c r="I45" i="22"/>
  <c r="J45" i="22"/>
  <c r="K45" i="22"/>
  <c r="L45" i="22"/>
  <c r="M45" i="22"/>
  <c r="M47" i="22"/>
  <c r="M49" i="22"/>
  <c r="M51" i="22"/>
  <c r="N51" i="22"/>
  <c r="Q51" i="22"/>
  <c r="P51" i="22"/>
  <c r="R51" i="22"/>
  <c r="O51" i="22"/>
  <c r="S51" i="22"/>
  <c r="N49" i="22"/>
  <c r="Q49" i="22"/>
  <c r="P49" i="22"/>
  <c r="R49" i="22"/>
  <c r="O49" i="22"/>
  <c r="S49" i="22"/>
  <c r="N47" i="22"/>
  <c r="Q47" i="22"/>
  <c r="P47" i="22"/>
  <c r="R47" i="22"/>
  <c r="O47" i="22"/>
  <c r="S47" i="22"/>
  <c r="N45" i="22"/>
  <c r="O45" i="22"/>
  <c r="P45" i="22"/>
  <c r="Q45" i="22"/>
  <c r="R45" i="22"/>
  <c r="S45" i="22"/>
  <c r="T45" i="22"/>
  <c r="U45" i="22"/>
  <c r="V45" i="22"/>
  <c r="W45" i="22"/>
  <c r="X45" i="22"/>
  <c r="Y45" i="22"/>
  <c r="G46" i="22"/>
  <c r="H46" i="22"/>
  <c r="I46" i="22"/>
  <c r="J46" i="22"/>
  <c r="K46" i="22"/>
  <c r="L46" i="22"/>
  <c r="M46" i="22"/>
  <c r="M48" i="22"/>
  <c r="M50" i="22"/>
  <c r="M52" i="22"/>
  <c r="N52" i="22"/>
  <c r="Q52" i="22"/>
  <c r="P52" i="22"/>
  <c r="R52" i="22"/>
  <c r="O52" i="22"/>
  <c r="S52" i="22"/>
  <c r="N50" i="22"/>
  <c r="Q50" i="22"/>
  <c r="P50" i="22"/>
  <c r="R50" i="22"/>
  <c r="O50" i="22"/>
  <c r="S50" i="22"/>
  <c r="N48" i="22"/>
  <c r="Q48" i="22"/>
  <c r="P48" i="22"/>
  <c r="R48" i="22"/>
  <c r="O48" i="22"/>
  <c r="S48" i="22"/>
  <c r="N46" i="22"/>
  <c r="O46" i="22"/>
  <c r="P46" i="22"/>
  <c r="Q46" i="22"/>
  <c r="R46" i="22"/>
  <c r="S46" i="22"/>
  <c r="T46" i="22"/>
  <c r="U46" i="22"/>
  <c r="V46" i="22"/>
  <c r="W46" i="22"/>
  <c r="X46" i="22"/>
  <c r="Y46" i="22"/>
  <c r="G47" i="22"/>
  <c r="H47" i="22"/>
  <c r="I47" i="22"/>
  <c r="J47" i="22"/>
  <c r="K47" i="22"/>
  <c r="L47" i="22"/>
  <c r="T47" i="22"/>
  <c r="U47" i="22"/>
  <c r="V47" i="22"/>
  <c r="W47" i="22"/>
  <c r="X47" i="22"/>
  <c r="Y47" i="22"/>
  <c r="G48" i="22"/>
  <c r="H48" i="22"/>
  <c r="I48" i="22"/>
  <c r="J48" i="22"/>
  <c r="K48" i="22"/>
  <c r="L48" i="22"/>
  <c r="T48" i="22"/>
  <c r="U48" i="22"/>
  <c r="V48" i="22"/>
  <c r="W48" i="22"/>
  <c r="X48" i="22"/>
  <c r="Y48" i="22"/>
  <c r="G49" i="22"/>
  <c r="H49" i="22"/>
  <c r="I49" i="22"/>
  <c r="J49" i="22"/>
  <c r="K49" i="22"/>
  <c r="L49" i="22"/>
  <c r="T49" i="22"/>
  <c r="U49" i="22"/>
  <c r="V49" i="22"/>
  <c r="W49" i="22"/>
  <c r="X49" i="22"/>
  <c r="Y49" i="22"/>
  <c r="G50" i="22"/>
  <c r="H50" i="22"/>
  <c r="I50" i="22"/>
  <c r="J50" i="22"/>
  <c r="K50" i="22"/>
  <c r="L50" i="22"/>
  <c r="T50" i="22"/>
  <c r="U50" i="22"/>
  <c r="V50" i="22"/>
  <c r="W50" i="22"/>
  <c r="X50" i="22"/>
  <c r="Y50" i="22"/>
  <c r="G51" i="22"/>
  <c r="H51" i="22"/>
  <c r="I51" i="22"/>
  <c r="J51" i="22"/>
  <c r="K51" i="22"/>
  <c r="L51" i="22"/>
  <c r="T51" i="22"/>
  <c r="U51" i="22"/>
  <c r="V51" i="22"/>
  <c r="W51" i="22"/>
  <c r="X51" i="22"/>
  <c r="Y51" i="22"/>
  <c r="G52" i="22"/>
  <c r="H52" i="22"/>
  <c r="I52" i="22"/>
  <c r="J52" i="22"/>
  <c r="K52" i="22"/>
  <c r="L52" i="22"/>
  <c r="T52" i="22"/>
  <c r="U52" i="22"/>
  <c r="V52" i="22"/>
  <c r="W52" i="22"/>
  <c r="X52" i="22"/>
  <c r="Y52" i="22"/>
  <c r="A7" i="9"/>
  <c r="G3" i="22"/>
  <c r="J3" i="22"/>
  <c r="I3" i="22"/>
  <c r="K3" i="22"/>
  <c r="H3" i="22"/>
  <c r="L3" i="22"/>
  <c r="G4" i="22"/>
  <c r="J4" i="22"/>
  <c r="I4" i="22"/>
  <c r="K4" i="22"/>
  <c r="H4" i="22"/>
  <c r="L4" i="22"/>
  <c r="G5" i="22"/>
  <c r="J5" i="22"/>
  <c r="I5" i="22"/>
  <c r="K5" i="22"/>
  <c r="H5" i="22"/>
  <c r="L5" i="22"/>
  <c r="G6" i="22"/>
  <c r="J6" i="22"/>
  <c r="I6" i="22"/>
  <c r="K6" i="22"/>
  <c r="H6" i="22"/>
  <c r="L6" i="22"/>
  <c r="G7" i="22"/>
  <c r="J7" i="22"/>
  <c r="I7" i="22"/>
  <c r="K7" i="22"/>
  <c r="H7" i="22"/>
  <c r="L7" i="22"/>
  <c r="G8" i="22"/>
  <c r="J8" i="22"/>
  <c r="I8" i="22"/>
  <c r="K8" i="22"/>
  <c r="H8" i="22"/>
  <c r="L8" i="22"/>
  <c r="G9" i="22"/>
  <c r="J9" i="22"/>
  <c r="I9" i="22"/>
  <c r="K9" i="22"/>
  <c r="H9" i="22"/>
  <c r="L9" i="22"/>
  <c r="G10" i="22"/>
  <c r="J10" i="22"/>
  <c r="I10" i="22"/>
  <c r="K10" i="22"/>
  <c r="H10" i="22"/>
  <c r="L10" i="22"/>
  <c r="G11" i="22"/>
  <c r="J11" i="22"/>
  <c r="I11" i="22"/>
  <c r="K11" i="22"/>
  <c r="H11" i="22"/>
  <c r="L11" i="22"/>
  <c r="G12" i="22"/>
  <c r="J12" i="22"/>
  <c r="I12" i="22"/>
  <c r="K12" i="22"/>
  <c r="H12" i="22"/>
  <c r="L12" i="22"/>
  <c r="G13" i="22"/>
  <c r="J13" i="22"/>
  <c r="I13" i="22"/>
  <c r="K13" i="22"/>
  <c r="H13" i="22"/>
  <c r="L13" i="22"/>
  <c r="G14" i="22"/>
  <c r="J14" i="22"/>
  <c r="I14" i="22"/>
  <c r="K14" i="22"/>
  <c r="H14" i="22"/>
  <c r="L14" i="22"/>
  <c r="G15" i="22"/>
  <c r="J15" i="22"/>
  <c r="I15" i="22"/>
  <c r="K15" i="22"/>
  <c r="H15" i="22"/>
  <c r="L15" i="22"/>
  <c r="G16" i="22"/>
  <c r="J16" i="22"/>
  <c r="I16" i="22"/>
  <c r="K16" i="22"/>
  <c r="H16" i="22"/>
  <c r="L16" i="22"/>
  <c r="G17" i="22"/>
  <c r="J17" i="22"/>
  <c r="I17" i="22"/>
  <c r="K17" i="22"/>
  <c r="H17" i="22"/>
  <c r="L17" i="22"/>
  <c r="G18" i="22"/>
  <c r="J18" i="22"/>
  <c r="I18" i="22"/>
  <c r="K18" i="22"/>
  <c r="H18" i="22"/>
  <c r="L18" i="22"/>
  <c r="G19" i="22"/>
  <c r="J19" i="22"/>
  <c r="I19" i="22"/>
  <c r="K19" i="22"/>
  <c r="H19" i="22"/>
  <c r="L19" i="22"/>
  <c r="J20" i="22"/>
  <c r="I20" i="22"/>
  <c r="K20" i="22"/>
  <c r="H20" i="22"/>
  <c r="L20" i="22"/>
  <c r="L21" i="22"/>
  <c r="L22" i="22"/>
  <c r="G23" i="22"/>
  <c r="J23" i="22"/>
  <c r="I23" i="22"/>
  <c r="K23" i="22"/>
  <c r="H23" i="22"/>
  <c r="L23" i="22"/>
  <c r="G24" i="22"/>
  <c r="J24" i="22"/>
  <c r="I24" i="22"/>
  <c r="K24" i="22"/>
  <c r="H24" i="22"/>
  <c r="L24" i="22"/>
  <c r="G25" i="22"/>
  <c r="J25" i="22"/>
  <c r="I25" i="22"/>
  <c r="K25" i="22"/>
  <c r="H25" i="22"/>
  <c r="L25" i="22"/>
  <c r="G26" i="22"/>
  <c r="J26" i="22"/>
  <c r="I26" i="22"/>
  <c r="K26" i="22"/>
  <c r="H26" i="22"/>
  <c r="L26" i="22"/>
  <c r="G27" i="22"/>
  <c r="J27" i="22"/>
  <c r="I27" i="22"/>
  <c r="K27" i="22"/>
  <c r="H27" i="22"/>
  <c r="L27" i="22"/>
  <c r="G28" i="22"/>
  <c r="J28" i="22"/>
  <c r="I28" i="22"/>
  <c r="K28" i="22"/>
  <c r="H28" i="22"/>
  <c r="L28" i="22"/>
  <c r="G29" i="22"/>
  <c r="J29" i="22"/>
  <c r="I29" i="22"/>
  <c r="K29" i="22"/>
  <c r="H29" i="22"/>
  <c r="L29" i="22"/>
  <c r="G30" i="22"/>
  <c r="J30" i="22"/>
  <c r="I30" i="22"/>
  <c r="K30" i="22"/>
  <c r="H30" i="22"/>
  <c r="L30" i="22"/>
  <c r="G31" i="22"/>
  <c r="J31" i="22"/>
  <c r="I31" i="22"/>
  <c r="K31" i="22"/>
  <c r="H31" i="22"/>
  <c r="L31" i="22"/>
  <c r="G32" i="22"/>
  <c r="J32" i="22"/>
  <c r="I32" i="22"/>
  <c r="K32" i="22"/>
  <c r="H32" i="22"/>
  <c r="L32" i="22"/>
  <c r="G33" i="22"/>
  <c r="J33" i="22"/>
  <c r="I33" i="22"/>
  <c r="K33" i="22"/>
  <c r="H33" i="22"/>
  <c r="L33" i="22"/>
  <c r="G34" i="22"/>
  <c r="J34" i="22"/>
  <c r="I34" i="22"/>
  <c r="K34" i="22"/>
  <c r="H34" i="22"/>
  <c r="L34" i="22"/>
  <c r="G35" i="22"/>
  <c r="J35" i="22"/>
  <c r="I35" i="22"/>
  <c r="K35" i="22"/>
  <c r="H35" i="22"/>
  <c r="L35" i="22"/>
  <c r="G36" i="22"/>
  <c r="J36" i="22"/>
  <c r="I36" i="22"/>
  <c r="K36" i="22"/>
  <c r="H36" i="22"/>
  <c r="L36" i="22"/>
  <c r="J37" i="22"/>
  <c r="I37" i="22"/>
  <c r="K37" i="22"/>
  <c r="H37" i="22"/>
  <c r="L37" i="22"/>
  <c r="G38" i="22"/>
  <c r="J38" i="22"/>
  <c r="I38" i="22"/>
  <c r="K38" i="22"/>
  <c r="H38" i="22"/>
  <c r="L38" i="22"/>
  <c r="G39" i="22"/>
  <c r="J39" i="22"/>
  <c r="I39" i="22"/>
  <c r="K39" i="22"/>
  <c r="H39" i="22"/>
  <c r="L39" i="22"/>
  <c r="G40" i="22"/>
  <c r="J40" i="22"/>
  <c r="I40" i="22"/>
  <c r="K40" i="22"/>
  <c r="H40" i="22"/>
  <c r="L40" i="22"/>
  <c r="G41" i="22"/>
  <c r="J41" i="22"/>
  <c r="I41" i="22"/>
  <c r="K41" i="22"/>
  <c r="H41" i="22"/>
  <c r="L41" i="22"/>
  <c r="G42" i="22"/>
  <c r="J42" i="22"/>
  <c r="I42" i="22"/>
  <c r="K42" i="22"/>
  <c r="H42" i="22"/>
  <c r="L42" i="22"/>
  <c r="G43" i="22"/>
  <c r="J43" i="22"/>
  <c r="I43" i="22"/>
  <c r="K43" i="22"/>
  <c r="H43" i="22"/>
  <c r="L43" i="22"/>
  <c r="G44" i="22"/>
  <c r="J44" i="22"/>
  <c r="I44" i="22"/>
  <c r="K44" i="22"/>
  <c r="H44" i="22"/>
  <c r="L44" i="22"/>
  <c r="G2" i="22"/>
  <c r="J2" i="22"/>
  <c r="I2" i="22"/>
  <c r="K2" i="22"/>
  <c r="H2" i="22"/>
  <c r="L2" i="22"/>
  <c r="D48" i="9"/>
  <c r="W5" i="7"/>
  <c r="D34" i="9"/>
  <c r="W4" i="7"/>
  <c r="D19" i="9"/>
  <c r="W2" i="7"/>
  <c r="D6" i="9"/>
  <c r="V3" i="1"/>
  <c r="D7" i="9"/>
  <c r="V4" i="1"/>
  <c r="V5" i="1"/>
  <c r="D10" i="9"/>
  <c r="V6" i="1"/>
  <c r="D14" i="9"/>
  <c r="V7" i="1"/>
  <c r="D3" i="9"/>
  <c r="V9" i="1"/>
  <c r="V10" i="1"/>
  <c r="V11" i="1"/>
  <c r="V12" i="1"/>
  <c r="V13" i="1"/>
  <c r="V14" i="1"/>
  <c r="V16" i="1"/>
  <c r="V17" i="1"/>
  <c r="V18" i="1"/>
  <c r="V19" i="1"/>
  <c r="V20" i="1"/>
  <c r="V21" i="1"/>
  <c r="V2" i="1"/>
  <c r="E10" i="9"/>
  <c r="E14" i="9"/>
  <c r="E20" i="9"/>
  <c r="E21" i="9"/>
  <c r="E22" i="9"/>
  <c r="E15" i="9"/>
  <c r="E19" i="9"/>
  <c r="E29" i="9"/>
  <c r="E3" i="9"/>
  <c r="E48" i="9"/>
  <c r="E34" i="9"/>
  <c r="W7" i="7"/>
  <c r="W10" i="7"/>
  <c r="W11" i="7"/>
  <c r="E6" i="9"/>
  <c r="H4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I4" i="7"/>
  <c r="J4" i="7"/>
  <c r="H5" i="7"/>
  <c r="I5" i="7"/>
  <c r="J5" i="7"/>
  <c r="H6" i="7"/>
  <c r="I6" i="7"/>
  <c r="J6" i="7"/>
  <c r="H7" i="7"/>
  <c r="I7" i="7"/>
  <c r="J7" i="7"/>
  <c r="H8" i="7"/>
  <c r="I8" i="7"/>
  <c r="J8" i="7"/>
  <c r="H9" i="7"/>
  <c r="I9" i="7"/>
  <c r="J9" i="7"/>
  <c r="H10" i="7"/>
  <c r="I10" i="7"/>
  <c r="J10" i="7"/>
  <c r="H11" i="7"/>
  <c r="I11" i="7"/>
  <c r="J11" i="7"/>
  <c r="H12" i="7"/>
  <c r="I12" i="7"/>
  <c r="J12" i="7"/>
  <c r="H13" i="7"/>
  <c r="I13" i="7"/>
  <c r="J13" i="7"/>
  <c r="H3" i="7"/>
  <c r="J3" i="7"/>
  <c r="H2" i="7"/>
  <c r="J2" i="7"/>
  <c r="I2" i="7"/>
  <c r="I3" i="7"/>
  <c r="A3" i="18"/>
  <c r="C3" i="18"/>
  <c r="D3" i="18"/>
  <c r="A4" i="18"/>
  <c r="C4" i="18"/>
  <c r="D4" i="18"/>
  <c r="A5" i="18"/>
  <c r="C5" i="18"/>
  <c r="D5" i="18"/>
  <c r="A6" i="18"/>
  <c r="C6" i="18"/>
  <c r="D6" i="18"/>
  <c r="A7" i="18"/>
  <c r="C7" i="18"/>
  <c r="D7" i="18"/>
  <c r="A8" i="18"/>
  <c r="C8" i="18"/>
  <c r="D8" i="18"/>
  <c r="A9" i="18"/>
  <c r="C9" i="18"/>
  <c r="D9" i="18"/>
  <c r="A10" i="18"/>
  <c r="C10" i="18"/>
  <c r="D10" i="18"/>
  <c r="A11" i="18"/>
  <c r="C11" i="18"/>
  <c r="D11" i="18"/>
  <c r="A12" i="18"/>
  <c r="C12" i="18"/>
  <c r="D12" i="18"/>
  <c r="A13" i="18"/>
  <c r="C13" i="18"/>
  <c r="D13" i="18"/>
  <c r="A14" i="18"/>
  <c r="C14" i="18"/>
  <c r="D14" i="18"/>
  <c r="A15" i="18"/>
  <c r="C15" i="18"/>
  <c r="D15" i="18"/>
  <c r="A16" i="18"/>
  <c r="C16" i="18"/>
  <c r="D16" i="18"/>
  <c r="A17" i="18"/>
  <c r="C17" i="18"/>
  <c r="D17" i="18"/>
  <c r="A18" i="18"/>
  <c r="C18" i="18"/>
  <c r="D18" i="18"/>
  <c r="A19" i="18"/>
  <c r="C19" i="18"/>
  <c r="D19" i="18"/>
  <c r="A20" i="18"/>
  <c r="C20" i="18"/>
  <c r="D20" i="18"/>
  <c r="A21" i="18"/>
  <c r="C21" i="18"/>
  <c r="D21" i="18"/>
  <c r="A22" i="18"/>
  <c r="C22" i="18"/>
  <c r="D22" i="18"/>
  <c r="A23" i="18"/>
  <c r="C23" i="18"/>
  <c r="D23" i="18"/>
  <c r="A24" i="18"/>
  <c r="C24" i="18"/>
  <c r="D24" i="18"/>
  <c r="A25" i="18"/>
  <c r="C25" i="18"/>
  <c r="D25" i="18"/>
  <c r="A26" i="18"/>
  <c r="C26" i="18"/>
  <c r="D26" i="18"/>
  <c r="A2" i="18"/>
  <c r="C2" i="18"/>
  <c r="D2" i="18"/>
  <c r="H2" i="9"/>
  <c r="I2" i="9"/>
  <c r="J2" i="9"/>
  <c r="K2" i="9"/>
  <c r="L2" i="9"/>
  <c r="M2" i="9"/>
  <c r="N2" i="9"/>
  <c r="O2" i="9"/>
  <c r="H3" i="9"/>
  <c r="I3" i="9"/>
  <c r="J3" i="9"/>
  <c r="K3" i="9"/>
  <c r="L3" i="9"/>
  <c r="M3" i="9"/>
  <c r="N3" i="9"/>
  <c r="O3" i="9"/>
  <c r="H4" i="9"/>
  <c r="I4" i="9"/>
  <c r="J4" i="9"/>
  <c r="K4" i="9"/>
  <c r="L4" i="9"/>
  <c r="M4" i="9"/>
  <c r="N4" i="9"/>
  <c r="O4" i="9"/>
  <c r="H5" i="9"/>
  <c r="I5" i="9"/>
  <c r="J5" i="9"/>
  <c r="K5" i="9"/>
  <c r="L5" i="9"/>
  <c r="M5" i="9"/>
  <c r="N5" i="9"/>
  <c r="O5" i="9"/>
  <c r="H6" i="9"/>
  <c r="I6" i="9"/>
  <c r="J6" i="9"/>
  <c r="K6" i="9"/>
  <c r="L6" i="9"/>
  <c r="M6" i="9"/>
  <c r="N6" i="9"/>
  <c r="O6" i="9"/>
  <c r="H7" i="9"/>
  <c r="I7" i="9"/>
  <c r="J7" i="9"/>
  <c r="K7" i="9"/>
  <c r="L7" i="9"/>
  <c r="M7" i="9"/>
  <c r="N7" i="9"/>
  <c r="O7" i="9"/>
  <c r="H11" i="9"/>
  <c r="I11" i="9"/>
  <c r="J11" i="9"/>
  <c r="K11" i="9"/>
  <c r="L11" i="9"/>
  <c r="M11" i="9"/>
  <c r="N11" i="9"/>
  <c r="O11" i="9"/>
  <c r="H12" i="9"/>
  <c r="I12" i="9"/>
  <c r="J12" i="9"/>
  <c r="K12" i="9"/>
  <c r="L12" i="9"/>
  <c r="M12" i="9"/>
  <c r="N12" i="9"/>
  <c r="O12" i="9"/>
  <c r="H13" i="9"/>
  <c r="I13" i="9"/>
  <c r="J13" i="9"/>
  <c r="K13" i="9"/>
  <c r="L13" i="9"/>
  <c r="M13" i="9"/>
  <c r="N13" i="9"/>
  <c r="O13" i="9"/>
  <c r="H14" i="9"/>
  <c r="I14" i="9"/>
  <c r="J14" i="9"/>
  <c r="K14" i="9"/>
  <c r="L14" i="9"/>
  <c r="M14" i="9"/>
  <c r="N14" i="9"/>
  <c r="O14" i="9"/>
  <c r="H8" i="9"/>
  <c r="I8" i="9"/>
  <c r="J8" i="9"/>
  <c r="K8" i="9"/>
  <c r="L8" i="9"/>
  <c r="M8" i="9"/>
  <c r="N8" i="9"/>
  <c r="O8" i="9"/>
  <c r="H9" i="9"/>
  <c r="I9" i="9"/>
  <c r="J9" i="9"/>
  <c r="K9" i="9"/>
  <c r="L9" i="9"/>
  <c r="M9" i="9"/>
  <c r="N9" i="9"/>
  <c r="O9" i="9"/>
  <c r="H10" i="9"/>
  <c r="I10" i="9"/>
  <c r="J10" i="9"/>
  <c r="K10" i="9"/>
  <c r="L10" i="9"/>
  <c r="M10" i="9"/>
  <c r="N10" i="9"/>
  <c r="O10" i="9"/>
  <c r="H20" i="9"/>
  <c r="I20" i="9"/>
  <c r="J20" i="9"/>
  <c r="K20" i="9"/>
  <c r="L20" i="9"/>
  <c r="M20" i="9"/>
  <c r="N20" i="9"/>
  <c r="O20" i="9"/>
  <c r="H21" i="9"/>
  <c r="I21" i="9"/>
  <c r="J21" i="9"/>
  <c r="K21" i="9"/>
  <c r="L21" i="9"/>
  <c r="M21" i="9"/>
  <c r="N21" i="9"/>
  <c r="O21" i="9"/>
  <c r="H22" i="9"/>
  <c r="I22" i="9"/>
  <c r="J22" i="9"/>
  <c r="K22" i="9"/>
  <c r="L22" i="9"/>
  <c r="M22" i="9"/>
  <c r="N22" i="9"/>
  <c r="O22" i="9"/>
  <c r="H15" i="9"/>
  <c r="I15" i="9"/>
  <c r="J15" i="9"/>
  <c r="K15" i="9"/>
  <c r="L15" i="9"/>
  <c r="M15" i="9"/>
  <c r="N15" i="9"/>
  <c r="O15" i="9"/>
  <c r="H16" i="9"/>
  <c r="I16" i="9"/>
  <c r="J16" i="9"/>
  <c r="K16" i="9"/>
  <c r="L16" i="9"/>
  <c r="M16" i="9"/>
  <c r="N16" i="9"/>
  <c r="O16" i="9"/>
  <c r="H17" i="9"/>
  <c r="I17" i="9"/>
  <c r="J17" i="9"/>
  <c r="K17" i="9"/>
  <c r="L17" i="9"/>
  <c r="M17" i="9"/>
  <c r="N17" i="9"/>
  <c r="O17" i="9"/>
  <c r="H18" i="9"/>
  <c r="I18" i="9"/>
  <c r="J18" i="9"/>
  <c r="K18" i="9"/>
  <c r="L18" i="9"/>
  <c r="M18" i="9"/>
  <c r="N18" i="9"/>
  <c r="O18" i="9"/>
  <c r="H19" i="9"/>
  <c r="I19" i="9"/>
  <c r="J19" i="9"/>
  <c r="K19" i="9"/>
  <c r="L19" i="9"/>
  <c r="M19" i="9"/>
  <c r="N19" i="9"/>
  <c r="O19" i="9"/>
  <c r="H23" i="9"/>
  <c r="I23" i="9"/>
  <c r="J23" i="9"/>
  <c r="K23" i="9"/>
  <c r="L23" i="9"/>
  <c r="M23" i="9"/>
  <c r="N23" i="9"/>
  <c r="O23" i="9"/>
  <c r="H24" i="9"/>
  <c r="I24" i="9"/>
  <c r="J24" i="9"/>
  <c r="K24" i="9"/>
  <c r="L24" i="9"/>
  <c r="M24" i="9"/>
  <c r="N24" i="9"/>
  <c r="O24" i="9"/>
  <c r="H25" i="9"/>
  <c r="I25" i="9"/>
  <c r="J25" i="9"/>
  <c r="K25" i="9"/>
  <c r="L25" i="9"/>
  <c r="M25" i="9"/>
  <c r="N25" i="9"/>
  <c r="O25" i="9"/>
  <c r="H26" i="9"/>
  <c r="I26" i="9"/>
  <c r="J26" i="9"/>
  <c r="K26" i="9"/>
  <c r="L26" i="9"/>
  <c r="M26" i="9"/>
  <c r="N26" i="9"/>
  <c r="O26" i="9"/>
  <c r="H27" i="9"/>
  <c r="I27" i="9"/>
  <c r="J27" i="9"/>
  <c r="K27" i="9"/>
  <c r="L27" i="9"/>
  <c r="M27" i="9"/>
  <c r="N27" i="9"/>
  <c r="O27" i="9"/>
  <c r="H28" i="9"/>
  <c r="I28" i="9"/>
  <c r="J28" i="9"/>
  <c r="K28" i="9"/>
  <c r="L28" i="9"/>
  <c r="M28" i="9"/>
  <c r="N28" i="9"/>
  <c r="O28" i="9"/>
  <c r="H29" i="9"/>
  <c r="I29" i="9"/>
  <c r="J29" i="9"/>
  <c r="K29" i="9"/>
  <c r="L29" i="9"/>
  <c r="M29" i="9"/>
  <c r="N29" i="9"/>
  <c r="O29" i="9"/>
  <c r="H30" i="9"/>
  <c r="I30" i="9"/>
  <c r="J30" i="9"/>
  <c r="K30" i="9"/>
  <c r="L30" i="9"/>
  <c r="M30" i="9"/>
  <c r="N30" i="9"/>
  <c r="O30" i="9"/>
  <c r="H31" i="9"/>
  <c r="I31" i="9"/>
  <c r="J31" i="9"/>
  <c r="K31" i="9"/>
  <c r="L31" i="9"/>
  <c r="M31" i="9"/>
  <c r="N31" i="9"/>
  <c r="O31" i="9"/>
  <c r="H32" i="9"/>
  <c r="I32" i="9"/>
  <c r="J32" i="9"/>
  <c r="K32" i="9"/>
  <c r="L32" i="9"/>
  <c r="M32" i="9"/>
  <c r="N32" i="9"/>
  <c r="O32" i="9"/>
  <c r="H33" i="9"/>
  <c r="I33" i="9"/>
  <c r="J33" i="9"/>
  <c r="K33" i="9"/>
  <c r="L33" i="9"/>
  <c r="M33" i="9"/>
  <c r="N33" i="9"/>
  <c r="O33" i="9"/>
  <c r="H34" i="9"/>
  <c r="I34" i="9"/>
  <c r="J34" i="9"/>
  <c r="K34" i="9"/>
  <c r="L34" i="9"/>
  <c r="M34" i="9"/>
  <c r="N34" i="9"/>
  <c r="O34" i="9"/>
  <c r="H35" i="9"/>
  <c r="I35" i="9"/>
  <c r="J35" i="9"/>
  <c r="K35" i="9"/>
  <c r="L35" i="9"/>
  <c r="M35" i="9"/>
  <c r="N35" i="9"/>
  <c r="O35" i="9"/>
  <c r="H36" i="9"/>
  <c r="I36" i="9"/>
  <c r="J36" i="9"/>
  <c r="K36" i="9"/>
  <c r="L36" i="9"/>
  <c r="M36" i="9"/>
  <c r="N36" i="9"/>
  <c r="O36" i="9"/>
  <c r="H37" i="9"/>
  <c r="I37" i="9"/>
  <c r="J37" i="9"/>
  <c r="K37" i="9"/>
  <c r="L37" i="9"/>
  <c r="M37" i="9"/>
  <c r="N37" i="9"/>
  <c r="O37" i="9"/>
  <c r="H38" i="9"/>
  <c r="I38" i="9"/>
  <c r="J38" i="9"/>
  <c r="K38" i="9"/>
  <c r="L38" i="9"/>
  <c r="M38" i="9"/>
  <c r="N38" i="9"/>
  <c r="O38" i="9"/>
  <c r="H39" i="9"/>
  <c r="I39" i="9"/>
  <c r="J39" i="9"/>
  <c r="K39" i="9"/>
  <c r="L39" i="9"/>
  <c r="M39" i="9"/>
  <c r="N39" i="9"/>
  <c r="O39" i="9"/>
  <c r="H40" i="9"/>
  <c r="I40" i="9"/>
  <c r="J40" i="9"/>
  <c r="K40" i="9"/>
  <c r="L40" i="9"/>
  <c r="M40" i="9"/>
  <c r="N40" i="9"/>
  <c r="O40" i="9"/>
  <c r="H41" i="9"/>
  <c r="I41" i="9"/>
  <c r="J41" i="9"/>
  <c r="K41" i="9"/>
  <c r="L41" i="9"/>
  <c r="M41" i="9"/>
  <c r="N41" i="9"/>
  <c r="O41" i="9"/>
  <c r="H42" i="9"/>
  <c r="I42" i="9"/>
  <c r="J42" i="9"/>
  <c r="K42" i="9"/>
  <c r="L42" i="9"/>
  <c r="M42" i="9"/>
  <c r="N42" i="9"/>
  <c r="O42" i="9"/>
  <c r="H43" i="9"/>
  <c r="I43" i="9"/>
  <c r="J43" i="9"/>
  <c r="K43" i="9"/>
  <c r="L43" i="9"/>
  <c r="M43" i="9"/>
  <c r="N43" i="9"/>
  <c r="O43" i="9"/>
  <c r="H44" i="9"/>
  <c r="I44" i="9"/>
  <c r="J44" i="9"/>
  <c r="K44" i="9"/>
  <c r="L44" i="9"/>
  <c r="M44" i="9"/>
  <c r="N44" i="9"/>
  <c r="O44" i="9"/>
  <c r="H45" i="9"/>
  <c r="I45" i="9"/>
  <c r="J45" i="9"/>
  <c r="K45" i="9"/>
  <c r="L45" i="9"/>
  <c r="M45" i="9"/>
  <c r="N45" i="9"/>
  <c r="O45" i="9"/>
  <c r="H46" i="9"/>
  <c r="I46" i="9"/>
  <c r="J46" i="9"/>
  <c r="K46" i="9"/>
  <c r="L46" i="9"/>
  <c r="M46" i="9"/>
  <c r="N46" i="9"/>
  <c r="O46" i="9"/>
  <c r="H47" i="9"/>
  <c r="I47" i="9"/>
  <c r="J47" i="9"/>
  <c r="K47" i="9"/>
  <c r="L47" i="9"/>
  <c r="M47" i="9"/>
  <c r="N47" i="9"/>
  <c r="O47" i="9"/>
  <c r="H48" i="9"/>
  <c r="I48" i="9"/>
  <c r="J48" i="9"/>
  <c r="K48" i="9"/>
  <c r="L48" i="9"/>
  <c r="M48" i="9"/>
  <c r="N48" i="9"/>
  <c r="O48" i="9"/>
  <c r="G3" i="9"/>
  <c r="G4" i="9"/>
  <c r="G5" i="9"/>
  <c r="G6" i="9"/>
  <c r="G7" i="9"/>
  <c r="G11" i="9"/>
  <c r="G12" i="9"/>
  <c r="G13" i="9"/>
  <c r="G14" i="9"/>
  <c r="G8" i="9"/>
  <c r="G9" i="9"/>
  <c r="G10" i="9"/>
  <c r="G20" i="9"/>
  <c r="G21" i="9"/>
  <c r="G22" i="9"/>
  <c r="G15" i="9"/>
  <c r="G16" i="9"/>
  <c r="G17" i="9"/>
  <c r="G18" i="9"/>
  <c r="G19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2" i="9"/>
  <c r="D2" i="9"/>
  <c r="E2" i="9"/>
  <c r="E4" i="9"/>
  <c r="E5" i="9"/>
  <c r="E7" i="9"/>
  <c r="E11" i="9"/>
  <c r="E12" i="9"/>
  <c r="E13" i="9"/>
  <c r="E8" i="9"/>
  <c r="E9" i="9"/>
  <c r="E16" i="9"/>
  <c r="E17" i="9"/>
  <c r="E18" i="9"/>
  <c r="E23" i="9"/>
  <c r="E24" i="9"/>
  <c r="E25" i="9"/>
  <c r="E26" i="9"/>
  <c r="E27" i="9"/>
  <c r="E28" i="9"/>
  <c r="E30" i="9"/>
  <c r="E31" i="9"/>
  <c r="E32" i="9"/>
  <c r="E33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D4" i="9"/>
  <c r="D5" i="9"/>
  <c r="D11" i="9"/>
  <c r="D12" i="9"/>
  <c r="D13" i="9"/>
  <c r="D8" i="9"/>
  <c r="D9" i="9"/>
  <c r="D20" i="9"/>
  <c r="D21" i="9"/>
  <c r="D15" i="9"/>
  <c r="D16" i="9"/>
  <c r="D17" i="9"/>
  <c r="D18" i="9"/>
  <c r="D23" i="9"/>
  <c r="D24" i="9"/>
  <c r="D25" i="9"/>
  <c r="D26" i="9"/>
  <c r="D27" i="9"/>
  <c r="D28" i="9"/>
  <c r="D30" i="9"/>
  <c r="D31" i="9"/>
  <c r="D32" i="9"/>
  <c r="D33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19" i="9"/>
  <c r="A18" i="9"/>
  <c r="A17" i="9"/>
  <c r="A16" i="9"/>
  <c r="A15" i="9"/>
  <c r="A22" i="9"/>
  <c r="A21" i="9"/>
  <c r="A20" i="9"/>
  <c r="A10" i="9"/>
  <c r="A9" i="9"/>
  <c r="A8" i="9"/>
  <c r="A14" i="9"/>
  <c r="A13" i="9"/>
  <c r="A12" i="9"/>
  <c r="A11" i="9"/>
  <c r="A6" i="9"/>
  <c r="A5" i="9"/>
  <c r="A4" i="9"/>
  <c r="A3" i="9"/>
  <c r="A2" i="9"/>
  <c r="M44" i="22"/>
  <c r="T44" i="22"/>
  <c r="W44" i="22"/>
  <c r="V44" i="22"/>
  <c r="X44" i="22"/>
  <c r="U44" i="22"/>
  <c r="Y44" i="22"/>
  <c r="N44" i="22"/>
  <c r="Q44" i="22"/>
  <c r="P44" i="22"/>
  <c r="R44" i="22"/>
  <c r="O44" i="22"/>
  <c r="S44" i="22"/>
  <c r="M43" i="22"/>
  <c r="T43" i="22"/>
  <c r="W43" i="22"/>
  <c r="V43" i="22"/>
  <c r="X43" i="22"/>
  <c r="U43" i="22"/>
  <c r="Y43" i="22"/>
  <c r="N43" i="22"/>
  <c r="Q43" i="22"/>
  <c r="P43" i="22"/>
  <c r="R43" i="22"/>
  <c r="O43" i="22"/>
  <c r="S43" i="22"/>
  <c r="M42" i="22"/>
  <c r="T42" i="22"/>
  <c r="W42" i="22"/>
  <c r="V42" i="22"/>
  <c r="X42" i="22"/>
  <c r="U42" i="22"/>
  <c r="Y42" i="22"/>
  <c r="N42" i="22"/>
  <c r="Q42" i="22"/>
  <c r="P42" i="22"/>
  <c r="R42" i="22"/>
  <c r="O42" i="22"/>
  <c r="S42" i="22"/>
  <c r="M41" i="22"/>
  <c r="T41" i="22"/>
  <c r="W41" i="22"/>
  <c r="V41" i="22"/>
  <c r="X41" i="22"/>
  <c r="U41" i="22"/>
  <c r="Y41" i="22"/>
  <c r="M36" i="22"/>
  <c r="M38" i="22"/>
  <c r="N38" i="22"/>
  <c r="Q38" i="22"/>
  <c r="P38" i="22"/>
  <c r="R38" i="22"/>
  <c r="O38" i="22"/>
  <c r="S38" i="22"/>
  <c r="N36" i="22"/>
  <c r="Q36" i="22"/>
  <c r="P36" i="22"/>
  <c r="R36" i="22"/>
  <c r="O36" i="22"/>
  <c r="S36" i="22"/>
  <c r="N41" i="22"/>
  <c r="Q41" i="22"/>
  <c r="P41" i="22"/>
  <c r="R41" i="22"/>
  <c r="O41" i="22"/>
  <c r="S41" i="22"/>
  <c r="M40" i="22"/>
  <c r="T40" i="22"/>
  <c r="W40" i="22"/>
  <c r="V40" i="22"/>
  <c r="X40" i="22"/>
  <c r="U40" i="22"/>
  <c r="Y40" i="22"/>
  <c r="N40" i="22"/>
  <c r="Q40" i="22"/>
  <c r="P40" i="22"/>
  <c r="R40" i="22"/>
  <c r="O40" i="22"/>
  <c r="S40" i="22"/>
  <c r="M39" i="22"/>
  <c r="T39" i="22"/>
  <c r="W39" i="22"/>
  <c r="V39" i="22"/>
  <c r="X39" i="22"/>
  <c r="U39" i="22"/>
  <c r="Y39" i="22"/>
  <c r="N39" i="22"/>
  <c r="Q39" i="22"/>
  <c r="P39" i="22"/>
  <c r="R39" i="22"/>
  <c r="O39" i="22"/>
  <c r="S39" i="22"/>
  <c r="T38" i="22"/>
  <c r="W38" i="22"/>
  <c r="V38" i="22"/>
  <c r="X38" i="22"/>
  <c r="U38" i="22"/>
  <c r="Y38" i="22"/>
  <c r="M37" i="22"/>
  <c r="T37" i="22"/>
  <c r="W37" i="22"/>
  <c r="V37" i="22"/>
  <c r="X37" i="22"/>
  <c r="U37" i="22"/>
  <c r="Y37" i="22"/>
  <c r="N37" i="22"/>
  <c r="Q37" i="22"/>
  <c r="P37" i="22"/>
  <c r="R37" i="22"/>
  <c r="O37" i="22"/>
  <c r="S37" i="22"/>
  <c r="T36" i="22"/>
  <c r="W36" i="22"/>
  <c r="V36" i="22"/>
  <c r="X36" i="22"/>
  <c r="U36" i="22"/>
  <c r="Y36" i="22"/>
  <c r="M35" i="22"/>
  <c r="T35" i="22"/>
  <c r="W35" i="22"/>
  <c r="V35" i="22"/>
  <c r="X35" i="22"/>
  <c r="U35" i="22"/>
  <c r="Y35" i="22"/>
  <c r="N35" i="22"/>
  <c r="Q35" i="22"/>
  <c r="P35" i="22"/>
  <c r="R35" i="22"/>
  <c r="O35" i="22"/>
  <c r="S35" i="22"/>
  <c r="M34" i="22"/>
  <c r="T34" i="22"/>
  <c r="W34" i="22"/>
  <c r="V34" i="22"/>
  <c r="X34" i="22"/>
  <c r="U34" i="22"/>
  <c r="Y34" i="22"/>
  <c r="N34" i="22"/>
  <c r="Q34" i="22"/>
  <c r="P34" i="22"/>
  <c r="R34" i="22"/>
  <c r="O34" i="22"/>
  <c r="S34" i="22"/>
  <c r="M33" i="22"/>
  <c r="T33" i="22"/>
  <c r="W33" i="22"/>
  <c r="V33" i="22"/>
  <c r="X33" i="22"/>
  <c r="U33" i="22"/>
  <c r="Y33" i="22"/>
  <c r="M28" i="22"/>
  <c r="N28" i="22"/>
  <c r="Q28" i="22"/>
  <c r="P28" i="22"/>
  <c r="R28" i="22"/>
  <c r="O28" i="22"/>
  <c r="S28" i="22"/>
  <c r="N33" i="22"/>
  <c r="Q33" i="22"/>
  <c r="P33" i="22"/>
  <c r="R33" i="22"/>
  <c r="O33" i="22"/>
  <c r="S33" i="22"/>
  <c r="M32" i="22"/>
  <c r="T32" i="22"/>
  <c r="W32" i="22"/>
  <c r="V32" i="22"/>
  <c r="X32" i="22"/>
  <c r="U32" i="22"/>
  <c r="Y32" i="22"/>
  <c r="N32" i="22"/>
  <c r="Q32" i="22"/>
  <c r="P32" i="22"/>
  <c r="R32" i="22"/>
  <c r="O32" i="22"/>
  <c r="S32" i="22"/>
  <c r="M31" i="22"/>
  <c r="T31" i="22"/>
  <c r="W31" i="22"/>
  <c r="V31" i="22"/>
  <c r="X31" i="22"/>
  <c r="U31" i="22"/>
  <c r="Y31" i="22"/>
  <c r="N31" i="22"/>
  <c r="Q31" i="22"/>
  <c r="P31" i="22"/>
  <c r="R31" i="22"/>
  <c r="O31" i="22"/>
  <c r="S31" i="22"/>
  <c r="M30" i="22"/>
  <c r="T30" i="22"/>
  <c r="W30" i="22"/>
  <c r="V30" i="22"/>
  <c r="X30" i="22"/>
  <c r="U30" i="22"/>
  <c r="Y30" i="22"/>
  <c r="N30" i="22"/>
  <c r="Q30" i="22"/>
  <c r="P30" i="22"/>
  <c r="R30" i="22"/>
  <c r="O30" i="22"/>
  <c r="S30" i="22"/>
  <c r="M29" i="22"/>
  <c r="T29" i="22"/>
  <c r="W29" i="22"/>
  <c r="V29" i="22"/>
  <c r="X29" i="22"/>
  <c r="U29" i="22"/>
  <c r="Y29" i="22"/>
  <c r="N29" i="22"/>
  <c r="Q29" i="22"/>
  <c r="P29" i="22"/>
  <c r="R29" i="22"/>
  <c r="O29" i="22"/>
  <c r="S29" i="22"/>
  <c r="T28" i="22"/>
  <c r="W28" i="22"/>
  <c r="V28" i="22"/>
  <c r="X28" i="22"/>
  <c r="U28" i="22"/>
  <c r="Y28" i="22"/>
  <c r="M27" i="22"/>
  <c r="T27" i="22"/>
  <c r="W27" i="22"/>
  <c r="V27" i="22"/>
  <c r="X27" i="22"/>
  <c r="U27" i="22"/>
  <c r="Y27" i="22"/>
  <c r="N27" i="22"/>
  <c r="Q27" i="22"/>
  <c r="P27" i="22"/>
  <c r="R27" i="22"/>
  <c r="O27" i="22"/>
  <c r="S27" i="22"/>
  <c r="M26" i="22"/>
  <c r="T26" i="22"/>
  <c r="W26" i="22"/>
  <c r="V26" i="22"/>
  <c r="X26" i="22"/>
  <c r="U26" i="22"/>
  <c r="Y26" i="22"/>
  <c r="N26" i="22"/>
  <c r="Q26" i="22"/>
  <c r="P26" i="22"/>
  <c r="R26" i="22"/>
  <c r="O26" i="22"/>
  <c r="S26" i="22"/>
  <c r="M25" i="22"/>
  <c r="T25" i="22"/>
  <c r="W25" i="22"/>
  <c r="V25" i="22"/>
  <c r="X25" i="22"/>
  <c r="U25" i="22"/>
  <c r="Y25" i="22"/>
  <c r="N25" i="22"/>
  <c r="Q25" i="22"/>
  <c r="P25" i="22"/>
  <c r="R25" i="22"/>
  <c r="O25" i="22"/>
  <c r="S25" i="22"/>
  <c r="M24" i="22"/>
  <c r="T24" i="22"/>
  <c r="W24" i="22"/>
  <c r="V24" i="22"/>
  <c r="X24" i="22"/>
  <c r="U24" i="22"/>
  <c r="Y24" i="22"/>
  <c r="N24" i="22"/>
  <c r="Q24" i="22"/>
  <c r="P24" i="22"/>
  <c r="R24" i="22"/>
  <c r="O24" i="22"/>
  <c r="S24" i="22"/>
  <c r="M23" i="22"/>
  <c r="T23" i="22"/>
  <c r="W23" i="22"/>
  <c r="V23" i="22"/>
  <c r="X23" i="22"/>
  <c r="U23" i="22"/>
  <c r="Y23" i="22"/>
  <c r="N23" i="22"/>
  <c r="Q23" i="22"/>
  <c r="P23" i="22"/>
  <c r="R23" i="22"/>
  <c r="O23" i="22"/>
  <c r="S23" i="22"/>
  <c r="M22" i="22"/>
  <c r="T22" i="22"/>
  <c r="W22" i="22"/>
  <c r="V22" i="22"/>
  <c r="X22" i="22"/>
  <c r="U22" i="22"/>
  <c r="Y22" i="22"/>
  <c r="N22" i="22"/>
  <c r="Q22" i="22"/>
  <c r="P22" i="22"/>
  <c r="R22" i="22"/>
  <c r="O22" i="22"/>
  <c r="S22" i="22"/>
  <c r="M21" i="22"/>
  <c r="T21" i="22"/>
  <c r="W21" i="22"/>
  <c r="V21" i="22"/>
  <c r="X21" i="22"/>
  <c r="U21" i="22"/>
  <c r="Y21" i="22"/>
  <c r="N21" i="22"/>
  <c r="Q21" i="22"/>
  <c r="P21" i="22"/>
  <c r="R21" i="22"/>
  <c r="O21" i="22"/>
  <c r="S21" i="22"/>
  <c r="M20" i="22"/>
  <c r="T20" i="22"/>
  <c r="W20" i="22"/>
  <c r="V20" i="22"/>
  <c r="X20" i="22"/>
  <c r="U20" i="22"/>
  <c r="Y20" i="22"/>
  <c r="N20" i="22"/>
  <c r="Q20" i="22"/>
  <c r="P20" i="22"/>
  <c r="R20" i="22"/>
  <c r="O20" i="22"/>
  <c r="S20" i="22"/>
  <c r="M19" i="22"/>
  <c r="T19" i="22"/>
  <c r="W19" i="22"/>
  <c r="V19" i="22"/>
  <c r="X19" i="22"/>
  <c r="U19" i="22"/>
  <c r="Y19" i="22"/>
  <c r="N19" i="22"/>
  <c r="Q19" i="22"/>
  <c r="P19" i="22"/>
  <c r="R19" i="22"/>
  <c r="O19" i="22"/>
  <c r="S19" i="22"/>
  <c r="M18" i="22"/>
  <c r="T18" i="22"/>
  <c r="W18" i="22"/>
  <c r="V18" i="22"/>
  <c r="X18" i="22"/>
  <c r="U18" i="22"/>
  <c r="Y18" i="22"/>
  <c r="N18" i="22"/>
  <c r="Q18" i="22"/>
  <c r="P18" i="22"/>
  <c r="R18" i="22"/>
  <c r="O18" i="22"/>
  <c r="S18" i="22"/>
  <c r="M17" i="22"/>
  <c r="T17" i="22"/>
  <c r="W17" i="22"/>
  <c r="V17" i="22"/>
  <c r="X17" i="22"/>
  <c r="U17" i="22"/>
  <c r="Y17" i="22"/>
  <c r="N17" i="22"/>
  <c r="Q17" i="22"/>
  <c r="P17" i="22"/>
  <c r="R17" i="22"/>
  <c r="O17" i="22"/>
  <c r="S17" i="22"/>
  <c r="M16" i="22"/>
  <c r="T16" i="22"/>
  <c r="W16" i="22"/>
  <c r="V16" i="22"/>
  <c r="X16" i="22"/>
  <c r="U16" i="22"/>
  <c r="Y16" i="22"/>
  <c r="N16" i="22"/>
  <c r="Q16" i="22"/>
  <c r="P16" i="22"/>
  <c r="R16" i="22"/>
  <c r="O16" i="22"/>
  <c r="S16" i="22"/>
  <c r="M15" i="22"/>
  <c r="T15" i="22"/>
  <c r="W15" i="22"/>
  <c r="V15" i="22"/>
  <c r="X15" i="22"/>
  <c r="U15" i="22"/>
  <c r="Y15" i="22"/>
  <c r="N15" i="22"/>
  <c r="Q15" i="22"/>
  <c r="P15" i="22"/>
  <c r="R15" i="22"/>
  <c r="O15" i="22"/>
  <c r="S15" i="22"/>
  <c r="M14" i="22"/>
  <c r="T14" i="22"/>
  <c r="W14" i="22"/>
  <c r="V14" i="22"/>
  <c r="X14" i="22"/>
  <c r="U14" i="22"/>
  <c r="Y14" i="22"/>
  <c r="N14" i="22"/>
  <c r="Q14" i="22"/>
  <c r="P14" i="22"/>
  <c r="R14" i="22"/>
  <c r="O14" i="22"/>
  <c r="S14" i="22"/>
  <c r="M13" i="22"/>
  <c r="T13" i="22"/>
  <c r="W13" i="22"/>
  <c r="V13" i="22"/>
  <c r="X13" i="22"/>
  <c r="U13" i="22"/>
  <c r="Y13" i="22"/>
  <c r="N13" i="22"/>
  <c r="Q13" i="22"/>
  <c r="P13" i="22"/>
  <c r="R13" i="22"/>
  <c r="O13" i="22"/>
  <c r="S13" i="22"/>
  <c r="M12" i="22"/>
  <c r="T12" i="22"/>
  <c r="W12" i="22"/>
  <c r="V12" i="22"/>
  <c r="X12" i="22"/>
  <c r="U12" i="22"/>
  <c r="Y12" i="22"/>
  <c r="N12" i="22"/>
  <c r="Q12" i="22"/>
  <c r="P12" i="22"/>
  <c r="R12" i="22"/>
  <c r="O12" i="22"/>
  <c r="S12" i="22"/>
  <c r="M11" i="22"/>
  <c r="T11" i="22"/>
  <c r="W11" i="22"/>
  <c r="V11" i="22"/>
  <c r="X11" i="22"/>
  <c r="U11" i="22"/>
  <c r="Y11" i="22"/>
  <c r="N11" i="22"/>
  <c r="Q11" i="22"/>
  <c r="P11" i="22"/>
  <c r="R11" i="22"/>
  <c r="O11" i="22"/>
  <c r="S11" i="22"/>
  <c r="M10" i="22"/>
  <c r="T10" i="22"/>
  <c r="W10" i="22"/>
  <c r="V10" i="22"/>
  <c r="X10" i="22"/>
  <c r="U10" i="22"/>
  <c r="Y10" i="22"/>
  <c r="N10" i="22"/>
  <c r="Q10" i="22"/>
  <c r="P10" i="22"/>
  <c r="R10" i="22"/>
  <c r="O10" i="22"/>
  <c r="S10" i="22"/>
  <c r="M9" i="22"/>
  <c r="T9" i="22"/>
  <c r="W9" i="22"/>
  <c r="V9" i="22"/>
  <c r="X9" i="22"/>
  <c r="U9" i="22"/>
  <c r="Y9" i="22"/>
  <c r="N9" i="22"/>
  <c r="Q9" i="22"/>
  <c r="P9" i="22"/>
  <c r="R9" i="22"/>
  <c r="O9" i="22"/>
  <c r="S9" i="22"/>
  <c r="M8" i="22"/>
  <c r="T8" i="22"/>
  <c r="W8" i="22"/>
  <c r="V8" i="22"/>
  <c r="X8" i="22"/>
  <c r="U8" i="22"/>
  <c r="Y8" i="22"/>
  <c r="N8" i="22"/>
  <c r="Q8" i="22"/>
  <c r="P8" i="22"/>
  <c r="R8" i="22"/>
  <c r="O8" i="22"/>
  <c r="S8" i="22"/>
  <c r="M7" i="22"/>
  <c r="T7" i="22"/>
  <c r="W7" i="22"/>
  <c r="V7" i="22"/>
  <c r="X7" i="22"/>
  <c r="U7" i="22"/>
  <c r="Y7" i="22"/>
  <c r="N7" i="22"/>
  <c r="Q7" i="22"/>
  <c r="P7" i="22"/>
  <c r="R7" i="22"/>
  <c r="O7" i="22"/>
  <c r="S7" i="22"/>
  <c r="M6" i="22"/>
  <c r="T6" i="22"/>
  <c r="W6" i="22"/>
  <c r="V6" i="22"/>
  <c r="X6" i="22"/>
  <c r="U6" i="22"/>
  <c r="Y6" i="22"/>
  <c r="N6" i="22"/>
  <c r="Q6" i="22"/>
  <c r="P6" i="22"/>
  <c r="R6" i="22"/>
  <c r="O6" i="22"/>
  <c r="S6" i="22"/>
  <c r="M5" i="22"/>
  <c r="T5" i="22"/>
  <c r="W5" i="22"/>
  <c r="V5" i="22"/>
  <c r="X5" i="22"/>
  <c r="U5" i="22"/>
  <c r="Y5" i="22"/>
  <c r="N5" i="22"/>
  <c r="Q5" i="22"/>
  <c r="P5" i="22"/>
  <c r="R5" i="22"/>
  <c r="O5" i="22"/>
  <c r="S5" i="22"/>
  <c r="M4" i="22"/>
  <c r="T4" i="22"/>
  <c r="W4" i="22"/>
  <c r="V4" i="22"/>
  <c r="X4" i="22"/>
  <c r="U4" i="22"/>
  <c r="Y4" i="22"/>
  <c r="N4" i="22"/>
  <c r="Q4" i="22"/>
  <c r="P4" i="22"/>
  <c r="R4" i="22"/>
  <c r="O4" i="22"/>
  <c r="S4" i="22"/>
  <c r="M3" i="22"/>
  <c r="T3" i="22"/>
  <c r="W3" i="22"/>
  <c r="V3" i="22"/>
  <c r="X3" i="22"/>
  <c r="U3" i="22"/>
  <c r="Y3" i="22"/>
  <c r="N3" i="22"/>
  <c r="Q3" i="22"/>
  <c r="P3" i="22"/>
  <c r="R3" i="22"/>
  <c r="O3" i="22"/>
  <c r="S3" i="22"/>
  <c r="M2" i="22"/>
  <c r="T2" i="22"/>
  <c r="W2" i="22"/>
  <c r="V2" i="22"/>
  <c r="X2" i="22"/>
  <c r="U2" i="22"/>
  <c r="Y2" i="22"/>
  <c r="N2" i="22"/>
  <c r="Q2" i="22"/>
  <c r="P2" i="22"/>
  <c r="R2" i="22"/>
  <c r="O2" i="22"/>
  <c r="S2" i="22"/>
  <c r="J33" i="11"/>
  <c r="J32" i="11"/>
  <c r="J31" i="11"/>
  <c r="J19" i="11"/>
  <c r="J18" i="11"/>
  <c r="J8" i="11"/>
  <c r="J2" i="11"/>
  <c r="H3" i="1"/>
  <c r="J3" i="1"/>
  <c r="H4" i="1"/>
  <c r="J4" i="1"/>
  <c r="H5" i="1"/>
  <c r="J5" i="1"/>
  <c r="H6" i="1"/>
  <c r="J6" i="1"/>
  <c r="H7" i="1"/>
  <c r="J7" i="1"/>
  <c r="H8" i="1"/>
  <c r="J8" i="1"/>
  <c r="H9" i="1"/>
  <c r="J9" i="1"/>
  <c r="H10" i="1"/>
  <c r="J10" i="1"/>
  <c r="H11" i="1"/>
  <c r="J11" i="1"/>
  <c r="H12" i="1"/>
  <c r="J12" i="1"/>
  <c r="H13" i="1"/>
  <c r="J13" i="1"/>
  <c r="H14" i="1"/>
  <c r="J14" i="1"/>
  <c r="H15" i="1"/>
  <c r="J15" i="1"/>
  <c r="H16" i="1"/>
  <c r="J16" i="1"/>
  <c r="H17" i="1"/>
  <c r="J17" i="1"/>
  <c r="H18" i="1"/>
  <c r="J18" i="1"/>
  <c r="H19" i="1"/>
  <c r="J19" i="1"/>
  <c r="H20" i="1"/>
  <c r="J20" i="1"/>
  <c r="H21" i="1"/>
  <c r="J21" i="1"/>
  <c r="H22" i="1"/>
  <c r="J2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H2" i="1"/>
  <c r="I2" i="1"/>
  <c r="J2" i="1"/>
  <c r="A10" i="7"/>
  <c r="D10" i="7"/>
  <c r="E10" i="7"/>
  <c r="F10" i="7"/>
  <c r="N10" i="7"/>
  <c r="O10" i="7"/>
  <c r="P10" i="7"/>
  <c r="Q10" i="7"/>
  <c r="R10" i="7"/>
  <c r="A11" i="7"/>
  <c r="D11" i="7"/>
  <c r="E11" i="7"/>
  <c r="F11" i="7"/>
  <c r="N11" i="7"/>
  <c r="O11" i="7"/>
  <c r="P11" i="7"/>
  <c r="Q11" i="7"/>
  <c r="R11" i="7"/>
  <c r="A12" i="7"/>
  <c r="D12" i="7"/>
  <c r="E12" i="7"/>
  <c r="F12" i="7"/>
  <c r="N12" i="7"/>
  <c r="O12" i="7"/>
  <c r="P12" i="7"/>
  <c r="Q12" i="7"/>
  <c r="R12" i="7"/>
  <c r="A13" i="7"/>
  <c r="D13" i="7"/>
  <c r="E13" i="7"/>
  <c r="F13" i="7"/>
  <c r="N13" i="7"/>
  <c r="O13" i="7"/>
  <c r="P13" i="7"/>
  <c r="Q13" i="7"/>
  <c r="R13" i="7"/>
  <c r="A6" i="7"/>
  <c r="D6" i="7"/>
  <c r="E6" i="7"/>
  <c r="F6" i="7"/>
  <c r="N6" i="7"/>
  <c r="O6" i="7"/>
  <c r="P6" i="7"/>
  <c r="Q6" i="7"/>
  <c r="R6" i="7"/>
  <c r="A7" i="7"/>
  <c r="D7" i="7"/>
  <c r="E7" i="7"/>
  <c r="F7" i="7"/>
  <c r="N7" i="7"/>
  <c r="O7" i="7"/>
  <c r="P7" i="7"/>
  <c r="Q7" i="7"/>
  <c r="R7" i="7"/>
  <c r="A8" i="7"/>
  <c r="D8" i="7"/>
  <c r="E8" i="7"/>
  <c r="F8" i="7"/>
  <c r="N8" i="7"/>
  <c r="O8" i="7"/>
  <c r="P8" i="7"/>
  <c r="Q8" i="7"/>
  <c r="R8" i="7"/>
  <c r="A9" i="7"/>
  <c r="D9" i="7"/>
  <c r="E9" i="7"/>
  <c r="F9" i="7"/>
  <c r="N9" i="7"/>
  <c r="O9" i="7"/>
  <c r="P9" i="7"/>
  <c r="Q9" i="7"/>
  <c r="R9" i="7"/>
  <c r="R3" i="7"/>
  <c r="Q3" i="7"/>
  <c r="P3" i="7"/>
  <c r="O3" i="7"/>
  <c r="N3" i="7"/>
  <c r="D3" i="7"/>
  <c r="F3" i="7"/>
  <c r="E3" i="7"/>
  <c r="A3" i="7"/>
  <c r="R2" i="7"/>
  <c r="Q2" i="7"/>
  <c r="P2" i="7"/>
  <c r="O2" i="7"/>
  <c r="N2" i="7"/>
  <c r="D2" i="7"/>
  <c r="F2" i="7"/>
  <c r="E2" i="7"/>
  <c r="A2" i="7"/>
  <c r="R5" i="7"/>
  <c r="Q5" i="7"/>
  <c r="P5" i="7"/>
  <c r="O5" i="7"/>
  <c r="N5" i="7"/>
  <c r="D5" i="7"/>
  <c r="F5" i="7"/>
  <c r="E5" i="7"/>
  <c r="A5" i="7"/>
  <c r="R4" i="7"/>
  <c r="Q4" i="7"/>
  <c r="P4" i="7"/>
  <c r="O4" i="7"/>
  <c r="N4" i="7"/>
  <c r="D4" i="7"/>
  <c r="F4" i="7"/>
  <c r="E4" i="7"/>
  <c r="A4" i="7"/>
  <c r="A17" i="1"/>
  <c r="D17" i="1"/>
  <c r="E17" i="1"/>
  <c r="F17" i="1"/>
  <c r="M17" i="1"/>
  <c r="N17" i="1"/>
  <c r="O17" i="1"/>
  <c r="P17" i="1"/>
  <c r="Q17" i="1"/>
  <c r="AB17" i="1"/>
  <c r="AC17" i="1"/>
  <c r="AD17" i="1"/>
  <c r="AE17" i="1"/>
  <c r="AG17" i="1"/>
  <c r="A18" i="1"/>
  <c r="D18" i="1"/>
  <c r="E18" i="1"/>
  <c r="F18" i="1"/>
  <c r="M18" i="1"/>
  <c r="N18" i="1"/>
  <c r="O18" i="1"/>
  <c r="P18" i="1"/>
  <c r="Q18" i="1"/>
  <c r="AB18" i="1"/>
  <c r="AC18" i="1"/>
  <c r="AD18" i="1"/>
  <c r="AE18" i="1"/>
  <c r="AG18" i="1"/>
  <c r="A19" i="1"/>
  <c r="D19" i="1"/>
  <c r="E19" i="1"/>
  <c r="F19" i="1"/>
  <c r="M19" i="1"/>
  <c r="N19" i="1"/>
  <c r="O19" i="1"/>
  <c r="P19" i="1"/>
  <c r="Q19" i="1"/>
  <c r="AB19" i="1"/>
  <c r="AC19" i="1"/>
  <c r="AD19" i="1"/>
  <c r="AE19" i="1"/>
  <c r="AG19" i="1"/>
  <c r="A20" i="1"/>
  <c r="D20" i="1"/>
  <c r="E20" i="1"/>
  <c r="F20" i="1"/>
  <c r="M20" i="1"/>
  <c r="N20" i="1"/>
  <c r="O20" i="1"/>
  <c r="P20" i="1"/>
  <c r="Q20" i="1"/>
  <c r="AB20" i="1"/>
  <c r="AC20" i="1"/>
  <c r="AD20" i="1"/>
  <c r="AE20" i="1"/>
  <c r="AG20" i="1"/>
  <c r="A21" i="1"/>
  <c r="D21" i="1"/>
  <c r="E21" i="1"/>
  <c r="F21" i="1"/>
  <c r="M21" i="1"/>
  <c r="N21" i="1"/>
  <c r="O21" i="1"/>
  <c r="P21" i="1"/>
  <c r="Q21" i="1"/>
  <c r="AB21" i="1"/>
  <c r="AC21" i="1"/>
  <c r="AD21" i="1"/>
  <c r="AE21" i="1"/>
  <c r="AG21" i="1"/>
  <c r="A22" i="1"/>
  <c r="D22" i="1"/>
  <c r="E22" i="1"/>
  <c r="F22" i="1"/>
  <c r="M22" i="1"/>
  <c r="N22" i="1"/>
  <c r="O22" i="1"/>
  <c r="P22" i="1"/>
  <c r="Q22" i="1"/>
  <c r="AD22" i="1"/>
  <c r="AE22" i="1"/>
  <c r="AG22" i="1"/>
  <c r="A9" i="1"/>
  <c r="D9" i="1"/>
  <c r="E9" i="1"/>
  <c r="F9" i="1"/>
  <c r="M9" i="1"/>
  <c r="N9" i="1"/>
  <c r="O9" i="1"/>
  <c r="P9" i="1"/>
  <c r="Q9" i="1"/>
  <c r="AB9" i="1"/>
  <c r="AC9" i="1"/>
  <c r="AD9" i="1"/>
  <c r="AE9" i="1"/>
  <c r="AG9" i="1"/>
  <c r="A10" i="1"/>
  <c r="D10" i="1"/>
  <c r="E10" i="1"/>
  <c r="F10" i="1"/>
  <c r="M10" i="1"/>
  <c r="N10" i="1"/>
  <c r="O10" i="1"/>
  <c r="P10" i="1"/>
  <c r="Q10" i="1"/>
  <c r="AB10" i="1"/>
  <c r="AC10" i="1"/>
  <c r="AD10" i="1"/>
  <c r="AE10" i="1"/>
  <c r="AG10" i="1"/>
  <c r="A11" i="1"/>
  <c r="D11" i="1"/>
  <c r="E11" i="1"/>
  <c r="F11" i="1"/>
  <c r="M11" i="1"/>
  <c r="N11" i="1"/>
  <c r="O11" i="1"/>
  <c r="P11" i="1"/>
  <c r="Q11" i="1"/>
  <c r="AB11" i="1"/>
  <c r="AC11" i="1"/>
  <c r="AD11" i="1"/>
  <c r="AE11" i="1"/>
  <c r="AG11" i="1"/>
  <c r="A12" i="1"/>
  <c r="D12" i="1"/>
  <c r="E12" i="1"/>
  <c r="F12" i="1"/>
  <c r="M12" i="1"/>
  <c r="N12" i="1"/>
  <c r="O12" i="1"/>
  <c r="P12" i="1"/>
  <c r="Q12" i="1"/>
  <c r="AB12" i="1"/>
  <c r="AC12" i="1"/>
  <c r="AD12" i="1"/>
  <c r="AE12" i="1"/>
  <c r="AG12" i="1"/>
  <c r="A13" i="1"/>
  <c r="D13" i="1"/>
  <c r="E13" i="1"/>
  <c r="F13" i="1"/>
  <c r="M13" i="1"/>
  <c r="N13" i="1"/>
  <c r="O13" i="1"/>
  <c r="P13" i="1"/>
  <c r="Q13" i="1"/>
  <c r="AB13" i="1"/>
  <c r="AC13" i="1"/>
  <c r="AD13" i="1"/>
  <c r="AE13" i="1"/>
  <c r="AG13" i="1"/>
  <c r="A14" i="1"/>
  <c r="D14" i="1"/>
  <c r="E14" i="1"/>
  <c r="F14" i="1"/>
  <c r="M14" i="1"/>
  <c r="N14" i="1"/>
  <c r="O14" i="1"/>
  <c r="P14" i="1"/>
  <c r="Q14" i="1"/>
  <c r="AB14" i="1"/>
  <c r="AC14" i="1"/>
  <c r="AD14" i="1"/>
  <c r="AE14" i="1"/>
  <c r="AG14" i="1"/>
  <c r="A15" i="1"/>
  <c r="D15" i="1"/>
  <c r="E15" i="1"/>
  <c r="F15" i="1"/>
  <c r="M15" i="1"/>
  <c r="N15" i="1"/>
  <c r="O15" i="1"/>
  <c r="P15" i="1"/>
  <c r="Q15" i="1"/>
  <c r="AD15" i="1"/>
  <c r="AE15" i="1"/>
  <c r="AG15" i="1"/>
  <c r="A16" i="1"/>
  <c r="D16" i="1"/>
  <c r="E16" i="1"/>
  <c r="F16" i="1"/>
  <c r="M16" i="1"/>
  <c r="N16" i="1"/>
  <c r="O16" i="1"/>
  <c r="P16" i="1"/>
  <c r="Q16" i="1"/>
  <c r="AB16" i="1"/>
  <c r="AC16" i="1"/>
  <c r="AD16" i="1"/>
  <c r="AE16" i="1"/>
  <c r="AG16" i="1"/>
  <c r="AD8" i="1"/>
  <c r="AG8" i="1"/>
  <c r="AE8" i="1"/>
  <c r="AC8" i="1"/>
  <c r="Q8" i="1"/>
  <c r="P8" i="1"/>
  <c r="O8" i="1"/>
  <c r="N8" i="1"/>
  <c r="M8" i="1"/>
  <c r="D8" i="1"/>
  <c r="F8" i="1"/>
  <c r="E8" i="1"/>
  <c r="A8" i="1"/>
  <c r="AB7" i="1"/>
  <c r="AD7" i="1"/>
  <c r="AG7" i="1"/>
  <c r="AE7" i="1"/>
  <c r="AC7" i="1"/>
  <c r="Q7" i="1"/>
  <c r="P7" i="1"/>
  <c r="O7" i="1"/>
  <c r="N7" i="1"/>
  <c r="M7" i="1"/>
  <c r="D7" i="1"/>
  <c r="F7" i="1"/>
  <c r="E7" i="1"/>
  <c r="A7" i="1"/>
  <c r="AB6" i="1"/>
  <c r="AD6" i="1"/>
  <c r="AG6" i="1"/>
  <c r="AE6" i="1"/>
  <c r="AC6" i="1"/>
  <c r="Q6" i="1"/>
  <c r="P6" i="1"/>
  <c r="O6" i="1"/>
  <c r="N6" i="1"/>
  <c r="M6" i="1"/>
  <c r="D6" i="1"/>
  <c r="F6" i="1"/>
  <c r="E6" i="1"/>
  <c r="A6" i="1"/>
  <c r="AB5" i="1"/>
  <c r="AD5" i="1"/>
  <c r="AG5" i="1"/>
  <c r="AE5" i="1"/>
  <c r="AC5" i="1"/>
  <c r="Q5" i="1"/>
  <c r="P5" i="1"/>
  <c r="O5" i="1"/>
  <c r="N5" i="1"/>
  <c r="M5" i="1"/>
  <c r="D5" i="1"/>
  <c r="F5" i="1"/>
  <c r="E5" i="1"/>
  <c r="A5" i="1"/>
  <c r="AB4" i="1"/>
  <c r="AD4" i="1"/>
  <c r="AG4" i="1"/>
  <c r="AE4" i="1"/>
  <c r="AC4" i="1"/>
  <c r="Q4" i="1"/>
  <c r="P4" i="1"/>
  <c r="O4" i="1"/>
  <c r="N4" i="1"/>
  <c r="M4" i="1"/>
  <c r="D4" i="1"/>
  <c r="F4" i="1"/>
  <c r="E4" i="1"/>
  <c r="A4" i="1"/>
  <c r="AB3" i="1"/>
  <c r="AD3" i="1"/>
  <c r="AG3" i="1"/>
  <c r="AE3" i="1"/>
  <c r="AC3" i="1"/>
  <c r="Q3" i="1"/>
  <c r="P3" i="1"/>
  <c r="O3" i="1"/>
  <c r="N3" i="1"/>
  <c r="M3" i="1"/>
  <c r="D3" i="1"/>
  <c r="F3" i="1"/>
  <c r="E3" i="1"/>
  <c r="A3" i="1"/>
  <c r="AB2" i="1"/>
  <c r="AD2" i="1"/>
  <c r="AG2" i="1"/>
  <c r="AE2" i="1"/>
  <c r="AC2" i="1"/>
  <c r="Q2" i="1"/>
  <c r="P2" i="1"/>
  <c r="O2" i="1"/>
  <c r="N2" i="1"/>
  <c r="M2" i="1"/>
  <c r="D2" i="1"/>
  <c r="F2" i="1"/>
  <c r="E2" i="1"/>
  <c r="A2" i="1"/>
  <c r="B10" i="2"/>
  <c r="D10" i="2"/>
  <c r="E10" i="2"/>
  <c r="H10" i="2"/>
  <c r="B11" i="2"/>
  <c r="D11" i="2"/>
  <c r="E11" i="2"/>
  <c r="H11" i="2"/>
  <c r="B12" i="2"/>
  <c r="D12" i="2"/>
  <c r="E12" i="2"/>
  <c r="H12" i="2"/>
  <c r="B13" i="2"/>
  <c r="D13" i="2"/>
  <c r="E13" i="2"/>
  <c r="H13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B3" i="2"/>
  <c r="D3" i="2"/>
  <c r="E3" i="2"/>
  <c r="H3" i="2"/>
  <c r="B4" i="2"/>
  <c r="D4" i="2"/>
  <c r="E4" i="2"/>
  <c r="H4" i="2"/>
  <c r="B5" i="2"/>
  <c r="D5" i="2"/>
  <c r="E5" i="2"/>
  <c r="H5" i="2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B28" i="19"/>
  <c r="C28" i="19"/>
  <c r="D28" i="19"/>
  <c r="F28" i="19"/>
  <c r="G28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B15" i="19"/>
  <c r="C15" i="19"/>
  <c r="D15" i="19"/>
  <c r="F15" i="19"/>
  <c r="G15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2" i="19"/>
  <c r="C2" i="19"/>
  <c r="D2" i="19"/>
  <c r="F2" i="19"/>
  <c r="G2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C4" i="16"/>
  <c r="C5" i="16"/>
  <c r="C6" i="16"/>
  <c r="C7" i="16"/>
  <c r="C8" i="16"/>
  <c r="C9" i="16"/>
  <c r="C3" i="16"/>
  <c r="E9" i="16"/>
  <c r="E8" i="16"/>
  <c r="E7" i="16"/>
  <c r="E6" i="16"/>
  <c r="E5" i="16"/>
  <c r="E4" i="16"/>
  <c r="E3" i="16"/>
  <c r="E2" i="16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<sst xmlns="http://schemas.openxmlformats.org/spreadsheetml/2006/main" count="1134" uniqueCount="416">
  <si>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</si>
  <si>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</si>
  <si>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</si>
  <si>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</si>
  <si>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</si>
  <si>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</si>
  <si>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</si>
  <si>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</si>
  <si>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</si>
  <si>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</si>
  <si>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</si>
  <si>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</si>
  <si>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</si>
  <si>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</si>
  <si>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</si>
  <si>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</si>
  <si>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</si>
  <si>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</si>
  <si>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</si>
  <si>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</si>
  <si>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</si>
  <si>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</si>
  <si>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</si>
  <si>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</si>
  <si>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</si>
  <si>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</si>
  <si>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</si>
  <si>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</si>
  <si>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</si>
  <si>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</si>
  <si>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</si>
  <si>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</si>
  <si>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</si>
  <si>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</si>
  <si>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</si>
  <si>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</si>
  <si>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</si>
  <si>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</si>
  <si>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</si>
  <si>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</si>
  <si>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</si>
  <si>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</si>
  <si>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</si>
  <si>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</si>
  <si>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</si>
  <si>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</si>
  <si>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</si>
  <si>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</si>
  <si>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</si>
  <si>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</si>
  <si>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</si>
  <si>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</si>
  <si>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</si>
  <si>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</si>
  <si>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</si>
  <si>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</si>
  <si>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</si>
  <si>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</si>
  <si>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</si>
  <si>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</si>
  <si>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</si>
  <si>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</si>
  <si>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</si>
  <si>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</si>
  <si>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</si>
  <si>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</si>
  <si>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</si>
  <si>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</si>
  <si>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</si>
  <si>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</si>
  <si>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</si>
  <si>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</si>
  <si>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</si>
  <si>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</si>
  <si>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</si>
  <si>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</si>
  <si>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</si>
  <si>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</si>
  <si>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</si>
  <si>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</si>
  <si>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</si>
  <si>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</si>
  <si>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</si>
  <si>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</si>
  <si>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</si>
  <si>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</si>
  <si>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</si>
  <si>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</si>
  <si>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</si>
  <si>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</si>
  <si>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</si>
  <si>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</si>
  <si>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</si>
  <si>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</si>
  <si>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</si>
  <si>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</si>
  <si>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</si>
  <si>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</si>
  <si>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</si>
  <si>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</si>
  <si>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</si>
  <si>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</si>
  <si>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</si>
  <si>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</si>
  <si>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</si>
  <si>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</si>
  <si>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</si>
  <si>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</si>
  <si>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</si>
  <si>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</si>
  <si>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</si>
  <si>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</si>
  <si>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</si>
  <si>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</si>
  <si>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</si>
  <si>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</si>
  <si>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</si>
  <si>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</si>
  <si>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</si>
  <si>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</si>
  <si>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</si>
  <si>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</si>
  <si>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</si>
  <si>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</si>
  <si>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</si>
  <si>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</si>
  <si>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</si>
  <si>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</si>
  <si>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</si>
  <si>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</si>
  <si>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</si>
  <si>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</si>
  <si>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</si>
  <si>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</si>
  <si>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</si>
  <si>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</si>
  <si>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</si>
  <si>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</si>
  <si>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</si>
  <si>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</si>
  <si>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</si>
  <si>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</si>
  <si>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</si>
  <si>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</si>
  <si>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</si>
  <si>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</si>
  <si>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</si>
  <si>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</si>
  <si>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</si>
  <si>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</si>
  <si>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</si>
  <si>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</si>
  <si>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</si>
  <si>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</si>
  <si>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</si>
  <si>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</si>
  <si>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</si>
  <si>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</si>
  <si>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</si>
  <si>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</si>
  <si>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</si>
  <si>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</si>
  <si>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</si>
  <si>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</si>
  <si>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</si>
  <si>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</si>
  <si>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</si>
  <si>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</si>
  <si>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</si>
  <si>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</si>
  <si>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</si>
  <si>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</si>
  <si>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</si>
  <si>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</si>
  <si>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</si>
  <si>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</si>
  <si>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</si>
  <si>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</si>
  <si>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</si>
  <si>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</si>
  <si>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</si>
  <si>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</si>
  <si>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</si>
  <si>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</si>
  <si>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</si>
  <si>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</si>
  <si>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</si>
  <si>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</si>
  <si>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</si>
  <si>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</si>
  <si>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</si>
  <si>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</si>
  <si>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</si>
  <si>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</si>
  <si>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</si>
  <si>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</si>
  <si>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</si>
  <si>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</si>
  <si>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</si>
  <si>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</si>
  <si>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</si>
  <si>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</si>
  <si>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</si>
  <si>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</si>
  <si>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</si>
  <si>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</si>
  <si>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</si>
  <si>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</si>
  <si>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</si>
  <si>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null</t>
  </si>
  <si>
    <t>[effect:degrade_unit, target:unit_all, turn:5, status:heal, val:0.5, calc:mul, animation:degrade_unit_all_heal]</t>
    <phoneticPr fontId="5"/>
  </si>
  <si>
    <t xml:space="preserve">[effect:spread, val:0.3]    </t>
  </si>
  <si>
    <t xml:space="preserve">[effect:dis_heart, turn:4, animation:enemy_dis_heart]    </t>
  </si>
  <si>
    <t xml:space="preserve">[effect:freq_turn, target:myself, turn:3, val:1, animation:enemy_freq_turn]    </t>
  </si>
  <si>
    <t>[effect:rush, count:2, val:0.8]</t>
    <phoneticPr fontId="5"/>
  </si>
  <si>
    <t xml:space="preserve">[effect:enhance_enemy, target:myself, turn:-1, status:attack, val:0.5, animation:enemy_enhance_attack]    </t>
    <phoneticPr fontId="5"/>
  </si>
  <si>
    <t>魔力吸収</t>
    <rPh sb="0" eb="4">
      <t>マリョk</t>
    </rPh>
    <phoneticPr fontId="5"/>
  </si>
  <si>
    <t>乙女座流星群</t>
    <rPh sb="0" eb="3">
      <t>オt</t>
    </rPh>
    <rPh sb="3" eb="6">
      <t>リュ</t>
    </rPh>
    <phoneticPr fontId="5"/>
  </si>
  <si>
    <t>ははは！私は無敵だ！</t>
    <rPh sb="4" eb="6">
      <t>ワタs</t>
    </rPh>
    <rPh sb="6" eb="10">
      <t>ムテk</t>
    </rPh>
    <phoneticPr fontId="5"/>
  </si>
  <si>
    <t>手も足も出まい！</t>
    <rPh sb="0" eb="1">
      <t>テ</t>
    </rPh>
    <rPh sb="2" eb="4">
      <t>アs</t>
    </rPh>
    <rPh sb="4" eb="8">
      <t>デm</t>
    </rPh>
    <phoneticPr fontId="5"/>
  </si>
  <si>
    <t>無様だな！</t>
    <rPh sb="0" eb="5">
      <t>ブザm</t>
    </rPh>
    <phoneticPr fontId="5"/>
  </si>
  <si>
    <t>どうだ、降伏するか？</t>
    <rPh sb="4" eb="10">
      <t>コウh</t>
    </rPh>
    <phoneticPr fontId="5"/>
  </si>
  <si>
    <t>ダメ押しだ！</t>
    <rPh sb="2" eb="3">
      <t>オ</t>
    </rPh>
    <phoneticPr fontId="5"/>
  </si>
  <si>
    <t>戦輪六連撃</t>
    <rPh sb="0" eb="1">
      <t>センリ</t>
    </rPh>
    <rPh sb="1" eb="2">
      <t>ワッk</t>
    </rPh>
    <rPh sb="2" eb="3">
      <t>ロk</t>
    </rPh>
    <rPh sb="3" eb="5">
      <t>サンレン</t>
    </rPh>
    <phoneticPr fontId="5"/>
  </si>
  <si>
    <t>恐れよ！私がオズだ！</t>
    <rPh sb="0" eb="2">
      <t>オソr</t>
    </rPh>
    <rPh sb="4" eb="6">
      <t>ワタs</t>
    </rPh>
    <phoneticPr fontId="5"/>
  </si>
  <si>
    <t>魔の戦輪！</t>
    <rPh sb="0" eb="2">
      <t>マン</t>
    </rPh>
    <rPh sb="2" eb="3">
      <t>センリ</t>
    </rPh>
    <rPh sb="3" eb="4">
      <t>ワッk</t>
    </rPh>
    <phoneticPr fontId="5"/>
  </si>
  <si>
    <t>戦輪二連撃</t>
    <rPh sb="0" eb="1">
      <t>センリ</t>
    </rPh>
    <rPh sb="1" eb="2">
      <t>ワッk</t>
    </rPh>
    <rPh sb="2" eb="3">
      <t>2</t>
    </rPh>
    <rPh sb="3" eb="5">
      <t>サンレン</t>
    </rPh>
    <phoneticPr fontId="5"/>
  </si>
  <si>
    <t>戦輪三連撃</t>
    <rPh sb="0" eb="1">
      <t>センリ</t>
    </rPh>
    <rPh sb="1" eb="2">
      <t>ワッk</t>
    </rPh>
    <rPh sb="2" eb="5">
      <t>サンレン</t>
    </rPh>
    <phoneticPr fontId="5"/>
  </si>
  <si>
    <t>戦輪四連撃</t>
    <rPh sb="0" eb="1">
      <t>センリ</t>
    </rPh>
    <rPh sb="1" eb="2">
      <t>ワッk</t>
    </rPh>
    <rPh sb="2" eb="3">
      <t>ヨン</t>
    </rPh>
    <rPh sb="3" eb="5">
      <t>サンレン</t>
    </rPh>
    <phoneticPr fontId="5"/>
  </si>
  <si>
    <t>戦輪五連撃</t>
    <rPh sb="0" eb="1">
      <t>センリ</t>
    </rPh>
    <rPh sb="1" eb="2">
      <t>ワッk</t>
    </rPh>
    <rPh sb="2" eb="3">
      <t>ゴ</t>
    </rPh>
    <rPh sb="3" eb="5">
      <t>サンレン</t>
    </rPh>
    <phoneticPr fontId="5"/>
  </si>
  <si>
    <t>君は随分しぶといな！</t>
    <rPh sb="0" eb="1">
      <t>キm</t>
    </rPh>
    <rPh sb="1" eb="2">
      <t>キs</t>
    </rPh>
    <rPh sb="2" eb="4">
      <t>ズイブン</t>
    </rPh>
    <phoneticPr fontId="5"/>
  </si>
  <si>
    <t>そろそろ諦めるんだな！</t>
    <rPh sb="4" eb="6">
      <t>アk</t>
    </rPh>
    <phoneticPr fontId="5"/>
  </si>
  <si>
    <t>東の魔女が消えた♪</t>
    <rPh sb="0" eb="5">
      <t>ヒg</t>
    </rPh>
    <rPh sb="5" eb="8">
      <t>キ</t>
    </rPh>
    <phoneticPr fontId="5"/>
  </si>
  <si>
    <t>西の魔女が消えた♪</t>
    <rPh sb="0" eb="8">
      <t>ニs</t>
    </rPh>
    <phoneticPr fontId="5"/>
  </si>
  <si>
    <t>一気に行くぜ！</t>
    <rPh sb="0" eb="3">
      <t>イッk</t>
    </rPh>
    <rPh sb="3" eb="4">
      <t>イ</t>
    </rPh>
    <phoneticPr fontId="5"/>
  </si>
  <si>
    <t>マジカルヴェール</t>
    <phoneticPr fontId="5"/>
  </si>
  <si>
    <t>アンチヒール</t>
    <phoneticPr fontId="5"/>
  </si>
  <si>
    <t>黒山羊の儀式</t>
    <rPh sb="0" eb="3">
      <t>クr</t>
    </rPh>
    <rPh sb="4" eb="6">
      <t>ギs</t>
    </rPh>
    <phoneticPr fontId="5"/>
  </si>
  <si>
    <t>サバトの護石</t>
    <rPh sb="4" eb="6">
      <t>ゴセk</t>
    </rPh>
    <phoneticPr fontId="5"/>
  </si>
  <si>
    <t>ヒール封印術</t>
    <rPh sb="3" eb="5">
      <t>フウイン</t>
    </rPh>
    <rPh sb="5" eb="6">
      <t>ジュt</t>
    </rPh>
    <phoneticPr fontId="5"/>
  </si>
  <si>
    <t>封印解放【左手】</t>
    <rPh sb="0" eb="2">
      <t>フウイン</t>
    </rPh>
    <rPh sb="2" eb="4">
      <t>カイホ</t>
    </rPh>
    <rPh sb="5" eb="7">
      <t>ヒダr</t>
    </rPh>
    <phoneticPr fontId="5"/>
  </si>
  <si>
    <t>封印解放【右手】</t>
    <rPh sb="0" eb="2">
      <t>フウイン</t>
    </rPh>
    <rPh sb="2" eb="4">
      <t>カイホ</t>
    </rPh>
    <rPh sb="5" eb="7">
      <t>ミg</t>
    </rPh>
    <phoneticPr fontId="5"/>
  </si>
  <si>
    <t>封印術式完全解放</t>
    <rPh sb="0" eb="8">
      <t>フウイン</t>
    </rPh>
    <phoneticPr fontId="5"/>
  </si>
  <si>
    <t>石の心臓を与えよう</t>
    <rPh sb="0" eb="5">
      <t>イs</t>
    </rPh>
    <rPh sb="5" eb="9">
      <t>アタ</t>
    </rPh>
    <phoneticPr fontId="5"/>
  </si>
  <si>
    <t>翠玉の結界</t>
    <rPh sb="0" eb="3">
      <t>ス</t>
    </rPh>
    <rPh sb="3" eb="5">
      <t>ケッk</t>
    </rPh>
    <phoneticPr fontId="5"/>
  </si>
  <si>
    <t>オズの魔力を見よ！</t>
    <rPh sb="3" eb="5">
      <t>マry</t>
    </rPh>
    <rPh sb="5" eb="6">
      <t>チカr</t>
    </rPh>
    <rPh sb="6" eb="9">
      <t>ミヨ</t>
    </rPh>
    <phoneticPr fontId="5"/>
  </si>
  <si>
    <t>私の前に跪け！</t>
    <rPh sb="0" eb="2">
      <t>ワタs</t>
    </rPh>
    <rPh sb="2" eb="4">
      <t>マ</t>
    </rPh>
    <rPh sb="4" eb="7">
      <t>ヒザマz</t>
    </rPh>
    <phoneticPr fontId="5"/>
  </si>
  <si>
    <t>どうだ素晴らしいだろう！</t>
    <rPh sb="3" eb="12">
      <t>スバラシ</t>
    </rPh>
    <phoneticPr fontId="5"/>
  </si>
  <si>
    <t>急降下！</t>
    <rPh sb="0" eb="3">
      <t>キュ</t>
    </rPh>
    <phoneticPr fontId="5"/>
  </si>
  <si>
    <t>勇気の石を与えよう</t>
    <rPh sb="0" eb="2">
      <t>ユウk</t>
    </rPh>
    <rPh sb="3" eb="4">
      <t>イs</t>
    </rPh>
    <rPh sb="5" eb="9">
      <t>アタ</t>
    </rPh>
    <phoneticPr fontId="5"/>
  </si>
  <si>
    <t>石の脳を与えよう</t>
    <rPh sb="0" eb="2">
      <t>イs</t>
    </rPh>
    <rPh sb="2" eb="3">
      <t>ノ</t>
    </rPh>
    <rPh sb="4" eb="8">
      <t>アタ</t>
    </rPh>
    <phoneticPr fontId="5"/>
  </si>
  <si>
    <t>ハートパネル7個出現</t>
    <rPh sb="7" eb="8">
      <t>コ</t>
    </rPh>
    <rPh sb="8" eb="10">
      <t>シュt</t>
    </rPh>
    <phoneticPr fontId="5"/>
  </si>
  <si>
    <t>3ターン後に一斉に襲いかかる！</t>
    <rPh sb="4" eb="6">
      <t>g</t>
    </rPh>
    <rPh sb="6" eb="9">
      <t>イッセ</t>
    </rPh>
    <rPh sb="9" eb="15">
      <t>オs</t>
    </rPh>
    <phoneticPr fontId="5"/>
  </si>
  <si>
    <t>3ターン防御力アップ</t>
    <rPh sb="4" eb="7">
      <t>ボ</t>
    </rPh>
    <phoneticPr fontId="5"/>
  </si>
  <si>
    <t>5ターン回復力ダウン</t>
    <rPh sb="4" eb="10">
      <t>カ</t>
    </rPh>
    <phoneticPr fontId="5"/>
  </si>
  <si>
    <t>お邪魔パネル×8</t>
    <rPh sb="1" eb="6">
      <t>ジャm</t>
    </rPh>
    <phoneticPr fontId="5"/>
  </si>
  <si>
    <t>全体攻撃</t>
    <rPh sb="0" eb="4">
      <t>ゼンタ</t>
    </rPh>
    <phoneticPr fontId="5"/>
  </si>
  <si>
    <t>お邪魔パネル×8</t>
    <rPh sb="1" eb="3">
      <t>ジャm</t>
    </rPh>
    <rPh sb="3" eb="6">
      <t>ジg</t>
    </rPh>
    <phoneticPr fontId="5"/>
  </si>
  <si>
    <t>攻撃力アップ</t>
    <rPh sb="0" eb="6">
      <t>コウゲk</t>
    </rPh>
    <phoneticPr fontId="5"/>
  </si>
  <si>
    <t>さらに攻撃力アップ</t>
    <rPh sb="3" eb="5">
      <t>コウゲk</t>
    </rPh>
    <rPh sb="5" eb="6">
      <t>リョk</t>
    </rPh>
    <phoneticPr fontId="5"/>
  </si>
  <si>
    <t>【！】かなり攻撃力アップ【！】</t>
    <rPh sb="6" eb="8">
      <t>コウゲk</t>
    </rPh>
    <rPh sb="8" eb="12">
      <t>リョk</t>
    </rPh>
    <phoneticPr fontId="5"/>
  </si>
  <si>
    <t>お邪魔パネル×4</t>
    <rPh sb="1" eb="6">
      <t>ジャm</t>
    </rPh>
    <phoneticPr fontId="5"/>
  </si>
  <si>
    <t>3ターン防御力アップ＆状態異常無効</t>
    <rPh sb="4" eb="7">
      <t>ボ</t>
    </rPh>
    <rPh sb="11" eb="17">
      <t>ジョ</t>
    </rPh>
    <phoneticPr fontId="5"/>
  </si>
  <si>
    <t>次のターンお邪魔パネル大量発生</t>
    <rPh sb="0" eb="5">
      <t>ツg</t>
    </rPh>
    <rPh sb="6" eb="11">
      <t>ジャm</t>
    </rPh>
    <rPh sb="11" eb="15">
      <t>タイリョ</t>
    </rPh>
    <phoneticPr fontId="5"/>
  </si>
  <si>
    <t>5ターン攻撃力ダウン＆敵状態異常無効</t>
    <rPh sb="4" eb="10">
      <t>コウゲk</t>
    </rPh>
    <rPh sb="11" eb="12">
      <t>テk</t>
    </rPh>
    <rPh sb="12" eb="18">
      <t>ジョ</t>
    </rPh>
    <phoneticPr fontId="5"/>
  </si>
  <si>
    <t>お邪魔パネル×15</t>
    <rPh sb="1" eb="6">
      <t>ジャm</t>
    </rPh>
    <phoneticPr fontId="5"/>
  </si>
  <si>
    <t>2連続攻撃</t>
    <rPh sb="1" eb="5">
      <t>ニr</t>
    </rPh>
    <phoneticPr fontId="5"/>
  </si>
  <si>
    <t>3ターンスキルが使えない！</t>
    <rPh sb="8" eb="13">
      <t>ツカ</t>
    </rPh>
    <phoneticPr fontId="5"/>
  </si>
  <si>
    <t>3ターン攻撃力ダウン</t>
    <rPh sb="4" eb="10">
      <t>コウゲk</t>
    </rPh>
    <phoneticPr fontId="5"/>
  </si>
  <si>
    <t>時限式ダメージパネル×5</t>
    <rPh sb="0" eb="3">
      <t>ジg</t>
    </rPh>
    <phoneticPr fontId="5"/>
  </si>
  <si>
    <t>3ターン防御力アップ</t>
    <rPh sb="4" eb="10">
      <t>ボ</t>
    </rPh>
    <phoneticPr fontId="5"/>
  </si>
  <si>
    <t>2回連続攻撃＆2ターンスキルバインド</t>
    <rPh sb="1" eb="2">
      <t>カ</t>
    </rPh>
    <rPh sb="2" eb="6">
      <t>レンゾk</t>
    </rPh>
    <phoneticPr fontId="5"/>
  </si>
  <si>
    <t>3回連続攻撃＆お邪魔パネル×10</t>
    <rPh sb="1" eb="2">
      <t>カ</t>
    </rPh>
    <rPh sb="2" eb="6">
      <t>レンゾk</t>
    </rPh>
    <rPh sb="8" eb="10">
      <t>ジャマ</t>
    </rPh>
    <phoneticPr fontId="5"/>
  </si>
  <si>
    <t>4回連続攻撃＆永続攻撃力ダウン</t>
    <rPh sb="1" eb="2">
      <t>カ</t>
    </rPh>
    <rPh sb="2" eb="6">
      <t>レンゾk</t>
    </rPh>
    <rPh sb="7" eb="9">
      <t>エイゾk</t>
    </rPh>
    <rPh sb="9" eb="15">
      <t>コウゲキリョk</t>
    </rPh>
    <phoneticPr fontId="5"/>
  </si>
  <si>
    <t>5回連続攻撃</t>
    <rPh sb="1" eb="2">
      <t>カ</t>
    </rPh>
    <rPh sb="2" eb="6">
      <t>レンゾk</t>
    </rPh>
    <phoneticPr fontId="5"/>
  </si>
  <si>
    <t>6回連続攻撃＆3ターン防御力ダウン</t>
    <rPh sb="1" eb="2">
      <t>カ</t>
    </rPh>
    <rPh sb="2" eb="6">
      <t>レンゾk</t>
    </rPh>
    <phoneticPr fontId="5"/>
  </si>
  <si>
    <t>クリティカル＆お邪魔パネル×4</t>
    <rPh sb="8" eb="13">
      <t>ジャm</t>
    </rPh>
    <phoneticPr fontId="5"/>
  </si>
  <si>
    <t>2回連続攻撃</t>
    <rPh sb="1" eb="2">
      <t>カ</t>
    </rPh>
    <rPh sb="2" eb="6">
      <t>レンゾk</t>
    </rPh>
    <phoneticPr fontId="5"/>
  </si>
  <si>
    <t>3回連続攻撃</t>
    <rPh sb="1" eb="2">
      <t>カ</t>
    </rPh>
    <rPh sb="2" eb="6">
      <t>レンゾk</t>
    </rPh>
    <phoneticPr fontId="5"/>
  </si>
  <si>
    <t>4回連続攻撃</t>
    <rPh sb="1" eb="2">
      <t>カ</t>
    </rPh>
    <rPh sb="2" eb="6">
      <t>レンゾk</t>
    </rPh>
    <phoneticPr fontId="5"/>
  </si>
  <si>
    <t>null</t>
    <phoneticPr fontId="5"/>
  </si>
  <si>
    <t>effect_param</t>
    <phoneticPr fontId="5"/>
  </si>
  <si>
    <t>language</t>
    <phoneticPr fontId="5"/>
  </si>
  <si>
    <t>name</t>
    <phoneticPr fontId="7"/>
  </si>
  <si>
    <t>久保</t>
    <rPh sb="0" eb="2">
      <t>クb</t>
    </rPh>
    <phoneticPr fontId="5"/>
  </si>
  <si>
    <t>オズのガブリエル</t>
    <phoneticPr fontId="5"/>
  </si>
  <si>
    <t>ja</t>
    <phoneticPr fontId="5"/>
  </si>
  <si>
    <t>オズのアストライアー</t>
    <phoneticPr fontId="5"/>
  </si>
  <si>
    <t>[effect:fix_speed, target:enemy_all, turn:3]</t>
    <phoneticPr fontId="5"/>
  </si>
  <si>
    <t>オズのミール</t>
    <phoneticPr fontId="5"/>
  </si>
  <si>
    <t>[effect:enhance_enemy, target:myself, turn:3, status:defense, val:3500, calc:add, animation:enemy_enhance_enemy],[effect:fix_speed, target:enemy_all, turn:2]</t>
    <phoneticPr fontId="5"/>
  </si>
  <si>
    <t>オズのガブリエル</t>
    <phoneticPr fontId="5"/>
  </si>
  <si>
    <t>オズのラファエル</t>
    <phoneticPr fontId="5"/>
  </si>
  <si>
    <t>ジャミング</t>
    <phoneticPr fontId="5"/>
  </si>
  <si>
    <t>オズのラファエル</t>
    <phoneticPr fontId="5"/>
  </si>
  <si>
    <t>ja</t>
    <phoneticPr fontId="5"/>
  </si>
  <si>
    <t>オズのバフォメット</t>
    <phoneticPr fontId="5"/>
  </si>
  <si>
    <t>オズのバフォメット</t>
    <phoneticPr fontId="5"/>
  </si>
  <si>
    <t>[effect:critical, val:2]</t>
    <phoneticPr fontId="5"/>
  </si>
  <si>
    <t>ja</t>
    <phoneticPr fontId="5"/>
  </si>
  <si>
    <t>プラチナメテオ</t>
    <phoneticPr fontId="5"/>
  </si>
  <si>
    <t>クリティカル！</t>
    <phoneticPr fontId="5"/>
  </si>
  <si>
    <t>オズのアストライアー</t>
    <phoneticPr fontId="5"/>
  </si>
  <si>
    <t>オズ</t>
    <phoneticPr fontId="5"/>
  </si>
  <si>
    <t xml:space="preserve">[effect:enhance_enemy, target:myself, turn:-1, status:attack, val:0.5, animation:enemy_enhance_attack],[effect:rush, count:1, val:0.6] </t>
    <phoneticPr fontId="5"/>
  </si>
  <si>
    <t>[effect:enhance_enemy, target:myself, turn:-1, status:attack, val:1.1, animation:enemy_enhance_attack],[effect:rush, count:1, val:0.5]</t>
    <phoneticPr fontId="5"/>
  </si>
  <si>
    <t xml:space="preserve">[effect:enhance_enemy, target:myself, turn:-1, status:attack, val:1.8, animation:enemy_enhance_attack]    </t>
    <phoneticPr fontId="5"/>
  </si>
  <si>
    <t>[effect:tolerance,target:myself,turn:-1,tolerance_effect:all,count:-1,animation:enemy_tolerance],[effect:enhance_enemy, target:myself, turn:3, status:defense, val:3700, calc:add, animation:enemy_enhance_enemy]</t>
    <phoneticPr fontId="5"/>
  </si>
  <si>
    <t>[effect:degrade_unit, target:unit_all, turn:5, status:attack, val:0.7, calc:mul],[effect:rush, count:1, val:0.8],[effect:tolerance,target:myself,turn:-1,tolerance_effect:all,count:-1,animation:enemy_tolerance],[effect:fix_speed, target:enemy_all, turn:1]</t>
    <phoneticPr fontId="5"/>
  </si>
  <si>
    <t>ロスト・ハート</t>
    <phoneticPr fontId="5"/>
  </si>
  <si>
    <t>オズのバフォメット</t>
    <phoneticPr fontId="5"/>
  </si>
  <si>
    <t>3ターンスピードアップ</t>
    <phoneticPr fontId="5"/>
  </si>
  <si>
    <t>オズのミール</t>
    <phoneticPr fontId="5"/>
  </si>
  <si>
    <t>[effect:rush, count:2, val:0.8]</t>
    <phoneticPr fontId="5"/>
  </si>
  <si>
    <t>ダブルマジック</t>
    <phoneticPr fontId="5"/>
  </si>
  <si>
    <t>[effect:hungup, target:unit_all, turn:3, rate:1, animation:hungup01]</t>
    <phoneticPr fontId="5"/>
  </si>
  <si>
    <t>ロスト・ブレイン</t>
    <phoneticPr fontId="5"/>
  </si>
  <si>
    <t>アストライアー</t>
    <phoneticPr fontId="5"/>
  </si>
  <si>
    <t>[effect:degrade_unit, target:unit_all, turn:3, status:attack, val:0.8, calc:mul]</t>
    <phoneticPr fontId="5"/>
  </si>
  <si>
    <t>ロスト・ブレイブリー</t>
    <phoneticPr fontId="5"/>
  </si>
  <si>
    <t>バフォメット</t>
    <phoneticPr fontId="5"/>
  </si>
  <si>
    <t>クロックメテオEX</t>
    <phoneticPr fontId="5"/>
  </si>
  <si>
    <t>アストライアー</t>
    <phoneticPr fontId="5"/>
  </si>
  <si>
    <t>ラファエル・バフォメット</t>
    <phoneticPr fontId="5"/>
  </si>
  <si>
    <t>マジカルバランサー</t>
    <phoneticPr fontId="5"/>
  </si>
  <si>
    <t>[effect:rush, count:1, val:0.4],[effect:enhance_enemy, target:myself, turn:3, status:defense, val:7500, calc:add, animation:enemy_enhance_enemy]</t>
    <phoneticPr fontId="5"/>
  </si>
  <si>
    <t>[effect:rush, count:2, val:0.4],[effect:hungup, target:unit_all, turn:2, rate:1, animation:hungup01]</t>
    <phoneticPr fontId="5"/>
  </si>
  <si>
    <t>[effect:rush, count:4, val:0.4],[effect:degrade_unit, target:unit_all, turn:-1, status:attack, val:0.9, calc:mul]</t>
    <phoneticPr fontId="5"/>
  </si>
  <si>
    <t>[effect:degrade_unit, target:unit_all, turn:3, status:defense, val:1, calc:mul],[effect:rush, count:6, val:0.4]</t>
    <phoneticPr fontId="5"/>
  </si>
  <si>
    <t>オズ</t>
    <phoneticPr fontId="5"/>
  </si>
  <si>
    <t>[effect:rush, count:1, val:0.4]</t>
    <phoneticPr fontId="5"/>
  </si>
  <si>
    <t>[effect:rush, count:2, val:0.4]</t>
    <phoneticPr fontId="5"/>
  </si>
  <si>
    <t>[effect:rush, count:3, val:0.4]</t>
    <phoneticPr fontId="5"/>
  </si>
  <si>
    <t>[effect:rush, count:4, val:0.4]</t>
    <phoneticPr fontId="5"/>
  </si>
  <si>
    <t>[effect:rush, count:5, val:0.4]</t>
    <phoneticPr fontId="5"/>
  </si>
  <si>
    <t>[effect:critical, val:4]</t>
    <phoneticPr fontId="5"/>
  </si>
  <si>
    <t>クリティカル！</t>
    <phoneticPr fontId="5"/>
  </si>
  <si>
    <t>オズのアストライアー</t>
    <phoneticPr fontId="5"/>
  </si>
  <si>
    <t>ガブリエル</t>
    <phoneticPr fontId="5"/>
  </si>
  <si>
    <t>ラファエル</t>
    <phoneticPr fontId="5"/>
  </si>
  <si>
    <t>ファラエル</t>
    <phoneticPr fontId="5"/>
  </si>
  <si>
    <t>ミール</t>
    <phoneticPr fontId="5"/>
  </si>
  <si>
    <t>バフォメット</t>
    <phoneticPr fontId="5"/>
  </si>
  <si>
    <t>バフォメット</t>
    <phoneticPr fontId="5"/>
  </si>
  <si>
    <t>バフォメット</t>
    <phoneticPr fontId="5"/>
  </si>
  <si>
    <t>アストライアー</t>
    <phoneticPr fontId="5"/>
  </si>
  <si>
    <t>バフォメット</t>
    <phoneticPr fontId="5"/>
  </si>
  <si>
    <t>アストライアー</t>
    <phoneticPr fontId="5"/>
  </si>
  <si>
    <t>オズ</t>
    <phoneticPr fontId="5"/>
  </si>
  <si>
    <t>オズ</t>
    <phoneticPr fontId="5"/>
  </si>
  <si>
    <t>オズ</t>
    <phoneticPr fontId="5"/>
  </si>
  <si>
    <t>オズ</t>
    <phoneticPr fontId="5"/>
  </si>
  <si>
    <t>link</t>
  </si>
  <si>
    <t>unit</t>
  </si>
  <si>
    <t>old</t>
    <phoneticPr fontId="5"/>
  </si>
  <si>
    <t>私は北の魔女♪</t>
    <phoneticPr fontId="5"/>
  </si>
  <si>
    <t>私は東の魔女…</t>
    <phoneticPr fontId="5"/>
  </si>
  <si>
    <t>お邪魔パネル×2</t>
    <rPh sb="1" eb="6">
      <t>ジャm</t>
    </rPh>
    <phoneticPr fontId="5"/>
  </si>
  <si>
    <t>青パネルを回復パネルに変換</t>
    <phoneticPr fontId="5"/>
  </si>
  <si>
    <t>[effect:change_block, new_block:block_heart, target:block_blue, count:0, val:0.0]</t>
    <phoneticPr fontId="5"/>
  </si>
  <si>
    <t>魔力吸収</t>
    <phoneticPr fontId="5"/>
  </si>
  <si>
    <t>私は西の魔女…</t>
    <phoneticPr fontId="5"/>
  </si>
  <si>
    <t>私は南の魔女♪</t>
    <phoneticPr fontId="5"/>
  </si>
  <si>
    <t>4ターンハートパネル無効</t>
    <rPh sb="10" eb="12">
      <t>ムコ</t>
    </rPh>
    <phoneticPr fontId="5"/>
  </si>
  <si>
    <t>西の魔女が消えた♪</t>
    <rPh sb="1" eb="5">
      <t>ヒg</t>
    </rPh>
    <rPh sb="5" eb="8">
      <t>キ</t>
    </rPh>
    <phoneticPr fontId="5"/>
  </si>
  <si>
    <t>黄パネルを回復パネルに変換</t>
    <phoneticPr fontId="5"/>
  </si>
  <si>
    <t>[effect:change_block, new_block:block_heart, target:block_yellow, count:0, val:0.0]</t>
    <phoneticPr fontId="5"/>
  </si>
  <si>
    <t>緑パネルを吸収して攻撃力と頻度アップ</t>
    <phoneticPr fontId="5"/>
  </si>
  <si>
    <t>[effect:enhance_enemy, target:myself, turn:3, status:defense, val:3500, calc:add, animation:enemy_enhance_enemy],[effect:fix_speed, target:enemy_all, turn:2]</t>
    <phoneticPr fontId="5"/>
  </si>
  <si>
    <t>黄パネルを吸収して攻撃力と頻度アップ</t>
    <phoneticPr fontId="5"/>
  </si>
  <si>
    <t>[effect:nothing],[effect:rush, count:1, val:1]</t>
    <phoneticPr fontId="5"/>
  </si>
  <si>
    <t>[effect:sleep, target:unit_one, turn:2, rate:1, animation:sleep01]</t>
    <phoneticPr fontId="5"/>
  </si>
  <si>
    <t>ユニット1体を2ターンの間スリープ</t>
  </si>
  <si>
    <t>次のターンからどんどん強くなる！</t>
    <phoneticPr fontId="5"/>
  </si>
  <si>
    <t>5ターンハートパネル無効</t>
    <rPh sb="10" eb="12">
      <t>ムコ</t>
    </rPh>
    <phoneticPr fontId="5"/>
  </si>
  <si>
    <t xml:space="preserve">[effect:dis_heart, turn:5, animation:enemy_dis_heart]    </t>
    <phoneticPr fontId="5"/>
  </si>
  <si>
    <t>オズの魔力を見せてやろう！</t>
    <rPh sb="3" eb="5">
      <t>マry</t>
    </rPh>
    <rPh sb="5" eb="6">
      <t>チカr</t>
    </rPh>
    <rPh sb="6" eb="7">
      <t>ミヨ</t>
    </rPh>
    <phoneticPr fontId="5"/>
  </si>
  <si>
    <t>[effect:rush, count:1, val:1],[effect:force_change_block, new_block:time_bomb, target:block_green, count:0, val:0.2, min_time_count:2, max_time_count:2, animation:change_block]</t>
    <phoneticPr fontId="5"/>
  </si>
  <si>
    <t>[effect:dis_panel, target:block_red, turn:2, animation:enemy_dis_red]</t>
    <phoneticPr fontId="5"/>
  </si>
  <si>
    <t>2ターンの間赤パネル無効化</t>
    <phoneticPr fontId="5"/>
  </si>
  <si>
    <t>緑パネルを時限式ダメージパネルに変化 
&amp;オズの手に魔力が集まっていく！</t>
    <phoneticPr fontId="5"/>
  </si>
  <si>
    <t>足掻け！足掻け！</t>
    <rPh sb="0" eb="2">
      <t>アガk</t>
    </rPh>
    <phoneticPr fontId="5"/>
  </si>
  <si>
    <t>この私が…敗北だと…？</t>
    <phoneticPr fontId="5"/>
  </si>
  <si>
    <t xml:space="preserve">[effect:enemy_message, val1:2, val2:2]    </t>
    <phoneticPr fontId="5"/>
  </si>
  <si>
    <t>ありえん…何故だ…何故だッ！</t>
  </si>
  <si>
    <t>null</t>
    <phoneticPr fontId="5"/>
  </si>
  <si>
    <t>null</t>
    <phoneticPr fontId="5"/>
  </si>
  <si>
    <t>オズはお邪魔パネルを頻繁に生成します
変換するかフィーバーで対処しましょう</t>
    <phoneticPr fontId="5"/>
  </si>
  <si>
    <t>アストライアーとバフォメットは
パネル変換系のスキルを多く使用します
スキルやフィーバーで対処しましょう</t>
    <phoneticPr fontId="5"/>
  </si>
  <si>
    <t>3ターンの間に敵の数を減らしましょう
スキルを発動したミールは
他のミールより少し強いようです</t>
    <phoneticPr fontId="5"/>
  </si>
  <si>
    <t>ガブリエルとラファエルは片方が消えると
それぞれ対応したスキルを発動します</t>
    <phoneticPr fontId="5"/>
  </si>
  <si>
    <t>お邪魔パネル×5</t>
    <rPh sb="1" eb="6">
      <t>ジャm</t>
    </rPh>
    <phoneticPr fontId="5"/>
  </si>
  <si>
    <t>5回連続攻撃＆フィーバーゲージ減少</t>
    <rPh sb="1" eb="2">
      <t>カ</t>
    </rPh>
    <rPh sb="2" eb="6">
      <t>レンゾk</t>
    </rPh>
    <phoneticPr fontId="5"/>
  </si>
  <si>
    <t>アストライアーとバフォメットは
パネル変換系のスキルを使用します
スキルやフィーバーで対処しましょう</t>
    <phoneticPr fontId="5"/>
  </si>
  <si>
    <t>オズは時限式ダメージパネルを生成した後
大量のお邪魔パネルを生成します</t>
    <phoneticPr fontId="5"/>
  </si>
  <si>
    <t>[effect:degrade_fever, val:500, animation:fevergauge_down],[effect:enhance_enemy, target:myself, turn:3, status:defense, val:3700, calc:add, animation:enemy_enhance_enemy],[effect:tolerance,target:myself,turn:-1,tolerance_effect:all,count:-1,animation:enemy_tolerance]</t>
    <phoneticPr fontId="5"/>
  </si>
  <si>
    <t>3ターン防御力アップ＆状態異常無効
＆フィーバーゲージ減少</t>
    <rPh sb="11" eb="17">
      <t>ジョ</t>
    </rPh>
    <phoneticPr fontId="5"/>
  </si>
  <si>
    <t xml:space="preserve">[effect:break_enchance_enemy, val:200, lowest_val:1000, count :0, status:attack, turn:-1, block:block_green, target:myself, calc:add, animation:enemy_enhance_attack],[effect:freq_turn, target:myself, turn:-1, val:1, animation:enemy_freq_turn]    </t>
    <phoneticPr fontId="5"/>
  </si>
  <si>
    <t xml:space="preserve">[effect:break_enchance_enemy, val:200, lowest_val:1000, count :0, status:attack, turn:-1, block:block_yellow, target:myself, calc:add, animation:enemy_enhance_attack],[effect:freq_turn, target:myself, turn:-1, val:1, animation:enemy_freq_turn]    </t>
    <phoneticPr fontId="5"/>
  </si>
  <si>
    <t>unit</t>
    <phoneticPr fontId="5"/>
  </si>
  <si>
    <t>[effect:rush, count:5, val:0.4],[effect:degrade_fever, val:300, animation:fevergauge_down]</t>
    <phoneticPr fontId="5"/>
  </si>
  <si>
    <t xml:space="preserve">[effect:force_change_block, new_block:jammer, target:block_all, ignore01:block_positive, ignore02:block_negative, count:8, val:0]  </t>
    <phoneticPr fontId="5"/>
  </si>
  <si>
    <t xml:space="preserve">[effect:force_change_block, new_block:jammer, target:block_all, ignore01:block_positive, ignore02:block_negative, count:8, val:0]  </t>
    <phoneticPr fontId="5"/>
  </si>
  <si>
    <t>[effect:force_change_block, new_block:jammer, target:block_all, ignore01:block_positive, ignore02:block_negative, count:2, val:0]</t>
    <phoneticPr fontId="5"/>
  </si>
  <si>
    <t>[effect:force_change_block, new_block:jammer, target:block_all, ignore01:block_positive, ignore02:block_negative, count:8, val:0]</t>
    <phoneticPr fontId="5"/>
  </si>
  <si>
    <t>[effect:force_change_block, new_block:jammer, target:block_all, ignore01:block_positive, ignore02:block_negative, count:5, val:0],[effect:rush, count:1, val:1]</t>
    <phoneticPr fontId="5"/>
  </si>
  <si>
    <t>[effect:force_change_block, new_block:jammer, target:block_all, ignore01:block_positive, ignore02:block_negative, count:5, val:0],[effect:rush, count:1, val:1]</t>
    <phoneticPr fontId="5"/>
  </si>
  <si>
    <t>[effect:force_change_block, new_block:jammer, target:block_all, ignore01:block_positive, ignore02:block_negative, count:4, val:0],[effect:critical, val:1.8]</t>
    <phoneticPr fontId="5"/>
  </si>
  <si>
    <t>[effect:force_change_block, new_block:jammer, target:block_all, ignore01:block_positive, ignore02:block_negative, count:15, val:0]</t>
    <phoneticPr fontId="5"/>
  </si>
  <si>
    <t>[effect:rush, count:3, val:0.4],[effect:force_change_block, new_block:jammer, target:block_all, ignore01:block_positive, ignore02:block_negative, count:10, val:0]</t>
    <phoneticPr fontId="5"/>
  </si>
  <si>
    <t>[effect:force_change_block, new_block:time_bomb, target:block_all, ignore01:block_positive, ignore02:block_negative, count:5, val:0.3],[effect:rush, count:1, val:1.7]</t>
    <phoneticPr fontId="5"/>
  </si>
  <si>
    <t>[effect:force_change_block, new_block:block_heart, target:block_all, ignore01:block_positive, ignore02:block_negative, count:7, val:0]</t>
    <phoneticPr fontId="5"/>
  </si>
  <si>
    <t>[effect:force_change_block, new_block:jammer, target:block_all, ignore01:block_positive, count:4, val:0],[effect:rush, count:1, val:1]</t>
    <phoneticPr fontId="5"/>
  </si>
  <si>
    <t>[effect:force_change_block, new_block:jammer, target:block_all, ignore01:block_positive, count:15, val:0]</t>
    <phoneticPr fontId="5"/>
  </si>
  <si>
    <t>[effect:force_change_block, new_block:jammer, target:block_all, ignore01:block_positive, count:4, val:0],[effect:rush, count:1, val:1]</t>
    <phoneticPr fontId="5"/>
  </si>
  <si>
    <t>[effect:force_change_block, new_block:jammer, target:block_all, ignore01:block_positive, count:4, val:0],[effect:rush, count:1, val:1]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</si>
</sst>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name val="ＭＳ Ｐゴシック"/>
      <family val="3"/>
      <charset val="128"/>
      <scheme val="minor"/>
    </font>
    <font>
      <sz val="10"/>
      <color rgb="FFFFFFFF"/>
      <name val="ＭＳ Ｐゴシック"/>
      <family val="3"/>
      <charset val="128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rgb="FF63AAFE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theme="0"/>
        <bgColor rgb="FF000000"/>
      </patternFill>
    </fill>
    <fill>
      <patternFill patternType="solid">
        <fgColor theme="0"/>
        <bgColor rgb="FF63AAFE"/>
      </patternFill>
    </fill>
    <fill>
      <patternFill patternType="solid">
        <fgColor rgb="FFFCE4D6"/>
        <bgColor rgb="FF000000"/>
      </patternFill>
    </fill>
    <fill>
      <patternFill patternType="solid">
        <fgColor rgb="FFFFFF00"/>
        <bgColor indexed="2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medium">
        <color auto="1"/>
      </top>
      <bottom style="thin">
        <color rgb="FF000000"/>
      </bottom>
      <diagonal/>
    </border>
    <border>
      <left/>
      <right style="thin">
        <color rgb="FF000000"/>
      </right>
      <top style="medium">
        <color auto="1"/>
      </top>
      <bottom style="thin">
        <color rgb="FF000000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auto="1"/>
      </left>
      <right style="thin">
        <color indexed="8"/>
      </right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medium">
        <color auto="1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8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8"/>
      </left>
      <right style="thin">
        <color rgb="FF000000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69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9" applyNumberFormat="0" applyAlignment="0" applyProtection="0"/>
    <xf numFmtId="0" fontId="33" fillId="17" borderId="0" applyNumberFormat="0" applyBorder="0" applyAlignment="0" applyProtection="0"/>
    <xf numFmtId="0" fontId="34" fillId="18" borderId="10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1" applyNumberFormat="0" applyAlignment="0" applyProtection="0"/>
    <xf numFmtId="0" fontId="38" fillId="0" borderId="0" applyNumberFormat="0" applyFill="0" applyBorder="0" applyAlignment="0" applyProtection="0"/>
    <xf numFmtId="0" fontId="39" fillId="0" borderId="12" applyNumberFormat="0" applyFill="0" applyAlignment="0" applyProtection="0"/>
    <xf numFmtId="0" fontId="40" fillId="0" borderId="13" applyNumberFormat="0" applyFill="0" applyAlignment="0" applyProtection="0"/>
    <xf numFmtId="0" fontId="41" fillId="0" borderId="14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5" applyNumberFormat="0" applyFill="0" applyAlignment="0" applyProtection="0"/>
    <xf numFmtId="0" fontId="46" fillId="18" borderId="16" applyNumberFormat="0" applyAlignment="0" applyProtection="0"/>
    <xf numFmtId="0" fontId="46" fillId="29" borderId="16" applyNumberFormat="0" applyAlignment="0" applyProtection="0"/>
    <xf numFmtId="0" fontId="34" fillId="17" borderId="10" applyNumberFormat="0" applyAlignment="0" applyProtection="0"/>
    <xf numFmtId="0" fontId="47" fillId="0" borderId="17" applyNumberFormat="0" applyFill="0" applyAlignment="0" applyProtection="0"/>
    <xf numFmtId="0" fontId="48" fillId="29" borderId="10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8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1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6" xfId="0" applyFont="1" applyFill="1" applyBorder="1" applyAlignment="1">
      <alignment vertical="center"/>
    </xf>
    <xf numFmtId="0" fontId="6" fillId="5" borderId="4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vertical="center"/>
    </xf>
    <xf numFmtId="0" fontId="4" fillId="2" borderId="4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4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4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14" fillId="7" borderId="0" xfId="0" applyFont="1" applyFill="1" applyAlignment="1">
      <alignment vertical="center"/>
    </xf>
    <xf numFmtId="0" fontId="16" fillId="6" borderId="4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4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4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left" vertical="center" wrapText="1"/>
    </xf>
    <xf numFmtId="14" fontId="16" fillId="0" borderId="4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4" xfId="0" applyFont="1" applyFill="1" applyBorder="1"/>
    <xf numFmtId="0" fontId="0" fillId="11" borderId="4" xfId="0" applyFill="1" applyBorder="1"/>
    <xf numFmtId="0" fontId="0" fillId="0" borderId="4" xfId="0" applyBorder="1"/>
    <xf numFmtId="0" fontId="0" fillId="6" borderId="4" xfId="0" applyFill="1" applyBorder="1"/>
    <xf numFmtId="0" fontId="26" fillId="12" borderId="4" xfId="0" applyFont="1" applyFill="1" applyBorder="1"/>
    <xf numFmtId="0" fontId="13" fillId="11" borderId="4" xfId="434" applyFont="1" applyFill="1" applyBorder="1" applyAlignment="1"/>
    <xf numFmtId="0" fontId="24" fillId="0" borderId="4" xfId="434" applyBorder="1" applyAlignment="1"/>
    <xf numFmtId="0" fontId="0" fillId="13" borderId="4" xfId="0" applyFill="1" applyBorder="1"/>
    <xf numFmtId="0" fontId="16" fillId="3" borderId="4" xfId="0" applyFont="1" applyFill="1" applyBorder="1" applyAlignment="1">
      <alignment horizontal="left" vertical="center" wrapText="1"/>
    </xf>
    <xf numFmtId="0" fontId="16" fillId="6" borderId="4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4" xfId="615" applyFont="1" applyFill="1" applyBorder="1"/>
    <xf numFmtId="0" fontId="0" fillId="0" borderId="4" xfId="615" applyFont="1" applyBorder="1"/>
    <xf numFmtId="0" fontId="2" fillId="11" borderId="4" xfId="615" applyFill="1" applyBorder="1"/>
    <xf numFmtId="0" fontId="4" fillId="0" borderId="4" xfId="0" applyFont="1" applyBorder="1" applyAlignment="1">
      <alignment vertical="center"/>
    </xf>
    <xf numFmtId="0" fontId="0" fillId="3" borderId="4" xfId="0" applyFill="1" applyBorder="1"/>
    <xf numFmtId="0" fontId="16" fillId="3" borderId="4" xfId="614" applyFont="1" applyFill="1" applyBorder="1" applyAlignment="1">
      <alignment horizontal="left"/>
    </xf>
    <xf numFmtId="0" fontId="16" fillId="6" borderId="4" xfId="0" applyFont="1" applyFill="1" applyBorder="1" applyAlignment="1">
      <alignment horizontal="center"/>
    </xf>
    <xf numFmtId="56" fontId="16" fillId="6" borderId="4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4" xfId="0" applyFont="1" applyFill="1" applyBorder="1" applyAlignment="1">
      <alignment horizontal="center"/>
    </xf>
    <xf numFmtId="0" fontId="16" fillId="3" borderId="4" xfId="0" applyFont="1" applyFill="1" applyBorder="1" applyAlignment="1">
      <alignment horizontal="center"/>
    </xf>
    <xf numFmtId="0" fontId="16" fillId="14" borderId="4" xfId="0" applyFont="1" applyFill="1" applyBorder="1" applyAlignment="1">
      <alignment horizontal="center"/>
    </xf>
    <xf numFmtId="0" fontId="16" fillId="15" borderId="4" xfId="0" applyFont="1" applyFill="1" applyBorder="1" applyAlignment="1">
      <alignment horizontal="center"/>
    </xf>
    <xf numFmtId="0" fontId="0" fillId="15" borderId="4" xfId="0" applyFill="1" applyBorder="1"/>
    <xf numFmtId="0" fontId="27" fillId="0" borderId="4" xfId="0" applyFont="1" applyFill="1" applyBorder="1"/>
    <xf numFmtId="0" fontId="28" fillId="0" borderId="4" xfId="0" applyFont="1" applyFill="1" applyBorder="1"/>
    <xf numFmtId="0" fontId="29" fillId="3" borderId="8" xfId="0" applyFont="1" applyFill="1" applyBorder="1" applyAlignment="1">
      <alignment vertical="center"/>
    </xf>
    <xf numFmtId="0" fontId="30" fillId="0" borderId="4" xfId="0" applyFont="1" applyFill="1" applyBorder="1"/>
    <xf numFmtId="0" fontId="29" fillId="0" borderId="8" xfId="0" applyFont="1" applyFill="1" applyBorder="1" applyAlignment="1">
      <alignment vertical="center"/>
    </xf>
    <xf numFmtId="0" fontId="30" fillId="14" borderId="4" xfId="0" applyFont="1" applyFill="1" applyBorder="1"/>
    <xf numFmtId="0" fontId="31" fillId="0" borderId="4" xfId="0" applyFont="1" applyFill="1" applyBorder="1"/>
    <xf numFmtId="0" fontId="27" fillId="0" borderId="0" xfId="0" applyFont="1" applyFill="1"/>
    <xf numFmtId="0" fontId="16" fillId="30" borderId="4" xfId="0" applyFont="1" applyFill="1" applyBorder="1" applyAlignment="1">
      <alignment horizontal="center"/>
    </xf>
    <xf numFmtId="0" fontId="30" fillId="30" borderId="4" xfId="0" applyFont="1" applyFill="1" applyBorder="1"/>
    <xf numFmtId="0" fontId="16" fillId="13" borderId="4" xfId="0" applyFont="1" applyFill="1" applyBorder="1" applyAlignment="1">
      <alignment horizontal="center"/>
    </xf>
    <xf numFmtId="56" fontId="16" fillId="14" borderId="4" xfId="0" applyNumberFormat="1" applyFont="1" applyFill="1" applyBorder="1" applyAlignment="1">
      <alignment horizontal="center"/>
    </xf>
    <xf numFmtId="0" fontId="31" fillId="14" borderId="4" xfId="0" applyFont="1" applyFill="1" applyBorder="1"/>
    <xf numFmtId="38" fontId="16" fillId="14" borderId="4" xfId="628" applyFont="1" applyFill="1" applyBorder="1" applyAlignment="1"/>
    <xf numFmtId="0" fontId="16" fillId="6" borderId="4" xfId="11" applyFont="1" applyFill="1" applyBorder="1" applyAlignment="1">
      <alignment horizontal="left"/>
    </xf>
    <xf numFmtId="0" fontId="2" fillId="6" borderId="0" xfId="615" applyFill="1"/>
    <xf numFmtId="176" fontId="4" fillId="6" borderId="19" xfId="0" applyNumberFormat="1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horizontal="center" vertical="center"/>
    </xf>
    <xf numFmtId="0" fontId="51" fillId="12" borderId="20" xfId="0" applyFont="1" applyFill="1" applyBorder="1" applyAlignment="1">
      <alignment vertical="center"/>
    </xf>
    <xf numFmtId="0" fontId="11" fillId="12" borderId="21" xfId="0" applyFont="1" applyFill="1" applyBorder="1" applyAlignment="1">
      <alignment horizontal="center" vertical="center"/>
    </xf>
    <xf numFmtId="0" fontId="8" fillId="31" borderId="22" xfId="0" applyFont="1" applyFill="1" applyBorder="1" applyAlignment="1">
      <alignment vertical="center"/>
    </xf>
    <xf numFmtId="177" fontId="8" fillId="31" borderId="22" xfId="0" applyNumberFormat="1" applyFont="1" applyFill="1" applyBorder="1" applyAlignment="1">
      <alignment vertical="center"/>
    </xf>
    <xf numFmtId="0" fontId="16" fillId="31" borderId="20" xfId="0" applyFont="1" applyFill="1" applyBorder="1" applyAlignment="1">
      <alignment vertical="center"/>
    </xf>
    <xf numFmtId="0" fontId="11" fillId="32" borderId="23" xfId="0" applyFont="1" applyFill="1" applyBorder="1" applyAlignment="1">
      <alignment vertical="center"/>
    </xf>
    <xf numFmtId="0" fontId="11" fillId="32" borderId="24" xfId="0" applyFont="1" applyFill="1" applyBorder="1" applyAlignment="1">
      <alignment vertical="center"/>
    </xf>
    <xf numFmtId="0" fontId="51" fillId="33" borderId="24" xfId="0" applyFont="1" applyFill="1" applyBorder="1" applyAlignment="1">
      <alignment vertical="center"/>
    </xf>
    <xf numFmtId="0" fontId="4" fillId="3" borderId="4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4" fillId="31" borderId="25" xfId="0" applyFont="1" applyFill="1" applyBorder="1" applyAlignment="1">
      <alignment vertical="center"/>
    </xf>
    <xf numFmtId="0" fontId="4" fillId="31" borderId="20" xfId="0" applyFont="1" applyFill="1" applyBorder="1" applyAlignment="1">
      <alignment vertical="center"/>
    </xf>
    <xf numFmtId="176" fontId="4" fillId="6" borderId="26" xfId="0" applyNumberFormat="1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51" fillId="12" borderId="27" xfId="0" applyFont="1" applyFill="1" applyBorder="1" applyAlignment="1">
      <alignment vertical="center"/>
    </xf>
    <xf numFmtId="0" fontId="11" fillId="12" borderId="28" xfId="0" applyFont="1" applyFill="1" applyBorder="1" applyAlignment="1">
      <alignment horizontal="center" vertical="center"/>
    </xf>
    <xf numFmtId="0" fontId="8" fillId="31" borderId="29" xfId="0" applyFont="1" applyFill="1" applyBorder="1" applyAlignment="1">
      <alignment vertical="center"/>
    </xf>
    <xf numFmtId="177" fontId="8" fillId="31" borderId="29" xfId="0" applyNumberFormat="1" applyFont="1" applyFill="1" applyBorder="1" applyAlignment="1">
      <alignment vertical="center"/>
    </xf>
    <xf numFmtId="0" fontId="11" fillId="32" borderId="30" xfId="0" applyFont="1" applyFill="1" applyBorder="1" applyAlignment="1">
      <alignment vertical="center"/>
    </xf>
    <xf numFmtId="0" fontId="11" fillId="32" borderId="31" xfId="0" applyFont="1" applyFill="1" applyBorder="1" applyAlignment="1">
      <alignment vertical="center"/>
    </xf>
    <xf numFmtId="0" fontId="51" fillId="33" borderId="31" xfId="0" applyFont="1" applyFill="1" applyBorder="1" applyAlignment="1">
      <alignment vertical="center"/>
    </xf>
    <xf numFmtId="0" fontId="4" fillId="31" borderId="32" xfId="0" applyFont="1" applyFill="1" applyBorder="1" applyAlignment="1">
      <alignment vertical="center"/>
    </xf>
    <xf numFmtId="0" fontId="4" fillId="31" borderId="2" xfId="0" applyFont="1" applyFill="1" applyBorder="1" applyAlignment="1">
      <alignment vertical="center"/>
    </xf>
    <xf numFmtId="0" fontId="4" fillId="34" borderId="20" xfId="0" applyFont="1" applyFill="1" applyBorder="1" applyAlignment="1">
      <alignment horizontal="center" vertical="center"/>
    </xf>
    <xf numFmtId="0" fontId="51" fillId="35" borderId="20" xfId="0" applyFont="1" applyFill="1" applyBorder="1" applyAlignment="1">
      <alignment vertical="center"/>
    </xf>
    <xf numFmtId="0" fontId="11" fillId="35" borderId="21" xfId="0" applyFont="1" applyFill="1" applyBorder="1" applyAlignment="1">
      <alignment horizontal="center" vertical="center"/>
    </xf>
    <xf numFmtId="0" fontId="8" fillId="34" borderId="20" xfId="0" applyFont="1" applyFill="1" applyBorder="1" applyAlignment="1">
      <alignment vertical="center"/>
    </xf>
    <xf numFmtId="177" fontId="8" fillId="34" borderId="20" xfId="0" applyNumberFormat="1" applyFont="1" applyFill="1" applyBorder="1" applyAlignment="1">
      <alignment vertical="center"/>
    </xf>
    <xf numFmtId="0" fontId="11" fillId="35" borderId="20" xfId="0" applyFont="1" applyFill="1" applyBorder="1" applyAlignment="1">
      <alignment vertical="center"/>
    </xf>
    <xf numFmtId="0" fontId="11" fillId="35" borderId="21" xfId="0" applyFont="1" applyFill="1" applyBorder="1" applyAlignment="1">
      <alignment vertical="center"/>
    </xf>
    <xf numFmtId="0" fontId="51" fillId="33" borderId="21" xfId="0" applyFont="1" applyFill="1" applyBorder="1" applyAlignment="1">
      <alignment vertical="center"/>
    </xf>
    <xf numFmtId="0" fontId="4" fillId="34" borderId="20" xfId="0" applyFont="1" applyFill="1" applyBorder="1" applyAlignment="1">
      <alignment vertical="center"/>
    </xf>
    <xf numFmtId="0" fontId="4" fillId="34" borderId="34" xfId="0" applyFont="1" applyFill="1" applyBorder="1" applyAlignment="1">
      <alignment horizontal="center" vertical="center"/>
    </xf>
    <xf numFmtId="0" fontId="51" fillId="35" borderId="34" xfId="0" applyFont="1" applyFill="1" applyBorder="1" applyAlignment="1">
      <alignment vertical="center"/>
    </xf>
    <xf numFmtId="0" fontId="11" fillId="35" borderId="35" xfId="0" applyFont="1" applyFill="1" applyBorder="1" applyAlignment="1">
      <alignment horizontal="center" vertical="center"/>
    </xf>
    <xf numFmtId="0" fontId="8" fillId="34" borderId="33" xfId="0" applyFont="1" applyFill="1" applyBorder="1" applyAlignment="1">
      <alignment vertical="center"/>
    </xf>
    <xf numFmtId="177" fontId="8" fillId="34" borderId="33" xfId="0" applyNumberFormat="1" applyFont="1" applyFill="1" applyBorder="1" applyAlignment="1">
      <alignment vertical="center"/>
    </xf>
    <xf numFmtId="0" fontId="16" fillId="34" borderId="34" xfId="0" applyFont="1" applyFill="1" applyBorder="1" applyAlignment="1">
      <alignment vertical="center"/>
    </xf>
    <xf numFmtId="0" fontId="11" fillId="35" borderId="36" xfId="0" applyFont="1" applyFill="1" applyBorder="1" applyAlignment="1">
      <alignment vertical="center"/>
    </xf>
    <xf numFmtId="0" fontId="11" fillId="35" borderId="37" xfId="0" applyFont="1" applyFill="1" applyBorder="1" applyAlignment="1">
      <alignment vertical="center"/>
    </xf>
    <xf numFmtId="0" fontId="51" fillId="33" borderId="37" xfId="0" applyFont="1" applyFill="1" applyBorder="1" applyAlignment="1">
      <alignment vertical="center"/>
    </xf>
    <xf numFmtId="0" fontId="4" fillId="34" borderId="38" xfId="0" applyFont="1" applyFill="1" applyBorder="1" applyAlignment="1">
      <alignment vertical="center"/>
    </xf>
    <xf numFmtId="0" fontId="4" fillId="34" borderId="34" xfId="0" applyFont="1" applyFill="1" applyBorder="1" applyAlignment="1">
      <alignment vertical="center"/>
    </xf>
    <xf numFmtId="0" fontId="4" fillId="36" borderId="20" xfId="0" applyFont="1" applyFill="1" applyBorder="1" applyAlignment="1">
      <alignment horizontal="center" vertical="center"/>
    </xf>
    <xf numFmtId="0" fontId="51" fillId="37" borderId="8" xfId="0" applyFont="1" applyFill="1" applyBorder="1" applyAlignment="1">
      <alignment vertical="center"/>
    </xf>
    <xf numFmtId="0" fontId="11" fillId="37" borderId="39" xfId="0" applyFont="1" applyFill="1" applyBorder="1" applyAlignment="1">
      <alignment horizontal="center" vertical="center"/>
    </xf>
    <xf numFmtId="0" fontId="8" fillId="36" borderId="22" xfId="0" applyFont="1" applyFill="1" applyBorder="1" applyAlignment="1">
      <alignment vertical="center"/>
    </xf>
    <xf numFmtId="177" fontId="8" fillId="36" borderId="22" xfId="0" applyNumberFormat="1" applyFont="1" applyFill="1" applyBorder="1" applyAlignment="1">
      <alignment vertical="center"/>
    </xf>
    <xf numFmtId="0" fontId="16" fillId="36" borderId="20" xfId="0" applyFont="1" applyFill="1" applyBorder="1" applyAlignment="1">
      <alignment vertical="center"/>
    </xf>
    <xf numFmtId="0" fontId="11" fillId="37" borderId="40" xfId="0" applyFont="1" applyFill="1" applyBorder="1" applyAlignment="1">
      <alignment vertical="center"/>
    </xf>
    <xf numFmtId="0" fontId="11" fillId="37" borderId="41" xfId="0" applyFont="1" applyFill="1" applyBorder="1" applyAlignment="1">
      <alignment vertical="center"/>
    </xf>
    <xf numFmtId="0" fontId="51" fillId="33" borderId="41" xfId="0" applyFont="1" applyFill="1" applyBorder="1" applyAlignment="1">
      <alignment vertical="center"/>
    </xf>
    <xf numFmtId="0" fontId="4" fillId="36" borderId="25" xfId="0" applyFont="1" applyFill="1" applyBorder="1" applyAlignment="1">
      <alignment vertical="center"/>
    </xf>
    <xf numFmtId="0" fontId="4" fillId="36" borderId="20" xfId="0" applyFont="1" applyFill="1" applyBorder="1" applyAlignment="1">
      <alignment vertical="center"/>
    </xf>
    <xf numFmtId="0" fontId="4" fillId="36" borderId="42" xfId="0" applyFont="1" applyFill="1" applyBorder="1" applyAlignment="1">
      <alignment horizontal="center" vertical="center"/>
    </xf>
    <xf numFmtId="0" fontId="51" fillId="37" borderId="34" xfId="0" applyFont="1" applyFill="1" applyBorder="1" applyAlignment="1">
      <alignment vertical="center"/>
    </xf>
    <xf numFmtId="0" fontId="11" fillId="37" borderId="35" xfId="0" applyFont="1" applyFill="1" applyBorder="1" applyAlignment="1">
      <alignment horizontal="center" vertical="center"/>
    </xf>
    <xf numFmtId="0" fontId="8" fillId="36" borderId="43" xfId="0" applyFont="1" applyFill="1" applyBorder="1" applyAlignment="1">
      <alignment vertical="center"/>
    </xf>
    <xf numFmtId="177" fontId="8" fillId="36" borderId="43" xfId="0" applyNumberFormat="1" applyFont="1" applyFill="1" applyBorder="1" applyAlignment="1">
      <alignment vertical="center"/>
    </xf>
    <xf numFmtId="0" fontId="16" fillId="36" borderId="42" xfId="0" applyFont="1" applyFill="1" applyBorder="1" applyAlignment="1">
      <alignment vertical="center"/>
    </xf>
    <xf numFmtId="0" fontId="11" fillId="37" borderId="36" xfId="0" applyFont="1" applyFill="1" applyBorder="1" applyAlignment="1">
      <alignment vertical="center"/>
    </xf>
    <xf numFmtId="0" fontId="11" fillId="37" borderId="37" xfId="0" applyFont="1" applyFill="1" applyBorder="1" applyAlignment="1">
      <alignment vertical="center"/>
    </xf>
    <xf numFmtId="0" fontId="4" fillId="36" borderId="44" xfId="0" applyFont="1" applyFill="1" applyBorder="1" applyAlignment="1">
      <alignment vertical="center"/>
    </xf>
    <xf numFmtId="0" fontId="4" fillId="36" borderId="42" xfId="0" applyFont="1" applyFill="1" applyBorder="1" applyAlignment="1">
      <alignment vertical="center"/>
    </xf>
    <xf numFmtId="0" fontId="4" fillId="38" borderId="34" xfId="0" applyFont="1" applyFill="1" applyBorder="1" applyAlignment="1">
      <alignment horizontal="center" vertical="center"/>
    </xf>
    <xf numFmtId="0" fontId="51" fillId="39" borderId="34" xfId="0" applyFont="1" applyFill="1" applyBorder="1" applyAlignment="1">
      <alignment vertical="center"/>
    </xf>
    <xf numFmtId="0" fontId="11" fillId="39" borderId="35" xfId="0" applyFont="1" applyFill="1" applyBorder="1" applyAlignment="1">
      <alignment horizontal="center" vertical="center"/>
    </xf>
    <xf numFmtId="0" fontId="8" fillId="38" borderId="33" xfId="0" applyFont="1" applyFill="1" applyBorder="1" applyAlignment="1">
      <alignment vertical="center"/>
    </xf>
    <xf numFmtId="177" fontId="8" fillId="38" borderId="33" xfId="0" applyNumberFormat="1" applyFont="1" applyFill="1" applyBorder="1" applyAlignment="1">
      <alignment vertical="center"/>
    </xf>
    <xf numFmtId="0" fontId="16" fillId="38" borderId="34" xfId="0" applyFont="1" applyFill="1" applyBorder="1" applyAlignment="1">
      <alignment vertical="center"/>
    </xf>
    <xf numFmtId="0" fontId="11" fillId="39" borderId="36" xfId="0" applyFont="1" applyFill="1" applyBorder="1" applyAlignment="1">
      <alignment vertical="center"/>
    </xf>
    <xf numFmtId="0" fontId="11" fillId="39" borderId="37" xfId="0" applyFont="1" applyFill="1" applyBorder="1" applyAlignment="1">
      <alignment vertical="center"/>
    </xf>
    <xf numFmtId="0" fontId="4" fillId="38" borderId="38" xfId="0" applyFont="1" applyFill="1" applyBorder="1" applyAlignment="1">
      <alignment vertical="center"/>
    </xf>
    <xf numFmtId="0" fontId="4" fillId="38" borderId="34" xfId="0" applyFont="1" applyFill="1" applyBorder="1" applyAlignment="1">
      <alignment vertical="center"/>
    </xf>
    <xf numFmtId="0" fontId="4" fillId="36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0" fontId="6" fillId="5" borderId="45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40" borderId="0" xfId="0" applyFont="1" applyFill="1" applyBorder="1" applyAlignment="1">
      <alignment vertical="center"/>
    </xf>
    <xf numFmtId="176" fontId="4" fillId="40" borderId="0" xfId="0" applyNumberFormat="1" applyFont="1" applyFill="1" applyBorder="1" applyAlignment="1">
      <alignment horizontal="center" vertical="center"/>
    </xf>
    <xf numFmtId="0" fontId="4" fillId="40" borderId="0" xfId="0" applyFont="1" applyFill="1" applyBorder="1" applyAlignment="1">
      <alignment horizontal="center" vertical="center"/>
    </xf>
    <xf numFmtId="0" fontId="4" fillId="41" borderId="0" xfId="0" applyFont="1" applyFill="1" applyBorder="1" applyAlignment="1">
      <alignment vertical="center"/>
    </xf>
    <xf numFmtId="0" fontId="16" fillId="42" borderId="0" xfId="0" applyFont="1" applyFill="1" applyBorder="1" applyAlignment="1">
      <alignment vertical="center"/>
    </xf>
    <xf numFmtId="0" fontId="16" fillId="42" borderId="0" xfId="0" applyFont="1" applyFill="1" applyBorder="1" applyAlignment="1">
      <alignment horizontal="center" vertical="center"/>
    </xf>
    <xf numFmtId="177" fontId="4" fillId="40" borderId="0" xfId="0" applyNumberFormat="1" applyFont="1" applyFill="1" applyBorder="1" applyAlignment="1">
      <alignment vertical="center"/>
    </xf>
    <xf numFmtId="0" fontId="16" fillId="40" borderId="0" xfId="0" applyFont="1" applyFill="1" applyBorder="1" applyAlignment="1">
      <alignment vertical="center"/>
    </xf>
    <xf numFmtId="0" fontId="16" fillId="43" borderId="0" xfId="0" applyFont="1" applyFill="1" applyBorder="1" applyAlignment="1">
      <alignment vertical="center"/>
    </xf>
    <xf numFmtId="176" fontId="4" fillId="6" borderId="46" xfId="0" applyNumberFormat="1" applyFont="1" applyFill="1" applyBorder="1" applyAlignment="1">
      <alignment horizontal="center" vertical="center"/>
    </xf>
    <xf numFmtId="0" fontId="12" fillId="7" borderId="4" xfId="0" applyFont="1" applyFill="1" applyBorder="1" applyAlignment="1">
      <alignment vertical="center"/>
    </xf>
    <xf numFmtId="176" fontId="4" fillId="6" borderId="4" xfId="0" applyNumberFormat="1" applyFont="1" applyFill="1" applyBorder="1" applyAlignment="1">
      <alignment horizontal="center" vertical="center"/>
    </xf>
    <xf numFmtId="0" fontId="4" fillId="38" borderId="4" xfId="0" applyFont="1" applyFill="1" applyBorder="1" applyAlignment="1">
      <alignment horizontal="center" vertical="center"/>
    </xf>
    <xf numFmtId="0" fontId="12" fillId="7" borderId="47" xfId="0" applyFont="1" applyFill="1" applyBorder="1" applyAlignment="1">
      <alignment vertical="center"/>
    </xf>
    <xf numFmtId="176" fontId="4" fillId="0" borderId="19" xfId="0" applyNumberFormat="1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vertical="center"/>
    </xf>
    <xf numFmtId="0" fontId="6" fillId="0" borderId="20" xfId="0" applyFont="1" applyFill="1" applyBorder="1" applyAlignment="1">
      <alignment vertical="center"/>
    </xf>
    <xf numFmtId="0" fontId="4" fillId="0" borderId="20" xfId="0" applyFont="1" applyBorder="1" applyAlignment="1">
      <alignment horizontal="center" vertical="center"/>
    </xf>
    <xf numFmtId="0" fontId="6" fillId="5" borderId="48" xfId="0" applyFont="1" applyFill="1" applyBorder="1" applyAlignment="1">
      <alignment vertical="center"/>
    </xf>
    <xf numFmtId="0" fontId="8" fillId="0" borderId="22" xfId="0" applyFont="1" applyBorder="1" applyAlignment="1">
      <alignment vertical="center"/>
    </xf>
    <xf numFmtId="177" fontId="8" fillId="0" borderId="22" xfId="0" applyNumberFormat="1" applyFont="1" applyBorder="1" applyAlignment="1">
      <alignment vertical="center"/>
    </xf>
    <xf numFmtId="0" fontId="11" fillId="44" borderId="4" xfId="0" applyFont="1" applyFill="1" applyBorder="1" applyAlignment="1">
      <alignment vertical="center"/>
    </xf>
    <xf numFmtId="0" fontId="6" fillId="45" borderId="49" xfId="0" applyFont="1" applyFill="1" applyBorder="1" applyAlignment="1">
      <alignment vertical="center"/>
    </xf>
    <xf numFmtId="0" fontId="11" fillId="46" borderId="4" xfId="0" applyFont="1" applyFill="1" applyBorder="1" applyAlignment="1">
      <alignment vertical="center"/>
    </xf>
    <xf numFmtId="0" fontId="6" fillId="0" borderId="50" xfId="0" applyFont="1" applyFill="1" applyBorder="1" applyAlignment="1">
      <alignment vertical="center"/>
    </xf>
    <xf numFmtId="0" fontId="11" fillId="0" borderId="20" xfId="0" applyFont="1" applyFill="1" applyBorder="1" applyAlignment="1">
      <alignment horizontal="center" vertical="center"/>
    </xf>
    <xf numFmtId="0" fontId="6" fillId="5" borderId="51" xfId="0" applyFont="1" applyFill="1" applyBorder="1" applyAlignment="1">
      <alignment vertical="center"/>
    </xf>
    <xf numFmtId="0" fontId="12" fillId="7" borderId="52" xfId="0" applyFont="1" applyFill="1" applyBorder="1" applyAlignment="1">
      <alignment vertical="center"/>
    </xf>
    <xf numFmtId="0" fontId="4" fillId="0" borderId="42" xfId="0" applyFont="1" applyFill="1" applyBorder="1" applyAlignment="1">
      <alignment horizontal="center" vertical="center"/>
    </xf>
    <xf numFmtId="0" fontId="4" fillId="3" borderId="42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vertical="center"/>
    </xf>
    <xf numFmtId="0" fontId="6" fillId="0" borderId="42" xfId="0" applyFont="1" applyFill="1" applyBorder="1" applyAlignment="1">
      <alignment vertical="center"/>
    </xf>
    <xf numFmtId="0" fontId="6" fillId="0" borderId="53" xfId="0" applyFont="1" applyFill="1" applyBorder="1" applyAlignment="1">
      <alignment vertical="center"/>
    </xf>
    <xf numFmtId="0" fontId="11" fillId="0" borderId="42" xfId="0" applyFont="1" applyFill="1" applyBorder="1" applyAlignment="1">
      <alignment horizontal="center" vertical="center"/>
    </xf>
    <xf numFmtId="0" fontId="6" fillId="5" borderId="54" xfId="0" applyFont="1" applyFill="1" applyBorder="1" applyAlignment="1">
      <alignment vertical="center"/>
    </xf>
    <xf numFmtId="0" fontId="6" fillId="5" borderId="55" xfId="0" applyFont="1" applyFill="1" applyBorder="1" applyAlignment="1">
      <alignment vertical="center"/>
    </xf>
    <xf numFmtId="0" fontId="8" fillId="0" borderId="43" xfId="0" applyFont="1" applyBorder="1" applyAlignment="1">
      <alignment vertical="center"/>
    </xf>
    <xf numFmtId="177" fontId="8" fillId="0" borderId="43" xfId="0" applyNumberFormat="1" applyFont="1" applyBorder="1" applyAlignment="1">
      <alignment vertical="center"/>
    </xf>
    <xf numFmtId="0" fontId="6" fillId="45" borderId="56" xfId="0" applyFont="1" applyFill="1" applyBorder="1" applyAlignment="1">
      <alignment vertical="center"/>
    </xf>
    <xf numFmtId="0" fontId="4" fillId="0" borderId="42" xfId="0" applyFont="1" applyBorder="1" applyAlignment="1">
      <alignment horizontal="center" vertical="center"/>
    </xf>
    <xf numFmtId="0" fontId="11" fillId="46" borderId="42" xfId="0" applyFont="1" applyFill="1" applyBorder="1" applyAlignment="1">
      <alignment vertical="center"/>
    </xf>
    <xf numFmtId="0" fontId="11" fillId="0" borderId="8" xfId="0" applyFont="1" applyBorder="1" applyAlignment="1">
      <alignment vertical="center"/>
    </xf>
    <xf numFmtId="0" fontId="51" fillId="0" borderId="8" xfId="0" applyFont="1" applyBorder="1" applyAlignment="1">
      <alignment vertical="center" wrapText="1"/>
    </xf>
    <xf numFmtId="0" fontId="16" fillId="0" borderId="8" xfId="0" applyFont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11" fillId="30" borderId="7" xfId="0" applyFont="1" applyFill="1" applyBorder="1" applyAlignment="1">
      <alignment vertical="center"/>
    </xf>
    <xf numFmtId="0" fontId="52" fillId="47" borderId="0" xfId="0" applyFont="1" applyFill="1" applyAlignment="1">
      <alignment vertical="center"/>
    </xf>
    <xf numFmtId="0" fontId="11" fillId="0" borderId="39" xfId="0" applyFont="1" applyBorder="1" applyAlignment="1">
      <alignment vertical="center"/>
    </xf>
    <xf numFmtId="0" fontId="11" fillId="34" borderId="4" xfId="0" applyFont="1" applyFill="1" applyBorder="1" applyAlignment="1">
      <alignment vertical="center"/>
    </xf>
    <xf numFmtId="0" fontId="11" fillId="6" borderId="4" xfId="0" applyFont="1" applyFill="1" applyBorder="1" applyAlignment="1">
      <alignment vertical="center"/>
    </xf>
    <xf numFmtId="0" fontId="11" fillId="6" borderId="42" xfId="0" applyFont="1" applyFill="1" applyBorder="1" applyAlignment="1">
      <alignment vertical="center"/>
    </xf>
    <xf numFmtId="0" fontId="11" fillId="48" borderId="4" xfId="0" applyFont="1" applyFill="1" applyBorder="1" applyAlignment="1">
      <alignment vertical="center"/>
    </xf>
    <xf numFmtId="0" fontId="11" fillId="49" borderId="8" xfId="0" applyFont="1" applyFill="1" applyBorder="1" applyAlignment="1">
      <alignment vertical="center"/>
    </xf>
    <xf numFmtId="0" fontId="11" fillId="49" borderId="4" xfId="0" applyFont="1" applyFill="1" applyBorder="1" applyAlignment="1">
      <alignment vertical="center"/>
    </xf>
    <xf numFmtId="0" fontId="11" fillId="49" borderId="42" xfId="0" applyFont="1" applyFill="1" applyBorder="1" applyAlignment="1">
      <alignment vertical="center"/>
    </xf>
    <xf numFmtId="0" fontId="11" fillId="13" borderId="4" xfId="0" applyFont="1" applyFill="1" applyBorder="1" applyAlignment="1">
      <alignment vertical="center"/>
    </xf>
    <xf numFmtId="0" fontId="16" fillId="6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4" borderId="4" xfId="0" applyFont="1" applyFill="1" applyBorder="1" applyAlignment="1">
      <alignment vertical="center"/>
    </xf>
    <xf numFmtId="0" fontId="16" fillId="6" borderId="4" xfId="0" applyFont="1" applyFill="1" applyBorder="1" applyAlignment="1">
      <alignment vertical="center"/>
    </xf>
    <xf numFmtId="0" fontId="16" fillId="3" borderId="42" xfId="0" applyFont="1" applyFill="1" applyBorder="1" applyAlignment="1">
      <alignment horizontal="left" vertical="center"/>
    </xf>
    <xf numFmtId="0" fontId="16" fillId="3" borderId="42" xfId="0" applyFont="1" applyFill="1" applyBorder="1" applyAlignment="1">
      <alignment vertical="center"/>
    </xf>
    <xf numFmtId="0" fontId="16" fillId="6" borderId="42" xfId="0" applyFont="1" applyFill="1" applyBorder="1" applyAlignment="1">
      <alignment vertical="center"/>
    </xf>
    <xf numFmtId="0" fontId="16" fillId="48" borderId="4" xfId="0" applyFont="1" applyFill="1" applyBorder="1" applyAlignment="1">
      <alignment vertical="center"/>
    </xf>
    <xf numFmtId="0" fontId="11" fillId="46" borderId="8" xfId="0" applyFont="1" applyFill="1" applyBorder="1" applyAlignment="1">
      <alignment vertical="center"/>
    </xf>
    <xf numFmtId="0" fontId="16" fillId="46" borderId="4" xfId="0" applyFont="1" applyFill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46" borderId="42" xfId="0" applyFont="1" applyFill="1" applyBorder="1" applyAlignment="1">
      <alignment vertical="center"/>
    </xf>
    <xf numFmtId="0" fontId="16" fillId="0" borderId="42" xfId="0" applyFont="1" applyBorder="1" applyAlignment="1">
      <alignment vertical="center"/>
    </xf>
    <xf numFmtId="0" fontId="14" fillId="7" borderId="8" xfId="0" applyFont="1" applyFill="1" applyBorder="1" applyAlignment="1">
      <alignment vertical="center"/>
    </xf>
    <xf numFmtId="0" fontId="16" fillId="3" borderId="8" xfId="0" applyFont="1" applyFill="1" applyBorder="1" applyAlignment="1">
      <alignment horizontal="left" vertical="center"/>
    </xf>
    <xf numFmtId="0" fontId="16" fillId="3" borderId="8" xfId="0" applyFont="1" applyFill="1" applyBorder="1" applyAlignment="1">
      <alignment vertical="center"/>
    </xf>
    <xf numFmtId="0" fontId="16" fillId="49" borderId="8" xfId="0" applyFont="1" applyFill="1" applyBorder="1" applyAlignment="1">
      <alignment vertical="center"/>
    </xf>
    <xf numFmtId="0" fontId="16" fillId="49" borderId="4" xfId="0" applyFont="1" applyFill="1" applyBorder="1" applyAlignment="1">
      <alignment vertical="center"/>
    </xf>
    <xf numFmtId="0" fontId="16" fillId="49" borderId="42" xfId="0" applyFont="1" applyFill="1" applyBorder="1" applyAlignment="1">
      <alignment vertical="center"/>
    </xf>
    <xf numFmtId="0" fontId="0" fillId="0" borderId="8" xfId="0" applyBorder="1"/>
    <xf numFmtId="0" fontId="27" fillId="13" borderId="8" xfId="0" applyFont="1" applyFill="1" applyBorder="1"/>
    <xf numFmtId="0" fontId="0" fillId="0" borderId="57" xfId="0" applyBorder="1"/>
    <xf numFmtId="0" fontId="27" fillId="13" borderId="4" xfId="0" applyFont="1" applyFill="1" applyBorder="1"/>
    <xf numFmtId="0" fontId="0" fillId="0" borderId="58" xfId="0" applyBorder="1"/>
    <xf numFmtId="0" fontId="0" fillId="0" borderId="2" xfId="0" applyBorder="1"/>
    <xf numFmtId="0" fontId="6" fillId="5" borderId="20" xfId="0" applyFont="1" applyFill="1" applyBorder="1" applyAlignment="1">
      <alignment vertical="center"/>
    </xf>
    <xf numFmtId="0" fontId="0" fillId="0" borderId="42" xfId="0" applyBorder="1"/>
    <xf numFmtId="0" fontId="6" fillId="5" borderId="42" xfId="0" applyFont="1" applyFill="1" applyBorder="1" applyAlignment="1">
      <alignment vertical="center"/>
    </xf>
    <xf numFmtId="0" fontId="16" fillId="3" borderId="59" xfId="0" applyFont="1" applyFill="1" applyBorder="1" applyAlignment="1">
      <alignment horizontal="left" vertical="center"/>
    </xf>
    <xf numFmtId="0" fontId="16" fillId="46" borderId="8" xfId="0" applyFont="1" applyFill="1" applyBorder="1" applyAlignment="1">
      <alignment vertical="center"/>
    </xf>
    <xf numFmtId="0" fontId="16" fillId="3" borderId="59" xfId="0" applyFont="1" applyFill="1" applyBorder="1" applyAlignment="1">
      <alignment vertical="center"/>
    </xf>
    <xf numFmtId="0" fontId="16" fillId="38" borderId="59" xfId="0" applyFont="1" applyFill="1" applyBorder="1" applyAlignment="1">
      <alignment vertical="center"/>
    </xf>
    <xf numFmtId="0" fontId="11" fillId="6" borderId="8" xfId="0" applyFont="1" applyFill="1" applyBorder="1" applyAlignment="1">
      <alignment vertical="center"/>
    </xf>
    <xf numFmtId="0" fontId="16" fillId="6" borderId="8" xfId="0" applyFont="1" applyFill="1" applyBorder="1" applyAlignment="1">
      <alignment vertical="center"/>
    </xf>
    <xf numFmtId="0" fontId="11" fillId="34" borderId="42" xfId="0" applyFont="1" applyFill="1" applyBorder="1" applyAlignment="1">
      <alignment vertical="center"/>
    </xf>
    <xf numFmtId="0" fontId="16" fillId="34" borderId="42" xfId="0" applyFont="1" applyFill="1" applyBorder="1" applyAlignment="1">
      <alignment vertical="center"/>
    </xf>
    <xf numFmtId="0" fontId="14" fillId="7" borderId="4" xfId="0" applyFont="1" applyFill="1" applyBorder="1" applyAlignment="1">
      <alignment vertical="center"/>
    </xf>
    <xf numFmtId="0" fontId="14" fillId="7" borderId="42" xfId="0" applyFont="1" applyFill="1" applyBorder="1" applyAlignment="1">
      <alignment vertical="center"/>
    </xf>
    <xf numFmtId="0" fontId="11" fillId="48" borderId="8" xfId="0" applyFont="1" applyFill="1" applyBorder="1" applyAlignment="1">
      <alignment vertical="center"/>
    </xf>
    <xf numFmtId="0" fontId="16" fillId="48" borderId="8" xfId="0" applyFont="1" applyFill="1" applyBorder="1" applyAlignment="1">
      <alignment vertical="center"/>
    </xf>
    <xf numFmtId="0" fontId="11" fillId="48" borderId="42" xfId="0" applyFont="1" applyFill="1" applyBorder="1" applyAlignment="1">
      <alignment vertical="center"/>
    </xf>
    <xf numFmtId="0" fontId="16" fillId="48" borderId="42" xfId="0" applyFont="1" applyFill="1" applyBorder="1" applyAlignment="1">
      <alignment vertical="center"/>
    </xf>
    <xf numFmtId="0" fontId="14" fillId="7" borderId="59" xfId="0" applyFont="1" applyFill="1" applyBorder="1" applyAlignment="1">
      <alignment vertical="center"/>
    </xf>
    <xf numFmtId="0" fontId="16" fillId="0" borderId="59" xfId="0" applyFont="1" applyBorder="1" applyAlignment="1">
      <alignment vertical="center"/>
    </xf>
    <xf numFmtId="0" fontId="16" fillId="31" borderId="8" xfId="0" applyFont="1" applyFill="1" applyBorder="1" applyAlignment="1">
      <alignment vertical="center"/>
    </xf>
    <xf numFmtId="0" fontId="11" fillId="49" borderId="60" xfId="0" applyFont="1" applyFill="1" applyBorder="1" applyAlignment="1">
      <alignment vertical="center"/>
    </xf>
    <xf numFmtId="0" fontId="11" fillId="49" borderId="34" xfId="0" applyFont="1" applyFill="1" applyBorder="1" applyAlignment="1">
      <alignment vertical="center"/>
    </xf>
    <xf numFmtId="0" fontId="16" fillId="3" borderId="34" xfId="0" applyFont="1" applyFill="1" applyBorder="1" applyAlignment="1">
      <alignment horizontal="left" vertical="center"/>
    </xf>
    <xf numFmtId="0" fontId="16" fillId="3" borderId="34" xfId="0" applyFont="1" applyFill="1" applyBorder="1" applyAlignment="1">
      <alignment vertical="center"/>
    </xf>
    <xf numFmtId="0" fontId="16" fillId="49" borderId="34" xfId="0" applyFont="1" applyFill="1" applyBorder="1" applyAlignment="1">
      <alignment vertical="center"/>
    </xf>
    <xf numFmtId="0" fontId="16" fillId="0" borderId="34" xfId="0" applyFont="1" applyBorder="1" applyAlignment="1">
      <alignment vertical="center"/>
    </xf>
    <xf numFmtId="0" fontId="16" fillId="0" borderId="4" xfId="0" applyFont="1" applyFill="1" applyBorder="1" applyAlignment="1">
      <alignment vertical="center"/>
    </xf>
    <xf numFmtId="0" fontId="27" fillId="0" borderId="2" xfId="0" applyFont="1" applyFill="1" applyBorder="1"/>
    <xf numFmtId="0" fontId="28" fillId="0" borderId="2" xfId="0" applyFont="1" applyFill="1" applyBorder="1"/>
    <xf numFmtId="0" fontId="29" fillId="3" borderId="27" xfId="0" applyFont="1" applyFill="1" applyBorder="1" applyAlignment="1">
      <alignment vertical="center"/>
    </xf>
    <xf numFmtId="0" fontId="30" fillId="0" borderId="2" xfId="0" applyFont="1" applyFill="1" applyBorder="1"/>
    <xf numFmtId="0" fontId="29" fillId="0" borderId="27" xfId="0" applyFont="1" applyFill="1" applyBorder="1" applyAlignment="1">
      <alignment vertical="center"/>
    </xf>
    <xf numFmtId="0" fontId="30" fillId="30" borderId="2" xfId="0" applyFont="1" applyFill="1" applyBorder="1"/>
    <xf numFmtId="0" fontId="30" fillId="14" borderId="2" xfId="0" applyFont="1" applyFill="1" applyBorder="1"/>
    <xf numFmtId="0" fontId="31" fillId="0" borderId="2" xfId="0" applyFont="1" applyFill="1" applyBorder="1"/>
    <xf numFmtId="0" fontId="27" fillId="0" borderId="0" xfId="0" applyFont="1" applyFill="1" applyBorder="1"/>
    <xf numFmtId="0" fontId="28" fillId="0" borderId="0" xfId="0" applyFont="1" applyFill="1" applyBorder="1"/>
    <xf numFmtId="0" fontId="29" fillId="3" borderId="0" xfId="0" applyFont="1" applyFill="1" applyBorder="1" applyAlignment="1">
      <alignment vertical="center"/>
    </xf>
    <xf numFmtId="0" fontId="30" fillId="0" borderId="0" xfId="0" applyFont="1" applyFill="1" applyBorder="1"/>
    <xf numFmtId="0" fontId="29" fillId="0" borderId="0" xfId="0" applyFont="1" applyFill="1" applyBorder="1" applyAlignment="1">
      <alignment vertical="center"/>
    </xf>
    <xf numFmtId="0" fontId="31" fillId="0" borderId="0" xfId="0" applyFont="1" applyFill="1" applyBorder="1"/>
    <xf numFmtId="38" fontId="16" fillId="0" borderId="0" xfId="628" applyFont="1" applyFill="1" applyBorder="1" applyAlignment="1"/>
    <xf numFmtId="0" fontId="0" fillId="0" borderId="0" xfId="0" applyBorder="1"/>
    <xf numFmtId="0" fontId="29" fillId="3" borderId="4" xfId="0" applyFont="1" applyFill="1" applyBorder="1" applyAlignment="1">
      <alignment vertical="center"/>
    </xf>
    <xf numFmtId="0" fontId="29" fillId="0" borderId="4" xfId="0" applyFont="1" applyFill="1" applyBorder="1" applyAlignment="1">
      <alignment vertical="center"/>
    </xf>
    <xf numFmtId="0" fontId="30" fillId="40" borderId="0" xfId="0" applyFont="1" applyFill="1" applyBorder="1"/>
    <xf numFmtId="0" fontId="0" fillId="40" borderId="0" xfId="0" applyFill="1"/>
    <xf numFmtId="38" fontId="16" fillId="0" borderId="4" xfId="628" applyFont="1" applyFill="1" applyBorder="1" applyAlignment="1">
      <alignment wrapText="1"/>
    </xf>
    <xf numFmtId="0" fontId="27" fillId="0" borderId="42" xfId="0" applyFont="1" applyFill="1" applyBorder="1"/>
    <xf numFmtId="0" fontId="4" fillId="13" borderId="4" xfId="0" applyFont="1" applyFill="1" applyBorder="1" applyAlignment="1">
      <alignment horizontal="right" vertical="center"/>
    </xf>
    <xf numFmtId="0" fontId="27" fillId="13" borderId="42" xfId="0" applyFont="1" applyFill="1" applyBorder="1"/>
    <xf numFmtId="0" fontId="27" fillId="0" borderId="8" xfId="0" applyFont="1" applyFill="1" applyBorder="1"/>
    <xf numFmtId="0" fontId="0" fillId="3" borderId="8" xfId="0" applyFill="1" applyBorder="1"/>
    <xf numFmtId="0" fontId="6" fillId="5" borderId="8" xfId="0" applyFont="1" applyFill="1" applyBorder="1" applyAlignment="1">
      <alignment vertical="center"/>
    </xf>
    <xf numFmtId="0" fontId="0" fillId="3" borderId="42" xfId="0" applyFill="1" applyBorder="1"/>
    <xf numFmtId="0" fontId="0" fillId="0" borderId="61" xfId="0" applyBorder="1"/>
  </cellXfs>
  <cellStyles count="69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48702</v>
          </cell>
        </row>
        <row r="254">
          <cell r="A254">
            <v>41001</v>
          </cell>
        </row>
        <row r="255">
          <cell r="A255">
            <v>41002</v>
          </cell>
        </row>
        <row r="256">
          <cell r="A256">
            <v>41003</v>
          </cell>
        </row>
        <row r="257">
          <cell r="A257">
            <v>41004</v>
          </cell>
        </row>
        <row r="258">
          <cell r="A258">
            <v>41005</v>
          </cell>
        </row>
        <row r="259">
          <cell r="A259">
            <v>41006</v>
          </cell>
        </row>
        <row r="260">
          <cell r="A260">
            <v>41007</v>
          </cell>
        </row>
        <row r="261">
          <cell r="A261">
            <v>41008</v>
          </cell>
        </row>
        <row r="262">
          <cell r="A262">
            <v>41009</v>
          </cell>
        </row>
        <row r="263">
          <cell r="A263">
            <v>41010</v>
          </cell>
        </row>
        <row r="264">
          <cell r="A264">
            <v>41011</v>
          </cell>
        </row>
        <row r="265">
          <cell r="A265">
            <v>41012</v>
          </cell>
        </row>
        <row r="266">
          <cell r="A266">
            <v>41013</v>
          </cell>
        </row>
        <row r="267">
          <cell r="A267">
            <v>41014</v>
          </cell>
        </row>
        <row r="268">
          <cell r="A268">
            <v>41015</v>
          </cell>
        </row>
        <row r="269">
          <cell r="A269">
            <v>47001</v>
          </cell>
        </row>
        <row r="270">
          <cell r="A270">
            <v>47002</v>
          </cell>
        </row>
        <row r="271">
          <cell r="A271">
            <v>47003</v>
          </cell>
        </row>
        <row r="272">
          <cell r="A272">
            <v>47004</v>
          </cell>
        </row>
        <row r="273">
          <cell r="A273">
            <v>47005</v>
          </cell>
        </row>
        <row r="274">
          <cell r="A274">
            <v>47006</v>
          </cell>
        </row>
        <row r="275">
          <cell r="A275">
            <v>47007</v>
          </cell>
        </row>
        <row r="276">
          <cell r="A276">
            <v>47008</v>
          </cell>
        </row>
        <row r="277">
          <cell r="A277">
            <v>47009</v>
          </cell>
        </row>
        <row r="278">
          <cell r="A278">
            <v>47010</v>
          </cell>
        </row>
        <row r="279">
          <cell r="A279">
            <v>47011</v>
          </cell>
        </row>
        <row r="280">
          <cell r="A280">
            <v>47012</v>
          </cell>
        </row>
        <row r="281">
          <cell r="A281">
            <v>49001</v>
          </cell>
        </row>
        <row r="282">
          <cell r="A282">
            <v>49002</v>
          </cell>
        </row>
        <row r="283">
          <cell r="A283">
            <v>49003</v>
          </cell>
        </row>
        <row r="284">
          <cell r="A284">
            <v>49004</v>
          </cell>
        </row>
        <row r="285">
          <cell r="A285">
            <v>49005</v>
          </cell>
        </row>
        <row r="286">
          <cell r="A286">
            <v>49006</v>
          </cell>
        </row>
        <row r="287">
          <cell r="A287">
            <v>49007</v>
          </cell>
        </row>
        <row r="288">
          <cell r="A288">
            <v>49008</v>
          </cell>
        </row>
        <row r="289">
          <cell r="A289">
            <v>49009</v>
          </cell>
        </row>
        <row r="290">
          <cell r="A290">
            <v>49010</v>
          </cell>
        </row>
        <row r="291">
          <cell r="A291">
            <v>49011</v>
          </cell>
        </row>
        <row r="292">
          <cell r="A292">
            <v>49012</v>
          </cell>
        </row>
        <row r="293">
          <cell r="A293">
            <v>49013</v>
          </cell>
        </row>
        <row r="294">
          <cell r="A294">
            <v>49014</v>
          </cell>
        </row>
        <row r="295">
          <cell r="A295">
            <v>49015</v>
          </cell>
        </row>
        <row r="296">
          <cell r="A296">
            <v>50001</v>
          </cell>
        </row>
        <row r="297">
          <cell r="A297">
            <v>50002</v>
          </cell>
        </row>
        <row r="298">
          <cell r="A298">
            <v>50003</v>
          </cell>
        </row>
        <row r="299">
          <cell r="A299">
            <v>50004</v>
          </cell>
        </row>
        <row r="300">
          <cell r="A300">
            <v>50005</v>
          </cell>
        </row>
        <row r="301">
          <cell r="A301">
            <v>50006</v>
          </cell>
        </row>
        <row r="302">
          <cell r="A302">
            <v>50007</v>
          </cell>
        </row>
        <row r="303">
          <cell r="A303">
            <v>50008</v>
          </cell>
        </row>
        <row r="304">
          <cell r="A304">
            <v>50009</v>
          </cell>
        </row>
        <row r="305">
          <cell r="A305">
            <v>50010</v>
          </cell>
        </row>
        <row r="306">
          <cell r="A306">
            <v>50011</v>
          </cell>
        </row>
        <row r="307">
          <cell r="A307">
            <v>50012</v>
          </cell>
        </row>
        <row r="308">
          <cell r="A308">
            <v>50013</v>
          </cell>
        </row>
        <row r="309">
          <cell r="A309">
            <v>50014</v>
          </cell>
        </row>
        <row r="310">
          <cell r="A310">
            <v>50015</v>
          </cell>
        </row>
        <row r="311">
          <cell r="A311">
            <v>51001</v>
          </cell>
        </row>
        <row r="312">
          <cell r="A312">
            <v>51002</v>
          </cell>
        </row>
        <row r="313">
          <cell r="A313">
            <v>58001</v>
          </cell>
        </row>
        <row r="314">
          <cell r="A314">
            <v>59001</v>
          </cell>
        </row>
        <row r="315">
          <cell r="A315">
            <v>59002</v>
          </cell>
        </row>
        <row r="316">
          <cell r="A316">
            <v>60001</v>
          </cell>
        </row>
        <row r="317">
          <cell r="A317">
            <v>60002</v>
          </cell>
        </row>
        <row r="318">
          <cell r="A318">
            <v>60003</v>
          </cell>
        </row>
        <row r="319">
          <cell r="A319">
            <v>60004</v>
          </cell>
        </row>
        <row r="320">
          <cell r="A320">
            <v>60005</v>
          </cell>
        </row>
        <row r="321">
          <cell r="A321">
            <v>60006</v>
          </cell>
        </row>
        <row r="322">
          <cell r="A322">
            <v>60007</v>
          </cell>
        </row>
        <row r="323">
          <cell r="A323">
            <v>60010</v>
          </cell>
        </row>
        <row r="324">
          <cell r="A324">
            <v>60011</v>
          </cell>
        </row>
        <row r="325">
          <cell r="A325">
            <v>61011</v>
          </cell>
        </row>
        <row r="326">
          <cell r="A326">
            <v>60012</v>
          </cell>
        </row>
        <row r="327">
          <cell r="A327">
            <v>60013</v>
          </cell>
        </row>
        <row r="328">
          <cell r="A328">
            <v>60014</v>
          </cell>
        </row>
        <row r="329">
          <cell r="A329">
            <v>60015</v>
          </cell>
        </row>
        <row r="330">
          <cell r="A330">
            <v>60016</v>
          </cell>
        </row>
        <row r="331">
          <cell r="A331">
            <v>60017</v>
          </cell>
        </row>
        <row r="332">
          <cell r="A332">
            <v>60018</v>
          </cell>
        </row>
        <row r="333">
          <cell r="A333">
            <v>60019</v>
          </cell>
        </row>
        <row r="334">
          <cell r="A334">
            <v>60020</v>
          </cell>
        </row>
        <row r="335">
          <cell r="A335">
            <v>60025</v>
          </cell>
        </row>
        <row r="336">
          <cell r="A336">
            <v>60026</v>
          </cell>
        </row>
        <row r="337">
          <cell r="A337">
            <v>60027</v>
          </cell>
        </row>
        <row r="338">
          <cell r="A338">
            <v>60028</v>
          </cell>
        </row>
        <row r="339">
          <cell r="A339">
            <v>60029</v>
          </cell>
        </row>
        <row r="340">
          <cell r="A340">
            <v>65525</v>
          </cell>
        </row>
        <row r="341">
          <cell r="A341">
            <v>65526</v>
          </cell>
        </row>
        <row r="342">
          <cell r="A342">
            <v>65527</v>
          </cell>
        </row>
        <row r="343">
          <cell r="A343">
            <v>65528</v>
          </cell>
        </row>
        <row r="344">
          <cell r="A344">
            <v>65529</v>
          </cell>
        </row>
        <row r="345">
          <cell r="A345">
            <v>65530</v>
          </cell>
        </row>
        <row r="346">
          <cell r="A346">
            <v>65531</v>
          </cell>
        </row>
        <row r="347">
          <cell r="A347">
            <v>65532</v>
          </cell>
        </row>
        <row r="348">
          <cell r="A348">
            <v>65533</v>
          </cell>
        </row>
        <row r="349">
          <cell r="A349">
            <v>65534</v>
          </cell>
        </row>
        <row r="350">
          <cell r="A350">
            <v>65535</v>
          </cell>
        </row>
        <row r="351">
          <cell r="A351">
            <v>60021</v>
          </cell>
        </row>
        <row r="352">
          <cell r="A352">
            <v>60022</v>
          </cell>
        </row>
        <row r="353">
          <cell r="A353">
            <v>60023</v>
          </cell>
        </row>
        <row r="354">
          <cell r="A35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48001_1</v>
          </cell>
        </row>
        <row r="862">
          <cell r="A862" t="str">
            <v>48002_1</v>
          </cell>
        </row>
        <row r="863">
          <cell r="A863" t="str">
            <v>48002_2</v>
          </cell>
        </row>
        <row r="864">
          <cell r="A864" t="str">
            <v>48002_3</v>
          </cell>
        </row>
        <row r="865">
          <cell r="A865" t="str">
            <v>48003_1</v>
          </cell>
        </row>
        <row r="866">
          <cell r="A866" t="str">
            <v>48003_2</v>
          </cell>
        </row>
        <row r="867">
          <cell r="A867" t="str">
            <v>48004_1</v>
          </cell>
        </row>
        <row r="868">
          <cell r="A868" t="str">
            <v>48004_2</v>
          </cell>
        </row>
        <row r="869">
          <cell r="A869" t="str">
            <v>48005_1</v>
          </cell>
        </row>
        <row r="870">
          <cell r="A870" t="str">
            <v>48005_2</v>
          </cell>
        </row>
        <row r="871">
          <cell r="A871" t="str">
            <v>48006_1</v>
          </cell>
        </row>
        <row r="872">
          <cell r="A872" t="str">
            <v>48006_2</v>
          </cell>
        </row>
        <row r="873">
          <cell r="A873" t="str">
            <v>48007_1</v>
          </cell>
        </row>
        <row r="874">
          <cell r="A874" t="str">
            <v>48007_2</v>
          </cell>
        </row>
        <row r="875">
          <cell r="A875" t="str">
            <v>48008_1</v>
          </cell>
        </row>
        <row r="876">
          <cell r="A876" t="str">
            <v>48008_2</v>
          </cell>
        </row>
        <row r="877">
          <cell r="A877" t="str">
            <v>48009_1</v>
          </cell>
        </row>
        <row r="878">
          <cell r="A878" t="str">
            <v>48009_2</v>
          </cell>
        </row>
        <row r="879">
          <cell r="A879" t="str">
            <v>48010_1</v>
          </cell>
        </row>
        <row r="880">
          <cell r="A880" t="str">
            <v>48011_1</v>
          </cell>
        </row>
        <row r="881">
          <cell r="A881" t="str">
            <v>48011_2</v>
          </cell>
        </row>
        <row r="882">
          <cell r="A882" t="str">
            <v>48012_1</v>
          </cell>
        </row>
        <row r="883">
          <cell r="A883" t="str">
            <v>48012_2</v>
          </cell>
        </row>
        <row r="884">
          <cell r="A884" t="str">
            <v>48501_1</v>
          </cell>
        </row>
        <row r="885">
          <cell r="A885" t="str">
            <v>48501_2</v>
          </cell>
        </row>
        <row r="886">
          <cell r="A886" t="str">
            <v>48502_1</v>
          </cell>
        </row>
        <row r="887">
          <cell r="A887" t="str">
            <v>48502_2</v>
          </cell>
        </row>
        <row r="888">
          <cell r="A888" t="str">
            <v>48701_1</v>
          </cell>
        </row>
        <row r="889">
          <cell r="A889" t="str">
            <v>48701_2</v>
          </cell>
        </row>
        <row r="890">
          <cell r="A890" t="str">
            <v>48702_1</v>
          </cell>
        </row>
        <row r="891">
          <cell r="A891" t="str">
            <v>48702_2</v>
          </cell>
        </row>
        <row r="892">
          <cell r="A892" t="str">
            <v>49001_1</v>
          </cell>
        </row>
        <row r="893">
          <cell r="A893" t="str">
            <v>49002_1</v>
          </cell>
        </row>
        <row r="894">
          <cell r="A894" t="str">
            <v>49002_2</v>
          </cell>
        </row>
        <row r="895">
          <cell r="A895" t="str">
            <v>49003_1</v>
          </cell>
        </row>
        <row r="896">
          <cell r="A896" t="str">
            <v>49003_2</v>
          </cell>
        </row>
        <row r="897">
          <cell r="A897" t="str">
            <v>49004_1</v>
          </cell>
        </row>
        <row r="898">
          <cell r="A898" t="str">
            <v>49004_2</v>
          </cell>
        </row>
        <row r="899">
          <cell r="A899" t="str">
            <v>49004_3</v>
          </cell>
        </row>
        <row r="900">
          <cell r="A900" t="str">
            <v>49005_1</v>
          </cell>
        </row>
        <row r="901">
          <cell r="A901" t="str">
            <v>49006_1</v>
          </cell>
        </row>
        <row r="902">
          <cell r="A902" t="str">
            <v>49006_2</v>
          </cell>
        </row>
        <row r="903">
          <cell r="A903" t="str">
            <v>49007_1</v>
          </cell>
        </row>
        <row r="904">
          <cell r="A904" t="str">
            <v>49007_2</v>
          </cell>
        </row>
        <row r="905">
          <cell r="A905" t="str">
            <v>49007_3</v>
          </cell>
        </row>
        <row r="906">
          <cell r="A906" t="str">
            <v>49008_1</v>
          </cell>
        </row>
        <row r="907">
          <cell r="A907" t="str">
            <v>49009_1</v>
          </cell>
        </row>
        <row r="908">
          <cell r="A908" t="str">
            <v>49010_1</v>
          </cell>
        </row>
        <row r="909">
          <cell r="A909" t="str">
            <v>49011_1</v>
          </cell>
        </row>
        <row r="910">
          <cell r="A910" t="str">
            <v>49012_1</v>
          </cell>
        </row>
        <row r="911">
          <cell r="A911" t="str">
            <v>49013_1</v>
          </cell>
        </row>
        <row r="912">
          <cell r="A912" t="str">
            <v>49014_1</v>
          </cell>
        </row>
        <row r="913">
          <cell r="A913" t="str">
            <v>49014_2</v>
          </cell>
        </row>
        <row r="914">
          <cell r="A914" t="str">
            <v>49015_1</v>
          </cell>
        </row>
        <row r="915">
          <cell r="A915" t="str">
            <v>49015_2</v>
          </cell>
        </row>
        <row r="916">
          <cell r="A916" t="str">
            <v>49015_3</v>
          </cell>
        </row>
        <row r="917">
          <cell r="A917" t="str">
            <v>50001_1</v>
          </cell>
        </row>
        <row r="918">
          <cell r="A918" t="str">
            <v>50002_1</v>
          </cell>
        </row>
        <row r="919">
          <cell r="A919" t="str">
            <v>50003_1</v>
          </cell>
        </row>
        <row r="920">
          <cell r="A920" t="str">
            <v>50004_1</v>
          </cell>
        </row>
        <row r="921">
          <cell r="A921" t="str">
            <v>50005_1</v>
          </cell>
        </row>
        <row r="922">
          <cell r="A922" t="str">
            <v>50006_1</v>
          </cell>
        </row>
        <row r="923">
          <cell r="A923" t="str">
            <v>50007_1</v>
          </cell>
        </row>
        <row r="924">
          <cell r="A924" t="str">
            <v>50008_1</v>
          </cell>
        </row>
        <row r="925">
          <cell r="A925" t="str">
            <v>50009_1</v>
          </cell>
        </row>
        <row r="926">
          <cell r="A926" t="str">
            <v>50010_1</v>
          </cell>
        </row>
        <row r="927">
          <cell r="A927" t="str">
            <v>50011_1</v>
          </cell>
        </row>
        <row r="928">
          <cell r="A928" t="str">
            <v>50012_1</v>
          </cell>
        </row>
        <row r="929">
          <cell r="A929" t="str">
            <v>50013_1</v>
          </cell>
        </row>
        <row r="930">
          <cell r="A930" t="str">
            <v>50014_1</v>
          </cell>
        </row>
        <row r="931">
          <cell r="A931" t="str">
            <v>50015_1</v>
          </cell>
        </row>
        <row r="932">
          <cell r="A932" t="str">
            <v>51001_1</v>
          </cell>
        </row>
        <row r="933">
          <cell r="A933" t="str">
            <v>51002_1</v>
          </cell>
        </row>
        <row r="934">
          <cell r="A934" t="str">
            <v>58001_1</v>
          </cell>
        </row>
        <row r="935">
          <cell r="A935" t="str">
            <v>59001_1</v>
          </cell>
        </row>
        <row r="936">
          <cell r="A936" t="str">
            <v>59002_1</v>
          </cell>
        </row>
        <row r="937">
          <cell r="A937" t="str">
            <v>60001_1</v>
          </cell>
        </row>
        <row r="938">
          <cell r="A938" t="str">
            <v>60002_1</v>
          </cell>
        </row>
        <row r="939">
          <cell r="A939" t="str">
            <v>60002_2</v>
          </cell>
        </row>
        <row r="940">
          <cell r="A940" t="str">
            <v>60003_1</v>
          </cell>
        </row>
        <row r="941">
          <cell r="A941" t="str">
            <v>60003_2</v>
          </cell>
        </row>
        <row r="942">
          <cell r="A942" t="str">
            <v>60003_3</v>
          </cell>
        </row>
        <row r="943">
          <cell r="A943" t="str">
            <v>60004_1</v>
          </cell>
        </row>
        <row r="944">
          <cell r="A944" t="str">
            <v>60005_1</v>
          </cell>
        </row>
        <row r="945">
          <cell r="A945" t="str">
            <v>60006_1</v>
          </cell>
        </row>
        <row r="946">
          <cell r="A946" t="str">
            <v>60006_2</v>
          </cell>
        </row>
        <row r="947">
          <cell r="A947" t="str">
            <v>60006_3</v>
          </cell>
        </row>
        <row r="948">
          <cell r="A948" t="str">
            <v>60007_1</v>
          </cell>
        </row>
        <row r="949">
          <cell r="A949" t="str">
            <v>60007_2</v>
          </cell>
        </row>
        <row r="950">
          <cell r="A950" t="str">
            <v>60007_3</v>
          </cell>
        </row>
        <row r="951">
          <cell r="A951" t="str">
            <v>60010_1</v>
          </cell>
        </row>
        <row r="952">
          <cell r="A952" t="str">
            <v>60011_1</v>
          </cell>
        </row>
        <row r="953">
          <cell r="A953" t="str">
            <v>60011_2</v>
          </cell>
        </row>
        <row r="954">
          <cell r="A954" t="str">
            <v>60012_1</v>
          </cell>
        </row>
        <row r="955">
          <cell r="A955" t="str">
            <v>60013_1</v>
          </cell>
        </row>
        <row r="956">
          <cell r="A956" t="str">
            <v>60013_2</v>
          </cell>
        </row>
        <row r="957">
          <cell r="A957" t="str">
            <v>60013_3</v>
          </cell>
        </row>
        <row r="958">
          <cell r="A958" t="str">
            <v>60014_1</v>
          </cell>
        </row>
        <row r="959">
          <cell r="A959" t="str">
            <v>60015_1</v>
          </cell>
        </row>
        <row r="960">
          <cell r="A960" t="str">
            <v>60016_1</v>
          </cell>
        </row>
        <row r="961">
          <cell r="A961" t="str">
            <v>60017_1</v>
          </cell>
        </row>
        <row r="962">
          <cell r="A962" t="str">
            <v>60018_1</v>
          </cell>
        </row>
        <row r="963">
          <cell r="A963" t="str">
            <v>60019_1</v>
          </cell>
        </row>
        <row r="964">
          <cell r="A964" t="str">
            <v>60020_1</v>
          </cell>
        </row>
        <row r="965">
          <cell r="A965" t="str">
            <v>60021_3</v>
          </cell>
        </row>
        <row r="966">
          <cell r="A966" t="str">
            <v>60022_3</v>
          </cell>
        </row>
        <row r="967">
          <cell r="A967" t="str">
            <v>60023_3</v>
          </cell>
        </row>
        <row r="968">
          <cell r="A968" t="str">
            <v>60024_3</v>
          </cell>
        </row>
        <row r="969">
          <cell r="A969" t="str">
            <v>60025_1</v>
          </cell>
        </row>
        <row r="970">
          <cell r="A970" t="str">
            <v>60026_1</v>
          </cell>
        </row>
        <row r="971">
          <cell r="A971" t="str">
            <v>61011_1</v>
          </cell>
        </row>
        <row r="972">
          <cell r="A972" t="str">
            <v>60027_1</v>
          </cell>
        </row>
        <row r="973">
          <cell r="A973" t="str">
            <v>60028_1</v>
          </cell>
        </row>
        <row r="974">
          <cell r="A974" t="str">
            <v>60029_1</v>
          </cell>
        </row>
        <row r="975">
          <cell r="A975" t="str">
            <v>65525_1</v>
          </cell>
        </row>
        <row r="976">
          <cell r="A976" t="str">
            <v>65526_1</v>
          </cell>
        </row>
        <row r="977">
          <cell r="A977" t="str">
            <v>65526_2</v>
          </cell>
        </row>
        <row r="978">
          <cell r="A978" t="str">
            <v>65527_1</v>
          </cell>
        </row>
        <row r="979">
          <cell r="A979" t="str">
            <v>65528_1</v>
          </cell>
        </row>
        <row r="980">
          <cell r="A980" t="str">
            <v>65529_1</v>
          </cell>
        </row>
        <row r="981">
          <cell r="A981" t="str">
            <v>65530_1</v>
          </cell>
        </row>
        <row r="982">
          <cell r="A982" t="str">
            <v>65531_1</v>
          </cell>
        </row>
        <row r="983">
          <cell r="A983" t="str">
            <v>65531_2</v>
          </cell>
        </row>
        <row r="984">
          <cell r="A984" t="str">
            <v>65532_1</v>
          </cell>
        </row>
        <row r="985">
          <cell r="A985" t="str">
            <v>65532_2</v>
          </cell>
        </row>
        <row r="986">
          <cell r="A986" t="str">
            <v>65533_1</v>
          </cell>
        </row>
        <row r="987">
          <cell r="A987" t="str">
            <v>65533_2</v>
          </cell>
        </row>
        <row r="988">
          <cell r="A988" t="str">
            <v>65534_1</v>
          </cell>
        </row>
        <row r="989">
          <cell r="A989" t="str">
            <v>65534_2</v>
          </cell>
        </row>
        <row r="990">
          <cell r="A990" t="str">
            <v>65535_1</v>
          </cell>
        </row>
        <row r="991">
          <cell r="A991" t="str">
            <v>65535_2</v>
          </cell>
        </row>
        <row r="992">
          <cell r="A992" t="str">
            <v>65535_3</v>
          </cell>
        </row>
        <row r="993">
          <cell r="A993" t="str">
            <v>65535_4</v>
          </cell>
        </row>
        <row r="994">
          <cell r="A994" t="str">
            <v>65535_5</v>
          </cell>
        </row>
        <row r="995">
          <cell r="A995" t="str">
            <v>65535_6</v>
          </cell>
        </row>
        <row r="996">
          <cell r="A996" t="str">
            <v>65535_7</v>
          </cell>
        </row>
        <row r="997">
          <cell r="A997" t="str">
            <v>65535_8</v>
          </cell>
        </row>
        <row r="998">
          <cell r="A998" t="str">
            <v>65535_9</v>
          </cell>
        </row>
        <row r="999">
          <cell r="A999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5001</v>
          </cell>
        </row>
        <row r="1377">
          <cell r="A1377">
            <v>5002</v>
          </cell>
        </row>
        <row r="1378">
          <cell r="A1378">
            <v>5003</v>
          </cell>
        </row>
        <row r="1379">
          <cell r="A1379">
            <v>5004</v>
          </cell>
        </row>
        <row r="1380">
          <cell r="A1380">
            <v>5005</v>
          </cell>
        </row>
        <row r="1381">
          <cell r="A1381">
            <v>5006</v>
          </cell>
        </row>
        <row r="1382">
          <cell r="A1382">
            <v>5007</v>
          </cell>
        </row>
        <row r="1383">
          <cell r="A1383">
            <v>5008</v>
          </cell>
        </row>
        <row r="1384">
          <cell r="A1384">
            <v>6001</v>
          </cell>
        </row>
        <row r="1385">
          <cell r="A1385">
            <v>6002</v>
          </cell>
        </row>
        <row r="1386">
          <cell r="A1386">
            <v>6003</v>
          </cell>
        </row>
        <row r="1387">
          <cell r="A1387">
            <v>6004</v>
          </cell>
        </row>
        <row r="1388">
          <cell r="A1388">
            <v>6005</v>
          </cell>
        </row>
        <row r="1389">
          <cell r="A1389">
            <v>6006</v>
          </cell>
        </row>
        <row r="1390">
          <cell r="A1390">
            <v>6007</v>
          </cell>
        </row>
        <row r="1391">
          <cell r="A1391">
            <v>6008</v>
          </cell>
        </row>
        <row r="1392">
          <cell r="A1392">
            <v>6009</v>
          </cell>
        </row>
        <row r="1393">
          <cell r="A1393">
            <v>6010</v>
          </cell>
        </row>
        <row r="1394">
          <cell r="A1394">
            <v>6011</v>
          </cell>
        </row>
        <row r="1395">
          <cell r="A1395">
            <v>6012</v>
          </cell>
        </row>
        <row r="1396">
          <cell r="A1396">
            <v>6013</v>
          </cell>
        </row>
        <row r="1397">
          <cell r="A1397">
            <v>6014</v>
          </cell>
        </row>
        <row r="1398">
          <cell r="A1398">
            <v>6015</v>
          </cell>
        </row>
        <row r="1399">
          <cell r="A1399">
            <v>6016</v>
          </cell>
        </row>
        <row r="1400">
          <cell r="A1400">
            <v>6017</v>
          </cell>
        </row>
        <row r="1401">
          <cell r="A1401">
            <v>6018</v>
          </cell>
        </row>
        <row r="1402">
          <cell r="A1402">
            <v>6019</v>
          </cell>
        </row>
        <row r="1403">
          <cell r="A1403">
            <v>6020</v>
          </cell>
        </row>
        <row r="1404">
          <cell r="A1404">
            <v>8001</v>
          </cell>
        </row>
        <row r="1405">
          <cell r="A1405">
            <v>8002</v>
          </cell>
        </row>
        <row r="1406">
          <cell r="A1406">
            <v>8003</v>
          </cell>
        </row>
        <row r="1407">
          <cell r="A1407">
            <v>8004</v>
          </cell>
        </row>
        <row r="1408">
          <cell r="A1408">
            <v>8005</v>
          </cell>
        </row>
        <row r="1409">
          <cell r="A1409">
            <v>8006</v>
          </cell>
        </row>
        <row r="1410">
          <cell r="A1410">
            <v>8007</v>
          </cell>
        </row>
        <row r="1411">
          <cell r="A1411">
            <v>8008</v>
          </cell>
        </row>
        <row r="1412">
          <cell r="A1412">
            <v>8009</v>
          </cell>
        </row>
        <row r="1413">
          <cell r="A1413">
            <v>8010</v>
          </cell>
        </row>
        <row r="1414">
          <cell r="A1414">
            <v>8011</v>
          </cell>
        </row>
        <row r="1415">
          <cell r="A1415">
            <v>8012</v>
          </cell>
        </row>
        <row r="1416">
          <cell r="A1416">
            <v>8013</v>
          </cell>
        </row>
        <row r="1417">
          <cell r="A1417">
            <v>8014</v>
          </cell>
        </row>
        <row r="1418">
          <cell r="A1418">
            <v>8015</v>
          </cell>
        </row>
        <row r="1419">
          <cell r="A1419">
            <v>8016</v>
          </cell>
        </row>
        <row r="1420">
          <cell r="A1420">
            <v>8017</v>
          </cell>
        </row>
        <row r="1421">
          <cell r="A1421">
            <v>8018</v>
          </cell>
        </row>
        <row r="1422">
          <cell r="A1422">
            <v>8019</v>
          </cell>
        </row>
        <row r="1423">
          <cell r="A1423">
            <v>8020</v>
          </cell>
        </row>
        <row r="1424">
          <cell r="A1424">
            <v>8021</v>
          </cell>
        </row>
        <row r="1425">
          <cell r="A1425">
            <v>8022</v>
          </cell>
        </row>
        <row r="1426">
          <cell r="A1426">
            <v>8023</v>
          </cell>
        </row>
        <row r="1427">
          <cell r="A1427">
            <v>8024</v>
          </cell>
        </row>
        <row r="1428">
          <cell r="A1428">
            <v>8025</v>
          </cell>
        </row>
        <row r="1429">
          <cell r="A1429">
            <v>8026</v>
          </cell>
        </row>
        <row r="1430">
          <cell r="A1430">
            <v>8027</v>
          </cell>
        </row>
        <row r="1431">
          <cell r="A1431">
            <v>8028</v>
          </cell>
        </row>
        <row r="1432">
          <cell r="A1432">
            <v>8029</v>
          </cell>
        </row>
        <row r="1433">
          <cell r="A1433">
            <v>8030</v>
          </cell>
        </row>
        <row r="1434">
          <cell r="A1434">
            <v>8031</v>
          </cell>
        </row>
        <row r="1435">
          <cell r="A1435">
            <v>8032</v>
          </cell>
        </row>
        <row r="1436">
          <cell r="A1436">
            <v>8033</v>
          </cell>
        </row>
        <row r="1437">
          <cell r="A1437">
            <v>8034</v>
          </cell>
        </row>
        <row r="1438">
          <cell r="A1438">
            <v>8035</v>
          </cell>
        </row>
        <row r="1439">
          <cell r="A1439">
            <v>8036</v>
          </cell>
        </row>
        <row r="1440">
          <cell r="A1440">
            <v>8037</v>
          </cell>
        </row>
        <row r="1441">
          <cell r="A1441">
            <v>8038</v>
          </cell>
        </row>
        <row r="1442">
          <cell r="A1442">
            <v>8039</v>
          </cell>
        </row>
        <row r="1443">
          <cell r="A1443">
            <v>8040</v>
          </cell>
        </row>
        <row r="1444">
          <cell r="A1444">
            <v>8041</v>
          </cell>
        </row>
        <row r="1445">
          <cell r="A1445">
            <v>8042</v>
          </cell>
        </row>
        <row r="1446">
          <cell r="A1446">
            <v>8043</v>
          </cell>
        </row>
        <row r="1447">
          <cell r="A1447">
            <v>8044</v>
          </cell>
        </row>
        <row r="1448">
          <cell r="A1448">
            <v>8045</v>
          </cell>
        </row>
        <row r="1449">
          <cell r="A1449">
            <v>8046</v>
          </cell>
        </row>
        <row r="1450">
          <cell r="A1450">
            <v>8047</v>
          </cell>
        </row>
        <row r="1451">
          <cell r="A1451">
            <v>8048</v>
          </cell>
        </row>
        <row r="1452">
          <cell r="A1452">
            <v>8049</v>
          </cell>
        </row>
        <row r="1453">
          <cell r="A1453">
            <v>8050</v>
          </cell>
        </row>
        <row r="1454">
          <cell r="A1454">
            <v>8051</v>
          </cell>
        </row>
        <row r="1455">
          <cell r="A1455">
            <v>8052</v>
          </cell>
        </row>
        <row r="1456">
          <cell r="A1456">
            <v>8053</v>
          </cell>
        </row>
        <row r="1457">
          <cell r="A1457">
            <v>8054</v>
          </cell>
        </row>
        <row r="1458">
          <cell r="A1458">
            <v>8055</v>
          </cell>
        </row>
        <row r="1459">
          <cell r="A1459">
            <v>8056</v>
          </cell>
        </row>
        <row r="1460">
          <cell r="A1460">
            <v>8057</v>
          </cell>
        </row>
        <row r="1461">
          <cell r="A1461">
            <v>8058</v>
          </cell>
        </row>
        <row r="1462">
          <cell r="A1462">
            <v>8059</v>
          </cell>
        </row>
        <row r="1463">
          <cell r="A1463">
            <v>8060</v>
          </cell>
        </row>
        <row r="1464">
          <cell r="A1464">
            <v>8061</v>
          </cell>
        </row>
        <row r="1465">
          <cell r="A1465">
            <v>8062</v>
          </cell>
        </row>
        <row r="1466">
          <cell r="A1466">
            <v>8063</v>
          </cell>
        </row>
        <row r="1467">
          <cell r="A1467">
            <v>8064</v>
          </cell>
        </row>
        <row r="1468">
          <cell r="A1468">
            <v>8065</v>
          </cell>
        </row>
        <row r="1469">
          <cell r="A1469">
            <v>8066</v>
          </cell>
        </row>
        <row r="1470">
          <cell r="A1470">
            <v>8067</v>
          </cell>
        </row>
        <row r="1471">
          <cell r="A1471">
            <v>8068</v>
          </cell>
        </row>
        <row r="1472">
          <cell r="A1472">
            <v>8069</v>
          </cell>
        </row>
        <row r="1473">
          <cell r="A1473">
            <v>8070</v>
          </cell>
        </row>
        <row r="1474">
          <cell r="A1474">
            <v>8071</v>
          </cell>
        </row>
        <row r="1475">
          <cell r="A1475">
            <v>8072</v>
          </cell>
        </row>
        <row r="1476">
          <cell r="A1476">
            <v>8073</v>
          </cell>
        </row>
        <row r="1477">
          <cell r="A1477">
            <v>8074</v>
          </cell>
        </row>
        <row r="1478">
          <cell r="A1478">
            <v>8077</v>
          </cell>
        </row>
        <row r="1479">
          <cell r="A1479">
            <v>8078</v>
          </cell>
        </row>
        <row r="1480">
          <cell r="A1480">
            <v>8079</v>
          </cell>
        </row>
        <row r="1481">
          <cell r="A1481">
            <v>8080</v>
          </cell>
        </row>
        <row r="1482">
          <cell r="A1482">
            <v>8081</v>
          </cell>
        </row>
        <row r="1483">
          <cell r="A1483">
            <v>8082</v>
          </cell>
        </row>
        <row r="1484">
          <cell r="A1484">
            <v>8083</v>
          </cell>
        </row>
        <row r="1485">
          <cell r="A1485">
            <v>8084</v>
          </cell>
        </row>
        <row r="1486">
          <cell r="A1486">
            <v>8085</v>
          </cell>
        </row>
        <row r="1487">
          <cell r="A1487">
            <v>8086</v>
          </cell>
        </row>
        <row r="1488">
          <cell r="A1488">
            <v>8087</v>
          </cell>
        </row>
        <row r="1489">
          <cell r="A1489">
            <v>8088</v>
          </cell>
        </row>
        <row r="1490">
          <cell r="A1490">
            <v>8089</v>
          </cell>
        </row>
        <row r="1491">
          <cell r="A1491">
            <v>8090</v>
          </cell>
        </row>
        <row r="1492">
          <cell r="A1492">
            <v>8095</v>
          </cell>
        </row>
        <row r="1493">
          <cell r="A1493">
            <v>8096</v>
          </cell>
        </row>
        <row r="1494">
          <cell r="A1494">
            <v>8097</v>
          </cell>
        </row>
        <row r="1495">
          <cell r="A1495">
            <v>8098</v>
          </cell>
        </row>
        <row r="1496">
          <cell r="A1496">
            <v>8099</v>
          </cell>
        </row>
        <row r="1497">
          <cell r="A1497">
            <v>8100</v>
          </cell>
        </row>
        <row r="1498">
          <cell r="A1498">
            <v>8101</v>
          </cell>
        </row>
        <row r="1499">
          <cell r="A1499">
            <v>8102</v>
          </cell>
        </row>
        <row r="1500">
          <cell r="A1500">
            <v>8103</v>
          </cell>
        </row>
        <row r="1501">
          <cell r="A1501">
            <v>8104</v>
          </cell>
        </row>
        <row r="1502">
          <cell r="A1502">
            <v>8105</v>
          </cell>
        </row>
        <row r="1503">
          <cell r="A1503">
            <v>8106</v>
          </cell>
        </row>
        <row r="1504">
          <cell r="A1504">
            <v>9001</v>
          </cell>
        </row>
        <row r="1505">
          <cell r="A1505">
            <v>9002</v>
          </cell>
        </row>
        <row r="1506">
          <cell r="A1506">
            <v>9003</v>
          </cell>
        </row>
        <row r="1507">
          <cell r="A1507">
            <v>9004</v>
          </cell>
        </row>
        <row r="1508">
          <cell r="A1508">
            <v>9005</v>
          </cell>
        </row>
        <row r="1509">
          <cell r="A1509">
            <v>9006</v>
          </cell>
        </row>
        <row r="1510">
          <cell r="A1510">
            <v>9007</v>
          </cell>
        </row>
        <row r="1511">
          <cell r="A1511">
            <v>9008</v>
          </cell>
        </row>
        <row r="1512">
          <cell r="A1512">
            <v>10101</v>
          </cell>
        </row>
        <row r="1513">
          <cell r="A1513">
            <v>10102</v>
          </cell>
        </row>
        <row r="1514">
          <cell r="A1514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5001</v>
          </cell>
        </row>
        <row r="1502">
          <cell r="A1502">
            <v>5002</v>
          </cell>
        </row>
        <row r="1503">
          <cell r="A1503">
            <v>5003</v>
          </cell>
        </row>
        <row r="1504">
          <cell r="A1504">
            <v>5004</v>
          </cell>
        </row>
        <row r="1505">
          <cell r="A1505">
            <v>5005</v>
          </cell>
        </row>
        <row r="1506">
          <cell r="A1506">
            <v>5006</v>
          </cell>
        </row>
        <row r="1507">
          <cell r="A1507">
            <v>5007</v>
          </cell>
        </row>
        <row r="1508">
          <cell r="A1508">
            <v>5008</v>
          </cell>
        </row>
        <row r="1509">
          <cell r="A1509">
            <v>6001</v>
          </cell>
        </row>
        <row r="1510">
          <cell r="A1510">
            <v>6002</v>
          </cell>
        </row>
        <row r="1511">
          <cell r="A1511">
            <v>6003</v>
          </cell>
        </row>
        <row r="1512">
          <cell r="A1512">
            <v>6004</v>
          </cell>
        </row>
        <row r="1513">
          <cell r="A1513">
            <v>6005</v>
          </cell>
        </row>
        <row r="1514">
          <cell r="A1514">
            <v>6006</v>
          </cell>
        </row>
        <row r="1515">
          <cell r="A1515">
            <v>6007</v>
          </cell>
        </row>
        <row r="1516">
          <cell r="A1516">
            <v>6008</v>
          </cell>
        </row>
        <row r="1517">
          <cell r="A1517">
            <v>6009</v>
          </cell>
        </row>
        <row r="1518">
          <cell r="A1518">
            <v>6010</v>
          </cell>
        </row>
        <row r="1519">
          <cell r="A1519">
            <v>6011</v>
          </cell>
        </row>
        <row r="1520">
          <cell r="A1520">
            <v>6012</v>
          </cell>
        </row>
        <row r="1521">
          <cell r="A1521">
            <v>6013</v>
          </cell>
        </row>
        <row r="1522">
          <cell r="A1522">
            <v>6014</v>
          </cell>
        </row>
        <row r="1523">
          <cell r="A1523">
            <v>6015</v>
          </cell>
        </row>
        <row r="1524">
          <cell r="A1524">
            <v>6016</v>
          </cell>
        </row>
        <row r="1525">
          <cell r="A1525">
            <v>6017</v>
          </cell>
        </row>
        <row r="1526">
          <cell r="A1526">
            <v>6018</v>
          </cell>
        </row>
        <row r="1527">
          <cell r="A1527">
            <v>6019</v>
          </cell>
        </row>
        <row r="1528">
          <cell r="A1528">
            <v>6020</v>
          </cell>
        </row>
        <row r="1529">
          <cell r="A1529">
            <v>8001</v>
          </cell>
        </row>
        <row r="1530">
          <cell r="A1530">
            <v>8002</v>
          </cell>
        </row>
        <row r="1531">
          <cell r="A1531">
            <v>8003</v>
          </cell>
        </row>
        <row r="1532">
          <cell r="A1532">
            <v>8004</v>
          </cell>
        </row>
        <row r="1533">
          <cell r="A1533">
            <v>8005</v>
          </cell>
        </row>
        <row r="1534">
          <cell r="A1534">
            <v>8006</v>
          </cell>
        </row>
        <row r="1535">
          <cell r="A1535">
            <v>8007</v>
          </cell>
        </row>
        <row r="1536">
          <cell r="A1536">
            <v>8008</v>
          </cell>
        </row>
        <row r="1537">
          <cell r="A1537">
            <v>8009</v>
          </cell>
        </row>
        <row r="1538">
          <cell r="A1538">
            <v>8010</v>
          </cell>
        </row>
        <row r="1539">
          <cell r="A1539">
            <v>8011</v>
          </cell>
        </row>
        <row r="1540">
          <cell r="A1540">
            <v>8012</v>
          </cell>
        </row>
        <row r="1541">
          <cell r="A1541">
            <v>8013</v>
          </cell>
        </row>
        <row r="1542">
          <cell r="A1542">
            <v>8014</v>
          </cell>
        </row>
        <row r="1543">
          <cell r="A1543">
            <v>8015</v>
          </cell>
        </row>
        <row r="1544">
          <cell r="A1544">
            <v>8016</v>
          </cell>
        </row>
        <row r="1545">
          <cell r="A1545">
            <v>8017</v>
          </cell>
        </row>
        <row r="1546">
          <cell r="A1546">
            <v>8018</v>
          </cell>
        </row>
        <row r="1547">
          <cell r="A1547">
            <v>8019</v>
          </cell>
        </row>
        <row r="1548">
          <cell r="A1548">
            <v>8020</v>
          </cell>
        </row>
        <row r="1549">
          <cell r="A1549">
            <v>8021</v>
          </cell>
        </row>
        <row r="1550">
          <cell r="A1550">
            <v>8022</v>
          </cell>
        </row>
        <row r="1551">
          <cell r="A1551">
            <v>8023</v>
          </cell>
        </row>
        <row r="1552">
          <cell r="A1552">
            <v>8024</v>
          </cell>
        </row>
        <row r="1553">
          <cell r="A1553">
            <v>8025</v>
          </cell>
        </row>
        <row r="1554">
          <cell r="A1554">
            <v>8026</v>
          </cell>
        </row>
        <row r="1555">
          <cell r="A1555">
            <v>8027</v>
          </cell>
        </row>
        <row r="1556">
          <cell r="A1556">
            <v>8028</v>
          </cell>
        </row>
        <row r="1557">
          <cell r="A1557">
            <v>8029</v>
          </cell>
        </row>
        <row r="1558">
          <cell r="A1558">
            <v>8030</v>
          </cell>
        </row>
        <row r="1559">
          <cell r="A1559">
            <v>8031</v>
          </cell>
        </row>
        <row r="1560">
          <cell r="A1560">
            <v>8032</v>
          </cell>
        </row>
        <row r="1561">
          <cell r="A1561">
            <v>8033</v>
          </cell>
        </row>
        <row r="1562">
          <cell r="A1562">
            <v>8034</v>
          </cell>
        </row>
        <row r="1563">
          <cell r="A1563">
            <v>8035</v>
          </cell>
        </row>
        <row r="1564">
          <cell r="A1564">
            <v>8036</v>
          </cell>
        </row>
        <row r="1565">
          <cell r="A1565">
            <v>8037</v>
          </cell>
        </row>
        <row r="1566">
          <cell r="A1566">
            <v>8038</v>
          </cell>
        </row>
        <row r="1567">
          <cell r="A1567">
            <v>8039</v>
          </cell>
        </row>
        <row r="1568">
          <cell r="A1568">
            <v>8040</v>
          </cell>
        </row>
        <row r="1569">
          <cell r="A1569">
            <v>8041</v>
          </cell>
        </row>
        <row r="1570">
          <cell r="A1570">
            <v>8042</v>
          </cell>
        </row>
        <row r="1571">
          <cell r="A1571">
            <v>8043</v>
          </cell>
        </row>
        <row r="1572">
          <cell r="A1572">
            <v>8044</v>
          </cell>
        </row>
        <row r="1573">
          <cell r="A1573">
            <v>8045</v>
          </cell>
        </row>
        <row r="1574">
          <cell r="A1574">
            <v>8046</v>
          </cell>
        </row>
        <row r="1575">
          <cell r="A1575">
            <v>8047</v>
          </cell>
        </row>
        <row r="1576">
          <cell r="A1576">
            <v>8048</v>
          </cell>
        </row>
        <row r="1577">
          <cell r="A1577">
            <v>8049</v>
          </cell>
        </row>
        <row r="1578">
          <cell r="A1578">
            <v>8050</v>
          </cell>
        </row>
        <row r="1579">
          <cell r="A1579">
            <v>8051</v>
          </cell>
        </row>
        <row r="1580">
          <cell r="A1580">
            <v>8052</v>
          </cell>
        </row>
        <row r="1581">
          <cell r="A1581">
            <v>8053</v>
          </cell>
        </row>
        <row r="1582">
          <cell r="A1582">
            <v>8054</v>
          </cell>
        </row>
        <row r="1583">
          <cell r="A1583">
            <v>8055</v>
          </cell>
        </row>
        <row r="1584">
          <cell r="A1584">
            <v>8056</v>
          </cell>
        </row>
        <row r="1585">
          <cell r="A1585">
            <v>8057</v>
          </cell>
        </row>
        <row r="1586">
          <cell r="A1586">
            <v>8058</v>
          </cell>
        </row>
        <row r="1587">
          <cell r="A1587">
            <v>8059</v>
          </cell>
        </row>
        <row r="1588">
          <cell r="A1588">
            <v>8060</v>
          </cell>
        </row>
        <row r="1589">
          <cell r="A1589">
            <v>8061</v>
          </cell>
        </row>
        <row r="1590">
          <cell r="A1590">
            <v>8062</v>
          </cell>
        </row>
        <row r="1591">
          <cell r="A1591">
            <v>8063</v>
          </cell>
        </row>
        <row r="1592">
          <cell r="A1592">
            <v>8064</v>
          </cell>
        </row>
        <row r="1593">
          <cell r="A1593">
            <v>8065</v>
          </cell>
        </row>
        <row r="1594">
          <cell r="A1594">
            <v>8066</v>
          </cell>
        </row>
        <row r="1595">
          <cell r="A1595">
            <v>8067</v>
          </cell>
        </row>
        <row r="1596">
          <cell r="A1596">
            <v>8068</v>
          </cell>
        </row>
        <row r="1597">
          <cell r="A1597">
            <v>8069</v>
          </cell>
        </row>
        <row r="1598">
          <cell r="A1598">
            <v>8070</v>
          </cell>
        </row>
        <row r="1599">
          <cell r="A1599">
            <v>8071</v>
          </cell>
        </row>
        <row r="1600">
          <cell r="A1600">
            <v>8072</v>
          </cell>
        </row>
        <row r="1601">
          <cell r="A1601">
            <v>8073</v>
          </cell>
        </row>
        <row r="1602">
          <cell r="A1602">
            <v>8074</v>
          </cell>
        </row>
        <row r="1603">
          <cell r="A1603">
            <v>8075</v>
          </cell>
        </row>
        <row r="1604">
          <cell r="A1604">
            <v>8076</v>
          </cell>
        </row>
        <row r="1605">
          <cell r="A1605">
            <v>8077</v>
          </cell>
        </row>
        <row r="1606">
          <cell r="A1606">
            <v>8078</v>
          </cell>
        </row>
        <row r="1607">
          <cell r="A1607">
            <v>8079</v>
          </cell>
        </row>
        <row r="1608">
          <cell r="A1608">
            <v>8080</v>
          </cell>
        </row>
        <row r="1609">
          <cell r="A1609">
            <v>8081</v>
          </cell>
        </row>
        <row r="1610">
          <cell r="A1610">
            <v>8082</v>
          </cell>
        </row>
        <row r="1611">
          <cell r="A1611">
            <v>8083</v>
          </cell>
        </row>
        <row r="1612">
          <cell r="A1612">
            <v>8084</v>
          </cell>
        </row>
        <row r="1613">
          <cell r="A1613">
            <v>8085</v>
          </cell>
        </row>
        <row r="1614">
          <cell r="A1614">
            <v>8086</v>
          </cell>
        </row>
        <row r="1615">
          <cell r="A1615">
            <v>8087</v>
          </cell>
        </row>
        <row r="1616">
          <cell r="A1616">
            <v>8088</v>
          </cell>
        </row>
        <row r="1617">
          <cell r="A1617">
            <v>8089</v>
          </cell>
        </row>
        <row r="1618">
          <cell r="A1618">
            <v>8090</v>
          </cell>
        </row>
        <row r="1619">
          <cell r="A1619">
            <v>8095</v>
          </cell>
        </row>
        <row r="1620">
          <cell r="A1620">
            <v>8096</v>
          </cell>
        </row>
        <row r="1621">
          <cell r="A1621">
            <v>8097</v>
          </cell>
        </row>
        <row r="1622">
          <cell r="A1622">
            <v>8098</v>
          </cell>
        </row>
        <row r="1623">
          <cell r="A1623">
            <v>8099</v>
          </cell>
        </row>
        <row r="1624">
          <cell r="A1624">
            <v>8100</v>
          </cell>
        </row>
        <row r="1625">
          <cell r="A1625">
            <v>8101</v>
          </cell>
        </row>
        <row r="1626">
          <cell r="A1626">
            <v>8102</v>
          </cell>
        </row>
        <row r="1627">
          <cell r="A1627">
            <v>8103</v>
          </cell>
        </row>
        <row r="1628">
          <cell r="A1628">
            <v>8104</v>
          </cell>
        </row>
        <row r="1629">
          <cell r="A1629">
            <v>8105</v>
          </cell>
        </row>
        <row r="1630">
          <cell r="A1630">
            <v>8106</v>
          </cell>
        </row>
        <row r="1631">
          <cell r="A1631">
            <v>9001</v>
          </cell>
        </row>
        <row r="1632">
          <cell r="A1632">
            <v>9002</v>
          </cell>
        </row>
        <row r="1633">
          <cell r="A1633">
            <v>9003</v>
          </cell>
        </row>
        <row r="1634">
          <cell r="A1634">
            <v>9004</v>
          </cell>
        </row>
        <row r="1635">
          <cell r="A1635">
            <v>9005</v>
          </cell>
        </row>
        <row r="1636">
          <cell r="A1636">
            <v>9006</v>
          </cell>
        </row>
        <row r="1637">
          <cell r="A1637">
            <v>9007</v>
          </cell>
        </row>
        <row r="1638">
          <cell r="A1638">
            <v>9008</v>
          </cell>
        </row>
        <row r="1639">
          <cell r="A1639">
            <v>10001</v>
          </cell>
        </row>
        <row r="1640">
          <cell r="A1640">
            <v>10002</v>
          </cell>
        </row>
        <row r="1641">
          <cell r="A1641">
            <v>10003</v>
          </cell>
        </row>
        <row r="1642">
          <cell r="A1642">
            <v>10004</v>
          </cell>
        </row>
        <row r="1643">
          <cell r="A1643">
            <v>10005</v>
          </cell>
        </row>
        <row r="1644">
          <cell r="A1644">
            <v>10006</v>
          </cell>
        </row>
        <row r="1645">
          <cell r="A1645">
            <v>10007</v>
          </cell>
        </row>
        <row r="1646">
          <cell r="A1646">
            <v>10008</v>
          </cell>
        </row>
        <row r="1647">
          <cell r="A1647">
            <v>10009</v>
          </cell>
        </row>
        <row r="1648">
          <cell r="A1648">
            <v>10010</v>
          </cell>
        </row>
        <row r="1649">
          <cell r="A1649">
            <v>10011</v>
          </cell>
        </row>
        <row r="1650">
          <cell r="A1650">
            <v>10012</v>
          </cell>
        </row>
        <row r="1651">
          <cell r="A1651">
            <v>10013</v>
          </cell>
        </row>
        <row r="1652">
          <cell r="A1652">
            <v>10014</v>
          </cell>
        </row>
        <row r="1653">
          <cell r="A1653">
            <v>10015</v>
          </cell>
        </row>
        <row r="1654">
          <cell r="A1654">
            <v>10016</v>
          </cell>
        </row>
        <row r="1655">
          <cell r="A1655">
            <v>10017</v>
          </cell>
        </row>
        <row r="1656">
          <cell r="A1656">
            <v>10018</v>
          </cell>
        </row>
        <row r="1657">
          <cell r="A1657">
            <v>10019</v>
          </cell>
        </row>
        <row r="1658">
          <cell r="A1658">
            <v>10020</v>
          </cell>
        </row>
        <row r="1659">
          <cell r="A1659">
            <v>10021</v>
          </cell>
        </row>
        <row r="1660">
          <cell r="A1660">
            <v>10022</v>
          </cell>
        </row>
        <row r="1661">
          <cell r="A1661">
            <v>10023</v>
          </cell>
        </row>
        <row r="1662">
          <cell r="A1662">
            <v>10024</v>
          </cell>
        </row>
        <row r="1663">
          <cell r="A1663">
            <v>10025</v>
          </cell>
        </row>
        <row r="1664">
          <cell r="A1664">
            <v>10026</v>
          </cell>
        </row>
        <row r="1665">
          <cell r="A1665">
            <v>10027</v>
          </cell>
        </row>
        <row r="1666">
          <cell r="A1666">
            <v>10028</v>
          </cell>
        </row>
        <row r="1667">
          <cell r="A1667">
            <v>10029</v>
          </cell>
        </row>
        <row r="1668">
          <cell r="A1668">
            <v>10030</v>
          </cell>
        </row>
        <row r="1669">
          <cell r="A1669">
            <v>10031</v>
          </cell>
        </row>
        <row r="1670">
          <cell r="A1670">
            <v>10032</v>
          </cell>
        </row>
        <row r="1671">
          <cell r="A1671">
            <v>10033</v>
          </cell>
        </row>
        <row r="1672">
          <cell r="A1672">
            <v>10034</v>
          </cell>
        </row>
        <row r="1673">
          <cell r="A1673">
            <v>10035</v>
          </cell>
        </row>
        <row r="1674">
          <cell r="A1674">
            <v>10036</v>
          </cell>
        </row>
        <row r="1675">
          <cell r="A1675">
            <v>10037</v>
          </cell>
        </row>
        <row r="1676">
          <cell r="A1676">
            <v>10038</v>
          </cell>
        </row>
        <row r="1677">
          <cell r="A1677">
            <v>10039</v>
          </cell>
        </row>
        <row r="1678">
          <cell r="A1678">
            <v>10040</v>
          </cell>
        </row>
        <row r="1679">
          <cell r="A1679">
            <v>10041</v>
          </cell>
        </row>
        <row r="1680">
          <cell r="A1680">
            <v>10042</v>
          </cell>
        </row>
        <row r="1681">
          <cell r="A1681">
            <v>10043</v>
          </cell>
        </row>
        <row r="1682">
          <cell r="A1682">
            <v>10044</v>
          </cell>
        </row>
        <row r="1683">
          <cell r="A1683">
            <v>10045</v>
          </cell>
        </row>
        <row r="1684">
          <cell r="A1684">
            <v>10046</v>
          </cell>
        </row>
        <row r="1685">
          <cell r="A1685">
            <v>10047</v>
          </cell>
        </row>
        <row r="1686">
          <cell r="A1686">
            <v>10048</v>
          </cell>
        </row>
        <row r="1687">
          <cell r="A1687">
            <v>10049</v>
          </cell>
        </row>
        <row r="1688">
          <cell r="A1688">
            <v>10050</v>
          </cell>
        </row>
        <row r="1689">
          <cell r="A1689">
            <v>10051</v>
          </cell>
        </row>
        <row r="1690">
          <cell r="A1690">
            <v>10052</v>
          </cell>
        </row>
        <row r="1691">
          <cell r="A1691">
            <v>10053</v>
          </cell>
        </row>
        <row r="1692">
          <cell r="A1692">
            <v>10054</v>
          </cell>
        </row>
        <row r="1693">
          <cell r="A1693">
            <v>10055</v>
          </cell>
        </row>
        <row r="1694">
          <cell r="A1694">
            <v>10056</v>
          </cell>
        </row>
        <row r="1695">
          <cell r="A1695">
            <v>10057</v>
          </cell>
        </row>
        <row r="1696">
          <cell r="A1696">
            <v>10058</v>
          </cell>
        </row>
        <row r="1697">
          <cell r="A1697">
            <v>10059</v>
          </cell>
        </row>
        <row r="1698">
          <cell r="A1698">
            <v>10060</v>
          </cell>
        </row>
        <row r="1699">
          <cell r="A1699">
            <v>10061</v>
          </cell>
        </row>
        <row r="1700">
          <cell r="A1700">
            <v>10062</v>
          </cell>
        </row>
        <row r="1701">
          <cell r="A1701">
            <v>10063</v>
          </cell>
        </row>
        <row r="1702">
          <cell r="A1702">
            <v>10064</v>
          </cell>
        </row>
        <row r="1703">
          <cell r="A1703">
            <v>10065</v>
          </cell>
        </row>
        <row r="1704">
          <cell r="A1704">
            <v>10066</v>
          </cell>
        </row>
        <row r="1705">
          <cell r="A1705">
            <v>10067</v>
          </cell>
        </row>
        <row r="1706">
          <cell r="A1706">
            <v>10068</v>
          </cell>
        </row>
        <row r="1707">
          <cell r="A1707">
            <v>10069</v>
          </cell>
        </row>
        <row r="1708">
          <cell r="A1708">
            <v>10070</v>
          </cell>
        </row>
        <row r="1709">
          <cell r="A1709">
            <v>10071</v>
          </cell>
        </row>
        <row r="1710">
          <cell r="A1710">
            <v>10072</v>
          </cell>
        </row>
        <row r="1711">
          <cell r="A1711">
            <v>10073</v>
          </cell>
        </row>
        <row r="1712">
          <cell r="A1712">
            <v>10074</v>
          </cell>
        </row>
        <row r="1713">
          <cell r="A1713">
            <v>10075</v>
          </cell>
        </row>
        <row r="1714">
          <cell r="A1714">
            <v>10076</v>
          </cell>
        </row>
        <row r="1715">
          <cell r="A1715">
            <v>10077</v>
          </cell>
        </row>
        <row r="1716">
          <cell r="A1716">
            <v>10078</v>
          </cell>
        </row>
        <row r="1717">
          <cell r="A1717">
            <v>10079</v>
          </cell>
        </row>
        <row r="1718">
          <cell r="A1718">
            <v>10080</v>
          </cell>
        </row>
        <row r="1719">
          <cell r="A1719">
            <v>10081</v>
          </cell>
        </row>
        <row r="1720">
          <cell r="A1720">
            <v>10082</v>
          </cell>
        </row>
        <row r="1721">
          <cell r="A1721">
            <v>10083</v>
          </cell>
        </row>
        <row r="1722">
          <cell r="A1722">
            <v>10084</v>
          </cell>
        </row>
        <row r="1723">
          <cell r="A1723">
            <v>10085</v>
          </cell>
        </row>
        <row r="1724">
          <cell r="A1724">
            <v>10086</v>
          </cell>
        </row>
        <row r="1725">
          <cell r="A1725">
            <v>10087</v>
          </cell>
        </row>
        <row r="1726">
          <cell r="A1726">
            <v>10088</v>
          </cell>
        </row>
        <row r="1727">
          <cell r="A1727">
            <v>10089</v>
          </cell>
        </row>
        <row r="1728">
          <cell r="A1728">
            <v>10090</v>
          </cell>
        </row>
        <row r="1729">
          <cell r="A1729">
            <v>10101</v>
          </cell>
        </row>
        <row r="1730">
          <cell r="A1730">
            <v>10102</v>
          </cell>
        </row>
        <row r="1731">
          <cell r="A1731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D22" sqref="D2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0" t="s">
        <v>126</v>
      </c>
      <c r="B1" s="45" t="s">
        <v>96</v>
      </c>
      <c r="C1" s="45" t="s">
        <v>97</v>
      </c>
      <c r="D1" s="45" t="s">
        <v>98</v>
      </c>
      <c r="E1" s="45" t="s">
        <v>99</v>
      </c>
      <c r="F1" s="45" t="s">
        <v>100</v>
      </c>
      <c r="G1" s="45" t="s">
        <v>101</v>
      </c>
      <c r="H1" s="45"/>
      <c r="I1" s="45"/>
      <c r="J1" s="45"/>
      <c r="K1" s="45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</row>
    <row r="2" spans="1:30" x14ac:dyDescent="0.15">
      <c r="A2" s="51" t="s">
        <v>354</v>
      </c>
      <c r="B2" s="47" t="s">
        <v>102</v>
      </c>
      <c r="C2" s="52">
        <v>41005</v>
      </c>
      <c r="D2" s="47" t="s">
        <v>103</v>
      </c>
      <c r="E2" s="46" t="str">
        <f t="shared" ref="E2:E12" si="0">B2&amp;C2&amp;D2</f>
        <v>floors_41005.tmp</v>
      </c>
      <c r="F2" s="47" t="s">
        <v>104</v>
      </c>
      <c r="G2" s="48" t="s">
        <v>0</v>
      </c>
      <c r="H2" s="48" t="s">
        <v>1</v>
      </c>
      <c r="I2" s="48" t="s">
        <v>13</v>
      </c>
      <c r="J2" s="48" t="s">
        <v>14</v>
      </c>
      <c r="K2" s="48" t="s">
        <v>15</v>
      </c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</row>
    <row r="3" spans="1:30" x14ac:dyDescent="0.15">
      <c r="A3" s="51" t="s">
        <v>354</v>
      </c>
      <c r="B3" s="47" t="s">
        <v>105</v>
      </c>
      <c r="C3" s="52">
        <f>C$2</f>
        <v>41005</v>
      </c>
      <c r="D3" s="47" t="s">
        <v>103</v>
      </c>
      <c r="E3" s="46" t="str">
        <f t="shared" si="0"/>
        <v>enemy_habitats_41005.tmp</v>
      </c>
      <c r="F3" s="47" t="s">
        <v>106</v>
      </c>
      <c r="G3" s="48" t="s">
        <v>0</v>
      </c>
      <c r="H3" s="48" t="s">
        <v>1</v>
      </c>
      <c r="I3" s="48" t="s">
        <v>13</v>
      </c>
      <c r="J3" s="48" t="s">
        <v>2</v>
      </c>
      <c r="K3" s="48" t="s">
        <v>3</v>
      </c>
      <c r="L3" s="48" t="s">
        <v>47</v>
      </c>
      <c r="M3" s="48" t="s">
        <v>49</v>
      </c>
      <c r="N3" s="48" t="s">
        <v>51</v>
      </c>
      <c r="O3" s="48" t="s">
        <v>22</v>
      </c>
      <c r="P3" s="48" t="s">
        <v>5</v>
      </c>
      <c r="Q3" s="48" t="s">
        <v>6</v>
      </c>
      <c r="R3" s="48" t="s">
        <v>7</v>
      </c>
      <c r="S3" s="48" t="s">
        <v>8</v>
      </c>
      <c r="T3" s="48" t="s">
        <v>9</v>
      </c>
      <c r="U3" s="48" t="s">
        <v>10</v>
      </c>
      <c r="V3" s="48" t="s">
        <v>11</v>
      </c>
      <c r="W3" s="48" t="s">
        <v>12</v>
      </c>
      <c r="X3" s="48" t="s">
        <v>37</v>
      </c>
      <c r="Y3" s="48" t="s">
        <v>39</v>
      </c>
      <c r="Z3" s="48" t="s">
        <v>41</v>
      </c>
      <c r="AA3" s="48" t="s">
        <v>43</v>
      </c>
      <c r="AB3" s="48" t="s">
        <v>45</v>
      </c>
      <c r="AC3" s="48" t="s">
        <v>54</v>
      </c>
      <c r="AD3" s="48" t="s">
        <v>174</v>
      </c>
    </row>
    <row r="4" spans="1:30" x14ac:dyDescent="0.15">
      <c r="A4" s="51" t="s">
        <v>354</v>
      </c>
      <c r="B4" s="47" t="s">
        <v>107</v>
      </c>
      <c r="C4" s="52">
        <f t="shared" ref="C4:C12" si="1">C$2</f>
        <v>41005</v>
      </c>
      <c r="D4" s="47" t="s">
        <v>103</v>
      </c>
      <c r="E4" s="46" t="str">
        <f t="shared" si="0"/>
        <v>enemy_habitat_S_41005.tmp</v>
      </c>
      <c r="F4" s="47" t="s">
        <v>108</v>
      </c>
      <c r="G4" s="48" t="s">
        <v>0</v>
      </c>
      <c r="H4" s="48" t="s">
        <v>1</v>
      </c>
      <c r="I4" s="48" t="s">
        <v>13</v>
      </c>
      <c r="J4" s="48" t="s">
        <v>54</v>
      </c>
      <c r="K4" s="48" t="s">
        <v>55</v>
      </c>
      <c r="L4" s="48" t="s">
        <v>56</v>
      </c>
      <c r="M4" s="48" t="s">
        <v>57</v>
      </c>
      <c r="N4" s="48" t="s">
        <v>58</v>
      </c>
      <c r="O4" s="48" t="s">
        <v>59</v>
      </c>
      <c r="P4" s="48" t="s">
        <v>48</v>
      </c>
      <c r="Q4" s="48" t="s">
        <v>50</v>
      </c>
      <c r="R4" s="48" t="s">
        <v>52</v>
      </c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</row>
    <row r="5" spans="1:30" x14ac:dyDescent="0.15">
      <c r="A5" s="51" t="s">
        <v>354</v>
      </c>
      <c r="B5" s="47" t="s">
        <v>109</v>
      </c>
      <c r="C5" s="52">
        <f t="shared" si="1"/>
        <v>41005</v>
      </c>
      <c r="D5" s="47" t="s">
        <v>103</v>
      </c>
      <c r="E5" s="46" t="str">
        <f t="shared" si="0"/>
        <v>enemy_skill_sets_41005.tmp</v>
      </c>
      <c r="F5" s="47" t="s">
        <v>110</v>
      </c>
      <c r="G5" s="49" t="s">
        <v>22</v>
      </c>
      <c r="H5" s="49" t="s">
        <v>95</v>
      </c>
      <c r="I5" s="49" t="s">
        <v>90</v>
      </c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</row>
    <row r="6" spans="1:30" x14ac:dyDescent="0.15">
      <c r="A6" s="51" t="s">
        <v>354</v>
      </c>
      <c r="B6" s="47" t="s">
        <v>111</v>
      </c>
      <c r="C6" s="52">
        <f t="shared" si="1"/>
        <v>41005</v>
      </c>
      <c r="D6" s="47" t="s">
        <v>112</v>
      </c>
      <c r="E6" s="46" t="str">
        <f t="shared" si="0"/>
        <v>enemy_skills_tmp_41005.tmp</v>
      </c>
      <c r="F6" s="47" t="s">
        <v>86</v>
      </c>
      <c r="G6" s="48" t="s">
        <v>78</v>
      </c>
      <c r="H6" s="48" t="s">
        <v>79</v>
      </c>
      <c r="I6" s="48" t="s">
        <v>80</v>
      </c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</row>
    <row r="7" spans="1:30" x14ac:dyDescent="0.15">
      <c r="A7" s="51" t="s">
        <v>354</v>
      </c>
      <c r="B7" s="47" t="s">
        <v>113</v>
      </c>
      <c r="C7" s="52">
        <f t="shared" si="1"/>
        <v>41005</v>
      </c>
      <c r="D7" s="47" t="s">
        <v>103</v>
      </c>
      <c r="E7" s="46" t="str">
        <f t="shared" si="0"/>
        <v>enemy_skills_i18n_41005.tmp</v>
      </c>
      <c r="F7" s="47" t="s">
        <v>114</v>
      </c>
      <c r="G7" s="48" t="s">
        <v>78</v>
      </c>
      <c r="H7" s="48" t="s">
        <v>87</v>
      </c>
      <c r="I7" s="48" t="s">
        <v>88</v>
      </c>
      <c r="J7" s="48" t="s">
        <v>89</v>
      </c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</row>
    <row r="8" spans="1:30" x14ac:dyDescent="0.15">
      <c r="A8" s="51" t="s">
        <v>354</v>
      </c>
      <c r="B8" s="47" t="s">
        <v>115</v>
      </c>
      <c r="C8" s="52">
        <f t="shared" si="1"/>
        <v>41005</v>
      </c>
      <c r="D8" s="47" t="s">
        <v>116</v>
      </c>
      <c r="E8" s="46" t="str">
        <f t="shared" si="0"/>
        <v>enemy_skill_triggers_41005.tmp</v>
      </c>
      <c r="F8" s="47" t="s">
        <v>117</v>
      </c>
      <c r="G8" s="48" t="s">
        <v>90</v>
      </c>
      <c r="H8" s="48" t="s">
        <v>91</v>
      </c>
      <c r="I8" s="48" t="s">
        <v>92</v>
      </c>
      <c r="J8" s="48" t="s">
        <v>93</v>
      </c>
      <c r="K8" s="48" t="s">
        <v>118</v>
      </c>
      <c r="L8" s="48" t="s">
        <v>94</v>
      </c>
      <c r="M8" s="48" t="s">
        <v>119</v>
      </c>
      <c r="N8" s="48" t="s">
        <v>120</v>
      </c>
      <c r="O8" s="48" t="s">
        <v>121</v>
      </c>
      <c r="P8" s="48" t="s">
        <v>67</v>
      </c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</row>
    <row r="9" spans="1:30" x14ac:dyDescent="0.15">
      <c r="A9" s="51" t="s">
        <v>354</v>
      </c>
      <c r="B9" s="57" t="s">
        <v>173</v>
      </c>
      <c r="C9" s="52">
        <f t="shared" si="1"/>
        <v>41005</v>
      </c>
      <c r="D9" s="57" t="s">
        <v>167</v>
      </c>
      <c r="E9" s="58" t="str">
        <f t="shared" si="0"/>
        <v>stage_bug_bonuses_41005.tmp</v>
      </c>
      <c r="F9" s="57" t="s">
        <v>168</v>
      </c>
      <c r="G9" s="54" t="s">
        <v>146</v>
      </c>
      <c r="H9" s="54" t="s">
        <v>169</v>
      </c>
      <c r="I9" s="54" t="s">
        <v>170</v>
      </c>
      <c r="J9" s="56" t="s">
        <v>171</v>
      </c>
      <c r="K9" s="54" t="s">
        <v>172</v>
      </c>
      <c r="L9" s="54" t="s">
        <v>152</v>
      </c>
      <c r="M9" s="54" t="s">
        <v>153</v>
      </c>
      <c r="N9" s="54" t="s">
        <v>154</v>
      </c>
      <c r="O9" s="54" t="s">
        <v>155</v>
      </c>
      <c r="P9" s="54" t="s">
        <v>156</v>
      </c>
      <c r="Q9" s="54" t="s">
        <v>157</v>
      </c>
      <c r="R9" s="54" t="s">
        <v>158</v>
      </c>
      <c r="S9" s="54" t="s">
        <v>159</v>
      </c>
      <c r="T9" s="54" t="s">
        <v>160</v>
      </c>
      <c r="U9" s="54" t="s">
        <v>161</v>
      </c>
      <c r="V9" s="54" t="s">
        <v>162</v>
      </c>
      <c r="W9" s="54" t="s">
        <v>163</v>
      </c>
    </row>
    <row r="10" spans="1:30" s="65" customFormat="1" x14ac:dyDescent="0.15">
      <c r="A10" s="51" t="s">
        <v>354</v>
      </c>
      <c r="B10" s="57" t="s">
        <v>197</v>
      </c>
      <c r="C10" s="52">
        <f>C$2</f>
        <v>41005</v>
      </c>
      <c r="D10" s="57" t="s">
        <v>176</v>
      </c>
      <c r="E10" s="58" t="str">
        <f t="shared" si="0"/>
        <v>stage_hints_data_c_41005.tmp</v>
      </c>
      <c r="F10" s="57" t="s">
        <v>205</v>
      </c>
      <c r="G10" s="62" t="s">
        <v>177</v>
      </c>
      <c r="H10" s="62" t="s">
        <v>169</v>
      </c>
      <c r="I10" s="63" t="s">
        <v>178</v>
      </c>
      <c r="J10" s="56" t="s">
        <v>179</v>
      </c>
      <c r="K10" s="64" t="s">
        <v>180</v>
      </c>
    </row>
    <row r="11" spans="1:30" s="65" customFormat="1" x14ac:dyDescent="0.15">
      <c r="A11" s="51" t="s">
        <v>354</v>
      </c>
      <c r="B11" s="57" t="s">
        <v>198</v>
      </c>
      <c r="C11" s="52">
        <f t="shared" si="1"/>
        <v>41005</v>
      </c>
      <c r="D11" s="57" t="s">
        <v>167</v>
      </c>
      <c r="E11" s="58" t="str">
        <f t="shared" si="0"/>
        <v>stage_hints_data_f_41005.tmp</v>
      </c>
      <c r="F11" s="57" t="s">
        <v>207</v>
      </c>
      <c r="G11" s="62" t="s">
        <v>177</v>
      </c>
      <c r="H11" s="62" t="s">
        <v>169</v>
      </c>
      <c r="I11" s="63" t="s">
        <v>178</v>
      </c>
      <c r="J11" s="56" t="s">
        <v>179</v>
      </c>
      <c r="K11" s="64" t="s">
        <v>180</v>
      </c>
    </row>
    <row r="12" spans="1:30" s="65" customFormat="1" x14ac:dyDescent="0.15">
      <c r="A12" s="51" t="s">
        <v>354</v>
      </c>
      <c r="B12" s="57" t="s">
        <v>199</v>
      </c>
      <c r="C12" s="52">
        <f t="shared" si="1"/>
        <v>41005</v>
      </c>
      <c r="D12" s="57" t="s">
        <v>167</v>
      </c>
      <c r="E12" s="58" t="str">
        <f t="shared" si="0"/>
        <v>stage_hints_i18n_41005.tmp</v>
      </c>
      <c r="F12" s="57" t="s">
        <v>208</v>
      </c>
      <c r="G12" s="63" t="s">
        <v>200</v>
      </c>
      <c r="H12" s="85" t="s">
        <v>201</v>
      </c>
      <c r="I12" s="62" t="s">
        <v>202</v>
      </c>
      <c r="J12" s="86" t="s">
        <v>203</v>
      </c>
      <c r="K12" s="64" t="s">
        <v>204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J2" sqref="J2:K13"/>
    </sheetView>
  </sheetViews>
  <sheetFormatPr baseColWidth="12" defaultColWidth="13" defaultRowHeight="21" customHeight="1" outlineLevelCol="1" x14ac:dyDescent="0.15"/>
  <cols>
    <col min="1" max="1" width="8.83203125" style="16" bestFit="1" customWidth="1"/>
    <col min="2" max="2" width="5" style="16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6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3" t="s">
        <v>30</v>
      </c>
      <c r="B1" s="13" t="s">
        <v>36</v>
      </c>
      <c r="C1" s="1" t="s">
        <v>0</v>
      </c>
      <c r="D1" s="2" t="s">
        <v>18</v>
      </c>
      <c r="E1" s="12" t="s">
        <v>33</v>
      </c>
      <c r="F1" s="1" t="s">
        <v>1</v>
      </c>
      <c r="G1" s="18" t="s">
        <v>32</v>
      </c>
      <c r="H1" s="12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3" t="str">
        <f t="shared" ref="A2:A13" si="0">G2&amp;"-"&amp;I2</f>
        <v>41005_1-1</v>
      </c>
      <c r="B2" s="13" t="str">
        <f>IF(COUNTIF(enemy_habitats!$H:$H,A2),"OK","NG")</f>
        <v>OK</v>
      </c>
      <c r="C2" s="5">
        <v>41005</v>
      </c>
      <c r="D2" s="8" t="str">
        <f ca="1">VLOOKUP($C2,OFFSET([2]quests!$A$1,0,0,COUNTA([2]quests!$A:$A),MATCH(D$1,[2]quests!$1:$1,0)-MATCH($C$1,[2]quests!$1:$1,0)+1),MATCH(D$1,[2]quests!$1:$1,0)-MATCH($C$1,[2]quests!$1:$1,0)+1,FALSE)</f>
        <v>オズ襲来！</v>
      </c>
      <c r="E2" s="15" t="str">
        <f ca="1">VLOOKUP($C2,OFFSET([2]quests!$A$1,0,0,COUNTA([2]quests!$A:$A),MATCH(E$1,[2]quests!$1:$1,0)-MATCH($C$1,[2]quests!$1:$1,0)+1),MATCH(E$1,[2]quests!$1:$1,0)-MATCH($C$1,[2]quests!$1:$1,0)+1,FALSE)</f>
        <v>降臨1</v>
      </c>
      <c r="F2" s="17">
        <v>1</v>
      </c>
      <c r="G2" s="18" t="str">
        <f t="shared" ref="G2:G13" si="1">C2&amp;"_"&amp;F2</f>
        <v>41005_1</v>
      </c>
      <c r="H2" s="12" t="str">
        <f ca="1">VLOOKUP($G2,OFFSET([2]stages!$A$1,0,0,COUNTA([2]stages!$A:$A),MATCH(H$1,[2]stages!$2:$2,0)-MATCH($G$1,[2]stages!$2:$2,0)+1),MATCH(H$1,[2]stages!$2:$2,0)-MATCH($G$1,[2]stages!$2:$2,0)+1,FALSE)</f>
        <v>【超絶級】オズ襲来</v>
      </c>
      <c r="I2" s="17">
        <v>1</v>
      </c>
      <c r="J2" s="9">
        <v>60</v>
      </c>
      <c r="K2" s="9">
        <v>60</v>
      </c>
    </row>
    <row r="3" spans="1:11" ht="21" customHeight="1" x14ac:dyDescent="0.15">
      <c r="A3" s="13" t="str">
        <f t="shared" si="0"/>
        <v>41005_1-2</v>
      </c>
      <c r="B3" s="13" t="str">
        <f>IF(COUNTIF(enemy_habitats!$H:$H,A3),"OK","NG")</f>
        <v>OK</v>
      </c>
      <c r="C3" s="5">
        <v>41005</v>
      </c>
      <c r="D3" s="8" t="str">
        <f ca="1">VLOOKUP($C3,OFFSET([2]quests!$A$1,0,0,COUNTA([2]quests!$A:$A),MATCH(D$1,[2]quests!$1:$1,0)-MATCH($C$1,[2]quests!$1:$1,0)+1),MATCH(D$1,[2]quests!$1:$1,0)-MATCH($C$1,[2]quests!$1:$1,0)+1,FALSE)</f>
        <v>オズ襲来！</v>
      </c>
      <c r="E3" s="15" t="str">
        <f ca="1">VLOOKUP($C3,OFFSET([2]quests!$A$1,0,0,COUNTA([2]quests!$A:$A),MATCH(E$1,[2]quests!$1:$1,0)-MATCH($C$1,[2]quests!$1:$1,0)+1),MATCH(E$1,[2]quests!$1:$1,0)-MATCH($C$1,[2]quests!$1:$1,0)+1,FALSE)</f>
        <v>降臨1</v>
      </c>
      <c r="F3" s="17">
        <v>1</v>
      </c>
      <c r="G3" s="18" t="str">
        <f t="shared" si="1"/>
        <v>41005_1</v>
      </c>
      <c r="H3" s="12" t="str">
        <f ca="1">VLOOKUP($G3,OFFSET([2]stages!$A$1,0,0,COUNTA([2]stages!$A:$A),MATCH(H$1,[2]stages!$2:$2,0)-MATCH($G$1,[2]stages!$2:$2,0)+1),MATCH(H$1,[2]stages!$2:$2,0)-MATCH($G$1,[2]stages!$2:$2,0)+1,FALSE)</f>
        <v>【超絶級】オズ襲来</v>
      </c>
      <c r="I3" s="17">
        <v>2</v>
      </c>
      <c r="J3" s="9">
        <v>60</v>
      </c>
      <c r="K3" s="9">
        <v>60</v>
      </c>
    </row>
    <row r="4" spans="1:11" ht="21" customHeight="1" x14ac:dyDescent="0.15">
      <c r="A4" s="13" t="str">
        <f t="shared" si="0"/>
        <v>41005_1-3</v>
      </c>
      <c r="B4" s="13" t="str">
        <f>IF(COUNTIF(enemy_habitats!$H:$H,A4),"OK","NG")</f>
        <v>OK</v>
      </c>
      <c r="C4" s="5">
        <v>41005</v>
      </c>
      <c r="D4" s="8" t="str">
        <f ca="1">VLOOKUP($C4,OFFSET([2]quests!$A$1,0,0,COUNTA([2]quests!$A:$A),MATCH(D$1,[2]quests!$1:$1,0)-MATCH($C$1,[2]quests!$1:$1,0)+1),MATCH(D$1,[2]quests!$1:$1,0)-MATCH($C$1,[2]quests!$1:$1,0)+1,FALSE)</f>
        <v>オズ襲来！</v>
      </c>
      <c r="E4" s="15" t="str">
        <f ca="1">VLOOKUP($C4,OFFSET([2]quests!$A$1,0,0,COUNTA([2]quests!$A:$A),MATCH(E$1,[2]quests!$1:$1,0)-MATCH($C$1,[2]quests!$1:$1,0)+1),MATCH(E$1,[2]quests!$1:$1,0)-MATCH($C$1,[2]quests!$1:$1,0)+1,FALSE)</f>
        <v>降臨1</v>
      </c>
      <c r="F4" s="17">
        <v>1</v>
      </c>
      <c r="G4" s="18" t="str">
        <f t="shared" si="1"/>
        <v>41005_1</v>
      </c>
      <c r="H4" s="12" t="str">
        <f ca="1">VLOOKUP($G4,OFFSET([2]stages!$A$1,0,0,COUNTA([2]stages!$A:$A),MATCH(H$1,[2]stages!$2:$2,0)-MATCH($G$1,[2]stages!$2:$2,0)+1),MATCH(H$1,[2]stages!$2:$2,0)-MATCH($G$1,[2]stages!$2:$2,0)+1,FALSE)</f>
        <v>【超絶級】オズ襲来</v>
      </c>
      <c r="I4" s="17">
        <v>3</v>
      </c>
      <c r="J4" s="9">
        <v>60</v>
      </c>
      <c r="K4" s="9">
        <v>60</v>
      </c>
    </row>
    <row r="5" spans="1:11" ht="21" customHeight="1" x14ac:dyDescent="0.15">
      <c r="A5" s="13" t="str">
        <f t="shared" si="0"/>
        <v>41005_1-4</v>
      </c>
      <c r="B5" s="13" t="str">
        <f>IF(COUNTIF(enemy_habitats!$H:$H,A5),"OK","NG")</f>
        <v>OK</v>
      </c>
      <c r="C5" s="5">
        <v>41005</v>
      </c>
      <c r="D5" s="8" t="str">
        <f ca="1">VLOOKUP($C5,OFFSET([2]quests!$A$1,0,0,COUNTA([2]quests!$A:$A),MATCH(D$1,[2]quests!$1:$1,0)-MATCH($C$1,[2]quests!$1:$1,0)+1),MATCH(D$1,[2]quests!$1:$1,0)-MATCH($C$1,[2]quests!$1:$1,0)+1,FALSE)</f>
        <v>オズ襲来！</v>
      </c>
      <c r="E5" s="15" t="str">
        <f ca="1">VLOOKUP($C5,OFFSET([2]quests!$A$1,0,0,COUNTA([2]quests!$A:$A),MATCH(E$1,[2]quests!$1:$1,0)-MATCH($C$1,[2]quests!$1:$1,0)+1),MATCH(E$1,[2]quests!$1:$1,0)-MATCH($C$1,[2]quests!$1:$1,0)+1,FALSE)</f>
        <v>降臨1</v>
      </c>
      <c r="F5" s="17">
        <v>1</v>
      </c>
      <c r="G5" s="18" t="str">
        <f t="shared" si="1"/>
        <v>41005_1</v>
      </c>
      <c r="H5" s="12" t="str">
        <f ca="1">VLOOKUP($G5,OFFSET([2]stages!$A$1,0,0,COUNTA([2]stages!$A:$A),MATCH(H$1,[2]stages!$2:$2,0)-MATCH($G$1,[2]stages!$2:$2,0)+1),MATCH(H$1,[2]stages!$2:$2,0)-MATCH($G$1,[2]stages!$2:$2,0)+1,FALSE)</f>
        <v>【超絶級】オズ襲来</v>
      </c>
      <c r="I5" s="17">
        <v>4</v>
      </c>
      <c r="J5" s="9">
        <v>60</v>
      </c>
      <c r="K5" s="9">
        <v>60</v>
      </c>
    </row>
    <row r="6" spans="1:11" ht="21" customHeight="1" x14ac:dyDescent="0.15">
      <c r="A6" s="13" t="str">
        <f t="shared" si="0"/>
        <v>41005_2-1</v>
      </c>
      <c r="B6" s="13" t="str">
        <f>IF(COUNTIF(enemy_habitats!$H:$H,A6),"OK","NG")</f>
        <v>OK</v>
      </c>
      <c r="C6" s="5">
        <v>41005</v>
      </c>
      <c r="D6" s="8" t="str">
        <f ca="1">VLOOKUP($C6,OFFSET([2]quests!$A$1,0,0,COUNTA([2]quests!$A:$A),MATCH(D$1,[2]quests!$1:$1,0)-MATCH($C$1,[2]quests!$1:$1,0)+1),MATCH(D$1,[2]quests!$1:$1,0)-MATCH($C$1,[2]quests!$1:$1,0)+1,FALSE)</f>
        <v>オズ襲来！</v>
      </c>
      <c r="E6" s="15" t="str">
        <f ca="1">VLOOKUP($C6,OFFSET([2]quests!$A$1,0,0,COUNTA([2]quests!$A:$A),MATCH(E$1,[2]quests!$1:$1,0)-MATCH($C$1,[2]quests!$1:$1,0)+1),MATCH(E$1,[2]quests!$1:$1,0)-MATCH($C$1,[2]quests!$1:$1,0)+1,FALSE)</f>
        <v>降臨1</v>
      </c>
      <c r="F6" s="17">
        <v>2</v>
      </c>
      <c r="G6" s="18" t="str">
        <f t="shared" si="1"/>
        <v>41005_2</v>
      </c>
      <c r="H6" s="12" t="str">
        <f ca="1">VLOOKUP($G6,OFFSET([2]stages!$A$1,0,0,COUNTA([2]stages!$A:$A),MATCH(H$1,[2]stages!$2:$2,0)-MATCH($G$1,[2]stages!$2:$2,0)+1),MATCH(H$1,[2]stages!$2:$2,0)-MATCH($G$1,[2]stages!$2:$2,0)+1,FALSE)</f>
        <v>【ウィザード級】オズ襲来</v>
      </c>
      <c r="I6" s="17">
        <v>1</v>
      </c>
      <c r="J6" s="9">
        <v>60</v>
      </c>
      <c r="K6" s="9">
        <v>60</v>
      </c>
    </row>
    <row r="7" spans="1:11" ht="21" customHeight="1" x14ac:dyDescent="0.15">
      <c r="A7" s="13" t="str">
        <f t="shared" si="0"/>
        <v>41005_2-2</v>
      </c>
      <c r="B7" s="13" t="str">
        <f>IF(COUNTIF(enemy_habitats!$H:$H,A7),"OK","NG")</f>
        <v>OK</v>
      </c>
      <c r="C7" s="5">
        <v>41005</v>
      </c>
      <c r="D7" s="8" t="str">
        <f ca="1">VLOOKUP($C7,OFFSET([2]quests!$A$1,0,0,COUNTA([2]quests!$A:$A),MATCH(D$1,[2]quests!$1:$1,0)-MATCH($C$1,[2]quests!$1:$1,0)+1),MATCH(D$1,[2]quests!$1:$1,0)-MATCH($C$1,[2]quests!$1:$1,0)+1,FALSE)</f>
        <v>オズ襲来！</v>
      </c>
      <c r="E7" s="15" t="str">
        <f ca="1">VLOOKUP($C7,OFFSET([2]quests!$A$1,0,0,COUNTA([2]quests!$A:$A),MATCH(E$1,[2]quests!$1:$1,0)-MATCH($C$1,[2]quests!$1:$1,0)+1),MATCH(E$1,[2]quests!$1:$1,0)-MATCH($C$1,[2]quests!$1:$1,0)+1,FALSE)</f>
        <v>降臨1</v>
      </c>
      <c r="F7" s="17">
        <v>2</v>
      </c>
      <c r="G7" s="18" t="str">
        <f t="shared" si="1"/>
        <v>41005_2</v>
      </c>
      <c r="H7" s="12" t="str">
        <f ca="1">VLOOKUP($G7,OFFSET([2]stages!$A$1,0,0,COUNTA([2]stages!$A:$A),MATCH(H$1,[2]stages!$2:$2,0)-MATCH($G$1,[2]stages!$2:$2,0)+1),MATCH(H$1,[2]stages!$2:$2,0)-MATCH($G$1,[2]stages!$2:$2,0)+1,FALSE)</f>
        <v>【ウィザード級】オズ襲来</v>
      </c>
      <c r="I7" s="17">
        <v>2</v>
      </c>
      <c r="J7" s="9">
        <v>60</v>
      </c>
      <c r="K7" s="9">
        <v>60</v>
      </c>
    </row>
    <row r="8" spans="1:11" ht="21" customHeight="1" x14ac:dyDescent="0.15">
      <c r="A8" s="13" t="str">
        <f t="shared" si="0"/>
        <v>41005_2-3</v>
      </c>
      <c r="B8" s="13" t="str">
        <f>IF(COUNTIF(enemy_habitats!$H:$H,A8),"OK","NG")</f>
        <v>OK</v>
      </c>
      <c r="C8" s="5">
        <v>41005</v>
      </c>
      <c r="D8" s="8" t="str">
        <f ca="1">VLOOKUP($C8,OFFSET([2]quests!$A$1,0,0,COUNTA([2]quests!$A:$A),MATCH(D$1,[2]quests!$1:$1,0)-MATCH($C$1,[2]quests!$1:$1,0)+1),MATCH(D$1,[2]quests!$1:$1,0)-MATCH($C$1,[2]quests!$1:$1,0)+1,FALSE)</f>
        <v>オズ襲来！</v>
      </c>
      <c r="E8" s="15" t="str">
        <f ca="1">VLOOKUP($C8,OFFSET([2]quests!$A$1,0,0,COUNTA([2]quests!$A:$A),MATCH(E$1,[2]quests!$1:$1,0)-MATCH($C$1,[2]quests!$1:$1,0)+1),MATCH(E$1,[2]quests!$1:$1,0)-MATCH($C$1,[2]quests!$1:$1,0)+1,FALSE)</f>
        <v>降臨1</v>
      </c>
      <c r="F8" s="17">
        <v>2</v>
      </c>
      <c r="G8" s="18" t="str">
        <f t="shared" si="1"/>
        <v>41005_2</v>
      </c>
      <c r="H8" s="12" t="str">
        <f ca="1">VLOOKUP($G8,OFFSET([2]stages!$A$1,0,0,COUNTA([2]stages!$A:$A),MATCH(H$1,[2]stages!$2:$2,0)-MATCH($G$1,[2]stages!$2:$2,0)+1),MATCH(H$1,[2]stages!$2:$2,0)-MATCH($G$1,[2]stages!$2:$2,0)+1,FALSE)</f>
        <v>【ウィザード級】オズ襲来</v>
      </c>
      <c r="I8" s="17">
        <v>3</v>
      </c>
      <c r="J8" s="9">
        <v>60</v>
      </c>
      <c r="K8" s="9">
        <v>60</v>
      </c>
    </row>
    <row r="9" spans="1:11" ht="21" customHeight="1" x14ac:dyDescent="0.15">
      <c r="A9" s="13" t="str">
        <f t="shared" si="0"/>
        <v>41005_2-4</v>
      </c>
      <c r="B9" s="13" t="str">
        <f>IF(COUNTIF(enemy_habitats!$H:$H,A9),"OK","NG")</f>
        <v>OK</v>
      </c>
      <c r="C9" s="5">
        <v>41005</v>
      </c>
      <c r="D9" s="8" t="str">
        <f ca="1">VLOOKUP($C9,OFFSET([2]quests!$A$1,0,0,COUNTA([2]quests!$A:$A),MATCH(D$1,[2]quests!$1:$1,0)-MATCH($C$1,[2]quests!$1:$1,0)+1),MATCH(D$1,[2]quests!$1:$1,0)-MATCH($C$1,[2]quests!$1:$1,0)+1,FALSE)</f>
        <v>オズ襲来！</v>
      </c>
      <c r="E9" s="15" t="str">
        <f ca="1">VLOOKUP($C9,OFFSET([2]quests!$A$1,0,0,COUNTA([2]quests!$A:$A),MATCH(E$1,[2]quests!$1:$1,0)-MATCH($C$1,[2]quests!$1:$1,0)+1),MATCH(E$1,[2]quests!$1:$1,0)-MATCH($C$1,[2]quests!$1:$1,0)+1,FALSE)</f>
        <v>降臨1</v>
      </c>
      <c r="F9" s="17">
        <v>2</v>
      </c>
      <c r="G9" s="18" t="str">
        <f t="shared" si="1"/>
        <v>41005_2</v>
      </c>
      <c r="H9" s="12" t="str">
        <f ca="1">VLOOKUP($G9,OFFSET([2]stages!$A$1,0,0,COUNTA([2]stages!$A:$A),MATCH(H$1,[2]stages!$2:$2,0)-MATCH($G$1,[2]stages!$2:$2,0)+1),MATCH(H$1,[2]stages!$2:$2,0)-MATCH($G$1,[2]stages!$2:$2,0)+1,FALSE)</f>
        <v>【ウィザード級】オズ襲来</v>
      </c>
      <c r="I9" s="17">
        <v>4</v>
      </c>
      <c r="J9" s="9">
        <v>60</v>
      </c>
      <c r="K9" s="9">
        <v>60</v>
      </c>
    </row>
    <row r="10" spans="1:11" ht="21" customHeight="1" x14ac:dyDescent="0.15">
      <c r="A10" s="13" t="str">
        <f t="shared" si="0"/>
        <v>41005_3-1</v>
      </c>
      <c r="B10" s="13" t="str">
        <f>IF(COUNTIF(enemy_habitats!$H:$H,A10),"OK","NG")</f>
        <v>OK</v>
      </c>
      <c r="C10" s="5">
        <v>41005</v>
      </c>
      <c r="D10" s="8" t="str">
        <f ca="1">VLOOKUP($C10,OFFSET([2]quests!$A$1,0,0,COUNTA([2]quests!$A:$A),MATCH(D$1,[2]quests!$1:$1,0)-MATCH($C$1,[2]quests!$1:$1,0)+1),MATCH(D$1,[2]quests!$1:$1,0)-MATCH($C$1,[2]quests!$1:$1,0)+1,FALSE)</f>
        <v>オズ襲来！</v>
      </c>
      <c r="E10" s="15" t="str">
        <f ca="1">VLOOKUP($C10,OFFSET([2]quests!$A$1,0,0,COUNTA([2]quests!$A:$A),MATCH(E$1,[2]quests!$1:$1,0)-MATCH($C$1,[2]quests!$1:$1,0)+1),MATCH(E$1,[2]quests!$1:$1,0)-MATCH($C$1,[2]quests!$1:$1,0)+1,FALSE)</f>
        <v>降臨1</v>
      </c>
      <c r="F10" s="17">
        <v>3</v>
      </c>
      <c r="G10" s="18" t="str">
        <f t="shared" si="1"/>
        <v>41005_3</v>
      </c>
      <c r="H10" s="12" t="str">
        <f ca="1">VLOOKUP($G10,OFFSET([2]stages!$A$1,0,0,COUNTA([2]stages!$A:$A),MATCH(H$1,[2]stages!$2:$2,0)-MATCH($G$1,[2]stages!$2:$2,0)+1),MATCH(H$1,[2]stages!$2:$2,0)-MATCH($G$1,[2]stages!$2:$2,0)+1,FALSE)</f>
        <v>【ノーコンテニュー】オズ襲来</v>
      </c>
      <c r="I10" s="17">
        <v>1</v>
      </c>
      <c r="J10" s="9">
        <v>60</v>
      </c>
      <c r="K10" s="9">
        <v>60</v>
      </c>
    </row>
    <row r="11" spans="1:11" ht="21" customHeight="1" x14ac:dyDescent="0.15">
      <c r="A11" s="13" t="str">
        <f t="shared" si="0"/>
        <v>41005_3-2</v>
      </c>
      <c r="B11" s="13" t="str">
        <f>IF(COUNTIF(enemy_habitats!$H:$H,A11),"OK","NG")</f>
        <v>OK</v>
      </c>
      <c r="C11" s="5">
        <v>41005</v>
      </c>
      <c r="D11" s="8" t="str">
        <f ca="1">VLOOKUP($C11,OFFSET([2]quests!$A$1,0,0,COUNTA([2]quests!$A:$A),MATCH(D$1,[2]quests!$1:$1,0)-MATCH($C$1,[2]quests!$1:$1,0)+1),MATCH(D$1,[2]quests!$1:$1,0)-MATCH($C$1,[2]quests!$1:$1,0)+1,FALSE)</f>
        <v>オズ襲来！</v>
      </c>
      <c r="E11" s="15" t="str">
        <f ca="1">VLOOKUP($C11,OFFSET([2]quests!$A$1,0,0,COUNTA([2]quests!$A:$A),MATCH(E$1,[2]quests!$1:$1,0)-MATCH($C$1,[2]quests!$1:$1,0)+1),MATCH(E$1,[2]quests!$1:$1,0)-MATCH($C$1,[2]quests!$1:$1,0)+1,FALSE)</f>
        <v>降臨1</v>
      </c>
      <c r="F11" s="17">
        <v>3</v>
      </c>
      <c r="G11" s="18" t="str">
        <f t="shared" si="1"/>
        <v>41005_3</v>
      </c>
      <c r="H11" s="12" t="str">
        <f ca="1">VLOOKUP($G11,OFFSET([2]stages!$A$1,0,0,COUNTA([2]stages!$A:$A),MATCH(H$1,[2]stages!$2:$2,0)-MATCH($G$1,[2]stages!$2:$2,0)+1),MATCH(H$1,[2]stages!$2:$2,0)-MATCH($G$1,[2]stages!$2:$2,0)+1,FALSE)</f>
        <v>【ノーコンテニュー】オズ襲来</v>
      </c>
      <c r="I11" s="17">
        <v>2</v>
      </c>
      <c r="J11" s="9">
        <v>60</v>
      </c>
      <c r="K11" s="9">
        <v>60</v>
      </c>
    </row>
    <row r="12" spans="1:11" ht="21" customHeight="1" x14ac:dyDescent="0.15">
      <c r="A12" s="13" t="str">
        <f t="shared" si="0"/>
        <v>41005_3-3</v>
      </c>
      <c r="B12" s="13" t="str">
        <f>IF(COUNTIF(enemy_habitats!$H:$H,A12),"OK","NG")</f>
        <v>OK</v>
      </c>
      <c r="C12" s="5">
        <v>41005</v>
      </c>
      <c r="D12" s="8" t="str">
        <f ca="1">VLOOKUP($C12,OFFSET([2]quests!$A$1,0,0,COUNTA([2]quests!$A:$A),MATCH(D$1,[2]quests!$1:$1,0)-MATCH($C$1,[2]quests!$1:$1,0)+1),MATCH(D$1,[2]quests!$1:$1,0)-MATCH($C$1,[2]quests!$1:$1,0)+1,FALSE)</f>
        <v>オズ襲来！</v>
      </c>
      <c r="E12" s="15" t="str">
        <f ca="1">VLOOKUP($C12,OFFSET([2]quests!$A$1,0,0,COUNTA([2]quests!$A:$A),MATCH(E$1,[2]quests!$1:$1,0)-MATCH($C$1,[2]quests!$1:$1,0)+1),MATCH(E$1,[2]quests!$1:$1,0)-MATCH($C$1,[2]quests!$1:$1,0)+1,FALSE)</f>
        <v>降臨1</v>
      </c>
      <c r="F12" s="17">
        <v>3</v>
      </c>
      <c r="G12" s="18" t="str">
        <f t="shared" si="1"/>
        <v>41005_3</v>
      </c>
      <c r="H12" s="12" t="str">
        <f ca="1">VLOOKUP($G12,OFFSET([2]stages!$A$1,0,0,COUNTA([2]stages!$A:$A),MATCH(H$1,[2]stages!$2:$2,0)-MATCH($G$1,[2]stages!$2:$2,0)+1),MATCH(H$1,[2]stages!$2:$2,0)-MATCH($G$1,[2]stages!$2:$2,0)+1,FALSE)</f>
        <v>【ノーコンテニュー】オズ襲来</v>
      </c>
      <c r="I12" s="17">
        <v>3</v>
      </c>
      <c r="J12" s="9">
        <v>60</v>
      </c>
      <c r="K12" s="9">
        <v>60</v>
      </c>
    </row>
    <row r="13" spans="1:11" ht="21" customHeight="1" x14ac:dyDescent="0.15">
      <c r="A13" s="13" t="str">
        <f t="shared" si="0"/>
        <v>41005_3-4</v>
      </c>
      <c r="B13" s="13" t="str">
        <f>IF(COUNTIF(enemy_habitats!$H:$H,A13),"OK","NG")</f>
        <v>OK</v>
      </c>
      <c r="C13" s="5">
        <v>41005</v>
      </c>
      <c r="D13" s="8" t="str">
        <f ca="1">VLOOKUP($C13,OFFSET([2]quests!$A$1,0,0,COUNTA([2]quests!$A:$A),MATCH(D$1,[2]quests!$1:$1,0)-MATCH($C$1,[2]quests!$1:$1,0)+1),MATCH(D$1,[2]quests!$1:$1,0)-MATCH($C$1,[2]quests!$1:$1,0)+1,FALSE)</f>
        <v>オズ襲来！</v>
      </c>
      <c r="E13" s="15" t="str">
        <f ca="1">VLOOKUP($C13,OFFSET([2]quests!$A$1,0,0,COUNTA([2]quests!$A:$A),MATCH(E$1,[2]quests!$1:$1,0)-MATCH($C$1,[2]quests!$1:$1,0)+1),MATCH(E$1,[2]quests!$1:$1,0)-MATCH($C$1,[2]quests!$1:$1,0)+1,FALSE)</f>
        <v>降臨1</v>
      </c>
      <c r="F13" s="17">
        <v>3</v>
      </c>
      <c r="G13" s="18" t="str">
        <f t="shared" si="1"/>
        <v>41005_3</v>
      </c>
      <c r="H13" s="12" t="str">
        <f ca="1">VLOOKUP($G13,OFFSET([2]stages!$A$1,0,0,COUNTA([2]stages!$A:$A),MATCH(H$1,[2]stages!$2:$2,0)-MATCH($G$1,[2]stages!$2:$2,0)+1),MATCH(H$1,[2]stages!$2:$2,0)-MATCH($G$1,[2]stages!$2:$2,0)+1,FALSE)</f>
        <v>【ノーコンテニュー】オズ襲来</v>
      </c>
      <c r="I13" s="17">
        <v>4</v>
      </c>
      <c r="J13" s="9">
        <v>60</v>
      </c>
      <c r="K13" s="9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24"/>
  <sheetViews>
    <sheetView showGridLines="0" topLeftCell="T1" zoomScale="92" zoomScaleNormal="75" zoomScalePageLayoutView="75" workbookViewId="0">
      <selection activeCell="AC23" sqref="AC23"/>
    </sheetView>
  </sheetViews>
  <sheetFormatPr baseColWidth="12" defaultColWidth="13" defaultRowHeight="21" customHeight="1" outlineLevelCol="1" x14ac:dyDescent="0.15"/>
  <cols>
    <col min="1" max="1" width="15.83203125" style="16" bestFit="1" customWidth="1"/>
    <col min="2" max="2" width="10.83203125" style="3" bestFit="1" customWidth="1"/>
    <col min="3" max="3" width="10.6640625" style="3" bestFit="1" customWidth="1"/>
    <col min="4" max="4" width="13" style="11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6" bestFit="1" customWidth="1"/>
    <col min="13" max="13" width="17.66406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24.33203125" style="3" bestFit="1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0" bestFit="1" customWidth="1" outlineLevel="1"/>
    <col min="30" max="30" width="8" style="11" bestFit="1" customWidth="1" outlineLevel="1"/>
    <col min="31" max="31" width="12" style="11" bestFit="1" customWidth="1" outlineLevel="1"/>
    <col min="32" max="32" width="15" style="7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28" customFormat="1" ht="21" customHeight="1" thickBot="1" x14ac:dyDescent="0.2">
      <c r="A1" s="20" t="s">
        <v>29</v>
      </c>
      <c r="B1" s="21" t="s">
        <v>0</v>
      </c>
      <c r="C1" s="21" t="s">
        <v>1</v>
      </c>
      <c r="D1" s="22" t="s">
        <v>28</v>
      </c>
      <c r="E1" s="23" t="s">
        <v>20</v>
      </c>
      <c r="F1" s="23" t="s">
        <v>20</v>
      </c>
      <c r="G1" s="21" t="s">
        <v>19</v>
      </c>
      <c r="H1" s="22" t="s">
        <v>35</v>
      </c>
      <c r="I1" s="22" t="s">
        <v>14</v>
      </c>
      <c r="J1" s="22" t="s">
        <v>15</v>
      </c>
      <c r="K1" s="29" t="s">
        <v>54</v>
      </c>
      <c r="L1" s="30" t="s">
        <v>2</v>
      </c>
      <c r="M1" s="24" t="s">
        <v>21</v>
      </c>
      <c r="N1" s="22" t="s">
        <v>24</v>
      </c>
      <c r="O1" s="22" t="s">
        <v>23</v>
      </c>
      <c r="P1" s="25" t="s">
        <v>26</v>
      </c>
      <c r="Q1" s="23" t="s">
        <v>25</v>
      </c>
      <c r="R1" s="21" t="s">
        <v>3</v>
      </c>
      <c r="S1" s="19" t="s">
        <v>48</v>
      </c>
      <c r="T1" s="19" t="s">
        <v>50</v>
      </c>
      <c r="U1" s="19" t="s">
        <v>52</v>
      </c>
      <c r="V1" s="22" t="s">
        <v>31</v>
      </c>
      <c r="W1" s="21" t="s">
        <v>4</v>
      </c>
      <c r="X1" s="21" t="s">
        <v>5</v>
      </c>
      <c r="Y1" s="21" t="s">
        <v>6</v>
      </c>
      <c r="Z1" s="21" t="s">
        <v>7</v>
      </c>
      <c r="AA1" s="21" t="s">
        <v>8</v>
      </c>
      <c r="AB1" s="26" t="s">
        <v>9</v>
      </c>
      <c r="AC1" s="27" t="s">
        <v>16</v>
      </c>
      <c r="AD1" s="27" t="s">
        <v>17</v>
      </c>
      <c r="AE1" s="27" t="s">
        <v>27</v>
      </c>
      <c r="AF1" s="26" t="s">
        <v>10</v>
      </c>
      <c r="AG1" s="21" t="s">
        <v>11</v>
      </c>
      <c r="AH1" s="21" t="s">
        <v>12</v>
      </c>
      <c r="AI1" s="21" t="s">
        <v>38</v>
      </c>
      <c r="AJ1" s="21" t="s">
        <v>40</v>
      </c>
      <c r="AK1" s="21" t="s">
        <v>42</v>
      </c>
      <c r="AL1" s="21" t="s">
        <v>44</v>
      </c>
      <c r="AM1" s="21" t="s">
        <v>46</v>
      </c>
      <c r="AN1" s="29" t="s">
        <v>175</v>
      </c>
    </row>
    <row r="2" spans="1:40" ht="21" customHeight="1" thickBot="1" x14ac:dyDescent="0.2">
      <c r="A2" s="13" t="str">
        <f>B2&amp;"_"&amp;C2&amp;"-"&amp;G2&amp;"/"&amp;L2&amp;"&lt;lv"&amp;R2&amp;"&gt;s"&amp;AA2</f>
        <v>41005_1-1/242&lt;lv65&gt;s2</v>
      </c>
      <c r="B2" s="87">
        <v>41005</v>
      </c>
      <c r="C2" s="88">
        <v>1</v>
      </c>
      <c r="D2" s="12" t="str">
        <f>B2&amp;"_"&amp;C2</f>
        <v>41005_1</v>
      </c>
      <c r="E2" s="4" t="str">
        <f ca="1">VLOOKUP($B2,OFFSET([2]quests!$A$1,0,0,COUNTA([2]quests!$A:$A),MATCH(E$1,[2]quests!$1:$1,0)-MATCH($B$1,[2]quests!$1:$1,0)+1),MATCH(E$1,[2]quests!$1:$1,0)-MATCH($B$1,[2]quests!$1:$1,0)+1,FALSE)</f>
        <v>オズ襲来！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【超絶級】オズ襲来</v>
      </c>
      <c r="G2" s="88">
        <v>1</v>
      </c>
      <c r="H2" s="12" t="str">
        <f>B2&amp;"_"&amp;C2&amp;"-"&amp;G2</f>
        <v>41005_1-1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89" t="s">
        <v>209</v>
      </c>
      <c r="L2" s="90">
        <v>242</v>
      </c>
      <c r="M2" s="14" t="str">
        <f ca="1">VLOOKUP($L2,OFFSET([3]enemies!$A$1,0,0,COUNTA([3]enemies!$A:$A),MATCH(M$1,[3]enemies!$1:$1,0)-MATCH($L$1,[3]enemies!$1:$1,0)+1),MATCH(M$1,[3]enemies!$1:$1,0)-MATCH($L$1,[3]enemies!$1:$1,0)+1,FALSE)</f>
        <v>百花の天使 ガブリエル</v>
      </c>
      <c r="N2" s="14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4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4" t="str">
        <f ca="1">VLOOKUP($L2,OFFSET([3]enemies!$A$1,0,0,COUNTA([3]enemies!$A:$A),MATCH(P$1,[3]enemies!$1:$1,0)-MATCH($L$1,[3]enemies!$1:$1,0)+1),MATCH(P$1,[3]enemies!$1:$1,0)-MATCH($L$1,[3]enemies!$1:$1,0)+1,FALSE)</f>
        <v>machine</v>
      </c>
      <c r="Q2" s="14">
        <f ca="1">VLOOKUP($L2,OFFSET([3]enemies!$A$1,0,0,COUNTA([3]enemies!$A:$A),MATCH(Q$1,[3]enemies!$1:$1,0)-MATCH($L$1,[3]enemies!$1:$1,0)+1),MATCH(Q$1,[3]enemies!$1:$1,0)-MATCH($L$1,[3]enemies!$1:$1,0)+1,FALSE)</f>
        <v>30</v>
      </c>
      <c r="R2" s="91">
        <v>65</v>
      </c>
      <c r="S2" s="92">
        <v>1</v>
      </c>
      <c r="T2" s="92">
        <v>1</v>
      </c>
      <c r="U2" s="91">
        <v>0</v>
      </c>
      <c r="V2" s="4" t="str">
        <f ca="1">VLOOKUP(W2,enemy_skill_sets!B:E,3)</f>
        <v>東の魔女が消えた♪</v>
      </c>
      <c r="W2" s="93">
        <v>41005001</v>
      </c>
      <c r="X2" s="94">
        <v>1</v>
      </c>
      <c r="Y2" s="95">
        <v>100</v>
      </c>
      <c r="Z2" s="95">
        <v>1</v>
      </c>
      <c r="AA2" s="96">
        <v>2</v>
      </c>
      <c r="AB2" s="97">
        <f t="shared" ref="AB2:AB7" si="0">L2</f>
        <v>242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百花の天使 ガブリエル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4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" s="98">
        <v>1</v>
      </c>
      <c r="AG2" s="97">
        <f ca="1">AD2</f>
        <v>4</v>
      </c>
      <c r="AH2" s="99">
        <v>0</v>
      </c>
      <c r="AI2" s="100">
        <v>0</v>
      </c>
      <c r="AJ2" s="100">
        <v>0</v>
      </c>
      <c r="AK2" s="100">
        <v>0</v>
      </c>
      <c r="AL2" s="100">
        <v>0</v>
      </c>
      <c r="AM2" s="100">
        <v>1</v>
      </c>
      <c r="AN2" s="59">
        <v>1</v>
      </c>
    </row>
    <row r="3" spans="1:40" ht="21" customHeight="1" thickBot="1" x14ac:dyDescent="0.2">
      <c r="A3" s="13" t="str">
        <f>B3&amp;"_"&amp;C3&amp;"-"&amp;G3&amp;"/"&amp;L3&amp;"&lt;lv"&amp;R3&amp;"&gt;s"&amp;AA3</f>
        <v>41005_1-1/245&lt;lv65&gt;s2</v>
      </c>
      <c r="B3" s="101">
        <v>41005</v>
      </c>
      <c r="C3" s="102">
        <v>1</v>
      </c>
      <c r="D3" s="12" t="str">
        <f>B3&amp;"_"&amp;C3</f>
        <v>41005_1</v>
      </c>
      <c r="E3" s="4" t="str">
        <f ca="1">VLOOKUP($B3,OFFSET([2]quests!$A$1,0,0,COUNTA([2]quests!$A:$A),MATCH(E$1,[2]quests!$1:$1,0)-MATCH($B$1,[2]quests!$1:$1,0)+1),MATCH(E$1,[2]quests!$1:$1,0)-MATCH($B$1,[2]quests!$1:$1,0)+1,FALSE)</f>
        <v>オズ襲来！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【超絶級】オズ襲来</v>
      </c>
      <c r="G3" s="102">
        <v>1</v>
      </c>
      <c r="H3" s="12" t="str">
        <f>B3&amp;"_"&amp;C3&amp;"-"&amp;G3</f>
        <v>41005_1-1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103" t="s">
        <v>209</v>
      </c>
      <c r="L3" s="104">
        <v>245</v>
      </c>
      <c r="M3" s="14" t="str">
        <f ca="1">VLOOKUP($L3,OFFSET([3]enemies!$A$1,0,0,COUNTA([3]enemies!$A:$A),MATCH(M$1,[3]enemies!$1:$1,0)-MATCH($L$1,[3]enemies!$1:$1,0)+1),MATCH(M$1,[3]enemies!$1:$1,0)-MATCH($L$1,[3]enemies!$1:$1,0)+1,FALSE)</f>
        <v>鎮癒の天使 ラファエル</v>
      </c>
      <c r="N3" s="14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4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4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4">
        <f ca="1">VLOOKUP($L3,OFFSET([3]enemies!$A$1,0,0,COUNTA([3]enemies!$A:$A),MATCH(Q$1,[3]enemies!$1:$1,0)-MATCH($L$1,[3]enemies!$1:$1,0)+1),MATCH(Q$1,[3]enemies!$1:$1,0)-MATCH($L$1,[3]enemies!$1:$1,0)+1,FALSE)</f>
        <v>30</v>
      </c>
      <c r="R3" s="105">
        <v>65</v>
      </c>
      <c r="S3" s="106">
        <v>1</v>
      </c>
      <c r="T3" s="106">
        <v>1</v>
      </c>
      <c r="U3" s="105">
        <v>0</v>
      </c>
      <c r="V3" s="4" t="str">
        <f ca="1">VLOOKUP(W3,enemy_skill_sets!B:E,3)</f>
        <v>魔力吸収</v>
      </c>
      <c r="W3" s="93">
        <v>41005002</v>
      </c>
      <c r="X3" s="107">
        <v>1</v>
      </c>
      <c r="Y3" s="108">
        <v>100</v>
      </c>
      <c r="Z3" s="108">
        <v>0</v>
      </c>
      <c r="AA3" s="109">
        <v>2</v>
      </c>
      <c r="AB3" s="97">
        <f t="shared" si="0"/>
        <v>245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鎮癒の天使 ラファエル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3" s="98">
        <v>1</v>
      </c>
      <c r="AG3" s="97">
        <f ca="1">AD3</f>
        <v>4</v>
      </c>
      <c r="AH3" s="110">
        <v>0</v>
      </c>
      <c r="AI3" s="111">
        <v>0</v>
      </c>
      <c r="AJ3" s="111">
        <v>0</v>
      </c>
      <c r="AK3" s="111">
        <v>0</v>
      </c>
      <c r="AL3" s="111">
        <v>0</v>
      </c>
      <c r="AM3" s="111">
        <v>1</v>
      </c>
      <c r="AN3" s="59">
        <v>1</v>
      </c>
    </row>
    <row r="4" spans="1:40" ht="21" customHeight="1" x14ac:dyDescent="0.15">
      <c r="A4" s="13" t="str">
        <f t="shared" ref="A4:A10" si="1">B4&amp;"_"&amp;C4&amp;"-"&amp;G4&amp;"/"&amp;L4&amp;"&lt;lv"&amp;R4&amp;"&gt;s"&amp;AA4</f>
        <v>41005_1-2/24&lt;lv75&gt;s3</v>
      </c>
      <c r="B4" s="87">
        <v>41005</v>
      </c>
      <c r="C4" s="112">
        <v>1</v>
      </c>
      <c r="D4" s="12" t="str">
        <f t="shared" ref="D4:D10" si="2">B4&amp;"_"&amp;C4</f>
        <v>41005_1</v>
      </c>
      <c r="E4" s="4" t="str">
        <f ca="1">VLOOKUP($B4,OFFSET([2]quests!$A$1,0,0,COUNTA([2]quests!$A:$A),MATCH(E$1,[2]quests!$1:$1,0)-MATCH($B$1,[2]quests!$1:$1,0)+1),MATCH(E$1,[2]quests!$1:$1,0)-MATCH($B$1,[2]quests!$1:$1,0)+1,FALSE)</f>
        <v>オズ襲来！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【超絶級】オズ襲来</v>
      </c>
      <c r="G4" s="112">
        <v>2</v>
      </c>
      <c r="H4" s="12" t="str">
        <f t="shared" ref="H4:H10" si="3">B4&amp;"_"&amp;C4&amp;"-"&amp;G4</f>
        <v>41005_1-2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113" t="s">
        <v>209</v>
      </c>
      <c r="L4" s="114">
        <v>24</v>
      </c>
      <c r="M4" s="14" t="str">
        <f ca="1">VLOOKUP($L4,OFFSET([3]enemies!$A$1,0,0,COUNTA([3]enemies!$A:$A),MATCH(M$1,[3]enemies!$1:$1,0)-MATCH($L$1,[3]enemies!$1:$1,0)+1),MATCH(M$1,[3]enemies!$1:$1,0)-MATCH($L$1,[3]enemies!$1:$1,0)+1,FALSE)</f>
        <v>天翔のミール</v>
      </c>
      <c r="N4" s="14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4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4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4">
        <f ca="1">VLOOKUP($L4,OFFSET([3]enemies!$A$1,0,0,COUNTA([3]enemies!$A:$A),MATCH(Q$1,[3]enemies!$1:$1,0)-MATCH($L$1,[3]enemies!$1:$1,0)+1),MATCH(Q$1,[3]enemies!$1:$1,0)-MATCH($L$1,[3]enemies!$1:$1,0)+1,FALSE)</f>
        <v>15</v>
      </c>
      <c r="R4" s="115">
        <v>75</v>
      </c>
      <c r="S4" s="116">
        <v>2</v>
      </c>
      <c r="T4" s="116">
        <v>2</v>
      </c>
      <c r="U4" s="115">
        <v>0</v>
      </c>
      <c r="V4" s="4" t="str">
        <f ca="1">VLOOKUP(W4,enemy_skill_sets!B:E,3)</f>
        <v>一気に行くぜ！</v>
      </c>
      <c r="W4" s="93">
        <v>41005003</v>
      </c>
      <c r="X4" s="117">
        <v>1</v>
      </c>
      <c r="Y4" s="118">
        <v>100</v>
      </c>
      <c r="Z4" s="118">
        <v>1</v>
      </c>
      <c r="AA4" s="119">
        <v>3</v>
      </c>
      <c r="AB4" s="97">
        <f t="shared" si="0"/>
        <v>24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天翔のミール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98">
        <v>1</v>
      </c>
      <c r="AG4" s="97">
        <f t="shared" ref="AG4:AG10" ca="1" si="4">AD4</f>
        <v>2</v>
      </c>
      <c r="AH4" s="120">
        <v>15</v>
      </c>
      <c r="AI4" s="120">
        <v>0</v>
      </c>
      <c r="AJ4" s="120">
        <v>0</v>
      </c>
      <c r="AK4" s="120">
        <v>0</v>
      </c>
      <c r="AL4" s="120">
        <v>0</v>
      </c>
      <c r="AM4" s="120">
        <v>1</v>
      </c>
      <c r="AN4" s="59">
        <v>1</v>
      </c>
    </row>
    <row r="5" spans="1:40" ht="21" customHeight="1" thickBot="1" x14ac:dyDescent="0.2">
      <c r="A5" s="13" t="str">
        <f t="shared" si="1"/>
        <v>41005_1-2/24&lt;lv74&gt;s3</v>
      </c>
      <c r="B5" s="101">
        <v>41005</v>
      </c>
      <c r="C5" s="121">
        <v>1</v>
      </c>
      <c r="D5" s="12" t="str">
        <f t="shared" si="2"/>
        <v>41005_1</v>
      </c>
      <c r="E5" s="4" t="str">
        <f ca="1">VLOOKUP($B5,OFFSET([2]quests!$A$1,0,0,COUNTA([2]quests!$A:$A),MATCH(E$1,[2]quests!$1:$1,0)-MATCH($B$1,[2]quests!$1:$1,0)+1),MATCH(E$1,[2]quests!$1:$1,0)-MATCH($B$1,[2]quests!$1:$1,0)+1,FALSE)</f>
        <v>オズ襲来！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【超絶級】オズ襲来</v>
      </c>
      <c r="G5" s="121">
        <v>2</v>
      </c>
      <c r="H5" s="12" t="str">
        <f t="shared" si="3"/>
        <v>41005_1-2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122" t="s">
        <v>209</v>
      </c>
      <c r="L5" s="123">
        <v>24</v>
      </c>
      <c r="M5" s="14" t="str">
        <f ca="1">VLOOKUP($L5,OFFSET([3]enemies!$A$1,0,0,COUNTA([3]enemies!$A:$A),MATCH(M$1,[3]enemies!$1:$1,0)-MATCH($L$1,[3]enemies!$1:$1,0)+1),MATCH(M$1,[3]enemies!$1:$1,0)-MATCH($L$1,[3]enemies!$1:$1,0)+1,FALSE)</f>
        <v>天翔のミール</v>
      </c>
      <c r="N5" s="14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4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4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4">
        <f ca="1">VLOOKUP($L5,OFFSET([3]enemies!$A$1,0,0,COUNTA([3]enemies!$A:$A),MATCH(Q$1,[3]enemies!$1:$1,0)-MATCH($L$1,[3]enemies!$1:$1,0)+1),MATCH(Q$1,[3]enemies!$1:$1,0)-MATCH($L$1,[3]enemies!$1:$1,0)+1,FALSE)</f>
        <v>15</v>
      </c>
      <c r="R5" s="124">
        <v>74</v>
      </c>
      <c r="S5" s="125">
        <v>2</v>
      </c>
      <c r="T5" s="125">
        <v>2</v>
      </c>
      <c r="U5" s="124">
        <v>0</v>
      </c>
      <c r="V5" s="4" t="e">
        <f>VLOOKUP(W5,enemy_skill_sets!B:E,3)</f>
        <v>#N/A</v>
      </c>
      <c r="W5" s="126">
        <v>0</v>
      </c>
      <c r="X5" s="127">
        <v>3</v>
      </c>
      <c r="Y5" s="128">
        <v>100</v>
      </c>
      <c r="Z5" s="128">
        <v>0</v>
      </c>
      <c r="AA5" s="129">
        <v>3</v>
      </c>
      <c r="AB5" s="97">
        <f t="shared" si="0"/>
        <v>24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天翔のミール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98">
        <v>1</v>
      </c>
      <c r="AG5" s="97">
        <f t="shared" ca="1" si="4"/>
        <v>2</v>
      </c>
      <c r="AH5" s="130">
        <v>15</v>
      </c>
      <c r="AI5" s="131">
        <v>0</v>
      </c>
      <c r="AJ5" s="131">
        <v>0</v>
      </c>
      <c r="AK5" s="131">
        <v>0</v>
      </c>
      <c r="AL5" s="131">
        <v>0</v>
      </c>
      <c r="AM5" s="131">
        <v>1</v>
      </c>
      <c r="AN5" s="59">
        <v>1</v>
      </c>
    </row>
    <row r="6" spans="1:40" ht="21" customHeight="1" x14ac:dyDescent="0.15">
      <c r="A6" s="13" t="str">
        <f t="shared" si="1"/>
        <v>41005_1-3/212&lt;lv70&gt;s2</v>
      </c>
      <c r="B6" s="87">
        <v>41005</v>
      </c>
      <c r="C6" s="132">
        <v>1</v>
      </c>
      <c r="D6" s="12" t="str">
        <f t="shared" si="2"/>
        <v>41005_1</v>
      </c>
      <c r="E6" s="4" t="str">
        <f ca="1">VLOOKUP($B6,OFFSET([2]quests!$A$1,0,0,COUNTA([2]quests!$A:$A),MATCH(E$1,[2]quests!$1:$1,0)-MATCH($B$1,[2]quests!$1:$1,0)+1),MATCH(E$1,[2]quests!$1:$1,0)-MATCH($B$1,[2]quests!$1:$1,0)+1,FALSE)</f>
        <v>オズ襲来！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【超絶級】オズ襲来</v>
      </c>
      <c r="G6" s="132">
        <v>3</v>
      </c>
      <c r="H6" s="12" t="str">
        <f t="shared" si="3"/>
        <v>41005_1-3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133">
        <v>1</v>
      </c>
      <c r="L6" s="134">
        <v>212</v>
      </c>
      <c r="M6" s="14" t="str">
        <f ca="1">VLOOKUP($L6,OFFSET([3]enemies!$A$1,0,0,COUNTA([3]enemies!$A:$A),MATCH(M$1,[3]enemies!$1:$1,0)-MATCH($L$1,[3]enemies!$1:$1,0)+1),MATCH(M$1,[3]enemies!$1:$1,0)-MATCH($L$1,[3]enemies!$1:$1,0)+1,FALSE)</f>
        <v>星神 アストライアー</v>
      </c>
      <c r="N6" s="14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4" t="str">
        <f ca="1">VLOOKUP($L6,OFFSET([4]characters!$A$1,0,0,COUNTA([4]characters!$A:$A),MATCH(O$1,[4]characters!$1:$1,0)-MATCH($L$1,[4]characters!$1:$1,0)+1),MATCH(O$1,[4]characters!$1:$1,0)-MATCH($L$1,[4]characters!$1:$1,0)+1,FALSE)</f>
        <v>PremiumN</v>
      </c>
      <c r="P6" s="14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4">
        <f ca="1">VLOOKUP($L6,OFFSET([3]enemies!$A$1,0,0,COUNTA([3]enemies!$A:$A),MATCH(Q$1,[3]enemies!$1:$1,0)-MATCH($L$1,[3]enemies!$1:$1,0)+1),MATCH(Q$1,[3]enemies!$1:$1,0)-MATCH($L$1,[3]enemies!$1:$1,0)+1,FALSE)</f>
        <v>30</v>
      </c>
      <c r="R6" s="135">
        <v>70</v>
      </c>
      <c r="S6" s="136">
        <v>1</v>
      </c>
      <c r="T6" s="136">
        <v>1</v>
      </c>
      <c r="U6" s="135">
        <v>0</v>
      </c>
      <c r="V6" s="4" t="str">
        <f ca="1">VLOOKUP(W6,enemy_skill_sets!B:E,3)</f>
        <v>西の魔女が消えた♪</v>
      </c>
      <c r="W6" s="137">
        <v>41005004</v>
      </c>
      <c r="X6" s="138">
        <v>1</v>
      </c>
      <c r="Y6" s="139">
        <v>100</v>
      </c>
      <c r="Z6" s="139">
        <v>1</v>
      </c>
      <c r="AA6" s="140">
        <v>2</v>
      </c>
      <c r="AB6" s="97">
        <f t="shared" si="0"/>
        <v>212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星神 アストライアー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6" s="98">
        <v>1</v>
      </c>
      <c r="AG6" s="97">
        <f t="shared" ca="1" si="4"/>
        <v>4</v>
      </c>
      <c r="AH6" s="141">
        <v>0</v>
      </c>
      <c r="AI6" s="142">
        <v>0</v>
      </c>
      <c r="AJ6" s="142">
        <v>0</v>
      </c>
      <c r="AK6" s="142">
        <v>0</v>
      </c>
      <c r="AL6" s="142">
        <v>0</v>
      </c>
      <c r="AM6" s="142">
        <v>1</v>
      </c>
      <c r="AN6" s="59">
        <v>1</v>
      </c>
    </row>
    <row r="7" spans="1:40" ht="21" customHeight="1" thickBot="1" x14ac:dyDescent="0.2">
      <c r="A7" s="13" t="str">
        <f t="shared" si="1"/>
        <v>41005_1-3/176&lt;lv70&gt;s2</v>
      </c>
      <c r="B7" s="101">
        <v>41005</v>
      </c>
      <c r="C7" s="143">
        <v>1</v>
      </c>
      <c r="D7" s="12" t="str">
        <f t="shared" si="2"/>
        <v>41005_1</v>
      </c>
      <c r="E7" s="4" t="str">
        <f ca="1">VLOOKUP($B7,OFFSET([2]quests!$A$1,0,0,COUNTA([2]quests!$A:$A),MATCH(E$1,[2]quests!$1:$1,0)-MATCH($B$1,[2]quests!$1:$1,0)+1),MATCH(E$1,[2]quests!$1:$1,0)-MATCH($B$1,[2]quests!$1:$1,0)+1,FALSE)</f>
        <v>オズ襲来！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【超絶級】オズ襲来</v>
      </c>
      <c r="G7" s="143">
        <v>3</v>
      </c>
      <c r="H7" s="12" t="str">
        <f t="shared" si="3"/>
        <v>41005_1-3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144">
        <v>2</v>
      </c>
      <c r="L7" s="145">
        <v>176</v>
      </c>
      <c r="M7" s="14" t="str">
        <f ca="1">VLOOKUP($L7,OFFSET([3]enemies!$A$1,0,0,COUNTA([3]enemies!$A:$A),MATCH(M$1,[3]enemies!$1:$1,0)-MATCH($L$1,[3]enemies!$1:$1,0)+1),MATCH(M$1,[3]enemies!$1:$1,0)-MATCH($L$1,[3]enemies!$1:$1,0)+1,FALSE)</f>
        <v>異教徒 バフォメット</v>
      </c>
      <c r="N7" s="14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4" t="str">
        <f ca="1">VLOOKUP($L7,OFFSET([4]characters!$A$1,0,0,COUNTA([4]characters!$A:$A),MATCH(O$1,[4]characters!$1:$1,0)-MATCH($L$1,[4]characters!$1:$1,0)+1),MATCH(O$1,[4]characters!$1:$1,0)-MATCH($L$1,[4]characters!$1:$1,0)+1,FALSE)</f>
        <v>PremiumN</v>
      </c>
      <c r="P7" s="14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4">
        <f ca="1">VLOOKUP($L7,OFFSET([3]enemies!$A$1,0,0,COUNTA([3]enemies!$A:$A),MATCH(Q$1,[3]enemies!$1:$1,0)-MATCH($L$1,[3]enemies!$1:$1,0)+1),MATCH(Q$1,[3]enemies!$1:$1,0)-MATCH($L$1,[3]enemies!$1:$1,0)+1,FALSE)</f>
        <v>30</v>
      </c>
      <c r="R7" s="146">
        <v>70</v>
      </c>
      <c r="S7" s="147">
        <v>1</v>
      </c>
      <c r="T7" s="147">
        <v>1</v>
      </c>
      <c r="U7" s="146">
        <v>0</v>
      </c>
      <c r="V7" s="4" t="str">
        <f ca="1">VLOOKUP(W7,enemy_skill_sets!B:E,3)</f>
        <v>魔力吸収</v>
      </c>
      <c r="W7" s="148">
        <v>41005005</v>
      </c>
      <c r="X7" s="149">
        <v>1</v>
      </c>
      <c r="Y7" s="150">
        <v>100</v>
      </c>
      <c r="Z7" s="150">
        <v>0</v>
      </c>
      <c r="AA7" s="129">
        <v>2</v>
      </c>
      <c r="AB7" s="97">
        <f t="shared" si="0"/>
        <v>176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異教徒 バフォメット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7" s="98">
        <v>1</v>
      </c>
      <c r="AG7" s="97">
        <f t="shared" ca="1" si="4"/>
        <v>4</v>
      </c>
      <c r="AH7" s="151">
        <v>0</v>
      </c>
      <c r="AI7" s="152">
        <v>0</v>
      </c>
      <c r="AJ7" s="152">
        <v>0</v>
      </c>
      <c r="AK7" s="152">
        <v>0</v>
      </c>
      <c r="AL7" s="152">
        <v>0</v>
      </c>
      <c r="AM7" s="152">
        <v>1</v>
      </c>
      <c r="AN7" s="59">
        <v>1</v>
      </c>
    </row>
    <row r="8" spans="1:40" ht="21" customHeight="1" thickBot="1" x14ac:dyDescent="0.2">
      <c r="A8" s="13" t="str">
        <f t="shared" si="1"/>
        <v>41005_1-4/461&lt;lv75&gt;s1</v>
      </c>
      <c r="B8" s="87">
        <v>41005</v>
      </c>
      <c r="C8" s="153">
        <v>1</v>
      </c>
      <c r="D8" s="12" t="str">
        <f t="shared" si="2"/>
        <v>41005_1</v>
      </c>
      <c r="E8" s="4" t="str">
        <f ca="1">VLOOKUP($B8,OFFSET([2]quests!$A$1,0,0,COUNTA([2]quests!$A:$A),MATCH(E$1,[2]quests!$1:$1,0)-MATCH($B$1,[2]quests!$1:$1,0)+1),MATCH(E$1,[2]quests!$1:$1,0)-MATCH($B$1,[2]quests!$1:$1,0)+1,FALSE)</f>
        <v>オズ襲来！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【超絶級】オズ襲来</v>
      </c>
      <c r="G8" s="153">
        <v>4</v>
      </c>
      <c r="H8" s="12" t="str">
        <f t="shared" si="3"/>
        <v>41005_1-4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154">
        <v>3</v>
      </c>
      <c r="L8" s="155">
        <v>461</v>
      </c>
      <c r="M8" s="14" t="str">
        <f ca="1">VLOOKUP($L8,OFFSET([3]enemies!$A$1,0,0,COUNTA([3]enemies!$A:$A),MATCH(M$1,[3]enemies!$1:$1,0)-MATCH($L$1,[3]enemies!$1:$1,0)+1),MATCH(M$1,[3]enemies!$1:$1,0)-MATCH($L$1,[3]enemies!$1:$1,0)+1,FALSE)</f>
        <v>大いなる虚像 オズ</v>
      </c>
      <c r="N8" s="14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4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4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4">
        <f ca="1">VLOOKUP($L8,OFFSET([3]enemies!$A$1,0,0,COUNTA([3]enemies!$A:$A),MATCH(Q$1,[3]enemies!$1:$1,0)-MATCH($L$1,[3]enemies!$1:$1,0)+1),MATCH(Q$1,[3]enemies!$1:$1,0)-MATCH($L$1,[3]enemies!$1:$1,0)+1,FALSE)</f>
        <v>60</v>
      </c>
      <c r="R8" s="156">
        <v>75</v>
      </c>
      <c r="S8" s="157">
        <v>1.8</v>
      </c>
      <c r="T8" s="157">
        <v>1.1000000000000001</v>
      </c>
      <c r="U8" s="156">
        <v>0</v>
      </c>
      <c r="V8" s="4" t="str">
        <f ca="1">VLOOKUP(W8,enemy_skill_sets!B:E,3)</f>
        <v>石の脳を与えよう</v>
      </c>
      <c r="W8" s="274">
        <v>41005008</v>
      </c>
      <c r="X8" s="159">
        <v>1</v>
      </c>
      <c r="Y8" s="160">
        <v>100</v>
      </c>
      <c r="Z8" s="160">
        <v>1</v>
      </c>
      <c r="AA8" s="129">
        <v>1</v>
      </c>
      <c r="AB8" s="97">
        <v>460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オズ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8" s="98">
        <v>1</v>
      </c>
      <c r="AG8" s="97">
        <f t="shared" ca="1" si="4"/>
        <v>4</v>
      </c>
      <c r="AH8" s="161">
        <v>15</v>
      </c>
      <c r="AI8" s="162">
        <v>0</v>
      </c>
      <c r="AJ8" s="162">
        <v>0</v>
      </c>
      <c r="AK8" s="162">
        <v>0</v>
      </c>
      <c r="AL8" s="162">
        <v>0</v>
      </c>
      <c r="AM8" s="162">
        <v>1</v>
      </c>
      <c r="AN8" s="59">
        <v>1</v>
      </c>
    </row>
    <row r="9" spans="1:40" ht="21" customHeight="1" thickBot="1" x14ac:dyDescent="0.2">
      <c r="A9" s="13" t="str">
        <f t="shared" si="1"/>
        <v>41005_2-1/242&lt;lv75&gt;s2</v>
      </c>
      <c r="B9" s="87">
        <v>41005</v>
      </c>
      <c r="C9" s="88">
        <v>2</v>
      </c>
      <c r="D9" s="12" t="str">
        <f t="shared" si="2"/>
        <v>41005_2</v>
      </c>
      <c r="E9" s="4" t="str">
        <f ca="1">VLOOKUP($B9,OFFSET([2]quests!$A$1,0,0,COUNTA([2]quests!$A:$A),MATCH(E$1,[2]quests!$1:$1,0)-MATCH($B$1,[2]quests!$1:$1,0)+1),MATCH(E$1,[2]quests!$1:$1,0)-MATCH($B$1,[2]quests!$1:$1,0)+1,FALSE)</f>
        <v>オズ襲来！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【ウィザード級】オズ襲来</v>
      </c>
      <c r="G9" s="88">
        <v>1</v>
      </c>
      <c r="H9" s="12" t="str">
        <f t="shared" si="3"/>
        <v>41005_2-1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89" t="s">
        <v>209</v>
      </c>
      <c r="L9" s="90">
        <v>242</v>
      </c>
      <c r="M9" s="14" t="str">
        <f ca="1">VLOOKUP($L9,OFFSET([3]enemies!$A$1,0,0,COUNTA([3]enemies!$A:$A),MATCH(M$1,[3]enemies!$1:$1,0)-MATCH($L$1,[3]enemies!$1:$1,0)+1),MATCH(M$1,[3]enemies!$1:$1,0)-MATCH($L$1,[3]enemies!$1:$1,0)+1,FALSE)</f>
        <v>百花の天使 ガブリエル</v>
      </c>
      <c r="N9" s="14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4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4" t="str">
        <f ca="1">VLOOKUP($L9,OFFSET([3]enemies!$A$1,0,0,COUNTA([3]enemies!$A:$A),MATCH(P$1,[3]enemies!$1:$1,0)-MATCH($L$1,[3]enemies!$1:$1,0)+1),MATCH(P$1,[3]enemies!$1:$1,0)-MATCH($L$1,[3]enemies!$1:$1,0)+1,FALSE)</f>
        <v>machine</v>
      </c>
      <c r="Q9" s="14">
        <f ca="1">VLOOKUP($L9,OFFSET([3]enemies!$A$1,0,0,COUNTA([3]enemies!$A:$A),MATCH(Q$1,[3]enemies!$1:$1,0)-MATCH($L$1,[3]enemies!$1:$1,0)+1),MATCH(Q$1,[3]enemies!$1:$1,0)-MATCH($L$1,[3]enemies!$1:$1,0)+1,FALSE)</f>
        <v>30</v>
      </c>
      <c r="R9" s="91">
        <v>75</v>
      </c>
      <c r="S9" s="92">
        <v>1</v>
      </c>
      <c r="T9" s="92">
        <v>1</v>
      </c>
      <c r="U9" s="91">
        <v>0</v>
      </c>
      <c r="V9" s="14" t="str">
        <f ca="1">VLOOKUP(W9,enemy_skill_sets!B:E,3)</f>
        <v>東の魔女が消えた♪</v>
      </c>
      <c r="W9" s="273">
        <v>41005011</v>
      </c>
      <c r="X9" s="95">
        <v>1</v>
      </c>
      <c r="Y9" s="95">
        <v>100</v>
      </c>
      <c r="Z9" s="95">
        <v>1</v>
      </c>
      <c r="AA9" s="96">
        <v>2</v>
      </c>
      <c r="AB9" s="97">
        <f t="shared" ref="AB9:AB14" si="5">L9</f>
        <v>242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百花の天使 ガブリエル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9" s="98">
        <v>1</v>
      </c>
      <c r="AG9" s="97">
        <f t="shared" ca="1" si="4"/>
        <v>4</v>
      </c>
      <c r="AH9" s="99">
        <v>0</v>
      </c>
      <c r="AI9" s="100">
        <v>0</v>
      </c>
      <c r="AJ9" s="100">
        <v>0</v>
      </c>
      <c r="AK9" s="100">
        <v>0</v>
      </c>
      <c r="AL9" s="100">
        <v>0</v>
      </c>
      <c r="AM9" s="100">
        <v>1</v>
      </c>
      <c r="AN9" s="59">
        <v>1</v>
      </c>
    </row>
    <row r="10" spans="1:40" ht="21" customHeight="1" thickBot="1" x14ac:dyDescent="0.2">
      <c r="A10" s="13" t="str">
        <f t="shared" si="1"/>
        <v>41005_2-1/245&lt;lv75&gt;s2</v>
      </c>
      <c r="B10" s="101">
        <v>41005</v>
      </c>
      <c r="C10" s="88">
        <v>2</v>
      </c>
      <c r="D10" s="12" t="str">
        <f t="shared" si="2"/>
        <v>41005_2</v>
      </c>
      <c r="E10" s="4" t="str">
        <f ca="1">VLOOKUP($B10,OFFSET([2]quests!$A$1,0,0,COUNTA([2]quests!$A:$A),MATCH(E$1,[2]quests!$1:$1,0)-MATCH($B$1,[2]quests!$1:$1,0)+1),MATCH(E$1,[2]quests!$1:$1,0)-MATCH($B$1,[2]quests!$1:$1,0)+1,FALSE)</f>
        <v>オズ襲来！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【ウィザード級】オズ襲来</v>
      </c>
      <c r="G10" s="102">
        <v>1</v>
      </c>
      <c r="H10" s="12" t="str">
        <f t="shared" si="3"/>
        <v>41005_2-1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103" t="s">
        <v>209</v>
      </c>
      <c r="L10" s="104">
        <v>245</v>
      </c>
      <c r="M10" s="14" t="str">
        <f ca="1">VLOOKUP($L10,OFFSET([3]enemies!$A$1,0,0,COUNTA([3]enemies!$A:$A),MATCH(M$1,[3]enemies!$1:$1,0)-MATCH($L$1,[3]enemies!$1:$1,0)+1),MATCH(M$1,[3]enemies!$1:$1,0)-MATCH($L$1,[3]enemies!$1:$1,0)+1,FALSE)</f>
        <v>鎮癒の天使 ラファエル</v>
      </c>
      <c r="N10" s="14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4" t="str">
        <f ca="1">VLOOKUP($L10,OFFSET([4]characters!$A$1,0,0,COUNTA([4]characters!$A:$A),MATCH(O$1,[4]characters!$1:$1,0)-MATCH($L$1,[4]characters!$1:$1,0)+1),MATCH(O$1,[4]characters!$1:$1,0)-MATCH($L$1,[4]characters!$1:$1,0)+1,FALSE)</f>
        <v>PremiumS</v>
      </c>
      <c r="P10" s="14" t="str">
        <f ca="1">VLOOKUP($L10,OFFSET([3]enemies!$A$1,0,0,COUNTA([3]enemies!$A:$A),MATCH(P$1,[3]enemies!$1:$1,0)-MATCH($L$1,[3]enemies!$1:$1,0)+1),MATCH(P$1,[3]enemies!$1:$1,0)-MATCH($L$1,[3]enemies!$1:$1,0)+1,FALSE)</f>
        <v>machine</v>
      </c>
      <c r="Q10" s="14">
        <f ca="1">VLOOKUP($L10,OFFSET([3]enemies!$A$1,0,0,COUNTA([3]enemies!$A:$A),MATCH(Q$1,[3]enemies!$1:$1,0)-MATCH($L$1,[3]enemies!$1:$1,0)+1),MATCH(Q$1,[3]enemies!$1:$1,0)-MATCH($L$1,[3]enemies!$1:$1,0)+1,FALSE)</f>
        <v>30</v>
      </c>
      <c r="R10" s="105">
        <v>75</v>
      </c>
      <c r="S10" s="106">
        <v>1</v>
      </c>
      <c r="T10" s="106">
        <v>1</v>
      </c>
      <c r="U10" s="105">
        <v>0</v>
      </c>
      <c r="V10" s="4" t="str">
        <f ca="1">VLOOKUP(W10,enemy_skill_sets!B:E,3)</f>
        <v>魔力吸収</v>
      </c>
      <c r="W10" s="273">
        <v>41005012</v>
      </c>
      <c r="X10" s="107">
        <v>1</v>
      </c>
      <c r="Y10" s="108">
        <v>100</v>
      </c>
      <c r="Z10" s="108">
        <v>0</v>
      </c>
      <c r="AA10" s="109">
        <v>2</v>
      </c>
      <c r="AB10" s="97">
        <f t="shared" si="5"/>
        <v>245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鎮癒の天使 ラファエル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0" s="98">
        <v>1</v>
      </c>
      <c r="AG10" s="97">
        <f t="shared" ca="1" si="4"/>
        <v>4</v>
      </c>
      <c r="AH10" s="110">
        <v>0</v>
      </c>
      <c r="AI10" s="111">
        <v>0</v>
      </c>
      <c r="AJ10" s="111">
        <v>0</v>
      </c>
      <c r="AK10" s="111">
        <v>0</v>
      </c>
      <c r="AL10" s="111">
        <v>0</v>
      </c>
      <c r="AM10" s="111">
        <v>1</v>
      </c>
      <c r="AN10" s="59">
        <v>1</v>
      </c>
    </row>
    <row r="11" spans="1:40" ht="21" customHeight="1" thickBot="1" x14ac:dyDescent="0.2">
      <c r="A11" s="13" t="str">
        <f t="shared" ref="A11:A16" si="6">B11&amp;"_"&amp;C11&amp;"-"&amp;G11&amp;"/"&amp;L11&amp;"&lt;lv"&amp;R11&amp;"&gt;s"&amp;AA11</f>
        <v>41005_2-2/24&lt;lv80&gt;s3</v>
      </c>
      <c r="B11" s="87">
        <v>41005</v>
      </c>
      <c r="C11" s="88">
        <v>2</v>
      </c>
      <c r="D11" s="12" t="str">
        <f t="shared" ref="D11:D16" si="7">B11&amp;"_"&amp;C11</f>
        <v>41005_2</v>
      </c>
      <c r="E11" s="4" t="str">
        <f ca="1">VLOOKUP($B11,OFFSET([2]quests!$A$1,0,0,COUNTA([2]quests!$A:$A),MATCH(E$1,[2]quests!$1:$1,0)-MATCH($B$1,[2]quests!$1:$1,0)+1),MATCH(E$1,[2]quests!$1:$1,0)-MATCH($B$1,[2]quests!$1:$1,0)+1,FALSE)</f>
        <v>オズ襲来！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【ウィザード級】オズ襲来</v>
      </c>
      <c r="G11" s="112">
        <v>2</v>
      </c>
      <c r="H11" s="12" t="str">
        <f t="shared" ref="H11:H16" si="8">B11&amp;"_"&amp;C11&amp;"-"&amp;G11</f>
        <v>41005_2-2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113" t="s">
        <v>209</v>
      </c>
      <c r="L11" s="114">
        <v>24</v>
      </c>
      <c r="M11" s="14" t="str">
        <f ca="1">VLOOKUP($L11,OFFSET([3]enemies!$A$1,0,0,COUNTA([3]enemies!$A:$A),MATCH(M$1,[3]enemies!$1:$1,0)-MATCH($L$1,[3]enemies!$1:$1,0)+1),MATCH(M$1,[3]enemies!$1:$1,0)-MATCH($L$1,[3]enemies!$1:$1,0)+1,FALSE)</f>
        <v>天翔のミール</v>
      </c>
      <c r="N11" s="14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4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4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4">
        <f ca="1">VLOOKUP($L11,OFFSET([3]enemies!$A$1,0,0,COUNTA([3]enemies!$A:$A),MATCH(Q$1,[3]enemies!$1:$1,0)-MATCH($L$1,[3]enemies!$1:$1,0)+1),MATCH(Q$1,[3]enemies!$1:$1,0)-MATCH($L$1,[3]enemies!$1:$1,0)+1,FALSE)</f>
        <v>15</v>
      </c>
      <c r="R11" s="115">
        <v>80</v>
      </c>
      <c r="S11" s="116">
        <v>2</v>
      </c>
      <c r="T11" s="116">
        <v>2</v>
      </c>
      <c r="U11" s="115">
        <v>0</v>
      </c>
      <c r="V11" s="4" t="str">
        <f ca="1">VLOOKUP(W11,enemy_skill_sets!B:E,3)</f>
        <v>一気に行くぜ！</v>
      </c>
      <c r="W11" s="93">
        <v>41005003</v>
      </c>
      <c r="X11" s="117">
        <v>1</v>
      </c>
      <c r="Y11" s="118">
        <v>100</v>
      </c>
      <c r="Z11" s="118">
        <v>1</v>
      </c>
      <c r="AA11" s="119">
        <v>3</v>
      </c>
      <c r="AB11" s="97">
        <f t="shared" si="5"/>
        <v>24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天翔のミール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2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Drop1N</v>
      </c>
      <c r="AF11" s="98">
        <v>1</v>
      </c>
      <c r="AG11" s="97">
        <f t="shared" ref="AG11:AG16" ca="1" si="9">AD11</f>
        <v>2</v>
      </c>
      <c r="AH11" s="120">
        <v>15</v>
      </c>
      <c r="AI11" s="120">
        <v>0</v>
      </c>
      <c r="AJ11" s="120">
        <v>0</v>
      </c>
      <c r="AK11" s="120">
        <v>0</v>
      </c>
      <c r="AL11" s="120">
        <v>0</v>
      </c>
      <c r="AM11" s="120">
        <v>1</v>
      </c>
      <c r="AN11" s="59">
        <v>1</v>
      </c>
    </row>
    <row r="12" spans="1:40" ht="21" customHeight="1" thickBot="1" x14ac:dyDescent="0.2">
      <c r="A12" s="13" t="str">
        <f t="shared" si="6"/>
        <v>41005_2-2/24&lt;lv78&gt;s3</v>
      </c>
      <c r="B12" s="101">
        <v>41005</v>
      </c>
      <c r="C12" s="88">
        <v>2</v>
      </c>
      <c r="D12" s="12" t="str">
        <f t="shared" si="7"/>
        <v>41005_2</v>
      </c>
      <c r="E12" s="4" t="str">
        <f ca="1">VLOOKUP($B12,OFFSET([2]quests!$A$1,0,0,COUNTA([2]quests!$A:$A),MATCH(E$1,[2]quests!$1:$1,0)-MATCH($B$1,[2]quests!$1:$1,0)+1),MATCH(E$1,[2]quests!$1:$1,0)-MATCH($B$1,[2]quests!$1:$1,0)+1,FALSE)</f>
        <v>オズ襲来！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【ウィザード級】オズ襲来</v>
      </c>
      <c r="G12" s="121">
        <v>2</v>
      </c>
      <c r="H12" s="12" t="str">
        <f t="shared" si="8"/>
        <v>41005_2-2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122" t="s">
        <v>209</v>
      </c>
      <c r="L12" s="123">
        <v>24</v>
      </c>
      <c r="M12" s="14" t="str">
        <f ca="1">VLOOKUP($L12,OFFSET([3]enemies!$A$1,0,0,COUNTA([3]enemies!$A:$A),MATCH(M$1,[3]enemies!$1:$1,0)-MATCH($L$1,[3]enemies!$1:$1,0)+1),MATCH(M$1,[3]enemies!$1:$1,0)-MATCH($L$1,[3]enemies!$1:$1,0)+1,FALSE)</f>
        <v>天翔のミール</v>
      </c>
      <c r="N12" s="14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4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4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4">
        <f ca="1">VLOOKUP($L12,OFFSET([3]enemies!$A$1,0,0,COUNTA([3]enemies!$A:$A),MATCH(Q$1,[3]enemies!$1:$1,0)-MATCH($L$1,[3]enemies!$1:$1,0)+1),MATCH(Q$1,[3]enemies!$1:$1,0)-MATCH($L$1,[3]enemies!$1:$1,0)+1,FALSE)</f>
        <v>15</v>
      </c>
      <c r="R12" s="124">
        <v>78</v>
      </c>
      <c r="S12" s="125">
        <v>2</v>
      </c>
      <c r="T12" s="125">
        <v>2</v>
      </c>
      <c r="U12" s="124">
        <v>0</v>
      </c>
      <c r="V12" s="4" t="e">
        <f>VLOOKUP(W12,enemy_skill_sets!B:E,3)</f>
        <v>#N/A</v>
      </c>
      <c r="W12" s="126">
        <v>0</v>
      </c>
      <c r="X12" s="127">
        <v>3</v>
      </c>
      <c r="Y12" s="128">
        <v>100</v>
      </c>
      <c r="Z12" s="128">
        <v>0</v>
      </c>
      <c r="AA12" s="129">
        <v>3</v>
      </c>
      <c r="AB12" s="97">
        <f t="shared" si="5"/>
        <v>24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天翔のミール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Drop1N</v>
      </c>
      <c r="AF12" s="98">
        <v>1</v>
      </c>
      <c r="AG12" s="97">
        <f t="shared" ca="1" si="9"/>
        <v>2</v>
      </c>
      <c r="AH12" s="130">
        <v>15</v>
      </c>
      <c r="AI12" s="131">
        <v>0</v>
      </c>
      <c r="AJ12" s="131">
        <v>0</v>
      </c>
      <c r="AK12" s="131">
        <v>0</v>
      </c>
      <c r="AL12" s="131">
        <v>0</v>
      </c>
      <c r="AM12" s="131">
        <v>1</v>
      </c>
      <c r="AN12" s="59">
        <v>1</v>
      </c>
    </row>
    <row r="13" spans="1:40" ht="21" customHeight="1" thickBot="1" x14ac:dyDescent="0.2">
      <c r="A13" s="13" t="str">
        <f t="shared" si="6"/>
        <v>41005_2-3/212&lt;lv80&gt;s2</v>
      </c>
      <c r="B13" s="87">
        <v>41005</v>
      </c>
      <c r="C13" s="88">
        <v>2</v>
      </c>
      <c r="D13" s="12" t="str">
        <f t="shared" si="7"/>
        <v>41005_2</v>
      </c>
      <c r="E13" s="4" t="str">
        <f ca="1">VLOOKUP($B13,OFFSET([2]quests!$A$1,0,0,COUNTA([2]quests!$A:$A),MATCH(E$1,[2]quests!$1:$1,0)-MATCH($B$1,[2]quests!$1:$1,0)+1),MATCH(E$1,[2]quests!$1:$1,0)-MATCH($B$1,[2]quests!$1:$1,0)+1,FALSE)</f>
        <v>オズ襲来！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【ウィザード級】オズ襲来</v>
      </c>
      <c r="G13" s="132">
        <v>3</v>
      </c>
      <c r="H13" s="12" t="str">
        <f t="shared" si="8"/>
        <v>41005_2-3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133">
        <v>4</v>
      </c>
      <c r="L13" s="134">
        <v>212</v>
      </c>
      <c r="M13" s="14" t="str">
        <f ca="1">VLOOKUP($L13,OFFSET([3]enemies!$A$1,0,0,COUNTA([3]enemies!$A:$A),MATCH(M$1,[3]enemies!$1:$1,0)-MATCH($L$1,[3]enemies!$1:$1,0)+1),MATCH(M$1,[3]enemies!$1:$1,0)-MATCH($L$1,[3]enemies!$1:$1,0)+1,FALSE)</f>
        <v>星神 アストライアー</v>
      </c>
      <c r="N13" s="14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4" t="str">
        <f ca="1">VLOOKUP($L13,OFFSET([4]characters!$A$1,0,0,COUNTA([4]characters!$A:$A),MATCH(O$1,[4]characters!$1:$1,0)-MATCH($L$1,[4]characters!$1:$1,0)+1),MATCH(O$1,[4]characters!$1:$1,0)-MATCH($L$1,[4]characters!$1:$1,0)+1,FALSE)</f>
        <v>PremiumN</v>
      </c>
      <c r="P13" s="14" t="str">
        <f ca="1">VLOOKUP($L13,OFFSET([3]enemies!$A$1,0,0,COUNTA([3]enemies!$A:$A),MATCH(P$1,[3]enemies!$1:$1,0)-MATCH($L$1,[3]enemies!$1:$1,0)+1),MATCH(P$1,[3]enemies!$1:$1,0)-MATCH($L$1,[3]enemies!$1:$1,0)+1,FALSE)</f>
        <v>god</v>
      </c>
      <c r="Q13" s="14">
        <f ca="1">VLOOKUP($L13,OFFSET([3]enemies!$A$1,0,0,COUNTA([3]enemies!$A:$A),MATCH(Q$1,[3]enemies!$1:$1,0)-MATCH($L$1,[3]enemies!$1:$1,0)+1),MATCH(Q$1,[3]enemies!$1:$1,0)-MATCH($L$1,[3]enemies!$1:$1,0)+1,FALSE)</f>
        <v>30</v>
      </c>
      <c r="R13" s="135">
        <v>80</v>
      </c>
      <c r="S13" s="136">
        <v>1</v>
      </c>
      <c r="T13" s="136">
        <v>1</v>
      </c>
      <c r="U13" s="135">
        <v>0</v>
      </c>
      <c r="V13" s="4" t="str">
        <f ca="1">VLOOKUP(W13,enemy_skill_sets!B:E,3)</f>
        <v>西の魔女が消えた♪</v>
      </c>
      <c r="W13" s="137">
        <v>41005013</v>
      </c>
      <c r="X13" s="138">
        <v>1</v>
      </c>
      <c r="Y13" s="139">
        <v>100</v>
      </c>
      <c r="Z13" s="139">
        <v>1</v>
      </c>
      <c r="AA13" s="140">
        <v>2</v>
      </c>
      <c r="AB13" s="97">
        <f t="shared" si="5"/>
        <v>212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星神 アストライアー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4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3" s="98">
        <v>1</v>
      </c>
      <c r="AG13" s="97">
        <f t="shared" ca="1" si="9"/>
        <v>4</v>
      </c>
      <c r="AH13" s="141">
        <v>0</v>
      </c>
      <c r="AI13" s="142">
        <v>0</v>
      </c>
      <c r="AJ13" s="142">
        <v>0</v>
      </c>
      <c r="AK13" s="142">
        <v>0</v>
      </c>
      <c r="AL13" s="142">
        <v>0</v>
      </c>
      <c r="AM13" s="142">
        <v>1</v>
      </c>
      <c r="AN13" s="59">
        <v>1</v>
      </c>
    </row>
    <row r="14" spans="1:40" ht="21" customHeight="1" thickBot="1" x14ac:dyDescent="0.2">
      <c r="A14" s="13" t="str">
        <f t="shared" si="6"/>
        <v>41005_2-3/176&lt;lv80&gt;s2</v>
      </c>
      <c r="B14" s="101">
        <v>41005</v>
      </c>
      <c r="C14" s="88">
        <v>2</v>
      </c>
      <c r="D14" s="12" t="str">
        <f t="shared" si="7"/>
        <v>41005_2</v>
      </c>
      <c r="E14" s="4" t="str">
        <f ca="1">VLOOKUP($B14,OFFSET([2]quests!$A$1,0,0,COUNTA([2]quests!$A:$A),MATCH(E$1,[2]quests!$1:$1,0)-MATCH($B$1,[2]quests!$1:$1,0)+1),MATCH(E$1,[2]quests!$1:$1,0)-MATCH($B$1,[2]quests!$1:$1,0)+1,FALSE)</f>
        <v>オズ襲来！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【ウィザード級】オズ襲来</v>
      </c>
      <c r="G14" s="143">
        <v>3</v>
      </c>
      <c r="H14" s="12" t="str">
        <f t="shared" si="8"/>
        <v>41005_2-3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144">
        <v>5</v>
      </c>
      <c r="L14" s="145">
        <v>176</v>
      </c>
      <c r="M14" s="14" t="str">
        <f ca="1">VLOOKUP($L14,OFFSET([3]enemies!$A$1,0,0,COUNTA([3]enemies!$A:$A),MATCH(M$1,[3]enemies!$1:$1,0)-MATCH($L$1,[3]enemies!$1:$1,0)+1),MATCH(M$1,[3]enemies!$1:$1,0)-MATCH($L$1,[3]enemies!$1:$1,0)+1,FALSE)</f>
        <v>異教徒 バフォメット</v>
      </c>
      <c r="N14" s="14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4" t="str">
        <f ca="1">VLOOKUP($L14,OFFSET([4]characters!$A$1,0,0,COUNTA([4]characters!$A:$A),MATCH(O$1,[4]characters!$1:$1,0)-MATCH($L$1,[4]characters!$1:$1,0)+1),MATCH(O$1,[4]characters!$1:$1,0)-MATCH($L$1,[4]characters!$1:$1,0)+1,FALSE)</f>
        <v>PremiumN</v>
      </c>
      <c r="P14" s="14" t="str">
        <f ca="1">VLOOKUP($L14,OFFSET([3]enemies!$A$1,0,0,COUNTA([3]enemies!$A:$A),MATCH(P$1,[3]enemies!$1:$1,0)-MATCH($L$1,[3]enemies!$1:$1,0)+1),MATCH(P$1,[3]enemies!$1:$1,0)-MATCH($L$1,[3]enemies!$1:$1,0)+1,FALSE)</f>
        <v>god</v>
      </c>
      <c r="Q14" s="14">
        <f ca="1">VLOOKUP($L14,OFFSET([3]enemies!$A$1,0,0,COUNTA([3]enemies!$A:$A),MATCH(Q$1,[3]enemies!$1:$1,0)-MATCH($L$1,[3]enemies!$1:$1,0)+1),MATCH(Q$1,[3]enemies!$1:$1,0)-MATCH($L$1,[3]enemies!$1:$1,0)+1,FALSE)</f>
        <v>30</v>
      </c>
      <c r="R14" s="146">
        <v>80</v>
      </c>
      <c r="S14" s="147">
        <v>1</v>
      </c>
      <c r="T14" s="147">
        <v>1</v>
      </c>
      <c r="U14" s="146">
        <v>0</v>
      </c>
      <c r="V14" s="4" t="str">
        <f ca="1">VLOOKUP(W14,enemy_skill_sets!B:E,3)</f>
        <v>魔力吸収</v>
      </c>
      <c r="W14" s="148">
        <v>41005014</v>
      </c>
      <c r="X14" s="149">
        <v>1</v>
      </c>
      <c r="Y14" s="150">
        <v>100</v>
      </c>
      <c r="Z14" s="150">
        <v>0</v>
      </c>
      <c r="AA14" s="129">
        <v>2</v>
      </c>
      <c r="AB14" s="97">
        <f t="shared" si="5"/>
        <v>176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異教徒 バフォメット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4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4" s="98">
        <v>1</v>
      </c>
      <c r="AG14" s="97">
        <f t="shared" ca="1" si="9"/>
        <v>4</v>
      </c>
      <c r="AH14" s="151">
        <v>0</v>
      </c>
      <c r="AI14" s="152">
        <v>0</v>
      </c>
      <c r="AJ14" s="152">
        <v>0</v>
      </c>
      <c r="AK14" s="152">
        <v>0</v>
      </c>
      <c r="AL14" s="152">
        <v>0</v>
      </c>
      <c r="AM14" s="152">
        <v>1</v>
      </c>
      <c r="AN14" s="59">
        <v>1</v>
      </c>
    </row>
    <row r="15" spans="1:40" ht="21" customHeight="1" thickBot="1" x14ac:dyDescent="0.2">
      <c r="A15" s="13" t="str">
        <f t="shared" si="6"/>
        <v>41005_2-4/461&lt;lv85&gt;s1</v>
      </c>
      <c r="B15" s="87">
        <v>41005</v>
      </c>
      <c r="C15" s="88">
        <v>2</v>
      </c>
      <c r="D15" s="12" t="str">
        <f t="shared" si="7"/>
        <v>41005_2</v>
      </c>
      <c r="E15" s="4" t="str">
        <f ca="1">VLOOKUP($B15,OFFSET([2]quests!$A$1,0,0,COUNTA([2]quests!$A:$A),MATCH(E$1,[2]quests!$1:$1,0)-MATCH($B$1,[2]quests!$1:$1,0)+1),MATCH(E$1,[2]quests!$1:$1,0)-MATCH($B$1,[2]quests!$1:$1,0)+1,FALSE)</f>
        <v>オズ襲来！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【ウィザード級】オズ襲来</v>
      </c>
      <c r="G15" s="153">
        <v>4</v>
      </c>
      <c r="H15" s="12" t="str">
        <f t="shared" si="8"/>
        <v>41005_2-4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154">
        <v>6</v>
      </c>
      <c r="L15" s="155">
        <v>461</v>
      </c>
      <c r="M15" s="14" t="str">
        <f ca="1">VLOOKUP($L15,OFFSET([3]enemies!$A$1,0,0,COUNTA([3]enemies!$A:$A),MATCH(M$1,[3]enemies!$1:$1,0)-MATCH($L$1,[3]enemies!$1:$1,0)+1),MATCH(M$1,[3]enemies!$1:$1,0)-MATCH($L$1,[3]enemies!$1:$1,0)+1,FALSE)</f>
        <v>大いなる虚像 オズ</v>
      </c>
      <c r="N15" s="14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4" t="str">
        <f ca="1">VLOOKUP($L15,OFFSET([4]characters!$A$1,0,0,COUNTA([4]characters!$A:$A),MATCH(O$1,[4]characters!$1:$1,0)-MATCH($L$1,[4]characters!$1:$1,0)+1),MATCH(O$1,[4]characters!$1:$1,0)-MATCH($L$1,[4]characters!$1:$1,0)+1,FALSE)</f>
        <v>DropWizS</v>
      </c>
      <c r="P15" s="14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4">
        <f ca="1">VLOOKUP($L15,OFFSET([3]enemies!$A$1,0,0,COUNTA([3]enemies!$A:$A),MATCH(Q$1,[3]enemies!$1:$1,0)-MATCH($L$1,[3]enemies!$1:$1,0)+1),MATCH(Q$1,[3]enemies!$1:$1,0)-MATCH($L$1,[3]enemies!$1:$1,0)+1,FALSE)</f>
        <v>60</v>
      </c>
      <c r="R15" s="156">
        <v>85</v>
      </c>
      <c r="S15" s="157">
        <v>1.8</v>
      </c>
      <c r="T15" s="157">
        <v>1.1000000000000001</v>
      </c>
      <c r="U15" s="156">
        <v>0</v>
      </c>
      <c r="V15" s="4" t="str">
        <f ca="1">VLOOKUP(W15,enemy_skill_sets!B:E,3)</f>
        <v>石の脳を与えよう</v>
      </c>
      <c r="W15" s="158">
        <v>41005017</v>
      </c>
      <c r="X15" s="159">
        <v>1</v>
      </c>
      <c r="Y15" s="160">
        <v>100</v>
      </c>
      <c r="Z15" s="160">
        <v>1</v>
      </c>
      <c r="AA15" s="129">
        <v>1</v>
      </c>
      <c r="AB15" s="97">
        <v>460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オズ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5" s="98">
        <v>1</v>
      </c>
      <c r="AG15" s="97">
        <f t="shared" ca="1" si="9"/>
        <v>4</v>
      </c>
      <c r="AH15" s="161">
        <v>30</v>
      </c>
      <c r="AI15" s="162">
        <v>0</v>
      </c>
      <c r="AJ15" s="162">
        <v>0</v>
      </c>
      <c r="AK15" s="162">
        <v>0</v>
      </c>
      <c r="AL15" s="162">
        <v>0</v>
      </c>
      <c r="AM15" s="162">
        <v>1</v>
      </c>
      <c r="AN15" s="59">
        <v>1</v>
      </c>
    </row>
    <row r="16" spans="1:40" ht="21" customHeight="1" thickBot="1" x14ac:dyDescent="0.2">
      <c r="A16" s="13" t="str">
        <f t="shared" si="6"/>
        <v>41005_3-1/242&lt;lv75&gt;s2</v>
      </c>
      <c r="B16" s="87">
        <v>41005</v>
      </c>
      <c r="C16" s="88">
        <v>3</v>
      </c>
      <c r="D16" s="12" t="str">
        <f t="shared" si="7"/>
        <v>41005_3</v>
      </c>
      <c r="E16" s="4" t="str">
        <f ca="1">VLOOKUP($B16,OFFSET([2]quests!$A$1,0,0,COUNTA([2]quests!$A:$A),MATCH(E$1,[2]quests!$1:$1,0)-MATCH($B$1,[2]quests!$1:$1,0)+1),MATCH(E$1,[2]quests!$1:$1,0)-MATCH($B$1,[2]quests!$1:$1,0)+1,FALSE)</f>
        <v>オズ襲来！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【ノーコンテニュー】オズ襲来</v>
      </c>
      <c r="G16" s="88">
        <v>1</v>
      </c>
      <c r="H16" s="12" t="str">
        <f t="shared" si="8"/>
        <v>41005_3-1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89" t="s">
        <v>209</v>
      </c>
      <c r="L16" s="90">
        <v>242</v>
      </c>
      <c r="M16" s="14" t="str">
        <f ca="1">VLOOKUP($L16,OFFSET([3]enemies!$A$1,0,0,COUNTA([3]enemies!$A:$A),MATCH(M$1,[3]enemies!$1:$1,0)-MATCH($L$1,[3]enemies!$1:$1,0)+1),MATCH(M$1,[3]enemies!$1:$1,0)-MATCH($L$1,[3]enemies!$1:$1,0)+1,FALSE)</f>
        <v>百花の天使 ガブリエル</v>
      </c>
      <c r="N16" s="14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14" t="str">
        <f ca="1">VLOOKUP($L16,OFFSET([4]characters!$A$1,0,0,COUNTA([4]characters!$A:$A),MATCH(O$1,[4]characters!$1:$1,0)-MATCH($L$1,[4]characters!$1:$1,0)+1),MATCH(O$1,[4]characters!$1:$1,0)-MATCH($L$1,[4]characters!$1:$1,0)+1,FALSE)</f>
        <v>PremiumS</v>
      </c>
      <c r="P16" s="14" t="str">
        <f ca="1">VLOOKUP($L16,OFFSET([3]enemies!$A$1,0,0,COUNTA([3]enemies!$A:$A),MATCH(P$1,[3]enemies!$1:$1,0)-MATCH($L$1,[3]enemies!$1:$1,0)+1),MATCH(P$1,[3]enemies!$1:$1,0)-MATCH($L$1,[3]enemies!$1:$1,0)+1,FALSE)</f>
        <v>machine</v>
      </c>
      <c r="Q16" s="14">
        <f ca="1">VLOOKUP($L16,OFFSET([3]enemies!$A$1,0,0,COUNTA([3]enemies!$A:$A),MATCH(Q$1,[3]enemies!$1:$1,0)-MATCH($L$1,[3]enemies!$1:$1,0)+1),MATCH(Q$1,[3]enemies!$1:$1,0)-MATCH($L$1,[3]enemies!$1:$1,0)+1,FALSE)</f>
        <v>30</v>
      </c>
      <c r="R16" s="91">
        <v>75</v>
      </c>
      <c r="S16" s="92">
        <v>1</v>
      </c>
      <c r="T16" s="92">
        <v>1</v>
      </c>
      <c r="U16" s="91">
        <v>0</v>
      </c>
      <c r="V16" s="4" t="str">
        <f ca="1">VLOOKUP(W16,enemy_skill_sets!B:E,3)</f>
        <v>東の魔女が消えた♪</v>
      </c>
      <c r="W16" s="273">
        <v>41005011</v>
      </c>
      <c r="X16" s="94">
        <v>1</v>
      </c>
      <c r="Y16" s="95">
        <v>100</v>
      </c>
      <c r="Z16" s="95">
        <v>1</v>
      </c>
      <c r="AA16" s="96">
        <v>2</v>
      </c>
      <c r="AB16" s="97">
        <f t="shared" ref="AB16:AB21" si="10">L16</f>
        <v>242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百花の天使 ガブリエル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4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6" s="98">
        <v>1</v>
      </c>
      <c r="AG16" s="97">
        <f t="shared" ca="1" si="9"/>
        <v>4</v>
      </c>
      <c r="AH16" s="99">
        <v>0</v>
      </c>
      <c r="AI16" s="100">
        <v>0</v>
      </c>
      <c r="AJ16" s="100">
        <v>0</v>
      </c>
      <c r="AK16" s="100">
        <v>0</v>
      </c>
      <c r="AL16" s="100">
        <v>0</v>
      </c>
      <c r="AM16" s="100">
        <v>1</v>
      </c>
      <c r="AN16" s="59">
        <v>1</v>
      </c>
    </row>
    <row r="17" spans="1:40" ht="21" customHeight="1" thickBot="1" x14ac:dyDescent="0.2">
      <c r="A17" s="13" t="str">
        <f>B17&amp;"_"&amp;C17&amp;"-"&amp;G17&amp;"/"&amp;L17&amp;"&lt;lv"&amp;R17&amp;"&gt;s"&amp;AA17</f>
        <v>41005_3-1/245&lt;lv75&gt;s2</v>
      </c>
      <c r="B17" s="87">
        <v>41005</v>
      </c>
      <c r="C17" s="88">
        <v>3</v>
      </c>
      <c r="D17" s="12" t="str">
        <f>B17&amp;"_"&amp;C17</f>
        <v>41005_3</v>
      </c>
      <c r="E17" s="4" t="str">
        <f ca="1">VLOOKUP($B17,OFFSET([2]quests!$A$1,0,0,COUNTA([2]quests!$A:$A),MATCH(E$1,[2]quests!$1:$1,0)-MATCH($B$1,[2]quests!$1:$1,0)+1),MATCH(E$1,[2]quests!$1:$1,0)-MATCH($B$1,[2]quests!$1:$1,0)+1,FALSE)</f>
        <v>オズ襲来！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【ノーコンテニュー】オズ襲来</v>
      </c>
      <c r="G17" s="102">
        <v>1</v>
      </c>
      <c r="H17" s="12" t="str">
        <f>B17&amp;"_"&amp;C17&amp;"-"&amp;G17</f>
        <v>41005_3-1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103" t="s">
        <v>209</v>
      </c>
      <c r="L17" s="104">
        <v>245</v>
      </c>
      <c r="M17" s="14" t="str">
        <f ca="1">VLOOKUP($L17,OFFSET([3]enemies!$A$1,0,0,COUNTA([3]enemies!$A:$A),MATCH(M$1,[3]enemies!$1:$1,0)-MATCH($L$1,[3]enemies!$1:$1,0)+1),MATCH(M$1,[3]enemies!$1:$1,0)-MATCH($L$1,[3]enemies!$1:$1,0)+1,FALSE)</f>
        <v>鎮癒の天使 ラファエル</v>
      </c>
      <c r="N17" s="14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4" t="str">
        <f ca="1">VLOOKUP($L17,OFFSET([4]characters!$A$1,0,0,COUNTA([4]characters!$A:$A),MATCH(O$1,[4]characters!$1:$1,0)-MATCH($L$1,[4]characters!$1:$1,0)+1),MATCH(O$1,[4]characters!$1:$1,0)-MATCH($L$1,[4]characters!$1:$1,0)+1,FALSE)</f>
        <v>PremiumS</v>
      </c>
      <c r="P17" s="14" t="str">
        <f ca="1">VLOOKUP($L17,OFFSET([3]enemies!$A$1,0,0,COUNTA([3]enemies!$A:$A),MATCH(P$1,[3]enemies!$1:$1,0)-MATCH($L$1,[3]enemies!$1:$1,0)+1),MATCH(P$1,[3]enemies!$1:$1,0)-MATCH($L$1,[3]enemies!$1:$1,0)+1,FALSE)</f>
        <v>machine</v>
      </c>
      <c r="Q17" s="14">
        <f ca="1">VLOOKUP($L17,OFFSET([3]enemies!$A$1,0,0,COUNTA([3]enemies!$A:$A),MATCH(Q$1,[3]enemies!$1:$1,0)-MATCH($L$1,[3]enemies!$1:$1,0)+1),MATCH(Q$1,[3]enemies!$1:$1,0)-MATCH($L$1,[3]enemies!$1:$1,0)+1,FALSE)</f>
        <v>30</v>
      </c>
      <c r="R17" s="105">
        <v>75</v>
      </c>
      <c r="S17" s="106">
        <v>1</v>
      </c>
      <c r="T17" s="106">
        <v>1</v>
      </c>
      <c r="U17" s="105">
        <v>0</v>
      </c>
      <c r="V17" s="4" t="str">
        <f ca="1">VLOOKUP(W17,enemy_skill_sets!B:E,3)</f>
        <v>魔力吸収</v>
      </c>
      <c r="W17" s="273">
        <v>41005012</v>
      </c>
      <c r="X17" s="107">
        <v>1</v>
      </c>
      <c r="Y17" s="108">
        <v>100</v>
      </c>
      <c r="Z17" s="108">
        <v>0</v>
      </c>
      <c r="AA17" s="109">
        <v>2</v>
      </c>
      <c r="AB17" s="97">
        <f t="shared" si="10"/>
        <v>245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鎮癒の天使 ラファエル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4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7" s="98">
        <v>1</v>
      </c>
      <c r="AG17" s="97">
        <f ca="1">AD17</f>
        <v>4</v>
      </c>
      <c r="AH17" s="110">
        <v>0</v>
      </c>
      <c r="AI17" s="111">
        <v>0</v>
      </c>
      <c r="AJ17" s="111">
        <v>0</v>
      </c>
      <c r="AK17" s="111">
        <v>0</v>
      </c>
      <c r="AL17" s="111">
        <v>0</v>
      </c>
      <c r="AM17" s="111">
        <v>1</v>
      </c>
      <c r="AN17" s="59">
        <v>1</v>
      </c>
    </row>
    <row r="18" spans="1:40" ht="21" customHeight="1" thickBot="1" x14ac:dyDescent="0.2">
      <c r="A18" s="13" t="str">
        <f>B18&amp;"_"&amp;C18&amp;"-"&amp;G18&amp;"/"&amp;L18&amp;"&lt;lv"&amp;R18&amp;"&gt;s"&amp;AA18</f>
        <v>41005_3-2/24&lt;lv80&gt;s3</v>
      </c>
      <c r="B18" s="101">
        <v>41005</v>
      </c>
      <c r="C18" s="88">
        <v>3</v>
      </c>
      <c r="D18" s="12" t="str">
        <f>B18&amp;"_"&amp;C18</f>
        <v>41005_3</v>
      </c>
      <c r="E18" s="4" t="str">
        <f ca="1">VLOOKUP($B18,OFFSET([2]quests!$A$1,0,0,COUNTA([2]quests!$A:$A),MATCH(E$1,[2]quests!$1:$1,0)-MATCH($B$1,[2]quests!$1:$1,0)+1),MATCH(E$1,[2]quests!$1:$1,0)-MATCH($B$1,[2]quests!$1:$1,0)+1,FALSE)</f>
        <v>オズ襲来！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【ノーコンテニュー】オズ襲来</v>
      </c>
      <c r="G18" s="112">
        <v>2</v>
      </c>
      <c r="H18" s="12" t="str">
        <f>B18&amp;"_"&amp;C18&amp;"-"&amp;G18</f>
        <v>41005_3-2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113" t="s">
        <v>209</v>
      </c>
      <c r="L18" s="114">
        <v>24</v>
      </c>
      <c r="M18" s="14" t="str">
        <f ca="1">VLOOKUP($L18,OFFSET([3]enemies!$A$1,0,0,COUNTA([3]enemies!$A:$A),MATCH(M$1,[3]enemies!$1:$1,0)-MATCH($L$1,[3]enemies!$1:$1,0)+1),MATCH(M$1,[3]enemies!$1:$1,0)-MATCH($L$1,[3]enemies!$1:$1,0)+1,FALSE)</f>
        <v>天翔のミール</v>
      </c>
      <c r="N18" s="14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4" t="str">
        <f ca="1">VLOOKUP($L18,OFFSET([4]characters!$A$1,0,0,COUNTA([4]characters!$A:$A),MATCH(O$1,[4]characters!$1:$1,0)-MATCH($L$1,[4]characters!$1:$1,0)+1),MATCH(O$1,[4]characters!$1:$1,0)-MATCH($L$1,[4]characters!$1:$1,0)+1,FALSE)</f>
        <v>Drop1N</v>
      </c>
      <c r="P18" s="14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4">
        <f ca="1">VLOOKUP($L18,OFFSET([3]enemies!$A$1,0,0,COUNTA([3]enemies!$A:$A),MATCH(Q$1,[3]enemies!$1:$1,0)-MATCH($L$1,[3]enemies!$1:$1,0)+1),MATCH(Q$1,[3]enemies!$1:$1,0)-MATCH($L$1,[3]enemies!$1:$1,0)+1,FALSE)</f>
        <v>15</v>
      </c>
      <c r="R18" s="115">
        <v>80</v>
      </c>
      <c r="S18" s="116">
        <v>2</v>
      </c>
      <c r="T18" s="116">
        <v>2</v>
      </c>
      <c r="U18" s="115">
        <v>0</v>
      </c>
      <c r="V18" s="4" t="str">
        <f ca="1">VLOOKUP(W18,enemy_skill_sets!B:E,3)</f>
        <v>一気に行くぜ！</v>
      </c>
      <c r="W18" s="93">
        <v>41005003</v>
      </c>
      <c r="X18" s="117">
        <v>1</v>
      </c>
      <c r="Y18" s="118">
        <v>100</v>
      </c>
      <c r="Z18" s="118">
        <v>1</v>
      </c>
      <c r="AA18" s="119">
        <v>3</v>
      </c>
      <c r="AB18" s="97">
        <f t="shared" si="10"/>
        <v>24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天翔のミール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2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Drop1N</v>
      </c>
      <c r="AF18" s="98">
        <v>1</v>
      </c>
      <c r="AG18" s="97">
        <f ca="1">AD18</f>
        <v>2</v>
      </c>
      <c r="AH18" s="120">
        <v>15</v>
      </c>
      <c r="AI18" s="120">
        <v>0</v>
      </c>
      <c r="AJ18" s="120">
        <v>0</v>
      </c>
      <c r="AK18" s="120">
        <v>0</v>
      </c>
      <c r="AL18" s="120">
        <v>0</v>
      </c>
      <c r="AM18" s="120">
        <v>1</v>
      </c>
      <c r="AN18" s="59">
        <v>1</v>
      </c>
    </row>
    <row r="19" spans="1:40" ht="21" customHeight="1" thickBot="1" x14ac:dyDescent="0.2">
      <c r="A19" s="13" t="str">
        <f t="shared" ref="A19:A22" si="11">B19&amp;"_"&amp;C19&amp;"-"&amp;G19&amp;"/"&amp;L19&amp;"&lt;lv"&amp;R19&amp;"&gt;s"&amp;AA19</f>
        <v>41005_3-2/24&lt;lv78&gt;s3</v>
      </c>
      <c r="B19" s="87">
        <v>41005</v>
      </c>
      <c r="C19" s="88">
        <v>3</v>
      </c>
      <c r="D19" s="12" t="str">
        <f t="shared" ref="D19:D22" si="12">B19&amp;"_"&amp;C19</f>
        <v>41005_3</v>
      </c>
      <c r="E19" s="4" t="str">
        <f ca="1">VLOOKUP($B19,OFFSET([2]quests!$A$1,0,0,COUNTA([2]quests!$A:$A),MATCH(E$1,[2]quests!$1:$1,0)-MATCH($B$1,[2]quests!$1:$1,0)+1),MATCH(E$1,[2]quests!$1:$1,0)-MATCH($B$1,[2]quests!$1:$1,0)+1,FALSE)</f>
        <v>オズ襲来！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【ノーコンテニュー】オズ襲来</v>
      </c>
      <c r="G19" s="121">
        <v>2</v>
      </c>
      <c r="H19" s="12" t="str">
        <f t="shared" ref="H19:H22" si="13">B19&amp;"_"&amp;C19&amp;"-"&amp;G19</f>
        <v>41005_3-2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122" t="s">
        <v>209</v>
      </c>
      <c r="L19" s="123">
        <v>24</v>
      </c>
      <c r="M19" s="14" t="str">
        <f ca="1">VLOOKUP($L19,OFFSET([3]enemies!$A$1,0,0,COUNTA([3]enemies!$A:$A),MATCH(M$1,[3]enemies!$1:$1,0)-MATCH($L$1,[3]enemies!$1:$1,0)+1),MATCH(M$1,[3]enemies!$1:$1,0)-MATCH($L$1,[3]enemies!$1:$1,0)+1,FALSE)</f>
        <v>天翔のミール</v>
      </c>
      <c r="N19" s="14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4" t="str">
        <f ca="1">VLOOKUP($L19,OFFSET([4]characters!$A$1,0,0,COUNTA([4]characters!$A:$A),MATCH(O$1,[4]characters!$1:$1,0)-MATCH($L$1,[4]characters!$1:$1,0)+1),MATCH(O$1,[4]characters!$1:$1,0)-MATCH($L$1,[4]characters!$1:$1,0)+1,FALSE)</f>
        <v>Drop1N</v>
      </c>
      <c r="P19" s="14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4">
        <f ca="1">VLOOKUP($L19,OFFSET([3]enemies!$A$1,0,0,COUNTA([3]enemies!$A:$A),MATCH(Q$1,[3]enemies!$1:$1,0)-MATCH($L$1,[3]enemies!$1:$1,0)+1),MATCH(Q$1,[3]enemies!$1:$1,0)-MATCH($L$1,[3]enemies!$1:$1,0)+1,FALSE)</f>
        <v>15</v>
      </c>
      <c r="R19" s="124">
        <v>78</v>
      </c>
      <c r="S19" s="125">
        <v>2</v>
      </c>
      <c r="T19" s="125">
        <v>2</v>
      </c>
      <c r="U19" s="124">
        <v>0</v>
      </c>
      <c r="V19" s="4" t="e">
        <f>VLOOKUP(W19,enemy_skill_sets!B:E,3)</f>
        <v>#N/A</v>
      </c>
      <c r="W19" s="126">
        <v>0</v>
      </c>
      <c r="X19" s="127">
        <v>3</v>
      </c>
      <c r="Y19" s="128">
        <v>100</v>
      </c>
      <c r="Z19" s="128">
        <v>0</v>
      </c>
      <c r="AA19" s="129">
        <v>3</v>
      </c>
      <c r="AB19" s="97">
        <f t="shared" si="10"/>
        <v>24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天翔のミール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2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Drop1N</v>
      </c>
      <c r="AF19" s="98">
        <v>1</v>
      </c>
      <c r="AG19" s="97">
        <f t="shared" ref="AG19:AG22" ca="1" si="14">AD19</f>
        <v>2</v>
      </c>
      <c r="AH19" s="130">
        <v>15</v>
      </c>
      <c r="AI19" s="131">
        <v>0</v>
      </c>
      <c r="AJ19" s="131">
        <v>0</v>
      </c>
      <c r="AK19" s="131">
        <v>0</v>
      </c>
      <c r="AL19" s="131">
        <v>0</v>
      </c>
      <c r="AM19" s="131">
        <v>1</v>
      </c>
      <c r="AN19" s="59">
        <v>1</v>
      </c>
    </row>
    <row r="20" spans="1:40" ht="21" customHeight="1" thickBot="1" x14ac:dyDescent="0.2">
      <c r="A20" s="13" t="str">
        <f t="shared" si="11"/>
        <v>41005_3-3/212&lt;lv80&gt;s2</v>
      </c>
      <c r="B20" s="101">
        <v>41005</v>
      </c>
      <c r="C20" s="88">
        <v>3</v>
      </c>
      <c r="D20" s="12" t="str">
        <f t="shared" si="12"/>
        <v>41005_3</v>
      </c>
      <c r="E20" s="4" t="str">
        <f ca="1">VLOOKUP($B20,OFFSET([2]quests!$A$1,0,0,COUNTA([2]quests!$A:$A),MATCH(E$1,[2]quests!$1:$1,0)-MATCH($B$1,[2]quests!$1:$1,0)+1),MATCH(E$1,[2]quests!$1:$1,0)-MATCH($B$1,[2]quests!$1:$1,0)+1,FALSE)</f>
        <v>オズ襲来！</v>
      </c>
      <c r="F20" s="4" t="str">
        <f ca="1">VLOOKUP($D20,OFFSET([2]stages!$A$1,0,0,COUNTA([2]stages!$A:$A),MATCH(F$1,[2]stages!$2:$2,0)-MATCH($D$1,[2]stages!$2:$2,0)+1),MATCH(F$1,[2]stages!$2:$2,0)-MATCH($D$1,[2]stages!$2:$2,0)+1,FALSE)</f>
        <v>【ノーコンテニュー】オズ襲来</v>
      </c>
      <c r="G20" s="132">
        <v>3</v>
      </c>
      <c r="H20" s="12" t="str">
        <f t="shared" si="13"/>
        <v>41005_3-3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133">
        <v>7</v>
      </c>
      <c r="L20" s="134">
        <v>212</v>
      </c>
      <c r="M20" s="14" t="str">
        <f ca="1">VLOOKUP($L20,OFFSET([3]enemies!$A$1,0,0,COUNTA([3]enemies!$A:$A),MATCH(M$1,[3]enemies!$1:$1,0)-MATCH($L$1,[3]enemies!$1:$1,0)+1),MATCH(M$1,[3]enemies!$1:$1,0)-MATCH($L$1,[3]enemies!$1:$1,0)+1,FALSE)</f>
        <v>星神 アストライアー</v>
      </c>
      <c r="N20" s="14" t="str">
        <f ca="1">VLOOKUP($L20,OFFSET([3]enemies!$A$1,0,0,COUNTA([3]enemies!$A:$A),MATCH(N$1,[3]enemies!$1:$1,0)-MATCH($L$1,[3]enemies!$1:$1,0)+1),MATCH(N$1,[3]enemies!$1:$1,0)-MATCH($L$1,[3]enemies!$1:$1,0)+1,FALSE)</f>
        <v>yellow</v>
      </c>
      <c r="O20" s="14" t="str">
        <f ca="1">VLOOKUP($L20,OFFSET([4]characters!$A$1,0,0,COUNTA([4]characters!$A:$A),MATCH(O$1,[4]characters!$1:$1,0)-MATCH($L$1,[4]characters!$1:$1,0)+1),MATCH(O$1,[4]characters!$1:$1,0)-MATCH($L$1,[4]characters!$1:$1,0)+1,FALSE)</f>
        <v>PremiumN</v>
      </c>
      <c r="P20" s="14" t="str">
        <f ca="1">VLOOKUP($L20,OFFSET([3]enemies!$A$1,0,0,COUNTA([3]enemies!$A:$A),MATCH(P$1,[3]enemies!$1:$1,0)-MATCH($L$1,[3]enemies!$1:$1,0)+1),MATCH(P$1,[3]enemies!$1:$1,0)-MATCH($L$1,[3]enemies!$1:$1,0)+1,FALSE)</f>
        <v>god</v>
      </c>
      <c r="Q20" s="14">
        <f ca="1">VLOOKUP($L20,OFFSET([3]enemies!$A$1,0,0,COUNTA([3]enemies!$A:$A),MATCH(Q$1,[3]enemies!$1:$1,0)-MATCH($L$1,[3]enemies!$1:$1,0)+1),MATCH(Q$1,[3]enemies!$1:$1,0)-MATCH($L$1,[3]enemies!$1:$1,0)+1,FALSE)</f>
        <v>30</v>
      </c>
      <c r="R20" s="135">
        <v>80</v>
      </c>
      <c r="S20" s="136">
        <v>1</v>
      </c>
      <c r="T20" s="136">
        <v>1</v>
      </c>
      <c r="U20" s="135">
        <v>0</v>
      </c>
      <c r="V20" s="4" t="str">
        <f ca="1">VLOOKUP(W20,enemy_skill_sets!B:E,3)</f>
        <v>西の魔女が消えた♪</v>
      </c>
      <c r="W20" s="137">
        <v>41005013</v>
      </c>
      <c r="X20" s="138">
        <v>1</v>
      </c>
      <c r="Y20" s="139">
        <v>100</v>
      </c>
      <c r="Z20" s="139">
        <v>1</v>
      </c>
      <c r="AA20" s="140">
        <v>2</v>
      </c>
      <c r="AB20" s="97">
        <f t="shared" si="10"/>
        <v>212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星神 アストライアー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4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20" s="98">
        <v>1</v>
      </c>
      <c r="AG20" s="97">
        <f t="shared" ca="1" si="14"/>
        <v>4</v>
      </c>
      <c r="AH20" s="141">
        <v>0</v>
      </c>
      <c r="AI20" s="142">
        <v>0</v>
      </c>
      <c r="AJ20" s="142">
        <v>0</v>
      </c>
      <c r="AK20" s="142">
        <v>0</v>
      </c>
      <c r="AL20" s="142">
        <v>0</v>
      </c>
      <c r="AM20" s="142">
        <v>1</v>
      </c>
      <c r="AN20" s="59">
        <v>1</v>
      </c>
    </row>
    <row r="21" spans="1:40" ht="21" customHeight="1" thickBot="1" x14ac:dyDescent="0.2">
      <c r="A21" s="13" t="str">
        <f t="shared" si="11"/>
        <v>41005_3-3/176&lt;lv80&gt;s2</v>
      </c>
      <c r="B21" s="179">
        <v>41005</v>
      </c>
      <c r="C21" s="88">
        <v>3</v>
      </c>
      <c r="D21" s="164" t="str">
        <f t="shared" si="12"/>
        <v>41005_3</v>
      </c>
      <c r="E21" s="165" t="str">
        <f ca="1">VLOOKUP($B21,OFFSET([2]quests!$A$1,0,0,COUNTA([2]quests!$A:$A),MATCH(E$1,[2]quests!$1:$1,0)-MATCH($B$1,[2]quests!$1:$1,0)+1),MATCH(E$1,[2]quests!$1:$1,0)-MATCH($B$1,[2]quests!$1:$1,0)+1,FALSE)</f>
        <v>オズ襲来！</v>
      </c>
      <c r="F21" s="165" t="str">
        <f ca="1">VLOOKUP($D21,OFFSET([2]stages!$A$1,0,0,COUNTA([2]stages!$A:$A),MATCH(F$1,[2]stages!$2:$2,0)-MATCH($D$1,[2]stages!$2:$2,0)+1),MATCH(F$1,[2]stages!$2:$2,0)-MATCH($D$1,[2]stages!$2:$2,0)+1,FALSE)</f>
        <v>【ノーコンテニュー】オズ襲来</v>
      </c>
      <c r="G21" s="163">
        <v>3</v>
      </c>
      <c r="H21" s="164" t="str">
        <f t="shared" si="13"/>
        <v>41005_3-3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144">
        <v>8</v>
      </c>
      <c r="L21" s="145">
        <v>176</v>
      </c>
      <c r="M21" s="166" t="str">
        <f ca="1">VLOOKUP($L21,OFFSET([3]enemies!$A$1,0,0,COUNTA([3]enemies!$A:$A),MATCH(M$1,[3]enemies!$1:$1,0)-MATCH($L$1,[3]enemies!$1:$1,0)+1),MATCH(M$1,[3]enemies!$1:$1,0)-MATCH($L$1,[3]enemies!$1:$1,0)+1,FALSE)</f>
        <v>異教徒 バフォメット</v>
      </c>
      <c r="N21" s="166" t="str">
        <f ca="1">VLOOKUP($L21,OFFSET([3]enemies!$A$1,0,0,COUNTA([3]enemies!$A:$A),MATCH(N$1,[3]enemies!$1:$1,0)-MATCH($L$1,[3]enemies!$1:$1,0)+1),MATCH(N$1,[3]enemies!$1:$1,0)-MATCH($L$1,[3]enemies!$1:$1,0)+1,FALSE)</f>
        <v>yellow</v>
      </c>
      <c r="O21" s="166" t="str">
        <f ca="1">VLOOKUP($L21,OFFSET([4]characters!$A$1,0,0,COUNTA([4]characters!$A:$A),MATCH(O$1,[4]characters!$1:$1,0)-MATCH($L$1,[4]characters!$1:$1,0)+1),MATCH(O$1,[4]characters!$1:$1,0)-MATCH($L$1,[4]characters!$1:$1,0)+1,FALSE)</f>
        <v>PremiumN</v>
      </c>
      <c r="P21" s="166" t="str">
        <f ca="1">VLOOKUP($L21,OFFSET([3]enemies!$A$1,0,0,COUNTA([3]enemies!$A:$A),MATCH(P$1,[3]enemies!$1:$1,0)-MATCH($L$1,[3]enemies!$1:$1,0)+1),MATCH(P$1,[3]enemies!$1:$1,0)-MATCH($L$1,[3]enemies!$1:$1,0)+1,FALSE)</f>
        <v>god</v>
      </c>
      <c r="Q21" s="166">
        <f ca="1">VLOOKUP($L21,OFFSET([3]enemies!$A$1,0,0,COUNTA([3]enemies!$A:$A),MATCH(Q$1,[3]enemies!$1:$1,0)-MATCH($L$1,[3]enemies!$1:$1,0)+1),MATCH(Q$1,[3]enemies!$1:$1,0)-MATCH($L$1,[3]enemies!$1:$1,0)+1,FALSE)</f>
        <v>30</v>
      </c>
      <c r="R21" s="146">
        <v>80</v>
      </c>
      <c r="S21" s="147">
        <v>1</v>
      </c>
      <c r="T21" s="147">
        <v>1</v>
      </c>
      <c r="U21" s="146">
        <v>0</v>
      </c>
      <c r="V21" s="4" t="str">
        <f ca="1">VLOOKUP(W21,enemy_skill_sets!B:E,3)</f>
        <v>魔力吸収</v>
      </c>
      <c r="W21" s="148">
        <v>41005014</v>
      </c>
      <c r="X21" s="149">
        <v>1</v>
      </c>
      <c r="Y21" s="150">
        <v>100</v>
      </c>
      <c r="Z21" s="150">
        <v>0</v>
      </c>
      <c r="AA21" s="129">
        <v>2</v>
      </c>
      <c r="AB21" s="167">
        <f t="shared" si="10"/>
        <v>176</v>
      </c>
      <c r="AC21" s="165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異教徒 バフォメット</v>
      </c>
      <c r="AD21" s="165">
        <f ca="1">VLOOKUP($AB21,OFFSET([4]characters!$A$1,0,0,COUNTA([4]characters!$A:$A),MATCH(AD$1,[4]characters!$1:$1,0)-MATCH("character_id",[4]characters!$1:$1,0)+1),MATCH(AD$1,[4]characters!$1:$1,0)-MATCH("character_id",[4]characters!$1:$1,0)+1,FALSE)</f>
        <v>4</v>
      </c>
      <c r="AE21" s="165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21" s="168">
        <v>1</v>
      </c>
      <c r="AG21" s="167">
        <f t="shared" ca="1" si="14"/>
        <v>4</v>
      </c>
      <c r="AH21" s="151">
        <v>0</v>
      </c>
      <c r="AI21" s="152">
        <v>0</v>
      </c>
      <c r="AJ21" s="152">
        <v>0</v>
      </c>
      <c r="AK21" s="152">
        <v>0</v>
      </c>
      <c r="AL21" s="152">
        <v>0</v>
      </c>
      <c r="AM21" s="152">
        <v>1</v>
      </c>
      <c r="AN21" s="169">
        <v>1</v>
      </c>
    </row>
    <row r="22" spans="1:40" s="59" customFormat="1" ht="21" customHeight="1" thickBot="1" x14ac:dyDescent="0.2">
      <c r="A22" s="180" t="str">
        <f t="shared" si="11"/>
        <v>41005_3-4/461&lt;lv85&gt;s1</v>
      </c>
      <c r="B22" s="181">
        <v>41005</v>
      </c>
      <c r="C22" s="88">
        <v>3</v>
      </c>
      <c r="D22" s="12" t="str">
        <f t="shared" si="12"/>
        <v>41005_3</v>
      </c>
      <c r="E22" s="15" t="str">
        <f ca="1">VLOOKUP($B22,OFFSET([2]quests!$A$1,0,0,COUNTA([2]quests!$A:$A),MATCH(E$1,[2]quests!$1:$1,0)-MATCH($B$1,[2]quests!$1:$1,0)+1),MATCH(E$1,[2]quests!$1:$1,0)-MATCH($B$1,[2]quests!$1:$1,0)+1,FALSE)</f>
        <v>オズ襲来！</v>
      </c>
      <c r="F22" s="15" t="str">
        <f ca="1">VLOOKUP($D22,OFFSET([2]stages!$A$1,0,0,COUNTA([2]stages!$A:$A),MATCH(F$1,[2]stages!$2:$2,0)-MATCH($D$1,[2]stages!$2:$2,0)+1),MATCH(F$1,[2]stages!$2:$2,0)-MATCH($D$1,[2]stages!$2:$2,0)+1,FALSE)</f>
        <v>【ノーコンテニュー】オズ襲来</v>
      </c>
      <c r="G22" s="182">
        <v>4</v>
      </c>
      <c r="H22" s="12" t="str">
        <f t="shared" si="13"/>
        <v>41005_3-4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154">
        <v>9</v>
      </c>
      <c r="L22" s="155">
        <v>461</v>
      </c>
      <c r="M22" s="15" t="str">
        <f ca="1">VLOOKUP($L22,OFFSET([3]enemies!$A$1,0,0,COUNTA([3]enemies!$A:$A),MATCH(M$1,[3]enemies!$1:$1,0)-MATCH($L$1,[3]enemies!$1:$1,0)+1),MATCH(M$1,[3]enemies!$1:$1,0)-MATCH($L$1,[3]enemies!$1:$1,0)+1,FALSE)</f>
        <v>大いなる虚像 オズ</v>
      </c>
      <c r="N22" s="15" t="str">
        <f ca="1">VLOOKUP($L22,OFFSET([3]enemies!$A$1,0,0,COUNTA([3]enemies!$A:$A),MATCH(N$1,[3]enemies!$1:$1,0)-MATCH($L$1,[3]enemies!$1:$1,0)+1),MATCH(N$1,[3]enemies!$1:$1,0)-MATCH($L$1,[3]enemies!$1:$1,0)+1,FALSE)</f>
        <v>green</v>
      </c>
      <c r="O22" s="15" t="str">
        <f ca="1">VLOOKUP($L22,OFFSET([4]characters!$A$1,0,0,COUNTA([4]characters!$A:$A),MATCH(O$1,[4]characters!$1:$1,0)-MATCH($L$1,[4]characters!$1:$1,0)+1),MATCH(O$1,[4]characters!$1:$1,0)-MATCH($L$1,[4]characters!$1:$1,0)+1,FALSE)</f>
        <v>DropWizS</v>
      </c>
      <c r="P22" s="15" t="str">
        <f ca="1">VLOOKUP($L22,OFFSET([3]enemies!$A$1,0,0,COUNTA([3]enemies!$A:$A),MATCH(P$1,[3]enemies!$1:$1,0)-MATCH($L$1,[3]enemies!$1:$1,0)+1),MATCH(P$1,[3]enemies!$1:$1,0)-MATCH($L$1,[3]enemies!$1:$1,0)+1,FALSE)</f>
        <v>human</v>
      </c>
      <c r="Q22" s="15">
        <f ca="1">VLOOKUP($L22,OFFSET([3]enemies!$A$1,0,0,COUNTA([3]enemies!$A:$A),MATCH(Q$1,[3]enemies!$1:$1,0)-MATCH($L$1,[3]enemies!$1:$1,0)+1),MATCH(Q$1,[3]enemies!$1:$1,0)-MATCH($L$1,[3]enemies!$1:$1,0)+1,FALSE)</f>
        <v>60</v>
      </c>
      <c r="R22" s="156">
        <v>85</v>
      </c>
      <c r="S22" s="157">
        <v>1.8</v>
      </c>
      <c r="T22" s="157">
        <v>1.1000000000000001</v>
      </c>
      <c r="U22" s="156">
        <v>0</v>
      </c>
      <c r="V22" s="4" t="str">
        <f ca="1">VLOOKUP(W22,enemy_skill_sets!B:E,3)</f>
        <v>石の脳を与えよう</v>
      </c>
      <c r="W22" s="158">
        <v>41005017</v>
      </c>
      <c r="X22" s="159">
        <v>1</v>
      </c>
      <c r="Y22" s="160">
        <v>100</v>
      </c>
      <c r="Z22" s="160">
        <v>1</v>
      </c>
      <c r="AA22" s="129">
        <v>1</v>
      </c>
      <c r="AB22" s="97">
        <v>460</v>
      </c>
      <c r="AC22" s="15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オズ</v>
      </c>
      <c r="AD22" s="15">
        <f ca="1">VLOOKUP($AB22,OFFSET([4]characters!$A$1,0,0,COUNTA([4]characters!$A:$A),MATCH(AD$1,[4]characters!$1:$1,0)-MATCH("character_id",[4]characters!$1:$1,0)+1),MATCH(AD$1,[4]characters!$1:$1,0)-MATCH("character_id",[4]characters!$1:$1,0)+1,FALSE)</f>
        <v>4</v>
      </c>
      <c r="AE22" s="15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22" s="98">
        <v>1</v>
      </c>
      <c r="AG22" s="97">
        <f t="shared" ca="1" si="14"/>
        <v>4</v>
      </c>
      <c r="AH22" s="161">
        <v>100</v>
      </c>
      <c r="AI22" s="162">
        <v>0</v>
      </c>
      <c r="AJ22" s="162">
        <v>0</v>
      </c>
      <c r="AK22" s="162">
        <v>0</v>
      </c>
      <c r="AL22" s="162">
        <v>0</v>
      </c>
      <c r="AM22" s="162">
        <v>1</v>
      </c>
      <c r="AN22" s="59">
        <v>1</v>
      </c>
    </row>
    <row r="23" spans="1:40" s="170" customFormat="1" ht="21" customHeight="1" x14ac:dyDescent="0.15">
      <c r="B23" s="171"/>
      <c r="C23" s="172"/>
      <c r="D23" s="172"/>
      <c r="E23" s="173"/>
      <c r="F23" s="173"/>
      <c r="G23" s="172"/>
      <c r="H23" s="172"/>
      <c r="I23" s="173"/>
      <c r="J23" s="173"/>
      <c r="K23" s="174"/>
      <c r="L23" s="175"/>
      <c r="M23" s="173"/>
      <c r="N23" s="173"/>
      <c r="O23" s="173"/>
      <c r="P23" s="173"/>
      <c r="Q23" s="173"/>
      <c r="S23" s="176"/>
      <c r="T23" s="176"/>
      <c r="V23" s="173"/>
      <c r="W23" s="177"/>
      <c r="X23" s="174"/>
      <c r="Y23" s="174"/>
      <c r="Z23" s="174"/>
      <c r="AA23" s="178"/>
      <c r="AC23" s="173"/>
      <c r="AD23" s="173"/>
      <c r="AE23" s="173"/>
    </row>
    <row r="24" spans="1:40" s="170" customFormat="1" ht="21" customHeight="1" x14ac:dyDescent="0.15">
      <c r="B24" s="171"/>
      <c r="C24" s="172"/>
      <c r="D24" s="172"/>
      <c r="E24" s="173"/>
      <c r="F24" s="173"/>
      <c r="G24" s="172"/>
      <c r="H24" s="172"/>
      <c r="I24" s="173"/>
      <c r="J24" s="173"/>
      <c r="K24" s="174"/>
      <c r="L24" s="175"/>
      <c r="M24" s="173"/>
      <c r="N24" s="173"/>
      <c r="O24" s="173"/>
      <c r="P24" s="173"/>
      <c r="Q24" s="173"/>
      <c r="S24" s="176"/>
      <c r="T24" s="176"/>
      <c r="V24" s="173"/>
      <c r="W24" s="177"/>
      <c r="X24" s="174"/>
      <c r="Y24" s="174"/>
      <c r="Z24" s="174"/>
      <c r="AA24" s="178"/>
      <c r="AC24" s="173"/>
      <c r="AD24" s="173"/>
      <c r="AE24" s="173"/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13"/>
  <sheetViews>
    <sheetView showGridLines="0" topLeftCell="M1" zoomScale="107" zoomScaleNormal="75" zoomScalePageLayoutView="75" workbookViewId="0">
      <selection activeCell="T5" sqref="T5"/>
    </sheetView>
  </sheetViews>
  <sheetFormatPr baseColWidth="12" defaultColWidth="13" defaultRowHeight="21" customHeight="1" outlineLevelCol="1" x14ac:dyDescent="0.15"/>
  <cols>
    <col min="1" max="1" width="17" style="16" bestFit="1" customWidth="1"/>
    <col min="2" max="2" width="10.83203125" style="3" bestFit="1" customWidth="1"/>
    <col min="3" max="3" width="10.6640625" style="3" bestFit="1" customWidth="1"/>
    <col min="4" max="4" width="13" style="11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6" bestFit="1" customWidth="1"/>
    <col min="14" max="14" width="16.6640625" style="3" bestFit="1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28" customFormat="1" ht="21" customHeight="1" thickBot="1" x14ac:dyDescent="0.2">
      <c r="A1" s="20" t="s">
        <v>29</v>
      </c>
      <c r="B1" s="21" t="s">
        <v>0</v>
      </c>
      <c r="C1" s="21" t="s">
        <v>1</v>
      </c>
      <c r="D1" s="22" t="s">
        <v>28</v>
      </c>
      <c r="E1" s="23" t="s">
        <v>16</v>
      </c>
      <c r="F1" s="23" t="s">
        <v>16</v>
      </c>
      <c r="G1" s="21" t="s">
        <v>19</v>
      </c>
      <c r="H1" s="22" t="s">
        <v>30</v>
      </c>
      <c r="I1" s="22" t="s">
        <v>14</v>
      </c>
      <c r="J1" s="22" t="s">
        <v>15</v>
      </c>
      <c r="K1" s="29" t="s">
        <v>54</v>
      </c>
      <c r="L1" s="29" t="s">
        <v>55</v>
      </c>
      <c r="M1" s="30" t="s">
        <v>2</v>
      </c>
      <c r="N1" s="24" t="s">
        <v>16</v>
      </c>
      <c r="O1" s="22" t="s">
        <v>24</v>
      </c>
      <c r="P1" s="22" t="s">
        <v>23</v>
      </c>
      <c r="Q1" s="25" t="s">
        <v>26</v>
      </c>
      <c r="R1" s="23" t="s">
        <v>25</v>
      </c>
      <c r="S1" s="21" t="s">
        <v>3</v>
      </c>
      <c r="T1" s="19" t="s">
        <v>48</v>
      </c>
      <c r="U1" s="19" t="s">
        <v>50</v>
      </c>
      <c r="V1" s="19" t="s">
        <v>52</v>
      </c>
      <c r="W1" s="21" t="s">
        <v>125</v>
      </c>
      <c r="X1" s="22" t="s">
        <v>124</v>
      </c>
      <c r="Y1" s="21" t="s">
        <v>8</v>
      </c>
    </row>
    <row r="2" spans="1:25" ht="21" customHeight="1" thickBot="1" x14ac:dyDescent="0.2">
      <c r="A2" s="183" t="str">
        <f t="shared" ref="A2:A13" si="0">B2&amp;"_"&amp;C2&amp;"-"&amp;G2&amp;"/"&amp;M2&amp;"&lt;lv"&amp;S2&amp;"&gt;sq"&amp;K2&amp;"st"&amp;L2</f>
        <v>41005_1-3/212&lt;lv70&gt;sq1st2</v>
      </c>
      <c r="B2" s="184">
        <v>41005</v>
      </c>
      <c r="C2" s="185">
        <v>1</v>
      </c>
      <c r="D2" s="186" t="str">
        <f t="shared" ref="D2:D13" si="1">B2&amp;"_"&amp;C2</f>
        <v>41005_1</v>
      </c>
      <c r="E2" s="187" t="str">
        <f ca="1">VLOOKUP($B2,OFFSET([2]quests!$A$1,0,0,COUNTA([2]quests!$A:$A),MATCH(E$1,[2]quests!$1:$1,0)-MATCH($B$1,[2]quests!$1:$1,0)+1),MATCH(E$1,[2]quests!$1:$1,0)-MATCH($B$1,[2]quests!$1:$1,0)+1,FALSE)</f>
        <v>オズ襲来！</v>
      </c>
      <c r="F2" s="187" t="str">
        <f ca="1">VLOOKUP($D2,OFFSET([2]stages!$A$1,0,0,COUNTA([2]stages!$A:$A),MATCH(F$1,[2]stages!$2:$2,0)-MATCH($D$1,[2]stages!$2:$2,0)+1),MATCH(F$1,[2]stages!$2:$2,0)-MATCH($D$1,[2]stages!$2:$2,0)+1,FALSE)</f>
        <v>【超絶級】オズ襲来</v>
      </c>
      <c r="G2" s="185">
        <v>3</v>
      </c>
      <c r="H2" s="186" t="str">
        <f t="shared" ref="H2:H13" si="2">B2&amp;"_"&amp;C2&amp;"-"&amp;G2</f>
        <v>41005_1-3</v>
      </c>
      <c r="I2" s="15">
        <f ca="1">VLOOKUP($H2,OFFSET(floors!$A$1,0,0,COUNTA(floors!$A:$A),MATCH(I$1,floors!$1:$1,0)-MATCH($H$1,floors!$1:$1,0)+1),MATCH(I$1,floors!$1:$1,0)-MATCH($H$1,floors!$1:$1,0)+1,FALSE)</f>
        <v>60</v>
      </c>
      <c r="J2" s="15">
        <f ca="1">VLOOKUP($H2,OFFSET(floors!$A$1,0,0,COUNTA(floors!$A:$A),MATCH(J$1,floors!$1:$1,0)-MATCH($H$1,floors!$1:$1,0)+1),MATCH(J$1,floors!$1:$1,0)-MATCH($H$1,floors!$1:$1,0)+1,FALSE)</f>
        <v>60</v>
      </c>
      <c r="K2" s="188">
        <v>1</v>
      </c>
      <c r="L2" s="196">
        <v>2</v>
      </c>
      <c r="M2" s="197">
        <v>212</v>
      </c>
      <c r="N2" s="198" t="str">
        <f ca="1">VLOOKUP($M2,OFFSET([3]enemies!$A$1,0,0,COUNTA([3]enemies!$A:$A),MATCH(N$1,[3]enemies!$1:$1,0)-MATCH($M$1,[3]enemies!$1:$1,0)+1),MATCH(N$1,[3]enemies!$1:$1,0)-MATCH($M$1,[3]enemies!$1:$1,0)+1,FALSE)</f>
        <v>星神 アストライアー</v>
      </c>
      <c r="O2" s="190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90" t="str">
        <f ca="1">VLOOKUP($M2,OFFSET([4]characters!$A$1,0,0,COUNTA([4]characters!$A:$A),MATCH(P$1,[4]characters!$1:$1,0)-MATCH($M$1,[4]characters!$1:$1,0)+1),MATCH(P$1,[4]characters!$1:$1,0)-MATCH($M$1,[4]characters!$1:$1,0)+1,FALSE)</f>
        <v>PremiumN</v>
      </c>
      <c r="Q2" s="190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90">
        <f ca="1">VLOOKUP($M2,OFFSET([3]enemies!$A$1,0,0,COUNTA([3]enemies!$A:$A),MATCH(R$1,[3]enemies!$1:$1,0)-MATCH($M$1,[3]enemies!$1:$1,0)+1),MATCH(R$1,[3]enemies!$1:$1,0)-MATCH($M$1,[3]enemies!$1:$1,0)+1,FALSE)</f>
        <v>30</v>
      </c>
      <c r="S2" s="191">
        <v>70</v>
      </c>
      <c r="T2" s="192">
        <v>0.9</v>
      </c>
      <c r="U2" s="192">
        <v>1</v>
      </c>
      <c r="V2" s="191">
        <v>0</v>
      </c>
      <c r="W2" s="4" t="str">
        <f ca="1">VLOOKUP(X2,enemy_skill_sets!B:E,3)</f>
        <v>乙女座流星群</v>
      </c>
      <c r="X2" s="195">
        <v>41005006</v>
      </c>
      <c r="Y2" s="194">
        <v>2</v>
      </c>
    </row>
    <row r="3" spans="1:25" ht="21" customHeight="1" thickBot="1" x14ac:dyDescent="0.2">
      <c r="A3" s="199" t="str">
        <f t="shared" si="0"/>
        <v>41005_1-3/176&lt;lv70&gt;sq2st2</v>
      </c>
      <c r="B3" s="184">
        <v>41005</v>
      </c>
      <c r="C3" s="200">
        <v>1</v>
      </c>
      <c r="D3" s="201" t="str">
        <f t="shared" si="1"/>
        <v>41005_1</v>
      </c>
      <c r="E3" s="202" t="str">
        <f ca="1">VLOOKUP($B3,OFFSET([2]quests!$A$1,0,0,COUNTA([2]quests!$A:$A),MATCH(E$1,[2]quests!$1:$1,0)-MATCH($B$1,[2]quests!$1:$1,0)+1),MATCH(E$1,[2]quests!$1:$1,0)-MATCH($B$1,[2]quests!$1:$1,0)+1,FALSE)</f>
        <v>オズ襲来！</v>
      </c>
      <c r="F3" s="202" t="str">
        <f ca="1">VLOOKUP($D3,OFFSET([2]stages!$A$1,0,0,COUNTA([2]stages!$A:$A),MATCH(F$1,[2]stages!$2:$2,0)-MATCH($D$1,[2]stages!$2:$2,0)+1),MATCH(F$1,[2]stages!$2:$2,0)-MATCH($D$1,[2]stages!$2:$2,0)+1,FALSE)</f>
        <v>【超絶級】オズ襲来</v>
      </c>
      <c r="G3" s="200">
        <v>3</v>
      </c>
      <c r="H3" s="201" t="str">
        <f t="shared" si="2"/>
        <v>41005_1-3</v>
      </c>
      <c r="I3" s="256">
        <f ca="1">VLOOKUP($H3,OFFSET(floors!$A$1,0,0,COUNTA(floors!$A:$A),MATCH(I$1,floors!$1:$1,0)-MATCH($H$1,floors!$1:$1,0)+1),MATCH(I$1,floors!$1:$1,0)-MATCH($H$1,floors!$1:$1,0)+1,FALSE)</f>
        <v>60</v>
      </c>
      <c r="J3" s="256">
        <f ca="1">VLOOKUP($H3,OFFSET(floors!$A$1,0,0,COUNTA(floors!$A:$A),MATCH(J$1,floors!$1:$1,0)-MATCH($H$1,floors!$1:$1,0)+1),MATCH(J$1,floors!$1:$1,0)-MATCH($H$1,floors!$1:$1,0)+1,FALSE)</f>
        <v>60</v>
      </c>
      <c r="K3" s="203">
        <v>2</v>
      </c>
      <c r="L3" s="204">
        <v>2</v>
      </c>
      <c r="M3" s="205">
        <v>176</v>
      </c>
      <c r="N3" s="206" t="str">
        <f ca="1">VLOOKUP($M3,OFFSET([3]enemies!$A$1,0,0,COUNTA([3]enemies!$A:$A),MATCH(N$1,[3]enemies!$1:$1,0)-MATCH($M$1,[3]enemies!$1:$1,0)+1),MATCH(N$1,[3]enemies!$1:$1,0)-MATCH($M$1,[3]enemies!$1:$1,0)+1,FALSE)</f>
        <v>異教徒 バフォメット</v>
      </c>
      <c r="O3" s="20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207" t="str">
        <f ca="1">VLOOKUP($M3,OFFSET([4]characters!$A$1,0,0,COUNTA([4]characters!$A:$A),MATCH(P$1,[4]characters!$1:$1,0)-MATCH($M$1,[4]characters!$1:$1,0)+1),MATCH(P$1,[4]characters!$1:$1,0)-MATCH($M$1,[4]characters!$1:$1,0)+1,FALSE)</f>
        <v>PremiumN</v>
      </c>
      <c r="Q3" s="20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207">
        <f ca="1">VLOOKUP($M3,OFFSET([3]enemies!$A$1,0,0,COUNTA([3]enemies!$A:$A),MATCH(R$1,[3]enemies!$1:$1,0)-MATCH($M$1,[3]enemies!$1:$1,0)+1),MATCH(R$1,[3]enemies!$1:$1,0)-MATCH($M$1,[3]enemies!$1:$1,0)+1,FALSE)</f>
        <v>30</v>
      </c>
      <c r="S3" s="208">
        <v>70</v>
      </c>
      <c r="T3" s="209">
        <v>0.9</v>
      </c>
      <c r="U3" s="209">
        <v>1</v>
      </c>
      <c r="V3" s="208">
        <v>0</v>
      </c>
      <c r="W3" s="4" t="str">
        <f ca="1">VLOOKUP(X3,enemy_skill_sets!B:E,3)</f>
        <v>魔力吸収</v>
      </c>
      <c r="X3" s="202">
        <v>41005007</v>
      </c>
      <c r="Y3" s="210">
        <v>2</v>
      </c>
    </row>
    <row r="4" spans="1:25" ht="21" customHeight="1" thickBot="1" x14ac:dyDescent="0.2">
      <c r="A4" s="183" t="str">
        <f t="shared" si="0"/>
        <v>41005_1-4/461&lt;lv75&gt;sq3st2</v>
      </c>
      <c r="B4" s="184">
        <v>41005</v>
      </c>
      <c r="C4" s="185">
        <v>1</v>
      </c>
      <c r="D4" s="186" t="str">
        <f t="shared" si="1"/>
        <v>41005_1</v>
      </c>
      <c r="E4" s="187" t="str">
        <f ca="1">VLOOKUP($B4,OFFSET([2]quests!$A$1,0,0,COUNTA([2]quests!$A:$A),MATCH(E$1,[2]quests!$1:$1,0)-MATCH($B$1,[2]quests!$1:$1,0)+1),MATCH(E$1,[2]quests!$1:$1,0)-MATCH($B$1,[2]quests!$1:$1,0)+1,FALSE)</f>
        <v>オズ襲来！</v>
      </c>
      <c r="F4" s="187" t="str">
        <f ca="1">VLOOKUP($D4,OFFSET([2]stages!$A$1,0,0,COUNTA([2]stages!$A:$A),MATCH(F$1,[2]stages!$2:$2,0)-MATCH($D$1,[2]stages!$2:$2,0)+1),MATCH(F$1,[2]stages!$2:$2,0)-MATCH($D$1,[2]stages!$2:$2,0)+1,FALSE)</f>
        <v>【超絶級】オズ襲来</v>
      </c>
      <c r="G4" s="185">
        <v>4</v>
      </c>
      <c r="H4" s="186" t="str">
        <f t="shared" si="2"/>
        <v>41005_1-4</v>
      </c>
      <c r="I4" s="254">
        <f ca="1">VLOOKUP($H4,OFFSET(floors!$A$1,0,0,COUNTA(floors!$A:$A),MATCH(I$1,floors!$1:$1,0)-MATCH($H$1,floors!$1:$1,0)+1),MATCH(I$1,floors!$1:$1,0)-MATCH($H$1,floors!$1:$1,0)+1,FALSE)</f>
        <v>60</v>
      </c>
      <c r="J4" s="254">
        <f ca="1">VLOOKUP($H4,OFFSET(floors!$A$1,0,0,COUNTA(floors!$A:$A),MATCH(J$1,floors!$1:$1,0)-MATCH($H$1,floors!$1:$1,0)+1),MATCH(J$1,floors!$1:$1,0)-MATCH($H$1,floors!$1:$1,0)+1,FALSE)</f>
        <v>60</v>
      </c>
      <c r="K4" s="188">
        <v>3</v>
      </c>
      <c r="L4" s="188">
        <v>2</v>
      </c>
      <c r="M4" s="189">
        <v>461</v>
      </c>
      <c r="N4" s="190" t="str">
        <f ca="1">VLOOKUP($M4,OFFSET([3]enemies!$A$1,0,0,COUNTA([3]enemies!$A:$A),MATCH(N$1,[3]enemies!$1:$1,0)-MATCH($M$1,[3]enemies!$1:$1,0)+1),MATCH(N$1,[3]enemies!$1:$1,0)-MATCH($M$1,[3]enemies!$1:$1,0)+1,FALSE)</f>
        <v>大いなる虚像 オズ</v>
      </c>
      <c r="O4" s="190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90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90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90">
        <f ca="1">VLOOKUP($M4,OFFSET([3]enemies!$A$1,0,0,COUNTA([3]enemies!$A:$A),MATCH(R$1,[3]enemies!$1:$1,0)-MATCH($M$1,[3]enemies!$1:$1,0)+1),MATCH(R$1,[3]enemies!$1:$1,0)-MATCH($M$1,[3]enemies!$1:$1,0)+1,FALSE)</f>
        <v>60</v>
      </c>
      <c r="S4" s="191">
        <v>75</v>
      </c>
      <c r="T4" s="192">
        <v>2.1</v>
      </c>
      <c r="U4" s="192">
        <v>1</v>
      </c>
      <c r="V4" s="191">
        <v>0</v>
      </c>
      <c r="W4" s="4" t="str">
        <f ca="1">VLOOKUP(X4,enemy_skill_sets!B:E,3)</f>
        <v>どうだ素晴らしいだろう！</v>
      </c>
      <c r="X4" s="193">
        <v>41005009</v>
      </c>
      <c r="Y4" s="194">
        <v>1</v>
      </c>
    </row>
    <row r="5" spans="1:25" ht="21" customHeight="1" thickBot="1" x14ac:dyDescent="0.2">
      <c r="A5" s="199" t="str">
        <f t="shared" si="0"/>
        <v>41005_1-4/461&lt;lv75&gt;sq3st3</v>
      </c>
      <c r="B5" s="184">
        <v>41005</v>
      </c>
      <c r="C5" s="200">
        <v>1</v>
      </c>
      <c r="D5" s="201" t="str">
        <f t="shared" si="1"/>
        <v>41005_1</v>
      </c>
      <c r="E5" s="202" t="str">
        <f ca="1">VLOOKUP($B5,OFFSET([2]quests!$A$1,0,0,COUNTA([2]quests!$A:$A),MATCH(E$1,[2]quests!$1:$1,0)-MATCH($B$1,[2]quests!$1:$1,0)+1),MATCH(E$1,[2]quests!$1:$1,0)-MATCH($B$1,[2]quests!$1:$1,0)+1,FALSE)</f>
        <v>オズ襲来！</v>
      </c>
      <c r="F5" s="202" t="str">
        <f ca="1">VLOOKUP($D5,OFFSET([2]stages!$A$1,0,0,COUNTA([2]stages!$A:$A),MATCH(F$1,[2]stages!$2:$2,0)-MATCH($D$1,[2]stages!$2:$2,0)+1),MATCH(F$1,[2]stages!$2:$2,0)-MATCH($D$1,[2]stages!$2:$2,0)+1,FALSE)</f>
        <v>【超絶級】オズ襲来</v>
      </c>
      <c r="G5" s="200">
        <v>4</v>
      </c>
      <c r="H5" s="201" t="str">
        <f t="shared" si="2"/>
        <v>41005_1-4</v>
      </c>
      <c r="I5" s="256">
        <f ca="1">VLOOKUP($H5,OFFSET(floors!$A$1,0,0,COUNTA(floors!$A:$A),MATCH(I$1,floors!$1:$1,0)-MATCH($H$1,floors!$1:$1,0)+1),MATCH(I$1,floors!$1:$1,0)-MATCH($H$1,floors!$1:$1,0)+1,FALSE)</f>
        <v>60</v>
      </c>
      <c r="J5" s="256">
        <f ca="1">VLOOKUP($H5,OFFSET(floors!$A$1,0,0,COUNTA(floors!$A:$A),MATCH(J$1,floors!$1:$1,0)-MATCH($H$1,floors!$1:$1,0)+1),MATCH(J$1,floors!$1:$1,0)-MATCH($H$1,floors!$1:$1,0)+1,FALSE)</f>
        <v>60</v>
      </c>
      <c r="K5" s="203">
        <v>3</v>
      </c>
      <c r="L5" s="203">
        <v>3</v>
      </c>
      <c r="M5" s="211">
        <v>461</v>
      </c>
      <c r="N5" s="207" t="str">
        <f ca="1">VLOOKUP($M5,OFFSET([3]enemies!$A$1,0,0,COUNTA([3]enemies!$A:$A),MATCH(N$1,[3]enemies!$1:$1,0)-MATCH($M$1,[3]enemies!$1:$1,0)+1),MATCH(N$1,[3]enemies!$1:$1,0)-MATCH($M$1,[3]enemies!$1:$1,0)+1,FALSE)</f>
        <v>大いなる虚像 オズ</v>
      </c>
      <c r="O5" s="20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20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20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207">
        <f ca="1">VLOOKUP($M5,OFFSET([3]enemies!$A$1,0,0,COUNTA([3]enemies!$A:$A),MATCH(R$1,[3]enemies!$1:$1,0)-MATCH($M$1,[3]enemies!$1:$1,0)+1),MATCH(R$1,[3]enemies!$1:$1,0)-MATCH($M$1,[3]enemies!$1:$1,0)+1,FALSE)</f>
        <v>60</v>
      </c>
      <c r="S5" s="208">
        <v>75</v>
      </c>
      <c r="T5" s="209">
        <v>2.7</v>
      </c>
      <c r="U5" s="209">
        <v>1.3</v>
      </c>
      <c r="V5" s="208">
        <v>0</v>
      </c>
      <c r="W5" s="4" t="str">
        <f ca="1">VLOOKUP(X5,enemy_skill_sets!B:E,3)</f>
        <v>そろそろ諦めるんだな！</v>
      </c>
      <c r="X5" s="212">
        <v>41005010</v>
      </c>
      <c r="Y5" s="210">
        <v>1</v>
      </c>
    </row>
    <row r="6" spans="1:25" ht="21" customHeight="1" thickBot="1" x14ac:dyDescent="0.2">
      <c r="A6" s="183" t="str">
        <f t="shared" si="0"/>
        <v>41005_2-3/212&lt;lv80&gt;sq4st2</v>
      </c>
      <c r="B6" s="184">
        <v>41005</v>
      </c>
      <c r="C6" s="185">
        <v>2</v>
      </c>
      <c r="D6" s="186" t="str">
        <f t="shared" si="1"/>
        <v>41005_2</v>
      </c>
      <c r="E6" s="187" t="str">
        <f ca="1">VLOOKUP($B6,OFFSET([2]quests!$A$1,0,0,COUNTA([2]quests!$A:$A),MATCH(E$1,[2]quests!$1:$1,0)-MATCH($B$1,[2]quests!$1:$1,0)+1),MATCH(E$1,[2]quests!$1:$1,0)-MATCH($B$1,[2]quests!$1:$1,0)+1,FALSE)</f>
        <v>オズ襲来！</v>
      </c>
      <c r="F6" s="187" t="str">
        <f ca="1">VLOOKUP($D6,OFFSET([2]stages!$A$1,0,0,COUNTA([2]stages!$A:$A),MATCH(F$1,[2]stages!$2:$2,0)-MATCH($D$1,[2]stages!$2:$2,0)+1),MATCH(F$1,[2]stages!$2:$2,0)-MATCH($D$1,[2]stages!$2:$2,0)+1,FALSE)</f>
        <v>【ウィザード級】オズ襲来</v>
      </c>
      <c r="G6" s="185">
        <v>3</v>
      </c>
      <c r="H6" s="186" t="str">
        <f t="shared" si="2"/>
        <v>41005_2-3</v>
      </c>
      <c r="I6" s="254">
        <f ca="1">VLOOKUP($H6,OFFSET(floors!$A$1,0,0,COUNTA(floors!$A:$A),MATCH(I$1,floors!$1:$1,0)-MATCH($H$1,floors!$1:$1,0)+1),MATCH(I$1,floors!$1:$1,0)-MATCH($H$1,floors!$1:$1,0)+1,FALSE)</f>
        <v>60</v>
      </c>
      <c r="J6" s="254">
        <f ca="1">VLOOKUP($H6,OFFSET(floors!$A$1,0,0,COUNTA(floors!$A:$A),MATCH(J$1,floors!$1:$1,0)-MATCH($H$1,floors!$1:$1,0)+1),MATCH(J$1,floors!$1:$1,0)-MATCH($H$1,floors!$1:$1,0)+1,FALSE)</f>
        <v>60</v>
      </c>
      <c r="K6" s="188">
        <v>4</v>
      </c>
      <c r="L6" s="196">
        <v>2</v>
      </c>
      <c r="M6" s="197">
        <v>212</v>
      </c>
      <c r="N6" s="198" t="str">
        <f ca="1">VLOOKUP($M6,OFFSET([3]enemies!$A$1,0,0,COUNTA([3]enemies!$A:$A),MATCH(N$1,[3]enemies!$1:$1,0)-MATCH($M$1,[3]enemies!$1:$1,0)+1),MATCH(N$1,[3]enemies!$1:$1,0)-MATCH($M$1,[3]enemies!$1:$1,0)+1,FALSE)</f>
        <v>星神 アストライアー</v>
      </c>
      <c r="O6" s="190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90" t="str">
        <f ca="1">VLOOKUP($M6,OFFSET([4]characters!$A$1,0,0,COUNTA([4]characters!$A:$A),MATCH(P$1,[4]characters!$1:$1,0)-MATCH($M$1,[4]characters!$1:$1,0)+1),MATCH(P$1,[4]characters!$1:$1,0)-MATCH($M$1,[4]characters!$1:$1,0)+1,FALSE)</f>
        <v>PremiumN</v>
      </c>
      <c r="Q6" s="190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90">
        <f ca="1">VLOOKUP($M6,OFFSET([3]enemies!$A$1,0,0,COUNTA([3]enemies!$A:$A),MATCH(R$1,[3]enemies!$1:$1,0)-MATCH($M$1,[3]enemies!$1:$1,0)+1),MATCH(R$1,[3]enemies!$1:$1,0)-MATCH($M$1,[3]enemies!$1:$1,0)+1,FALSE)</f>
        <v>30</v>
      </c>
      <c r="S6" s="191">
        <v>80</v>
      </c>
      <c r="T6" s="192">
        <v>0.9</v>
      </c>
      <c r="U6" s="192">
        <v>1</v>
      </c>
      <c r="V6" s="191">
        <v>0</v>
      </c>
      <c r="W6" s="4" t="str">
        <f ca="1">VLOOKUP(X6,enemy_skill_sets!B:E,4)</f>
        <v>お邪魔パネル×8</v>
      </c>
      <c r="X6" s="195">
        <v>41005015</v>
      </c>
      <c r="Y6" s="194">
        <v>2</v>
      </c>
    </row>
    <row r="7" spans="1:25" ht="21" customHeight="1" thickBot="1" x14ac:dyDescent="0.2">
      <c r="A7" s="199" t="str">
        <f t="shared" si="0"/>
        <v>41005_2-3/176&lt;lv80&gt;sq5st2</v>
      </c>
      <c r="B7" s="184">
        <v>41005</v>
      </c>
      <c r="C7" s="185">
        <v>2</v>
      </c>
      <c r="D7" s="201" t="str">
        <f t="shared" si="1"/>
        <v>41005_2</v>
      </c>
      <c r="E7" s="202" t="str">
        <f ca="1">VLOOKUP($B7,OFFSET([2]quests!$A$1,0,0,COUNTA([2]quests!$A:$A),MATCH(E$1,[2]quests!$1:$1,0)-MATCH($B$1,[2]quests!$1:$1,0)+1),MATCH(E$1,[2]quests!$1:$1,0)-MATCH($B$1,[2]quests!$1:$1,0)+1,FALSE)</f>
        <v>オズ襲来！</v>
      </c>
      <c r="F7" s="202" t="str">
        <f ca="1">VLOOKUP($D7,OFFSET([2]stages!$A$1,0,0,COUNTA([2]stages!$A:$A),MATCH(F$1,[2]stages!$2:$2,0)-MATCH($D$1,[2]stages!$2:$2,0)+1),MATCH(F$1,[2]stages!$2:$2,0)-MATCH($D$1,[2]stages!$2:$2,0)+1,FALSE)</f>
        <v>【ウィザード級】オズ襲来</v>
      </c>
      <c r="G7" s="200">
        <v>3</v>
      </c>
      <c r="H7" s="201" t="str">
        <f t="shared" si="2"/>
        <v>41005_2-3</v>
      </c>
      <c r="I7" s="256">
        <f ca="1">VLOOKUP($H7,OFFSET(floors!$A$1,0,0,COUNTA(floors!$A:$A),MATCH(I$1,floors!$1:$1,0)-MATCH($H$1,floors!$1:$1,0)+1),MATCH(I$1,floors!$1:$1,0)-MATCH($H$1,floors!$1:$1,0)+1,FALSE)</f>
        <v>60</v>
      </c>
      <c r="J7" s="256">
        <f ca="1">VLOOKUP($H7,OFFSET(floors!$A$1,0,0,COUNTA(floors!$A:$A),MATCH(J$1,floors!$1:$1,0)-MATCH($H$1,floors!$1:$1,0)+1),MATCH(J$1,floors!$1:$1,0)-MATCH($H$1,floors!$1:$1,0)+1,FALSE)</f>
        <v>60</v>
      </c>
      <c r="K7" s="203">
        <v>5</v>
      </c>
      <c r="L7" s="204">
        <v>2</v>
      </c>
      <c r="M7" s="205">
        <v>176</v>
      </c>
      <c r="N7" s="206" t="str">
        <f ca="1">VLOOKUP($M7,OFFSET([3]enemies!$A$1,0,0,COUNTA([3]enemies!$A:$A),MATCH(N$1,[3]enemies!$1:$1,0)-MATCH($M$1,[3]enemies!$1:$1,0)+1),MATCH(N$1,[3]enemies!$1:$1,0)-MATCH($M$1,[3]enemies!$1:$1,0)+1,FALSE)</f>
        <v>異教徒 バフォメット</v>
      </c>
      <c r="O7" s="207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207" t="str">
        <f ca="1">VLOOKUP($M7,OFFSET([4]characters!$A$1,0,0,COUNTA([4]characters!$A:$A),MATCH(P$1,[4]characters!$1:$1,0)-MATCH($M$1,[4]characters!$1:$1,0)+1),MATCH(P$1,[4]characters!$1:$1,0)-MATCH($M$1,[4]characters!$1:$1,0)+1,FALSE)</f>
        <v>PremiumN</v>
      </c>
      <c r="Q7" s="207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207">
        <f ca="1">VLOOKUP($M7,OFFSET([3]enemies!$A$1,0,0,COUNTA([3]enemies!$A:$A),MATCH(R$1,[3]enemies!$1:$1,0)-MATCH($M$1,[3]enemies!$1:$1,0)+1),MATCH(R$1,[3]enemies!$1:$1,0)-MATCH($M$1,[3]enemies!$1:$1,0)+1,FALSE)</f>
        <v>30</v>
      </c>
      <c r="S7" s="208">
        <v>80</v>
      </c>
      <c r="T7" s="209">
        <v>0.9</v>
      </c>
      <c r="U7" s="209">
        <v>1</v>
      </c>
      <c r="V7" s="208">
        <v>0</v>
      </c>
      <c r="W7" s="4" t="str">
        <f ca="1">VLOOKUP(X7,enemy_skill_sets!B:E,4)</f>
        <v>黄パネルを吸収して攻撃力と頻度アップ</v>
      </c>
      <c r="X7" s="202">
        <v>41005016</v>
      </c>
      <c r="Y7" s="210">
        <v>2</v>
      </c>
    </row>
    <row r="8" spans="1:25" ht="21" customHeight="1" thickBot="1" x14ac:dyDescent="0.2">
      <c r="A8" s="183" t="str">
        <f t="shared" si="0"/>
        <v>41005_2-4/818&lt;lv85&gt;sq6st2</v>
      </c>
      <c r="B8" s="184">
        <v>41005</v>
      </c>
      <c r="C8" s="185">
        <v>2</v>
      </c>
      <c r="D8" s="186" t="str">
        <f t="shared" si="1"/>
        <v>41005_2</v>
      </c>
      <c r="E8" s="187" t="str">
        <f ca="1">VLOOKUP($B8,OFFSET([2]quests!$A$1,0,0,COUNTA([2]quests!$A:$A),MATCH(E$1,[2]quests!$1:$1,0)-MATCH($B$1,[2]quests!$1:$1,0)+1),MATCH(E$1,[2]quests!$1:$1,0)-MATCH($B$1,[2]quests!$1:$1,0)+1,FALSE)</f>
        <v>オズ襲来！</v>
      </c>
      <c r="F8" s="187" t="str">
        <f ca="1">VLOOKUP($D8,OFFSET([2]stages!$A$1,0,0,COUNTA([2]stages!$A:$A),MATCH(F$1,[2]stages!$2:$2,0)-MATCH($D$1,[2]stages!$2:$2,0)+1),MATCH(F$1,[2]stages!$2:$2,0)-MATCH($D$1,[2]stages!$2:$2,0)+1,FALSE)</f>
        <v>【ウィザード級】オズ襲来</v>
      </c>
      <c r="G8" s="185">
        <v>4</v>
      </c>
      <c r="H8" s="186" t="str">
        <f t="shared" si="2"/>
        <v>41005_2-4</v>
      </c>
      <c r="I8" s="254">
        <f ca="1">VLOOKUP($H8,OFFSET(floors!$A$1,0,0,COUNTA(floors!$A:$A),MATCH(I$1,floors!$1:$1,0)-MATCH($H$1,floors!$1:$1,0)+1),MATCH(I$1,floors!$1:$1,0)-MATCH($H$1,floors!$1:$1,0)+1,FALSE)</f>
        <v>60</v>
      </c>
      <c r="J8" s="254">
        <f ca="1">VLOOKUP($H8,OFFSET(floors!$A$1,0,0,COUNTA(floors!$A:$A),MATCH(J$1,floors!$1:$1,0)-MATCH($H$1,floors!$1:$1,0)+1),MATCH(J$1,floors!$1:$1,0)-MATCH($H$1,floors!$1:$1,0)+1,FALSE)</f>
        <v>60</v>
      </c>
      <c r="K8" s="188">
        <v>6</v>
      </c>
      <c r="L8" s="188">
        <v>2</v>
      </c>
      <c r="M8" s="189">
        <v>818</v>
      </c>
      <c r="N8" s="190" t="str">
        <f ca="1">VLOOKUP($M8,OFFSET([3]enemies!$A$1,0,0,COUNTA([3]enemies!$A:$A),MATCH(N$1,[3]enemies!$1:$1,0)-MATCH($M$1,[3]enemies!$1:$1,0)+1),MATCH(N$1,[3]enemies!$1:$1,0)-MATCH($M$1,[3]enemies!$1:$1,0)+1,FALSE)</f>
        <v>虚空を飾る大輪 オズ</v>
      </c>
      <c r="O8" s="190" t="str">
        <f ca="1">VLOOKUP($M8,OFFSET([3]enemies!$A$1,0,0,COUNTA([3]enemies!$A:$A),MATCH(O$1,[3]enemies!$1:$1,0)-MATCH($M$1,[3]enemies!$1:$1,0)+1),MATCH(O$1,[3]enemies!$1:$1,0)-MATCH($M$1,[3]enemies!$1:$1,0)+1,FALSE)</f>
        <v>green</v>
      </c>
      <c r="P8" s="190" t="str">
        <f ca="1">VLOOKUP($M8,OFFSET([4]characters!$A$1,0,0,COUNTA([4]characters!$A:$A),MATCH(P$1,[4]characters!$1:$1,0)-MATCH($M$1,[4]characters!$1:$1,0)+1),MATCH(P$1,[4]characters!$1:$1,0)-MATCH($M$1,[4]characters!$1:$1,0)+1,FALSE)</f>
        <v>DropWizS</v>
      </c>
      <c r="Q8" s="190" t="str">
        <f ca="1">VLOOKUP($M8,OFFSET([3]enemies!$A$1,0,0,COUNTA([3]enemies!$A:$A),MATCH(Q$1,[3]enemies!$1:$1,0)-MATCH($M$1,[3]enemies!$1:$1,0)+1),MATCH(Q$1,[3]enemies!$1:$1,0)-MATCH($M$1,[3]enemies!$1:$1,0)+1,FALSE)</f>
        <v>human</v>
      </c>
      <c r="R8" s="190">
        <f ca="1">VLOOKUP($M8,OFFSET([3]enemies!$A$1,0,0,COUNTA([3]enemies!$A:$A),MATCH(R$1,[3]enemies!$1:$1,0)-MATCH($M$1,[3]enemies!$1:$1,0)+1),MATCH(R$1,[3]enemies!$1:$1,0)-MATCH($M$1,[3]enemies!$1:$1,0)+1,FALSE)</f>
        <v>60</v>
      </c>
      <c r="S8" s="191">
        <v>85</v>
      </c>
      <c r="T8" s="192">
        <v>2.1</v>
      </c>
      <c r="U8" s="192">
        <v>1</v>
      </c>
      <c r="V8" s="191">
        <v>0</v>
      </c>
      <c r="W8" s="4" t="str">
        <f ca="1">VLOOKUP(X8,enemy_skill_sets!B:E,4)</f>
        <v>お邪魔パネル×15</v>
      </c>
      <c r="X8" s="193">
        <v>41005018</v>
      </c>
      <c r="Y8" s="194">
        <v>1</v>
      </c>
    </row>
    <row r="9" spans="1:25" ht="21" customHeight="1" thickBot="1" x14ac:dyDescent="0.2">
      <c r="A9" s="199" t="str">
        <f t="shared" si="0"/>
        <v>41005_2-4/818&lt;lv85&gt;sq6st3</v>
      </c>
      <c r="B9" s="184">
        <v>41005</v>
      </c>
      <c r="C9" s="185">
        <v>2</v>
      </c>
      <c r="D9" s="201" t="str">
        <f t="shared" si="1"/>
        <v>41005_2</v>
      </c>
      <c r="E9" s="202" t="str">
        <f ca="1">VLOOKUP($B9,OFFSET([2]quests!$A$1,0,0,COUNTA([2]quests!$A:$A),MATCH(E$1,[2]quests!$1:$1,0)-MATCH($B$1,[2]quests!$1:$1,0)+1),MATCH(E$1,[2]quests!$1:$1,0)-MATCH($B$1,[2]quests!$1:$1,0)+1,FALSE)</f>
        <v>オズ襲来！</v>
      </c>
      <c r="F9" s="202" t="str">
        <f ca="1">VLOOKUP($D9,OFFSET([2]stages!$A$1,0,0,COUNTA([2]stages!$A:$A),MATCH(F$1,[2]stages!$2:$2,0)-MATCH($D$1,[2]stages!$2:$2,0)+1),MATCH(F$1,[2]stages!$2:$2,0)-MATCH($D$1,[2]stages!$2:$2,0)+1,FALSE)</f>
        <v>【ウィザード級】オズ襲来</v>
      </c>
      <c r="G9" s="200">
        <v>4</v>
      </c>
      <c r="H9" s="201" t="str">
        <f t="shared" si="2"/>
        <v>41005_2-4</v>
      </c>
      <c r="I9" s="256">
        <f ca="1">VLOOKUP($H9,OFFSET(floors!$A$1,0,0,COUNTA(floors!$A:$A),MATCH(I$1,floors!$1:$1,0)-MATCH($H$1,floors!$1:$1,0)+1),MATCH(I$1,floors!$1:$1,0)-MATCH($H$1,floors!$1:$1,0)+1,FALSE)</f>
        <v>60</v>
      </c>
      <c r="J9" s="256">
        <f ca="1">VLOOKUP($H9,OFFSET(floors!$A$1,0,0,COUNTA(floors!$A:$A),MATCH(J$1,floors!$1:$1,0)-MATCH($H$1,floors!$1:$1,0)+1),MATCH(J$1,floors!$1:$1,0)-MATCH($H$1,floors!$1:$1,0)+1,FALSE)</f>
        <v>60</v>
      </c>
      <c r="K9" s="203">
        <v>6</v>
      </c>
      <c r="L9" s="203">
        <v>3</v>
      </c>
      <c r="M9" s="211">
        <v>818</v>
      </c>
      <c r="N9" s="207" t="str">
        <f ca="1">VLOOKUP($M9,OFFSET([3]enemies!$A$1,0,0,COUNTA([3]enemies!$A:$A),MATCH(N$1,[3]enemies!$1:$1,0)-MATCH($M$1,[3]enemies!$1:$1,0)+1),MATCH(N$1,[3]enemies!$1:$1,0)-MATCH($M$1,[3]enemies!$1:$1,0)+1,FALSE)</f>
        <v>虚空を飾る大輪 オズ</v>
      </c>
      <c r="O9" s="207" t="str">
        <f ca="1">VLOOKUP($M9,OFFSET([3]enemies!$A$1,0,0,COUNTA([3]enemies!$A:$A),MATCH(O$1,[3]enemies!$1:$1,0)-MATCH($M$1,[3]enemies!$1:$1,0)+1),MATCH(O$1,[3]enemies!$1:$1,0)-MATCH($M$1,[3]enemies!$1:$1,0)+1,FALSE)</f>
        <v>green</v>
      </c>
      <c r="P9" s="207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207" t="str">
        <f ca="1">VLOOKUP($M9,OFFSET([3]enemies!$A$1,0,0,COUNTA([3]enemies!$A:$A),MATCH(Q$1,[3]enemies!$1:$1,0)-MATCH($M$1,[3]enemies!$1:$1,0)+1),MATCH(Q$1,[3]enemies!$1:$1,0)-MATCH($M$1,[3]enemies!$1:$1,0)+1,FALSE)</f>
        <v>human</v>
      </c>
      <c r="R9" s="207">
        <f ca="1">VLOOKUP($M9,OFFSET([3]enemies!$A$1,0,0,COUNTA([3]enemies!$A:$A),MATCH(R$1,[3]enemies!$1:$1,0)-MATCH($M$1,[3]enemies!$1:$1,0)+1),MATCH(R$1,[3]enemies!$1:$1,0)-MATCH($M$1,[3]enemies!$1:$1,0)+1,FALSE)</f>
        <v>60</v>
      </c>
      <c r="S9" s="208">
        <v>85</v>
      </c>
      <c r="T9" s="209">
        <v>2.7</v>
      </c>
      <c r="U9" s="209">
        <v>1.3</v>
      </c>
      <c r="V9" s="208">
        <v>0</v>
      </c>
      <c r="W9" s="4" t="str">
        <f ca="1">VLOOKUP(X9,enemy_skill_sets!B:E,4)</f>
        <v>ありえん…何故だ…何故だッ！</v>
      </c>
      <c r="X9" s="212">
        <v>41005019</v>
      </c>
      <c r="Y9" s="210">
        <v>1</v>
      </c>
    </row>
    <row r="10" spans="1:25" ht="21" customHeight="1" thickBot="1" x14ac:dyDescent="0.2">
      <c r="A10" s="183" t="str">
        <f t="shared" si="0"/>
        <v>41005_3-3/212&lt;lv80&gt;sq7st2</v>
      </c>
      <c r="B10" s="184">
        <v>41005</v>
      </c>
      <c r="C10" s="185">
        <v>3</v>
      </c>
      <c r="D10" s="186" t="str">
        <f t="shared" si="1"/>
        <v>41005_3</v>
      </c>
      <c r="E10" s="187" t="str">
        <f ca="1">VLOOKUP($B10,OFFSET([2]quests!$A$1,0,0,COUNTA([2]quests!$A:$A),MATCH(E$1,[2]quests!$1:$1,0)-MATCH($B$1,[2]quests!$1:$1,0)+1),MATCH(E$1,[2]quests!$1:$1,0)-MATCH($B$1,[2]quests!$1:$1,0)+1,FALSE)</f>
        <v>オズ襲来！</v>
      </c>
      <c r="F10" s="187" t="str">
        <f ca="1">VLOOKUP($D10,OFFSET([2]stages!$A$1,0,0,COUNTA([2]stages!$A:$A),MATCH(F$1,[2]stages!$2:$2,0)-MATCH($D$1,[2]stages!$2:$2,0)+1),MATCH(F$1,[2]stages!$2:$2,0)-MATCH($D$1,[2]stages!$2:$2,0)+1,FALSE)</f>
        <v>【ノーコンテニュー】オズ襲来</v>
      </c>
      <c r="G10" s="185">
        <v>3</v>
      </c>
      <c r="H10" s="186" t="str">
        <f t="shared" si="2"/>
        <v>41005_3-3</v>
      </c>
      <c r="I10" s="254">
        <f ca="1">VLOOKUP($H10,OFFSET(floors!$A$1,0,0,COUNTA(floors!$A:$A),MATCH(I$1,floors!$1:$1,0)-MATCH($H$1,floors!$1:$1,0)+1),MATCH(I$1,floors!$1:$1,0)-MATCH($H$1,floors!$1:$1,0)+1,FALSE)</f>
        <v>60</v>
      </c>
      <c r="J10" s="254">
        <f ca="1">VLOOKUP($H10,OFFSET(floors!$A$1,0,0,COUNTA(floors!$A:$A),MATCH(J$1,floors!$1:$1,0)-MATCH($H$1,floors!$1:$1,0)+1),MATCH(J$1,floors!$1:$1,0)-MATCH($H$1,floors!$1:$1,0)+1,FALSE)</f>
        <v>60</v>
      </c>
      <c r="K10" s="188">
        <v>7</v>
      </c>
      <c r="L10" s="196">
        <v>2</v>
      </c>
      <c r="M10" s="197">
        <v>212</v>
      </c>
      <c r="N10" s="198" t="str">
        <f ca="1">VLOOKUP($M10,OFFSET([3]enemies!$A$1,0,0,COUNTA([3]enemies!$A:$A),MATCH(N$1,[3]enemies!$1:$1,0)-MATCH($M$1,[3]enemies!$1:$1,0)+1),MATCH(N$1,[3]enemies!$1:$1,0)-MATCH($M$1,[3]enemies!$1:$1,0)+1,FALSE)</f>
        <v>星神 アストライアー</v>
      </c>
      <c r="O10" s="190" t="str">
        <f ca="1">VLOOKUP($M10,OFFSET([3]enemies!$A$1,0,0,COUNTA([3]enemies!$A:$A),MATCH(O$1,[3]enemies!$1:$1,0)-MATCH($M$1,[3]enemies!$1:$1,0)+1),MATCH(O$1,[3]enemies!$1:$1,0)-MATCH($M$1,[3]enemies!$1:$1,0)+1,FALSE)</f>
        <v>yellow</v>
      </c>
      <c r="P10" s="190" t="str">
        <f ca="1">VLOOKUP($M10,OFFSET([4]characters!$A$1,0,0,COUNTA([4]characters!$A:$A),MATCH(P$1,[4]characters!$1:$1,0)-MATCH($M$1,[4]characters!$1:$1,0)+1),MATCH(P$1,[4]characters!$1:$1,0)-MATCH($M$1,[4]characters!$1:$1,0)+1,FALSE)</f>
        <v>PremiumN</v>
      </c>
      <c r="Q10" s="190" t="str">
        <f ca="1">VLOOKUP($M10,OFFSET([3]enemies!$A$1,0,0,COUNTA([3]enemies!$A:$A),MATCH(Q$1,[3]enemies!$1:$1,0)-MATCH($M$1,[3]enemies!$1:$1,0)+1),MATCH(Q$1,[3]enemies!$1:$1,0)-MATCH($M$1,[3]enemies!$1:$1,0)+1,FALSE)</f>
        <v>god</v>
      </c>
      <c r="R10" s="190">
        <f ca="1">VLOOKUP($M10,OFFSET([3]enemies!$A$1,0,0,COUNTA([3]enemies!$A:$A),MATCH(R$1,[3]enemies!$1:$1,0)-MATCH($M$1,[3]enemies!$1:$1,0)+1),MATCH(R$1,[3]enemies!$1:$1,0)-MATCH($M$1,[3]enemies!$1:$1,0)+1,FALSE)</f>
        <v>30</v>
      </c>
      <c r="S10" s="191">
        <v>80</v>
      </c>
      <c r="T10" s="192">
        <v>0.9</v>
      </c>
      <c r="U10" s="192">
        <v>1</v>
      </c>
      <c r="V10" s="191">
        <v>0</v>
      </c>
      <c r="W10" s="4" t="str">
        <f ca="1">VLOOKUP(X10,enemy_skill_sets!B:E,4)</f>
        <v>お邪魔パネル×8</v>
      </c>
      <c r="X10" s="195">
        <v>41005015</v>
      </c>
      <c r="Y10" s="194">
        <v>2</v>
      </c>
    </row>
    <row r="11" spans="1:25" ht="21" customHeight="1" thickBot="1" x14ac:dyDescent="0.2">
      <c r="A11" s="199" t="str">
        <f t="shared" si="0"/>
        <v>41005_3-3/176&lt;lv80&gt;sq8st2</v>
      </c>
      <c r="B11" s="184">
        <v>41005</v>
      </c>
      <c r="C11" s="185">
        <v>3</v>
      </c>
      <c r="D11" s="201" t="str">
        <f t="shared" si="1"/>
        <v>41005_3</v>
      </c>
      <c r="E11" s="202" t="str">
        <f ca="1">VLOOKUP($B11,OFFSET([2]quests!$A$1,0,0,COUNTA([2]quests!$A:$A),MATCH(E$1,[2]quests!$1:$1,0)-MATCH($B$1,[2]quests!$1:$1,0)+1),MATCH(E$1,[2]quests!$1:$1,0)-MATCH($B$1,[2]quests!$1:$1,0)+1,FALSE)</f>
        <v>オズ襲来！</v>
      </c>
      <c r="F11" s="202" t="str">
        <f ca="1">VLOOKUP($D11,OFFSET([2]stages!$A$1,0,0,COUNTA([2]stages!$A:$A),MATCH(F$1,[2]stages!$2:$2,0)-MATCH($D$1,[2]stages!$2:$2,0)+1),MATCH(F$1,[2]stages!$2:$2,0)-MATCH($D$1,[2]stages!$2:$2,0)+1,FALSE)</f>
        <v>【ノーコンテニュー】オズ襲来</v>
      </c>
      <c r="G11" s="200">
        <v>3</v>
      </c>
      <c r="H11" s="201" t="str">
        <f t="shared" si="2"/>
        <v>41005_3-3</v>
      </c>
      <c r="I11" s="256">
        <f ca="1">VLOOKUP($H11,OFFSET(floors!$A$1,0,0,COUNTA(floors!$A:$A),MATCH(I$1,floors!$1:$1,0)-MATCH($H$1,floors!$1:$1,0)+1),MATCH(I$1,floors!$1:$1,0)-MATCH($H$1,floors!$1:$1,0)+1,FALSE)</f>
        <v>60</v>
      </c>
      <c r="J11" s="256">
        <f ca="1">VLOOKUP($H11,OFFSET(floors!$A$1,0,0,COUNTA(floors!$A:$A),MATCH(J$1,floors!$1:$1,0)-MATCH($H$1,floors!$1:$1,0)+1),MATCH(J$1,floors!$1:$1,0)-MATCH($H$1,floors!$1:$1,0)+1,FALSE)</f>
        <v>60</v>
      </c>
      <c r="K11" s="203">
        <v>8</v>
      </c>
      <c r="L11" s="204">
        <v>2</v>
      </c>
      <c r="M11" s="205">
        <v>176</v>
      </c>
      <c r="N11" s="206" t="str">
        <f ca="1">VLOOKUP($M11,OFFSET([3]enemies!$A$1,0,0,COUNTA([3]enemies!$A:$A),MATCH(N$1,[3]enemies!$1:$1,0)-MATCH($M$1,[3]enemies!$1:$1,0)+1),MATCH(N$1,[3]enemies!$1:$1,0)-MATCH($M$1,[3]enemies!$1:$1,0)+1,FALSE)</f>
        <v>異教徒 バフォメット</v>
      </c>
      <c r="O11" s="207" t="str">
        <f ca="1">VLOOKUP($M11,OFFSET([3]enemies!$A$1,0,0,COUNTA([3]enemies!$A:$A),MATCH(O$1,[3]enemies!$1:$1,0)-MATCH($M$1,[3]enemies!$1:$1,0)+1),MATCH(O$1,[3]enemies!$1:$1,0)-MATCH($M$1,[3]enemies!$1:$1,0)+1,FALSE)</f>
        <v>yellow</v>
      </c>
      <c r="P11" s="207" t="str">
        <f ca="1">VLOOKUP($M11,OFFSET([4]characters!$A$1,0,0,COUNTA([4]characters!$A:$A),MATCH(P$1,[4]characters!$1:$1,0)-MATCH($M$1,[4]characters!$1:$1,0)+1),MATCH(P$1,[4]characters!$1:$1,0)-MATCH($M$1,[4]characters!$1:$1,0)+1,FALSE)</f>
        <v>PremiumN</v>
      </c>
      <c r="Q11" s="207" t="str">
        <f ca="1">VLOOKUP($M11,OFFSET([3]enemies!$A$1,0,0,COUNTA([3]enemies!$A:$A),MATCH(Q$1,[3]enemies!$1:$1,0)-MATCH($M$1,[3]enemies!$1:$1,0)+1),MATCH(Q$1,[3]enemies!$1:$1,0)-MATCH($M$1,[3]enemies!$1:$1,0)+1,FALSE)</f>
        <v>god</v>
      </c>
      <c r="R11" s="207">
        <f ca="1">VLOOKUP($M11,OFFSET([3]enemies!$A$1,0,0,COUNTA([3]enemies!$A:$A),MATCH(R$1,[3]enemies!$1:$1,0)-MATCH($M$1,[3]enemies!$1:$1,0)+1),MATCH(R$1,[3]enemies!$1:$1,0)-MATCH($M$1,[3]enemies!$1:$1,0)+1,FALSE)</f>
        <v>30</v>
      </c>
      <c r="S11" s="208">
        <v>80</v>
      </c>
      <c r="T11" s="209">
        <v>0.9</v>
      </c>
      <c r="U11" s="209">
        <v>1</v>
      </c>
      <c r="V11" s="208">
        <v>0</v>
      </c>
      <c r="W11" s="4" t="str">
        <f ca="1">VLOOKUP(X11,enemy_skill_sets!B:E,4)</f>
        <v>黄パネルを吸収して攻撃力と頻度アップ</v>
      </c>
      <c r="X11" s="202">
        <v>41005016</v>
      </c>
      <c r="Y11" s="210">
        <v>2</v>
      </c>
    </row>
    <row r="12" spans="1:25" ht="21" customHeight="1" thickBot="1" x14ac:dyDescent="0.2">
      <c r="A12" s="183" t="str">
        <f t="shared" si="0"/>
        <v>41005_3-4/818&lt;lv85&gt;sq9st2</v>
      </c>
      <c r="B12" s="184">
        <v>41005</v>
      </c>
      <c r="C12" s="185">
        <v>3</v>
      </c>
      <c r="D12" s="186" t="str">
        <f t="shared" si="1"/>
        <v>41005_3</v>
      </c>
      <c r="E12" s="187" t="str">
        <f ca="1">VLOOKUP($B12,OFFSET([2]quests!$A$1,0,0,COUNTA([2]quests!$A:$A),MATCH(E$1,[2]quests!$1:$1,0)-MATCH($B$1,[2]quests!$1:$1,0)+1),MATCH(E$1,[2]quests!$1:$1,0)-MATCH($B$1,[2]quests!$1:$1,0)+1,FALSE)</f>
        <v>オズ襲来！</v>
      </c>
      <c r="F12" s="187" t="str">
        <f ca="1">VLOOKUP($D12,OFFSET([2]stages!$A$1,0,0,COUNTA([2]stages!$A:$A),MATCH(F$1,[2]stages!$2:$2,0)-MATCH($D$1,[2]stages!$2:$2,0)+1),MATCH(F$1,[2]stages!$2:$2,0)-MATCH($D$1,[2]stages!$2:$2,0)+1,FALSE)</f>
        <v>【ノーコンテニュー】オズ襲来</v>
      </c>
      <c r="G12" s="185">
        <v>4</v>
      </c>
      <c r="H12" s="186" t="str">
        <f t="shared" si="2"/>
        <v>41005_3-4</v>
      </c>
      <c r="I12" s="254">
        <f ca="1">VLOOKUP($H12,OFFSET(floors!$A$1,0,0,COUNTA(floors!$A:$A),MATCH(I$1,floors!$1:$1,0)-MATCH($H$1,floors!$1:$1,0)+1),MATCH(I$1,floors!$1:$1,0)-MATCH($H$1,floors!$1:$1,0)+1,FALSE)</f>
        <v>60</v>
      </c>
      <c r="J12" s="254">
        <f ca="1">VLOOKUP($H12,OFFSET(floors!$A$1,0,0,COUNTA(floors!$A:$A),MATCH(J$1,floors!$1:$1,0)-MATCH($H$1,floors!$1:$1,0)+1),MATCH(J$1,floors!$1:$1,0)-MATCH($H$1,floors!$1:$1,0)+1,FALSE)</f>
        <v>60</v>
      </c>
      <c r="K12" s="188">
        <v>9</v>
      </c>
      <c r="L12" s="188">
        <v>2</v>
      </c>
      <c r="M12" s="189">
        <v>818</v>
      </c>
      <c r="N12" s="190" t="str">
        <f ca="1">VLOOKUP($M12,OFFSET([3]enemies!$A$1,0,0,COUNTA([3]enemies!$A:$A),MATCH(N$1,[3]enemies!$1:$1,0)-MATCH($M$1,[3]enemies!$1:$1,0)+1),MATCH(N$1,[3]enemies!$1:$1,0)-MATCH($M$1,[3]enemies!$1:$1,0)+1,FALSE)</f>
        <v>虚空を飾る大輪 オズ</v>
      </c>
      <c r="O12" s="190" t="str">
        <f ca="1">VLOOKUP($M12,OFFSET([3]enemies!$A$1,0,0,COUNTA([3]enemies!$A:$A),MATCH(O$1,[3]enemies!$1:$1,0)-MATCH($M$1,[3]enemies!$1:$1,0)+1),MATCH(O$1,[3]enemies!$1:$1,0)-MATCH($M$1,[3]enemies!$1:$1,0)+1,FALSE)</f>
        <v>green</v>
      </c>
      <c r="P12" s="190" t="str">
        <f ca="1">VLOOKUP($M12,OFFSET([4]characters!$A$1,0,0,COUNTA([4]characters!$A:$A),MATCH(P$1,[4]characters!$1:$1,0)-MATCH($M$1,[4]characters!$1:$1,0)+1),MATCH(P$1,[4]characters!$1:$1,0)-MATCH($M$1,[4]characters!$1:$1,0)+1,FALSE)</f>
        <v>DropWizS</v>
      </c>
      <c r="Q12" s="190" t="str">
        <f ca="1">VLOOKUP($M12,OFFSET([3]enemies!$A$1,0,0,COUNTA([3]enemies!$A:$A),MATCH(Q$1,[3]enemies!$1:$1,0)-MATCH($M$1,[3]enemies!$1:$1,0)+1),MATCH(Q$1,[3]enemies!$1:$1,0)-MATCH($M$1,[3]enemies!$1:$1,0)+1,FALSE)</f>
        <v>human</v>
      </c>
      <c r="R12" s="190">
        <f ca="1">VLOOKUP($M12,OFFSET([3]enemies!$A$1,0,0,COUNTA([3]enemies!$A:$A),MATCH(R$1,[3]enemies!$1:$1,0)-MATCH($M$1,[3]enemies!$1:$1,0)+1),MATCH(R$1,[3]enemies!$1:$1,0)-MATCH($M$1,[3]enemies!$1:$1,0)+1,FALSE)</f>
        <v>60</v>
      </c>
      <c r="S12" s="191">
        <v>85</v>
      </c>
      <c r="T12" s="192">
        <v>2.1</v>
      </c>
      <c r="U12" s="192">
        <v>1</v>
      </c>
      <c r="V12" s="191">
        <v>0</v>
      </c>
      <c r="W12" s="4" t="str">
        <f ca="1">VLOOKUP(X12,enemy_skill_sets!B:E,4)</f>
        <v>お邪魔パネル×15</v>
      </c>
      <c r="X12" s="193">
        <v>41005018</v>
      </c>
      <c r="Y12" s="194">
        <v>1</v>
      </c>
    </row>
    <row r="13" spans="1:25" ht="21" customHeight="1" thickBot="1" x14ac:dyDescent="0.2">
      <c r="A13" s="199" t="str">
        <f t="shared" si="0"/>
        <v>41005_3-4/818&lt;lv85&gt;sq9st3</v>
      </c>
      <c r="B13" s="184">
        <v>41005</v>
      </c>
      <c r="C13" s="185">
        <v>3</v>
      </c>
      <c r="D13" s="201" t="str">
        <f t="shared" si="1"/>
        <v>41005_3</v>
      </c>
      <c r="E13" s="202" t="str">
        <f ca="1">VLOOKUP($B13,OFFSET([2]quests!$A$1,0,0,COUNTA([2]quests!$A:$A),MATCH(E$1,[2]quests!$1:$1,0)-MATCH($B$1,[2]quests!$1:$1,0)+1),MATCH(E$1,[2]quests!$1:$1,0)-MATCH($B$1,[2]quests!$1:$1,0)+1,FALSE)</f>
        <v>オズ襲来！</v>
      </c>
      <c r="F13" s="202" t="str">
        <f ca="1">VLOOKUP($D13,OFFSET([2]stages!$A$1,0,0,COUNTA([2]stages!$A:$A),MATCH(F$1,[2]stages!$2:$2,0)-MATCH($D$1,[2]stages!$2:$2,0)+1),MATCH(F$1,[2]stages!$2:$2,0)-MATCH($D$1,[2]stages!$2:$2,0)+1,FALSE)</f>
        <v>【ノーコンテニュー】オズ襲来</v>
      </c>
      <c r="G13" s="200">
        <v>4</v>
      </c>
      <c r="H13" s="201" t="str">
        <f t="shared" si="2"/>
        <v>41005_3-4</v>
      </c>
      <c r="I13" s="256">
        <f ca="1">VLOOKUP($H13,OFFSET(floors!$A$1,0,0,COUNTA(floors!$A:$A),MATCH(I$1,floors!$1:$1,0)-MATCH($H$1,floors!$1:$1,0)+1),MATCH(I$1,floors!$1:$1,0)-MATCH($H$1,floors!$1:$1,0)+1,FALSE)</f>
        <v>60</v>
      </c>
      <c r="J13" s="256">
        <f ca="1">VLOOKUP($H13,OFFSET(floors!$A$1,0,0,COUNTA(floors!$A:$A),MATCH(J$1,floors!$1:$1,0)-MATCH($H$1,floors!$1:$1,0)+1),MATCH(J$1,floors!$1:$1,0)-MATCH($H$1,floors!$1:$1,0)+1,FALSE)</f>
        <v>60</v>
      </c>
      <c r="K13" s="203">
        <v>9</v>
      </c>
      <c r="L13" s="203">
        <v>3</v>
      </c>
      <c r="M13" s="211">
        <v>818</v>
      </c>
      <c r="N13" s="207" t="str">
        <f ca="1">VLOOKUP($M13,OFFSET([3]enemies!$A$1,0,0,COUNTA([3]enemies!$A:$A),MATCH(N$1,[3]enemies!$1:$1,0)-MATCH($M$1,[3]enemies!$1:$1,0)+1),MATCH(N$1,[3]enemies!$1:$1,0)-MATCH($M$1,[3]enemies!$1:$1,0)+1,FALSE)</f>
        <v>虚空を飾る大輪 オズ</v>
      </c>
      <c r="O13" s="207" t="str">
        <f ca="1">VLOOKUP($M13,OFFSET([3]enemies!$A$1,0,0,COUNTA([3]enemies!$A:$A),MATCH(O$1,[3]enemies!$1:$1,0)-MATCH($M$1,[3]enemies!$1:$1,0)+1),MATCH(O$1,[3]enemies!$1:$1,0)-MATCH($M$1,[3]enemies!$1:$1,0)+1,FALSE)</f>
        <v>green</v>
      </c>
      <c r="P13" s="207" t="str">
        <f ca="1">VLOOKUP($M13,OFFSET([4]characters!$A$1,0,0,COUNTA([4]characters!$A:$A),MATCH(P$1,[4]characters!$1:$1,0)-MATCH($M$1,[4]characters!$1:$1,0)+1),MATCH(P$1,[4]characters!$1:$1,0)-MATCH($M$1,[4]characters!$1:$1,0)+1,FALSE)</f>
        <v>DropWizS</v>
      </c>
      <c r="Q13" s="207" t="str">
        <f ca="1">VLOOKUP($M13,OFFSET([3]enemies!$A$1,0,0,COUNTA([3]enemies!$A:$A),MATCH(Q$1,[3]enemies!$1:$1,0)-MATCH($M$1,[3]enemies!$1:$1,0)+1),MATCH(Q$1,[3]enemies!$1:$1,0)-MATCH($M$1,[3]enemies!$1:$1,0)+1,FALSE)</f>
        <v>human</v>
      </c>
      <c r="R13" s="207">
        <f ca="1">VLOOKUP($M13,OFFSET([3]enemies!$A$1,0,0,COUNTA([3]enemies!$A:$A),MATCH(R$1,[3]enemies!$1:$1,0)-MATCH($M$1,[3]enemies!$1:$1,0)+1),MATCH(R$1,[3]enemies!$1:$1,0)-MATCH($M$1,[3]enemies!$1:$1,0)+1,FALSE)</f>
        <v>60</v>
      </c>
      <c r="S13" s="208">
        <v>85</v>
      </c>
      <c r="T13" s="209">
        <v>2.7</v>
      </c>
      <c r="U13" s="209">
        <v>1.3</v>
      </c>
      <c r="V13" s="208">
        <v>0</v>
      </c>
      <c r="W13" s="4" t="str">
        <f ca="1">VLOOKUP(X13,enemy_skill_sets!B:E,4)</f>
        <v>ありえん…何故だ…何故だッ！</v>
      </c>
      <c r="X13" s="212">
        <v>41005019</v>
      </c>
      <c r="Y13" s="210">
        <v>1</v>
      </c>
    </row>
  </sheetData>
  <sheetProtection selectLockedCells="1" selectUnlockedCells="1"/>
  <autoFilter ref="B1:Y4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98"/>
  <sheetViews>
    <sheetView showGridLines="0" topLeftCell="C1" workbookViewId="0">
      <selection activeCell="C80" sqref="C80"/>
    </sheetView>
  </sheetViews>
  <sheetFormatPr baseColWidth="12" defaultColWidth="12.83203125" defaultRowHeight="21" customHeight="1" outlineLevelCol="1" x14ac:dyDescent="0.15"/>
  <cols>
    <col min="1" max="1" width="18.1640625" style="31" customWidth="1"/>
    <col min="2" max="2" width="10.5" style="39" bestFit="1" customWidth="1"/>
    <col min="3" max="3" width="9.6640625" style="39" customWidth="1"/>
    <col min="4" max="4" width="18.5" style="39" customWidth="1" outlineLevel="1"/>
    <col min="5" max="5" width="44.1640625" style="39" bestFit="1" customWidth="1" outlineLevel="1"/>
    <col min="6" max="6" width="10.83203125" style="39" bestFit="1" customWidth="1"/>
    <col min="7" max="7" width="8.33203125" style="39" bestFit="1" customWidth="1" outlineLevel="1"/>
    <col min="8" max="9" width="12.83203125" style="39" outlineLevel="1"/>
    <col min="10" max="10" width="17.6640625" style="39" bestFit="1" customWidth="1" outlineLevel="1"/>
    <col min="11" max="15" width="12.83203125" style="39" outlineLevel="1"/>
    <col min="16" max="16" width="8.33203125" style="36" bestFit="1" customWidth="1"/>
    <col min="17" max="17" width="9.6640625" style="36" customWidth="1"/>
    <col min="18" max="18" width="56.5" style="36" bestFit="1" customWidth="1"/>
    <col min="19" max="16384" width="12.83203125" style="36"/>
  </cols>
  <sheetData>
    <row r="1" spans="1:18" ht="21" customHeight="1" x14ac:dyDescent="0.15">
      <c r="A1" s="31" t="s">
        <v>60</v>
      </c>
      <c r="B1" s="229" t="s">
        <v>61</v>
      </c>
      <c r="C1" s="229" t="s">
        <v>62</v>
      </c>
      <c r="D1" s="230" t="s">
        <v>63</v>
      </c>
      <c r="E1" s="230" t="s">
        <v>64</v>
      </c>
      <c r="F1" s="43" t="s">
        <v>65</v>
      </c>
      <c r="G1" s="35" t="s">
        <v>66</v>
      </c>
      <c r="H1" s="35" t="s">
        <v>67</v>
      </c>
      <c r="I1" s="35" t="s">
        <v>68</v>
      </c>
      <c r="J1" s="35" t="s">
        <v>69</v>
      </c>
      <c r="K1" s="35" t="s">
        <v>70</v>
      </c>
      <c r="L1" s="35" t="s">
        <v>71</v>
      </c>
      <c r="M1" s="35" t="s">
        <v>72</v>
      </c>
      <c r="N1" s="35" t="s">
        <v>73</v>
      </c>
      <c r="O1" s="35" t="s">
        <v>74</v>
      </c>
      <c r="P1" s="230" t="s">
        <v>75</v>
      </c>
      <c r="Q1" s="230" t="s">
        <v>76</v>
      </c>
      <c r="R1" s="230" t="s">
        <v>77</v>
      </c>
    </row>
    <row r="2" spans="1:18" s="239" customFormat="1" ht="21" customHeight="1" x14ac:dyDescent="0.15">
      <c r="A2" s="265" t="str">
        <f t="shared" ref="A2:A48" si="0">B2&amp;"_"&amp;C2</f>
        <v>41005001_41005005</v>
      </c>
      <c r="B2" s="221">
        <v>41005001</v>
      </c>
      <c r="C2" s="221">
        <v>41005005</v>
      </c>
      <c r="D2" s="37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マジカルヴェール</v>
      </c>
      <c r="E2" s="37" t="str">
        <f ca="1">VLOOKUP($C2,OFFSET(enemy_skills!$A$1,0,0,COUNTA(enemy_skills!$A:$A),MATCH(E$1,enemy_skills!$1:$1,0)-MATCH("enemy_skill_id",enemy_skills!$1:$1,0)+1),MATCH(E$1,enemy_skills!$1:$1,0)-MATCH("enemy_skill_id",enemy_skills!$1:$1,0)+1,FALSE)</f>
        <v>3ターン防御力アップ</v>
      </c>
      <c r="F2" s="221">
        <v>41005002</v>
      </c>
      <c r="G2" s="3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3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" s="3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3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3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3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3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3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3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231"/>
      <c r="Q2" s="231"/>
      <c r="R2" s="231" t="s">
        <v>338</v>
      </c>
    </row>
    <row r="3" spans="1:18" s="241" customFormat="1" ht="21" customHeight="1" thickBot="1" x14ac:dyDescent="0.2">
      <c r="A3" s="266" t="str">
        <f t="shared" si="0"/>
        <v>41005001_41005002</v>
      </c>
      <c r="B3" s="263">
        <v>41005001</v>
      </c>
      <c r="C3" s="263">
        <v>41005002</v>
      </c>
      <c r="D3" s="233" t="str">
        <f ca="1">VLOOKUP($C3,OFFSET(enemy_skills!$A$1,0,0,COUNTA(enemy_skills!$A:$A),MATCH(D$1,enemy_skills!$1:$1,0)-MATCH("enemy_skill_id",enemy_skills!$1:$1,0)+1),MATCH(D$1,enemy_skills!$1:$1,0)-MATCH("enemy_skill_id",enemy_skills!$1:$1,0)+1,FALSE)</f>
        <v>東の魔女が消えた♪</v>
      </c>
      <c r="E3" s="233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ハートパネル7個出現</v>
      </c>
      <c r="F3" s="263">
        <v>41005003</v>
      </c>
      <c r="G3" s="234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234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234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234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234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234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234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234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245</v>
      </c>
      <c r="O3" s="234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264"/>
      <c r="Q3" s="264"/>
      <c r="R3" s="264" t="s">
        <v>338</v>
      </c>
    </row>
    <row r="4" spans="1:18" s="215" customFormat="1" ht="21" customHeight="1" x14ac:dyDescent="0.15">
      <c r="A4" s="242" t="str">
        <f t="shared" si="0"/>
        <v>41005002_41005006</v>
      </c>
      <c r="B4" s="261">
        <v>41005002</v>
      </c>
      <c r="C4" s="261">
        <v>41005006</v>
      </c>
      <c r="D4" s="243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アンチヒール</v>
      </c>
      <c r="E4" s="243" t="str">
        <f ca="1">VLOOKUP($C4,OFFSET(enemy_skills!$A$1,0,0,COUNTA(enemy_skills!$A:$A),MATCH(E$1,enemy_skills!$1:$1,0)-MATCH("enemy_skill_id",enemy_skills!$1:$1,0)+1),MATCH(E$1,enemy_skills!$1:$1,0)-MATCH("enemy_skill_id",enemy_skills!$1:$1,0)+1,FALSE)</f>
        <v>5ターン回復力ダウン</v>
      </c>
      <c r="F4" s="261">
        <v>41005004</v>
      </c>
      <c r="G4" s="244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244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" s="244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244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4" s="244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244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244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244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244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262"/>
      <c r="Q4" s="262"/>
      <c r="R4" s="262" t="s">
        <v>339</v>
      </c>
    </row>
    <row r="5" spans="1:18" s="239" customFormat="1" ht="21" customHeight="1" x14ac:dyDescent="0.15">
      <c r="A5" s="265" t="str">
        <f t="shared" si="0"/>
        <v>41005002_41005007</v>
      </c>
      <c r="B5" s="222">
        <v>41005002</v>
      </c>
      <c r="C5" s="222">
        <v>41005007</v>
      </c>
      <c r="D5" s="37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ジャミング</v>
      </c>
      <c r="E5" s="37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お邪魔パネル×8</v>
      </c>
      <c r="F5" s="222">
        <v>41005005</v>
      </c>
      <c r="G5" s="3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3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" s="3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3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5" s="3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3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3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3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3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232"/>
      <c r="Q5" s="232"/>
      <c r="R5" s="232" t="s">
        <v>340</v>
      </c>
    </row>
    <row r="6" spans="1:18" s="241" customFormat="1" ht="21" customHeight="1" thickBot="1" x14ac:dyDescent="0.2">
      <c r="A6" s="266" t="str">
        <f t="shared" si="0"/>
        <v>41005002_41005029</v>
      </c>
      <c r="B6" s="223">
        <v>41005002</v>
      </c>
      <c r="C6" s="223">
        <v>41005029</v>
      </c>
      <c r="D6" s="233" t="str">
        <f ca="1">VLOOKUP($C6,OFFSET(enemy_skills!$A$1,0,0,COUNTA(enemy_skills!$A:$A),MATCH(D$1,enemy_skills!$1:$1,0)-MATCH("enemy_skill_id",enemy_skills!$1:$1,0)+1),MATCH(D$1,enemy_skills!$1:$1,0)-MATCH("enemy_skill_id",enemy_skills!$1:$1,0)+1,FALSE)</f>
        <v>魔力吸収</v>
      </c>
      <c r="E6" s="233" t="str">
        <f ca="1">VLOOKUP($C6,OFFSET(enemy_skills!$A$1,0,0,COUNTA(enemy_skills!$A:$A),MATCH(E$1,enemy_skills!$1:$1,0)-MATCH("enemy_skill_id",enemy_skills!$1:$1,0)+1),MATCH(E$1,enemy_skills!$1:$1,0)-MATCH("enemy_skill_id",enemy_skills!$1:$1,0)+1,FALSE)</f>
        <v>攻撃力アップ</v>
      </c>
      <c r="F6" s="223">
        <v>41005016</v>
      </c>
      <c r="G6" s="234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234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" s="234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234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234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234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234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234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242</v>
      </c>
      <c r="O6" s="234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235"/>
      <c r="Q6" s="235"/>
      <c r="R6" s="235" t="s">
        <v>340</v>
      </c>
    </row>
    <row r="7" spans="1:18" s="272" customFormat="1" ht="21" customHeight="1" thickBot="1" x14ac:dyDescent="0.2">
      <c r="A7" s="271" t="str">
        <f t="shared" si="0"/>
        <v>41005003_41005004</v>
      </c>
      <c r="B7" s="260">
        <v>41005003</v>
      </c>
      <c r="C7" s="260">
        <v>41005004</v>
      </c>
      <c r="D7" s="257" t="str">
        <f ca="1">VLOOKUP($C7,OFFSET(enemy_skills!$A$1,0,0,COUNTA(enemy_skills!$A:$A),MATCH(D$1,enemy_skills!$1:$1,0)-MATCH("enemy_skill_id",enemy_skills!$1:$1,0)+1),MATCH(D$1,enemy_skills!$1:$1,0)-MATCH("enemy_skill_id",enemy_skills!$1:$1,0)+1,FALSE)</f>
        <v>一気に行くぜ！</v>
      </c>
      <c r="E7" s="257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3ターン後に一斉に襲いかかる！</v>
      </c>
      <c r="F7" s="260">
        <v>41005002</v>
      </c>
      <c r="G7" s="259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259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" s="259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259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259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259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259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259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259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260"/>
      <c r="Q7" s="260"/>
      <c r="R7" s="260" t="s">
        <v>341</v>
      </c>
    </row>
    <row r="8" spans="1:18" s="215" customFormat="1" ht="21" customHeight="1" x14ac:dyDescent="0.15">
      <c r="A8" s="242" t="str">
        <f>B8&amp;"_"&amp;C8</f>
        <v>41005004_41005010</v>
      </c>
      <c r="B8" s="237">
        <v>41005004</v>
      </c>
      <c r="C8" s="237">
        <v>41005010</v>
      </c>
      <c r="D8" s="243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プラチナメテオ</v>
      </c>
      <c r="E8" s="243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" s="237">
        <v>41005006</v>
      </c>
      <c r="G8" s="244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244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" s="244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8" s="244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244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244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8" s="244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244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244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8" s="258"/>
      <c r="Q8" s="258"/>
      <c r="R8" s="258" t="s">
        <v>322</v>
      </c>
    </row>
    <row r="9" spans="1:18" s="239" customFormat="1" ht="21" customHeight="1" x14ac:dyDescent="0.15">
      <c r="A9" s="265" t="str">
        <f>B9&amp;"_"&amp;C9</f>
        <v>41005004_41005031</v>
      </c>
      <c r="B9" s="195">
        <v>41005004</v>
      </c>
      <c r="C9" s="195">
        <v>41005031</v>
      </c>
      <c r="D9" s="37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マジカルバランサー</v>
      </c>
      <c r="E9" s="37" t="str">
        <f ca="1">VLOOKUP($C9,OFFSET(enemy_skills!$A$1,0,0,COUNTA(enemy_skills!$A:$A),MATCH(E$1,enemy_skills!$1:$1,0)-MATCH("enemy_skill_id",enemy_skills!$1:$1,0)+1),MATCH(E$1,enemy_skills!$1:$1,0)-MATCH("enemy_skill_id",enemy_skills!$1:$1,0)+1,FALSE)</f>
        <v>2連続攻撃</v>
      </c>
      <c r="F9" s="195">
        <v>41005006</v>
      </c>
      <c r="G9" s="3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3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" s="3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9" s="3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3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3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9" s="3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3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3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9" s="238"/>
      <c r="Q9" s="238"/>
      <c r="R9" s="238" t="s">
        <v>345</v>
      </c>
    </row>
    <row r="10" spans="1:18" s="241" customFormat="1" ht="21" customHeight="1" thickBot="1" x14ac:dyDescent="0.2">
      <c r="A10" s="266" t="str">
        <f>B10&amp;"_"&amp;C10</f>
        <v>41005004_41005003</v>
      </c>
      <c r="B10" s="212">
        <v>41005004</v>
      </c>
      <c r="C10" s="212">
        <v>41005003</v>
      </c>
      <c r="D10" s="233" t="str">
        <f ca="1">VLOOKUP($C10,OFFSET(enemy_skills!$A$1,0,0,COUNTA(enemy_skills!$A:$A),MATCH(D$1,enemy_skills!$1:$1,0)-MATCH("enemy_skill_id",enemy_skills!$1:$1,0)+1),MATCH(D$1,enemy_skills!$1:$1,0)-MATCH("enemy_skill_id",enemy_skills!$1:$1,0)+1,FALSE)</f>
        <v>西の魔女が消えた♪</v>
      </c>
      <c r="E10" s="233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ハートパネル7個出現</v>
      </c>
      <c r="F10" s="212">
        <v>41005008</v>
      </c>
      <c r="G10" s="234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234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" s="234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234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234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234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234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234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176</v>
      </c>
      <c r="O10" s="234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240"/>
      <c r="Q10" s="240"/>
      <c r="R10" s="240" t="s">
        <v>322</v>
      </c>
    </row>
    <row r="11" spans="1:18" s="215" customFormat="1" ht="21" customHeight="1" x14ac:dyDescent="0.15">
      <c r="A11" s="242" t="str">
        <f t="shared" si="0"/>
        <v>41005005_41005021</v>
      </c>
      <c r="B11" s="267">
        <v>41005005</v>
      </c>
      <c r="C11" s="267">
        <v>41005021</v>
      </c>
      <c r="D11" s="243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ロスト・ハート</v>
      </c>
      <c r="E11" s="243" t="str">
        <f ca="1">VLOOKUP($C11,OFFSET(enemy_skills!$A$1,0,0,COUNTA(enemy_skills!$A:$A),MATCH(E$1,enemy_skills!$1:$1,0)-MATCH("enemy_skill_id",enemy_skills!$1:$1,0)+1),MATCH(E$1,enemy_skills!$1:$1,0)-MATCH("enemy_skill_id",enemy_skills!$1:$1,0)+1,FALSE)</f>
        <v>4ターンハートパネル無効</v>
      </c>
      <c r="F11" s="267">
        <v>41005002</v>
      </c>
      <c r="G11" s="244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244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" s="244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244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244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244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244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244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244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268"/>
      <c r="Q11" s="268"/>
      <c r="R11" s="268" t="s">
        <v>342</v>
      </c>
    </row>
    <row r="12" spans="1:18" s="239" customFormat="1" ht="21" customHeight="1" x14ac:dyDescent="0.15">
      <c r="A12" s="265" t="str">
        <f t="shared" si="0"/>
        <v>41005005_41005008</v>
      </c>
      <c r="B12" s="224">
        <v>41005005</v>
      </c>
      <c r="C12" s="224">
        <v>41005008</v>
      </c>
      <c r="D12" s="37" t="str">
        <f ca="1">VLOOKUP($C12,OFFSET(enemy_skills!$A$1,0,0,COUNTA(enemy_skills!$A:$A),MATCH(D$1,enemy_skills!$1:$1,0)-MATCH("enemy_skill_id",enemy_skills!$1:$1,0)+1),MATCH(D$1,enemy_skills!$1:$1,0)-MATCH("enemy_skill_id",enemy_skills!$1:$1,0)+1,FALSE)</f>
        <v>黒山羊の儀式</v>
      </c>
      <c r="E12" s="37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2" s="224">
        <v>41005006</v>
      </c>
      <c r="G12" s="3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3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" s="3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12" s="3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3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3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12" s="3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3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3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12" s="236"/>
      <c r="Q12" s="236"/>
      <c r="R12" s="236" t="s">
        <v>343</v>
      </c>
    </row>
    <row r="13" spans="1:18" s="239" customFormat="1" ht="21" customHeight="1" x14ac:dyDescent="0.15">
      <c r="A13" s="265" t="str">
        <f t="shared" si="0"/>
        <v>41005005_41005009</v>
      </c>
      <c r="B13" s="224">
        <v>41005005</v>
      </c>
      <c r="C13" s="224">
        <v>41005009</v>
      </c>
      <c r="D13" s="37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サバトの護石</v>
      </c>
      <c r="E13" s="37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お邪魔パネル×8</v>
      </c>
      <c r="F13" s="224">
        <v>41005005</v>
      </c>
      <c r="G13" s="3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3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3" s="3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3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13" s="3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3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3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3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3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236"/>
      <c r="Q13" s="236"/>
      <c r="R13" s="236" t="s">
        <v>342</v>
      </c>
    </row>
    <row r="14" spans="1:18" s="241" customFormat="1" ht="21" customHeight="1" thickBot="1" x14ac:dyDescent="0.2">
      <c r="A14" s="266" t="str">
        <f t="shared" si="0"/>
        <v>41005005_41005029</v>
      </c>
      <c r="B14" s="269">
        <v>41005005</v>
      </c>
      <c r="C14" s="269">
        <v>41005029</v>
      </c>
      <c r="D14" s="233" t="str">
        <f ca="1">VLOOKUP($C14,OFFSET(enemy_skills!$A$1,0,0,COUNTA(enemy_skills!$A:$A),MATCH(D$1,enemy_skills!$1:$1,0)-MATCH("enemy_skill_id",enemy_skills!$1:$1,0)+1),MATCH(D$1,enemy_skills!$1:$1,0)-MATCH("enemy_skill_id",enemy_skills!$1:$1,0)+1,FALSE)</f>
        <v>魔力吸収</v>
      </c>
      <c r="E14" s="233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攻撃力アップ</v>
      </c>
      <c r="F14" s="269">
        <v>41005015</v>
      </c>
      <c r="G14" s="234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234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4" s="234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234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234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234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234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234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212</v>
      </c>
      <c r="O14" s="234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270"/>
      <c r="Q14" s="270"/>
      <c r="R14" s="270" t="s">
        <v>344</v>
      </c>
    </row>
    <row r="15" spans="1:18" s="215" customFormat="1" ht="21" customHeight="1" x14ac:dyDescent="0.15">
      <c r="A15" s="242" t="str">
        <f t="shared" si="0"/>
        <v>41005006_41005028</v>
      </c>
      <c r="B15" s="237">
        <v>41005006</v>
      </c>
      <c r="C15" s="237">
        <v>41005028</v>
      </c>
      <c r="D15" s="243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クロックメテオEX</v>
      </c>
      <c r="E15" s="243" t="str">
        <f ca="1">VLOOKUP($C15,OFFSET(enemy_skills!$A$1,0,0,COUNTA(enemy_skills!$A:$A),MATCH(E$1,enemy_skills!$1:$1,0)-MATCH("enemy_skill_id",enemy_skills!$1:$1,0)+1),MATCH(E$1,enemy_skills!$1:$1,0)-MATCH("enemy_skill_id",enemy_skills!$1:$1,0)+1,FALSE)</f>
        <v>時限式ダメージパネル×5</v>
      </c>
      <c r="F15" s="237">
        <v>41005006</v>
      </c>
      <c r="G15" s="244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244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5" s="244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15" s="244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244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244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15" s="244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244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244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15" s="258"/>
      <c r="Q15" s="258"/>
      <c r="R15" s="258" t="s">
        <v>322</v>
      </c>
    </row>
    <row r="16" spans="1:18" s="239" customFormat="1" ht="21" customHeight="1" x14ac:dyDescent="0.15">
      <c r="A16" s="265" t="str">
        <f t="shared" si="0"/>
        <v>41005006_41005031</v>
      </c>
      <c r="B16" s="195">
        <v>41005006</v>
      </c>
      <c r="C16" s="195">
        <v>41005031</v>
      </c>
      <c r="D16" s="37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マジカルバランサー</v>
      </c>
      <c r="E16" s="37" t="str">
        <f ca="1">VLOOKUP($C16,OFFSET(enemy_skills!$A$1,0,0,COUNTA(enemy_skills!$A:$A),MATCH(E$1,enemy_skills!$1:$1,0)-MATCH("enemy_skill_id",enemy_skills!$1:$1,0)+1),MATCH(E$1,enemy_skills!$1:$1,0)-MATCH("enemy_skill_id",enemy_skills!$1:$1,0)+1,FALSE)</f>
        <v>2連続攻撃</v>
      </c>
      <c r="F16" s="195">
        <v>41005006</v>
      </c>
      <c r="G16" s="3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3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6" s="3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16" s="3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3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3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16" s="3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3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3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16" s="238"/>
      <c r="Q16" s="238"/>
      <c r="R16" s="238" t="s">
        <v>322</v>
      </c>
    </row>
    <row r="17" spans="1:18" s="239" customFormat="1" ht="21" customHeight="1" x14ac:dyDescent="0.15">
      <c r="A17" s="265" t="str">
        <f t="shared" si="0"/>
        <v>41005006_41005026</v>
      </c>
      <c r="B17" s="195">
        <v>41005006</v>
      </c>
      <c r="C17" s="195">
        <v>41005026</v>
      </c>
      <c r="D17" s="37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ロスト・ブレイン</v>
      </c>
      <c r="E17" s="37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3ターンスキルが使えない！</v>
      </c>
      <c r="F17" s="195">
        <v>41005002</v>
      </c>
      <c r="G17" s="3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3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7" s="3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3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3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3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3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3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3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238"/>
      <c r="Q17" s="238"/>
      <c r="R17" s="238" t="s">
        <v>322</v>
      </c>
    </row>
    <row r="18" spans="1:18" s="239" customFormat="1" ht="21" customHeight="1" x14ac:dyDescent="0.15">
      <c r="A18" s="265" t="str">
        <f t="shared" si="0"/>
        <v>41005006_41005003</v>
      </c>
      <c r="B18" s="195">
        <v>41005006</v>
      </c>
      <c r="C18" s="195">
        <v>41005003</v>
      </c>
      <c r="D18" s="37" t="str">
        <f ca="1">VLOOKUP($C18,OFFSET(enemy_skills!$A$1,0,0,COUNTA(enemy_skills!$A:$A),MATCH(D$1,enemy_skills!$1:$1,0)-MATCH("enemy_skill_id",enemy_skills!$1:$1,0)+1),MATCH(D$1,enemy_skills!$1:$1,0)-MATCH("enemy_skill_id",enemy_skills!$1:$1,0)+1,FALSE)</f>
        <v>西の魔女が消えた♪</v>
      </c>
      <c r="E18" s="37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ハートパネル7個出現</v>
      </c>
      <c r="F18" s="195">
        <v>41005008</v>
      </c>
      <c r="G18" s="3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3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8" s="3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3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3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3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3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38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176</v>
      </c>
      <c r="O18" s="3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238"/>
      <c r="Q18" s="238"/>
      <c r="R18" s="238" t="s">
        <v>347</v>
      </c>
    </row>
    <row r="19" spans="1:18" s="241" customFormat="1" ht="21" customHeight="1" thickBot="1" x14ac:dyDescent="0.2">
      <c r="A19" s="266" t="str">
        <f t="shared" si="0"/>
        <v>41005006_41005030</v>
      </c>
      <c r="B19" s="212">
        <v>41005006</v>
      </c>
      <c r="C19" s="212">
        <v>41005030</v>
      </c>
      <c r="D19" s="233" t="str">
        <f ca="1">VLOOKUP($C19,OFFSET(enemy_skills!$A$1,0,0,COUNTA(enemy_skills!$A:$A),MATCH(D$1,enemy_skills!$1:$1,0)-MATCH("enemy_skill_id",enemy_skills!$1:$1,0)+1),MATCH(D$1,enemy_skills!$1:$1,0)-MATCH("enemy_skill_id",enemy_skills!$1:$1,0)+1,FALSE)</f>
        <v>乙女座流星群</v>
      </c>
      <c r="E19" s="233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お邪魔パネル×8</v>
      </c>
      <c r="F19" s="212">
        <v>41005005</v>
      </c>
      <c r="G19" s="234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234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9" s="234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234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19" s="234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234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234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234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234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240"/>
      <c r="Q19" s="240"/>
      <c r="R19" s="240" t="s">
        <v>347</v>
      </c>
    </row>
    <row r="20" spans="1:18" s="215" customFormat="1" ht="21" customHeight="1" x14ac:dyDescent="0.15">
      <c r="A20" s="242" t="str">
        <f>B20&amp;"_"&amp;C20</f>
        <v>41005007_41005023</v>
      </c>
      <c r="B20" s="267">
        <v>41005007</v>
      </c>
      <c r="C20" s="267">
        <v>41005023</v>
      </c>
      <c r="D20" s="243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ダブルマジック</v>
      </c>
      <c r="E20" s="243" t="str">
        <f ca="1">VLOOKUP($C20,OFFSET(enemy_skills!$A$1,0,0,COUNTA(enemy_skills!$A:$A),MATCH(E$1,enemy_skills!$1:$1,0)-MATCH("enemy_skill_id",enemy_skills!$1:$1,0)+1),MATCH(E$1,enemy_skills!$1:$1,0)-MATCH("enemy_skill_id",enemy_skills!$1:$1,0)+1,FALSE)</f>
        <v>2連続攻撃</v>
      </c>
      <c r="F20" s="267">
        <v>41005006</v>
      </c>
      <c r="G20" s="244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244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0" s="244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20" s="244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244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244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20" s="244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244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244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20" s="268"/>
      <c r="Q20" s="268"/>
      <c r="R20" s="268" t="s">
        <v>346</v>
      </c>
    </row>
    <row r="21" spans="1:18" s="239" customFormat="1" ht="21" customHeight="1" x14ac:dyDescent="0.15">
      <c r="A21" s="265" t="str">
        <f>B21&amp;"_"&amp;C21</f>
        <v>41005007_41005027</v>
      </c>
      <c r="B21" s="224">
        <v>41005007</v>
      </c>
      <c r="C21" s="224">
        <v>41005027</v>
      </c>
      <c r="D21" s="37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ロスト・ブレイブリー</v>
      </c>
      <c r="E21" s="37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3ターン攻撃力ダウン</v>
      </c>
      <c r="F21" s="224">
        <v>41005033</v>
      </c>
      <c r="G21" s="3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3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1" s="3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3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3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3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3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3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3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236"/>
      <c r="Q21" s="236"/>
      <c r="R21" s="236" t="s">
        <v>343</v>
      </c>
    </row>
    <row r="22" spans="1:18" s="241" customFormat="1" ht="21" customHeight="1" thickBot="1" x14ac:dyDescent="0.2">
      <c r="A22" s="266" t="str">
        <f>B22&amp;"_"&amp;C22</f>
        <v>41005007_41005029</v>
      </c>
      <c r="B22" s="269">
        <v>41005007</v>
      </c>
      <c r="C22" s="269">
        <v>41005029</v>
      </c>
      <c r="D22" s="233" t="str">
        <f ca="1">VLOOKUP($C22,OFFSET(enemy_skills!$A$1,0,0,COUNTA(enemy_skills!$A:$A),MATCH(D$1,enemy_skills!$1:$1,0)-MATCH("enemy_skill_id",enemy_skills!$1:$1,0)+1),MATCH(D$1,enemy_skills!$1:$1,0)-MATCH("enemy_skill_id",enemy_skills!$1:$1,0)+1,FALSE)</f>
        <v>魔力吸収</v>
      </c>
      <c r="E22" s="233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攻撃力アップ</v>
      </c>
      <c r="F22" s="269">
        <v>41005015</v>
      </c>
      <c r="G22" s="234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234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2" s="234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234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234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234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234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234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212</v>
      </c>
      <c r="O22" s="234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270"/>
      <c r="Q22" s="270"/>
      <c r="R22" s="270" t="s">
        <v>342</v>
      </c>
    </row>
    <row r="23" spans="1:18" s="215" customFormat="1" ht="21" customHeight="1" x14ac:dyDescent="0.15">
      <c r="A23" s="242" t="str">
        <f t="shared" si="0"/>
        <v>41005008_41005044</v>
      </c>
      <c r="B23" s="225">
        <v>41005008</v>
      </c>
      <c r="C23" s="225">
        <v>41005044</v>
      </c>
      <c r="D23" s="243" t="str">
        <f ca="1">VLOOKUP($C23,OFFSET(enemy_skills!$A$1,0,0,COUNTA(enemy_skills!$A:$A),MATCH(D$1,enemy_skills!$1:$1,0)-MATCH("enemy_skill_id",enemy_skills!$1:$1,0)+1),MATCH(D$1,enemy_skills!$1:$1,0)-MATCH("enemy_skill_id",enemy_skills!$1:$1,0)+1,FALSE)</f>
        <v>恐れよ！私がオズだ！</v>
      </c>
      <c r="E23" s="243" t="str">
        <f ca="1">VLOOKUP($C23,OFFSET(enemy_skills!$A$1,0,0,COUNTA(enemy_skills!$A:$A),MATCH(E$1,enemy_skills!$1:$1,0)-MATCH("enemy_skill_id",enemy_skills!$1:$1,0)+1),MATCH(E$1,enemy_skills!$1:$1,0)-MATCH("enemy_skill_id",enemy_skills!$1:$1,0)+1,FALSE)</f>
        <v>3ターン防御力アップ＆状態異常無効_x000D_＆フィーバーゲージ減少</v>
      </c>
      <c r="F23" s="225">
        <v>41005002</v>
      </c>
      <c r="G23" s="244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244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244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244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244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244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244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244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244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245"/>
      <c r="Q23" s="245"/>
      <c r="R23" s="245" t="s">
        <v>329</v>
      </c>
    </row>
    <row r="24" spans="1:18" s="239" customFormat="1" ht="21" customHeight="1" x14ac:dyDescent="0.15">
      <c r="A24" s="265" t="str">
        <f t="shared" si="0"/>
        <v>41005008_41005012</v>
      </c>
      <c r="B24" s="226">
        <v>41005008</v>
      </c>
      <c r="C24" s="226">
        <v>41005012</v>
      </c>
      <c r="D24" s="37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封印解放【左手】</v>
      </c>
      <c r="E24" s="37" t="str">
        <f ca="1">VLOOKUP($C24,OFFSET(enemy_skills!$A$1,0,0,COUNTA(enemy_skills!$A:$A),MATCH(E$1,enemy_skills!$1:$1,0)-MATCH("enemy_skill_id",enemy_skills!$1:$1,0)+1),MATCH(E$1,enemy_skills!$1:$1,0)-MATCH("enemy_skill_id",enemy_skills!$1:$1,0)+1,FALSE)</f>
        <v>攻撃力アップ</v>
      </c>
      <c r="F24" s="226">
        <v>41005009</v>
      </c>
      <c r="G24" s="3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3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4" s="3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3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3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3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3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3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3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246"/>
      <c r="Q24" s="246"/>
      <c r="R24" s="246" t="s">
        <v>329</v>
      </c>
    </row>
    <row r="25" spans="1:18" s="239" customFormat="1" ht="21" customHeight="1" x14ac:dyDescent="0.15">
      <c r="A25" s="265" t="str">
        <f t="shared" si="0"/>
        <v>41005008_41005013</v>
      </c>
      <c r="B25" s="226">
        <v>41005008</v>
      </c>
      <c r="C25" s="226">
        <v>41005013</v>
      </c>
      <c r="D25" s="37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封印解放【右手】</v>
      </c>
      <c r="E25" s="37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さらに攻撃力アップ</v>
      </c>
      <c r="F25" s="226">
        <v>41005010</v>
      </c>
      <c r="G25" s="3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3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5" s="3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3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3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3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3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5" s="3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3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246"/>
      <c r="Q25" s="246"/>
      <c r="R25" s="246" t="s">
        <v>348</v>
      </c>
    </row>
    <row r="26" spans="1:18" s="239" customFormat="1" ht="21" customHeight="1" x14ac:dyDescent="0.15">
      <c r="A26" s="265" t="str">
        <f t="shared" si="0"/>
        <v>41005008_41005014</v>
      </c>
      <c r="B26" s="226">
        <v>41005008</v>
      </c>
      <c r="C26" s="226">
        <v>41005014</v>
      </c>
      <c r="D26" s="37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封印術式完全解放</v>
      </c>
      <c r="E26" s="37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【！】かなり攻撃力アップ【！】</v>
      </c>
      <c r="F26" s="226">
        <v>41005011</v>
      </c>
      <c r="G26" s="3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3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6" s="3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3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3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3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3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26" s="3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3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246"/>
      <c r="Q26" s="246"/>
      <c r="R26" s="246" t="s">
        <v>349</v>
      </c>
    </row>
    <row r="27" spans="1:18" s="239" customFormat="1" ht="21" customHeight="1" x14ac:dyDescent="0.15">
      <c r="A27" s="265" t="str">
        <f t="shared" si="0"/>
        <v>41005008_41005015</v>
      </c>
      <c r="B27" s="226">
        <v>41005008</v>
      </c>
      <c r="C27" s="226">
        <v>41005015</v>
      </c>
      <c r="D27" s="37" t="str">
        <f ca="1">VLOOKUP($C27,OFFSET(enemy_skills!$A$1,0,0,COUNTA(enemy_skills!$A:$A),MATCH(D$1,enemy_skills!$1:$1,0)-MATCH("enemy_skill_id",enemy_skills!$1:$1,0)+1),MATCH(D$1,enemy_skills!$1:$1,0)-MATCH("enemy_skill_id",enemy_skills!$1:$1,0)+1,FALSE)</f>
        <v>石の心臓を与えよう</v>
      </c>
      <c r="E27" s="37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お邪魔パネル×4</v>
      </c>
      <c r="F27" s="226">
        <v>41005012</v>
      </c>
      <c r="G27" s="3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3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7" s="3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7" s="3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3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3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3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3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3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7" s="246"/>
      <c r="Q27" s="246"/>
      <c r="R27" s="246" t="s">
        <v>348</v>
      </c>
    </row>
    <row r="28" spans="1:18" s="239" customFormat="1" ht="21" customHeight="1" x14ac:dyDescent="0.15">
      <c r="A28" s="265" t="str">
        <f t="shared" si="0"/>
        <v>41005008_41005024</v>
      </c>
      <c r="B28" s="226">
        <v>41005008</v>
      </c>
      <c r="C28" s="226">
        <v>41005024</v>
      </c>
      <c r="D28" s="37" t="str">
        <f ca="1">VLOOKUP($C28,OFFSET(enemy_skills!$A$1,0,0,COUNTA(enemy_skills!$A:$A),MATCH(D$1,enemy_skills!$1:$1,0)-MATCH("enemy_skill_id",enemy_skills!$1:$1,0)+1),MATCH(D$1,enemy_skills!$1:$1,0)-MATCH("enemy_skill_id",enemy_skills!$1:$1,0)+1,FALSE)</f>
        <v>勇気の石を与えよう</v>
      </c>
      <c r="E28" s="37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お邪魔パネル×4</v>
      </c>
      <c r="F28" s="226">
        <v>41005013</v>
      </c>
      <c r="G28" s="3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3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8" s="3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8" s="3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3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3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3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3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3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8" s="246"/>
      <c r="Q28" s="246"/>
      <c r="R28" s="246" t="s">
        <v>349</v>
      </c>
    </row>
    <row r="29" spans="1:18" s="241" customFormat="1" ht="21" customHeight="1" thickBot="1" x14ac:dyDescent="0.2">
      <c r="A29" s="266" t="str">
        <f t="shared" si="0"/>
        <v>41005008_41005025</v>
      </c>
      <c r="B29" s="227">
        <v>41005008</v>
      </c>
      <c r="C29" s="227">
        <v>41005025</v>
      </c>
      <c r="D29" s="233" t="str">
        <f ca="1">VLOOKUP($C29,OFFSET(enemy_skills!$A$1,0,0,COUNTA(enemy_skills!$A:$A),MATCH(D$1,enemy_skills!$1:$1,0)-MATCH("enemy_skill_id",enemy_skills!$1:$1,0)+1),MATCH(D$1,enemy_skills!$1:$1,0)-MATCH("enemy_skill_id",enemy_skills!$1:$1,0)+1,FALSE)</f>
        <v>石の脳を与えよう</v>
      </c>
      <c r="E29" s="233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お邪魔パネル×4</v>
      </c>
      <c r="F29" s="227">
        <v>41005014</v>
      </c>
      <c r="G29" s="234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234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9" s="234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234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234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234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234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234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234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247"/>
      <c r="Q29" s="247"/>
      <c r="R29" s="247" t="s">
        <v>350</v>
      </c>
    </row>
    <row r="30" spans="1:18" s="215" customFormat="1" ht="21" customHeight="1" x14ac:dyDescent="0.15">
      <c r="A30" s="242" t="str">
        <f t="shared" si="0"/>
        <v>41005009_41005016</v>
      </c>
      <c r="B30" s="225">
        <v>41005009</v>
      </c>
      <c r="C30" s="225">
        <v>41005016</v>
      </c>
      <c r="D30" s="243" t="str">
        <f ca="1">VLOOKUP($C30,OFFSET(enemy_skills!$A$1,0,0,COUNTA(enemy_skills!$A:$A),MATCH(D$1,enemy_skills!$1:$1,0)-MATCH("enemy_skill_id",enemy_skills!$1:$1,0)+1),MATCH(D$1,enemy_skills!$1:$1,0)-MATCH("enemy_skill_id",enemy_skills!$1:$1,0)+1,FALSE)</f>
        <v>翠玉の結界</v>
      </c>
      <c r="E30" s="243" t="str">
        <f ca="1">VLOOKUP($C30,OFFSET(enemy_skills!$A$1,0,0,COUNTA(enemy_skills!$A:$A),MATCH(E$1,enemy_skills!$1:$1,0)-MATCH("enemy_skill_id",enemy_skills!$1:$1,0)+1),MATCH(E$1,enemy_skills!$1:$1,0)-MATCH("enemy_skill_id",enemy_skills!$1:$1,0)+1,FALSE)</f>
        <v>3ターン防御力アップ＆状態異常無効</v>
      </c>
      <c r="F30" s="225">
        <v>41005002</v>
      </c>
      <c r="G30" s="244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244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0" s="244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244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244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244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244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244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244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245"/>
      <c r="Q30" s="245"/>
      <c r="R30" s="245" t="s">
        <v>350</v>
      </c>
    </row>
    <row r="31" spans="1:18" s="239" customFormat="1" ht="21" customHeight="1" x14ac:dyDescent="0.15">
      <c r="A31" s="265" t="str">
        <f>B31&amp;"_"&amp;C31</f>
        <v>41005009_41005011</v>
      </c>
      <c r="B31" s="226">
        <v>41005009</v>
      </c>
      <c r="C31" s="226">
        <v>41005011</v>
      </c>
      <c r="D31" s="37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ヒール封印術</v>
      </c>
      <c r="E31" s="37" t="str">
        <f ca="1">VLOOKUP($C31,OFFSET(enemy_skills!$A$1,0,0,COUNTA(enemy_skills!$A:$A),MATCH(E$1,enemy_skills!$1:$1,0)-MATCH("enemy_skill_id",enemy_skills!$1:$1,0)+1),MATCH(E$1,enemy_skills!$1:$1,0)-MATCH("enemy_skill_id",enemy_skills!$1:$1,0)+1,FALSE)</f>
        <v>5ターンハートパネル無効</v>
      </c>
      <c r="F31" s="226">
        <v>41005033</v>
      </c>
      <c r="G31" s="3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3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1" s="3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3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3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3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3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3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3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246"/>
      <c r="Q31" s="246"/>
      <c r="R31" s="246" t="s">
        <v>351</v>
      </c>
    </row>
    <row r="32" spans="1:18" s="239" customFormat="1" ht="21" customHeight="1" x14ac:dyDescent="0.15">
      <c r="A32" s="265" t="str">
        <f>B32&amp;"_"&amp;C32</f>
        <v>41005009_41005045</v>
      </c>
      <c r="B32" s="226">
        <v>41005009</v>
      </c>
      <c r="C32" s="226">
        <v>41005045</v>
      </c>
      <c r="D32" s="37" t="str">
        <f ca="1">VLOOKUP($C32,OFFSET(enemy_skills!$A$1,0,0,COUNTA(enemy_skills!$A:$A),MATCH(D$1,enemy_skills!$1:$1,0)-MATCH("enemy_skill_id",enemy_skills!$1:$1,0)+1),MATCH(D$1,enemy_skills!$1:$1,0)-MATCH("enemy_skill_id",enemy_skills!$1:$1,0)+1,FALSE)</f>
        <v>足掻け！足掻け！</v>
      </c>
      <c r="E32" s="37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クリティカル＆お邪魔パネル×4</v>
      </c>
      <c r="F32" s="226">
        <v>41005034</v>
      </c>
      <c r="G32" s="3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3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2" s="3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3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3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3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3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2" s="3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3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246"/>
      <c r="Q32" s="246"/>
      <c r="R32" s="246" t="s">
        <v>349</v>
      </c>
    </row>
    <row r="33" spans="1:18" s="239" customFormat="1" ht="21" customHeight="1" x14ac:dyDescent="0.15">
      <c r="A33" s="265" t="str">
        <f t="shared" si="0"/>
        <v>41005009_41005017</v>
      </c>
      <c r="B33" s="226">
        <v>41005009</v>
      </c>
      <c r="C33" s="226">
        <v>41005017</v>
      </c>
      <c r="D33" s="37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オズの魔力を見よ！</v>
      </c>
      <c r="E33" s="37" t="str">
        <f ca="1">VLOOKUP($C33,OFFSET(enemy_skills!$A$1,0,0,COUNTA(enemy_skills!$A:$A),MATCH(E$1,enemy_skills!$1:$1,0)-MATCH("enemy_skill_id",enemy_skills!$1:$1,0)+1),MATCH(E$1,enemy_skills!$1:$1,0)-MATCH("enemy_skill_id",enemy_skills!$1:$1,0)+1,FALSE)</f>
        <v>次のターンお邪魔パネル大量発生</v>
      </c>
      <c r="F33" s="226">
        <v>410050017</v>
      </c>
      <c r="G33" s="3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3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3" s="3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38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45</v>
      </c>
      <c r="K33" s="3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3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3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3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3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246"/>
      <c r="Q33" s="246"/>
      <c r="R33" s="246" t="s">
        <v>349</v>
      </c>
    </row>
    <row r="34" spans="1:18" s="241" customFormat="1" ht="21" customHeight="1" thickBot="1" x14ac:dyDescent="0.2">
      <c r="A34" s="266" t="str">
        <f t="shared" si="0"/>
        <v>41005009_41005019</v>
      </c>
      <c r="B34" s="227">
        <v>41005009</v>
      </c>
      <c r="C34" s="227">
        <v>41005019</v>
      </c>
      <c r="D34" s="233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どうだ素晴らしいだろう！</v>
      </c>
      <c r="E34" s="233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お邪魔パネル×15</v>
      </c>
      <c r="F34" s="227">
        <v>410050018</v>
      </c>
      <c r="G34" s="234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234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4" s="234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234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45</v>
      </c>
      <c r="K34" s="234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234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234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234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234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247"/>
      <c r="Q34" s="247"/>
      <c r="R34" s="247" t="s">
        <v>348</v>
      </c>
    </row>
    <row r="35" spans="1:18" s="215" customFormat="1" ht="21" customHeight="1" x14ac:dyDescent="0.15">
      <c r="A35" s="242" t="str">
        <f t="shared" si="0"/>
        <v>41005010_41005018</v>
      </c>
      <c r="B35" s="225">
        <v>41005010</v>
      </c>
      <c r="C35" s="225">
        <v>41005018</v>
      </c>
      <c r="D35" s="243" t="str">
        <f ca="1">VLOOKUP($C35,OFFSET(enemy_skills!$A$1,0,0,COUNTA(enemy_skills!$A:$A),MATCH(D$1,enemy_skills!$1:$1,0)-MATCH("enemy_skill_id",enemy_skills!$1:$1,0)+1),MATCH(D$1,enemy_skills!$1:$1,0)-MATCH("enemy_skill_id",enemy_skills!$1:$1,0)+1,FALSE)</f>
        <v>私の前に跪け！</v>
      </c>
      <c r="E35" s="243" t="str">
        <f ca="1">VLOOKUP($C35,OFFSET(enemy_skills!$A$1,0,0,COUNTA(enemy_skills!$A:$A),MATCH(E$1,enemy_skills!$1:$1,0)-MATCH("enemy_skill_id",enemy_skills!$1:$1,0)+1),MATCH(E$1,enemy_skills!$1:$1,0)-MATCH("enemy_skill_id",enemy_skills!$1:$1,0)+1,FALSE)</f>
        <v>5ターン攻撃力ダウン＆敵状態異常無効</v>
      </c>
      <c r="F35" s="225">
        <v>41005002</v>
      </c>
      <c r="G35" s="244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244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5" s="244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244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244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244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244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244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244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245"/>
      <c r="Q35" s="245"/>
      <c r="R35" s="245" t="s">
        <v>348</v>
      </c>
    </row>
    <row r="36" spans="1:18" s="239" customFormat="1" ht="21" customHeight="1" x14ac:dyDescent="0.15">
      <c r="A36" s="265" t="str">
        <f t="shared" si="0"/>
        <v>41005010_41005032</v>
      </c>
      <c r="B36" s="226">
        <v>41005010</v>
      </c>
      <c r="C36" s="226">
        <v>41005032</v>
      </c>
      <c r="D36" s="37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ははは！私は無敵だ！</v>
      </c>
      <c r="E36" s="37" t="str">
        <f ca="1">VLOOKUP($C36,OFFSET(enemy_skills!$A$1,0,0,COUNTA(enemy_skills!$A:$A),MATCH(E$1,enemy_skills!$1:$1,0)-MATCH("enemy_skill_id",enemy_skills!$1:$1,0)+1),MATCH(E$1,enemy_skills!$1:$1,0)-MATCH("enemy_skill_id",enemy_skills!$1:$1,0)+1,FALSE)</f>
        <v>3ターン防御力アップ</v>
      </c>
      <c r="F36" s="226">
        <v>41005019</v>
      </c>
      <c r="G36" s="3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3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6" s="3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3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3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3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3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3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3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246"/>
      <c r="Q36" s="246"/>
      <c r="R36" s="246" t="s">
        <v>349</v>
      </c>
    </row>
    <row r="37" spans="1:18" s="239" customFormat="1" ht="21" customHeight="1" x14ac:dyDescent="0.15">
      <c r="A37" s="265" t="str">
        <f t="shared" si="0"/>
        <v>41005010_41005046</v>
      </c>
      <c r="B37" s="226">
        <v>41005010</v>
      </c>
      <c r="C37" s="226">
        <v>41005046</v>
      </c>
      <c r="D37" s="37" t="str">
        <f ca="1">VLOOKUP($C37,OFFSET(enemy_skills!$A$1,0,0,COUNTA(enemy_skills!$A:$A),MATCH(D$1,enemy_skills!$1:$1,0)-MATCH("enemy_skill_id",enemy_skills!$1:$1,0)+1),MATCH(D$1,enemy_skills!$1:$1,0)-MATCH("enemy_skill_id",enemy_skills!$1:$1,0)+1,FALSE)</f>
        <v>魔の戦輪！</v>
      </c>
      <c r="E37" s="37" t="str">
        <f ca="1">VLOOKUP($C37,OFFSET(enemy_skills!$A$1,0,0,COUNTA(enemy_skills!$A:$A),MATCH(E$1,enemy_skills!$1:$1,0)-MATCH("enemy_skill_id",enemy_skills!$1:$1,0)+1),MATCH(E$1,enemy_skills!$1:$1,0)-MATCH("enemy_skill_id",enemy_skills!$1:$1,0)+1,FALSE)</f>
        <v>次のターンからどんどん強くなる！</v>
      </c>
      <c r="F37" s="226">
        <v>41005020</v>
      </c>
      <c r="G37" s="3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3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7" s="3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3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3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3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3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7" s="3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3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246"/>
      <c r="Q37" s="246"/>
      <c r="R37" s="246" t="s">
        <v>329</v>
      </c>
    </row>
    <row r="38" spans="1:18" s="239" customFormat="1" ht="21" customHeight="1" x14ac:dyDescent="0.15">
      <c r="A38" s="265" t="str">
        <f t="shared" si="0"/>
        <v>41005010_41005033</v>
      </c>
      <c r="B38" s="226">
        <v>41005010</v>
      </c>
      <c r="C38" s="226">
        <v>41005033</v>
      </c>
      <c r="D38" s="37" t="str">
        <f ca="1">VLOOKUP($C38,OFFSET(enemy_skills!$A$1,0,0,COUNTA(enemy_skills!$A:$A),MATCH(D$1,enemy_skills!$1:$1,0)-MATCH("enemy_skill_id",enemy_skills!$1:$1,0)+1),MATCH(D$1,enemy_skills!$1:$1,0)-MATCH("enemy_skill_id",enemy_skills!$1:$1,0)+1,FALSE)</f>
        <v>手も足も出まい！</v>
      </c>
      <c r="E38" s="37" t="str">
        <f ca="1">VLOOKUP($C38,OFFSET(enemy_skills!$A$1,0,0,COUNTA(enemy_skills!$A:$A),MATCH(E$1,enemy_skills!$1:$1,0)-MATCH("enemy_skill_id",enemy_skills!$1:$1,0)+1),MATCH(E$1,enemy_skills!$1:$1,0)-MATCH("enemy_skill_id",enemy_skills!$1:$1,0)+1,FALSE)</f>
        <v>2回連続攻撃＆2ターンスキルバインド</v>
      </c>
      <c r="F38" s="226">
        <v>41005021</v>
      </c>
      <c r="G38" s="3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3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8" s="3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3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3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3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3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8" s="3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3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246"/>
      <c r="Q38" s="246"/>
      <c r="R38" s="246" t="s">
        <v>348</v>
      </c>
    </row>
    <row r="39" spans="1:18" s="239" customFormat="1" ht="21" customHeight="1" x14ac:dyDescent="0.15">
      <c r="A39" s="265" t="str">
        <f t="shared" si="0"/>
        <v>41005010_41005047</v>
      </c>
      <c r="B39" s="226">
        <v>41005010</v>
      </c>
      <c r="C39" s="246">
        <v>41005047</v>
      </c>
      <c r="D39" s="37" t="str">
        <f ca="1">VLOOKUP($C39,OFFSET(enemy_skills!$A$1,0,0,COUNTA(enemy_skills!$A:$A),MATCH(D$1,enemy_skills!$1:$1,0)-MATCH("enemy_skill_id",enemy_skills!$1:$1,0)+1),MATCH(D$1,enemy_skills!$1:$1,0)-MATCH("enemy_skill_id",enemy_skills!$1:$1,0)+1,FALSE)</f>
        <v>戦輪二連撃</v>
      </c>
      <c r="E39" s="37" t="str">
        <f ca="1">VLOOKUP($C39,OFFSET(enemy_skills!$A$1,0,0,COUNTA(enemy_skills!$A:$A),MATCH(E$1,enemy_skills!$1:$1,0)-MATCH("enemy_skill_id",enemy_skills!$1:$1,0)+1),MATCH(E$1,enemy_skills!$1:$1,0)-MATCH("enemy_skill_id",enemy_skills!$1:$1,0)+1,FALSE)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9" s="226">
        <v>41005022</v>
      </c>
      <c r="G39" s="3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3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9" s="3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3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3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3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3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9" s="3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3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246"/>
      <c r="Q39" s="246"/>
      <c r="R39" s="246" t="s">
        <v>348</v>
      </c>
    </row>
    <row r="40" spans="1:18" s="239" customFormat="1" ht="21" customHeight="1" x14ac:dyDescent="0.15">
      <c r="A40" s="265" t="str">
        <f t="shared" si="0"/>
        <v>41005010_41005020</v>
      </c>
      <c r="B40" s="226">
        <v>41005010</v>
      </c>
      <c r="C40" s="226">
        <v>41005020</v>
      </c>
      <c r="D40" s="37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無様だな！</v>
      </c>
      <c r="E40" s="37" t="str">
        <f ca="1">VLOOKUP($C40,OFFSET(enemy_skills!$A$1,0,0,COUNTA(enemy_skills!$A:$A),MATCH(E$1,enemy_skills!$1:$1,0)-MATCH("enemy_skill_id",enemy_skills!$1:$1,0)+1),MATCH(E$1,enemy_skills!$1:$1,0)-MATCH("enemy_skill_id",enemy_skills!$1:$1,0)+1,FALSE)</f>
        <v>3回連続攻撃＆お邪魔パネル×10</v>
      </c>
      <c r="F40" s="226">
        <v>41005023</v>
      </c>
      <c r="G40" s="3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3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0" s="3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3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3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3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3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0" s="3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3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246"/>
      <c r="Q40" s="246"/>
      <c r="R40" s="246" t="s">
        <v>351</v>
      </c>
    </row>
    <row r="41" spans="1:18" s="239" customFormat="1" ht="21" customHeight="1" x14ac:dyDescent="0.15">
      <c r="A41" s="265" t="str">
        <f t="shared" si="0"/>
        <v>41005010_41005048</v>
      </c>
      <c r="B41" s="226">
        <v>41005010</v>
      </c>
      <c r="C41" s="226">
        <v>41005048</v>
      </c>
      <c r="D41" s="37" t="str">
        <f ca="1">VLOOKUP($C41,OFFSET(enemy_skills!$A$1,0,0,COUNTA(enemy_skills!$A:$A),MATCH(D$1,enemy_skills!$1:$1,0)-MATCH("enemy_skill_id",enemy_skills!$1:$1,0)+1),MATCH(D$1,enemy_skills!$1:$1,0)-MATCH("enemy_skill_id",enemy_skills!$1:$1,0)+1,FALSE)</f>
        <v>戦輪三連撃</v>
      </c>
      <c r="E41" s="37" t="str">
        <f ca="1">VLOOKUP($C41,OFFSET(enemy_skills!$A$1,0,0,COUNTA(enemy_skills!$A:$A),MATCH(E$1,enemy_skills!$1:$1,0)-MATCH("enemy_skill_id",enemy_skills!$1:$1,0)+1),MATCH(E$1,enemy_skills!$1:$1,0)-MATCH("enemy_skill_id",enemy_skills!$1:$1,0)+1,FALSE)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41" s="226">
        <v>41005024</v>
      </c>
      <c r="G41" s="3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3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1" s="3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3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3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3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3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41" s="3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3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246"/>
      <c r="Q41" s="246"/>
      <c r="R41" s="246" t="s">
        <v>351</v>
      </c>
    </row>
    <row r="42" spans="1:18" s="239" customFormat="1" ht="21" customHeight="1" x14ac:dyDescent="0.15">
      <c r="A42" s="265" t="str">
        <f t="shared" si="0"/>
        <v>41005010_41005034</v>
      </c>
      <c r="B42" s="226">
        <v>41005010</v>
      </c>
      <c r="C42" s="226">
        <v>41005034</v>
      </c>
      <c r="D42" s="37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どうだ、降伏するか？</v>
      </c>
      <c r="E42" s="37" t="str">
        <f ca="1">VLOOKUP($C42,OFFSET(enemy_skills!$A$1,0,0,COUNTA(enemy_skills!$A:$A),MATCH(E$1,enemy_skills!$1:$1,0)-MATCH("enemy_skill_id",enemy_skills!$1:$1,0)+1),MATCH(E$1,enemy_skills!$1:$1,0)-MATCH("enemy_skill_id",enemy_skills!$1:$1,0)+1,FALSE)</f>
        <v>4回連続攻撃＆永続攻撃力ダウン</v>
      </c>
      <c r="F42" s="226">
        <v>41005025</v>
      </c>
      <c r="G42" s="3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3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2" s="3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3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3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3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3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42" s="3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3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246"/>
      <c r="Q42" s="246"/>
      <c r="R42" s="246" t="s">
        <v>329</v>
      </c>
    </row>
    <row r="43" spans="1:18" s="239" customFormat="1" ht="21" customHeight="1" x14ac:dyDescent="0.15">
      <c r="A43" s="265" t="str">
        <f t="shared" si="0"/>
        <v>41005010_41005049</v>
      </c>
      <c r="B43" s="226">
        <v>41005010</v>
      </c>
      <c r="C43" s="226">
        <v>41005049</v>
      </c>
      <c r="D43" s="37" t="str">
        <f ca="1">VLOOKUP($C43,OFFSET(enemy_skills!$A$1,0,0,COUNTA(enemy_skills!$A:$A),MATCH(D$1,enemy_skills!$1:$1,0)-MATCH("enemy_skill_id",enemy_skills!$1:$1,0)+1),MATCH(D$1,enemy_skills!$1:$1,0)-MATCH("enemy_skill_id",enemy_skills!$1:$1,0)+1,FALSE)</f>
        <v>戦輪四連撃</v>
      </c>
      <c r="E43" s="37" t="str">
        <f ca="1">VLOOKUP($C43,OFFSET(enemy_skills!$A$1,0,0,COUNTA(enemy_skills!$A:$A),MATCH(E$1,enemy_skills!$1:$1,0)-MATCH("enemy_skill_id",enemy_skills!$1:$1,0)+1),MATCH(E$1,enemy_skills!$1:$1,0)-MATCH("enemy_skill_id",enemy_skills!$1:$1,0)+1,FALSE)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43" s="226">
        <v>41005026</v>
      </c>
      <c r="G43" s="3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3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3" s="3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3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3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3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3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43" s="3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3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246"/>
      <c r="Q43" s="246"/>
      <c r="R43" s="246" t="s">
        <v>329</v>
      </c>
    </row>
    <row r="44" spans="1:18" s="239" customFormat="1" ht="21" customHeight="1" x14ac:dyDescent="0.15">
      <c r="A44" s="265" t="str">
        <f t="shared" si="0"/>
        <v>41005010_41005035</v>
      </c>
      <c r="B44" s="226">
        <v>41005010</v>
      </c>
      <c r="C44" s="246">
        <v>41005035</v>
      </c>
      <c r="D44" s="37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ダメ押しだ！</v>
      </c>
      <c r="E44" s="37" t="str">
        <f ca="1">VLOOKUP($C44,OFFSET(enemy_skills!$A$1,0,0,COUNTA(enemy_skills!$A:$A),MATCH(E$1,enemy_skills!$1:$1,0)-MATCH("enemy_skill_id",enemy_skills!$1:$1,0)+1),MATCH(E$1,enemy_skills!$1:$1,0)-MATCH("enemy_skill_id",enemy_skills!$1:$1,0)+1,FALSE)</f>
        <v>5回連続攻撃＆フィーバーゲージ減少</v>
      </c>
      <c r="F44" s="226">
        <v>41005027</v>
      </c>
      <c r="G44" s="3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3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4" s="3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3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3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3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3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44" s="3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3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246"/>
      <c r="Q44" s="246"/>
      <c r="R44" s="246" t="s">
        <v>329</v>
      </c>
    </row>
    <row r="45" spans="1:18" s="239" customFormat="1" ht="21" customHeight="1" x14ac:dyDescent="0.15">
      <c r="A45" s="265" t="str">
        <f t="shared" si="0"/>
        <v>41005010_41005050</v>
      </c>
      <c r="B45" s="226">
        <v>41005010</v>
      </c>
      <c r="C45" s="226">
        <v>41005050</v>
      </c>
      <c r="D45" s="37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戦輪五連撃</v>
      </c>
      <c r="E45" s="37" t="str">
        <f ca="1">VLOOKUP($C45,OFFSET(enemy_skills!$A$1,0,0,COUNTA(enemy_skills!$A:$A),MATCH(E$1,enemy_skills!$1:$1,0)-MATCH("enemy_skill_id",enemy_skills!$1:$1,0)+1),MATCH(E$1,enemy_skills!$1:$1,0)-MATCH("enemy_skill_id",enemy_skills!$1:$1,0)+1,FALSE)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45" s="226">
        <v>41005028</v>
      </c>
      <c r="G45" s="3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3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5" s="3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3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3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3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3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45" s="3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3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246"/>
      <c r="Q45" s="246"/>
      <c r="R45" s="246" t="s">
        <v>329</v>
      </c>
    </row>
    <row r="46" spans="1:18" s="239" customFormat="1" ht="21" customHeight="1" x14ac:dyDescent="0.15">
      <c r="A46" s="265" t="str">
        <f t="shared" si="0"/>
        <v>41005010_41005051</v>
      </c>
      <c r="B46" s="226">
        <v>41005010</v>
      </c>
      <c r="C46" s="226">
        <v>41005051</v>
      </c>
      <c r="D46" s="37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君は随分しぶといな！</v>
      </c>
      <c r="E46" s="37" t="str">
        <f ca="1">VLOOKUP($C46,OFFSET(enemy_skills!$A$1,0,0,COUNTA(enemy_skills!$A:$A),MATCH(E$1,enemy_skills!$1:$1,0)-MATCH("enemy_skill_id",enemy_skills!$1:$1,0)+1),MATCH(E$1,enemy_skills!$1:$1,0)-MATCH("enemy_skill_id",enemy_skills!$1:$1,0)+1,FALSE)</f>
        <v>6回連続攻撃＆3ターン防御力ダウン</v>
      </c>
      <c r="F46" s="226">
        <v>41005029</v>
      </c>
      <c r="G46" s="3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3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6" s="3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3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3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3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3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46" s="3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3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246"/>
      <c r="Q46" s="246"/>
      <c r="R46" s="246" t="s">
        <v>329</v>
      </c>
    </row>
    <row r="47" spans="1:18" s="239" customFormat="1" ht="21" customHeight="1" x14ac:dyDescent="0.15">
      <c r="A47" s="265" t="str">
        <f t="shared" si="0"/>
        <v>41005010_41005036</v>
      </c>
      <c r="B47" s="226">
        <v>41005010</v>
      </c>
      <c r="C47" s="226">
        <v>41005036</v>
      </c>
      <c r="D47" s="37" t="str">
        <f ca="1">VLOOKUP($C47,OFFSET(enemy_skills!$A$1,0,0,COUNTA(enemy_skills!$A:$A),MATCH(D$1,enemy_skills!$1:$1,0)-MATCH("enemy_skill_id",enemy_skills!$1:$1,0)+1),MATCH(D$1,enemy_skills!$1:$1,0)-MATCH("enemy_skill_id",enemy_skills!$1:$1,0)+1,FALSE)</f>
        <v>戦輪六連撃</v>
      </c>
      <c r="E47" s="37" t="str">
        <f ca="1">VLOOKUP($C47,OFFSET(enemy_skills!$A$1,0,0,COUNTA(enemy_skills!$A:$A),MATCH(E$1,enemy_skills!$1:$1,0)-MATCH("enemy_skill_id",enemy_skills!$1:$1,0)+1),MATCH(E$1,enemy_skills!$1:$1,0)-MATCH("enemy_skill_id",enemy_skills!$1:$1,0)+1,FALSE)</f>
        <v>6回連続攻撃＆3ターン防御力ダウン</v>
      </c>
      <c r="F47" s="226">
        <v>41005036</v>
      </c>
      <c r="G47" s="3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3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7" s="3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3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3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3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3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3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3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246"/>
      <c r="Q47" s="246"/>
      <c r="R47" s="246" t="s">
        <v>329</v>
      </c>
    </row>
    <row r="48" spans="1:18" s="241" customFormat="1" ht="21" customHeight="1" thickBot="1" x14ac:dyDescent="0.2">
      <c r="A48" s="266" t="str">
        <f t="shared" si="0"/>
        <v>41005010_41005052</v>
      </c>
      <c r="B48" s="227">
        <v>41005010</v>
      </c>
      <c r="C48" s="227">
        <v>41005052</v>
      </c>
      <c r="D48" s="233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そろそろ諦めるんだな！</v>
      </c>
      <c r="E48" s="233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8" s="227">
        <v>41005035</v>
      </c>
      <c r="G48" s="234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234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8" s="234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234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234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234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234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15</v>
      </c>
      <c r="N48" s="234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234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247"/>
      <c r="Q48" s="247"/>
      <c r="R48" s="247" t="s">
        <v>329</v>
      </c>
    </row>
    <row r="49" spans="1:18" s="239" customFormat="1" ht="21" customHeight="1" x14ac:dyDescent="0.15">
      <c r="A49" s="265" t="str">
        <f t="shared" ref="A49:A68" si="1">B49&amp;"_"&amp;C49</f>
        <v>41005011_41005053</v>
      </c>
      <c r="B49" s="221">
        <v>41005011</v>
      </c>
      <c r="C49" s="221">
        <v>41005053</v>
      </c>
      <c r="D49" s="37" t="str">
        <f ca="1">VLOOKUP($C49,OFFSET(enemy_skills!$A$1,0,0,COUNTA(enemy_skills!$A:$A),MATCH(D$1,enemy_skills!$1:$1,0)-MATCH("enemy_skill_id",enemy_skills!$1:$1,0)+1),MATCH(D$1,enemy_skills!$1:$1,0)-MATCH("enemy_skill_id",enemy_skills!$1:$1,0)+1,FALSE)</f>
        <v>私は北の魔女♪</v>
      </c>
      <c r="E49" s="37" t="str">
        <f ca="1">VLOOKUP($C49,OFFSET(enemy_skills!$A$1,0,0,COUNTA(enemy_skills!$A:$A),MATCH(E$1,enemy_skills!$1:$1,0)-MATCH("enemy_skill_id",enemy_skills!$1:$1,0)+1),MATCH(E$1,enemy_skills!$1:$1,0)-MATCH("enemy_skill_id",enemy_skills!$1:$1,0)+1,FALSE)</f>
        <v>3ターン防御力アップ</v>
      </c>
      <c r="F49" s="221">
        <v>41005002</v>
      </c>
      <c r="G49" s="3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3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9" s="3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3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3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3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3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3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3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231"/>
      <c r="Q49" s="231"/>
      <c r="R49" s="231" t="s">
        <v>338</v>
      </c>
    </row>
    <row r="50" spans="1:18" s="241" customFormat="1" ht="21" customHeight="1" thickBot="1" x14ac:dyDescent="0.2">
      <c r="A50" s="266" t="str">
        <f t="shared" si="1"/>
        <v>41005011_41005055</v>
      </c>
      <c r="B50" s="263">
        <v>41005011</v>
      </c>
      <c r="C50" s="263">
        <v>41005055</v>
      </c>
      <c r="D50" s="233" t="str">
        <f ca="1">VLOOKUP($C50,OFFSET(enemy_skills!$A$1,0,0,COUNTA(enemy_skills!$A:$A),MATCH(D$1,enemy_skills!$1:$1,0)-MATCH("enemy_skill_id",enemy_skills!$1:$1,0)+1),MATCH(D$1,enemy_skills!$1:$1,0)-MATCH("enemy_skill_id",enemy_skills!$1:$1,0)+1,FALSE)</f>
        <v>東の魔女が消えた♪</v>
      </c>
      <c r="E50" s="233" t="str">
        <f ca="1">VLOOKUP($C50,OFFSET(enemy_skills!$A$1,0,0,COUNTA(enemy_skills!$A:$A),MATCH(E$1,enemy_skills!$1:$1,0)-MATCH("enemy_skill_id",enemy_skills!$1:$1,0)+1),MATCH(E$1,enemy_skills!$1:$1,0)-MATCH("enemy_skill_id",enemy_skills!$1:$1,0)+1,FALSE)</f>
        <v>青パネルを回復パネルに変換</v>
      </c>
      <c r="F50" s="263">
        <v>41005003</v>
      </c>
      <c r="G50" s="234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234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0" s="234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234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234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234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234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234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245</v>
      </c>
      <c r="O50" s="234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264"/>
      <c r="Q50" s="264"/>
      <c r="R50" s="264" t="s">
        <v>338</v>
      </c>
    </row>
    <row r="51" spans="1:18" s="215" customFormat="1" ht="21" customHeight="1" x14ac:dyDescent="0.15">
      <c r="A51" s="242" t="str">
        <f t="shared" si="1"/>
        <v>41005012_41005006</v>
      </c>
      <c r="B51" s="261">
        <v>41005012</v>
      </c>
      <c r="C51" s="261">
        <v>41005006</v>
      </c>
      <c r="D51" s="243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アンチヒール</v>
      </c>
      <c r="E51" s="243" t="str">
        <f ca="1">VLOOKUP($C51,OFFSET(enemy_skills!$A$1,0,0,COUNTA(enemy_skills!$A:$A),MATCH(E$1,enemy_skills!$1:$1,0)-MATCH("enemy_skill_id",enemy_skills!$1:$1,0)+1),MATCH(E$1,enemy_skills!$1:$1,0)-MATCH("enemy_skill_id",enemy_skills!$1:$1,0)+1,FALSE)</f>
        <v>5ターン回復力ダウン</v>
      </c>
      <c r="F51" s="261">
        <v>41005004</v>
      </c>
      <c r="G51" s="244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244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1" s="244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244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51" s="244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244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244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244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244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262"/>
      <c r="Q51" s="262"/>
      <c r="R51" s="262" t="s">
        <v>339</v>
      </c>
    </row>
    <row r="52" spans="1:18" s="215" customFormat="1" ht="21" customHeight="1" x14ac:dyDescent="0.15">
      <c r="A52" s="242" t="str">
        <f t="shared" si="1"/>
        <v>41005012_41005054</v>
      </c>
      <c r="B52" s="261">
        <v>41005012</v>
      </c>
      <c r="C52" s="261">
        <v>41005054</v>
      </c>
      <c r="D52" s="243" t="str">
        <f ca="1">VLOOKUP($C52,OFFSET(enemy_skills!$A$1,0,0,COUNTA(enemy_skills!$A:$A),MATCH(D$1,enemy_skills!$1:$1,0)-MATCH("enemy_skill_id",enemy_skills!$1:$1,0)+1),MATCH(D$1,enemy_skills!$1:$1,0)-MATCH("enemy_skill_id",enemy_skills!$1:$1,0)+1,FALSE)</f>
        <v>私は東の魔女…</v>
      </c>
      <c r="E52" s="243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お邪魔パネル×2</v>
      </c>
      <c r="F52" s="261">
        <v>41005002</v>
      </c>
      <c r="G52" s="244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244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2" s="244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244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244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244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244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244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244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262"/>
      <c r="Q52" s="262"/>
      <c r="R52" s="262"/>
    </row>
    <row r="53" spans="1:18" s="239" customFormat="1" ht="21" customHeight="1" x14ac:dyDescent="0.15">
      <c r="A53" s="242" t="str">
        <f t="shared" si="1"/>
        <v>41005012_41005007</v>
      </c>
      <c r="B53" s="261">
        <v>41005012</v>
      </c>
      <c r="C53" s="222">
        <v>41005007</v>
      </c>
      <c r="D53" s="37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ジャミング</v>
      </c>
      <c r="E53" s="37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お邪魔パネル×8</v>
      </c>
      <c r="F53" s="222">
        <v>41005005</v>
      </c>
      <c r="G53" s="3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3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3" s="3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38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53" s="3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3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3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3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3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232"/>
      <c r="Q53" s="232"/>
      <c r="R53" s="232" t="s">
        <v>340</v>
      </c>
    </row>
    <row r="54" spans="1:18" s="241" customFormat="1" ht="21" customHeight="1" thickBot="1" x14ac:dyDescent="0.2">
      <c r="A54" s="242" t="str">
        <f t="shared" si="1"/>
        <v>41005012_41005056</v>
      </c>
      <c r="B54" s="223">
        <v>41005012</v>
      </c>
      <c r="C54" s="223">
        <v>41005056</v>
      </c>
      <c r="D54" s="233" t="str">
        <f ca="1">VLOOKUP($C54,OFFSET(enemy_skills!$A$1,0,0,COUNTA(enemy_skills!$A:$A),MATCH(D$1,enemy_skills!$1:$1,0)-MATCH("enemy_skill_id",enemy_skills!$1:$1,0)+1),MATCH(D$1,enemy_skills!$1:$1,0)-MATCH("enemy_skill_id",enemy_skills!$1:$1,0)+1,FALSE)</f>
        <v>魔力吸収</v>
      </c>
      <c r="E54" s="233" t="str">
        <f ca="1">VLOOKUP($C54,OFFSET(enemy_skills!$A$1,0,0,COUNTA(enemy_skills!$A:$A),MATCH(E$1,enemy_skills!$1:$1,0)-MATCH("enemy_skill_id",enemy_skills!$1:$1,0)+1),MATCH(E$1,enemy_skills!$1:$1,0)-MATCH("enemy_skill_id",enemy_skills!$1:$1,0)+1,FALSE)</f>
        <v>緑パネルを吸収して攻撃力と頻度アップ</v>
      </c>
      <c r="F54" s="223">
        <v>41005016</v>
      </c>
      <c r="G54" s="234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234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4" s="234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234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234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234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234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234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242</v>
      </c>
      <c r="O54" s="234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235"/>
      <c r="Q54" s="235"/>
      <c r="R54" s="235" t="s">
        <v>340</v>
      </c>
    </row>
    <row r="55" spans="1:18" s="215" customFormat="1" ht="21" customHeight="1" x14ac:dyDescent="0.15">
      <c r="A55" s="242" t="str">
        <f t="shared" si="1"/>
        <v>41005013_41005010</v>
      </c>
      <c r="B55" s="237">
        <v>41005013</v>
      </c>
      <c r="C55" s="237">
        <v>41005010</v>
      </c>
      <c r="D55" s="243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プラチナメテオ</v>
      </c>
      <c r="E55" s="243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5" s="237">
        <v>41005006</v>
      </c>
      <c r="G55" s="244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244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5" s="244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55" s="244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244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244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55" s="244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244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244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55" s="258"/>
      <c r="Q55" s="258"/>
      <c r="R55" s="258" t="s">
        <v>322</v>
      </c>
    </row>
    <row r="56" spans="1:18" s="215" customFormat="1" ht="21" customHeight="1" x14ac:dyDescent="0.15">
      <c r="A56" s="242" t="str">
        <f t="shared" si="1"/>
        <v>41005013_41005057</v>
      </c>
      <c r="B56" s="237">
        <v>41005013</v>
      </c>
      <c r="C56" s="237">
        <v>41005057</v>
      </c>
      <c r="D56" s="243" t="str">
        <f ca="1">VLOOKUP($C56,OFFSET(enemy_skills!$A$1,0,0,COUNTA(enemy_skills!$A:$A),MATCH(D$1,enemy_skills!$1:$1,0)-MATCH("enemy_skill_id",enemy_skills!$1:$1,0)+1),MATCH(D$1,enemy_skills!$1:$1,0)-MATCH("enemy_skill_id",enemy_skills!$1:$1,0)+1,FALSE)</f>
        <v>私は南の魔女♪</v>
      </c>
      <c r="E56" s="243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ユニット1体を2ターンの間スリープ</v>
      </c>
      <c r="F56" s="237">
        <v>41005002</v>
      </c>
      <c r="G56" s="244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244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6" s="244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244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244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244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244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244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244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258"/>
      <c r="Q56" s="258"/>
      <c r="R56" s="258" t="s">
        <v>322</v>
      </c>
    </row>
    <row r="57" spans="1:18" s="239" customFormat="1" ht="21" customHeight="1" x14ac:dyDescent="0.15">
      <c r="A57" s="242" t="str">
        <f t="shared" si="1"/>
        <v>41005013_41005031</v>
      </c>
      <c r="B57" s="195">
        <v>41005013</v>
      </c>
      <c r="C57" s="195">
        <v>41005031</v>
      </c>
      <c r="D57" s="37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マジカルバランサー</v>
      </c>
      <c r="E57" s="37" t="str">
        <f ca="1">VLOOKUP($C57,OFFSET(enemy_skills!$A$1,0,0,COUNTA(enemy_skills!$A:$A),MATCH(E$1,enemy_skills!$1:$1,0)-MATCH("enemy_skill_id",enemy_skills!$1:$1,0)+1),MATCH(E$1,enemy_skills!$1:$1,0)-MATCH("enemy_skill_id",enemy_skills!$1:$1,0)+1,FALSE)</f>
        <v>2連続攻撃</v>
      </c>
      <c r="F57" s="195">
        <v>41005006</v>
      </c>
      <c r="G57" s="3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3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7" s="3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57" s="3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3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3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57" s="3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3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3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57" s="238"/>
      <c r="Q57" s="238"/>
      <c r="R57" s="238" t="s">
        <v>345</v>
      </c>
    </row>
    <row r="58" spans="1:18" s="241" customFormat="1" ht="21" customHeight="1" thickBot="1" x14ac:dyDescent="0.2">
      <c r="A58" s="242" t="str">
        <f t="shared" si="1"/>
        <v>41005013_41005059</v>
      </c>
      <c r="B58" s="212">
        <v>41005013</v>
      </c>
      <c r="C58" s="212">
        <v>41005059</v>
      </c>
      <c r="D58" s="233" t="str">
        <f ca="1">VLOOKUP($C58,OFFSET(enemy_skills!$A$1,0,0,COUNTA(enemy_skills!$A:$A),MATCH(D$1,enemy_skills!$1:$1,0)-MATCH("enemy_skill_id",enemy_skills!$1:$1,0)+1),MATCH(D$1,enemy_skills!$1:$1,0)-MATCH("enemy_skill_id",enemy_skills!$1:$1,0)+1,FALSE)</f>
        <v>西の魔女が消えた♪</v>
      </c>
      <c r="E58" s="233" t="str">
        <f ca="1">VLOOKUP($C58,OFFSET(enemy_skills!$A$1,0,0,COUNTA(enemy_skills!$A:$A),MATCH(E$1,enemy_skills!$1:$1,0)-MATCH("enemy_skill_id",enemy_skills!$1:$1,0)+1),MATCH(E$1,enemy_skills!$1:$1,0)-MATCH("enemy_skill_id",enemy_skills!$1:$1,0)+1,FALSE)</f>
        <v>黄パネルを回復パネルに変換</v>
      </c>
      <c r="F58" s="212">
        <v>41005008</v>
      </c>
      <c r="G58" s="234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234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8" s="234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234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234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234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234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234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176</v>
      </c>
      <c r="O58" s="234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240"/>
      <c r="Q58" s="240"/>
      <c r="R58" s="240" t="s">
        <v>322</v>
      </c>
    </row>
    <row r="59" spans="1:18" s="215" customFormat="1" ht="21" customHeight="1" x14ac:dyDescent="0.15">
      <c r="A59" s="242" t="str">
        <f t="shared" si="1"/>
        <v>41005014_41005058</v>
      </c>
      <c r="B59" s="267">
        <v>41005014</v>
      </c>
      <c r="C59" s="267">
        <v>41005058</v>
      </c>
      <c r="D59" s="243" t="str">
        <f ca="1">VLOOKUP($C59,OFFSET(enemy_skills!$A$1,0,0,COUNTA(enemy_skills!$A:$A),MATCH(D$1,enemy_skills!$1:$1,0)-MATCH("enemy_skill_id",enemy_skills!$1:$1,0)+1),MATCH(D$1,enemy_skills!$1:$1,0)-MATCH("enemy_skill_id",enemy_skills!$1:$1,0)+1,FALSE)</f>
        <v>私は西の魔女…</v>
      </c>
      <c r="E59" s="243" t="str">
        <f ca="1">VLOOKUP($C59,OFFSET(enemy_skills!$A$1,0,0,COUNTA(enemy_skills!$A:$A),MATCH(E$1,enemy_skills!$1:$1,0)-MATCH("enemy_skill_id",enemy_skills!$1:$1,0)+1),MATCH(E$1,enemy_skills!$1:$1,0)-MATCH("enemy_skill_id",enemy_skills!$1:$1,0)+1,FALSE)</f>
        <v>2ターンの間赤パネル無効化</v>
      </c>
      <c r="F59" s="267">
        <v>41005002</v>
      </c>
      <c r="G59" s="244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244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9" s="244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244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244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244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244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244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244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268"/>
      <c r="Q59" s="268"/>
      <c r="R59" s="268" t="s">
        <v>342</v>
      </c>
    </row>
    <row r="60" spans="1:18" s="215" customFormat="1" ht="21" customHeight="1" x14ac:dyDescent="0.15">
      <c r="A60" s="242" t="str">
        <f t="shared" ref="A60" si="2">B60&amp;"_"&amp;C60</f>
        <v>41005014_41005021</v>
      </c>
      <c r="B60" s="267">
        <v>41005014</v>
      </c>
      <c r="C60" s="267">
        <v>41005021</v>
      </c>
      <c r="D60" s="243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ロスト・ハート</v>
      </c>
      <c r="E60" s="243" t="str">
        <f ca="1">VLOOKUP($C60,OFFSET(enemy_skills!$A$1,0,0,COUNTA(enemy_skills!$A:$A),MATCH(E$1,enemy_skills!$1:$1,0)-MATCH("enemy_skill_id",enemy_skills!$1:$1,0)+1),MATCH(E$1,enemy_skills!$1:$1,0)-MATCH("enemy_skill_id",enemy_skills!$1:$1,0)+1,FALSE)</f>
        <v>4ターンハートパネル無効</v>
      </c>
      <c r="F60" s="267">
        <v>41005033</v>
      </c>
      <c r="G60" s="244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244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0" s="244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244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244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244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244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244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244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268"/>
      <c r="Q60" s="268"/>
      <c r="R60" s="268" t="s">
        <v>342</v>
      </c>
    </row>
    <row r="61" spans="1:18" s="239" customFormat="1" ht="21" customHeight="1" x14ac:dyDescent="0.15">
      <c r="A61" s="242" t="str">
        <f t="shared" si="1"/>
        <v>41005014_41005008</v>
      </c>
      <c r="B61" s="267">
        <v>41005014</v>
      </c>
      <c r="C61" s="224">
        <v>41005008</v>
      </c>
      <c r="D61" s="37" t="str">
        <f ca="1">VLOOKUP($C61,OFFSET(enemy_skills!$A$1,0,0,COUNTA(enemy_skills!$A:$A),MATCH(D$1,enemy_skills!$1:$1,0)-MATCH("enemy_skill_id",enemy_skills!$1:$1,0)+1),MATCH(D$1,enemy_skills!$1:$1,0)-MATCH("enemy_skill_id",enemy_skills!$1:$1,0)+1,FALSE)</f>
        <v>黒山羊の儀式</v>
      </c>
      <c r="E61" s="37" t="str">
        <f ca="1">VLOOKUP($C61,OFFSET(enemy_skills!$A$1,0,0,COUNTA(enemy_skills!$A:$A),MATCH(E$1,enemy_skills!$1:$1,0)-MATCH("enemy_skill_id",enemy_skills!$1:$1,0)+1),MATCH(E$1,enemy_skills!$1:$1,0)-MATCH("enemy_skill_id",enemy_skills!$1:$1,0)+1,FALSE)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1" s="224">
        <v>41005006</v>
      </c>
      <c r="G61" s="3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3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1" s="3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61" s="3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3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3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61" s="3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3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3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61" s="236"/>
      <c r="Q61" s="236"/>
      <c r="R61" s="236" t="s">
        <v>343</v>
      </c>
    </row>
    <row r="62" spans="1:18" s="239" customFormat="1" ht="21" customHeight="1" x14ac:dyDescent="0.15">
      <c r="A62" s="242" t="str">
        <f t="shared" si="1"/>
        <v>41005014_41005009</v>
      </c>
      <c r="B62" s="267">
        <v>41005014</v>
      </c>
      <c r="C62" s="224">
        <v>41005009</v>
      </c>
      <c r="D62" s="37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サバトの護石</v>
      </c>
      <c r="E62" s="37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お邪魔パネル×8</v>
      </c>
      <c r="F62" s="224">
        <v>41005005</v>
      </c>
      <c r="G62" s="3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3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2" s="3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38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62" s="3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3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3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3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3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236"/>
      <c r="Q62" s="236"/>
      <c r="R62" s="236" t="s">
        <v>342</v>
      </c>
    </row>
    <row r="63" spans="1:18" s="241" customFormat="1" ht="21" customHeight="1" thickBot="1" x14ac:dyDescent="0.2">
      <c r="A63" s="242" t="str">
        <f t="shared" si="1"/>
        <v>41005014_41005060</v>
      </c>
      <c r="B63" s="269">
        <v>41005014</v>
      </c>
      <c r="C63" s="269">
        <v>41005060</v>
      </c>
      <c r="D63" s="233" t="str">
        <f ca="1">VLOOKUP($C63,OFFSET(enemy_skills!$A$1,0,0,COUNTA(enemy_skills!$A:$A),MATCH(D$1,enemy_skills!$1:$1,0)-MATCH("enemy_skill_id",enemy_skills!$1:$1,0)+1),MATCH(D$1,enemy_skills!$1:$1,0)-MATCH("enemy_skill_id",enemy_skills!$1:$1,0)+1,FALSE)</f>
        <v>魔力吸収</v>
      </c>
      <c r="E63" s="233" t="str">
        <f ca="1">VLOOKUP($C63,OFFSET(enemy_skills!$A$1,0,0,COUNTA(enemy_skills!$A:$A),MATCH(E$1,enemy_skills!$1:$1,0)-MATCH("enemy_skill_id",enemy_skills!$1:$1,0)+1),MATCH(E$1,enemy_skills!$1:$1,0)-MATCH("enemy_skill_id",enemy_skills!$1:$1,0)+1,FALSE)</f>
        <v>黄パネルを吸収して攻撃力と頻度アップ</v>
      </c>
      <c r="F63" s="269">
        <v>41005015</v>
      </c>
      <c r="G63" s="234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234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3" s="234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234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234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234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234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234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212</v>
      </c>
      <c r="O63" s="234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270"/>
      <c r="Q63" s="270"/>
      <c r="R63" s="270" t="s">
        <v>344</v>
      </c>
    </row>
    <row r="64" spans="1:18" s="215" customFormat="1" ht="21" customHeight="1" x14ac:dyDescent="0.15">
      <c r="A64" s="242" t="str">
        <f t="shared" si="1"/>
        <v>41005015_41005028</v>
      </c>
      <c r="B64" s="237">
        <v>41005015</v>
      </c>
      <c r="C64" s="237">
        <v>41005028</v>
      </c>
      <c r="D64" s="243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クロックメテオEX</v>
      </c>
      <c r="E64" s="243" t="str">
        <f ca="1">VLOOKUP($C64,OFFSET(enemy_skills!$A$1,0,0,COUNTA(enemy_skills!$A:$A),MATCH(E$1,enemy_skills!$1:$1,0)-MATCH("enemy_skill_id",enemy_skills!$1:$1,0)+1),MATCH(E$1,enemy_skills!$1:$1,0)-MATCH("enemy_skill_id",enemy_skills!$1:$1,0)+1,FALSE)</f>
        <v>時限式ダメージパネル×5</v>
      </c>
      <c r="F64" s="237">
        <v>41005006</v>
      </c>
      <c r="G64" s="244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244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4" s="244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64" s="244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244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244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64" s="244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244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244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64" s="258"/>
      <c r="Q64" s="258"/>
      <c r="R64" s="258" t="s">
        <v>322</v>
      </c>
    </row>
    <row r="65" spans="1:18" s="239" customFormat="1" ht="21" customHeight="1" x14ac:dyDescent="0.15">
      <c r="A65" s="242" t="str">
        <f t="shared" si="1"/>
        <v>41005015_41005031</v>
      </c>
      <c r="B65" s="237">
        <v>41005015</v>
      </c>
      <c r="C65" s="195">
        <v>41005031</v>
      </c>
      <c r="D65" s="37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マジカルバランサー</v>
      </c>
      <c r="E65" s="37" t="str">
        <f ca="1">VLOOKUP($C65,OFFSET(enemy_skills!$A$1,0,0,COUNTA(enemy_skills!$A:$A),MATCH(E$1,enemy_skills!$1:$1,0)-MATCH("enemy_skill_id",enemy_skills!$1:$1,0)+1),MATCH(E$1,enemy_skills!$1:$1,0)-MATCH("enemy_skill_id",enemy_skills!$1:$1,0)+1,FALSE)</f>
        <v>2連続攻撃</v>
      </c>
      <c r="F65" s="195">
        <v>41005006</v>
      </c>
      <c r="G65" s="3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3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5" s="3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65" s="3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3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3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65" s="3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3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3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65" s="238"/>
      <c r="Q65" s="238"/>
      <c r="R65" s="238" t="s">
        <v>322</v>
      </c>
    </row>
    <row r="66" spans="1:18" s="239" customFormat="1" ht="21" customHeight="1" x14ac:dyDescent="0.15">
      <c r="A66" s="242" t="str">
        <f t="shared" si="1"/>
        <v>41005015_41005026</v>
      </c>
      <c r="B66" s="237">
        <v>41005015</v>
      </c>
      <c r="C66" s="195">
        <v>41005026</v>
      </c>
      <c r="D66" s="37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ロスト・ブレイン</v>
      </c>
      <c r="E66" s="37" t="str">
        <f ca="1">VLOOKUP($C66,OFFSET(enemy_skills!$A$1,0,0,COUNTA(enemy_skills!$A:$A),MATCH(E$1,enemy_skills!$1:$1,0)-MATCH("enemy_skill_id",enemy_skills!$1:$1,0)+1),MATCH(E$1,enemy_skills!$1:$1,0)-MATCH("enemy_skill_id",enemy_skills!$1:$1,0)+1,FALSE)</f>
        <v>3ターンスキルが使えない！</v>
      </c>
      <c r="F66" s="195">
        <v>41005002</v>
      </c>
      <c r="G66" s="3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3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6" s="3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3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3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3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3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3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3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238"/>
      <c r="Q66" s="238"/>
      <c r="R66" s="238" t="s">
        <v>322</v>
      </c>
    </row>
    <row r="67" spans="1:18" s="239" customFormat="1" ht="21" customHeight="1" x14ac:dyDescent="0.15">
      <c r="A67" s="242" t="str">
        <f t="shared" si="1"/>
        <v>41005015_41005059</v>
      </c>
      <c r="B67" s="237">
        <v>41005015</v>
      </c>
      <c r="C67" s="195">
        <v>41005059</v>
      </c>
      <c r="D67" s="37" t="str">
        <f ca="1">VLOOKUP($C67,OFFSET(enemy_skills!$A$1,0,0,COUNTA(enemy_skills!$A:$A),MATCH(D$1,enemy_skills!$1:$1,0)-MATCH("enemy_skill_id",enemy_skills!$1:$1,0)+1),MATCH(D$1,enemy_skills!$1:$1,0)-MATCH("enemy_skill_id",enemy_skills!$1:$1,0)+1,FALSE)</f>
        <v>西の魔女が消えた♪</v>
      </c>
      <c r="E67" s="37" t="str">
        <f ca="1">VLOOKUP($C67,OFFSET(enemy_skills!$A$1,0,0,COUNTA(enemy_skills!$A:$A),MATCH(E$1,enemy_skills!$1:$1,0)-MATCH("enemy_skill_id",enemy_skills!$1:$1,0)+1),MATCH(E$1,enemy_skills!$1:$1,0)-MATCH("enemy_skill_id",enemy_skills!$1:$1,0)+1,FALSE)</f>
        <v>黄パネルを回復パネルに変換</v>
      </c>
      <c r="F67" s="195">
        <v>41005008</v>
      </c>
      <c r="G67" s="3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3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7" s="3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3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3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3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3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3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176</v>
      </c>
      <c r="O67" s="3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238"/>
      <c r="Q67" s="238"/>
      <c r="R67" s="238" t="s">
        <v>347</v>
      </c>
    </row>
    <row r="68" spans="1:18" s="241" customFormat="1" ht="21" customHeight="1" thickBot="1" x14ac:dyDescent="0.2">
      <c r="A68" s="242" t="str">
        <f t="shared" si="1"/>
        <v>41005015_41005030</v>
      </c>
      <c r="B68" s="212">
        <v>41005015</v>
      </c>
      <c r="C68" s="212">
        <v>41005030</v>
      </c>
      <c r="D68" s="233" t="str">
        <f ca="1">VLOOKUP($C68,OFFSET(enemy_skills!$A$1,0,0,COUNTA(enemy_skills!$A:$A),MATCH(D$1,enemy_skills!$1:$1,0)-MATCH("enemy_skill_id",enemy_skills!$1:$1,0)+1),MATCH(D$1,enemy_skills!$1:$1,0)-MATCH("enemy_skill_id",enemy_skills!$1:$1,0)+1,FALSE)</f>
        <v>乙女座流星群</v>
      </c>
      <c r="E68" s="233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お邪魔パネル×8</v>
      </c>
      <c r="F68" s="212">
        <v>41005005</v>
      </c>
      <c r="G68" s="234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234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8" s="234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234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68" s="234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234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234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234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234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240"/>
      <c r="Q68" s="240"/>
      <c r="R68" s="240" t="s">
        <v>347</v>
      </c>
    </row>
    <row r="69" spans="1:18" s="215" customFormat="1" ht="21" customHeight="1" x14ac:dyDescent="0.15">
      <c r="A69" s="242" t="str">
        <f>B69&amp;"_"&amp;C69</f>
        <v>41005016_41005023</v>
      </c>
      <c r="B69" s="267">
        <v>41005016</v>
      </c>
      <c r="C69" s="267">
        <v>41005023</v>
      </c>
      <c r="D69" s="243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ダブルマジック</v>
      </c>
      <c r="E69" s="243" t="str">
        <f ca="1">VLOOKUP($C69,OFFSET(enemy_skills!$A$1,0,0,COUNTA(enemy_skills!$A:$A),MATCH(E$1,enemy_skills!$1:$1,0)-MATCH("enemy_skill_id",enemy_skills!$1:$1,0)+1),MATCH(E$1,enemy_skills!$1:$1,0)-MATCH("enemy_skill_id",enemy_skills!$1:$1,0)+1,FALSE)</f>
        <v>2連続攻撃</v>
      </c>
      <c r="F69" s="267">
        <v>41005006</v>
      </c>
      <c r="G69" s="244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244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9" s="244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69" s="244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244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244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69" s="244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244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244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69" s="268"/>
      <c r="Q69" s="268"/>
      <c r="R69" s="268" t="s">
        <v>346</v>
      </c>
    </row>
    <row r="70" spans="1:18" s="239" customFormat="1" ht="21" customHeight="1" x14ac:dyDescent="0.15">
      <c r="A70" s="265" t="str">
        <f>B70&amp;"_"&amp;C70</f>
        <v>41005016_41005027</v>
      </c>
      <c r="B70" s="267">
        <v>41005016</v>
      </c>
      <c r="C70" s="224">
        <v>41005027</v>
      </c>
      <c r="D70" s="37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ロスト・ブレイブリー</v>
      </c>
      <c r="E70" s="37" t="str">
        <f ca="1">VLOOKUP($C70,OFFSET(enemy_skills!$A$1,0,0,COUNTA(enemy_skills!$A:$A),MATCH(E$1,enemy_skills!$1:$1,0)-MATCH("enemy_skill_id",enemy_skills!$1:$1,0)+1),MATCH(E$1,enemy_skills!$1:$1,0)-MATCH("enemy_skill_id",enemy_skills!$1:$1,0)+1,FALSE)</f>
        <v>3ターン攻撃力ダウン</v>
      </c>
      <c r="F70" s="224">
        <v>41005033</v>
      </c>
      <c r="G70" s="3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3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0" s="3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3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3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3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3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3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3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236"/>
      <c r="Q70" s="236"/>
      <c r="R70" s="236" t="s">
        <v>343</v>
      </c>
    </row>
    <row r="71" spans="1:18" s="241" customFormat="1" ht="21" customHeight="1" thickBot="1" x14ac:dyDescent="0.2">
      <c r="A71" s="266" t="str">
        <f>B71&amp;"_"&amp;C71</f>
        <v>41005016_41005060</v>
      </c>
      <c r="B71" s="269">
        <v>41005016</v>
      </c>
      <c r="C71" s="269">
        <v>41005060</v>
      </c>
      <c r="D71" s="233" t="str">
        <f ca="1">VLOOKUP($C71,OFFSET(enemy_skills!$A$1,0,0,COUNTA(enemy_skills!$A:$A),MATCH(D$1,enemy_skills!$1:$1,0)-MATCH("enemy_skill_id",enemy_skills!$1:$1,0)+1),MATCH(D$1,enemy_skills!$1:$1,0)-MATCH("enemy_skill_id",enemy_skills!$1:$1,0)+1,FALSE)</f>
        <v>魔力吸収</v>
      </c>
      <c r="E71" s="233" t="str">
        <f ca="1">VLOOKUP($C71,OFFSET(enemy_skills!$A$1,0,0,COUNTA(enemy_skills!$A:$A),MATCH(E$1,enemy_skills!$1:$1,0)-MATCH("enemy_skill_id",enemy_skills!$1:$1,0)+1),MATCH(E$1,enemy_skills!$1:$1,0)-MATCH("enemy_skill_id",enemy_skills!$1:$1,0)+1,FALSE)</f>
        <v>黄パネルを吸収して攻撃力と頻度アップ</v>
      </c>
      <c r="F71" s="269">
        <v>41005015</v>
      </c>
      <c r="G71" s="234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234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1" s="234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234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234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234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234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234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212</v>
      </c>
      <c r="O71" s="234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270"/>
      <c r="Q71" s="270"/>
      <c r="R71" s="270" t="s">
        <v>342</v>
      </c>
    </row>
    <row r="72" spans="1:18" s="215" customFormat="1" ht="21" customHeight="1" thickBot="1" x14ac:dyDescent="0.2">
      <c r="A72" s="266" t="str">
        <f t="shared" ref="A72:A98" si="3">B72&amp;"_"&amp;C72</f>
        <v>41005017_41005044</v>
      </c>
      <c r="B72" s="225">
        <v>41005017</v>
      </c>
      <c r="C72" s="225">
        <v>41005044</v>
      </c>
      <c r="D72" s="243" t="str">
        <f ca="1">VLOOKUP($C72,OFFSET(enemy_skills!$A$1,0,0,COUNTA(enemy_skills!$A:$A),MATCH(D$1,enemy_skills!$1:$1,0)-MATCH("enemy_skill_id",enemy_skills!$1:$1,0)+1),MATCH(D$1,enemy_skills!$1:$1,0)-MATCH("enemy_skill_id",enemy_skills!$1:$1,0)+1,FALSE)</f>
        <v>恐れよ！私がオズだ！</v>
      </c>
      <c r="E72" s="243" t="str">
        <f ca="1">VLOOKUP($C72,OFFSET(enemy_skills!$A$1,0,0,COUNTA(enemy_skills!$A:$A),MATCH(E$1,enemy_skills!$1:$1,0)-MATCH("enemy_skill_id",enemy_skills!$1:$1,0)+1),MATCH(E$1,enemy_skills!$1:$1,0)-MATCH("enemy_skill_id",enemy_skills!$1:$1,0)+1,FALSE)</f>
        <v>3ターン防御力アップ＆状態異常無効_x000D_＆フィーバーゲージ減少</v>
      </c>
      <c r="F72" s="225">
        <v>41005002</v>
      </c>
      <c r="G72" s="244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244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2" s="244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244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244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244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244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244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244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245"/>
      <c r="Q72" s="245"/>
      <c r="R72" s="245" t="s">
        <v>329</v>
      </c>
    </row>
    <row r="73" spans="1:18" s="239" customFormat="1" ht="21" customHeight="1" thickBot="1" x14ac:dyDescent="0.2">
      <c r="A73" s="266" t="str">
        <f t="shared" si="3"/>
        <v>41005017_41005012</v>
      </c>
      <c r="B73" s="225">
        <v>41005017</v>
      </c>
      <c r="C73" s="226">
        <v>41005012</v>
      </c>
      <c r="D73" s="37" t="str">
        <f ca="1">VLOOKUP($C73,OFFSET(enemy_skills!$A$1,0,0,COUNTA(enemy_skills!$A:$A),MATCH(D$1,enemy_skills!$1:$1,0)-MATCH("enemy_skill_id",enemy_skills!$1:$1,0)+1),MATCH(D$1,enemy_skills!$1:$1,0)-MATCH("enemy_skill_id",enemy_skills!$1:$1,0)+1,FALSE)</f>
        <v>封印解放【左手】</v>
      </c>
      <c r="E73" s="37" t="str">
        <f ca="1">VLOOKUP($C73,OFFSET(enemy_skills!$A$1,0,0,COUNTA(enemy_skills!$A:$A),MATCH(E$1,enemy_skills!$1:$1,0)-MATCH("enemy_skill_id",enemy_skills!$1:$1,0)+1),MATCH(E$1,enemy_skills!$1:$1,0)-MATCH("enemy_skill_id",enemy_skills!$1:$1,0)+1,FALSE)</f>
        <v>攻撃力アップ</v>
      </c>
      <c r="F73" s="226">
        <v>41005009</v>
      </c>
      <c r="G73" s="3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3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3" s="3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3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3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3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3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3" s="3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3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246"/>
      <c r="Q73" s="246"/>
      <c r="R73" s="246" t="s">
        <v>329</v>
      </c>
    </row>
    <row r="74" spans="1:18" s="239" customFormat="1" ht="21" customHeight="1" thickBot="1" x14ac:dyDescent="0.2">
      <c r="A74" s="266" t="str">
        <f t="shared" si="3"/>
        <v>41005017_41005013</v>
      </c>
      <c r="B74" s="225">
        <v>41005017</v>
      </c>
      <c r="C74" s="226">
        <v>41005013</v>
      </c>
      <c r="D74" s="37" t="str">
        <f ca="1">VLOOKUP($C74,OFFSET(enemy_skills!$A$1,0,0,COUNTA(enemy_skills!$A:$A),MATCH(D$1,enemy_skills!$1:$1,0)-MATCH("enemy_skill_id",enemy_skills!$1:$1,0)+1),MATCH(D$1,enemy_skills!$1:$1,0)-MATCH("enemy_skill_id",enemy_skills!$1:$1,0)+1,FALSE)</f>
        <v>封印解放【右手】</v>
      </c>
      <c r="E74" s="37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さらに攻撃力アップ</v>
      </c>
      <c r="F74" s="226">
        <v>41005010</v>
      </c>
      <c r="G74" s="3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3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4" s="3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3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3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3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3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4" s="3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3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246"/>
      <c r="Q74" s="246"/>
      <c r="R74" s="246" t="s">
        <v>348</v>
      </c>
    </row>
    <row r="75" spans="1:18" s="239" customFormat="1" ht="21" customHeight="1" thickBot="1" x14ac:dyDescent="0.2">
      <c r="A75" s="266" t="str">
        <f t="shared" si="3"/>
        <v>41005017_41005014</v>
      </c>
      <c r="B75" s="225">
        <v>41005017</v>
      </c>
      <c r="C75" s="226">
        <v>41005014</v>
      </c>
      <c r="D75" s="37" t="str">
        <f ca="1">VLOOKUP($C75,OFFSET(enemy_skills!$A$1,0,0,COUNTA(enemy_skills!$A:$A),MATCH(D$1,enemy_skills!$1:$1,0)-MATCH("enemy_skill_id",enemy_skills!$1:$1,0)+1),MATCH(D$1,enemy_skills!$1:$1,0)-MATCH("enemy_skill_id",enemy_skills!$1:$1,0)+1,FALSE)</f>
        <v>封印術式完全解放</v>
      </c>
      <c r="E75" s="37" t="str">
        <f ca="1">VLOOKUP($C75,OFFSET(enemy_skills!$A$1,0,0,COUNTA(enemy_skills!$A:$A),MATCH(E$1,enemy_skills!$1:$1,0)-MATCH("enemy_skill_id",enemy_skills!$1:$1,0)+1),MATCH(E$1,enemy_skills!$1:$1,0)-MATCH("enemy_skill_id",enemy_skills!$1:$1,0)+1,FALSE)</f>
        <v>【！】かなり攻撃力アップ【！】</v>
      </c>
      <c r="F75" s="226">
        <v>41005011</v>
      </c>
      <c r="G75" s="3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3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5" s="3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3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3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3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38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75" s="3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3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246"/>
      <c r="Q75" s="246"/>
      <c r="R75" s="246" t="s">
        <v>329</v>
      </c>
    </row>
    <row r="76" spans="1:18" s="239" customFormat="1" ht="21" customHeight="1" thickBot="1" x14ac:dyDescent="0.2">
      <c r="A76" s="266" t="str">
        <f t="shared" si="3"/>
        <v>41005017_41005064</v>
      </c>
      <c r="B76" s="225">
        <v>41005017</v>
      </c>
      <c r="C76" s="226">
        <v>41005064</v>
      </c>
      <c r="D76" s="37" t="str">
        <f ca="1">VLOOKUP($C76,OFFSET(enemy_skills!$A$1,0,0,COUNTA(enemy_skills!$A:$A),MATCH(D$1,enemy_skills!$1:$1,0)-MATCH("enemy_skill_id",enemy_skills!$1:$1,0)+1),MATCH(D$1,enemy_skills!$1:$1,0)-MATCH("enemy_skill_id",enemy_skills!$1:$1,0)+1,FALSE)</f>
        <v>石の心臓を与えよう</v>
      </c>
      <c r="E76" s="37" t="str">
        <f ca="1">VLOOKUP($C76,OFFSET(enemy_skills!$A$1,0,0,COUNTA(enemy_skills!$A:$A),MATCH(E$1,enemy_skills!$1:$1,0)-MATCH("enemy_skill_id",enemy_skills!$1:$1,0)+1),MATCH(E$1,enemy_skills!$1:$1,0)-MATCH("enemy_skill_id",enemy_skills!$1:$1,0)+1,FALSE)</f>
        <v>お邪魔パネル×5</v>
      </c>
      <c r="F76" s="226">
        <v>41005012</v>
      </c>
      <c r="G76" s="3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3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6" s="3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76" s="3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3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38" t="str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6" s="3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3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3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76" s="246"/>
      <c r="Q76" s="246"/>
      <c r="R76" s="246" t="s">
        <v>348</v>
      </c>
    </row>
    <row r="77" spans="1:18" s="239" customFormat="1" ht="21" customHeight="1" thickBot="1" x14ac:dyDescent="0.2">
      <c r="A77" s="266" t="str">
        <f t="shared" si="3"/>
        <v>41005017_41005065</v>
      </c>
      <c r="B77" s="225">
        <v>41005017</v>
      </c>
      <c r="C77" s="226">
        <v>41005065</v>
      </c>
      <c r="D77" s="37" t="str">
        <f ca="1">VLOOKUP($C77,OFFSET(enemy_skills!$A$1,0,0,COUNTA(enemy_skills!$A:$A),MATCH(D$1,enemy_skills!$1:$1,0)-MATCH("enemy_skill_id",enemy_skills!$1:$1,0)+1),MATCH(D$1,enemy_skills!$1:$1,0)-MATCH("enemy_skill_id",enemy_skills!$1:$1,0)+1,FALSE)</f>
        <v>勇気の石を与えよう</v>
      </c>
      <c r="E77" s="37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お邪魔パネル×5</v>
      </c>
      <c r="F77" s="226">
        <v>41005013</v>
      </c>
      <c r="G77" s="3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3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7" s="3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7" s="3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3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38" t="str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7" s="3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3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3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7" s="246"/>
      <c r="Q77" s="246"/>
      <c r="R77" s="246" t="s">
        <v>329</v>
      </c>
    </row>
    <row r="78" spans="1:18" s="241" customFormat="1" ht="21" customHeight="1" thickBot="1" x14ac:dyDescent="0.2">
      <c r="A78" s="266" t="str">
        <f t="shared" si="3"/>
        <v>41005017_41005066</v>
      </c>
      <c r="B78" s="227">
        <v>41005017</v>
      </c>
      <c r="C78" s="227">
        <v>41005066</v>
      </c>
      <c r="D78" s="233" t="str">
        <f ca="1">VLOOKUP($C78,OFFSET(enemy_skills!$A$1,0,0,COUNTA(enemy_skills!$A:$A),MATCH(D$1,enemy_skills!$1:$1,0)-MATCH("enemy_skill_id",enemy_skills!$1:$1,0)+1),MATCH(D$1,enemy_skills!$1:$1,0)-MATCH("enemy_skill_id",enemy_skills!$1:$1,0)+1,FALSE)</f>
        <v>石の脳を与えよう</v>
      </c>
      <c r="E78" s="233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お邪魔パネル×5</v>
      </c>
      <c r="F78" s="227">
        <v>41005014</v>
      </c>
      <c r="G78" s="234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234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8" s="234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234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234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234" t="str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8" s="234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234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234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247"/>
      <c r="Q78" s="247"/>
      <c r="R78" s="247" t="s">
        <v>329</v>
      </c>
    </row>
    <row r="79" spans="1:18" s="215" customFormat="1" ht="21" customHeight="1" thickBot="1" x14ac:dyDescent="0.2">
      <c r="A79" s="266" t="str">
        <f t="shared" si="3"/>
        <v>41005018_41005016</v>
      </c>
      <c r="B79" s="225">
        <v>41005018</v>
      </c>
      <c r="C79" s="225">
        <v>41005016</v>
      </c>
      <c r="D79" s="243" t="str">
        <f ca="1">VLOOKUP($C79,OFFSET(enemy_skills!$A$1,0,0,COUNTA(enemy_skills!$A:$A),MATCH(D$1,enemy_skills!$1:$1,0)-MATCH("enemy_skill_id",enemy_skills!$1:$1,0)+1),MATCH(D$1,enemy_skills!$1:$1,0)-MATCH("enemy_skill_id",enemy_skills!$1:$1,0)+1,FALSE)</f>
        <v>翠玉の結界</v>
      </c>
      <c r="E79" s="243" t="str">
        <f ca="1">VLOOKUP($C79,OFFSET(enemy_skills!$A$1,0,0,COUNTA(enemy_skills!$A:$A),MATCH(E$1,enemy_skills!$1:$1,0)-MATCH("enemy_skill_id",enemy_skills!$1:$1,0)+1),MATCH(E$1,enemy_skills!$1:$1,0)-MATCH("enemy_skill_id",enemy_skills!$1:$1,0)+1,FALSE)</f>
        <v>3ターン防御力アップ＆状態異常無効</v>
      </c>
      <c r="F79" s="225">
        <v>41005002</v>
      </c>
      <c r="G79" s="244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244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9" s="244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244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244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244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244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244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244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245"/>
      <c r="Q79" s="245"/>
      <c r="R79" s="245" t="s">
        <v>350</v>
      </c>
    </row>
    <row r="80" spans="1:18" s="239" customFormat="1" ht="21" customHeight="1" thickBot="1" x14ac:dyDescent="0.2">
      <c r="A80" s="266" t="str">
        <f t="shared" si="3"/>
        <v>41005018_41005011</v>
      </c>
      <c r="B80" s="225">
        <v>41005018</v>
      </c>
      <c r="C80" s="226">
        <v>41005011</v>
      </c>
      <c r="D80" s="37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ヒール封印術</v>
      </c>
      <c r="E80" s="37" t="str">
        <f ca="1">VLOOKUP($C80,OFFSET(enemy_skills!$A$1,0,0,COUNTA(enemy_skills!$A:$A),MATCH(E$1,enemy_skills!$1:$1,0)-MATCH("enemy_skill_id",enemy_skills!$1:$1,0)+1),MATCH(E$1,enemy_skills!$1:$1,0)-MATCH("enemy_skill_id",enemy_skills!$1:$1,0)+1,FALSE)</f>
        <v>5ターンハートパネル無効</v>
      </c>
      <c r="F80" s="226">
        <v>41005033</v>
      </c>
      <c r="G80" s="3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3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0" s="3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3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3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3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3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3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3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246"/>
      <c r="Q80" s="246"/>
      <c r="R80" s="246" t="s">
        <v>351</v>
      </c>
    </row>
    <row r="81" spans="1:18" s="239" customFormat="1" ht="21" customHeight="1" thickBot="1" x14ac:dyDescent="0.2">
      <c r="A81" s="266" t="str">
        <f t="shared" si="3"/>
        <v>41005018_41005045</v>
      </c>
      <c r="B81" s="225">
        <v>41005018</v>
      </c>
      <c r="C81" s="226">
        <v>41005045</v>
      </c>
      <c r="D81" s="37" t="str">
        <f ca="1">VLOOKUP($C81,OFFSET(enemy_skills!$A$1,0,0,COUNTA(enemy_skills!$A:$A),MATCH(D$1,enemy_skills!$1:$1,0)-MATCH("enemy_skill_id",enemy_skills!$1:$1,0)+1),MATCH(D$1,enemy_skills!$1:$1,0)-MATCH("enemy_skill_id",enemy_skills!$1:$1,0)+1,FALSE)</f>
        <v>足掻け！足掻け！</v>
      </c>
      <c r="E81" s="37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クリティカル＆お邪魔パネル×4</v>
      </c>
      <c r="F81" s="226">
        <v>41005034</v>
      </c>
      <c r="G81" s="3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3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1" s="3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3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3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38" t="str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1" s="38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1" s="3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3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246"/>
      <c r="Q81" s="246"/>
      <c r="R81" s="246" t="s">
        <v>349</v>
      </c>
    </row>
    <row r="82" spans="1:18" s="239" customFormat="1" ht="21" customHeight="1" thickBot="1" x14ac:dyDescent="0.2">
      <c r="A82" s="266" t="str">
        <f t="shared" si="3"/>
        <v>41005018_41005061</v>
      </c>
      <c r="B82" s="225">
        <v>41005018</v>
      </c>
      <c r="C82" s="226">
        <v>41005061</v>
      </c>
      <c r="D82" s="37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オズの魔力を見せてやろう！</v>
      </c>
      <c r="E82" s="37" t="str">
        <f ca="1">VLOOKUP($C82,OFFSET(enemy_skills!$A$1,0,0,COUNTA(enemy_skills!$A:$A),MATCH(E$1,enemy_skills!$1:$1,0)-MATCH("enemy_skill_id",enemy_skills!$1:$1,0)+1),MATCH(E$1,enemy_skills!$1:$1,0)-MATCH("enemy_skill_id",enemy_skills!$1:$1,0)+1,FALSE)</f>
        <v>緑パネルを時限式ダメージパネルに変化 _x000D_&amp;オズの手に魔力が集まっていく！</v>
      </c>
      <c r="F82" s="226">
        <v>410050017</v>
      </c>
      <c r="G82" s="3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3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2" s="3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38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45</v>
      </c>
      <c r="K82" s="3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3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38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2" s="3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3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246"/>
      <c r="Q82" s="246"/>
      <c r="R82" s="246" t="s">
        <v>349</v>
      </c>
    </row>
    <row r="83" spans="1:18" s="241" customFormat="1" ht="21" customHeight="1" thickBot="1" x14ac:dyDescent="0.2">
      <c r="A83" s="266" t="str">
        <f t="shared" si="3"/>
        <v>41005018_41005062</v>
      </c>
      <c r="B83" s="227">
        <v>41005018</v>
      </c>
      <c r="C83" s="227">
        <v>41005062</v>
      </c>
      <c r="D83" s="233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どうだ素晴らしいだろう！</v>
      </c>
      <c r="E83" s="233" t="str">
        <f ca="1">VLOOKUP($C83,OFFSET(enemy_skills!$A$1,0,0,COUNTA(enemy_skills!$A:$A),MATCH(E$1,enemy_skills!$1:$1,0)-MATCH("enemy_skill_id",enemy_skills!$1:$1,0)+1),MATCH(E$1,enemy_skills!$1:$1,0)-MATCH("enemy_skill_id",enemy_skills!$1:$1,0)+1,FALSE)</f>
        <v>お邪魔パネル×15</v>
      </c>
      <c r="F83" s="227">
        <v>410050018</v>
      </c>
      <c r="G83" s="234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234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3" s="234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234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45</v>
      </c>
      <c r="K83" s="234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234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234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3" s="234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234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247"/>
      <c r="Q83" s="247"/>
      <c r="R83" s="247" t="s">
        <v>348</v>
      </c>
    </row>
    <row r="84" spans="1:18" s="215" customFormat="1" ht="21" customHeight="1" thickBot="1" x14ac:dyDescent="0.2">
      <c r="A84" s="266" t="str">
        <f t="shared" si="3"/>
        <v>41005019_41005018</v>
      </c>
      <c r="B84" s="225">
        <v>41005019</v>
      </c>
      <c r="C84" s="225">
        <v>41005018</v>
      </c>
      <c r="D84" s="243" t="str">
        <f ca="1">VLOOKUP($C84,OFFSET(enemy_skills!$A$1,0,0,COUNTA(enemy_skills!$A:$A),MATCH(D$1,enemy_skills!$1:$1,0)-MATCH("enemy_skill_id",enemy_skills!$1:$1,0)+1),MATCH(D$1,enemy_skills!$1:$1,0)-MATCH("enemy_skill_id",enemy_skills!$1:$1,0)+1,FALSE)</f>
        <v>私の前に跪け！</v>
      </c>
      <c r="E84" s="243" t="str">
        <f ca="1">VLOOKUP($C84,OFFSET(enemy_skills!$A$1,0,0,COUNTA(enemy_skills!$A:$A),MATCH(E$1,enemy_skills!$1:$1,0)-MATCH("enemy_skill_id",enemy_skills!$1:$1,0)+1),MATCH(E$1,enemy_skills!$1:$1,0)-MATCH("enemy_skill_id",enemy_skills!$1:$1,0)+1,FALSE)</f>
        <v>5ターン攻撃力ダウン＆敵状態異常無効</v>
      </c>
      <c r="F84" s="225">
        <v>41005002</v>
      </c>
      <c r="G84" s="244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244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4" s="244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244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244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244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244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244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244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245"/>
      <c r="Q84" s="245"/>
      <c r="R84" s="245" t="s">
        <v>348</v>
      </c>
    </row>
    <row r="85" spans="1:18" s="239" customFormat="1" ht="21" customHeight="1" thickBot="1" x14ac:dyDescent="0.2">
      <c r="A85" s="266" t="str">
        <f t="shared" si="3"/>
        <v>41005019_41005032</v>
      </c>
      <c r="B85" s="225">
        <v>41005019</v>
      </c>
      <c r="C85" s="226">
        <v>41005032</v>
      </c>
      <c r="D85" s="37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ははは！私は無敵だ！</v>
      </c>
      <c r="E85" s="37" t="str">
        <f ca="1">VLOOKUP($C85,OFFSET(enemy_skills!$A$1,0,0,COUNTA(enemy_skills!$A:$A),MATCH(E$1,enemy_skills!$1:$1,0)-MATCH("enemy_skill_id",enemy_skills!$1:$1,0)+1),MATCH(E$1,enemy_skills!$1:$1,0)-MATCH("enemy_skill_id",enemy_skills!$1:$1,0)+1,FALSE)</f>
        <v>3ターン防御力アップ</v>
      </c>
      <c r="F85" s="226">
        <v>41005019</v>
      </c>
      <c r="G85" s="3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3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5" s="3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3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3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3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38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5" s="3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3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246"/>
      <c r="Q85" s="246"/>
      <c r="R85" s="246" t="s">
        <v>349</v>
      </c>
    </row>
    <row r="86" spans="1:18" s="239" customFormat="1" ht="21" customHeight="1" thickBot="1" x14ac:dyDescent="0.2">
      <c r="A86" s="266" t="str">
        <f t="shared" si="3"/>
        <v>41005019_41005046</v>
      </c>
      <c r="B86" s="225">
        <v>41005019</v>
      </c>
      <c r="C86" s="226">
        <v>41005046</v>
      </c>
      <c r="D86" s="37" t="str">
        <f ca="1">VLOOKUP($C86,OFFSET(enemy_skills!$A$1,0,0,COUNTA(enemy_skills!$A:$A),MATCH(D$1,enemy_skills!$1:$1,0)-MATCH("enemy_skill_id",enemy_skills!$1:$1,0)+1),MATCH(D$1,enemy_skills!$1:$1,0)-MATCH("enemy_skill_id",enemy_skills!$1:$1,0)+1,FALSE)</f>
        <v>魔の戦輪！</v>
      </c>
      <c r="E86" s="37" t="str">
        <f ca="1">VLOOKUP($C86,OFFSET(enemy_skills!$A$1,0,0,COUNTA(enemy_skills!$A:$A),MATCH(E$1,enemy_skills!$1:$1,0)-MATCH("enemy_skill_id",enemy_skills!$1:$1,0)+1),MATCH(E$1,enemy_skills!$1:$1,0)-MATCH("enemy_skill_id",enemy_skills!$1:$1,0)+1,FALSE)</f>
        <v>次のターンからどんどん強くなる！</v>
      </c>
      <c r="F86" s="226">
        <v>41005020</v>
      </c>
      <c r="G86" s="3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3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6" s="3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3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3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3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38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6" s="38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3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246"/>
      <c r="Q86" s="246"/>
      <c r="R86" s="246" t="s">
        <v>329</v>
      </c>
    </row>
    <row r="87" spans="1:18" s="239" customFormat="1" ht="21" customHeight="1" thickBot="1" x14ac:dyDescent="0.2">
      <c r="A87" s="266" t="str">
        <f t="shared" si="3"/>
        <v>41005019_41005033</v>
      </c>
      <c r="B87" s="225">
        <v>41005019</v>
      </c>
      <c r="C87" s="226">
        <v>41005033</v>
      </c>
      <c r="D87" s="37" t="str">
        <f ca="1">VLOOKUP($C87,OFFSET(enemy_skills!$A$1,0,0,COUNTA(enemy_skills!$A:$A),MATCH(D$1,enemy_skills!$1:$1,0)-MATCH("enemy_skill_id",enemy_skills!$1:$1,0)+1),MATCH(D$1,enemy_skills!$1:$1,0)-MATCH("enemy_skill_id",enemy_skills!$1:$1,0)+1,FALSE)</f>
        <v>手も足も出まい！</v>
      </c>
      <c r="E87" s="37" t="str">
        <f ca="1">VLOOKUP($C87,OFFSET(enemy_skills!$A$1,0,0,COUNTA(enemy_skills!$A:$A),MATCH(E$1,enemy_skills!$1:$1,0)-MATCH("enemy_skill_id",enemy_skills!$1:$1,0)+1),MATCH(E$1,enemy_skills!$1:$1,0)-MATCH("enemy_skill_id",enemy_skills!$1:$1,0)+1,FALSE)</f>
        <v>2回連続攻撃＆2ターンスキルバインド</v>
      </c>
      <c r="F87" s="226">
        <v>41005021</v>
      </c>
      <c r="G87" s="3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3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7" s="3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3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3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3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38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7" s="38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3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246"/>
      <c r="Q87" s="246"/>
      <c r="R87" s="246" t="s">
        <v>348</v>
      </c>
    </row>
    <row r="88" spans="1:18" s="239" customFormat="1" ht="21" customHeight="1" thickBot="1" x14ac:dyDescent="0.2">
      <c r="A88" s="266" t="str">
        <f t="shared" si="3"/>
        <v>41005019_41005047</v>
      </c>
      <c r="B88" s="225">
        <v>41005019</v>
      </c>
      <c r="C88" s="246">
        <v>41005047</v>
      </c>
      <c r="D88" s="37" t="str">
        <f ca="1">VLOOKUP($C88,OFFSET(enemy_skills!$A$1,0,0,COUNTA(enemy_skills!$A:$A),MATCH(D$1,enemy_skills!$1:$1,0)-MATCH("enemy_skill_id",enemy_skills!$1:$1,0)+1),MATCH(D$1,enemy_skills!$1:$1,0)-MATCH("enemy_skill_id",enemy_skills!$1:$1,0)+1,FALSE)</f>
        <v>戦輪二連撃</v>
      </c>
      <c r="E88" s="37" t="str">
        <f ca="1">VLOOKUP($C88,OFFSET(enemy_skills!$A$1,0,0,COUNTA(enemy_skills!$A:$A),MATCH(E$1,enemy_skills!$1:$1,0)-MATCH("enemy_skill_id",enemy_skills!$1:$1,0)+1),MATCH(E$1,enemy_skills!$1:$1,0)-MATCH("enemy_skill_id",enemy_skills!$1:$1,0)+1,FALSE)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88" s="226">
        <v>41005022</v>
      </c>
      <c r="G88" s="3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3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8" s="3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3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3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3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38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8" s="38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3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246"/>
      <c r="Q88" s="246"/>
      <c r="R88" s="246" t="s">
        <v>348</v>
      </c>
    </row>
    <row r="89" spans="1:18" s="239" customFormat="1" ht="21" customHeight="1" thickBot="1" x14ac:dyDescent="0.2">
      <c r="A89" s="266" t="str">
        <f t="shared" si="3"/>
        <v>41005019_41005020</v>
      </c>
      <c r="B89" s="225">
        <v>41005019</v>
      </c>
      <c r="C89" s="226">
        <v>41005020</v>
      </c>
      <c r="D89" s="37" t="str">
        <f ca="1">VLOOKUP($C89,OFFSET(enemy_skills!$A$1,0,0,COUNTA(enemy_skills!$A:$A),MATCH(D$1,enemy_skills!$1:$1,0)-MATCH("enemy_skill_id",enemy_skills!$1:$1,0)+1),MATCH(D$1,enemy_skills!$1:$1,0)-MATCH("enemy_skill_id",enemy_skills!$1:$1,0)+1,FALSE)</f>
        <v>無様だな！</v>
      </c>
      <c r="E89" s="37" t="str">
        <f ca="1">VLOOKUP($C89,OFFSET(enemy_skills!$A$1,0,0,COUNTA(enemy_skills!$A:$A),MATCH(E$1,enemy_skills!$1:$1,0)-MATCH("enemy_skill_id",enemy_skills!$1:$1,0)+1),MATCH(E$1,enemy_skills!$1:$1,0)-MATCH("enemy_skill_id",enemy_skills!$1:$1,0)+1,FALSE)</f>
        <v>3回連続攻撃＆お邪魔パネル×10</v>
      </c>
      <c r="F89" s="226">
        <v>41005023</v>
      </c>
      <c r="G89" s="3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3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9" s="3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3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3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3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38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89" s="38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3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246"/>
      <c r="Q89" s="246"/>
      <c r="R89" s="246" t="s">
        <v>351</v>
      </c>
    </row>
    <row r="90" spans="1:18" s="239" customFormat="1" ht="21" customHeight="1" thickBot="1" x14ac:dyDescent="0.2">
      <c r="A90" s="266" t="str">
        <f t="shared" si="3"/>
        <v>41005019_41005048</v>
      </c>
      <c r="B90" s="225">
        <v>41005019</v>
      </c>
      <c r="C90" s="226">
        <v>41005048</v>
      </c>
      <c r="D90" s="37" t="str">
        <f ca="1">VLOOKUP($C90,OFFSET(enemy_skills!$A$1,0,0,COUNTA(enemy_skills!$A:$A),MATCH(D$1,enemy_skills!$1:$1,0)-MATCH("enemy_skill_id",enemy_skills!$1:$1,0)+1),MATCH(D$1,enemy_skills!$1:$1,0)-MATCH("enemy_skill_id",enemy_skills!$1:$1,0)+1,FALSE)</f>
        <v>戦輪三連撃</v>
      </c>
      <c r="E90" s="37" t="str">
        <f ca="1">VLOOKUP($C90,OFFSET(enemy_skills!$A$1,0,0,COUNTA(enemy_skills!$A:$A),MATCH(E$1,enemy_skills!$1:$1,0)-MATCH("enemy_skill_id",enemy_skills!$1:$1,0)+1),MATCH(E$1,enemy_skills!$1:$1,0)-MATCH("enemy_skill_id",enemy_skills!$1:$1,0)+1,FALSE)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90" s="226">
        <v>41005024</v>
      </c>
      <c r="G90" s="3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3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90" s="3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3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3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3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38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90" s="38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3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246"/>
      <c r="Q90" s="246"/>
      <c r="R90" s="246" t="s">
        <v>351</v>
      </c>
    </row>
    <row r="91" spans="1:18" s="239" customFormat="1" ht="21" customHeight="1" thickBot="1" x14ac:dyDescent="0.2">
      <c r="A91" s="266" t="str">
        <f t="shared" si="3"/>
        <v>41005019_41005034</v>
      </c>
      <c r="B91" s="225">
        <v>41005019</v>
      </c>
      <c r="C91" s="226">
        <v>41005034</v>
      </c>
      <c r="D91" s="37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どうだ、降伏するか？</v>
      </c>
      <c r="E91" s="37" t="str">
        <f ca="1">VLOOKUP($C91,OFFSET(enemy_skills!$A$1,0,0,COUNTA(enemy_skills!$A:$A),MATCH(E$1,enemy_skills!$1:$1,0)-MATCH("enemy_skill_id",enemy_skills!$1:$1,0)+1),MATCH(E$1,enemy_skills!$1:$1,0)-MATCH("enemy_skill_id",enemy_skills!$1:$1,0)+1,FALSE)</f>
        <v>4回連続攻撃＆永続攻撃力ダウン</v>
      </c>
      <c r="F91" s="226">
        <v>41005025</v>
      </c>
      <c r="G91" s="3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3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91" s="3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3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3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3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38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91" s="38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3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246"/>
      <c r="Q91" s="246"/>
      <c r="R91" s="246" t="s">
        <v>329</v>
      </c>
    </row>
    <row r="92" spans="1:18" s="239" customFormat="1" ht="21" customHeight="1" thickBot="1" x14ac:dyDescent="0.2">
      <c r="A92" s="266" t="str">
        <f t="shared" si="3"/>
        <v>41005019_41005049</v>
      </c>
      <c r="B92" s="225">
        <v>41005019</v>
      </c>
      <c r="C92" s="226">
        <v>41005049</v>
      </c>
      <c r="D92" s="37" t="str">
        <f ca="1">VLOOKUP($C92,OFFSET(enemy_skills!$A$1,0,0,COUNTA(enemy_skills!$A:$A),MATCH(D$1,enemy_skills!$1:$1,0)-MATCH("enemy_skill_id",enemy_skills!$1:$1,0)+1),MATCH(D$1,enemy_skills!$1:$1,0)-MATCH("enemy_skill_id",enemy_skills!$1:$1,0)+1,FALSE)</f>
        <v>戦輪四連撃</v>
      </c>
      <c r="E92" s="37" t="str">
        <f ca="1">VLOOKUP($C92,OFFSET(enemy_skills!$A$1,0,0,COUNTA(enemy_skills!$A:$A),MATCH(E$1,enemy_skills!$1:$1,0)-MATCH("enemy_skill_id",enemy_skills!$1:$1,0)+1),MATCH(E$1,enemy_skills!$1:$1,0)-MATCH("enemy_skill_id",enemy_skills!$1:$1,0)+1,FALSE)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92" s="226">
        <v>41005026</v>
      </c>
      <c r="G92" s="3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3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92" s="3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3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3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3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38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92" s="38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3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246"/>
      <c r="Q92" s="246"/>
      <c r="R92" s="246" t="s">
        <v>329</v>
      </c>
    </row>
    <row r="93" spans="1:18" s="239" customFormat="1" ht="21" customHeight="1" thickBot="1" x14ac:dyDescent="0.2">
      <c r="A93" s="266" t="str">
        <f t="shared" si="3"/>
        <v>41005019_41005035</v>
      </c>
      <c r="B93" s="225">
        <v>41005019</v>
      </c>
      <c r="C93" s="246">
        <v>41005035</v>
      </c>
      <c r="D93" s="37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ダメ押しだ！</v>
      </c>
      <c r="E93" s="37" t="str">
        <f ca="1">VLOOKUP($C93,OFFSET(enemy_skills!$A$1,0,0,COUNTA(enemy_skills!$A:$A),MATCH(E$1,enemy_skills!$1:$1,0)-MATCH("enemy_skill_id",enemy_skills!$1:$1,0)+1),MATCH(E$1,enemy_skills!$1:$1,0)-MATCH("enemy_skill_id",enemy_skills!$1:$1,0)+1,FALSE)</f>
        <v>5回連続攻撃＆フィーバーゲージ減少</v>
      </c>
      <c r="F93" s="226">
        <v>41005027</v>
      </c>
      <c r="G93" s="3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3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93" s="3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3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3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3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38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93" s="38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3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246"/>
      <c r="Q93" s="246"/>
      <c r="R93" s="246" t="s">
        <v>329</v>
      </c>
    </row>
    <row r="94" spans="1:18" s="239" customFormat="1" ht="21" customHeight="1" thickBot="1" x14ac:dyDescent="0.2">
      <c r="A94" s="266" t="str">
        <f t="shared" si="3"/>
        <v>41005019_41005050</v>
      </c>
      <c r="B94" s="225">
        <v>41005019</v>
      </c>
      <c r="C94" s="226">
        <v>41005050</v>
      </c>
      <c r="D94" s="37" t="str">
        <f ca="1">VLOOKUP($C94,OFFSET(enemy_skills!$A$1,0,0,COUNTA(enemy_skills!$A:$A),MATCH(D$1,enemy_skills!$1:$1,0)-MATCH("enemy_skill_id",enemy_skills!$1:$1,0)+1),MATCH(D$1,enemy_skills!$1:$1,0)-MATCH("enemy_skill_id",enemy_skills!$1:$1,0)+1,FALSE)</f>
        <v>戦輪五連撃</v>
      </c>
      <c r="E94" s="37" t="str">
        <f ca="1">VLOOKUP($C94,OFFSET(enemy_skills!$A$1,0,0,COUNTA(enemy_skills!$A:$A),MATCH(E$1,enemy_skills!$1:$1,0)-MATCH("enemy_skill_id",enemy_skills!$1:$1,0)+1),MATCH(E$1,enemy_skills!$1:$1,0)-MATCH("enemy_skill_id",enemy_skills!$1:$1,0)+1,FALSE)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94" s="226">
        <v>41005028</v>
      </c>
      <c r="G94" s="3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3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94" s="3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3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3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3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38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94" s="38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3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246"/>
      <c r="Q94" s="246"/>
      <c r="R94" s="246" t="s">
        <v>329</v>
      </c>
    </row>
    <row r="95" spans="1:18" s="239" customFormat="1" ht="21" customHeight="1" thickBot="1" x14ac:dyDescent="0.2">
      <c r="A95" s="266" t="str">
        <f t="shared" si="3"/>
        <v>41005019_41005051</v>
      </c>
      <c r="B95" s="225">
        <v>41005019</v>
      </c>
      <c r="C95" s="226">
        <v>41005051</v>
      </c>
      <c r="D95" s="37" t="str">
        <f ca="1">VLOOKUP($C95,OFFSET(enemy_skills!$A$1,0,0,COUNTA(enemy_skills!$A:$A),MATCH(D$1,enemy_skills!$1:$1,0)-MATCH("enemy_skill_id",enemy_skills!$1:$1,0)+1),MATCH(D$1,enemy_skills!$1:$1,0)-MATCH("enemy_skill_id",enemy_skills!$1:$1,0)+1,FALSE)</f>
        <v>君は随分しぶといな！</v>
      </c>
      <c r="E95" s="37" t="str">
        <f ca="1">VLOOKUP($C95,OFFSET(enemy_skills!$A$1,0,0,COUNTA(enemy_skills!$A:$A),MATCH(E$1,enemy_skills!$1:$1,0)-MATCH("enemy_skill_id",enemy_skills!$1:$1,0)+1),MATCH(E$1,enemy_skills!$1:$1,0)-MATCH("enemy_skill_id",enemy_skills!$1:$1,0)+1,FALSE)</f>
        <v>6回連続攻撃＆3ターン防御力ダウン</v>
      </c>
      <c r="F95" s="226">
        <v>41005029</v>
      </c>
      <c r="G95" s="3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3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95" s="3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3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3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3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38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95" s="38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3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246"/>
      <c r="Q95" s="246"/>
      <c r="R95" s="246" t="s">
        <v>329</v>
      </c>
    </row>
    <row r="96" spans="1:18" s="239" customFormat="1" ht="21" customHeight="1" thickBot="1" x14ac:dyDescent="0.2">
      <c r="A96" s="266" t="str">
        <f t="shared" si="3"/>
        <v>41005019_41005036</v>
      </c>
      <c r="B96" s="225">
        <v>41005019</v>
      </c>
      <c r="C96" s="226">
        <v>41005036</v>
      </c>
      <c r="D96" s="37" t="str">
        <f ca="1">VLOOKUP($C96,OFFSET(enemy_skills!$A$1,0,0,COUNTA(enemy_skills!$A:$A),MATCH(D$1,enemy_skills!$1:$1,0)-MATCH("enemy_skill_id",enemy_skills!$1:$1,0)+1),MATCH(D$1,enemy_skills!$1:$1,0)-MATCH("enemy_skill_id",enemy_skills!$1:$1,0)+1,FALSE)</f>
        <v>戦輪六連撃</v>
      </c>
      <c r="E96" s="37" t="str">
        <f ca="1">VLOOKUP($C96,OFFSET(enemy_skills!$A$1,0,0,COUNTA(enemy_skills!$A:$A),MATCH(E$1,enemy_skills!$1:$1,0)-MATCH("enemy_skill_id",enemy_skills!$1:$1,0)+1),MATCH(E$1,enemy_skills!$1:$1,0)-MATCH("enemy_skill_id",enemy_skills!$1:$1,0)+1,FALSE)</f>
        <v>6回連続攻撃＆3ターン防御力ダウン</v>
      </c>
      <c r="F96" s="226">
        <v>41005036</v>
      </c>
      <c r="G96" s="3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3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6" s="3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3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3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38" t="str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6" s="38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6" s="38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3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246"/>
      <c r="Q96" s="246"/>
      <c r="R96" s="246" t="s">
        <v>329</v>
      </c>
    </row>
    <row r="97" spans="1:18" s="239" customFormat="1" ht="21" customHeight="1" thickBot="1" x14ac:dyDescent="0.2">
      <c r="A97" s="266" t="str">
        <f t="shared" si="3"/>
        <v>41005019_41005052</v>
      </c>
      <c r="B97" s="225">
        <v>41005019</v>
      </c>
      <c r="C97" s="226">
        <v>41005052</v>
      </c>
      <c r="D97" s="37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そろそろ諦めるんだな！</v>
      </c>
      <c r="E97" s="37" t="str">
        <f ca="1">VLOOKUP($C97,OFFSET(enemy_skills!$A$1,0,0,COUNTA(enemy_skills!$A:$A),MATCH(E$1,enemy_skills!$1:$1,0)-MATCH("enemy_skill_id",enemy_skills!$1:$1,0)+1),MATCH(E$1,enemy_skills!$1:$1,0)-MATCH("enemy_skill_id",enemy_skills!$1:$1,0)+1,FALSE)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97" s="226">
        <v>41005035</v>
      </c>
      <c r="G97" s="3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3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97" s="3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3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3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3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38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15</v>
      </c>
      <c r="N97" s="38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3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246"/>
      <c r="Q97" s="246"/>
      <c r="R97" s="246" t="s">
        <v>329</v>
      </c>
    </row>
    <row r="98" spans="1:18" s="279" customFormat="1" ht="21" customHeight="1" thickBot="1" x14ac:dyDescent="0.2">
      <c r="A98" s="266" t="str">
        <f t="shared" si="3"/>
        <v>41005019_41005063</v>
      </c>
      <c r="B98" s="227">
        <v>41005019</v>
      </c>
      <c r="C98" s="275">
        <v>41005063</v>
      </c>
      <c r="D98" s="27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この私が…敗北だと…？</v>
      </c>
      <c r="E98" s="27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ありえん…何故だ…何故だッ！</v>
      </c>
      <c r="F98" s="275">
        <v>41005037</v>
      </c>
      <c r="G98" s="277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277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8" s="277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277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277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277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8" s="277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277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8" s="277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278"/>
      <c r="Q98" s="278"/>
      <c r="R98" s="278" t="s">
        <v>329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</sheetPr>
  <dimension ref="A1:AB60"/>
  <sheetViews>
    <sheetView showGridLines="0" tabSelected="1" topLeftCell="A7" zoomScale="119" zoomScaleNormal="125" zoomScalePageLayoutView="125" workbookViewId="0">
      <selection activeCell="B25" sqref="B25"/>
    </sheetView>
  </sheetViews>
  <sheetFormatPr baseColWidth="12" defaultColWidth="12.83203125" defaultRowHeight="21" customHeight="1" outlineLevelCol="1" x14ac:dyDescent="0.15"/>
  <cols>
    <col min="1" max="1" width="12.83203125" style="39"/>
    <col min="2" max="2" width="67.1640625" style="39" customWidth="1"/>
    <col min="3" max="4" width="12.83203125" style="39"/>
    <col min="5" max="5" width="23.6640625" style="39" bestFit="1" customWidth="1"/>
    <col min="6" max="6" width="44.1640625" style="39" bestFit="1" customWidth="1"/>
    <col min="7" max="7" width="52" style="39" customWidth="1" outlineLevel="1"/>
    <col min="8" max="8" width="18.33203125" style="39" customWidth="1" outlineLevel="1"/>
    <col min="9" max="11" width="18.6640625" style="39" customWidth="1" outlineLevel="1"/>
    <col min="12" max="12" width="23.6640625" style="39" customWidth="1"/>
    <col min="13" max="18" width="23.6640625" style="39" customWidth="1" outlineLevel="1"/>
    <col min="19" max="19" width="23.6640625" style="39" customWidth="1"/>
    <col min="20" max="24" width="23.6640625" style="39" customWidth="1" outlineLevel="1"/>
    <col min="25" max="25" width="23.6640625" style="39" customWidth="1"/>
    <col min="26" max="27" width="12.83203125" style="39"/>
    <col min="28" max="28" width="44.5" style="39" customWidth="1"/>
    <col min="29" max="16384" width="12.83203125" style="39"/>
  </cols>
  <sheetData>
    <row r="1" spans="1:28" ht="21" customHeight="1" x14ac:dyDescent="0.15">
      <c r="A1" s="32" t="s">
        <v>78</v>
      </c>
      <c r="B1" s="32" t="s">
        <v>281</v>
      </c>
      <c r="C1" s="32" t="s">
        <v>80</v>
      </c>
      <c r="D1" s="32" t="s">
        <v>282</v>
      </c>
      <c r="E1" s="32" t="s">
        <v>283</v>
      </c>
      <c r="F1" s="32" t="s">
        <v>64</v>
      </c>
      <c r="G1" s="33" t="s">
        <v>128</v>
      </c>
      <c r="H1" s="33" t="s">
        <v>134</v>
      </c>
      <c r="I1" s="33" t="s">
        <v>136</v>
      </c>
      <c r="J1" s="33" t="s">
        <v>135</v>
      </c>
      <c r="K1" s="33" t="s">
        <v>137</v>
      </c>
      <c r="L1" s="33" t="s">
        <v>129</v>
      </c>
      <c r="M1" s="33" t="s">
        <v>127</v>
      </c>
      <c r="N1" s="33" t="s">
        <v>130</v>
      </c>
      <c r="O1" s="33" t="s">
        <v>138</v>
      </c>
      <c r="P1" s="33" t="s">
        <v>139</v>
      </c>
      <c r="Q1" s="33" t="s">
        <v>140</v>
      </c>
      <c r="R1" s="33" t="s">
        <v>141</v>
      </c>
      <c r="S1" s="33" t="s">
        <v>131</v>
      </c>
      <c r="T1" s="33" t="s">
        <v>132</v>
      </c>
      <c r="U1" s="33" t="s">
        <v>142</v>
      </c>
      <c r="V1" s="33" t="s">
        <v>143</v>
      </c>
      <c r="W1" s="33" t="s">
        <v>144</v>
      </c>
      <c r="X1" s="33" t="s">
        <v>145</v>
      </c>
      <c r="Y1" s="33" t="s">
        <v>133</v>
      </c>
      <c r="Z1" s="33" t="s">
        <v>75</v>
      </c>
      <c r="AA1" s="33" t="s">
        <v>76</v>
      </c>
      <c r="AB1" s="33" t="s">
        <v>77</v>
      </c>
    </row>
    <row r="2" spans="1:28" ht="21" customHeight="1" x14ac:dyDescent="0.15">
      <c r="A2" s="216">
        <v>41005002</v>
      </c>
      <c r="B2" s="213" t="s">
        <v>411</v>
      </c>
      <c r="C2" s="40">
        <v>3</v>
      </c>
      <c r="D2" s="40" t="s">
        <v>123</v>
      </c>
      <c r="E2" s="41" t="s">
        <v>232</v>
      </c>
      <c r="F2" s="41" t="s">
        <v>251</v>
      </c>
      <c r="G2" s="53" t="str">
        <f t="shared" ref="G2:G21" si="0">IFERROR(LEFT(B2,FIND("],",B2)),B2)</f>
        <v>[effect:force_change_block, new_block:block_heart, target:block_all, ignore01:block_positive, ignore02:block_negative, count:7, val:0]</v>
      </c>
      <c r="H2" s="53">
        <f t="shared" ref="H2:H40" si="1">FIND("effect:",G2)+7</f>
        <v>9</v>
      </c>
      <c r="I2" s="53">
        <f t="shared" ref="I2:I40" si="2">IFERROR(FIND(",",G2),LEN(G2))</f>
        <v>27</v>
      </c>
      <c r="J2" s="53">
        <f t="shared" ref="J2:J40" si="3">FIND("target:",G2)+7</f>
        <v>59</v>
      </c>
      <c r="K2" s="53">
        <f t="shared" ref="K2:K40" si="4">FIND(",",G2,I2+1)</f>
        <v>50</v>
      </c>
      <c r="L2" s="53" t="str">
        <f>IFERROR(VLOOKUP(MID(G2,J2,K2-J2),[5]skilldef!$C:$D,2,FALSE),"-") &amp; " / " &amp; IFERROR(VLOOKUP(MID(G2,H2,I2-H2),[5]skilldef!$A:$B,2,FALSE),"-")</f>
        <v>- / -</v>
      </c>
      <c r="M2" s="53" t="str">
        <f t="shared" ref="M2:M20" si="5">IFERROR(RIGHT(B2,LEN(B2)-FIND("],",B2)-1),"none")</f>
        <v>none</v>
      </c>
      <c r="N2" s="38" t="str">
        <f t="shared" ref="N2:N9" si="6">IFERROR(LEFT(M2,FIND("],",M2)+S12),M2)</f>
        <v>none</v>
      </c>
      <c r="O2" s="53" t="e">
        <f t="shared" ref="O2:O40" si="7">FIND("effect:",N2)+7</f>
        <v>#VALUE!</v>
      </c>
      <c r="P2" s="53">
        <f t="shared" ref="P2:P40" si="8">IFERROR(FIND(",",N2),LEN(N2))</f>
        <v>4</v>
      </c>
      <c r="Q2" s="53" t="e">
        <f t="shared" ref="Q2:Q40" si="9">FIND("target:",N2)+7</f>
        <v>#VALUE!</v>
      </c>
      <c r="R2" s="53" t="e">
        <f t="shared" ref="R2:R40" si="10">FIND(",",N2,P2+1)</f>
        <v>#VALUE!</v>
      </c>
      <c r="S2" s="53" t="str">
        <f>IFERROR(VLOOKUP(MID(N2,Q2,R2-Q2),[5]skilldef!$C:$D,2,FALSE),"-") &amp; " / " &amp; IFERROR(VLOOKUP(MID(N2,O2,P2-O2),[5]skilldef!$A:$B,2,FALSE),"-")</f>
        <v>- / -</v>
      </c>
      <c r="T2" s="38" t="str">
        <f t="shared" ref="T2:T40" si="11">IFERROR(RIGHT(M2,LEN(M2)-FIND("],",M2)-1),"none")</f>
        <v>none</v>
      </c>
      <c r="U2" s="53" t="e">
        <f t="shared" ref="U2:U40" si="12">FIND("effect:",T2)+7</f>
        <v>#VALUE!</v>
      </c>
      <c r="V2" s="53">
        <f t="shared" ref="V2:V40" si="13">IFERROR(FIND(",",T2),LEN(T2))</f>
        <v>4</v>
      </c>
      <c r="W2" s="53" t="e">
        <f t="shared" ref="W2:W40" si="14">FIND("target:",T2)+7</f>
        <v>#VALUE!</v>
      </c>
      <c r="X2" s="53" t="e">
        <f t="shared" ref="X2:X40" si="15">FIND(",",T2,V2+1)</f>
        <v>#VALUE!</v>
      </c>
      <c r="Y2" s="53" t="str">
        <f>IFERROR(VLOOKUP(MID(T2,W2,X2-W2),[5]skilldef!$C:$D,2,FALSE),"-") &amp; " / " &amp; IFERROR(VLOOKUP(MID(T2,U2,V2-U2),[5]skilldef!$A:$B,2,FALSE),"-")</f>
        <v>- / -</v>
      </c>
      <c r="Z2" s="40" t="s">
        <v>284</v>
      </c>
      <c r="AA2" s="42"/>
      <c r="AB2" s="40" t="s">
        <v>285</v>
      </c>
    </row>
    <row r="3" spans="1:28" ht="21" customHeight="1" x14ac:dyDescent="0.15">
      <c r="A3" s="216">
        <v>41005003</v>
      </c>
      <c r="B3" s="213" t="s">
        <v>411</v>
      </c>
      <c r="C3" s="40">
        <v>3</v>
      </c>
      <c r="D3" s="40" t="s">
        <v>286</v>
      </c>
      <c r="E3" s="41" t="s">
        <v>233</v>
      </c>
      <c r="F3" s="41" t="s">
        <v>251</v>
      </c>
      <c r="G3" s="53" t="str">
        <f t="shared" si="0"/>
        <v>[effect:force_change_block, new_block:block_heart, target:block_all, ignore01:block_positive, ignore02:block_negative, count:7, val:0]</v>
      </c>
      <c r="H3" s="53">
        <f t="shared" si="1"/>
        <v>9</v>
      </c>
      <c r="I3" s="53">
        <f t="shared" si="2"/>
        <v>27</v>
      </c>
      <c r="J3" s="53">
        <f t="shared" si="3"/>
        <v>59</v>
      </c>
      <c r="K3" s="53">
        <f t="shared" si="4"/>
        <v>50</v>
      </c>
      <c r="L3" s="53" t="str">
        <f>IFERROR(VLOOKUP(MID(G3,J3,K3-J3),[5]skilldef!$C:$D,2,FALSE),"-") &amp; " / " &amp; IFERROR(VLOOKUP(MID(G3,H3,I3-H3),[5]skilldef!$A:$B,2,FALSE),"-")</f>
        <v>- / -</v>
      </c>
      <c r="M3" s="53" t="str">
        <f t="shared" si="5"/>
        <v>none</v>
      </c>
      <c r="N3" s="38" t="str">
        <f t="shared" si="6"/>
        <v>none</v>
      </c>
      <c r="O3" s="53" t="e">
        <f t="shared" si="7"/>
        <v>#VALUE!</v>
      </c>
      <c r="P3" s="53">
        <f t="shared" si="8"/>
        <v>4</v>
      </c>
      <c r="Q3" s="53" t="e">
        <f t="shared" si="9"/>
        <v>#VALUE!</v>
      </c>
      <c r="R3" s="53" t="e">
        <f t="shared" si="10"/>
        <v>#VALUE!</v>
      </c>
      <c r="S3" s="53" t="str">
        <f>IFERROR(VLOOKUP(MID(N3,Q3,R3-Q3),[5]skilldef!$C:$D,2,FALSE),"-") &amp; " / " &amp; IFERROR(VLOOKUP(MID(N3,O3,P3-O3),[5]skilldef!$A:$B,2,FALSE),"-")</f>
        <v>- / -</v>
      </c>
      <c r="T3" s="38" t="str">
        <f t="shared" si="11"/>
        <v>none</v>
      </c>
      <c r="U3" s="53" t="e">
        <f t="shared" si="12"/>
        <v>#VALUE!</v>
      </c>
      <c r="V3" s="53">
        <f t="shared" si="13"/>
        <v>4</v>
      </c>
      <c r="W3" s="53" t="e">
        <f t="shared" si="14"/>
        <v>#VALUE!</v>
      </c>
      <c r="X3" s="53" t="e">
        <f t="shared" si="15"/>
        <v>#VALUE!</v>
      </c>
      <c r="Y3" s="53" t="str">
        <f>IFERROR(VLOOKUP(MID(T3,W3,X3-W3),[5]skilldef!$C:$D,2,FALSE),"-") &amp; " / " &amp; IFERROR(VLOOKUP(MID(T3,U3,V3-U3),[5]skilldef!$A:$B,2,FALSE),"-")</f>
        <v>- / -</v>
      </c>
      <c r="Z3" s="40" t="s">
        <v>284</v>
      </c>
      <c r="AA3" s="42"/>
      <c r="AB3" s="40" t="s">
        <v>287</v>
      </c>
    </row>
    <row r="4" spans="1:28" ht="21" customHeight="1" x14ac:dyDescent="0.15">
      <c r="A4" s="216">
        <v>41005004</v>
      </c>
      <c r="B4" s="213" t="s">
        <v>288</v>
      </c>
      <c r="C4" s="40">
        <v>3</v>
      </c>
      <c r="D4" s="40" t="s">
        <v>286</v>
      </c>
      <c r="E4" s="41" t="s">
        <v>234</v>
      </c>
      <c r="F4" s="41" t="s">
        <v>252</v>
      </c>
      <c r="G4" s="53" t="str">
        <f t="shared" si="0"/>
        <v>[effect:fix_speed, target:enemy_all, turn:3]</v>
      </c>
      <c r="H4" s="53">
        <f t="shared" si="1"/>
        <v>9</v>
      </c>
      <c r="I4" s="53">
        <f t="shared" si="2"/>
        <v>18</v>
      </c>
      <c r="J4" s="53">
        <f t="shared" si="3"/>
        <v>27</v>
      </c>
      <c r="K4" s="53">
        <f t="shared" si="4"/>
        <v>36</v>
      </c>
      <c r="L4" s="53" t="str">
        <f>IFERROR(VLOOKUP(MID(G4,J4,K4-J4),[5]skilldef!$C:$D,2,FALSE),"-") &amp; " / " &amp; IFERROR(VLOOKUP(MID(G4,H4,I4-H4),[5]skilldef!$A:$B,2,FALSE),"-")</f>
        <v>敵全体に / 行動値設定</v>
      </c>
      <c r="M4" s="53" t="str">
        <f t="shared" si="5"/>
        <v>none</v>
      </c>
      <c r="N4" s="38" t="str">
        <f t="shared" si="6"/>
        <v>none</v>
      </c>
      <c r="O4" s="53" t="e">
        <f t="shared" si="7"/>
        <v>#VALUE!</v>
      </c>
      <c r="P4" s="53">
        <f t="shared" si="8"/>
        <v>4</v>
      </c>
      <c r="Q4" s="53" t="e">
        <f t="shared" si="9"/>
        <v>#VALUE!</v>
      </c>
      <c r="R4" s="53" t="e">
        <f t="shared" si="10"/>
        <v>#VALUE!</v>
      </c>
      <c r="S4" s="53" t="str">
        <f>IFERROR(VLOOKUP(MID(N4,Q4,R4-Q4),[5]skilldef!$C:$D,2,FALSE),"-") &amp; " / " &amp; IFERROR(VLOOKUP(MID(N4,O4,P4-O4),[5]skilldef!$A:$B,2,FALSE),"-")</f>
        <v>- / -</v>
      </c>
      <c r="T4" s="38" t="str">
        <f t="shared" si="11"/>
        <v>none</v>
      </c>
      <c r="U4" s="53" t="e">
        <f t="shared" si="12"/>
        <v>#VALUE!</v>
      </c>
      <c r="V4" s="53">
        <f t="shared" si="13"/>
        <v>4</v>
      </c>
      <c r="W4" s="53" t="e">
        <f t="shared" si="14"/>
        <v>#VALUE!</v>
      </c>
      <c r="X4" s="53" t="e">
        <f t="shared" si="15"/>
        <v>#VALUE!</v>
      </c>
      <c r="Y4" s="53" t="str">
        <f>IFERROR(VLOOKUP(MID(T4,W4,X4-W4),[5]skilldef!$C:$D,2,FALSE),"-") &amp; " / " &amp; IFERROR(VLOOKUP(MID(T4,U4,V4-U4),[5]skilldef!$A:$B,2,FALSE),"-")</f>
        <v>- / -</v>
      </c>
      <c r="Z4" s="40" t="s">
        <v>284</v>
      </c>
      <c r="AA4" s="42"/>
      <c r="AB4" s="40" t="s">
        <v>289</v>
      </c>
    </row>
    <row r="5" spans="1:28" ht="21" customHeight="1" x14ac:dyDescent="0.15">
      <c r="A5" s="216">
        <v>41005005</v>
      </c>
      <c r="B5" s="214" t="s">
        <v>290</v>
      </c>
      <c r="C5" s="40">
        <v>3</v>
      </c>
      <c r="D5" s="40" t="s">
        <v>286</v>
      </c>
      <c r="E5" s="41" t="s">
        <v>235</v>
      </c>
      <c r="F5" s="41" t="s">
        <v>253</v>
      </c>
      <c r="G5" s="53" t="str">
        <f t="shared" si="0"/>
        <v>[effect:enhance_enemy, target:myself, turn:3, status:defense, val:3500, calc:add, animation:enemy_enhance_enemy]</v>
      </c>
      <c r="H5" s="53">
        <f t="shared" si="1"/>
        <v>9</v>
      </c>
      <c r="I5" s="53">
        <f t="shared" si="2"/>
        <v>22</v>
      </c>
      <c r="J5" s="53">
        <f t="shared" si="3"/>
        <v>31</v>
      </c>
      <c r="K5" s="53">
        <f t="shared" si="4"/>
        <v>37</v>
      </c>
      <c r="L5" s="53" t="str">
        <f>IFERROR(VLOOKUP(MID(G5,J5,K5-J5),[5]skilldef!$C:$D,2,FALSE),"-") &amp; " / " &amp; IFERROR(VLOOKUP(MID(G5,H5,I5-H5),[5]skilldef!$A:$B,2,FALSE),"-")</f>
        <v>自分自身に / ステータス強化</v>
      </c>
      <c r="M5" s="53" t="str">
        <f t="shared" si="5"/>
        <v>[effect:fix_speed, target:enemy_all, turn:2]</v>
      </c>
      <c r="N5" s="38" t="str">
        <f t="shared" si="6"/>
        <v>[effect:fix_speed, target:enemy_all, turn:2]</v>
      </c>
      <c r="O5" s="53">
        <f t="shared" si="7"/>
        <v>9</v>
      </c>
      <c r="P5" s="53">
        <f t="shared" si="8"/>
        <v>18</v>
      </c>
      <c r="Q5" s="53">
        <f t="shared" si="9"/>
        <v>27</v>
      </c>
      <c r="R5" s="53">
        <f t="shared" si="10"/>
        <v>36</v>
      </c>
      <c r="S5" s="53" t="str">
        <f>IFERROR(VLOOKUP(MID(N5,Q5,R5-Q5),[5]skilldef!$C:$D,2,FALSE),"-") &amp; " / " &amp; IFERROR(VLOOKUP(MID(N5,O5,P5-O5),[5]skilldef!$A:$B,2,FALSE),"-")</f>
        <v>敵全体に / 行動値設定</v>
      </c>
      <c r="T5" s="38" t="str">
        <f t="shared" si="11"/>
        <v>none</v>
      </c>
      <c r="U5" s="53" t="e">
        <f t="shared" si="12"/>
        <v>#VALUE!</v>
      </c>
      <c r="V5" s="53">
        <f t="shared" si="13"/>
        <v>4</v>
      </c>
      <c r="W5" s="53" t="e">
        <f t="shared" si="14"/>
        <v>#VALUE!</v>
      </c>
      <c r="X5" s="53" t="e">
        <f t="shared" si="15"/>
        <v>#VALUE!</v>
      </c>
      <c r="Y5" s="53" t="str">
        <f>IFERROR(VLOOKUP(MID(T5,W5,X5-W5),[5]skilldef!$C:$D,2,FALSE),"-") &amp; " / " &amp; IFERROR(VLOOKUP(MID(T5,U5,V5-U5),[5]skilldef!$A:$B,2,FALSE),"-")</f>
        <v>- / -</v>
      </c>
      <c r="Z5" s="40" t="s">
        <v>284</v>
      </c>
      <c r="AA5" s="42"/>
      <c r="AB5" s="40" t="s">
        <v>291</v>
      </c>
    </row>
    <row r="6" spans="1:28" ht="21" customHeight="1" x14ac:dyDescent="0.15">
      <c r="A6" s="216">
        <v>41005006</v>
      </c>
      <c r="B6" s="213" t="s">
        <v>210</v>
      </c>
      <c r="C6" s="40">
        <v>3</v>
      </c>
      <c r="D6" s="40" t="s">
        <v>123</v>
      </c>
      <c r="E6" s="41" t="s">
        <v>236</v>
      </c>
      <c r="F6" s="41" t="s">
        <v>254</v>
      </c>
      <c r="G6" s="53" t="str">
        <f t="shared" si="0"/>
        <v>[effect:degrade_unit, target:unit_all, turn:5, status:heal, val:0.5, calc:mul, animation:degrade_unit_all_heal]</v>
      </c>
      <c r="H6" s="53">
        <f t="shared" si="1"/>
        <v>9</v>
      </c>
      <c r="I6" s="53">
        <f t="shared" si="2"/>
        <v>21</v>
      </c>
      <c r="J6" s="53">
        <f t="shared" si="3"/>
        <v>30</v>
      </c>
      <c r="K6" s="53">
        <f t="shared" si="4"/>
        <v>38</v>
      </c>
      <c r="L6" s="53" t="str">
        <f>IFERROR(VLOOKUP(MID(G6,J6,K6-J6),[5]skilldef!$C:$D,2,FALSE),"-") &amp; " / " &amp; IFERROR(VLOOKUP(MID(G6,H6,I6-H6),[5]skilldef!$A:$B,2,FALSE),"-")</f>
        <v>味方全体に / ステータスDOWN</v>
      </c>
      <c r="M6" s="53" t="str">
        <f t="shared" si="5"/>
        <v>none</v>
      </c>
      <c r="N6" s="38" t="str">
        <f t="shared" si="6"/>
        <v>none</v>
      </c>
      <c r="O6" s="53" t="e">
        <f t="shared" si="7"/>
        <v>#VALUE!</v>
      </c>
      <c r="P6" s="53">
        <f t="shared" si="8"/>
        <v>4</v>
      </c>
      <c r="Q6" s="53" t="e">
        <f t="shared" si="9"/>
        <v>#VALUE!</v>
      </c>
      <c r="R6" s="53" t="e">
        <f t="shared" si="10"/>
        <v>#VALUE!</v>
      </c>
      <c r="S6" s="53" t="str">
        <f>IFERROR(VLOOKUP(MID(N6,Q6,R6-Q6),[5]skilldef!$C:$D,2,FALSE),"-") &amp; " / " &amp; IFERROR(VLOOKUP(MID(N6,O6,P6-O6),[5]skilldef!$A:$B,2,FALSE),"-")</f>
        <v>- / -</v>
      </c>
      <c r="T6" s="38" t="str">
        <f t="shared" si="11"/>
        <v>none</v>
      </c>
      <c r="U6" s="53" t="e">
        <f t="shared" si="12"/>
        <v>#VALUE!</v>
      </c>
      <c r="V6" s="53">
        <f t="shared" si="13"/>
        <v>4</v>
      </c>
      <c r="W6" s="53" t="e">
        <f t="shared" si="14"/>
        <v>#VALUE!</v>
      </c>
      <c r="X6" s="53" t="e">
        <f t="shared" si="15"/>
        <v>#VALUE!</v>
      </c>
      <c r="Y6" s="53" t="str">
        <f>IFERROR(VLOOKUP(MID(T6,W6,X6-W6),[5]skilldef!$C:$D,2,FALSE),"-") &amp; " / " &amp; IFERROR(VLOOKUP(MID(T6,U6,V6-U6),[5]skilldef!$A:$B,2,FALSE),"-")</f>
        <v>- / -</v>
      </c>
      <c r="Z6" s="40" t="s">
        <v>284</v>
      </c>
      <c r="AA6" s="42"/>
      <c r="AB6" s="40" t="s">
        <v>292</v>
      </c>
    </row>
    <row r="7" spans="1:28" ht="21" customHeight="1" x14ac:dyDescent="0.15">
      <c r="A7" s="216">
        <v>41005007</v>
      </c>
      <c r="B7" s="213" t="s">
        <v>401</v>
      </c>
      <c r="C7" s="40">
        <v>3</v>
      </c>
      <c r="D7" s="40" t="s">
        <v>286</v>
      </c>
      <c r="E7" s="41" t="s">
        <v>293</v>
      </c>
      <c r="F7" s="41" t="s">
        <v>255</v>
      </c>
      <c r="G7" s="53" t="str">
        <f t="shared" si="0"/>
        <v xml:space="preserve">[effect:force_change_block, new_block:jammer, target:block_all, ignore01:block_positive, ignore02:block_negative, count:8, val:0]  </v>
      </c>
      <c r="H7" s="53">
        <f t="shared" si="1"/>
        <v>9</v>
      </c>
      <c r="I7" s="53">
        <f t="shared" si="2"/>
        <v>27</v>
      </c>
      <c r="J7" s="53">
        <f t="shared" si="3"/>
        <v>54</v>
      </c>
      <c r="K7" s="53">
        <f t="shared" si="4"/>
        <v>45</v>
      </c>
      <c r="L7" s="53" t="str">
        <f>IFERROR(VLOOKUP(MID(G7,J7,K7-J7),[5]skilldef!$C:$D,2,FALSE),"-") &amp; " / " &amp; IFERROR(VLOOKUP(MID(G7,H7,I7-H7),[5]skilldef!$A:$B,2,FALSE),"-")</f>
        <v>- / -</v>
      </c>
      <c r="M7" s="53" t="str">
        <f t="shared" si="5"/>
        <v>none</v>
      </c>
      <c r="N7" s="38" t="str">
        <f t="shared" si="6"/>
        <v>none</v>
      </c>
      <c r="O7" s="53" t="e">
        <f t="shared" si="7"/>
        <v>#VALUE!</v>
      </c>
      <c r="P7" s="53">
        <f t="shared" si="8"/>
        <v>4</v>
      </c>
      <c r="Q7" s="53" t="e">
        <f t="shared" si="9"/>
        <v>#VALUE!</v>
      </c>
      <c r="R7" s="53" t="e">
        <f t="shared" si="10"/>
        <v>#VALUE!</v>
      </c>
      <c r="S7" s="53" t="str">
        <f>IFERROR(VLOOKUP(MID(N7,Q7,R7-Q7),[5]skilldef!$C:$D,2,FALSE),"-") &amp; " / " &amp; IFERROR(VLOOKUP(MID(N7,O7,P7-O7),[5]skilldef!$A:$B,2,FALSE),"-")</f>
        <v>- / -</v>
      </c>
      <c r="T7" s="38" t="str">
        <f t="shared" si="11"/>
        <v>none</v>
      </c>
      <c r="U7" s="53" t="e">
        <f t="shared" si="12"/>
        <v>#VALUE!</v>
      </c>
      <c r="V7" s="53">
        <f t="shared" si="13"/>
        <v>4</v>
      </c>
      <c r="W7" s="53" t="e">
        <f t="shared" si="14"/>
        <v>#VALUE!</v>
      </c>
      <c r="X7" s="53" t="e">
        <f t="shared" si="15"/>
        <v>#VALUE!</v>
      </c>
      <c r="Y7" s="53" t="str">
        <f>IFERROR(VLOOKUP(MID(T7,W7,X7-W7),[5]skilldef!$C:$D,2,FALSE),"-") &amp; " / " &amp; IFERROR(VLOOKUP(MID(T7,U7,V7-U7),[5]skilldef!$A:$B,2,FALSE),"-")</f>
        <v>- / -</v>
      </c>
      <c r="Z7" s="40" t="s">
        <v>284</v>
      </c>
      <c r="AA7" s="42"/>
      <c r="AB7" s="40" t="s">
        <v>294</v>
      </c>
    </row>
    <row r="8" spans="1:28" ht="21" customHeight="1" x14ac:dyDescent="0.15">
      <c r="A8" s="216">
        <v>41005008</v>
      </c>
      <c r="B8" s="213" t="s">
        <v>211</v>
      </c>
      <c r="C8" s="40">
        <v>3</v>
      </c>
      <c r="D8" s="40" t="s">
        <v>295</v>
      </c>
      <c r="E8" s="41" t="s">
        <v>237</v>
      </c>
      <c r="F8" s="41" t="s">
        <v>256</v>
      </c>
      <c r="G8" s="53" t="str">
        <f t="shared" si="0"/>
        <v xml:space="preserve">[effect:spread, val:0.3]    </v>
      </c>
      <c r="H8" s="53">
        <f t="shared" si="1"/>
        <v>9</v>
      </c>
      <c r="I8" s="53">
        <f t="shared" si="2"/>
        <v>15</v>
      </c>
      <c r="J8" s="53" t="e">
        <f t="shared" si="3"/>
        <v>#VALUE!</v>
      </c>
      <c r="K8" s="53" t="e">
        <f t="shared" si="4"/>
        <v>#VALUE!</v>
      </c>
      <c r="L8" s="53" t="str">
        <f>IFERROR(VLOOKUP(MID(G8,J8,K8-J8),[5]skilldef!$C:$D,2,FALSE),"-") &amp; " / " &amp; IFERROR(VLOOKUP(MID(G8,H8,I8-H8),[5]skilldef!$A:$B,2,FALSE),"-")</f>
        <v>- / 全体攻撃</v>
      </c>
      <c r="M8" s="53" t="str">
        <f t="shared" si="5"/>
        <v>none</v>
      </c>
      <c r="N8" s="38" t="str">
        <f t="shared" si="6"/>
        <v>none</v>
      </c>
      <c r="O8" s="53" t="e">
        <f t="shared" si="7"/>
        <v>#VALUE!</v>
      </c>
      <c r="P8" s="53">
        <f t="shared" si="8"/>
        <v>4</v>
      </c>
      <c r="Q8" s="53" t="e">
        <f t="shared" si="9"/>
        <v>#VALUE!</v>
      </c>
      <c r="R8" s="53" t="e">
        <f t="shared" si="10"/>
        <v>#VALUE!</v>
      </c>
      <c r="S8" s="53" t="str">
        <f>IFERROR(VLOOKUP(MID(N8,Q8,R8-Q8),[5]skilldef!$C:$D,2,FALSE),"-") &amp; " / " &amp; IFERROR(VLOOKUP(MID(N8,O8,P8-O8),[5]skilldef!$A:$B,2,FALSE),"-")</f>
        <v>- / -</v>
      </c>
      <c r="T8" s="38" t="str">
        <f t="shared" si="11"/>
        <v>none</v>
      </c>
      <c r="U8" s="53" t="e">
        <f t="shared" si="12"/>
        <v>#VALUE!</v>
      </c>
      <c r="V8" s="53">
        <f t="shared" si="13"/>
        <v>4</v>
      </c>
      <c r="W8" s="53" t="e">
        <f t="shared" si="14"/>
        <v>#VALUE!</v>
      </c>
      <c r="X8" s="53" t="e">
        <f t="shared" si="15"/>
        <v>#VALUE!</v>
      </c>
      <c r="Y8" s="53" t="str">
        <f>IFERROR(VLOOKUP(MID(T8,W8,X8-W8),[5]skilldef!$C:$D,2,FALSE),"-") &amp; " / " &amp; IFERROR(VLOOKUP(MID(T8,U8,V8-U8),[5]skilldef!$A:$B,2,FALSE),"-")</f>
        <v>- / -</v>
      </c>
      <c r="Z8" s="40" t="s">
        <v>284</v>
      </c>
      <c r="AA8" s="42"/>
      <c r="AB8" s="40" t="s">
        <v>296</v>
      </c>
    </row>
    <row r="9" spans="1:28" ht="21" customHeight="1" x14ac:dyDescent="0.15">
      <c r="A9" s="216">
        <v>41005009</v>
      </c>
      <c r="B9" s="213" t="s">
        <v>402</v>
      </c>
      <c r="C9" s="40">
        <v>3</v>
      </c>
      <c r="D9" s="40" t="s">
        <v>286</v>
      </c>
      <c r="E9" s="41" t="s">
        <v>238</v>
      </c>
      <c r="F9" s="41" t="s">
        <v>257</v>
      </c>
      <c r="G9" s="53" t="str">
        <f t="shared" si="0"/>
        <v xml:space="preserve">[effect:force_change_block, new_block:jammer, target:block_all, ignore01:block_positive, ignore02:block_negative, count:8, val:0]  </v>
      </c>
      <c r="H9" s="53">
        <f t="shared" si="1"/>
        <v>9</v>
      </c>
      <c r="I9" s="53">
        <f t="shared" si="2"/>
        <v>27</v>
      </c>
      <c r="J9" s="53">
        <f t="shared" si="3"/>
        <v>54</v>
      </c>
      <c r="K9" s="53">
        <f t="shared" si="4"/>
        <v>45</v>
      </c>
      <c r="L9" s="53" t="str">
        <f>IFERROR(VLOOKUP(MID(G9,J9,K9-J9),[5]skilldef!$C:$D,2,FALSE),"-") &amp; " / " &amp; IFERROR(VLOOKUP(MID(G9,H9,I9-H9),[5]skilldef!$A:$B,2,FALSE),"-")</f>
        <v>- / -</v>
      </c>
      <c r="M9" s="53" t="str">
        <f t="shared" si="5"/>
        <v>none</v>
      </c>
      <c r="N9" s="38" t="str">
        <f t="shared" si="6"/>
        <v>none</v>
      </c>
      <c r="O9" s="53" t="e">
        <f t="shared" si="7"/>
        <v>#VALUE!</v>
      </c>
      <c r="P9" s="53">
        <f t="shared" si="8"/>
        <v>4</v>
      </c>
      <c r="Q9" s="53" t="e">
        <f t="shared" si="9"/>
        <v>#VALUE!</v>
      </c>
      <c r="R9" s="53" t="e">
        <f t="shared" si="10"/>
        <v>#VALUE!</v>
      </c>
      <c r="S9" s="53" t="str">
        <f>IFERROR(VLOOKUP(MID(N9,Q9,R9-Q9),[5]skilldef!$C:$D,2,FALSE),"-") &amp; " / " &amp; IFERROR(VLOOKUP(MID(N9,O9,P9-O9),[5]skilldef!$A:$B,2,FALSE),"-")</f>
        <v>- / -</v>
      </c>
      <c r="T9" s="38" t="str">
        <f t="shared" si="11"/>
        <v>none</v>
      </c>
      <c r="U9" s="53" t="e">
        <f t="shared" si="12"/>
        <v>#VALUE!</v>
      </c>
      <c r="V9" s="53">
        <f t="shared" si="13"/>
        <v>4</v>
      </c>
      <c r="W9" s="53" t="e">
        <f t="shared" si="14"/>
        <v>#VALUE!</v>
      </c>
      <c r="X9" s="53" t="e">
        <f t="shared" si="15"/>
        <v>#VALUE!</v>
      </c>
      <c r="Y9" s="53" t="str">
        <f>IFERROR(VLOOKUP(MID(T9,W9,X9-W9),[5]skilldef!$C:$D,2,FALSE),"-") &amp; " / " &amp; IFERROR(VLOOKUP(MID(T9,U9,V9-U9),[5]skilldef!$A:$B,2,FALSE),"-")</f>
        <v>- / -</v>
      </c>
      <c r="Z9" s="40" t="s">
        <v>284</v>
      </c>
      <c r="AA9" s="42"/>
      <c r="AB9" s="40" t="s">
        <v>297</v>
      </c>
    </row>
    <row r="10" spans="1:28" ht="21" customHeight="1" x14ac:dyDescent="0.15">
      <c r="A10" s="216">
        <v>41005010</v>
      </c>
      <c r="B10" s="213" t="s">
        <v>298</v>
      </c>
      <c r="C10" s="40">
        <v>3</v>
      </c>
      <c r="D10" s="40" t="s">
        <v>299</v>
      </c>
      <c r="E10" s="41" t="s">
        <v>300</v>
      </c>
      <c r="F10" s="41" t="s">
        <v>301</v>
      </c>
      <c r="G10" s="53" t="str">
        <f t="shared" si="0"/>
        <v>[effect:critical, val:2]</v>
      </c>
      <c r="H10" s="53">
        <f t="shared" si="1"/>
        <v>9</v>
      </c>
      <c r="I10" s="53">
        <f t="shared" si="2"/>
        <v>17</v>
      </c>
      <c r="J10" s="53" t="e">
        <f t="shared" si="3"/>
        <v>#VALUE!</v>
      </c>
      <c r="K10" s="53" t="e">
        <f t="shared" si="4"/>
        <v>#VALUE!</v>
      </c>
      <c r="L10" s="53" t="str">
        <f>IFERROR(VLOOKUP(MID(G10,J10,K10-J10),[5]skilldef!$C:$D,2,FALSE),"-") &amp; " / " &amp; IFERROR(VLOOKUP(MID(G10,H10,I10-H10),[5]skilldef!$A:$B,2,FALSE),"-")</f>
        <v>- / 大攻撃</v>
      </c>
      <c r="M10" s="53" t="str">
        <f t="shared" si="5"/>
        <v>none</v>
      </c>
      <c r="N10" s="38" t="str">
        <f>IFERROR(LEFT(M10,FIND("],",M10)+S33),M10)</f>
        <v>none</v>
      </c>
      <c r="O10" s="53" t="e">
        <f t="shared" si="7"/>
        <v>#VALUE!</v>
      </c>
      <c r="P10" s="53">
        <f t="shared" si="8"/>
        <v>4</v>
      </c>
      <c r="Q10" s="53" t="e">
        <f t="shared" si="9"/>
        <v>#VALUE!</v>
      </c>
      <c r="R10" s="53" t="e">
        <f t="shared" si="10"/>
        <v>#VALUE!</v>
      </c>
      <c r="S10" s="53" t="str">
        <f>IFERROR(VLOOKUP(MID(N10,Q10,R10-Q10),[5]skilldef!$C:$D,2,FALSE),"-") &amp; " / " &amp; IFERROR(VLOOKUP(MID(N10,O10,P10-O10),[5]skilldef!$A:$B,2,FALSE),"-")</f>
        <v>- / -</v>
      </c>
      <c r="T10" s="38" t="str">
        <f t="shared" si="11"/>
        <v>none</v>
      </c>
      <c r="U10" s="53" t="e">
        <f t="shared" si="12"/>
        <v>#VALUE!</v>
      </c>
      <c r="V10" s="53">
        <f t="shared" si="13"/>
        <v>4</v>
      </c>
      <c r="W10" s="53" t="e">
        <f t="shared" si="14"/>
        <v>#VALUE!</v>
      </c>
      <c r="X10" s="53" t="e">
        <f t="shared" si="15"/>
        <v>#VALUE!</v>
      </c>
      <c r="Y10" s="53" t="str">
        <f>IFERROR(VLOOKUP(MID(T10,W10,X10-W10),[5]skilldef!$C:$D,2,FALSE),"-") &amp; " / " &amp; IFERROR(VLOOKUP(MID(T10,U10,V10-U10),[5]skilldef!$A:$B,2,FALSE),"-")</f>
        <v>- / -</v>
      </c>
      <c r="Z10" s="40" t="s">
        <v>284</v>
      </c>
      <c r="AA10" s="42"/>
      <c r="AB10" s="40" t="s">
        <v>302</v>
      </c>
    </row>
    <row r="11" spans="1:28" ht="21" customHeight="1" x14ac:dyDescent="0.15">
      <c r="A11" s="216">
        <v>41005011</v>
      </c>
      <c r="B11" s="213" t="s">
        <v>375</v>
      </c>
      <c r="C11" s="40">
        <v>3</v>
      </c>
      <c r="D11" s="40" t="s">
        <v>286</v>
      </c>
      <c r="E11" s="41" t="s">
        <v>239</v>
      </c>
      <c r="F11" s="41" t="s">
        <v>374</v>
      </c>
      <c r="G11" s="53" t="str">
        <f t="shared" si="0"/>
        <v xml:space="preserve">[effect:dis_heart, turn:5, animation:enemy_dis_heart]    </v>
      </c>
      <c r="H11" s="53">
        <f t="shared" si="1"/>
        <v>9</v>
      </c>
      <c r="I11" s="53">
        <f t="shared" si="2"/>
        <v>18</v>
      </c>
      <c r="J11" s="53" t="e">
        <f t="shared" si="3"/>
        <v>#VALUE!</v>
      </c>
      <c r="K11" s="53">
        <f t="shared" si="4"/>
        <v>26</v>
      </c>
      <c r="L11" s="53" t="str">
        <f>IFERROR(VLOOKUP(MID(G11,J11,K11-J11),[5]skilldef!$C:$D,2,FALSE),"-") &amp; " / " &amp; IFERROR(VLOOKUP(MID(G11,H11,I11-H11),[5]skilldef!$A:$B,2,FALSE),"-")</f>
        <v>- / ディスハート</v>
      </c>
      <c r="M11" s="53" t="str">
        <f t="shared" si="5"/>
        <v>none</v>
      </c>
      <c r="N11" s="38" t="str">
        <f>IFERROR(LEFT(M11,FIND("],",M11)+S20),M11)</f>
        <v>none</v>
      </c>
      <c r="O11" s="53" t="e">
        <f t="shared" si="7"/>
        <v>#VALUE!</v>
      </c>
      <c r="P11" s="53">
        <f t="shared" si="8"/>
        <v>4</v>
      </c>
      <c r="Q11" s="53" t="e">
        <f t="shared" si="9"/>
        <v>#VALUE!</v>
      </c>
      <c r="R11" s="53" t="e">
        <f t="shared" si="10"/>
        <v>#VALUE!</v>
      </c>
      <c r="S11" s="53" t="str">
        <f>IFERROR(VLOOKUP(MID(N11,Q11,R11-Q11),[5]skilldef!$C:$D,2,FALSE),"-") &amp; " / " &amp; IFERROR(VLOOKUP(MID(N11,O11,P11-O11),[5]skilldef!$A:$B,2,FALSE),"-")</f>
        <v>- / -</v>
      </c>
      <c r="T11" s="38" t="str">
        <f t="shared" si="11"/>
        <v>none</v>
      </c>
      <c r="U11" s="53" t="e">
        <f t="shared" si="12"/>
        <v>#VALUE!</v>
      </c>
      <c r="V11" s="53">
        <f t="shared" si="13"/>
        <v>4</v>
      </c>
      <c r="W11" s="53" t="e">
        <f t="shared" si="14"/>
        <v>#VALUE!</v>
      </c>
      <c r="X11" s="53" t="e">
        <f t="shared" si="15"/>
        <v>#VALUE!</v>
      </c>
      <c r="Y11" s="53" t="str">
        <f>IFERROR(VLOOKUP(MID(T11,W11,X11-W11),[5]skilldef!$C:$D,2,FALSE),"-") &amp; " / " &amp; IFERROR(VLOOKUP(MID(T11,U11,V11-U11),[5]skilldef!$A:$B,2,FALSE),"-")</f>
        <v>- / -</v>
      </c>
      <c r="Z11" s="40" t="s">
        <v>284</v>
      </c>
      <c r="AA11" s="42"/>
      <c r="AB11" s="40" t="s">
        <v>303</v>
      </c>
    </row>
    <row r="12" spans="1:28" ht="21" customHeight="1" x14ac:dyDescent="0.15">
      <c r="A12" s="216">
        <v>41005012</v>
      </c>
      <c r="B12" s="213" t="s">
        <v>304</v>
      </c>
      <c r="C12" s="40">
        <v>3</v>
      </c>
      <c r="D12" s="40" t="s">
        <v>286</v>
      </c>
      <c r="E12" s="41" t="s">
        <v>240</v>
      </c>
      <c r="F12" s="41" t="s">
        <v>258</v>
      </c>
      <c r="G12" s="53" t="str">
        <f t="shared" si="0"/>
        <v>[effect:enhance_enemy, target:myself, turn:-1, status:attack, val:0.5, animation:enemy_enhance_attack]</v>
      </c>
      <c r="H12" s="53">
        <f t="shared" si="1"/>
        <v>9</v>
      </c>
      <c r="I12" s="53">
        <f t="shared" si="2"/>
        <v>22</v>
      </c>
      <c r="J12" s="53">
        <f t="shared" si="3"/>
        <v>31</v>
      </c>
      <c r="K12" s="53">
        <f t="shared" si="4"/>
        <v>37</v>
      </c>
      <c r="L12" s="53" t="str">
        <f>IFERROR(VLOOKUP(MID(G12,J12,K12-J12),[5]skilldef!$C:$D,2,FALSE),"-") &amp; " / " &amp; IFERROR(VLOOKUP(MID(G12,H12,I12-H12),[5]skilldef!$A:$B,2,FALSE),"-")</f>
        <v>自分自身に / ステータス強化</v>
      </c>
      <c r="M12" s="53" t="str">
        <f t="shared" si="5"/>
        <v xml:space="preserve">[effect:rush, count:1, val:0.6] </v>
      </c>
      <c r="N12" s="38" t="str">
        <f>IFERROR(LEFT(M12,FIND("],",M12)+S21),M12)</f>
        <v xml:space="preserve">[effect:rush, count:1, val:0.6] </v>
      </c>
      <c r="O12" s="53">
        <f t="shared" si="7"/>
        <v>9</v>
      </c>
      <c r="P12" s="53">
        <f t="shared" si="8"/>
        <v>13</v>
      </c>
      <c r="Q12" s="53" t="e">
        <f t="shared" si="9"/>
        <v>#VALUE!</v>
      </c>
      <c r="R12" s="53">
        <f t="shared" si="10"/>
        <v>22</v>
      </c>
      <c r="S12" s="53" t="str">
        <f>IFERROR(VLOOKUP(MID(N12,Q12,R12-Q12),[5]skilldef!$C:$D,2,FALSE),"-") &amp; " / " &amp; IFERROR(VLOOKUP(MID(N12,O12,P12-O12),[5]skilldef!$A:$B,2,FALSE),"-")</f>
        <v>- / 連続攻撃</v>
      </c>
      <c r="T12" s="38" t="str">
        <f t="shared" si="11"/>
        <v>none</v>
      </c>
      <c r="U12" s="53" t="e">
        <f t="shared" si="12"/>
        <v>#VALUE!</v>
      </c>
      <c r="V12" s="53">
        <f t="shared" si="13"/>
        <v>4</v>
      </c>
      <c r="W12" s="53" t="e">
        <f t="shared" si="14"/>
        <v>#VALUE!</v>
      </c>
      <c r="X12" s="53" t="e">
        <f t="shared" si="15"/>
        <v>#VALUE!</v>
      </c>
      <c r="Y12" s="53" t="str">
        <f>IFERROR(VLOOKUP(MID(T12,W12,X12-W12),[5]skilldef!$C:$D,2,FALSE),"-") &amp; " / " &amp; IFERROR(VLOOKUP(MID(T12,U12,V12-U12),[5]skilldef!$A:$B,2,FALSE),"-")</f>
        <v>- / -</v>
      </c>
      <c r="Z12" s="40" t="s">
        <v>284</v>
      </c>
      <c r="AA12" s="42"/>
      <c r="AB12" s="40" t="s">
        <v>303</v>
      </c>
    </row>
    <row r="13" spans="1:28" ht="21" customHeight="1" x14ac:dyDescent="0.15">
      <c r="A13" s="216">
        <v>41005013</v>
      </c>
      <c r="B13" s="213" t="s">
        <v>305</v>
      </c>
      <c r="C13" s="40">
        <v>3</v>
      </c>
      <c r="D13" s="40" t="s">
        <v>286</v>
      </c>
      <c r="E13" s="41" t="s">
        <v>241</v>
      </c>
      <c r="F13" s="41" t="s">
        <v>259</v>
      </c>
      <c r="G13" s="53" t="str">
        <f t="shared" si="0"/>
        <v>[effect:enhance_enemy, target:myself, turn:-1, status:attack, val:1.1, animation:enemy_enhance_attack]</v>
      </c>
      <c r="H13" s="53">
        <f t="shared" si="1"/>
        <v>9</v>
      </c>
      <c r="I13" s="53">
        <f t="shared" si="2"/>
        <v>22</v>
      </c>
      <c r="J13" s="53">
        <f t="shared" si="3"/>
        <v>31</v>
      </c>
      <c r="K13" s="53">
        <f t="shared" si="4"/>
        <v>37</v>
      </c>
      <c r="L13" s="53" t="str">
        <f>IFERROR(VLOOKUP(MID(G13,J13,K13-J13),[5]skilldef!$C:$D,2,FALSE),"-") &amp; " / " &amp; IFERROR(VLOOKUP(MID(G13,H13,I13-H13),[5]skilldef!$A:$B,2,FALSE),"-")</f>
        <v>自分自身に / ステータス強化</v>
      </c>
      <c r="M13" s="53" t="str">
        <f t="shared" si="5"/>
        <v>[effect:rush, count:1, val:0.5]</v>
      </c>
      <c r="N13" s="38" t="str">
        <f>IFERROR(LEFT(M13,FIND("],",M13)+S22),M13)</f>
        <v>[effect:rush, count:1, val:0.5]</v>
      </c>
      <c r="O13" s="53">
        <f t="shared" si="7"/>
        <v>9</v>
      </c>
      <c r="P13" s="53">
        <f t="shared" si="8"/>
        <v>13</v>
      </c>
      <c r="Q13" s="53" t="e">
        <f t="shared" si="9"/>
        <v>#VALUE!</v>
      </c>
      <c r="R13" s="53">
        <f t="shared" si="10"/>
        <v>22</v>
      </c>
      <c r="S13" s="53" t="str">
        <f>IFERROR(VLOOKUP(MID(N13,Q13,R13-Q13),[5]skilldef!$C:$D,2,FALSE),"-") &amp; " / " &amp; IFERROR(VLOOKUP(MID(N13,O13,P13-O13),[5]skilldef!$A:$B,2,FALSE),"-")</f>
        <v>- / 連続攻撃</v>
      </c>
      <c r="T13" s="38" t="str">
        <f t="shared" si="11"/>
        <v>none</v>
      </c>
      <c r="U13" s="53" t="e">
        <f t="shared" si="12"/>
        <v>#VALUE!</v>
      </c>
      <c r="V13" s="53">
        <f t="shared" si="13"/>
        <v>4</v>
      </c>
      <c r="W13" s="53" t="e">
        <f t="shared" si="14"/>
        <v>#VALUE!</v>
      </c>
      <c r="X13" s="53" t="e">
        <f t="shared" si="15"/>
        <v>#VALUE!</v>
      </c>
      <c r="Y13" s="53" t="str">
        <f>IFERROR(VLOOKUP(MID(T13,W13,X13-W13),[5]skilldef!$C:$D,2,FALSE),"-") &amp; " / " &amp; IFERROR(VLOOKUP(MID(T13,U13,V13-U13),[5]skilldef!$A:$B,2,FALSE),"-")</f>
        <v>- / -</v>
      </c>
      <c r="Z13" s="40" t="s">
        <v>284</v>
      </c>
      <c r="AA13" s="42"/>
      <c r="AB13" s="40" t="s">
        <v>303</v>
      </c>
    </row>
    <row r="14" spans="1:28" ht="21" customHeight="1" x14ac:dyDescent="0.15">
      <c r="A14" s="216">
        <v>41005014</v>
      </c>
      <c r="B14" s="213" t="s">
        <v>306</v>
      </c>
      <c r="C14" s="40">
        <v>3</v>
      </c>
      <c r="D14" s="40" t="s">
        <v>286</v>
      </c>
      <c r="E14" s="41" t="s">
        <v>242</v>
      </c>
      <c r="F14" s="41" t="s">
        <v>260</v>
      </c>
      <c r="G14" s="53" t="str">
        <f t="shared" si="0"/>
        <v xml:space="preserve">[effect:enhance_enemy, target:myself, turn:-1, status:attack, val:1.8, animation:enemy_enhance_attack]    </v>
      </c>
      <c r="H14" s="53">
        <f t="shared" si="1"/>
        <v>9</v>
      </c>
      <c r="I14" s="53">
        <f t="shared" si="2"/>
        <v>22</v>
      </c>
      <c r="J14" s="53">
        <f t="shared" si="3"/>
        <v>31</v>
      </c>
      <c r="K14" s="53">
        <f t="shared" si="4"/>
        <v>37</v>
      </c>
      <c r="L14" s="53" t="str">
        <f>IFERROR(VLOOKUP(MID(G14,J14,K14-J14),[5]skilldef!$C:$D,2,FALSE),"-") &amp; " / " &amp; IFERROR(VLOOKUP(MID(G14,H14,I14-H14),[5]skilldef!$A:$B,2,FALSE),"-")</f>
        <v>自分自身に / ステータス強化</v>
      </c>
      <c r="M14" s="53" t="str">
        <f t="shared" si="5"/>
        <v>none</v>
      </c>
      <c r="N14" s="38" t="str">
        <f>IFERROR(LEFT(M14,FIND("],",M14)+S23),M14)</f>
        <v>none</v>
      </c>
      <c r="O14" s="53" t="e">
        <f t="shared" si="7"/>
        <v>#VALUE!</v>
      </c>
      <c r="P14" s="53">
        <f t="shared" si="8"/>
        <v>4</v>
      </c>
      <c r="Q14" s="53" t="e">
        <f t="shared" si="9"/>
        <v>#VALUE!</v>
      </c>
      <c r="R14" s="53" t="e">
        <f t="shared" si="10"/>
        <v>#VALUE!</v>
      </c>
      <c r="S14" s="53" t="str">
        <f>IFERROR(VLOOKUP(MID(N14,Q14,R14-Q14),[5]skilldef!$C:$D,2,FALSE),"-") &amp; " / " &amp; IFERROR(VLOOKUP(MID(N14,O14,P14-O14),[5]skilldef!$A:$B,2,FALSE),"-")</f>
        <v>- / -</v>
      </c>
      <c r="T14" s="38" t="str">
        <f t="shared" si="11"/>
        <v>none</v>
      </c>
      <c r="U14" s="53" t="e">
        <f t="shared" si="12"/>
        <v>#VALUE!</v>
      </c>
      <c r="V14" s="53">
        <f t="shared" si="13"/>
        <v>4</v>
      </c>
      <c r="W14" s="53" t="e">
        <f t="shared" si="14"/>
        <v>#VALUE!</v>
      </c>
      <c r="X14" s="53" t="e">
        <f t="shared" si="15"/>
        <v>#VALUE!</v>
      </c>
      <c r="Y14" s="53" t="str">
        <f>IFERROR(VLOOKUP(MID(T14,W14,X14-W14),[5]skilldef!$C:$D,2,FALSE),"-") &amp; " / " &amp; IFERROR(VLOOKUP(MID(T14,U14,V14-U14),[5]skilldef!$A:$B,2,FALSE),"-")</f>
        <v>- / -</v>
      </c>
      <c r="Z14" s="40" t="s">
        <v>284</v>
      </c>
      <c r="AA14" s="42"/>
      <c r="AB14" s="40" t="s">
        <v>303</v>
      </c>
    </row>
    <row r="15" spans="1:28" ht="21" customHeight="1" x14ac:dyDescent="0.15">
      <c r="A15" s="216">
        <v>41005015</v>
      </c>
      <c r="B15" s="213" t="s">
        <v>412</v>
      </c>
      <c r="C15" s="40">
        <v>3</v>
      </c>
      <c r="D15" s="40" t="s">
        <v>286</v>
      </c>
      <c r="E15" s="41" t="s">
        <v>243</v>
      </c>
      <c r="F15" s="41" t="s">
        <v>261</v>
      </c>
      <c r="G15" s="53" t="str">
        <f t="shared" si="0"/>
        <v>[effect:force_change_block, new_block:jammer, target:block_all, ignore01:block_positive, count:4, val:0]</v>
      </c>
      <c r="H15" s="53">
        <f t="shared" si="1"/>
        <v>9</v>
      </c>
      <c r="I15" s="53">
        <f t="shared" si="2"/>
        <v>27</v>
      </c>
      <c r="J15" s="53">
        <f t="shared" si="3"/>
        <v>54</v>
      </c>
      <c r="K15" s="53">
        <f t="shared" si="4"/>
        <v>45</v>
      </c>
      <c r="L15" s="53" t="str">
        <f>IFERROR(VLOOKUP(MID(G15,J15,K15-J15),[5]skilldef!$C:$D,2,FALSE),"-") &amp; " / " &amp; IFERROR(VLOOKUP(MID(G15,H15,I15-H15),[5]skilldef!$A:$B,2,FALSE),"-")</f>
        <v>- / -</v>
      </c>
      <c r="M15" s="53" t="str">
        <f t="shared" si="5"/>
        <v>[effect:rush, count:1, val:1]</v>
      </c>
      <c r="N15" s="38" t="str">
        <f>IFERROR(LEFT(M15,FIND("],",M15)+S24),M15)</f>
        <v>[effect:rush, count:1, val:1]</v>
      </c>
      <c r="O15" s="53">
        <f t="shared" si="7"/>
        <v>9</v>
      </c>
      <c r="P15" s="53">
        <f t="shared" si="8"/>
        <v>13</v>
      </c>
      <c r="Q15" s="53" t="e">
        <f t="shared" si="9"/>
        <v>#VALUE!</v>
      </c>
      <c r="R15" s="53">
        <f t="shared" si="10"/>
        <v>22</v>
      </c>
      <c r="S15" s="53" t="str">
        <f>IFERROR(VLOOKUP(MID(N15,Q15,R15-Q15),[5]skilldef!$C:$D,2,FALSE),"-") &amp; " / " &amp; IFERROR(VLOOKUP(MID(N15,O15,P15-O15),[5]skilldef!$A:$B,2,FALSE),"-")</f>
        <v>- / 連続攻撃</v>
      </c>
      <c r="T15" s="38" t="str">
        <f t="shared" si="11"/>
        <v>none</v>
      </c>
      <c r="U15" s="53" t="e">
        <f t="shared" si="12"/>
        <v>#VALUE!</v>
      </c>
      <c r="V15" s="53">
        <f t="shared" si="13"/>
        <v>4</v>
      </c>
      <c r="W15" s="53" t="e">
        <f t="shared" si="14"/>
        <v>#VALUE!</v>
      </c>
      <c r="X15" s="53" t="e">
        <f t="shared" si="15"/>
        <v>#VALUE!</v>
      </c>
      <c r="Y15" s="53" t="str">
        <f>IFERROR(VLOOKUP(MID(T15,W15,X15-W15),[5]skilldef!$C:$D,2,FALSE),"-") &amp; " / " &amp; IFERROR(VLOOKUP(MID(T15,U15,V15-U15),[5]skilldef!$A:$B,2,FALSE),"-")</f>
        <v>- / -</v>
      </c>
      <c r="Z15" s="40" t="s">
        <v>284</v>
      </c>
      <c r="AA15" s="42"/>
      <c r="AB15" s="40" t="s">
        <v>303</v>
      </c>
    </row>
    <row r="16" spans="1:28" ht="21" customHeight="1" x14ac:dyDescent="0.15">
      <c r="A16" s="216">
        <v>41005016</v>
      </c>
      <c r="B16" s="213" t="s">
        <v>307</v>
      </c>
      <c r="C16" s="40">
        <v>3</v>
      </c>
      <c r="D16" s="40" t="s">
        <v>286</v>
      </c>
      <c r="E16" s="41" t="s">
        <v>244</v>
      </c>
      <c r="F16" s="41" t="s">
        <v>262</v>
      </c>
      <c r="G16" s="53" t="str">
        <f t="shared" si="0"/>
        <v>[effect:tolerance,target:myself,turn:-1,tolerance_effect:all,count:-1,animation:enemy_tolerance]</v>
      </c>
      <c r="H16" s="53">
        <f t="shared" si="1"/>
        <v>9</v>
      </c>
      <c r="I16" s="53">
        <f t="shared" si="2"/>
        <v>18</v>
      </c>
      <c r="J16" s="53">
        <f t="shared" si="3"/>
        <v>26</v>
      </c>
      <c r="K16" s="53">
        <f t="shared" si="4"/>
        <v>32</v>
      </c>
      <c r="L16" s="53" t="str">
        <f>IFERROR(VLOOKUP(MID(G16,J16,K16-J16),[5]skilldef!$C:$D,2,FALSE),"-") &amp; " / " &amp; IFERROR(VLOOKUP(MID(G16,H16,I16-H16),[5]skilldef!$A:$B,2,FALSE),"-")</f>
        <v>自分自身に / 状態異常耐性</v>
      </c>
      <c r="M16" s="53" t="str">
        <f t="shared" si="5"/>
        <v>[effect:enhance_enemy, target:myself, turn:3, status:defense, val:3700, calc:add, animation:enemy_enhance_enemy]</v>
      </c>
      <c r="N16" s="38" t="str">
        <f>IFERROR(LEFT(M16,FIND("],",M16)+#REF!),M16)</f>
        <v>[effect:enhance_enemy, target:myself, turn:3, status:defense, val:3700, calc:add, animation:enemy_enhance_enemy]</v>
      </c>
      <c r="O16" s="53">
        <f t="shared" si="7"/>
        <v>9</v>
      </c>
      <c r="P16" s="53">
        <f t="shared" si="8"/>
        <v>22</v>
      </c>
      <c r="Q16" s="53">
        <f t="shared" si="9"/>
        <v>31</v>
      </c>
      <c r="R16" s="53">
        <f t="shared" si="10"/>
        <v>37</v>
      </c>
      <c r="S16" s="53" t="str">
        <f>IFERROR(VLOOKUP(MID(N16,Q16,R16-Q16),[5]skilldef!$C:$D,2,FALSE),"-") &amp; " / " &amp; IFERROR(VLOOKUP(MID(N16,O16,P16-O16),[5]skilldef!$A:$B,2,FALSE),"-")</f>
        <v>自分自身に / ステータス強化</v>
      </c>
      <c r="T16" s="38" t="str">
        <f t="shared" si="11"/>
        <v>none</v>
      </c>
      <c r="U16" s="53" t="e">
        <f t="shared" si="12"/>
        <v>#VALUE!</v>
      </c>
      <c r="V16" s="53">
        <f t="shared" si="13"/>
        <v>4</v>
      </c>
      <c r="W16" s="53" t="e">
        <f t="shared" si="14"/>
        <v>#VALUE!</v>
      </c>
      <c r="X16" s="53" t="e">
        <f t="shared" si="15"/>
        <v>#VALUE!</v>
      </c>
      <c r="Y16" s="53" t="str">
        <f>IFERROR(VLOOKUP(MID(T16,W16,X16-W16),[5]skilldef!$C:$D,2,FALSE),"-") &amp; " / " &amp; IFERROR(VLOOKUP(MID(T16,U16,V16-U16),[5]skilldef!$A:$B,2,FALSE),"-")</f>
        <v>- / -</v>
      </c>
      <c r="Z16" s="40" t="s">
        <v>284</v>
      </c>
      <c r="AA16" s="42"/>
      <c r="AB16" s="40" t="s">
        <v>303</v>
      </c>
    </row>
    <row r="17" spans="1:28" ht="21" customHeight="1" x14ac:dyDescent="0.15">
      <c r="A17" s="216">
        <v>41005017</v>
      </c>
      <c r="B17" s="213" t="s">
        <v>370</v>
      </c>
      <c r="C17" s="40">
        <v>3</v>
      </c>
      <c r="D17" s="40" t="s">
        <v>286</v>
      </c>
      <c r="E17" s="41" t="s">
        <v>245</v>
      </c>
      <c r="F17" s="41" t="s">
        <v>263</v>
      </c>
      <c r="G17" s="53" t="str">
        <f t="shared" si="0"/>
        <v>[effect:nothing]</v>
      </c>
      <c r="H17" s="53">
        <f t="shared" si="1"/>
        <v>9</v>
      </c>
      <c r="I17" s="53">
        <f t="shared" si="2"/>
        <v>16</v>
      </c>
      <c r="J17" s="53" t="e">
        <f t="shared" si="3"/>
        <v>#VALUE!</v>
      </c>
      <c r="K17" s="53" t="e">
        <f t="shared" si="4"/>
        <v>#VALUE!</v>
      </c>
      <c r="L17" s="53" t="str">
        <f>IFERROR(VLOOKUP(MID(G17,J17,K17-J17),[5]skilldef!$C:$D,2,FALSE),"-") &amp; " / " &amp; IFERROR(VLOOKUP(MID(G17,H17,I17-H17),[5]skilldef!$A:$B,2,FALSE),"-")</f>
        <v>- / 何もしない</v>
      </c>
      <c r="M17" s="53" t="str">
        <f t="shared" si="5"/>
        <v>[effect:rush, count:1, val:1]</v>
      </c>
      <c r="N17" s="38" t="str">
        <f>IFERROR(LEFT(M17,FIND("],",M17)+S25),M17)</f>
        <v>[effect:rush, count:1, val:1]</v>
      </c>
      <c r="O17" s="53">
        <f t="shared" si="7"/>
        <v>9</v>
      </c>
      <c r="P17" s="53">
        <f t="shared" si="8"/>
        <v>13</v>
      </c>
      <c r="Q17" s="53" t="e">
        <f t="shared" si="9"/>
        <v>#VALUE!</v>
      </c>
      <c r="R17" s="53">
        <f t="shared" si="10"/>
        <v>22</v>
      </c>
      <c r="S17" s="53" t="str">
        <f>IFERROR(VLOOKUP(MID(N17,Q17,R17-Q17),[5]skilldef!$C:$D,2,FALSE),"-") &amp; " / " &amp; IFERROR(VLOOKUP(MID(N17,O17,P17-O17),[5]skilldef!$A:$B,2,FALSE),"-")</f>
        <v>- / 連続攻撃</v>
      </c>
      <c r="T17" s="38" t="str">
        <f t="shared" si="11"/>
        <v>none</v>
      </c>
      <c r="U17" s="53" t="e">
        <f t="shared" si="12"/>
        <v>#VALUE!</v>
      </c>
      <c r="V17" s="53">
        <f t="shared" si="13"/>
        <v>4</v>
      </c>
      <c r="W17" s="53" t="e">
        <f t="shared" si="14"/>
        <v>#VALUE!</v>
      </c>
      <c r="X17" s="53" t="e">
        <f t="shared" si="15"/>
        <v>#VALUE!</v>
      </c>
      <c r="Y17" s="53" t="str">
        <f>IFERROR(VLOOKUP(MID(T17,W17,X17-W17),[5]skilldef!$C:$D,2,FALSE),"-") &amp; " / " &amp; IFERROR(VLOOKUP(MID(T17,U17,V17-U17),[5]skilldef!$A:$B,2,FALSE),"-")</f>
        <v>- / -</v>
      </c>
      <c r="Z17" s="40" t="s">
        <v>284</v>
      </c>
      <c r="AA17" s="42"/>
      <c r="AB17" s="40" t="s">
        <v>303</v>
      </c>
    </row>
    <row r="18" spans="1:28" ht="21" customHeight="1" x14ac:dyDescent="0.15">
      <c r="A18" s="216">
        <v>41005018</v>
      </c>
      <c r="B18" s="215" t="s">
        <v>308</v>
      </c>
      <c r="C18" s="40">
        <v>3</v>
      </c>
      <c r="D18" s="40" t="s">
        <v>286</v>
      </c>
      <c r="E18" s="41" t="s">
        <v>246</v>
      </c>
      <c r="F18" s="41" t="s">
        <v>264</v>
      </c>
      <c r="G18" s="53" t="str">
        <f t="shared" si="0"/>
        <v>[effect:degrade_unit, target:unit_all, turn:5, status:attack, val:0.7, calc:mul]</v>
      </c>
      <c r="H18" s="53">
        <f t="shared" si="1"/>
        <v>9</v>
      </c>
      <c r="I18" s="53">
        <f t="shared" si="2"/>
        <v>21</v>
      </c>
      <c r="J18" s="53">
        <f t="shared" si="3"/>
        <v>30</v>
      </c>
      <c r="K18" s="53">
        <f t="shared" si="4"/>
        <v>38</v>
      </c>
      <c r="L18" s="53" t="str">
        <f>IFERROR(VLOOKUP(MID(G18,J18,K18-J18),[5]skilldef!$C:$D,2,FALSE),"-") &amp; " / " &amp; IFERROR(VLOOKUP(MID(G18,H18,I18-H18),[5]skilldef!$A:$B,2,FALSE),"-")</f>
        <v>味方全体に / ステータスDOWN</v>
      </c>
      <c r="M18" s="53" t="str">
        <f t="shared" si="5"/>
        <v>[effect:rush, count:1, val:0.8],[effect:tolerance,target:myself,turn:-1,tolerance_effect:all,count:-1,animation:enemy_tolerance],[effect:fix_speed, target:enemy_all, turn:1]</v>
      </c>
      <c r="N18" s="38" t="str">
        <f>IFERROR(LEFT(M18,FIND("],",M18)+S26),M18)</f>
        <v>[effect:rush, count:1, val:0.8],[effect:tolerance,target:myself,turn:-1,tolerance_effect:all,count:-1,animation:enemy_tolerance],[effect:fix_speed, target:enemy_all, turn:1]</v>
      </c>
      <c r="O18" s="53">
        <f t="shared" si="7"/>
        <v>9</v>
      </c>
      <c r="P18" s="53">
        <f t="shared" si="8"/>
        <v>13</v>
      </c>
      <c r="Q18" s="53">
        <f t="shared" si="9"/>
        <v>58</v>
      </c>
      <c r="R18" s="53">
        <f t="shared" si="10"/>
        <v>22</v>
      </c>
      <c r="S18" s="53" t="str">
        <f>IFERROR(VLOOKUP(MID(N18,Q18,R18-Q18),[5]skilldef!$C:$D,2,FALSE),"-") &amp; " / " &amp; IFERROR(VLOOKUP(MID(N18,O18,P18-O18),[5]skilldef!$A:$B,2,FALSE),"-")</f>
        <v>- / 連続攻撃</v>
      </c>
      <c r="T18" s="38" t="str">
        <f t="shared" si="11"/>
        <v>[effect:tolerance,target:myself,turn:-1,tolerance_effect:all,count:-1,animation:enemy_tolerance],[effect:fix_speed, target:enemy_all, turn:1]</v>
      </c>
      <c r="U18" s="53">
        <f t="shared" si="12"/>
        <v>9</v>
      </c>
      <c r="V18" s="53">
        <f t="shared" si="13"/>
        <v>18</v>
      </c>
      <c r="W18" s="53">
        <f t="shared" si="14"/>
        <v>26</v>
      </c>
      <c r="X18" s="53">
        <f t="shared" si="15"/>
        <v>32</v>
      </c>
      <c r="Y18" s="53" t="str">
        <f>IFERROR(VLOOKUP(MID(T18,W18,X18-W18),[5]skilldef!$C:$D,2,FALSE),"-") &amp; " / " &amp; IFERROR(VLOOKUP(MID(T18,U18,V18-U18),[5]skilldef!$A:$B,2,FALSE),"-")</f>
        <v>自分自身に / 状態異常耐性</v>
      </c>
      <c r="Z18" s="40" t="s">
        <v>284</v>
      </c>
      <c r="AA18" s="42"/>
      <c r="AB18" s="40" t="s">
        <v>303</v>
      </c>
    </row>
    <row r="19" spans="1:28" ht="21" customHeight="1" x14ac:dyDescent="0.15">
      <c r="A19" s="216">
        <v>41005019</v>
      </c>
      <c r="B19" s="213" t="s">
        <v>413</v>
      </c>
      <c r="C19" s="40">
        <v>3</v>
      </c>
      <c r="D19" s="40" t="s">
        <v>286</v>
      </c>
      <c r="E19" s="41" t="s">
        <v>247</v>
      </c>
      <c r="F19" s="41" t="s">
        <v>265</v>
      </c>
      <c r="G19" s="53" t="str">
        <f t="shared" si="0"/>
        <v>[effect:force_change_block, new_block:jammer, target:block_all, ignore01:block_positive, count:15, val:0]</v>
      </c>
      <c r="H19" s="53">
        <f t="shared" si="1"/>
        <v>9</v>
      </c>
      <c r="I19" s="53">
        <f t="shared" si="2"/>
        <v>27</v>
      </c>
      <c r="J19" s="53">
        <f t="shared" si="3"/>
        <v>54</v>
      </c>
      <c r="K19" s="53">
        <f t="shared" si="4"/>
        <v>45</v>
      </c>
      <c r="L19" s="53" t="str">
        <f>IFERROR(VLOOKUP(MID(G19,J19,K19-J19),[5]skilldef!$C:$D,2,FALSE),"-") &amp; " / " &amp; IFERROR(VLOOKUP(MID(G19,H19,I19-H19),[5]skilldef!$A:$B,2,FALSE),"-")</f>
        <v>- / -</v>
      </c>
      <c r="M19" s="53" t="str">
        <f t="shared" si="5"/>
        <v>none</v>
      </c>
      <c r="N19" s="38" t="str">
        <f>IFERROR(LEFT(M19,FIND("],",M19)+S27),M19)</f>
        <v>none</v>
      </c>
      <c r="O19" s="53" t="e">
        <f t="shared" si="7"/>
        <v>#VALUE!</v>
      </c>
      <c r="P19" s="53">
        <f t="shared" si="8"/>
        <v>4</v>
      </c>
      <c r="Q19" s="53" t="e">
        <f t="shared" si="9"/>
        <v>#VALUE!</v>
      </c>
      <c r="R19" s="53" t="e">
        <f t="shared" si="10"/>
        <v>#VALUE!</v>
      </c>
      <c r="S19" s="53" t="str">
        <f>IFERROR(VLOOKUP(MID(N19,Q19,R19-Q19),[5]skilldef!$C:$D,2,FALSE),"-") &amp; " / " &amp; IFERROR(VLOOKUP(MID(N19,O19,P19-O19),[5]skilldef!$A:$B,2,FALSE),"-")</f>
        <v>- / -</v>
      </c>
      <c r="T19" s="38" t="str">
        <f t="shared" si="11"/>
        <v>none</v>
      </c>
      <c r="U19" s="53" t="e">
        <f t="shared" si="12"/>
        <v>#VALUE!</v>
      </c>
      <c r="V19" s="53">
        <f t="shared" si="13"/>
        <v>4</v>
      </c>
      <c r="W19" s="53" t="e">
        <f t="shared" si="14"/>
        <v>#VALUE!</v>
      </c>
      <c r="X19" s="53" t="e">
        <f t="shared" si="15"/>
        <v>#VALUE!</v>
      </c>
      <c r="Y19" s="53" t="str">
        <f>IFERROR(VLOOKUP(MID(T19,W19,X19-W19),[5]skilldef!$C:$D,2,FALSE),"-") &amp; " / " &amp; IFERROR(VLOOKUP(MID(T19,U19,V19-U19),[5]skilldef!$A:$B,2,FALSE),"-")</f>
        <v>- / -</v>
      </c>
      <c r="Z19" s="40" t="s">
        <v>284</v>
      </c>
      <c r="AA19" s="42"/>
      <c r="AB19" s="40" t="s">
        <v>303</v>
      </c>
    </row>
    <row r="20" spans="1:28" ht="21" customHeight="1" x14ac:dyDescent="0.15">
      <c r="A20" s="216">
        <v>41005021</v>
      </c>
      <c r="B20" s="213" t="s">
        <v>212</v>
      </c>
      <c r="C20" s="40">
        <v>3</v>
      </c>
      <c r="D20" s="40" t="s">
        <v>286</v>
      </c>
      <c r="E20" s="41" t="s">
        <v>309</v>
      </c>
      <c r="F20" s="41" t="s">
        <v>363</v>
      </c>
      <c r="G20" s="53" t="str">
        <f>IFERROR(LEFT(B20,FIND("],",B20)),B20)</f>
        <v xml:space="preserve">[effect:dis_heart, turn:4, animation:enemy_dis_heart]    </v>
      </c>
      <c r="H20" s="53">
        <f t="shared" si="1"/>
        <v>9</v>
      </c>
      <c r="I20" s="53">
        <f t="shared" si="2"/>
        <v>18</v>
      </c>
      <c r="J20" s="53" t="e">
        <f t="shared" si="3"/>
        <v>#VALUE!</v>
      </c>
      <c r="K20" s="53">
        <f t="shared" si="4"/>
        <v>26</v>
      </c>
      <c r="L20" s="53" t="str">
        <f>IFERROR(VLOOKUP(MID(G20,J20,K20-J20),[5]skilldef!$C:$D,2,FALSE),"-") &amp; " / " &amp; IFERROR(VLOOKUP(MID(G20,H20,I20-H20),[5]skilldef!$A:$B,2,FALSE),"-")</f>
        <v>- / ディスハート</v>
      </c>
      <c r="M20" s="53" t="str">
        <f t="shared" si="5"/>
        <v>none</v>
      </c>
      <c r="N20" s="38" t="str">
        <f>IFERROR(LEFT(M20,FIND("],",M20)+#REF!),M20)</f>
        <v>none</v>
      </c>
      <c r="O20" s="53" t="e">
        <f t="shared" si="7"/>
        <v>#VALUE!</v>
      </c>
      <c r="P20" s="53">
        <f t="shared" si="8"/>
        <v>4</v>
      </c>
      <c r="Q20" s="53" t="e">
        <f t="shared" si="9"/>
        <v>#VALUE!</v>
      </c>
      <c r="R20" s="53" t="e">
        <f t="shared" si="10"/>
        <v>#VALUE!</v>
      </c>
      <c r="S20" s="53" t="str">
        <f>IFERROR(VLOOKUP(MID(N20,Q20,R20-Q20),[5]skilldef!$C:$D,2,FALSE),"-") &amp; " / " &amp; IFERROR(VLOOKUP(MID(N20,O20,P20-O20),[5]skilldef!$A:$B,2,FALSE),"-")</f>
        <v>- / -</v>
      </c>
      <c r="T20" s="38" t="str">
        <f t="shared" si="11"/>
        <v>none</v>
      </c>
      <c r="U20" s="53" t="e">
        <f t="shared" si="12"/>
        <v>#VALUE!</v>
      </c>
      <c r="V20" s="53">
        <f t="shared" si="13"/>
        <v>4</v>
      </c>
      <c r="W20" s="53" t="e">
        <f t="shared" si="14"/>
        <v>#VALUE!</v>
      </c>
      <c r="X20" s="53" t="e">
        <f t="shared" si="15"/>
        <v>#VALUE!</v>
      </c>
      <c r="Y20" s="53" t="str">
        <f>IFERROR(VLOOKUP(MID(T20,W20,X20-W20),[5]skilldef!$C:$D,2,FALSE),"-") &amp; " / " &amp; IFERROR(VLOOKUP(MID(T20,U20,V20-U20),[5]skilldef!$A:$B,2,FALSE),"-")</f>
        <v>- / -</v>
      </c>
      <c r="Z20" s="40" t="s">
        <v>284</v>
      </c>
      <c r="AA20" s="42"/>
      <c r="AB20" s="40" t="s">
        <v>310</v>
      </c>
    </row>
    <row r="21" spans="1:28" ht="21" customHeight="1" x14ac:dyDescent="0.15">
      <c r="A21" s="216">
        <v>41005022</v>
      </c>
      <c r="B21" s="213" t="s">
        <v>213</v>
      </c>
      <c r="C21" s="40">
        <v>3</v>
      </c>
      <c r="D21" s="40" t="s">
        <v>286</v>
      </c>
      <c r="E21" s="41" t="s">
        <v>248</v>
      </c>
      <c r="F21" s="41" t="s">
        <v>311</v>
      </c>
      <c r="G21" s="53" t="str">
        <f t="shared" si="0"/>
        <v xml:space="preserve">[effect:freq_turn, target:myself, turn:3, val:1, animation:enemy_freq_turn]    </v>
      </c>
      <c r="H21" s="53">
        <f t="shared" si="1"/>
        <v>9</v>
      </c>
      <c r="I21" s="53">
        <f>IFERROR(FIND(",",G21),LEN(G21))</f>
        <v>18</v>
      </c>
      <c r="J21" s="53">
        <f t="shared" ref="J21:J22" si="16">FIND("target:",G21)+7</f>
        <v>27</v>
      </c>
      <c r="K21" s="53">
        <f>FIND(",",G21,I21+1)</f>
        <v>33</v>
      </c>
      <c r="L21" s="53" t="str">
        <f>IFERROR(VLOOKUP(MID(G21,J21,K21-J21),[5]skilldef!$C:$D,2,FALSE),"-") &amp; " / " &amp; IFERROR(VLOOKUP(MID(G21,H21,I21-H21),[5]skilldef!$A:$B,2,FALSE),"-")</f>
        <v>自分自身に / 攻撃頻度がUP</v>
      </c>
      <c r="M21" s="53" t="str">
        <f>IFERROR(RIGHT(#REF!,LEN(#REF!)-FIND("],",#REF!)-1),"none")</f>
        <v>none</v>
      </c>
      <c r="N21" s="38" t="str">
        <f>IFERROR(LEFT(M21,FIND("],",M21)+S29),M21)</f>
        <v>none</v>
      </c>
      <c r="O21" s="53" t="e">
        <f t="shared" si="7"/>
        <v>#VALUE!</v>
      </c>
      <c r="P21" s="53">
        <f t="shared" si="8"/>
        <v>4</v>
      </c>
      <c r="Q21" s="53" t="e">
        <f t="shared" si="9"/>
        <v>#VALUE!</v>
      </c>
      <c r="R21" s="53" t="e">
        <f t="shared" si="10"/>
        <v>#VALUE!</v>
      </c>
      <c r="S21" s="53" t="str">
        <f>IFERROR(VLOOKUP(MID(N21,Q21,R21-Q21),[5]skilldef!$C:$D,2,FALSE),"-") &amp; " / " &amp; IFERROR(VLOOKUP(MID(N21,O21,P21-O21),[5]skilldef!$A:$B,2,FALSE),"-")</f>
        <v>- / -</v>
      </c>
      <c r="T21" s="38" t="str">
        <f t="shared" si="11"/>
        <v>none</v>
      </c>
      <c r="U21" s="53" t="e">
        <f t="shared" si="12"/>
        <v>#VALUE!</v>
      </c>
      <c r="V21" s="53">
        <f t="shared" si="13"/>
        <v>4</v>
      </c>
      <c r="W21" s="53" t="e">
        <f t="shared" si="14"/>
        <v>#VALUE!</v>
      </c>
      <c r="X21" s="53" t="e">
        <f t="shared" si="15"/>
        <v>#VALUE!</v>
      </c>
      <c r="Y21" s="53" t="str">
        <f>IFERROR(VLOOKUP(MID(T21,W21,X21-W21),[5]skilldef!$C:$D,2,FALSE),"-") &amp; " / " &amp; IFERROR(VLOOKUP(MID(T21,U21,V21-U21),[5]skilldef!$A:$B,2,FALSE),"-")</f>
        <v>- / -</v>
      </c>
      <c r="Z21" s="40" t="s">
        <v>284</v>
      </c>
      <c r="AA21" s="42"/>
      <c r="AB21" s="40" t="s">
        <v>312</v>
      </c>
    </row>
    <row r="22" spans="1:28" ht="21" customHeight="1" x14ac:dyDescent="0.15">
      <c r="A22" s="216">
        <v>41005023</v>
      </c>
      <c r="B22" s="213" t="s">
        <v>313</v>
      </c>
      <c r="C22" s="40">
        <v>3</v>
      </c>
      <c r="D22" s="40" t="s">
        <v>286</v>
      </c>
      <c r="E22" s="41" t="s">
        <v>314</v>
      </c>
      <c r="F22" s="41" t="s">
        <v>266</v>
      </c>
      <c r="G22" s="53" t="str">
        <f>IFERROR(LEFT(B22,FIND("],",B22)),B22)</f>
        <v>[effect:rush, count:2, val:0.8]</v>
      </c>
      <c r="H22" s="53">
        <f t="shared" si="1"/>
        <v>9</v>
      </c>
      <c r="I22" s="53">
        <f>IFERROR(FIND(",",G22),LEN(G22))</f>
        <v>13</v>
      </c>
      <c r="J22" s="53" t="e">
        <f t="shared" si="16"/>
        <v>#VALUE!</v>
      </c>
      <c r="K22" s="53">
        <f>FIND(",",G22,I22+1)</f>
        <v>22</v>
      </c>
      <c r="L22" s="53" t="str">
        <f>IFERROR(VLOOKUP(MID(G22,J22,K22-J22),[5]skilldef!$C:$D,2,FALSE),"-") &amp; " / " &amp; IFERROR(VLOOKUP(MID(G22,H22,I22-H22),[5]skilldef!$A:$B,2,FALSE),"-")</f>
        <v>- / 連続攻撃</v>
      </c>
      <c r="M22" s="53" t="str">
        <f>IFERROR(RIGHT(#REF!,LEN(#REF!)-FIND("],",#REF!)-1),"none")</f>
        <v>none</v>
      </c>
      <c r="N22" s="38" t="str">
        <f>IFERROR(LEFT(M22,FIND("],",M22)+S30),M22)</f>
        <v>none</v>
      </c>
      <c r="O22" s="53" t="e">
        <f t="shared" si="7"/>
        <v>#VALUE!</v>
      </c>
      <c r="P22" s="53">
        <f t="shared" si="8"/>
        <v>4</v>
      </c>
      <c r="Q22" s="53" t="e">
        <f t="shared" si="9"/>
        <v>#VALUE!</v>
      </c>
      <c r="R22" s="53" t="e">
        <f t="shared" si="10"/>
        <v>#VALUE!</v>
      </c>
      <c r="S22" s="53" t="str">
        <f>IFERROR(VLOOKUP(MID(N22,Q22,R22-Q22),[5]skilldef!$C:$D,2,FALSE),"-") &amp; " / " &amp; IFERROR(VLOOKUP(MID(N22,O22,P22-O22),[5]skilldef!$A:$B,2,FALSE),"-")</f>
        <v>- / -</v>
      </c>
      <c r="T22" s="38" t="str">
        <f t="shared" si="11"/>
        <v>none</v>
      </c>
      <c r="U22" s="53" t="e">
        <f t="shared" si="12"/>
        <v>#VALUE!</v>
      </c>
      <c r="V22" s="53">
        <f t="shared" si="13"/>
        <v>4</v>
      </c>
      <c r="W22" s="53" t="e">
        <f t="shared" si="14"/>
        <v>#VALUE!</v>
      </c>
      <c r="X22" s="53" t="e">
        <f t="shared" si="15"/>
        <v>#VALUE!</v>
      </c>
      <c r="Y22" s="53" t="str">
        <f>IFERROR(VLOOKUP(MID(T22,W22,X22-W22),[5]skilldef!$C:$D,2,FALSE),"-") &amp; " / " &amp; IFERROR(VLOOKUP(MID(T22,U22,V22-U22),[5]skilldef!$A:$B,2,FALSE),"-")</f>
        <v>- / -</v>
      </c>
      <c r="Z22" s="40" t="s">
        <v>284</v>
      </c>
      <c r="AA22" s="42"/>
      <c r="AB22" s="40" t="s">
        <v>312</v>
      </c>
    </row>
    <row r="23" spans="1:28" ht="21" customHeight="1" x14ac:dyDescent="0.15">
      <c r="A23" s="216">
        <v>41005024</v>
      </c>
      <c r="B23" s="213" t="s">
        <v>414</v>
      </c>
      <c r="C23" s="40">
        <v>3</v>
      </c>
      <c r="D23" s="40" t="s">
        <v>286</v>
      </c>
      <c r="E23" s="41" t="s">
        <v>249</v>
      </c>
      <c r="F23" s="41" t="s">
        <v>261</v>
      </c>
      <c r="G23" s="53" t="str">
        <f t="shared" ref="G23:G29" si="17">IFERROR(LEFT(B23,FIND("],",B23)),B23)</f>
        <v>[effect:force_change_block, new_block:jammer, target:block_all, ignore01:block_positive, count:4, val:0]</v>
      </c>
      <c r="H23" s="53">
        <f t="shared" si="1"/>
        <v>9</v>
      </c>
      <c r="I23" s="53">
        <f t="shared" si="2"/>
        <v>27</v>
      </c>
      <c r="J23" s="53">
        <f t="shared" si="3"/>
        <v>54</v>
      </c>
      <c r="K23" s="53">
        <f t="shared" si="4"/>
        <v>45</v>
      </c>
      <c r="L23" s="53" t="str">
        <f>IFERROR(VLOOKUP(MID(G23,J23,K23-J23),[5]skilldef!$C:$D,2,FALSE),"-") &amp; " / " &amp; IFERROR(VLOOKUP(MID(G23,H23,I23-H23),[5]skilldef!$A:$B,2,FALSE),"-")</f>
        <v>- / -</v>
      </c>
      <c r="M23" s="53" t="str">
        <f t="shared" ref="M23:M29" si="18">IFERROR(RIGHT(B23,LEN(B23)-FIND("],",B23)-1),"none")</f>
        <v>[effect:rush, count:1, val:1]</v>
      </c>
      <c r="N23" s="38" t="str">
        <f>IFERROR(LEFT(M23,FIND("],",M23)+S31),M23)</f>
        <v>[effect:rush, count:1, val:1]</v>
      </c>
      <c r="O23" s="53">
        <f t="shared" si="7"/>
        <v>9</v>
      </c>
      <c r="P23" s="53">
        <f t="shared" si="8"/>
        <v>13</v>
      </c>
      <c r="Q23" s="53" t="e">
        <f t="shared" si="9"/>
        <v>#VALUE!</v>
      </c>
      <c r="R23" s="53">
        <f t="shared" si="10"/>
        <v>22</v>
      </c>
      <c r="S23" s="53" t="str">
        <f>IFERROR(VLOOKUP(MID(N23,Q23,R23-Q23),[5]skilldef!$C:$D,2,FALSE),"-") &amp; " / " &amp; IFERROR(VLOOKUP(MID(N23,O23,P23-O23),[5]skilldef!$A:$B,2,FALSE),"-")</f>
        <v>- / 連続攻撃</v>
      </c>
      <c r="T23" s="38" t="str">
        <f t="shared" si="11"/>
        <v>none</v>
      </c>
      <c r="U23" s="53" t="e">
        <f t="shared" si="12"/>
        <v>#VALUE!</v>
      </c>
      <c r="V23" s="53">
        <f t="shared" si="13"/>
        <v>4</v>
      </c>
      <c r="W23" s="53" t="e">
        <f t="shared" si="14"/>
        <v>#VALUE!</v>
      </c>
      <c r="X23" s="53" t="e">
        <f t="shared" si="15"/>
        <v>#VALUE!</v>
      </c>
      <c r="Y23" s="53" t="str">
        <f>IFERROR(VLOOKUP(MID(T23,W23,X23-W23),[5]skilldef!$C:$D,2,FALSE),"-") &amp; " / " &amp; IFERROR(VLOOKUP(MID(T23,U23,V23-U23),[5]skilldef!$A:$B,2,FALSE),"-")</f>
        <v>- / -</v>
      </c>
      <c r="Z23" s="40" t="s">
        <v>284</v>
      </c>
      <c r="AA23" s="42"/>
      <c r="AB23" s="40" t="s">
        <v>303</v>
      </c>
    </row>
    <row r="24" spans="1:28" ht="21" customHeight="1" x14ac:dyDescent="0.15">
      <c r="A24" s="216">
        <v>41005025</v>
      </c>
      <c r="B24" s="213" t="s">
        <v>415</v>
      </c>
      <c r="C24" s="40">
        <v>3</v>
      </c>
      <c r="D24" s="40" t="s">
        <v>286</v>
      </c>
      <c r="E24" s="41" t="s">
        <v>250</v>
      </c>
      <c r="F24" s="41" t="s">
        <v>261</v>
      </c>
      <c r="G24" s="53" t="str">
        <f t="shared" si="17"/>
        <v>[effect:force_change_block, new_block:jammer, target:block_all, ignore01:block_positive, count:4, val:0]</v>
      </c>
      <c r="H24" s="53">
        <f t="shared" si="1"/>
        <v>9</v>
      </c>
      <c r="I24" s="53">
        <f t="shared" si="2"/>
        <v>27</v>
      </c>
      <c r="J24" s="53">
        <f t="shared" si="3"/>
        <v>54</v>
      </c>
      <c r="K24" s="53">
        <f t="shared" si="4"/>
        <v>45</v>
      </c>
      <c r="L24" s="53" t="str">
        <f>IFERROR(VLOOKUP(MID(G24,J24,K24-J24),[5]skilldef!$C:$D,2,FALSE),"-") &amp; " / " &amp; IFERROR(VLOOKUP(MID(G24,H24,I24-H24),[5]skilldef!$A:$B,2,FALSE),"-")</f>
        <v>- / -</v>
      </c>
      <c r="M24" s="53" t="str">
        <f t="shared" si="18"/>
        <v>[effect:rush, count:1, val:1]</v>
      </c>
      <c r="N24" s="38" t="str">
        <f>IFERROR(LEFT(M24,FIND("],",M24)+S32),M24)</f>
        <v>[effect:rush, count:1, val:1]</v>
      </c>
      <c r="O24" s="53">
        <f t="shared" si="7"/>
        <v>9</v>
      </c>
      <c r="P24" s="53">
        <f t="shared" si="8"/>
        <v>13</v>
      </c>
      <c r="Q24" s="53" t="e">
        <f t="shared" si="9"/>
        <v>#VALUE!</v>
      </c>
      <c r="R24" s="53">
        <f t="shared" si="10"/>
        <v>22</v>
      </c>
      <c r="S24" s="53" t="str">
        <f>IFERROR(VLOOKUP(MID(N24,Q24,R24-Q24),[5]skilldef!$C:$D,2,FALSE),"-") &amp; " / " &amp; IFERROR(VLOOKUP(MID(N24,O24,P24-O24),[5]skilldef!$A:$B,2,FALSE),"-")</f>
        <v>- / 連続攻撃</v>
      </c>
      <c r="T24" s="38" t="str">
        <f t="shared" si="11"/>
        <v>none</v>
      </c>
      <c r="U24" s="53" t="e">
        <f t="shared" si="12"/>
        <v>#VALUE!</v>
      </c>
      <c r="V24" s="53">
        <f t="shared" si="13"/>
        <v>4</v>
      </c>
      <c r="W24" s="53" t="e">
        <f t="shared" si="14"/>
        <v>#VALUE!</v>
      </c>
      <c r="X24" s="53" t="e">
        <f t="shared" si="15"/>
        <v>#VALUE!</v>
      </c>
      <c r="Y24" s="53" t="str">
        <f>IFERROR(VLOOKUP(MID(T24,W24,X24-W24),[5]skilldef!$C:$D,2,FALSE),"-") &amp; " / " &amp; IFERROR(VLOOKUP(MID(T24,U24,V24-U24),[5]skilldef!$A:$B,2,FALSE),"-")</f>
        <v>- / -</v>
      </c>
      <c r="Z24" s="40" t="s">
        <v>284</v>
      </c>
      <c r="AA24" s="42"/>
      <c r="AB24" s="40" t="s">
        <v>303</v>
      </c>
    </row>
    <row r="25" spans="1:28" ht="21" customHeight="1" x14ac:dyDescent="0.15">
      <c r="A25" s="216">
        <v>41005026</v>
      </c>
      <c r="B25" s="213" t="s">
        <v>315</v>
      </c>
      <c r="C25" s="40">
        <v>3</v>
      </c>
      <c r="D25" s="40" t="s">
        <v>286</v>
      </c>
      <c r="E25" s="41" t="s">
        <v>316</v>
      </c>
      <c r="F25" s="41" t="s">
        <v>267</v>
      </c>
      <c r="G25" s="53" t="str">
        <f t="shared" si="17"/>
        <v>[effect:hungup, target:unit_all, turn:3, rate:1, animation:hungup01]</v>
      </c>
      <c r="H25" s="53">
        <f t="shared" si="1"/>
        <v>9</v>
      </c>
      <c r="I25" s="53">
        <f t="shared" si="2"/>
        <v>15</v>
      </c>
      <c r="J25" s="53">
        <f t="shared" si="3"/>
        <v>24</v>
      </c>
      <c r="K25" s="53">
        <f t="shared" si="4"/>
        <v>32</v>
      </c>
      <c r="L25" s="53" t="str">
        <f>IFERROR(VLOOKUP(MID(G25,J25,K25-J25),[5]skilldef!$C:$D,2,FALSE),"-") &amp; " / " &amp; IFERROR(VLOOKUP(MID(G25,H25,I25-H25),[5]skilldef!$A:$B,2,FALSE),"-")</f>
        <v>味方全体に / ハングアップ</v>
      </c>
      <c r="M25" s="53" t="str">
        <f t="shared" si="18"/>
        <v>none</v>
      </c>
      <c r="N25" s="38" t="str">
        <f>IFERROR(LEFT(M25,FIND("],",M25)+S34),M25)</f>
        <v>none</v>
      </c>
      <c r="O25" s="53" t="e">
        <f t="shared" si="7"/>
        <v>#VALUE!</v>
      </c>
      <c r="P25" s="53">
        <f t="shared" si="8"/>
        <v>4</v>
      </c>
      <c r="Q25" s="53" t="e">
        <f t="shared" si="9"/>
        <v>#VALUE!</v>
      </c>
      <c r="R25" s="53" t="e">
        <f t="shared" si="10"/>
        <v>#VALUE!</v>
      </c>
      <c r="S25" s="53" t="str">
        <f>IFERROR(VLOOKUP(MID(N25,Q25,R25-Q25),[5]skilldef!$C:$D,2,FALSE),"-") &amp; " / " &amp; IFERROR(VLOOKUP(MID(N25,O25,P25-O25),[5]skilldef!$A:$B,2,FALSE),"-")</f>
        <v>- / -</v>
      </c>
      <c r="T25" s="38" t="str">
        <f t="shared" si="11"/>
        <v>none</v>
      </c>
      <c r="U25" s="53" t="e">
        <f t="shared" si="12"/>
        <v>#VALUE!</v>
      </c>
      <c r="V25" s="53">
        <f t="shared" si="13"/>
        <v>4</v>
      </c>
      <c r="W25" s="53" t="e">
        <f t="shared" si="14"/>
        <v>#VALUE!</v>
      </c>
      <c r="X25" s="53" t="e">
        <f t="shared" si="15"/>
        <v>#VALUE!</v>
      </c>
      <c r="Y25" s="53" t="str">
        <f>IFERROR(VLOOKUP(MID(T25,W25,X25-W25),[5]skilldef!$C:$D,2,FALSE),"-") &amp; " / " &amp; IFERROR(VLOOKUP(MID(T25,U25,V25-U25),[5]skilldef!$A:$B,2,FALSE),"-")</f>
        <v>- / -</v>
      </c>
      <c r="Z25" s="40" t="s">
        <v>284</v>
      </c>
      <c r="AA25" s="42"/>
      <c r="AB25" s="40" t="s">
        <v>317</v>
      </c>
    </row>
    <row r="26" spans="1:28" ht="21" customHeight="1" x14ac:dyDescent="0.15">
      <c r="A26" s="216">
        <v>41005027</v>
      </c>
      <c r="B26" s="213" t="s">
        <v>318</v>
      </c>
      <c r="C26" s="40">
        <v>3</v>
      </c>
      <c r="D26" s="40" t="s">
        <v>286</v>
      </c>
      <c r="E26" s="41" t="s">
        <v>319</v>
      </c>
      <c r="F26" s="41" t="s">
        <v>268</v>
      </c>
      <c r="G26" s="53" t="str">
        <f t="shared" si="17"/>
        <v>[effect:degrade_unit, target:unit_all, turn:3, status:attack, val:0.8, calc:mul]</v>
      </c>
      <c r="H26" s="53">
        <f t="shared" si="1"/>
        <v>9</v>
      </c>
      <c r="I26" s="53">
        <f t="shared" si="2"/>
        <v>21</v>
      </c>
      <c r="J26" s="53">
        <f t="shared" si="3"/>
        <v>30</v>
      </c>
      <c r="K26" s="53">
        <f t="shared" si="4"/>
        <v>38</v>
      </c>
      <c r="L26" s="53" t="str">
        <f>IFERROR(VLOOKUP(MID(G26,J26,K26-J26),[5]skilldef!$C:$D,2,FALSE),"-") &amp; " / " &amp; IFERROR(VLOOKUP(MID(G26,H26,I26-H26),[5]skilldef!$A:$B,2,FALSE),"-")</f>
        <v>味方全体に / ステータスDOWN</v>
      </c>
      <c r="M26" s="53" t="str">
        <f t="shared" si="18"/>
        <v>none</v>
      </c>
      <c r="N26" s="38" t="str">
        <f>IFERROR(LEFT(M26,FIND("],",M26)+S35),M26)</f>
        <v>none</v>
      </c>
      <c r="O26" s="53" t="e">
        <f t="shared" si="7"/>
        <v>#VALUE!</v>
      </c>
      <c r="P26" s="53">
        <f t="shared" si="8"/>
        <v>4</v>
      </c>
      <c r="Q26" s="53" t="e">
        <f t="shared" si="9"/>
        <v>#VALUE!</v>
      </c>
      <c r="R26" s="53" t="e">
        <f t="shared" si="10"/>
        <v>#VALUE!</v>
      </c>
      <c r="S26" s="53" t="str">
        <f>IFERROR(VLOOKUP(MID(N26,Q26,R26-Q26),[5]skilldef!$C:$D,2,FALSE),"-") &amp; " / " &amp; IFERROR(VLOOKUP(MID(N26,O26,P26-O26),[5]skilldef!$A:$B,2,FALSE),"-")</f>
        <v>- / -</v>
      </c>
      <c r="T26" s="38" t="str">
        <f t="shared" si="11"/>
        <v>none</v>
      </c>
      <c r="U26" s="53" t="e">
        <f t="shared" si="12"/>
        <v>#VALUE!</v>
      </c>
      <c r="V26" s="53">
        <f t="shared" si="13"/>
        <v>4</v>
      </c>
      <c r="W26" s="53" t="e">
        <f t="shared" si="14"/>
        <v>#VALUE!</v>
      </c>
      <c r="X26" s="53" t="e">
        <f t="shared" si="15"/>
        <v>#VALUE!</v>
      </c>
      <c r="Y26" s="53" t="str">
        <f>IFERROR(VLOOKUP(MID(T26,W26,X26-W26),[5]skilldef!$C:$D,2,FALSE),"-") &amp; " / " &amp; IFERROR(VLOOKUP(MID(T26,U26,V26-U26),[5]skilldef!$A:$B,2,FALSE),"-")</f>
        <v>- / -</v>
      </c>
      <c r="Z26" s="40" t="s">
        <v>284</v>
      </c>
      <c r="AA26" s="42"/>
      <c r="AB26" s="40" t="s">
        <v>320</v>
      </c>
    </row>
    <row r="27" spans="1:28" ht="21" customHeight="1" x14ac:dyDescent="0.15">
      <c r="A27" s="216">
        <v>41005028</v>
      </c>
      <c r="B27" s="213" t="s">
        <v>410</v>
      </c>
      <c r="C27" s="40">
        <v>3</v>
      </c>
      <c r="D27" s="40" t="s">
        <v>286</v>
      </c>
      <c r="E27" s="41" t="s">
        <v>321</v>
      </c>
      <c r="F27" s="41" t="s">
        <v>269</v>
      </c>
      <c r="G27" s="53" t="str">
        <f t="shared" si="17"/>
        <v>[effect:force_change_block, new_block:time_bomb, target:block_all, ignore01:block_positive, ignore02:block_negative, count:5, val:0.3]</v>
      </c>
      <c r="H27" s="53">
        <f t="shared" si="1"/>
        <v>9</v>
      </c>
      <c r="I27" s="53">
        <f t="shared" si="2"/>
        <v>27</v>
      </c>
      <c r="J27" s="53">
        <f t="shared" si="3"/>
        <v>57</v>
      </c>
      <c r="K27" s="53">
        <f t="shared" si="4"/>
        <v>48</v>
      </c>
      <c r="L27" s="53" t="str">
        <f>IFERROR(VLOOKUP(MID(G27,J27,K27-J27),[5]skilldef!$C:$D,2,FALSE),"-") &amp; " / " &amp; IFERROR(VLOOKUP(MID(G27,H27,I27-H27),[5]skilldef!$A:$B,2,FALSE),"-")</f>
        <v>- / -</v>
      </c>
      <c r="M27" s="53" t="str">
        <f t="shared" si="18"/>
        <v>[effect:rush, count:1, val:1.7]</v>
      </c>
      <c r="N27" s="38" t="str">
        <f>IFERROR(LEFT(M27,FIND("],",M27)+S36),M27)</f>
        <v>[effect:rush, count:1, val:1.7]</v>
      </c>
      <c r="O27" s="53">
        <f t="shared" si="7"/>
        <v>9</v>
      </c>
      <c r="P27" s="53">
        <f t="shared" si="8"/>
        <v>13</v>
      </c>
      <c r="Q27" s="53" t="e">
        <f t="shared" si="9"/>
        <v>#VALUE!</v>
      </c>
      <c r="R27" s="53">
        <f t="shared" si="10"/>
        <v>22</v>
      </c>
      <c r="S27" s="53" t="str">
        <f>IFERROR(VLOOKUP(MID(N27,Q27,R27-Q27),[5]skilldef!$C:$D,2,FALSE),"-") &amp; " / " &amp; IFERROR(VLOOKUP(MID(N27,O27,P27-O27),[5]skilldef!$A:$B,2,FALSE),"-")</f>
        <v>- / 連続攻撃</v>
      </c>
      <c r="T27" s="38" t="str">
        <f t="shared" si="11"/>
        <v>none</v>
      </c>
      <c r="U27" s="53" t="e">
        <f t="shared" si="12"/>
        <v>#VALUE!</v>
      </c>
      <c r="V27" s="53">
        <f t="shared" si="13"/>
        <v>4</v>
      </c>
      <c r="W27" s="53" t="e">
        <f t="shared" si="14"/>
        <v>#VALUE!</v>
      </c>
      <c r="X27" s="53" t="e">
        <f t="shared" si="15"/>
        <v>#VALUE!</v>
      </c>
      <c r="Y27" s="53" t="str">
        <f>IFERROR(VLOOKUP(MID(T27,W27,X27-W27),[5]skilldef!$C:$D,2,FALSE),"-") &amp; " / " &amp; IFERROR(VLOOKUP(MID(T27,U27,V27-U27),[5]skilldef!$A:$B,2,FALSE),"-")</f>
        <v>- / -</v>
      </c>
      <c r="Z27" s="40" t="s">
        <v>284</v>
      </c>
      <c r="AA27" s="42"/>
      <c r="AB27" s="40" t="s">
        <v>322</v>
      </c>
    </row>
    <row r="28" spans="1:28" ht="21" customHeight="1" x14ac:dyDescent="0.15">
      <c r="A28" s="216">
        <v>41005029</v>
      </c>
      <c r="B28" s="213" t="s">
        <v>215</v>
      </c>
      <c r="C28" s="40">
        <v>3</v>
      </c>
      <c r="D28" s="40" t="s">
        <v>123</v>
      </c>
      <c r="E28" s="41" t="s">
        <v>216</v>
      </c>
      <c r="F28" s="41" t="s">
        <v>258</v>
      </c>
      <c r="G28" s="53" t="str">
        <f t="shared" si="17"/>
        <v xml:space="preserve">[effect:enhance_enemy, target:myself, turn:-1, status:attack, val:0.5, animation:enemy_enhance_attack]    </v>
      </c>
      <c r="H28" s="53">
        <f t="shared" si="1"/>
        <v>9</v>
      </c>
      <c r="I28" s="53">
        <f t="shared" si="2"/>
        <v>22</v>
      </c>
      <c r="J28" s="53">
        <f t="shared" si="3"/>
        <v>31</v>
      </c>
      <c r="K28" s="53">
        <f t="shared" si="4"/>
        <v>37</v>
      </c>
      <c r="L28" s="53" t="str">
        <f>IFERROR(VLOOKUP(MID(G28,J28,K28-J28),[5]skilldef!$C:$D,2,FALSE),"-") &amp; " / " &amp; IFERROR(VLOOKUP(MID(G28,H28,I28-H28),[5]skilldef!$A:$B,2,FALSE),"-")</f>
        <v>自分自身に / ステータス強化</v>
      </c>
      <c r="M28" s="53" t="str">
        <f t="shared" si="18"/>
        <v>none</v>
      </c>
      <c r="N28" s="38" t="str">
        <f>IFERROR(LEFT(M28,FIND("],",M28)+#REF!),M28)</f>
        <v>none</v>
      </c>
      <c r="O28" s="53" t="e">
        <f t="shared" si="7"/>
        <v>#VALUE!</v>
      </c>
      <c r="P28" s="53">
        <f t="shared" si="8"/>
        <v>4</v>
      </c>
      <c r="Q28" s="53" t="e">
        <f t="shared" si="9"/>
        <v>#VALUE!</v>
      </c>
      <c r="R28" s="53" t="e">
        <f t="shared" si="10"/>
        <v>#VALUE!</v>
      </c>
      <c r="S28" s="53" t="str">
        <f>IFERROR(VLOOKUP(MID(N28,Q28,R28-Q28),[5]skilldef!$C:$D,2,FALSE),"-") &amp; " / " &amp; IFERROR(VLOOKUP(MID(N28,O28,P28-O28),[5]skilldef!$A:$B,2,FALSE),"-")</f>
        <v>- / -</v>
      </c>
      <c r="T28" s="38" t="str">
        <f t="shared" si="11"/>
        <v>none</v>
      </c>
      <c r="U28" s="53" t="e">
        <f t="shared" si="12"/>
        <v>#VALUE!</v>
      </c>
      <c r="V28" s="53">
        <f t="shared" si="13"/>
        <v>4</v>
      </c>
      <c r="W28" s="53" t="e">
        <f t="shared" si="14"/>
        <v>#VALUE!</v>
      </c>
      <c r="X28" s="53" t="e">
        <f t="shared" si="15"/>
        <v>#VALUE!</v>
      </c>
      <c r="Y28" s="53" t="str">
        <f>IFERROR(VLOOKUP(MID(T28,W28,X28-W28),[5]skilldef!$C:$D,2,FALSE),"-") &amp; " / " &amp; IFERROR(VLOOKUP(MID(T28,U28,V28-U28),[5]skilldef!$A:$B,2,FALSE),"-")</f>
        <v>- / -</v>
      </c>
      <c r="Z28" s="40" t="s">
        <v>284</v>
      </c>
      <c r="AA28" s="42"/>
      <c r="AB28" s="40" t="s">
        <v>323</v>
      </c>
    </row>
    <row r="29" spans="1:28" ht="21" customHeight="1" x14ac:dyDescent="0.15">
      <c r="A29" s="216">
        <v>41005030</v>
      </c>
      <c r="B29" s="213" t="s">
        <v>404</v>
      </c>
      <c r="C29" s="40">
        <v>3</v>
      </c>
      <c r="D29" s="40" t="s">
        <v>123</v>
      </c>
      <c r="E29" s="41" t="s">
        <v>217</v>
      </c>
      <c r="F29" s="41" t="s">
        <v>255</v>
      </c>
      <c r="G29" s="53" t="str">
        <f t="shared" si="17"/>
        <v>[effect:force_change_block, new_block:jammer, target:block_all, ignore01:block_positive, ignore02:block_negative, count:8, val:0]</v>
      </c>
      <c r="H29" s="53">
        <f t="shared" si="1"/>
        <v>9</v>
      </c>
      <c r="I29" s="53">
        <f t="shared" si="2"/>
        <v>27</v>
      </c>
      <c r="J29" s="53">
        <f t="shared" si="3"/>
        <v>54</v>
      </c>
      <c r="K29" s="53">
        <f t="shared" si="4"/>
        <v>45</v>
      </c>
      <c r="L29" s="53" t="str">
        <f>IFERROR(VLOOKUP(MID(G29,J29,K29-J29),[5]skilldef!$C:$D,2,FALSE),"-") &amp; " / " &amp; IFERROR(VLOOKUP(MID(G29,H29,I29-H29),[5]skilldef!$A:$B,2,FALSE),"-")</f>
        <v>- / -</v>
      </c>
      <c r="M29" s="53" t="str">
        <f t="shared" si="18"/>
        <v>none</v>
      </c>
      <c r="N29" s="38" t="str">
        <f>IFERROR(LEFT(M29,FIND("],",M29)+#REF!),M29)</f>
        <v>none</v>
      </c>
      <c r="O29" s="53" t="e">
        <f t="shared" si="7"/>
        <v>#VALUE!</v>
      </c>
      <c r="P29" s="53">
        <f t="shared" si="8"/>
        <v>4</v>
      </c>
      <c r="Q29" s="53" t="e">
        <f t="shared" si="9"/>
        <v>#VALUE!</v>
      </c>
      <c r="R29" s="53" t="e">
        <f t="shared" si="10"/>
        <v>#VALUE!</v>
      </c>
      <c r="S29" s="53" t="str">
        <f>IFERROR(VLOOKUP(MID(N29,Q29,R29-Q29),[5]skilldef!$C:$D,2,FALSE),"-") &amp; " / " &amp; IFERROR(VLOOKUP(MID(N29,O29,P29-O29),[5]skilldef!$A:$B,2,FALSE),"-")</f>
        <v>- / -</v>
      </c>
      <c r="T29" s="38" t="str">
        <f t="shared" si="11"/>
        <v>none</v>
      </c>
      <c r="U29" s="53" t="e">
        <f t="shared" si="12"/>
        <v>#VALUE!</v>
      </c>
      <c r="V29" s="53">
        <f t="shared" si="13"/>
        <v>4</v>
      </c>
      <c r="W29" s="53" t="e">
        <f t="shared" si="14"/>
        <v>#VALUE!</v>
      </c>
      <c r="X29" s="53" t="e">
        <f t="shared" si="15"/>
        <v>#VALUE!</v>
      </c>
      <c r="Y29" s="53" t="str">
        <f>IFERROR(VLOOKUP(MID(T29,W29,X29-W29),[5]skilldef!$C:$D,2,FALSE),"-") &amp; " / " &amp; IFERROR(VLOOKUP(MID(T29,U29,V29-U29),[5]skilldef!$A:$B,2,FALSE),"-")</f>
        <v>- / -</v>
      </c>
      <c r="Z29" s="40" t="s">
        <v>284</v>
      </c>
      <c r="AA29" s="42"/>
      <c r="AB29" s="40" t="s">
        <v>317</v>
      </c>
    </row>
    <row r="30" spans="1:28" ht="21" customHeight="1" x14ac:dyDescent="0.15">
      <c r="A30" s="216">
        <v>41005031</v>
      </c>
      <c r="B30" s="213" t="s">
        <v>214</v>
      </c>
      <c r="C30" s="40">
        <v>3</v>
      </c>
      <c r="D30" s="40" t="s">
        <v>123</v>
      </c>
      <c r="E30" s="41" t="s">
        <v>324</v>
      </c>
      <c r="F30" s="41" t="s">
        <v>266</v>
      </c>
      <c r="G30" s="53" t="e">
        <f>IFERROR(LEFT(#REF!,FIND("],",#REF!)),#REF!)</f>
        <v>#REF!</v>
      </c>
      <c r="H30" s="53" t="e">
        <f t="shared" si="1"/>
        <v>#REF!</v>
      </c>
      <c r="I30" s="53" t="e">
        <f t="shared" si="2"/>
        <v>#REF!</v>
      </c>
      <c r="J30" s="53" t="e">
        <f t="shared" si="3"/>
        <v>#REF!</v>
      </c>
      <c r="K30" s="53" t="e">
        <f t="shared" si="4"/>
        <v>#REF!</v>
      </c>
      <c r="L30" s="53" t="str">
        <f>IFERROR(VLOOKUP(MID(G30,J30,K30-J30),[5]skilldef!$C:$D,2,FALSE),"-") &amp; " / " &amp; IFERROR(VLOOKUP(MID(G30,H30,I30-H30),[5]skilldef!$A:$B,2,FALSE),"-")</f>
        <v>- / -</v>
      </c>
      <c r="M30" s="53" t="str">
        <f>IFERROR(RIGHT(#REF!,LEN(#REF!)-FIND("],",#REF!)-1),"none")</f>
        <v>none</v>
      </c>
      <c r="N30" s="38" t="str">
        <f>IFERROR(LEFT(M30,FIND("],",M30)+#REF!),M30)</f>
        <v>none</v>
      </c>
      <c r="O30" s="53" t="e">
        <f t="shared" si="7"/>
        <v>#VALUE!</v>
      </c>
      <c r="P30" s="53">
        <f t="shared" si="8"/>
        <v>4</v>
      </c>
      <c r="Q30" s="53" t="e">
        <f t="shared" si="9"/>
        <v>#VALUE!</v>
      </c>
      <c r="R30" s="53" t="e">
        <f t="shared" si="10"/>
        <v>#VALUE!</v>
      </c>
      <c r="S30" s="53" t="str">
        <f>IFERROR(VLOOKUP(MID(N30,Q30,R30-Q30),[5]skilldef!$C:$D,2,FALSE),"-") &amp; " / " &amp; IFERROR(VLOOKUP(MID(N30,O30,P30-O30),[5]skilldef!$A:$B,2,FALSE),"-")</f>
        <v>- / -</v>
      </c>
      <c r="T30" s="38" t="str">
        <f t="shared" si="11"/>
        <v>none</v>
      </c>
      <c r="U30" s="53" t="e">
        <f t="shared" si="12"/>
        <v>#VALUE!</v>
      </c>
      <c r="V30" s="53">
        <f t="shared" si="13"/>
        <v>4</v>
      </c>
      <c r="W30" s="53" t="e">
        <f t="shared" si="14"/>
        <v>#VALUE!</v>
      </c>
      <c r="X30" s="53" t="e">
        <f t="shared" si="15"/>
        <v>#VALUE!</v>
      </c>
      <c r="Y30" s="53" t="str">
        <f>IFERROR(VLOOKUP(MID(T30,W30,X30-W30),[5]skilldef!$C:$D,2,FALSE),"-") &amp; " / " &amp; IFERROR(VLOOKUP(MID(T30,U30,V30-U30),[5]skilldef!$A:$B,2,FALSE),"-")</f>
        <v>- / -</v>
      </c>
      <c r="Z30" s="40" t="s">
        <v>284</v>
      </c>
      <c r="AA30" s="42"/>
      <c r="AB30" s="40" t="s">
        <v>317</v>
      </c>
    </row>
    <row r="31" spans="1:28" ht="21" customHeight="1" x14ac:dyDescent="0.15">
      <c r="A31" s="216">
        <v>41005032</v>
      </c>
      <c r="B31" s="213" t="s">
        <v>325</v>
      </c>
      <c r="C31" s="40">
        <v>3</v>
      </c>
      <c r="D31" s="40" t="s">
        <v>286</v>
      </c>
      <c r="E31" s="41" t="s">
        <v>218</v>
      </c>
      <c r="F31" s="41" t="s">
        <v>270</v>
      </c>
      <c r="G31" s="53" t="str">
        <f t="shared" ref="G31:G40" si="19">IFERROR(LEFT(B31,FIND("],",B31)),B31)</f>
        <v>[effect:rush, count:1, val:0.4]</v>
      </c>
      <c r="H31" s="53">
        <f t="shared" si="1"/>
        <v>9</v>
      </c>
      <c r="I31" s="53">
        <f t="shared" si="2"/>
        <v>13</v>
      </c>
      <c r="J31" s="53" t="e">
        <f t="shared" si="3"/>
        <v>#VALUE!</v>
      </c>
      <c r="K31" s="53">
        <f t="shared" si="4"/>
        <v>22</v>
      </c>
      <c r="L31" s="53" t="str">
        <f>IFERROR(VLOOKUP(MID(G31,J31,K31-J31),[5]skilldef!$C:$D,2,FALSE),"-") &amp; " / " &amp; IFERROR(VLOOKUP(MID(G31,H31,I31-H31),[5]skilldef!$A:$B,2,FALSE),"-")</f>
        <v>- / 連続攻撃</v>
      </c>
      <c r="M31" s="53" t="str">
        <f t="shared" ref="M31:M40" si="20">IFERROR(RIGHT(B31,LEN(B31)-FIND("],",B31)-1),"none")</f>
        <v>[effect:enhance_enemy, target:myself, turn:3, status:defense, val:7500, calc:add, animation:enemy_enhance_enemy]</v>
      </c>
      <c r="N31" s="38" t="str">
        <f>IFERROR(LEFT(M31,FIND("],",M31)+#REF!),M31)</f>
        <v>[effect:enhance_enemy, target:myself, turn:3, status:defense, val:7500, calc:add, animation:enemy_enhance_enemy]</v>
      </c>
      <c r="O31" s="53">
        <f t="shared" si="7"/>
        <v>9</v>
      </c>
      <c r="P31" s="53">
        <f t="shared" si="8"/>
        <v>22</v>
      </c>
      <c r="Q31" s="53">
        <f t="shared" si="9"/>
        <v>31</v>
      </c>
      <c r="R31" s="53">
        <f t="shared" si="10"/>
        <v>37</v>
      </c>
      <c r="S31" s="53" t="str">
        <f>IFERROR(VLOOKUP(MID(N31,Q31,R31-Q31),[5]skilldef!$C:$D,2,FALSE),"-") &amp; " / " &amp; IFERROR(VLOOKUP(MID(N31,O31,P31-O31),[5]skilldef!$A:$B,2,FALSE),"-")</f>
        <v>自分自身に / ステータス強化</v>
      </c>
      <c r="T31" s="38" t="str">
        <f t="shared" si="11"/>
        <v>none</v>
      </c>
      <c r="U31" s="53" t="e">
        <f t="shared" si="12"/>
        <v>#VALUE!</v>
      </c>
      <c r="V31" s="53">
        <f t="shared" si="13"/>
        <v>4</v>
      </c>
      <c r="W31" s="53" t="e">
        <f t="shared" si="14"/>
        <v>#VALUE!</v>
      </c>
      <c r="X31" s="53" t="e">
        <f t="shared" si="15"/>
        <v>#VALUE!</v>
      </c>
      <c r="Y31" s="53" t="str">
        <f>IFERROR(VLOOKUP(MID(T31,W31,X31-W31),[5]skilldef!$C:$D,2,FALSE),"-") &amp; " / " &amp; IFERROR(VLOOKUP(MID(T31,U31,V31-U31),[5]skilldef!$A:$B,2,FALSE),"-")</f>
        <v>- / -</v>
      </c>
      <c r="Z31" s="40" t="s">
        <v>284</v>
      </c>
      <c r="AA31" s="42"/>
      <c r="AB31" s="40" t="s">
        <v>303</v>
      </c>
    </row>
    <row r="32" spans="1:28" ht="21" customHeight="1" x14ac:dyDescent="0.15">
      <c r="A32" s="216">
        <v>41005033</v>
      </c>
      <c r="B32" s="213" t="s">
        <v>326</v>
      </c>
      <c r="C32" s="40">
        <v>3</v>
      </c>
      <c r="D32" s="40" t="s">
        <v>286</v>
      </c>
      <c r="E32" s="41" t="s">
        <v>219</v>
      </c>
      <c r="F32" s="41" t="s">
        <v>271</v>
      </c>
      <c r="G32" s="53" t="str">
        <f t="shared" si="19"/>
        <v>[effect:rush, count:2, val:0.4]</v>
      </c>
      <c r="H32" s="53">
        <f t="shared" si="1"/>
        <v>9</v>
      </c>
      <c r="I32" s="53">
        <f t="shared" si="2"/>
        <v>13</v>
      </c>
      <c r="J32" s="53" t="e">
        <f t="shared" si="3"/>
        <v>#VALUE!</v>
      </c>
      <c r="K32" s="53">
        <f t="shared" si="4"/>
        <v>22</v>
      </c>
      <c r="L32" s="53" t="str">
        <f>IFERROR(VLOOKUP(MID(G32,J32,K32-J32),[5]skilldef!$C:$D,2,FALSE),"-") &amp; " / " &amp; IFERROR(VLOOKUP(MID(G32,H32,I32-H32),[5]skilldef!$A:$B,2,FALSE),"-")</f>
        <v>- / 連続攻撃</v>
      </c>
      <c r="M32" s="53" t="str">
        <f t="shared" si="20"/>
        <v>[effect:hungup, target:unit_all, turn:2, rate:1, animation:hungup01]</v>
      </c>
      <c r="N32" s="38" t="str">
        <f>IFERROR(LEFT(M32,FIND("],",M32)+#REF!),M32)</f>
        <v>[effect:hungup, target:unit_all, turn:2, rate:1, animation:hungup01]</v>
      </c>
      <c r="O32" s="53">
        <f t="shared" si="7"/>
        <v>9</v>
      </c>
      <c r="P32" s="53">
        <f t="shared" si="8"/>
        <v>15</v>
      </c>
      <c r="Q32" s="53">
        <f t="shared" si="9"/>
        <v>24</v>
      </c>
      <c r="R32" s="53">
        <f t="shared" si="10"/>
        <v>32</v>
      </c>
      <c r="S32" s="53" t="str">
        <f>IFERROR(VLOOKUP(MID(N32,Q32,R32-Q32),[5]skilldef!$C:$D,2,FALSE),"-") &amp; " / " &amp; IFERROR(VLOOKUP(MID(N32,O32,P32-O32),[5]skilldef!$A:$B,2,FALSE),"-")</f>
        <v>味方全体に / ハングアップ</v>
      </c>
      <c r="T32" s="38" t="str">
        <f t="shared" si="11"/>
        <v>none</v>
      </c>
      <c r="U32" s="53" t="e">
        <f t="shared" si="12"/>
        <v>#VALUE!</v>
      </c>
      <c r="V32" s="53">
        <f t="shared" si="13"/>
        <v>4</v>
      </c>
      <c r="W32" s="53" t="e">
        <f t="shared" si="14"/>
        <v>#VALUE!</v>
      </c>
      <c r="X32" s="53" t="e">
        <f t="shared" si="15"/>
        <v>#VALUE!</v>
      </c>
      <c r="Y32" s="53" t="str">
        <f>IFERROR(VLOOKUP(MID(T32,W32,X32-W32),[5]skilldef!$C:$D,2,FALSE),"-") &amp; " / " &amp; IFERROR(VLOOKUP(MID(T32,U32,V32-U32),[5]skilldef!$A:$B,2,FALSE),"-")</f>
        <v>- / -</v>
      </c>
      <c r="Z32" s="40" t="s">
        <v>284</v>
      </c>
      <c r="AA32" s="42"/>
      <c r="AB32" s="40" t="s">
        <v>303</v>
      </c>
    </row>
    <row r="33" spans="1:28" ht="21" customHeight="1" x14ac:dyDescent="0.15">
      <c r="A33" s="228">
        <v>41005020</v>
      </c>
      <c r="B33" s="213" t="s">
        <v>409</v>
      </c>
      <c r="C33" s="40">
        <v>3</v>
      </c>
      <c r="D33" s="40" t="s">
        <v>286</v>
      </c>
      <c r="E33" s="41" t="s">
        <v>220</v>
      </c>
      <c r="F33" s="41" t="s">
        <v>272</v>
      </c>
      <c r="G33" s="53" t="str">
        <f>IFERROR(LEFT(B33,FIND("],",B33)),B33)</f>
        <v>[effect:rush, count:3, val:0.4]</v>
      </c>
      <c r="H33" s="53">
        <f>FIND("effect:",G33)+7</f>
        <v>9</v>
      </c>
      <c r="I33" s="53">
        <f>IFERROR(FIND(",",G33),LEN(G33))</f>
        <v>13</v>
      </c>
      <c r="J33" s="53" t="e">
        <f>FIND("target:",G33)+7</f>
        <v>#VALUE!</v>
      </c>
      <c r="K33" s="53">
        <f>FIND(",",G33,I33+1)</f>
        <v>22</v>
      </c>
      <c r="L33" s="53" t="str">
        <f>IFERROR(VLOOKUP(MID(G33,J33,K33-J33),[5]skilldef!$C:$D,2,FALSE),"-") &amp; " / " &amp; IFERROR(VLOOKUP(MID(G33,H33,I33-H33),[5]skilldef!$A:$B,2,FALSE),"-")</f>
        <v>- / 連続攻撃</v>
      </c>
      <c r="M33" s="53" t="str">
        <f>IFERROR(RIGHT(B33,LEN(B33)-FIND("],",B33)-1),"none")</f>
        <v>[effect:force_change_block, new_block:jammer, target:block_all, ignore01:block_positive, ignore02:block_negative, count:10, val:0]</v>
      </c>
      <c r="N33" s="38" t="str">
        <f>IFERROR(LEFT(M33,FIND("],",M33)+S28),M33)</f>
        <v>[effect:force_change_block, new_block:jammer, target:block_all, ignore01:block_positive, ignore02:block_negative, count:10, val:0]</v>
      </c>
      <c r="O33" s="53">
        <f>FIND("effect:",N33)+7</f>
        <v>9</v>
      </c>
      <c r="P33" s="53">
        <f>IFERROR(FIND(",",N33),LEN(N33))</f>
        <v>27</v>
      </c>
      <c r="Q33" s="53">
        <f>FIND("target:",N33)+7</f>
        <v>54</v>
      </c>
      <c r="R33" s="53">
        <f>FIND(",",N33,P33+1)</f>
        <v>45</v>
      </c>
      <c r="S33" s="53" t="str">
        <f>IFERROR(VLOOKUP(MID(N33,Q33,R33-Q33),[5]skilldef!$C:$D,2,FALSE),"-") &amp; " / " &amp; IFERROR(VLOOKUP(MID(N33,O33,P33-O33),[5]skilldef!$A:$B,2,FALSE),"-")</f>
        <v>- / -</v>
      </c>
      <c r="T33" s="38" t="str">
        <f>IFERROR(RIGHT(M33,LEN(M33)-FIND("],",M33)-1),"none")</f>
        <v>none</v>
      </c>
      <c r="U33" s="53" t="e">
        <f>FIND("effect:",T33)+7</f>
        <v>#VALUE!</v>
      </c>
      <c r="V33" s="53">
        <f>IFERROR(FIND(",",T33),LEN(T33))</f>
        <v>4</v>
      </c>
      <c r="W33" s="53" t="e">
        <f>FIND("target:",T33)+7</f>
        <v>#VALUE!</v>
      </c>
      <c r="X33" s="53" t="e">
        <f>FIND(",",T33,V33+1)</f>
        <v>#VALUE!</v>
      </c>
      <c r="Y33" s="53" t="str">
        <f>IFERROR(VLOOKUP(MID(T33,W33,X33-W33),[5]skilldef!$C:$D,2,FALSE),"-") &amp; " / " &amp; IFERROR(VLOOKUP(MID(T33,U33,V33-U33),[5]skilldef!$A:$B,2,FALSE),"-")</f>
        <v>- / -</v>
      </c>
      <c r="Z33" s="40" t="s">
        <v>284</v>
      </c>
      <c r="AA33" s="42"/>
      <c r="AB33" s="40" t="s">
        <v>303</v>
      </c>
    </row>
    <row r="34" spans="1:28" ht="21" customHeight="1" x14ac:dyDescent="0.15">
      <c r="A34" s="216">
        <v>41005034</v>
      </c>
      <c r="B34" s="213" t="s">
        <v>327</v>
      </c>
      <c r="C34" s="40">
        <v>3</v>
      </c>
      <c r="D34" s="40" t="s">
        <v>286</v>
      </c>
      <c r="E34" s="41" t="s">
        <v>221</v>
      </c>
      <c r="F34" s="41" t="s">
        <v>273</v>
      </c>
      <c r="G34" s="53" t="str">
        <f t="shared" si="19"/>
        <v>[effect:rush, count:4, val:0.4]</v>
      </c>
      <c r="H34" s="53">
        <f t="shared" si="1"/>
        <v>9</v>
      </c>
      <c r="I34" s="53">
        <f t="shared" si="2"/>
        <v>13</v>
      </c>
      <c r="J34" s="53" t="e">
        <f t="shared" si="3"/>
        <v>#VALUE!</v>
      </c>
      <c r="K34" s="53">
        <f t="shared" si="4"/>
        <v>22</v>
      </c>
      <c r="L34" s="53" t="str">
        <f>IFERROR(VLOOKUP(MID(G34,J34,K34-J34),[5]skilldef!$C:$D,2,FALSE),"-") &amp; " / " &amp; IFERROR(VLOOKUP(MID(G34,H34,I34-H34),[5]skilldef!$A:$B,2,FALSE),"-")</f>
        <v>- / 連続攻撃</v>
      </c>
      <c r="M34" s="53" t="str">
        <f t="shared" si="20"/>
        <v>[effect:degrade_unit, target:unit_all, turn:-1, status:attack, val:0.9, calc:mul]</v>
      </c>
      <c r="N34" s="38" t="str">
        <f>IFERROR(LEFT(M34,FIND("],",M34)+#REF!),M34)</f>
        <v>[effect:degrade_unit, target:unit_all, turn:-1, status:attack, val:0.9, calc:mul]</v>
      </c>
      <c r="O34" s="53">
        <f t="shared" si="7"/>
        <v>9</v>
      </c>
      <c r="P34" s="53">
        <f t="shared" si="8"/>
        <v>21</v>
      </c>
      <c r="Q34" s="53">
        <f t="shared" si="9"/>
        <v>30</v>
      </c>
      <c r="R34" s="53">
        <f t="shared" si="10"/>
        <v>38</v>
      </c>
      <c r="S34" s="53" t="str">
        <f>IFERROR(VLOOKUP(MID(N34,Q34,R34-Q34),[5]skilldef!$C:$D,2,FALSE),"-") &amp; " / " &amp; IFERROR(VLOOKUP(MID(N34,O34,P34-O34),[5]skilldef!$A:$B,2,FALSE),"-")</f>
        <v>味方全体に / ステータスDOWN</v>
      </c>
      <c r="T34" s="38" t="str">
        <f t="shared" si="11"/>
        <v>none</v>
      </c>
      <c r="U34" s="53" t="e">
        <f t="shared" si="12"/>
        <v>#VALUE!</v>
      </c>
      <c r="V34" s="53">
        <f t="shared" si="13"/>
        <v>4</v>
      </c>
      <c r="W34" s="53" t="e">
        <f t="shared" si="14"/>
        <v>#VALUE!</v>
      </c>
      <c r="X34" s="53" t="e">
        <f t="shared" si="15"/>
        <v>#VALUE!</v>
      </c>
      <c r="Y34" s="53" t="str">
        <f>IFERROR(VLOOKUP(MID(T34,W34,X34-W34),[5]skilldef!$C:$D,2,FALSE),"-") &amp; " / " &amp; IFERROR(VLOOKUP(MID(T34,U34,V34-U34),[5]skilldef!$A:$B,2,FALSE),"-")</f>
        <v>- / -</v>
      </c>
      <c r="Z34" s="40" t="s">
        <v>284</v>
      </c>
      <c r="AA34" s="42"/>
      <c r="AB34" s="40" t="s">
        <v>303</v>
      </c>
    </row>
    <row r="35" spans="1:28" ht="21" customHeight="1" x14ac:dyDescent="0.15">
      <c r="A35" s="216">
        <v>41005035</v>
      </c>
      <c r="B35" s="213" t="s">
        <v>400</v>
      </c>
      <c r="C35" s="40">
        <v>3</v>
      </c>
      <c r="D35" s="40" t="s">
        <v>286</v>
      </c>
      <c r="E35" s="41" t="s">
        <v>222</v>
      </c>
      <c r="F35" s="41" t="s">
        <v>392</v>
      </c>
      <c r="G35" s="53" t="str">
        <f t="shared" si="19"/>
        <v>[effect:rush, count:5, val:0.4]</v>
      </c>
      <c r="H35" s="53">
        <f t="shared" si="1"/>
        <v>9</v>
      </c>
      <c r="I35" s="53">
        <f t="shared" si="2"/>
        <v>13</v>
      </c>
      <c r="J35" s="53" t="e">
        <f t="shared" si="3"/>
        <v>#VALUE!</v>
      </c>
      <c r="K35" s="53">
        <f t="shared" si="4"/>
        <v>22</v>
      </c>
      <c r="L35" s="53" t="str">
        <f>IFERROR(VLOOKUP(MID(G35,J35,K35-J35),[5]skilldef!$C:$D,2,FALSE),"-") &amp; " / " &amp; IFERROR(VLOOKUP(MID(G35,H35,I35-H35),[5]skilldef!$A:$B,2,FALSE),"-")</f>
        <v>- / 連続攻撃</v>
      </c>
      <c r="M35" s="53" t="str">
        <f t="shared" si="20"/>
        <v>[effect:degrade_fever, val:300, animation:fevergauge_down]</v>
      </c>
      <c r="N35" s="38" t="str">
        <f>IFERROR(LEFT(M35,FIND("],",M35)+S37),M35)</f>
        <v>[effect:degrade_fever, val:300, animation:fevergauge_down]</v>
      </c>
      <c r="O35" s="53">
        <f t="shared" si="7"/>
        <v>9</v>
      </c>
      <c r="P35" s="53">
        <f t="shared" si="8"/>
        <v>22</v>
      </c>
      <c r="Q35" s="53" t="e">
        <f t="shared" si="9"/>
        <v>#VALUE!</v>
      </c>
      <c r="R35" s="53">
        <f t="shared" si="10"/>
        <v>31</v>
      </c>
      <c r="S35" s="53" t="str">
        <f>IFERROR(VLOOKUP(MID(N35,Q35,R35-Q35),[5]skilldef!$C:$D,2,FALSE),"-") &amp; " / " &amp; IFERROR(VLOOKUP(MID(N35,O35,P35-O35),[5]skilldef!$A:$B,2,FALSE),"-")</f>
        <v>- / フィーバーゲージ減少</v>
      </c>
      <c r="T35" s="38" t="str">
        <f t="shared" si="11"/>
        <v>none</v>
      </c>
      <c r="U35" s="53" t="e">
        <f t="shared" si="12"/>
        <v>#VALUE!</v>
      </c>
      <c r="V35" s="53">
        <f t="shared" si="13"/>
        <v>4</v>
      </c>
      <c r="W35" s="53" t="e">
        <f t="shared" si="14"/>
        <v>#VALUE!</v>
      </c>
      <c r="X35" s="53" t="e">
        <f t="shared" si="15"/>
        <v>#VALUE!</v>
      </c>
      <c r="Y35" s="53" t="str">
        <f>IFERROR(VLOOKUP(MID(T35,W35,X35-W35),[5]skilldef!$C:$D,2,FALSE),"-") &amp; " / " &amp; IFERROR(VLOOKUP(MID(T35,U35,V35-U35),[5]skilldef!$A:$B,2,FALSE),"-")</f>
        <v>- / -</v>
      </c>
      <c r="Z35" s="40" t="s">
        <v>284</v>
      </c>
      <c r="AA35" s="42"/>
      <c r="AB35" s="40" t="s">
        <v>303</v>
      </c>
    </row>
    <row r="36" spans="1:28" ht="21" customHeight="1" x14ac:dyDescent="0.15">
      <c r="A36" s="216">
        <v>41005036</v>
      </c>
      <c r="B36" s="213" t="s">
        <v>328</v>
      </c>
      <c r="C36" s="40">
        <v>3</v>
      </c>
      <c r="D36" s="40" t="s">
        <v>286</v>
      </c>
      <c r="E36" s="41" t="s">
        <v>223</v>
      </c>
      <c r="F36" s="41" t="s">
        <v>275</v>
      </c>
      <c r="G36" s="53" t="str">
        <f t="shared" si="19"/>
        <v>[effect:degrade_unit, target:unit_all, turn:3, status:defense, val:1, calc:mul]</v>
      </c>
      <c r="H36" s="53">
        <f t="shared" si="1"/>
        <v>9</v>
      </c>
      <c r="I36" s="53">
        <f t="shared" si="2"/>
        <v>21</v>
      </c>
      <c r="J36" s="53">
        <f t="shared" si="3"/>
        <v>30</v>
      </c>
      <c r="K36" s="53">
        <f t="shared" si="4"/>
        <v>38</v>
      </c>
      <c r="L36" s="53" t="str">
        <f>IFERROR(VLOOKUP(MID(G36,J36,K36-J36),[5]skilldef!$C:$D,2,FALSE),"-") &amp; " / " &amp; IFERROR(VLOOKUP(MID(G36,H36,I36-H36),[5]skilldef!$A:$B,2,FALSE),"-")</f>
        <v>味方全体に / ステータスDOWN</v>
      </c>
      <c r="M36" s="53" t="str">
        <f t="shared" si="20"/>
        <v>[effect:rush, count:6, val:0.4]</v>
      </c>
      <c r="N36" s="38" t="str">
        <f>IFERROR(LEFT(M36,FIND("],",M36)+S38),M36)</f>
        <v>[effect:rush, count:6, val:0.4]</v>
      </c>
      <c r="O36" s="53">
        <f t="shared" si="7"/>
        <v>9</v>
      </c>
      <c r="P36" s="53">
        <f t="shared" si="8"/>
        <v>13</v>
      </c>
      <c r="Q36" s="53" t="e">
        <f t="shared" si="9"/>
        <v>#VALUE!</v>
      </c>
      <c r="R36" s="53">
        <f t="shared" si="10"/>
        <v>22</v>
      </c>
      <c r="S36" s="53" t="str">
        <f>IFERROR(VLOOKUP(MID(N36,Q36,R36-Q36),[5]skilldef!$C:$D,2,FALSE),"-") &amp; " / " &amp; IFERROR(VLOOKUP(MID(N36,O36,P36-O36),[5]skilldef!$A:$B,2,FALSE),"-")</f>
        <v>- / 連続攻撃</v>
      </c>
      <c r="T36" s="38" t="str">
        <f t="shared" si="11"/>
        <v>none</v>
      </c>
      <c r="U36" s="53" t="e">
        <f t="shared" si="12"/>
        <v>#VALUE!</v>
      </c>
      <c r="V36" s="53">
        <f t="shared" si="13"/>
        <v>4</v>
      </c>
      <c r="W36" s="53" t="e">
        <f t="shared" si="14"/>
        <v>#VALUE!</v>
      </c>
      <c r="X36" s="53" t="e">
        <f t="shared" si="15"/>
        <v>#VALUE!</v>
      </c>
      <c r="Y36" s="53" t="str">
        <f>IFERROR(VLOOKUP(MID(T36,W36,X36-W36),[5]skilldef!$C:$D,2,FALSE),"-") &amp; " / " &amp; IFERROR(VLOOKUP(MID(T36,U36,V36-U36),[5]skilldef!$A:$B,2,FALSE),"-")</f>
        <v>- / -</v>
      </c>
      <c r="Z36" s="40" t="s">
        <v>284</v>
      </c>
      <c r="AA36" s="42"/>
      <c r="AB36" s="40" t="s">
        <v>303</v>
      </c>
    </row>
    <row r="37" spans="1:28" ht="21" customHeight="1" x14ac:dyDescent="0.15">
      <c r="A37" s="216">
        <v>41005044</v>
      </c>
      <c r="B37" s="213" t="s">
        <v>395</v>
      </c>
      <c r="C37" s="40">
        <v>3</v>
      </c>
      <c r="D37" s="40" t="s">
        <v>286</v>
      </c>
      <c r="E37" s="41" t="s">
        <v>224</v>
      </c>
      <c r="F37" s="41" t="s">
        <v>396</v>
      </c>
      <c r="G37" s="53" t="str">
        <f>IFERROR(LEFT(B37,FIND("],",B37)),B37)</f>
        <v>[effect:degrade_fever, val:500, animation:fevergauge_down]</v>
      </c>
      <c r="H37" s="53">
        <f t="shared" si="1"/>
        <v>9</v>
      </c>
      <c r="I37" s="53">
        <f t="shared" si="2"/>
        <v>22</v>
      </c>
      <c r="J37" s="53" t="e">
        <f t="shared" si="3"/>
        <v>#VALUE!</v>
      </c>
      <c r="K37" s="53">
        <f t="shared" si="4"/>
        <v>31</v>
      </c>
      <c r="L37" s="53" t="str">
        <f>IFERROR(VLOOKUP(MID(G37,J37,K37-J37),[5]skilldef!$C:$D,2,FALSE),"-") &amp; " / " &amp; IFERROR(VLOOKUP(MID(G37,H37,I37-H37),[5]skilldef!$A:$B,2,FALSE),"-")</f>
        <v>- / フィーバーゲージ減少</v>
      </c>
      <c r="M37" s="53" t="str">
        <f t="shared" si="20"/>
        <v>[effect:enhance_enemy, target:myself, turn:3, status:defense, val:3700, calc:add, animation:enemy_enhance_enemy],[effect:tolerance,target:myself,turn:-1,tolerance_effect:all,count:-1,animation:enemy_tolerance]</v>
      </c>
      <c r="N37" s="38" t="str">
        <f>IFERROR(LEFT(M37,FIND("],",M37)+S46),M37)</f>
        <v>[effect:enhance_enemy, target:myself, turn:3, status:defense, val:3700, calc:add, animation:enemy_enhance_enemy],[effect:tolerance,target:myself,turn:-1,tolerance_effect:all,count:-1,animation:enemy_tolerance]</v>
      </c>
      <c r="O37" s="53">
        <f t="shared" si="7"/>
        <v>9</v>
      </c>
      <c r="P37" s="53">
        <f t="shared" si="8"/>
        <v>22</v>
      </c>
      <c r="Q37" s="53">
        <f t="shared" si="9"/>
        <v>31</v>
      </c>
      <c r="R37" s="53">
        <f t="shared" si="10"/>
        <v>37</v>
      </c>
      <c r="S37" s="53" t="str">
        <f>IFERROR(VLOOKUP(MID(N37,Q37,R37-Q37),[5]skilldef!$C:$D,2,FALSE),"-") &amp; " / " &amp; IFERROR(VLOOKUP(MID(N37,O37,P37-O37),[5]skilldef!$A:$B,2,FALSE),"-")</f>
        <v>自分自身に / ステータス強化</v>
      </c>
      <c r="T37" s="38" t="str">
        <f t="shared" si="11"/>
        <v>[effect:tolerance,target:myself,turn:-1,tolerance_effect:all,count:-1,animation:enemy_tolerance]</v>
      </c>
      <c r="U37" s="53">
        <f t="shared" si="12"/>
        <v>9</v>
      </c>
      <c r="V37" s="53">
        <f t="shared" si="13"/>
        <v>18</v>
      </c>
      <c r="W37" s="53">
        <f t="shared" si="14"/>
        <v>26</v>
      </c>
      <c r="X37" s="53">
        <f t="shared" si="15"/>
        <v>32</v>
      </c>
      <c r="Y37" s="53" t="str">
        <f>IFERROR(VLOOKUP(MID(T37,W37,X37-W37),[5]skilldef!$C:$D,2,FALSE),"-") &amp; " / " &amp; IFERROR(VLOOKUP(MID(T37,U37,V37-U37),[5]skilldef!$A:$B,2,FALSE),"-")</f>
        <v>自分自身に / 状態異常耐性</v>
      </c>
      <c r="Z37" s="40" t="s">
        <v>284</v>
      </c>
      <c r="AA37" s="42"/>
      <c r="AB37" s="40" t="s">
        <v>303</v>
      </c>
    </row>
    <row r="38" spans="1:28" ht="21" customHeight="1" x14ac:dyDescent="0.15">
      <c r="A38" s="216">
        <v>41005045</v>
      </c>
      <c r="B38" s="213" t="s">
        <v>407</v>
      </c>
      <c r="C38" s="40">
        <v>3</v>
      </c>
      <c r="D38" s="40" t="s">
        <v>286</v>
      </c>
      <c r="E38" s="41" t="s">
        <v>381</v>
      </c>
      <c r="F38" s="41" t="s">
        <v>276</v>
      </c>
      <c r="G38" s="53" t="str">
        <f t="shared" si="19"/>
        <v>[effect:force_change_block, new_block:jammer, target:block_all, ignore01:block_positive, ignore02:block_negative, count:4, val:0]</v>
      </c>
      <c r="H38" s="53">
        <f t="shared" si="1"/>
        <v>9</v>
      </c>
      <c r="I38" s="53">
        <f t="shared" si="2"/>
        <v>27</v>
      </c>
      <c r="J38" s="53">
        <f t="shared" si="3"/>
        <v>54</v>
      </c>
      <c r="K38" s="53">
        <f t="shared" si="4"/>
        <v>45</v>
      </c>
      <c r="L38" s="53" t="str">
        <f>IFERROR(VLOOKUP(MID(G38,J38,K38-J38),[5]skilldef!$C:$D,2,FALSE),"-") &amp; " / " &amp; IFERROR(VLOOKUP(MID(G38,H38,I38-H38),[5]skilldef!$A:$B,2,FALSE),"-")</f>
        <v>- / -</v>
      </c>
      <c r="M38" s="53" t="str">
        <f t="shared" si="20"/>
        <v>[effect:critical, val:1.8]</v>
      </c>
      <c r="N38" s="38" t="str">
        <f>IFERROR(LEFT(M38,FIND("],",M38)+S46),M38)</f>
        <v>[effect:critical, val:1.8]</v>
      </c>
      <c r="O38" s="53">
        <f t="shared" si="7"/>
        <v>9</v>
      </c>
      <c r="P38" s="53">
        <f t="shared" si="8"/>
        <v>17</v>
      </c>
      <c r="Q38" s="53" t="e">
        <f t="shared" si="9"/>
        <v>#VALUE!</v>
      </c>
      <c r="R38" s="53" t="e">
        <f t="shared" si="10"/>
        <v>#VALUE!</v>
      </c>
      <c r="S38" s="53" t="str">
        <f>IFERROR(VLOOKUP(MID(N38,Q38,R38-Q38),[5]skilldef!$C:$D,2,FALSE),"-") &amp; " / " &amp; IFERROR(VLOOKUP(MID(N38,O38,P38-O38),[5]skilldef!$A:$B,2,FALSE),"-")</f>
        <v>- / 大攻撃</v>
      </c>
      <c r="T38" s="38" t="str">
        <f t="shared" si="11"/>
        <v>none</v>
      </c>
      <c r="U38" s="53" t="e">
        <f t="shared" si="12"/>
        <v>#VALUE!</v>
      </c>
      <c r="V38" s="53">
        <f t="shared" si="13"/>
        <v>4</v>
      </c>
      <c r="W38" s="53" t="e">
        <f t="shared" si="14"/>
        <v>#VALUE!</v>
      </c>
      <c r="X38" s="53" t="e">
        <f t="shared" si="15"/>
        <v>#VALUE!</v>
      </c>
      <c r="Y38" s="53" t="str">
        <f>IFERROR(VLOOKUP(MID(T38,W38,X38-W38),[5]skilldef!$C:$D,2,FALSE),"-") &amp; " / " &amp; IFERROR(VLOOKUP(MID(T38,U38,V38-U38),[5]skilldef!$A:$B,2,FALSE),"-")</f>
        <v>- / -</v>
      </c>
      <c r="Z38" s="40" t="s">
        <v>284</v>
      </c>
      <c r="AA38" s="42"/>
      <c r="AB38" s="40" t="s">
        <v>303</v>
      </c>
    </row>
    <row r="39" spans="1:28" ht="21" customHeight="1" x14ac:dyDescent="0.15">
      <c r="A39" s="216">
        <v>41005046</v>
      </c>
      <c r="B39" s="213" t="s">
        <v>330</v>
      </c>
      <c r="C39" s="40">
        <v>3</v>
      </c>
      <c r="D39" s="40" t="s">
        <v>286</v>
      </c>
      <c r="E39" s="41" t="s">
        <v>225</v>
      </c>
      <c r="F39" s="41" t="s">
        <v>373</v>
      </c>
      <c r="G39" s="53" t="str">
        <f t="shared" si="19"/>
        <v>[effect:rush, count:1, val:0.4]</v>
      </c>
      <c r="H39" s="53">
        <f t="shared" si="1"/>
        <v>9</v>
      </c>
      <c r="I39" s="53">
        <f t="shared" si="2"/>
        <v>13</v>
      </c>
      <c r="J39" s="53" t="e">
        <f t="shared" si="3"/>
        <v>#VALUE!</v>
      </c>
      <c r="K39" s="53">
        <f t="shared" si="4"/>
        <v>22</v>
      </c>
      <c r="L39" s="53" t="str">
        <f>IFERROR(VLOOKUP(MID(G39,J39,K39-J39),[5]skilldef!$C:$D,2,FALSE),"-") &amp; " / " &amp; IFERROR(VLOOKUP(MID(G39,H39,I39-H39),[5]skilldef!$A:$B,2,FALSE),"-")</f>
        <v>- / 連続攻撃</v>
      </c>
      <c r="M39" s="53" t="str">
        <f t="shared" si="20"/>
        <v>none</v>
      </c>
      <c r="N39" s="38" t="str">
        <f>IFERROR(LEFT(M39,FIND("],",M39)+#REF!),M39)</f>
        <v>none</v>
      </c>
      <c r="O39" s="53" t="e">
        <f t="shared" si="7"/>
        <v>#VALUE!</v>
      </c>
      <c r="P39" s="53">
        <f t="shared" si="8"/>
        <v>4</v>
      </c>
      <c r="Q39" s="53" t="e">
        <f t="shared" si="9"/>
        <v>#VALUE!</v>
      </c>
      <c r="R39" s="53" t="e">
        <f t="shared" si="10"/>
        <v>#VALUE!</v>
      </c>
      <c r="S39" s="53" t="str">
        <f>IFERROR(VLOOKUP(MID(N39,Q39,R39-Q39),[5]skilldef!$C:$D,2,FALSE),"-") &amp; " / " &amp; IFERROR(VLOOKUP(MID(N39,O39,P39-O39),[5]skilldef!$A:$B,2,FALSE),"-")</f>
        <v>- / -</v>
      </c>
      <c r="T39" s="38" t="str">
        <f t="shared" si="11"/>
        <v>none</v>
      </c>
      <c r="U39" s="53" t="e">
        <f t="shared" si="12"/>
        <v>#VALUE!</v>
      </c>
      <c r="V39" s="53">
        <f t="shared" si="13"/>
        <v>4</v>
      </c>
      <c r="W39" s="53" t="e">
        <f t="shared" si="14"/>
        <v>#VALUE!</v>
      </c>
      <c r="X39" s="53" t="e">
        <f t="shared" si="15"/>
        <v>#VALUE!</v>
      </c>
      <c r="Y39" s="53" t="str">
        <f>IFERROR(VLOOKUP(MID(T39,W39,X39-W39),[5]skilldef!$C:$D,2,FALSE),"-") &amp; " / " &amp; IFERROR(VLOOKUP(MID(T39,U39,V39-U39),[5]skilldef!$A:$B,2,FALSE),"-")</f>
        <v>- / -</v>
      </c>
      <c r="Z39" s="40" t="s">
        <v>284</v>
      </c>
      <c r="AA39" s="42"/>
      <c r="AB39" s="40" t="s">
        <v>303</v>
      </c>
    </row>
    <row r="40" spans="1:28" ht="21" customHeight="1" x14ac:dyDescent="0.15">
      <c r="A40" s="216">
        <v>41005047</v>
      </c>
      <c r="B40" s="213" t="s">
        <v>331</v>
      </c>
      <c r="C40" s="40">
        <v>3</v>
      </c>
      <c r="D40" s="40" t="s">
        <v>286</v>
      </c>
      <c r="E40" s="41" t="s">
        <v>226</v>
      </c>
      <c r="F40" s="41" t="s">
        <v>277</v>
      </c>
      <c r="G40" s="53" t="str">
        <f t="shared" si="19"/>
        <v>[effect:rush, count:2, val:0.4]</v>
      </c>
      <c r="H40" s="53">
        <f t="shared" si="1"/>
        <v>9</v>
      </c>
      <c r="I40" s="53">
        <f t="shared" si="2"/>
        <v>13</v>
      </c>
      <c r="J40" s="53" t="e">
        <f t="shared" si="3"/>
        <v>#VALUE!</v>
      </c>
      <c r="K40" s="53">
        <f t="shared" si="4"/>
        <v>22</v>
      </c>
      <c r="L40" s="53" t="str">
        <f>IFERROR(VLOOKUP(MID(G40,J40,K40-J40),[5]skilldef!$C:$D,2,FALSE),"-") &amp; " / " &amp; IFERROR(VLOOKUP(MID(G40,H40,I40-H40),[5]skilldef!$A:$B,2,FALSE),"-")</f>
        <v>- / 連続攻撃</v>
      </c>
      <c r="M40" s="53" t="str">
        <f t="shared" si="20"/>
        <v>none</v>
      </c>
      <c r="N40" s="38" t="str">
        <f>IFERROR(LEFT(M40,FIND("],",M40)+#REF!),M40)</f>
        <v>none</v>
      </c>
      <c r="O40" s="53" t="e">
        <f t="shared" si="7"/>
        <v>#VALUE!</v>
      </c>
      <c r="P40" s="53">
        <f t="shared" si="8"/>
        <v>4</v>
      </c>
      <c r="Q40" s="53" t="e">
        <f t="shared" si="9"/>
        <v>#VALUE!</v>
      </c>
      <c r="R40" s="53" t="e">
        <f t="shared" si="10"/>
        <v>#VALUE!</v>
      </c>
      <c r="S40" s="53" t="str">
        <f>IFERROR(VLOOKUP(MID(N40,Q40,R40-Q40),[5]skilldef!$C:$D,2,FALSE),"-") &amp; " / " &amp; IFERROR(VLOOKUP(MID(N40,O40,P40-O40),[5]skilldef!$A:$B,2,FALSE),"-")</f>
        <v>- / -</v>
      </c>
      <c r="T40" s="38" t="str">
        <f t="shared" si="11"/>
        <v>none</v>
      </c>
      <c r="U40" s="53" t="e">
        <f t="shared" si="12"/>
        <v>#VALUE!</v>
      </c>
      <c r="V40" s="53">
        <f t="shared" si="13"/>
        <v>4</v>
      </c>
      <c r="W40" s="53" t="e">
        <f t="shared" si="14"/>
        <v>#VALUE!</v>
      </c>
      <c r="X40" s="53" t="e">
        <f t="shared" si="15"/>
        <v>#VALUE!</v>
      </c>
      <c r="Y40" s="53" t="str">
        <f>IFERROR(VLOOKUP(MID(T40,W40,X40-W40),[5]skilldef!$C:$D,2,FALSE),"-") &amp; " / " &amp; IFERROR(VLOOKUP(MID(T40,U40,V40-U40),[5]skilldef!$A:$B,2,FALSE),"-")</f>
        <v>- / -</v>
      </c>
      <c r="Z40" s="40" t="s">
        <v>284</v>
      </c>
      <c r="AA40" s="42"/>
      <c r="AB40" s="40" t="s">
        <v>303</v>
      </c>
    </row>
    <row r="41" spans="1:28" ht="21" customHeight="1" x14ac:dyDescent="0.15">
      <c r="A41" s="216">
        <v>41005048</v>
      </c>
      <c r="B41" s="213" t="s">
        <v>332</v>
      </c>
      <c r="C41" s="40">
        <v>3</v>
      </c>
      <c r="D41" s="40" t="s">
        <v>286</v>
      </c>
      <c r="E41" s="41" t="s">
        <v>227</v>
      </c>
      <c r="F41" s="41" t="s">
        <v>278</v>
      </c>
      <c r="G41" s="53" t="str">
        <f>IFERROR(LEFT(B41,FIND("],",B41)),B41)</f>
        <v>[effect:rush, count:3, val:0.4]</v>
      </c>
      <c r="H41" s="53">
        <f t="shared" ref="H41:H44" si="21">FIND("effect:",G41)+7</f>
        <v>9</v>
      </c>
      <c r="I41" s="53">
        <f t="shared" ref="I41:I44" si="22">IFERROR(FIND(",",G41),LEN(G41))</f>
        <v>13</v>
      </c>
      <c r="J41" s="53" t="e">
        <f t="shared" ref="J41:J44" si="23">FIND("target:",G41)+7</f>
        <v>#VALUE!</v>
      </c>
      <c r="K41" s="53">
        <f t="shared" ref="K41:K44" si="24">FIND(",",G41,I41+1)</f>
        <v>22</v>
      </c>
      <c r="L41" s="53" t="str">
        <f>IFERROR(VLOOKUP(MID(G41,J41,K41-J41),[5]skilldef!$C:$D,2,FALSE),"-") &amp; " / " &amp; IFERROR(VLOOKUP(MID(G41,H41,I41-H41),[5]skilldef!$A:$B,2,FALSE),"-")</f>
        <v>- / 連続攻撃</v>
      </c>
      <c r="M41" s="53" t="str">
        <f t="shared" ref="M41:M44" si="25">IFERROR(RIGHT(B41,LEN(B41)-FIND("],",B41)-1),"none")</f>
        <v>none</v>
      </c>
      <c r="N41" s="38" t="str">
        <f>IFERROR(LEFT(M41,FIND("],",M41)+S36),M41)</f>
        <v>none</v>
      </c>
      <c r="O41" s="53" t="e">
        <f t="shared" ref="O41:O44" si="26">FIND("effect:",N41)+7</f>
        <v>#VALUE!</v>
      </c>
      <c r="P41" s="53">
        <f t="shared" ref="P41:P44" si="27">IFERROR(FIND(",",N41),LEN(N41))</f>
        <v>4</v>
      </c>
      <c r="Q41" s="53" t="e">
        <f t="shared" ref="Q41:Q44" si="28">FIND("target:",N41)+7</f>
        <v>#VALUE!</v>
      </c>
      <c r="R41" s="53" t="e">
        <f t="shared" ref="R41:R44" si="29">FIND(",",N41,P41+1)</f>
        <v>#VALUE!</v>
      </c>
      <c r="S41" s="53" t="str">
        <f>IFERROR(VLOOKUP(MID(N41,Q41,R41-Q41),[5]skilldef!$C:$D,2,FALSE),"-") &amp; " / " &amp; IFERROR(VLOOKUP(MID(N41,O41,P41-O41),[5]skilldef!$A:$B,2,FALSE),"-")</f>
        <v>- / -</v>
      </c>
      <c r="T41" s="38" t="str">
        <f t="shared" ref="T41:T44" si="30">IFERROR(RIGHT(M41,LEN(M41)-FIND("],",M41)-1),"none")</f>
        <v>none</v>
      </c>
      <c r="U41" s="53" t="e">
        <f t="shared" ref="U41:U44" si="31">FIND("effect:",T41)+7</f>
        <v>#VALUE!</v>
      </c>
      <c r="V41" s="53">
        <f t="shared" ref="V41:V44" si="32">IFERROR(FIND(",",T41),LEN(T41))</f>
        <v>4</v>
      </c>
      <c r="W41" s="53" t="e">
        <f t="shared" ref="W41:W44" si="33">FIND("target:",T41)+7</f>
        <v>#VALUE!</v>
      </c>
      <c r="X41" s="53" t="e">
        <f t="shared" ref="X41:X44" si="34">FIND(",",T41,V41+1)</f>
        <v>#VALUE!</v>
      </c>
      <c r="Y41" s="53" t="str">
        <f>IFERROR(VLOOKUP(MID(T41,W41,X41-W41),[5]skilldef!$C:$D,2,FALSE),"-") &amp; " / " &amp; IFERROR(VLOOKUP(MID(T41,U41,V41-U41),[5]skilldef!$A:$B,2,FALSE),"-")</f>
        <v>- / -</v>
      </c>
      <c r="Z41" s="40" t="s">
        <v>284</v>
      </c>
      <c r="AA41" s="42"/>
      <c r="AB41" s="40" t="s">
        <v>303</v>
      </c>
    </row>
    <row r="42" spans="1:28" ht="21" customHeight="1" x14ac:dyDescent="0.15">
      <c r="A42" s="216">
        <v>41005049</v>
      </c>
      <c r="B42" s="213" t="s">
        <v>333</v>
      </c>
      <c r="C42" s="40">
        <v>3</v>
      </c>
      <c r="D42" s="40" t="s">
        <v>286</v>
      </c>
      <c r="E42" s="41" t="s">
        <v>228</v>
      </c>
      <c r="F42" s="41" t="s">
        <v>279</v>
      </c>
      <c r="G42" s="53" t="str">
        <f t="shared" ref="G42:G44" si="35">IFERROR(LEFT(B42,FIND("],",B42)),B42)</f>
        <v>[effect:rush, count:4, val:0.4]</v>
      </c>
      <c r="H42" s="53">
        <f t="shared" si="21"/>
        <v>9</v>
      </c>
      <c r="I42" s="53">
        <f t="shared" si="22"/>
        <v>13</v>
      </c>
      <c r="J42" s="53" t="e">
        <f t="shared" si="23"/>
        <v>#VALUE!</v>
      </c>
      <c r="K42" s="53">
        <f t="shared" si="24"/>
        <v>22</v>
      </c>
      <c r="L42" s="53" t="str">
        <f>IFERROR(VLOOKUP(MID(G42,J42,K42-J42),[5]skilldef!$C:$D,2,FALSE),"-") &amp; " / " &amp; IFERROR(VLOOKUP(MID(G42,H42,I42-H42),[5]skilldef!$A:$B,2,FALSE),"-")</f>
        <v>- / 連続攻撃</v>
      </c>
      <c r="M42" s="53" t="str">
        <f t="shared" si="25"/>
        <v>none</v>
      </c>
      <c r="N42" s="38" t="str">
        <f>IFERROR(LEFT(M42,FIND("],",M42)+#REF!),M42)</f>
        <v>none</v>
      </c>
      <c r="O42" s="53" t="e">
        <f t="shared" si="26"/>
        <v>#VALUE!</v>
      </c>
      <c r="P42" s="53">
        <f t="shared" si="27"/>
        <v>4</v>
      </c>
      <c r="Q42" s="53" t="e">
        <f t="shared" si="28"/>
        <v>#VALUE!</v>
      </c>
      <c r="R42" s="53" t="e">
        <f t="shared" si="29"/>
        <v>#VALUE!</v>
      </c>
      <c r="S42" s="53" t="str">
        <f>IFERROR(VLOOKUP(MID(N42,Q42,R42-Q42),[5]skilldef!$C:$D,2,FALSE),"-") &amp; " / " &amp; IFERROR(VLOOKUP(MID(N42,O42,P42-O42),[5]skilldef!$A:$B,2,FALSE),"-")</f>
        <v>- / -</v>
      </c>
      <c r="T42" s="38" t="str">
        <f t="shared" si="30"/>
        <v>none</v>
      </c>
      <c r="U42" s="53" t="e">
        <f t="shared" si="31"/>
        <v>#VALUE!</v>
      </c>
      <c r="V42" s="53">
        <f t="shared" si="32"/>
        <v>4</v>
      </c>
      <c r="W42" s="53" t="e">
        <f t="shared" si="33"/>
        <v>#VALUE!</v>
      </c>
      <c r="X42" s="53" t="e">
        <f t="shared" si="34"/>
        <v>#VALUE!</v>
      </c>
      <c r="Y42" s="53" t="str">
        <f>IFERROR(VLOOKUP(MID(T42,W42,X42-W42),[5]skilldef!$C:$D,2,FALSE),"-") &amp; " / " &amp; IFERROR(VLOOKUP(MID(T42,U42,V42-U42),[5]skilldef!$A:$B,2,FALSE),"-")</f>
        <v>- / -</v>
      </c>
      <c r="Z42" s="40" t="s">
        <v>284</v>
      </c>
      <c r="AA42" s="42"/>
      <c r="AB42" s="40" t="s">
        <v>303</v>
      </c>
    </row>
    <row r="43" spans="1:28" ht="21" customHeight="1" x14ac:dyDescent="0.15">
      <c r="A43" s="216">
        <v>41005050</v>
      </c>
      <c r="B43" s="213" t="s">
        <v>334</v>
      </c>
      <c r="C43" s="40">
        <v>3</v>
      </c>
      <c r="D43" s="40" t="s">
        <v>286</v>
      </c>
      <c r="E43" s="41" t="s">
        <v>229</v>
      </c>
      <c r="F43" s="41" t="s">
        <v>274</v>
      </c>
      <c r="G43" s="53" t="str">
        <f t="shared" si="35"/>
        <v>[effect:rush, count:5, val:0.4]</v>
      </c>
      <c r="H43" s="53">
        <f t="shared" si="21"/>
        <v>9</v>
      </c>
      <c r="I43" s="53">
        <f t="shared" si="22"/>
        <v>13</v>
      </c>
      <c r="J43" s="53" t="e">
        <f t="shared" si="23"/>
        <v>#VALUE!</v>
      </c>
      <c r="K43" s="53">
        <f t="shared" si="24"/>
        <v>22</v>
      </c>
      <c r="L43" s="53" t="str">
        <f>IFERROR(VLOOKUP(MID(G43,J43,K43-J43),[5]skilldef!$C:$D,2,FALSE),"-") &amp; " / " &amp; IFERROR(VLOOKUP(MID(G43,H43,I43-H43),[5]skilldef!$A:$B,2,FALSE),"-")</f>
        <v>- / 連続攻撃</v>
      </c>
      <c r="M43" s="53" t="str">
        <f t="shared" si="25"/>
        <v>none</v>
      </c>
      <c r="N43" s="38" t="str">
        <f>IFERROR(LEFT(M43,FIND("],",M43)+S45),M43)</f>
        <v>none</v>
      </c>
      <c r="O43" s="53" t="e">
        <f t="shared" si="26"/>
        <v>#VALUE!</v>
      </c>
      <c r="P43" s="53">
        <f t="shared" si="27"/>
        <v>4</v>
      </c>
      <c r="Q43" s="53" t="e">
        <f t="shared" si="28"/>
        <v>#VALUE!</v>
      </c>
      <c r="R43" s="53" t="e">
        <f t="shared" si="29"/>
        <v>#VALUE!</v>
      </c>
      <c r="S43" s="53" t="str">
        <f>IFERROR(VLOOKUP(MID(N43,Q43,R43-Q43),[5]skilldef!$C:$D,2,FALSE),"-") &amp; " / " &amp; IFERROR(VLOOKUP(MID(N43,O43,P43-O43),[5]skilldef!$A:$B,2,FALSE),"-")</f>
        <v>- / -</v>
      </c>
      <c r="T43" s="38" t="str">
        <f t="shared" si="30"/>
        <v>none</v>
      </c>
      <c r="U43" s="53" t="e">
        <f t="shared" si="31"/>
        <v>#VALUE!</v>
      </c>
      <c r="V43" s="53">
        <f t="shared" si="32"/>
        <v>4</v>
      </c>
      <c r="W43" s="53" t="e">
        <f t="shared" si="33"/>
        <v>#VALUE!</v>
      </c>
      <c r="X43" s="53" t="e">
        <f t="shared" si="34"/>
        <v>#VALUE!</v>
      </c>
      <c r="Y43" s="53" t="str">
        <f>IFERROR(VLOOKUP(MID(T43,W43,X43-W43),[5]skilldef!$C:$D,2,FALSE),"-") &amp; " / " &amp; IFERROR(VLOOKUP(MID(T43,U43,V43-U43),[5]skilldef!$A:$B,2,FALSE),"-")</f>
        <v>- / -</v>
      </c>
      <c r="Z43" s="40" t="s">
        <v>284</v>
      </c>
      <c r="AA43" s="42"/>
      <c r="AB43" s="40" t="s">
        <v>303</v>
      </c>
    </row>
    <row r="44" spans="1:28" ht="21" customHeight="1" x14ac:dyDescent="0.15">
      <c r="A44" s="216">
        <v>41005051</v>
      </c>
      <c r="B44" s="213" t="s">
        <v>328</v>
      </c>
      <c r="C44" s="40">
        <v>3</v>
      </c>
      <c r="D44" s="40" t="s">
        <v>286</v>
      </c>
      <c r="E44" s="41" t="s">
        <v>230</v>
      </c>
      <c r="F44" s="41" t="s">
        <v>275</v>
      </c>
      <c r="G44" s="53" t="str">
        <f t="shared" si="35"/>
        <v>[effect:degrade_unit, target:unit_all, turn:3, status:defense, val:1, calc:mul]</v>
      </c>
      <c r="H44" s="53">
        <f t="shared" si="21"/>
        <v>9</v>
      </c>
      <c r="I44" s="53">
        <f t="shared" si="22"/>
        <v>21</v>
      </c>
      <c r="J44" s="53">
        <f t="shared" si="23"/>
        <v>30</v>
      </c>
      <c r="K44" s="53">
        <f t="shared" si="24"/>
        <v>38</v>
      </c>
      <c r="L44" s="53" t="str">
        <f>IFERROR(VLOOKUP(MID(G44,J44,K44-J44),[5]skilldef!$C:$D,2,FALSE),"-") &amp; " / " &amp; IFERROR(VLOOKUP(MID(G44,H44,I44-H44),[5]skilldef!$A:$B,2,FALSE),"-")</f>
        <v>味方全体に / ステータスDOWN</v>
      </c>
      <c r="M44" s="53" t="str">
        <f t="shared" si="25"/>
        <v>[effect:rush, count:6, val:0.4]</v>
      </c>
      <c r="N44" s="38" t="str">
        <f>IFERROR(LEFT(M44,FIND("],",M44)+S46),M44)</f>
        <v>[effect:rush, count:6, val:0.4]</v>
      </c>
      <c r="O44" s="53">
        <f t="shared" si="26"/>
        <v>9</v>
      </c>
      <c r="P44" s="53">
        <f t="shared" si="27"/>
        <v>13</v>
      </c>
      <c r="Q44" s="53" t="e">
        <f t="shared" si="28"/>
        <v>#VALUE!</v>
      </c>
      <c r="R44" s="53">
        <f t="shared" si="29"/>
        <v>22</v>
      </c>
      <c r="S44" s="53" t="str">
        <f>IFERROR(VLOOKUP(MID(N44,Q44,R44-Q44),[5]skilldef!$C:$D,2,FALSE),"-") &amp; " / " &amp; IFERROR(VLOOKUP(MID(N44,O44,P44-O44),[5]skilldef!$A:$B,2,FALSE),"-")</f>
        <v>- / 連続攻撃</v>
      </c>
      <c r="T44" s="38" t="str">
        <f t="shared" si="30"/>
        <v>none</v>
      </c>
      <c r="U44" s="53" t="e">
        <f t="shared" si="31"/>
        <v>#VALUE!</v>
      </c>
      <c r="V44" s="53">
        <f t="shared" si="32"/>
        <v>4</v>
      </c>
      <c r="W44" s="53" t="e">
        <f t="shared" si="33"/>
        <v>#VALUE!</v>
      </c>
      <c r="X44" s="53" t="e">
        <f t="shared" si="34"/>
        <v>#VALUE!</v>
      </c>
      <c r="Y44" s="53" t="str">
        <f>IFERROR(VLOOKUP(MID(T44,W44,X44-W44),[5]skilldef!$C:$D,2,FALSE),"-") &amp; " / " &amp; IFERROR(VLOOKUP(MID(T44,U44,V44-U44),[5]skilldef!$A:$B,2,FALSE),"-")</f>
        <v>- / -</v>
      </c>
      <c r="Z44" s="40" t="s">
        <v>284</v>
      </c>
      <c r="AA44" s="42"/>
      <c r="AB44" s="40" t="s">
        <v>303</v>
      </c>
    </row>
    <row r="45" spans="1:28" ht="21" customHeight="1" x14ac:dyDescent="0.15">
      <c r="A45" s="216">
        <v>41005052</v>
      </c>
      <c r="B45" s="213" t="s">
        <v>335</v>
      </c>
      <c r="C45" s="40">
        <v>3</v>
      </c>
      <c r="D45" s="40" t="s">
        <v>286</v>
      </c>
      <c r="E45" s="41" t="s">
        <v>231</v>
      </c>
      <c r="F45" s="41" t="s">
        <v>336</v>
      </c>
      <c r="G45" s="53" t="str">
        <f t="shared" ref="G45:G52" si="36">IFERROR(LEFT(B45,FIND("],",B45)),B45)</f>
        <v>[effect:critical, val:4]</v>
      </c>
      <c r="H45" s="53">
        <f t="shared" ref="H45:H52" si="37">FIND("effect:",G45)+7</f>
        <v>9</v>
      </c>
      <c r="I45" s="53">
        <f t="shared" ref="I45:I52" si="38">IFERROR(FIND(",",G45),LEN(G45))</f>
        <v>17</v>
      </c>
      <c r="J45" s="53" t="e">
        <f t="shared" ref="J45:J52" si="39">FIND("target:",G45)+7</f>
        <v>#VALUE!</v>
      </c>
      <c r="K45" s="53" t="e">
        <f t="shared" ref="K45:K52" si="40">FIND(",",G45,I45+1)</f>
        <v>#VALUE!</v>
      </c>
      <c r="L45" s="53" t="str">
        <f>IFERROR(VLOOKUP(MID(G45,J45,K45-J45),[5]skilldef!$C:$D,2,FALSE),"-") &amp; " / " &amp; IFERROR(VLOOKUP(MID(G45,H45,I45-H45),[5]skilldef!$A:$B,2,FALSE),"-")</f>
        <v>- / 大攻撃</v>
      </c>
      <c r="M45" s="53" t="str">
        <f t="shared" ref="M45:M52" si="41">IFERROR(RIGHT(B45,LEN(B45)-FIND("],",B45)-1),"none")</f>
        <v>none</v>
      </c>
      <c r="N45" s="38" t="str">
        <f t="shared" ref="N45:N52" si="42">IFERROR(LEFT(M45,FIND("],",M45)+S47),M45)</f>
        <v>none</v>
      </c>
      <c r="O45" s="53" t="e">
        <f t="shared" ref="O45:O52" si="43">FIND("effect:",N45)+7</f>
        <v>#VALUE!</v>
      </c>
      <c r="P45" s="53">
        <f t="shared" ref="P45:P52" si="44">IFERROR(FIND(",",N45),LEN(N45))</f>
        <v>4</v>
      </c>
      <c r="Q45" s="53" t="e">
        <f t="shared" ref="Q45:Q52" si="45">FIND("target:",N45)+7</f>
        <v>#VALUE!</v>
      </c>
      <c r="R45" s="53" t="e">
        <f t="shared" ref="R45:R52" si="46">FIND(",",N45,P45+1)</f>
        <v>#VALUE!</v>
      </c>
      <c r="S45" s="53" t="str">
        <f>IFERROR(VLOOKUP(MID(N45,Q45,R45-Q45),[5]skilldef!$C:$D,2,FALSE),"-") &amp; " / " &amp; IFERROR(VLOOKUP(MID(N45,O45,P45-O45),[5]skilldef!$A:$B,2,FALSE),"-")</f>
        <v>- / -</v>
      </c>
      <c r="T45" s="38" t="str">
        <f t="shared" ref="T45:T52" si="47">IFERROR(RIGHT(M45,LEN(M45)-FIND("],",M45)-1),"none")</f>
        <v>none</v>
      </c>
      <c r="U45" s="53" t="e">
        <f t="shared" ref="U45:U52" si="48">FIND("effect:",T45)+7</f>
        <v>#VALUE!</v>
      </c>
      <c r="V45" s="53">
        <f t="shared" ref="V45:V52" si="49">IFERROR(FIND(",",T45),LEN(T45))</f>
        <v>4</v>
      </c>
      <c r="W45" s="53" t="e">
        <f t="shared" ref="W45:W52" si="50">FIND("target:",T45)+7</f>
        <v>#VALUE!</v>
      </c>
      <c r="X45" s="53" t="e">
        <f t="shared" ref="X45:X52" si="51">FIND(",",T45,V45+1)</f>
        <v>#VALUE!</v>
      </c>
      <c r="Y45" s="53" t="str">
        <f>IFERROR(VLOOKUP(MID(T45,W45,X45-W45),[5]skilldef!$C:$D,2,FALSE),"-") &amp; " / " &amp; IFERROR(VLOOKUP(MID(T45,U45,V45-U45),[5]skilldef!$A:$B,2,FALSE),"-")</f>
        <v>- / -</v>
      </c>
      <c r="Z45" s="40" t="s">
        <v>284</v>
      </c>
      <c r="AA45" s="42"/>
      <c r="AB45" s="40" t="s">
        <v>337</v>
      </c>
    </row>
    <row r="46" spans="1:28" ht="21" customHeight="1" x14ac:dyDescent="0.15">
      <c r="A46" s="216">
        <v>41005053</v>
      </c>
      <c r="B46" s="214" t="s">
        <v>368</v>
      </c>
      <c r="C46" s="40">
        <v>3</v>
      </c>
      <c r="D46" s="40" t="s">
        <v>286</v>
      </c>
      <c r="E46" s="41" t="s">
        <v>355</v>
      </c>
      <c r="F46" s="41" t="s">
        <v>253</v>
      </c>
      <c r="G46" s="53" t="str">
        <f t="shared" si="36"/>
        <v>[effect:enhance_enemy, target:myself, turn:3, status:defense, val:3500, calc:add, animation:enemy_enhance_enemy]</v>
      </c>
      <c r="H46" s="53">
        <f t="shared" si="37"/>
        <v>9</v>
      </c>
      <c r="I46" s="53">
        <f t="shared" si="38"/>
        <v>22</v>
      </c>
      <c r="J46" s="53">
        <f t="shared" si="39"/>
        <v>31</v>
      </c>
      <c r="K46" s="53">
        <f t="shared" si="40"/>
        <v>37</v>
      </c>
      <c r="L46" s="53" t="str">
        <f>IFERROR(VLOOKUP(MID(G46,J46,K46-J46),[5]skilldef!$C:$D,2,FALSE),"-") &amp; " / " &amp; IFERROR(VLOOKUP(MID(G46,H46,I46-H46),[5]skilldef!$A:$B,2,FALSE),"-")</f>
        <v>自分自身に / ステータス強化</v>
      </c>
      <c r="M46" s="53" t="str">
        <f t="shared" si="41"/>
        <v>[effect:fix_speed, target:enemy_all, turn:2]</v>
      </c>
      <c r="N46" s="38" t="str">
        <f t="shared" si="42"/>
        <v>[effect:fix_speed, target:enemy_all, turn:2]</v>
      </c>
      <c r="O46" s="53">
        <f t="shared" si="43"/>
        <v>9</v>
      </c>
      <c r="P46" s="53">
        <f t="shared" si="44"/>
        <v>18</v>
      </c>
      <c r="Q46" s="53">
        <f t="shared" si="45"/>
        <v>27</v>
      </c>
      <c r="R46" s="53">
        <f t="shared" si="46"/>
        <v>36</v>
      </c>
      <c r="S46" s="53" t="str">
        <f>IFERROR(VLOOKUP(MID(N46,Q46,R46-Q46),[5]skilldef!$C:$D,2,FALSE),"-") &amp; " / " &amp; IFERROR(VLOOKUP(MID(N46,O46,P46-O46),[5]skilldef!$A:$B,2,FALSE),"-")</f>
        <v>敵全体に / 行動値設定</v>
      </c>
      <c r="T46" s="38" t="str">
        <f t="shared" si="47"/>
        <v>none</v>
      </c>
      <c r="U46" s="53" t="e">
        <f t="shared" si="48"/>
        <v>#VALUE!</v>
      </c>
      <c r="V46" s="53">
        <f t="shared" si="49"/>
        <v>4</v>
      </c>
      <c r="W46" s="53" t="e">
        <f t="shared" si="50"/>
        <v>#VALUE!</v>
      </c>
      <c r="X46" s="53" t="e">
        <f t="shared" si="51"/>
        <v>#VALUE!</v>
      </c>
      <c r="Y46" s="53" t="str">
        <f>IFERROR(VLOOKUP(MID(T46,W46,X46-W46),[5]skilldef!$C:$D,2,FALSE),"-") &amp; " / " &amp; IFERROR(VLOOKUP(MID(T46,U46,V46-U46),[5]skilldef!$A:$B,2,FALSE),"-")</f>
        <v>- / -</v>
      </c>
      <c r="Z46" s="40"/>
      <c r="AA46" s="42"/>
      <c r="AB46" s="40"/>
    </row>
    <row r="47" spans="1:28" ht="21" customHeight="1" x14ac:dyDescent="0.15">
      <c r="A47" s="216">
        <v>41005054</v>
      </c>
      <c r="B47" s="213" t="s">
        <v>403</v>
      </c>
      <c r="C47" s="40">
        <v>3</v>
      </c>
      <c r="D47" s="40" t="s">
        <v>286</v>
      </c>
      <c r="E47" s="41" t="s">
        <v>356</v>
      </c>
      <c r="F47" s="41" t="s">
        <v>357</v>
      </c>
      <c r="G47" s="53" t="str">
        <f t="shared" si="36"/>
        <v>[effect:force_change_block, new_block:jammer, target:block_all, ignore01:block_positive, ignore02:block_negative, count:2, val:0]</v>
      </c>
      <c r="H47" s="53">
        <f t="shared" si="37"/>
        <v>9</v>
      </c>
      <c r="I47" s="53">
        <f t="shared" si="38"/>
        <v>27</v>
      </c>
      <c r="J47" s="53">
        <f t="shared" si="39"/>
        <v>54</v>
      </c>
      <c r="K47" s="53">
        <f t="shared" si="40"/>
        <v>45</v>
      </c>
      <c r="L47" s="53" t="str">
        <f>IFERROR(VLOOKUP(MID(G47,J47,K47-J47),[5]skilldef!$C:$D,2,FALSE),"-") &amp; " / " &amp; IFERROR(VLOOKUP(MID(G47,H47,I47-H47),[5]skilldef!$A:$B,2,FALSE),"-")</f>
        <v>- / -</v>
      </c>
      <c r="M47" s="53" t="str">
        <f t="shared" si="41"/>
        <v>none</v>
      </c>
      <c r="N47" s="38" t="str">
        <f t="shared" si="42"/>
        <v>none</v>
      </c>
      <c r="O47" s="53" t="e">
        <f t="shared" si="43"/>
        <v>#VALUE!</v>
      </c>
      <c r="P47" s="53">
        <f t="shared" si="44"/>
        <v>4</v>
      </c>
      <c r="Q47" s="53" t="e">
        <f t="shared" si="45"/>
        <v>#VALUE!</v>
      </c>
      <c r="R47" s="53" t="e">
        <f t="shared" si="46"/>
        <v>#VALUE!</v>
      </c>
      <c r="S47" s="53" t="str">
        <f>IFERROR(VLOOKUP(MID(N47,Q47,R47-Q47),[5]skilldef!$C:$D,2,FALSE),"-") &amp; " / " &amp; IFERROR(VLOOKUP(MID(N47,O47,P47-O47),[5]skilldef!$A:$B,2,FALSE),"-")</f>
        <v>- / -</v>
      </c>
      <c r="T47" s="38" t="str">
        <f t="shared" si="47"/>
        <v>none</v>
      </c>
      <c r="U47" s="53" t="e">
        <f t="shared" si="48"/>
        <v>#VALUE!</v>
      </c>
      <c r="V47" s="53">
        <f t="shared" si="49"/>
        <v>4</v>
      </c>
      <c r="W47" s="53" t="e">
        <f t="shared" si="50"/>
        <v>#VALUE!</v>
      </c>
      <c r="X47" s="53" t="e">
        <f t="shared" si="51"/>
        <v>#VALUE!</v>
      </c>
      <c r="Y47" s="53" t="str">
        <f>IFERROR(VLOOKUP(MID(T47,W47,X47-W47),[5]skilldef!$C:$D,2,FALSE),"-") &amp; " / " &amp; IFERROR(VLOOKUP(MID(T47,U47,V47-U47),[5]skilldef!$A:$B,2,FALSE),"-")</f>
        <v>- / -</v>
      </c>
      <c r="Z47" s="40"/>
      <c r="AA47" s="42"/>
      <c r="AB47" s="40"/>
    </row>
    <row r="48" spans="1:28" ht="21" customHeight="1" x14ac:dyDescent="0.15">
      <c r="A48" s="216">
        <v>41005055</v>
      </c>
      <c r="B48" s="213" t="s">
        <v>359</v>
      </c>
      <c r="C48" s="40">
        <v>3</v>
      </c>
      <c r="D48" s="40" t="s">
        <v>286</v>
      </c>
      <c r="E48" s="41" t="s">
        <v>232</v>
      </c>
      <c r="F48" s="41" t="s">
        <v>358</v>
      </c>
      <c r="G48" s="53" t="str">
        <f t="shared" si="36"/>
        <v>[effect:change_block, new_block:block_heart, target:block_blue, count:0, val:0.0]</v>
      </c>
      <c r="H48" s="53">
        <f t="shared" si="37"/>
        <v>9</v>
      </c>
      <c r="I48" s="53">
        <f t="shared" si="38"/>
        <v>21</v>
      </c>
      <c r="J48" s="53">
        <f t="shared" si="39"/>
        <v>53</v>
      </c>
      <c r="K48" s="53">
        <f t="shared" si="40"/>
        <v>44</v>
      </c>
      <c r="L48" s="53" t="str">
        <f>IFERROR(VLOOKUP(MID(G48,J48,K48-J48),[5]skilldef!$C:$D,2,FALSE),"-") &amp; " / " &amp; IFERROR(VLOOKUP(MID(G48,H48,I48-H48),[5]skilldef!$A:$B,2,FALSE),"-")</f>
        <v>- / ブロック変換</v>
      </c>
      <c r="M48" s="53" t="str">
        <f t="shared" si="41"/>
        <v>none</v>
      </c>
      <c r="N48" s="38" t="str">
        <f t="shared" si="42"/>
        <v>none</v>
      </c>
      <c r="O48" s="53" t="e">
        <f t="shared" si="43"/>
        <v>#VALUE!</v>
      </c>
      <c r="P48" s="53">
        <f t="shared" si="44"/>
        <v>4</v>
      </c>
      <c r="Q48" s="53" t="e">
        <f t="shared" si="45"/>
        <v>#VALUE!</v>
      </c>
      <c r="R48" s="53" t="e">
        <f t="shared" si="46"/>
        <v>#VALUE!</v>
      </c>
      <c r="S48" s="53" t="str">
        <f>IFERROR(VLOOKUP(MID(N48,Q48,R48-Q48),[5]skilldef!$C:$D,2,FALSE),"-") &amp; " / " &amp; IFERROR(VLOOKUP(MID(N48,O48,P48-O48),[5]skilldef!$A:$B,2,FALSE),"-")</f>
        <v>- / -</v>
      </c>
      <c r="T48" s="38" t="str">
        <f t="shared" si="47"/>
        <v>none</v>
      </c>
      <c r="U48" s="53" t="e">
        <f t="shared" si="48"/>
        <v>#VALUE!</v>
      </c>
      <c r="V48" s="53">
        <f t="shared" si="49"/>
        <v>4</v>
      </c>
      <c r="W48" s="53" t="e">
        <f t="shared" si="50"/>
        <v>#VALUE!</v>
      </c>
      <c r="X48" s="53" t="e">
        <f t="shared" si="51"/>
        <v>#VALUE!</v>
      </c>
      <c r="Y48" s="53" t="str">
        <f>IFERROR(VLOOKUP(MID(T48,W48,X48-W48),[5]skilldef!$C:$D,2,FALSE),"-") &amp; " / " &amp; IFERROR(VLOOKUP(MID(T48,U48,V48-U48),[5]skilldef!$A:$B,2,FALSE),"-")</f>
        <v>- / -</v>
      </c>
      <c r="Z48" s="40"/>
      <c r="AA48" s="42"/>
      <c r="AB48" s="40"/>
    </row>
    <row r="49" spans="1:28" ht="21" customHeight="1" x14ac:dyDescent="0.15">
      <c r="A49" s="216">
        <v>41005056</v>
      </c>
      <c r="B49" s="213" t="s">
        <v>397</v>
      </c>
      <c r="C49" s="40">
        <v>3</v>
      </c>
      <c r="D49" s="40" t="s">
        <v>286</v>
      </c>
      <c r="E49" s="41" t="s">
        <v>360</v>
      </c>
      <c r="F49" s="41" t="s">
        <v>367</v>
      </c>
      <c r="G49" s="53" t="str">
        <f t="shared" si="36"/>
        <v>[effect:break_enchance_enemy, val:200, lowest_val:1000, count :0, status:attack, turn:-1, block:block_green, target:myself, calc:add, animation:enemy_enhance_attack]</v>
      </c>
      <c r="H49" s="53">
        <f t="shared" si="37"/>
        <v>9</v>
      </c>
      <c r="I49" s="53">
        <f t="shared" si="38"/>
        <v>29</v>
      </c>
      <c r="J49" s="53">
        <f t="shared" si="39"/>
        <v>117</v>
      </c>
      <c r="K49" s="53">
        <f t="shared" si="40"/>
        <v>38</v>
      </c>
      <c r="L49" s="53" t="str">
        <f>IFERROR(VLOOKUP(MID(G49,J49,K49-J49),[5]skilldef!$C:$D,2,FALSE),"-") &amp; " / " &amp; IFERROR(VLOOKUP(MID(G49,H49,I49-H49),[5]skilldef!$A:$B,2,FALSE),"-")</f>
        <v>- / -</v>
      </c>
      <c r="M49" s="53" t="str">
        <f t="shared" si="41"/>
        <v xml:space="preserve">[effect:freq_turn, target:myself, turn:-1, val:1, animation:enemy_freq_turn]    </v>
      </c>
      <c r="N49" s="38" t="str">
        <f t="shared" si="42"/>
        <v xml:space="preserve">[effect:freq_turn, target:myself, turn:-1, val:1, animation:enemy_freq_turn]    </v>
      </c>
      <c r="O49" s="53">
        <f t="shared" si="43"/>
        <v>9</v>
      </c>
      <c r="P49" s="53">
        <f t="shared" si="44"/>
        <v>18</v>
      </c>
      <c r="Q49" s="53">
        <f t="shared" si="45"/>
        <v>27</v>
      </c>
      <c r="R49" s="53">
        <f t="shared" si="46"/>
        <v>33</v>
      </c>
      <c r="S49" s="53" t="str">
        <f>IFERROR(VLOOKUP(MID(N49,Q49,R49-Q49),[5]skilldef!$C:$D,2,FALSE),"-") &amp; " / " &amp; IFERROR(VLOOKUP(MID(N49,O49,P49-O49),[5]skilldef!$A:$B,2,FALSE),"-")</f>
        <v>自分自身に / 攻撃頻度がUP</v>
      </c>
      <c r="T49" s="38" t="str">
        <f t="shared" si="47"/>
        <v>none</v>
      </c>
      <c r="U49" s="53" t="e">
        <f t="shared" si="48"/>
        <v>#VALUE!</v>
      </c>
      <c r="V49" s="53">
        <f t="shared" si="49"/>
        <v>4</v>
      </c>
      <c r="W49" s="53" t="e">
        <f t="shared" si="50"/>
        <v>#VALUE!</v>
      </c>
      <c r="X49" s="53" t="e">
        <f t="shared" si="51"/>
        <v>#VALUE!</v>
      </c>
      <c r="Y49" s="53" t="str">
        <f>IFERROR(VLOOKUP(MID(T49,W49,X49-W49),[5]skilldef!$C:$D,2,FALSE),"-") &amp; " / " &amp; IFERROR(VLOOKUP(MID(T49,U49,V49-U49),[5]skilldef!$A:$B,2,FALSE),"-")</f>
        <v>- / -</v>
      </c>
      <c r="Z49" s="40"/>
      <c r="AA49" s="42"/>
      <c r="AB49" s="40"/>
    </row>
    <row r="50" spans="1:28" ht="21" customHeight="1" x14ac:dyDescent="0.15">
      <c r="A50" s="216">
        <v>41005057</v>
      </c>
      <c r="B50" s="213" t="s">
        <v>371</v>
      </c>
      <c r="C50" s="40">
        <v>3</v>
      </c>
      <c r="D50" s="40" t="s">
        <v>286</v>
      </c>
      <c r="E50" s="41" t="s">
        <v>362</v>
      </c>
      <c r="F50" s="41" t="s">
        <v>372</v>
      </c>
      <c r="G50" s="53" t="str">
        <f t="shared" si="36"/>
        <v>[effect:sleep, target:unit_one, turn:2, rate:1, animation:sleep01]</v>
      </c>
      <c r="H50" s="53">
        <f t="shared" si="37"/>
        <v>9</v>
      </c>
      <c r="I50" s="53">
        <f t="shared" si="38"/>
        <v>14</v>
      </c>
      <c r="J50" s="53">
        <f t="shared" si="39"/>
        <v>23</v>
      </c>
      <c r="K50" s="53">
        <f t="shared" si="40"/>
        <v>31</v>
      </c>
      <c r="L50" s="53" t="str">
        <f>IFERROR(VLOOKUP(MID(G50,J50,K50-J50),[5]skilldef!$C:$D,2,FALSE),"-") &amp; " / " &amp; IFERROR(VLOOKUP(MID(G50,H50,I50-H50),[5]skilldef!$A:$B,2,FALSE),"-")</f>
        <v>味方単体に / スリープ</v>
      </c>
      <c r="M50" s="53" t="str">
        <f t="shared" si="41"/>
        <v>none</v>
      </c>
      <c r="N50" s="38" t="str">
        <f t="shared" si="42"/>
        <v>none</v>
      </c>
      <c r="O50" s="53" t="e">
        <f t="shared" si="43"/>
        <v>#VALUE!</v>
      </c>
      <c r="P50" s="53">
        <f t="shared" si="44"/>
        <v>4</v>
      </c>
      <c r="Q50" s="53" t="e">
        <f t="shared" si="45"/>
        <v>#VALUE!</v>
      </c>
      <c r="R50" s="53" t="e">
        <f t="shared" si="46"/>
        <v>#VALUE!</v>
      </c>
      <c r="S50" s="53" t="str">
        <f>IFERROR(VLOOKUP(MID(N50,Q50,R50-Q50),[5]skilldef!$C:$D,2,FALSE),"-") &amp; " / " &amp; IFERROR(VLOOKUP(MID(N50,O50,P50-O50),[5]skilldef!$A:$B,2,FALSE),"-")</f>
        <v>- / -</v>
      </c>
      <c r="T50" s="38" t="str">
        <f t="shared" si="47"/>
        <v>none</v>
      </c>
      <c r="U50" s="53" t="e">
        <f t="shared" si="48"/>
        <v>#VALUE!</v>
      </c>
      <c r="V50" s="53">
        <f t="shared" si="49"/>
        <v>4</v>
      </c>
      <c r="W50" s="53" t="e">
        <f t="shared" si="50"/>
        <v>#VALUE!</v>
      </c>
      <c r="X50" s="53" t="e">
        <f t="shared" si="51"/>
        <v>#VALUE!</v>
      </c>
      <c r="Y50" s="53" t="str">
        <f>IFERROR(VLOOKUP(MID(T50,W50,X50-W50),[5]skilldef!$C:$D,2,FALSE),"-") &amp; " / " &amp; IFERROR(VLOOKUP(MID(T50,U50,V50-U50),[5]skilldef!$A:$B,2,FALSE),"-")</f>
        <v>- / -</v>
      </c>
      <c r="Z50" s="40"/>
      <c r="AA50" s="42"/>
      <c r="AB50" s="40"/>
    </row>
    <row r="51" spans="1:28" ht="21" customHeight="1" x14ac:dyDescent="0.15">
      <c r="A51" s="216">
        <v>41005058</v>
      </c>
      <c r="B51" s="213" t="s">
        <v>378</v>
      </c>
      <c r="C51" s="40">
        <v>3</v>
      </c>
      <c r="D51" s="40" t="s">
        <v>286</v>
      </c>
      <c r="E51" s="41" t="s">
        <v>361</v>
      </c>
      <c r="F51" s="41" t="s">
        <v>379</v>
      </c>
      <c r="G51" s="53" t="str">
        <f t="shared" si="36"/>
        <v>[effect:dis_panel, target:block_red, turn:2, animation:enemy_dis_red]</v>
      </c>
      <c r="H51" s="53">
        <f t="shared" si="37"/>
        <v>9</v>
      </c>
      <c r="I51" s="53">
        <f t="shared" si="38"/>
        <v>18</v>
      </c>
      <c r="J51" s="53">
        <f t="shared" si="39"/>
        <v>27</v>
      </c>
      <c r="K51" s="53">
        <f t="shared" si="40"/>
        <v>36</v>
      </c>
      <c r="L51" s="53" t="str">
        <f>IFERROR(VLOOKUP(MID(G51,J51,K51-J51),[5]skilldef!$C:$D,2,FALSE),"-") &amp; " / " &amp; IFERROR(VLOOKUP(MID(G51,H51,I51-H51),[5]skilldef!$A:$B,2,FALSE),"-")</f>
        <v>赤パネルを / ディスパネル</v>
      </c>
      <c r="M51" s="53" t="str">
        <f t="shared" si="41"/>
        <v>none</v>
      </c>
      <c r="N51" s="38" t="str">
        <f t="shared" si="42"/>
        <v>none</v>
      </c>
      <c r="O51" s="53" t="e">
        <f t="shared" si="43"/>
        <v>#VALUE!</v>
      </c>
      <c r="P51" s="53">
        <f t="shared" si="44"/>
        <v>4</v>
      </c>
      <c r="Q51" s="53" t="e">
        <f t="shared" si="45"/>
        <v>#VALUE!</v>
      </c>
      <c r="R51" s="53" t="e">
        <f t="shared" si="46"/>
        <v>#VALUE!</v>
      </c>
      <c r="S51" s="53" t="str">
        <f>IFERROR(VLOOKUP(MID(N51,Q51,R51-Q51),[5]skilldef!$C:$D,2,FALSE),"-") &amp; " / " &amp; IFERROR(VLOOKUP(MID(N51,O51,P51-O51),[5]skilldef!$A:$B,2,FALSE),"-")</f>
        <v>- / -</v>
      </c>
      <c r="T51" s="38" t="str">
        <f t="shared" si="47"/>
        <v>none</v>
      </c>
      <c r="U51" s="53" t="e">
        <f t="shared" si="48"/>
        <v>#VALUE!</v>
      </c>
      <c r="V51" s="53">
        <f t="shared" si="49"/>
        <v>4</v>
      </c>
      <c r="W51" s="53" t="e">
        <f t="shared" si="50"/>
        <v>#VALUE!</v>
      </c>
      <c r="X51" s="53" t="e">
        <f t="shared" si="51"/>
        <v>#VALUE!</v>
      </c>
      <c r="Y51" s="53" t="str">
        <f>IFERROR(VLOOKUP(MID(T51,W51,X51-W51),[5]skilldef!$C:$D,2,FALSE),"-") &amp; " / " &amp; IFERROR(VLOOKUP(MID(T51,U51,V51-U51),[5]skilldef!$A:$B,2,FALSE),"-")</f>
        <v>- / -</v>
      </c>
      <c r="Z51" s="40"/>
      <c r="AA51" s="42"/>
      <c r="AB51" s="40"/>
    </row>
    <row r="52" spans="1:28" ht="21" customHeight="1" x14ac:dyDescent="0.15">
      <c r="A52" s="216">
        <v>41005059</v>
      </c>
      <c r="B52" s="213" t="s">
        <v>366</v>
      </c>
      <c r="C52" s="40">
        <v>3</v>
      </c>
      <c r="D52" s="40" t="s">
        <v>123</v>
      </c>
      <c r="E52" s="41" t="s">
        <v>364</v>
      </c>
      <c r="F52" s="41" t="s">
        <v>365</v>
      </c>
      <c r="G52" s="53" t="str">
        <f t="shared" si="36"/>
        <v>[effect:change_block, new_block:block_heart, target:block_yellow, count:0, val:0.0]</v>
      </c>
      <c r="H52" s="53">
        <f t="shared" si="37"/>
        <v>9</v>
      </c>
      <c r="I52" s="53">
        <f t="shared" si="38"/>
        <v>21</v>
      </c>
      <c r="J52" s="53">
        <f t="shared" si="39"/>
        <v>53</v>
      </c>
      <c r="K52" s="53">
        <f t="shared" si="40"/>
        <v>44</v>
      </c>
      <c r="L52" s="53" t="str">
        <f>IFERROR(VLOOKUP(MID(G52,J52,K52-J52),[5]skilldef!$C:$D,2,FALSE),"-") &amp; " / " &amp; IFERROR(VLOOKUP(MID(G52,H52,I52-H52),[5]skilldef!$A:$B,2,FALSE),"-")</f>
        <v>- / ブロック変換</v>
      </c>
      <c r="M52" s="53" t="str">
        <f t="shared" si="41"/>
        <v>none</v>
      </c>
      <c r="N52" s="38" t="str">
        <f t="shared" si="42"/>
        <v>none</v>
      </c>
      <c r="O52" s="53" t="e">
        <f t="shared" si="43"/>
        <v>#VALUE!</v>
      </c>
      <c r="P52" s="53">
        <f t="shared" si="44"/>
        <v>4</v>
      </c>
      <c r="Q52" s="53" t="e">
        <f t="shared" si="45"/>
        <v>#VALUE!</v>
      </c>
      <c r="R52" s="53" t="e">
        <f t="shared" si="46"/>
        <v>#VALUE!</v>
      </c>
      <c r="S52" s="53" t="str">
        <f>IFERROR(VLOOKUP(MID(N52,Q52,R52-Q52),[5]skilldef!$C:$D,2,FALSE),"-") &amp; " / " &amp; IFERROR(VLOOKUP(MID(N52,O52,P52-O52),[5]skilldef!$A:$B,2,FALSE),"-")</f>
        <v>- / -</v>
      </c>
      <c r="T52" s="38" t="str">
        <f t="shared" si="47"/>
        <v>none</v>
      </c>
      <c r="U52" s="53" t="e">
        <f t="shared" si="48"/>
        <v>#VALUE!</v>
      </c>
      <c r="V52" s="53">
        <f t="shared" si="49"/>
        <v>4</v>
      </c>
      <c r="W52" s="53" t="e">
        <f t="shared" si="50"/>
        <v>#VALUE!</v>
      </c>
      <c r="X52" s="53" t="e">
        <f t="shared" si="51"/>
        <v>#VALUE!</v>
      </c>
      <c r="Y52" s="53" t="str">
        <f>IFERROR(VLOOKUP(MID(T52,W52,X52-W52),[5]skilldef!$C:$D,2,FALSE),"-") &amp; " / " &amp; IFERROR(VLOOKUP(MID(T52,U52,V52-U52),[5]skilldef!$A:$B,2,FALSE),"-")</f>
        <v>- / -</v>
      </c>
      <c r="Z52" s="40"/>
      <c r="AA52" s="42"/>
      <c r="AB52" s="40"/>
    </row>
    <row r="53" spans="1:28" ht="21" customHeight="1" x14ac:dyDescent="0.15">
      <c r="A53" s="216">
        <v>41005060</v>
      </c>
      <c r="B53" s="213" t="s">
        <v>398</v>
      </c>
      <c r="C53" s="40">
        <v>3</v>
      </c>
      <c r="D53" s="40" t="s">
        <v>286</v>
      </c>
      <c r="E53" s="41" t="s">
        <v>360</v>
      </c>
      <c r="F53" s="41" t="s">
        <v>369</v>
      </c>
      <c r="G53" s="53" t="str">
        <f t="shared" ref="G53" si="52">IFERROR(LEFT(B53,FIND("],",B53)),B53)</f>
        <v>[effect:break_enchance_enemy, val:200, lowest_val:1000, count :0, status:attack, turn:-1, block:block_yellow, target:myself, calc:add, animation:enemy_enhance_attack]</v>
      </c>
      <c r="H53" s="53">
        <f t="shared" ref="H53:H56" si="53">FIND("effect:",G53)+7</f>
        <v>9</v>
      </c>
      <c r="I53" s="53">
        <f t="shared" ref="I53:I56" si="54">IFERROR(FIND(",",G53),LEN(G53))</f>
        <v>29</v>
      </c>
      <c r="J53" s="53">
        <f t="shared" ref="J53:J56" si="55">FIND("target:",G53)+7</f>
        <v>118</v>
      </c>
      <c r="K53" s="53">
        <f t="shared" ref="K53:K56" si="56">FIND(",",G53,I53+1)</f>
        <v>38</v>
      </c>
      <c r="L53" s="53" t="str">
        <f>IFERROR(VLOOKUP(MID(G53,J53,K53-J53),[5]skilldef!$C:$D,2,FALSE),"-") &amp; " / " &amp; IFERROR(VLOOKUP(MID(G53,H53,I53-H53),[5]skilldef!$A:$B,2,FALSE),"-")</f>
        <v>- / -</v>
      </c>
      <c r="M53" s="53" t="str">
        <f t="shared" ref="M53" si="57">IFERROR(RIGHT(B53,LEN(B53)-FIND("],",B53)-1),"none")</f>
        <v xml:space="preserve">[effect:freq_turn, target:myself, turn:-1, val:1, animation:enemy_freq_turn]    </v>
      </c>
      <c r="N53" s="38" t="str">
        <f t="shared" ref="N53:N56" si="58">IFERROR(LEFT(M53,FIND("],",M53)+S55),M53)</f>
        <v xml:space="preserve">[effect:freq_turn, target:myself, turn:-1, val:1, animation:enemy_freq_turn]    </v>
      </c>
      <c r="O53" s="53">
        <f t="shared" ref="O53:O56" si="59">FIND("effect:",N53)+7</f>
        <v>9</v>
      </c>
      <c r="P53" s="53">
        <f t="shared" ref="P53:P56" si="60">IFERROR(FIND(",",N53),LEN(N53))</f>
        <v>18</v>
      </c>
      <c r="Q53" s="53">
        <f t="shared" ref="Q53:Q56" si="61">FIND("target:",N53)+7</f>
        <v>27</v>
      </c>
      <c r="R53" s="53">
        <f t="shared" ref="R53:R56" si="62">FIND(",",N53,P53+1)</f>
        <v>33</v>
      </c>
      <c r="S53" s="53" t="str">
        <f>IFERROR(VLOOKUP(MID(N53,Q53,R53-Q53),[5]skilldef!$C:$D,2,FALSE),"-") &amp; " / " &amp; IFERROR(VLOOKUP(MID(N53,O53,P53-O53),[5]skilldef!$A:$B,2,FALSE),"-")</f>
        <v>自分自身に / 攻撃頻度がUP</v>
      </c>
      <c r="T53" s="38" t="str">
        <f t="shared" ref="T53:T56" si="63">IFERROR(RIGHT(M53,LEN(M53)-FIND("],",M53)-1),"none")</f>
        <v>none</v>
      </c>
      <c r="U53" s="53" t="e">
        <f t="shared" ref="U53:U56" si="64">FIND("effect:",T53)+7</f>
        <v>#VALUE!</v>
      </c>
      <c r="V53" s="53">
        <f t="shared" ref="V53:V56" si="65">IFERROR(FIND(",",T53),LEN(T53))</f>
        <v>4</v>
      </c>
      <c r="W53" s="53" t="e">
        <f t="shared" ref="W53:W56" si="66">FIND("target:",T53)+7</f>
        <v>#VALUE!</v>
      </c>
      <c r="X53" s="53" t="e">
        <f t="shared" ref="X53:X56" si="67">FIND(",",T53,V53+1)</f>
        <v>#VALUE!</v>
      </c>
      <c r="Y53" s="53" t="str">
        <f>IFERROR(VLOOKUP(MID(T53,W53,X53-W53),[5]skilldef!$C:$D,2,FALSE),"-") &amp; " / " &amp; IFERROR(VLOOKUP(MID(T53,U53,V53-U53),[5]skilldef!$A:$B,2,FALSE),"-")</f>
        <v>- / -</v>
      </c>
      <c r="Z53" s="40"/>
      <c r="AA53" s="42"/>
      <c r="AB53" s="40"/>
    </row>
    <row r="54" spans="1:28" ht="21" customHeight="1" x14ac:dyDescent="0.15">
      <c r="A54" s="216">
        <v>41005061</v>
      </c>
      <c r="B54" s="213" t="s">
        <v>377</v>
      </c>
      <c r="C54" s="40">
        <v>3</v>
      </c>
      <c r="D54" s="40" t="s">
        <v>286</v>
      </c>
      <c r="E54" s="41" t="s">
        <v>376</v>
      </c>
      <c r="F54" s="41" t="s">
        <v>380</v>
      </c>
      <c r="G54" s="53" t="str">
        <f>IFERROR(LEFT(B54,FIND("],",B54)),B54)</f>
        <v>[effect:rush, count:1, val:1]</v>
      </c>
      <c r="H54" s="53">
        <f t="shared" si="53"/>
        <v>9</v>
      </c>
      <c r="I54" s="53">
        <f t="shared" si="54"/>
        <v>13</v>
      </c>
      <c r="J54" s="53" t="e">
        <f t="shared" si="55"/>
        <v>#VALUE!</v>
      </c>
      <c r="K54" s="53">
        <f t="shared" si="56"/>
        <v>22</v>
      </c>
      <c r="L54" s="53" t="str">
        <f>IFERROR(VLOOKUP(MID(G54,J54,K54-J54),[5]skilldef!$C:$D,2,FALSE),"-") &amp; " / " &amp; IFERROR(VLOOKUP(MID(G54,H54,I54-H54),[5]skilldef!$A:$B,2,FALSE),"-")</f>
        <v>- / 連続攻撃</v>
      </c>
      <c r="M54" s="53" t="str">
        <f>IFERROR(RIGHT(B54,LEN(B54)-FIND("],",B54)-1),"none")</f>
        <v>[effect:force_change_block, new_block:time_bomb, target:block_green, count:0, val:0.2, min_time_count:2, max_time_count:2, animation:change_block]</v>
      </c>
      <c r="N54" s="38" t="str">
        <f t="shared" si="58"/>
        <v>[effect:force_change_block, new_block:time_bomb, target:block_green, count:0, val:0.2, min_time_count:2, max_time_count:2, animation:change_block]</v>
      </c>
      <c r="O54" s="53">
        <f t="shared" si="59"/>
        <v>9</v>
      </c>
      <c r="P54" s="53">
        <f t="shared" si="60"/>
        <v>27</v>
      </c>
      <c r="Q54" s="53">
        <f t="shared" si="61"/>
        <v>57</v>
      </c>
      <c r="R54" s="53">
        <f t="shared" si="62"/>
        <v>48</v>
      </c>
      <c r="S54" s="53" t="str">
        <f>IFERROR(VLOOKUP(MID(N54,Q54,R54-Q54),[5]skilldef!$C:$D,2,FALSE),"-") &amp; " / " &amp; IFERROR(VLOOKUP(MID(N54,O54,P54-O54),[5]skilldef!$A:$B,2,FALSE),"-")</f>
        <v>- / -</v>
      </c>
      <c r="T54" s="38" t="str">
        <f t="shared" si="63"/>
        <v>none</v>
      </c>
      <c r="U54" s="53" t="e">
        <f t="shared" si="64"/>
        <v>#VALUE!</v>
      </c>
      <c r="V54" s="53">
        <f t="shared" si="65"/>
        <v>4</v>
      </c>
      <c r="W54" s="53" t="e">
        <f t="shared" si="66"/>
        <v>#VALUE!</v>
      </c>
      <c r="X54" s="53" t="e">
        <f t="shared" si="67"/>
        <v>#VALUE!</v>
      </c>
      <c r="Y54" s="53" t="str">
        <f>IFERROR(VLOOKUP(MID(T54,W54,X54-W54),[5]skilldef!$C:$D,2,FALSE),"-") &amp; " / " &amp; IFERROR(VLOOKUP(MID(T54,U54,V54-U54),[5]skilldef!$A:$B,2,FALSE),"-")</f>
        <v>- / -</v>
      </c>
      <c r="Z54" s="40"/>
      <c r="AA54" s="42"/>
      <c r="AB54" s="40"/>
    </row>
    <row r="55" spans="1:28" ht="21" customHeight="1" x14ac:dyDescent="0.15">
      <c r="A55" s="216">
        <v>41005062</v>
      </c>
      <c r="B55" s="213" t="s">
        <v>408</v>
      </c>
      <c r="C55" s="40">
        <v>3</v>
      </c>
      <c r="D55" s="40" t="s">
        <v>286</v>
      </c>
      <c r="E55" s="41" t="s">
        <v>247</v>
      </c>
      <c r="F55" s="41" t="s">
        <v>265</v>
      </c>
      <c r="G55" s="53" t="str">
        <f>IFERROR(LEFT(B55,FIND("],",B55)),B55)</f>
        <v>[effect:force_change_block, new_block:jammer, target:block_all, ignore01:block_positive, ignore02:block_negative, count:15, val:0]</v>
      </c>
      <c r="H55" s="53">
        <f t="shared" si="53"/>
        <v>9</v>
      </c>
      <c r="I55" s="53">
        <f t="shared" si="54"/>
        <v>27</v>
      </c>
      <c r="J55" s="53">
        <f t="shared" si="55"/>
        <v>54</v>
      </c>
      <c r="K55" s="53">
        <f t="shared" si="56"/>
        <v>45</v>
      </c>
      <c r="L55" s="53" t="str">
        <f>IFERROR(VLOOKUP(MID(G55,J55,K55-J55),[5]skilldef!$C:$D,2,FALSE),"-") &amp; " / " &amp; IFERROR(VLOOKUP(MID(G55,H55,I55-H55),[5]skilldef!$A:$B,2,FALSE),"-")</f>
        <v>- / -</v>
      </c>
      <c r="M55" s="53" t="str">
        <f>IFERROR(RIGHT(B55,LEN(B55)-FIND("],",B55)-1),"none")</f>
        <v>none</v>
      </c>
      <c r="N55" s="38" t="str">
        <f t="shared" si="58"/>
        <v>none</v>
      </c>
      <c r="O55" s="53" t="e">
        <f t="shared" si="59"/>
        <v>#VALUE!</v>
      </c>
      <c r="P55" s="53">
        <f t="shared" si="60"/>
        <v>4</v>
      </c>
      <c r="Q55" s="53" t="e">
        <f t="shared" si="61"/>
        <v>#VALUE!</v>
      </c>
      <c r="R55" s="53" t="e">
        <f t="shared" si="62"/>
        <v>#VALUE!</v>
      </c>
      <c r="S55" s="53" t="str">
        <f>IFERROR(VLOOKUP(MID(N55,Q55,R55-Q55),[5]skilldef!$C:$D,2,FALSE),"-") &amp; " / " &amp; IFERROR(VLOOKUP(MID(N55,O55,P55-O55),[5]skilldef!$A:$B,2,FALSE),"-")</f>
        <v>- / -</v>
      </c>
      <c r="T55" s="38" t="str">
        <f t="shared" si="63"/>
        <v>none</v>
      </c>
      <c r="U55" s="53" t="e">
        <f t="shared" si="64"/>
        <v>#VALUE!</v>
      </c>
      <c r="V55" s="53">
        <f t="shared" si="65"/>
        <v>4</v>
      </c>
      <c r="W55" s="53" t="e">
        <f t="shared" si="66"/>
        <v>#VALUE!</v>
      </c>
      <c r="X55" s="53" t="e">
        <f t="shared" si="67"/>
        <v>#VALUE!</v>
      </c>
      <c r="Y55" s="53" t="str">
        <f>IFERROR(VLOOKUP(MID(T55,W55,X55-W55),[5]skilldef!$C:$D,2,FALSE),"-") &amp; " / " &amp; IFERROR(VLOOKUP(MID(T55,U55,V55-U55),[5]skilldef!$A:$B,2,FALSE),"-")</f>
        <v>- / -</v>
      </c>
      <c r="Z55" s="40"/>
      <c r="AA55" s="42"/>
      <c r="AB55" s="40"/>
    </row>
    <row r="56" spans="1:28" ht="21" customHeight="1" x14ac:dyDescent="0.15">
      <c r="A56" s="216">
        <v>41005063</v>
      </c>
      <c r="B56" s="213" t="s">
        <v>383</v>
      </c>
      <c r="C56" s="40">
        <v>3</v>
      </c>
      <c r="D56" s="40" t="s">
        <v>286</v>
      </c>
      <c r="E56" s="41" t="s">
        <v>382</v>
      </c>
      <c r="F56" s="41" t="s">
        <v>384</v>
      </c>
      <c r="G56" s="53" t="str">
        <f>IFERROR(LEFT(B56,FIND("],",B56)),B56)</f>
        <v xml:space="preserve">[effect:enemy_message, val1:2, val2:2]    </v>
      </c>
      <c r="H56" s="53">
        <f t="shared" si="53"/>
        <v>9</v>
      </c>
      <c r="I56" s="53">
        <f t="shared" si="54"/>
        <v>22</v>
      </c>
      <c r="J56" s="53" t="e">
        <f t="shared" si="55"/>
        <v>#VALUE!</v>
      </c>
      <c r="K56" s="53">
        <f t="shared" si="56"/>
        <v>30</v>
      </c>
      <c r="L56" s="53" t="str">
        <f>IFERROR(VLOOKUP(MID(G56,J56,K56-J56),[5]skilldef!$C:$D,2,FALSE),"-") &amp; " / " &amp; IFERROR(VLOOKUP(MID(G56,H56,I56-H56),[5]skilldef!$A:$B,2,FALSE),"-")</f>
        <v>- / -</v>
      </c>
      <c r="M56" s="53" t="str">
        <f>IFERROR(RIGHT(B56,LEN(B56)-FIND("],",B56)-1),"none")</f>
        <v>none</v>
      </c>
      <c r="N56" s="38" t="str">
        <f t="shared" si="58"/>
        <v>none</v>
      </c>
      <c r="O56" s="53" t="e">
        <f t="shared" si="59"/>
        <v>#VALUE!</v>
      </c>
      <c r="P56" s="53">
        <f t="shared" si="60"/>
        <v>4</v>
      </c>
      <c r="Q56" s="53" t="e">
        <f t="shared" si="61"/>
        <v>#VALUE!</v>
      </c>
      <c r="R56" s="53" t="e">
        <f t="shared" si="62"/>
        <v>#VALUE!</v>
      </c>
      <c r="S56" s="53" t="str">
        <f>IFERROR(VLOOKUP(MID(N56,Q56,R56-Q56),[5]skilldef!$C:$D,2,FALSE),"-") &amp; " / " &amp; IFERROR(VLOOKUP(MID(N56,O56,P56-O56),[5]skilldef!$A:$B,2,FALSE),"-")</f>
        <v>- / -</v>
      </c>
      <c r="T56" s="38" t="str">
        <f t="shared" si="63"/>
        <v>none</v>
      </c>
      <c r="U56" s="53" t="e">
        <f t="shared" si="64"/>
        <v>#VALUE!</v>
      </c>
      <c r="V56" s="53">
        <f t="shared" si="65"/>
        <v>4</v>
      </c>
      <c r="W56" s="53" t="e">
        <f t="shared" si="66"/>
        <v>#VALUE!</v>
      </c>
      <c r="X56" s="53" t="e">
        <f t="shared" si="67"/>
        <v>#VALUE!</v>
      </c>
      <c r="Y56" s="53" t="str">
        <f>IFERROR(VLOOKUP(MID(T56,W56,X56-W56),[5]skilldef!$C:$D,2,FALSE),"-") &amp; " / " &amp; IFERROR(VLOOKUP(MID(T56,U56,V56-U56),[5]skilldef!$A:$B,2,FALSE),"-")</f>
        <v>- / -</v>
      </c>
      <c r="Z56" s="40"/>
      <c r="AA56" s="42"/>
      <c r="AB56" s="40"/>
    </row>
    <row r="57" spans="1:28" ht="21" customHeight="1" x14ac:dyDescent="0.15">
      <c r="A57" s="216">
        <v>41005064</v>
      </c>
      <c r="B57" s="213" t="s">
        <v>405</v>
      </c>
      <c r="C57" s="40">
        <v>3</v>
      </c>
      <c r="D57" s="40" t="s">
        <v>286</v>
      </c>
      <c r="E57" s="41" t="s">
        <v>243</v>
      </c>
      <c r="F57" s="41" t="s">
        <v>391</v>
      </c>
      <c r="G57" s="53"/>
      <c r="H57" s="53"/>
      <c r="I57" s="53"/>
      <c r="J57" s="53"/>
      <c r="K57" s="53"/>
      <c r="L57" s="53"/>
      <c r="M57" s="53"/>
      <c r="N57" s="38"/>
      <c r="O57" s="53"/>
      <c r="P57" s="53"/>
      <c r="Q57" s="53"/>
      <c r="R57" s="53"/>
      <c r="S57" s="53"/>
      <c r="T57" s="38"/>
      <c r="U57" s="53"/>
      <c r="V57" s="53"/>
      <c r="W57" s="53"/>
      <c r="X57" s="53"/>
      <c r="Y57" s="53"/>
      <c r="Z57" s="40"/>
      <c r="AA57" s="42"/>
      <c r="AB57" s="40"/>
    </row>
    <row r="58" spans="1:28" ht="21" customHeight="1" x14ac:dyDescent="0.15">
      <c r="A58" s="216">
        <v>41005065</v>
      </c>
      <c r="B58" s="213" t="s">
        <v>405</v>
      </c>
      <c r="C58" s="40">
        <v>3</v>
      </c>
      <c r="D58" s="40" t="s">
        <v>286</v>
      </c>
      <c r="E58" s="41" t="s">
        <v>249</v>
      </c>
      <c r="F58" s="41" t="s">
        <v>391</v>
      </c>
      <c r="G58" s="53"/>
      <c r="H58" s="53"/>
      <c r="I58" s="53"/>
      <c r="J58" s="53"/>
      <c r="K58" s="53"/>
      <c r="L58" s="53"/>
      <c r="M58" s="53"/>
      <c r="N58" s="38"/>
      <c r="O58" s="53"/>
      <c r="P58" s="53"/>
      <c r="Q58" s="53"/>
      <c r="R58" s="53"/>
      <c r="S58" s="53"/>
      <c r="T58" s="38"/>
      <c r="U58" s="53"/>
      <c r="V58" s="53"/>
      <c r="W58" s="53"/>
      <c r="X58" s="53"/>
      <c r="Y58" s="53"/>
      <c r="Z58" s="40"/>
      <c r="AA58" s="42"/>
      <c r="AB58" s="40"/>
    </row>
    <row r="59" spans="1:28" ht="21" customHeight="1" x14ac:dyDescent="0.15">
      <c r="A59" s="216">
        <v>41005066</v>
      </c>
      <c r="B59" s="213" t="s">
        <v>406</v>
      </c>
      <c r="C59" s="40">
        <v>3</v>
      </c>
      <c r="D59" s="40" t="s">
        <v>286</v>
      </c>
      <c r="E59" s="41" t="s">
        <v>250</v>
      </c>
      <c r="F59" s="41" t="s">
        <v>391</v>
      </c>
      <c r="G59" s="53"/>
      <c r="H59" s="53"/>
      <c r="I59" s="53"/>
      <c r="J59" s="53"/>
      <c r="K59" s="53"/>
      <c r="L59" s="53"/>
      <c r="M59" s="53"/>
      <c r="N59" s="38"/>
      <c r="O59" s="53"/>
      <c r="P59" s="53"/>
      <c r="Q59" s="53"/>
      <c r="R59" s="53"/>
      <c r="S59" s="53"/>
      <c r="T59" s="38"/>
      <c r="U59" s="53"/>
      <c r="V59" s="53"/>
      <c r="W59" s="53"/>
      <c r="X59" s="53"/>
      <c r="Y59" s="53"/>
      <c r="Z59" s="40"/>
      <c r="AA59" s="42"/>
      <c r="AB59" s="40"/>
    </row>
    <row r="60" spans="1:28" ht="21" customHeight="1" x14ac:dyDescent="0.15">
      <c r="A60" s="216"/>
      <c r="B60" s="213"/>
      <c r="C60" s="40"/>
      <c r="D60" s="40"/>
      <c r="E60" s="41"/>
      <c r="F60" s="41"/>
      <c r="G60" s="53"/>
      <c r="H60" s="53"/>
      <c r="I60" s="53"/>
      <c r="J60" s="53"/>
      <c r="K60" s="53"/>
      <c r="L60" s="53"/>
      <c r="M60" s="53"/>
      <c r="N60" s="38"/>
      <c r="O60" s="53"/>
      <c r="P60" s="53"/>
      <c r="Q60" s="53"/>
      <c r="R60" s="53"/>
      <c r="S60" s="53"/>
      <c r="T60" s="38"/>
      <c r="U60" s="53"/>
      <c r="V60" s="53"/>
      <c r="W60" s="53"/>
      <c r="X60" s="53"/>
      <c r="Y60" s="53"/>
      <c r="Z60" s="40"/>
      <c r="AA60" s="42"/>
      <c r="AB60" s="4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0"/>
  <sheetViews>
    <sheetView showGridLines="0" zoomScale="135" zoomScaleNormal="75" zoomScalePageLayoutView="75" workbookViewId="0">
      <pane ySplit="1" topLeftCell="A26" activePane="bottomLeft" state="frozenSplit"/>
      <selection pane="bottomLeft" activeCell="G42" sqref="G42"/>
    </sheetView>
  </sheetViews>
  <sheetFormatPr baseColWidth="12" defaultColWidth="12.83203125" defaultRowHeight="21" customHeight="1" x14ac:dyDescent="0.15"/>
  <cols>
    <col min="1" max="1" width="16.1640625" style="39" bestFit="1" customWidth="1"/>
    <col min="2" max="2" width="13.33203125" style="39" bestFit="1" customWidth="1"/>
    <col min="3" max="3" width="11.83203125" style="39" bestFit="1" customWidth="1"/>
    <col min="4" max="4" width="14.6640625" style="39" bestFit="1" customWidth="1"/>
    <col min="5" max="5" width="15.6640625" style="39" bestFit="1" customWidth="1"/>
    <col min="6" max="6" width="17" style="39" bestFit="1" customWidth="1"/>
    <col min="7" max="7" width="15.6640625" style="39" bestFit="1" customWidth="1"/>
    <col min="8" max="9" width="14.6640625" style="39" customWidth="1"/>
    <col min="10" max="10" width="14.6640625" style="39" bestFit="1" customWidth="1"/>
    <col min="11" max="11" width="22.83203125" style="31" bestFit="1" customWidth="1"/>
    <col min="12" max="16384" width="12.83203125" style="36"/>
  </cols>
  <sheetData>
    <row r="1" spans="1:11" ht="21" customHeight="1" x14ac:dyDescent="0.15">
      <c r="A1" s="34" t="s">
        <v>81</v>
      </c>
      <c r="B1" s="34" t="s">
        <v>82</v>
      </c>
      <c r="C1" s="34" t="s">
        <v>83</v>
      </c>
      <c r="D1" s="34" t="s">
        <v>84</v>
      </c>
      <c r="E1" s="34" t="s">
        <v>69</v>
      </c>
      <c r="F1" s="43" t="s">
        <v>70</v>
      </c>
      <c r="G1" s="43" t="s">
        <v>71</v>
      </c>
      <c r="H1" s="34" t="s">
        <v>72</v>
      </c>
      <c r="I1" s="34" t="s">
        <v>73</v>
      </c>
      <c r="J1" s="34" t="s">
        <v>74</v>
      </c>
      <c r="K1" s="44" t="s">
        <v>85</v>
      </c>
    </row>
    <row r="2" spans="1:11" ht="21" customHeight="1" x14ac:dyDescent="0.15">
      <c r="A2" s="216">
        <v>41005001</v>
      </c>
      <c r="B2" s="217">
        <v>0</v>
      </c>
      <c r="C2" s="217">
        <v>1</v>
      </c>
      <c r="D2" s="217">
        <v>100</v>
      </c>
      <c r="E2" s="217" t="s">
        <v>209</v>
      </c>
      <c r="F2" s="217" t="s">
        <v>209</v>
      </c>
      <c r="G2" s="217" t="s">
        <v>209</v>
      </c>
      <c r="H2" s="217" t="s">
        <v>53</v>
      </c>
      <c r="I2" s="217" t="s">
        <v>209</v>
      </c>
      <c r="J2" s="218">
        <f>D2</f>
        <v>100</v>
      </c>
      <c r="K2" s="219"/>
    </row>
    <row r="3" spans="1:11" ht="21" customHeight="1" x14ac:dyDescent="0.15">
      <c r="A3" s="213">
        <v>41005002</v>
      </c>
      <c r="B3" s="220">
        <v>1</v>
      </c>
      <c r="C3" s="220">
        <v>1</v>
      </c>
      <c r="D3" s="220">
        <v>100</v>
      </c>
      <c r="E3" s="220" t="s">
        <v>209</v>
      </c>
      <c r="F3" s="220" t="s">
        <v>209</v>
      </c>
      <c r="G3" s="220">
        <v>1</v>
      </c>
      <c r="H3" s="220" t="s">
        <v>280</v>
      </c>
      <c r="I3" s="220" t="s">
        <v>209</v>
      </c>
      <c r="J3" s="218">
        <f t="shared" ref="J3:J40" si="0">D3</f>
        <v>100</v>
      </c>
      <c r="K3" s="219"/>
    </row>
    <row r="4" spans="1:11" ht="21" customHeight="1" x14ac:dyDescent="0.15">
      <c r="A4" s="216">
        <v>41005003</v>
      </c>
      <c r="B4" s="220">
        <v>0</v>
      </c>
      <c r="C4" s="220">
        <v>1</v>
      </c>
      <c r="D4" s="220">
        <v>100</v>
      </c>
      <c r="E4" s="220" t="s">
        <v>209</v>
      </c>
      <c r="F4" s="220" t="s">
        <v>209</v>
      </c>
      <c r="G4" s="220">
        <v>1</v>
      </c>
      <c r="H4" s="220" t="s">
        <v>280</v>
      </c>
      <c r="I4" s="220">
        <v>245</v>
      </c>
      <c r="J4" s="218">
        <f t="shared" si="0"/>
        <v>100</v>
      </c>
      <c r="K4" s="219"/>
    </row>
    <row r="5" spans="1:11" ht="21" customHeight="1" x14ac:dyDescent="0.15">
      <c r="A5" s="213">
        <v>41005004</v>
      </c>
      <c r="B5" s="220">
        <v>0</v>
      </c>
      <c r="C5" s="220">
        <v>1</v>
      </c>
      <c r="D5" s="220">
        <v>100</v>
      </c>
      <c r="E5" s="220">
        <v>80</v>
      </c>
      <c r="F5" s="220" t="s">
        <v>209</v>
      </c>
      <c r="G5" s="220">
        <v>1</v>
      </c>
      <c r="H5" s="220" t="s">
        <v>280</v>
      </c>
      <c r="I5" s="220" t="s">
        <v>280</v>
      </c>
      <c r="J5" s="218">
        <f t="shared" si="0"/>
        <v>100</v>
      </c>
      <c r="K5" s="219"/>
    </row>
    <row r="6" spans="1:11" ht="21" customHeight="1" x14ac:dyDescent="0.15">
      <c r="A6" s="216">
        <v>41005005</v>
      </c>
      <c r="B6" s="220">
        <v>0</v>
      </c>
      <c r="C6" s="220">
        <v>1</v>
      </c>
      <c r="D6" s="220">
        <v>100</v>
      </c>
      <c r="E6" s="220">
        <v>35</v>
      </c>
      <c r="F6" s="220" t="s">
        <v>209</v>
      </c>
      <c r="G6" s="220">
        <v>1</v>
      </c>
      <c r="H6" s="220" t="s">
        <v>209</v>
      </c>
      <c r="I6" s="220" t="s">
        <v>280</v>
      </c>
      <c r="J6" s="218">
        <f t="shared" si="0"/>
        <v>100</v>
      </c>
      <c r="K6" s="219"/>
    </row>
    <row r="7" spans="1:11" ht="21" customHeight="1" x14ac:dyDescent="0.15">
      <c r="A7" s="213">
        <v>41005006</v>
      </c>
      <c r="B7" s="220">
        <v>0</v>
      </c>
      <c r="C7" s="220">
        <v>1</v>
      </c>
      <c r="D7" s="220">
        <v>65</v>
      </c>
      <c r="E7" s="220" t="s">
        <v>280</v>
      </c>
      <c r="F7" s="220" t="s">
        <v>209</v>
      </c>
      <c r="G7" s="220">
        <v>5</v>
      </c>
      <c r="H7" s="220" t="s">
        <v>209</v>
      </c>
      <c r="I7" s="220" t="s">
        <v>280</v>
      </c>
      <c r="J7" s="218">
        <f t="shared" si="0"/>
        <v>65</v>
      </c>
      <c r="K7" s="219"/>
    </row>
    <row r="8" spans="1:11" ht="21" customHeight="1" x14ac:dyDescent="0.15">
      <c r="A8" s="216">
        <v>41005007</v>
      </c>
      <c r="B8" s="220">
        <v>0</v>
      </c>
      <c r="C8" s="220">
        <v>1</v>
      </c>
      <c r="D8" s="220">
        <v>100</v>
      </c>
      <c r="E8" s="220">
        <v>30</v>
      </c>
      <c r="F8" s="220" t="s">
        <v>209</v>
      </c>
      <c r="G8" s="220">
        <v>1</v>
      </c>
      <c r="H8" s="220" t="s">
        <v>209</v>
      </c>
      <c r="I8" s="220" t="s">
        <v>280</v>
      </c>
      <c r="J8" s="218">
        <f t="shared" si="0"/>
        <v>100</v>
      </c>
      <c r="K8" s="219"/>
    </row>
    <row r="9" spans="1:11" ht="21" customHeight="1" x14ac:dyDescent="0.15">
      <c r="A9" s="213">
        <v>41005008</v>
      </c>
      <c r="B9" s="220">
        <v>0</v>
      </c>
      <c r="C9" s="220">
        <v>1</v>
      </c>
      <c r="D9" s="220">
        <v>100</v>
      </c>
      <c r="E9" s="220" t="s">
        <v>280</v>
      </c>
      <c r="F9" s="220" t="s">
        <v>209</v>
      </c>
      <c r="G9" s="220">
        <v>1</v>
      </c>
      <c r="H9" s="220" t="s">
        <v>209</v>
      </c>
      <c r="I9" s="220">
        <v>176</v>
      </c>
      <c r="J9" s="218">
        <f t="shared" si="0"/>
        <v>100</v>
      </c>
      <c r="K9" s="219"/>
    </row>
    <row r="10" spans="1:11" ht="21" customHeight="1" x14ac:dyDescent="0.15">
      <c r="A10" s="216">
        <v>41005009</v>
      </c>
      <c r="B10" s="220">
        <v>0</v>
      </c>
      <c r="C10" s="220">
        <v>1</v>
      </c>
      <c r="D10" s="220">
        <v>100</v>
      </c>
      <c r="E10" s="220" t="s">
        <v>280</v>
      </c>
      <c r="F10" s="220" t="s">
        <v>209</v>
      </c>
      <c r="G10" s="220">
        <v>1</v>
      </c>
      <c r="H10" s="220">
        <v>2</v>
      </c>
      <c r="I10" s="220" t="s">
        <v>280</v>
      </c>
      <c r="J10" s="218">
        <f t="shared" si="0"/>
        <v>100</v>
      </c>
      <c r="K10" s="219"/>
    </row>
    <row r="11" spans="1:11" ht="21" customHeight="1" x14ac:dyDescent="0.15">
      <c r="A11" s="213">
        <v>41005010</v>
      </c>
      <c r="B11" s="220">
        <v>0</v>
      </c>
      <c r="C11" s="220">
        <v>2</v>
      </c>
      <c r="D11" s="220">
        <v>100</v>
      </c>
      <c r="E11" s="220" t="s">
        <v>280</v>
      </c>
      <c r="F11" s="220" t="s">
        <v>209</v>
      </c>
      <c r="G11" s="220">
        <v>1</v>
      </c>
      <c r="H11" s="220">
        <v>4</v>
      </c>
      <c r="I11" s="220" t="s">
        <v>280</v>
      </c>
      <c r="J11" s="218">
        <f t="shared" si="0"/>
        <v>100</v>
      </c>
      <c r="K11" s="219"/>
    </row>
    <row r="12" spans="1:11" ht="21" customHeight="1" x14ac:dyDescent="0.15">
      <c r="A12" s="216">
        <v>41005011</v>
      </c>
      <c r="B12" s="220">
        <v>0</v>
      </c>
      <c r="C12" s="220">
        <v>3</v>
      </c>
      <c r="D12" s="220">
        <v>100</v>
      </c>
      <c r="E12" s="220" t="s">
        <v>280</v>
      </c>
      <c r="F12" s="220" t="s">
        <v>209</v>
      </c>
      <c r="G12" s="220">
        <v>1</v>
      </c>
      <c r="H12" s="220">
        <v>6</v>
      </c>
      <c r="I12" s="220" t="s">
        <v>280</v>
      </c>
      <c r="J12" s="218">
        <f t="shared" si="0"/>
        <v>100</v>
      </c>
      <c r="K12" s="219"/>
    </row>
    <row r="13" spans="1:11" ht="21" customHeight="1" x14ac:dyDescent="0.15">
      <c r="A13" s="213">
        <v>41005012</v>
      </c>
      <c r="B13" s="220">
        <v>0</v>
      </c>
      <c r="C13" s="220">
        <v>3</v>
      </c>
      <c r="D13" s="220">
        <v>33</v>
      </c>
      <c r="E13" s="220" t="s">
        <v>280</v>
      </c>
      <c r="F13" s="220" t="s">
        <v>209</v>
      </c>
      <c r="G13" s="220" t="s">
        <v>280</v>
      </c>
      <c r="H13" s="220" t="s">
        <v>280</v>
      </c>
      <c r="I13" s="220" t="s">
        <v>280</v>
      </c>
      <c r="J13" s="218">
        <f t="shared" si="0"/>
        <v>33</v>
      </c>
      <c r="K13" s="219"/>
    </row>
    <row r="14" spans="1:11" ht="21" customHeight="1" x14ac:dyDescent="0.15">
      <c r="A14" s="216">
        <v>41005013</v>
      </c>
      <c r="B14" s="220">
        <v>0</v>
      </c>
      <c r="C14" s="220">
        <v>2</v>
      </c>
      <c r="D14" s="220">
        <v>50</v>
      </c>
      <c r="E14" s="220" t="s">
        <v>280</v>
      </c>
      <c r="F14" s="220" t="s">
        <v>209</v>
      </c>
      <c r="G14" s="220" t="s">
        <v>280</v>
      </c>
      <c r="H14" s="220" t="s">
        <v>280</v>
      </c>
      <c r="I14" s="220" t="s">
        <v>280</v>
      </c>
      <c r="J14" s="218">
        <f t="shared" si="0"/>
        <v>50</v>
      </c>
      <c r="K14" s="219"/>
    </row>
    <row r="15" spans="1:11" ht="21" customHeight="1" x14ac:dyDescent="0.15">
      <c r="A15" s="213">
        <v>41005014</v>
      </c>
      <c r="B15" s="220">
        <v>0</v>
      </c>
      <c r="C15" s="220">
        <v>1</v>
      </c>
      <c r="D15" s="220">
        <v>100</v>
      </c>
      <c r="E15" s="220" t="s">
        <v>280</v>
      </c>
      <c r="F15" s="220" t="s">
        <v>209</v>
      </c>
      <c r="G15" s="220" t="s">
        <v>280</v>
      </c>
      <c r="H15" s="220" t="s">
        <v>280</v>
      </c>
      <c r="I15" s="220" t="s">
        <v>280</v>
      </c>
      <c r="J15" s="218">
        <f t="shared" si="0"/>
        <v>100</v>
      </c>
      <c r="K15" s="219"/>
    </row>
    <row r="16" spans="1:11" ht="21" customHeight="1" x14ac:dyDescent="0.15">
      <c r="A16" s="216">
        <v>41005015</v>
      </c>
      <c r="B16" s="220">
        <v>0</v>
      </c>
      <c r="C16" s="220">
        <v>1</v>
      </c>
      <c r="D16" s="220">
        <v>100</v>
      </c>
      <c r="E16" s="220" t="s">
        <v>280</v>
      </c>
      <c r="F16" s="220" t="s">
        <v>209</v>
      </c>
      <c r="G16" s="220">
        <v>1</v>
      </c>
      <c r="H16" s="220" t="s">
        <v>209</v>
      </c>
      <c r="I16" s="220">
        <v>212</v>
      </c>
      <c r="J16" s="218">
        <f t="shared" si="0"/>
        <v>100</v>
      </c>
      <c r="K16" s="219"/>
    </row>
    <row r="17" spans="1:11" ht="21" customHeight="1" x14ac:dyDescent="0.15">
      <c r="A17" s="213">
        <v>41005016</v>
      </c>
      <c r="B17" s="220">
        <v>0</v>
      </c>
      <c r="C17" s="220">
        <v>1</v>
      </c>
      <c r="D17" s="220">
        <v>100</v>
      </c>
      <c r="E17" s="220" t="s">
        <v>280</v>
      </c>
      <c r="F17" s="220" t="s">
        <v>209</v>
      </c>
      <c r="G17" s="220">
        <v>1</v>
      </c>
      <c r="H17" s="220" t="s">
        <v>209</v>
      </c>
      <c r="I17" s="220">
        <v>242</v>
      </c>
      <c r="J17" s="218">
        <f t="shared" si="0"/>
        <v>100</v>
      </c>
      <c r="K17" s="219"/>
    </row>
    <row r="18" spans="1:11" ht="21" customHeight="1" x14ac:dyDescent="0.15">
      <c r="A18" s="216">
        <v>41005017</v>
      </c>
      <c r="B18" s="220">
        <v>0</v>
      </c>
      <c r="C18" s="220">
        <v>3</v>
      </c>
      <c r="D18" s="220">
        <v>100</v>
      </c>
      <c r="E18" s="220">
        <v>35</v>
      </c>
      <c r="F18" s="220" t="s">
        <v>209</v>
      </c>
      <c r="G18" s="220">
        <v>1</v>
      </c>
      <c r="H18" s="220" t="s">
        <v>209</v>
      </c>
      <c r="I18" s="220" t="s">
        <v>280</v>
      </c>
      <c r="J18" s="218">
        <f t="shared" si="0"/>
        <v>100</v>
      </c>
      <c r="K18" s="219"/>
    </row>
    <row r="19" spans="1:11" ht="21" customHeight="1" x14ac:dyDescent="0.15">
      <c r="A19" s="213">
        <v>41005018</v>
      </c>
      <c r="B19" s="220">
        <v>0</v>
      </c>
      <c r="C19" s="220">
        <v>2</v>
      </c>
      <c r="D19" s="220">
        <v>100</v>
      </c>
      <c r="E19" s="220">
        <v>35</v>
      </c>
      <c r="F19" s="220" t="s">
        <v>209</v>
      </c>
      <c r="G19" s="220">
        <v>1</v>
      </c>
      <c r="H19" s="220" t="s">
        <v>209</v>
      </c>
      <c r="I19" s="220" t="s">
        <v>280</v>
      </c>
      <c r="J19" s="218">
        <f t="shared" si="0"/>
        <v>100</v>
      </c>
      <c r="K19" s="219"/>
    </row>
    <row r="20" spans="1:11" ht="21" customHeight="1" x14ac:dyDescent="0.15">
      <c r="A20" s="216">
        <v>41005019</v>
      </c>
      <c r="B20" s="220">
        <v>0</v>
      </c>
      <c r="C20" s="220">
        <v>3</v>
      </c>
      <c r="D20" s="220">
        <v>100</v>
      </c>
      <c r="E20" s="220" t="s">
        <v>280</v>
      </c>
      <c r="F20" s="220" t="s">
        <v>209</v>
      </c>
      <c r="G20" s="220">
        <v>1</v>
      </c>
      <c r="H20" s="220">
        <v>1</v>
      </c>
      <c r="I20" s="220" t="s">
        <v>280</v>
      </c>
      <c r="J20" s="218">
        <f t="shared" si="0"/>
        <v>100</v>
      </c>
      <c r="K20" s="219"/>
    </row>
    <row r="21" spans="1:11" ht="21" customHeight="1" x14ac:dyDescent="0.15">
      <c r="A21" s="213">
        <v>41005020</v>
      </c>
      <c r="B21" s="220">
        <v>0</v>
      </c>
      <c r="C21" s="220">
        <v>3</v>
      </c>
      <c r="D21" s="220">
        <v>100</v>
      </c>
      <c r="E21" s="220" t="s">
        <v>280</v>
      </c>
      <c r="F21" s="220" t="s">
        <v>209</v>
      </c>
      <c r="G21" s="220">
        <v>1</v>
      </c>
      <c r="H21" s="220">
        <v>2</v>
      </c>
      <c r="I21" s="220" t="s">
        <v>280</v>
      </c>
      <c r="J21" s="218">
        <f t="shared" si="0"/>
        <v>100</v>
      </c>
      <c r="K21" s="219"/>
    </row>
    <row r="22" spans="1:11" ht="21" customHeight="1" x14ac:dyDescent="0.15">
      <c r="A22" s="216">
        <v>41005021</v>
      </c>
      <c r="B22" s="220">
        <v>0</v>
      </c>
      <c r="C22" s="220">
        <v>3</v>
      </c>
      <c r="D22" s="220">
        <v>100</v>
      </c>
      <c r="E22" s="220" t="s">
        <v>280</v>
      </c>
      <c r="F22" s="220" t="s">
        <v>209</v>
      </c>
      <c r="G22" s="220">
        <v>1</v>
      </c>
      <c r="H22" s="220">
        <v>3</v>
      </c>
      <c r="I22" s="220" t="s">
        <v>280</v>
      </c>
      <c r="J22" s="218">
        <f t="shared" si="0"/>
        <v>100</v>
      </c>
      <c r="K22" s="219"/>
    </row>
    <row r="23" spans="1:11" ht="21" customHeight="1" x14ac:dyDescent="0.15">
      <c r="A23" s="213">
        <v>41005022</v>
      </c>
      <c r="B23" s="220">
        <v>0</v>
      </c>
      <c r="C23" s="220">
        <v>3</v>
      </c>
      <c r="D23" s="220">
        <v>100</v>
      </c>
      <c r="E23" s="220" t="s">
        <v>280</v>
      </c>
      <c r="F23" s="220" t="s">
        <v>209</v>
      </c>
      <c r="G23" s="220">
        <v>1</v>
      </c>
      <c r="H23" s="220">
        <v>4</v>
      </c>
      <c r="I23" s="220" t="s">
        <v>280</v>
      </c>
      <c r="J23" s="218">
        <f t="shared" si="0"/>
        <v>100</v>
      </c>
      <c r="K23" s="219"/>
    </row>
    <row r="24" spans="1:11" ht="21" customHeight="1" x14ac:dyDescent="0.15">
      <c r="A24" s="216">
        <v>41005023</v>
      </c>
      <c r="B24" s="220">
        <v>0</v>
      </c>
      <c r="C24" s="220">
        <v>3</v>
      </c>
      <c r="D24" s="220">
        <v>100</v>
      </c>
      <c r="E24" s="220" t="s">
        <v>280</v>
      </c>
      <c r="F24" s="220" t="s">
        <v>209</v>
      </c>
      <c r="G24" s="220">
        <v>1</v>
      </c>
      <c r="H24" s="220">
        <v>5</v>
      </c>
      <c r="I24" s="220" t="s">
        <v>280</v>
      </c>
      <c r="J24" s="218">
        <f t="shared" si="0"/>
        <v>100</v>
      </c>
      <c r="K24" s="219"/>
    </row>
    <row r="25" spans="1:11" ht="21" customHeight="1" x14ac:dyDescent="0.15">
      <c r="A25" s="213">
        <v>41005024</v>
      </c>
      <c r="B25" s="220">
        <v>0</v>
      </c>
      <c r="C25" s="220">
        <v>3</v>
      </c>
      <c r="D25" s="220">
        <v>100</v>
      </c>
      <c r="E25" s="220" t="s">
        <v>280</v>
      </c>
      <c r="F25" s="220" t="s">
        <v>209</v>
      </c>
      <c r="G25" s="220">
        <v>1</v>
      </c>
      <c r="H25" s="220">
        <v>6</v>
      </c>
      <c r="I25" s="220" t="s">
        <v>280</v>
      </c>
      <c r="J25" s="218">
        <f t="shared" si="0"/>
        <v>100</v>
      </c>
      <c r="K25" s="219"/>
    </row>
    <row r="26" spans="1:11" ht="21" customHeight="1" x14ac:dyDescent="0.15">
      <c r="A26" s="216">
        <v>41005025</v>
      </c>
      <c r="B26" s="220">
        <v>0</v>
      </c>
      <c r="C26" s="220">
        <v>3</v>
      </c>
      <c r="D26" s="220">
        <v>100</v>
      </c>
      <c r="E26" s="220" t="s">
        <v>280</v>
      </c>
      <c r="F26" s="220" t="s">
        <v>209</v>
      </c>
      <c r="G26" s="220">
        <v>1</v>
      </c>
      <c r="H26" s="220">
        <v>7</v>
      </c>
      <c r="I26" s="220" t="s">
        <v>280</v>
      </c>
      <c r="J26" s="218">
        <f t="shared" si="0"/>
        <v>100</v>
      </c>
      <c r="K26" s="219"/>
    </row>
    <row r="27" spans="1:11" ht="21" customHeight="1" x14ac:dyDescent="0.15">
      <c r="A27" s="213">
        <v>41005026</v>
      </c>
      <c r="B27" s="220">
        <v>0</v>
      </c>
      <c r="C27" s="220">
        <v>3</v>
      </c>
      <c r="D27" s="220">
        <v>100</v>
      </c>
      <c r="E27" s="220" t="s">
        <v>280</v>
      </c>
      <c r="F27" s="220" t="s">
        <v>209</v>
      </c>
      <c r="G27" s="220">
        <v>1</v>
      </c>
      <c r="H27" s="220">
        <v>8</v>
      </c>
      <c r="I27" s="220" t="s">
        <v>280</v>
      </c>
      <c r="J27" s="218">
        <f t="shared" si="0"/>
        <v>100</v>
      </c>
      <c r="K27" s="219"/>
    </row>
    <row r="28" spans="1:11" ht="21" customHeight="1" x14ac:dyDescent="0.15">
      <c r="A28" s="216">
        <v>41005027</v>
      </c>
      <c r="B28" s="220">
        <v>0</v>
      </c>
      <c r="C28" s="220">
        <v>3</v>
      </c>
      <c r="D28" s="220">
        <v>100</v>
      </c>
      <c r="E28" s="220" t="s">
        <v>280</v>
      </c>
      <c r="F28" s="220" t="s">
        <v>209</v>
      </c>
      <c r="G28" s="220">
        <v>1</v>
      </c>
      <c r="H28" s="220">
        <v>9</v>
      </c>
      <c r="I28" s="220" t="s">
        <v>280</v>
      </c>
      <c r="J28" s="218">
        <f t="shared" si="0"/>
        <v>100</v>
      </c>
      <c r="K28" s="219"/>
    </row>
    <row r="29" spans="1:11" ht="21" customHeight="1" x14ac:dyDescent="0.15">
      <c r="A29" s="213">
        <v>41005028</v>
      </c>
      <c r="B29" s="220">
        <v>0</v>
      </c>
      <c r="C29" s="220">
        <v>3</v>
      </c>
      <c r="D29" s="220">
        <v>100</v>
      </c>
      <c r="E29" s="220" t="s">
        <v>280</v>
      </c>
      <c r="F29" s="220" t="s">
        <v>209</v>
      </c>
      <c r="G29" s="220">
        <v>1</v>
      </c>
      <c r="H29" s="220">
        <v>10</v>
      </c>
      <c r="I29" s="220" t="s">
        <v>280</v>
      </c>
      <c r="J29" s="218">
        <f t="shared" si="0"/>
        <v>100</v>
      </c>
      <c r="K29" s="219"/>
    </row>
    <row r="30" spans="1:11" ht="21" customHeight="1" x14ac:dyDescent="0.15">
      <c r="A30" s="216">
        <v>41005029</v>
      </c>
      <c r="B30" s="220">
        <v>0</v>
      </c>
      <c r="C30" s="220">
        <v>3</v>
      </c>
      <c r="D30" s="220">
        <v>100</v>
      </c>
      <c r="E30" s="220" t="s">
        <v>280</v>
      </c>
      <c r="F30" s="220" t="s">
        <v>209</v>
      </c>
      <c r="G30" s="220">
        <v>1</v>
      </c>
      <c r="H30" s="220">
        <v>11</v>
      </c>
      <c r="I30" s="220" t="s">
        <v>280</v>
      </c>
      <c r="J30" s="218">
        <f t="shared" si="0"/>
        <v>100</v>
      </c>
      <c r="K30" s="219"/>
    </row>
    <row r="31" spans="1:11" ht="21" customHeight="1" x14ac:dyDescent="0.15">
      <c r="A31" s="213">
        <v>41005030</v>
      </c>
      <c r="B31" s="220">
        <v>0</v>
      </c>
      <c r="C31" s="220">
        <v>3</v>
      </c>
      <c r="D31" s="220">
        <v>100</v>
      </c>
      <c r="E31" s="220" t="s">
        <v>280</v>
      </c>
      <c r="F31" s="220" t="s">
        <v>209</v>
      </c>
      <c r="G31" s="220">
        <v>1</v>
      </c>
      <c r="H31" s="220">
        <v>12</v>
      </c>
      <c r="I31" s="220" t="s">
        <v>280</v>
      </c>
      <c r="J31" s="218">
        <f t="shared" si="0"/>
        <v>100</v>
      </c>
      <c r="K31" s="219"/>
    </row>
    <row r="32" spans="1:11" ht="21" customHeight="1" x14ac:dyDescent="0.15">
      <c r="A32" s="216">
        <v>41005031</v>
      </c>
      <c r="B32" s="220">
        <v>0</v>
      </c>
      <c r="C32" s="220">
        <v>3</v>
      </c>
      <c r="D32" s="220">
        <v>100</v>
      </c>
      <c r="E32" s="220" t="s">
        <v>280</v>
      </c>
      <c r="F32" s="220" t="s">
        <v>209</v>
      </c>
      <c r="G32" s="220">
        <v>1</v>
      </c>
      <c r="H32" s="220">
        <v>13</v>
      </c>
      <c r="I32" s="220" t="s">
        <v>280</v>
      </c>
      <c r="J32" s="218">
        <f t="shared" si="0"/>
        <v>100</v>
      </c>
      <c r="K32" s="219"/>
    </row>
    <row r="33" spans="1:11" ht="21" customHeight="1" x14ac:dyDescent="0.15">
      <c r="A33" s="213">
        <v>41005032</v>
      </c>
      <c r="B33" s="220">
        <v>0</v>
      </c>
      <c r="C33" s="220">
        <v>1</v>
      </c>
      <c r="D33" s="220">
        <v>100</v>
      </c>
      <c r="E33" s="220" t="s">
        <v>280</v>
      </c>
      <c r="F33" s="220" t="s">
        <v>209</v>
      </c>
      <c r="G33" s="220" t="s">
        <v>280</v>
      </c>
      <c r="H33" s="220">
        <v>2</v>
      </c>
      <c r="I33" s="220" t="s">
        <v>280</v>
      </c>
      <c r="J33" s="218">
        <f t="shared" si="0"/>
        <v>100</v>
      </c>
      <c r="K33" s="219"/>
    </row>
    <row r="34" spans="1:11" ht="21" customHeight="1" x14ac:dyDescent="0.15">
      <c r="A34" s="216">
        <v>41005033</v>
      </c>
      <c r="B34" s="220">
        <v>0</v>
      </c>
      <c r="C34" s="220">
        <v>1</v>
      </c>
      <c r="D34" s="220">
        <v>100</v>
      </c>
      <c r="E34" s="220" t="s">
        <v>280</v>
      </c>
      <c r="F34" s="220" t="s">
        <v>209</v>
      </c>
      <c r="G34" s="220">
        <v>1</v>
      </c>
      <c r="H34" s="220" t="s">
        <v>280</v>
      </c>
      <c r="I34" s="220" t="s">
        <v>280</v>
      </c>
      <c r="J34" s="218">
        <f t="shared" si="0"/>
        <v>100</v>
      </c>
      <c r="K34" s="219"/>
    </row>
    <row r="35" spans="1:11" ht="21" customHeight="1" x14ac:dyDescent="0.15">
      <c r="A35" s="213">
        <v>41005034</v>
      </c>
      <c r="B35" s="220">
        <v>0</v>
      </c>
      <c r="C35" s="220">
        <v>1</v>
      </c>
      <c r="D35" s="220">
        <v>100</v>
      </c>
      <c r="E35" s="220" t="s">
        <v>280</v>
      </c>
      <c r="F35" s="220" t="s">
        <v>209</v>
      </c>
      <c r="G35" s="220" t="s">
        <v>280</v>
      </c>
      <c r="H35" s="220">
        <v>2</v>
      </c>
      <c r="I35" s="220" t="s">
        <v>280</v>
      </c>
      <c r="J35" s="218">
        <f t="shared" si="0"/>
        <v>100</v>
      </c>
      <c r="K35" s="219"/>
    </row>
    <row r="36" spans="1:11" ht="21" customHeight="1" x14ac:dyDescent="0.15">
      <c r="A36" s="213">
        <v>410050017</v>
      </c>
      <c r="B36" s="220">
        <v>0</v>
      </c>
      <c r="C36" s="220">
        <v>3</v>
      </c>
      <c r="D36" s="220">
        <v>100</v>
      </c>
      <c r="E36" s="220">
        <v>45</v>
      </c>
      <c r="F36" s="220" t="s">
        <v>209</v>
      </c>
      <c r="G36" s="220">
        <v>1</v>
      </c>
      <c r="H36" s="220">
        <v>1</v>
      </c>
      <c r="I36" s="220" t="s">
        <v>280</v>
      </c>
      <c r="J36" s="218">
        <f t="shared" si="0"/>
        <v>100</v>
      </c>
      <c r="K36" s="219"/>
    </row>
    <row r="37" spans="1:11" ht="21" customHeight="1" x14ac:dyDescent="0.15">
      <c r="A37" s="213">
        <v>410050018</v>
      </c>
      <c r="B37" s="220">
        <v>0</v>
      </c>
      <c r="C37" s="220">
        <v>2</v>
      </c>
      <c r="D37" s="220">
        <v>100</v>
      </c>
      <c r="E37" s="220">
        <v>45</v>
      </c>
      <c r="F37" s="220" t="s">
        <v>209</v>
      </c>
      <c r="G37" s="220">
        <v>1</v>
      </c>
      <c r="H37" s="220">
        <v>1</v>
      </c>
      <c r="I37" s="220" t="s">
        <v>280</v>
      </c>
      <c r="J37" s="218">
        <f t="shared" si="0"/>
        <v>100</v>
      </c>
      <c r="K37" s="219"/>
    </row>
    <row r="38" spans="1:11" ht="21" customHeight="1" x14ac:dyDescent="0.15">
      <c r="A38" s="213">
        <v>41005035</v>
      </c>
      <c r="B38" s="220">
        <v>0</v>
      </c>
      <c r="C38" s="220">
        <v>3</v>
      </c>
      <c r="D38" s="220">
        <v>100</v>
      </c>
      <c r="E38" s="220" t="s">
        <v>280</v>
      </c>
      <c r="F38" s="220" t="s">
        <v>209</v>
      </c>
      <c r="G38" s="220">
        <v>1</v>
      </c>
      <c r="H38" s="220">
        <v>15</v>
      </c>
      <c r="I38" s="220" t="s">
        <v>280</v>
      </c>
      <c r="J38" s="218">
        <f t="shared" si="0"/>
        <v>100</v>
      </c>
      <c r="K38" s="219"/>
    </row>
    <row r="39" spans="1:11" ht="21" customHeight="1" x14ac:dyDescent="0.15">
      <c r="A39" s="213">
        <v>41005036</v>
      </c>
      <c r="B39" s="220">
        <v>0</v>
      </c>
      <c r="C39" s="220">
        <v>1</v>
      </c>
      <c r="D39" s="220">
        <v>100</v>
      </c>
      <c r="E39" s="220" t="s">
        <v>280</v>
      </c>
      <c r="F39" s="220" t="s">
        <v>209</v>
      </c>
      <c r="G39" s="220" t="s">
        <v>280</v>
      </c>
      <c r="H39" s="220">
        <v>1</v>
      </c>
      <c r="I39" s="220" t="s">
        <v>280</v>
      </c>
      <c r="J39" s="218">
        <f t="shared" si="0"/>
        <v>100</v>
      </c>
      <c r="K39" s="219"/>
    </row>
    <row r="40" spans="1:11" ht="21" customHeight="1" x14ac:dyDescent="0.15">
      <c r="A40" s="213">
        <v>41005037</v>
      </c>
      <c r="B40" s="280">
        <v>0</v>
      </c>
      <c r="C40" s="280">
        <v>1</v>
      </c>
      <c r="D40" s="280">
        <v>100</v>
      </c>
      <c r="E40" s="280" t="s">
        <v>386</v>
      </c>
      <c r="F40" s="280" t="s">
        <v>386</v>
      </c>
      <c r="G40" s="280">
        <v>0</v>
      </c>
      <c r="H40" s="280" t="s">
        <v>385</v>
      </c>
      <c r="I40" s="280">
        <v>0</v>
      </c>
      <c r="J40" s="218">
        <f t="shared" si="0"/>
        <v>100</v>
      </c>
    </row>
  </sheetData>
  <autoFilter ref="A1:G1"/>
  <phoneticPr fontId="5"/>
  <conditionalFormatting sqref="K1 K40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6"/>
  <sheetViews>
    <sheetView workbookViewId="0">
      <selection activeCell="P19" sqref="P19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54" t="s">
        <v>146</v>
      </c>
      <c r="B1" s="54" t="s">
        <v>147</v>
      </c>
      <c r="C1" s="55" t="s">
        <v>148</v>
      </c>
      <c r="D1" s="61" t="s">
        <v>149</v>
      </c>
      <c r="E1" s="56" t="s">
        <v>150</v>
      </c>
      <c r="F1" s="54" t="s">
        <v>151</v>
      </c>
      <c r="G1" s="54" t="s">
        <v>152</v>
      </c>
      <c r="H1" s="54" t="s">
        <v>153</v>
      </c>
      <c r="I1" s="54" t="s">
        <v>154</v>
      </c>
      <c r="J1" s="54" t="s">
        <v>155</v>
      </c>
      <c r="K1" s="54" t="s">
        <v>156</v>
      </c>
      <c r="L1" s="54" t="s">
        <v>157</v>
      </c>
      <c r="M1" s="54" t="s">
        <v>158</v>
      </c>
      <c r="N1" s="54" t="s">
        <v>159</v>
      </c>
      <c r="O1" s="54" t="s">
        <v>160</v>
      </c>
      <c r="P1" s="54" t="s">
        <v>161</v>
      </c>
      <c r="Q1" s="54" t="s">
        <v>162</v>
      </c>
      <c r="R1" s="54" t="s">
        <v>163</v>
      </c>
    </row>
    <row r="2" spans="1:18" x14ac:dyDescent="0.15">
      <c r="A2" s="47">
        <f>floors!$C$2</f>
        <v>41005</v>
      </c>
      <c r="B2" s="47">
        <v>1</v>
      </c>
      <c r="C2" s="60" t="str">
        <f>A2&amp; "_"&amp;B2</f>
        <v>41005_1</v>
      </c>
      <c r="D2" s="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248">
        <v>1</v>
      </c>
      <c r="F2" s="248" t="s">
        <v>164</v>
      </c>
      <c r="G2" s="249">
        <v>40000</v>
      </c>
      <c r="H2" s="248" t="s">
        <v>209</v>
      </c>
      <c r="I2" s="248">
        <v>1</v>
      </c>
      <c r="J2" s="248">
        <v>1</v>
      </c>
      <c r="K2" s="248">
        <v>0</v>
      </c>
      <c r="L2" s="248">
        <v>0</v>
      </c>
      <c r="M2" s="248">
        <v>0</v>
      </c>
      <c r="N2" s="248">
        <v>0</v>
      </c>
      <c r="O2" s="248">
        <v>1</v>
      </c>
      <c r="P2" s="248">
        <v>150</v>
      </c>
      <c r="Q2" s="248" t="s">
        <v>165</v>
      </c>
      <c r="R2" s="250" t="s">
        <v>166</v>
      </c>
    </row>
    <row r="3" spans="1:18" x14ac:dyDescent="0.15">
      <c r="A3" s="47">
        <f>floors!$C$2</f>
        <v>41005</v>
      </c>
      <c r="B3" s="47">
        <v>1</v>
      </c>
      <c r="C3" s="60" t="str">
        <f t="shared" ref="C3:C26" si="0">A3&amp; "_"&amp;B3</f>
        <v>41005_1</v>
      </c>
      <c r="D3" s="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47">
        <v>2</v>
      </c>
      <c r="F3" s="47" t="s">
        <v>352</v>
      </c>
      <c r="G3" s="251">
        <v>30</v>
      </c>
      <c r="H3" s="47" t="s">
        <v>209</v>
      </c>
      <c r="I3" s="47">
        <v>1</v>
      </c>
      <c r="J3" s="47">
        <v>1</v>
      </c>
      <c r="K3" s="47">
        <v>0</v>
      </c>
      <c r="L3" s="47">
        <v>0</v>
      </c>
      <c r="M3" s="47">
        <v>0</v>
      </c>
      <c r="N3" s="47">
        <v>0</v>
      </c>
      <c r="O3" s="47">
        <v>1</v>
      </c>
      <c r="P3" s="47">
        <v>150</v>
      </c>
      <c r="Q3" s="47" t="s">
        <v>165</v>
      </c>
      <c r="R3" s="252" t="s">
        <v>166</v>
      </c>
    </row>
    <row r="4" spans="1:18" x14ac:dyDescent="0.15">
      <c r="A4" s="47">
        <f>floors!$C$2</f>
        <v>41005</v>
      </c>
      <c r="B4" s="47">
        <v>1</v>
      </c>
      <c r="C4" s="60" t="str">
        <f t="shared" si="0"/>
        <v>41005_1</v>
      </c>
      <c r="D4" s="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47">
        <v>3</v>
      </c>
      <c r="F4" s="47" t="s">
        <v>353</v>
      </c>
      <c r="G4" s="251">
        <v>337</v>
      </c>
      <c r="H4" s="47">
        <v>1</v>
      </c>
      <c r="I4" s="47">
        <v>1</v>
      </c>
      <c r="J4" s="47">
        <v>1</v>
      </c>
      <c r="K4" s="47">
        <v>0</v>
      </c>
      <c r="L4" s="47">
        <v>0</v>
      </c>
      <c r="M4" s="47">
        <v>0</v>
      </c>
      <c r="N4" s="47">
        <v>0</v>
      </c>
      <c r="O4" s="47">
        <v>1</v>
      </c>
      <c r="P4" s="47">
        <v>28</v>
      </c>
      <c r="Q4" s="47" t="s">
        <v>165</v>
      </c>
      <c r="R4" s="252" t="s">
        <v>166</v>
      </c>
    </row>
    <row r="5" spans="1:18" x14ac:dyDescent="0.15">
      <c r="A5" s="47">
        <f>floors!$C$2</f>
        <v>41005</v>
      </c>
      <c r="B5" s="47">
        <v>1</v>
      </c>
      <c r="C5" s="60" t="str">
        <f t="shared" si="0"/>
        <v>41005_1</v>
      </c>
      <c r="D5" s="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47">
        <v>4</v>
      </c>
      <c r="F5" s="47" t="s">
        <v>353</v>
      </c>
      <c r="G5" s="251">
        <v>338</v>
      </c>
      <c r="H5" s="47">
        <v>1</v>
      </c>
      <c r="I5" s="47">
        <v>1</v>
      </c>
      <c r="J5" s="47">
        <v>1</v>
      </c>
      <c r="K5" s="47">
        <v>0</v>
      </c>
      <c r="L5" s="47">
        <v>0</v>
      </c>
      <c r="M5" s="47">
        <v>0</v>
      </c>
      <c r="N5" s="47">
        <v>0</v>
      </c>
      <c r="O5" s="47">
        <v>1</v>
      </c>
      <c r="P5" s="47">
        <v>112</v>
      </c>
      <c r="Q5" s="47" t="s">
        <v>165</v>
      </c>
      <c r="R5" s="252" t="s">
        <v>166</v>
      </c>
    </row>
    <row r="6" spans="1:18" x14ac:dyDescent="0.15">
      <c r="A6" s="47">
        <f>floors!$C$2</f>
        <v>41005</v>
      </c>
      <c r="B6" s="47">
        <v>1</v>
      </c>
      <c r="C6" s="60" t="str">
        <f t="shared" si="0"/>
        <v>41005_1</v>
      </c>
      <c r="D6" s="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47">
        <v>5</v>
      </c>
      <c r="F6" s="47" t="s">
        <v>353</v>
      </c>
      <c r="G6" s="251">
        <v>121</v>
      </c>
      <c r="H6" s="47">
        <v>1</v>
      </c>
      <c r="I6" s="47">
        <v>1</v>
      </c>
      <c r="J6" s="47">
        <v>1</v>
      </c>
      <c r="K6" s="47">
        <v>0</v>
      </c>
      <c r="L6" s="47">
        <v>0</v>
      </c>
      <c r="M6" s="47">
        <v>0</v>
      </c>
      <c r="N6" s="47">
        <v>0</v>
      </c>
      <c r="O6" s="47">
        <v>1</v>
      </c>
      <c r="P6" s="52">
        <v>100</v>
      </c>
      <c r="Q6" s="47" t="s">
        <v>165</v>
      </c>
      <c r="R6" s="252" t="s">
        <v>166</v>
      </c>
    </row>
    <row r="7" spans="1:18" x14ac:dyDescent="0.15">
      <c r="A7" s="47">
        <f>floors!$C$2</f>
        <v>41005</v>
      </c>
      <c r="B7" s="47">
        <v>1</v>
      </c>
      <c r="C7" s="60" t="str">
        <f t="shared" si="0"/>
        <v>41005_1</v>
      </c>
      <c r="D7" s="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47">
        <v>6</v>
      </c>
      <c r="F7" s="47" t="s">
        <v>353</v>
      </c>
      <c r="G7" s="251">
        <v>122</v>
      </c>
      <c r="H7" s="47">
        <v>1</v>
      </c>
      <c r="I7" s="47">
        <v>1</v>
      </c>
      <c r="J7" s="47">
        <v>1</v>
      </c>
      <c r="K7" s="47">
        <v>0</v>
      </c>
      <c r="L7" s="47">
        <v>0</v>
      </c>
      <c r="M7" s="47">
        <v>0</v>
      </c>
      <c r="N7" s="47">
        <v>0</v>
      </c>
      <c r="O7" s="47">
        <v>1</v>
      </c>
      <c r="P7" s="52">
        <v>100</v>
      </c>
      <c r="Q7" s="47" t="s">
        <v>165</v>
      </c>
      <c r="R7" s="252" t="s">
        <v>166</v>
      </c>
    </row>
    <row r="8" spans="1:18" x14ac:dyDescent="0.15">
      <c r="A8" s="47">
        <f>floors!$C$2</f>
        <v>41005</v>
      </c>
      <c r="B8" s="47">
        <v>1</v>
      </c>
      <c r="C8" s="60" t="str">
        <f t="shared" si="0"/>
        <v>41005_1</v>
      </c>
      <c r="D8" s="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47">
        <v>7</v>
      </c>
      <c r="F8" s="47" t="s">
        <v>353</v>
      </c>
      <c r="G8" s="251">
        <v>123</v>
      </c>
      <c r="H8" s="47">
        <v>1</v>
      </c>
      <c r="I8" s="47">
        <v>1</v>
      </c>
      <c r="J8" s="47">
        <v>1</v>
      </c>
      <c r="K8" s="47">
        <v>0</v>
      </c>
      <c r="L8" s="47">
        <v>0</v>
      </c>
      <c r="M8" s="47">
        <v>0</v>
      </c>
      <c r="N8" s="47">
        <v>0</v>
      </c>
      <c r="O8" s="47">
        <v>1</v>
      </c>
      <c r="P8" s="52">
        <v>100</v>
      </c>
      <c r="Q8" s="47" t="s">
        <v>165</v>
      </c>
      <c r="R8" s="252" t="s">
        <v>166</v>
      </c>
    </row>
    <row r="9" spans="1:18" x14ac:dyDescent="0.15">
      <c r="A9" s="47">
        <f>floors!$C$2</f>
        <v>41005</v>
      </c>
      <c r="B9" s="47">
        <v>1</v>
      </c>
      <c r="C9" s="60" t="str">
        <f t="shared" si="0"/>
        <v>41005_1</v>
      </c>
      <c r="D9" s="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47">
        <v>8</v>
      </c>
      <c r="F9" s="47" t="s">
        <v>353</v>
      </c>
      <c r="G9" s="251">
        <v>125</v>
      </c>
      <c r="H9" s="47">
        <v>1</v>
      </c>
      <c r="I9" s="47">
        <v>1</v>
      </c>
      <c r="J9" s="47">
        <v>1</v>
      </c>
      <c r="K9" s="47">
        <v>0</v>
      </c>
      <c r="L9" s="47">
        <v>0</v>
      </c>
      <c r="M9" s="47">
        <v>0</v>
      </c>
      <c r="N9" s="47">
        <v>0</v>
      </c>
      <c r="O9" s="47">
        <v>1</v>
      </c>
      <c r="P9" s="47">
        <v>10</v>
      </c>
      <c r="Q9" s="47" t="s">
        <v>165</v>
      </c>
      <c r="R9" s="252" t="s">
        <v>166</v>
      </c>
    </row>
    <row r="10" spans="1:18" x14ac:dyDescent="0.15">
      <c r="A10" s="47">
        <f>floors!$C$2</f>
        <v>41005</v>
      </c>
      <c r="B10" s="47">
        <v>1</v>
      </c>
      <c r="C10" s="60" t="str">
        <f t="shared" si="0"/>
        <v>41005_1</v>
      </c>
      <c r="D10" s="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47">
        <v>9</v>
      </c>
      <c r="F10" s="47" t="s">
        <v>353</v>
      </c>
      <c r="G10" s="251">
        <v>460</v>
      </c>
      <c r="H10" s="47">
        <v>1</v>
      </c>
      <c r="I10" s="47">
        <v>1</v>
      </c>
      <c r="J10" s="47">
        <v>1</v>
      </c>
      <c r="K10" s="47">
        <v>0</v>
      </c>
      <c r="L10" s="47">
        <v>0</v>
      </c>
      <c r="M10" s="47">
        <v>0</v>
      </c>
      <c r="N10" s="47">
        <v>0</v>
      </c>
      <c r="O10" s="47">
        <v>1</v>
      </c>
      <c r="P10" s="52">
        <v>100</v>
      </c>
      <c r="Q10" s="47" t="s">
        <v>165</v>
      </c>
      <c r="R10" s="252" t="s">
        <v>166</v>
      </c>
    </row>
    <row r="11" spans="1:18" ht="16" thickBot="1" x14ac:dyDescent="0.2">
      <c r="A11" s="255">
        <f>floors!$C$2</f>
        <v>41005</v>
      </c>
      <c r="B11" s="255">
        <v>1</v>
      </c>
      <c r="C11" s="308" t="str">
        <f t="shared" si="0"/>
        <v>41005_1</v>
      </c>
      <c r="D11" s="256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255">
        <v>10</v>
      </c>
      <c r="F11" s="255" t="s">
        <v>353</v>
      </c>
      <c r="G11" s="304">
        <v>350</v>
      </c>
      <c r="H11" s="255">
        <v>1</v>
      </c>
      <c r="I11" s="255">
        <v>1</v>
      </c>
      <c r="J11" s="255">
        <v>1</v>
      </c>
      <c r="K11" s="255">
        <v>0</v>
      </c>
      <c r="L11" s="255">
        <v>0</v>
      </c>
      <c r="M11" s="255">
        <v>0</v>
      </c>
      <c r="N11" s="255">
        <v>0</v>
      </c>
      <c r="O11" s="255">
        <v>1</v>
      </c>
      <c r="P11" s="255">
        <v>150</v>
      </c>
      <c r="Q11" s="255" t="s">
        <v>165</v>
      </c>
      <c r="R11" s="309" t="s">
        <v>166</v>
      </c>
    </row>
    <row r="12" spans="1:18" x14ac:dyDescent="0.15">
      <c r="A12" s="248">
        <f>floors!$C$2</f>
        <v>41005</v>
      </c>
      <c r="B12" s="248">
        <v>2</v>
      </c>
      <c r="C12" s="306" t="str">
        <f t="shared" si="0"/>
        <v>41005_2</v>
      </c>
      <c r="D12" s="307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248">
        <v>1</v>
      </c>
      <c r="F12" s="305" t="s">
        <v>399</v>
      </c>
      <c r="G12" s="249">
        <v>338</v>
      </c>
      <c r="H12" s="305">
        <v>1</v>
      </c>
      <c r="I12" s="305">
        <v>1</v>
      </c>
      <c r="J12" s="305">
        <v>1</v>
      </c>
      <c r="K12" s="305">
        <v>0</v>
      </c>
      <c r="L12" s="305">
        <v>0</v>
      </c>
      <c r="M12" s="305">
        <v>0</v>
      </c>
      <c r="N12" s="305">
        <v>0</v>
      </c>
      <c r="O12" s="305">
        <v>1</v>
      </c>
      <c r="P12" s="305">
        <v>50</v>
      </c>
      <c r="Q12" s="305" t="s">
        <v>165</v>
      </c>
      <c r="R12" s="305" t="s">
        <v>166</v>
      </c>
    </row>
    <row r="13" spans="1:18" x14ac:dyDescent="0.15">
      <c r="A13" s="47">
        <f>floors!$C$2</f>
        <v>41005</v>
      </c>
      <c r="B13" s="47">
        <v>2</v>
      </c>
      <c r="C13" s="60" t="str">
        <f t="shared" si="0"/>
        <v>41005_2</v>
      </c>
      <c r="D13" s="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47">
        <v>2</v>
      </c>
      <c r="F13" s="71" t="s">
        <v>399</v>
      </c>
      <c r="G13" s="303">
        <v>350</v>
      </c>
      <c r="H13" s="71">
        <v>1</v>
      </c>
      <c r="I13" s="71">
        <v>1</v>
      </c>
      <c r="J13" s="71">
        <v>1</v>
      </c>
      <c r="K13" s="71">
        <v>0</v>
      </c>
      <c r="L13" s="71">
        <v>0</v>
      </c>
      <c r="M13" s="71">
        <v>0</v>
      </c>
      <c r="N13" s="71">
        <v>0</v>
      </c>
      <c r="O13" s="71">
        <v>1</v>
      </c>
      <c r="P13" s="71">
        <v>120</v>
      </c>
      <c r="Q13" s="71" t="s">
        <v>165</v>
      </c>
      <c r="R13" s="71" t="s">
        <v>166</v>
      </c>
    </row>
    <row r="14" spans="1:18" x14ac:dyDescent="0.15">
      <c r="A14" s="47">
        <f>floors!$C$2</f>
        <v>41005</v>
      </c>
      <c r="B14" s="47">
        <v>2</v>
      </c>
      <c r="C14" s="60" t="str">
        <f t="shared" si="0"/>
        <v>41005_2</v>
      </c>
      <c r="D14" s="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47">
        <v>3</v>
      </c>
      <c r="F14" s="71" t="s">
        <v>399</v>
      </c>
      <c r="G14" s="251">
        <v>607</v>
      </c>
      <c r="H14" s="71">
        <v>1</v>
      </c>
      <c r="I14" s="71">
        <v>1</v>
      </c>
      <c r="J14" s="71">
        <v>1</v>
      </c>
      <c r="K14" s="71">
        <v>0</v>
      </c>
      <c r="L14" s="71">
        <v>0</v>
      </c>
      <c r="M14" s="71">
        <v>0</v>
      </c>
      <c r="N14" s="71">
        <v>0</v>
      </c>
      <c r="O14" s="71">
        <v>1</v>
      </c>
      <c r="P14" s="71">
        <v>100</v>
      </c>
      <c r="Q14" s="71" t="s">
        <v>165</v>
      </c>
      <c r="R14" s="71" t="s">
        <v>166</v>
      </c>
    </row>
    <row r="15" spans="1:18" x14ac:dyDescent="0.15">
      <c r="A15" s="47">
        <f>floors!$C$2</f>
        <v>41005</v>
      </c>
      <c r="B15" s="47">
        <v>2</v>
      </c>
      <c r="C15" s="60" t="str">
        <f t="shared" si="0"/>
        <v>41005_2</v>
      </c>
      <c r="D15" s="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47">
        <v>4</v>
      </c>
      <c r="F15" s="71" t="s">
        <v>399</v>
      </c>
      <c r="G15" s="251">
        <v>608</v>
      </c>
      <c r="H15" s="71">
        <v>1</v>
      </c>
      <c r="I15" s="71">
        <v>1</v>
      </c>
      <c r="J15" s="71">
        <v>1</v>
      </c>
      <c r="K15" s="71">
        <v>0</v>
      </c>
      <c r="L15" s="71">
        <v>0</v>
      </c>
      <c r="M15" s="71">
        <v>0</v>
      </c>
      <c r="N15" s="71">
        <v>0</v>
      </c>
      <c r="O15" s="71">
        <v>1</v>
      </c>
      <c r="P15" s="71">
        <v>100</v>
      </c>
      <c r="Q15" s="71" t="s">
        <v>165</v>
      </c>
      <c r="R15" s="71" t="s">
        <v>166</v>
      </c>
    </row>
    <row r="16" spans="1:18" x14ac:dyDescent="0.15">
      <c r="A16" s="47">
        <f>floors!$C$2</f>
        <v>41005</v>
      </c>
      <c r="B16" s="47">
        <v>2</v>
      </c>
      <c r="C16" s="60" t="str">
        <f t="shared" si="0"/>
        <v>41005_2</v>
      </c>
      <c r="D16" s="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47">
        <v>5</v>
      </c>
      <c r="F16" s="71" t="s">
        <v>399</v>
      </c>
      <c r="G16" s="251">
        <v>609</v>
      </c>
      <c r="H16" s="71">
        <v>1</v>
      </c>
      <c r="I16" s="71">
        <v>1</v>
      </c>
      <c r="J16" s="71">
        <v>1</v>
      </c>
      <c r="K16" s="71">
        <v>0</v>
      </c>
      <c r="L16" s="71">
        <v>0</v>
      </c>
      <c r="M16" s="71">
        <v>0</v>
      </c>
      <c r="N16" s="71">
        <v>0</v>
      </c>
      <c r="O16" s="71">
        <v>1</v>
      </c>
      <c r="P16" s="71">
        <v>100</v>
      </c>
      <c r="Q16" s="71" t="s">
        <v>165</v>
      </c>
      <c r="R16" s="71" t="s">
        <v>166</v>
      </c>
    </row>
    <row r="17" spans="1:18" x14ac:dyDescent="0.15">
      <c r="A17" s="47">
        <f>floors!$C$2</f>
        <v>41005</v>
      </c>
      <c r="B17" s="47">
        <v>2</v>
      </c>
      <c r="C17" s="60" t="str">
        <f t="shared" si="0"/>
        <v>41005_2</v>
      </c>
      <c r="D17" s="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47">
        <v>6</v>
      </c>
      <c r="F17" s="71" t="s">
        <v>399</v>
      </c>
      <c r="G17" s="251">
        <v>125</v>
      </c>
      <c r="H17" s="71">
        <v>1</v>
      </c>
      <c r="I17" s="71">
        <v>1</v>
      </c>
      <c r="J17" s="71">
        <v>1</v>
      </c>
      <c r="K17" s="71">
        <v>0</v>
      </c>
      <c r="L17" s="71">
        <v>0</v>
      </c>
      <c r="M17" s="71">
        <v>0</v>
      </c>
      <c r="N17" s="71">
        <v>0</v>
      </c>
      <c r="O17" s="71">
        <v>1</v>
      </c>
      <c r="P17" s="71">
        <v>30</v>
      </c>
      <c r="Q17" s="71" t="s">
        <v>165</v>
      </c>
      <c r="R17" s="71" t="s">
        <v>166</v>
      </c>
    </row>
    <row r="18" spans="1:18" ht="16" thickBot="1" x14ac:dyDescent="0.2">
      <c r="A18" s="255">
        <f>floors!$C$2</f>
        <v>41005</v>
      </c>
      <c r="B18" s="255">
        <v>2</v>
      </c>
      <c r="C18" s="308" t="str">
        <f t="shared" si="0"/>
        <v>41005_2</v>
      </c>
      <c r="D18" s="256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255">
        <v>7</v>
      </c>
      <c r="F18" s="302" t="s">
        <v>399</v>
      </c>
      <c r="G18" s="304">
        <v>460</v>
      </c>
      <c r="H18" s="302">
        <v>1</v>
      </c>
      <c r="I18" s="302">
        <v>1</v>
      </c>
      <c r="J18" s="302">
        <v>1</v>
      </c>
      <c r="K18" s="302">
        <v>0</v>
      </c>
      <c r="L18" s="302">
        <v>0</v>
      </c>
      <c r="M18" s="302">
        <v>0</v>
      </c>
      <c r="N18" s="302">
        <v>0</v>
      </c>
      <c r="O18" s="302">
        <v>1</v>
      </c>
      <c r="P18" s="302">
        <v>500</v>
      </c>
      <c r="Q18" s="302" t="s">
        <v>165</v>
      </c>
      <c r="R18" s="302" t="s">
        <v>166</v>
      </c>
    </row>
    <row r="19" spans="1:18" x14ac:dyDescent="0.15">
      <c r="A19" s="248">
        <f>floors!$C$2</f>
        <v>41005</v>
      </c>
      <c r="B19" s="248">
        <v>3</v>
      </c>
      <c r="C19" s="306" t="str">
        <f t="shared" si="0"/>
        <v>41005_3</v>
      </c>
      <c r="D19" s="307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248">
        <v>1</v>
      </c>
      <c r="F19" s="305" t="s">
        <v>164</v>
      </c>
      <c r="G19" s="249">
        <v>40000</v>
      </c>
      <c r="H19" s="305" t="s">
        <v>53</v>
      </c>
      <c r="I19" s="305">
        <v>1</v>
      </c>
      <c r="J19" s="305">
        <v>1</v>
      </c>
      <c r="K19" s="305">
        <v>0</v>
      </c>
      <c r="L19" s="305">
        <v>0</v>
      </c>
      <c r="M19" s="305">
        <v>0</v>
      </c>
      <c r="N19" s="305">
        <v>0</v>
      </c>
      <c r="O19" s="305">
        <v>1</v>
      </c>
      <c r="P19" s="305">
        <v>150</v>
      </c>
      <c r="Q19" s="248" t="s">
        <v>165</v>
      </c>
      <c r="R19" s="250" t="s">
        <v>166</v>
      </c>
    </row>
    <row r="20" spans="1:18" x14ac:dyDescent="0.15">
      <c r="A20" s="47">
        <f>floors!$C$2</f>
        <v>41005</v>
      </c>
      <c r="B20" s="47">
        <v>3</v>
      </c>
      <c r="C20" s="60" t="str">
        <f t="shared" si="0"/>
        <v>41005_3</v>
      </c>
      <c r="D20" s="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47">
        <v>2</v>
      </c>
      <c r="F20" s="71" t="s">
        <v>399</v>
      </c>
      <c r="G20" s="251">
        <v>338</v>
      </c>
      <c r="H20" s="71">
        <v>1</v>
      </c>
      <c r="I20" s="71">
        <v>1</v>
      </c>
      <c r="J20" s="71">
        <v>1</v>
      </c>
      <c r="K20" s="71">
        <v>0</v>
      </c>
      <c r="L20" s="71">
        <v>0</v>
      </c>
      <c r="M20" s="71">
        <v>0</v>
      </c>
      <c r="N20" s="71">
        <v>0</v>
      </c>
      <c r="O20" s="71">
        <v>1</v>
      </c>
      <c r="P20" s="71">
        <v>150</v>
      </c>
      <c r="Q20" s="47" t="s">
        <v>165</v>
      </c>
      <c r="R20" s="252" t="s">
        <v>166</v>
      </c>
    </row>
    <row r="21" spans="1:18" x14ac:dyDescent="0.15">
      <c r="A21" s="47">
        <f>floors!$C$2</f>
        <v>41005</v>
      </c>
      <c r="B21" s="47">
        <v>3</v>
      </c>
      <c r="C21" s="60" t="str">
        <f t="shared" si="0"/>
        <v>41005_3</v>
      </c>
      <c r="D21" s="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47">
        <v>3</v>
      </c>
      <c r="F21" s="71" t="s">
        <v>399</v>
      </c>
      <c r="G21" s="303">
        <v>350</v>
      </c>
      <c r="H21" s="71">
        <v>1</v>
      </c>
      <c r="I21" s="71">
        <v>1</v>
      </c>
      <c r="J21" s="71">
        <v>1</v>
      </c>
      <c r="K21" s="71">
        <v>0</v>
      </c>
      <c r="L21" s="71">
        <v>0</v>
      </c>
      <c r="M21" s="71">
        <v>0</v>
      </c>
      <c r="N21" s="71">
        <v>0</v>
      </c>
      <c r="O21" s="71">
        <v>1</v>
      </c>
      <c r="P21" s="71">
        <v>120</v>
      </c>
      <c r="Q21" s="47" t="s">
        <v>165</v>
      </c>
      <c r="R21" s="252" t="s">
        <v>166</v>
      </c>
    </row>
    <row r="22" spans="1:18" x14ac:dyDescent="0.15">
      <c r="A22" s="47">
        <f>floors!$C$2</f>
        <v>41005</v>
      </c>
      <c r="B22" s="47">
        <v>3</v>
      </c>
      <c r="C22" s="60" t="str">
        <f t="shared" si="0"/>
        <v>41005_3</v>
      </c>
      <c r="D22" s="8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47">
        <v>4</v>
      </c>
      <c r="F22" s="71" t="s">
        <v>399</v>
      </c>
      <c r="G22" s="251">
        <v>607</v>
      </c>
      <c r="H22" s="71">
        <v>1</v>
      </c>
      <c r="I22" s="71">
        <v>1</v>
      </c>
      <c r="J22" s="71">
        <v>1</v>
      </c>
      <c r="K22" s="71">
        <v>0</v>
      </c>
      <c r="L22" s="71">
        <v>0</v>
      </c>
      <c r="M22" s="71">
        <v>0</v>
      </c>
      <c r="N22" s="71">
        <v>0</v>
      </c>
      <c r="O22" s="71">
        <v>1</v>
      </c>
      <c r="P22" s="71">
        <v>100</v>
      </c>
      <c r="Q22" s="47" t="s">
        <v>165</v>
      </c>
      <c r="R22" s="252" t="s">
        <v>166</v>
      </c>
    </row>
    <row r="23" spans="1:18" x14ac:dyDescent="0.15">
      <c r="A23" s="47">
        <f>floors!$C$2</f>
        <v>41005</v>
      </c>
      <c r="B23" s="47">
        <v>3</v>
      </c>
      <c r="C23" s="60" t="str">
        <f t="shared" si="0"/>
        <v>41005_3</v>
      </c>
      <c r="D23" s="8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47">
        <v>5</v>
      </c>
      <c r="F23" s="71" t="s">
        <v>399</v>
      </c>
      <c r="G23" s="251">
        <v>608</v>
      </c>
      <c r="H23" s="71">
        <v>1</v>
      </c>
      <c r="I23" s="71">
        <v>1</v>
      </c>
      <c r="J23" s="71">
        <v>1</v>
      </c>
      <c r="K23" s="71">
        <v>0</v>
      </c>
      <c r="L23" s="71">
        <v>0</v>
      </c>
      <c r="M23" s="71">
        <v>0</v>
      </c>
      <c r="N23" s="71">
        <v>0</v>
      </c>
      <c r="O23" s="71">
        <v>1</v>
      </c>
      <c r="P23" s="71">
        <v>100</v>
      </c>
      <c r="Q23" s="47" t="s">
        <v>165</v>
      </c>
      <c r="R23" s="252" t="s">
        <v>166</v>
      </c>
    </row>
    <row r="24" spans="1:18" x14ac:dyDescent="0.15">
      <c r="A24" s="47">
        <f>floors!$C$2</f>
        <v>41005</v>
      </c>
      <c r="B24" s="47">
        <v>3</v>
      </c>
      <c r="C24" s="60" t="str">
        <f t="shared" si="0"/>
        <v>41005_3</v>
      </c>
      <c r="D24" s="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47">
        <v>6</v>
      </c>
      <c r="F24" s="71" t="s">
        <v>399</v>
      </c>
      <c r="G24" s="251">
        <v>609</v>
      </c>
      <c r="H24" s="71">
        <v>1</v>
      </c>
      <c r="I24" s="71">
        <v>1</v>
      </c>
      <c r="J24" s="71">
        <v>1</v>
      </c>
      <c r="K24" s="71">
        <v>0</v>
      </c>
      <c r="L24" s="71">
        <v>0</v>
      </c>
      <c r="M24" s="71">
        <v>0</v>
      </c>
      <c r="N24" s="71">
        <v>0</v>
      </c>
      <c r="O24" s="71">
        <v>1</v>
      </c>
      <c r="P24" s="71">
        <v>100</v>
      </c>
      <c r="Q24" s="47" t="s">
        <v>165</v>
      </c>
      <c r="R24" s="252" t="s">
        <v>166</v>
      </c>
    </row>
    <row r="25" spans="1:18" x14ac:dyDescent="0.15">
      <c r="A25" s="47">
        <f>floors!$C$2</f>
        <v>41005</v>
      </c>
      <c r="B25" s="47">
        <v>3</v>
      </c>
      <c r="C25" s="60" t="str">
        <f t="shared" si="0"/>
        <v>41005_3</v>
      </c>
      <c r="D25" s="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47">
        <v>7</v>
      </c>
      <c r="F25" s="71" t="s">
        <v>399</v>
      </c>
      <c r="G25" s="251">
        <v>125</v>
      </c>
      <c r="H25" s="71">
        <v>1</v>
      </c>
      <c r="I25" s="71">
        <v>1</v>
      </c>
      <c r="J25" s="71">
        <v>1</v>
      </c>
      <c r="K25" s="71">
        <v>0</v>
      </c>
      <c r="L25" s="71">
        <v>0</v>
      </c>
      <c r="M25" s="71">
        <v>0</v>
      </c>
      <c r="N25" s="71">
        <v>0</v>
      </c>
      <c r="O25" s="71">
        <v>1</v>
      </c>
      <c r="P25" s="71">
        <v>30</v>
      </c>
      <c r="Q25" s="47" t="s">
        <v>165</v>
      </c>
      <c r="R25" s="252" t="s">
        <v>166</v>
      </c>
    </row>
    <row r="26" spans="1:18" ht="16" thickBot="1" x14ac:dyDescent="0.2">
      <c r="A26" s="47">
        <f>floors!$C$2</f>
        <v>41005</v>
      </c>
      <c r="B26" s="47">
        <v>3</v>
      </c>
      <c r="C26" s="60" t="str">
        <f t="shared" si="0"/>
        <v>41005_3</v>
      </c>
      <c r="D26" s="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47">
        <v>8</v>
      </c>
      <c r="F26" s="302" t="s">
        <v>399</v>
      </c>
      <c r="G26" s="304">
        <v>460</v>
      </c>
      <c r="H26" s="302">
        <v>1</v>
      </c>
      <c r="I26" s="302">
        <v>1</v>
      </c>
      <c r="J26" s="302">
        <v>1</v>
      </c>
      <c r="K26" s="302">
        <v>0</v>
      </c>
      <c r="L26" s="302">
        <v>0</v>
      </c>
      <c r="M26" s="302">
        <v>0</v>
      </c>
      <c r="N26" s="302">
        <v>0</v>
      </c>
      <c r="O26" s="302">
        <v>1</v>
      </c>
      <c r="P26" s="302">
        <v>250</v>
      </c>
      <c r="Q26" s="47" t="s">
        <v>165</v>
      </c>
      <c r="R26" s="252" t="s">
        <v>166</v>
      </c>
    </row>
  </sheetData>
  <phoneticPr fontId="5"/>
  <dataValidations count="1">
    <dataValidation type="list" allowBlank="1" showInputMessage="1" showErrorMessage="1" sqref="F2 F12:F26">
      <formula1>"bit,link,polygon,unit"</formula1>
    </dataValidation>
  </dataValidations>
  <pageMargins left="0.7" right="0.7" top="0.75" bottom="0.75" header="0.3" footer="0.3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40"/>
  <sheetViews>
    <sheetView showGridLines="0" workbookViewId="0">
      <pane ySplit="1" topLeftCell="A2" activePane="bottomLeft" state="frozen"/>
      <selection pane="bottomLeft" activeCell="J43" sqref="J43"/>
    </sheetView>
  </sheetViews>
  <sheetFormatPr baseColWidth="12" defaultColWidth="13" defaultRowHeight="15" outlineLevelCol="1" x14ac:dyDescent="0.15"/>
  <cols>
    <col min="1" max="1" width="13" style="7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6" t="s">
        <v>183</v>
      </c>
      <c r="B1" s="62" t="s">
        <v>184</v>
      </c>
      <c r="C1" s="67" t="s">
        <v>185</v>
      </c>
      <c r="D1" s="67" t="s">
        <v>33</v>
      </c>
      <c r="E1" s="62" t="s">
        <v>186</v>
      </c>
      <c r="F1" s="67" t="s">
        <v>187</v>
      </c>
      <c r="G1" s="67" t="s">
        <v>33</v>
      </c>
      <c r="H1" s="62" t="s">
        <v>188</v>
      </c>
      <c r="I1" s="81" t="s">
        <v>190</v>
      </c>
      <c r="J1" s="69" t="s">
        <v>122</v>
      </c>
      <c r="K1" s="68" t="s">
        <v>182</v>
      </c>
      <c r="L1" s="82" t="s">
        <v>181</v>
      </c>
      <c r="M1" s="70" t="s">
        <v>191</v>
      </c>
    </row>
    <row r="2" spans="1:13" x14ac:dyDescent="0.15">
      <c r="A2" s="71" t="s">
        <v>196</v>
      </c>
      <c r="B2" s="72">
        <f>floors!$C$2</f>
        <v>41005</v>
      </c>
      <c r="C2" s="73" t="str">
        <f ca="1">VLOOKUP($B2,OFFSET([2]quests!$A$1,0,0,COUNTA([2]quests!$A:$A),MATCH(C$1,[2]quests!$1:$1,0)-MATCH($B$1,[2]quests!$1:$1,0)+1),MATCH(C$1,[2]quests!$1:$1,0)-MATCH($B$1,[2]quests!$1:$1,0)+1,FALSE)</f>
        <v>オズ襲来！</v>
      </c>
      <c r="D2" s="73" t="str">
        <f ca="1">VLOOKUP($B2,OFFSET([2]quests!$A$1,0,0,COUNTA([2]quests!$A:$A),MATCH(D$1,[2]quests!$1:$1,0)-MATCH($B$1,[2]quests!$1:$1,0)+1),MATCH(D$1,[2]quests!$1:$1,0)-MATCH($B$1,[2]quests!$1:$1,0)+1,FALSE)</f>
        <v>降臨1</v>
      </c>
      <c r="E2" s="77">
        <v>1</v>
      </c>
      <c r="F2" s="7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【超絶級】オズ襲来</v>
      </c>
      <c r="G2" s="73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75">
        <v>0</v>
      </c>
      <c r="I2">
        <v>12</v>
      </c>
      <c r="J2" s="74" t="s">
        <v>193</v>
      </c>
      <c r="K2" s="83" t="str">
        <f>VLOOKUP(I2,[6]stage_hints!$A:$C,3,FALSE)</f>
        <v>ユニットのお気に入り登録</v>
      </c>
      <c r="L2" s="84" t="str">
        <f>VLOOKUP(I2,[6]stage_hints!$A:$D,4,FALSE)</f>
        <v>大事なユニットを誤って消さないように_x000D_フォルダから「お気に入り登録」しましょう</v>
      </c>
      <c r="M2" s="47" t="s">
        <v>206</v>
      </c>
    </row>
    <row r="3" spans="1:13" x14ac:dyDescent="0.15">
      <c r="A3" s="71" t="s">
        <v>196</v>
      </c>
      <c r="B3" s="72">
        <f>floors!$C$2</f>
        <v>41005</v>
      </c>
      <c r="C3" s="73" t="str">
        <f ca="1">VLOOKUP($B3,OFFSET([2]quests!$A$1,0,0,COUNTA([2]quests!$A:$A),MATCH(C$1,[2]quests!$1:$1,0)-MATCH($B$1,[2]quests!$1:$1,0)+1),MATCH(C$1,[2]quests!$1:$1,0)-MATCH($B$1,[2]quests!$1:$1,0)+1,FALSE)</f>
        <v>オズ襲来！</v>
      </c>
      <c r="D3" s="73" t="str">
        <f ca="1">VLOOKUP($B3,OFFSET([2]quests!$A$1,0,0,COUNTA([2]quests!$A:$A),MATCH(D$1,[2]quests!$1:$1,0)-MATCH($B$1,[2]quests!$1:$1,0)+1),MATCH(D$1,[2]quests!$1:$1,0)-MATCH($B$1,[2]quests!$1:$1,0)+1,FALSE)</f>
        <v>降臨1</v>
      </c>
      <c r="E3" s="77">
        <v>1</v>
      </c>
      <c r="F3" s="7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【超絶級】オズ襲来</v>
      </c>
      <c r="G3" s="73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75">
        <v>0</v>
      </c>
      <c r="I3">
        <v>17</v>
      </c>
      <c r="J3" s="74" t="s">
        <v>193</v>
      </c>
      <c r="K3" s="83" t="str">
        <f>VLOOKUP(I3,[6]stage_hints!$A:$C,3,FALSE)</f>
        <v>リンクガチャ</v>
      </c>
      <c r="L3" s="84" t="str">
        <f>VLOOKUP(I3,[6]stage_hints!$A:$D,4,FALSE)</f>
        <v>無料のリンクガチャを回して_x000D_経験値素材や売却素材を獲得しましょう</v>
      </c>
      <c r="M3" s="47" t="s">
        <v>206</v>
      </c>
    </row>
    <row r="4" spans="1:13" x14ac:dyDescent="0.15">
      <c r="A4" s="71" t="s">
        <v>196</v>
      </c>
      <c r="B4" s="72">
        <f>floors!$C$2</f>
        <v>41005</v>
      </c>
      <c r="C4" s="73" t="str">
        <f ca="1">VLOOKUP($B4,OFFSET([2]quests!$A$1,0,0,COUNTA([2]quests!$A:$A),MATCH(C$1,[2]quests!$1:$1,0)-MATCH($B$1,[2]quests!$1:$1,0)+1),MATCH(C$1,[2]quests!$1:$1,0)-MATCH($B$1,[2]quests!$1:$1,0)+1,FALSE)</f>
        <v>オズ襲来！</v>
      </c>
      <c r="D4" s="73" t="str">
        <f ca="1">VLOOKUP($B4,OFFSET([2]quests!$A$1,0,0,COUNTA([2]quests!$A:$A),MATCH(D$1,[2]quests!$1:$1,0)-MATCH($B$1,[2]quests!$1:$1,0)+1),MATCH(D$1,[2]quests!$1:$1,0)-MATCH($B$1,[2]quests!$1:$1,0)+1,FALSE)</f>
        <v>降臨1</v>
      </c>
      <c r="E4" s="77">
        <v>1</v>
      </c>
      <c r="F4" s="7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【超絶級】オズ襲来</v>
      </c>
      <c r="G4" s="73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75">
        <v>0</v>
      </c>
      <c r="I4">
        <v>19</v>
      </c>
      <c r="J4" s="74" t="s">
        <v>193</v>
      </c>
      <c r="K4" s="83" t="str">
        <f>VLOOKUP(I4,[6]stage_hints!$A:$C,3,FALSE)</f>
        <v>ソロ専用タワーオブザクイーン</v>
      </c>
      <c r="L4" s="84" t="str">
        <f>VLOOKUP(I4,[6]stage_hints!$A:$D,4,FALSE)</f>
        <v>ソロ専用の「タワーオブザクイーン」は_x000D_期間限定で定期的に開催されます_x000D_ここでしか獲得できない報酬もあるようです</v>
      </c>
      <c r="M4" s="47" t="s">
        <v>206</v>
      </c>
    </row>
    <row r="5" spans="1:13" x14ac:dyDescent="0.15">
      <c r="A5" s="71" t="s">
        <v>196</v>
      </c>
      <c r="B5" s="72">
        <f>floors!$C$2</f>
        <v>41005</v>
      </c>
      <c r="C5" s="73" t="str">
        <f ca="1">VLOOKUP($B5,OFFSET([2]quests!$A$1,0,0,COUNTA([2]quests!$A:$A),MATCH(C$1,[2]quests!$1:$1,0)-MATCH($B$1,[2]quests!$1:$1,0)+1),MATCH(C$1,[2]quests!$1:$1,0)-MATCH($B$1,[2]quests!$1:$1,0)+1,FALSE)</f>
        <v>オズ襲来！</v>
      </c>
      <c r="D5" s="73" t="str">
        <f ca="1">VLOOKUP($B5,OFFSET([2]quests!$A$1,0,0,COUNTA([2]quests!$A:$A),MATCH(D$1,[2]quests!$1:$1,0)-MATCH($B$1,[2]quests!$1:$1,0)+1),MATCH(D$1,[2]quests!$1:$1,0)-MATCH($B$1,[2]quests!$1:$1,0)+1,FALSE)</f>
        <v>降臨1</v>
      </c>
      <c r="E5" s="77">
        <v>1</v>
      </c>
      <c r="F5" s="7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【超絶級】オズ襲来</v>
      </c>
      <c r="G5" s="73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75">
        <v>0</v>
      </c>
      <c r="I5">
        <v>21</v>
      </c>
      <c r="J5" s="74" t="s">
        <v>193</v>
      </c>
      <c r="K5" s="83" t="str">
        <f>VLOOKUP(I5,[6]stage_hints!$A:$C,3,FALSE)</f>
        <v>スキルを有効に</v>
      </c>
      <c r="L5" s="84" t="str">
        <f>VLOOKUP(I5,[6]stage_hints!$A:$D,4,FALSE)</f>
        <v>ターン経過でユニットのスキルが使えます_x000D_強力スキルでバトルを有利に進めましょう</v>
      </c>
      <c r="M5" s="47" t="s">
        <v>206</v>
      </c>
    </row>
    <row r="6" spans="1:13" x14ac:dyDescent="0.15">
      <c r="A6" s="71" t="s">
        <v>196</v>
      </c>
      <c r="B6" s="72">
        <f>floors!$C$2</f>
        <v>41005</v>
      </c>
      <c r="C6" s="73" t="str">
        <f ca="1">VLOOKUP($B6,OFFSET([2]quests!$A$1,0,0,COUNTA([2]quests!$A:$A),MATCH(C$1,[2]quests!$1:$1,0)-MATCH($B$1,[2]quests!$1:$1,0)+1),MATCH(C$1,[2]quests!$1:$1,0)-MATCH($B$1,[2]quests!$1:$1,0)+1,FALSE)</f>
        <v>オズ襲来！</v>
      </c>
      <c r="D6" s="73" t="str">
        <f ca="1">VLOOKUP($B6,OFFSET([2]quests!$A$1,0,0,COUNTA([2]quests!$A:$A),MATCH(D$1,[2]quests!$1:$1,0)-MATCH($B$1,[2]quests!$1:$1,0)+1),MATCH(D$1,[2]quests!$1:$1,0)-MATCH($B$1,[2]quests!$1:$1,0)+1,FALSE)</f>
        <v>降臨1</v>
      </c>
      <c r="E6" s="77">
        <v>1</v>
      </c>
      <c r="F6" s="7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【超絶級】オズ襲来</v>
      </c>
      <c r="G6" s="73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75">
        <v>0</v>
      </c>
      <c r="I6">
        <v>29</v>
      </c>
      <c r="J6" s="74" t="s">
        <v>193</v>
      </c>
      <c r="K6" s="83" t="str">
        <f>VLOOKUP(I6,[6]stage_hints!$A:$C,3,FALSE)</f>
        <v>「バグ」のメリット</v>
      </c>
      <c r="L6" s="84" t="str">
        <f>VLOOKUP(I6,[6]stage_hints!$A:$D,4,FALSE)</f>
        <v>ユニットの「バグ」を増やすと_x000D_報酬をもらえる確率がアップします</v>
      </c>
      <c r="M6" s="47" t="s">
        <v>206</v>
      </c>
    </row>
    <row r="7" spans="1:13" x14ac:dyDescent="0.15">
      <c r="A7" s="71" t="s">
        <v>196</v>
      </c>
      <c r="B7" s="72">
        <f>floors!$C$2</f>
        <v>41005</v>
      </c>
      <c r="C7" s="73" t="str">
        <f ca="1">VLOOKUP($B7,OFFSET([2]quests!$A$1,0,0,COUNTA([2]quests!$A:$A),MATCH(C$1,[2]quests!$1:$1,0)-MATCH($B$1,[2]quests!$1:$1,0)+1),MATCH(C$1,[2]quests!$1:$1,0)-MATCH($B$1,[2]quests!$1:$1,0)+1,FALSE)</f>
        <v>オズ襲来！</v>
      </c>
      <c r="D7" s="73" t="str">
        <f ca="1">VLOOKUP($B7,OFFSET([2]quests!$A$1,0,0,COUNTA([2]quests!$A:$A),MATCH(D$1,[2]quests!$1:$1,0)-MATCH($B$1,[2]quests!$1:$1,0)+1),MATCH(D$1,[2]quests!$1:$1,0)-MATCH($B$1,[2]quests!$1:$1,0)+1,FALSE)</f>
        <v>降臨1</v>
      </c>
      <c r="E7" s="77">
        <v>1</v>
      </c>
      <c r="F7" s="73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【超絶級】オズ襲来</v>
      </c>
      <c r="G7" s="73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75">
        <v>0</v>
      </c>
      <c r="I7">
        <v>30</v>
      </c>
      <c r="J7" s="74" t="s">
        <v>193</v>
      </c>
      <c r="K7" s="83" t="str">
        <f>VLOOKUP(I7,[6]stage_hints!$A:$C,3,FALSE)</f>
        <v>「バグ」の増やし方</v>
      </c>
      <c r="L7" s="84" t="str">
        <f>VLOOKUP(I7,[6]stage_hints!$A:$D,4,FALSE)</f>
        <v>同じユニット同士を強化で合成すると_x000D_「バグ」を増やすことができます</v>
      </c>
      <c r="M7" s="47" t="s">
        <v>206</v>
      </c>
    </row>
    <row r="8" spans="1:13" x14ac:dyDescent="0.15">
      <c r="A8" s="71" t="s">
        <v>196</v>
      </c>
      <c r="B8" s="72">
        <f>floors!$C$2</f>
        <v>41005</v>
      </c>
      <c r="C8" s="73" t="str">
        <f ca="1">VLOOKUP($B8,OFFSET([2]quests!$A$1,0,0,COUNTA([2]quests!$A:$A),MATCH(C$1,[2]quests!$1:$1,0)-MATCH($B$1,[2]quests!$1:$1,0)+1),MATCH(C$1,[2]quests!$1:$1,0)-MATCH($B$1,[2]quests!$1:$1,0)+1,FALSE)</f>
        <v>オズ襲来！</v>
      </c>
      <c r="D8" s="73" t="str">
        <f ca="1">VLOOKUP($B8,OFFSET([2]quests!$A$1,0,0,COUNTA([2]quests!$A:$A),MATCH(D$1,[2]quests!$1:$1,0)-MATCH($B$1,[2]quests!$1:$1,0)+1),MATCH(D$1,[2]quests!$1:$1,0)-MATCH($B$1,[2]quests!$1:$1,0)+1,FALSE)</f>
        <v>降臨1</v>
      </c>
      <c r="E8" s="77">
        <v>1</v>
      </c>
      <c r="F8" s="73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【超絶級】オズ襲来</v>
      </c>
      <c r="G8" s="73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75">
        <v>0</v>
      </c>
      <c r="I8">
        <v>32</v>
      </c>
      <c r="J8" s="74" t="s">
        <v>193</v>
      </c>
      <c r="K8" s="83" t="str">
        <f>VLOOKUP(I8,[6]stage_hints!$A:$C,3,FALSE)</f>
        <v>敵の連続攻撃には</v>
      </c>
      <c r="L8" s="84" t="str">
        <f>VLOOKUP(I8,[6]stage_hints!$A:$D,4,FALSE)</f>
        <v>カウンタースキルを持つユニットがいれば_x000D_ダメージ回数分の反撃ができます</v>
      </c>
      <c r="M8" s="47" t="s">
        <v>206</v>
      </c>
    </row>
    <row r="9" spans="1:13" x14ac:dyDescent="0.15">
      <c r="A9" s="71" t="s">
        <v>196</v>
      </c>
      <c r="B9" s="72">
        <f>floors!$C$2</f>
        <v>41005</v>
      </c>
      <c r="C9" s="73" t="str">
        <f ca="1">VLOOKUP($B9,OFFSET([2]quests!$A$1,0,0,COUNTA([2]quests!$A:$A),MATCH(C$1,[2]quests!$1:$1,0)-MATCH($B$1,[2]quests!$1:$1,0)+1),MATCH(C$1,[2]quests!$1:$1,0)-MATCH($B$1,[2]quests!$1:$1,0)+1,FALSE)</f>
        <v>オズ襲来！</v>
      </c>
      <c r="D9" s="73" t="str">
        <f ca="1">VLOOKUP($B9,OFFSET([2]quests!$A$1,0,0,COUNTA([2]quests!$A:$A),MATCH(D$1,[2]quests!$1:$1,0)-MATCH($B$1,[2]quests!$1:$1,0)+1),MATCH(D$1,[2]quests!$1:$1,0)-MATCH($B$1,[2]quests!$1:$1,0)+1,FALSE)</f>
        <v>降臨1</v>
      </c>
      <c r="E9" s="77">
        <v>1</v>
      </c>
      <c r="F9" s="73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【超絶級】オズ襲来</v>
      </c>
      <c r="G9" s="73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75">
        <v>0</v>
      </c>
      <c r="I9">
        <v>33</v>
      </c>
      <c r="J9" s="74" t="s">
        <v>193</v>
      </c>
      <c r="K9" s="83" t="str">
        <f>VLOOKUP(I9,[6]stage_hints!$A:$C,3,FALSE)</f>
        <v>敵のカウンター攻撃には</v>
      </c>
      <c r="L9" s="84" t="str">
        <f>VLOOKUP(I9,[6]stage_hints!$A:$D,4,FALSE)</f>
        <v>カウンターブレイクスキルを持っていれば_x000D_敵のカウンターを解除して攻撃ができます</v>
      </c>
      <c r="M9" s="47" t="s">
        <v>206</v>
      </c>
    </row>
    <row r="10" spans="1:13" x14ac:dyDescent="0.15">
      <c r="A10" s="71" t="s">
        <v>196</v>
      </c>
      <c r="B10" s="72">
        <f>floors!$C$2</f>
        <v>41005</v>
      </c>
      <c r="C10" s="73" t="str">
        <f ca="1">VLOOKUP($B10,OFFSET([2]quests!$A$1,0,0,COUNTA([2]quests!$A:$A),MATCH(C$1,[2]quests!$1:$1,0)-MATCH($B$1,[2]quests!$1:$1,0)+1),MATCH(C$1,[2]quests!$1:$1,0)-MATCH($B$1,[2]quests!$1:$1,0)+1,FALSE)</f>
        <v>オズ襲来！</v>
      </c>
      <c r="D10" s="73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77">
        <v>1</v>
      </c>
      <c r="F10" s="73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【超絶級】オズ襲来</v>
      </c>
      <c r="G10" s="73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75">
        <v>0</v>
      </c>
      <c r="I10">
        <v>34</v>
      </c>
      <c r="J10" s="74" t="s">
        <v>193</v>
      </c>
      <c r="K10" s="83" t="str">
        <f>VLOOKUP(I10,[6]stage_hints!$A:$C,3,FALSE)</f>
        <v>ステータスをスキルで下げられたら</v>
      </c>
      <c r="L10" s="84" t="str">
        <f>VLOOKUP(I10,[6]stage_hints!$A:$D,4,FALSE)</f>
        <v>ステータスダウンのスキルを受けたら_x000D_ステータスアップスキルで上書きしましょう</v>
      </c>
      <c r="M10" s="47" t="s">
        <v>206</v>
      </c>
    </row>
    <row r="11" spans="1:13" x14ac:dyDescent="0.15">
      <c r="A11" s="71" t="s">
        <v>196</v>
      </c>
      <c r="B11" s="72">
        <f>floors!$C$2</f>
        <v>41005</v>
      </c>
      <c r="C11" s="73" t="str">
        <f ca="1">VLOOKUP($B11,OFFSET([2]quests!$A$1,0,0,COUNTA([2]quests!$A:$A),MATCH(C$1,[2]quests!$1:$1,0)-MATCH($B$1,[2]quests!$1:$1,0)+1),MATCH(C$1,[2]quests!$1:$1,0)-MATCH($B$1,[2]quests!$1:$1,0)+1,FALSE)</f>
        <v>オズ襲来！</v>
      </c>
      <c r="D11" s="73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77">
        <v>1</v>
      </c>
      <c r="F11" s="73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【超絶級】オズ襲来</v>
      </c>
      <c r="G11" s="73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75">
        <v>0</v>
      </c>
      <c r="I11">
        <v>35</v>
      </c>
      <c r="J11" s="74" t="s">
        <v>193</v>
      </c>
      <c r="K11" s="83" t="str">
        <f>VLOOKUP(I11,[6]stage_hints!$A:$C,3,FALSE)</f>
        <v>敵のステータスがスキルで上がったら</v>
      </c>
      <c r="L11" s="84" t="str">
        <f>VLOOKUP(I11,[6]stage_hints!$A:$D,4,FALSE)</f>
        <v>敵のステータスがスキルでアップしたときは_x000D_ステータスダウンスキルで上書きしましょう</v>
      </c>
      <c r="M11" s="47" t="s">
        <v>206</v>
      </c>
    </row>
    <row r="12" spans="1:13" x14ac:dyDescent="0.15">
      <c r="A12" s="71" t="s">
        <v>196</v>
      </c>
      <c r="B12" s="72">
        <f>floors!$C$2</f>
        <v>41005</v>
      </c>
      <c r="C12" s="73" t="str">
        <f ca="1">VLOOKUP($B12,OFFSET([2]quests!$A$1,0,0,COUNTA([2]quests!$A:$A),MATCH(C$1,[2]quests!$1:$1,0)-MATCH($B$1,[2]quests!$1:$1,0)+1),MATCH(C$1,[2]quests!$1:$1,0)-MATCH($B$1,[2]quests!$1:$1,0)+1,FALSE)</f>
        <v>オズ襲来！</v>
      </c>
      <c r="D12" s="73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77">
        <v>1</v>
      </c>
      <c r="F12" s="73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【超絶級】オズ襲来</v>
      </c>
      <c r="G12" s="73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75">
        <v>0</v>
      </c>
      <c r="I12">
        <v>36</v>
      </c>
      <c r="J12" s="74" t="s">
        <v>193</v>
      </c>
      <c r="K12" s="83" t="str">
        <f>VLOOKUP(I12,[6]stage_hints!$A:$C,3,FALSE)</f>
        <v>タワーオブザクイーンのボス</v>
      </c>
      <c r="L12" s="84" t="str">
        <f>VLOOKUP(I12,[6]stage_hints!$A:$D,4,FALSE)</f>
        <v>「タワーオブザクイーン」最上階のボスは_x000D_15階の初回クリア報酬で獲得できるほか_x000D_その階にて低確率でドロップもします</v>
      </c>
      <c r="M12" s="47" t="s">
        <v>206</v>
      </c>
    </row>
    <row r="13" spans="1:13" x14ac:dyDescent="0.15">
      <c r="A13" s="71" t="s">
        <v>196</v>
      </c>
      <c r="B13" s="72">
        <f>floors!$C$2</f>
        <v>41005</v>
      </c>
      <c r="C13" s="73" t="str">
        <f ca="1">VLOOKUP($B13,OFFSET([2]quests!$A$1,0,0,COUNTA([2]quests!$A:$A),MATCH(C$1,[2]quests!$1:$1,0)-MATCH($B$1,[2]quests!$1:$1,0)+1),MATCH(C$1,[2]quests!$1:$1,0)-MATCH($B$1,[2]quests!$1:$1,0)+1,FALSE)</f>
        <v>オズ襲来！</v>
      </c>
      <c r="D13" s="73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77">
        <v>1</v>
      </c>
      <c r="F13" s="73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【超絶級】オズ襲来</v>
      </c>
      <c r="G13" s="73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75">
        <v>0</v>
      </c>
      <c r="I13">
        <v>37</v>
      </c>
      <c r="J13" s="74" t="s">
        <v>193</v>
      </c>
      <c r="K13" s="83" t="str">
        <f>VLOOKUP(I13,[6]stage_hints!$A:$C,3,FALSE)</f>
        <v>限界突破値の引き継ぎ</v>
      </c>
      <c r="L13" s="84" t="str">
        <f>VLOOKUP(I13,[6]stage_hints!$A:$D,4,FALSE)</f>
        <v>同じユニットを強化で合成すると_x000D_限界突破値を引き継げます（覚醒前後も可）</v>
      </c>
      <c r="M13" s="47" t="s">
        <v>206</v>
      </c>
    </row>
    <row r="14" spans="1:13" x14ac:dyDescent="0.15">
      <c r="A14" s="71" t="s">
        <v>196</v>
      </c>
      <c r="B14" s="72">
        <f>floors!$C$2</f>
        <v>41005</v>
      </c>
      <c r="C14" s="73" t="str">
        <f ca="1">VLOOKUP($B14,OFFSET([2]quests!$A$1,0,0,COUNTA([2]quests!$A:$A),MATCH(C$1,[2]quests!$1:$1,0)-MATCH($B$1,[2]quests!$1:$1,0)+1),MATCH(C$1,[2]quests!$1:$1,0)-MATCH($B$1,[2]quests!$1:$1,0)+1,FALSE)</f>
        <v>オズ襲来！</v>
      </c>
      <c r="D14" s="73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77">
        <v>1</v>
      </c>
      <c r="F14" s="73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【超絶級】オズ襲来</v>
      </c>
      <c r="G14" s="73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75">
        <v>0</v>
      </c>
      <c r="I14">
        <v>39</v>
      </c>
      <c r="J14" s="74" t="s">
        <v>193</v>
      </c>
      <c r="K14" s="83" t="str">
        <f>VLOOKUP(I14,[6]stage_hints!$A:$C,3,FALSE)</f>
        <v>システム適合者を確認</v>
      </c>
      <c r="L14" s="84" t="str">
        <f>VLOOKUP(I14,[6]stage_hints!$A:$D,4,FALSE)</f>
        <v>ALICEが 「アナタ」を呼んでいます</v>
      </c>
      <c r="M14" s="47" t="s">
        <v>206</v>
      </c>
    </row>
    <row r="15" spans="1:13" x14ac:dyDescent="0.15">
      <c r="A15" s="71" t="s">
        <v>196</v>
      </c>
      <c r="B15" s="72">
        <f>floors!$C$2</f>
        <v>41005</v>
      </c>
      <c r="C15" s="73" t="str">
        <f ca="1">VLOOKUP($B15,OFFSET([2]quests!$A$1,0,0,COUNTA([2]quests!$A:$A),MATCH(C$1,[2]quests!$1:$1,0)-MATCH($B$1,[2]quests!$1:$1,0)+1),MATCH(C$1,[2]quests!$1:$1,0)-MATCH($B$1,[2]quests!$1:$1,0)+1,FALSE)</f>
        <v>オズ襲来！</v>
      </c>
      <c r="D15" s="73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77">
        <v>2</v>
      </c>
      <c r="F15" s="73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【ウィザード級】オズ襲来</v>
      </c>
      <c r="G15" s="73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75">
        <v>0</v>
      </c>
      <c r="I15">
        <v>12</v>
      </c>
      <c r="J15" s="74" t="s">
        <v>193</v>
      </c>
      <c r="K15" s="83" t="str">
        <f>VLOOKUP(I15,[6]stage_hints!$A:$C,3,FALSE)</f>
        <v>ユニットのお気に入り登録</v>
      </c>
      <c r="L15" s="84" t="str">
        <f>VLOOKUP(I15,[6]stage_hints!$A:$D,4,FALSE)</f>
        <v>大事なユニットを誤って消さないように_x000D_フォルダから「お気に入り登録」しましょう</v>
      </c>
      <c r="M15" s="47" t="s">
        <v>206</v>
      </c>
    </row>
    <row r="16" spans="1:13" x14ac:dyDescent="0.15">
      <c r="A16" s="71" t="s">
        <v>196</v>
      </c>
      <c r="B16" s="72">
        <f>floors!$C$2</f>
        <v>41005</v>
      </c>
      <c r="C16" s="73" t="str">
        <f ca="1">VLOOKUP($B16,OFFSET([2]quests!$A$1,0,0,COUNTA([2]quests!$A:$A),MATCH(C$1,[2]quests!$1:$1,0)-MATCH($B$1,[2]quests!$1:$1,0)+1),MATCH(C$1,[2]quests!$1:$1,0)-MATCH($B$1,[2]quests!$1:$1,0)+1,FALSE)</f>
        <v>オズ襲来！</v>
      </c>
      <c r="D16" s="73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77">
        <v>2</v>
      </c>
      <c r="F16" s="73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【ウィザード級】オズ襲来</v>
      </c>
      <c r="G16" s="73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75">
        <v>0</v>
      </c>
      <c r="I16">
        <v>17</v>
      </c>
      <c r="J16" s="74" t="s">
        <v>193</v>
      </c>
      <c r="K16" s="83" t="str">
        <f>VLOOKUP(I16,[6]stage_hints!$A:$C,3,FALSE)</f>
        <v>リンクガチャ</v>
      </c>
      <c r="L16" s="84" t="str">
        <f>VLOOKUP(I16,[6]stage_hints!$A:$D,4,FALSE)</f>
        <v>無料のリンクガチャを回して_x000D_経験値素材や売却素材を獲得しましょう</v>
      </c>
      <c r="M16" s="47" t="s">
        <v>206</v>
      </c>
    </row>
    <row r="17" spans="1:13" x14ac:dyDescent="0.15">
      <c r="A17" s="71" t="s">
        <v>196</v>
      </c>
      <c r="B17" s="72">
        <f>floors!$C$2</f>
        <v>41005</v>
      </c>
      <c r="C17" s="73" t="str">
        <f ca="1">VLOOKUP($B17,OFFSET([2]quests!$A$1,0,0,COUNTA([2]quests!$A:$A),MATCH(C$1,[2]quests!$1:$1,0)-MATCH($B$1,[2]quests!$1:$1,0)+1),MATCH(C$1,[2]quests!$1:$1,0)-MATCH($B$1,[2]quests!$1:$1,0)+1,FALSE)</f>
        <v>オズ襲来！</v>
      </c>
      <c r="D17" s="73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77">
        <v>2</v>
      </c>
      <c r="F17" s="73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【ウィザード級】オズ襲来</v>
      </c>
      <c r="G17" s="73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75">
        <v>0</v>
      </c>
      <c r="I17">
        <v>19</v>
      </c>
      <c r="J17" s="74" t="s">
        <v>193</v>
      </c>
      <c r="K17" s="83" t="str">
        <f>VLOOKUP(I17,[6]stage_hints!$A:$C,3,FALSE)</f>
        <v>ソロ専用タワーオブザクイーン</v>
      </c>
      <c r="L17" s="84" t="str">
        <f>VLOOKUP(I17,[6]stage_hints!$A:$D,4,FALSE)</f>
        <v>ソロ専用の「タワーオブザクイーン」は_x000D_期間限定で定期的に開催されます_x000D_ここでしか獲得できない報酬もあるようです</v>
      </c>
      <c r="M17" s="47" t="s">
        <v>206</v>
      </c>
    </row>
    <row r="18" spans="1:13" x14ac:dyDescent="0.15">
      <c r="A18" s="71" t="s">
        <v>196</v>
      </c>
      <c r="B18" s="72">
        <f>floors!$C$2</f>
        <v>41005</v>
      </c>
      <c r="C18" s="73" t="str">
        <f ca="1">VLOOKUP($B18,OFFSET([2]quests!$A$1,0,0,COUNTA([2]quests!$A:$A),MATCH(C$1,[2]quests!$1:$1,0)-MATCH($B$1,[2]quests!$1:$1,0)+1),MATCH(C$1,[2]quests!$1:$1,0)-MATCH($B$1,[2]quests!$1:$1,0)+1,FALSE)</f>
        <v>オズ襲来！</v>
      </c>
      <c r="D18" s="73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77">
        <v>2</v>
      </c>
      <c r="F18" s="73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【ウィザード級】オズ襲来</v>
      </c>
      <c r="G18" s="73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75">
        <v>0</v>
      </c>
      <c r="I18">
        <v>21</v>
      </c>
      <c r="J18" s="74" t="s">
        <v>193</v>
      </c>
      <c r="K18" s="83" t="str">
        <f>VLOOKUP(I18,[6]stage_hints!$A:$C,3,FALSE)</f>
        <v>スキルを有効に</v>
      </c>
      <c r="L18" s="84" t="str">
        <f>VLOOKUP(I18,[6]stage_hints!$A:$D,4,FALSE)</f>
        <v>ターン経過でユニットのスキルが使えます_x000D_強力スキルでバトルを有利に進めましょう</v>
      </c>
      <c r="M18" s="47" t="s">
        <v>206</v>
      </c>
    </row>
    <row r="19" spans="1:13" x14ac:dyDescent="0.15">
      <c r="A19" s="71" t="s">
        <v>196</v>
      </c>
      <c r="B19" s="72">
        <f>floors!$C$2</f>
        <v>41005</v>
      </c>
      <c r="C19" s="73" t="str">
        <f ca="1">VLOOKUP($B19,OFFSET([2]quests!$A$1,0,0,COUNTA([2]quests!$A:$A),MATCH(C$1,[2]quests!$1:$1,0)-MATCH($B$1,[2]quests!$1:$1,0)+1),MATCH(C$1,[2]quests!$1:$1,0)-MATCH($B$1,[2]quests!$1:$1,0)+1,FALSE)</f>
        <v>オズ襲来！</v>
      </c>
      <c r="D19" s="73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77">
        <v>2</v>
      </c>
      <c r="F19" s="73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【ウィザード級】オズ襲来</v>
      </c>
      <c r="G19" s="73" t="str">
        <f ca="1">VLOOKUP($B19&amp;"_"&amp;$E19,OFFSET([2]stages!$A$1,0,0,COUNTA([2]stages!$A:$A),MATCH(G$1,[2]stages!$2:$2,0)-MATCH("temp_stage",[2]stages!$2:$2,0)+1),MATCH(G$1,[2]stages!$2:$2,0)-MATCH("temp_stage",[2]stages!$2:$2,0)+1,FALSE)</f>
        <v>降臨1</v>
      </c>
      <c r="H19" s="75">
        <v>0</v>
      </c>
      <c r="I19">
        <v>29</v>
      </c>
      <c r="J19" s="74" t="s">
        <v>193</v>
      </c>
      <c r="K19" s="83" t="str">
        <f>VLOOKUP(I19,[6]stage_hints!$A:$C,3,FALSE)</f>
        <v>「バグ」のメリット</v>
      </c>
      <c r="L19" s="84" t="str">
        <f>VLOOKUP(I19,[6]stage_hints!$A:$D,4,FALSE)</f>
        <v>ユニットの「バグ」を増やすと_x000D_報酬をもらえる確率がアップします</v>
      </c>
      <c r="M19" s="47" t="s">
        <v>206</v>
      </c>
    </row>
    <row r="20" spans="1:13" x14ac:dyDescent="0.15">
      <c r="A20" s="71" t="s">
        <v>196</v>
      </c>
      <c r="B20" s="72">
        <f>floors!$C$2</f>
        <v>41005</v>
      </c>
      <c r="C20" s="73" t="str">
        <f ca="1">VLOOKUP($B20,OFFSET([2]quests!$A$1,0,0,COUNTA([2]quests!$A:$A),MATCH(C$1,[2]quests!$1:$1,0)-MATCH($B$1,[2]quests!$1:$1,0)+1),MATCH(C$1,[2]quests!$1:$1,0)-MATCH($B$1,[2]quests!$1:$1,0)+1,FALSE)</f>
        <v>オズ襲来！</v>
      </c>
      <c r="D20" s="73" t="str">
        <f ca="1">VLOOKUP($B20,OFFSET([2]quests!$A$1,0,0,COUNTA([2]quests!$A:$A),MATCH(D$1,[2]quests!$1:$1,0)-MATCH($B$1,[2]quests!$1:$1,0)+1),MATCH(D$1,[2]quests!$1:$1,0)-MATCH($B$1,[2]quests!$1:$1,0)+1,FALSE)</f>
        <v>降臨1</v>
      </c>
      <c r="E20" s="77">
        <v>2</v>
      </c>
      <c r="F20" s="73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【ウィザード級】オズ襲来</v>
      </c>
      <c r="G20" s="73" t="str">
        <f ca="1">VLOOKUP($B20&amp;"_"&amp;$E20,OFFSET([2]stages!$A$1,0,0,COUNTA([2]stages!$A:$A),MATCH(G$1,[2]stages!$2:$2,0)-MATCH("temp_stage",[2]stages!$2:$2,0)+1),MATCH(G$1,[2]stages!$2:$2,0)-MATCH("temp_stage",[2]stages!$2:$2,0)+1,FALSE)</f>
        <v>降臨1</v>
      </c>
      <c r="H20" s="75">
        <v>0</v>
      </c>
      <c r="I20">
        <v>30</v>
      </c>
      <c r="J20" s="74" t="s">
        <v>193</v>
      </c>
      <c r="K20" s="83" t="str">
        <f>VLOOKUP(I20,[6]stage_hints!$A:$C,3,FALSE)</f>
        <v>「バグ」の増やし方</v>
      </c>
      <c r="L20" s="84" t="str">
        <f>VLOOKUP(I20,[6]stage_hints!$A:$D,4,FALSE)</f>
        <v>同じユニット同士を強化で合成すると_x000D_「バグ」を増やすことができます</v>
      </c>
      <c r="M20" s="47" t="s">
        <v>206</v>
      </c>
    </row>
    <row r="21" spans="1:13" x14ac:dyDescent="0.15">
      <c r="A21" s="71" t="s">
        <v>196</v>
      </c>
      <c r="B21" s="72">
        <f>floors!$C$2</f>
        <v>41005</v>
      </c>
      <c r="C21" s="73" t="str">
        <f ca="1">VLOOKUP($B21,OFFSET([2]quests!$A$1,0,0,COUNTA([2]quests!$A:$A),MATCH(C$1,[2]quests!$1:$1,0)-MATCH($B$1,[2]quests!$1:$1,0)+1),MATCH(C$1,[2]quests!$1:$1,0)-MATCH($B$1,[2]quests!$1:$1,0)+1,FALSE)</f>
        <v>オズ襲来！</v>
      </c>
      <c r="D21" s="73" t="str">
        <f ca="1">VLOOKUP($B21,OFFSET([2]quests!$A$1,0,0,COUNTA([2]quests!$A:$A),MATCH(D$1,[2]quests!$1:$1,0)-MATCH($B$1,[2]quests!$1:$1,0)+1),MATCH(D$1,[2]quests!$1:$1,0)-MATCH($B$1,[2]quests!$1:$1,0)+1,FALSE)</f>
        <v>降臨1</v>
      </c>
      <c r="E21" s="77">
        <v>2</v>
      </c>
      <c r="F21" s="73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【ウィザード級】オズ襲来</v>
      </c>
      <c r="G21" s="73" t="str">
        <f ca="1">VLOOKUP($B21&amp;"_"&amp;$E21,OFFSET([2]stages!$A$1,0,0,COUNTA([2]stages!$A:$A),MATCH(G$1,[2]stages!$2:$2,0)-MATCH("temp_stage",[2]stages!$2:$2,0)+1),MATCH(G$1,[2]stages!$2:$2,0)-MATCH("temp_stage",[2]stages!$2:$2,0)+1,FALSE)</f>
        <v>降臨1</v>
      </c>
      <c r="H21" s="75">
        <v>0</v>
      </c>
      <c r="I21">
        <v>32</v>
      </c>
      <c r="J21" s="74" t="s">
        <v>193</v>
      </c>
      <c r="K21" s="83" t="str">
        <f>VLOOKUP(I21,[6]stage_hints!$A:$C,3,FALSE)</f>
        <v>敵の連続攻撃には</v>
      </c>
      <c r="L21" s="84" t="str">
        <f>VLOOKUP(I21,[6]stage_hints!$A:$D,4,FALSE)</f>
        <v>カウンタースキルを持つユニットがいれば_x000D_ダメージ回数分の反撃ができます</v>
      </c>
      <c r="M21" s="47" t="s">
        <v>206</v>
      </c>
    </row>
    <row r="22" spans="1:13" x14ac:dyDescent="0.15">
      <c r="A22" s="71" t="s">
        <v>196</v>
      </c>
      <c r="B22" s="72">
        <f>floors!$C$2</f>
        <v>41005</v>
      </c>
      <c r="C22" s="73" t="str">
        <f ca="1">VLOOKUP($B22,OFFSET([2]quests!$A$1,0,0,COUNTA([2]quests!$A:$A),MATCH(C$1,[2]quests!$1:$1,0)-MATCH($B$1,[2]quests!$1:$1,0)+1),MATCH(C$1,[2]quests!$1:$1,0)-MATCH($B$1,[2]quests!$1:$1,0)+1,FALSE)</f>
        <v>オズ襲来！</v>
      </c>
      <c r="D22" s="73" t="str">
        <f ca="1">VLOOKUP($B22,OFFSET([2]quests!$A$1,0,0,COUNTA([2]quests!$A:$A),MATCH(D$1,[2]quests!$1:$1,0)-MATCH($B$1,[2]quests!$1:$1,0)+1),MATCH(D$1,[2]quests!$1:$1,0)-MATCH($B$1,[2]quests!$1:$1,0)+1,FALSE)</f>
        <v>降臨1</v>
      </c>
      <c r="E22" s="77">
        <v>2</v>
      </c>
      <c r="F22" s="73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【ウィザード級】オズ襲来</v>
      </c>
      <c r="G22" s="73" t="str">
        <f ca="1">VLOOKUP($B22&amp;"_"&amp;$E22,OFFSET([2]stages!$A$1,0,0,COUNTA([2]stages!$A:$A),MATCH(G$1,[2]stages!$2:$2,0)-MATCH("temp_stage",[2]stages!$2:$2,0)+1),MATCH(G$1,[2]stages!$2:$2,0)-MATCH("temp_stage",[2]stages!$2:$2,0)+1,FALSE)</f>
        <v>降臨1</v>
      </c>
      <c r="H22" s="75">
        <v>0</v>
      </c>
      <c r="I22">
        <v>33</v>
      </c>
      <c r="J22" s="74" t="s">
        <v>193</v>
      </c>
      <c r="K22" s="83" t="str">
        <f>VLOOKUP(I22,[6]stage_hints!$A:$C,3,FALSE)</f>
        <v>敵のカウンター攻撃には</v>
      </c>
      <c r="L22" s="84" t="str">
        <f>VLOOKUP(I22,[6]stage_hints!$A:$D,4,FALSE)</f>
        <v>カウンターブレイクスキルを持っていれば_x000D_敵のカウンターを解除して攻撃ができます</v>
      </c>
      <c r="M22" s="47" t="s">
        <v>206</v>
      </c>
    </row>
    <row r="23" spans="1:13" x14ac:dyDescent="0.15">
      <c r="A23" s="71" t="s">
        <v>196</v>
      </c>
      <c r="B23" s="72">
        <f>floors!$C$2</f>
        <v>41005</v>
      </c>
      <c r="C23" s="73" t="str">
        <f ca="1">VLOOKUP($B23,OFFSET([2]quests!$A$1,0,0,COUNTA([2]quests!$A:$A),MATCH(C$1,[2]quests!$1:$1,0)-MATCH($B$1,[2]quests!$1:$1,0)+1),MATCH(C$1,[2]quests!$1:$1,0)-MATCH($B$1,[2]quests!$1:$1,0)+1,FALSE)</f>
        <v>オズ襲来！</v>
      </c>
      <c r="D23" s="73" t="str">
        <f ca="1">VLOOKUP($B23,OFFSET([2]quests!$A$1,0,0,COUNTA([2]quests!$A:$A),MATCH(D$1,[2]quests!$1:$1,0)-MATCH($B$1,[2]quests!$1:$1,0)+1),MATCH(D$1,[2]quests!$1:$1,0)-MATCH($B$1,[2]quests!$1:$1,0)+1,FALSE)</f>
        <v>降臨1</v>
      </c>
      <c r="E23" s="77">
        <v>2</v>
      </c>
      <c r="F23" s="73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【ウィザード級】オズ襲来</v>
      </c>
      <c r="G23" s="73" t="str">
        <f ca="1">VLOOKUP($B23&amp;"_"&amp;$E23,OFFSET([2]stages!$A$1,0,0,COUNTA([2]stages!$A:$A),MATCH(G$1,[2]stages!$2:$2,0)-MATCH("temp_stage",[2]stages!$2:$2,0)+1),MATCH(G$1,[2]stages!$2:$2,0)-MATCH("temp_stage",[2]stages!$2:$2,0)+1,FALSE)</f>
        <v>降臨1</v>
      </c>
      <c r="H23" s="75">
        <v>0</v>
      </c>
      <c r="I23">
        <v>34</v>
      </c>
      <c r="J23" s="74" t="s">
        <v>193</v>
      </c>
      <c r="K23" s="83" t="str">
        <f>VLOOKUP(I23,[6]stage_hints!$A:$C,3,FALSE)</f>
        <v>ステータスをスキルで下げられたら</v>
      </c>
      <c r="L23" s="84" t="str">
        <f>VLOOKUP(I23,[6]stage_hints!$A:$D,4,FALSE)</f>
        <v>ステータスダウンのスキルを受けたら_x000D_ステータスアップスキルで上書きしましょう</v>
      </c>
      <c r="M23" s="47" t="s">
        <v>206</v>
      </c>
    </row>
    <row r="24" spans="1:13" x14ac:dyDescent="0.15">
      <c r="A24" s="71" t="s">
        <v>196</v>
      </c>
      <c r="B24" s="72">
        <f>floors!$C$2</f>
        <v>41005</v>
      </c>
      <c r="C24" s="73" t="str">
        <f ca="1">VLOOKUP($B24,OFFSET([2]quests!$A$1,0,0,COUNTA([2]quests!$A:$A),MATCH(C$1,[2]quests!$1:$1,0)-MATCH($B$1,[2]quests!$1:$1,0)+1),MATCH(C$1,[2]quests!$1:$1,0)-MATCH($B$1,[2]quests!$1:$1,0)+1,FALSE)</f>
        <v>オズ襲来！</v>
      </c>
      <c r="D24" s="73" t="str">
        <f ca="1">VLOOKUP($B24,OFFSET([2]quests!$A$1,0,0,COUNTA([2]quests!$A:$A),MATCH(D$1,[2]quests!$1:$1,0)-MATCH($B$1,[2]quests!$1:$1,0)+1),MATCH(D$1,[2]quests!$1:$1,0)-MATCH($B$1,[2]quests!$1:$1,0)+1,FALSE)</f>
        <v>降臨1</v>
      </c>
      <c r="E24" s="77">
        <v>2</v>
      </c>
      <c r="F24" s="73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【ウィザード級】オズ襲来</v>
      </c>
      <c r="G24" s="73" t="str">
        <f ca="1">VLOOKUP($B24&amp;"_"&amp;$E24,OFFSET([2]stages!$A$1,0,0,COUNTA([2]stages!$A:$A),MATCH(G$1,[2]stages!$2:$2,0)-MATCH("temp_stage",[2]stages!$2:$2,0)+1),MATCH(G$1,[2]stages!$2:$2,0)-MATCH("temp_stage",[2]stages!$2:$2,0)+1,FALSE)</f>
        <v>降臨1</v>
      </c>
      <c r="H24" s="75">
        <v>0</v>
      </c>
      <c r="I24">
        <v>35</v>
      </c>
      <c r="J24" s="74" t="s">
        <v>193</v>
      </c>
      <c r="K24" s="83" t="str">
        <f>VLOOKUP(I24,[6]stage_hints!$A:$C,3,FALSE)</f>
        <v>敵のステータスがスキルで上がったら</v>
      </c>
      <c r="L24" s="84" t="str">
        <f>VLOOKUP(I24,[6]stage_hints!$A:$D,4,FALSE)</f>
        <v>敵のステータスがスキルでアップしたときは_x000D_ステータスダウンスキルで上書きしましょう</v>
      </c>
      <c r="M24" s="47" t="s">
        <v>206</v>
      </c>
    </row>
    <row r="25" spans="1:13" x14ac:dyDescent="0.15">
      <c r="A25" s="71" t="s">
        <v>196</v>
      </c>
      <c r="B25" s="72">
        <f>floors!$C$2</f>
        <v>41005</v>
      </c>
      <c r="C25" s="73" t="str">
        <f ca="1">VLOOKUP($B25,OFFSET([2]quests!$A$1,0,0,COUNTA([2]quests!$A:$A),MATCH(C$1,[2]quests!$1:$1,0)-MATCH($B$1,[2]quests!$1:$1,0)+1),MATCH(C$1,[2]quests!$1:$1,0)-MATCH($B$1,[2]quests!$1:$1,0)+1,FALSE)</f>
        <v>オズ襲来！</v>
      </c>
      <c r="D25" s="73" t="str">
        <f ca="1">VLOOKUP($B25,OFFSET([2]quests!$A$1,0,0,COUNTA([2]quests!$A:$A),MATCH(D$1,[2]quests!$1:$1,0)-MATCH($B$1,[2]quests!$1:$1,0)+1),MATCH(D$1,[2]quests!$1:$1,0)-MATCH($B$1,[2]quests!$1:$1,0)+1,FALSE)</f>
        <v>降臨1</v>
      </c>
      <c r="E25" s="77">
        <v>2</v>
      </c>
      <c r="F25" s="73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【ウィザード級】オズ襲来</v>
      </c>
      <c r="G25" s="73" t="str">
        <f ca="1">VLOOKUP($B25&amp;"_"&amp;$E25,OFFSET([2]stages!$A$1,0,0,COUNTA([2]stages!$A:$A),MATCH(G$1,[2]stages!$2:$2,0)-MATCH("temp_stage",[2]stages!$2:$2,0)+1),MATCH(G$1,[2]stages!$2:$2,0)-MATCH("temp_stage",[2]stages!$2:$2,0)+1,FALSE)</f>
        <v>降臨1</v>
      </c>
      <c r="H25" s="75">
        <v>0</v>
      </c>
      <c r="I25">
        <v>36</v>
      </c>
      <c r="J25" s="74" t="s">
        <v>193</v>
      </c>
      <c r="K25" s="83" t="str">
        <f>VLOOKUP(I25,[6]stage_hints!$A:$C,3,FALSE)</f>
        <v>タワーオブザクイーンのボス</v>
      </c>
      <c r="L25" s="84" t="str">
        <f>VLOOKUP(I25,[6]stage_hints!$A:$D,4,FALSE)</f>
        <v>「タワーオブザクイーン」最上階のボスは_x000D_15階の初回クリア報酬で獲得できるほか_x000D_その階にて低確率でドロップもします</v>
      </c>
      <c r="M25" s="47" t="s">
        <v>206</v>
      </c>
    </row>
    <row r="26" spans="1:13" x14ac:dyDescent="0.15">
      <c r="A26" s="71" t="s">
        <v>196</v>
      </c>
      <c r="B26" s="72">
        <f>floors!$C$2</f>
        <v>41005</v>
      </c>
      <c r="C26" s="73" t="str">
        <f ca="1">VLOOKUP($B26,OFFSET([2]quests!$A$1,0,0,COUNTA([2]quests!$A:$A),MATCH(C$1,[2]quests!$1:$1,0)-MATCH($B$1,[2]quests!$1:$1,0)+1),MATCH(C$1,[2]quests!$1:$1,0)-MATCH($B$1,[2]quests!$1:$1,0)+1,FALSE)</f>
        <v>オズ襲来！</v>
      </c>
      <c r="D26" s="73" t="str">
        <f ca="1">VLOOKUP($B26,OFFSET([2]quests!$A$1,0,0,COUNTA([2]quests!$A:$A),MATCH(D$1,[2]quests!$1:$1,0)-MATCH($B$1,[2]quests!$1:$1,0)+1),MATCH(D$1,[2]quests!$1:$1,0)-MATCH($B$1,[2]quests!$1:$1,0)+1,FALSE)</f>
        <v>降臨1</v>
      </c>
      <c r="E26" s="77">
        <v>2</v>
      </c>
      <c r="F26" s="73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【ウィザード級】オズ襲来</v>
      </c>
      <c r="G26" s="73" t="str">
        <f ca="1">VLOOKUP($B26&amp;"_"&amp;$E26,OFFSET([2]stages!$A$1,0,0,COUNTA([2]stages!$A:$A),MATCH(G$1,[2]stages!$2:$2,0)-MATCH("temp_stage",[2]stages!$2:$2,0)+1),MATCH(G$1,[2]stages!$2:$2,0)-MATCH("temp_stage",[2]stages!$2:$2,0)+1,FALSE)</f>
        <v>降臨1</v>
      </c>
      <c r="H26" s="75">
        <v>0</v>
      </c>
      <c r="I26">
        <v>37</v>
      </c>
      <c r="J26" s="74" t="s">
        <v>193</v>
      </c>
      <c r="K26" s="83" t="str">
        <f>VLOOKUP(I26,[6]stage_hints!$A:$C,3,FALSE)</f>
        <v>限界突破値の引き継ぎ</v>
      </c>
      <c r="L26" s="84" t="str">
        <f>VLOOKUP(I26,[6]stage_hints!$A:$D,4,FALSE)</f>
        <v>同じユニットを強化で合成すると_x000D_限界突破値を引き継げます（覚醒前後も可）</v>
      </c>
      <c r="M26" s="47" t="s">
        <v>206</v>
      </c>
    </row>
    <row r="27" spans="1:13" x14ac:dyDescent="0.15">
      <c r="A27" s="71" t="s">
        <v>196</v>
      </c>
      <c r="B27" s="72">
        <f>floors!$C$2</f>
        <v>41005</v>
      </c>
      <c r="C27" s="73" t="str">
        <f ca="1">VLOOKUP($B27,OFFSET([2]quests!$A$1,0,0,COUNTA([2]quests!$A:$A),MATCH(C$1,[2]quests!$1:$1,0)-MATCH($B$1,[2]quests!$1:$1,0)+1),MATCH(C$1,[2]quests!$1:$1,0)-MATCH($B$1,[2]quests!$1:$1,0)+1,FALSE)</f>
        <v>オズ襲来！</v>
      </c>
      <c r="D27" s="73" t="str">
        <f ca="1">VLOOKUP($B27,OFFSET([2]quests!$A$1,0,0,COUNTA([2]quests!$A:$A),MATCH(D$1,[2]quests!$1:$1,0)-MATCH($B$1,[2]quests!$1:$1,0)+1),MATCH(D$1,[2]quests!$1:$1,0)-MATCH($B$1,[2]quests!$1:$1,0)+1,FALSE)</f>
        <v>降臨1</v>
      </c>
      <c r="E27" s="77">
        <v>2</v>
      </c>
      <c r="F27" s="73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【ウィザード級】オズ襲来</v>
      </c>
      <c r="G27" s="73" t="str">
        <f ca="1">VLOOKUP($B27&amp;"_"&amp;$E27,OFFSET([2]stages!$A$1,0,0,COUNTA([2]stages!$A:$A),MATCH(G$1,[2]stages!$2:$2,0)-MATCH("temp_stage",[2]stages!$2:$2,0)+1),MATCH(G$1,[2]stages!$2:$2,0)-MATCH("temp_stage",[2]stages!$2:$2,0)+1,FALSE)</f>
        <v>降臨1</v>
      </c>
      <c r="H27" s="75">
        <v>0</v>
      </c>
      <c r="I27">
        <v>39</v>
      </c>
      <c r="J27" s="74" t="s">
        <v>193</v>
      </c>
      <c r="K27" s="83" t="str">
        <f>VLOOKUP(I27,[6]stage_hints!$A:$C,3,FALSE)</f>
        <v>システム適合者を確認</v>
      </c>
      <c r="L27" s="84" t="str">
        <f>VLOOKUP(I27,[6]stage_hints!$A:$D,4,FALSE)</f>
        <v>ALICEが 「アナタ」を呼んでいます</v>
      </c>
      <c r="M27" s="47" t="s">
        <v>206</v>
      </c>
    </row>
    <row r="28" spans="1:13" x14ac:dyDescent="0.15">
      <c r="A28" s="71" t="s">
        <v>196</v>
      </c>
      <c r="B28" s="72">
        <f>floors!$C$2</f>
        <v>41005</v>
      </c>
      <c r="C28" s="73" t="str">
        <f ca="1">VLOOKUP($B28,OFFSET([2]quests!$A$1,0,0,COUNTA([2]quests!$A:$A),MATCH(C$1,[2]quests!$1:$1,0)-MATCH($B$1,[2]quests!$1:$1,0)+1),MATCH(C$1,[2]quests!$1:$1,0)-MATCH($B$1,[2]quests!$1:$1,0)+1,FALSE)</f>
        <v>オズ襲来！</v>
      </c>
      <c r="D28" s="73" t="str">
        <f ca="1">VLOOKUP($B28,OFFSET([2]quests!$A$1,0,0,COUNTA([2]quests!$A:$A),MATCH(D$1,[2]quests!$1:$1,0)-MATCH($B$1,[2]quests!$1:$1,0)+1),MATCH(D$1,[2]quests!$1:$1,0)-MATCH($B$1,[2]quests!$1:$1,0)+1,FALSE)</f>
        <v>降臨1</v>
      </c>
      <c r="E28" s="77">
        <v>3</v>
      </c>
      <c r="F28" s="73" t="str">
        <f ca="1">VLOOKUP($B28&amp;"_"&amp;$E28,OFFSET([2]stages!$A$1,0,0,COUNTA([2]stages!$A:$A),MATCH(F$1,[2]stages!$2:$2,0)-MATCH("temp_stage",[2]stages!$2:$2,0)+1),MATCH(F$1,[2]stages!$2:$2,0)-MATCH("temp_stage",[2]stages!$2:$2,0)+1,FALSE)</f>
        <v>【ノーコンテニュー】オズ襲来</v>
      </c>
      <c r="G28" s="73" t="str">
        <f ca="1">VLOOKUP($B28&amp;"_"&amp;$E28,OFFSET([2]stages!$A$1,0,0,COUNTA([2]stages!$A:$A),MATCH(G$1,[2]stages!$2:$2,0)-MATCH("temp_stage",[2]stages!$2:$2,0)+1),MATCH(G$1,[2]stages!$2:$2,0)-MATCH("temp_stage",[2]stages!$2:$2,0)+1,FALSE)</f>
        <v>降臨1</v>
      </c>
      <c r="H28" s="75">
        <v>0</v>
      </c>
      <c r="I28">
        <v>12</v>
      </c>
      <c r="J28" s="74" t="s">
        <v>193</v>
      </c>
      <c r="K28" s="83" t="str">
        <f>VLOOKUP(I28,[6]stage_hints!$A:$C,3,FALSE)</f>
        <v>ユニットのお気に入り登録</v>
      </c>
      <c r="L28" s="84" t="str">
        <f>VLOOKUP(I28,[6]stage_hints!$A:$D,4,FALSE)</f>
        <v>大事なユニットを誤って消さないように_x000D_フォルダから「お気に入り登録」しましょう</v>
      </c>
      <c r="M28" s="47" t="s">
        <v>206</v>
      </c>
    </row>
    <row r="29" spans="1:13" x14ac:dyDescent="0.15">
      <c r="A29" s="71" t="s">
        <v>196</v>
      </c>
      <c r="B29" s="72">
        <f>floors!$C$2</f>
        <v>41005</v>
      </c>
      <c r="C29" s="73" t="str">
        <f ca="1">VLOOKUP($B29,OFFSET([2]quests!$A$1,0,0,COUNTA([2]quests!$A:$A),MATCH(C$1,[2]quests!$1:$1,0)-MATCH($B$1,[2]quests!$1:$1,0)+1),MATCH(C$1,[2]quests!$1:$1,0)-MATCH($B$1,[2]quests!$1:$1,0)+1,FALSE)</f>
        <v>オズ襲来！</v>
      </c>
      <c r="D29" s="73" t="str">
        <f ca="1">VLOOKUP($B29,OFFSET([2]quests!$A$1,0,0,COUNTA([2]quests!$A:$A),MATCH(D$1,[2]quests!$1:$1,0)-MATCH($B$1,[2]quests!$1:$1,0)+1),MATCH(D$1,[2]quests!$1:$1,0)-MATCH($B$1,[2]quests!$1:$1,0)+1,FALSE)</f>
        <v>降臨1</v>
      </c>
      <c r="E29" s="77">
        <v>3</v>
      </c>
      <c r="F29" s="73" t="str">
        <f ca="1">VLOOKUP($B29&amp;"_"&amp;$E29,OFFSET([2]stages!$A$1,0,0,COUNTA([2]stages!$A:$A),MATCH(F$1,[2]stages!$2:$2,0)-MATCH("temp_stage",[2]stages!$2:$2,0)+1),MATCH(F$1,[2]stages!$2:$2,0)-MATCH("temp_stage",[2]stages!$2:$2,0)+1,FALSE)</f>
        <v>【ノーコンテニュー】オズ襲来</v>
      </c>
      <c r="G29" s="73" t="str">
        <f ca="1">VLOOKUP($B29&amp;"_"&amp;$E29,OFFSET([2]stages!$A$1,0,0,COUNTA([2]stages!$A:$A),MATCH(G$1,[2]stages!$2:$2,0)-MATCH("temp_stage",[2]stages!$2:$2,0)+1),MATCH(G$1,[2]stages!$2:$2,0)-MATCH("temp_stage",[2]stages!$2:$2,0)+1,FALSE)</f>
        <v>降臨1</v>
      </c>
      <c r="H29" s="75">
        <v>0</v>
      </c>
      <c r="I29">
        <v>17</v>
      </c>
      <c r="J29" s="74" t="s">
        <v>193</v>
      </c>
      <c r="K29" s="83" t="str">
        <f>VLOOKUP(I29,[6]stage_hints!$A:$C,3,FALSE)</f>
        <v>リンクガチャ</v>
      </c>
      <c r="L29" s="84" t="str">
        <f>VLOOKUP(I29,[6]stage_hints!$A:$D,4,FALSE)</f>
        <v>無料のリンクガチャを回して_x000D_経験値素材や売却素材を獲得しましょう</v>
      </c>
      <c r="M29" s="47" t="s">
        <v>206</v>
      </c>
    </row>
    <row r="30" spans="1:13" x14ac:dyDescent="0.15">
      <c r="A30" s="71" t="s">
        <v>196</v>
      </c>
      <c r="B30" s="72">
        <f>floors!$C$2</f>
        <v>41005</v>
      </c>
      <c r="C30" s="73" t="str">
        <f ca="1">VLOOKUP($B30,OFFSET([2]quests!$A$1,0,0,COUNTA([2]quests!$A:$A),MATCH(C$1,[2]quests!$1:$1,0)-MATCH($B$1,[2]quests!$1:$1,0)+1),MATCH(C$1,[2]quests!$1:$1,0)-MATCH($B$1,[2]quests!$1:$1,0)+1,FALSE)</f>
        <v>オズ襲来！</v>
      </c>
      <c r="D30" s="73" t="str">
        <f ca="1">VLOOKUP($B30,OFFSET([2]quests!$A$1,0,0,COUNTA([2]quests!$A:$A),MATCH(D$1,[2]quests!$1:$1,0)-MATCH($B$1,[2]quests!$1:$1,0)+1),MATCH(D$1,[2]quests!$1:$1,0)-MATCH($B$1,[2]quests!$1:$1,0)+1,FALSE)</f>
        <v>降臨1</v>
      </c>
      <c r="E30" s="77">
        <v>3</v>
      </c>
      <c r="F30" s="73" t="str">
        <f ca="1">VLOOKUP($B30&amp;"_"&amp;$E30,OFFSET([2]stages!$A$1,0,0,COUNTA([2]stages!$A:$A),MATCH(F$1,[2]stages!$2:$2,0)-MATCH("temp_stage",[2]stages!$2:$2,0)+1),MATCH(F$1,[2]stages!$2:$2,0)-MATCH("temp_stage",[2]stages!$2:$2,0)+1,FALSE)</f>
        <v>【ノーコンテニュー】オズ襲来</v>
      </c>
      <c r="G30" s="73" t="str">
        <f ca="1">VLOOKUP($B30&amp;"_"&amp;$E30,OFFSET([2]stages!$A$1,0,0,COUNTA([2]stages!$A:$A),MATCH(G$1,[2]stages!$2:$2,0)-MATCH("temp_stage",[2]stages!$2:$2,0)+1),MATCH(G$1,[2]stages!$2:$2,0)-MATCH("temp_stage",[2]stages!$2:$2,0)+1,FALSE)</f>
        <v>降臨1</v>
      </c>
      <c r="H30" s="75">
        <v>0</v>
      </c>
      <c r="I30">
        <v>19</v>
      </c>
      <c r="J30" s="74" t="s">
        <v>193</v>
      </c>
      <c r="K30" s="83" t="str">
        <f>VLOOKUP(I30,[6]stage_hints!$A:$C,3,FALSE)</f>
        <v>ソロ専用タワーオブザクイーン</v>
      </c>
      <c r="L30" s="84" t="str">
        <f>VLOOKUP(I30,[6]stage_hints!$A:$D,4,FALSE)</f>
        <v>ソロ専用の「タワーオブザクイーン」は_x000D_期間限定で定期的に開催されます_x000D_ここでしか獲得できない報酬もあるようです</v>
      </c>
      <c r="M30" s="47" t="s">
        <v>206</v>
      </c>
    </row>
    <row r="31" spans="1:13" x14ac:dyDescent="0.15">
      <c r="A31" s="71" t="s">
        <v>196</v>
      </c>
      <c r="B31" s="72">
        <f>floors!$C$2</f>
        <v>41005</v>
      </c>
      <c r="C31" s="73" t="str">
        <f ca="1">VLOOKUP($B31,OFFSET([2]quests!$A$1,0,0,COUNTA([2]quests!$A:$A),MATCH(C$1,[2]quests!$1:$1,0)-MATCH($B$1,[2]quests!$1:$1,0)+1),MATCH(C$1,[2]quests!$1:$1,0)-MATCH($B$1,[2]quests!$1:$1,0)+1,FALSE)</f>
        <v>オズ襲来！</v>
      </c>
      <c r="D31" s="73" t="str">
        <f ca="1">VLOOKUP($B31,OFFSET([2]quests!$A$1,0,0,COUNTA([2]quests!$A:$A),MATCH(D$1,[2]quests!$1:$1,0)-MATCH($B$1,[2]quests!$1:$1,0)+1),MATCH(D$1,[2]quests!$1:$1,0)-MATCH($B$1,[2]quests!$1:$1,0)+1,FALSE)</f>
        <v>降臨1</v>
      </c>
      <c r="E31" s="77">
        <v>3</v>
      </c>
      <c r="F31" s="73" t="str">
        <f ca="1">VLOOKUP($B31&amp;"_"&amp;$E31,OFFSET([2]stages!$A$1,0,0,COUNTA([2]stages!$A:$A),MATCH(F$1,[2]stages!$2:$2,0)-MATCH("temp_stage",[2]stages!$2:$2,0)+1),MATCH(F$1,[2]stages!$2:$2,0)-MATCH("temp_stage",[2]stages!$2:$2,0)+1,FALSE)</f>
        <v>【ノーコンテニュー】オズ襲来</v>
      </c>
      <c r="G31" s="73" t="str">
        <f ca="1">VLOOKUP($B31&amp;"_"&amp;$E31,OFFSET([2]stages!$A$1,0,0,COUNTA([2]stages!$A:$A),MATCH(G$1,[2]stages!$2:$2,0)-MATCH("temp_stage",[2]stages!$2:$2,0)+1),MATCH(G$1,[2]stages!$2:$2,0)-MATCH("temp_stage",[2]stages!$2:$2,0)+1,FALSE)</f>
        <v>降臨1</v>
      </c>
      <c r="H31" s="75">
        <v>0</v>
      </c>
      <c r="I31">
        <v>21</v>
      </c>
      <c r="J31" s="74" t="s">
        <v>193</v>
      </c>
      <c r="K31" s="83" t="str">
        <f>VLOOKUP(I31,[6]stage_hints!$A:$C,3,FALSE)</f>
        <v>スキルを有効に</v>
      </c>
      <c r="L31" s="84" t="str">
        <f>VLOOKUP(I31,[6]stage_hints!$A:$D,4,FALSE)</f>
        <v>ターン経過でユニットのスキルが使えます_x000D_強力スキルでバトルを有利に進めましょう</v>
      </c>
      <c r="M31" s="47" t="s">
        <v>206</v>
      </c>
    </row>
    <row r="32" spans="1:13" x14ac:dyDescent="0.15">
      <c r="A32" s="71" t="s">
        <v>196</v>
      </c>
      <c r="B32" s="72">
        <f>floors!$C$2</f>
        <v>41005</v>
      </c>
      <c r="C32" s="73" t="str">
        <f ca="1">VLOOKUP($B32,OFFSET([2]quests!$A$1,0,0,COUNTA([2]quests!$A:$A),MATCH(C$1,[2]quests!$1:$1,0)-MATCH($B$1,[2]quests!$1:$1,0)+1),MATCH(C$1,[2]quests!$1:$1,0)-MATCH($B$1,[2]quests!$1:$1,0)+1,FALSE)</f>
        <v>オズ襲来！</v>
      </c>
      <c r="D32" s="73" t="str">
        <f ca="1">VLOOKUP($B32,OFFSET([2]quests!$A$1,0,0,COUNTA([2]quests!$A:$A),MATCH(D$1,[2]quests!$1:$1,0)-MATCH($B$1,[2]quests!$1:$1,0)+1),MATCH(D$1,[2]quests!$1:$1,0)-MATCH($B$1,[2]quests!$1:$1,0)+1,FALSE)</f>
        <v>降臨1</v>
      </c>
      <c r="E32" s="77">
        <v>3</v>
      </c>
      <c r="F32" s="73" t="str">
        <f ca="1">VLOOKUP($B32&amp;"_"&amp;$E32,OFFSET([2]stages!$A$1,0,0,COUNTA([2]stages!$A:$A),MATCH(F$1,[2]stages!$2:$2,0)-MATCH("temp_stage",[2]stages!$2:$2,0)+1),MATCH(F$1,[2]stages!$2:$2,0)-MATCH("temp_stage",[2]stages!$2:$2,0)+1,FALSE)</f>
        <v>【ノーコンテニュー】オズ襲来</v>
      </c>
      <c r="G32" s="73" t="str">
        <f ca="1">VLOOKUP($B32&amp;"_"&amp;$E32,OFFSET([2]stages!$A$1,0,0,COUNTA([2]stages!$A:$A),MATCH(G$1,[2]stages!$2:$2,0)-MATCH("temp_stage",[2]stages!$2:$2,0)+1),MATCH(G$1,[2]stages!$2:$2,0)-MATCH("temp_stage",[2]stages!$2:$2,0)+1,FALSE)</f>
        <v>降臨1</v>
      </c>
      <c r="H32" s="75">
        <v>0</v>
      </c>
      <c r="I32">
        <v>29</v>
      </c>
      <c r="J32" s="74" t="s">
        <v>193</v>
      </c>
      <c r="K32" s="83" t="str">
        <f>VLOOKUP(I32,[6]stage_hints!$A:$C,3,FALSE)</f>
        <v>「バグ」のメリット</v>
      </c>
      <c r="L32" s="84" t="str">
        <f>VLOOKUP(I32,[6]stage_hints!$A:$D,4,FALSE)</f>
        <v>ユニットの「バグ」を増やすと_x000D_報酬をもらえる確率がアップします</v>
      </c>
      <c r="M32" s="47" t="s">
        <v>206</v>
      </c>
    </row>
    <row r="33" spans="1:13" x14ac:dyDescent="0.15">
      <c r="A33" s="71" t="s">
        <v>196</v>
      </c>
      <c r="B33" s="72">
        <f>floors!$C$2</f>
        <v>41005</v>
      </c>
      <c r="C33" s="73" t="str">
        <f ca="1">VLOOKUP($B33,OFFSET([2]quests!$A$1,0,0,COUNTA([2]quests!$A:$A),MATCH(C$1,[2]quests!$1:$1,0)-MATCH($B$1,[2]quests!$1:$1,0)+1),MATCH(C$1,[2]quests!$1:$1,0)-MATCH($B$1,[2]quests!$1:$1,0)+1,FALSE)</f>
        <v>オズ襲来！</v>
      </c>
      <c r="D33" s="73" t="str">
        <f ca="1">VLOOKUP($B33,OFFSET([2]quests!$A$1,0,0,COUNTA([2]quests!$A:$A),MATCH(D$1,[2]quests!$1:$1,0)-MATCH($B$1,[2]quests!$1:$1,0)+1),MATCH(D$1,[2]quests!$1:$1,0)-MATCH($B$1,[2]quests!$1:$1,0)+1,FALSE)</f>
        <v>降臨1</v>
      </c>
      <c r="E33" s="77">
        <v>3</v>
      </c>
      <c r="F33" s="73" t="str">
        <f ca="1">VLOOKUP($B33&amp;"_"&amp;$E33,OFFSET([2]stages!$A$1,0,0,COUNTA([2]stages!$A:$A),MATCH(F$1,[2]stages!$2:$2,0)-MATCH("temp_stage",[2]stages!$2:$2,0)+1),MATCH(F$1,[2]stages!$2:$2,0)-MATCH("temp_stage",[2]stages!$2:$2,0)+1,FALSE)</f>
        <v>【ノーコンテニュー】オズ襲来</v>
      </c>
      <c r="G33" s="73" t="str">
        <f ca="1">VLOOKUP($B33&amp;"_"&amp;$E33,OFFSET([2]stages!$A$1,0,0,COUNTA([2]stages!$A:$A),MATCH(G$1,[2]stages!$2:$2,0)-MATCH("temp_stage",[2]stages!$2:$2,0)+1),MATCH(G$1,[2]stages!$2:$2,0)-MATCH("temp_stage",[2]stages!$2:$2,0)+1,FALSE)</f>
        <v>降臨1</v>
      </c>
      <c r="H33" s="75">
        <v>0</v>
      </c>
      <c r="I33">
        <v>30</v>
      </c>
      <c r="J33" s="74" t="s">
        <v>193</v>
      </c>
      <c r="K33" s="83" t="str">
        <f>VLOOKUP(I33,[6]stage_hints!$A:$C,3,FALSE)</f>
        <v>「バグ」の増やし方</v>
      </c>
      <c r="L33" s="84" t="str">
        <f>VLOOKUP(I33,[6]stage_hints!$A:$D,4,FALSE)</f>
        <v>同じユニット同士を強化で合成すると_x000D_「バグ」を増やすことができます</v>
      </c>
      <c r="M33" s="47" t="s">
        <v>206</v>
      </c>
    </row>
    <row r="34" spans="1:13" x14ac:dyDescent="0.15">
      <c r="A34" s="71" t="s">
        <v>196</v>
      </c>
      <c r="B34" s="72">
        <f>floors!$C$2</f>
        <v>41005</v>
      </c>
      <c r="C34" s="73" t="str">
        <f ca="1">VLOOKUP($B34,OFFSET([2]quests!$A$1,0,0,COUNTA([2]quests!$A:$A),MATCH(C$1,[2]quests!$1:$1,0)-MATCH($B$1,[2]quests!$1:$1,0)+1),MATCH(C$1,[2]quests!$1:$1,0)-MATCH($B$1,[2]quests!$1:$1,0)+1,FALSE)</f>
        <v>オズ襲来！</v>
      </c>
      <c r="D34" s="73" t="str">
        <f ca="1">VLOOKUP($B34,OFFSET([2]quests!$A$1,0,0,COUNTA([2]quests!$A:$A),MATCH(D$1,[2]quests!$1:$1,0)-MATCH($B$1,[2]quests!$1:$1,0)+1),MATCH(D$1,[2]quests!$1:$1,0)-MATCH($B$1,[2]quests!$1:$1,0)+1,FALSE)</f>
        <v>降臨1</v>
      </c>
      <c r="E34" s="77">
        <v>3</v>
      </c>
      <c r="F34" s="73" t="str">
        <f ca="1">VLOOKUP($B34&amp;"_"&amp;$E34,OFFSET([2]stages!$A$1,0,0,COUNTA([2]stages!$A:$A),MATCH(F$1,[2]stages!$2:$2,0)-MATCH("temp_stage",[2]stages!$2:$2,0)+1),MATCH(F$1,[2]stages!$2:$2,0)-MATCH("temp_stage",[2]stages!$2:$2,0)+1,FALSE)</f>
        <v>【ノーコンテニュー】オズ襲来</v>
      </c>
      <c r="G34" s="73" t="str">
        <f ca="1">VLOOKUP($B34&amp;"_"&amp;$E34,OFFSET([2]stages!$A$1,0,0,COUNTA([2]stages!$A:$A),MATCH(G$1,[2]stages!$2:$2,0)-MATCH("temp_stage",[2]stages!$2:$2,0)+1),MATCH(G$1,[2]stages!$2:$2,0)-MATCH("temp_stage",[2]stages!$2:$2,0)+1,FALSE)</f>
        <v>降臨1</v>
      </c>
      <c r="H34" s="75">
        <v>0</v>
      </c>
      <c r="I34">
        <v>32</v>
      </c>
      <c r="J34" s="74" t="s">
        <v>193</v>
      </c>
      <c r="K34" s="83" t="str">
        <f>VLOOKUP(I34,[6]stage_hints!$A:$C,3,FALSE)</f>
        <v>敵の連続攻撃には</v>
      </c>
      <c r="L34" s="84" t="str">
        <f>VLOOKUP(I34,[6]stage_hints!$A:$D,4,FALSE)</f>
        <v>カウンタースキルを持つユニットがいれば_x000D_ダメージ回数分の反撃ができます</v>
      </c>
      <c r="M34" s="47" t="s">
        <v>206</v>
      </c>
    </row>
    <row r="35" spans="1:13" x14ac:dyDescent="0.15">
      <c r="A35" s="71" t="s">
        <v>196</v>
      </c>
      <c r="B35" s="72">
        <f>floors!$C$2</f>
        <v>41005</v>
      </c>
      <c r="C35" s="73" t="str">
        <f ca="1">VLOOKUP($B35,OFFSET([2]quests!$A$1,0,0,COUNTA([2]quests!$A:$A),MATCH(C$1,[2]quests!$1:$1,0)-MATCH($B$1,[2]quests!$1:$1,0)+1),MATCH(C$1,[2]quests!$1:$1,0)-MATCH($B$1,[2]quests!$1:$1,0)+1,FALSE)</f>
        <v>オズ襲来！</v>
      </c>
      <c r="D35" s="73" t="str">
        <f ca="1">VLOOKUP($B35,OFFSET([2]quests!$A$1,0,0,COUNTA([2]quests!$A:$A),MATCH(D$1,[2]quests!$1:$1,0)-MATCH($B$1,[2]quests!$1:$1,0)+1),MATCH(D$1,[2]quests!$1:$1,0)-MATCH($B$1,[2]quests!$1:$1,0)+1,FALSE)</f>
        <v>降臨1</v>
      </c>
      <c r="E35" s="77">
        <v>3</v>
      </c>
      <c r="F35" s="73" t="str">
        <f ca="1">VLOOKUP($B35&amp;"_"&amp;$E35,OFFSET([2]stages!$A$1,0,0,COUNTA([2]stages!$A:$A),MATCH(F$1,[2]stages!$2:$2,0)-MATCH("temp_stage",[2]stages!$2:$2,0)+1),MATCH(F$1,[2]stages!$2:$2,0)-MATCH("temp_stage",[2]stages!$2:$2,0)+1,FALSE)</f>
        <v>【ノーコンテニュー】オズ襲来</v>
      </c>
      <c r="G35" s="73" t="str">
        <f ca="1">VLOOKUP($B35&amp;"_"&amp;$E35,OFFSET([2]stages!$A$1,0,0,COUNTA([2]stages!$A:$A),MATCH(G$1,[2]stages!$2:$2,0)-MATCH("temp_stage",[2]stages!$2:$2,0)+1),MATCH(G$1,[2]stages!$2:$2,0)-MATCH("temp_stage",[2]stages!$2:$2,0)+1,FALSE)</f>
        <v>降臨1</v>
      </c>
      <c r="H35" s="75">
        <v>0</v>
      </c>
      <c r="I35">
        <v>33</v>
      </c>
      <c r="J35" s="74" t="s">
        <v>193</v>
      </c>
      <c r="K35" s="83" t="str">
        <f>VLOOKUP(I35,[6]stage_hints!$A:$C,3,FALSE)</f>
        <v>敵のカウンター攻撃には</v>
      </c>
      <c r="L35" s="84" t="str">
        <f>VLOOKUP(I35,[6]stage_hints!$A:$D,4,FALSE)</f>
        <v>カウンターブレイクスキルを持っていれば_x000D_敵のカウンターを解除して攻撃ができます</v>
      </c>
      <c r="M35" s="47" t="s">
        <v>206</v>
      </c>
    </row>
    <row r="36" spans="1:13" x14ac:dyDescent="0.15">
      <c r="A36" s="71" t="s">
        <v>196</v>
      </c>
      <c r="B36" s="72">
        <f>floors!$C$2</f>
        <v>41005</v>
      </c>
      <c r="C36" s="73" t="str">
        <f ca="1">VLOOKUP($B36,OFFSET([2]quests!$A$1,0,0,COUNTA([2]quests!$A:$A),MATCH(C$1,[2]quests!$1:$1,0)-MATCH($B$1,[2]quests!$1:$1,0)+1),MATCH(C$1,[2]quests!$1:$1,0)-MATCH($B$1,[2]quests!$1:$1,0)+1,FALSE)</f>
        <v>オズ襲来！</v>
      </c>
      <c r="D36" s="73" t="str">
        <f ca="1">VLOOKUP($B36,OFFSET([2]quests!$A$1,0,0,COUNTA([2]quests!$A:$A),MATCH(D$1,[2]quests!$1:$1,0)-MATCH($B$1,[2]quests!$1:$1,0)+1),MATCH(D$1,[2]quests!$1:$1,0)-MATCH($B$1,[2]quests!$1:$1,0)+1,FALSE)</f>
        <v>降臨1</v>
      </c>
      <c r="E36" s="77">
        <v>3</v>
      </c>
      <c r="F36" s="73" t="str">
        <f ca="1">VLOOKUP($B36&amp;"_"&amp;$E36,OFFSET([2]stages!$A$1,0,0,COUNTA([2]stages!$A:$A),MATCH(F$1,[2]stages!$2:$2,0)-MATCH("temp_stage",[2]stages!$2:$2,0)+1),MATCH(F$1,[2]stages!$2:$2,0)-MATCH("temp_stage",[2]stages!$2:$2,0)+1,FALSE)</f>
        <v>【ノーコンテニュー】オズ襲来</v>
      </c>
      <c r="G36" s="73" t="str">
        <f ca="1">VLOOKUP($B36&amp;"_"&amp;$E36,OFFSET([2]stages!$A$1,0,0,COUNTA([2]stages!$A:$A),MATCH(G$1,[2]stages!$2:$2,0)-MATCH("temp_stage",[2]stages!$2:$2,0)+1),MATCH(G$1,[2]stages!$2:$2,0)-MATCH("temp_stage",[2]stages!$2:$2,0)+1,FALSE)</f>
        <v>降臨1</v>
      </c>
      <c r="H36" s="75">
        <v>0</v>
      </c>
      <c r="I36">
        <v>34</v>
      </c>
      <c r="J36" s="74" t="s">
        <v>193</v>
      </c>
      <c r="K36" s="83" t="str">
        <f>VLOOKUP(I36,[6]stage_hints!$A:$C,3,FALSE)</f>
        <v>ステータスをスキルで下げられたら</v>
      </c>
      <c r="L36" s="84" t="str">
        <f>VLOOKUP(I36,[6]stage_hints!$A:$D,4,FALSE)</f>
        <v>ステータスダウンのスキルを受けたら_x000D_ステータスアップスキルで上書きしましょう</v>
      </c>
      <c r="M36" s="47" t="s">
        <v>206</v>
      </c>
    </row>
    <row r="37" spans="1:13" x14ac:dyDescent="0.15">
      <c r="A37" s="71" t="s">
        <v>196</v>
      </c>
      <c r="B37" s="72">
        <f>floors!$C$2</f>
        <v>41005</v>
      </c>
      <c r="C37" s="73" t="str">
        <f ca="1">VLOOKUP($B37,OFFSET([2]quests!$A$1,0,0,COUNTA([2]quests!$A:$A),MATCH(C$1,[2]quests!$1:$1,0)-MATCH($B$1,[2]quests!$1:$1,0)+1),MATCH(C$1,[2]quests!$1:$1,0)-MATCH($B$1,[2]quests!$1:$1,0)+1,FALSE)</f>
        <v>オズ襲来！</v>
      </c>
      <c r="D37" s="73" t="str">
        <f ca="1">VLOOKUP($B37,OFFSET([2]quests!$A$1,0,0,COUNTA([2]quests!$A:$A),MATCH(D$1,[2]quests!$1:$1,0)-MATCH($B$1,[2]quests!$1:$1,0)+1),MATCH(D$1,[2]quests!$1:$1,0)-MATCH($B$1,[2]quests!$1:$1,0)+1,FALSE)</f>
        <v>降臨1</v>
      </c>
      <c r="E37" s="77">
        <v>3</v>
      </c>
      <c r="F37" s="73" t="str">
        <f ca="1">VLOOKUP($B37&amp;"_"&amp;$E37,OFFSET([2]stages!$A$1,0,0,COUNTA([2]stages!$A:$A),MATCH(F$1,[2]stages!$2:$2,0)-MATCH("temp_stage",[2]stages!$2:$2,0)+1),MATCH(F$1,[2]stages!$2:$2,0)-MATCH("temp_stage",[2]stages!$2:$2,0)+1,FALSE)</f>
        <v>【ノーコンテニュー】オズ襲来</v>
      </c>
      <c r="G37" s="73" t="str">
        <f ca="1">VLOOKUP($B37&amp;"_"&amp;$E37,OFFSET([2]stages!$A$1,0,0,COUNTA([2]stages!$A:$A),MATCH(G$1,[2]stages!$2:$2,0)-MATCH("temp_stage",[2]stages!$2:$2,0)+1),MATCH(G$1,[2]stages!$2:$2,0)-MATCH("temp_stage",[2]stages!$2:$2,0)+1,FALSE)</f>
        <v>降臨1</v>
      </c>
      <c r="H37" s="75">
        <v>0</v>
      </c>
      <c r="I37">
        <v>35</v>
      </c>
      <c r="J37" s="74" t="s">
        <v>193</v>
      </c>
      <c r="K37" s="83" t="str">
        <f>VLOOKUP(I37,[6]stage_hints!$A:$C,3,FALSE)</f>
        <v>敵のステータスがスキルで上がったら</v>
      </c>
      <c r="L37" s="84" t="str">
        <f>VLOOKUP(I37,[6]stage_hints!$A:$D,4,FALSE)</f>
        <v>敵のステータスがスキルでアップしたときは_x000D_ステータスダウンスキルで上書きしましょう</v>
      </c>
      <c r="M37" s="47" t="s">
        <v>206</v>
      </c>
    </row>
    <row r="38" spans="1:13" x14ac:dyDescent="0.15">
      <c r="A38" s="71" t="s">
        <v>196</v>
      </c>
      <c r="B38" s="72">
        <f>floors!$C$2</f>
        <v>41005</v>
      </c>
      <c r="C38" s="73" t="str">
        <f ca="1">VLOOKUP($B38,OFFSET([2]quests!$A$1,0,0,COUNTA([2]quests!$A:$A),MATCH(C$1,[2]quests!$1:$1,0)-MATCH($B$1,[2]quests!$1:$1,0)+1),MATCH(C$1,[2]quests!$1:$1,0)-MATCH($B$1,[2]quests!$1:$1,0)+1,FALSE)</f>
        <v>オズ襲来！</v>
      </c>
      <c r="D38" s="73" t="str">
        <f ca="1">VLOOKUP($B38,OFFSET([2]quests!$A$1,0,0,COUNTA([2]quests!$A:$A),MATCH(D$1,[2]quests!$1:$1,0)-MATCH($B$1,[2]quests!$1:$1,0)+1),MATCH(D$1,[2]quests!$1:$1,0)-MATCH($B$1,[2]quests!$1:$1,0)+1,FALSE)</f>
        <v>降臨1</v>
      </c>
      <c r="E38" s="77">
        <v>3</v>
      </c>
      <c r="F38" s="73" t="str">
        <f ca="1">VLOOKUP($B38&amp;"_"&amp;$E38,OFFSET([2]stages!$A$1,0,0,COUNTA([2]stages!$A:$A),MATCH(F$1,[2]stages!$2:$2,0)-MATCH("temp_stage",[2]stages!$2:$2,0)+1),MATCH(F$1,[2]stages!$2:$2,0)-MATCH("temp_stage",[2]stages!$2:$2,0)+1,FALSE)</f>
        <v>【ノーコンテニュー】オズ襲来</v>
      </c>
      <c r="G38" s="73" t="str">
        <f ca="1">VLOOKUP($B38&amp;"_"&amp;$E38,OFFSET([2]stages!$A$1,0,0,COUNTA([2]stages!$A:$A),MATCH(G$1,[2]stages!$2:$2,0)-MATCH("temp_stage",[2]stages!$2:$2,0)+1),MATCH(G$1,[2]stages!$2:$2,0)-MATCH("temp_stage",[2]stages!$2:$2,0)+1,FALSE)</f>
        <v>降臨1</v>
      </c>
      <c r="H38" s="75">
        <v>0</v>
      </c>
      <c r="I38">
        <v>36</v>
      </c>
      <c r="J38" s="74" t="s">
        <v>193</v>
      </c>
      <c r="K38" s="83" t="str">
        <f>VLOOKUP(I38,[6]stage_hints!$A:$C,3,FALSE)</f>
        <v>タワーオブザクイーンのボス</v>
      </c>
      <c r="L38" s="84" t="str">
        <f>VLOOKUP(I38,[6]stage_hints!$A:$D,4,FALSE)</f>
        <v>「タワーオブザクイーン」最上階のボスは_x000D_15階の初回クリア報酬で獲得できるほか_x000D_その階にて低確率でドロップもします</v>
      </c>
      <c r="M38" s="47" t="s">
        <v>206</v>
      </c>
    </row>
    <row r="39" spans="1:13" x14ac:dyDescent="0.15">
      <c r="A39" s="71" t="s">
        <v>196</v>
      </c>
      <c r="B39" s="72">
        <f>floors!$C$2</f>
        <v>41005</v>
      </c>
      <c r="C39" s="73" t="str">
        <f ca="1">VLOOKUP($B39,OFFSET([2]quests!$A$1,0,0,COUNTA([2]quests!$A:$A),MATCH(C$1,[2]quests!$1:$1,0)-MATCH($B$1,[2]quests!$1:$1,0)+1),MATCH(C$1,[2]quests!$1:$1,0)-MATCH($B$1,[2]quests!$1:$1,0)+1,FALSE)</f>
        <v>オズ襲来！</v>
      </c>
      <c r="D39" s="73" t="str">
        <f ca="1">VLOOKUP($B39,OFFSET([2]quests!$A$1,0,0,COUNTA([2]quests!$A:$A),MATCH(D$1,[2]quests!$1:$1,0)-MATCH($B$1,[2]quests!$1:$1,0)+1),MATCH(D$1,[2]quests!$1:$1,0)-MATCH($B$1,[2]quests!$1:$1,0)+1,FALSE)</f>
        <v>降臨1</v>
      </c>
      <c r="E39" s="77">
        <v>3</v>
      </c>
      <c r="F39" s="73" t="str">
        <f ca="1">VLOOKUP($B39&amp;"_"&amp;$E39,OFFSET([2]stages!$A$1,0,0,COUNTA([2]stages!$A:$A),MATCH(F$1,[2]stages!$2:$2,0)-MATCH("temp_stage",[2]stages!$2:$2,0)+1),MATCH(F$1,[2]stages!$2:$2,0)-MATCH("temp_stage",[2]stages!$2:$2,0)+1,FALSE)</f>
        <v>【ノーコンテニュー】オズ襲来</v>
      </c>
      <c r="G39" s="73" t="str">
        <f ca="1">VLOOKUP($B39&amp;"_"&amp;$E39,OFFSET([2]stages!$A$1,0,0,COUNTA([2]stages!$A:$A),MATCH(G$1,[2]stages!$2:$2,0)-MATCH("temp_stage",[2]stages!$2:$2,0)+1),MATCH(G$1,[2]stages!$2:$2,0)-MATCH("temp_stage",[2]stages!$2:$2,0)+1,FALSE)</f>
        <v>降臨1</v>
      </c>
      <c r="H39" s="75">
        <v>0</v>
      </c>
      <c r="I39">
        <v>37</v>
      </c>
      <c r="J39" s="74" t="s">
        <v>193</v>
      </c>
      <c r="K39" s="83" t="str">
        <f>VLOOKUP(I39,[6]stage_hints!$A:$C,3,FALSE)</f>
        <v>限界突破値の引き継ぎ</v>
      </c>
      <c r="L39" s="84" t="str">
        <f>VLOOKUP(I39,[6]stage_hints!$A:$D,4,FALSE)</f>
        <v>同じユニットを強化で合成すると_x000D_限界突破値を引き継げます（覚醒前後も可）</v>
      </c>
      <c r="M39" s="47" t="s">
        <v>206</v>
      </c>
    </row>
    <row r="40" spans="1:13" x14ac:dyDescent="0.15">
      <c r="A40" s="71" t="s">
        <v>196</v>
      </c>
      <c r="B40" s="72">
        <f>floors!$C$2</f>
        <v>41005</v>
      </c>
      <c r="C40" s="73" t="str">
        <f ca="1">VLOOKUP($B40,OFFSET([2]quests!$A$1,0,0,COUNTA([2]quests!$A:$A),MATCH(C$1,[2]quests!$1:$1,0)-MATCH($B$1,[2]quests!$1:$1,0)+1),MATCH(C$1,[2]quests!$1:$1,0)-MATCH($B$1,[2]quests!$1:$1,0)+1,FALSE)</f>
        <v>オズ襲来！</v>
      </c>
      <c r="D40" s="73" t="str">
        <f ca="1">VLOOKUP($B40,OFFSET([2]quests!$A$1,0,0,COUNTA([2]quests!$A:$A),MATCH(D$1,[2]quests!$1:$1,0)-MATCH($B$1,[2]quests!$1:$1,0)+1),MATCH(D$1,[2]quests!$1:$1,0)-MATCH($B$1,[2]quests!$1:$1,0)+1,FALSE)</f>
        <v>降臨1</v>
      </c>
      <c r="E40" s="77">
        <v>3</v>
      </c>
      <c r="F40" s="73" t="str">
        <f ca="1">VLOOKUP($B40&amp;"_"&amp;$E40,OFFSET([2]stages!$A$1,0,0,COUNTA([2]stages!$A:$A),MATCH(F$1,[2]stages!$2:$2,0)-MATCH("temp_stage",[2]stages!$2:$2,0)+1),MATCH(F$1,[2]stages!$2:$2,0)-MATCH("temp_stage",[2]stages!$2:$2,0)+1,FALSE)</f>
        <v>【ノーコンテニュー】オズ襲来</v>
      </c>
      <c r="G40" s="73" t="str">
        <f ca="1">VLOOKUP($B40&amp;"_"&amp;$E40,OFFSET([2]stages!$A$1,0,0,COUNTA([2]stages!$A:$A),MATCH(G$1,[2]stages!$2:$2,0)-MATCH("temp_stage",[2]stages!$2:$2,0)+1),MATCH(G$1,[2]stages!$2:$2,0)-MATCH("temp_stage",[2]stages!$2:$2,0)+1,FALSE)</f>
        <v>降臨1</v>
      </c>
      <c r="H40" s="75">
        <v>0</v>
      </c>
      <c r="I40">
        <v>39</v>
      </c>
      <c r="J40" s="74" t="s">
        <v>193</v>
      </c>
      <c r="K40" s="83" t="str">
        <f>VLOOKUP(I40,[6]stage_hints!$A:$C,3,FALSE)</f>
        <v>システム適合者を確認</v>
      </c>
      <c r="L40" s="84" t="str">
        <f>VLOOKUP(I40,[6]stage_hints!$A:$D,4,FALSE)</f>
        <v>ALICEが 「アナタ」を呼んでいます</v>
      </c>
      <c r="M40" s="47" t="s">
        <v>206</v>
      </c>
    </row>
  </sheetData>
  <phoneticPr fontId="5"/>
  <dataValidations count="1">
    <dataValidation type="list" allowBlank="1" showInputMessage="1" showErrorMessage="1" sqref="A2:A4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0"/>
  <sheetViews>
    <sheetView showGridLines="0" topLeftCell="F1" zoomScale="108" workbookViewId="0">
      <pane ySplit="1" topLeftCell="A2" activePane="bottomLeft" state="frozen"/>
      <selection pane="bottomLeft" activeCell="I2" sqref="I2"/>
    </sheetView>
  </sheetViews>
  <sheetFormatPr baseColWidth="12" defaultColWidth="13" defaultRowHeight="15" outlineLevelCol="1" x14ac:dyDescent="0.15"/>
  <cols>
    <col min="1" max="1" width="13" style="78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66" t="s">
        <v>183</v>
      </c>
      <c r="B1" s="62" t="s">
        <v>146</v>
      </c>
      <c r="C1" s="67" t="s">
        <v>185</v>
      </c>
      <c r="D1" s="67" t="s">
        <v>33</v>
      </c>
      <c r="E1" s="62" t="s">
        <v>186</v>
      </c>
      <c r="F1" s="67" t="s">
        <v>18</v>
      </c>
      <c r="G1" s="67" t="s">
        <v>33</v>
      </c>
      <c r="H1" s="62" t="s">
        <v>188</v>
      </c>
      <c r="I1" s="79" t="s">
        <v>189</v>
      </c>
      <c r="J1" s="81" t="s">
        <v>190</v>
      </c>
      <c r="K1" s="69" t="s">
        <v>122</v>
      </c>
      <c r="L1" s="68" t="s">
        <v>182</v>
      </c>
      <c r="M1" s="82" t="s">
        <v>181</v>
      </c>
      <c r="N1" s="70" t="s">
        <v>191</v>
      </c>
    </row>
    <row r="2" spans="1:14" ht="28" x14ac:dyDescent="0.15">
      <c r="A2" s="71" t="s">
        <v>192</v>
      </c>
      <c r="B2" s="72">
        <f>floors!$C$2</f>
        <v>41005</v>
      </c>
      <c r="C2" s="73" t="str">
        <f ca="1">VLOOKUP($B2,OFFSET([2]quests!$A$1,0,0,COUNTA([2]quests!$A:$A),MATCH(C$1,[2]quests!$1:$1,0)-MATCH($B$1,[2]quests!$1:$1,0)+1),MATCH(C$1,[2]quests!$1:$1,0)-MATCH($B$1,[2]quests!$1:$1,0)+1,FALSE)</f>
        <v>オズ襲来！</v>
      </c>
      <c r="D2" s="73" t="str">
        <f ca="1">VLOOKUP($B2,OFFSET([2]quests!$A$1,0,0,COUNTA([2]quests!$A:$A),MATCH(D$1,[2]quests!$1:$1,0)-MATCH($B$1,[2]quests!$1:$1,0)+1),MATCH(D$1,[2]quests!$1:$1,0)-MATCH($B$1,[2]quests!$1:$1,0)+1,FALSE)</f>
        <v>降臨1</v>
      </c>
      <c r="E2" s="74">
        <v>1</v>
      </c>
      <c r="F2" s="7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【超絶級】オズ襲来</v>
      </c>
      <c r="G2" s="73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75">
        <v>1</v>
      </c>
      <c r="I2" s="80">
        <f>ROW()-1</f>
        <v>1</v>
      </c>
      <c r="J2" s="76" t="str">
        <f>B2&amp;TEXT(I2,"00")</f>
        <v>4100501</v>
      </c>
      <c r="K2" s="74" t="s">
        <v>193</v>
      </c>
      <c r="L2" s="77" t="s">
        <v>194</v>
      </c>
      <c r="M2" s="301" t="s">
        <v>390</v>
      </c>
      <c r="N2" s="47" t="s">
        <v>195</v>
      </c>
    </row>
    <row r="3" spans="1:14" ht="42" x14ac:dyDescent="0.15">
      <c r="A3" s="71" t="s">
        <v>192</v>
      </c>
      <c r="B3" s="72">
        <f>floors!$C$2</f>
        <v>41005</v>
      </c>
      <c r="C3" s="73" t="str">
        <f ca="1">VLOOKUP($B3,OFFSET([2]quests!$A$1,0,0,COUNTA([2]quests!$A:$A),MATCH(C$1,[2]quests!$1:$1,0)-MATCH($B$1,[2]quests!$1:$1,0)+1),MATCH(C$1,[2]quests!$1:$1,0)-MATCH($B$1,[2]quests!$1:$1,0)+1,FALSE)</f>
        <v>オズ襲来！</v>
      </c>
      <c r="D3" s="73" t="str">
        <f ca="1">VLOOKUP($B3,OFFSET([2]quests!$A$1,0,0,COUNTA([2]quests!$A:$A),MATCH(D$1,[2]quests!$1:$1,0)-MATCH($B$1,[2]quests!$1:$1,0)+1),MATCH(D$1,[2]quests!$1:$1,0)-MATCH($B$1,[2]quests!$1:$1,0)+1,FALSE)</f>
        <v>降臨1</v>
      </c>
      <c r="E3" s="74">
        <v>1</v>
      </c>
      <c r="F3" s="7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【超絶級】オズ襲来</v>
      </c>
      <c r="G3" s="73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75">
        <v>2</v>
      </c>
      <c r="I3" s="80">
        <f t="shared" ref="I3:I13" si="0">ROW()-1</f>
        <v>2</v>
      </c>
      <c r="J3" s="76" t="str">
        <f t="shared" ref="J3:J13" si="1">B3&amp;TEXT(I3,"00")</f>
        <v>4100502</v>
      </c>
      <c r="K3" s="74" t="s">
        <v>123</v>
      </c>
      <c r="L3" s="77" t="s">
        <v>194</v>
      </c>
      <c r="M3" s="301" t="s">
        <v>389</v>
      </c>
      <c r="N3" s="47" t="s">
        <v>195</v>
      </c>
    </row>
    <row r="4" spans="1:14" ht="42" x14ac:dyDescent="0.15">
      <c r="A4" s="71" t="s">
        <v>192</v>
      </c>
      <c r="B4" s="72">
        <f>floors!$C$2</f>
        <v>41005</v>
      </c>
      <c r="C4" s="73" t="str">
        <f ca="1">VLOOKUP($B4,OFFSET([2]quests!$A$1,0,0,COUNTA([2]quests!$A:$A),MATCH(C$1,[2]quests!$1:$1,0)-MATCH($B$1,[2]quests!$1:$1,0)+1),MATCH(C$1,[2]quests!$1:$1,0)-MATCH($B$1,[2]quests!$1:$1,0)+1,FALSE)</f>
        <v>オズ襲来！</v>
      </c>
      <c r="D4" s="73" t="str">
        <f ca="1">VLOOKUP($B4,OFFSET([2]quests!$A$1,0,0,COUNTA([2]quests!$A:$A),MATCH(D$1,[2]quests!$1:$1,0)-MATCH($B$1,[2]quests!$1:$1,0)+1),MATCH(D$1,[2]quests!$1:$1,0)-MATCH($B$1,[2]quests!$1:$1,0)+1,FALSE)</f>
        <v>降臨1</v>
      </c>
      <c r="E4" s="74">
        <v>1</v>
      </c>
      <c r="F4" s="7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【超絶級】オズ襲来</v>
      </c>
      <c r="G4" s="73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75">
        <v>3</v>
      </c>
      <c r="I4" s="80">
        <f t="shared" si="0"/>
        <v>3</v>
      </c>
      <c r="J4" s="76" t="str">
        <f t="shared" si="1"/>
        <v>4100503</v>
      </c>
      <c r="K4" s="74" t="s">
        <v>123</v>
      </c>
      <c r="L4" s="77" t="s">
        <v>194</v>
      </c>
      <c r="M4" s="301" t="s">
        <v>388</v>
      </c>
      <c r="N4" s="47" t="s">
        <v>195</v>
      </c>
    </row>
    <row r="5" spans="1:14" ht="28" x14ac:dyDescent="0.15">
      <c r="A5" s="71" t="s">
        <v>192</v>
      </c>
      <c r="B5" s="72">
        <f>floors!$C$2</f>
        <v>41005</v>
      </c>
      <c r="C5" s="73" t="str">
        <f ca="1">VLOOKUP($B5,OFFSET([2]quests!$A$1,0,0,COUNTA([2]quests!$A:$A),MATCH(C$1,[2]quests!$1:$1,0)-MATCH($B$1,[2]quests!$1:$1,0)+1),MATCH(C$1,[2]quests!$1:$1,0)-MATCH($B$1,[2]quests!$1:$1,0)+1,FALSE)</f>
        <v>オズ襲来！</v>
      </c>
      <c r="D5" s="73" t="str">
        <f ca="1">VLOOKUP($B5,OFFSET([2]quests!$A$1,0,0,COUNTA([2]quests!$A:$A),MATCH(D$1,[2]quests!$1:$1,0)-MATCH($B$1,[2]quests!$1:$1,0)+1),MATCH(D$1,[2]quests!$1:$1,0)-MATCH($B$1,[2]quests!$1:$1,0)+1,FALSE)</f>
        <v>降臨1</v>
      </c>
      <c r="E5" s="74">
        <v>1</v>
      </c>
      <c r="F5" s="7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【超絶級】オズ襲来</v>
      </c>
      <c r="G5" s="73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75">
        <v>4</v>
      </c>
      <c r="I5" s="80">
        <f t="shared" si="0"/>
        <v>4</v>
      </c>
      <c r="J5" s="76" t="str">
        <f t="shared" si="1"/>
        <v>4100504</v>
      </c>
      <c r="K5" s="74" t="s">
        <v>123</v>
      </c>
      <c r="L5" s="77" t="s">
        <v>194</v>
      </c>
      <c r="M5" s="301" t="s">
        <v>387</v>
      </c>
      <c r="N5" s="47" t="s">
        <v>195</v>
      </c>
    </row>
    <row r="6" spans="1:14" ht="28" x14ac:dyDescent="0.15">
      <c r="A6" s="71" t="s">
        <v>192</v>
      </c>
      <c r="B6" s="72">
        <f>floors!$C$2</f>
        <v>41005</v>
      </c>
      <c r="C6" s="73" t="str">
        <f ca="1">VLOOKUP($B6,OFFSET([2]quests!$A$1,0,0,COUNTA([2]quests!$A:$A),MATCH(C$1,[2]quests!$1:$1,0)-MATCH($B$1,[2]quests!$1:$1,0)+1),MATCH(C$1,[2]quests!$1:$1,0)-MATCH($B$1,[2]quests!$1:$1,0)+1,FALSE)</f>
        <v>オズ襲来！</v>
      </c>
      <c r="D6" s="73" t="str">
        <f ca="1">VLOOKUP($B6,OFFSET([2]quests!$A$1,0,0,COUNTA([2]quests!$A:$A),MATCH(D$1,[2]quests!$1:$1,0)-MATCH($B$1,[2]quests!$1:$1,0)+1),MATCH(D$1,[2]quests!$1:$1,0)-MATCH($B$1,[2]quests!$1:$1,0)+1,FALSE)</f>
        <v>降臨1</v>
      </c>
      <c r="E6" s="74">
        <v>2</v>
      </c>
      <c r="F6" s="73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【ウィザード級】オズ襲来</v>
      </c>
      <c r="G6" s="73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75">
        <v>1</v>
      </c>
      <c r="I6" s="80">
        <f t="shared" si="0"/>
        <v>5</v>
      </c>
      <c r="J6" s="76" t="str">
        <f t="shared" si="1"/>
        <v>4100505</v>
      </c>
      <c r="K6" s="74" t="s">
        <v>123</v>
      </c>
      <c r="L6" s="77" t="s">
        <v>194</v>
      </c>
      <c r="M6" s="301" t="s">
        <v>390</v>
      </c>
      <c r="N6" s="47" t="s">
        <v>195</v>
      </c>
    </row>
    <row r="7" spans="1:14" ht="42" x14ac:dyDescent="0.15">
      <c r="A7" s="71" t="s">
        <v>192</v>
      </c>
      <c r="B7" s="72">
        <f>floors!$C$2</f>
        <v>41005</v>
      </c>
      <c r="C7" s="73" t="str">
        <f ca="1">VLOOKUP($B7,OFFSET([2]quests!$A$1,0,0,COUNTA([2]quests!$A:$A),MATCH(C$1,[2]quests!$1:$1,0)-MATCH($B$1,[2]quests!$1:$1,0)+1),MATCH(C$1,[2]quests!$1:$1,0)-MATCH($B$1,[2]quests!$1:$1,0)+1,FALSE)</f>
        <v>オズ襲来！</v>
      </c>
      <c r="D7" s="73" t="str">
        <f ca="1">VLOOKUP($B7,OFFSET([2]quests!$A$1,0,0,COUNTA([2]quests!$A:$A),MATCH(D$1,[2]quests!$1:$1,0)-MATCH($B$1,[2]quests!$1:$1,0)+1),MATCH(D$1,[2]quests!$1:$1,0)-MATCH($B$1,[2]quests!$1:$1,0)+1,FALSE)</f>
        <v>降臨1</v>
      </c>
      <c r="E7" s="74">
        <v>2</v>
      </c>
      <c r="F7" s="73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【ウィザード級】オズ襲来</v>
      </c>
      <c r="G7" s="73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75">
        <v>2</v>
      </c>
      <c r="I7" s="80">
        <f t="shared" si="0"/>
        <v>6</v>
      </c>
      <c r="J7" s="76" t="str">
        <f t="shared" si="1"/>
        <v>4100506</v>
      </c>
      <c r="K7" s="74" t="s">
        <v>123</v>
      </c>
      <c r="L7" s="77" t="s">
        <v>194</v>
      </c>
      <c r="M7" s="301" t="s">
        <v>389</v>
      </c>
      <c r="N7" s="47" t="s">
        <v>195</v>
      </c>
    </row>
    <row r="8" spans="1:14" ht="42" x14ac:dyDescent="0.15">
      <c r="A8" s="71" t="s">
        <v>192</v>
      </c>
      <c r="B8" s="72">
        <f>floors!$C$2</f>
        <v>41005</v>
      </c>
      <c r="C8" s="73" t="str">
        <f ca="1">VLOOKUP($B8,OFFSET([2]quests!$A$1,0,0,COUNTA([2]quests!$A:$A),MATCH(C$1,[2]quests!$1:$1,0)-MATCH($B$1,[2]quests!$1:$1,0)+1),MATCH(C$1,[2]quests!$1:$1,0)-MATCH($B$1,[2]quests!$1:$1,0)+1,FALSE)</f>
        <v>オズ襲来！</v>
      </c>
      <c r="D8" s="73" t="str">
        <f ca="1">VLOOKUP($B8,OFFSET([2]quests!$A$1,0,0,COUNTA([2]quests!$A:$A),MATCH(D$1,[2]quests!$1:$1,0)-MATCH($B$1,[2]quests!$1:$1,0)+1),MATCH(D$1,[2]quests!$1:$1,0)-MATCH($B$1,[2]quests!$1:$1,0)+1,FALSE)</f>
        <v>降臨1</v>
      </c>
      <c r="E8" s="74">
        <v>2</v>
      </c>
      <c r="F8" s="73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【ウィザード級】オズ襲来</v>
      </c>
      <c r="G8" s="73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75">
        <v>3</v>
      </c>
      <c r="I8" s="80">
        <f t="shared" si="0"/>
        <v>7</v>
      </c>
      <c r="J8" s="76" t="str">
        <f t="shared" si="1"/>
        <v>4100507</v>
      </c>
      <c r="K8" s="74" t="s">
        <v>123</v>
      </c>
      <c r="L8" s="77" t="s">
        <v>194</v>
      </c>
      <c r="M8" s="301" t="s">
        <v>393</v>
      </c>
      <c r="N8" s="47" t="s">
        <v>195</v>
      </c>
    </row>
    <row r="9" spans="1:14" ht="28" x14ac:dyDescent="0.15">
      <c r="A9" s="71" t="s">
        <v>192</v>
      </c>
      <c r="B9" s="72">
        <f>floors!$C$2</f>
        <v>41005</v>
      </c>
      <c r="C9" s="73" t="str">
        <f ca="1">VLOOKUP($B9,OFFSET([2]quests!$A$1,0,0,COUNTA([2]quests!$A:$A),MATCH(C$1,[2]quests!$1:$1,0)-MATCH($B$1,[2]quests!$1:$1,0)+1),MATCH(C$1,[2]quests!$1:$1,0)-MATCH($B$1,[2]quests!$1:$1,0)+1,FALSE)</f>
        <v>オズ襲来！</v>
      </c>
      <c r="D9" s="73" t="str">
        <f ca="1">VLOOKUP($B9,OFFSET([2]quests!$A$1,0,0,COUNTA([2]quests!$A:$A),MATCH(D$1,[2]quests!$1:$1,0)-MATCH($B$1,[2]quests!$1:$1,0)+1),MATCH(D$1,[2]quests!$1:$1,0)-MATCH($B$1,[2]quests!$1:$1,0)+1,FALSE)</f>
        <v>降臨1</v>
      </c>
      <c r="E9" s="74">
        <v>2</v>
      </c>
      <c r="F9" s="73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【ウィザード級】オズ襲来</v>
      </c>
      <c r="G9" s="73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75">
        <v>4</v>
      </c>
      <c r="I9" s="80">
        <f t="shared" si="0"/>
        <v>8</v>
      </c>
      <c r="J9" s="76" t="str">
        <f t="shared" si="1"/>
        <v>4100508</v>
      </c>
      <c r="K9" s="74" t="s">
        <v>123</v>
      </c>
      <c r="L9" s="77" t="s">
        <v>194</v>
      </c>
      <c r="M9" s="301" t="s">
        <v>394</v>
      </c>
      <c r="N9" s="47" t="s">
        <v>195</v>
      </c>
    </row>
    <row r="10" spans="1:14" ht="28" x14ac:dyDescent="0.15">
      <c r="A10" s="71" t="s">
        <v>192</v>
      </c>
      <c r="B10" s="72">
        <f>floors!$C$2</f>
        <v>41005</v>
      </c>
      <c r="C10" s="73" t="str">
        <f ca="1">VLOOKUP($B10,OFFSET([2]quests!$A$1,0,0,COUNTA([2]quests!$A:$A),MATCH(C$1,[2]quests!$1:$1,0)-MATCH($B$1,[2]quests!$1:$1,0)+1),MATCH(C$1,[2]quests!$1:$1,0)-MATCH($B$1,[2]quests!$1:$1,0)+1,FALSE)</f>
        <v>オズ襲来！</v>
      </c>
      <c r="D10" s="73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74">
        <v>3</v>
      </c>
      <c r="F10" s="73" t="str">
        <f ca="1">VLOOKUP($B10&amp;"_"&amp;$E10,OFFSET([2]stages!$A$1,0,0,COUNTA([2]stages!$A:$A),MATCH(F$1,[2]stages!$2:$2,0)-MATCH("temp_stage",[2]stages!$2:$2,0)+1),MATCH(F$1,[2]stages!$2:$2,0)-MATCH("temp_stage",[2]stages!$2:$2,0)+1,FALSE)</f>
        <v>【ノーコンテニュー】オズ襲来</v>
      </c>
      <c r="G10" s="73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75">
        <v>1</v>
      </c>
      <c r="I10" s="80">
        <f t="shared" si="0"/>
        <v>9</v>
      </c>
      <c r="J10" s="76" t="str">
        <f t="shared" si="1"/>
        <v>4100509</v>
      </c>
      <c r="K10" s="74" t="s">
        <v>123</v>
      </c>
      <c r="L10" s="77" t="s">
        <v>194</v>
      </c>
      <c r="M10" s="301" t="s">
        <v>390</v>
      </c>
      <c r="N10" s="47" t="s">
        <v>195</v>
      </c>
    </row>
    <row r="11" spans="1:14" ht="42" x14ac:dyDescent="0.15">
      <c r="A11" s="71" t="s">
        <v>192</v>
      </c>
      <c r="B11" s="72">
        <f>floors!$C$2</f>
        <v>41005</v>
      </c>
      <c r="C11" s="73" t="str">
        <f ca="1">VLOOKUP($B11,OFFSET([2]quests!$A$1,0,0,COUNTA([2]quests!$A:$A),MATCH(C$1,[2]quests!$1:$1,0)-MATCH($B$1,[2]quests!$1:$1,0)+1),MATCH(C$1,[2]quests!$1:$1,0)-MATCH($B$1,[2]quests!$1:$1,0)+1,FALSE)</f>
        <v>オズ襲来！</v>
      </c>
      <c r="D11" s="73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74">
        <v>3</v>
      </c>
      <c r="F11" s="73" t="str">
        <f ca="1">VLOOKUP($B11&amp;"_"&amp;$E11,OFFSET([2]stages!$A$1,0,0,COUNTA([2]stages!$A:$A),MATCH(F$1,[2]stages!$2:$2,0)-MATCH("temp_stage",[2]stages!$2:$2,0)+1),MATCH(F$1,[2]stages!$2:$2,0)-MATCH("temp_stage",[2]stages!$2:$2,0)+1,FALSE)</f>
        <v>【ノーコンテニュー】オズ襲来</v>
      </c>
      <c r="G11" s="73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75">
        <v>2</v>
      </c>
      <c r="I11" s="80">
        <f t="shared" si="0"/>
        <v>10</v>
      </c>
      <c r="J11" s="76" t="str">
        <f t="shared" si="1"/>
        <v>4100510</v>
      </c>
      <c r="K11" s="74" t="s">
        <v>123</v>
      </c>
      <c r="L11" s="77" t="s">
        <v>194</v>
      </c>
      <c r="M11" s="301" t="s">
        <v>389</v>
      </c>
      <c r="N11" s="47" t="s">
        <v>195</v>
      </c>
    </row>
    <row r="12" spans="1:14" ht="42" x14ac:dyDescent="0.15">
      <c r="A12" s="281" t="s">
        <v>192</v>
      </c>
      <c r="B12" s="282">
        <f>floors!$C$2</f>
        <v>41005</v>
      </c>
      <c r="C12" s="283" t="str">
        <f ca="1">VLOOKUP($B12,OFFSET([2]quests!$A$1,0,0,COUNTA([2]quests!$A:$A),MATCH(C$1,[2]quests!$1:$1,0)-MATCH($B$1,[2]quests!$1:$1,0)+1),MATCH(C$1,[2]quests!$1:$1,0)-MATCH($B$1,[2]quests!$1:$1,0)+1,FALSE)</f>
        <v>オズ襲来！</v>
      </c>
      <c r="D12" s="283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284">
        <v>3</v>
      </c>
      <c r="F12" s="283" t="str">
        <f ca="1">VLOOKUP($B12&amp;"_"&amp;$E12,OFFSET([2]stages!$A$1,0,0,COUNTA([2]stages!$A:$A),MATCH(F$1,[2]stages!$2:$2,0)-MATCH("temp_stage",[2]stages!$2:$2,0)+1),MATCH(F$1,[2]stages!$2:$2,0)-MATCH("temp_stage",[2]stages!$2:$2,0)+1,FALSE)</f>
        <v>【ノーコンテニュー】オズ襲来</v>
      </c>
      <c r="G12" s="283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285">
        <v>3</v>
      </c>
      <c r="I12" s="286">
        <f t="shared" si="0"/>
        <v>11</v>
      </c>
      <c r="J12" s="287" t="str">
        <f t="shared" si="1"/>
        <v>4100511</v>
      </c>
      <c r="K12" s="284" t="s">
        <v>123</v>
      </c>
      <c r="L12" s="288" t="s">
        <v>194</v>
      </c>
      <c r="M12" s="301" t="s">
        <v>393</v>
      </c>
      <c r="N12" s="253" t="s">
        <v>195</v>
      </c>
    </row>
    <row r="13" spans="1:14" s="296" customFormat="1" ht="28" x14ac:dyDescent="0.15">
      <c r="A13" s="71" t="s">
        <v>192</v>
      </c>
      <c r="B13" s="72">
        <f>floors!$C$2</f>
        <v>41005</v>
      </c>
      <c r="C13" s="297" t="str">
        <f ca="1">VLOOKUP($B13,OFFSET([2]quests!$A$1,0,0,COUNTA([2]quests!$A:$A),MATCH(C$1,[2]quests!$1:$1,0)-MATCH($B$1,[2]quests!$1:$1,0)+1),MATCH(C$1,[2]quests!$1:$1,0)-MATCH($B$1,[2]quests!$1:$1,0)+1,FALSE)</f>
        <v>オズ襲来！</v>
      </c>
      <c r="D13" s="297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74">
        <v>3</v>
      </c>
      <c r="F13" s="297" t="str">
        <f ca="1">VLOOKUP($B13&amp;"_"&amp;$E13,OFFSET([2]stages!$A$1,0,0,COUNTA([2]stages!$A:$A),MATCH(F$1,[2]stages!$2:$2,0)-MATCH("temp_stage",[2]stages!$2:$2,0)+1),MATCH(F$1,[2]stages!$2:$2,0)-MATCH("temp_stage",[2]stages!$2:$2,0)+1,FALSE)</f>
        <v>【ノーコンテニュー】オズ襲来</v>
      </c>
      <c r="G13" s="297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298">
        <v>4</v>
      </c>
      <c r="I13" s="80">
        <f t="shared" si="0"/>
        <v>12</v>
      </c>
      <c r="J13" s="76" t="str">
        <f t="shared" si="1"/>
        <v>4100512</v>
      </c>
      <c r="K13" s="74" t="s">
        <v>123</v>
      </c>
      <c r="L13" s="77" t="s">
        <v>194</v>
      </c>
      <c r="M13" s="301" t="s">
        <v>394</v>
      </c>
      <c r="N13" s="47" t="s">
        <v>195</v>
      </c>
    </row>
    <row r="14" spans="1:14" s="296" customFormat="1" x14ac:dyDescent="0.15">
      <c r="A14" s="289"/>
      <c r="B14" s="290"/>
      <c r="C14" s="291"/>
      <c r="D14" s="291"/>
      <c r="E14" s="292"/>
      <c r="F14" s="291"/>
      <c r="G14" s="291"/>
      <c r="H14" s="293"/>
      <c r="I14" s="299"/>
      <c r="J14" s="299"/>
      <c r="K14" s="292"/>
      <c r="L14" s="294"/>
      <c r="M14" s="295"/>
    </row>
    <row r="15" spans="1:14" s="296" customFormat="1" x14ac:dyDescent="0.15">
      <c r="A15" s="289"/>
      <c r="B15" s="290"/>
      <c r="C15" s="291"/>
      <c r="D15" s="291"/>
      <c r="E15" s="292"/>
      <c r="F15" s="291"/>
      <c r="G15" s="291"/>
      <c r="H15" s="293"/>
      <c r="I15" s="299"/>
      <c r="J15" s="299"/>
      <c r="K15" s="292"/>
      <c r="L15" s="294"/>
      <c r="M15" s="295"/>
    </row>
    <row r="16" spans="1:14" s="296" customFormat="1" x14ac:dyDescent="0.15">
      <c r="A16" s="289"/>
      <c r="B16" s="290"/>
      <c r="C16" s="291"/>
      <c r="D16" s="291"/>
      <c r="E16" s="292"/>
      <c r="F16" s="291"/>
      <c r="G16" s="291"/>
      <c r="H16" s="293"/>
      <c r="I16" s="299"/>
      <c r="J16" s="299"/>
      <c r="K16" s="292"/>
      <c r="L16" s="294"/>
      <c r="M16" s="295"/>
    </row>
    <row r="17" spans="1:13" s="296" customFormat="1" x14ac:dyDescent="0.15">
      <c r="A17" s="289"/>
      <c r="B17" s="290"/>
      <c r="C17" s="291"/>
      <c r="D17" s="291"/>
      <c r="E17" s="292"/>
      <c r="F17" s="291"/>
      <c r="G17" s="291"/>
      <c r="H17" s="293"/>
      <c r="I17" s="299"/>
      <c r="J17" s="299"/>
      <c r="K17" s="292"/>
      <c r="L17" s="294"/>
      <c r="M17" s="295"/>
    </row>
    <row r="18" spans="1:13" s="296" customFormat="1" x14ac:dyDescent="0.15">
      <c r="A18" s="289"/>
      <c r="B18" s="290"/>
      <c r="C18" s="291"/>
      <c r="D18" s="291"/>
      <c r="E18" s="292"/>
      <c r="F18" s="291"/>
      <c r="G18" s="291"/>
      <c r="H18" s="293"/>
      <c r="I18" s="299"/>
      <c r="J18" s="299"/>
      <c r="K18" s="292"/>
      <c r="L18" s="294"/>
      <c r="M18" s="295"/>
    </row>
    <row r="19" spans="1:13" s="296" customFormat="1" x14ac:dyDescent="0.15">
      <c r="A19" s="289"/>
      <c r="B19" s="290"/>
      <c r="C19" s="291"/>
      <c r="D19" s="291"/>
      <c r="E19" s="292"/>
      <c r="F19" s="291"/>
      <c r="G19" s="291"/>
      <c r="H19" s="293"/>
      <c r="I19" s="299"/>
      <c r="J19" s="299"/>
      <c r="K19" s="292"/>
      <c r="L19" s="294"/>
      <c r="M19" s="295"/>
    </row>
    <row r="20" spans="1:13" x14ac:dyDescent="0.15">
      <c r="I20" s="300"/>
      <c r="J20" s="300"/>
    </row>
  </sheetData>
  <phoneticPr fontId="5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2017-04-04T10:54:44Z</dcterms:modified>
</cp:coreProperties>
</file>