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4360" yWindow="520" windowWidth="24440" windowHeight="1620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57" l="1"/>
  <c r="E2" i="57"/>
  <c r="B2" i="57"/>
  <c r="H3" i="23"/>
  <c r="BR3" i="23"/>
  <c r="H2" i="23"/>
  <c r="BR2" i="23"/>
  <c r="BE2" i="23"/>
  <c r="G2" i="23"/>
  <c r="BC2" i="23"/>
  <c r="BD2" i="23"/>
  <c r="Q2" i="23"/>
  <c r="V2" i="23"/>
  <c r="W2" i="23"/>
  <c r="AD2" i="23"/>
  <c r="I2" i="23"/>
  <c r="M2" i="23"/>
  <c r="BN2" i="23"/>
  <c r="BJ2" i="23"/>
  <c r="S2" i="23"/>
  <c r="AA2" i="23"/>
  <c r="J2" i="23"/>
  <c r="BK2" i="23"/>
  <c r="BG2" i="23"/>
  <c r="T2" i="23"/>
  <c r="AB2" i="23"/>
  <c r="K2" i="23"/>
  <c r="BL2" i="23"/>
  <c r="BH2" i="23"/>
  <c r="E9" i="54"/>
  <c r="E8" i="54"/>
  <c r="E7" i="54"/>
  <c r="E6" i="54"/>
  <c r="E5" i="54"/>
  <c r="E4" i="54"/>
  <c r="E3" i="54"/>
  <c r="E2" i="54"/>
  <c r="D9" i="54"/>
  <c r="B9" i="54"/>
  <c r="D8" i="54"/>
  <c r="B8" i="54"/>
  <c r="D5" i="54"/>
  <c r="B5" i="54"/>
  <c r="D4" i="54"/>
  <c r="B4" i="54"/>
  <c r="D3" i="54"/>
  <c r="D6" i="54"/>
  <c r="D7" i="54"/>
  <c r="B7" i="54"/>
  <c r="B3" i="54"/>
  <c r="AS2" i="23"/>
  <c r="AR2" i="23"/>
  <c r="J2" i="52"/>
  <c r="AQ2" i="23"/>
  <c r="AW2" i="23"/>
  <c r="AV2" i="23"/>
  <c r="G2" i="53"/>
  <c r="AU2" i="23"/>
  <c r="G3" i="23"/>
  <c r="H2" i="5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H3" i="53"/>
  <c r="G3" i="53"/>
  <c r="E3" i="53"/>
  <c r="AU3" i="23"/>
  <c r="K3" i="52"/>
  <c r="J3" i="52"/>
  <c r="H3" i="52"/>
  <c r="E3" i="52"/>
  <c r="AQ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P2" i="58"/>
  <c r="G9" i="13"/>
  <c r="K2" i="52"/>
  <c r="C3" i="49"/>
  <c r="E3" i="49"/>
  <c r="C4" i="49"/>
  <c r="C5" i="49"/>
  <c r="E5" i="49"/>
  <c r="C2" i="3"/>
  <c r="J2" i="3"/>
  <c r="H2" i="3"/>
  <c r="F2" i="3"/>
  <c r="E2" i="3"/>
  <c r="D2" i="3"/>
  <c r="G2" i="58"/>
  <c r="U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C6" i="49"/>
  <c r="C7" i="49"/>
  <c r="C8" i="49"/>
  <c r="C9" i="49"/>
  <c r="C10" i="49"/>
  <c r="C11" i="49"/>
  <c r="C12" i="49"/>
  <c r="C13" i="49"/>
  <c r="C14" i="49"/>
  <c r="C15" i="49"/>
  <c r="E15" i="49"/>
  <c r="E14" i="49"/>
  <c r="E13" i="49"/>
  <c r="P2" i="23"/>
  <c r="G11" i="13"/>
  <c r="G10" i="13"/>
  <c r="G8" i="13"/>
  <c r="G4" i="13"/>
  <c r="G3" i="13"/>
  <c r="G2" i="13"/>
  <c r="B2" i="23"/>
  <c r="C2" i="23"/>
  <c r="D2" i="23"/>
  <c r="E2" i="23"/>
  <c r="F2" i="23"/>
  <c r="L2" i="23"/>
  <c r="N2" i="23"/>
  <c r="O2" i="23"/>
  <c r="R2" i="23"/>
  <c r="U2" i="23"/>
  <c r="X2" i="23"/>
  <c r="Y2" i="23"/>
  <c r="Z2" i="23"/>
  <c r="AC2" i="23"/>
  <c r="AF2" i="23"/>
  <c r="AH2" i="23"/>
  <c r="AI2" i="23"/>
  <c r="AK2" i="23"/>
  <c r="AL2" i="23"/>
  <c r="AM2" i="23"/>
  <c r="AN2" i="23"/>
  <c r="AX2" i="23"/>
  <c r="BF2" i="23"/>
  <c r="BM2" i="23"/>
  <c r="BI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2" i="54"/>
  <c r="B6" i="54"/>
  <c r="B2" i="54"/>
  <c r="E2" i="53"/>
  <c r="H2" i="52"/>
  <c r="E2" i="52"/>
  <c r="E10" i="49"/>
  <c r="E9" i="49"/>
  <c r="E8" i="49"/>
  <c r="E7" i="49"/>
  <c r="E11" i="49"/>
  <c r="E12" i="49"/>
  <c r="E4" i="49"/>
  <c r="E6" i="49"/>
  <c r="E2" i="49"/>
  <c r="S2" i="58"/>
  <c r="T2" i="58"/>
</calcChain>
</file>

<file path=xl/sharedStrings.xml><?xml version="1.0" encoding="utf-8"?>
<sst xmlns="http://schemas.openxmlformats.org/spreadsheetml/2006/main" count="869" uniqueCount="364">
  <si>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</si>
  <si>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</si>
  <si>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</si>
  <si>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</si>
  <si>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</si>
  <si>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</si>
  <si>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</si>
  <si>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</si>
  <si>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</si>
  <si>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</si>
  <si>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</si>
  <si>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</si>
  <si>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</si>
  <si>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</si>
  <si>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</si>
  <si>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</si>
  <si>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</si>
  <si>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</si>
  <si>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</si>
  <si>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</si>
  <si>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</si>
  <si>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</si>
  <si>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</si>
  <si>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</si>
  <si>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</si>
  <si>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</si>
  <si>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</si>
  <si>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</si>
  <si>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</si>
  <si>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</si>
  <si>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</si>
  <si>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</si>
  <si>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</si>
  <si>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</si>
  <si>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</si>
  <si>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</si>
  <si>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</si>
  <si>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</si>
  <si>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</si>
  <si>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</si>
  <si>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</si>
  <si>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</si>
  <si>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</si>
  <si>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</si>
  <si>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</si>
  <si>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</si>
  <si>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</si>
  <si>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</si>
  <si>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</si>
  <si>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</si>
  <si>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</si>
  <si>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</si>
  <si>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</si>
  <si>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</si>
  <si>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</si>
  <si>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</si>
  <si>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</si>
  <si>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</si>
  <si>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</si>
  <si>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</si>
  <si>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</si>
  <si>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</si>
  <si>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</si>
  <si>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</si>
  <si>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</si>
  <si>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</si>
  <si>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</si>
  <si>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</si>
  <si>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</si>
  <si>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</si>
  <si>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</si>
  <si>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</si>
  <si>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</si>
  <si>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</si>
  <si>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</si>
  <si>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</si>
  <si>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</si>
  <si>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</si>
  <si>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</si>
  <si>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</si>
  <si>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</si>
  <si>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</si>
  <si>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</si>
  <si>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</si>
  <si>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</si>
  <si>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</si>
  <si>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</si>
  <si>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</si>
  <si>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</si>
  <si>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</si>
  <si>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</si>
  <si>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</si>
  <si>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</si>
  <si>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</si>
  <si>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</si>
  <si>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</si>
  <si>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</si>
  <si>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</si>
  <si>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</si>
  <si>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</si>
  <si>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</si>
  <si>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</si>
  <si>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</si>
  <si>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</si>
  <si>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</si>
  <si>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</si>
  <si>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</si>
  <si>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</si>
  <si>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</si>
  <si>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</si>
  <si>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</si>
  <si>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</si>
  <si>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</si>
  <si>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</si>
  <si>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</si>
  <si>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</si>
  <si>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</si>
  <si>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</si>
  <si>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</si>
  <si>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</si>
  <si>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</si>
  <si>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</si>
  <si>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</si>
  <si>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</si>
  <si>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</si>
  <si>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</si>
  <si>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</si>
  <si>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</si>
  <si>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</si>
  <si>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</si>
  <si>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</si>
  <si>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</si>
  <si>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</si>
  <si>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</si>
  <si>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</si>
  <si>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</si>
  <si>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</si>
  <si>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</si>
  <si>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</si>
  <si>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</si>
  <si>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</si>
  <si>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</si>
  <si>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</si>
  <si>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</si>
  <si>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</si>
  <si>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</si>
  <si>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</si>
  <si>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</si>
  <si>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</si>
  <si>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</si>
  <si>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</si>
  <si>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</si>
  <si>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</si>
  <si>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</si>
  <si>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</si>
  <si>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</si>
  <si>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</si>
  <si>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</si>
  <si>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</si>
  <si>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</si>
  <si>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</si>
  <si>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</si>
  <si>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</si>
  <si>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</si>
  <si>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</si>
  <si>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</si>
  <si>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</si>
  <si>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</si>
  <si>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</si>
  <si>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</si>
  <si>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</si>
  <si>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</si>
  <si>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</si>
  <si>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</si>
  <si>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</si>
  <si>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</si>
  <si>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</si>
  <si>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</si>
  <si>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</si>
  <si>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</si>
  <si>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</si>
  <si>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</si>
  <si>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</si>
  <si>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</si>
  <si>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</si>
  <si>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</si>
  <si>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</si>
  <si>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</si>
  <si>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</si>
  <si>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</si>
  <si>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</si>
  <si>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</si>
  <si>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</si>
  <si>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</si>
  <si>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</si>
  <si>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</si>
  <si>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</si>
  <si>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</si>
  <si>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</si>
  <si>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</si>
  <si>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</si>
  <si>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</si>
  <si>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</si>
  <si>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</si>
  <si>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</si>
  <si>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</si>
  <si>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</si>
  <si>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</si>
  <si>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</si>
  <si>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</si>
  <si>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</si>
  <si>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</si>
  <si>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</si>
  <si>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</si>
  <si>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</si>
  <si>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</si>
  <si>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</si>
  <si>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</si>
  <si>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</si>
  <si>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</si>
  <si>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</si>
  <si>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</si>
  <si>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</si>
  <si>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</si>
  <si>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</si>
  <si>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</si>
  <si>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</si>
  <si>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</si>
  <si>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</si>
  <si>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</si>
  <si>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</si>
  <si>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</si>
  <si>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</si>
  <si>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</si>
  <si>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</si>
  <si>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</si>
  <si>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</si>
  <si>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</si>
  <si>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</si>
  <si>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</si>
  <si>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</si>
  <si>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</si>
  <si>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</si>
  <si>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</si>
  <si>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</si>
  <si>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</si>
  <si>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</si>
  <si>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</si>
  <si>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</si>
  <si>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</si>
  <si>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</si>
  <si>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</si>
  <si>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</si>
  <si>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</si>
  <si>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</si>
  <si>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</si>
  <si>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</si>
  <si>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</si>
  <si>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</si>
  <si>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</si>
  <si>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</si>
  <si>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</si>
  <si>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</si>
  <si>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</si>
  <si>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</si>
  <si>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</si>
  <si>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</si>
  <si>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</si>
  <si>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</si>
  <si>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</si>
  <si>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</si>
  <si>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</si>
  <si>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</si>
  <si>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</si>
  <si>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</si>
  <si>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</si>
  <si>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</si>
  <si>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</si>
  <si>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</si>
  <si>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</si>
  <si>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</si>
  <si>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</si>
  <si>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</si>
  <si>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</si>
  <si>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</si>
  <si>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</si>
  <si>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</si>
  <si>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</si>
  <si>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</si>
  <si>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</si>
  <si>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</si>
  <si>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</si>
  <si>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</si>
  <si>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</si>
  <si>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</si>
  <si>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</si>
  <si>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</si>
  <si>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</si>
  <si>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</si>
  <si>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</si>
  <si>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</si>
  <si>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</si>
  <si>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</si>
  <si>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</si>
  <si>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</si>
  <si>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</si>
  <si>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</si>
  <si>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</si>
  <si>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</si>
  <si>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</si>
  <si>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</si>
  <si>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</si>
  <si>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</si>
  <si>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</si>
  <si>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</si>
  <si>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</si>
  <si>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awekening</t>
    <phoneticPr fontId="22"/>
  </si>
  <si>
    <t>old</t>
  </si>
  <si>
    <t xml:space="preserve">[effect:damage_anti_color, target:enemy_one, color:blue, val1:3, val2:1.5, animation:damage_one_yellow03] </t>
    <phoneticPr fontId="22"/>
  </si>
  <si>
    <t>1体に大ダメージ
アニマルに効果特大</t>
    <phoneticPr fontId="22"/>
  </si>
  <si>
    <t>[effect:damage_anti_tribe, target:enemy_one, tribe:animal, val1:3.375, val2:1.31, animation:damage_one_blue03]</t>
    <phoneticPr fontId="22"/>
  </si>
  <si>
    <t>ときめいちゃいなさーい！</t>
    <phoneticPr fontId="22"/>
  </si>
  <si>
    <t>押し流してあげるわー！</t>
    <phoneticPr fontId="22"/>
  </si>
  <si>
    <t>海遊恋射バブルストライク</t>
    <phoneticPr fontId="22"/>
  </si>
  <si>
    <t>タイダルバブルウェイブ</t>
    <phoneticPr fontId="22"/>
  </si>
  <si>
    <t>秋葉金還の祭札</t>
    <phoneticPr fontId="22"/>
  </si>
  <si>
    <t>提灯大乱進</t>
    <phoneticPr fontId="22"/>
  </si>
  <si>
    <t>儂の見せ場が来たのじゃー！</t>
    <phoneticPr fontId="22"/>
  </si>
  <si>
    <t>真の祭りを見せるのじゃ</t>
    <phoneticPr fontId="22"/>
  </si>
  <si>
    <t>稲荷大暴れなのじゃ！</t>
    <phoneticPr fontId="22"/>
  </si>
  <si>
    <t>秋の祭りじゃー！</t>
    <phoneticPr fontId="22"/>
  </si>
  <si>
    <t>giza</t>
  </si>
  <si>
    <t>みんな凍っちゃえー！</t>
    <phoneticPr fontId="22"/>
  </si>
  <si>
    <t>氷水は冷たいよ−？</t>
    <phoneticPr fontId="22"/>
  </si>
  <si>
    <t>old</t>
    <phoneticPr fontId="22"/>
  </si>
  <si>
    <t>1体に大ダメージ
青属性に効果特大</t>
    <phoneticPr fontId="22"/>
  </si>
  <si>
    <t>ハート無効解除+2ターンの間全ての敵の攻撃力を50％DOWNし、味方全体の回復力大UP</t>
    <phoneticPr fontId="22"/>
  </si>
  <si>
    <r>
      <t>青パネルを</t>
    </r>
    <r>
      <rPr>
        <b/>
        <sz val="10"/>
        <color rgb="FF000000"/>
        <rFont val="ＭＳ Ｐゴシック"/>
        <family val="3"/>
        <charset val="128"/>
        <scheme val="minor"/>
      </rPr>
      <t>黄</t>
    </r>
    <r>
      <rPr>
        <sz val="10"/>
        <color rgb="FF000000"/>
        <rFont val="ＭＳ Ｐゴシック"/>
        <family val="3"/>
        <charset val="128"/>
        <scheme val="minor"/>
      </rPr>
      <t>パネルに変換し、2ターン黄属性の防御力大UP+大カウンター</t>
    </r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</si>
  <si>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</si>
  <si>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</si>
  <si>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</si>
  <si>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</si>
  <si>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</si>
  <si>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</si>
  <si>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</si>
  <si>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</si>
  <si>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</si>
  <si>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</si>
  <si>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</si>
  <si>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</si>
  <si>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</si>
  <si>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</si>
  <si>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</si>
  <si>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</si>
  <si>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</si>
  <si>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</si>
  <si>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</si>
  <si>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</si>
  <si>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</si>
  <si>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</si>
  <si>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[effect:attack_break, target:enemy_all, turn:2, val:0.5, calc:mul, animation:attack_break01],[effect:enhance_unit, target:unit_all, turn:2, status:heal, val:0.315, calc:mul, animation:enhance_unit_all_heal03],[effect:cure, bad_status:dis_heart, animation:cure01]</t>
    <phoneticPr fontId="22"/>
  </si>
  <si>
    <t>[effect:force_change_block, new_block:block_yellow, target:block_blue, count:0, val:0, animation:change_block],[effect:counter_new, target:unit_all, invoke_condition:enemy_all, counter_target:attacker, turn:2, val:2, animation:counter_buff04],[effect:enhance_unit, target:unit_yellow, turn:2, status:defense, val:720, calc:add, animation:enhance_unit_all_defense01]</t>
    <phoneticPr fontId="22"/>
  </si>
  <si>
    <t>bug</t>
    <phoneticPr fontId="22"/>
  </si>
  <si>
    <t>1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</si>
</sst>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b/>
      <sz val="10"/>
      <color rgb="FF000000"/>
      <name val="ＭＳ Ｐゴシック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0" borderId="4" xfId="0" applyFont="1" applyFill="1" applyBorder="1"/>
    <xf numFmtId="0" fontId="13" fillId="0" borderId="0" xfId="0" applyFont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14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119402</v>
          </cell>
          <cell r="B126" t="str">
            <v>ja</v>
          </cell>
          <cell r="C126" t="str">
            <v>ハロウィンナイトパニック！ 威力UP</v>
          </cell>
          <cell r="D126" t="str">
            <v>ハロウィンナイトパニック！内で自身の全ての攻撃の威力を究極UP</v>
          </cell>
        </row>
        <row r="127">
          <cell r="A127">
            <v>803</v>
          </cell>
          <cell r="B127" t="str">
            <v>ja</v>
          </cell>
          <cell r="C127" t="str">
            <v>パネルブレイク30 防御力UP</v>
          </cell>
          <cell r="D127" t="str">
            <v>自身が先頭の時、1ターンの間に合計30個以上パネルを破壊した場合に防御力UP</v>
          </cell>
        </row>
        <row r="128">
          <cell r="A128">
            <v>804</v>
          </cell>
          <cell r="B128" t="str">
            <v>ja</v>
          </cell>
          <cell r="C128" t="str">
            <v>パネルブレイク30 防御力大UP</v>
          </cell>
          <cell r="D128" t="str">
            <v>自身が先頭の時、1ターンの間に合計30個以上パネルを破壊した場合に防御力大UP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A20" sqref="A20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317</v>
      </c>
      <c r="B2" s="109" t="s">
        <v>129</v>
      </c>
      <c r="C2" s="167" t="s">
        <v>316</v>
      </c>
      <c r="D2" s="109" t="s">
        <v>128</v>
      </c>
      <c r="E2" s="108" t="str">
        <f>B2&amp;C2&amp;D2</f>
        <v>units_awekening.tmp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359</v>
      </c>
      <c r="S2" s="109"/>
      <c r="T2" s="109"/>
      <c r="U2" s="109"/>
      <c r="V2" s="109"/>
      <c r="W2" s="109"/>
    </row>
    <row r="3" spans="1:29" x14ac:dyDescent="0.15">
      <c r="A3" s="109" t="s">
        <v>317</v>
      </c>
      <c r="B3" s="109" t="s">
        <v>294</v>
      </c>
      <c r="C3" s="167" t="str">
        <f>C2</f>
        <v>awekening</v>
      </c>
      <c r="D3" s="109" t="s">
        <v>128</v>
      </c>
      <c r="E3" s="108" t="str">
        <f>B3&amp;C3&amp;D3</f>
        <v>fork_awake_units_awekening.tmp</v>
      </c>
      <c r="F3" s="109" t="s">
        <v>295</v>
      </c>
      <c r="G3" s="63" t="s">
        <v>17</v>
      </c>
      <c r="H3" s="64" t="s">
        <v>296</v>
      </c>
      <c r="I3" s="64" t="s">
        <v>297</v>
      </c>
      <c r="J3" s="64" t="s">
        <v>298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317</v>
      </c>
      <c r="B4" s="109" t="s">
        <v>130</v>
      </c>
      <c r="C4" s="167" t="str">
        <f>C2</f>
        <v>awekening</v>
      </c>
      <c r="D4" s="109" t="s">
        <v>128</v>
      </c>
      <c r="E4" s="108" t="str">
        <f>B4&amp;C4&amp;D4</f>
        <v>awake_materials_awekening.tmp</v>
      </c>
      <c r="F4" s="109" t="s">
        <v>123</v>
      </c>
      <c r="G4" s="110" t="s">
        <v>38</v>
      </c>
      <c r="H4" s="111" t="s">
        <v>36</v>
      </c>
      <c r="I4" s="111" t="s">
        <v>37</v>
      </c>
      <c r="J4" s="113" t="s">
        <v>126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</row>
    <row r="5" spans="1:29" x14ac:dyDescent="0.15">
      <c r="A5" s="109" t="s">
        <v>317</v>
      </c>
      <c r="B5" s="109" t="s">
        <v>293</v>
      </c>
      <c r="C5" s="167" t="str">
        <f>C4</f>
        <v>awekening</v>
      </c>
      <c r="D5" s="109" t="s">
        <v>128</v>
      </c>
      <c r="E5" s="108" t="str">
        <f>B5&amp;C5&amp;D5</f>
        <v>fork_awake_materials_awekening.tmp</v>
      </c>
      <c r="F5" s="109" t="s">
        <v>123</v>
      </c>
      <c r="G5" s="184" t="s">
        <v>299</v>
      </c>
      <c r="H5" s="184" t="s">
        <v>300</v>
      </c>
      <c r="I5" s="184" t="s">
        <v>36</v>
      </c>
      <c r="J5" s="184" t="s">
        <v>37</v>
      </c>
      <c r="K5" s="184" t="s">
        <v>301</v>
      </c>
      <c r="L5" s="184" t="s">
        <v>302</v>
      </c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</row>
    <row r="6" spans="1:29" x14ac:dyDescent="0.15">
      <c r="A6" s="109" t="s">
        <v>317</v>
      </c>
      <c r="B6" s="109" t="s">
        <v>131</v>
      </c>
      <c r="C6" s="167" t="str">
        <f>C4</f>
        <v>awekening</v>
      </c>
      <c r="D6" s="109" t="s">
        <v>132</v>
      </c>
      <c r="E6" s="108" t="str">
        <f t="shared" ref="E6" si="0">B6&amp;C6&amp;D6</f>
        <v>unit_levels_calc_awekening.tmp</v>
      </c>
      <c r="F6" s="109" t="s">
        <v>122</v>
      </c>
      <c r="G6" s="59" t="s">
        <v>17</v>
      </c>
      <c r="H6" s="60" t="s">
        <v>2</v>
      </c>
      <c r="I6" s="61" t="s">
        <v>79</v>
      </c>
      <c r="J6" s="61" t="s">
        <v>80</v>
      </c>
      <c r="K6" s="61" t="s">
        <v>81</v>
      </c>
      <c r="L6" s="61" t="s">
        <v>82</v>
      </c>
      <c r="M6" s="61" t="s">
        <v>87</v>
      </c>
      <c r="N6" s="61" t="s">
        <v>88</v>
      </c>
      <c r="O6" s="61" t="s">
        <v>89</v>
      </c>
      <c r="P6" s="61" t="s">
        <v>90</v>
      </c>
      <c r="Q6" s="61" t="s">
        <v>91</v>
      </c>
      <c r="R6" s="61" t="s">
        <v>94</v>
      </c>
      <c r="S6" s="61" t="s">
        <v>92</v>
      </c>
      <c r="T6" s="61" t="s">
        <v>93</v>
      </c>
      <c r="U6" s="61" t="s">
        <v>83</v>
      </c>
      <c r="V6" s="61" t="s">
        <v>84</v>
      </c>
      <c r="W6" s="61" t="s">
        <v>85</v>
      </c>
    </row>
    <row r="7" spans="1:29" x14ac:dyDescent="0.15">
      <c r="A7" s="109" t="s">
        <v>317</v>
      </c>
      <c r="B7" s="109" t="s">
        <v>143</v>
      </c>
      <c r="C7" s="167" t="str">
        <f t="shared" ref="C7:C15" si="1">C6</f>
        <v>awekening</v>
      </c>
      <c r="D7" s="109" t="s">
        <v>144</v>
      </c>
      <c r="E7" s="108" t="str">
        <f>B7&amp;C7&amp;D7</f>
        <v>unit_skills_data_awekening.tmp</v>
      </c>
      <c r="F7" s="109" t="s">
        <v>145</v>
      </c>
      <c r="G7" s="117" t="s">
        <v>20</v>
      </c>
      <c r="H7" s="117" t="s">
        <v>146</v>
      </c>
      <c r="I7" s="117" t="s">
        <v>2</v>
      </c>
      <c r="J7" s="117" t="s">
        <v>147</v>
      </c>
      <c r="K7" s="117" t="s">
        <v>148</v>
      </c>
      <c r="L7" s="117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317</v>
      </c>
      <c r="B8" s="109" t="s">
        <v>149</v>
      </c>
      <c r="C8" s="167" t="str">
        <f t="shared" si="1"/>
        <v>awekening</v>
      </c>
      <c r="D8" s="109" t="s">
        <v>128</v>
      </c>
      <c r="E8" s="108" t="str">
        <f>B8&amp;C8&amp;D8</f>
        <v>unit_skills_i18n_awekening.tmp</v>
      </c>
      <c r="F8" s="109" t="s">
        <v>145</v>
      </c>
      <c r="G8" s="117" t="s">
        <v>150</v>
      </c>
      <c r="H8" s="117" t="s">
        <v>134</v>
      </c>
      <c r="I8" s="117" t="s">
        <v>151</v>
      </c>
      <c r="J8" s="117" t="s">
        <v>152</v>
      </c>
      <c r="K8" s="112"/>
      <c r="L8" s="11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317</v>
      </c>
      <c r="B9" s="109" t="s">
        <v>153</v>
      </c>
      <c r="C9" s="167" t="str">
        <f t="shared" si="1"/>
        <v>awekening</v>
      </c>
      <c r="D9" s="109" t="s">
        <v>154</v>
      </c>
      <c r="E9" s="108" t="str">
        <f>B9&amp;C9&amp;D9</f>
        <v>crash_skills_data_awekening.tmp</v>
      </c>
      <c r="F9" s="109" t="s">
        <v>155</v>
      </c>
      <c r="G9" s="117" t="s">
        <v>156</v>
      </c>
      <c r="H9" s="117" t="s">
        <v>148</v>
      </c>
      <c r="I9" s="117" t="s">
        <v>4</v>
      </c>
      <c r="J9" s="112"/>
      <c r="K9" s="112"/>
      <c r="L9" s="11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317</v>
      </c>
      <c r="B10" s="109" t="s">
        <v>157</v>
      </c>
      <c r="C10" s="167" t="str">
        <f t="shared" si="1"/>
        <v>awekening</v>
      </c>
      <c r="D10" s="109" t="s">
        <v>158</v>
      </c>
      <c r="E10" s="108" t="str">
        <f t="shared" ref="E10" si="2">B10&amp;C10&amp;D10</f>
        <v>crash_skills_i18n_awekening.tmp</v>
      </c>
      <c r="F10" s="109" t="s">
        <v>155</v>
      </c>
      <c r="G10" s="117" t="s">
        <v>159</v>
      </c>
      <c r="H10" s="117" t="s">
        <v>160</v>
      </c>
      <c r="I10" s="117" t="s">
        <v>161</v>
      </c>
      <c r="J10" s="117" t="s">
        <v>162</v>
      </c>
      <c r="K10" s="118"/>
      <c r="L10" s="118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317</v>
      </c>
      <c r="B11" s="112" t="s">
        <v>135</v>
      </c>
      <c r="C11" s="167" t="str">
        <f t="shared" si="1"/>
        <v>awekening</v>
      </c>
      <c r="D11" s="109" t="s">
        <v>158</v>
      </c>
      <c r="E11" s="108" t="str">
        <f t="shared" ref="E11:E12" si="3">B11&amp;C11&amp;D11</f>
        <v>unit_serifs_data_awekening.tmp</v>
      </c>
      <c r="F11" s="112" t="s">
        <v>137</v>
      </c>
      <c r="G11" s="116" t="s">
        <v>138</v>
      </c>
      <c r="H11" s="117" t="s">
        <v>139</v>
      </c>
      <c r="I11" s="117" t="s">
        <v>133</v>
      </c>
      <c r="J11" s="115" t="s">
        <v>191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317</v>
      </c>
      <c r="B12" s="112" t="s">
        <v>136</v>
      </c>
      <c r="C12" s="167" t="str">
        <f t="shared" si="1"/>
        <v>awekening</v>
      </c>
      <c r="D12" s="109" t="s">
        <v>158</v>
      </c>
      <c r="E12" s="108" t="str">
        <f t="shared" si="3"/>
        <v>unit_serifs_i18n_awekening.tmp</v>
      </c>
      <c r="F12" s="112" t="s">
        <v>137</v>
      </c>
      <c r="G12" s="116" t="s">
        <v>140</v>
      </c>
      <c r="H12" s="117" t="s">
        <v>141</v>
      </c>
      <c r="I12" s="117" t="s">
        <v>142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09" t="s">
        <v>184</v>
      </c>
      <c r="B13" s="109" t="s">
        <v>254</v>
      </c>
      <c r="C13" s="167" t="str">
        <f t="shared" si="1"/>
        <v>awekening</v>
      </c>
      <c r="D13" s="109" t="s">
        <v>255</v>
      </c>
      <c r="E13" s="108" t="str">
        <f>B13&amp;C13&amp;D13</f>
        <v>abilities_awekening.tmp</v>
      </c>
      <c r="F13" s="109" t="s">
        <v>256</v>
      </c>
      <c r="G13" s="168" t="s">
        <v>257</v>
      </c>
      <c r="H13" s="168" t="s">
        <v>258</v>
      </c>
      <c r="I13" s="168" t="s">
        <v>259</v>
      </c>
      <c r="J13" s="168"/>
      <c r="K13" s="16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09" t="s">
        <v>184</v>
      </c>
      <c r="B14" s="109" t="s">
        <v>260</v>
      </c>
      <c r="C14" s="167" t="str">
        <f t="shared" si="1"/>
        <v>awekening</v>
      </c>
      <c r="D14" s="109" t="s">
        <v>128</v>
      </c>
      <c r="E14" s="108" t="str">
        <f>B14&amp;C14&amp;D14</f>
        <v>abilities_i18n_awekening.tmp</v>
      </c>
      <c r="F14" s="109" t="s">
        <v>261</v>
      </c>
      <c r="G14" s="168" t="s">
        <v>257</v>
      </c>
      <c r="H14" s="168" t="s">
        <v>141</v>
      </c>
      <c r="I14" s="168" t="s">
        <v>262</v>
      </c>
      <c r="J14" s="168" t="s">
        <v>152</v>
      </c>
      <c r="K14" s="16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09" t="s">
        <v>334</v>
      </c>
      <c r="B15" s="109" t="s">
        <v>263</v>
      </c>
      <c r="C15" s="167" t="str">
        <f t="shared" si="1"/>
        <v>awekening</v>
      </c>
      <c r="D15" s="109" t="s">
        <v>128</v>
      </c>
      <c r="E15" s="108" t="str">
        <f>B15&amp;C15&amp;D15</f>
        <v>unit_abilities_awekening.tmp</v>
      </c>
      <c r="F15" s="109" t="s">
        <v>264</v>
      </c>
      <c r="G15" s="168" t="s">
        <v>138</v>
      </c>
      <c r="H15" s="170" t="s">
        <v>265</v>
      </c>
      <c r="I15" s="170" t="s">
        <v>266</v>
      </c>
      <c r="J15" s="171" t="s">
        <v>267</v>
      </c>
      <c r="K15" s="168" t="s">
        <v>268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W2" activePane="bottomRight" state="frozen"/>
      <selection pane="topRight" activeCell="J1" sqref="J1"/>
      <selection pane="bottomLeft" activeCell="A3" sqref="A3"/>
      <selection pane="bottomRight" activeCell="BP5" sqref="BP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0" t="s">
        <v>358</v>
      </c>
    </row>
    <row r="2" spans="1:70" ht="26" customHeight="1" x14ac:dyDescent="0.15">
      <c r="A2" s="12">
        <v>567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紅揚の祭狐宴舞 タマモ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PremiumW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1">
        <f ca="1">VLOOKUP(I2,[1]属性!$A:$E,2,FALSE)</f>
        <v>0.98</v>
      </c>
      <c r="K2" s="11">
        <f ca="1">VLOOKUP(I2,[1]属性!$A:$E,3,FALSE)</f>
        <v>1.01</v>
      </c>
      <c r="L2" s="11">
        <f ca="1">VLOOKUP(I2,[1]属性!$A:$E,4,FALSE)</f>
        <v>1</v>
      </c>
      <c r="M2" s="11">
        <f ca="1">VLOOKUP(I2,[1]属性!$A:$E,5,FALSE)</f>
        <v>1.01</v>
      </c>
      <c r="N2" s="11">
        <f ca="1">INDEX(コスト!$A$1:$I$21,MATCH(H2,コスト!$A$1:$A$21,FALSE),MATCH(G2,コスト!$A$1:$I$1,FALSE))</f>
        <v>26</v>
      </c>
      <c r="O2" s="11">
        <f ca="1">INDEX(レベル!$A$1:$I$22,MATCH(H2,レベル!$A$1:$A$22,FALSE),MATCH(G2,レベル!$A$1:$I$1,FALSE))</f>
        <v>80</v>
      </c>
      <c r="P2" s="48">
        <f ca="1">IF(G2 &gt;= 6, 99,G2*15)</f>
        <v>75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 t="s">
        <v>183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140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秋祭のタマモ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7">
        <f ca="1">VLOOKUP(G2,ビット!$G$2:$H$7,2)</f>
        <v>900</v>
      </c>
      <c r="AO2" s="45"/>
      <c r="AP2" s="67">
        <v>567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秋葉金還の祭札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青パネルを黄パネルに変換し、2ターン黄属性の防御力大UP+大カウンター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v>567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提灯大乱進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1体に大ダメージ_x000D_青属性に効果特大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1.25</v>
      </c>
      <c r="BA2" s="68">
        <v>0</v>
      </c>
      <c r="BB2" s="68">
        <v>1.2</v>
      </c>
      <c r="BC2" s="11">
        <f ca="1">INDEX('RC6SV'!$A$1:$G$21,MATCH(H2,'RC6SV'!$A$1:$A$21,FALSE),MATCH(G2,'RC6SV'!$A$1:$G$1,FALSE))</f>
        <v>9000</v>
      </c>
      <c r="BD2" s="48">
        <f t="shared" ref="BD2" ca="1" si="1">ROUND(BC2*IF(AJ2=1,0.95,IF(AJ2=2,1,IF(AJ2,1.05,0))),0)</f>
        <v>9000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2205</v>
      </c>
      <c r="BH2" s="16">
        <f ca="1">IF($BE2&lt;=0,ROUND(BL2*0.5,0), ROUND($BE2*T2*AB2*K2*AZ2*0.8*[1]ステータス!$C$2,0))</f>
        <v>1875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1227</v>
      </c>
      <c r="BK2" s="11">
        <f ca="1">ROUND(BD2*S2*AA2*J2*AY2*[1]ステータス!$B$2,0)</f>
        <v>4410</v>
      </c>
      <c r="BL2" s="11">
        <f ca="1">ROUND(BD2*T2*AB2*K2*AZ2*[1]ステータス!$C$2,0)</f>
        <v>3750</v>
      </c>
      <c r="BM2" s="11">
        <f ca="1">ROUND(BD2*U2*AC2*L2*BA2*[1]ステータス!$D$2,0)</f>
        <v>0</v>
      </c>
      <c r="BN2" s="11">
        <f ca="1">ROUND(BD2*V2*AD2*M2*BB2*[1]ステータス!$E$2,0)</f>
        <v>2454</v>
      </c>
      <c r="BO2" s="10">
        <v>0</v>
      </c>
      <c r="BP2" s="10">
        <v>1</v>
      </c>
      <c r="BQ2" s="38" t="s">
        <v>47</v>
      </c>
      <c r="BR2" s="10">
        <f ca="1">VLOOKUP(H2,ghosts_label!$A$2:$B$19,2,FALSE)</f>
        <v>500</v>
      </c>
    </row>
    <row r="3" spans="1:70" ht="26" customHeight="1" x14ac:dyDescent="0.15">
      <c r="A3" s="12">
        <v>566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遊歩遊泳プリンセス マーメイド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PremiumW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INDEX(コスト!$A$1:$I$21,MATCH(H3,コスト!$A$1:$A$21,FALSE),MATCH(G3,コスト!$A$1:$I$1,FALSE))</f>
        <v>26</v>
      </c>
      <c r="O3" s="11">
        <f ca="1">INDEX(レベル!$A$1:$I$22,MATCH(H3,レベル!$A$1:$A$22,FALSE),MATCH(G3,レベル!$A$1:$I$1,FALSE))</f>
        <v>80</v>
      </c>
      <c r="P3" s="48">
        <f ca="1">IF(G3 &gt;= 6, 99,G3*15)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animal</v>
      </c>
      <c r="Z3" s="5" t="str">
        <f ca="1">VLOOKUP(Y3,[1]character_tribe_i18n!$A:$H,3,FALSE)</f>
        <v>アニマル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183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146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マーメイド</v>
      </c>
      <c r="AI3" s="11" t="str">
        <f>IF(AE3="NULL","NULL",VLOOKUP(G3,ビット!$A$2:$B$7,2))</f>
        <v>NULL</v>
      </c>
      <c r="AJ3" s="6">
        <v>2</v>
      </c>
      <c r="AK3" s="7" t="str">
        <f t="shared" ref="AK3" si="2">IF(AJ3=1,"早熟",IF(AJ3=2,"普通",IF(AJ3=3,"晩成","")))</f>
        <v>普通</v>
      </c>
      <c r="AL3" s="11" t="str">
        <f ca="1">INDEX(経験値!$A$1:$I$21,MATCH(H3,経験値!$A$1:$A$21,FALSE),MATCH(G3,経験値!$A$1:$I$1,FALSE))</f>
        <v>required_exp_200</v>
      </c>
      <c r="AM3" s="8">
        <f ca="1">VLOOKUP(G3,経験値!$A$28:$B$32,2)</f>
        <v>6400</v>
      </c>
      <c r="AN3" s="17">
        <f ca="1">VLOOKUP(G3,ビット!$G$2:$H$7,2)</f>
        <v>900</v>
      </c>
      <c r="AO3" s="45"/>
      <c r="AP3" s="67">
        <v>566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海遊恋射バブルストライク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ハート無効解除+2ターンの間全ての敵の攻撃力を50％DOWNし、味方全体の回復力大UP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v>566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タイダルバブルウェイブ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1体に大ダメージ_x000D_アニマルに効果特大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</v>
      </c>
      <c r="BA3" s="68">
        <v>0</v>
      </c>
      <c r="BB3" s="68">
        <v>1</v>
      </c>
      <c r="BC3" s="11">
        <f ca="1">INDEX('RC6SV'!$A$1:$G$21,MATCH(H3,'RC6SV'!$A$1:$A$21,FALSE),MATCH(G3,'RC6SV'!$A$1:$G$1,FALSE))</f>
        <v>9000</v>
      </c>
      <c r="BD3" s="48">
        <f t="shared" ref="BD3" ca="1" si="3">ROUND(BC3*IF(AJ3=1,0.95,IF(AJ3=2,1,IF(AJ3,1.05,0))),0)</f>
        <v>9000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3067</v>
      </c>
      <c r="BH3" s="16">
        <f ca="1">IF($BE3&lt;=0,ROUND(BL3*0.5,0), ROUND($BE3*T3*AB3*K3*AZ3*0.8*[1]ステータス!$C$2,0))</f>
        <v>1114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860</v>
      </c>
      <c r="BK3" s="11">
        <f ca="1">ROUND(BD3*S3*AA3*J3*AY3*[1]ステータス!$B$2,0)</f>
        <v>6134</v>
      </c>
      <c r="BL3" s="11">
        <f ca="1">ROUND(BD3*T3*AB3*K3*AZ3*[1]ステータス!$C$2,0)</f>
        <v>2227</v>
      </c>
      <c r="BM3" s="11">
        <f ca="1">ROUND(BD3*U3*AC3*L3*BA3*[1]ステータス!$D$2,0)</f>
        <v>0</v>
      </c>
      <c r="BN3" s="11">
        <f ca="1">ROUND(BD3*V3*AD3*M3*BB3*[1]ステータス!$E$2,0)</f>
        <v>1719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500</v>
      </c>
    </row>
  </sheetData>
  <autoFilter ref="A1:BQ1"/>
  <phoneticPr fontId="10"/>
  <conditionalFormatting sqref="BO1">
    <cfRule type="cellIs" dxfId="32" priority="120" stopIfTrue="1" operator="equal">
      <formula>1</formula>
    </cfRule>
  </conditionalFormatting>
  <conditionalFormatting sqref="BQ1">
    <cfRule type="cellIs" dxfId="3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workbookViewId="0">
      <pane xSplit="4" ySplit="1" topLeftCell="G2" activePane="bottomRight" state="frozen"/>
      <selection pane="topRight" activeCell="D1" sqref="D1"/>
      <selection pane="bottomLeft" activeCell="A2" sqref="A2"/>
      <selection pane="bottomRight" activeCell="I8" sqref="I8"/>
    </sheetView>
  </sheetViews>
  <sheetFormatPr baseColWidth="12" defaultColWidth="13" defaultRowHeight="21" customHeight="1" outlineLevelCol="1" x14ac:dyDescent="0.15"/>
  <cols>
    <col min="1" max="1" width="16.1640625" style="131" bestFit="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134</v>
      </c>
      <c r="C1" s="121" t="s">
        <v>40</v>
      </c>
      <c r="D1" s="122" t="s">
        <v>163</v>
      </c>
      <c r="E1" s="122" t="s">
        <v>164</v>
      </c>
      <c r="F1" s="119" t="s">
        <v>146</v>
      </c>
      <c r="G1" s="123" t="s">
        <v>2</v>
      </c>
      <c r="H1" s="123" t="s">
        <v>165</v>
      </c>
      <c r="I1" s="123" t="s">
        <v>166</v>
      </c>
      <c r="J1" s="124" t="s">
        <v>185</v>
      </c>
      <c r="K1" s="123" t="s">
        <v>4</v>
      </c>
      <c r="L1" s="125" t="s">
        <v>167</v>
      </c>
      <c r="M1" s="126" t="s">
        <v>168</v>
      </c>
      <c r="N1" s="126" t="s">
        <v>169</v>
      </c>
      <c r="O1" s="126" t="s">
        <v>170</v>
      </c>
      <c r="P1" s="126" t="s">
        <v>171</v>
      </c>
      <c r="Q1" s="127" t="s">
        <v>172</v>
      </c>
      <c r="R1" s="128" t="s">
        <v>173</v>
      </c>
      <c r="S1" s="129" t="s">
        <v>174</v>
      </c>
    </row>
    <row r="2" spans="1:19" ht="76" customHeight="1" x14ac:dyDescent="0.15">
      <c r="A2" s="12">
        <v>567</v>
      </c>
      <c r="B2" s="134" t="s">
        <v>186</v>
      </c>
      <c r="C2" s="135" t="s">
        <v>325</v>
      </c>
      <c r="D2" s="135" t="s">
        <v>337</v>
      </c>
      <c r="E2" s="136">
        <f t="shared" ref="E2" si="0">LEN(D2)</f>
        <v>35</v>
      </c>
      <c r="F2" s="118">
        <v>11</v>
      </c>
      <c r="G2" s="118">
        <v>5</v>
      </c>
      <c r="H2" s="137">
        <f>2001</f>
        <v>2001</v>
      </c>
      <c r="I2" s="137" t="s">
        <v>361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紅揚の祭狐宴舞 タマモ</v>
      </c>
      <c r="K2" s="138">
        <f>IFERROR(VLOOKUP(A2,[1]characters!$A:$R,18),0)</f>
        <v>3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566</v>
      </c>
      <c r="B3" s="134" t="s">
        <v>186</v>
      </c>
      <c r="C3" s="135" t="s">
        <v>323</v>
      </c>
      <c r="D3" s="135" t="s">
        <v>336</v>
      </c>
      <c r="E3" s="136">
        <f t="shared" ref="E3" si="1">LEN(D3)</f>
        <v>43</v>
      </c>
      <c r="F3" s="118">
        <v>13</v>
      </c>
      <c r="G3" s="118">
        <v>5</v>
      </c>
      <c r="H3" s="137">
        <f>2001</f>
        <v>2001</v>
      </c>
      <c r="I3" s="137" t="s">
        <v>360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遊歩遊泳プリンセス マーメイド</v>
      </c>
      <c r="K3" s="138">
        <f>IFERROR(VLOOKUP(A3,[1]characters!$A:$R,18),0)</f>
        <v>3</v>
      </c>
      <c r="L3" s="139"/>
      <c r="M3" s="140"/>
      <c r="N3" s="140"/>
      <c r="O3" s="140"/>
      <c r="P3" s="140"/>
      <c r="Q3" s="140"/>
      <c r="R3" s="135"/>
      <c r="S3" s="141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30" priority="8" operator="greaterThan">
      <formula>41</formula>
    </cfRule>
  </conditionalFormatting>
  <conditionalFormatting sqref="E2">
    <cfRule type="cellIs" dxfId="29" priority="2" operator="greaterThan">
      <formula>41</formula>
    </cfRule>
  </conditionalFormatting>
  <conditionalFormatting sqref="E3">
    <cfRule type="cellIs" dxfId="28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9" sqref="F9"/>
    </sheetView>
  </sheetViews>
  <sheetFormatPr baseColWidth="12" defaultColWidth="13" defaultRowHeight="21" customHeight="1" x14ac:dyDescent="0.15"/>
  <cols>
    <col min="1" max="2" width="12.1640625" style="131" customWidth="1"/>
    <col min="3" max="3" width="48.83203125" style="132" customWidth="1"/>
    <col min="4" max="4" width="23.83203125" style="132" customWidth="1"/>
    <col min="5" max="5" width="10.5" style="132" customWidth="1"/>
    <col min="6" max="7" width="59.1640625" style="132" customWidth="1"/>
    <col min="8" max="8" width="6.83203125" style="131" bestFit="1" customWidth="1"/>
    <col min="9" max="9" width="20.33203125" style="131" customWidth="1"/>
    <col min="10" max="10" width="5" style="131" bestFit="1" customWidth="1"/>
    <col min="11" max="16384" width="13" style="131"/>
  </cols>
  <sheetData>
    <row r="1" spans="1:19" ht="21" customHeight="1" x14ac:dyDescent="0.15">
      <c r="A1" s="119" t="s">
        <v>182</v>
      </c>
      <c r="B1" s="120" t="s">
        <v>181</v>
      </c>
      <c r="C1" s="121" t="s">
        <v>180</v>
      </c>
      <c r="D1" s="122" t="s">
        <v>179</v>
      </c>
      <c r="E1" s="122" t="s">
        <v>178</v>
      </c>
      <c r="F1" s="123" t="s">
        <v>177</v>
      </c>
      <c r="G1" s="124" t="s">
        <v>185</v>
      </c>
      <c r="H1" s="123" t="s">
        <v>176</v>
      </c>
      <c r="I1" s="124" t="s">
        <v>175</v>
      </c>
      <c r="J1" s="128" t="s">
        <v>174</v>
      </c>
    </row>
    <row r="2" spans="1:19" ht="21" customHeight="1" x14ac:dyDescent="0.15">
      <c r="A2" s="12">
        <v>567</v>
      </c>
      <c r="B2" s="134" t="s">
        <v>187</v>
      </c>
      <c r="C2" s="135" t="s">
        <v>326</v>
      </c>
      <c r="D2" s="135" t="s">
        <v>335</v>
      </c>
      <c r="E2" s="136">
        <f t="shared" ref="E2" si="0">LEN(D2)</f>
        <v>17</v>
      </c>
      <c r="F2" s="190" t="s">
        <v>318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紅揚の祭狐宴舞 タマモ</v>
      </c>
      <c r="H2" s="137">
        <f>IFERROR(VLOOKUP(A2,[1]characters!$A:$R,18),0)</f>
        <v>3</v>
      </c>
      <c r="I2" s="137"/>
      <c r="J2" s="142"/>
      <c r="K2" s="138">
        <v>1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566</v>
      </c>
      <c r="B3" s="134" t="s">
        <v>187</v>
      </c>
      <c r="C3" s="135" t="s">
        <v>324</v>
      </c>
      <c r="D3" s="135" t="s">
        <v>319</v>
      </c>
      <c r="E3" s="136">
        <f t="shared" ref="E3" si="1">LEN(D3)</f>
        <v>18</v>
      </c>
      <c r="F3" s="118" t="s">
        <v>320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遊歩遊泳プリンセス マーメイド</v>
      </c>
      <c r="H3" s="137">
        <f>IFERROR(VLOOKUP(A3,[1]characters!$A:$R,18),0)</f>
        <v>3</v>
      </c>
      <c r="I3" s="137"/>
      <c r="J3" s="142"/>
      <c r="K3" s="138">
        <v>1</v>
      </c>
      <c r="L3" s="139"/>
      <c r="M3" s="140"/>
      <c r="N3" s="140"/>
      <c r="O3" s="140"/>
      <c r="P3" s="140"/>
      <c r="Q3" s="140"/>
      <c r="R3" s="135"/>
      <c r="S3" s="141"/>
    </row>
  </sheetData>
  <sheetProtection selectLockedCells="1" selectUnlockedCells="1"/>
  <autoFilter ref="A1:J1"/>
  <phoneticPr fontId="22"/>
  <conditionalFormatting sqref="E2">
    <cfRule type="cellIs" dxfId="27" priority="2" operator="greaterThan">
      <formula>41</formula>
    </cfRule>
  </conditionalFormatting>
  <conditionalFormatting sqref="E3">
    <cfRule type="cellIs" dxfId="26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1"/>
  <sheetViews>
    <sheetView workbookViewId="0">
      <selection activeCell="K14" sqref="K14"/>
    </sheetView>
  </sheetViews>
  <sheetFormatPr baseColWidth="12" defaultRowHeight="15" outlineLevelCol="1" x14ac:dyDescent="0.15"/>
  <cols>
    <col min="2" max="2" width="12.83203125" style="144"/>
    <col min="4" max="4" width="12.83203125" style="144" customWidth="1" outlineLevel="1"/>
    <col min="5" max="5" width="12.83203125" style="144"/>
    <col min="8" max="8" width="26.33203125" bestFit="1" customWidth="1"/>
  </cols>
  <sheetData>
    <row r="1" spans="1:8" x14ac:dyDescent="0.15">
      <c r="A1" s="115" t="s">
        <v>188</v>
      </c>
      <c r="B1" s="143" t="s">
        <v>189</v>
      </c>
      <c r="C1" s="115" t="s">
        <v>190</v>
      </c>
      <c r="D1" s="143" t="s">
        <v>192</v>
      </c>
      <c r="E1" s="143" t="s">
        <v>193</v>
      </c>
      <c r="F1" s="113" t="s">
        <v>194</v>
      </c>
      <c r="G1" s="115" t="s">
        <v>191</v>
      </c>
      <c r="H1" s="113" t="s">
        <v>195</v>
      </c>
    </row>
    <row r="2" spans="1:8" x14ac:dyDescent="0.15">
      <c r="A2" s="109">
        <v>567</v>
      </c>
      <c r="B2" s="143" t="str">
        <f>VLOOKUP(A2,[1]characters!$A:$C,3,FALSE)</f>
        <v>紅揚の祭狐宴舞 タマモ</v>
      </c>
      <c r="C2" s="109" t="s">
        <v>196</v>
      </c>
      <c r="D2" s="143" t="str">
        <f t="shared" ref="D2:D9" si="0">A2&amp;C2</f>
        <v>567skill</v>
      </c>
      <c r="E2" s="143" t="str">
        <f>A2&amp;+(COUNTIF(A2:A$40,A2)-1)</f>
        <v>5673</v>
      </c>
      <c r="F2" s="109" t="s">
        <v>198</v>
      </c>
      <c r="G2" s="109" t="s">
        <v>331</v>
      </c>
      <c r="H2" s="109" t="s">
        <v>327</v>
      </c>
    </row>
    <row r="3" spans="1:8" x14ac:dyDescent="0.15">
      <c r="A3" s="109">
        <v>567</v>
      </c>
      <c r="B3" s="143" t="str">
        <f>VLOOKUP(A3,[1]characters!$A:$C,3,FALSE)</f>
        <v>紅揚の祭狐宴舞 タマモ</v>
      </c>
      <c r="C3" s="109" t="s">
        <v>199</v>
      </c>
      <c r="D3" s="143" t="str">
        <f t="shared" si="0"/>
        <v>567cskill</v>
      </c>
      <c r="E3" s="143" t="str">
        <f>A3&amp;+(COUNTIF(A3:A$40,A3)-1)</f>
        <v>5672</v>
      </c>
      <c r="F3" s="109" t="s">
        <v>187</v>
      </c>
      <c r="G3" s="109" t="s">
        <v>197</v>
      </c>
      <c r="H3" s="109" t="s">
        <v>328</v>
      </c>
    </row>
    <row r="4" spans="1:8" x14ac:dyDescent="0.15">
      <c r="A4" s="109">
        <v>567</v>
      </c>
      <c r="B4" s="143" t="str">
        <f>VLOOKUP(A4,[1]characters!$A:$C,3,FALSE)</f>
        <v>紅揚の祭狐宴舞 タマモ</v>
      </c>
      <c r="C4" s="109" t="s">
        <v>199</v>
      </c>
      <c r="D4" s="143" t="str">
        <f t="shared" si="0"/>
        <v>567cskill</v>
      </c>
      <c r="E4" s="143" t="str">
        <f>A4&amp;+(COUNTIF(A4:A$40,A4)-1)</f>
        <v>5671</v>
      </c>
      <c r="F4" s="109" t="s">
        <v>187</v>
      </c>
      <c r="G4" s="109" t="s">
        <v>331</v>
      </c>
      <c r="H4" s="109" t="s">
        <v>329</v>
      </c>
    </row>
    <row r="5" spans="1:8" x14ac:dyDescent="0.15">
      <c r="A5" s="109">
        <v>567</v>
      </c>
      <c r="B5" s="143" t="str">
        <f>VLOOKUP(A5,[1]characters!$A:$C,3,FALSE)</f>
        <v>紅揚の祭狐宴舞 タマモ</v>
      </c>
      <c r="C5" s="109" t="s">
        <v>199</v>
      </c>
      <c r="D5" s="143" t="str">
        <f t="shared" si="0"/>
        <v>567cskill</v>
      </c>
      <c r="E5" s="143" t="str">
        <f>A5&amp;+(COUNTIF(A5:A$40,A5)-1)</f>
        <v>5670</v>
      </c>
      <c r="F5" s="109" t="s">
        <v>187</v>
      </c>
      <c r="G5" s="109" t="s">
        <v>197</v>
      </c>
      <c r="H5" s="109" t="s">
        <v>330</v>
      </c>
    </row>
    <row r="6" spans="1:8" x14ac:dyDescent="0.15">
      <c r="A6" s="109">
        <v>566</v>
      </c>
      <c r="B6" s="143" t="str">
        <f>VLOOKUP(A6,[1]characters!$A:$C,3,FALSE)</f>
        <v>遊歩遊泳プリンセス マーメイド</v>
      </c>
      <c r="C6" s="109" t="s">
        <v>196</v>
      </c>
      <c r="D6" s="143" t="str">
        <f t="shared" si="0"/>
        <v>566skill</v>
      </c>
      <c r="E6" s="143" t="str">
        <f>A6&amp;+(COUNTIF(A6:A$40,A6)-1)</f>
        <v>5663</v>
      </c>
      <c r="F6" s="109" t="s">
        <v>198</v>
      </c>
      <c r="G6" s="109" t="s">
        <v>331</v>
      </c>
      <c r="H6" s="109" t="s">
        <v>321</v>
      </c>
    </row>
    <row r="7" spans="1:8" x14ac:dyDescent="0.15">
      <c r="A7" s="109">
        <v>566</v>
      </c>
      <c r="B7" s="143" t="str">
        <f>VLOOKUP(A7,[1]characters!$A:$C,3,FALSE)</f>
        <v>遊歩遊泳プリンセス マーメイド</v>
      </c>
      <c r="C7" s="109" t="s">
        <v>199</v>
      </c>
      <c r="D7" s="143" t="str">
        <f t="shared" si="0"/>
        <v>566cskill</v>
      </c>
      <c r="E7" s="143" t="str">
        <f>A7&amp;+(COUNTIF(A7:A$40,A7)-1)</f>
        <v>5662</v>
      </c>
      <c r="F7" s="109" t="s">
        <v>187</v>
      </c>
      <c r="G7" s="109" t="s">
        <v>331</v>
      </c>
      <c r="H7" s="109" t="s">
        <v>322</v>
      </c>
    </row>
    <row r="8" spans="1:8" x14ac:dyDescent="0.15">
      <c r="A8" s="109">
        <v>566</v>
      </c>
      <c r="B8" s="143" t="str">
        <f>VLOOKUP(A8,[1]characters!$A:$C,3,FALSE)</f>
        <v>遊歩遊泳プリンセス マーメイド</v>
      </c>
      <c r="C8" s="109" t="s">
        <v>199</v>
      </c>
      <c r="D8" s="143" t="str">
        <f t="shared" si="0"/>
        <v>566cskill</v>
      </c>
      <c r="E8" s="143" t="str">
        <f>A8&amp;+(COUNTIF(A8:A$40,A8)-1)</f>
        <v>5661</v>
      </c>
      <c r="F8" s="109" t="s">
        <v>187</v>
      </c>
      <c r="G8" s="109" t="s">
        <v>331</v>
      </c>
      <c r="H8" s="109" t="s">
        <v>332</v>
      </c>
    </row>
    <row r="9" spans="1:8" x14ac:dyDescent="0.15">
      <c r="A9" s="109">
        <v>566</v>
      </c>
      <c r="B9" s="143" t="str">
        <f>VLOOKUP(A9,[1]characters!$A:$C,3,FALSE)</f>
        <v>遊歩遊泳プリンセス マーメイド</v>
      </c>
      <c r="C9" s="109" t="s">
        <v>199</v>
      </c>
      <c r="D9" s="143" t="str">
        <f t="shared" si="0"/>
        <v>566cskill</v>
      </c>
      <c r="E9" s="143" t="str">
        <f>A9&amp;+(COUNTIF(A9:A$40,A9)-1)</f>
        <v>5660</v>
      </c>
      <c r="F9" s="109" t="s">
        <v>187</v>
      </c>
      <c r="G9" s="109" t="s">
        <v>197</v>
      </c>
      <c r="H9" s="109" t="s">
        <v>333</v>
      </c>
    </row>
    <row r="10" spans="1:8" x14ac:dyDescent="0.15">
      <c r="A10" s="109"/>
      <c r="B10" s="143"/>
      <c r="C10" s="109"/>
      <c r="D10" s="143"/>
      <c r="E10" s="143"/>
      <c r="F10" s="109"/>
      <c r="G10" s="109"/>
      <c r="H10" s="109"/>
    </row>
    <row r="11" spans="1:8" x14ac:dyDescent="0.15">
      <c r="A11" s="109"/>
      <c r="B11" s="143"/>
      <c r="C11" s="109"/>
      <c r="D11" s="143"/>
      <c r="E11" s="143"/>
      <c r="F11" s="109"/>
      <c r="G11" s="109"/>
      <c r="H11" s="109"/>
    </row>
    <row r="12" spans="1:8" x14ac:dyDescent="0.15">
      <c r="A12" s="109"/>
      <c r="B12" s="143"/>
      <c r="C12" s="109"/>
      <c r="D12" s="143"/>
      <c r="E12" s="143"/>
      <c r="F12" s="109"/>
      <c r="G12" s="109"/>
      <c r="H12" s="109"/>
    </row>
    <row r="13" spans="1:8" x14ac:dyDescent="0.15">
      <c r="A13" s="109"/>
      <c r="B13" s="143"/>
      <c r="C13" s="109"/>
      <c r="D13" s="143"/>
      <c r="E13" s="143"/>
      <c r="F13" s="109"/>
      <c r="G13" s="109"/>
      <c r="H13" s="109"/>
    </row>
    <row r="14" spans="1:8" x14ac:dyDescent="0.15">
      <c r="A14" s="109"/>
      <c r="B14" s="143"/>
      <c r="C14" s="109"/>
      <c r="D14" s="143"/>
      <c r="E14" s="143"/>
      <c r="F14" s="109"/>
      <c r="G14" s="109"/>
      <c r="H14" s="109"/>
    </row>
    <row r="15" spans="1:8" x14ac:dyDescent="0.15">
      <c r="A15" s="109"/>
      <c r="B15" s="143"/>
      <c r="C15" s="109"/>
      <c r="D15" s="143"/>
      <c r="E15" s="143"/>
      <c r="F15" s="109"/>
      <c r="G15" s="109"/>
      <c r="H15" s="109"/>
    </row>
    <row r="16" spans="1:8" x14ac:dyDescent="0.15">
      <c r="A16" s="109"/>
      <c r="B16" s="143"/>
      <c r="C16" s="109"/>
      <c r="D16" s="143"/>
      <c r="E16" s="143"/>
      <c r="F16" s="109"/>
      <c r="G16" s="109"/>
      <c r="H16" s="109"/>
    </row>
    <row r="17" spans="1:8" x14ac:dyDescent="0.15">
      <c r="A17" s="109"/>
      <c r="B17" s="143"/>
      <c r="C17" s="109"/>
      <c r="D17" s="143"/>
      <c r="E17" s="143"/>
      <c r="F17" s="109"/>
      <c r="G17" s="109"/>
      <c r="H17" s="109"/>
    </row>
    <row r="18" spans="1:8" x14ac:dyDescent="0.15">
      <c r="A18" s="109"/>
      <c r="B18" s="143"/>
      <c r="C18" s="109"/>
      <c r="D18" s="143"/>
      <c r="E18" s="143"/>
      <c r="F18" s="109"/>
      <c r="G18" s="109"/>
      <c r="H18" s="109"/>
    </row>
    <row r="19" spans="1:8" x14ac:dyDescent="0.15">
      <c r="A19" s="109"/>
      <c r="B19" s="143"/>
      <c r="C19" s="109"/>
      <c r="D19" s="143"/>
      <c r="E19" s="143"/>
      <c r="F19" s="109"/>
      <c r="G19" s="109"/>
      <c r="H19" s="109"/>
    </row>
    <row r="20" spans="1:8" x14ac:dyDescent="0.15">
      <c r="A20" s="109"/>
      <c r="B20" s="143"/>
      <c r="C20" s="109"/>
      <c r="D20" s="143"/>
      <c r="E20" s="143"/>
      <c r="F20" s="109"/>
      <c r="G20" s="109"/>
      <c r="H20" s="109"/>
    </row>
    <row r="21" spans="1:8" x14ac:dyDescent="0.15">
      <c r="A21" s="109"/>
      <c r="B21" s="143"/>
      <c r="C21" s="109"/>
      <c r="D21" s="143"/>
      <c r="E21" s="143"/>
      <c r="F21" s="109"/>
      <c r="G21" s="109"/>
      <c r="H21" s="109"/>
    </row>
    <row r="22" spans="1:8" x14ac:dyDescent="0.15">
      <c r="A22" s="109"/>
      <c r="B22" s="143"/>
      <c r="C22" s="109"/>
      <c r="D22" s="143"/>
      <c r="E22" s="143"/>
      <c r="F22" s="109"/>
      <c r="G22" s="109"/>
      <c r="H22" s="109"/>
    </row>
    <row r="23" spans="1:8" x14ac:dyDescent="0.15">
      <c r="A23" s="109"/>
      <c r="B23" s="143"/>
      <c r="C23" s="109"/>
      <c r="D23" s="143"/>
      <c r="E23" s="143"/>
      <c r="F23" s="109"/>
      <c r="G23" s="109"/>
      <c r="H23" s="109"/>
    </row>
    <row r="24" spans="1:8" x14ac:dyDescent="0.15">
      <c r="A24" s="109"/>
      <c r="B24" s="143"/>
      <c r="C24" s="109"/>
      <c r="D24" s="143"/>
      <c r="E24" s="143"/>
      <c r="F24" s="109"/>
      <c r="G24" s="109"/>
      <c r="H24" s="109"/>
    </row>
    <row r="25" spans="1:8" x14ac:dyDescent="0.15">
      <c r="A25" s="109"/>
      <c r="B25" s="143"/>
      <c r="C25" s="109"/>
      <c r="D25" s="143"/>
      <c r="E25" s="143"/>
      <c r="F25" s="109"/>
      <c r="G25" s="109"/>
      <c r="H25" s="109"/>
    </row>
    <row r="26" spans="1:8" x14ac:dyDescent="0.15">
      <c r="A26" s="109"/>
      <c r="B26" s="143"/>
      <c r="C26" s="109"/>
      <c r="D26" s="143"/>
      <c r="E26" s="143"/>
      <c r="F26" s="109"/>
      <c r="G26" s="109"/>
      <c r="H26" s="109"/>
    </row>
    <row r="27" spans="1:8" x14ac:dyDescent="0.15">
      <c r="A27" s="109"/>
      <c r="B27" s="143"/>
      <c r="C27" s="109"/>
      <c r="D27" s="143"/>
      <c r="E27" s="143"/>
      <c r="F27" s="109"/>
      <c r="G27" s="109"/>
      <c r="H27" s="109"/>
    </row>
    <row r="28" spans="1:8" x14ac:dyDescent="0.15">
      <c r="A28" s="109"/>
      <c r="B28" s="143"/>
      <c r="C28" s="109"/>
      <c r="D28" s="143"/>
      <c r="E28" s="143"/>
      <c r="F28" s="109"/>
      <c r="G28" s="109"/>
      <c r="H28" s="109"/>
    </row>
    <row r="29" spans="1:8" x14ac:dyDescent="0.15">
      <c r="A29" s="109"/>
      <c r="B29" s="143"/>
      <c r="C29" s="109"/>
      <c r="D29" s="143"/>
      <c r="E29" s="143"/>
      <c r="F29" s="109"/>
      <c r="G29" s="109"/>
      <c r="H29" s="109"/>
    </row>
    <row r="30" spans="1:8" x14ac:dyDescent="0.15">
      <c r="A30" s="109"/>
      <c r="B30" s="143"/>
      <c r="C30" s="109"/>
      <c r="D30" s="143"/>
      <c r="E30" s="143"/>
      <c r="F30" s="109"/>
      <c r="G30" s="109"/>
      <c r="H30" s="109"/>
    </row>
    <row r="31" spans="1:8" x14ac:dyDescent="0.15">
      <c r="A31" s="109"/>
      <c r="B31" s="143"/>
      <c r="C31" s="109"/>
      <c r="D31" s="143"/>
      <c r="E31" s="143"/>
      <c r="F31" s="109"/>
      <c r="G31" s="109"/>
      <c r="H31" s="109"/>
    </row>
  </sheetData>
  <phoneticPr fontId="22"/>
  <dataValidations count="2">
    <dataValidation type="list" allowBlank="1" showInputMessage="1" showErrorMessage="1" sqref="G2:G9">
      <formula1>"maru,giza,kumo"</formula1>
    </dataValidation>
    <dataValidation type="list" allowBlank="1" showInputMessage="1" showErrorMessage="1" sqref="C2:C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10" sqref="B10:Q11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81" t="s">
        <v>276</v>
      </c>
      <c r="B1" s="95" t="s">
        <v>277</v>
      </c>
      <c r="C1" s="86" t="s">
        <v>278</v>
      </c>
      <c r="D1" s="86" t="s">
        <v>279</v>
      </c>
      <c r="E1" s="86" t="s">
        <v>280</v>
      </c>
      <c r="F1" s="86" t="s">
        <v>281</v>
      </c>
      <c r="G1" s="86" t="s">
        <v>1</v>
      </c>
      <c r="H1" s="177" t="s">
        <v>19</v>
      </c>
      <c r="I1" s="86" t="s">
        <v>0</v>
      </c>
      <c r="J1" s="85" t="s">
        <v>282</v>
      </c>
      <c r="K1" s="86" t="s">
        <v>277</v>
      </c>
      <c r="L1" s="87" t="s">
        <v>49</v>
      </c>
      <c r="M1" s="87" t="s">
        <v>48</v>
      </c>
      <c r="N1" s="87" t="s">
        <v>283</v>
      </c>
      <c r="O1" s="87" t="s">
        <v>284</v>
      </c>
      <c r="P1" s="92" t="s">
        <v>285</v>
      </c>
      <c r="Q1" s="91" t="s">
        <v>286</v>
      </c>
      <c r="R1" s="80" t="s">
        <v>277</v>
      </c>
      <c r="S1" s="92" t="s">
        <v>287</v>
      </c>
      <c r="T1" s="80" t="s">
        <v>277</v>
      </c>
      <c r="U1" s="92" t="s">
        <v>288</v>
      </c>
    </row>
    <row r="2" spans="1:21" ht="21" customHeight="1" x14ac:dyDescent="0.15">
      <c r="A2" s="178">
        <v>141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妖狐演舞 タマモ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初期ガチャ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アバター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可愛い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PremiumW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7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78" t="str">
        <f>VLOOKUP(Q2,[1]characters!$A:$AC,20)</f>
        <v>normal</v>
      </c>
      <c r="Q2" s="9">
        <v>567</v>
      </c>
      <c r="R2" s="62" t="str">
        <f ca="1">IF(Q2="NULL","",VLOOKUP($Q2,OFFSET([1]characters!$A$1,0,0,COUNTA([1]characters!$A:$A),MATCH(R$1,[1]characters!$1:$1,0)-MATCH($A$1,[1]characters!$1:$1,0)+1),MATCH(R$1,[1]characters!$1:$1,0)-MATCH($A$1,[1]characters!$1:$1,0)+1,FALSE))</f>
        <v>紅揚の祭狐宴舞 タマモ</v>
      </c>
      <c r="S2" s="5">
        <f ca="1">IF(ISNA(MATCH(A2,Q:Q,0)),A2,INDIRECT(ADDRESS(MATCH(A2,Q:Q,0),COLUMN())))</f>
        <v>141</v>
      </c>
      <c r="T2" s="62" t="str">
        <f ca="1">VLOOKUP($S2,OFFSET([1]characters!$A$1,0,0,COUNTA([1]characters!$A:$A),MATCH(T$1,[1]characters!$1:$1,0)-MATCH($A$1,[1]characters!$1:$1,0)+1),MATCH(T$1,[1]characters!$1:$1,0)-MATCH($A$1,[1]characters!$1:$1,0)+1,FALSE)</f>
        <v>妖狐演舞 タマモ</v>
      </c>
      <c r="U2" s="11">
        <f ca="1">IF(Q2="NULL","NULL",VLOOKUP(G2,[2]ビット!$A$2:$B$7,2))</f>
        <v>50000</v>
      </c>
    </row>
    <row r="3" spans="1:21" ht="21" customHeight="1" x14ac:dyDescent="0.15">
      <c r="A3" s="178">
        <v>147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蒼き閃光 元マーメイド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初期ガチャ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アバター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可愛い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PremiumW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57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78" t="str">
        <f>VLOOKUP(Q3,[1]characters!$A:$AC,20)</f>
        <v>normal</v>
      </c>
      <c r="Q3" s="9">
        <v>566</v>
      </c>
      <c r="R3" s="62" t="str">
        <f ca="1">IF(Q3="NULL","",VLOOKUP($Q3,OFFSET([1]characters!$A$1,0,0,COUNTA([1]characters!$A:$A),MATCH(R$1,[1]characters!$1:$1,0)-MATCH($A$1,[1]characters!$1:$1,0)+1),MATCH(R$1,[1]characters!$1:$1,0)-MATCH($A$1,[1]characters!$1:$1,0)+1,FALSE))</f>
        <v>遊歩遊泳プリンセス マーメイド</v>
      </c>
      <c r="S3" s="5">
        <f ca="1">IF(ISNA(MATCH(A3,Q:Q,0)),A3,INDIRECT(ADDRESS(MATCH(A3,Q:Q,0),COLUMN())))</f>
        <v>147</v>
      </c>
      <c r="T3" s="62" t="str">
        <f ca="1">VLOOKUP($S3,OFFSET([1]characters!$A$1,0,0,COUNTA([1]characters!$A:$A),MATCH(T$1,[1]characters!$1:$1,0)-MATCH($A$1,[1]characters!$1:$1,0)+1),MATCH(T$1,[1]characters!$1:$1,0)-MATCH($A$1,[1]characters!$1:$1,0)+1,FALSE)</f>
        <v>蒼き閃光 元マーメイド</v>
      </c>
      <c r="U3" s="11">
        <f ca="1">IF(Q3="NULL","NULL",VLOOKUP(G3,[2]ビット!$A$2:$B$7,2))</f>
        <v>50000</v>
      </c>
    </row>
  </sheetData>
  <autoFilter ref="A1:U2"/>
  <phoneticPr fontId="22"/>
  <conditionalFormatting sqref="W1:W2 W4:W1048576">
    <cfRule type="cellIs" dxfId="25" priority="2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7"/>
  <sheetViews>
    <sheetView showGridLines="0" topLeftCell="E1" workbookViewId="0">
      <pane ySplit="1" topLeftCell="A2" activePane="bottomLeft" state="frozen"/>
      <selection pane="bottomLeft" activeCell="R2" sqref="R2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5" t="s">
        <v>99</v>
      </c>
      <c r="B1" s="42" t="s">
        <v>38</v>
      </c>
      <c r="C1" s="179" t="s">
        <v>289</v>
      </c>
      <c r="D1" s="20" t="s">
        <v>40</v>
      </c>
      <c r="E1" s="20" t="s">
        <v>42</v>
      </c>
      <c r="F1" s="20" t="s">
        <v>43</v>
      </c>
      <c r="G1" s="179" t="s">
        <v>290</v>
      </c>
      <c r="H1" s="20" t="s">
        <v>40</v>
      </c>
      <c r="I1" s="43" t="s">
        <v>36</v>
      </c>
      <c r="J1" s="20" t="s">
        <v>41</v>
      </c>
      <c r="K1" s="19" t="s">
        <v>37</v>
      </c>
      <c r="L1" s="182" t="s">
        <v>127</v>
      </c>
      <c r="M1" s="183" t="s">
        <v>292</v>
      </c>
    </row>
    <row r="2" spans="1:14" ht="21" customHeight="1" x14ac:dyDescent="0.15">
      <c r="A2" s="65" t="str">
        <f>B2&amp;"_"&amp;I2</f>
        <v>141_116</v>
      </c>
      <c r="B2" s="44">
        <v>141</v>
      </c>
      <c r="C2" s="180">
        <f>B2</f>
        <v>141</v>
      </c>
      <c r="D2" s="57" t="str">
        <f ca="1">VLOOKUP($C2,OFFSET([1]characters!$A$1,0,0,COUNTA([1]characters!$A:$A),MATCH(D$1,[1]characters!$1:$1,0)-MATCH($C$1,[1]characters!$1:$1,0)+1),MATCH(D$1,[1]characters!$1:$1,0)-MATCH($C$1,[1]characters!$1:$1,0)+1,FALSE)</f>
        <v>妖狐演舞 タマモ</v>
      </c>
      <c r="E2" s="57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7" t="str">
        <f ca="1">VLOOKUP($C2,OFFSET([1]characters!$A$1,0,0,COUNTA([1]characters!$A:$A),MATCH(F$1,[1]characters!$1:$1,0)-MATCH($C$1,[1]characters!$1:$1,0)+1),MATCH(F$1,[1]characters!$1:$1,0)-MATCH($C$1,[1]characters!$1:$1,0)+1,FALSE)</f>
        <v>PremiumW</v>
      </c>
      <c r="G2" s="181">
        <v>567</v>
      </c>
      <c r="H2" s="57" t="str">
        <f ca="1">VLOOKUP($G2,OFFSET([1]characters!$A$1,0,0,COUNTA([1]characters!$A:$A),MATCH(H$1,[1]characters!$1:$1,0)-MATCH($C$1,[1]characters!$1:$1,0)+1),MATCH(H$1,[1]characters!$1:$1,0)-MATCH($C$1,[1]characters!$1:$1,0)+1,FALSE)</f>
        <v>紅揚の祭狐宴舞 タマモ</v>
      </c>
      <c r="I2" s="189">
        <v>116</v>
      </c>
      <c r="J2" s="57" t="str">
        <f ca="1">VLOOKUP($I2,OFFSET([1]characters!$A$1,0,0,COUNTA([1]characters!$A:$A),MATCH(J$1,[1]characters!$1:$1,0)-MATCH($C$1,[1]characters!$1:$1,0)+1),MATCH(J$1,[1]characters!$1:$1,0)-MATCH($C$1,[1]characters!$1:$1,0)+1,FALSE)</f>
        <v>雷のマッドハッター</v>
      </c>
      <c r="K2" s="18">
        <v>2</v>
      </c>
      <c r="L2" s="114">
        <v>1</v>
      </c>
      <c r="M2" s="114">
        <v>10</v>
      </c>
      <c r="N2" s="2" t="s">
        <v>291</v>
      </c>
    </row>
    <row r="3" spans="1:14" ht="21" customHeight="1" x14ac:dyDescent="0.15">
      <c r="A3" s="65" t="str">
        <f t="shared" ref="A3:A4" si="0">B3&amp;"_"&amp;I3</f>
        <v>141_115</v>
      </c>
      <c r="B3" s="44">
        <v>141</v>
      </c>
      <c r="C3" s="180">
        <f t="shared" ref="C3:C7" si="1">B3</f>
        <v>141</v>
      </c>
      <c r="D3" s="57" t="str">
        <f ca="1">VLOOKUP($C3,OFFSET([1]characters!$A$1,0,0,COUNTA([1]characters!$A:$A),MATCH(D$1,[1]characters!$1:$1,0)-MATCH($C$1,[1]characters!$1:$1,0)+1),MATCH(D$1,[1]characters!$1:$1,0)-MATCH($C$1,[1]characters!$1:$1,0)+1,FALSE)</f>
        <v>妖狐演舞 タマモ</v>
      </c>
      <c r="E3" s="57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7" t="str">
        <f ca="1">VLOOKUP($C3,OFFSET([1]characters!$A$1,0,0,COUNTA([1]characters!$A:$A),MATCH(F$1,[1]characters!$1:$1,0)-MATCH($C$1,[1]characters!$1:$1,0)+1),MATCH(F$1,[1]characters!$1:$1,0)-MATCH($C$1,[1]characters!$1:$1,0)+1,FALSE)</f>
        <v>PremiumW</v>
      </c>
      <c r="G3" s="181">
        <v>567</v>
      </c>
      <c r="H3" s="57" t="str">
        <f ca="1">VLOOKUP($G3,OFFSET([1]characters!$A$1,0,0,COUNTA([1]characters!$A:$A),MATCH(H$1,[1]characters!$1:$1,0)-MATCH($C$1,[1]characters!$1:$1,0)+1),MATCH(H$1,[1]characters!$1:$1,0)-MATCH($C$1,[1]characters!$1:$1,0)+1,FALSE)</f>
        <v>紅揚の祭狐宴舞 タマモ</v>
      </c>
      <c r="I3" s="189">
        <v>115</v>
      </c>
      <c r="J3" s="57" t="str">
        <f ca="1">VLOOKUP($I3,OFFSET([1]characters!$A$1,0,0,COUNTA([1]characters!$A:$A),MATCH(J$1,[1]characters!$1:$1,0)-MATCH($C$1,[1]characters!$1:$1,0)+1),MATCH(J$1,[1]characters!$1:$1,0)-MATCH($C$1,[1]characters!$1:$1,0)+1,FALSE)</f>
        <v>イエローキャタップ</v>
      </c>
      <c r="K3" s="18">
        <v>2</v>
      </c>
      <c r="L3" s="114">
        <v>1</v>
      </c>
      <c r="M3" s="114">
        <v>10</v>
      </c>
      <c r="N3" s="2" t="s">
        <v>291</v>
      </c>
    </row>
    <row r="4" spans="1:14" ht="21" customHeight="1" x14ac:dyDescent="0.15">
      <c r="A4" s="65" t="str">
        <f t="shared" si="0"/>
        <v>141_114</v>
      </c>
      <c r="B4" s="44">
        <v>141</v>
      </c>
      <c r="C4" s="180">
        <f t="shared" si="1"/>
        <v>141</v>
      </c>
      <c r="D4" s="57" t="str">
        <f ca="1">VLOOKUP($C4,OFFSET([1]characters!$A$1,0,0,COUNTA([1]characters!$A:$A),MATCH(D$1,[1]characters!$1:$1,0)-MATCH($C$1,[1]characters!$1:$1,0)+1),MATCH(D$1,[1]characters!$1:$1,0)-MATCH($C$1,[1]characters!$1:$1,0)+1,FALSE)</f>
        <v>妖狐演舞 タマモ</v>
      </c>
      <c r="E4" s="57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7" t="str">
        <f ca="1">VLOOKUP($C4,OFFSET([1]characters!$A$1,0,0,COUNTA([1]characters!$A:$A),MATCH(F$1,[1]characters!$1:$1,0)-MATCH($C$1,[1]characters!$1:$1,0)+1),MATCH(F$1,[1]characters!$1:$1,0)-MATCH($C$1,[1]characters!$1:$1,0)+1,FALSE)</f>
        <v>PremiumW</v>
      </c>
      <c r="G4" s="181">
        <v>567</v>
      </c>
      <c r="H4" s="57" t="str">
        <f ca="1">VLOOKUP($G4,OFFSET([1]characters!$A$1,0,0,COUNTA([1]characters!$A:$A),MATCH(H$1,[1]characters!$1:$1,0)-MATCH($C$1,[1]characters!$1:$1,0)+1),MATCH(H$1,[1]characters!$1:$1,0)-MATCH($C$1,[1]characters!$1:$1,0)+1,FALSE)</f>
        <v>紅揚の祭狐宴舞 タマモ</v>
      </c>
      <c r="I4" s="189">
        <v>114</v>
      </c>
      <c r="J4" s="57" t="str">
        <f ca="1">VLOOKUP($I4,OFFSET([1]characters!$A$1,0,0,COUNTA([1]characters!$A:$A),MATCH(J$1,[1]characters!$1:$1,0)-MATCH($C$1,[1]characters!$1:$1,0)+1),MATCH(J$1,[1]characters!$1:$1,0)-MATCH($C$1,[1]characters!$1:$1,0)+1,FALSE)</f>
        <v>イエローラビット</v>
      </c>
      <c r="K4" s="18">
        <v>1</v>
      </c>
      <c r="L4" s="114">
        <v>1</v>
      </c>
      <c r="M4" s="114">
        <v>10</v>
      </c>
      <c r="N4" s="2" t="s">
        <v>291</v>
      </c>
    </row>
    <row r="5" spans="1:14" ht="21" customHeight="1" x14ac:dyDescent="0.15">
      <c r="A5" s="65" t="str">
        <f>B5&amp;"_"&amp;I5</f>
        <v>147_112</v>
      </c>
      <c r="B5" s="44">
        <v>147</v>
      </c>
      <c r="C5" s="180">
        <f>B5</f>
        <v>147</v>
      </c>
      <c r="D5" s="57" t="str">
        <f ca="1">VLOOKUP($C5,OFFSET([1]characters!$A$1,0,0,COUNTA([1]characters!$A:$A),MATCH(D$1,[1]characters!$1:$1,0)-MATCH($C$1,[1]characters!$1:$1,0)+1),MATCH(D$1,[1]characters!$1:$1,0)-MATCH($C$1,[1]characters!$1:$1,0)+1,FALSE)</f>
        <v>蒼き閃光 元マーメイド</v>
      </c>
      <c r="E5" s="57">
        <f ca="1">VLOOKUP($C5,OFFSET([1]characters!$A$1,0,0,COUNTA([1]characters!$A:$A),MATCH(E$1,[1]characters!$1:$1,0)-MATCH($C$1,[1]characters!$1:$1,0)+1),MATCH(E$1,[1]characters!$1:$1,0)-MATCH($C$1,[1]characters!$1:$1,0)+1,FALSE)</f>
        <v>4</v>
      </c>
      <c r="F5" s="57" t="str">
        <f ca="1">VLOOKUP($C5,OFFSET([1]characters!$A$1,0,0,COUNTA([1]characters!$A:$A),MATCH(F$1,[1]characters!$1:$1,0)-MATCH($C$1,[1]characters!$1:$1,0)+1),MATCH(F$1,[1]characters!$1:$1,0)-MATCH($C$1,[1]characters!$1:$1,0)+1,FALSE)</f>
        <v>PremiumW</v>
      </c>
      <c r="G5" s="181">
        <v>566</v>
      </c>
      <c r="H5" s="57" t="str">
        <f ca="1">VLOOKUP($G5,OFFSET([1]characters!$A$1,0,0,COUNTA([1]characters!$A:$A),MATCH(H$1,[1]characters!$1:$1,0)-MATCH($C$1,[1]characters!$1:$1,0)+1),MATCH(H$1,[1]characters!$1:$1,0)-MATCH($C$1,[1]characters!$1:$1,0)+1,FALSE)</f>
        <v>遊歩遊泳プリンセス マーメイド</v>
      </c>
      <c r="I5" s="189">
        <v>112</v>
      </c>
      <c r="J5" s="57" t="str">
        <f ca="1">VLOOKUP($I5,OFFSET([1]characters!$A$1,0,0,COUNTA([1]characters!$A:$A),MATCH(J$1,[1]characters!$1:$1,0)-MATCH($C$1,[1]characters!$1:$1,0)+1),MATCH(J$1,[1]characters!$1:$1,0)-MATCH($C$1,[1]characters!$1:$1,0)+1,FALSE)</f>
        <v>水のマッドハッター</v>
      </c>
      <c r="K5" s="18">
        <v>2</v>
      </c>
      <c r="L5" s="114">
        <v>1</v>
      </c>
      <c r="M5" s="114">
        <v>10</v>
      </c>
      <c r="N5" s="2" t="s">
        <v>291</v>
      </c>
    </row>
    <row r="6" spans="1:14" ht="21" customHeight="1" x14ac:dyDescent="0.15">
      <c r="A6" s="65" t="str">
        <f t="shared" ref="A6:A7" si="2">B6&amp;"_"&amp;I6</f>
        <v>147_111</v>
      </c>
      <c r="B6" s="44">
        <v>147</v>
      </c>
      <c r="C6" s="180">
        <f t="shared" si="1"/>
        <v>147</v>
      </c>
      <c r="D6" s="57" t="str">
        <f ca="1">VLOOKUP($C6,OFFSET([1]characters!$A$1,0,0,COUNTA([1]characters!$A:$A),MATCH(D$1,[1]characters!$1:$1,0)-MATCH($C$1,[1]characters!$1:$1,0)+1),MATCH(D$1,[1]characters!$1:$1,0)-MATCH($C$1,[1]characters!$1:$1,0)+1,FALSE)</f>
        <v>蒼き閃光 元マーメイド</v>
      </c>
      <c r="E6" s="57">
        <f ca="1">VLOOKUP($C6,OFFSET([1]characters!$A$1,0,0,COUNTA([1]characters!$A:$A),MATCH(E$1,[1]characters!$1:$1,0)-MATCH($C$1,[1]characters!$1:$1,0)+1),MATCH(E$1,[1]characters!$1:$1,0)-MATCH($C$1,[1]characters!$1:$1,0)+1,FALSE)</f>
        <v>4</v>
      </c>
      <c r="F6" s="57" t="str">
        <f ca="1">VLOOKUP($C6,OFFSET([1]characters!$A$1,0,0,COUNTA([1]characters!$A:$A),MATCH(F$1,[1]characters!$1:$1,0)-MATCH($C$1,[1]characters!$1:$1,0)+1),MATCH(F$1,[1]characters!$1:$1,0)-MATCH($C$1,[1]characters!$1:$1,0)+1,FALSE)</f>
        <v>PremiumW</v>
      </c>
      <c r="G6" s="181">
        <v>566</v>
      </c>
      <c r="H6" s="57" t="str">
        <f ca="1">VLOOKUP($G6,OFFSET([1]characters!$A$1,0,0,COUNTA([1]characters!$A:$A),MATCH(H$1,[1]characters!$1:$1,0)-MATCH($C$1,[1]characters!$1:$1,0)+1),MATCH(H$1,[1]characters!$1:$1,0)-MATCH($C$1,[1]characters!$1:$1,0)+1,FALSE)</f>
        <v>遊歩遊泳プリンセス マーメイド</v>
      </c>
      <c r="I6" s="189">
        <v>111</v>
      </c>
      <c r="J6" s="57" t="str">
        <f ca="1">VLOOKUP($I6,OFFSET([1]characters!$A$1,0,0,COUNTA([1]characters!$A:$A),MATCH(J$1,[1]characters!$1:$1,0)-MATCH($C$1,[1]characters!$1:$1,0)+1),MATCH(J$1,[1]characters!$1:$1,0)-MATCH($C$1,[1]characters!$1:$1,0)+1,FALSE)</f>
        <v>ブルーキャタップ</v>
      </c>
      <c r="K6" s="18">
        <v>2</v>
      </c>
      <c r="L6" s="114">
        <v>1</v>
      </c>
      <c r="M6" s="114">
        <v>10</v>
      </c>
      <c r="N6" s="2" t="s">
        <v>291</v>
      </c>
    </row>
    <row r="7" spans="1:14" ht="21" customHeight="1" x14ac:dyDescent="0.15">
      <c r="A7" s="65" t="str">
        <f t="shared" si="2"/>
        <v>147_110</v>
      </c>
      <c r="B7" s="44">
        <v>147</v>
      </c>
      <c r="C7" s="180">
        <f t="shared" si="1"/>
        <v>147</v>
      </c>
      <c r="D7" s="57" t="str">
        <f ca="1">VLOOKUP($C7,OFFSET([1]characters!$A$1,0,0,COUNTA([1]characters!$A:$A),MATCH(D$1,[1]characters!$1:$1,0)-MATCH($C$1,[1]characters!$1:$1,0)+1),MATCH(D$1,[1]characters!$1:$1,0)-MATCH($C$1,[1]characters!$1:$1,0)+1,FALSE)</f>
        <v>蒼き閃光 元マーメイド</v>
      </c>
      <c r="E7" s="57">
        <f ca="1">VLOOKUP($C7,OFFSET([1]characters!$A$1,0,0,COUNTA([1]characters!$A:$A),MATCH(E$1,[1]characters!$1:$1,0)-MATCH($C$1,[1]characters!$1:$1,0)+1),MATCH(E$1,[1]characters!$1:$1,0)-MATCH($C$1,[1]characters!$1:$1,0)+1,FALSE)</f>
        <v>4</v>
      </c>
      <c r="F7" s="57" t="str">
        <f ca="1">VLOOKUP($C7,OFFSET([1]characters!$A$1,0,0,COUNTA([1]characters!$A:$A),MATCH(F$1,[1]characters!$1:$1,0)-MATCH($C$1,[1]characters!$1:$1,0)+1),MATCH(F$1,[1]characters!$1:$1,0)-MATCH($C$1,[1]characters!$1:$1,0)+1,FALSE)</f>
        <v>PremiumW</v>
      </c>
      <c r="G7" s="181">
        <v>566</v>
      </c>
      <c r="H7" s="57" t="str">
        <f ca="1">VLOOKUP($G7,OFFSET([1]characters!$A$1,0,0,COUNTA([1]characters!$A:$A),MATCH(H$1,[1]characters!$1:$1,0)-MATCH($C$1,[1]characters!$1:$1,0)+1),MATCH(H$1,[1]characters!$1:$1,0)-MATCH($C$1,[1]characters!$1:$1,0)+1,FALSE)</f>
        <v>遊歩遊泳プリンセス マーメイド</v>
      </c>
      <c r="I7" s="189">
        <v>110</v>
      </c>
      <c r="J7" s="57" t="str">
        <f ca="1">VLOOKUP($I7,OFFSET([1]characters!$A$1,0,0,COUNTA([1]characters!$A:$A),MATCH(J$1,[1]characters!$1:$1,0)-MATCH($C$1,[1]characters!$1:$1,0)+1),MATCH(J$1,[1]characters!$1:$1,0)-MATCH($C$1,[1]characters!$1:$1,0)+1,FALSE)</f>
        <v>ブルーラビット</v>
      </c>
      <c r="K7" s="18">
        <v>1</v>
      </c>
      <c r="L7" s="114">
        <v>1</v>
      </c>
      <c r="M7" s="114">
        <v>10</v>
      </c>
      <c r="N7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topLeftCell="D1" workbookViewId="0">
      <selection activeCell="D2" sqref="A2:XFD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3" customFormat="1" ht="21" customHeight="1" x14ac:dyDescent="0.15">
      <c r="A1" s="172" t="s">
        <v>303</v>
      </c>
      <c r="B1" s="120" t="s">
        <v>304</v>
      </c>
      <c r="C1" s="121" t="s">
        <v>305</v>
      </c>
      <c r="D1" s="122" t="s">
        <v>306</v>
      </c>
      <c r="E1" s="122" t="s">
        <v>307</v>
      </c>
      <c r="F1" s="122" t="s">
        <v>308</v>
      </c>
      <c r="G1" s="122" t="s">
        <v>309</v>
      </c>
      <c r="H1" s="122" t="s">
        <v>310</v>
      </c>
      <c r="I1" s="176" t="s">
        <v>311</v>
      </c>
      <c r="J1" s="173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H3" sqref="H3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2" t="s">
        <v>138</v>
      </c>
      <c r="B1" s="174" t="s">
        <v>269</v>
      </c>
      <c r="C1" s="120" t="s">
        <v>270</v>
      </c>
      <c r="D1" s="120" t="s">
        <v>271</v>
      </c>
      <c r="E1" s="175" t="s">
        <v>272</v>
      </c>
      <c r="F1" s="175" t="s">
        <v>273</v>
      </c>
      <c r="G1" s="123" t="s">
        <v>274</v>
      </c>
      <c r="H1" s="172" t="s">
        <v>275</v>
      </c>
    </row>
    <row r="2" spans="1:8" x14ac:dyDescent="0.15">
      <c r="A2" s="191">
        <v>567</v>
      </c>
      <c r="B2" s="192" t="str">
        <f>VLOOKUP(A2,[1]characters!$A:$C,3)</f>
        <v>紅揚の祭狐宴舞 タマモ</v>
      </c>
      <c r="C2" s="193">
        <v>1</v>
      </c>
      <c r="D2" s="193">
        <v>9006</v>
      </c>
      <c r="E2" s="176" t="str">
        <f>IF(ISERROR(VLOOKUP(D2,[3]abilities!A:D,3,FALSE))=FALSE,VLOOKUP(D2,[3]abilities!A:D,3),IF(ISERROR(VLOOKUP(D2,abilities!A:D,3,FALSE))=FALSE,VLOOKUP(D2,abilities!A:D,3),"なし"))</f>
        <v>ハップルチャレンジ ダメージUP</v>
      </c>
      <c r="F2" s="176" t="str">
        <f>IF(ISERROR(VLOOKUP(D2,[3]abilities!A:D,4,FALSE))=FALSE,VLOOKUP(D2,[3]abilities!A:D,4),IF(ISERROR(VLOOKUP(D2,abilities!A:D,4,FALSE))=FALSE,VLOOKUP(D2,abilities!A:D,4),"なし"))</f>
        <v>ハップルチャレンジ内で自身の全ての攻撃の威力をUP</v>
      </c>
      <c r="G2" s="194" t="s">
        <v>362</v>
      </c>
      <c r="H2" s="195" t="s">
        <v>363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E29" sqref="E29"/>
    </sheetView>
  </sheetViews>
  <sheetFormatPr baseColWidth="12" defaultRowHeight="15" x14ac:dyDescent="0.15"/>
  <sheetData>
    <row r="1" spans="1:2" x14ac:dyDescent="0.15">
      <c r="A1" t="s">
        <v>338</v>
      </c>
      <c r="B1" t="s">
        <v>339</v>
      </c>
    </row>
    <row r="2" spans="1:2" x14ac:dyDescent="0.15">
      <c r="A2" t="s">
        <v>340</v>
      </c>
      <c r="B2">
        <v>1</v>
      </c>
    </row>
    <row r="3" spans="1:2" x14ac:dyDescent="0.15">
      <c r="A3" t="s">
        <v>341</v>
      </c>
      <c r="B3">
        <v>1</v>
      </c>
    </row>
    <row r="4" spans="1:2" x14ac:dyDescent="0.15">
      <c r="A4" t="s">
        <v>342</v>
      </c>
      <c r="B4">
        <v>1</v>
      </c>
    </row>
    <row r="5" spans="1:2" x14ac:dyDescent="0.15">
      <c r="A5" t="s">
        <v>343</v>
      </c>
      <c r="B5">
        <v>1</v>
      </c>
    </row>
    <row r="6" spans="1:2" x14ac:dyDescent="0.15">
      <c r="A6" t="s">
        <v>344</v>
      </c>
      <c r="B6">
        <v>1</v>
      </c>
    </row>
    <row r="7" spans="1:2" x14ac:dyDescent="0.15">
      <c r="A7" t="s">
        <v>345</v>
      </c>
      <c r="B7">
        <v>1</v>
      </c>
    </row>
    <row r="8" spans="1:2" x14ac:dyDescent="0.15">
      <c r="A8" t="s">
        <v>346</v>
      </c>
      <c r="B8">
        <v>1</v>
      </c>
    </row>
    <row r="9" spans="1:2" x14ac:dyDescent="0.15">
      <c r="A9" t="s">
        <v>347</v>
      </c>
      <c r="B9">
        <v>1</v>
      </c>
    </row>
    <row r="10" spans="1:2" x14ac:dyDescent="0.15">
      <c r="A10" t="s">
        <v>348</v>
      </c>
      <c r="B10">
        <v>1</v>
      </c>
    </row>
    <row r="11" spans="1:2" x14ac:dyDescent="0.15">
      <c r="A11" t="s">
        <v>349</v>
      </c>
      <c r="B11">
        <v>1</v>
      </c>
    </row>
    <row r="12" spans="1:2" x14ac:dyDescent="0.15">
      <c r="A12" t="s">
        <v>350</v>
      </c>
      <c r="B12">
        <v>1</v>
      </c>
    </row>
    <row r="13" spans="1:2" x14ac:dyDescent="0.15">
      <c r="A13" t="s">
        <v>351</v>
      </c>
      <c r="B13">
        <v>0</v>
      </c>
    </row>
    <row r="14" spans="1:2" x14ac:dyDescent="0.15">
      <c r="A14" t="s">
        <v>352</v>
      </c>
      <c r="B14">
        <v>500</v>
      </c>
    </row>
    <row r="15" spans="1:2" x14ac:dyDescent="0.15">
      <c r="A15" t="s">
        <v>353</v>
      </c>
      <c r="B15">
        <v>600</v>
      </c>
    </row>
    <row r="16" spans="1:2" x14ac:dyDescent="0.15">
      <c r="A16" t="s">
        <v>354</v>
      </c>
      <c r="B16">
        <v>700</v>
      </c>
    </row>
    <row r="17" spans="1:2" x14ac:dyDescent="0.15">
      <c r="A17" t="s">
        <v>355</v>
      </c>
      <c r="B17">
        <v>5500</v>
      </c>
    </row>
    <row r="18" spans="1:2" x14ac:dyDescent="0.15">
      <c r="A18" t="s">
        <v>356</v>
      </c>
      <c r="B18">
        <v>6000</v>
      </c>
    </row>
    <row r="19" spans="1:2" x14ac:dyDescent="0.15">
      <c r="A19" t="s">
        <v>357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235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236</v>
      </c>
      <c r="B2" s="147"/>
      <c r="C2" s="148"/>
      <c r="D2" s="149" t="s">
        <v>237</v>
      </c>
      <c r="E2" s="149">
        <v>30</v>
      </c>
      <c r="F2" s="149">
        <v>40</v>
      </c>
      <c r="G2" s="149">
        <f>15+F2</f>
        <v>55</v>
      </c>
      <c r="H2" s="148"/>
      <c r="I2" s="148"/>
    </row>
    <row r="3" spans="1:9" s="4" customFormat="1" ht="21" customHeight="1" x14ac:dyDescent="0.15">
      <c r="A3" s="146" t="s">
        <v>238</v>
      </c>
      <c r="B3" s="150"/>
      <c r="C3" s="151"/>
      <c r="D3" s="152" t="s">
        <v>237</v>
      </c>
      <c r="E3" s="152">
        <v>25</v>
      </c>
      <c r="F3" s="152">
        <v>35</v>
      </c>
      <c r="G3" s="149">
        <f t="shared" ref="G3:G4" si="0">15+F3</f>
        <v>50</v>
      </c>
      <c r="H3" s="151"/>
      <c r="I3" s="151"/>
    </row>
    <row r="4" spans="1:9" s="4" customFormat="1" ht="21" customHeight="1" x14ac:dyDescent="0.15">
      <c r="A4" s="146" t="s">
        <v>239</v>
      </c>
      <c r="B4" s="153"/>
      <c r="C4" s="154"/>
      <c r="D4" s="155">
        <v>10</v>
      </c>
      <c r="E4" s="155">
        <v>20</v>
      </c>
      <c r="F4" s="155">
        <v>30</v>
      </c>
      <c r="G4" s="155">
        <f t="shared" si="0"/>
        <v>45</v>
      </c>
      <c r="H4" s="154"/>
      <c r="I4" s="154"/>
    </row>
    <row r="5" spans="1:9" s="4" customFormat="1" ht="21" customHeight="1" x14ac:dyDescent="0.15">
      <c r="A5" s="165" t="s">
        <v>240</v>
      </c>
      <c r="B5" s="160"/>
      <c r="C5" s="161"/>
      <c r="D5" s="28">
        <v>9</v>
      </c>
      <c r="E5" s="28">
        <v>18</v>
      </c>
      <c r="F5" s="28">
        <v>28</v>
      </c>
      <c r="G5" s="39">
        <v>38</v>
      </c>
      <c r="H5" s="161"/>
      <c r="I5" s="161"/>
    </row>
    <row r="6" spans="1:9" s="4" customFormat="1" ht="21" customHeight="1" x14ac:dyDescent="0.15">
      <c r="A6" s="165" t="s">
        <v>241</v>
      </c>
      <c r="B6" s="160"/>
      <c r="C6" s="161"/>
      <c r="D6" s="28">
        <v>7</v>
      </c>
      <c r="E6" s="28">
        <v>16</v>
      </c>
      <c r="F6" s="69" t="s">
        <v>11</v>
      </c>
      <c r="G6" s="69" t="s">
        <v>11</v>
      </c>
      <c r="H6" s="161"/>
      <c r="I6" s="161"/>
    </row>
    <row r="7" spans="1:9" ht="21" customHeight="1" x14ac:dyDescent="0.15">
      <c r="A7" s="74" t="s">
        <v>242</v>
      </c>
      <c r="B7" s="47" t="s">
        <v>11</v>
      </c>
      <c r="C7" s="47" t="s">
        <v>11</v>
      </c>
      <c r="D7" s="39" t="s">
        <v>237</v>
      </c>
      <c r="E7" s="39" t="s">
        <v>237</v>
      </c>
      <c r="F7" s="39" t="s">
        <v>237</v>
      </c>
      <c r="G7" s="39" t="s">
        <v>237</v>
      </c>
      <c r="H7" s="39" t="s">
        <v>237</v>
      </c>
      <c r="I7" s="39" t="s">
        <v>237</v>
      </c>
    </row>
    <row r="8" spans="1:9" ht="21" customHeight="1" x14ac:dyDescent="0.15">
      <c r="A8" s="75" t="s">
        <v>243</v>
      </c>
      <c r="B8" s="47" t="s">
        <v>11</v>
      </c>
      <c r="C8" s="47" t="s">
        <v>11</v>
      </c>
      <c r="D8" s="39" t="s">
        <v>237</v>
      </c>
      <c r="E8" s="39">
        <v>30</v>
      </c>
      <c r="F8" s="39">
        <v>40</v>
      </c>
      <c r="G8" s="39">
        <f>15+F8</f>
        <v>55</v>
      </c>
      <c r="H8" s="39" t="s">
        <v>237</v>
      </c>
      <c r="I8" s="39" t="s">
        <v>237</v>
      </c>
    </row>
    <row r="9" spans="1:9" s="46" customFormat="1" ht="21" customHeight="1" x14ac:dyDescent="0.15">
      <c r="A9" s="76" t="s">
        <v>313</v>
      </c>
      <c r="B9" s="28" t="s">
        <v>11</v>
      </c>
      <c r="C9" s="28" t="s">
        <v>11</v>
      </c>
      <c r="D9" s="106" t="s">
        <v>109</v>
      </c>
      <c r="E9" s="106" t="s">
        <v>109</v>
      </c>
      <c r="F9" s="106">
        <v>38</v>
      </c>
      <c r="G9" s="39">
        <f>15+F9</f>
        <v>53</v>
      </c>
      <c r="H9" s="106" t="s">
        <v>109</v>
      </c>
      <c r="I9" s="106" t="s">
        <v>109</v>
      </c>
    </row>
    <row r="10" spans="1:9" s="46" customFormat="1" ht="21" customHeight="1" x14ac:dyDescent="0.15">
      <c r="A10" s="76" t="s">
        <v>244</v>
      </c>
      <c r="B10" s="28" t="s">
        <v>11</v>
      </c>
      <c r="C10" s="28" t="s">
        <v>11</v>
      </c>
      <c r="D10" s="106" t="s">
        <v>237</v>
      </c>
      <c r="E10" s="106">
        <v>25</v>
      </c>
      <c r="F10" s="106">
        <v>35</v>
      </c>
      <c r="G10" s="39">
        <f t="shared" ref="G10:G11" si="1">15+F10</f>
        <v>50</v>
      </c>
      <c r="H10" s="106" t="s">
        <v>237</v>
      </c>
      <c r="I10" s="106" t="s">
        <v>237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10</v>
      </c>
      <c r="E11" s="28">
        <v>20</v>
      </c>
      <c r="F11" s="28">
        <v>30</v>
      </c>
      <c r="G11" s="39">
        <f t="shared" si="1"/>
        <v>45</v>
      </c>
      <c r="H11" s="69" t="s">
        <v>11</v>
      </c>
      <c r="I11" s="69" t="s">
        <v>11</v>
      </c>
    </row>
    <row r="12" spans="1:9" ht="21" customHeight="1" x14ac:dyDescent="0.15">
      <c r="A12" s="76" t="s">
        <v>245</v>
      </c>
      <c r="B12" s="69" t="s">
        <v>11</v>
      </c>
      <c r="C12" s="69" t="s">
        <v>11</v>
      </c>
      <c r="D12" s="28">
        <v>9</v>
      </c>
      <c r="E12" s="28">
        <v>18</v>
      </c>
      <c r="F12" s="28">
        <v>28</v>
      </c>
      <c r="G12" s="39">
        <v>38</v>
      </c>
      <c r="H12" s="69" t="s">
        <v>11</v>
      </c>
      <c r="I12" s="69" t="s">
        <v>11</v>
      </c>
    </row>
    <row r="13" spans="1:9" ht="21" customHeight="1" x14ac:dyDescent="0.15">
      <c r="A13" s="76" t="s">
        <v>246</v>
      </c>
      <c r="B13" s="69" t="s">
        <v>11</v>
      </c>
      <c r="C13" s="69" t="s">
        <v>11</v>
      </c>
      <c r="D13" s="28">
        <v>7</v>
      </c>
      <c r="E13" s="28">
        <v>16</v>
      </c>
      <c r="F13" s="186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105" t="s">
        <v>247</v>
      </c>
      <c r="B14" s="69" t="s">
        <v>11</v>
      </c>
      <c r="C14" s="69" t="s">
        <v>11</v>
      </c>
      <c r="D14" s="28">
        <v>8</v>
      </c>
      <c r="E14" s="28">
        <v>17</v>
      </c>
      <c r="F14" s="28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248</v>
      </c>
      <c r="B15" s="69" t="s">
        <v>11</v>
      </c>
      <c r="C15" s="69" t="s">
        <v>11</v>
      </c>
      <c r="D15" s="28">
        <v>8</v>
      </c>
      <c r="E15" s="28">
        <v>17</v>
      </c>
      <c r="F15" s="28">
        <v>26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249</v>
      </c>
      <c r="B16" s="69" t="s">
        <v>11</v>
      </c>
      <c r="C16" s="69" t="s">
        <v>11</v>
      </c>
      <c r="D16" s="28">
        <v>6</v>
      </c>
      <c r="E16" s="28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250</v>
      </c>
      <c r="B17" s="69" t="s">
        <v>11</v>
      </c>
      <c r="C17" s="28">
        <v>4</v>
      </c>
      <c r="D17" s="28">
        <v>6</v>
      </c>
      <c r="E17" s="28">
        <v>14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</v>
      </c>
      <c r="C18" s="28">
        <v>4</v>
      </c>
      <c r="D18" s="28">
        <v>6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31">
        <v>1</v>
      </c>
      <c r="C19" s="31">
        <v>2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78" t="s">
        <v>251</v>
      </c>
      <c r="B20" s="26">
        <v>1</v>
      </c>
      <c r="C20" s="26">
        <v>1</v>
      </c>
      <c r="D20" s="70" t="s">
        <v>11</v>
      </c>
      <c r="E20" s="70" t="s">
        <v>11</v>
      </c>
      <c r="F20" s="70" t="s">
        <v>11</v>
      </c>
      <c r="G20" s="70" t="s">
        <v>11</v>
      </c>
      <c r="H20" s="70" t="s">
        <v>11</v>
      </c>
      <c r="I20" s="70" t="s">
        <v>11</v>
      </c>
    </row>
    <row r="21" spans="1:9" ht="21" customHeight="1" x14ac:dyDescent="0.15">
      <c r="A21" s="37" t="s">
        <v>252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G13" sqref="G13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6" t="s">
        <v>236</v>
      </c>
      <c r="B2" s="162"/>
      <c r="C2" s="148"/>
      <c r="D2" s="156" t="s">
        <v>109</v>
      </c>
      <c r="E2" s="156">
        <v>60</v>
      </c>
      <c r="F2" s="156">
        <v>80</v>
      </c>
      <c r="G2" s="156">
        <v>99</v>
      </c>
      <c r="H2" s="148"/>
      <c r="I2" s="148"/>
    </row>
    <row r="3" spans="1:9" s="4" customFormat="1" ht="21" customHeight="1" x14ac:dyDescent="0.15">
      <c r="A3" s="146" t="s">
        <v>238</v>
      </c>
      <c r="B3" s="163"/>
      <c r="C3" s="151"/>
      <c r="D3" s="156" t="s">
        <v>109</v>
      </c>
      <c r="E3" s="156">
        <v>60</v>
      </c>
      <c r="F3" s="156">
        <v>80</v>
      </c>
      <c r="G3" s="156">
        <v>99</v>
      </c>
      <c r="H3" s="151"/>
      <c r="I3" s="151"/>
    </row>
    <row r="4" spans="1:9" s="4" customFormat="1" ht="21" customHeight="1" x14ac:dyDescent="0.15">
      <c r="A4" s="146" t="s">
        <v>232</v>
      </c>
      <c r="B4" s="164"/>
      <c r="C4" s="154"/>
      <c r="D4" s="156">
        <v>40</v>
      </c>
      <c r="E4" s="156">
        <v>60</v>
      </c>
      <c r="F4" s="156">
        <v>80</v>
      </c>
      <c r="G4" s="156">
        <v>99</v>
      </c>
      <c r="H4" s="154"/>
      <c r="I4" s="154"/>
    </row>
    <row r="5" spans="1:9" s="4" customFormat="1" ht="21" customHeight="1" x14ac:dyDescent="0.15">
      <c r="A5" s="165" t="s">
        <v>240</v>
      </c>
      <c r="B5" s="160"/>
      <c r="C5" s="161"/>
      <c r="D5" s="156">
        <v>40</v>
      </c>
      <c r="E5" s="156">
        <v>60</v>
      </c>
      <c r="F5" s="156">
        <v>80</v>
      </c>
      <c r="G5" s="156">
        <v>99</v>
      </c>
      <c r="H5" s="161"/>
      <c r="I5" s="161"/>
    </row>
    <row r="6" spans="1:9" s="4" customFormat="1" ht="21" customHeight="1" x14ac:dyDescent="0.15">
      <c r="A6" s="165" t="s">
        <v>241</v>
      </c>
      <c r="B6" s="160"/>
      <c r="C6" s="161"/>
      <c r="D6" s="156">
        <v>40</v>
      </c>
      <c r="E6" s="156">
        <v>60</v>
      </c>
      <c r="F6" s="156" t="s">
        <v>109</v>
      </c>
      <c r="G6" s="156" t="s">
        <v>109</v>
      </c>
      <c r="H6" s="161"/>
      <c r="I6" s="161"/>
    </row>
    <row r="7" spans="1:9" ht="21" customHeight="1" x14ac:dyDescent="0.15">
      <c r="A7" s="74" t="s">
        <v>208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243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314</v>
      </c>
      <c r="B9" s="66" t="s">
        <v>109</v>
      </c>
      <c r="C9" s="66" t="s">
        <v>109</v>
      </c>
      <c r="D9" s="66" t="s">
        <v>109</v>
      </c>
      <c r="E9" s="66" t="s">
        <v>109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s="46" customFormat="1" ht="21" customHeight="1" x14ac:dyDescent="0.15">
      <c r="A10" s="76" t="s">
        <v>244</v>
      </c>
      <c r="B10" s="66" t="s">
        <v>109</v>
      </c>
      <c r="C10" s="66" t="s">
        <v>109</v>
      </c>
      <c r="D10" s="66" t="s">
        <v>109</v>
      </c>
      <c r="E10" s="66">
        <v>60</v>
      </c>
      <c r="F10" s="66">
        <v>80</v>
      </c>
      <c r="G10" s="66">
        <v>99</v>
      </c>
      <c r="H10" s="66" t="s">
        <v>109</v>
      </c>
      <c r="I10" s="66" t="s">
        <v>109</v>
      </c>
    </row>
    <row r="11" spans="1:9" ht="21" customHeight="1" x14ac:dyDescent="0.15">
      <c r="A11" s="76" t="s">
        <v>9</v>
      </c>
      <c r="B11" s="71" t="s">
        <v>109</v>
      </c>
      <c r="C11" s="71" t="s">
        <v>109</v>
      </c>
      <c r="D11" s="36">
        <v>40</v>
      </c>
      <c r="E11" s="36">
        <v>60</v>
      </c>
      <c r="F11" s="36">
        <v>80</v>
      </c>
      <c r="G11" s="40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211</v>
      </c>
      <c r="B12" s="71" t="s">
        <v>109</v>
      </c>
      <c r="C12" s="71" t="s">
        <v>109</v>
      </c>
      <c r="D12" s="36">
        <v>40</v>
      </c>
      <c r="E12" s="36">
        <v>60</v>
      </c>
      <c r="F12" s="36">
        <v>80</v>
      </c>
      <c r="G12" s="66">
        <v>99</v>
      </c>
      <c r="H12" s="71" t="s">
        <v>109</v>
      </c>
      <c r="I12" s="71" t="s">
        <v>109</v>
      </c>
    </row>
    <row r="13" spans="1:9" ht="21" customHeight="1" x14ac:dyDescent="0.15">
      <c r="A13" s="76" t="s">
        <v>207</v>
      </c>
      <c r="B13" s="71" t="s">
        <v>109</v>
      </c>
      <c r="C13" s="71" t="s">
        <v>109</v>
      </c>
      <c r="D13" s="36">
        <v>40</v>
      </c>
      <c r="E13" s="36">
        <v>60</v>
      </c>
      <c r="F13" s="18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105" t="s">
        <v>247</v>
      </c>
      <c r="B14" s="71" t="s">
        <v>109</v>
      </c>
      <c r="C14" s="71" t="s">
        <v>109</v>
      </c>
      <c r="D14" s="36">
        <v>40</v>
      </c>
      <c r="E14" s="36">
        <v>60</v>
      </c>
      <c r="F14" s="36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248</v>
      </c>
      <c r="B15" s="71" t="s">
        <v>109</v>
      </c>
      <c r="C15" s="71" t="s">
        <v>109</v>
      </c>
      <c r="D15" s="36">
        <v>40</v>
      </c>
      <c r="E15" s="36">
        <v>60</v>
      </c>
      <c r="F15" s="36">
        <v>80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105</v>
      </c>
      <c r="B16" s="71" t="s">
        <v>109</v>
      </c>
      <c r="C16" s="36">
        <v>30</v>
      </c>
      <c r="D16" s="36">
        <v>40</v>
      </c>
      <c r="E16" s="36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250</v>
      </c>
      <c r="B17" s="71" t="s">
        <v>109</v>
      </c>
      <c r="C17" s="36">
        <v>30</v>
      </c>
      <c r="D17" s="36">
        <v>40</v>
      </c>
      <c r="E17" s="36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36">
        <v>15</v>
      </c>
      <c r="C18" s="36">
        <v>30</v>
      </c>
      <c r="D18" s="36">
        <v>40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36">
        <v>15</v>
      </c>
      <c r="C19" s="36">
        <v>30</v>
      </c>
      <c r="D19" s="36">
        <v>40</v>
      </c>
      <c r="E19" s="71" t="s">
        <v>217</v>
      </c>
      <c r="F19" s="71" t="s">
        <v>217</v>
      </c>
      <c r="G19" s="71" t="s">
        <v>217</v>
      </c>
      <c r="H19" s="71" t="s">
        <v>217</v>
      </c>
      <c r="I19" s="71" t="s">
        <v>217</v>
      </c>
    </row>
    <row r="20" spans="1:9" ht="21" customHeight="1" x14ac:dyDescent="0.15">
      <c r="A20" s="78" t="s">
        <v>251</v>
      </c>
      <c r="B20" s="36">
        <v>10</v>
      </c>
      <c r="C20" s="36">
        <v>20</v>
      </c>
      <c r="D20" s="71" t="s">
        <v>217</v>
      </c>
      <c r="E20" s="71" t="s">
        <v>217</v>
      </c>
      <c r="F20" s="71" t="s">
        <v>217</v>
      </c>
      <c r="G20" s="71" t="s">
        <v>217</v>
      </c>
      <c r="H20" s="71" t="s">
        <v>217</v>
      </c>
      <c r="I20" s="71" t="s">
        <v>217</v>
      </c>
    </row>
    <row r="21" spans="1:9" ht="21" customHeight="1" x14ac:dyDescent="0.15">
      <c r="A21" s="37" t="s">
        <v>252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3" sqref="F13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6" t="s">
        <v>236</v>
      </c>
      <c r="B2" s="147"/>
      <c r="C2" s="148"/>
      <c r="D2" s="156" t="s">
        <v>109</v>
      </c>
      <c r="E2" s="157" t="s">
        <v>59</v>
      </c>
      <c r="F2" s="157" t="s">
        <v>59</v>
      </c>
      <c r="G2" s="157" t="s">
        <v>253</v>
      </c>
      <c r="H2" s="148"/>
      <c r="I2" s="148"/>
    </row>
    <row r="3" spans="1:11" s="4" customFormat="1" ht="21" customHeight="1" x14ac:dyDescent="0.15">
      <c r="A3" s="146" t="s">
        <v>238</v>
      </c>
      <c r="B3" s="150"/>
      <c r="C3" s="151"/>
      <c r="D3" s="157" t="s">
        <v>59</v>
      </c>
      <c r="E3" s="157" t="s">
        <v>59</v>
      </c>
      <c r="F3" s="157" t="s">
        <v>59</v>
      </c>
      <c r="G3" s="157" t="s">
        <v>231</v>
      </c>
      <c r="H3" s="151"/>
      <c r="I3" s="151"/>
    </row>
    <row r="4" spans="1:11" s="4" customFormat="1" ht="21" customHeight="1" x14ac:dyDescent="0.15">
      <c r="A4" s="146" t="s">
        <v>232</v>
      </c>
      <c r="B4" s="153"/>
      <c r="C4" s="154"/>
      <c r="D4" s="158" t="s">
        <v>59</v>
      </c>
      <c r="E4" s="158" t="s">
        <v>59</v>
      </c>
      <c r="F4" s="158" t="s">
        <v>59</v>
      </c>
      <c r="G4" s="157" t="s">
        <v>231</v>
      </c>
      <c r="H4" s="154"/>
      <c r="I4" s="154"/>
    </row>
    <row r="5" spans="1:11" s="4" customFormat="1" ht="21" customHeight="1" x14ac:dyDescent="0.15">
      <c r="A5" s="165" t="s">
        <v>240</v>
      </c>
      <c r="B5" s="160"/>
      <c r="C5" s="161"/>
      <c r="D5" s="158" t="s">
        <v>59</v>
      </c>
      <c r="E5" s="158" t="s">
        <v>59</v>
      </c>
      <c r="F5" s="158" t="s">
        <v>59</v>
      </c>
      <c r="G5" s="157" t="s">
        <v>221</v>
      </c>
      <c r="H5" s="161"/>
      <c r="I5" s="161"/>
    </row>
    <row r="6" spans="1:11" s="4" customFormat="1" ht="21" customHeight="1" x14ac:dyDescent="0.15">
      <c r="A6" s="165" t="s">
        <v>241</v>
      </c>
      <c r="B6" s="160"/>
      <c r="C6" s="161"/>
      <c r="D6" s="166" t="s">
        <v>60</v>
      </c>
      <c r="E6" s="166" t="s">
        <v>60</v>
      </c>
      <c r="F6" s="156" t="s">
        <v>109</v>
      </c>
      <c r="G6" s="156" t="s">
        <v>109</v>
      </c>
      <c r="H6" s="161"/>
      <c r="I6" s="161"/>
    </row>
    <row r="7" spans="1:11" ht="21" customHeight="1" x14ac:dyDescent="0.15">
      <c r="A7" s="74" t="s">
        <v>208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243</v>
      </c>
      <c r="B8" s="40" t="s">
        <v>109</v>
      </c>
      <c r="C8" s="40" t="s">
        <v>109</v>
      </c>
      <c r="D8" s="40" t="s">
        <v>218</v>
      </c>
      <c r="E8" s="52" t="s">
        <v>115</v>
      </c>
      <c r="F8" s="52" t="s">
        <v>115</v>
      </c>
      <c r="G8" s="52" t="s">
        <v>219</v>
      </c>
      <c r="H8" s="40" t="s">
        <v>218</v>
      </c>
      <c r="I8" s="40" t="s">
        <v>109</v>
      </c>
    </row>
    <row r="9" spans="1:11" s="46" customFormat="1" ht="21" customHeight="1" x14ac:dyDescent="0.15">
      <c r="A9" s="76" t="s">
        <v>313</v>
      </c>
      <c r="B9" s="66" t="s">
        <v>109</v>
      </c>
      <c r="C9" s="66" t="s">
        <v>109</v>
      </c>
      <c r="D9" s="66" t="s">
        <v>109</v>
      </c>
      <c r="E9" s="66" t="s">
        <v>109</v>
      </c>
      <c r="F9" s="52" t="s">
        <v>59</v>
      </c>
      <c r="G9" s="52" t="s">
        <v>115</v>
      </c>
      <c r="H9" s="66" t="s">
        <v>109</v>
      </c>
      <c r="I9" s="66" t="s">
        <v>109</v>
      </c>
    </row>
    <row r="10" spans="1:11" s="46" customFormat="1" ht="21" customHeight="1" x14ac:dyDescent="0.15">
      <c r="A10" s="76" t="s">
        <v>244</v>
      </c>
      <c r="B10" s="66" t="s">
        <v>109</v>
      </c>
      <c r="C10" s="66" t="s">
        <v>109</v>
      </c>
      <c r="D10" s="66" t="s">
        <v>109</v>
      </c>
      <c r="E10" s="52" t="s">
        <v>59</v>
      </c>
      <c r="F10" s="52" t="s">
        <v>59</v>
      </c>
      <c r="G10" s="52" t="s">
        <v>115</v>
      </c>
      <c r="H10" s="66" t="s">
        <v>220</v>
      </c>
      <c r="I10" s="66" t="s">
        <v>220</v>
      </c>
    </row>
    <row r="11" spans="1:11" ht="21" customHeight="1" x14ac:dyDescent="0.15">
      <c r="A11" s="76" t="s">
        <v>9</v>
      </c>
      <c r="B11" s="71" t="s">
        <v>109</v>
      </c>
      <c r="C11" s="71" t="s">
        <v>109</v>
      </c>
      <c r="D11" s="52" t="s">
        <v>59</v>
      </c>
      <c r="E11" s="52" t="s">
        <v>59</v>
      </c>
      <c r="F11" s="52" t="s">
        <v>59</v>
      </c>
      <c r="G11" s="52" t="s">
        <v>221</v>
      </c>
      <c r="H11" s="71" t="s">
        <v>220</v>
      </c>
      <c r="I11" s="71" t="s">
        <v>220</v>
      </c>
      <c r="K11" s="27" t="s">
        <v>12</v>
      </c>
    </row>
    <row r="12" spans="1:11" ht="21" customHeight="1" x14ac:dyDescent="0.15">
      <c r="A12" s="76" t="s">
        <v>211</v>
      </c>
      <c r="B12" s="71" t="s">
        <v>109</v>
      </c>
      <c r="C12" s="71" t="s">
        <v>109</v>
      </c>
      <c r="D12" s="53" t="s">
        <v>59</v>
      </c>
      <c r="E12" s="53" t="s">
        <v>59</v>
      </c>
      <c r="F12" s="53" t="s">
        <v>59</v>
      </c>
      <c r="G12" s="52" t="s">
        <v>221</v>
      </c>
      <c r="H12" s="71" t="s">
        <v>220</v>
      </c>
      <c r="I12" s="71" t="s">
        <v>220</v>
      </c>
      <c r="K12" s="29" t="s">
        <v>13</v>
      </c>
    </row>
    <row r="13" spans="1:11" ht="21" customHeight="1" x14ac:dyDescent="0.15">
      <c r="A13" s="76" t="s">
        <v>207</v>
      </c>
      <c r="B13" s="71" t="s">
        <v>109</v>
      </c>
      <c r="C13" s="71" t="s">
        <v>109</v>
      </c>
      <c r="D13" s="54" t="s">
        <v>60</v>
      </c>
      <c r="E13" s="54" t="s">
        <v>60</v>
      </c>
      <c r="F13" s="188" t="s">
        <v>59</v>
      </c>
      <c r="G13" s="71" t="s">
        <v>109</v>
      </c>
      <c r="H13" s="71" t="s">
        <v>109</v>
      </c>
      <c r="I13" s="71" t="s">
        <v>109</v>
      </c>
      <c r="K13" s="72" t="s">
        <v>35</v>
      </c>
    </row>
    <row r="14" spans="1:11" ht="21" customHeight="1" x14ac:dyDescent="0.15">
      <c r="A14" s="105" t="s">
        <v>247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  <c r="K14" s="73"/>
    </row>
    <row r="15" spans="1:11" ht="21" customHeight="1" x14ac:dyDescent="0.15">
      <c r="A15" s="76" t="s">
        <v>248</v>
      </c>
      <c r="B15" s="71" t="s">
        <v>109</v>
      </c>
      <c r="C15" s="71" t="s">
        <v>109</v>
      </c>
      <c r="D15" s="55" t="s">
        <v>59</v>
      </c>
      <c r="E15" s="55" t="s">
        <v>59</v>
      </c>
      <c r="F15" s="55" t="s">
        <v>59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105</v>
      </c>
      <c r="B16" s="71" t="s">
        <v>109</v>
      </c>
      <c r="C16" s="71" t="s">
        <v>109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250</v>
      </c>
      <c r="B17" s="71" t="s">
        <v>109</v>
      </c>
      <c r="C17" s="55" t="s">
        <v>60</v>
      </c>
      <c r="D17" s="55" t="s">
        <v>60</v>
      </c>
      <c r="E17" s="55" t="s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56" t="s">
        <v>61</v>
      </c>
      <c r="C18" s="56" t="s">
        <v>61</v>
      </c>
      <c r="D18" s="56" t="s">
        <v>61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51" t="s">
        <v>62</v>
      </c>
      <c r="C19" s="51" t="s">
        <v>62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78" t="s">
        <v>251</v>
      </c>
      <c r="B20" s="53" t="s">
        <v>63</v>
      </c>
      <c r="C20" s="53" t="s">
        <v>63</v>
      </c>
      <c r="D20" s="71" t="s">
        <v>109</v>
      </c>
      <c r="E20" s="71" t="s">
        <v>109</v>
      </c>
      <c r="F20" s="71" t="s">
        <v>109</v>
      </c>
      <c r="G20" s="71" t="s">
        <v>109</v>
      </c>
      <c r="H20" s="71" t="s">
        <v>109</v>
      </c>
      <c r="I20" s="71" t="s">
        <v>109</v>
      </c>
    </row>
    <row r="21" spans="1:9" ht="21" customHeight="1" x14ac:dyDescent="0.15">
      <c r="A21" s="37" t="s">
        <v>252</v>
      </c>
      <c r="B21" s="79" t="s">
        <v>47</v>
      </c>
      <c r="C21" s="79" t="s">
        <v>47</v>
      </c>
      <c r="D21" s="79" t="s">
        <v>47</v>
      </c>
      <c r="E21" s="79" t="s">
        <v>47</v>
      </c>
      <c r="F21" s="79" t="s">
        <v>47</v>
      </c>
      <c r="G21" s="79" t="s">
        <v>47</v>
      </c>
      <c r="H21" s="79" t="s">
        <v>47</v>
      </c>
      <c r="I21" s="79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L21" sqref="L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229</v>
      </c>
      <c r="B2" s="147"/>
      <c r="C2" s="148"/>
      <c r="D2" s="159" t="s">
        <v>11</v>
      </c>
      <c r="E2" s="159">
        <v>8000</v>
      </c>
      <c r="F2" s="159">
        <v>10000</v>
      </c>
      <c r="G2" s="159">
        <v>14000</v>
      </c>
      <c r="H2" s="148"/>
      <c r="I2" s="148"/>
    </row>
    <row r="3" spans="1:9" s="4" customFormat="1" ht="21" customHeight="1" x14ac:dyDescent="0.15">
      <c r="A3" s="146" t="s">
        <v>230</v>
      </c>
      <c r="B3" s="150"/>
      <c r="C3" s="151"/>
      <c r="D3" s="159" t="s">
        <v>11</v>
      </c>
      <c r="E3" s="159">
        <v>7500</v>
      </c>
      <c r="F3" s="159">
        <v>9500</v>
      </c>
      <c r="G3" s="159">
        <v>13000</v>
      </c>
      <c r="H3" s="151"/>
      <c r="I3" s="151"/>
    </row>
    <row r="4" spans="1:9" s="4" customFormat="1" ht="21" customHeight="1" x14ac:dyDescent="0.15">
      <c r="A4" s="146" t="s">
        <v>232</v>
      </c>
      <c r="B4" s="153"/>
      <c r="C4" s="154"/>
      <c r="D4" s="159">
        <v>5000</v>
      </c>
      <c r="E4" s="159">
        <v>7000</v>
      </c>
      <c r="F4" s="159">
        <v>9000</v>
      </c>
      <c r="G4" s="159">
        <v>12000</v>
      </c>
      <c r="H4" s="154"/>
      <c r="I4" s="154"/>
    </row>
    <row r="5" spans="1:9" s="4" customFormat="1" ht="21" customHeight="1" x14ac:dyDescent="0.15">
      <c r="A5" s="165" t="s">
        <v>233</v>
      </c>
      <c r="B5" s="160"/>
      <c r="C5" s="161"/>
      <c r="D5" s="159">
        <v>4900</v>
      </c>
      <c r="E5" s="159">
        <v>6700</v>
      </c>
      <c r="F5" s="159">
        <v>8500</v>
      </c>
      <c r="G5" s="159">
        <v>11000</v>
      </c>
      <c r="H5" s="161"/>
      <c r="I5" s="161"/>
    </row>
    <row r="6" spans="1:9" s="4" customFormat="1" ht="21" customHeight="1" x14ac:dyDescent="0.15">
      <c r="A6" s="165" t="s">
        <v>234</v>
      </c>
      <c r="B6" s="160"/>
      <c r="C6" s="161"/>
      <c r="D6" s="159">
        <v>4800</v>
      </c>
      <c r="E6" s="159">
        <v>6600</v>
      </c>
      <c r="F6" s="159" t="s">
        <v>11</v>
      </c>
      <c r="G6" s="159" t="s">
        <v>11</v>
      </c>
      <c r="H6" s="161"/>
      <c r="I6" s="161"/>
    </row>
    <row r="7" spans="1:9" ht="21" customHeight="1" x14ac:dyDescent="0.15">
      <c r="A7" s="74" t="s">
        <v>208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209</v>
      </c>
      <c r="B8" s="47" t="s">
        <v>11</v>
      </c>
      <c r="C8" s="47" t="s">
        <v>11</v>
      </c>
      <c r="D8" s="47" t="s">
        <v>11</v>
      </c>
      <c r="E8" s="47">
        <v>8000</v>
      </c>
      <c r="F8" s="28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185" t="s">
        <v>315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7">
        <v>14000</v>
      </c>
      <c r="H9" s="28" t="s">
        <v>11</v>
      </c>
      <c r="I9" s="28" t="s">
        <v>11</v>
      </c>
    </row>
    <row r="10" spans="1:9" s="46" customFormat="1" ht="21" customHeight="1" x14ac:dyDescent="0.15">
      <c r="A10" s="76" t="s">
        <v>210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7">
        <v>13000</v>
      </c>
      <c r="H10" s="28" t="s">
        <v>11</v>
      </c>
      <c r="I10" s="28" t="s">
        <v>11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5000</v>
      </c>
      <c r="E11" s="28">
        <v>7000</v>
      </c>
      <c r="F11" s="28">
        <v>9000</v>
      </c>
      <c r="G11" s="47">
        <v>12000</v>
      </c>
      <c r="H11" s="69" t="s">
        <v>11</v>
      </c>
      <c r="I11" s="69" t="s">
        <v>11</v>
      </c>
    </row>
    <row r="12" spans="1:9" ht="21" customHeight="1" x14ac:dyDescent="0.15">
      <c r="A12" s="76" t="s">
        <v>211</v>
      </c>
      <c r="B12" s="69" t="s">
        <v>11</v>
      </c>
      <c r="C12" s="69" t="s">
        <v>11</v>
      </c>
      <c r="D12" s="28">
        <v>4900</v>
      </c>
      <c r="E12" s="28">
        <v>6700</v>
      </c>
      <c r="F12" s="28">
        <v>8500</v>
      </c>
      <c r="G12" s="47">
        <v>11000</v>
      </c>
      <c r="H12" s="69" t="s">
        <v>11</v>
      </c>
      <c r="I12" s="69" t="s">
        <v>11</v>
      </c>
    </row>
    <row r="13" spans="1:9" ht="21" customHeight="1" x14ac:dyDescent="0.15">
      <c r="A13" s="76" t="s">
        <v>106</v>
      </c>
      <c r="B13" s="69" t="s">
        <v>11</v>
      </c>
      <c r="C13" s="69" t="s">
        <v>11</v>
      </c>
      <c r="D13" s="28">
        <v>4800</v>
      </c>
      <c r="E13" s="28">
        <v>6600</v>
      </c>
      <c r="F13" s="186">
        <v>9000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212</v>
      </c>
      <c r="B14" s="69" t="s">
        <v>11</v>
      </c>
      <c r="C14" s="69" t="s">
        <v>11</v>
      </c>
      <c r="D14" s="69" t="s">
        <v>11</v>
      </c>
      <c r="E14" s="28">
        <v>6300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213</v>
      </c>
      <c r="B15" s="69" t="s">
        <v>11</v>
      </c>
      <c r="C15" s="69" t="s">
        <v>11</v>
      </c>
      <c r="D15" s="28">
        <v>4600</v>
      </c>
      <c r="E15" s="28">
        <v>5800</v>
      </c>
      <c r="F15" s="28">
        <v>7600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105</v>
      </c>
      <c r="B16" s="69" t="s">
        <v>11</v>
      </c>
      <c r="C16" s="69" t="s">
        <v>11</v>
      </c>
      <c r="D16" s="28">
        <v>4400</v>
      </c>
      <c r="E16" s="28">
        <v>5600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214</v>
      </c>
      <c r="B17" s="69" t="s">
        <v>11</v>
      </c>
      <c r="C17" s="28">
        <v>3000</v>
      </c>
      <c r="D17" s="28">
        <v>4200</v>
      </c>
      <c r="E17" s="28">
        <v>5400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2000</v>
      </c>
      <c r="C18" s="28">
        <v>2800</v>
      </c>
      <c r="D18" s="28">
        <v>4000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28">
        <v>1750</v>
      </c>
      <c r="C19" s="28">
        <v>2550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215</v>
      </c>
      <c r="B20" s="28">
        <v>1500</v>
      </c>
      <c r="C20" s="28">
        <v>2300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7" t="s">
        <v>216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2">
        <v>591</v>
      </c>
    </row>
    <row r="3" spans="1:4" x14ac:dyDescent="0.15">
      <c r="A3" t="s">
        <v>201</v>
      </c>
      <c r="B3" s="133">
        <v>592</v>
      </c>
    </row>
    <row r="4" spans="1:4" x14ac:dyDescent="0.15">
      <c r="A4" t="s">
        <v>202</v>
      </c>
      <c r="B4" s="133">
        <v>593</v>
      </c>
    </row>
    <row r="7" spans="1:4" x14ac:dyDescent="0.15">
      <c r="A7" t="s">
        <v>203</v>
      </c>
    </row>
    <row r="8" spans="1:4" x14ac:dyDescent="0.15">
      <c r="A8" t="str">
        <f ca="1">A2 &amp;" "&amp;IF(B2="","",B2)&amp;" "&amp; IFERROR(VLOOKUP(B2,units!A:B,2),"なし")</f>
        <v>R3 591 遊歩遊泳プリンセス マーメイド</v>
      </c>
    </row>
    <row r="9" spans="1:4" x14ac:dyDescent="0.15">
      <c r="A9" t="str">
        <f ca="1">A3 &amp;" "&amp;IF(B3="","",B3)&amp;" "&amp; IFERROR(VLOOKUP(B3,units!A:B,2),"なし")</f>
        <v>R4 592 遊歩遊泳プリンセス マーメイド</v>
      </c>
    </row>
    <row r="10" spans="1:4" x14ac:dyDescent="0.15">
      <c r="A10" t="str">
        <f ca="1">A4 &amp;" "&amp;IF(B4="","",B4)&amp;" "&amp; IFERROR(VLOOKUP(B4,units!A:B,2),"なし")</f>
        <v>R5 593 遊歩遊泳プリンセス マーメイド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>
        <f ca="1">VLOOKUP($B2,units!$A:$BN,63)</f>
        <v>6134</v>
      </c>
      <c r="C14">
        <f ca="1">VLOOKUP($B2,units!$A:$BN,64)</f>
        <v>2227</v>
      </c>
      <c r="D14">
        <f ca="1">VLOOKUP($B2,units!$A:$BN,66)</f>
        <v>1719</v>
      </c>
    </row>
    <row r="15" spans="1:4" x14ac:dyDescent="0.15">
      <c r="A15" t="s">
        <v>225</v>
      </c>
      <c r="B15">
        <f ca="1">VLOOKUP($B3,units!$A:$BN,63)</f>
        <v>6134</v>
      </c>
      <c r="C15">
        <f ca="1">VLOOKUP($B3,units!$A:$BN,64)</f>
        <v>2227</v>
      </c>
      <c r="D15">
        <f ca="1">VLOOKUP($B3,units!$A:$BN,66)</f>
        <v>1719</v>
      </c>
    </row>
    <row r="16" spans="1:4" x14ac:dyDescent="0.15">
      <c r="A16" t="s">
        <v>223</v>
      </c>
      <c r="B16">
        <f ca="1">VLOOKUP($B4,units!$A:$BN,63)</f>
        <v>6134</v>
      </c>
      <c r="C16">
        <f ca="1">VLOOKUP($B4,units!$A:$BN,64)</f>
        <v>2227</v>
      </c>
      <c r="D16">
        <f ca="1">VLOOKUP($B4,units!$A:$BN,66)</f>
        <v>1719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海遊恋射バブルストライク</v>
      </c>
    </row>
    <row r="21" spans="1:1" x14ac:dyDescent="0.15">
      <c r="A21" t="str">
        <f>IFERROR(VLOOKUP($B$2,unit_skills!A:I,4),"なし")</f>
        <v>ハート無効解除+2ターンの間全ての敵の攻撃力を50％DOWNし、味方全体の回復力大UP</v>
      </c>
    </row>
    <row r="22" spans="1:1" x14ac:dyDescent="0.15">
      <c r="A22" t="str">
        <f>"cost:"&amp;IFERROR(VLOOKUP($B$2,unit_skills!A:I,6),"なし")</f>
        <v>cost:13</v>
      </c>
    </row>
    <row r="23" spans="1:1" x14ac:dyDescent="0.15">
      <c r="A23" t="str">
        <f>IFERROR(VLOOKUP($B$2,unit_skills!A:I,9),"なし")</f>
        <v>[effect:attack_break, target:enemy_all, turn:2, val:0.5, calc:mul, animation:attack_break01],[effect:enhance_unit, target:unit_all, turn:2, status:heal, val:0.315, calc:mul, animation:enhance_unit_all_heal03],[effect:cure, bad_status:dis_heart, animation:cure01]</v>
      </c>
    </row>
    <row r="25" spans="1:1" x14ac:dyDescent="0.15">
      <c r="A25" t="str">
        <f>IFERROR(VLOOKUP($B$3,unit_skills!A:I,3),"なし")</f>
        <v>海遊恋射バブルストライク</v>
      </c>
    </row>
    <row r="26" spans="1:1" x14ac:dyDescent="0.15">
      <c r="A26" t="str">
        <f>IFERROR(VLOOKUP($B$3,unit_skills!A:I,4),"なし")</f>
        <v>ハート無効解除+2ターンの間全ての敵の攻撃力を50％DOWNし、味方全体の回復力大UP</v>
      </c>
    </row>
    <row r="27" spans="1:1" x14ac:dyDescent="0.15">
      <c r="A27" t="str">
        <f>"cost:"&amp;IFERROR(VLOOKUP($B$3,unit_skills!A:I,6),"なし")</f>
        <v>cost:13</v>
      </c>
    </row>
    <row r="28" spans="1:1" x14ac:dyDescent="0.15">
      <c r="A28" t="str">
        <f>IFERROR(VLOOKUP($B$3,unit_skills!A:I,9),"なし")</f>
        <v>[effect:attack_break, target:enemy_all, turn:2, val:0.5, calc:mul, animation:attack_break01],[effect:enhance_unit, target:unit_all, turn:2, status:heal, val:0.315, calc:mul, animation:enhance_unit_all_heal03],[effect:cure, bad_status:dis_heart, animation:cure01]</v>
      </c>
    </row>
    <row r="30" spans="1:1" x14ac:dyDescent="0.15">
      <c r="A30" t="str">
        <f>IFERROR(VLOOKUP($B$4,unit_skills!A:I,3),"なし")</f>
        <v>海遊恋射バブルストライク</v>
      </c>
    </row>
    <row r="31" spans="1:1" x14ac:dyDescent="0.15">
      <c r="A31" t="str">
        <f>IFERROR(VLOOKUP($B$4,unit_skills!A:I,4),"なし")</f>
        <v>ハート無効解除+2ターンの間全ての敵の攻撃力を50％DOWNし、味方全体の回復力大UP</v>
      </c>
    </row>
    <row r="32" spans="1:1" x14ac:dyDescent="0.15">
      <c r="A32" t="str">
        <f>"cost:"&amp;IFERROR(VLOOKUP($B$4,unit_skills!A:I,6),"なし")</f>
        <v>cost:13</v>
      </c>
    </row>
    <row r="33" spans="1:1" x14ac:dyDescent="0.15">
      <c r="A33" t="str">
        <f>IFERROR(VLOOKUP($B$4,unit_skills!A:I,9),"なし")</f>
        <v>[effect:attack_break, target:enemy_all, turn:2, val:0.5, calc:mul, animation:attack_break01],[effect:enhance_unit, target:unit_all, turn:2, status:heal, val:0.315, calc:mul, animation:enhance_unit_all_heal03],[effect:cure, bad_status:dis_heart, animation:cure01]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タイダルバブルウェイブ</v>
      </c>
    </row>
    <row r="37" spans="1:1" x14ac:dyDescent="0.15">
      <c r="A37" t="str">
        <f>IFERROR(VLOOKUP($B$2,crash_skills!A:I,4),"なし")</f>
        <v>1体に大ダメージ_x000D_アニマルに効果特大</v>
      </c>
    </row>
    <row r="38" spans="1:1" x14ac:dyDescent="0.15">
      <c r="A38" t="str">
        <f>IFERROR(VLOOKUP($B$2,crash_skills!A:I,6),"なし")</f>
        <v>[effect:damage_anti_tribe, target:enemy_one, tribe:animal, val1:3.375, val2:1.31, animation:damage_one_blue03]</v>
      </c>
    </row>
    <row r="40" spans="1:1" x14ac:dyDescent="0.15">
      <c r="A40" t="str">
        <f>IFERROR(VLOOKUP($B$3,crash_skills!A:I,3),"なし")</f>
        <v>タイダルバブルウェイブ</v>
      </c>
    </row>
    <row r="41" spans="1:1" x14ac:dyDescent="0.15">
      <c r="A41" t="str">
        <f>IFERROR(VLOOKUP($B$3,crash_skills!A:I,4),"なし")</f>
        <v>1体に大ダメージ_x000D_アニマルに効果特大</v>
      </c>
    </row>
    <row r="42" spans="1:1" x14ac:dyDescent="0.15">
      <c r="A42" t="str">
        <f>IFERROR(VLOOKUP($B$3,crash_skills!A:I,6),"なし")</f>
        <v>[effect:damage_anti_tribe, target:enemy_one, tribe:animal, val1:3.375, val2:1.31, animation:damage_one_blue03]</v>
      </c>
    </row>
    <row r="44" spans="1:1" x14ac:dyDescent="0.15">
      <c r="A44" t="str">
        <f>IFERROR(VLOOKUP($B$4,crash_skills!A:I,3),"なし")</f>
        <v>タイダルバブルウェイブ</v>
      </c>
    </row>
    <row r="45" spans="1:1" x14ac:dyDescent="0.15">
      <c r="A45" t="str">
        <f>IFERROR(VLOOKUP($B$4,crash_skills!A:I,4),"なし")</f>
        <v>1体に大ダメージ_x000D_アニマルに効果特大</v>
      </c>
    </row>
    <row r="46" spans="1:1" x14ac:dyDescent="0.15">
      <c r="A46" t="str">
        <f>IFERROR(VLOOKUP($B$4,crash_skills!A:I,6),"なし")</f>
        <v>[effect:damage_anti_tribe, target:enemy_one, tribe:animal, val1:3.375, val2:1.31, animation:damage_one_blue03]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5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2017-06-06T07:24:54Z</dcterms:modified>
</cp:coreProperties>
</file>