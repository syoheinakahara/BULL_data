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520" yWindow="460" windowWidth="28500" windowHeight="1958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9" l="1"/>
  <c r="X2" i="1"/>
  <c r="E13" i="9"/>
  <c r="X4" i="1"/>
  <c r="E34" i="9"/>
  <c r="X7" i="1"/>
  <c r="O3" i="21"/>
  <c r="O4" i="21"/>
  <c r="O5" i="21"/>
  <c r="O6" i="21"/>
  <c r="O7" i="21"/>
  <c r="O8" i="21"/>
  <c r="O9" i="21"/>
  <c r="O10" i="21"/>
  <c r="O11" i="21"/>
  <c r="O12" i="21"/>
  <c r="O13" i="21"/>
  <c r="O14" i="21"/>
  <c r="O15" i="21"/>
  <c r="O2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J48" i="11"/>
  <c r="J47" i="11"/>
  <c r="J46" i="11"/>
  <c r="J45" i="11"/>
  <c r="J44" i="11"/>
  <c r="J43" i="11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O44" i="9"/>
  <c r="N44" i="9"/>
  <c r="M44" i="9"/>
  <c r="L44" i="9"/>
  <c r="K44" i="9"/>
  <c r="J44" i="9"/>
  <c r="I44" i="9"/>
  <c r="H44" i="9"/>
  <c r="G44" i="9"/>
  <c r="E44" i="9"/>
  <c r="D44" i="9"/>
  <c r="A44" i="9"/>
  <c r="O42" i="9"/>
  <c r="N42" i="9"/>
  <c r="M42" i="9"/>
  <c r="L42" i="9"/>
  <c r="K42" i="9"/>
  <c r="J42" i="9"/>
  <c r="I42" i="9"/>
  <c r="H42" i="9"/>
  <c r="G42" i="9"/>
  <c r="E42" i="9"/>
  <c r="D42" i="9"/>
  <c r="A42" i="9"/>
  <c r="O40" i="9"/>
  <c r="N40" i="9"/>
  <c r="M40" i="9"/>
  <c r="L40" i="9"/>
  <c r="K40" i="9"/>
  <c r="J40" i="9"/>
  <c r="I40" i="9"/>
  <c r="H40" i="9"/>
  <c r="G40" i="9"/>
  <c r="E40" i="9"/>
  <c r="D40" i="9"/>
  <c r="A40" i="9"/>
  <c r="J71" i="11"/>
  <c r="J70" i="11"/>
  <c r="O71" i="9"/>
  <c r="N71" i="9"/>
  <c r="M71" i="9"/>
  <c r="L71" i="9"/>
  <c r="K71" i="9"/>
  <c r="J71" i="9"/>
  <c r="I71" i="9"/>
  <c r="H71" i="9"/>
  <c r="G71" i="9"/>
  <c r="E71" i="9"/>
  <c r="D71" i="9"/>
  <c r="O70" i="9"/>
  <c r="N70" i="9"/>
  <c r="M70" i="9"/>
  <c r="L70" i="9"/>
  <c r="K70" i="9"/>
  <c r="J70" i="9"/>
  <c r="I70" i="9"/>
  <c r="H70" i="9"/>
  <c r="G70" i="9"/>
  <c r="E70" i="9"/>
  <c r="D70" i="9"/>
  <c r="J69" i="11"/>
  <c r="O69" i="9"/>
  <c r="N69" i="9"/>
  <c r="M69" i="9"/>
  <c r="L69" i="9"/>
  <c r="K69" i="9"/>
  <c r="J69" i="9"/>
  <c r="I69" i="9"/>
  <c r="H69" i="9"/>
  <c r="G69" i="9"/>
  <c r="E69" i="9"/>
  <c r="D69" i="9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J67" i="11"/>
  <c r="J68" i="11"/>
  <c r="J66" i="11"/>
  <c r="J65" i="11"/>
  <c r="G64" i="9"/>
  <c r="H64" i="9"/>
  <c r="I64" i="9"/>
  <c r="J64" i="9"/>
  <c r="K64" i="9"/>
  <c r="L64" i="9"/>
  <c r="M64" i="9"/>
  <c r="N64" i="9"/>
  <c r="J64" i="11"/>
  <c r="O64" i="9"/>
  <c r="G65" i="9"/>
  <c r="H65" i="9"/>
  <c r="I65" i="9"/>
  <c r="J65" i="9"/>
  <c r="K65" i="9"/>
  <c r="L65" i="9"/>
  <c r="M65" i="9"/>
  <c r="N65" i="9"/>
  <c r="O65" i="9"/>
  <c r="G66" i="9"/>
  <c r="H66" i="9"/>
  <c r="I66" i="9"/>
  <c r="J66" i="9"/>
  <c r="K66" i="9"/>
  <c r="L66" i="9"/>
  <c r="M66" i="9"/>
  <c r="N66" i="9"/>
  <c r="O66" i="9"/>
  <c r="G67" i="9"/>
  <c r="H67" i="9"/>
  <c r="I67" i="9"/>
  <c r="J67" i="9"/>
  <c r="K67" i="9"/>
  <c r="L67" i="9"/>
  <c r="M67" i="9"/>
  <c r="N67" i="9"/>
  <c r="O67" i="9"/>
  <c r="G68" i="9"/>
  <c r="H68" i="9"/>
  <c r="I68" i="9"/>
  <c r="J68" i="9"/>
  <c r="K68" i="9"/>
  <c r="L68" i="9"/>
  <c r="M68" i="9"/>
  <c r="N68" i="9"/>
  <c r="O68" i="9"/>
  <c r="D67" i="9"/>
  <c r="E67" i="9"/>
  <c r="D68" i="9"/>
  <c r="E68" i="9"/>
  <c r="E66" i="9"/>
  <c r="D66" i="9"/>
  <c r="A66" i="9"/>
  <c r="E65" i="9"/>
  <c r="D65" i="9"/>
  <c r="A65" i="9"/>
  <c r="O41" i="9"/>
  <c r="N41" i="9"/>
  <c r="M41" i="9"/>
  <c r="L41" i="9"/>
  <c r="K41" i="9"/>
  <c r="J41" i="9"/>
  <c r="I41" i="9"/>
  <c r="H41" i="9"/>
  <c r="G41" i="9"/>
  <c r="E41" i="9"/>
  <c r="D41" i="9"/>
  <c r="A41" i="9"/>
  <c r="O43" i="9"/>
  <c r="N43" i="9"/>
  <c r="M43" i="9"/>
  <c r="L43" i="9"/>
  <c r="K43" i="9"/>
  <c r="J43" i="9"/>
  <c r="I43" i="9"/>
  <c r="H43" i="9"/>
  <c r="G43" i="9"/>
  <c r="E43" i="9"/>
  <c r="D43" i="9"/>
  <c r="A43" i="9"/>
  <c r="O39" i="9"/>
  <c r="N39" i="9"/>
  <c r="M39" i="9"/>
  <c r="L39" i="9"/>
  <c r="K39" i="9"/>
  <c r="J39" i="9"/>
  <c r="I39" i="9"/>
  <c r="H39" i="9"/>
  <c r="G39" i="9"/>
  <c r="E39" i="9"/>
  <c r="D39" i="9"/>
  <c r="A39" i="9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J4" i="11"/>
  <c r="J3" i="11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4" i="10"/>
  <c r="T4" i="10"/>
  <c r="V4" i="10"/>
  <c r="X4" i="10"/>
  <c r="W4" i="10"/>
  <c r="U4" i="10"/>
  <c r="N4" i="10"/>
  <c r="P4" i="10"/>
  <c r="R4" i="10"/>
  <c r="Q4" i="10"/>
  <c r="O4" i="10"/>
  <c r="G4" i="10"/>
  <c r="I4" i="10"/>
  <c r="K4" i="10"/>
  <c r="J4" i="10"/>
  <c r="H4" i="10"/>
  <c r="M3" i="10"/>
  <c r="T3" i="10"/>
  <c r="V3" i="10"/>
  <c r="X3" i="10"/>
  <c r="W3" i="10"/>
  <c r="U3" i="10"/>
  <c r="N3" i="10"/>
  <c r="P3" i="10"/>
  <c r="R3" i="10"/>
  <c r="Q3" i="10"/>
  <c r="O3" i="10"/>
  <c r="G3" i="10"/>
  <c r="I3" i="10"/>
  <c r="K3" i="10"/>
  <c r="J3" i="10"/>
  <c r="H3" i="10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3" i="11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G24" i="9"/>
  <c r="H24" i="9"/>
  <c r="I24" i="9"/>
  <c r="J24" i="9"/>
  <c r="K24" i="9"/>
  <c r="L24" i="9"/>
  <c r="M24" i="9"/>
  <c r="G25" i="9"/>
  <c r="H25" i="9"/>
  <c r="I25" i="9"/>
  <c r="J25" i="9"/>
  <c r="K25" i="9"/>
  <c r="L25" i="9"/>
  <c r="M25" i="9"/>
  <c r="G26" i="9"/>
  <c r="H26" i="9"/>
  <c r="I26" i="9"/>
  <c r="J26" i="9"/>
  <c r="K26" i="9"/>
  <c r="L26" i="9"/>
  <c r="M26" i="9"/>
  <c r="G27" i="9"/>
  <c r="H27" i="9"/>
  <c r="I27" i="9"/>
  <c r="J27" i="9"/>
  <c r="K27" i="9"/>
  <c r="L27" i="9"/>
  <c r="M27" i="9"/>
  <c r="G28" i="9"/>
  <c r="H28" i="9"/>
  <c r="I28" i="9"/>
  <c r="J28" i="9"/>
  <c r="K28" i="9"/>
  <c r="L28" i="9"/>
  <c r="M28" i="9"/>
  <c r="G29" i="9"/>
  <c r="H29" i="9"/>
  <c r="I29" i="9"/>
  <c r="J29" i="9"/>
  <c r="K29" i="9"/>
  <c r="L29" i="9"/>
  <c r="M29" i="9"/>
  <c r="G30" i="9"/>
  <c r="H30" i="9"/>
  <c r="I30" i="9"/>
  <c r="J30" i="9"/>
  <c r="K30" i="9"/>
  <c r="L30" i="9"/>
  <c r="M30" i="9"/>
  <c r="G31" i="9"/>
  <c r="H31" i="9"/>
  <c r="I31" i="9"/>
  <c r="J31" i="9"/>
  <c r="K31" i="9"/>
  <c r="L31" i="9"/>
  <c r="M31" i="9"/>
  <c r="G32" i="9"/>
  <c r="H32" i="9"/>
  <c r="I32" i="9"/>
  <c r="J32" i="9"/>
  <c r="K32" i="9"/>
  <c r="L32" i="9"/>
  <c r="M32" i="9"/>
  <c r="G33" i="9"/>
  <c r="H33" i="9"/>
  <c r="I33" i="9"/>
  <c r="J33" i="9"/>
  <c r="K33" i="9"/>
  <c r="L33" i="9"/>
  <c r="M33" i="9"/>
  <c r="G34" i="9"/>
  <c r="H34" i="9"/>
  <c r="I34" i="9"/>
  <c r="J34" i="9"/>
  <c r="K34" i="9"/>
  <c r="L34" i="9"/>
  <c r="M34" i="9"/>
  <c r="G35" i="9"/>
  <c r="H35" i="9"/>
  <c r="I35" i="9"/>
  <c r="J35" i="9"/>
  <c r="K35" i="9"/>
  <c r="L35" i="9"/>
  <c r="M35" i="9"/>
  <c r="G36" i="9"/>
  <c r="H36" i="9"/>
  <c r="I36" i="9"/>
  <c r="J36" i="9"/>
  <c r="K36" i="9"/>
  <c r="L36" i="9"/>
  <c r="M36" i="9"/>
  <c r="G37" i="9"/>
  <c r="H37" i="9"/>
  <c r="I37" i="9"/>
  <c r="J37" i="9"/>
  <c r="K37" i="9"/>
  <c r="L37" i="9"/>
  <c r="M37" i="9"/>
  <c r="G38" i="9"/>
  <c r="H38" i="9"/>
  <c r="I38" i="9"/>
  <c r="J38" i="9"/>
  <c r="K38" i="9"/>
  <c r="L38" i="9"/>
  <c r="M38" i="9"/>
  <c r="G45" i="9"/>
  <c r="H45" i="9"/>
  <c r="I45" i="9"/>
  <c r="J45" i="9"/>
  <c r="K45" i="9"/>
  <c r="L45" i="9"/>
  <c r="M45" i="9"/>
  <c r="G46" i="9"/>
  <c r="H46" i="9"/>
  <c r="I46" i="9"/>
  <c r="J46" i="9"/>
  <c r="K46" i="9"/>
  <c r="L46" i="9"/>
  <c r="M46" i="9"/>
  <c r="G47" i="9"/>
  <c r="H47" i="9"/>
  <c r="I47" i="9"/>
  <c r="J47" i="9"/>
  <c r="K47" i="9"/>
  <c r="L47" i="9"/>
  <c r="M47" i="9"/>
  <c r="G48" i="9"/>
  <c r="H48" i="9"/>
  <c r="I48" i="9"/>
  <c r="J48" i="9"/>
  <c r="K48" i="9"/>
  <c r="L48" i="9"/>
  <c r="M48" i="9"/>
  <c r="G49" i="9"/>
  <c r="H49" i="9"/>
  <c r="I49" i="9"/>
  <c r="J49" i="9"/>
  <c r="K49" i="9"/>
  <c r="L49" i="9"/>
  <c r="M49" i="9"/>
  <c r="G50" i="9"/>
  <c r="H50" i="9"/>
  <c r="I50" i="9"/>
  <c r="J50" i="9"/>
  <c r="K50" i="9"/>
  <c r="L50" i="9"/>
  <c r="M50" i="9"/>
  <c r="G51" i="9"/>
  <c r="H51" i="9"/>
  <c r="I51" i="9"/>
  <c r="J51" i="9"/>
  <c r="K51" i="9"/>
  <c r="L51" i="9"/>
  <c r="M51" i="9"/>
  <c r="G52" i="9"/>
  <c r="H52" i="9"/>
  <c r="I52" i="9"/>
  <c r="J52" i="9"/>
  <c r="K52" i="9"/>
  <c r="L52" i="9"/>
  <c r="M52" i="9"/>
  <c r="G53" i="9"/>
  <c r="H53" i="9"/>
  <c r="I53" i="9"/>
  <c r="J53" i="9"/>
  <c r="K53" i="9"/>
  <c r="L53" i="9"/>
  <c r="M53" i="9"/>
  <c r="G54" i="9"/>
  <c r="H54" i="9"/>
  <c r="I54" i="9"/>
  <c r="J54" i="9"/>
  <c r="K54" i="9"/>
  <c r="L54" i="9"/>
  <c r="M54" i="9"/>
  <c r="G55" i="9"/>
  <c r="H55" i="9"/>
  <c r="I55" i="9"/>
  <c r="J55" i="9"/>
  <c r="K55" i="9"/>
  <c r="L55" i="9"/>
  <c r="M55" i="9"/>
  <c r="G56" i="9"/>
  <c r="H56" i="9"/>
  <c r="I56" i="9"/>
  <c r="J56" i="9"/>
  <c r="K56" i="9"/>
  <c r="L56" i="9"/>
  <c r="M56" i="9"/>
  <c r="G57" i="9"/>
  <c r="H57" i="9"/>
  <c r="I57" i="9"/>
  <c r="J57" i="9"/>
  <c r="K57" i="9"/>
  <c r="L57" i="9"/>
  <c r="M57" i="9"/>
  <c r="G58" i="9"/>
  <c r="H58" i="9"/>
  <c r="I58" i="9"/>
  <c r="J58" i="9"/>
  <c r="K58" i="9"/>
  <c r="L58" i="9"/>
  <c r="M58" i="9"/>
  <c r="G59" i="9"/>
  <c r="H59" i="9"/>
  <c r="I59" i="9"/>
  <c r="J59" i="9"/>
  <c r="K59" i="9"/>
  <c r="L59" i="9"/>
  <c r="M59" i="9"/>
  <c r="G60" i="9"/>
  <c r="H60" i="9"/>
  <c r="I60" i="9"/>
  <c r="J60" i="9"/>
  <c r="K60" i="9"/>
  <c r="L60" i="9"/>
  <c r="M60" i="9"/>
  <c r="G61" i="9"/>
  <c r="H61" i="9"/>
  <c r="I61" i="9"/>
  <c r="J61" i="9"/>
  <c r="K61" i="9"/>
  <c r="L61" i="9"/>
  <c r="M61" i="9"/>
  <c r="G62" i="9"/>
  <c r="H62" i="9"/>
  <c r="I62" i="9"/>
  <c r="J62" i="9"/>
  <c r="K62" i="9"/>
  <c r="L62" i="9"/>
  <c r="M62" i="9"/>
  <c r="G63" i="9"/>
  <c r="H63" i="9"/>
  <c r="I63" i="9"/>
  <c r="J63" i="9"/>
  <c r="K63" i="9"/>
  <c r="L63" i="9"/>
  <c r="M6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N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D24" i="9"/>
  <c r="E24" i="9"/>
  <c r="O24" i="9"/>
  <c r="D25" i="9"/>
  <c r="E25" i="9"/>
  <c r="O25" i="9"/>
  <c r="D26" i="9"/>
  <c r="E26" i="9"/>
  <c r="O26" i="9"/>
  <c r="D27" i="9"/>
  <c r="E27" i="9"/>
  <c r="O27" i="9"/>
  <c r="D28" i="9"/>
  <c r="E28" i="9"/>
  <c r="O28" i="9"/>
  <c r="D29" i="9"/>
  <c r="E29" i="9"/>
  <c r="O29" i="9"/>
  <c r="D30" i="9"/>
  <c r="E30" i="9"/>
  <c r="O30" i="9"/>
  <c r="D31" i="9"/>
  <c r="E31" i="9"/>
  <c r="O31" i="9"/>
  <c r="D32" i="9"/>
  <c r="E32" i="9"/>
  <c r="O32" i="9"/>
  <c r="D33" i="9"/>
  <c r="E33" i="9"/>
  <c r="O33" i="9"/>
  <c r="D34" i="9"/>
  <c r="O34" i="9"/>
  <c r="D35" i="9"/>
  <c r="E35" i="9"/>
  <c r="O35" i="9"/>
  <c r="D36" i="9"/>
  <c r="E36" i="9"/>
  <c r="O36" i="9"/>
  <c r="D37" i="9"/>
  <c r="E37" i="9"/>
  <c r="O37" i="9"/>
  <c r="D38" i="9"/>
  <c r="E38" i="9"/>
  <c r="O38" i="9"/>
  <c r="D45" i="9"/>
  <c r="E45" i="9"/>
  <c r="O45" i="9"/>
  <c r="D46" i="9"/>
  <c r="E46" i="9"/>
  <c r="O46" i="9"/>
  <c r="D47" i="9"/>
  <c r="E47" i="9"/>
  <c r="O47" i="9"/>
  <c r="D48" i="9"/>
  <c r="E48" i="9"/>
  <c r="O48" i="9"/>
  <c r="D49" i="9"/>
  <c r="E49" i="9"/>
  <c r="O49" i="9"/>
  <c r="D50" i="9"/>
  <c r="E50" i="9"/>
  <c r="O50" i="9"/>
  <c r="D51" i="9"/>
  <c r="E51" i="9"/>
  <c r="O51" i="9"/>
  <c r="D52" i="9"/>
  <c r="E52" i="9"/>
  <c r="O52" i="9"/>
  <c r="D53" i="9"/>
  <c r="E53" i="9"/>
  <c r="O53" i="9"/>
  <c r="D54" i="9"/>
  <c r="E54" i="9"/>
  <c r="O54" i="9"/>
  <c r="D55" i="9"/>
  <c r="E55" i="9"/>
  <c r="O55" i="9"/>
  <c r="D56" i="9"/>
  <c r="E56" i="9"/>
  <c r="O56" i="9"/>
  <c r="D57" i="9"/>
  <c r="E57" i="9"/>
  <c r="O57" i="9"/>
  <c r="D58" i="9"/>
  <c r="E58" i="9"/>
  <c r="O58" i="9"/>
  <c r="D59" i="9"/>
  <c r="E59" i="9"/>
  <c r="O59" i="9"/>
  <c r="D60" i="9"/>
  <c r="E60" i="9"/>
  <c r="O60" i="9"/>
  <c r="D61" i="9"/>
  <c r="E61" i="9"/>
  <c r="O61" i="9"/>
  <c r="D62" i="9"/>
  <c r="E62" i="9"/>
  <c r="O62" i="9"/>
  <c r="D63" i="9"/>
  <c r="E63" i="9"/>
  <c r="O63" i="9"/>
  <c r="D64" i="9"/>
  <c r="E64" i="9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J23" i="11"/>
  <c r="O23" i="9"/>
  <c r="M23" i="9"/>
  <c r="L23" i="9"/>
  <c r="K23" i="9"/>
  <c r="J23" i="9"/>
  <c r="I23" i="9"/>
  <c r="H23" i="9"/>
  <c r="G23" i="9"/>
  <c r="E23" i="9"/>
  <c r="D23" i="9"/>
  <c r="A23" i="9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O13" i="9"/>
  <c r="N13" i="9"/>
  <c r="M13" i="9"/>
  <c r="L13" i="9"/>
  <c r="K13" i="9"/>
  <c r="J13" i="9"/>
  <c r="I13" i="9"/>
  <c r="H13" i="9"/>
  <c r="G13" i="9"/>
  <c r="D13" i="9"/>
  <c r="A13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J8" i="11"/>
  <c r="O8" i="9"/>
  <c r="N8" i="9"/>
  <c r="M8" i="9"/>
  <c r="L8" i="9"/>
  <c r="K8" i="9"/>
  <c r="J8" i="9"/>
  <c r="I8" i="9"/>
  <c r="H8" i="9"/>
  <c r="G8" i="9"/>
  <c r="E8" i="9"/>
  <c r="D8" i="9"/>
  <c r="A8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J9" i="11"/>
  <c r="O9" i="9"/>
  <c r="N9" i="9"/>
  <c r="M9" i="9"/>
  <c r="L9" i="9"/>
  <c r="K9" i="9"/>
  <c r="J9" i="9"/>
  <c r="I9" i="9"/>
  <c r="H9" i="9"/>
  <c r="G9" i="9"/>
  <c r="E9" i="9"/>
  <c r="D9" i="9"/>
  <c r="A9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Y4" i="7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5" i="2"/>
  <c r="E5" i="2"/>
  <c r="D5" i="2"/>
  <c r="H2" i="1"/>
  <c r="H3" i="1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E13" i="16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AA2" i="7"/>
  <c r="E9" i="16"/>
  <c r="Y2" i="7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AC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<sst xmlns="http://schemas.openxmlformats.org/spreadsheetml/2006/main" count="1039" uniqueCount="490">
  <si>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</si>
  <si>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</si>
  <si>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</si>
  <si>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</si>
  <si>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</si>
  <si>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</si>
  <si>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</si>
  <si>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</si>
  <si>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</si>
  <si>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</si>
  <si>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</si>
  <si>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</si>
  <si>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</si>
  <si>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</si>
  <si>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</si>
  <si>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</si>
  <si>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</si>
  <si>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</si>
  <si>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</si>
  <si>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</si>
  <si>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</si>
  <si>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</si>
  <si>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</si>
  <si>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</si>
  <si>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</si>
  <si>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</si>
  <si>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</si>
  <si>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</si>
  <si>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</si>
  <si>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</si>
  <si>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</si>
  <si>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</si>
  <si>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</si>
  <si>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</si>
  <si>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</si>
  <si>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</si>
  <si>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</si>
  <si>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</si>
  <si>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</si>
  <si>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</si>
  <si>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</si>
  <si>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</si>
  <si>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</si>
  <si>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</si>
  <si>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</si>
  <si>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</si>
  <si>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</si>
  <si>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</si>
  <si>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</si>
  <si>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</si>
  <si>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</si>
  <si>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</si>
  <si>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</si>
  <si>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</si>
  <si>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</si>
  <si>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</si>
  <si>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</si>
  <si>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</si>
  <si>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</si>
  <si>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</si>
  <si>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</si>
  <si>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</si>
  <si>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</si>
  <si>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</si>
  <si>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</si>
  <si>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</si>
  <si>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</si>
  <si>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</si>
  <si>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</si>
  <si>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</si>
  <si>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</si>
  <si>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</si>
  <si>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</si>
  <si>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</si>
  <si>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</si>
  <si>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</si>
  <si>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</si>
  <si>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</si>
  <si>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</si>
  <si>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</si>
  <si>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</si>
  <si>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</si>
  <si>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</si>
  <si>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</si>
  <si>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</si>
  <si>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</si>
  <si>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</si>
  <si>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</si>
  <si>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</si>
  <si>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</si>
  <si>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</si>
  <si>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</si>
  <si>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</si>
  <si>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</si>
  <si>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</si>
  <si>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</si>
  <si>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</si>
  <si>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</si>
  <si>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</si>
  <si>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</si>
  <si>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</si>
  <si>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</si>
  <si>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</si>
  <si>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</si>
  <si>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</si>
  <si>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</si>
  <si>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</si>
  <si>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</si>
  <si>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</si>
  <si>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</si>
  <si>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</si>
  <si>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</si>
  <si>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</si>
  <si>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</si>
  <si>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</si>
  <si>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</si>
  <si>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</si>
  <si>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</si>
  <si>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</si>
  <si>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</si>
  <si>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</si>
  <si>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</si>
  <si>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</si>
  <si>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</si>
  <si>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</si>
  <si>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</si>
  <si>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</si>
  <si>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</si>
  <si>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</si>
  <si>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</si>
  <si>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</si>
  <si>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</si>
  <si>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</si>
  <si>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</si>
  <si>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</si>
  <si>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</si>
  <si>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</si>
  <si>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</si>
  <si>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</si>
  <si>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</si>
  <si>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</si>
  <si>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</si>
  <si>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</si>
  <si>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</si>
  <si>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</si>
  <si>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</si>
  <si>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</si>
  <si>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</si>
  <si>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</si>
  <si>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</si>
  <si>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</si>
  <si>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</si>
  <si>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</si>
  <si>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</si>
  <si>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</si>
  <si>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</si>
  <si>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</si>
  <si>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</si>
  <si>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</si>
  <si>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</si>
  <si>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</si>
  <si>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</si>
  <si>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</si>
  <si>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</si>
  <si>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</si>
  <si>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</si>
  <si>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</si>
  <si>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</si>
  <si>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</si>
  <si>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</si>
  <si>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</si>
  <si>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</si>
  <si>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</si>
  <si>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</si>
  <si>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</si>
  <si>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</si>
  <si>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</si>
  <si>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</si>
  <si>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</si>
  <si>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</si>
  <si>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</si>
  <si>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</si>
  <si>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</si>
  <si>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</si>
  <si>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</si>
  <si>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</si>
  <si>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</si>
  <si>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</si>
  <si>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</si>
  <si>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</si>
  <si>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</si>
  <si>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</si>
  <si>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</si>
  <si>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</si>
  <si>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</si>
  <si>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</si>
  <si>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</si>
  <si>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</si>
  <si>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</si>
  <si>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</si>
  <si>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</si>
  <si>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</si>
  <si>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</si>
  <si>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</si>
  <si>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</si>
  <si>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</si>
  <si>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</si>
  <si>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</si>
  <si>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</si>
  <si>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</si>
  <si>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</si>
  <si>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</si>
  <si>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</si>
  <si>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</si>
  <si>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</si>
  <si>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</si>
  <si>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</si>
  <si>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</si>
  <si>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</si>
  <si>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</si>
  <si>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</si>
  <si>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</si>
  <si>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</si>
  <si>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</si>
  <si>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</si>
  <si>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</si>
  <si>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</si>
  <si>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</si>
  <si>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</si>
  <si>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</si>
  <si>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</si>
  <si>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</si>
  <si>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</si>
  <si>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</si>
  <si>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</si>
  <si>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</si>
  <si>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</si>
  <si>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</si>
  <si>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</si>
  <si>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</si>
  <si>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</si>
  <si>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</si>
  <si>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</si>
  <si>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</si>
  <si>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</si>
  <si>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</si>
  <si>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</si>
  <si>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</si>
  <si>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</si>
  <si>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</si>
  <si>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</si>
  <si>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3ターン攻撃力UP</t>
    <phoneticPr fontId="5"/>
  </si>
  <si>
    <t>ja</t>
    <phoneticPr fontId="5"/>
  </si>
  <si>
    <t>2回連続攻撃</t>
    <rPh sb="2" eb="4">
      <t>レンゾク</t>
    </rPh>
    <rPh sb="4" eb="6">
      <t>コウゲキ</t>
    </rPh>
    <phoneticPr fontId="5"/>
  </si>
  <si>
    <t>[effect:rush, count:2, val:0.5]</t>
    <phoneticPr fontId="5"/>
  </si>
  <si>
    <t>4回連続攻撃</t>
    <rPh sb="2" eb="6">
      <t>レンゾクコウゲキ</t>
    </rPh>
    <phoneticPr fontId="5"/>
  </si>
  <si>
    <t>全体攻撃</t>
    <rPh sb="2" eb="4">
      <t>レンゾクコウゲキ</t>
    </rPh>
    <phoneticPr fontId="5"/>
  </si>
  <si>
    <t>[effect:spread, val:0.5]</t>
    <phoneticPr fontId="5"/>
  </si>
  <si>
    <t>HPが少ないほど強力な全体攻撃</t>
    <rPh sb="3" eb="4">
      <t>スクナク</t>
    </rPh>
    <rPh sb="8" eb="10">
      <t>キョウリョクナ</t>
    </rPh>
    <rPh sb="11" eb="15">
      <t>ゼンタイコウゲキ</t>
    </rPh>
    <phoneticPr fontId="5"/>
  </si>
  <si>
    <t>[effect:spread, val:0.7]</t>
    <phoneticPr fontId="5"/>
  </si>
  <si>
    <t>[effect:rush, count:4, val:0.25]</t>
    <phoneticPr fontId="5"/>
  </si>
  <si>
    <t>[effect:spread, val:0.25]</t>
    <phoneticPr fontId="5"/>
  </si>
  <si>
    <t>[effect:spread, val:0.3]</t>
    <phoneticPr fontId="5"/>
  </si>
  <si>
    <t>[effect:critical, val:1.3, animation:enemy_critical]</t>
    <phoneticPr fontId="5"/>
  </si>
  <si>
    <t>クリティカル!</t>
    <phoneticPr fontId="5"/>
  </si>
  <si>
    <t>[effect:spread, val:0.35]</t>
    <phoneticPr fontId="5"/>
  </si>
  <si>
    <t>全体攻撃</t>
    <rPh sb="0" eb="4">
      <t>ゼンタイコウゲキ</t>
    </rPh>
    <phoneticPr fontId="5"/>
  </si>
  <si>
    <t>[effect:damage_anti_color, target:unit_all, color:blue, val1:0.75, val2:0.25]</t>
    <phoneticPr fontId="5"/>
  </si>
  <si>
    <t>青属性のユニットに大ダメージ</t>
    <phoneticPr fontId="5"/>
  </si>
  <si>
    <t>[effect:dis_panel, target:block_green, turn:2, animation:enemy_dis_green],[effect:rush, count:1, val:1.0]</t>
    <phoneticPr fontId="5"/>
  </si>
  <si>
    <t>2ターン緑パネル無効+攻撃</t>
    <rPh sb="4" eb="5">
      <t>ミドリパネル</t>
    </rPh>
    <rPh sb="8" eb="10">
      <t>ムコウ</t>
    </rPh>
    <rPh sb="11" eb="13">
      <t>コウゲキ</t>
    </rPh>
    <phoneticPr fontId="5"/>
  </si>
  <si>
    <t>[effect:remove_enhancement, target:unit_all, target_effect:dis_heart, target_type:debuff, animation:frozen_wave]</t>
    <phoneticPr fontId="5"/>
  </si>
  <si>
    <t>[effect:panel_freeze, target:block_green, count:-1],[effect:spread, val:0.30]</t>
    <phoneticPr fontId="5"/>
  </si>
  <si>
    <t>緑パネルプロテクト+全体攻撃</t>
    <rPh sb="0" eb="1">
      <t>ミドリパネル</t>
    </rPh>
    <rPh sb="10" eb="14">
      <t>ゼンタイコウゲキ</t>
    </rPh>
    <phoneticPr fontId="5"/>
  </si>
  <si>
    <t>赤パネルを5個までお邪魔パネルに変換+攻撃</t>
    <rPh sb="0" eb="1">
      <t>アカパネル</t>
    </rPh>
    <rPh sb="16" eb="18">
      <t>ヘンカン</t>
    </rPh>
    <rPh sb="19" eb="21">
      <t>コウゲキ</t>
    </rPh>
    <phoneticPr fontId="5"/>
  </si>
  <si>
    <t>[effect:panel_freeze, target:block_yellow, count:-1],[effect:damage_gravity, val:0.4, animation:fevergauge_down]</t>
    <phoneticPr fontId="5"/>
  </si>
  <si>
    <t>Cパネルを10個までお邪魔パネルに変換+攻撃</t>
    <rPh sb="17" eb="19">
      <t>ヘンカン</t>
    </rPh>
    <rPh sb="20" eb="22">
      <t>コウゲキ</t>
    </rPh>
    <phoneticPr fontId="5"/>
  </si>
  <si>
    <t>[effect:crash_growth, count:-1, val:-46, animation:change_block]</t>
    <phoneticPr fontId="5"/>
  </si>
  <si>
    <t>[effect:break_attack_fix, val:225, lowest_val:1250, count:15, block:block_blue, target:unit_all]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</si>
  <si>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</si>
  <si>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</si>
  <si>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</si>
  <si>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</si>
  <si>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</si>
  <si>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</si>
  <si>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</si>
  <si>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</si>
  <si>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</si>
  <si>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</si>
  <si>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</si>
  <si>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</si>
  <si>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</si>
  <si>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</si>
  <si>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</si>
  <si>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</si>
  <si>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</si>
  <si>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</si>
  <si>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</si>
  <si>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</si>
  <si>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</si>
  <si>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</si>
  <si>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</si>
  <si>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</si>
  <si>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</si>
  <si>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</si>
  <si>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</si>
  <si>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</si>
  <si>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[effect:suicide, val:1, dead_type:escape, target:myself]</t>
    <phoneticPr fontId="5"/>
  </si>
  <si>
    <t>old</t>
    <phoneticPr fontId="5"/>
  </si>
  <si>
    <t>黄パネルを5個まで時限式ダメージパネルに変換
+攻撃</t>
    <rPh sb="0" eb="1">
      <t>キパネル</t>
    </rPh>
    <rPh sb="9" eb="12">
      <t>ジゲンシキ</t>
    </rPh>
    <rPh sb="20" eb="22">
      <t>ヘンカン</t>
    </rPh>
    <rPh sb="24" eb="26">
      <t>コウゲキ</t>
    </rPh>
    <phoneticPr fontId="5"/>
  </si>
  <si>
    <t>[effect:rush, count:1, val:0.7]</t>
    <phoneticPr fontId="5"/>
  </si>
  <si>
    <t>[effect:rush, count:1, val:0.5]</t>
    <phoneticPr fontId="5"/>
  </si>
  <si>
    <t>[effect:rush, count:1, val:0.9]</t>
    <phoneticPr fontId="5"/>
  </si>
  <si>
    <t>[effect:rush, count:1, val:1.1]</t>
    <phoneticPr fontId="5"/>
  </si>
  <si>
    <t>赤属性に変化
+3ターン全属性のダメージ50%軽減</t>
    <rPh sb="0" eb="1">
      <t>アカ</t>
    </rPh>
    <rPh sb="1" eb="3">
      <t>ゾクセイ</t>
    </rPh>
    <rPh sb="4" eb="6">
      <t>ヘンカ</t>
    </rPh>
    <phoneticPr fontId="5"/>
  </si>
  <si>
    <t>[effect:drop_freeze, block_type:normal, block_color:block_blue, frozen_count:1, rate:1, turn:-1, animation:drop_protect],[effect:drop_freeze, block_type:normal, block_color:block_red, frozen_count:1, rate:1, turn:-1],[effect:fix_speed, target:myself, turn:1]</t>
    <phoneticPr fontId="5"/>
  </si>
  <si>
    <t>ハートパネルがプロテクト状態でドロップ
+3ターン全属性のダメージ100%軽減</t>
    <rPh sb="12" eb="14">
      <t>ジョウタイ</t>
    </rPh>
    <rPh sb="25" eb="28">
      <t>ゼンゾクセイ</t>
    </rPh>
    <rPh sb="37" eb="39">
      <t>ケイゲン</t>
    </rPh>
    <phoneticPr fontId="5"/>
  </si>
  <si>
    <t>お邪魔パネル5個生成+攻撃</t>
    <rPh sb="8" eb="10">
      <t>セイセイ</t>
    </rPh>
    <rPh sb="11" eb="13">
      <t>コウゲキ</t>
    </rPh>
    <phoneticPr fontId="5"/>
  </si>
  <si>
    <t>[effect:nothing]</t>
    <phoneticPr fontId="5"/>
  </si>
  <si>
    <t>null</t>
    <phoneticPr fontId="5"/>
  </si>
  <si>
    <t>everyone</t>
  </si>
  <si>
    <t>null</t>
  </si>
  <si>
    <t>unit</t>
  </si>
  <si>
    <t>50006_1</t>
  </si>
  <si>
    <t>old</t>
  </si>
  <si>
    <t>failure</t>
    <phoneticPr fontId="5"/>
  </si>
  <si>
    <t>イリアは2ゲージ目でHPが半分を下回ると
攻撃力と攻撃頻度を強化します
スキルを惜しみなく使って撃破しましょう</t>
    <phoneticPr fontId="5"/>
  </si>
  <si>
    <t>アーサーはCパネルを吸収して
強力な攻撃・回復を行うことがあります
なるべくCパネルを残さずに戦いましょう</t>
    <phoneticPr fontId="5"/>
  </si>
  <si>
    <t>モルドレッドは登場すると同時に
5ターン持続するカウンターを展開します
手痛い反撃を受けないよう気をつけましょう</t>
    <phoneticPr fontId="5"/>
  </si>
  <si>
    <t>フレイはHPが半分を下回ると
大量の時限式ダメージパネルを生成します
解除する手はずを整えておきましょう</t>
    <phoneticPr fontId="5"/>
  </si>
  <si>
    <t>フレイヤはHPを減らせば
ハート無効状態を解除してくれます
ただし減らしすぎると
怒って攻撃力がUPするので注意しましょう</t>
    <phoneticPr fontId="5"/>
  </si>
  <si>
    <t>フレイヤはフレイが倒されると
後を追うように逃走していきます
狙うべき相手を見定めて戦いましょう</t>
    <phoneticPr fontId="5"/>
  </si>
  <si>
    <t>セトは2ゲージ目に移行すると
お邪魔パネルを頻繁に生成します
スキルやフィーバーのタイミングが重要です</t>
    <phoneticPr fontId="5"/>
  </si>
  <si>
    <t>セトの毎ターン強くなる攻撃は
HPを一定量削り取ることで中断できます
耐えられなくなる前に反撃に転じましょう</t>
    <phoneticPr fontId="5"/>
  </si>
  <si>
    <t>セトはHPが残りわずかになると
全ての力を注いで即死級の一撃を放ちます
予兆を感じたら全力で倒し切りましょう</t>
    <phoneticPr fontId="5"/>
  </si>
  <si>
    <t>[effect:freq_turn, target:myself, turn:-1, val:1, animation:enemy_freq_turn]</t>
    <phoneticPr fontId="5"/>
  </si>
  <si>
    <t>old</t>
    <phoneticPr fontId="7"/>
  </si>
  <si>
    <t>ここは耐えなきゃ…！</t>
    <rPh sb="3" eb="4">
      <t>タエナクチャ</t>
    </rPh>
    <phoneticPr fontId="5"/>
  </si>
  <si>
    <t>単体攻撃</t>
    <rPh sb="0" eb="2">
      <t>タンタイ</t>
    </rPh>
    <rPh sb="2" eb="4">
      <t>コウゲキ</t>
    </rPh>
    <phoneticPr fontId="5"/>
  </si>
  <si>
    <t>- / 連続攻撃</t>
  </si>
  <si>
    <t>- / -</t>
  </si>
  <si>
    <t>[effect:rush, count:1, val:1.1]</t>
    <phoneticPr fontId="5"/>
  </si>
  <si>
    <t>ja</t>
    <phoneticPr fontId="5"/>
  </si>
  <si>
    <t>これが私の切り札だよ！</t>
    <rPh sb="3" eb="4">
      <t>ワタシノ</t>
    </rPh>
    <rPh sb="5" eb="6">
      <t>キリフダ</t>
    </rPh>
    <phoneticPr fontId="5"/>
  </si>
  <si>
    <t>クリティカル！</t>
    <phoneticPr fontId="5"/>
  </si>
  <si>
    <t>[effect:rush, count:1, val:0.8]</t>
    <phoneticPr fontId="5"/>
  </si>
  <si>
    <t>今度は負けないもん！</t>
    <rPh sb="0" eb="2">
      <t>コンド</t>
    </rPh>
    <rPh sb="3" eb="4">
      <t>マケナイ</t>
    </rPh>
    <phoneticPr fontId="5"/>
  </si>
  <si>
    <t>私がみんなを守らなきゃ…！</t>
    <rPh sb="0" eb="1">
      <t>ワタシガ</t>
    </rPh>
    <rPh sb="6" eb="7">
      <t>マモラナキャ</t>
    </rPh>
    <phoneticPr fontId="5"/>
  </si>
  <si>
    <t>みんなの笑顔を取り戻すの！</t>
    <rPh sb="4" eb="6">
      <t>エガオヲ</t>
    </rPh>
    <rPh sb="7" eb="8">
      <t>トリモドス</t>
    </rPh>
    <phoneticPr fontId="5"/>
  </si>
  <si>
    <t>さぁイリア　キミの手番だよ</t>
    <rPh sb="9" eb="10">
      <t>テバン</t>
    </rPh>
    <rPh sb="10" eb="11">
      <t>バン</t>
    </rPh>
    <phoneticPr fontId="5"/>
  </si>
  <si>
    <t>これを凌ぎ切れるかな？</t>
    <rPh sb="3" eb="4">
      <t>シノギキレル</t>
    </rPh>
    <phoneticPr fontId="5"/>
  </si>
  <si>
    <t>凄まじい災禍が一帯を吹き飛ばした！</t>
    <rPh sb="0" eb="1">
      <t>スサマジイ</t>
    </rPh>
    <rPh sb="4" eb="6">
      <t>サイカ</t>
    </rPh>
    <rPh sb="7" eb="9">
      <t>イッタイヲ</t>
    </rPh>
    <rPh sb="10" eb="11">
      <t>フキトバシタ</t>
    </rPh>
    <phoneticPr fontId="5"/>
  </si>
  <si>
    <t>しまった　行き止まりだ！</t>
    <rPh sb="5" eb="6">
      <t>イキドマリ</t>
    </rPh>
    <phoneticPr fontId="5"/>
  </si>
  <si>
    <t>エクスシュレッドIV</t>
    <phoneticPr fontId="5"/>
  </si>
  <si>
    <t>スパイラルソード</t>
    <phoneticPr fontId="5"/>
  </si>
  <si>
    <t>ソードオブマジック</t>
    <phoneticPr fontId="5"/>
  </si>
  <si>
    <t>シースオブマジック</t>
    <phoneticPr fontId="5"/>
  </si>
  <si>
    <t>ファンタジア</t>
    <phoneticPr fontId="5"/>
  </si>
  <si>
    <t>これは必要な犠牲なんだ…！</t>
    <rPh sb="3" eb="5">
      <t>ヒツヨウナ</t>
    </rPh>
    <rPh sb="6" eb="8">
      <t>ギセイ</t>
    </rPh>
    <phoneticPr fontId="5"/>
  </si>
  <si>
    <t>HPが減るほど強力な攻撃を連発する</t>
    <rPh sb="3" eb="4">
      <t>ヘルホド</t>
    </rPh>
    <rPh sb="7" eb="9">
      <t>キョウリョクナ</t>
    </rPh>
    <rPh sb="10" eb="12">
      <t>コウゲキヲ</t>
    </rPh>
    <rPh sb="13" eb="15">
      <t>レンパツ</t>
    </rPh>
    <phoneticPr fontId="5"/>
  </si>
  <si>
    <t>ダモクレスフラッシュ</t>
    <phoneticPr fontId="5"/>
  </si>
  <si>
    <t>ブルーガーディアン</t>
    <phoneticPr fontId="5"/>
  </si>
  <si>
    <t>くっ…剣が暴れ始めてる…！</t>
    <rPh sb="3" eb="4">
      <t>ケンガ</t>
    </rPh>
    <rPh sb="5" eb="6">
      <t>アバレハジメテ</t>
    </rPh>
    <phoneticPr fontId="5"/>
  </si>
  <si>
    <t>自身の攻撃頻度が1にUP</t>
    <rPh sb="0" eb="2">
      <t>ジシンノ</t>
    </rPh>
    <rPh sb="3" eb="7">
      <t>コウゲキヒンド</t>
    </rPh>
    <phoneticPr fontId="5"/>
  </si>
  <si>
    <t>俺の管理の何が悪い！？</t>
    <rPh sb="0" eb="1">
      <t>オレノ</t>
    </rPh>
    <rPh sb="2" eb="4">
      <t>カンリノ</t>
    </rPh>
    <rPh sb="5" eb="6">
      <t>ナニガ</t>
    </rPh>
    <rPh sb="7" eb="8">
      <t>ワルイ</t>
    </rPh>
    <phoneticPr fontId="5"/>
  </si>
  <si>
    <t>文句があんなら具体的に言いやがれ！</t>
    <rPh sb="0" eb="2">
      <t>モンクガ</t>
    </rPh>
    <rPh sb="7" eb="10">
      <t>グタイテキニ</t>
    </rPh>
    <rPh sb="11" eb="12">
      <t>イイヤガレ</t>
    </rPh>
    <phoneticPr fontId="5"/>
  </si>
  <si>
    <t>俺には俺のやり方がある！</t>
    <rPh sb="0" eb="1">
      <t>オレニハ</t>
    </rPh>
    <rPh sb="3" eb="4">
      <t>オレノ</t>
    </rPh>
    <phoneticPr fontId="5"/>
  </si>
  <si>
    <t>3ターン全ユニットの回復力50%DOWN
+全体攻撃</t>
    <rPh sb="4" eb="5">
      <t>ゼンユニット</t>
    </rPh>
    <rPh sb="10" eb="13">
      <t>カイフクリョク</t>
    </rPh>
    <rPh sb="22" eb="26">
      <t>ゼンタイコウゲキ</t>
    </rPh>
    <phoneticPr fontId="5"/>
  </si>
  <si>
    <t>猫の毛ほども譲る気はねェ！</t>
    <rPh sb="0" eb="1">
      <t>ネコノケホド</t>
    </rPh>
    <rPh sb="6" eb="7">
      <t>ユズル</t>
    </rPh>
    <rPh sb="8" eb="9">
      <t>キハ</t>
    </rPh>
    <phoneticPr fontId="5"/>
  </si>
  <si>
    <t>ランダムで12個時限式ダメージパネルに変換
+全体攻撃</t>
    <rPh sb="8" eb="11">
      <t>ジゲ</t>
    </rPh>
    <rPh sb="19" eb="21">
      <t>ヘンカン</t>
    </rPh>
    <rPh sb="23" eb="25">
      <t>ゼンタイ</t>
    </rPh>
    <rPh sb="25" eb="27">
      <t>コウゲキ</t>
    </rPh>
    <phoneticPr fontId="5"/>
  </si>
  <si>
    <t>猫は気まぐれ　常識よ？</t>
    <rPh sb="0" eb="1">
      <t>ネコハ</t>
    </rPh>
    <rPh sb="2" eb="3">
      <t>キマグレ</t>
    </rPh>
    <rPh sb="7" eb="9">
      <t>ジョウシキ</t>
    </rPh>
    <phoneticPr fontId="5"/>
  </si>
  <si>
    <t>ハートパネル無効の状態が解除された！</t>
    <rPh sb="6" eb="8">
      <t>ムコウ</t>
    </rPh>
    <rPh sb="9" eb="11">
      <t>ジョウタイ</t>
    </rPh>
    <rPh sb="12" eb="14">
      <t>カイジョ</t>
    </rPh>
    <phoneticPr fontId="5"/>
  </si>
  <si>
    <t>うぅ…みんな…どこ…？</t>
    <phoneticPr fontId="5"/>
  </si>
  <si>
    <t>ここで迎え撃つしかないか…モルド！</t>
    <rPh sb="3" eb="4">
      <t>ムカエウツ</t>
    </rPh>
    <phoneticPr fontId="5"/>
  </si>
  <si>
    <t>[effect:fix_speed, target:myself, turn:2]</t>
    <phoneticPr fontId="5"/>
  </si>
  <si>
    <t>[effect:break_attack_fix, val:5000, lowest_val:1, count:5, block:crash, target:unit_one]</t>
    <phoneticPr fontId="5"/>
  </si>
  <si>
    <t>Cパネルを吸収して攻撃（最大5個）</t>
    <rPh sb="5" eb="11">
      <t>キュウシュウコウゲキ</t>
    </rPh>
    <rPh sb="12" eb="14">
      <t>サイダイ</t>
    </rPh>
    <rPh sb="15" eb="16">
      <t>コ</t>
    </rPh>
    <phoneticPr fontId="5"/>
  </si>
  <si>
    <t>Cパネルを吸収して回復（最大5個）</t>
    <rPh sb="5" eb="9">
      <t>キュウシュウコウゲキ</t>
    </rPh>
    <rPh sb="9" eb="11">
      <t>カイフク</t>
    </rPh>
    <rPh sb="12" eb="14">
      <t>サイダイ</t>
    </rPh>
    <rPh sb="15" eb="16">
      <t>コ</t>
    </rPh>
    <phoneticPr fontId="5"/>
  </si>
  <si>
    <t>[effect:break_heal_fix, val:100000, lowest_val:0, count:5, block01:crash, target:myself, animation:enemy_heal]</t>
    <phoneticPr fontId="5"/>
  </si>
  <si>
    <t>解除されるまで攻撃力UP&amp;攻撃頻度が1にUP</t>
    <rPh sb="0" eb="2">
      <t>カイジョ</t>
    </rPh>
    <rPh sb="7" eb="9">
      <t>コウゲキ</t>
    </rPh>
    <rPh sb="9" eb="10">
      <t>リョク</t>
    </rPh>
    <rPh sb="13" eb="17">
      <t>コウゲキヒンド</t>
    </rPh>
    <phoneticPr fontId="5"/>
  </si>
  <si>
    <t>赤パネルを吸収して攻撃（最大15個）</t>
    <rPh sb="0" eb="1">
      <t>アカパネル</t>
    </rPh>
    <rPh sb="5" eb="7">
      <t>キュウシュウ</t>
    </rPh>
    <rPh sb="9" eb="11">
      <t>コウゲキ</t>
    </rPh>
    <rPh sb="12" eb="14">
      <t>サイダイ</t>
    </rPh>
    <rPh sb="16" eb="17">
      <t>コ</t>
    </rPh>
    <phoneticPr fontId="5"/>
  </si>
  <si>
    <t>[effect:degrade_unit, target:unit_all, turn:3, status:heal, val:0.5, calc:mul, animation:degrade_unit_all_heal],[effect:spread, val:0.25]</t>
    <phoneticPr fontId="5"/>
  </si>
  <si>
    <t>解除されるまで自身の攻撃力大UP
+ハートパネル無効の状態が解除された！</t>
    <rPh sb="0" eb="2">
      <t>カイジョサレルマデ</t>
    </rPh>
    <rPh sb="7" eb="9">
      <t>ジシンノ</t>
    </rPh>
    <rPh sb="10" eb="13">
      <t>コウゲキリョク</t>
    </rPh>
    <rPh sb="13" eb="14">
      <t>ダイ</t>
    </rPh>
    <phoneticPr fontId="5"/>
  </si>
  <si>
    <t>[effect:break_attack_fix, val:500, lowest_val:5000, count:15, block:block_red, target:unit_one]</t>
    <phoneticPr fontId="5"/>
  </si>
  <si>
    <t>赤・青パネルがプロテクト状態でドロップする！</t>
    <rPh sb="0" eb="1">
      <t>アカ</t>
    </rPh>
    <rPh sb="2" eb="3">
      <t>アオ</t>
    </rPh>
    <rPh sb="12" eb="14">
      <t>ジョウタイデ</t>
    </rPh>
    <phoneticPr fontId="5"/>
  </si>
  <si>
    <t>仲裁者の機拳</t>
    <rPh sb="0" eb="3">
      <t>チュウサイシャ</t>
    </rPh>
    <rPh sb="4" eb="5">
      <t>キカイ</t>
    </rPh>
    <rPh sb="5" eb="6">
      <t>コブシ</t>
    </rPh>
    <phoneticPr fontId="5"/>
  </si>
  <si>
    <t>黄パネルプロテクト+残りHPの40%ダメージ！</t>
    <rPh sb="0" eb="1">
      <t>キパネル</t>
    </rPh>
    <rPh sb="10" eb="11">
      <t>ノコリ</t>
    </rPh>
    <phoneticPr fontId="5"/>
  </si>
  <si>
    <t>ターン経過で強くなる攻撃</t>
    <rPh sb="6" eb="7">
      <t>ツヨクナル</t>
    </rPh>
    <rPh sb="10" eb="12">
      <t>コウゲキ</t>
    </rPh>
    <phoneticPr fontId="5"/>
  </si>
  <si>
    <t>[effect:enemy_message, val1:1.5, val2:1.8],[effect:suicide, val:1, dead_type:escape, target:enemy_all]</t>
    <phoneticPr fontId="5"/>
  </si>
  <si>
    <t>[effect:enemy_message, val1:1, val2:2.4],[effect:drop_block, block_type:time_bomb, block_color:block_yellow, color:block_yellow, val:0.2, rate:0.3, turn:-1, min_time_count:3, max_time_count:3, animation:time_bomb_influence04],[effect:drop_block, block_type:jammer, color:block_green, val:0, rate:0.2, turn:-1],[effect:drop_block, block_type:crash, color:block_all, val:8, rate:0.03, turn:-1],[effect:fix_speed, target:myself, turn:2]</t>
    <phoneticPr fontId="5"/>
  </si>
  <si>
    <t>周囲の時空が乱れている！
【ドロップパネルに異常が発生する】</t>
    <rPh sb="0" eb="2">
      <t>シュウイノ</t>
    </rPh>
    <rPh sb="3" eb="5">
      <t>ジクウガ</t>
    </rPh>
    <rPh sb="6" eb="7">
      <t>ミダレテイル</t>
    </rPh>
    <rPh sb="22" eb="24">
      <t>イジョウガ</t>
    </rPh>
    <rPh sb="25" eb="27">
      <t>ハッセイ</t>
    </rPh>
    <phoneticPr fontId="5"/>
  </si>
  <si>
    <t>[effect:enemy_message, val1:1, val2:2.6],[effect:enemy_counter, target:myself, invoke_condition:unit_all, counter_target:attacker, turn:5, val:1.5, animation:enemy_counter],[effect:fix_speed, target:myself, turn:2]</t>
    <phoneticPr fontId="5"/>
  </si>
  <si>
    <t>[effect:enemy_message, val1:2, val2:1.8],[effect:enhance_enemy, target:myself, turn:-1, status:attack, val:1.0, calc:mul, animation:enemy_enhance_attack]</t>
    <phoneticPr fontId="5"/>
  </si>
  <si>
    <t>[effect:enemy_message, val1:1.4, val2:2.6],[effect:enhance_enemy, target:myself, turn:-1, status:attack, val:0.5, calc:mul, animation:enemy_enhance_attack],[effect:remove_enhancement, target:unit_all, target_effect:dis_heart, target_type:debuff, animation:frozen_wave]</t>
    <phoneticPr fontId="5"/>
  </si>
  <si>
    <t>出現しているCパネル激烈縮小</t>
    <rPh sb="0" eb="2">
      <t>シュツゲン</t>
    </rPh>
    <rPh sb="10" eb="14">
      <t>ゲキレツシュクショウ</t>
    </rPh>
    <phoneticPr fontId="5"/>
  </si>
  <si>
    <t>ハハハッ…力が溢れてくる…！</t>
    <rPh sb="5" eb="6">
      <t>チカラガ</t>
    </rPh>
    <rPh sb="7" eb="8">
      <t>アフレテクル</t>
    </rPh>
    <phoneticPr fontId="5"/>
  </si>
  <si>
    <t>強力な緑パネル吸収攻撃（最大15個）</t>
    <rPh sb="0" eb="2">
      <t>キョウリョクナ</t>
    </rPh>
    <rPh sb="3" eb="4">
      <t>ミドリパネル</t>
    </rPh>
    <rPh sb="7" eb="11">
      <t>キュウシュウコウゲキ</t>
    </rPh>
    <rPh sb="12" eb="14">
      <t>サイダイ</t>
    </rPh>
    <rPh sb="16" eb="17">
      <t>コ</t>
    </rPh>
    <phoneticPr fontId="5"/>
  </si>
  <si>
    <t>強力な青パネル吸収攻撃（最大15個）</t>
    <rPh sb="0" eb="2">
      <t>キョウリョクナ</t>
    </rPh>
    <rPh sb="3" eb="4">
      <t>アオ</t>
    </rPh>
    <phoneticPr fontId="5"/>
  </si>
  <si>
    <t>あんたは良くやった方だって</t>
    <rPh sb="4" eb="5">
      <t>ヨク</t>
    </rPh>
    <rPh sb="9" eb="10">
      <t>ホウダ</t>
    </rPh>
    <phoneticPr fontId="5"/>
  </si>
  <si>
    <t>[effect:enemy_message, val1:1, val2:2.2],[effect:force_change_block, new_block:time_bomb, target:block_yellow,, ignore01:crash, ignore02:crack_bomb, count:5, val:0.3, min_time_count:3, max_time_count:3, animation:change_block],[effect:rush, count:1, val:1.0]</t>
    <phoneticPr fontId="5"/>
  </si>
  <si>
    <t>[effect:enemy_message, val1:1, val2:2.2],[effect:force_change_block, new_block:jammer, target:block_red, ignore01:crash, ignore02:crack_bomb, count:5, val:0, animation:change_block],[effect:rush, count:1, val:0.3]</t>
    <phoneticPr fontId="5"/>
  </si>
  <si>
    <t>[effect:enemy_message, val1:1.4, val2:2.6],[effect:drop_freeze, block_type:normal, block_color:block_heart, frozen_count:1, rate:1, turn:-1, animation:drop_protect],[effect:reduction, target:myself, turn:3, color:all, val:1, animation:reduction_one01],[effect:fix_speed, target:myself, turn:1]</t>
    <phoneticPr fontId="5"/>
  </si>
  <si>
    <t>[effect:enemy_message, val1:1.4, val2:1.8],[effect:rush, count:1, val:1.3]</t>
    <phoneticPr fontId="5"/>
  </si>
  <si>
    <t>[effect:enemy_message, val1:1.4, val2:1.8],[effect:break_attack_fix, val:225, lowest_val:1250, count:15, block:block_green, target:unit_all]</t>
    <phoneticPr fontId="5"/>
  </si>
  <si>
    <t>[effect:enemy_message, val1:2.0, val2:1.8],[effect:rush, count:1, val:1.3]</t>
    <phoneticPr fontId="5"/>
  </si>
  <si>
    <t>[effect:enemy_message, val1:1, val2:2.2],[effect:force_change_block, new_block:jammer, target:crash, ignore01:crack_bomb,  count:10, val:0, animation:change_block],[effect:rush, count:1, val:0.6]</t>
    <phoneticPr fontId="5"/>
  </si>
  <si>
    <t>[effect:enemy_message, val1:1, val2:2.4],[effect:degrade_unit, target:unit_all, turn:3, status:attack, val:0.5, calc:mul],[effect:enhance_enemy, target:myself, turn:-1, status:attack, val:0.25, calc:mul, animation:enemy_enhance_attack]</t>
    <phoneticPr fontId="5"/>
  </si>
  <si>
    <t>即死級の固定ダメージ！</t>
    <rPh sb="0" eb="3">
      <t>ソクシキュウ</t>
    </rPh>
    <rPh sb="4" eb="6">
      <t>コテイ</t>
    </rPh>
    <phoneticPr fontId="5"/>
  </si>
  <si>
    <t>時間の檻で朽ち果てな！</t>
    <rPh sb="0" eb="2">
      <t>ジカン</t>
    </rPh>
    <rPh sb="3" eb="4">
      <t>オリ</t>
    </rPh>
    <rPh sb="5" eb="6">
      <t>クチハテル</t>
    </rPh>
    <rPh sb="7" eb="8">
      <t>ハテ</t>
    </rPh>
    <phoneticPr fontId="5"/>
  </si>
  <si>
    <t>空間の檻で埋葬してやる！</t>
    <rPh sb="0" eb="2">
      <t>クウカン</t>
    </rPh>
    <rPh sb="3" eb="4">
      <t>オリ</t>
    </rPh>
    <rPh sb="5" eb="7">
      <t>マイソウ</t>
    </rPh>
    <phoneticPr fontId="5"/>
  </si>
  <si>
    <t>バステト…あんたじゃ俺は倒せねーよ</t>
    <rPh sb="10" eb="11">
      <t>オレ</t>
    </rPh>
    <rPh sb="12" eb="13">
      <t>タオセ</t>
    </rPh>
    <phoneticPr fontId="5"/>
  </si>
  <si>
    <t>[effect:enemy_message, val1:1.4, val2:1.8],[effect:drop_freeze, block_type:normal, block_color:block_blue, frozen_count:1, rate:1, turn:-1, animation:drop_protect],[effect:drop_freeze, block_type:normal, block_color:block_red, frozen_count:1, rate:1, turn:-1],[effect:fix_speed, target:myself, turn:1]</t>
    <phoneticPr fontId="5"/>
  </si>
  <si>
    <t>[effect:enemy_message, val1:2, val2:1.8],[effect:drop_freeze, block_type:normal, block_color:block_blue, frozen_count:1, rate:1, turn:-1, animation:drop_protect],[effect:drop_freeze, block_type:normal, block_color:block_red, frozen_count:1, rate:1, turn:-1],[effect:fix_speed, target:myself, turn:1]</t>
    <phoneticPr fontId="5"/>
  </si>
  <si>
    <t>環境管理AIだと…？
おれも大物になったもんだ</t>
    <rPh sb="0" eb="4">
      <t>カンキョウカンリ</t>
    </rPh>
    <rPh sb="14" eb="16">
      <t>オオモノ</t>
    </rPh>
    <phoneticPr fontId="5"/>
  </si>
  <si>
    <t>刃向かえば待つのは滅びだ</t>
    <rPh sb="0" eb="2">
      <t>ハムカエバ</t>
    </rPh>
    <rPh sb="5" eb="6">
      <t>マツノハ</t>
    </rPh>
    <rPh sb="9" eb="10">
      <t>ホロビ</t>
    </rPh>
    <phoneticPr fontId="5"/>
  </si>
  <si>
    <t>[effect:enemy_message, val1:2, val2:1.8],[effect:drop_freeze, block_type:normal, block_color:block_blue, frozen_count:1, rate:1, turn:-1, animation:drop_protect],[effect:drop_freeze, block_type:normal, block_color:block_red, frozen_count:1, rate:1, turn:-1],[effect:fix_speed, target:myself, turn:1]</t>
    <phoneticPr fontId="5"/>
  </si>
  <si>
    <t>[effect:enemy_message, val1:1.4, val2:2.6]</t>
    <phoneticPr fontId="5"/>
  </si>
  <si>
    <t>まだ力が制御出来てないのか？
そうだ…そうに違いない…！</t>
    <rPh sb="2" eb="3">
      <t>チカラノ</t>
    </rPh>
    <rPh sb="4" eb="6">
      <t>セイギョ</t>
    </rPh>
    <rPh sb="6" eb="8">
      <t>デキテナイ</t>
    </rPh>
    <rPh sb="22" eb="23">
      <t>チガイ</t>
    </rPh>
    <phoneticPr fontId="5"/>
  </si>
  <si>
    <t>[effect:enemy_message, val1:1.4, val2:2.2]</t>
    <phoneticPr fontId="5"/>
  </si>
  <si>
    <t>[effect:enemy_message, val1:1.6, val2:2.6]</t>
    <phoneticPr fontId="5"/>
  </si>
  <si>
    <t>[effect:enemy_message, val1:1.4, val2:2.6]</t>
    <phoneticPr fontId="5"/>
  </si>
  <si>
    <t>50006009_50006910</t>
  </si>
  <si>
    <t>null</t>
    <phoneticPr fontId="5"/>
  </si>
  <si>
    <t>嘘だ…あんたに負けるなんて…！</t>
    <rPh sb="0" eb="1">
      <t>ウソダ</t>
    </rPh>
    <rPh sb="7" eb="8">
      <t>マケル</t>
    </rPh>
    <phoneticPr fontId="5"/>
  </si>
  <si>
    <t>[effect:enemy_message, val1:1, val2:2.6],[effect:dis_heart, turn:3, animation:enemy_dis_heart],[effect:fix_speed, target:myself, turn:1]</t>
    <phoneticPr fontId="5"/>
  </si>
  <si>
    <t>種族ヒューマンの全ユニットに大ダメージ</t>
    <rPh sb="0" eb="2">
      <t>シュゾク</t>
    </rPh>
    <rPh sb="8" eb="9">
      <t>ゼン</t>
    </rPh>
    <rPh sb="14" eb="15">
      <t>ダイダメージ</t>
    </rPh>
    <phoneticPr fontId="5"/>
  </si>
  <si>
    <t>[effect:damage_anti_tribe, target:unit_all, tribe:human, val1:1.55, val2:0.25]</t>
    <phoneticPr fontId="5"/>
  </si>
  <si>
    <t>はいはいご苦労さん</t>
    <phoneticPr fontId="5"/>
  </si>
  <si>
    <t>complete</t>
  </si>
  <si>
    <t>セトは兄であるオシリスに嫉妬とも羨望とも
取れる複雑な感情を抱いていたようです</t>
    <phoneticPr fontId="5"/>
  </si>
  <si>
    <t>兄弟の諍い</t>
    <rPh sb="0" eb="2">
      <t>キョウダイノ</t>
    </rPh>
    <rPh sb="3" eb="4">
      <t>イサカイ</t>
    </rPh>
    <phoneticPr fontId="5"/>
  </si>
  <si>
    <t>セトの裏切り</t>
    <rPh sb="3" eb="5">
      <t>ウラギリ</t>
    </rPh>
    <phoneticPr fontId="5"/>
  </si>
  <si>
    <t>セトはオシリスの管理権限を奪い取ると
その力を存分に振るえる場所を求めて
ハートの女王側の勢力につきました</t>
    <phoneticPr fontId="5"/>
  </si>
  <si>
    <t>時間の暴走</t>
    <rPh sb="0" eb="2">
      <t>ジカン</t>
    </rPh>
    <rPh sb="3" eb="5">
      <t>ボウソウ</t>
    </rPh>
    <phoneticPr fontId="5"/>
  </si>
  <si>
    <t>セトは権限を使いこなすための実験として
過去の事件や争いを再現し続けていました
彼を倒した事で時空は正常化されるでしょう</t>
    <rPh sb="3" eb="5">
      <t>ケンゲン</t>
    </rPh>
    <rPh sb="6" eb="7">
      <t>ツカイコナス</t>
    </rPh>
    <phoneticPr fontId="5"/>
  </si>
  <si>
    <t>ヘリオポリスの持つ時間管理機能は
悪用すれば過去に起きた出来事を
完全再現する事ができる危険な力です</t>
    <rPh sb="13" eb="15">
      <t>キノウ</t>
    </rPh>
    <rPh sb="17" eb="19">
      <t>アクヨウスレバ</t>
    </rPh>
    <rPh sb="28" eb="31">
      <t>デキゴト</t>
    </rPh>
    <rPh sb="39" eb="40">
      <t>コトガ</t>
    </rPh>
    <rPh sb="47" eb="48">
      <t>チカラ</t>
    </rPh>
    <phoneticPr fontId="5"/>
  </si>
  <si>
    <t>決着</t>
    <rPh sb="0" eb="2">
      <t>ケッチャク</t>
    </rPh>
    <phoneticPr fontId="5"/>
  </si>
  <si>
    <t>セトとの戦いでは赤と青のパネルが
全てプロテクト状態でドロップします
アビリティによる対処が有効です</t>
    <phoneticPr fontId="5"/>
  </si>
  <si>
    <t>なんだよ兄さん
力を奪われて怒ってんのか？</t>
    <rPh sb="4" eb="5">
      <t>ニイサン</t>
    </rPh>
    <rPh sb="8" eb="9">
      <t>チカラヲ</t>
    </rPh>
    <rPh sb="10" eb="11">
      <t>ウバワレテ</t>
    </rPh>
    <rPh sb="14" eb="15">
      <t>オコッテ</t>
    </rPh>
    <phoneticPr fontId="5"/>
  </si>
  <si>
    <t>もうおれには何も通じない！</t>
    <rPh sb="6" eb="7">
      <t>ナニモ</t>
    </rPh>
    <rPh sb="8" eb="9">
      <t>ツウジネ</t>
    </rPh>
    <phoneticPr fontId="5"/>
  </si>
  <si>
    <t>諦めろ！</t>
    <rPh sb="0" eb="1">
      <t>アキラメロ</t>
    </rPh>
    <phoneticPr fontId="5"/>
  </si>
  <si>
    <t>その方が身のためだぜ？</t>
    <rPh sb="4" eb="5">
      <t>ミノタメ</t>
    </rPh>
    <phoneticPr fontId="5"/>
  </si>
  <si>
    <t>これ以上は無駄無駄無駄！</t>
    <rPh sb="5" eb="7">
      <t>ムダ</t>
    </rPh>
    <rPh sb="7" eb="9">
      <t>ムダ</t>
    </rPh>
    <rPh sb="9" eb="11">
      <t>ムダ</t>
    </rPh>
    <phoneticPr fontId="5"/>
  </si>
  <si>
    <t>あんたの力も奪ってやるよ！</t>
    <rPh sb="4" eb="5">
      <t>チカラモ</t>
    </rPh>
    <rPh sb="6" eb="7">
      <t>ウバッテ</t>
    </rPh>
    <phoneticPr fontId="5"/>
  </si>
  <si>
    <t>次で終わらせてやるよ…！！</t>
    <rPh sb="0" eb="1">
      <t>ツギデ</t>
    </rPh>
    <rPh sb="2" eb="3">
      <t>オワラセテ</t>
    </rPh>
    <phoneticPr fontId="5"/>
  </si>
  <si>
    <t>時空の彼方に消し飛べ！</t>
    <rPh sb="0" eb="2">
      <t>ジクウノ</t>
    </rPh>
    <rPh sb="3" eb="5">
      <t>カナタニ</t>
    </rPh>
    <rPh sb="6" eb="7">
      <t>ケシトベ</t>
    </rPh>
    <phoneticPr fontId="5"/>
  </si>
  <si>
    <t>次のターン即死級の固定ダメージ</t>
    <rPh sb="0" eb="1">
      <t>ツギノターン</t>
    </rPh>
    <rPh sb="5" eb="8">
      <t>ソクシキュウ</t>
    </rPh>
    <rPh sb="9" eb="11">
      <t>コテイ</t>
    </rPh>
    <phoneticPr fontId="5"/>
  </si>
  <si>
    <t>いったいどこからそんな力が…！？</t>
    <rPh sb="11" eb="12">
      <t>チカラヲ</t>
    </rPh>
    <phoneticPr fontId="5"/>
  </si>
  <si>
    <t>なんとなーくに決まってるじゃない！
【3ターンハートパネル無効】</t>
    <rPh sb="7" eb="8">
      <t>キマッテル</t>
    </rPh>
    <rPh sb="29" eb="31">
      <t>ムコウ</t>
    </rPh>
    <phoneticPr fontId="5"/>
  </si>
  <si>
    <t>ハァー情けないわね</t>
    <rPh sb="3" eb="4">
      <t>ナサケナイ</t>
    </rPh>
    <phoneticPr fontId="5"/>
  </si>
  <si>
    <t>乙女心の分かんないヤツ…</t>
    <rPh sb="0" eb="3">
      <t>オトメゴコロノ</t>
    </rPh>
    <rPh sb="4" eb="5">
      <t>ワカンナイ</t>
    </rPh>
    <phoneticPr fontId="5"/>
  </si>
  <si>
    <t>仕方ないわね　応戦するわ</t>
    <rPh sb="0" eb="2">
      <t>シカタナイワ</t>
    </rPh>
    <rPh sb="7" eb="9">
      <t>オウセン</t>
    </rPh>
    <phoneticPr fontId="5"/>
  </si>
  <si>
    <t>ここで私達が倒れるわけにはいかないもの…！
【5ターン全属性の攻撃をカウンター】</t>
    <rPh sb="3" eb="5">
      <t>ワタシタチガ</t>
    </rPh>
    <rPh sb="6" eb="7">
      <t>タオレル</t>
    </rPh>
    <rPh sb="27" eb="30">
      <t>ゼンゾクセイ</t>
    </rPh>
    <rPh sb="31" eb="33">
      <t>コウゲキヲ</t>
    </rPh>
    <phoneticPr fontId="5"/>
  </si>
  <si>
    <t>俺が…俺のやり方が甘かったから…？</t>
    <rPh sb="0" eb="1">
      <t>オレガ</t>
    </rPh>
    <rPh sb="3" eb="4">
      <t>オレガ</t>
    </rPh>
    <rPh sb="9" eb="10">
      <t>アマカッタ</t>
    </rPh>
    <phoneticPr fontId="5"/>
  </si>
  <si>
    <t>神々こそ至高の存在だ！</t>
    <rPh sb="0" eb="1">
      <t>カミガミ</t>
    </rPh>
    <rPh sb="4" eb="6">
      <t>シコウノソンザイ</t>
    </rPh>
    <phoneticPr fontId="5"/>
  </si>
  <si>
    <t>後片付けはいつも妹の役目なんだから…</t>
    <rPh sb="0" eb="3">
      <t>アトカタヅケ</t>
    </rPh>
    <rPh sb="8" eb="9">
      <t>イモウト</t>
    </rPh>
    <rPh sb="10" eb="12">
      <t>ヤクメ</t>
    </rPh>
    <phoneticPr fontId="5"/>
  </si>
  <si>
    <t>今のおれは神をも上回るぜ！</t>
    <rPh sb="0" eb="1">
      <t>イマノ</t>
    </rPh>
    <rPh sb="5" eb="6">
      <t>カミヲ</t>
    </rPh>
    <rPh sb="8" eb="10">
      <t>ウワマワル</t>
    </rPh>
    <phoneticPr fontId="5"/>
  </si>
  <si>
    <t>それで戦ってるつもりか！？</t>
    <rPh sb="3" eb="4">
      <t>タタカッテル</t>
    </rPh>
    <phoneticPr fontId="5"/>
  </si>
  <si>
    <t>あんたじゃ届かねーよ！</t>
    <rPh sb="5" eb="6">
      <t>トドカナイ</t>
    </rPh>
    <phoneticPr fontId="5"/>
  </si>
  <si>
    <t>ハッ！これで心置きなくやれるってもんだ！
【解除されるまで攻撃力超大UP】</t>
    <rPh sb="6" eb="8">
      <t>ココロオキナク</t>
    </rPh>
    <rPh sb="22" eb="24">
      <t>カイジョサレルマデ</t>
    </rPh>
    <rPh sb="29" eb="32">
      <t>コウゲキリョク</t>
    </rPh>
    <rPh sb="32" eb="34">
      <t>チョウダイ</t>
    </rPh>
    <phoneticPr fontId="5"/>
  </si>
  <si>
    <t>そこまでしておれを倒したいか！</t>
    <rPh sb="9" eb="10">
      <t>タオシタイカ</t>
    </rPh>
    <phoneticPr fontId="5"/>
  </si>
  <si>
    <t>この力は絶対に離さねーぞ！</t>
    <rPh sb="4" eb="6">
      <t>ゼッタイニ</t>
    </rPh>
    <rPh sb="7" eb="8">
      <t>ハナサナイ</t>
    </rPh>
    <phoneticPr fontId="5"/>
  </si>
  <si>
    <t>おれはまだまだ強くなる…！</t>
    <rPh sb="7" eb="8">
      <t>ツヨクナル</t>
    </rPh>
    <phoneticPr fontId="5"/>
  </si>
  <si>
    <t>くそ！力の制御が完全なら…！</t>
    <rPh sb="3" eb="4">
      <t>チカラノセイギョ</t>
    </rPh>
    <rPh sb="8" eb="10">
      <t>カンゼン</t>
    </rPh>
    <phoneticPr fontId="5"/>
  </si>
  <si>
    <t>何故だ…全ての権限を奪ったはずなのに</t>
    <rPh sb="0" eb="2">
      <t>ナゼダ</t>
    </rPh>
    <rPh sb="4" eb="5">
      <t>スベテノ</t>
    </rPh>
    <rPh sb="7" eb="9">
      <t>ケンゲンヲ</t>
    </rPh>
    <rPh sb="10" eb="11">
      <t>ウバッタ</t>
    </rPh>
    <phoneticPr fontId="5"/>
  </si>
  <si>
    <t>噂に違わぬ強さだな…ゼウス</t>
    <rPh sb="0" eb="1">
      <t>ウワサニタガワヌ</t>
    </rPh>
    <rPh sb="5" eb="6">
      <t>ツヨサダ</t>
    </rPh>
    <phoneticPr fontId="5"/>
  </si>
  <si>
    <t>今回は勝ちを譲ってやるよ
さっさと環境でも何でも戻しやがれ…</t>
    <rPh sb="0" eb="2">
      <t>コンカイハ</t>
    </rPh>
    <rPh sb="3" eb="4">
      <t>カチヲ</t>
    </rPh>
    <rPh sb="6" eb="7">
      <t>ユズッテヤル</t>
    </rPh>
    <rPh sb="17" eb="19">
      <t>カンキョウ</t>
    </rPh>
    <rPh sb="21" eb="22">
      <t>ナンデモ</t>
    </rPh>
    <rPh sb="24" eb="25">
      <t>モドシヤガレ</t>
    </rPh>
    <phoneticPr fontId="5"/>
  </si>
  <si>
    <t>私…まだ戦える…どうして私を置いていくの…？</t>
    <rPh sb="0" eb="1">
      <t>ワタシ</t>
    </rPh>
    <rPh sb="4" eb="5">
      <t>タタカエル</t>
    </rPh>
    <rPh sb="12" eb="13">
      <t>ワタシヲ</t>
    </rPh>
    <rPh sb="14" eb="15">
      <t>オイテ</t>
    </rPh>
    <phoneticPr fontId="5"/>
  </si>
  <si>
    <t>[effect:enemy_message, val1:1.4, val2:2.0],[effect:suicide, val:0.5, dead_type:suicide, target:myself, animation:enemy_suicide]</t>
    <phoneticPr fontId="5"/>
  </si>
  <si>
    <t>運がよかったな、あんた…次はこうはいかねーぞ…！</t>
    <rPh sb="0" eb="1">
      <t>ウンガ</t>
    </rPh>
    <rPh sb="12" eb="13">
      <t>ツギハ</t>
    </rPh>
    <phoneticPr fontId="5"/>
  </si>
  <si>
    <t>[effect:damage_fix_absolute, target:unit_all, val:50000]</t>
    <phoneticPr fontId="5"/>
  </si>
  <si>
    <t>やぁ…余興は楽しめたか？</t>
    <rPh sb="3" eb="5">
      <t>ヨキョウハ</t>
    </rPh>
    <rPh sb="6" eb="7">
      <t>タノシメタ</t>
    </rPh>
    <phoneticPr fontId="5"/>
  </si>
  <si>
    <t>待て、イリア…
何か来る…！？</t>
    <rPh sb="0" eb="1">
      <t>マテ</t>
    </rPh>
    <rPh sb="8" eb="9">
      <t>ナニカ</t>
    </rPh>
    <rPh sb="10" eb="11">
      <t>クル</t>
    </rPh>
    <phoneticPr fontId="5"/>
  </si>
  <si>
    <t>黙って
従ってればいいんだよ！</t>
    <rPh sb="0" eb="1">
      <t>ダマッテ</t>
    </rPh>
    <rPh sb="4" eb="5">
      <t>シタガッテレバ</t>
    </rPh>
    <phoneticPr fontId="5"/>
  </si>
  <si>
    <t>うるさいのは
どっか行ったか…</t>
    <rPh sb="10" eb="11">
      <t>イッタカ</t>
    </rPh>
    <phoneticPr fontId="5"/>
  </si>
  <si>
    <t>クソ！
なんッも理解できねぇ！</t>
    <rPh sb="8" eb="10">
      <t>リカイ</t>
    </rPh>
    <phoneticPr fontId="5"/>
  </si>
  <si>
    <t>なによ！そこまで
言うことないでしょ！</t>
    <rPh sb="9" eb="10">
      <t>イウ</t>
    </rPh>
    <phoneticPr fontId="5"/>
  </si>
  <si>
    <t>フフ…
何か隠し持ってるね…？</t>
    <rPh sb="4" eb="5">
      <t>ナニカ</t>
    </rPh>
    <rPh sb="6" eb="7">
      <t>カクシモッテル</t>
    </rPh>
    <phoneticPr fontId="5"/>
  </si>
  <si>
    <t>モルド！？
しっかりしろモルド！</t>
    <phoneticPr fontId="5"/>
  </si>
  <si>
    <t>アーサー…どうして？
どこにいったの！？</t>
    <phoneticPr fontId="5"/>
  </si>
  <si>
    <t>3ターン全ユニットの攻撃力50%DOWN
+自身の攻撃力大UP</t>
    <rPh sb="4" eb="5">
      <t>ゼンユニット</t>
    </rPh>
    <rPh sb="10" eb="12">
      <t>コウゲキ</t>
    </rPh>
    <rPh sb="12" eb="13">
      <t>リョク</t>
    </rPh>
    <rPh sb="22" eb="24">
      <t>ジシンノ</t>
    </rPh>
    <rPh sb="25" eb="28">
      <t>コウゲキリョク</t>
    </rPh>
    <rPh sb="28" eb="29">
      <t>ダイ</t>
    </rPh>
    <phoneticPr fontId="5"/>
  </si>
  <si>
    <t>[effect:enemy_message, val1:1, val2:2.2],[effect:enhance_enemy, target:myself, turn:-1, status:attack, val:0.2, calc:mul, animation:enemy_enhance_attack],[effect:freq_turn, target:myself, turn:-1, val:1, animation:enemy_freq_turn]</t>
    <phoneticPr fontId="5"/>
  </si>
  <si>
    <t>不敵な笑みを浮かべている</t>
    <rPh sb="0" eb="2">
      <t>フテキナ</t>
    </rPh>
    <rPh sb="3" eb="4">
      <t>エミヲ</t>
    </rPh>
    <rPh sb="6" eb="7">
      <t>ウカベテイル</t>
    </rPh>
    <phoneticPr fontId="5"/>
  </si>
  <si>
    <t>ランダムで14個時限式ダメージパネルに変換
+攻撃</t>
    <rPh sb="8" eb="11">
      <t>ジゲンシキ</t>
    </rPh>
    <rPh sb="23" eb="25">
      <t>コウゲキ</t>
    </rPh>
    <phoneticPr fontId="5"/>
  </si>
  <si>
    <t>[effect:enemy_message, val1:1, val2:1.8],[effect:fix_speed, target:myself, turn:1]</t>
    <phoneticPr fontId="5"/>
  </si>
  <si>
    <t>[effect:force_change_block, new_block:jammer, target:block_all, ignore01:crash, ignore02:crack_bomb, ignore03:color_break, ignore04:magnet, count:5, val:0, animation:change_block],[effect:rush, count:1, val:1.0]</t>
    <phoneticPr fontId="5"/>
  </si>
  <si>
    <t>[effect:enemy_message, val1:1, val2:2.2],[effect:force_change_block, new_block:time_bomb, target:block_all, ignore01:crash, ignore02:crack_bomb, ignore03:color_break, ignore04:magnet, count:14, val:0.2, min_time_count:2, max_time_count:2, animation:change_block],[effect:rush, count:1, val:1.0]</t>
    <phoneticPr fontId="5"/>
  </si>
  <si>
    <t>[effect:enemy_message, val1:1, val2:2.2],[effect:force_change_block, new_block:time_bomb, target:block_all, ignore01:time_bomb, ignore02:jammer, ignore03:crash, ignore04:crack_bomb, ignore05:color_break, ignore06:magnet, count:12, val:0.3, animation:change_block],[effect:spread, val:0.25]</t>
    <phoneticPr fontId="5"/>
  </si>
  <si>
    <t>[effect:enhance_enemy, target:myself, turn:3, status:attack, val:0.2, calc:mul, animation:enemy_enhance_attack],[effect:fix_speed, target:myself, turn:1]</t>
    <phoneticPr fontId="5"/>
  </si>
  <si>
    <t>[effect:enemy_message, val1:1, val2:2.4],[effect:change_attribute, target:myself, color:red, turn:-1],[effect:reduction, target:myself, turn:3, color:all, val:0.5, animation:reduction_one01],[effect:fix_speed, target:myself, turn:1]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</si>
</sst>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3"/>
      <color rgb="FF000000"/>
      <name val="Helvetica Neue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33" borderId="3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 wrapText="1"/>
    </xf>
    <xf numFmtId="0" fontId="16" fillId="33" borderId="7" xfId="0" applyFont="1" applyFill="1" applyBorder="1" applyAlignment="1">
      <alignment vertical="center"/>
    </xf>
    <xf numFmtId="0" fontId="0" fillId="33" borderId="7" xfId="0" applyFill="1" applyBorder="1"/>
    <xf numFmtId="0" fontId="6" fillId="32" borderId="1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52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 wrapText="1"/>
    </xf>
    <xf numFmtId="0" fontId="52" fillId="0" borderId="7" xfId="0" applyFont="1" applyFill="1" applyBorder="1" applyAlignment="1">
      <alignment horizontal="left" vertical="center"/>
    </xf>
    <xf numFmtId="0" fontId="52" fillId="0" borderId="7" xfId="0" applyFont="1" applyFill="1" applyBorder="1" applyAlignment="1">
      <alignment horizontal="left" vertical="center" wrapText="1"/>
    </xf>
    <xf numFmtId="0" fontId="53" fillId="0" borderId="7" xfId="0" applyFont="1" applyFill="1" applyBorder="1" applyAlignment="1">
      <alignment vertical="center"/>
    </xf>
    <xf numFmtId="0" fontId="52" fillId="33" borderId="7" xfId="0" applyFont="1" applyFill="1" applyBorder="1" applyAlignment="1">
      <alignment vertical="center"/>
    </xf>
    <xf numFmtId="0" fontId="54" fillId="0" borderId="0" xfId="0" applyFont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2" sqref="H2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308</v>
      </c>
      <c r="B2" s="57" t="s">
        <v>107</v>
      </c>
      <c r="C2" s="63">
        <v>50006</v>
      </c>
      <c r="D2" s="57" t="s">
        <v>108</v>
      </c>
      <c r="E2" s="56" t="str">
        <f>B2&amp;C2&amp;D2</f>
        <v>floors_50006.tmp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308</v>
      </c>
      <c r="B3" s="57" t="s">
        <v>110</v>
      </c>
      <c r="C3" s="63">
        <v>50006</v>
      </c>
      <c r="D3" s="57" t="s">
        <v>108</v>
      </c>
      <c r="E3" s="56" t="str">
        <f>B3&amp;C3&amp;D3</f>
        <v>enemy_habitats_50006.tmp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308</v>
      </c>
      <c r="B4" s="57" t="s">
        <v>112</v>
      </c>
      <c r="C4" s="63">
        <v>50006</v>
      </c>
      <c r="D4" s="57" t="s">
        <v>108</v>
      </c>
      <c r="E4" s="56" t="str">
        <f>B4&amp;C4&amp;D4</f>
        <v>enemy_habitat_S_50006.tmp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308</v>
      </c>
      <c r="B5" s="57" t="s">
        <v>114</v>
      </c>
      <c r="C5" s="63">
        <v>50006</v>
      </c>
      <c r="D5" s="57" t="s">
        <v>108</v>
      </c>
      <c r="E5" s="56" t="str">
        <f>B5&amp;C5&amp;D5</f>
        <v>enemy_skill_sets_50006.tmp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308</v>
      </c>
      <c r="B6" s="57" t="s">
        <v>116</v>
      </c>
      <c r="C6" s="63">
        <v>50006</v>
      </c>
      <c r="D6" s="57" t="s">
        <v>117</v>
      </c>
      <c r="E6" s="56" t="str">
        <f t="shared" ref="E6:E10" si="0">B6&amp;C6&amp;D6</f>
        <v>enemy_skills_tmp_50006.tmp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308</v>
      </c>
      <c r="B7" s="57" t="s">
        <v>118</v>
      </c>
      <c r="C7" s="63">
        <v>50006</v>
      </c>
      <c r="D7" s="57" t="s">
        <v>108</v>
      </c>
      <c r="E7" s="56" t="str">
        <f>B7&amp;C7&amp;D7</f>
        <v>enemy_skills_i18n_50006.tmp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308</v>
      </c>
      <c r="B8" s="57" t="s">
        <v>120</v>
      </c>
      <c r="C8" s="63">
        <v>50006</v>
      </c>
      <c r="D8" s="57" t="s">
        <v>121</v>
      </c>
      <c r="E8" s="56" t="str">
        <f t="shared" si="0"/>
        <v>enemy_skill_triggers_50006.tmp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324</v>
      </c>
      <c r="B9" s="68" t="s">
        <v>178</v>
      </c>
      <c r="C9" s="63">
        <v>50006</v>
      </c>
      <c r="D9" s="68" t="s">
        <v>172</v>
      </c>
      <c r="E9" s="69" t="str">
        <f t="shared" si="0"/>
        <v>stage_bug_bonuses_50006.tmp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188</v>
      </c>
      <c r="B10" s="68" t="s">
        <v>201</v>
      </c>
      <c r="C10" s="63">
        <v>50006</v>
      </c>
      <c r="D10" s="68" t="s">
        <v>181</v>
      </c>
      <c r="E10" s="69" t="str">
        <f t="shared" si="0"/>
        <v>stage_hints_data_c_50006.tmp</v>
      </c>
      <c r="F10" s="68" t="s">
        <v>210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67" t="s">
        <v>185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5" customFormat="1" x14ac:dyDescent="0.15">
      <c r="A11" s="61" t="s">
        <v>324</v>
      </c>
      <c r="B11" s="68" t="s">
        <v>202</v>
      </c>
      <c r="C11" s="63">
        <v>50006</v>
      </c>
      <c r="D11" s="68" t="s">
        <v>172</v>
      </c>
      <c r="E11" s="69" t="str">
        <f t="shared" ref="E11:E13" si="1">B11&amp;C11&amp;D11</f>
        <v>stage_hints_data_f_50006.tmp</v>
      </c>
      <c r="F11" s="68" t="s">
        <v>211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67" t="s">
        <v>185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5" customFormat="1" x14ac:dyDescent="0.15">
      <c r="A12" s="68" t="s">
        <v>336</v>
      </c>
      <c r="B12" s="68" t="s">
        <v>204</v>
      </c>
      <c r="C12" s="63">
        <v>50006</v>
      </c>
      <c r="D12" s="68" t="s">
        <v>172</v>
      </c>
      <c r="E12" s="69" t="str">
        <f t="shared" si="1"/>
        <v>stage_hints_i18n_50006.tmp</v>
      </c>
      <c r="F12" s="68" t="s">
        <v>212</v>
      </c>
      <c r="G12" s="74" t="s">
        <v>205</v>
      </c>
      <c r="H12" s="93" t="s">
        <v>206</v>
      </c>
      <c r="I12" s="73" t="s">
        <v>207</v>
      </c>
      <c r="J12" s="97" t="s">
        <v>208</v>
      </c>
      <c r="K12" s="67" t="s">
        <v>209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5" customFormat="1" x14ac:dyDescent="0.15">
      <c r="A13" s="68" t="s">
        <v>203</v>
      </c>
      <c r="B13" s="68" t="s">
        <v>247</v>
      </c>
      <c r="C13" s="63">
        <v>50006</v>
      </c>
      <c r="D13" s="68" t="s">
        <v>228</v>
      </c>
      <c r="E13" s="69" t="str">
        <f t="shared" si="1"/>
        <v>stage_bonuses_50006.tmp</v>
      </c>
      <c r="F13" s="68" t="s">
        <v>227</v>
      </c>
      <c r="G13" s="73" t="s">
        <v>229</v>
      </c>
      <c r="H13" s="73" t="s">
        <v>230</v>
      </c>
      <c r="I13" s="73" t="s">
        <v>231</v>
      </c>
      <c r="J13" s="73" t="s">
        <v>232</v>
      </c>
      <c r="K13" s="73" t="s">
        <v>233</v>
      </c>
      <c r="L13" s="73" t="s">
        <v>234</v>
      </c>
      <c r="M13" s="73" t="s">
        <v>235</v>
      </c>
      <c r="N13" s="73" t="s">
        <v>236</v>
      </c>
      <c r="O13" s="73" t="s">
        <v>237</v>
      </c>
      <c r="P13" s="73" t="s">
        <v>238</v>
      </c>
      <c r="Q13" s="73" t="s">
        <v>239</v>
      </c>
      <c r="R13" s="73" t="s">
        <v>240</v>
      </c>
      <c r="S13" s="73" t="s">
        <v>241</v>
      </c>
      <c r="T13" s="73" t="s">
        <v>242</v>
      </c>
      <c r="U13" s="73" t="s">
        <v>243</v>
      </c>
      <c r="V13" s="73" t="s">
        <v>244</v>
      </c>
      <c r="W13" s="73" t="s">
        <v>245</v>
      </c>
      <c r="X13" s="73" t="s">
        <v>246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K2" sqref="K2:K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50006_1-1</v>
      </c>
      <c r="B2" s="16" t="str">
        <f>IF(COUNTIF(enemy_habitats!$H:$H,A2),"OK","NG")</f>
        <v>OK</v>
      </c>
      <c r="C2" s="7">
        <v>50006</v>
      </c>
      <c r="D2" s="11" t="str">
        <f ca="1">VLOOKUP($C2,OFFSET([2]quests!$A$1,0,0,COUNTA([2]quests!$A:$A),MATCH(D$1,[2]quests!$1:$1,0)-MATCH($C$1,[2]quests!$1:$1,0)+1),MATCH(D$1,[2]quests!$1:$1,0)-MATCH($C$1,[2]quests!$1:$1,0)+1,FALSE)</f>
        <v>セト襲来！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超降臨6</v>
      </c>
      <c r="F2" s="21">
        <v>1</v>
      </c>
      <c r="G2" s="23" t="str">
        <f>C2&amp;"_"&amp;F2</f>
        <v>50006_1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【超ウィザード級】セト襲来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50006_1-2</v>
      </c>
      <c r="B3" s="16" t="str">
        <f>IF(COUNTIF(enemy_habitats!$H:$H,A3),"OK","NG")</f>
        <v>OK</v>
      </c>
      <c r="C3" s="7">
        <v>50006</v>
      </c>
      <c r="D3" s="11" t="str">
        <f ca="1">VLOOKUP($C3,OFFSET([2]quests!$A$1,0,0,COUNTA([2]quests!$A:$A),MATCH(D$1,[2]quests!$1:$1,0)-MATCH($C$1,[2]quests!$1:$1,0)+1),MATCH(D$1,[2]quests!$1:$1,0)-MATCH($C$1,[2]quests!$1:$1,0)+1,FALSE)</f>
        <v>セト襲来！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超降臨6</v>
      </c>
      <c r="F3" s="21">
        <v>1</v>
      </c>
      <c r="G3" s="23" t="str">
        <f>C3&amp;"_"&amp;F3</f>
        <v>50006_1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【超ウィザード級】セト襲来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50006_1-3</v>
      </c>
      <c r="B4" s="16" t="str">
        <f>IF(COUNTIF(enemy_habitats!$H:$H,A4),"OK","NG")</f>
        <v>OK</v>
      </c>
      <c r="C4" s="7">
        <v>50006</v>
      </c>
      <c r="D4" s="11" t="str">
        <f ca="1">VLOOKUP($C4,OFFSET([2]quests!$A$1,0,0,COUNTA([2]quests!$A:$A),MATCH(D$1,[2]quests!$1:$1,0)-MATCH($C$1,[2]quests!$1:$1,0)+1),MATCH(D$1,[2]quests!$1:$1,0)-MATCH($C$1,[2]quests!$1:$1,0)+1,FALSE)</f>
        <v>セト襲来！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超降臨6</v>
      </c>
      <c r="F4" s="21">
        <v>1</v>
      </c>
      <c r="G4" s="23" t="str">
        <f>C4&amp;"_"&amp;F4</f>
        <v>50006_1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【超ウィザード級】セト襲来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50006_1-4</v>
      </c>
      <c r="B5" s="16" t="str">
        <f>IF(COUNTIF(enemy_habitats!$H:$H,A5),"OK","NG")</f>
        <v>OK</v>
      </c>
      <c r="C5" s="7">
        <v>50006</v>
      </c>
      <c r="D5" s="11" t="str">
        <f ca="1">VLOOKUP($C5,OFFSET([2]quests!$A$1,0,0,COUNTA([2]quests!$A:$A),MATCH(D$1,[2]quests!$1:$1,0)-MATCH($C$1,[2]quests!$1:$1,0)+1),MATCH(D$1,[2]quests!$1:$1,0)-MATCH($C$1,[2]quests!$1:$1,0)+1,FALSE)</f>
        <v>セト襲来！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超降臨6</v>
      </c>
      <c r="F5" s="21">
        <v>1</v>
      </c>
      <c r="G5" s="23" t="str">
        <f>C5&amp;"_"&amp;F5</f>
        <v>50006_1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【超ウィザード級】セト襲来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8"/>
  <sheetViews>
    <sheetView showGridLines="0" tabSelected="1" zoomScale="75" zoomScaleNormal="75" zoomScalePageLayoutView="75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AJ9" sqref="AJ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8" t="s">
        <v>248</v>
      </c>
      <c r="U1" s="26" t="s">
        <v>50</v>
      </c>
      <c r="V1" s="98" t="s">
        <v>249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8" ca="1" si="0">B2&amp;"_"&amp;C2&amp;"-"&amp;G2&amp;"/"&amp;L2&amp;"&lt;lv"&amp;R2&amp;"&gt;s"&amp;AC2</f>
        <v>50006_1-1/276&lt;lv50&gt;s2</v>
      </c>
      <c r="B2" s="22">
        <v>50006</v>
      </c>
      <c r="C2" s="21">
        <v>1</v>
      </c>
      <c r="D2" s="2" t="str">
        <f t="shared" ref="D2:D8" si="1">B2&amp;"_"&amp;C2</f>
        <v>50006_1</v>
      </c>
      <c r="E2" s="4" t="str">
        <f ca="1">VLOOKUP($B2,OFFSET([2]quests!$A$1,0,0,COUNTA([2]quests!$A:$A),MATCH(E$1,[2]quests!$1:$1,0)-MATCH($B$1,[2]quests!$1:$1,0)+1),MATCH(E$1,[2]quests!$1:$1,0)-MATCH($B$1,[2]quests!$1:$1,0)+1,FALSE)</f>
        <v>セト襲来！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【超ウィザード級】セト襲来</v>
      </c>
      <c r="G2" s="21">
        <v>1</v>
      </c>
      <c r="H2" s="15" t="str">
        <f t="shared" ref="H2:H8" si="2">B2&amp;"_"&amp;C2&amp;"-"&amp;G2</f>
        <v>50006_1-1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276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機拳のイリア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50</v>
      </c>
      <c r="S2" s="25">
        <v>10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629330</v>
      </c>
      <c r="U2" s="25">
        <v>0.8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4218.4000000000005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3ターン攻撃力UP</v>
      </c>
      <c r="Y2" s="101">
        <v>50006000</v>
      </c>
      <c r="Z2" s="6">
        <v>1</v>
      </c>
      <c r="AA2" s="6">
        <v>100</v>
      </c>
      <c r="AB2" s="6">
        <v>1</v>
      </c>
      <c r="AC2" s="17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 t="shared" ref="AD2:AD8" si="3">L2</f>
        <v>276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機拳のイリア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Drop2N</v>
      </c>
      <c r="AH2" s="7">
        <v>1</v>
      </c>
      <c r="AI2" s="24">
        <f t="shared" ref="AI2:AI8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50006_1-1/272&lt;lv50&gt;s1</v>
      </c>
      <c r="B3" s="22">
        <v>50006</v>
      </c>
      <c r="C3" s="21">
        <v>1</v>
      </c>
      <c r="D3" s="2" t="str">
        <f t="shared" si="1"/>
        <v>50006_1</v>
      </c>
      <c r="E3" s="4" t="str">
        <f ca="1">VLOOKUP($B3,OFFSET([2]quests!$A$1,0,0,COUNTA([2]quests!$A:$A),MATCH(E$1,[2]quests!$1:$1,0)-MATCH($B$1,[2]quests!$1:$1,0)+1),MATCH(E$1,[2]quests!$1:$1,0)-MATCH($B$1,[2]quests!$1:$1,0)+1,FALSE)</f>
        <v>セト襲来！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【超ウィザード級】セト襲来</v>
      </c>
      <c r="G3" s="21">
        <v>1</v>
      </c>
      <c r="H3" s="15" t="str">
        <f t="shared" si="2"/>
        <v>50006_1-1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250</v>
      </c>
      <c r="L3" s="20">
        <v>272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魔札のシルベール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50</v>
      </c>
      <c r="S3" s="25">
        <v>10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566400</v>
      </c>
      <c r="U3" s="25">
        <v>1.5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6840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お邪魔パネル5個生成+攻撃</v>
      </c>
      <c r="Y3" s="102">
        <v>50006002</v>
      </c>
      <c r="Z3" s="6">
        <v>1</v>
      </c>
      <c r="AA3" s="6">
        <v>100</v>
      </c>
      <c r="AB3" s="6">
        <v>1</v>
      </c>
      <c r="AC3" s="17">
        <v>1</v>
      </c>
      <c r="AD3" s="24">
        <f t="shared" si="3"/>
        <v>272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魔札のシルベール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50006_1-2/472&lt;lv50&gt;s2</v>
      </c>
      <c r="B4" s="22">
        <v>50006</v>
      </c>
      <c r="C4" s="21">
        <v>1</v>
      </c>
      <c r="D4" s="2" t="str">
        <f t="shared" si="1"/>
        <v>50006_1</v>
      </c>
      <c r="E4" s="4" t="str">
        <f ca="1">VLOOKUP($B4,OFFSET([2]quests!$A$1,0,0,COUNTA([2]quests!$A:$A),MATCH(E$1,[2]quests!$1:$1,0)-MATCH($B$1,[2]quests!$1:$1,0)+1),MATCH(E$1,[2]quests!$1:$1,0)-MATCH($B$1,[2]quests!$1:$1,0)+1,FALSE)</f>
        <v>セト襲来！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【超ウィザード級】セト襲来</v>
      </c>
      <c r="G4" s="21">
        <v>2</v>
      </c>
      <c r="H4" s="15" t="str">
        <f t="shared" si="2"/>
        <v>50006_1-2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472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アーサー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50</v>
      </c>
      <c r="S4" s="25">
        <v>6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377598</v>
      </c>
      <c r="U4" s="25">
        <v>1.5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7909.5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ここで迎え撃つしかないか…モルド！</v>
      </c>
      <c r="Y4" s="101">
        <v>50006003</v>
      </c>
      <c r="Z4" s="6">
        <v>1</v>
      </c>
      <c r="AA4" s="6">
        <v>100</v>
      </c>
      <c r="AB4" s="6">
        <v>0</v>
      </c>
      <c r="AC4" s="17">
        <v>2</v>
      </c>
      <c r="AD4" s="24">
        <f t="shared" si="3"/>
        <v>472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アーサー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50006_1-2/467&lt;lv50&gt;s2</v>
      </c>
      <c r="B5" s="22">
        <v>50006</v>
      </c>
      <c r="C5" s="21">
        <v>1</v>
      </c>
      <c r="D5" s="2" t="str">
        <f t="shared" si="1"/>
        <v>50006_1</v>
      </c>
      <c r="E5" s="4" t="str">
        <f ca="1">VLOOKUP($B5,OFFSET([2]quests!$A$1,0,0,COUNTA([2]quests!$A:$A),MATCH(E$1,[2]quests!$1:$1,0)-MATCH($B$1,[2]quests!$1:$1,0)+1),MATCH(E$1,[2]quests!$1:$1,0)-MATCH($B$1,[2]quests!$1:$1,0)+1,FALSE)</f>
        <v>セト襲来！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【超ウィザード級】セト襲来</v>
      </c>
      <c r="G5" s="21">
        <v>2</v>
      </c>
      <c r="H5" s="15" t="str">
        <f t="shared" si="2"/>
        <v>50006_1-2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467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報復 モルドレッド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50</v>
      </c>
      <c r="S5" s="25">
        <v>8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453120</v>
      </c>
      <c r="U5" s="25">
        <v>2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9120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ここで私達が倒れるわけにはいかないもの…！_x000D_【5ターン全属性の攻撃をカウンター】</v>
      </c>
      <c r="Y5" s="102">
        <v>50006004</v>
      </c>
      <c r="Z5" s="6">
        <v>1</v>
      </c>
      <c r="AA5" s="6">
        <v>100</v>
      </c>
      <c r="AB5" s="6">
        <v>1</v>
      </c>
      <c r="AC5" s="17">
        <v>2</v>
      </c>
      <c r="AD5" s="24">
        <f t="shared" si="3"/>
        <v>467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報復 モルドレッド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50006_1-3/575&lt;lv50&gt;s1</v>
      </c>
      <c r="B6" s="22">
        <v>50006</v>
      </c>
      <c r="C6" s="21">
        <v>1</v>
      </c>
      <c r="D6" s="2" t="str">
        <f t="shared" si="1"/>
        <v>50006_1</v>
      </c>
      <c r="E6" s="4" t="str">
        <f ca="1">VLOOKUP($B6,OFFSET([2]quests!$A$1,0,0,COUNTA([2]quests!$A:$A),MATCH(E$1,[2]quests!$1:$1,0)-MATCH($B$1,[2]quests!$1:$1,0)+1),MATCH(E$1,[2]quests!$1:$1,0)-MATCH($B$1,[2]quests!$1:$1,0)+1,FALSE)</f>
        <v>セト襲来！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【超ウィザード級】セト襲来</v>
      </c>
      <c r="G6" s="21">
        <v>3</v>
      </c>
      <c r="H6" s="15" t="str">
        <f t="shared" si="2"/>
        <v>50006_1-3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250</v>
      </c>
      <c r="L6" s="20">
        <v>575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フレイ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50</v>
      </c>
      <c r="S6" s="25">
        <v>6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401700</v>
      </c>
      <c r="U6" s="25">
        <v>1.2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9351.6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文句があんなら具体的に言いやがれ！</v>
      </c>
      <c r="Y6" s="102">
        <v>50006005</v>
      </c>
      <c r="Z6" s="6">
        <v>1</v>
      </c>
      <c r="AA6" s="6">
        <v>100</v>
      </c>
      <c r="AB6" s="6">
        <v>1</v>
      </c>
      <c r="AC6" s="17">
        <v>1</v>
      </c>
      <c r="AD6" s="24">
        <f t="shared" si="3"/>
        <v>575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フレイ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50006_1-3/602&lt;lv50&gt;s1</v>
      </c>
      <c r="B7" s="22">
        <v>50006</v>
      </c>
      <c r="C7" s="21">
        <v>1</v>
      </c>
      <c r="D7" s="2" t="str">
        <f t="shared" si="1"/>
        <v>50006_1</v>
      </c>
      <c r="E7" s="4" t="str">
        <f ca="1">VLOOKUP($B7,OFFSET([2]quests!$A$1,0,0,COUNTA([2]quests!$A:$A),MATCH(E$1,[2]quests!$1:$1,0)-MATCH($B$1,[2]quests!$1:$1,0)+1),MATCH(E$1,[2]quests!$1:$1,0)-MATCH($B$1,[2]quests!$1:$1,0)+1,FALSE)</f>
        <v>セト襲来！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【超ウィザード級】セト襲来</v>
      </c>
      <c r="G7" s="21">
        <v>3</v>
      </c>
      <c r="H7" s="15" t="str">
        <f t="shared" si="2"/>
        <v>50006_1-3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602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フレイヤ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50</v>
      </c>
      <c r="S7" s="25">
        <v>8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428480</v>
      </c>
      <c r="U7" s="25">
        <v>1.5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6586.5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なんとなーくに決まってるじゃない！_x000D_【3ターンハートパネル無効】</v>
      </c>
      <c r="Y7" s="101">
        <v>50006006</v>
      </c>
      <c r="Z7" s="6">
        <v>1</v>
      </c>
      <c r="AA7" s="6">
        <v>100</v>
      </c>
      <c r="AB7" s="6">
        <v>1</v>
      </c>
      <c r="AC7" s="17">
        <v>1</v>
      </c>
      <c r="AD7" s="24">
        <f t="shared" si="3"/>
        <v>602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フレイヤ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50006_1-4/1010&lt;lv50&gt;s1</v>
      </c>
      <c r="B8" s="22">
        <v>50006</v>
      </c>
      <c r="C8" s="21">
        <v>1</v>
      </c>
      <c r="D8" s="2" t="str">
        <f t="shared" si="1"/>
        <v>50006_1</v>
      </c>
      <c r="E8" s="4" t="str">
        <f ca="1">VLOOKUP($B8,OFFSET([2]quests!$A$1,0,0,COUNTA([2]quests!$A:$A),MATCH(E$1,[2]quests!$1:$1,0)-MATCH($B$1,[2]quests!$1:$1,0)+1),MATCH(E$1,[2]quests!$1:$1,0)-MATCH($B$1,[2]quests!$1:$1,0)+1,FALSE)</f>
        <v>セト襲来！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【超ウィザード級】セト襲来</v>
      </c>
      <c r="G8" s="21">
        <v>4</v>
      </c>
      <c r="H8" s="15" t="str">
        <f t="shared" si="2"/>
        <v>50006_1-4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2</v>
      </c>
      <c r="L8" s="20">
        <v>1010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セト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50</v>
      </c>
      <c r="S8" s="25">
        <v>10</v>
      </c>
      <c r="T8" s="9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756430</v>
      </c>
      <c r="U8" s="25">
        <v>2</v>
      </c>
      <c r="V8" s="9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10118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赤・青パネルがプロテクト状態でドロップする！</v>
      </c>
      <c r="Y8" s="62">
        <v>50006007</v>
      </c>
      <c r="Z8" s="6">
        <v>1</v>
      </c>
      <c r="AA8" s="6">
        <v>100</v>
      </c>
      <c r="AB8" s="6">
        <v>1</v>
      </c>
      <c r="AC8" s="17">
        <v>1</v>
      </c>
      <c r="AD8" s="24">
        <f t="shared" si="3"/>
        <v>1010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セト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8" s="7">
        <v>1</v>
      </c>
      <c r="AI8" s="24">
        <f t="shared" ca="1" si="4"/>
        <v>5</v>
      </c>
      <c r="AJ8" s="8">
        <v>85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4" sqref="Q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8" t="s">
        <v>248</v>
      </c>
      <c r="V1" s="26" t="s">
        <v>50</v>
      </c>
      <c r="W1" s="98" t="s">
        <v>249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50006_1-1/277&lt;lv50&gt;sq1st2</v>
      </c>
      <c r="B2" s="22">
        <v>50006</v>
      </c>
      <c r="C2" s="21">
        <v>1</v>
      </c>
      <c r="D2" s="2" t="str">
        <f>B2&amp;"_"&amp;C2</f>
        <v>50006_1</v>
      </c>
      <c r="E2" s="4" t="str">
        <f ca="1">VLOOKUP($B2,OFFSET([2]quests!$A$1,0,0,COUNTA([2]quests!$A:$A),MATCH(E$1,[2]quests!$1:$1,0)-MATCH($B$1,[2]quests!$1:$1,0)+1),MATCH(E$1,[2]quests!$1:$1,0)-MATCH($B$1,[2]quests!$1:$1,0)+1,FALSE)</f>
        <v>セト襲来！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【超ウィザード級】セト襲来</v>
      </c>
      <c r="G2" s="21">
        <v>1</v>
      </c>
      <c r="H2" s="15" t="str">
        <f>B2&amp;"_"&amp;C2&amp;"-"&amp;G2</f>
        <v>50006_1-1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277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機拳恐慌 イリア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6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493782</v>
      </c>
      <c r="V2" s="25">
        <v>2.5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14197.5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50006001</v>
      </c>
      <c r="AA2" s="71">
        <f ca="1">VLOOKUP($M2,OFFSET([3]enemies!$A$1,0,0,COUNTA([3]enemies!$A:$A),MATCH(AA$1,[3]enemies!$1:$1,0)-MATCH($M$1,[3]enemies!$1:$1,0)+1),MATCH(AA$1,[3]enemies!$1:$1,0)-MATCH($M$1,[3]enemies!$1:$1,0)+1,FALSE)</f>
        <v>2</v>
      </c>
    </row>
    <row r="3" spans="1:27" ht="21" customHeight="1" x14ac:dyDescent="0.15">
      <c r="A3" s="16" t="str">
        <f>B3&amp;"_"&amp;C3&amp;"-"&amp;G3&amp;"/"&amp;M3&amp;"&lt;lv"&amp;S3&amp;"&gt;sq"&amp;K3&amp;"st"&amp;L3</f>
        <v>50006_1-4/1011&lt;lv50&gt;sq2st2</v>
      </c>
      <c r="B3" s="22">
        <v>50006</v>
      </c>
      <c r="C3" s="21">
        <v>1</v>
      </c>
      <c r="D3" s="2" t="str">
        <f>B3&amp;"_"&amp;C3</f>
        <v>50006_1</v>
      </c>
      <c r="E3" s="4" t="str">
        <f ca="1">VLOOKUP($B3,OFFSET([2]quests!$A$1,0,0,COUNTA([2]quests!$A:$A),MATCH(E$1,[2]quests!$1:$1,0)-MATCH($B$1,[2]quests!$1:$1,0)+1),MATCH(E$1,[2]quests!$1:$1,0)-MATCH($B$1,[2]quests!$1:$1,0)+1,FALSE)</f>
        <v>セト襲来！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【超ウィザード級】セト襲来</v>
      </c>
      <c r="G3" s="21">
        <v>4</v>
      </c>
      <c r="H3" s="15" t="str">
        <f>B3&amp;"_"&amp;C3&amp;"-"&amp;G3</f>
        <v>50006_1-4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1011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偉獰なる荒嵐神 セト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6.5</v>
      </c>
      <c r="U3" s="9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491679.5</v>
      </c>
      <c r="V3" s="25">
        <v>2.7</v>
      </c>
      <c r="W3" s="9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13659.300000000001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50006008</v>
      </c>
      <c r="AA3" s="7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50006_1-4/1011&lt;lv50&gt;sq2st3</v>
      </c>
      <c r="B4" s="22">
        <v>50006</v>
      </c>
      <c r="C4" s="21">
        <v>1</v>
      </c>
      <c r="D4" s="2" t="str">
        <f>B4&amp;"_"&amp;C4</f>
        <v>50006_1</v>
      </c>
      <c r="E4" s="4" t="str">
        <f ca="1">VLOOKUP($B4,OFFSET([2]quests!$A$1,0,0,COUNTA([2]quests!$A:$A),MATCH(E$1,[2]quests!$1:$1,0)-MATCH($B$1,[2]quests!$1:$1,0)+1),MATCH(E$1,[2]quests!$1:$1,0)-MATCH($B$1,[2]quests!$1:$1,0)+1,FALSE)</f>
        <v>セト襲来！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【超ウィザード級】セト襲来</v>
      </c>
      <c r="G4" s="21">
        <v>4</v>
      </c>
      <c r="H4" s="15" t="str">
        <f>B4&amp;"_"&amp;C4&amp;"-"&amp;G4</f>
        <v>50006_1-4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1011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偉獰なる荒嵐神 セト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50</v>
      </c>
      <c r="T4" s="25">
        <v>11</v>
      </c>
      <c r="U4" s="99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832073</v>
      </c>
      <c r="V4" s="25">
        <v>3.5</v>
      </c>
      <c r="W4" s="99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17706.5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50006009</v>
      </c>
      <c r="AA4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29" sqref="E29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50006000_50006000</v>
      </c>
      <c r="B2" s="47">
        <v>50006000</v>
      </c>
      <c r="C2" s="47">
        <v>50006000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今度は負けないもん！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2" s="47">
        <v>50006000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50006000_50006001</v>
      </c>
      <c r="B3" s="47">
        <v>50006000</v>
      </c>
      <c r="C3" s="47">
        <v>50006001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ここは耐えなきゃ…！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単体攻撃</v>
      </c>
      <c r="F3" s="47">
        <v>50006001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2">B4&amp;"_"&amp;C4</f>
        <v>50006000_50006002</v>
      </c>
      <c r="B4" s="47">
        <v>50006000</v>
      </c>
      <c r="C4" s="47">
        <v>50006002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これが私の切り札だよ！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47">
        <v>50006002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" si="3">B5&amp;"_"&amp;C5</f>
        <v>50006001_50006100</v>
      </c>
      <c r="B5" s="47">
        <v>50006001</v>
      </c>
      <c r="C5" s="47">
        <v>50006100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うぅ…みんな…どこ…？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周囲の時空が乱れている！_x000D_【ドロップパネルに異常が発生する】</v>
      </c>
      <c r="F5" s="47">
        <v>50006100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ref="A6" si="4">B6&amp;"_"&amp;C6</f>
        <v>50006001_50006101</v>
      </c>
      <c r="B6" s="47">
        <v>50006001</v>
      </c>
      <c r="C6" s="47">
        <v>50006101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私がみんなを守らなきゃ…！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" s="47">
        <v>50006101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" si="5">B7&amp;"_"&amp;C7</f>
        <v>50006001_50006102</v>
      </c>
      <c r="B7" s="47">
        <v>50006001</v>
      </c>
      <c r="C7" s="47">
        <v>50006102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みんなの笑顔を取り戻すの！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解除されるまで攻撃力UP&amp;攻撃頻度が1にUP</v>
      </c>
      <c r="F7" s="47">
        <v>50006102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" si="6">B8&amp;"_"&amp;C8</f>
        <v>50006001_50006103</v>
      </c>
      <c r="B8" s="47">
        <v>50006001</v>
      </c>
      <c r="C8" s="47">
        <v>50006103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仲裁者の機拳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47">
        <v>50006103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" s="47"/>
      <c r="Q8" s="47"/>
      <c r="R8" s="47"/>
    </row>
    <row r="9" spans="1:18" ht="21" customHeight="1" x14ac:dyDescent="0.15">
      <c r="A9" s="39" t="str">
        <f t="shared" ref="A9" si="7">B9&amp;"_"&amp;C9</f>
        <v>50006002_50006200</v>
      </c>
      <c r="B9" s="47">
        <v>50006002</v>
      </c>
      <c r="C9" s="47">
        <v>50006200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フフ…_x000D_何か隠し持ってるね…？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お邪魔パネル5個生成+攻撃</v>
      </c>
      <c r="F9" s="47">
        <v>50006200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8">B10&amp;"_"&amp;C10</f>
        <v>50006002_50006201</v>
      </c>
      <c r="B10" s="47">
        <v>50006002</v>
      </c>
      <c r="C10" s="47">
        <v>50006201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さぁイリア　キミの手番だよ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不敵な笑みを浮かべている</v>
      </c>
      <c r="F10" s="47">
        <v>50006201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" si="9">B11&amp;"_"&amp;C11</f>
        <v>50006002_50006202</v>
      </c>
      <c r="B11" s="47">
        <v>50006002</v>
      </c>
      <c r="C11" s="47">
        <v>50006202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待て、イリア…_x000D_何か来る…！？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凄まじい災禍が一帯を吹き飛ばした！</v>
      </c>
      <c r="F11" s="47">
        <v>50006202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" si="10">B12&amp;"_"&amp;C12</f>
        <v>50006002_50006203</v>
      </c>
      <c r="B12" s="47">
        <v>50006002</v>
      </c>
      <c r="C12" s="47">
        <v>50006203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これを凌ぎ切れるかな？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ランダムで14個時限式ダメージパネルに変換_x000D_+攻撃</v>
      </c>
      <c r="F12" s="47">
        <v>50006203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" si="11">B13&amp;"_"&amp;C13</f>
        <v>50006003_50006300</v>
      </c>
      <c r="B13" s="47">
        <v>50006003</v>
      </c>
      <c r="C13" s="47">
        <v>50006300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しまった　行き止まりだ！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ここで迎え撃つしかないか…モルド！</v>
      </c>
      <c r="F13" s="47">
        <v>50006300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" si="12">B14&amp;"_"&amp;C14</f>
        <v>50006003_50006301</v>
      </c>
      <c r="B14" s="47">
        <v>50006003</v>
      </c>
      <c r="C14" s="47">
        <v>50006301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エクスシュレッドIV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4" s="47">
        <v>50006301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7"/>
      <c r="Q14" s="47"/>
      <c r="R14" s="47"/>
    </row>
    <row r="15" spans="1:18" ht="21" customHeight="1" x14ac:dyDescent="0.15">
      <c r="A15" s="39" t="str">
        <f t="shared" ref="A15" si="13">B15&amp;"_"&amp;C15</f>
        <v>50006003_50006302</v>
      </c>
      <c r="B15" s="47">
        <v>50006003</v>
      </c>
      <c r="C15" s="47">
        <v>50006302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スパイラルソード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5" s="47">
        <v>50006302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ref="A16" si="14">B16&amp;"_"&amp;C16</f>
        <v>50006003_50006303</v>
      </c>
      <c r="B16" s="47">
        <v>50006003</v>
      </c>
      <c r="C16" s="47">
        <v>50006303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ソードオブマジック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Cパネルを吸収して攻撃（最大5個）</v>
      </c>
      <c r="F16" s="47">
        <v>50006303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18" si="15">B17&amp;"_"&amp;C17</f>
        <v>50006003_50006304</v>
      </c>
      <c r="B17" s="47">
        <v>50006003</v>
      </c>
      <c r="C17" s="47">
        <v>50006304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シースオブマジック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Cパネルを吸収して回復（最大5個）</v>
      </c>
      <c r="F17" s="47">
        <v>50006304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5"/>
        <v>50006003_50006305</v>
      </c>
      <c r="B18" s="47">
        <v>50006003</v>
      </c>
      <c r="C18" s="47">
        <v>50006305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ファンタジア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18" s="47">
        <v>50006305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ref="A19" si="16">B19&amp;"_"&amp;C19</f>
        <v>50006003_50006306</v>
      </c>
      <c r="B19" s="47">
        <v>50006003</v>
      </c>
      <c r="C19" s="47">
        <v>50006306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ファンタジア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19" s="47">
        <v>50006306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31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" si="17">B20&amp;"_"&amp;C20</f>
        <v>50006003_50006307</v>
      </c>
      <c r="B20" s="47">
        <v>50006003</v>
      </c>
      <c r="C20" s="47">
        <v>50006307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ファンタジア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HPが少ないほど強力な全体攻撃</v>
      </c>
      <c r="F20" s="47">
        <v>50006307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32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64" si="18">B21&amp;"_"&amp;C21</f>
        <v>50006003_50006308</v>
      </c>
      <c r="B21" s="47">
        <v>50006003</v>
      </c>
      <c r="C21" s="47">
        <v>50006308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モルド！？_x000D_しっかりしろモルド！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俺が…俺のやり方が甘かったから…？</v>
      </c>
      <c r="F21" s="47">
        <v>50006308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467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19">B22&amp;"_"&amp;C22</f>
        <v>50006003_50006309</v>
      </c>
      <c r="B22" s="47">
        <v>50006003</v>
      </c>
      <c r="C22" s="47">
        <v>50006309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これは必要な犠牲なんだ…！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HPが減るほど強力な攻撃を連発する</v>
      </c>
      <c r="F22" s="47">
        <v>50006309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35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8"/>
        <v>50006004_50006400</v>
      </c>
      <c r="B23" s="47">
        <v>50006004</v>
      </c>
      <c r="C23" s="47">
        <v>50006400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仕方ないわね　応戦するわ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ここで私達が倒れるわけにはいかないもの…！_x000D_【5ターン全属性の攻撃をカウンター】</v>
      </c>
      <c r="F23" s="47">
        <v>50006400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8"/>
        <v>50006004_50006401</v>
      </c>
      <c r="B24" s="47">
        <v>50006004</v>
      </c>
      <c r="C24" s="47">
        <v>50006401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ダモクレスフラッシュ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クリティカル!</v>
      </c>
      <c r="F24" s="47">
        <v>50006401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7"/>
      <c r="Q24" s="47"/>
      <c r="R24" s="47"/>
    </row>
    <row r="25" spans="1:18" ht="21" customHeight="1" x14ac:dyDescent="0.15">
      <c r="A25" s="39" t="str">
        <f t="shared" si="18"/>
        <v>50006004_50006402</v>
      </c>
      <c r="B25" s="47">
        <v>50006004</v>
      </c>
      <c r="C25" s="47">
        <v>50006402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ブルーガーディアン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</v>
      </c>
      <c r="F25" s="47">
        <v>50006402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8"/>
        <v>50006004_50006403</v>
      </c>
      <c r="B26" s="47">
        <v>50006004</v>
      </c>
      <c r="C26" s="47">
        <v>50006403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くっ…剣が暴れ始めてる…！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自身の攻撃頻度が1にUP</v>
      </c>
      <c r="F26" s="47">
        <v>50006403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8"/>
        <v>50006004_50006404</v>
      </c>
      <c r="B27" s="47">
        <v>50006004</v>
      </c>
      <c r="C27" s="47">
        <v>50006404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アーサー…どうして？_x000D_どこにいったの！？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私…まだ戦える…どうして私を置いていくの…？</v>
      </c>
      <c r="F27" s="47">
        <v>50006404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472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18"/>
        <v>50006005_50006500</v>
      </c>
      <c r="B28" s="47">
        <v>50006005</v>
      </c>
      <c r="C28" s="47">
        <v>50006500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俺の管理の何が悪い！？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文句があんなら具体的に言いやがれ！</v>
      </c>
      <c r="F28" s="47">
        <v>50006500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8"/>
        <v>50006005_50006501</v>
      </c>
      <c r="B29" s="47">
        <v>50006005</v>
      </c>
      <c r="C29" s="47">
        <v>50006501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俺には俺のやり方がある！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赤パネルを吸収して攻撃（最大15個）</v>
      </c>
      <c r="F29" s="47">
        <v>50006501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47"/>
      <c r="Q29" s="47"/>
      <c r="R29" s="47"/>
    </row>
    <row r="30" spans="1:18" ht="21" customHeight="1" x14ac:dyDescent="0.15">
      <c r="A30" s="39" t="str">
        <f t="shared" si="18"/>
        <v>50006005_50006502</v>
      </c>
      <c r="B30" s="47">
        <v>50006005</v>
      </c>
      <c r="C30" s="47">
        <v>50006502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クソ！_x000D_なんッも理解できねぇ！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2ターン緑パネル無効+攻撃</v>
      </c>
      <c r="F30" s="47">
        <v>50006502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8"/>
        <v>50006005_50006503</v>
      </c>
      <c r="B31" s="47">
        <v>50006005</v>
      </c>
      <c r="C31" s="47">
        <v>50006503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黙って_x000D_従ってればいいんだよ！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3ターン全ユニットの回復力50%DOWN_x000D_+全体攻撃</v>
      </c>
      <c r="F31" s="47">
        <v>50006503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8"/>
        <v>50006005_50006504</v>
      </c>
      <c r="B32" s="47">
        <v>50006005</v>
      </c>
      <c r="C32" s="47">
        <v>50006504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猫の毛ほども譲る気はねェ！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ランダムで12個時限式ダメージパネルに変換_x000D_+全体攻撃</v>
      </c>
      <c r="F32" s="47">
        <v>50006504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8"/>
        <v>50006005_50006505</v>
      </c>
      <c r="B33" s="47">
        <v>50006005</v>
      </c>
      <c r="C33" s="47">
        <v>50006505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うるさいのは_x000D_どっか行ったか…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ハッ！これで心置きなくやれるってもんだ！_x000D_【解除されるまで攻撃力超大UP】</v>
      </c>
      <c r="F33" s="47">
        <v>50006505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602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8"/>
        <v>50006006_50006600</v>
      </c>
      <c r="B34" s="47">
        <v>50006006</v>
      </c>
      <c r="C34" s="47">
        <v>50006600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猫は気まぐれ　常識よ？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なんとなーくに決まってるじゃない！_x000D_【3ターンハートパネル無効】</v>
      </c>
      <c r="F34" s="47">
        <v>50006600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8"/>
        <v>50006006_50006601</v>
      </c>
      <c r="B35" s="47">
        <v>50006006</v>
      </c>
      <c r="C35" s="47">
        <v>50006601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乙女心の分かんないヤツ…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ハートパネル無効の状態が解除された！</v>
      </c>
      <c r="F35" s="47">
        <v>50006601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35" s="48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8"/>
        <v>50006006_50006602</v>
      </c>
      <c r="B36" s="47">
        <v>50006006</v>
      </c>
      <c r="C36" s="47">
        <v>50006602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なによ！そこまで_x000D_言うことないでしょ！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解除されるまで自身の攻撃力大UP_x000D_+ハートパネル無効の状態が解除された！</v>
      </c>
      <c r="F36" s="47">
        <v>50006602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8"/>
        <v>50006006_50006603</v>
      </c>
      <c r="B37" s="47">
        <v>50006006</v>
      </c>
      <c r="C37" s="47">
        <v>50006603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ハァー情けないわね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後片付けはいつも妹の役目なんだから…</v>
      </c>
      <c r="F37" s="47">
        <v>50006603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575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8"/>
        <v>50006007_50006700</v>
      </c>
      <c r="B38" s="112">
        <v>50006007</v>
      </c>
      <c r="C38" s="112">
        <v>50006700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やぁ…余興は楽しめたか？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赤・青パネルがプロテクト状態でドロップする！</v>
      </c>
      <c r="F38" s="47">
        <v>50006700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ref="A39" si="20">B39&amp;"_"&amp;C39</f>
        <v>50006007_50006705</v>
      </c>
      <c r="B39" s="108">
        <v>50006007</v>
      </c>
      <c r="C39" s="108">
        <v>50006705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バステト…あんたじゃ俺は倒せねーよ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赤・青パネルがプロテクト状態でドロップする！</v>
      </c>
      <c r="F39" s="108">
        <v>50006705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1018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ref="A40" si="21">B40&amp;"_"&amp;C40</f>
        <v>50006007_50006706</v>
      </c>
      <c r="B40" s="108">
        <v>50006007</v>
      </c>
      <c r="C40" s="108">
        <v>50006706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バステト…あんたじゃ俺は倒せねーよ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赤・青パネルがプロテクト状態でドロップする！</v>
      </c>
      <c r="F40" s="108">
        <v>50006706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1019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ref="A41" si="22">B41&amp;"_"&amp;C41</f>
        <v>50006007_50006707</v>
      </c>
      <c r="B41" s="108">
        <v>50006007</v>
      </c>
      <c r="C41" s="108">
        <v>50006707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なんだよ兄さん_x000D_力を奪われて怒ってんのか？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赤・青パネルがプロテクト状態でドロップする！</v>
      </c>
      <c r="F41" s="108">
        <v>50006707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1008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ref="A42" si="23">B42&amp;"_"&amp;C42</f>
        <v>50006007_50006708</v>
      </c>
      <c r="B42" s="108">
        <v>50006007</v>
      </c>
      <c r="C42" s="108">
        <v>50006708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なんだよ兄さん_x000D_力を奪われて怒ってんのか？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赤・青パネルがプロテクト状態でドロップする！</v>
      </c>
      <c r="F42" s="108">
        <v>50006708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1009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24">B43&amp;"_"&amp;C43</f>
        <v>50006007_50006709</v>
      </c>
      <c r="B43" s="108">
        <v>50006007</v>
      </c>
      <c r="C43" s="108">
        <v>50006709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環境管理AIだと…？_x000D_おれも大物になったもんだ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赤・青パネルがプロテクト状態でドロップする！</v>
      </c>
      <c r="F43" s="108">
        <v>50006709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ref="A44" si="25">B44&amp;"_"&amp;C44</f>
        <v>50006007_50006710</v>
      </c>
      <c r="B44" s="108">
        <v>50006007</v>
      </c>
      <c r="C44" s="108">
        <v>50006710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環境管理AIだと…？_x000D_おれも大物になったもんだ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赤・青パネルがプロテクト状態でドロップする！</v>
      </c>
      <c r="F44" s="108">
        <v>50006710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8"/>
        <v>50006007_50006701</v>
      </c>
      <c r="B45" s="47">
        <v>50006007</v>
      </c>
      <c r="C45" s="47">
        <v>50006701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時間の檻で朽ち果てな！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黄パネルを5個まで時限式ダメージパネルに変換_x000D_+攻撃</v>
      </c>
      <c r="F45" s="47">
        <v>50006701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5" s="47"/>
      <c r="Q45" s="47"/>
      <c r="R45" s="47"/>
    </row>
    <row r="46" spans="1:18" ht="21" customHeight="1" x14ac:dyDescent="0.15">
      <c r="A46" s="39" t="str">
        <f t="shared" si="18"/>
        <v>50006007_50006702</v>
      </c>
      <c r="B46" s="47">
        <v>50006007</v>
      </c>
      <c r="C46" s="47">
        <v>50006702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刃向かえば待つのは滅びだ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緑パネルプロテクト+全体攻撃</v>
      </c>
      <c r="F46" s="47">
        <v>50006702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8"/>
        <v>50006007_50006703</v>
      </c>
      <c r="B47" s="47">
        <v>50006007</v>
      </c>
      <c r="C47" s="47">
        <v>50006703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神々こそ至高の存在だ！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種族ヒューマンの全ユニットに大ダメージ</v>
      </c>
      <c r="F47" s="47">
        <v>50006703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8"/>
        <v>50006007_50006704</v>
      </c>
      <c r="B48" s="47">
        <v>50006007</v>
      </c>
      <c r="C48" s="47">
        <v>50006704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はいはいご苦労さん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出現しているCパネル激烈縮小</v>
      </c>
      <c r="F48" s="47">
        <v>50006704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8"/>
        <v>50006008_50006800</v>
      </c>
      <c r="B49" s="47">
        <v>50006008</v>
      </c>
      <c r="C49" s="47">
        <v>50006800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ハハハッ…力が溢れてくる…！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赤属性に変化_x000D_+3ターン全属性のダメージ50%軽減</v>
      </c>
      <c r="F49" s="47">
        <v>50006800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8"/>
        <v>50006008_50006801</v>
      </c>
      <c r="B50" s="47">
        <v>50006008</v>
      </c>
      <c r="C50" s="47">
        <v>50006801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空間の檻で埋葬してやる！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赤パネルを5個までお邪魔パネルに変換+攻撃</v>
      </c>
      <c r="F50" s="47">
        <v>50006801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8"/>
        <v>50006008_50006802</v>
      </c>
      <c r="B51" s="47">
        <v>50006008</v>
      </c>
      <c r="C51" s="47">
        <v>50006802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今のおれは神をも上回るぜ！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黄パネルプロテクト+残りHPの40%ダメージ！</v>
      </c>
      <c r="F51" s="47">
        <v>50006802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18"/>
        <v>50006008_50006803</v>
      </c>
      <c r="B52" s="47">
        <v>50006008</v>
      </c>
      <c r="C52" s="47">
        <v>50006803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それで戦ってるつもりか！？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強力な緑パネル吸収攻撃（最大15個）</v>
      </c>
      <c r="F52" s="47">
        <v>50006803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18"/>
        <v>50006008_50006804</v>
      </c>
      <c r="B53" s="47">
        <v>50006008</v>
      </c>
      <c r="C53" s="47">
        <v>50006804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あんたじゃ届かねーよ！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強力な青パネル吸収攻撃（最大15個）</v>
      </c>
      <c r="F53" s="47">
        <v>50006804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18"/>
        <v>50006009_50006900</v>
      </c>
      <c r="B54" s="47">
        <v>50006009</v>
      </c>
      <c r="C54" s="47">
        <v>50006900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もうおれには何も通じない！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ハートパネルがプロテクト状態でドロップ_x000D_+3ターン全属性のダメージ100%軽減</v>
      </c>
      <c r="F54" s="47">
        <v>50006900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18"/>
        <v>50006009_50006901</v>
      </c>
      <c r="B55" s="47">
        <v>50006009</v>
      </c>
      <c r="C55" s="47">
        <v>50006901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諦めろ！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55" s="47">
        <v>50006901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15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18"/>
        <v>50006009_50006902</v>
      </c>
      <c r="B56" s="47">
        <v>50006009</v>
      </c>
      <c r="C56" s="47">
        <v>50006902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その方が身のためだぜ？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56" s="47">
        <v>50006902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14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18"/>
        <v>50006009_50006903</v>
      </c>
      <c r="B57" s="47">
        <v>50006009</v>
      </c>
      <c r="C57" s="47">
        <v>50006903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あんたは良くやった方だって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57" s="47">
        <v>50006903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13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18"/>
        <v>50006009_50006904</v>
      </c>
      <c r="B58" s="47">
        <v>50006009</v>
      </c>
      <c r="C58" s="47">
        <v>50006904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これ以上は無駄無駄無駄！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58" s="47">
        <v>50006904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18"/>
        <v>50006009_50006905</v>
      </c>
      <c r="B59" s="47">
        <v>50006009</v>
      </c>
      <c r="C59" s="47">
        <v>50006905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そこまでしておれを倒したいか！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59" s="47">
        <v>50006905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18"/>
        <v>50006009_50006906</v>
      </c>
      <c r="B60" s="47">
        <v>50006009</v>
      </c>
      <c r="C60" s="47">
        <v>50006906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この力は絶対に離さねーぞ！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ターン経過で強くなる攻撃</v>
      </c>
      <c r="F60" s="47">
        <v>50006906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18"/>
        <v>50006009_50006907</v>
      </c>
      <c r="B61" s="47">
        <v>50006009</v>
      </c>
      <c r="C61" s="47">
        <v>50006907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あんたの力も奪ってやるよ！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3ターン全ユニットの攻撃力50%DOWN_x000D_+自身の攻撃力大UP</v>
      </c>
      <c r="F61" s="47">
        <v>50006907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8"/>
        <v>50006009_50006908</v>
      </c>
      <c r="B62" s="47">
        <v>50006009</v>
      </c>
      <c r="C62" s="47">
        <v>50006908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おれはまだまだ強くなる…！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Cパネルを10個までお邪魔パネルに変換+攻撃</v>
      </c>
      <c r="F62" s="47">
        <v>50006908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8"/>
        <v>50006009_50006909</v>
      </c>
      <c r="B63" s="47">
        <v>50006009</v>
      </c>
      <c r="C63" s="47">
        <v>50006909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次で終わらせてやるよ…！！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次のターン即死級の固定ダメージ</v>
      </c>
      <c r="F63" s="47">
        <v>50006909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8"/>
        <v>50006009_50006910</v>
      </c>
      <c r="B64" s="47">
        <v>50006009</v>
      </c>
      <c r="C64" s="47">
        <v>50006910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時空の彼方に消し飛べ！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即死級の固定ダメージ！</v>
      </c>
      <c r="F64" s="47">
        <v>50006910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29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ref="A65" si="26">B65&amp;"_"&amp;C65</f>
        <v>50006009_50006911</v>
      </c>
      <c r="B65" s="47">
        <v>50006009</v>
      </c>
      <c r="C65" s="47">
        <v>50006911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くそ！力の制御が完全なら…！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運がよかったな、あんた…次はこうはいかねーぞ…！</v>
      </c>
      <c r="F65" s="47">
        <v>50006911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ref="A66" si="27">B66&amp;"_"&amp;C66</f>
        <v>50006009_50006912</v>
      </c>
      <c r="B66" s="108">
        <v>50006009</v>
      </c>
      <c r="C66" s="108">
        <v>50006912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嘘だ…あんたに負けるなんて…！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まだ力が制御出来てないのか？_x000D_そうだ…そうに違いない…！</v>
      </c>
      <c r="F66" s="108">
        <v>50006912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1018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">
        <v>421</v>
      </c>
      <c r="B67" s="108">
        <v>50006009</v>
      </c>
      <c r="C67" s="108">
        <v>50006913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嘘だ…あんたに負けるなんて…！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まだ力が制御出来てないのか？_x000D_そうだ…そうに違いない…！</v>
      </c>
      <c r="F67" s="108">
        <v>50006913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1019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">
        <v>421</v>
      </c>
      <c r="B68" s="108">
        <v>50006009</v>
      </c>
      <c r="C68" s="108">
        <v>50006914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何故だ…全ての権限を奪ったはずなのに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いったいどこからそんな力が…！？</v>
      </c>
      <c r="F68" s="108">
        <v>50006914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1008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">
        <v>421</v>
      </c>
      <c r="B69" s="108">
        <v>50006009</v>
      </c>
      <c r="C69" s="108">
        <v>50006915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何故だ…全ての権限を奪ったはずなのに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いったいどこからそんな力が…！？</v>
      </c>
      <c r="F69" s="108">
        <v>50006915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1009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">
        <v>421</v>
      </c>
      <c r="B70" s="108">
        <v>50006009</v>
      </c>
      <c r="C70" s="108">
        <v>50006916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噂に違わぬ強さだな…ゼウス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今回は勝ちを譲ってやるよ_x000D_さっさと環境でも何でも戻しやがれ…</v>
      </c>
      <c r="F70" s="108">
        <v>50006916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">
        <v>421</v>
      </c>
      <c r="B71" s="108">
        <v>50006009</v>
      </c>
      <c r="C71" s="108">
        <v>50006917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噂に違わぬ強さだな…ゼウス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今回は勝ちを譲ってやるよ_x000D_さっさと環境でも何でも戻しやがれ…</v>
      </c>
      <c r="F71" s="108">
        <v>50006917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1"/>
  <sheetViews>
    <sheetView showGridLines="0" zoomScale="110" zoomScaleNormal="110" zoomScalePageLayoutView="110" workbookViewId="0">
      <pane ySplit="1" topLeftCell="A2" activePane="bottomLeft" state="frozenSplit"/>
      <selection pane="bottomLeft" activeCell="B12" sqref="B1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98.832031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50006000</v>
      </c>
      <c r="B2" s="47" t="s">
        <v>488</v>
      </c>
      <c r="C2" s="50">
        <v>3</v>
      </c>
      <c r="D2" s="50" t="s">
        <v>128</v>
      </c>
      <c r="E2" s="51" t="s">
        <v>346</v>
      </c>
      <c r="F2" s="51" t="s">
        <v>251</v>
      </c>
      <c r="G2" s="64" t="str">
        <f t="shared" ref="G2:G23" si="0">IFERROR(LEFT(B2,FIND("],",B2)),B2)</f>
        <v>[effect:enhance_enemy, target:myself, turn:3, status:attack, val:0.2, calc:mul, animation:enemy_enhance_attack]</v>
      </c>
      <c r="H2" s="64">
        <f t="shared" ref="H2:H64" si="1">FIND("effect:",G2)+7</f>
        <v>9</v>
      </c>
      <c r="I2" s="64">
        <f t="shared" ref="I2:I23" si="2">IFERROR(FIND(",",G2),LEN(G2))</f>
        <v>22</v>
      </c>
      <c r="J2" s="64">
        <f t="shared" ref="J2:J23" si="3">FIND("target:",G2)+7</f>
        <v>31</v>
      </c>
      <c r="K2" s="64">
        <f t="shared" ref="K2:K23" si="4">FIND(",",G2,I2+1)</f>
        <v>37</v>
      </c>
      <c r="L2" s="64" t="str">
        <f>IFERROR(VLOOKUP(MID(G2,J2,K2-J2),[6]skilldef!$C:$D,2,FALSE),"-") &amp; " / " &amp; IFERROR(VLOOKUP(MID(G2,H2,I2-H2),[6]skilldef!$A:$B,2,FALSE),"-")</f>
        <v>自分自身に / ステータス強化</v>
      </c>
      <c r="M2" s="64" t="str">
        <f t="shared" ref="M2:M23" si="5">IFERROR(RIGHT(B2,LEN(B2)-FIND("],",B2)-1),"none")</f>
        <v>[effect:fix_speed, target:myself, turn:1]</v>
      </c>
      <c r="N2" s="48" t="str">
        <f>IFERROR(LEFT(M2,FIND("],",M2)+#REF!),M2)</f>
        <v>[effect:fix_speed, target:myself, turn:1]</v>
      </c>
      <c r="O2" s="64">
        <f t="shared" ref="O2:O64" si="6">FIND("effect:",N2)+7</f>
        <v>9</v>
      </c>
      <c r="P2" s="64">
        <f t="shared" ref="P2:P23" si="7">IFERROR(FIND(",",N2),LEN(N2))</f>
        <v>18</v>
      </c>
      <c r="Q2" s="64">
        <f t="shared" ref="Q2:Q23" si="8">FIND("target:",N2)+7</f>
        <v>27</v>
      </c>
      <c r="R2" s="64">
        <f t="shared" ref="R2:R23" si="9">FIND(",",N2,P2+1)</f>
        <v>33</v>
      </c>
      <c r="S2" s="64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23" si="10">IFERROR(RIGHT(M2,LEN(M2)-FIND("],",M2)-1),"none")</f>
        <v>none</v>
      </c>
      <c r="U2" s="64" t="e">
        <f t="shared" ref="U2:U64" si="11">FIND("effect:",T2)+7</f>
        <v>#VALUE!</v>
      </c>
      <c r="V2" s="64">
        <f t="shared" ref="V2:V23" si="12">IFERROR(FIND(",",T2),LEN(T2))</f>
        <v>4</v>
      </c>
      <c r="W2" s="64" t="e">
        <f t="shared" ref="W2:W23" si="13">FIND("target:",T2)+7</f>
        <v>#VALUE!</v>
      </c>
      <c r="X2" s="64" t="e">
        <f t="shared" ref="X2:X23" si="14"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50006001</v>
      </c>
      <c r="B3" s="47" t="s">
        <v>345</v>
      </c>
      <c r="C3" s="50">
        <v>3</v>
      </c>
      <c r="D3" s="50" t="s">
        <v>128</v>
      </c>
      <c r="E3" s="51" t="s">
        <v>337</v>
      </c>
      <c r="F3" s="51" t="s">
        <v>338</v>
      </c>
      <c r="G3" s="64" t="str">
        <f t="shared" si="0"/>
        <v>[effect:rush, count:1, val:0.8]</v>
      </c>
      <c r="H3" s="64">
        <f t="shared" si="1"/>
        <v>9</v>
      </c>
      <c r="I3" s="64">
        <f t="shared" si="2"/>
        <v>13</v>
      </c>
      <c r="J3" s="64" t="e">
        <f t="shared" si="3"/>
        <v>#VALUE!</v>
      </c>
      <c r="K3" s="64">
        <f t="shared" si="4"/>
        <v>22</v>
      </c>
      <c r="L3" s="64" t="s">
        <v>339</v>
      </c>
      <c r="M3" s="64" t="str">
        <f t="shared" si="5"/>
        <v>none</v>
      </c>
      <c r="N3" s="48" t="str">
        <f>IFERROR(LEFT(M3,FIND("],",M3)+#REF!),M3)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">
        <v>340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">
        <v>340</v>
      </c>
      <c r="Z3" s="50"/>
      <c r="AA3" s="52"/>
      <c r="AB3" s="50"/>
    </row>
    <row r="4" spans="1:28" ht="21" customHeight="1" x14ac:dyDescent="0.15">
      <c r="A4" s="47">
        <v>50006002</v>
      </c>
      <c r="B4" s="47" t="s">
        <v>341</v>
      </c>
      <c r="C4" s="50">
        <v>3</v>
      </c>
      <c r="D4" s="50" t="s">
        <v>342</v>
      </c>
      <c r="E4" s="51" t="s">
        <v>343</v>
      </c>
      <c r="F4" s="51" t="s">
        <v>344</v>
      </c>
      <c r="G4" s="64" t="str">
        <f t="shared" si="0"/>
        <v>[effect:rush, count:1, val:1.1]</v>
      </c>
      <c r="H4" s="64">
        <f t="shared" si="1"/>
        <v>9</v>
      </c>
      <c r="I4" s="64">
        <f t="shared" si="2"/>
        <v>13</v>
      </c>
      <c r="J4" s="64" t="e">
        <f t="shared" si="3"/>
        <v>#VALUE!</v>
      </c>
      <c r="K4" s="64">
        <f t="shared" si="4"/>
        <v>22</v>
      </c>
      <c r="L4" s="64" t="s">
        <v>339</v>
      </c>
      <c r="M4" s="64" t="str">
        <f t="shared" si="5"/>
        <v>none</v>
      </c>
      <c r="N4" s="48" t="str">
        <f>IFERROR(LEFT(M4,FIND("],",M4)+#REF!),M4)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">
        <v>340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">
        <v>340</v>
      </c>
      <c r="Z4" s="50"/>
      <c r="AA4" s="52"/>
      <c r="AB4" s="50"/>
    </row>
    <row r="5" spans="1:28" ht="52" customHeight="1" x14ac:dyDescent="0.15">
      <c r="A5" s="47">
        <v>50006100</v>
      </c>
      <c r="B5" s="47" t="s">
        <v>389</v>
      </c>
      <c r="C5" s="50">
        <v>3</v>
      </c>
      <c r="D5" s="50" t="s">
        <v>128</v>
      </c>
      <c r="E5" s="51" t="s">
        <v>372</v>
      </c>
      <c r="F5" s="51" t="s">
        <v>390</v>
      </c>
      <c r="G5" s="64" t="str">
        <f t="shared" si="0"/>
        <v>[effect:enemy_message, val1:1, val2:2.4]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30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>[effect:drop_block, block_type:time_bomb, block_color:block_yellow, color:block_yellow, val:0.2, rate:0.3, turn:-1, min_time_count:3, max_time_count:3, animation:time_bomb_influence04],[effect:drop_block, block_type:jammer, color:block_green, val:0, rate:0.2, turn:-1],[effect:drop_block, block_type:crash, color:block_all, val:8, rate:0.03, turn:-1],[effect:fix_speed, target:myself, turn:2]</v>
      </c>
      <c r="N5" s="48" t="str">
        <f>IFERROR(LEFT(M5,FIND("],",M5)+#REF!),M5)</f>
        <v>[effect:drop_block, block_type:time_bomb, block_color:block_yellow, color:block_yellow, val:0.2, rate:0.3, turn:-1, min_time_count:3, max_time_count:3, animation:time_bomb_influence04],[effect:drop_block, block_type:jammer, color:block_green, val:0, rate:0.2, turn:-1],[effect:drop_block, block_type:crash, color:block_all, val:8, rate:0.03, turn:-1],[effect:fix_speed, target:myself, turn:2]</v>
      </c>
      <c r="O5" s="64">
        <f t="shared" si="6"/>
        <v>9</v>
      </c>
      <c r="P5" s="64">
        <f t="shared" si="7"/>
        <v>19</v>
      </c>
      <c r="Q5" s="64">
        <f t="shared" si="8"/>
        <v>378</v>
      </c>
      <c r="R5" s="64">
        <f t="shared" si="9"/>
        <v>41</v>
      </c>
      <c r="S5" s="64" t="str">
        <f>IFERROR(VLOOKUP(MID(N5,Q5,R5-Q5),[6]skilldef!$C:$D,2,FALSE),"-") &amp; " / " &amp; IFERROR(VLOOKUP(MID(N5,O5,P5-O5),[6]skilldef!$A:$B,2,FALSE),"-")</f>
        <v>- / 特定ブロックの割合ドロップ</v>
      </c>
      <c r="T5" s="48" t="str">
        <f t="shared" si="10"/>
        <v>[effect:drop_block, block_type:jammer, color:block_green, val:0, rate:0.2, turn:-1],[effect:drop_block, block_type:crash, color:block_all, val:8, rate:0.03, turn:-1],[effect:fix_speed, target:myself, turn:2]</v>
      </c>
      <c r="U5" s="64">
        <f t="shared" si="11"/>
        <v>9</v>
      </c>
      <c r="V5" s="64">
        <f t="shared" si="12"/>
        <v>19</v>
      </c>
      <c r="W5" s="64">
        <f t="shared" si="13"/>
        <v>193</v>
      </c>
      <c r="X5" s="64">
        <f t="shared" si="14"/>
        <v>38</v>
      </c>
      <c r="Y5" s="64" t="str">
        <f>IFERROR(VLOOKUP(MID(T5,W5,X5-W5),[6]skilldef!$C:$D,2,FALSE),"-") &amp; " / " &amp; IFERROR(VLOOKUP(MID(T5,U5,V5-U5),[6]skilldef!$A:$B,2,FALSE),"-")</f>
        <v>- / 特定ブロックの割合ドロップ</v>
      </c>
      <c r="Z5" s="50"/>
      <c r="AA5" s="52"/>
      <c r="AB5" s="50"/>
    </row>
    <row r="6" spans="1:28" ht="21" customHeight="1" x14ac:dyDescent="0.15">
      <c r="A6" s="47">
        <v>50006101</v>
      </c>
      <c r="B6" s="47" t="s">
        <v>254</v>
      </c>
      <c r="C6" s="50">
        <v>3</v>
      </c>
      <c r="D6" s="50" t="s">
        <v>128</v>
      </c>
      <c r="E6" s="51" t="s">
        <v>347</v>
      </c>
      <c r="F6" s="51" t="s">
        <v>253</v>
      </c>
      <c r="G6" s="64" t="str">
        <f t="shared" si="0"/>
        <v>[effect:rush, count:2, val:0.5]</v>
      </c>
      <c r="H6" s="64">
        <f t="shared" si="1"/>
        <v>9</v>
      </c>
      <c r="I6" s="64">
        <f t="shared" si="2"/>
        <v>13</v>
      </c>
      <c r="J6" s="64" t="e">
        <f t="shared" si="3"/>
        <v>#VALUE!</v>
      </c>
      <c r="K6" s="64">
        <f t="shared" si="4"/>
        <v>22</v>
      </c>
      <c r="L6" s="64" t="str">
        <f>IFERROR(VLOOKUP(MID(G6,J6,K6-J6),[6]skilldef!$C:$D,2,FALSE),"-") &amp; " / " &amp; IFERROR(VLOOKUP(MID(G6,H6,I6-H6),[6]skilldef!$A:$B,2,FALSE),"-")</f>
        <v>- / 連続攻撃</v>
      </c>
      <c r="M6" s="64" t="str">
        <f t="shared" si="5"/>
        <v>none</v>
      </c>
      <c r="N6" s="48" t="str">
        <f>IFERROR(LEFT(M6,FIND("],",M6)+#REF!),M6)</f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50006102</v>
      </c>
      <c r="B7" s="47" t="s">
        <v>481</v>
      </c>
      <c r="C7" s="50">
        <v>3</v>
      </c>
      <c r="D7" s="50" t="s">
        <v>128</v>
      </c>
      <c r="E7" s="51" t="s">
        <v>348</v>
      </c>
      <c r="F7" s="51" t="s">
        <v>379</v>
      </c>
      <c r="G7" s="64" t="str">
        <f t="shared" si="0"/>
        <v>[effect:enemy_message, val1:1, val2:2.2]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30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>[effect:enhance_enemy, target:myself, turn:-1, status:attack, val:0.2, calc:mul, animation:enemy_enhance_attack],[effect:freq_turn, target:myself, turn:-1, val:1, animation:enemy_freq_turn]</v>
      </c>
      <c r="N7" s="48" t="str">
        <f>IFERROR(LEFT(M7,FIND("],",M7)+#REF!),M7)</f>
        <v>[effect:enhance_enemy, target:myself, turn:-1, status:attack, val:0.2, calc:mul, animation:enemy_enhance_attack],[effect:freq_turn, target:myself, turn:-1, val:1, animation:enemy_freq_turn]</v>
      </c>
      <c r="O7" s="64">
        <f t="shared" si="6"/>
        <v>9</v>
      </c>
      <c r="P7" s="64">
        <f t="shared" si="7"/>
        <v>22</v>
      </c>
      <c r="Q7" s="64">
        <f t="shared" si="8"/>
        <v>31</v>
      </c>
      <c r="R7" s="64">
        <f t="shared" si="9"/>
        <v>37</v>
      </c>
      <c r="S7" s="64" t="str">
        <f>IFERROR(VLOOKUP(MID(N7,Q7,R7-Q7),[6]skilldef!$C:$D,2,FALSE),"-") &amp; " / " &amp; IFERROR(VLOOKUP(MID(N7,O7,P7-O7),[6]skilldef!$A:$B,2,FALSE),"-")</f>
        <v>自分自身に / ステータス強化</v>
      </c>
      <c r="T7" s="48" t="str">
        <f t="shared" si="10"/>
        <v>[effect:freq_turn, target:myself, turn:-1, val:1, animation:enemy_freq_turn]</v>
      </c>
      <c r="U7" s="64">
        <f t="shared" si="11"/>
        <v>9</v>
      </c>
      <c r="V7" s="64">
        <f t="shared" si="12"/>
        <v>18</v>
      </c>
      <c r="W7" s="64">
        <f t="shared" si="13"/>
        <v>27</v>
      </c>
      <c r="X7" s="64">
        <f t="shared" si="14"/>
        <v>33</v>
      </c>
      <c r="Y7" s="64" t="str">
        <f>IFERROR(VLOOKUP(MID(T7,W7,X7-W7),[6]skilldef!$C:$D,2,FALSE),"-") &amp; " / " &amp; IFERROR(VLOOKUP(MID(T7,U7,V7-U7),[6]skilldef!$A:$B,2,FALSE),"-")</f>
        <v>自分自身に / 攻撃頻度がUP</v>
      </c>
      <c r="Z7" s="50"/>
      <c r="AA7" s="52"/>
      <c r="AB7" s="50"/>
    </row>
    <row r="8" spans="1:28" ht="43" customHeight="1" x14ac:dyDescent="0.15">
      <c r="A8" s="47">
        <v>50006103</v>
      </c>
      <c r="B8" s="47" t="s">
        <v>265</v>
      </c>
      <c r="C8" s="50">
        <v>3</v>
      </c>
      <c r="D8" s="50" t="s">
        <v>128</v>
      </c>
      <c r="E8" s="51" t="s">
        <v>385</v>
      </c>
      <c r="F8" s="51" t="s">
        <v>266</v>
      </c>
      <c r="G8" s="64" t="str">
        <f t="shared" si="0"/>
        <v>[effect:spread, val:0.35]</v>
      </c>
      <c r="H8" s="64">
        <f t="shared" si="1"/>
        <v>9</v>
      </c>
      <c r="I8" s="64">
        <f t="shared" si="2"/>
        <v>15</v>
      </c>
      <c r="J8" s="64" t="e">
        <f t="shared" si="3"/>
        <v>#VALUE!</v>
      </c>
      <c r="K8" s="64" t="e">
        <f t="shared" si="4"/>
        <v>#VALUE!</v>
      </c>
      <c r="L8" s="64" t="str">
        <f>IFERROR(VLOOKUP(MID(G8,J8,K8-J8),[6]skilldef!$C:$D,2,FALSE),"-") &amp; " / " &amp; IFERROR(VLOOKUP(MID(G8,H8,I8-H8),[6]skilldef!$A:$B,2,FALSE),"-")</f>
        <v>- / 全体攻撃</v>
      </c>
      <c r="M8" s="64" t="str">
        <f t="shared" si="5"/>
        <v>none</v>
      </c>
      <c r="N8" s="48" t="str">
        <f>IFERROR(LEFT(M8,FIND("],",M8)+#REF!),M8)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IFERROR(VLOOKUP(MID(N8,Q8,R8-Q8),[6]skilldef!$C:$D,2,FALSE),"-") &amp; " / " &amp; IFERROR(VLOOKUP(MID(N8,O8,P8-O8),[6]skilldef!$A:$B,2,FALSE),"-")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42" customHeight="1" x14ac:dyDescent="0.15">
      <c r="A9" s="47">
        <v>50006200</v>
      </c>
      <c r="B9" s="47" t="s">
        <v>485</v>
      </c>
      <c r="C9" s="50">
        <v>3</v>
      </c>
      <c r="D9" s="50" t="s">
        <v>252</v>
      </c>
      <c r="E9" s="51" t="s">
        <v>477</v>
      </c>
      <c r="F9" s="51" t="s">
        <v>317</v>
      </c>
      <c r="G9" s="64" t="str">
        <f t="shared" si="0"/>
        <v>[effect:force_change_block, new_block:jammer, target:block_all, ignore01:crash, ignore02:crack_bomb, ignore03:color_break, ignore04:magnet, count:5, val:0, animation:change_block]</v>
      </c>
      <c r="H9" s="64">
        <f t="shared" si="1"/>
        <v>9</v>
      </c>
      <c r="I9" s="64">
        <f t="shared" si="2"/>
        <v>27</v>
      </c>
      <c r="J9" s="64">
        <f t="shared" si="3"/>
        <v>54</v>
      </c>
      <c r="K9" s="64">
        <f t="shared" si="4"/>
        <v>45</v>
      </c>
      <c r="L9" s="64" t="str">
        <f>IFERROR(VLOOKUP(MID(G9,J9,K9-J9),[6]skilldef!$C:$D,2,FALSE),"-") &amp; " / " &amp; IFERROR(VLOOKUP(MID(G9,H9,I9-H9),[6]skilldef!$A:$B,2,FALSE),"-")</f>
        <v>- / -</v>
      </c>
      <c r="M9" s="64" t="str">
        <f t="shared" si="5"/>
        <v>[effect:rush, count:1, val:1.0]</v>
      </c>
      <c r="N9" s="48" t="str">
        <f>IFERROR(LEFT(M9,FIND("],",M9)+#REF!),M9)</f>
        <v>[effect:rush, count:1, val:1.0]</v>
      </c>
      <c r="O9" s="64">
        <f t="shared" si="6"/>
        <v>9</v>
      </c>
      <c r="P9" s="64">
        <f t="shared" si="7"/>
        <v>13</v>
      </c>
      <c r="Q9" s="64" t="e">
        <f t="shared" si="8"/>
        <v>#VALUE!</v>
      </c>
      <c r="R9" s="64">
        <f t="shared" si="9"/>
        <v>22</v>
      </c>
      <c r="S9" s="64" t="str">
        <f>IFERROR(VLOOKUP(MID(N9,Q9,R9-Q9),[6]skilldef!$C:$D,2,FALSE),"-") &amp; " / " &amp; IFERROR(VLOOKUP(MID(N9,O9,P9-O9),[6]skilldef!$A:$B,2,FALSE),"-")</f>
        <v>- / 連続攻撃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8" customHeight="1" x14ac:dyDescent="0.15">
      <c r="A10" s="47">
        <v>50006201</v>
      </c>
      <c r="B10" s="47" t="s">
        <v>484</v>
      </c>
      <c r="C10" s="50">
        <v>3</v>
      </c>
      <c r="D10" s="50" t="s">
        <v>252</v>
      </c>
      <c r="E10" s="51" t="s">
        <v>349</v>
      </c>
      <c r="F10" s="51" t="s">
        <v>482</v>
      </c>
      <c r="G10" s="64" t="str">
        <f t="shared" si="0"/>
        <v>[effect:enemy_message, val1:1, val2:1.8]</v>
      </c>
      <c r="H10" s="64">
        <f t="shared" si="1"/>
        <v>9</v>
      </c>
      <c r="I10" s="64">
        <f t="shared" si="2"/>
        <v>22</v>
      </c>
      <c r="J10" s="64" t="e">
        <f t="shared" si="3"/>
        <v>#VALUE!</v>
      </c>
      <c r="K10" s="64">
        <f t="shared" si="4"/>
        <v>30</v>
      </c>
      <c r="L10" s="64" t="str">
        <f>IFERROR(VLOOKUP(MID(G10,J10,K10-J10),[6]skilldef!$C:$D,2,FALSE),"-") &amp; " / " &amp; IFERROR(VLOOKUP(MID(G10,H10,I10-H10),[6]skilldef!$A:$B,2,FALSE),"-")</f>
        <v>- / -</v>
      </c>
      <c r="M10" s="64" t="str">
        <f t="shared" si="5"/>
        <v>[effect:fix_speed, target:myself, turn:1]</v>
      </c>
      <c r="N10" s="48" t="str">
        <f>IFERROR(LEFT(M10,FIND("],",M10)+#REF!),M10)</f>
        <v>[effect:fix_speed, target:myself, turn:1]</v>
      </c>
      <c r="O10" s="64">
        <f t="shared" si="6"/>
        <v>9</v>
      </c>
      <c r="P10" s="64">
        <f t="shared" si="7"/>
        <v>18</v>
      </c>
      <c r="Q10" s="64">
        <f t="shared" si="8"/>
        <v>27</v>
      </c>
      <c r="R10" s="64">
        <f t="shared" si="9"/>
        <v>33</v>
      </c>
      <c r="S10" s="64" t="str">
        <f>IFERROR(VLOOKUP(MID(N10,Q10,R10-Q10),[6]skilldef!$C:$D,2,FALSE),"-") &amp; " / " &amp; IFERROR(VLOOKUP(MID(N10,O10,P10-O10),[6]skilldef!$A:$B,2,FALSE),"-")</f>
        <v>自分自身に / 行動値設定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37" customHeight="1" x14ac:dyDescent="0.15">
      <c r="A11" s="47">
        <v>50006203</v>
      </c>
      <c r="B11" s="47" t="s">
        <v>486</v>
      </c>
      <c r="C11" s="50">
        <v>3</v>
      </c>
      <c r="D11" s="50" t="s">
        <v>252</v>
      </c>
      <c r="E11" s="51" t="s">
        <v>350</v>
      </c>
      <c r="F11" s="51" t="s">
        <v>483</v>
      </c>
      <c r="G11" s="64" t="str">
        <f t="shared" ref="G11" si="15">IFERROR(LEFT(B11,FIND("],",B11)),B11)</f>
        <v>[effect:enemy_message, val1:1, val2:2.2]</v>
      </c>
      <c r="H11" s="64">
        <f t="shared" ref="H11" si="16">FIND("effect:",G11)+7</f>
        <v>9</v>
      </c>
      <c r="I11" s="64">
        <f t="shared" ref="I11" si="17">IFERROR(FIND(",",G11),LEN(G11))</f>
        <v>22</v>
      </c>
      <c r="J11" s="64" t="e">
        <f t="shared" ref="J11" si="18">FIND("target:",G11)+7</f>
        <v>#VALUE!</v>
      </c>
      <c r="K11" s="64">
        <f t="shared" ref="K11" si="19">FIND(",",G11,I11+1)</f>
        <v>30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ref="M11" si="20">IFERROR(RIGHT(B11,LEN(B11)-FIND("],",B11)-1),"none")</f>
        <v>[effect:force_change_block, new_block:time_bomb, target:block_all, ignore01:crash, ignore02:crack_bomb, ignore03:color_break, ignore04:magnet, count:14, val:0.2, min_time_count:2, max_time_count:2, animation:change_block],[effect:rush, count:1, val:1.0]</v>
      </c>
      <c r="N11" s="48" t="str">
        <f>IFERROR(LEFT(M11,FIND("],",M11)+#REF!),M11)</f>
        <v>[effect:force_change_block, new_block:time_bomb, target:block_all, ignore01:crash, ignore02:crack_bomb, ignore03:color_break, ignore04:magnet, count:14, val:0.2, min_time_count:2, max_time_count:2, animation:change_block],[effect:rush, count:1, val:1.0]</v>
      </c>
      <c r="O11" s="64">
        <f t="shared" ref="O11" si="21">FIND("effect:",N11)+7</f>
        <v>9</v>
      </c>
      <c r="P11" s="64">
        <f t="shared" ref="P11" si="22">IFERROR(FIND(",",N11),LEN(N11))</f>
        <v>27</v>
      </c>
      <c r="Q11" s="64">
        <f t="shared" ref="Q11" si="23">FIND("target:",N11)+7</f>
        <v>57</v>
      </c>
      <c r="R11" s="64">
        <f t="shared" ref="R11" si="24">FIND(",",N11,P11+1)</f>
        <v>48</v>
      </c>
      <c r="S11" s="64" t="str">
        <f>IFERROR(VLOOKUP(MID(N11,Q11,R11-Q11),[6]skilldef!$C:$D,2,FALSE),"-") &amp; " / " &amp; IFERROR(VLOOKUP(MID(N11,O11,P11-O11),[6]skilldef!$A:$B,2,FALSE),"-")</f>
        <v>- / -</v>
      </c>
      <c r="T11" s="48" t="str">
        <f t="shared" ref="T11" si="25">IFERROR(RIGHT(M11,LEN(M11)-FIND("],",M11)-1),"none")</f>
        <v>[effect:rush, count:1, val:1.0]</v>
      </c>
      <c r="U11" s="64">
        <f t="shared" ref="U11" si="26">FIND("effect:",T11)+7</f>
        <v>9</v>
      </c>
      <c r="V11" s="64">
        <f t="shared" ref="V11" si="27">IFERROR(FIND(",",T11),LEN(T11))</f>
        <v>13</v>
      </c>
      <c r="W11" s="64" t="e">
        <f t="shared" ref="W11" si="28">FIND("target:",T11)+7</f>
        <v>#VALUE!</v>
      </c>
      <c r="X11" s="64">
        <f t="shared" ref="X11" si="29">FIND(",",T11,V11+1)</f>
        <v>22</v>
      </c>
      <c r="Y11" s="64" t="str">
        <f>IFERROR(VLOOKUP(MID(T11,W11,X11-W11),[6]skilldef!$C:$D,2,FALSE),"-") &amp; " / " &amp; IFERROR(VLOOKUP(MID(T11,U11,V11-U11),[6]skilldef!$A:$B,2,FALSE),"-")</f>
        <v>- / 連続攻撃</v>
      </c>
      <c r="Z11" s="50"/>
      <c r="AA11" s="52"/>
      <c r="AB11" s="50"/>
    </row>
    <row r="12" spans="1:28" ht="38" customHeight="1" x14ac:dyDescent="0.15">
      <c r="A12" s="47">
        <v>50006202</v>
      </c>
      <c r="B12" s="47" t="s">
        <v>388</v>
      </c>
      <c r="C12" s="50">
        <v>3</v>
      </c>
      <c r="D12" s="50" t="s">
        <v>252</v>
      </c>
      <c r="E12" s="51" t="s">
        <v>472</v>
      </c>
      <c r="F12" s="51" t="s">
        <v>351</v>
      </c>
      <c r="G12" s="64" t="str">
        <f t="shared" si="0"/>
        <v>[effect:enemy_message, val1:1.5, val2:1.8]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>[effect:suicide, val:1, dead_type:escape, target:enemy_all]</v>
      </c>
      <c r="N12" s="48" t="str">
        <f>IFERROR(LEFT(M12,FIND("],",M12)+#REF!),M12)</f>
        <v>[effect:suicide, val:1, dead_type:escape, target:enemy_all]</v>
      </c>
      <c r="O12" s="64">
        <f t="shared" si="6"/>
        <v>9</v>
      </c>
      <c r="P12" s="64">
        <f t="shared" si="7"/>
        <v>16</v>
      </c>
      <c r="Q12" s="64">
        <f t="shared" si="8"/>
        <v>50</v>
      </c>
      <c r="R12" s="64">
        <f t="shared" si="9"/>
        <v>23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>none</v>
      </c>
      <c r="U12" s="64" t="e">
        <f t="shared" si="11"/>
        <v>#VALUE!</v>
      </c>
      <c r="V12" s="64">
        <f t="shared" si="12"/>
        <v>4</v>
      </c>
      <c r="W12" s="64" t="e">
        <f t="shared" si="13"/>
        <v>#VALUE!</v>
      </c>
      <c r="X12" s="64" t="e">
        <f t="shared" si="14"/>
        <v>#VALUE!</v>
      </c>
      <c r="Y12" s="64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50006300</v>
      </c>
      <c r="B13" s="47" t="s">
        <v>374</v>
      </c>
      <c r="C13" s="50">
        <v>3</v>
      </c>
      <c r="D13" s="50" t="s">
        <v>252</v>
      </c>
      <c r="E13" s="51" t="s">
        <v>352</v>
      </c>
      <c r="F13" s="51" t="s">
        <v>373</v>
      </c>
      <c r="G13" s="64" t="str">
        <f t="shared" si="0"/>
        <v>[effect:fix_speed, target:myself, turn:2]</v>
      </c>
      <c r="H13" s="64">
        <f t="shared" si="1"/>
        <v>9</v>
      </c>
      <c r="I13" s="64">
        <f t="shared" si="2"/>
        <v>18</v>
      </c>
      <c r="J13" s="64">
        <f t="shared" si="3"/>
        <v>27</v>
      </c>
      <c r="K13" s="64">
        <f t="shared" si="4"/>
        <v>33</v>
      </c>
      <c r="L13" s="64" t="str">
        <f>IFERROR(VLOOKUP(MID(G13,J13,K13-J13),[6]skilldef!$C:$D,2,FALSE),"-") &amp; " / " &amp; IFERROR(VLOOKUP(MID(G13,H13,I13-H13),[6]skilldef!$A:$B,2,FALSE),"-")</f>
        <v>自分自身に / 行動値設定</v>
      </c>
      <c r="M13" s="64" t="str">
        <f t="shared" si="5"/>
        <v>none</v>
      </c>
      <c r="N13" s="48" t="str">
        <f>IFERROR(LEFT(M13,FIND("],",M13)+#REF!),M13)</f>
        <v>none</v>
      </c>
      <c r="O13" s="64" t="e">
        <f t="shared" si="6"/>
        <v>#VALUE!</v>
      </c>
      <c r="P13" s="64">
        <f t="shared" si="7"/>
        <v>4</v>
      </c>
      <c r="Q13" s="64" t="e">
        <f t="shared" si="8"/>
        <v>#VALUE!</v>
      </c>
      <c r="R13" s="64" t="e">
        <f t="shared" si="9"/>
        <v>#VALUE!</v>
      </c>
      <c r="S13" s="64" t="str">
        <f>IFERROR(VLOOKUP(MID(N13,Q13,R13-Q13),[6]skilldef!$C:$D,2,FALSE),"-") &amp; " / " &amp; IFERROR(VLOOKUP(MID(N13,O13,P13-O13),[6]skilldef!$A:$B,2,FALSE),"-")</f>
        <v>-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50006301</v>
      </c>
      <c r="B14" s="47" t="s">
        <v>260</v>
      </c>
      <c r="C14" s="50">
        <v>3</v>
      </c>
      <c r="D14" s="50" t="s">
        <v>252</v>
      </c>
      <c r="E14" s="51" t="s">
        <v>353</v>
      </c>
      <c r="F14" s="51" t="s">
        <v>255</v>
      </c>
      <c r="G14" s="64" t="str">
        <f t="shared" si="0"/>
        <v>[effect:rush, count:4, val:0.25]</v>
      </c>
      <c r="H14" s="64">
        <f t="shared" si="1"/>
        <v>9</v>
      </c>
      <c r="I14" s="64">
        <f t="shared" si="2"/>
        <v>13</v>
      </c>
      <c r="J14" s="64" t="e">
        <f t="shared" si="3"/>
        <v>#VALUE!</v>
      </c>
      <c r="K14" s="64">
        <f t="shared" si="4"/>
        <v>22</v>
      </c>
      <c r="L14" s="64" t="str">
        <f>IFERROR(VLOOKUP(MID(G14,J14,K14-J14),[6]skilldef!$C:$D,2,FALSE),"-") &amp; " / " &amp; IFERROR(VLOOKUP(MID(G14,H14,I14-H14),[6]skilldef!$A:$B,2,FALSE),"-")</f>
        <v>- / 連続攻撃</v>
      </c>
      <c r="M14" s="64" t="str">
        <f t="shared" si="5"/>
        <v>none</v>
      </c>
      <c r="N14" s="48" t="str">
        <f>IFERROR(LEFT(M14,FIND("],",M14)+#REF!),M14)</f>
        <v>none</v>
      </c>
      <c r="O14" s="64" t="e">
        <f t="shared" si="6"/>
        <v>#VALUE!</v>
      </c>
      <c r="P14" s="64">
        <f t="shared" si="7"/>
        <v>4</v>
      </c>
      <c r="Q14" s="64" t="e">
        <f t="shared" si="8"/>
        <v>#VALUE!</v>
      </c>
      <c r="R14" s="64" t="e">
        <f t="shared" si="9"/>
        <v>#VALUE!</v>
      </c>
      <c r="S14" s="64" t="str">
        <f>IFERROR(VLOOKUP(MID(N14,Q14,R14-Q14),[6]skilldef!$C:$D,2,FALSE),"-") &amp; " / " &amp; IFERROR(VLOOKUP(MID(N14,O14,P14-O14),[6]skilldef!$A:$B,2,FALSE),"-")</f>
        <v>- / -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50006302</v>
      </c>
      <c r="B15" s="47" t="s">
        <v>261</v>
      </c>
      <c r="C15" s="50">
        <v>3</v>
      </c>
      <c r="D15" s="50" t="s">
        <v>252</v>
      </c>
      <c r="E15" s="51" t="s">
        <v>354</v>
      </c>
      <c r="F15" s="51" t="s">
        <v>256</v>
      </c>
      <c r="G15" s="64" t="str">
        <f t="shared" si="0"/>
        <v>[effect:spread, val:0.25]</v>
      </c>
      <c r="H15" s="64">
        <f t="shared" si="1"/>
        <v>9</v>
      </c>
      <c r="I15" s="64">
        <f t="shared" si="2"/>
        <v>15</v>
      </c>
      <c r="J15" s="64" t="e">
        <f t="shared" si="3"/>
        <v>#VALUE!</v>
      </c>
      <c r="K15" s="64" t="e">
        <f t="shared" si="4"/>
        <v>#VALUE!</v>
      </c>
      <c r="L15" s="64" t="str">
        <f>IFERROR(VLOOKUP(MID(G15,J15,K15-J15),[6]skilldef!$C:$D,2,FALSE),"-") &amp; " / " &amp; IFERROR(VLOOKUP(MID(G15,H15,I15-H15),[6]skilldef!$A:$B,2,FALSE),"-")</f>
        <v>- / 全体攻撃</v>
      </c>
      <c r="M15" s="64" t="str">
        <f t="shared" si="5"/>
        <v>none</v>
      </c>
      <c r="N15" s="48" t="str">
        <f>IFERROR(LEFT(M15,FIND("],",M15)+#REF!),M15)</f>
        <v>none</v>
      </c>
      <c r="O15" s="64" t="e">
        <f t="shared" si="6"/>
        <v>#VALUE!</v>
      </c>
      <c r="P15" s="64">
        <f t="shared" si="7"/>
        <v>4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IFERROR(VLOOKUP(MID(N15,Q15,R15-Q15),[6]skilldef!$C:$D,2,FALSE),"-") &amp; " / " &amp; IFERROR(VLOOKUP(MID(N15,O15,P15-O15),[6]skilldef!$A:$B,2,FALSE),"-")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50006303</v>
      </c>
      <c r="B16" s="47" t="s">
        <v>375</v>
      </c>
      <c r="C16" s="50">
        <v>3</v>
      </c>
      <c r="D16" s="50" t="s">
        <v>252</v>
      </c>
      <c r="E16" s="51" t="s">
        <v>355</v>
      </c>
      <c r="F16" s="51" t="s">
        <v>376</v>
      </c>
      <c r="G16" s="64" t="str">
        <f t="shared" si="0"/>
        <v>[effect:break_attack_fix, val:5000, lowest_val:1, count:5, block:crash, target:unit_one]</v>
      </c>
      <c r="H16" s="64">
        <f t="shared" si="1"/>
        <v>9</v>
      </c>
      <c r="I16" s="64">
        <f t="shared" si="2"/>
        <v>25</v>
      </c>
      <c r="J16" s="64">
        <f t="shared" si="3"/>
        <v>80</v>
      </c>
      <c r="K16" s="64">
        <f t="shared" si="4"/>
        <v>35</v>
      </c>
      <c r="L16" s="64" t="str">
        <f>IFERROR(VLOOKUP(MID(G16,J16,K16-J16),[6]skilldef!$C:$D,2,FALSE),"-") &amp; " / " &amp; IFERROR(VLOOKUP(MID(G16,H16,I16-H16),[6]skilldef!$A:$B,2,FALSE),"-")</f>
        <v>- / -</v>
      </c>
      <c r="M16" s="64" t="str">
        <f t="shared" si="5"/>
        <v>none</v>
      </c>
      <c r="N16" s="48" t="str">
        <f>IFERROR(LEFT(M16,FIND("],",M16)+#REF!),M16)</f>
        <v>none</v>
      </c>
      <c r="O16" s="64" t="e">
        <f t="shared" si="6"/>
        <v>#VALUE!</v>
      </c>
      <c r="P16" s="64">
        <f t="shared" si="7"/>
        <v>4</v>
      </c>
      <c r="Q16" s="64" t="e">
        <f t="shared" si="8"/>
        <v>#VALUE!</v>
      </c>
      <c r="R16" s="64" t="e">
        <f t="shared" si="9"/>
        <v>#VALUE!</v>
      </c>
      <c r="S16" s="64" t="str">
        <f>IFERROR(VLOOKUP(MID(N16,Q16,R16-Q16),[6]skilldef!$C:$D,2,FALSE),"-") &amp; " / " &amp; IFERROR(VLOOKUP(MID(N16,O16,P16-O16),[6]skilldef!$A:$B,2,FALSE),"-")</f>
        <v>- / -</v>
      </c>
      <c r="T16" s="48" t="str">
        <f t="shared" si="10"/>
        <v>none</v>
      </c>
      <c r="U16" s="64" t="e">
        <f t="shared" si="11"/>
        <v>#VALUE!</v>
      </c>
      <c r="V16" s="64">
        <f t="shared" si="12"/>
        <v>4</v>
      </c>
      <c r="W16" s="64" t="e">
        <f t="shared" si="13"/>
        <v>#VALUE!</v>
      </c>
      <c r="X16" s="64" t="e">
        <f t="shared" si="14"/>
        <v>#VALUE!</v>
      </c>
      <c r="Y16" s="64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50006304</v>
      </c>
      <c r="B17" s="103" t="s">
        <v>378</v>
      </c>
      <c r="C17" s="50">
        <v>3</v>
      </c>
      <c r="D17" s="50" t="s">
        <v>252</v>
      </c>
      <c r="E17" s="51" t="s">
        <v>356</v>
      </c>
      <c r="F17" s="51" t="s">
        <v>377</v>
      </c>
      <c r="G17" s="64" t="str">
        <f t="shared" si="0"/>
        <v>[effect:break_heal_fix, val:100000, lowest_val:0, count:5, block01:crash, target:myself, animation:enemy_heal]</v>
      </c>
      <c r="H17" s="64">
        <f t="shared" si="1"/>
        <v>9</v>
      </c>
      <c r="I17" s="64">
        <f t="shared" si="2"/>
        <v>23</v>
      </c>
      <c r="J17" s="64">
        <f t="shared" si="3"/>
        <v>82</v>
      </c>
      <c r="K17" s="64">
        <f t="shared" si="4"/>
        <v>35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>none</v>
      </c>
      <c r="N17" s="48" t="str">
        <f>IFERROR(LEFT(M17,FIND("],",M17)+#REF!),M17)</f>
        <v>none</v>
      </c>
      <c r="O17" s="64" t="e">
        <f t="shared" si="6"/>
        <v>#VALUE!</v>
      </c>
      <c r="P17" s="64">
        <f t="shared" si="7"/>
        <v>4</v>
      </c>
      <c r="Q17" s="64" t="e">
        <f t="shared" si="8"/>
        <v>#VALUE!</v>
      </c>
      <c r="R17" s="64" t="e">
        <f t="shared" si="9"/>
        <v>#VALUE!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50006305</v>
      </c>
      <c r="B18" s="103" t="s">
        <v>262</v>
      </c>
      <c r="C18" s="50">
        <v>3</v>
      </c>
      <c r="D18" s="50" t="s">
        <v>252</v>
      </c>
      <c r="E18" s="51" t="s">
        <v>357</v>
      </c>
      <c r="F18" s="51" t="s">
        <v>258</v>
      </c>
      <c r="G18" s="64" t="str">
        <f t="shared" si="0"/>
        <v>[effect:spread, val:0.3]</v>
      </c>
      <c r="H18" s="64">
        <f t="shared" si="1"/>
        <v>9</v>
      </c>
      <c r="I18" s="64">
        <f t="shared" si="2"/>
        <v>15</v>
      </c>
      <c r="J18" s="64" t="e">
        <f t="shared" si="3"/>
        <v>#VALUE!</v>
      </c>
      <c r="K18" s="64" t="e">
        <f t="shared" si="4"/>
        <v>#VALUE!</v>
      </c>
      <c r="L18" s="64" t="str">
        <f>IFERROR(VLOOKUP(MID(G18,J18,K18-J18),[6]skilldef!$C:$D,2,FALSE),"-") &amp; " / " &amp; IFERROR(VLOOKUP(MID(G18,H18,I18-H18),[6]skilldef!$A:$B,2,FALSE),"-")</f>
        <v>- / 全体攻撃</v>
      </c>
      <c r="M18" s="64" t="str">
        <f t="shared" si="5"/>
        <v>none</v>
      </c>
      <c r="N18" s="48" t="str">
        <f>IFERROR(LEFT(M18,FIND("],",M18)+#REF!),M18)</f>
        <v>none</v>
      </c>
      <c r="O18" s="64" t="e">
        <f t="shared" si="6"/>
        <v>#VALUE!</v>
      </c>
      <c r="P18" s="64">
        <f t="shared" si="7"/>
        <v>4</v>
      </c>
      <c r="Q18" s="64" t="e">
        <f t="shared" si="8"/>
        <v>#VALUE!</v>
      </c>
      <c r="R18" s="64" t="e">
        <f t="shared" si="9"/>
        <v>#VALUE!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>none</v>
      </c>
      <c r="U18" s="64" t="e">
        <f t="shared" si="11"/>
        <v>#VALUE!</v>
      </c>
      <c r="V18" s="64">
        <f t="shared" si="12"/>
        <v>4</v>
      </c>
      <c r="W18" s="64" t="e">
        <f t="shared" si="13"/>
        <v>#VALUE!</v>
      </c>
      <c r="X18" s="64" t="e">
        <f t="shared" si="14"/>
        <v>#VALUE!</v>
      </c>
      <c r="Y18" s="64" t="str">
        <f>IFERROR(VLOOKUP(MID(T18,W18,X18-W18),[6]skilldef!$C:$D,2,FALSE),"-") &amp; " / " &amp; IFERROR(VLOOKUP(MID(T18,U18,V18-U18),[6]skilldef!$A:$B,2,FALSE),"-")</f>
        <v>- / -</v>
      </c>
      <c r="Z18" s="50"/>
      <c r="AA18" s="52"/>
      <c r="AB18" s="50"/>
    </row>
    <row r="19" spans="1:28" ht="21" customHeight="1" x14ac:dyDescent="0.15">
      <c r="A19" s="47">
        <v>50006306</v>
      </c>
      <c r="B19" s="103" t="s">
        <v>257</v>
      </c>
      <c r="C19" s="50">
        <v>3</v>
      </c>
      <c r="D19" s="50" t="s">
        <v>252</v>
      </c>
      <c r="E19" s="51" t="s">
        <v>357</v>
      </c>
      <c r="F19" s="51" t="s">
        <v>258</v>
      </c>
      <c r="G19" s="64" t="str">
        <f t="shared" si="0"/>
        <v>[effect:spread, val:0.5]</v>
      </c>
      <c r="H19" s="64">
        <f t="shared" si="1"/>
        <v>9</v>
      </c>
      <c r="I19" s="64">
        <f t="shared" si="2"/>
        <v>15</v>
      </c>
      <c r="J19" s="64" t="e">
        <f t="shared" si="3"/>
        <v>#VALUE!</v>
      </c>
      <c r="K19" s="64" t="e">
        <f t="shared" si="4"/>
        <v>#VALUE!</v>
      </c>
      <c r="L19" s="64" t="str">
        <f>IFERROR(VLOOKUP(MID(G19,J19,K19-J19),[6]skilldef!$C:$D,2,FALSE),"-") &amp; " / " &amp; IFERROR(VLOOKUP(MID(G19,H19,I19-H19),[6]skilldef!$A:$B,2,FALSE),"-")</f>
        <v>- / 全体攻撃</v>
      </c>
      <c r="M19" s="64" t="str">
        <f t="shared" si="5"/>
        <v>none</v>
      </c>
      <c r="N19" s="48" t="str">
        <f>IFERROR(LEFT(M19,FIND("],",M19)+#REF!),M19)</f>
        <v>none</v>
      </c>
      <c r="O19" s="64" t="e">
        <f t="shared" si="6"/>
        <v>#VALUE!</v>
      </c>
      <c r="P19" s="64">
        <f t="shared" si="7"/>
        <v>4</v>
      </c>
      <c r="Q19" s="64" t="e">
        <f t="shared" si="8"/>
        <v>#VALUE!</v>
      </c>
      <c r="R19" s="64" t="e">
        <f t="shared" si="9"/>
        <v>#VALUE!</v>
      </c>
      <c r="S19" s="64" t="str">
        <f>IFERROR(VLOOKUP(MID(N19,Q19,R19-Q19),[6]skilldef!$C:$D,2,FALSE),"-") &amp; " / " &amp; IFERROR(VLOOKUP(MID(N19,O19,P19-O19),[6]skilldef!$A:$B,2,FALSE),"-")</f>
        <v>- / -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50006307</v>
      </c>
      <c r="B20" s="103" t="s">
        <v>259</v>
      </c>
      <c r="C20" s="50">
        <v>3</v>
      </c>
      <c r="D20" s="50" t="s">
        <v>252</v>
      </c>
      <c r="E20" s="51" t="s">
        <v>357</v>
      </c>
      <c r="F20" s="51" t="s">
        <v>258</v>
      </c>
      <c r="G20" s="64" t="str">
        <f t="shared" si="0"/>
        <v>[effect:spread, val:0.7]</v>
      </c>
      <c r="H20" s="64">
        <f t="shared" si="1"/>
        <v>9</v>
      </c>
      <c r="I20" s="64">
        <f t="shared" si="2"/>
        <v>15</v>
      </c>
      <c r="J20" s="64" t="e">
        <f t="shared" si="3"/>
        <v>#VALUE!</v>
      </c>
      <c r="K20" s="64" t="e">
        <f t="shared" si="4"/>
        <v>#VALUE!</v>
      </c>
      <c r="L20" s="64" t="str">
        <f>IFERROR(VLOOKUP(MID(G20,J20,K20-J20),[6]skilldef!$C:$D,2,FALSE),"-") &amp; " / " &amp; IFERROR(VLOOKUP(MID(G20,H20,I20-H20),[6]skilldef!$A:$B,2,FALSE),"-")</f>
        <v>- / 全体攻撃</v>
      </c>
      <c r="M20" s="64" t="str">
        <f t="shared" si="5"/>
        <v>none</v>
      </c>
      <c r="N20" s="48" t="str">
        <f>IFERROR(LEFT(M20,FIND("],",M20)+#REF!),M20)</f>
        <v>none</v>
      </c>
      <c r="O20" s="64" t="e">
        <f t="shared" si="6"/>
        <v>#VALUE!</v>
      </c>
      <c r="P20" s="64">
        <f t="shared" si="7"/>
        <v>4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IFERROR(VLOOKUP(MID(N20,Q20,R20-Q20),[6]skilldef!$C:$D,2,FALSE),"-") &amp; " / " &amp; IFERROR(VLOOKUP(MID(N20,O20,P20-O20),[6]skilldef!$A:$B,2,FALSE),"-")</f>
        <v>- / -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35" customHeight="1" x14ac:dyDescent="0.15">
      <c r="A21" s="47">
        <v>50006308</v>
      </c>
      <c r="B21" s="103" t="s">
        <v>468</v>
      </c>
      <c r="C21" s="50">
        <v>3</v>
      </c>
      <c r="D21" s="50" t="s">
        <v>252</v>
      </c>
      <c r="E21" s="51" t="s">
        <v>478</v>
      </c>
      <c r="F21" s="51" t="s">
        <v>453</v>
      </c>
      <c r="G21" s="64" t="str">
        <f t="shared" si="0"/>
        <v>[effect:enemy_message, val1:1.4, val2:2.0]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32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5"/>
        <v>[effect:suicide, val:0.5, dead_type:suicide, target:myself, animation:enemy_suicide]</v>
      </c>
      <c r="N21" s="48" t="str">
        <f>IFERROR(LEFT(M21,FIND("],",M21)+#REF!),M21)</f>
        <v>[effect:suicide, val:0.5, dead_type:suicide, target:myself, animation:enemy_suicide]</v>
      </c>
      <c r="O21" s="64">
        <f t="shared" si="6"/>
        <v>9</v>
      </c>
      <c r="P21" s="64">
        <f t="shared" si="7"/>
        <v>16</v>
      </c>
      <c r="Q21" s="64">
        <f t="shared" si="8"/>
        <v>53</v>
      </c>
      <c r="R21" s="64">
        <f t="shared" si="9"/>
        <v>25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>none</v>
      </c>
      <c r="U21" s="64" t="e">
        <f t="shared" si="11"/>
        <v>#VALUE!</v>
      </c>
      <c r="V21" s="64">
        <f t="shared" si="12"/>
        <v>4</v>
      </c>
      <c r="W21" s="64" t="e">
        <f t="shared" si="13"/>
        <v>#VALUE!</v>
      </c>
      <c r="X21" s="64" t="e">
        <f t="shared" si="14"/>
        <v>#VALUE!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50006309</v>
      </c>
      <c r="B22" s="103" t="s">
        <v>318</v>
      </c>
      <c r="C22" s="50">
        <v>3</v>
      </c>
      <c r="D22" s="50" t="s">
        <v>128</v>
      </c>
      <c r="E22" s="51" t="s">
        <v>358</v>
      </c>
      <c r="F22" s="51" t="s">
        <v>359</v>
      </c>
      <c r="G22" s="64" t="str">
        <f t="shared" ref="G22" si="30">IFERROR(LEFT(B22,FIND("],",B22)),B22)</f>
        <v>[effect:nothing]</v>
      </c>
      <c r="H22" s="64">
        <f t="shared" ref="H22" si="31">FIND("effect:",G22)+7</f>
        <v>9</v>
      </c>
      <c r="I22" s="64">
        <f t="shared" ref="I22" si="32">IFERROR(FIND(",",G22),LEN(G22))</f>
        <v>16</v>
      </c>
      <c r="J22" s="64" t="e">
        <f t="shared" ref="J22" si="33">FIND("target:",G22)+7</f>
        <v>#VALUE!</v>
      </c>
      <c r="K22" s="64" t="e">
        <f t="shared" ref="K22" si="34">FIND(",",G22,I22+1)</f>
        <v>#VALUE!</v>
      </c>
      <c r="L22" s="64" t="str">
        <f>IFERROR(VLOOKUP(MID(G22,J22,K22-J22),[6]skilldef!$C:$D,2,FALSE),"-") &amp; " / " &amp; IFERROR(VLOOKUP(MID(G22,H22,I22-H22),[6]skilldef!$A:$B,2,FALSE),"-")</f>
        <v>- / 何もしない</v>
      </c>
      <c r="M22" s="64" t="str">
        <f t="shared" ref="M22" si="35">IFERROR(RIGHT(B22,LEN(B22)-FIND("],",B22)-1),"none")</f>
        <v>none</v>
      </c>
      <c r="N22" s="48" t="str">
        <f>IFERROR(LEFT(M22,FIND("],",M22)+#REF!),M22)</f>
        <v>none</v>
      </c>
      <c r="O22" s="64" t="e">
        <f t="shared" ref="O22" si="36">FIND("effect:",N22)+7</f>
        <v>#VALUE!</v>
      </c>
      <c r="P22" s="64">
        <f t="shared" ref="P22" si="37">IFERROR(FIND(",",N22),LEN(N22))</f>
        <v>4</v>
      </c>
      <c r="Q22" s="64" t="e">
        <f t="shared" ref="Q22" si="38">FIND("target:",N22)+7</f>
        <v>#VALUE!</v>
      </c>
      <c r="R22" s="64" t="e">
        <f t="shared" ref="R22" si="39">FIND(",",N22,P22+1)</f>
        <v>#VALUE!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ref="T22" si="40">IFERROR(RIGHT(M22,LEN(M22)-FIND("],",M22)-1),"none")</f>
        <v>none</v>
      </c>
      <c r="U22" s="64" t="e">
        <f t="shared" ref="U22" si="41">FIND("effect:",T22)+7</f>
        <v>#VALUE!</v>
      </c>
      <c r="V22" s="64">
        <f t="shared" ref="V22" si="42">IFERROR(FIND(",",T22),LEN(T22))</f>
        <v>4</v>
      </c>
      <c r="W22" s="64" t="e">
        <f t="shared" ref="W22" si="43">FIND("target:",T22)+7</f>
        <v>#VALUE!</v>
      </c>
      <c r="X22" s="64" t="e">
        <f t="shared" ref="X22" si="44">FIND(",",T22,V22+1)</f>
        <v>#VALUE!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ht="37" customHeight="1" x14ac:dyDescent="0.15">
      <c r="A23" s="47">
        <v>50006400</v>
      </c>
      <c r="B23" s="103" t="s">
        <v>391</v>
      </c>
      <c r="C23" s="50">
        <v>3</v>
      </c>
      <c r="D23" s="50" t="s">
        <v>252</v>
      </c>
      <c r="E23" s="51" t="s">
        <v>451</v>
      </c>
      <c r="F23" s="51" t="s">
        <v>452</v>
      </c>
      <c r="G23" s="64" t="str">
        <f t="shared" si="0"/>
        <v>[effect:enemy_message, val1:1, val2:2.6]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>
        <f t="shared" si="4"/>
        <v>30</v>
      </c>
      <c r="L23" s="64" t="str">
        <f>IFERROR(VLOOKUP(MID(G23,J23,K23-J23),[6]skilldef!$C:$D,2,FALSE),"-") &amp; " / " &amp; IFERROR(VLOOKUP(MID(G23,H23,I23-H23),[6]skilldef!$A:$B,2,FALSE),"-")</f>
        <v>- / -</v>
      </c>
      <c r="M23" s="64" t="str">
        <f t="shared" si="5"/>
        <v>[effect:enemy_counter, target:myself, invoke_condition:unit_all, counter_target:attacker, turn:5, val:1.5, animation:enemy_counter],[effect:fix_speed, target:myself, turn:2]</v>
      </c>
      <c r="N23" s="48" t="str">
        <f>IFERROR(LEFT(M23,FIND("],",M23)+#REF!),M23)</f>
        <v>[effect:enemy_counter, target:myself, invoke_condition:unit_all, counter_target:attacker, turn:5, val:1.5, animation:enemy_counter],[effect:fix_speed, target:myself, turn:2]</v>
      </c>
      <c r="O23" s="64">
        <f t="shared" si="6"/>
        <v>9</v>
      </c>
      <c r="P23" s="64">
        <f t="shared" si="7"/>
        <v>22</v>
      </c>
      <c r="Q23" s="64">
        <f t="shared" si="8"/>
        <v>31</v>
      </c>
      <c r="R23" s="64">
        <f t="shared" si="9"/>
        <v>37</v>
      </c>
      <c r="S23" s="64" t="str">
        <f>IFERROR(VLOOKUP(MID(N23,Q23,R23-Q23),[6]skilldef!$C:$D,2,FALSE),"-") &amp; " / " &amp; IFERROR(VLOOKUP(MID(N23,O23,P23-O23),[6]skilldef!$A:$B,2,FALSE),"-")</f>
        <v>自分自身に / カウンター</v>
      </c>
      <c r="T23" s="48" t="str">
        <f t="shared" si="10"/>
        <v>[effect:fix_speed, target:myself, turn:2]</v>
      </c>
      <c r="U23" s="64">
        <f t="shared" si="11"/>
        <v>9</v>
      </c>
      <c r="V23" s="64">
        <f t="shared" si="12"/>
        <v>18</v>
      </c>
      <c r="W23" s="64">
        <f t="shared" si="13"/>
        <v>27</v>
      </c>
      <c r="X23" s="64">
        <f t="shared" si="14"/>
        <v>33</v>
      </c>
      <c r="Y23" s="64" t="str">
        <f>IFERROR(VLOOKUP(MID(T23,W23,X23-W23),[6]skilldef!$C:$D,2,FALSE),"-") &amp; " / " &amp; IFERROR(VLOOKUP(MID(T23,U23,V23-U23),[6]skilldef!$A:$B,2,FALSE),"-")</f>
        <v>自分自身に / 行動値設定</v>
      </c>
      <c r="Z23" s="50"/>
      <c r="AA23" s="52"/>
      <c r="AB23" s="50"/>
    </row>
    <row r="24" spans="1:28" ht="21" customHeight="1" x14ac:dyDescent="0.15">
      <c r="A24" s="47">
        <v>50006401</v>
      </c>
      <c r="B24" s="103" t="s">
        <v>263</v>
      </c>
      <c r="C24" s="50">
        <v>3</v>
      </c>
      <c r="D24" s="50" t="s">
        <v>198</v>
      </c>
      <c r="E24" s="51" t="s">
        <v>360</v>
      </c>
      <c r="F24" s="51" t="s">
        <v>264</v>
      </c>
      <c r="G24" s="64" t="str">
        <f t="shared" ref="G24" si="45">IFERROR(LEFT(B24,FIND("],",B24)),B24)</f>
        <v>[effect:critical, val:1.3, animation:enemy_critical]</v>
      </c>
      <c r="H24" s="64">
        <f t="shared" si="1"/>
        <v>9</v>
      </c>
      <c r="I24" s="64">
        <f t="shared" ref="I24" si="46">IFERROR(FIND(",",G24),LEN(G24))</f>
        <v>17</v>
      </c>
      <c r="J24" s="64" t="e">
        <f t="shared" ref="J24" si="47">FIND("target:",G24)+7</f>
        <v>#VALUE!</v>
      </c>
      <c r="K24" s="64">
        <f t="shared" ref="K24" si="48">FIND(",",G24,I24+1)</f>
        <v>26</v>
      </c>
      <c r="L24" s="64" t="str">
        <f>IFERROR(VLOOKUP(MID(G24,J24,K24-J24),[6]skilldef!$C:$D,2,FALSE),"-") &amp; " / " &amp; IFERROR(VLOOKUP(MID(G24,H24,I24-H24),[6]skilldef!$A:$B,2,FALSE),"-")</f>
        <v>- / 大攻撃</v>
      </c>
      <c r="M24" s="64" t="str">
        <f t="shared" ref="M24" si="49">IFERROR(RIGHT(B24,LEN(B24)-FIND("],",B24)-1),"none")</f>
        <v>none</v>
      </c>
      <c r="N24" s="48" t="str">
        <f>IFERROR(LEFT(M24,FIND("],",M24)+#REF!),M24)</f>
        <v>none</v>
      </c>
      <c r="O24" s="64" t="e">
        <f t="shared" si="6"/>
        <v>#VALUE!</v>
      </c>
      <c r="P24" s="64">
        <f t="shared" ref="P24" si="50">IFERROR(FIND(",",N24),LEN(N24))</f>
        <v>4</v>
      </c>
      <c r="Q24" s="64" t="e">
        <f t="shared" ref="Q24" si="51">FIND("target:",N24)+7</f>
        <v>#VALUE!</v>
      </c>
      <c r="R24" s="64" t="e">
        <f t="shared" ref="R24" si="52">FIND(",",N24,P24+1)</f>
        <v>#VALUE!</v>
      </c>
      <c r="S24" s="64" t="str">
        <f>IFERROR(VLOOKUP(MID(N24,Q24,R24-Q24),[6]skilldef!$C:$D,2,FALSE),"-") &amp; " / " &amp; IFERROR(VLOOKUP(MID(N24,O24,P24-O24),[6]skilldef!$A:$B,2,FALSE),"-")</f>
        <v>- / -</v>
      </c>
      <c r="T24" s="48" t="str">
        <f t="shared" ref="T24" si="53">IFERROR(RIGHT(M24,LEN(M24)-FIND("],",M24)-1),"none")</f>
        <v>none</v>
      </c>
      <c r="U24" s="64" t="e">
        <f t="shared" si="11"/>
        <v>#VALUE!</v>
      </c>
      <c r="V24" s="64">
        <f t="shared" ref="V24" si="54">IFERROR(FIND(",",T24),LEN(T24))</f>
        <v>4</v>
      </c>
      <c r="W24" s="64" t="e">
        <f t="shared" ref="W24" si="55">FIND("target:",T24)+7</f>
        <v>#VALUE!</v>
      </c>
      <c r="X24" s="64" t="e">
        <f t="shared" ref="X24" si="56">FIND(",",T24,V24+1)</f>
        <v>#VALUE!</v>
      </c>
      <c r="Y24" s="64" t="str">
        <f>IFERROR(VLOOKUP(MID(T24,W24,X24-W24),[6]skilldef!$C:$D,2,FALSE),"-") &amp; " / " &amp; IFERROR(VLOOKUP(MID(T24,U24,V24-U24),[6]skilldef!$A:$B,2,FALSE),"-")</f>
        <v>- / -</v>
      </c>
      <c r="Z24" s="50"/>
      <c r="AA24" s="52"/>
      <c r="AB24" s="50"/>
    </row>
    <row r="25" spans="1:28" ht="21" customHeight="1" x14ac:dyDescent="0.15">
      <c r="A25" s="47">
        <v>50006402</v>
      </c>
      <c r="B25" s="103" t="s">
        <v>267</v>
      </c>
      <c r="C25" s="50">
        <v>3</v>
      </c>
      <c r="D25" s="50" t="s">
        <v>198</v>
      </c>
      <c r="E25" s="51" t="s">
        <v>361</v>
      </c>
      <c r="F25" s="51" t="s">
        <v>268</v>
      </c>
      <c r="G25" s="64" t="str">
        <f t="shared" ref="G25" si="57">IFERROR(LEFT(B25,FIND("],",B25)),B25)</f>
        <v>[effect:damage_anti_color, target:unit_all, color:blue, val1:0.75, val2:0.25]</v>
      </c>
      <c r="H25" s="64">
        <f t="shared" si="1"/>
        <v>9</v>
      </c>
      <c r="I25" s="64">
        <f t="shared" ref="I25" si="58">IFERROR(FIND(",",G25),LEN(G25))</f>
        <v>26</v>
      </c>
      <c r="J25" s="64">
        <f t="shared" ref="J25" si="59">FIND("target:",G25)+7</f>
        <v>35</v>
      </c>
      <c r="K25" s="64">
        <f t="shared" ref="K25" si="60">FIND(",",G25,I25+1)</f>
        <v>43</v>
      </c>
      <c r="L25" s="64" t="str">
        <f>IFERROR(VLOOKUP(MID(G25,J25,K25-J25),[6]skilldef!$C:$D,2,FALSE),"-") &amp; " / " &amp; IFERROR(VLOOKUP(MID(G25,H25,I25-H25),[6]skilldef!$A:$B,2,FALSE),"-")</f>
        <v>味方全体に / 属性キラー</v>
      </c>
      <c r="M25" s="64" t="str">
        <f t="shared" ref="M25" si="61">IFERROR(RIGHT(B25,LEN(B25)-FIND("],",B25)-1),"none")</f>
        <v>none</v>
      </c>
      <c r="N25" s="48" t="str">
        <f>IFERROR(LEFT(M25,FIND("],",M25)+#REF!),M25)</f>
        <v>none</v>
      </c>
      <c r="O25" s="64" t="e">
        <f t="shared" si="6"/>
        <v>#VALUE!</v>
      </c>
      <c r="P25" s="64">
        <f t="shared" ref="P25" si="62">IFERROR(FIND(",",N25),LEN(N25))</f>
        <v>4</v>
      </c>
      <c r="Q25" s="64" t="e">
        <f t="shared" ref="Q25" si="63">FIND("target:",N25)+7</f>
        <v>#VALUE!</v>
      </c>
      <c r="R25" s="64" t="e">
        <f t="shared" ref="R25" si="64">FIND(",",N25,P25+1)</f>
        <v>#VALUE!</v>
      </c>
      <c r="S25" s="64" t="str">
        <f>IFERROR(VLOOKUP(MID(N25,Q25,R25-Q25),[6]skilldef!$C:$D,2,FALSE),"-") &amp; " / " &amp; IFERROR(VLOOKUP(MID(N25,O25,P25-O25),[6]skilldef!$A:$B,2,FALSE),"-")</f>
        <v>- / -</v>
      </c>
      <c r="T25" s="48" t="str">
        <f t="shared" ref="T25" si="65">IFERROR(RIGHT(M25,LEN(M25)-FIND("],",M25)-1),"none")</f>
        <v>none</v>
      </c>
      <c r="U25" s="64" t="e">
        <f t="shared" si="11"/>
        <v>#VALUE!</v>
      </c>
      <c r="V25" s="64">
        <f t="shared" ref="V25" si="66">IFERROR(FIND(",",T25),LEN(T25))</f>
        <v>4</v>
      </c>
      <c r="W25" s="64" t="e">
        <f t="shared" ref="W25" si="67">FIND("target:",T25)+7</f>
        <v>#VALUE!</v>
      </c>
      <c r="X25" s="64" t="e">
        <f t="shared" ref="X25" si="68">FIND(",",T25,V25+1)</f>
        <v>#VALUE!</v>
      </c>
      <c r="Y25" s="64" t="str">
        <f>IFERROR(VLOOKUP(MID(T25,W25,X25-W25),[6]skilldef!$C:$D,2,FALSE),"-") &amp; " / " &amp; IFERROR(VLOOKUP(MID(T25,U25,V25-U25),[6]skilldef!$A:$B,2,FALSE),"-")</f>
        <v>- / -</v>
      </c>
      <c r="Z25" s="50"/>
      <c r="AA25" s="52"/>
      <c r="AB25" s="50"/>
    </row>
    <row r="26" spans="1:28" ht="21" customHeight="1" x14ac:dyDescent="0.15">
      <c r="A26" s="47">
        <v>50006403</v>
      </c>
      <c r="B26" s="103" t="s">
        <v>335</v>
      </c>
      <c r="C26" s="50">
        <v>3</v>
      </c>
      <c r="D26" s="50" t="s">
        <v>198</v>
      </c>
      <c r="E26" s="51" t="s">
        <v>362</v>
      </c>
      <c r="F26" s="51" t="s">
        <v>363</v>
      </c>
      <c r="G26" s="64" t="str">
        <f t="shared" ref="G26" si="69">IFERROR(LEFT(B26,FIND("],",B26)),B26)</f>
        <v>[effect:freq_turn, target:myself, turn:-1, val:1, animation:enemy_freq_turn]</v>
      </c>
      <c r="H26" s="64">
        <f t="shared" si="1"/>
        <v>9</v>
      </c>
      <c r="I26" s="64">
        <f t="shared" ref="I26" si="70">IFERROR(FIND(",",G26),LEN(G26))</f>
        <v>18</v>
      </c>
      <c r="J26" s="64">
        <f t="shared" ref="J26" si="71">FIND("target:",G26)+7</f>
        <v>27</v>
      </c>
      <c r="K26" s="64">
        <f t="shared" ref="K26" si="72">FIND(",",G26,I26+1)</f>
        <v>33</v>
      </c>
      <c r="L26" s="64" t="str">
        <f>IFERROR(VLOOKUP(MID(G26,J26,K26-J26),[6]skilldef!$C:$D,2,FALSE),"-") &amp; " / " &amp; IFERROR(VLOOKUP(MID(G26,H26,I26-H26),[6]skilldef!$A:$B,2,FALSE),"-")</f>
        <v>自分自身に / 攻撃頻度がUP</v>
      </c>
      <c r="M26" s="64" t="str">
        <f t="shared" ref="M26" si="73">IFERROR(RIGHT(B26,LEN(B26)-FIND("],",B26)-1),"none")</f>
        <v>none</v>
      </c>
      <c r="N26" s="48" t="str">
        <f>IFERROR(LEFT(M26,FIND("],",M26)+#REF!),M26)</f>
        <v>none</v>
      </c>
      <c r="O26" s="64" t="e">
        <f t="shared" si="6"/>
        <v>#VALUE!</v>
      </c>
      <c r="P26" s="64">
        <f t="shared" ref="P26" si="74">IFERROR(FIND(",",N26),LEN(N26))</f>
        <v>4</v>
      </c>
      <c r="Q26" s="64" t="e">
        <f t="shared" ref="Q26" si="75">FIND("target:",N26)+7</f>
        <v>#VALUE!</v>
      </c>
      <c r="R26" s="64" t="e">
        <f t="shared" ref="R26" si="76">FIND(",",N26,P26+1)</f>
        <v>#VALUE!</v>
      </c>
      <c r="S26" s="64" t="str">
        <f>IFERROR(VLOOKUP(MID(N26,Q26,R26-Q26),[6]skilldef!$C:$D,2,FALSE),"-") &amp; " / " &amp; IFERROR(VLOOKUP(MID(N26,O26,P26-O26),[6]skilldef!$A:$B,2,FALSE),"-")</f>
        <v>- / -</v>
      </c>
      <c r="T26" s="48" t="str">
        <f t="shared" ref="T26" si="77">IFERROR(RIGHT(M26,LEN(M26)-FIND("],",M26)-1),"none")</f>
        <v>none</v>
      </c>
      <c r="U26" s="64" t="e">
        <f t="shared" si="11"/>
        <v>#VALUE!</v>
      </c>
      <c r="V26" s="64">
        <f t="shared" ref="V26" si="78">IFERROR(FIND(",",T26),LEN(T26))</f>
        <v>4</v>
      </c>
      <c r="W26" s="64" t="e">
        <f t="shared" ref="W26" si="79">FIND("target:",T26)+7</f>
        <v>#VALUE!</v>
      </c>
      <c r="X26" s="64" t="e">
        <f t="shared" ref="X26" si="80">FIND(",",T26,V26+1)</f>
        <v>#VALUE!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31" customHeight="1" x14ac:dyDescent="0.15">
      <c r="A27" s="47">
        <v>50006404</v>
      </c>
      <c r="B27" s="103" t="s">
        <v>468</v>
      </c>
      <c r="C27" s="50">
        <v>3</v>
      </c>
      <c r="D27" s="50" t="s">
        <v>198</v>
      </c>
      <c r="E27" s="51" t="s">
        <v>479</v>
      </c>
      <c r="F27" s="51" t="s">
        <v>467</v>
      </c>
      <c r="G27" s="64" t="str">
        <f t="shared" ref="G27" si="81">IFERROR(LEFT(B27,FIND("],",B27)),B27)</f>
        <v>[effect:enemy_message, val1:1.4, val2:2.0]</v>
      </c>
      <c r="H27" s="64">
        <f t="shared" si="1"/>
        <v>9</v>
      </c>
      <c r="I27" s="64">
        <f t="shared" ref="I27" si="82">IFERROR(FIND(",",G27),LEN(G27))</f>
        <v>22</v>
      </c>
      <c r="J27" s="64" t="e">
        <f t="shared" ref="J27" si="83">FIND("target:",G27)+7</f>
        <v>#VALUE!</v>
      </c>
      <c r="K27" s="64">
        <f t="shared" ref="K27" si="84">FIND(",",G27,I27+1)</f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ref="M27" si="85">IFERROR(RIGHT(B27,LEN(B27)-FIND("],",B27)-1),"none")</f>
        <v>[effect:suicide, val:0.5, dead_type:suicide, target:myself, animation:enemy_suicide]</v>
      </c>
      <c r="N27" s="48" t="str">
        <f>IFERROR(LEFT(M27,FIND("],",M27)+#REF!),M27)</f>
        <v>[effect:suicide, val:0.5, dead_type:suicide, target:myself, animation:enemy_suicide]</v>
      </c>
      <c r="O27" s="64">
        <f t="shared" si="6"/>
        <v>9</v>
      </c>
      <c r="P27" s="64">
        <f t="shared" ref="P27" si="86">IFERROR(FIND(",",N27),LEN(N27))</f>
        <v>16</v>
      </c>
      <c r="Q27" s="64">
        <f t="shared" ref="Q27" si="87">FIND("target:",N27)+7</f>
        <v>53</v>
      </c>
      <c r="R27" s="64">
        <f t="shared" ref="R27" si="88">FIND(",",N27,P27+1)</f>
        <v>25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ref="T27" si="89">IFERROR(RIGHT(M27,LEN(M27)-FIND("],",M27)-1),"none")</f>
        <v>none</v>
      </c>
      <c r="U27" s="64" t="e">
        <f t="shared" si="11"/>
        <v>#VALUE!</v>
      </c>
      <c r="V27" s="64">
        <f t="shared" ref="V27" si="90">IFERROR(FIND(",",T27),LEN(T27))</f>
        <v>4</v>
      </c>
      <c r="W27" s="64" t="e">
        <f t="shared" ref="W27" si="91">FIND("target:",T27)+7</f>
        <v>#VALUE!</v>
      </c>
      <c r="X27" s="64" t="e">
        <f t="shared" ref="X27" si="92">FIND(",",T27,V27+1)</f>
        <v>#VALUE!</v>
      </c>
      <c r="Y27" s="64" t="str">
        <f>IFERROR(VLOOKUP(MID(T27,W27,X27-W27),[6]skilldef!$C:$D,2,FALSE),"-") &amp; " / " &amp; IFERROR(VLOOKUP(MID(T27,U27,V27-U27),[6]skilldef!$A:$B,2,FALSE),"-")</f>
        <v>- / -</v>
      </c>
      <c r="Z27" s="50"/>
      <c r="AA27" s="52"/>
      <c r="AB27" s="50"/>
    </row>
    <row r="28" spans="1:28" ht="21" customHeight="1" x14ac:dyDescent="0.15">
      <c r="A28" s="47">
        <v>50006500</v>
      </c>
      <c r="B28" s="103" t="s">
        <v>374</v>
      </c>
      <c r="C28" s="50">
        <v>3</v>
      </c>
      <c r="D28" s="50" t="s">
        <v>198</v>
      </c>
      <c r="E28" s="51" t="s">
        <v>364</v>
      </c>
      <c r="F28" s="51" t="s">
        <v>365</v>
      </c>
      <c r="G28" s="64" t="str">
        <f t="shared" ref="G28" si="93">IFERROR(LEFT(B28,FIND("],",B28)),B28)</f>
        <v>[effect:fix_speed, target:myself, turn:2]</v>
      </c>
      <c r="H28" s="64">
        <f t="shared" si="1"/>
        <v>9</v>
      </c>
      <c r="I28" s="64">
        <f t="shared" ref="I28" si="94">IFERROR(FIND(",",G28),LEN(G28))</f>
        <v>18</v>
      </c>
      <c r="J28" s="64">
        <f t="shared" ref="J28" si="95">FIND("target:",G28)+7</f>
        <v>27</v>
      </c>
      <c r="K28" s="64">
        <f t="shared" ref="K28" si="96">FIND(",",G28,I28+1)</f>
        <v>33</v>
      </c>
      <c r="L28" s="64" t="str">
        <f>IFERROR(VLOOKUP(MID(G28,J28,K28-J28),[6]skilldef!$C:$D,2,FALSE),"-") &amp; " / " &amp; IFERROR(VLOOKUP(MID(G28,H28,I28-H28),[6]skilldef!$A:$B,2,FALSE),"-")</f>
        <v>自分自身に / 行動値設定</v>
      </c>
      <c r="M28" s="64" t="str">
        <f t="shared" ref="M28" si="97">IFERROR(RIGHT(B28,LEN(B28)-FIND("],",B28)-1),"none")</f>
        <v>none</v>
      </c>
      <c r="N28" s="48" t="str">
        <f>IFERROR(LEFT(M28,FIND("],",M28)+#REF!),M28)</f>
        <v>none</v>
      </c>
      <c r="O28" s="64" t="e">
        <f t="shared" si="6"/>
        <v>#VALUE!</v>
      </c>
      <c r="P28" s="64">
        <f t="shared" ref="P28" si="98">IFERROR(FIND(",",N28),LEN(N28))</f>
        <v>4</v>
      </c>
      <c r="Q28" s="64" t="e">
        <f t="shared" ref="Q28" si="99">FIND("target:",N28)+7</f>
        <v>#VALUE!</v>
      </c>
      <c r="R28" s="64" t="e">
        <f t="shared" ref="R28" si="100">FIND(",",N28,P28+1)</f>
        <v>#VALUE!</v>
      </c>
      <c r="S28" s="64" t="str">
        <f>IFERROR(VLOOKUP(MID(N28,Q28,R28-Q28),[6]skilldef!$C:$D,2,FALSE),"-") &amp; " / " &amp; IFERROR(VLOOKUP(MID(N28,O28,P28-O28),[6]skilldef!$A:$B,2,FALSE),"-")</f>
        <v>- / -</v>
      </c>
      <c r="T28" s="48" t="str">
        <f t="shared" ref="T28" si="101">IFERROR(RIGHT(M28,LEN(M28)-FIND("],",M28)-1),"none")</f>
        <v>none</v>
      </c>
      <c r="U28" s="64" t="e">
        <f t="shared" si="11"/>
        <v>#VALUE!</v>
      </c>
      <c r="V28" s="64">
        <f t="shared" ref="V28" si="102">IFERROR(FIND(",",T28),LEN(T28))</f>
        <v>4</v>
      </c>
      <c r="W28" s="64" t="e">
        <f t="shared" ref="W28" si="103">FIND("target:",T28)+7</f>
        <v>#VALUE!</v>
      </c>
      <c r="X28" s="64" t="e">
        <f t="shared" ref="X28" si="104">FIND(",",T28,V28+1)</f>
        <v>#VALUE!</v>
      </c>
      <c r="Y28" s="64" t="str">
        <f>IFERROR(VLOOKUP(MID(T28,W28,X28-W28),[6]skilldef!$C:$D,2,FALSE),"-") &amp; " / " &amp; IFERROR(VLOOKUP(MID(T28,U28,V28-U28),[6]skilldef!$A:$B,2,FALSE),"-")</f>
        <v>- / -</v>
      </c>
      <c r="Z28" s="50"/>
      <c r="AA28" s="52"/>
      <c r="AB28" s="50"/>
    </row>
    <row r="29" spans="1:28" ht="21" customHeight="1" x14ac:dyDescent="0.15">
      <c r="A29" s="47">
        <v>50006501</v>
      </c>
      <c r="B29" s="103" t="s">
        <v>383</v>
      </c>
      <c r="C29" s="50">
        <v>3</v>
      </c>
      <c r="D29" s="50" t="s">
        <v>198</v>
      </c>
      <c r="E29" s="51" t="s">
        <v>366</v>
      </c>
      <c r="F29" s="51" t="s">
        <v>380</v>
      </c>
      <c r="G29" s="64" t="str">
        <f t="shared" ref="G29" si="105">IFERROR(LEFT(B29,FIND("],",B29)),B29)</f>
        <v>[effect:break_attack_fix, val:500, lowest_val:5000, count:15, block:block_red, target:unit_one]</v>
      </c>
      <c r="H29" s="64">
        <f t="shared" si="1"/>
        <v>9</v>
      </c>
      <c r="I29" s="64">
        <f t="shared" ref="I29" si="106">IFERROR(FIND(",",G29),LEN(G29))</f>
        <v>25</v>
      </c>
      <c r="J29" s="64">
        <f t="shared" ref="J29" si="107">FIND("target:",G29)+7</f>
        <v>87</v>
      </c>
      <c r="K29" s="64">
        <f t="shared" ref="K29" si="108">FIND(",",G29,I29+1)</f>
        <v>34</v>
      </c>
      <c r="L29" s="64" t="str">
        <f>IFERROR(VLOOKUP(MID(G29,J29,K29-J29),[6]skilldef!$C:$D,2,FALSE),"-") &amp; " / " &amp; IFERROR(VLOOKUP(MID(G29,H29,I29-H29),[6]skilldef!$A:$B,2,FALSE),"-")</f>
        <v>- / -</v>
      </c>
      <c r="M29" s="64" t="str">
        <f t="shared" ref="M29" si="109">IFERROR(RIGHT(B29,LEN(B29)-FIND("],",B29)-1),"none")</f>
        <v>none</v>
      </c>
      <c r="N29" s="48" t="str">
        <f>IFERROR(LEFT(M29,FIND("],",M29)+#REF!),M29)</f>
        <v>none</v>
      </c>
      <c r="O29" s="64" t="e">
        <f t="shared" si="6"/>
        <v>#VALUE!</v>
      </c>
      <c r="P29" s="64">
        <f t="shared" ref="P29" si="110">IFERROR(FIND(",",N29),LEN(N29))</f>
        <v>4</v>
      </c>
      <c r="Q29" s="64" t="e">
        <f t="shared" ref="Q29" si="111">FIND("target:",N29)+7</f>
        <v>#VALUE!</v>
      </c>
      <c r="R29" s="64" t="e">
        <f t="shared" ref="R29" si="112">FIND(",",N29,P29+1)</f>
        <v>#VALUE!</v>
      </c>
      <c r="S29" s="64" t="str">
        <f>IFERROR(VLOOKUP(MID(N29,Q29,R29-Q29),[6]skilldef!$C:$D,2,FALSE),"-") &amp; " / " &amp; IFERROR(VLOOKUP(MID(N29,O29,P29-O29),[6]skilldef!$A:$B,2,FALSE),"-")</f>
        <v>- / -</v>
      </c>
      <c r="T29" s="48" t="str">
        <f t="shared" ref="T29" si="113">IFERROR(RIGHT(M29,LEN(M29)-FIND("],",M29)-1),"none")</f>
        <v>none</v>
      </c>
      <c r="U29" s="64" t="e">
        <f t="shared" si="11"/>
        <v>#VALUE!</v>
      </c>
      <c r="V29" s="64">
        <f t="shared" ref="V29" si="114">IFERROR(FIND(",",T29),LEN(T29))</f>
        <v>4</v>
      </c>
      <c r="W29" s="64" t="e">
        <f t="shared" ref="W29" si="115">FIND("target:",T29)+7</f>
        <v>#VALUE!</v>
      </c>
      <c r="X29" s="64" t="e">
        <f t="shared" ref="X29" si="116">FIND(",",T29,V29+1)</f>
        <v>#VALUE!</v>
      </c>
      <c r="Y29" s="64" t="str">
        <f>IFERROR(VLOOKUP(MID(T29,W29,X29-W29),[6]skilldef!$C:$D,2,FALSE),"-") &amp; " / " &amp; IFERROR(VLOOKUP(MID(T29,U29,V29-U29),[6]skilldef!$A:$B,2,FALSE),"-")</f>
        <v>- / -</v>
      </c>
      <c r="Z29" s="50"/>
      <c r="AA29" s="52"/>
      <c r="AB29" s="50"/>
    </row>
    <row r="30" spans="1:28" ht="32" customHeight="1" x14ac:dyDescent="0.15">
      <c r="A30" s="47">
        <v>50006502</v>
      </c>
      <c r="B30" s="103" t="s">
        <v>269</v>
      </c>
      <c r="C30" s="50">
        <v>3</v>
      </c>
      <c r="D30" s="50" t="s">
        <v>198</v>
      </c>
      <c r="E30" s="51" t="s">
        <v>475</v>
      </c>
      <c r="F30" s="51" t="s">
        <v>270</v>
      </c>
      <c r="G30" s="64" t="str">
        <f t="shared" ref="G30" si="117">IFERROR(LEFT(B30,FIND("],",B30)),B30)</f>
        <v>[effect:dis_panel, target:block_green, turn:2, animation:enemy_dis_green]</v>
      </c>
      <c r="H30" s="64">
        <f t="shared" si="1"/>
        <v>9</v>
      </c>
      <c r="I30" s="64">
        <f t="shared" ref="I30" si="118">IFERROR(FIND(",",G30),LEN(G30))</f>
        <v>18</v>
      </c>
      <c r="J30" s="64">
        <f t="shared" ref="J30" si="119">FIND("target:",G30)+7</f>
        <v>27</v>
      </c>
      <c r="K30" s="64">
        <f t="shared" ref="K30" si="120">FIND(",",G30,I30+1)</f>
        <v>38</v>
      </c>
      <c r="L30" s="64" t="str">
        <f>IFERROR(VLOOKUP(MID(G30,J30,K30-J30),[6]skilldef!$C:$D,2,FALSE),"-") &amp; " / " &amp; IFERROR(VLOOKUP(MID(G30,H30,I30-H30),[6]skilldef!$A:$B,2,FALSE),"-")</f>
        <v>緑パネルを / ディスパネル</v>
      </c>
      <c r="M30" s="64" t="str">
        <f t="shared" ref="M30" si="121">IFERROR(RIGHT(B30,LEN(B30)-FIND("],",B30)-1),"none")</f>
        <v>[effect:rush, count:1, val:1.0]</v>
      </c>
      <c r="N30" s="48" t="str">
        <f>IFERROR(LEFT(M30,FIND("],",M30)+#REF!),M30)</f>
        <v>[effect:rush, count:1, val:1.0]</v>
      </c>
      <c r="O30" s="64">
        <f t="shared" si="6"/>
        <v>9</v>
      </c>
      <c r="P30" s="64">
        <f t="shared" ref="P30" si="122">IFERROR(FIND(",",N30),LEN(N30))</f>
        <v>13</v>
      </c>
      <c r="Q30" s="64" t="e">
        <f t="shared" ref="Q30" si="123">FIND("target:",N30)+7</f>
        <v>#VALUE!</v>
      </c>
      <c r="R30" s="64">
        <f t="shared" ref="R30" si="124">FIND(",",N30,P30+1)</f>
        <v>22</v>
      </c>
      <c r="S30" s="64" t="str">
        <f>IFERROR(VLOOKUP(MID(N30,Q30,R30-Q30),[6]skilldef!$C:$D,2,FALSE),"-") &amp; " / " &amp; IFERROR(VLOOKUP(MID(N30,O30,P30-O30),[6]skilldef!$A:$B,2,FALSE),"-")</f>
        <v>- / 連続攻撃</v>
      </c>
      <c r="T30" s="48" t="str">
        <f t="shared" ref="T30" si="125">IFERROR(RIGHT(M30,LEN(M30)-FIND("],",M30)-1),"none")</f>
        <v>none</v>
      </c>
      <c r="U30" s="64" t="e">
        <f t="shared" si="11"/>
        <v>#VALUE!</v>
      </c>
      <c r="V30" s="64">
        <f t="shared" ref="V30" si="126">IFERROR(FIND(",",T30),LEN(T30))</f>
        <v>4</v>
      </c>
      <c r="W30" s="64" t="e">
        <f t="shared" ref="W30" si="127">FIND("target:",T30)+7</f>
        <v>#VALUE!</v>
      </c>
      <c r="X30" s="64" t="e">
        <f t="shared" ref="X30" si="128">FIND(",",T30,V30+1)</f>
        <v>#VALUE!</v>
      </c>
      <c r="Y30" s="64" t="str">
        <f>IFERROR(VLOOKUP(MID(T30,W30,X30-W30),[6]skilldef!$C:$D,2,FALSE),"-") &amp; " / " &amp; IFERROR(VLOOKUP(MID(T30,U30,V30-U30),[6]skilldef!$A:$B,2,FALSE),"-")</f>
        <v>- / -</v>
      </c>
      <c r="Z30" s="50"/>
      <c r="AA30" s="52"/>
      <c r="AB30" s="50"/>
    </row>
    <row r="31" spans="1:28" ht="32" customHeight="1" x14ac:dyDescent="0.15">
      <c r="A31" s="47">
        <v>50006503</v>
      </c>
      <c r="B31" s="103" t="s">
        <v>381</v>
      </c>
      <c r="C31" s="50">
        <v>3</v>
      </c>
      <c r="D31" s="50" t="s">
        <v>198</v>
      </c>
      <c r="E31" s="51" t="s">
        <v>473</v>
      </c>
      <c r="F31" s="51" t="s">
        <v>367</v>
      </c>
      <c r="G31" s="64" t="str">
        <f t="shared" ref="G31" si="129">IFERROR(LEFT(B31,FIND("],",B31)),B31)</f>
        <v>[effect:degrade_unit, target:unit_all, turn:3, status:heal, val:0.5, calc:mul, animation:degrade_unit_all_heal]</v>
      </c>
      <c r="H31" s="64">
        <f t="shared" si="1"/>
        <v>9</v>
      </c>
      <c r="I31" s="64">
        <f t="shared" ref="I31" si="130">IFERROR(FIND(",",G31),LEN(G31))</f>
        <v>21</v>
      </c>
      <c r="J31" s="64">
        <f t="shared" ref="J31" si="131">FIND("target:",G31)+7</f>
        <v>30</v>
      </c>
      <c r="K31" s="64">
        <f t="shared" ref="K31" si="132">FIND(",",G31,I31+1)</f>
        <v>38</v>
      </c>
      <c r="L31" s="64" t="str">
        <f>IFERROR(VLOOKUP(MID(G31,J31,K31-J31),[6]skilldef!$C:$D,2,FALSE),"-") &amp; " / " &amp; IFERROR(VLOOKUP(MID(G31,H31,I31-H31),[6]skilldef!$A:$B,2,FALSE),"-")</f>
        <v>味方全体に / ステータスDOWN</v>
      </c>
      <c r="M31" s="64" t="str">
        <f t="shared" ref="M31" si="133">IFERROR(RIGHT(B31,LEN(B31)-FIND("],",B31)-1),"none")</f>
        <v>[effect:spread, val:0.25]</v>
      </c>
      <c r="N31" s="48" t="str">
        <f>IFERROR(LEFT(M31,FIND("],",M31)+#REF!),M31)</f>
        <v>[effect:spread, val:0.25]</v>
      </c>
      <c r="O31" s="64">
        <f t="shared" si="6"/>
        <v>9</v>
      </c>
      <c r="P31" s="64">
        <f t="shared" ref="P31" si="134">IFERROR(FIND(",",N31),LEN(N31))</f>
        <v>15</v>
      </c>
      <c r="Q31" s="64" t="e">
        <f t="shared" ref="Q31" si="135">FIND("target:",N31)+7</f>
        <v>#VALUE!</v>
      </c>
      <c r="R31" s="64" t="e">
        <f t="shared" ref="R31" si="136">FIND(",",N31,P31+1)</f>
        <v>#VALUE!</v>
      </c>
      <c r="S31" s="64" t="str">
        <f>IFERROR(VLOOKUP(MID(N31,Q31,R31-Q31),[6]skilldef!$C:$D,2,FALSE),"-") &amp; " / " &amp; IFERROR(VLOOKUP(MID(N31,O31,P31-O31),[6]skilldef!$A:$B,2,FALSE),"-")</f>
        <v>- / 全体攻撃</v>
      </c>
      <c r="T31" s="48" t="str">
        <f t="shared" ref="T31" si="137">IFERROR(RIGHT(M31,LEN(M31)-FIND("],",M31)-1),"none")</f>
        <v>none</v>
      </c>
      <c r="U31" s="64" t="e">
        <f t="shared" si="11"/>
        <v>#VALUE!</v>
      </c>
      <c r="V31" s="64">
        <f t="shared" ref="V31" si="138">IFERROR(FIND(",",T31),LEN(T31))</f>
        <v>4</v>
      </c>
      <c r="W31" s="64" t="e">
        <f t="shared" ref="W31" si="139">FIND("target:",T31)+7</f>
        <v>#VALUE!</v>
      </c>
      <c r="X31" s="64" t="e">
        <f t="shared" ref="X31" si="140">FIND(",",T31,V31+1)</f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7" customHeight="1" x14ac:dyDescent="0.15">
      <c r="A32" s="47">
        <v>50006504</v>
      </c>
      <c r="B32" s="103" t="s">
        <v>487</v>
      </c>
      <c r="C32" s="50">
        <v>3</v>
      </c>
      <c r="D32" s="50" t="s">
        <v>198</v>
      </c>
      <c r="E32" s="51" t="s">
        <v>368</v>
      </c>
      <c r="F32" s="51" t="s">
        <v>369</v>
      </c>
      <c r="G32" s="64" t="str">
        <f t="shared" ref="G32" si="141">IFERROR(LEFT(B32,FIND("],",B32)),B32)</f>
        <v>[effect:enemy_message, val1:1, val2:2.2]</v>
      </c>
      <c r="H32" s="64">
        <f t="shared" si="1"/>
        <v>9</v>
      </c>
      <c r="I32" s="64">
        <f t="shared" ref="I32" si="142">IFERROR(FIND(",",G32),LEN(G32))</f>
        <v>22</v>
      </c>
      <c r="J32" s="64" t="e">
        <f t="shared" ref="J32" si="143">FIND("target:",G32)+7</f>
        <v>#VALUE!</v>
      </c>
      <c r="K32" s="64">
        <f t="shared" ref="K32" si="144">FIND(",",G32,I32+1)</f>
        <v>30</v>
      </c>
      <c r="L32" s="64" t="str">
        <f>IFERROR(VLOOKUP(MID(G32,J32,K32-J32),[6]skilldef!$C:$D,2,FALSE),"-") &amp; " / " &amp; IFERROR(VLOOKUP(MID(G32,H32,I32-H32),[6]skilldef!$A:$B,2,FALSE),"-")</f>
        <v>- / -</v>
      </c>
      <c r="M32" s="64" t="str">
        <f t="shared" ref="M32" si="145">IFERROR(RIGHT(B32,LEN(B32)-FIND("],",B32)-1),"none")</f>
        <v>[effect:force_change_block, new_block:time_bomb, target:block_all, ignore01:time_bomb, ignore02:jammer, ignore03:crash, ignore04:crack_bomb, ignore05:color_break, ignore06:magnet, count:12, val:0.3, animation:change_block],[effect:spread, val:0.25]</v>
      </c>
      <c r="N32" s="48" t="str">
        <f>IFERROR(LEFT(M32,FIND("],",M32)+#REF!),M32)</f>
        <v>[effect:force_change_block, new_block:time_bomb, target:block_all, ignore01:time_bomb, ignore02:jammer, ignore03:crash, ignore04:crack_bomb, ignore05:color_break, ignore06:magnet, count:12, val:0.3, animation:change_block],[effect:spread, val:0.25]</v>
      </c>
      <c r="O32" s="64">
        <f t="shared" si="6"/>
        <v>9</v>
      </c>
      <c r="P32" s="64">
        <f t="shared" ref="P32" si="146">IFERROR(FIND(",",N32),LEN(N32))</f>
        <v>27</v>
      </c>
      <c r="Q32" s="64">
        <f t="shared" ref="Q32" si="147">FIND("target:",N32)+7</f>
        <v>57</v>
      </c>
      <c r="R32" s="64">
        <f t="shared" ref="R32" si="148">FIND(",",N32,P32+1)</f>
        <v>48</v>
      </c>
      <c r="S32" s="64" t="str">
        <f>IFERROR(VLOOKUP(MID(N32,Q32,R32-Q32),[6]skilldef!$C:$D,2,FALSE),"-") &amp; " / " &amp; IFERROR(VLOOKUP(MID(N32,O32,P32-O32),[6]skilldef!$A:$B,2,FALSE),"-")</f>
        <v>- / -</v>
      </c>
      <c r="T32" s="48" t="str">
        <f t="shared" ref="T32" si="149">IFERROR(RIGHT(M32,LEN(M32)-FIND("],",M32)-1),"none")</f>
        <v>[effect:spread, val:0.25]</v>
      </c>
      <c r="U32" s="64">
        <f t="shared" si="11"/>
        <v>9</v>
      </c>
      <c r="V32" s="64">
        <f t="shared" ref="V32" si="150">IFERROR(FIND(",",T32),LEN(T32))</f>
        <v>15</v>
      </c>
      <c r="W32" s="64" t="e">
        <f t="shared" ref="W32" si="151">FIND("target:",T32)+7</f>
        <v>#VALUE!</v>
      </c>
      <c r="X32" s="64" t="e">
        <f t="shared" ref="X32" si="152">FIND(",",T32,V32+1)</f>
        <v>#VALUE!</v>
      </c>
      <c r="Y32" s="64" t="str">
        <f>IFERROR(VLOOKUP(MID(T32,W32,X32-W32),[6]skilldef!$C:$D,2,FALSE),"-") &amp; " / " &amp; IFERROR(VLOOKUP(MID(T32,U32,V32-U32),[6]skilldef!$A:$B,2,FALSE),"-")</f>
        <v>- / 全体攻撃</v>
      </c>
      <c r="Z32" s="50"/>
      <c r="AA32" s="52"/>
      <c r="AB32" s="50"/>
    </row>
    <row r="33" spans="1:28" ht="34" customHeight="1" x14ac:dyDescent="0.15">
      <c r="A33" s="47">
        <v>50006505</v>
      </c>
      <c r="B33" s="103" t="s">
        <v>392</v>
      </c>
      <c r="C33" s="50">
        <v>3</v>
      </c>
      <c r="D33" s="50" t="s">
        <v>198</v>
      </c>
      <c r="E33" s="51" t="s">
        <v>474</v>
      </c>
      <c r="F33" s="51" t="s">
        <v>459</v>
      </c>
      <c r="G33" s="64" t="str">
        <f t="shared" ref="G33" si="153">IFERROR(LEFT(B33,FIND("],",B33)),B33)</f>
        <v>[effect:enemy_message, val1:2, val2:1.8]</v>
      </c>
      <c r="H33" s="64">
        <f t="shared" si="1"/>
        <v>9</v>
      </c>
      <c r="I33" s="64">
        <f t="shared" ref="I33" si="154">IFERROR(FIND(",",G33),LEN(G33))</f>
        <v>22</v>
      </c>
      <c r="J33" s="64" t="e">
        <f t="shared" ref="J33" si="155">FIND("target:",G33)+7</f>
        <v>#VALUE!</v>
      </c>
      <c r="K33" s="64">
        <f t="shared" ref="K33" si="156">FIND(",",G33,I33+1)</f>
        <v>30</v>
      </c>
      <c r="L33" s="64" t="str">
        <f>IFERROR(VLOOKUP(MID(G33,J33,K33-J33),[6]skilldef!$C:$D,2,FALSE),"-") &amp; " / " &amp; IFERROR(VLOOKUP(MID(G33,H33,I33-H33),[6]skilldef!$A:$B,2,FALSE),"-")</f>
        <v>- / -</v>
      </c>
      <c r="M33" s="64" t="str">
        <f t="shared" ref="M33" si="157">IFERROR(RIGHT(B33,LEN(B33)-FIND("],",B33)-1),"none")</f>
        <v>[effect:enhance_enemy, target:myself, turn:-1, status:attack, val:1.0, calc:mul, animation:enemy_enhance_attack]</v>
      </c>
      <c r="N33" s="48" t="str">
        <f>IFERROR(LEFT(M33,FIND("],",M33)+#REF!),M33)</f>
        <v>[effect:enhance_enemy, target:myself, turn:-1, status:attack, val:1.0, calc:mul, animation:enemy_enhance_attack]</v>
      </c>
      <c r="O33" s="64">
        <f t="shared" si="6"/>
        <v>9</v>
      </c>
      <c r="P33" s="64">
        <f t="shared" ref="P33" si="158">IFERROR(FIND(",",N33),LEN(N33))</f>
        <v>22</v>
      </c>
      <c r="Q33" s="64">
        <f t="shared" ref="Q33" si="159">FIND("target:",N33)+7</f>
        <v>31</v>
      </c>
      <c r="R33" s="64">
        <f t="shared" ref="R33" si="160">FIND(",",N33,P33+1)</f>
        <v>37</v>
      </c>
      <c r="S33" s="64" t="str">
        <f>IFERROR(VLOOKUP(MID(N33,Q33,R33-Q33),[6]skilldef!$C:$D,2,FALSE),"-") &amp; " / " &amp; IFERROR(VLOOKUP(MID(N33,O33,P33-O33),[6]skilldef!$A:$B,2,FALSE),"-")</f>
        <v>自分自身に / ステータス強化</v>
      </c>
      <c r="T33" s="48" t="str">
        <f t="shared" ref="T33" si="161">IFERROR(RIGHT(M33,LEN(M33)-FIND("],",M33)-1),"none")</f>
        <v>none</v>
      </c>
      <c r="U33" s="64" t="e">
        <f t="shared" si="11"/>
        <v>#VALUE!</v>
      </c>
      <c r="V33" s="64">
        <f t="shared" ref="V33" si="162">IFERROR(FIND(",",T33),LEN(T33))</f>
        <v>4</v>
      </c>
      <c r="W33" s="64" t="e">
        <f t="shared" ref="W33" si="163">FIND("target:",T33)+7</f>
        <v>#VALUE!</v>
      </c>
      <c r="X33" s="64" t="e">
        <f t="shared" ref="X33" si="164">FIND(",",T33,V33+1)</f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ht="21" customHeight="1" x14ac:dyDescent="0.15">
      <c r="A34" s="47">
        <v>50006600</v>
      </c>
      <c r="B34" s="103" t="s">
        <v>424</v>
      </c>
      <c r="C34" s="50">
        <v>3</v>
      </c>
      <c r="D34" s="50" t="s">
        <v>198</v>
      </c>
      <c r="E34" s="51" t="s">
        <v>370</v>
      </c>
      <c r="F34" s="51" t="s">
        <v>448</v>
      </c>
      <c r="G34" s="64" t="str">
        <f t="shared" ref="G34" si="165">IFERROR(LEFT(B34,FIND("],",B34)),B34)</f>
        <v>[effect:enemy_message, val1:1, val2:2.6]</v>
      </c>
      <c r="H34" s="64">
        <f t="shared" si="1"/>
        <v>9</v>
      </c>
      <c r="I34" s="64">
        <f t="shared" ref="I34" si="166">IFERROR(FIND(",",G34),LEN(G34))</f>
        <v>22</v>
      </c>
      <c r="J34" s="64" t="e">
        <f t="shared" ref="J34" si="167">FIND("target:",G34)+7</f>
        <v>#VALUE!</v>
      </c>
      <c r="K34" s="64">
        <f t="shared" ref="K34" si="168">FIND(",",G34,I34+1)</f>
        <v>30</v>
      </c>
      <c r="L34" s="64" t="str">
        <f>IFERROR(VLOOKUP(MID(G34,J34,K34-J34),[6]skilldef!$C:$D,2,FALSE),"-") &amp; " / " &amp; IFERROR(VLOOKUP(MID(G34,H34,I34-H34),[6]skilldef!$A:$B,2,FALSE),"-")</f>
        <v>- / -</v>
      </c>
      <c r="M34" s="64" t="str">
        <f t="shared" ref="M34" si="169">IFERROR(RIGHT(B34,LEN(B34)-FIND("],",B34)-1),"none")</f>
        <v>[effect:dis_heart, turn:3, animation:enemy_dis_heart],[effect:fix_speed, target:myself, turn:1]</v>
      </c>
      <c r="N34" s="48" t="str">
        <f>IFERROR(LEFT(M34,FIND("],",M34)+#REF!),M34)</f>
        <v>[effect:dis_heart, turn:3, animation:enemy_dis_heart],[effect:fix_speed, target:myself, turn:1]</v>
      </c>
      <c r="O34" s="64">
        <f t="shared" si="6"/>
        <v>9</v>
      </c>
      <c r="P34" s="64">
        <f t="shared" ref="P34" si="170">IFERROR(FIND(",",N34),LEN(N34))</f>
        <v>18</v>
      </c>
      <c r="Q34" s="64">
        <f t="shared" ref="Q34" si="171">FIND("target:",N34)+7</f>
        <v>81</v>
      </c>
      <c r="R34" s="64">
        <f t="shared" ref="R34" si="172">FIND(",",N34,P34+1)</f>
        <v>26</v>
      </c>
      <c r="S34" s="64" t="str">
        <f>IFERROR(VLOOKUP(MID(N34,Q34,R34-Q34),[6]skilldef!$C:$D,2,FALSE),"-") &amp; " / " &amp; IFERROR(VLOOKUP(MID(N34,O34,P34-O34),[6]skilldef!$A:$B,2,FALSE),"-")</f>
        <v>- / ディスハート</v>
      </c>
      <c r="T34" s="48" t="str">
        <f t="shared" ref="T34" si="173">IFERROR(RIGHT(M34,LEN(M34)-FIND("],",M34)-1),"none")</f>
        <v>[effect:fix_speed, target:myself, turn:1]</v>
      </c>
      <c r="U34" s="64">
        <f t="shared" si="11"/>
        <v>9</v>
      </c>
      <c r="V34" s="64">
        <f t="shared" ref="V34" si="174">IFERROR(FIND(",",T34),LEN(T34))</f>
        <v>18</v>
      </c>
      <c r="W34" s="64">
        <f t="shared" ref="W34" si="175">FIND("target:",T34)+7</f>
        <v>27</v>
      </c>
      <c r="X34" s="64">
        <f t="shared" ref="X34" si="176">FIND(",",T34,V34+1)</f>
        <v>33</v>
      </c>
      <c r="Y34" s="64" t="str">
        <f>IFERROR(VLOOKUP(MID(T34,W34,X34-W34),[6]skilldef!$C:$D,2,FALSE),"-") &amp; " / " &amp; IFERROR(VLOOKUP(MID(T34,U34,V34-U34),[6]skilldef!$A:$B,2,FALSE),"-")</f>
        <v>自分自身に / 行動値設定</v>
      </c>
      <c r="Z34" s="50"/>
      <c r="AA34" s="52"/>
      <c r="AB34" s="50"/>
    </row>
    <row r="35" spans="1:28" ht="21" customHeight="1" x14ac:dyDescent="0.15">
      <c r="A35" s="47">
        <v>50006601</v>
      </c>
      <c r="B35" s="103" t="s">
        <v>271</v>
      </c>
      <c r="C35" s="50">
        <v>3</v>
      </c>
      <c r="D35" s="50" t="s">
        <v>198</v>
      </c>
      <c r="E35" s="51" t="s">
        <v>450</v>
      </c>
      <c r="F35" s="51" t="s">
        <v>371</v>
      </c>
      <c r="G35" s="64" t="str">
        <f t="shared" ref="G35" si="177">IFERROR(LEFT(B35,FIND("],",B35)),B35)</f>
        <v>[effect:remove_enhancement, target:unit_all, target_effect:dis_heart, target_type:debuff, animation:frozen_wave]</v>
      </c>
      <c r="H35" s="64">
        <f t="shared" si="1"/>
        <v>9</v>
      </c>
      <c r="I35" s="64">
        <f t="shared" ref="I35" si="178">IFERROR(FIND(",",G35),LEN(G35))</f>
        <v>27</v>
      </c>
      <c r="J35" s="64">
        <f t="shared" ref="J35" si="179">FIND("target:",G35)+7</f>
        <v>36</v>
      </c>
      <c r="K35" s="64">
        <f t="shared" ref="K35" si="180">FIND(",",G35,I35+1)</f>
        <v>44</v>
      </c>
      <c r="L35" s="64" t="str">
        <f>IFERROR(VLOOKUP(MID(G35,J35,K35-J35),[6]skilldef!$C:$D,2,FALSE),"-") &amp; " / " &amp; IFERROR(VLOOKUP(MID(G35,H35,I35-H35),[6]skilldef!$A:$B,2,FALSE),"-")</f>
        <v>味方全体に / -</v>
      </c>
      <c r="M35" s="64" t="str">
        <f t="shared" ref="M35" si="181">IFERROR(RIGHT(B35,LEN(B35)-FIND("],",B35)-1),"none")</f>
        <v>none</v>
      </c>
      <c r="N35" s="48" t="str">
        <f>IFERROR(LEFT(M35,FIND("],",M35)+#REF!),M35)</f>
        <v>none</v>
      </c>
      <c r="O35" s="64" t="e">
        <f t="shared" si="6"/>
        <v>#VALUE!</v>
      </c>
      <c r="P35" s="64">
        <f t="shared" ref="P35" si="182">IFERROR(FIND(",",N35),LEN(N35))</f>
        <v>4</v>
      </c>
      <c r="Q35" s="64" t="e">
        <f t="shared" ref="Q35" si="183">FIND("target:",N35)+7</f>
        <v>#VALUE!</v>
      </c>
      <c r="R35" s="64" t="e">
        <f t="shared" ref="R35" si="184">FIND(",",N35,P35+1)</f>
        <v>#VALUE!</v>
      </c>
      <c r="S35" s="64" t="str">
        <f>IFERROR(VLOOKUP(MID(N35,Q35,R35-Q35),[6]skilldef!$C:$D,2,FALSE),"-") &amp; " / " &amp; IFERROR(VLOOKUP(MID(N35,O35,P35-O35),[6]skilldef!$A:$B,2,FALSE),"-")</f>
        <v>- / -</v>
      </c>
      <c r="T35" s="48" t="str">
        <f t="shared" ref="T35" si="185">IFERROR(RIGHT(M35,LEN(M35)-FIND("],",M35)-1),"none")</f>
        <v>none</v>
      </c>
      <c r="U35" s="64" t="e">
        <f t="shared" si="11"/>
        <v>#VALUE!</v>
      </c>
      <c r="V35" s="64">
        <f t="shared" ref="V35" si="186">IFERROR(FIND(",",T35),LEN(T35))</f>
        <v>4</v>
      </c>
      <c r="W35" s="64" t="e">
        <f t="shared" ref="W35" si="187">FIND("target:",T35)+7</f>
        <v>#VALUE!</v>
      </c>
      <c r="X35" s="64" t="e">
        <f t="shared" ref="X35" si="188">FIND(",",T35,V35+1)</f>
        <v>#VALUE!</v>
      </c>
      <c r="Y35" s="64" t="str">
        <f>IFERROR(VLOOKUP(MID(T35,W35,X35-W35),[6]skilldef!$C:$D,2,FALSE),"-") &amp; " / " &amp; IFERROR(VLOOKUP(MID(T35,U35,V35-U35),[6]skilldef!$A:$B,2,FALSE),"-")</f>
        <v>- / -</v>
      </c>
      <c r="Z35" s="50"/>
      <c r="AA35" s="52"/>
      <c r="AB35" s="50"/>
    </row>
    <row r="36" spans="1:28" ht="21" customHeight="1" x14ac:dyDescent="0.15">
      <c r="A36" s="47">
        <v>50006602</v>
      </c>
      <c r="B36" s="103" t="s">
        <v>393</v>
      </c>
      <c r="C36" s="50">
        <v>3</v>
      </c>
      <c r="D36" s="50" t="s">
        <v>198</v>
      </c>
      <c r="E36" s="51" t="s">
        <v>476</v>
      </c>
      <c r="F36" s="51" t="s">
        <v>382</v>
      </c>
      <c r="G36" s="64" t="str">
        <f t="shared" ref="G36" si="189">IFERROR(LEFT(B36,FIND("],",B36)),B36)</f>
        <v>[effect:enemy_message, val1:1.4, val2:2.6]</v>
      </c>
      <c r="H36" s="64">
        <f t="shared" si="1"/>
        <v>9</v>
      </c>
      <c r="I36" s="64">
        <f t="shared" ref="I36" si="190">IFERROR(FIND(",",G36),LEN(G36))</f>
        <v>22</v>
      </c>
      <c r="J36" s="64" t="e">
        <f t="shared" ref="J36" si="191">FIND("target:",G36)+7</f>
        <v>#VALUE!</v>
      </c>
      <c r="K36" s="64">
        <f t="shared" ref="K36" si="192">FIND(",",G36,I36+1)</f>
        <v>32</v>
      </c>
      <c r="L36" s="64" t="str">
        <f>IFERROR(VLOOKUP(MID(G36,J36,K36-J36),[6]skilldef!$C:$D,2,FALSE),"-") &amp; " / " &amp; IFERROR(VLOOKUP(MID(G36,H36,I36-H36),[6]skilldef!$A:$B,2,FALSE),"-")</f>
        <v>- / -</v>
      </c>
      <c r="M36" s="64" t="str">
        <f t="shared" ref="M36" si="193">IFERROR(RIGHT(B36,LEN(B36)-FIND("],",B36)-1),"none")</f>
        <v>[effect:enhance_enemy, target:myself, turn:-1, status:attack, val:0.5, calc:mul, animation:enemy_enhance_attack],[effect:remove_enhancement, target:unit_all, target_effect:dis_heart, target_type:debuff, animation:frozen_wave]</v>
      </c>
      <c r="N36" s="48" t="str">
        <f>IFERROR(LEFT(M36,FIND("],",M36)+#REF!),M36)</f>
        <v>[effect:enhance_enemy, target:myself, turn:-1, status:attack, val:0.5, calc:mul, animation:enemy_enhance_attack],[effect:remove_enhancement, target:unit_all, target_effect:dis_heart, target_type:debuff, animation:frozen_wave]</v>
      </c>
      <c r="O36" s="64">
        <f t="shared" si="6"/>
        <v>9</v>
      </c>
      <c r="P36" s="64">
        <f t="shared" ref="P36" si="194">IFERROR(FIND(",",N36),LEN(N36))</f>
        <v>22</v>
      </c>
      <c r="Q36" s="64">
        <f t="shared" ref="Q36" si="195">FIND("target:",N36)+7</f>
        <v>31</v>
      </c>
      <c r="R36" s="64">
        <f t="shared" ref="R36" si="196">FIND(",",N36,P36+1)</f>
        <v>37</v>
      </c>
      <c r="S36" s="64" t="str">
        <f>IFERROR(VLOOKUP(MID(N36,Q36,R36-Q36),[6]skilldef!$C:$D,2,FALSE),"-") &amp; " / " &amp; IFERROR(VLOOKUP(MID(N36,O36,P36-O36),[6]skilldef!$A:$B,2,FALSE),"-")</f>
        <v>自分自身に / ステータス強化</v>
      </c>
      <c r="T36" s="48" t="str">
        <f t="shared" ref="T36" si="197">IFERROR(RIGHT(M36,LEN(M36)-FIND("],",M36)-1),"none")</f>
        <v>[effect:remove_enhancement, target:unit_all, target_effect:dis_heart, target_type:debuff, animation:frozen_wave]</v>
      </c>
      <c r="U36" s="64">
        <f t="shared" si="11"/>
        <v>9</v>
      </c>
      <c r="V36" s="64">
        <f t="shared" ref="V36" si="198">IFERROR(FIND(",",T36),LEN(T36))</f>
        <v>27</v>
      </c>
      <c r="W36" s="64">
        <f t="shared" ref="W36" si="199">FIND("target:",T36)+7</f>
        <v>36</v>
      </c>
      <c r="X36" s="64">
        <f t="shared" ref="X36" si="200">FIND(",",T36,V36+1)</f>
        <v>44</v>
      </c>
      <c r="Y36" s="64" t="str">
        <f>IFERROR(VLOOKUP(MID(T36,W36,X36-W36),[6]skilldef!$C:$D,2,FALSE),"-") &amp; " / " &amp; IFERROR(VLOOKUP(MID(T36,U36,V36-U36),[6]skilldef!$A:$B,2,FALSE),"-")</f>
        <v>味方全体に / -</v>
      </c>
      <c r="Z36" s="50"/>
      <c r="AA36" s="52"/>
      <c r="AB36" s="50"/>
    </row>
    <row r="37" spans="1:28" ht="21" customHeight="1" x14ac:dyDescent="0.15">
      <c r="A37" s="47">
        <v>50006603</v>
      </c>
      <c r="B37" s="103" t="s">
        <v>307</v>
      </c>
      <c r="C37" s="50">
        <v>3</v>
      </c>
      <c r="D37" s="50" t="s">
        <v>198</v>
      </c>
      <c r="E37" s="51" t="s">
        <v>449</v>
      </c>
      <c r="F37" s="51" t="s">
        <v>455</v>
      </c>
      <c r="G37" s="64" t="str">
        <f t="shared" ref="G37" si="201">IFERROR(LEFT(B37,FIND("],",B37)),B37)</f>
        <v>[effect:suicide, val:1, dead_type:escape, target:myself]</v>
      </c>
      <c r="H37" s="64">
        <f t="shared" si="1"/>
        <v>9</v>
      </c>
      <c r="I37" s="64">
        <f t="shared" ref="I37" si="202">IFERROR(FIND(",",G37),LEN(G37))</f>
        <v>16</v>
      </c>
      <c r="J37" s="64">
        <f t="shared" ref="J37" si="203">FIND("target:",G37)+7</f>
        <v>50</v>
      </c>
      <c r="K37" s="64">
        <f t="shared" ref="K37" si="204">FIND(",",G37,I37+1)</f>
        <v>23</v>
      </c>
      <c r="L37" s="64" t="str">
        <f>IFERROR(VLOOKUP(MID(G37,J37,K37-J37),[6]skilldef!$C:$D,2,FALSE),"-") &amp; " / " &amp; IFERROR(VLOOKUP(MID(G37,H37,I37-H37),[6]skilldef!$A:$B,2,FALSE),"-")</f>
        <v>- / -</v>
      </c>
      <c r="M37" s="64" t="str">
        <f t="shared" ref="M37" si="205">IFERROR(RIGHT(B37,LEN(B37)-FIND("],",B37)-1),"none")</f>
        <v>none</v>
      </c>
      <c r="N37" s="48" t="str">
        <f>IFERROR(LEFT(M37,FIND("],",M37)+#REF!),M37)</f>
        <v>none</v>
      </c>
      <c r="O37" s="64" t="e">
        <f t="shared" si="6"/>
        <v>#VALUE!</v>
      </c>
      <c r="P37" s="64">
        <f t="shared" ref="P37" si="206">IFERROR(FIND(",",N37),LEN(N37))</f>
        <v>4</v>
      </c>
      <c r="Q37" s="64" t="e">
        <f t="shared" ref="Q37" si="207">FIND("target:",N37)+7</f>
        <v>#VALUE!</v>
      </c>
      <c r="R37" s="64" t="e">
        <f t="shared" ref="R37" si="208">FIND(",",N37,P37+1)</f>
        <v>#VALUE!</v>
      </c>
      <c r="S37" s="64" t="str">
        <f>IFERROR(VLOOKUP(MID(N37,Q37,R37-Q37),[6]skilldef!$C:$D,2,FALSE),"-") &amp; " / " &amp; IFERROR(VLOOKUP(MID(N37,O37,P37-O37),[6]skilldef!$A:$B,2,FALSE),"-")</f>
        <v>- / -</v>
      </c>
      <c r="T37" s="48" t="str">
        <f t="shared" ref="T37" si="209">IFERROR(RIGHT(M37,LEN(M37)-FIND("],",M37)-1),"none")</f>
        <v>none</v>
      </c>
      <c r="U37" s="64" t="e">
        <f t="shared" si="11"/>
        <v>#VALUE!</v>
      </c>
      <c r="V37" s="64">
        <f t="shared" ref="V37" si="210">IFERROR(FIND(",",T37),LEN(T37))</f>
        <v>4</v>
      </c>
      <c r="W37" s="64" t="e">
        <f t="shared" ref="W37" si="211">FIND("target:",T37)+7</f>
        <v>#VALUE!</v>
      </c>
      <c r="X37" s="64" t="e">
        <f t="shared" ref="X37" si="212">FIND(",",T37,V37+1)</f>
        <v>#VALUE!</v>
      </c>
      <c r="Y37" s="64" t="str">
        <f>IFERROR(VLOOKUP(MID(T37,W37,X37-W37),[6]skilldef!$C:$D,2,FALSE),"-") &amp; " / " &amp; IFERROR(VLOOKUP(MID(T37,U37,V37-U37),[6]skilldef!$A:$B,2,FALSE),"-")</f>
        <v>- / -</v>
      </c>
      <c r="Z37" s="50"/>
      <c r="AA37" s="52"/>
      <c r="AB37" s="50"/>
    </row>
    <row r="38" spans="1:28" ht="44" customHeight="1" x14ac:dyDescent="0.15">
      <c r="A38" s="47">
        <v>50006700</v>
      </c>
      <c r="B38" s="103" t="s">
        <v>315</v>
      </c>
      <c r="C38" s="50">
        <v>3</v>
      </c>
      <c r="D38" s="50" t="s">
        <v>198</v>
      </c>
      <c r="E38" s="51" t="s">
        <v>471</v>
      </c>
      <c r="F38" s="51" t="s">
        <v>384</v>
      </c>
      <c r="G38" s="64" t="str">
        <f t="shared" ref="G38:G39" si="213">IFERROR(LEFT(B38,FIND("],",B38)),B38)</f>
        <v>[effect:drop_freeze, block_type:normal, block_color:block_blue, frozen_count:1, rate:1, turn:-1, animation:drop_protect]</v>
      </c>
      <c r="H38" s="64">
        <f t="shared" si="1"/>
        <v>9</v>
      </c>
      <c r="I38" s="64">
        <f t="shared" ref="I38:I39" si="214">IFERROR(FIND(",",G38),LEN(G38))</f>
        <v>20</v>
      </c>
      <c r="J38" s="64" t="e">
        <f t="shared" ref="J38:J39" si="215">FIND("target:",G38)+7</f>
        <v>#VALUE!</v>
      </c>
      <c r="K38" s="64">
        <f t="shared" ref="K38:K39" si="216">FIND(",",G38,I38+1)</f>
        <v>39</v>
      </c>
      <c r="L38" s="64" t="str">
        <f>IFERROR(VLOOKUP(MID(G38,J38,K38-J38),[6]skilldef!$C:$D,2,FALSE),"-") &amp; " / " &amp; IFERROR(VLOOKUP(MID(G38,H38,I38-H38),[6]skilldef!$A:$B,2,FALSE),"-")</f>
        <v>- / -</v>
      </c>
      <c r="M38" s="64" t="str">
        <f t="shared" ref="M38:M39" si="217">IFERROR(RIGHT(B38,LEN(B38)-FIND("],",B38)-1),"none")</f>
        <v>[effect:drop_freeze, block_type:normal, block_color:block_red, frozen_count:1, rate:1, turn:-1],[effect:fix_speed, target:myself, turn:1]</v>
      </c>
      <c r="N38" s="48" t="str">
        <f>IFERROR(LEFT(M38,FIND("],",M38)+#REF!),M38)</f>
        <v>[effect:drop_freeze, block_type:normal, block_color:block_red, frozen_count:1, rate:1, turn:-1],[effect:fix_speed, target:myself, turn:1]</v>
      </c>
      <c r="O38" s="64">
        <f t="shared" si="6"/>
        <v>9</v>
      </c>
      <c r="P38" s="64">
        <f t="shared" ref="P38:P39" si="218">IFERROR(FIND(",",N38),LEN(N38))</f>
        <v>20</v>
      </c>
      <c r="Q38" s="64">
        <f t="shared" ref="Q38:Q39" si="219">FIND("target:",N38)+7</f>
        <v>123</v>
      </c>
      <c r="R38" s="64">
        <f t="shared" ref="R38:R39" si="220">FIND(",",N38,P38+1)</f>
        <v>39</v>
      </c>
      <c r="S38" s="64" t="str">
        <f>IFERROR(VLOOKUP(MID(N38,Q38,R38-Q38),[6]skilldef!$C:$D,2,FALSE),"-") &amp; " / " &amp; IFERROR(VLOOKUP(MID(N38,O38,P38-O38),[6]skilldef!$A:$B,2,FALSE),"-")</f>
        <v>- / -</v>
      </c>
      <c r="T38" s="48" t="str">
        <f t="shared" ref="T38:T39" si="221">IFERROR(RIGHT(M38,LEN(M38)-FIND("],",M38)-1),"none")</f>
        <v>[effect:fix_speed, target:myself, turn:1]</v>
      </c>
      <c r="U38" s="64">
        <f t="shared" si="11"/>
        <v>9</v>
      </c>
      <c r="V38" s="64">
        <f t="shared" ref="V38:V39" si="222">IFERROR(FIND(",",T38),LEN(T38))</f>
        <v>18</v>
      </c>
      <c r="W38" s="64">
        <f t="shared" ref="W38:W39" si="223">FIND("target:",T38)+7</f>
        <v>27</v>
      </c>
      <c r="X38" s="64">
        <f t="shared" ref="X38:X39" si="224">FIND(",",T38,V38+1)</f>
        <v>33</v>
      </c>
      <c r="Y38" s="64" t="str">
        <f>IFERROR(VLOOKUP(MID(T38,W38,X38-W38),[6]skilldef!$C:$D,2,FALSE),"-") &amp; " / " &amp; IFERROR(VLOOKUP(MID(T38,U38,V38-U38),[6]skilldef!$A:$B,2,FALSE),"-")</f>
        <v>自分自身に / 行動値設定</v>
      </c>
      <c r="Z38" s="50"/>
      <c r="AA38" s="52"/>
      <c r="AB38" s="50"/>
    </row>
    <row r="39" spans="1:28" ht="34" customHeight="1" x14ac:dyDescent="0.15">
      <c r="A39" s="47">
        <v>50006701</v>
      </c>
      <c r="B39" s="103" t="s">
        <v>399</v>
      </c>
      <c r="C39" s="50">
        <v>3</v>
      </c>
      <c r="D39" s="50" t="s">
        <v>198</v>
      </c>
      <c r="E39" s="51" t="s">
        <v>408</v>
      </c>
      <c r="F39" s="51" t="s">
        <v>309</v>
      </c>
      <c r="G39" s="64" t="str">
        <f t="shared" si="213"/>
        <v>[effect:enemy_message, val1:1, val2:2.2]</v>
      </c>
      <c r="H39" s="64">
        <f t="shared" si="1"/>
        <v>9</v>
      </c>
      <c r="I39" s="64">
        <f t="shared" si="214"/>
        <v>22</v>
      </c>
      <c r="J39" s="64" t="e">
        <f t="shared" si="215"/>
        <v>#VALUE!</v>
      </c>
      <c r="K39" s="64">
        <f t="shared" si="216"/>
        <v>30</v>
      </c>
      <c r="L39" s="64" t="str">
        <f>IFERROR(VLOOKUP(MID(G39,J39,K39-J39),[6]skilldef!$C:$D,2,FALSE),"-") &amp; " / " &amp; IFERROR(VLOOKUP(MID(G39,H39,I39-H39),[6]skilldef!$A:$B,2,FALSE),"-")</f>
        <v>- / -</v>
      </c>
      <c r="M39" s="64" t="str">
        <f t="shared" si="217"/>
        <v>[effect:force_change_block, new_block:time_bomb, target:block_yellow,, ignore01:crash, ignore02:crack_bomb, count:5, val:0.3, min_time_count:3, max_time_count:3, animation:change_block],[effect:rush, count:1, val:1.0]</v>
      </c>
      <c r="N39" s="48" t="str">
        <f>IFERROR(LEFT(M39,FIND("],",M39)+#REF!),M39)</f>
        <v>[effect:force_change_block, new_block:time_bomb, target:block_yellow,, ignore01:crash, ignore02:crack_bomb, count:5, val:0.3, min_time_count:3, max_time_count:3, animation:change_block],[effect:rush, count:1, val:1.0]</v>
      </c>
      <c r="O39" s="64">
        <f t="shared" si="6"/>
        <v>9</v>
      </c>
      <c r="P39" s="64">
        <f t="shared" si="218"/>
        <v>27</v>
      </c>
      <c r="Q39" s="64">
        <f t="shared" si="219"/>
        <v>57</v>
      </c>
      <c r="R39" s="64">
        <f t="shared" si="220"/>
        <v>48</v>
      </c>
      <c r="S39" s="64" t="str">
        <f>IFERROR(VLOOKUP(MID(N39,Q39,R39-Q39),[6]skilldef!$C:$D,2,FALSE),"-") &amp; " / " &amp; IFERROR(VLOOKUP(MID(N39,O39,P39-O39),[6]skilldef!$A:$B,2,FALSE),"-")</f>
        <v>- / -</v>
      </c>
      <c r="T39" s="48" t="str">
        <f t="shared" si="221"/>
        <v>[effect:rush, count:1, val:1.0]</v>
      </c>
      <c r="U39" s="64">
        <f t="shared" si="11"/>
        <v>9</v>
      </c>
      <c r="V39" s="64">
        <f t="shared" si="222"/>
        <v>13</v>
      </c>
      <c r="W39" s="64" t="e">
        <f t="shared" si="223"/>
        <v>#VALUE!</v>
      </c>
      <c r="X39" s="64">
        <f t="shared" si="224"/>
        <v>22</v>
      </c>
      <c r="Y39" s="64" t="str">
        <f>IFERROR(VLOOKUP(MID(T39,W39,X39-W39),[6]skilldef!$C:$D,2,FALSE),"-") &amp; " / " &amp; IFERROR(VLOOKUP(MID(T39,U39,V39-U39),[6]skilldef!$A:$B,2,FALSE),"-")</f>
        <v>- / 連続攻撃</v>
      </c>
      <c r="Z39" s="50"/>
      <c r="AA39" s="52"/>
      <c r="AB39" s="50"/>
    </row>
    <row r="40" spans="1:28" ht="34" customHeight="1" x14ac:dyDescent="0.15">
      <c r="A40" s="47">
        <v>50006702</v>
      </c>
      <c r="B40" s="103" t="s">
        <v>272</v>
      </c>
      <c r="C40" s="50">
        <v>3</v>
      </c>
      <c r="D40" s="50" t="s">
        <v>198</v>
      </c>
      <c r="E40" s="51" t="s">
        <v>414</v>
      </c>
      <c r="F40" s="51" t="s">
        <v>273</v>
      </c>
      <c r="G40" s="64" t="str">
        <f t="shared" ref="G40" si="225">IFERROR(LEFT(B40,FIND("],",B40)),B40)</f>
        <v>[effect:panel_freeze, target:block_green, count:-1]</v>
      </c>
      <c r="H40" s="64">
        <f t="shared" si="1"/>
        <v>9</v>
      </c>
      <c r="I40" s="64">
        <f t="shared" ref="I40" si="226">IFERROR(FIND(",",G40),LEN(G40))</f>
        <v>21</v>
      </c>
      <c r="J40" s="64">
        <f t="shared" ref="J40" si="227">FIND("target:",G40)+7</f>
        <v>30</v>
      </c>
      <c r="K40" s="64">
        <f t="shared" ref="K40" si="228">FIND(",",G40,I40+1)</f>
        <v>41</v>
      </c>
      <c r="L40" s="64" t="str">
        <f>IFERROR(VLOOKUP(MID(G40,J40,K40-J40),[6]skilldef!$C:$D,2,FALSE),"-") &amp; " / " &amp; IFERROR(VLOOKUP(MID(G40,H40,I40-H40),[6]skilldef!$A:$B,2,FALSE),"-")</f>
        <v>緑パネルを / -</v>
      </c>
      <c r="M40" s="64" t="str">
        <f t="shared" ref="M40" si="229">IFERROR(RIGHT(B40,LEN(B40)-FIND("],",B40)-1),"none")</f>
        <v>[effect:spread, val:0.30]</v>
      </c>
      <c r="N40" s="48" t="str">
        <f>IFERROR(LEFT(M40,FIND("],",M40)+#REF!),M40)</f>
        <v>[effect:spread, val:0.30]</v>
      </c>
      <c r="O40" s="64">
        <f t="shared" si="6"/>
        <v>9</v>
      </c>
      <c r="P40" s="64">
        <f t="shared" ref="P40" si="230">IFERROR(FIND(",",N40),LEN(N40))</f>
        <v>15</v>
      </c>
      <c r="Q40" s="64" t="e">
        <f t="shared" ref="Q40" si="231">FIND("target:",N40)+7</f>
        <v>#VALUE!</v>
      </c>
      <c r="R40" s="64" t="e">
        <f t="shared" ref="R40" si="232">FIND(",",N40,P40+1)</f>
        <v>#VALUE!</v>
      </c>
      <c r="S40" s="64" t="str">
        <f>IFERROR(VLOOKUP(MID(N40,Q40,R40-Q40),[6]skilldef!$C:$D,2,FALSE),"-") &amp; " / " &amp; IFERROR(VLOOKUP(MID(N40,O40,P40-O40),[6]skilldef!$A:$B,2,FALSE),"-")</f>
        <v>- / 全体攻撃</v>
      </c>
      <c r="T40" s="48" t="str">
        <f t="shared" ref="T40" si="233">IFERROR(RIGHT(M40,LEN(M40)-FIND("],",M40)-1),"none")</f>
        <v>none</v>
      </c>
      <c r="U40" s="64" t="e">
        <f t="shared" si="11"/>
        <v>#VALUE!</v>
      </c>
      <c r="V40" s="64">
        <f t="shared" ref="V40" si="234">IFERROR(FIND(",",T40),LEN(T40))</f>
        <v>4</v>
      </c>
      <c r="W40" s="64" t="e">
        <f t="shared" ref="W40" si="235">FIND("target:",T40)+7</f>
        <v>#VALUE!</v>
      </c>
      <c r="X40" s="64" t="e">
        <f t="shared" ref="X40" si="236">FIND(",",T40,V40+1)</f>
        <v>#VALUE!</v>
      </c>
      <c r="Y40" s="64" t="str">
        <f>IFERROR(VLOOKUP(MID(T40,W40,X40-W40),[6]skilldef!$C:$D,2,FALSE),"-") &amp; " / " &amp; IFERROR(VLOOKUP(MID(T40,U40,V40-U40),[6]skilldef!$A:$B,2,FALSE),"-")</f>
        <v>- / -</v>
      </c>
      <c r="Z40" s="50"/>
      <c r="AA40" s="52"/>
      <c r="AB40" s="50"/>
    </row>
    <row r="41" spans="1:28" ht="34" customHeight="1" x14ac:dyDescent="0.15">
      <c r="A41" s="47">
        <v>50006703</v>
      </c>
      <c r="B41" s="103" t="s">
        <v>426</v>
      </c>
      <c r="C41" s="50">
        <v>3</v>
      </c>
      <c r="D41" s="50" t="s">
        <v>198</v>
      </c>
      <c r="E41" s="51" t="s">
        <v>454</v>
      </c>
      <c r="F41" s="51" t="s">
        <v>425</v>
      </c>
      <c r="G41" s="64" t="str">
        <f t="shared" ref="G41" si="237">IFERROR(LEFT(B41,FIND("],",B41)),B41)</f>
        <v>[effect:damage_anti_tribe, target:unit_all, tribe:human, val1:1.55, val2:0.25]</v>
      </c>
      <c r="H41" s="64">
        <f t="shared" si="1"/>
        <v>9</v>
      </c>
      <c r="I41" s="64">
        <f t="shared" ref="I41" si="238">IFERROR(FIND(",",G41),LEN(G41))</f>
        <v>26</v>
      </c>
      <c r="J41" s="64">
        <f t="shared" ref="J41" si="239">FIND("target:",G41)+7</f>
        <v>35</v>
      </c>
      <c r="K41" s="64">
        <f t="shared" ref="K41" si="240">FIND(",",G41,I41+1)</f>
        <v>43</v>
      </c>
      <c r="L41" s="64" t="str">
        <f>IFERROR(VLOOKUP(MID(G41,J41,K41-J41),[6]skilldef!$C:$D,2,FALSE),"-") &amp; " / " &amp; IFERROR(VLOOKUP(MID(G41,H41,I41-H41),[6]skilldef!$A:$B,2,FALSE),"-")</f>
        <v>味方全体に / 種族キラー</v>
      </c>
      <c r="M41" s="64" t="str">
        <f t="shared" ref="M41" si="241">IFERROR(RIGHT(B41,LEN(B41)-FIND("],",B41)-1),"none")</f>
        <v>none</v>
      </c>
      <c r="N41" s="48" t="str">
        <f>IFERROR(LEFT(M41,FIND("],",M41)+#REF!),M41)</f>
        <v>none</v>
      </c>
      <c r="O41" s="64" t="e">
        <f t="shared" si="6"/>
        <v>#VALUE!</v>
      </c>
      <c r="P41" s="64">
        <f t="shared" ref="P41" si="242">IFERROR(FIND(",",N41),LEN(N41))</f>
        <v>4</v>
      </c>
      <c r="Q41" s="64" t="e">
        <f t="shared" ref="Q41" si="243">FIND("target:",N41)+7</f>
        <v>#VALUE!</v>
      </c>
      <c r="R41" s="64" t="e">
        <f t="shared" ref="R41" si="244">FIND(",",N41,P41+1)</f>
        <v>#VALUE!</v>
      </c>
      <c r="S41" s="64" t="str">
        <f>IFERROR(VLOOKUP(MID(N41,Q41,R41-Q41),[6]skilldef!$C:$D,2,FALSE),"-") &amp; " / " &amp; IFERROR(VLOOKUP(MID(N41,O41,P41-O41),[6]skilldef!$A:$B,2,FALSE),"-")</f>
        <v>- / -</v>
      </c>
      <c r="T41" s="48" t="str">
        <f t="shared" ref="T41" si="245">IFERROR(RIGHT(M41,LEN(M41)-FIND("],",M41)-1),"none")</f>
        <v>none</v>
      </c>
      <c r="U41" s="64" t="e">
        <f t="shared" si="11"/>
        <v>#VALUE!</v>
      </c>
      <c r="V41" s="64">
        <f t="shared" ref="V41" si="246">IFERROR(FIND(",",T41),LEN(T41))</f>
        <v>4</v>
      </c>
      <c r="W41" s="64" t="e">
        <f t="shared" ref="W41" si="247">FIND("target:",T41)+7</f>
        <v>#VALUE!</v>
      </c>
      <c r="X41" s="64" t="e">
        <f t="shared" ref="X41" si="248">FIND(",",T41,V41+1)</f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34" customHeight="1" x14ac:dyDescent="0.15">
      <c r="A42" s="47">
        <v>50006704</v>
      </c>
      <c r="B42" s="103" t="s">
        <v>277</v>
      </c>
      <c r="C42" s="50">
        <v>3</v>
      </c>
      <c r="D42" s="50" t="s">
        <v>198</v>
      </c>
      <c r="E42" s="51" t="s">
        <v>427</v>
      </c>
      <c r="F42" s="51" t="s">
        <v>394</v>
      </c>
      <c r="G42" s="64" t="str">
        <f t="shared" ref="G42:G45" si="249">IFERROR(LEFT(B42,FIND("],",B42)),B42)</f>
        <v>[effect:crash_growth, count:-1, val:-46, animation:change_block]</v>
      </c>
      <c r="H42" s="64">
        <f t="shared" si="1"/>
        <v>9</v>
      </c>
      <c r="I42" s="64">
        <f t="shared" ref="I42:I45" si="250">IFERROR(FIND(",",G42),LEN(G42))</f>
        <v>21</v>
      </c>
      <c r="J42" s="64" t="e">
        <f t="shared" ref="J42:J45" si="251">FIND("target:",G42)+7</f>
        <v>#VALUE!</v>
      </c>
      <c r="K42" s="64">
        <f t="shared" ref="K42:K45" si="252">FIND(",",G42,I42+1)</f>
        <v>31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ref="M42:M45" si="253">IFERROR(RIGHT(B42,LEN(B42)-FIND("],",B42)-1),"none")</f>
        <v>none</v>
      </c>
      <c r="N42" s="48" t="str">
        <f>IFERROR(LEFT(M42,FIND("],",M42)+#REF!),M42)</f>
        <v>none</v>
      </c>
      <c r="O42" s="64" t="e">
        <f t="shared" si="6"/>
        <v>#VALUE!</v>
      </c>
      <c r="P42" s="64">
        <f t="shared" ref="P42:P45" si="254">IFERROR(FIND(",",N42),LEN(N42))</f>
        <v>4</v>
      </c>
      <c r="Q42" s="64" t="e">
        <f t="shared" ref="Q42:Q45" si="255">FIND("target:",N42)+7</f>
        <v>#VALUE!</v>
      </c>
      <c r="R42" s="64" t="e">
        <f t="shared" ref="R42:R45" si="256">FIND(",",N42,P42+1)</f>
        <v>#VALUE!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ref="T42:T45" si="257">IFERROR(RIGHT(M42,LEN(M42)-FIND("],",M42)-1),"none")</f>
        <v>none</v>
      </c>
      <c r="U42" s="64" t="e">
        <f t="shared" si="11"/>
        <v>#VALUE!</v>
      </c>
      <c r="V42" s="64">
        <f t="shared" ref="V42:V45" si="258">IFERROR(FIND(",",T42),LEN(T42))</f>
        <v>4</v>
      </c>
      <c r="W42" s="64" t="e">
        <f t="shared" ref="W42:W45" si="259">FIND("target:",T42)+7</f>
        <v>#VALUE!</v>
      </c>
      <c r="X42" s="64" t="e">
        <f t="shared" ref="X42:X45" si="260">FIND(",",T42,V42+1)</f>
        <v>#VALUE!</v>
      </c>
      <c r="Y42" s="64" t="str">
        <f>IFERROR(VLOOKUP(MID(T42,W42,X42-W42),[6]skilldef!$C:$D,2,FALSE),"-") &amp; " / " &amp; IFERROR(VLOOKUP(MID(T42,U42,V42-U42),[6]skilldef!$A:$B,2,FALSE),"-")</f>
        <v>- / -</v>
      </c>
      <c r="Z42" s="50"/>
      <c r="AA42" s="52"/>
      <c r="AB42" s="50"/>
    </row>
    <row r="43" spans="1:28" ht="44" customHeight="1" x14ac:dyDescent="0.15">
      <c r="A43" s="108">
        <v>50006705</v>
      </c>
      <c r="B43" s="109" t="s">
        <v>411</v>
      </c>
      <c r="C43" s="110">
        <v>3</v>
      </c>
      <c r="D43" s="110" t="s">
        <v>198</v>
      </c>
      <c r="E43" s="111" t="s">
        <v>410</v>
      </c>
      <c r="F43" s="111" t="s">
        <v>384</v>
      </c>
      <c r="G43" s="64" t="str">
        <f t="shared" ref="G43" si="261">IFERROR(LEFT(B43,FIND("],",B43)),B43)</f>
        <v>[effect:enemy_message, val1:1.4, val2:1.8]</v>
      </c>
      <c r="H43" s="64">
        <f t="shared" si="1"/>
        <v>9</v>
      </c>
      <c r="I43" s="64">
        <f t="shared" ref="I43" si="262">IFERROR(FIND(",",G43),LEN(G43))</f>
        <v>22</v>
      </c>
      <c r="J43" s="64" t="e">
        <f t="shared" ref="J43" si="263">FIND("target:",G43)+7</f>
        <v>#VALUE!</v>
      </c>
      <c r="K43" s="64">
        <f t="shared" ref="K43" si="264">FIND(",",G43,I43+1)</f>
        <v>32</v>
      </c>
      <c r="L43" s="64" t="str">
        <f>IFERROR(VLOOKUP(MID(G43,J43,K43-J43),[6]skilldef!$C:$D,2,FALSE),"-") &amp; " / " &amp; IFERROR(VLOOKUP(MID(G43,H43,I43-H43),[6]skilldef!$A:$B,2,FALSE),"-")</f>
        <v>- / -</v>
      </c>
      <c r="M43" s="64" t="str">
        <f t="shared" ref="M43" si="265">IFERROR(RIGHT(B43,LEN(B43)-FIND("],",B43)-1),"none")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N43" s="48" t="str">
        <f>IFERROR(LEFT(M43,FIND("],",M43)+#REF!),M43)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O43" s="64">
        <f t="shared" si="6"/>
        <v>9</v>
      </c>
      <c r="P43" s="64">
        <f t="shared" ref="P43" si="266">IFERROR(FIND(",",N43),LEN(N43))</f>
        <v>20</v>
      </c>
      <c r="Q43" s="64">
        <f t="shared" ref="Q43" si="267">FIND("target:",N43)+7</f>
        <v>244</v>
      </c>
      <c r="R43" s="64">
        <f t="shared" ref="R43" si="268">FIND(",",N43,P43+1)</f>
        <v>39</v>
      </c>
      <c r="S43" s="64" t="str">
        <f>IFERROR(VLOOKUP(MID(N43,Q43,R43-Q43),[6]skilldef!$C:$D,2,FALSE),"-") &amp; " / " &amp; IFERROR(VLOOKUP(MID(N43,O43,P43-O43),[6]skilldef!$A:$B,2,FALSE),"-")</f>
        <v>- / -</v>
      </c>
      <c r="T43" s="48" t="str">
        <f t="shared" ref="T43" si="269">IFERROR(RIGHT(M43,LEN(M43)-FIND("],",M43)-1),"none")</f>
        <v>[effect:drop_freeze, block_type:normal, block_color:block_red, frozen_count:1, rate:1, turn:-1],[effect:fix_speed, target:myself, turn:1]</v>
      </c>
      <c r="U43" s="64">
        <f t="shared" si="11"/>
        <v>9</v>
      </c>
      <c r="V43" s="64">
        <f t="shared" ref="V43" si="270">IFERROR(FIND(",",T43),LEN(T43))</f>
        <v>20</v>
      </c>
      <c r="W43" s="64">
        <f t="shared" ref="W43" si="271">FIND("target:",T43)+7</f>
        <v>123</v>
      </c>
      <c r="X43" s="64">
        <f t="shared" ref="X43" si="272">FIND(",",T43,V43+1)</f>
        <v>39</v>
      </c>
      <c r="Y43" s="64" t="str">
        <f>IFERROR(VLOOKUP(MID(T43,W43,X43-W43),[6]skilldef!$C:$D,2,FALSE),"-") &amp; " / " &amp; IFERROR(VLOOKUP(MID(T43,U43,V43-U43),[6]skilldef!$A:$B,2,FALSE),"-")</f>
        <v>- / -</v>
      </c>
      <c r="Z43" s="50"/>
      <c r="AA43" s="52"/>
      <c r="AB43" s="50"/>
    </row>
    <row r="44" spans="1:28" ht="44" customHeight="1" x14ac:dyDescent="0.15">
      <c r="A44" s="108">
        <v>50006706</v>
      </c>
      <c r="B44" s="109" t="s">
        <v>411</v>
      </c>
      <c r="C44" s="110">
        <v>3</v>
      </c>
      <c r="D44" s="110" t="s">
        <v>198</v>
      </c>
      <c r="E44" s="111" t="s">
        <v>410</v>
      </c>
      <c r="F44" s="111" t="s">
        <v>384</v>
      </c>
      <c r="G44" s="64" t="str">
        <f t="shared" ref="G44" si="273">IFERROR(LEFT(B44,FIND("],",B44)),B44)</f>
        <v>[effect:enemy_message, val1:1.4, val2:1.8]</v>
      </c>
      <c r="H44" s="64">
        <f t="shared" ref="H44" si="274">FIND("effect:",G44)+7</f>
        <v>9</v>
      </c>
      <c r="I44" s="64">
        <f t="shared" ref="I44" si="275">IFERROR(FIND(",",G44),LEN(G44))</f>
        <v>22</v>
      </c>
      <c r="J44" s="64" t="e">
        <f t="shared" ref="J44" si="276">FIND("target:",G44)+7</f>
        <v>#VALUE!</v>
      </c>
      <c r="K44" s="64">
        <f t="shared" ref="K44" si="277">FIND(",",G44,I44+1)</f>
        <v>32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ref="M44" si="278">IFERROR(RIGHT(B44,LEN(B44)-FIND("],",B44)-1),"none")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N44" s="48" t="str">
        <f>IFERROR(LEFT(M44,FIND("],",M44)+#REF!),M44)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O44" s="64">
        <f t="shared" ref="O44" si="279">FIND("effect:",N44)+7</f>
        <v>9</v>
      </c>
      <c r="P44" s="64">
        <f t="shared" ref="P44" si="280">IFERROR(FIND(",",N44),LEN(N44))</f>
        <v>20</v>
      </c>
      <c r="Q44" s="64">
        <f t="shared" ref="Q44" si="281">FIND("target:",N44)+7</f>
        <v>244</v>
      </c>
      <c r="R44" s="64">
        <f t="shared" ref="R44" si="282">FIND(",",N44,P44+1)</f>
        <v>39</v>
      </c>
      <c r="S44" s="64" t="str">
        <f>IFERROR(VLOOKUP(MID(N44,Q44,R44-Q44),[6]skilldef!$C:$D,2,FALSE),"-") &amp; " / " &amp; IFERROR(VLOOKUP(MID(N44,O44,P44-O44),[6]skilldef!$A:$B,2,FALSE),"-")</f>
        <v>- / -</v>
      </c>
      <c r="T44" s="48" t="str">
        <f t="shared" ref="T44" si="283">IFERROR(RIGHT(M44,LEN(M44)-FIND("],",M44)-1),"none")</f>
        <v>[effect:drop_freeze, block_type:normal, block_color:block_red, frozen_count:1, rate:1, turn:-1],[effect:fix_speed, target:myself, turn:1]</v>
      </c>
      <c r="U44" s="64">
        <f t="shared" ref="U44" si="284">FIND("effect:",T44)+7</f>
        <v>9</v>
      </c>
      <c r="V44" s="64">
        <f t="shared" ref="V44" si="285">IFERROR(FIND(",",T44),LEN(T44))</f>
        <v>20</v>
      </c>
      <c r="W44" s="64">
        <f t="shared" ref="W44" si="286">FIND("target:",T44)+7</f>
        <v>123</v>
      </c>
      <c r="X44" s="64">
        <f t="shared" ref="X44" si="287">FIND(",",T44,V44+1)</f>
        <v>39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44" customHeight="1" x14ac:dyDescent="0.15">
      <c r="A45" s="108">
        <v>50006707</v>
      </c>
      <c r="B45" s="109" t="s">
        <v>415</v>
      </c>
      <c r="C45" s="110">
        <v>3</v>
      </c>
      <c r="D45" s="110" t="s">
        <v>198</v>
      </c>
      <c r="E45" s="111" t="s">
        <v>438</v>
      </c>
      <c r="F45" s="111" t="s">
        <v>384</v>
      </c>
      <c r="G45" s="64" t="str">
        <f t="shared" si="249"/>
        <v>[effect:enemy_message, val1:2, val2:1.8]</v>
      </c>
      <c r="H45" s="64">
        <f t="shared" ref="H45" si="288">FIND("effect:",G45)+7</f>
        <v>9</v>
      </c>
      <c r="I45" s="64">
        <f t="shared" si="250"/>
        <v>22</v>
      </c>
      <c r="J45" s="64" t="e">
        <f t="shared" si="251"/>
        <v>#VALUE!</v>
      </c>
      <c r="K45" s="64">
        <f t="shared" si="252"/>
        <v>30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253"/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N45" s="48" t="str">
        <f>IFERROR(LEFT(M45,FIND("],",M45)+#REF!),M45)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O45" s="64">
        <f t="shared" ref="O45" si="289">FIND("effect:",N45)+7</f>
        <v>9</v>
      </c>
      <c r="P45" s="64">
        <f t="shared" si="254"/>
        <v>20</v>
      </c>
      <c r="Q45" s="64">
        <f t="shared" si="255"/>
        <v>244</v>
      </c>
      <c r="R45" s="64">
        <f t="shared" si="256"/>
        <v>39</v>
      </c>
      <c r="S45" s="64" t="str">
        <f>IFERROR(VLOOKUP(MID(N45,Q45,R45-Q45),[6]skilldef!$C:$D,2,FALSE),"-") &amp; " / " &amp; IFERROR(VLOOKUP(MID(N45,O45,P45-O45),[6]skilldef!$A:$B,2,FALSE),"-")</f>
        <v>- / -</v>
      </c>
      <c r="T45" s="48" t="str">
        <f t="shared" si="257"/>
        <v>[effect:drop_freeze, block_type:normal, block_color:block_red, frozen_count:1, rate:1, turn:-1],[effect:fix_speed, target:myself, turn:1]</v>
      </c>
      <c r="U45" s="64">
        <f t="shared" ref="U45" si="290">FIND("effect:",T45)+7</f>
        <v>9</v>
      </c>
      <c r="V45" s="64">
        <f t="shared" si="258"/>
        <v>20</v>
      </c>
      <c r="W45" s="64">
        <f t="shared" si="259"/>
        <v>123</v>
      </c>
      <c r="X45" s="64">
        <f t="shared" si="260"/>
        <v>39</v>
      </c>
      <c r="Y45" s="64" t="str">
        <f>IFERROR(VLOOKUP(MID(T45,W45,X45-W45),[6]skilldef!$C:$D,2,FALSE),"-") &amp; " / " &amp; IFERROR(VLOOKUP(MID(T45,U45,V45-U45),[6]skilldef!$A:$B,2,FALSE),"-")</f>
        <v>- / -</v>
      </c>
      <c r="Z45" s="50"/>
      <c r="AA45" s="52"/>
      <c r="AB45" s="50"/>
    </row>
    <row r="46" spans="1:28" ht="44" customHeight="1" x14ac:dyDescent="0.15">
      <c r="A46" s="108">
        <v>50006708</v>
      </c>
      <c r="B46" s="109" t="s">
        <v>415</v>
      </c>
      <c r="C46" s="110">
        <v>3</v>
      </c>
      <c r="D46" s="110" t="s">
        <v>198</v>
      </c>
      <c r="E46" s="111" t="s">
        <v>438</v>
      </c>
      <c r="F46" s="111" t="s">
        <v>384</v>
      </c>
      <c r="G46" s="64" t="str">
        <f t="shared" ref="G46" si="291">IFERROR(LEFT(B46,FIND("],",B46)),B46)</f>
        <v>[effect:enemy_message, val1:2, val2:1.8]</v>
      </c>
      <c r="H46" s="64">
        <f t="shared" ref="H46" si="292">FIND("effect:",G46)+7</f>
        <v>9</v>
      </c>
      <c r="I46" s="64">
        <f t="shared" ref="I46" si="293">IFERROR(FIND(",",G46),LEN(G46))</f>
        <v>22</v>
      </c>
      <c r="J46" s="64" t="e">
        <f t="shared" ref="J46" si="294">FIND("target:",G46)+7</f>
        <v>#VALUE!</v>
      </c>
      <c r="K46" s="64">
        <f t="shared" ref="K46" si="295">FIND(",",G46,I46+1)</f>
        <v>30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ref="M46" si="296">IFERROR(RIGHT(B46,LEN(B46)-FIND("],",B46)-1),"none")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N46" s="48" t="str">
        <f>IFERROR(LEFT(M46,FIND("],",M46)+#REF!),M46)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O46" s="64">
        <f t="shared" ref="O46" si="297">FIND("effect:",N46)+7</f>
        <v>9</v>
      </c>
      <c r="P46" s="64">
        <f t="shared" ref="P46" si="298">IFERROR(FIND(",",N46),LEN(N46))</f>
        <v>20</v>
      </c>
      <c r="Q46" s="64">
        <f t="shared" ref="Q46" si="299">FIND("target:",N46)+7</f>
        <v>244</v>
      </c>
      <c r="R46" s="64">
        <f t="shared" ref="R46" si="300">FIND(",",N46,P46+1)</f>
        <v>39</v>
      </c>
      <c r="S46" s="64" t="str">
        <f>IFERROR(VLOOKUP(MID(N46,Q46,R46-Q46),[6]skilldef!$C:$D,2,FALSE),"-") &amp; " / " &amp; IFERROR(VLOOKUP(MID(N46,O46,P46-O46),[6]skilldef!$A:$B,2,FALSE),"-")</f>
        <v>- / -</v>
      </c>
      <c r="T46" s="48" t="str">
        <f t="shared" ref="T46" si="301">IFERROR(RIGHT(M46,LEN(M46)-FIND("],",M46)-1),"none")</f>
        <v>[effect:drop_freeze, block_type:normal, block_color:block_red, frozen_count:1, rate:1, turn:-1],[effect:fix_speed, target:myself, turn:1]</v>
      </c>
      <c r="U46" s="64">
        <f t="shared" ref="U46" si="302">FIND("effect:",T46)+7</f>
        <v>9</v>
      </c>
      <c r="V46" s="64">
        <f t="shared" ref="V46" si="303">IFERROR(FIND(",",T46),LEN(T46))</f>
        <v>20</v>
      </c>
      <c r="W46" s="64">
        <f t="shared" ref="W46" si="304">FIND("target:",T46)+7</f>
        <v>123</v>
      </c>
      <c r="X46" s="64">
        <f t="shared" ref="X46" si="305">FIND(",",T46,V46+1)</f>
        <v>39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ht="44" customHeight="1" x14ac:dyDescent="0.15">
      <c r="A47" s="108">
        <v>50006709</v>
      </c>
      <c r="B47" s="109" t="s">
        <v>412</v>
      </c>
      <c r="C47" s="110">
        <v>3</v>
      </c>
      <c r="D47" s="110" t="s">
        <v>198</v>
      </c>
      <c r="E47" s="111" t="s">
        <v>413</v>
      </c>
      <c r="F47" s="111" t="s">
        <v>384</v>
      </c>
      <c r="G47" s="64" t="str">
        <f t="shared" ref="G47" si="306">IFERROR(LEFT(B47,FIND("],",B47)),B47)</f>
        <v>[effect:enemy_message, val1:2, val2:1.8]</v>
      </c>
      <c r="H47" s="64">
        <f t="shared" ref="H47" si="307">FIND("effect:",G47)+7</f>
        <v>9</v>
      </c>
      <c r="I47" s="64">
        <f t="shared" ref="I47" si="308">IFERROR(FIND(",",G47),LEN(G47))</f>
        <v>22</v>
      </c>
      <c r="J47" s="64" t="e">
        <f t="shared" ref="J47" si="309">FIND("target:",G47)+7</f>
        <v>#VALUE!</v>
      </c>
      <c r="K47" s="64">
        <f t="shared" ref="K47" si="310">FIND(",",G47,I47+1)</f>
        <v>30</v>
      </c>
      <c r="L47" s="64" t="str">
        <f>IFERROR(VLOOKUP(MID(G47,J47,K47-J47),[6]skilldef!$C:$D,2,FALSE),"-") &amp; " / " &amp; IFERROR(VLOOKUP(MID(G47,H47,I47-H47),[6]skilldef!$A:$B,2,FALSE),"-")</f>
        <v>- / -</v>
      </c>
      <c r="M47" s="64" t="str">
        <f t="shared" ref="M47" si="311">IFERROR(RIGHT(B47,LEN(B47)-FIND("],",B47)-1),"none")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N47" s="48" t="str">
        <f>IFERROR(LEFT(M47,FIND("],",M47)+#REF!),M47)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O47" s="64">
        <f t="shared" ref="O47" si="312">FIND("effect:",N47)+7</f>
        <v>9</v>
      </c>
      <c r="P47" s="64">
        <f t="shared" ref="P47" si="313">IFERROR(FIND(",",N47),LEN(N47))</f>
        <v>20</v>
      </c>
      <c r="Q47" s="64">
        <f t="shared" ref="Q47" si="314">FIND("target:",N47)+7</f>
        <v>244</v>
      </c>
      <c r="R47" s="64">
        <f t="shared" ref="R47" si="315">FIND(",",N47,P47+1)</f>
        <v>39</v>
      </c>
      <c r="S47" s="64" t="str">
        <f>IFERROR(VLOOKUP(MID(N47,Q47,R47-Q47),[6]skilldef!$C:$D,2,FALSE),"-") &amp; " / " &amp; IFERROR(VLOOKUP(MID(N47,O47,P47-O47),[6]skilldef!$A:$B,2,FALSE),"-")</f>
        <v>- / -</v>
      </c>
      <c r="T47" s="48" t="str">
        <f t="shared" ref="T47" si="316">IFERROR(RIGHT(M47,LEN(M47)-FIND("],",M47)-1),"none")</f>
        <v>[effect:drop_freeze, block_type:normal, block_color:block_red, frozen_count:1, rate:1, turn:-1],[effect:fix_speed, target:myself, turn:1]</v>
      </c>
      <c r="U47" s="64">
        <f t="shared" ref="U47" si="317">FIND("effect:",T47)+7</f>
        <v>9</v>
      </c>
      <c r="V47" s="64">
        <f t="shared" ref="V47" si="318">IFERROR(FIND(",",T47),LEN(T47))</f>
        <v>20</v>
      </c>
      <c r="W47" s="64">
        <f t="shared" ref="W47" si="319">FIND("target:",T47)+7</f>
        <v>123</v>
      </c>
      <c r="X47" s="64">
        <f t="shared" ref="X47" si="320">FIND(",",T47,V47+1)</f>
        <v>39</v>
      </c>
      <c r="Y47" s="64" t="str">
        <f>IFERROR(VLOOKUP(MID(T47,W47,X47-W47),[6]skilldef!$C:$D,2,FALSE),"-") &amp; " / " &amp; IFERROR(VLOOKUP(MID(T47,U47,V47-U47),[6]skilldef!$A:$B,2,FALSE),"-")</f>
        <v>- / -</v>
      </c>
      <c r="Z47" s="50"/>
      <c r="AA47" s="52"/>
      <c r="AB47" s="50"/>
    </row>
    <row r="48" spans="1:28" ht="44" customHeight="1" x14ac:dyDescent="0.15">
      <c r="A48" s="108">
        <v>50006710</v>
      </c>
      <c r="B48" s="109" t="s">
        <v>412</v>
      </c>
      <c r="C48" s="110">
        <v>3</v>
      </c>
      <c r="D48" s="110" t="s">
        <v>198</v>
      </c>
      <c r="E48" s="111" t="s">
        <v>413</v>
      </c>
      <c r="F48" s="111" t="s">
        <v>384</v>
      </c>
      <c r="G48" s="64" t="str">
        <f t="shared" ref="G48" si="321">IFERROR(LEFT(B48,FIND("],",B48)),B48)</f>
        <v>[effect:enemy_message, val1:2, val2:1.8]</v>
      </c>
      <c r="H48" s="64">
        <f t="shared" ref="H48" si="322">FIND("effect:",G48)+7</f>
        <v>9</v>
      </c>
      <c r="I48" s="64">
        <f t="shared" ref="I48" si="323">IFERROR(FIND(",",G48),LEN(G48))</f>
        <v>22</v>
      </c>
      <c r="J48" s="64" t="e">
        <f t="shared" ref="J48" si="324">FIND("target:",G48)+7</f>
        <v>#VALUE!</v>
      </c>
      <c r="K48" s="64">
        <f t="shared" ref="K48" si="325">FIND(",",G48,I48+1)</f>
        <v>30</v>
      </c>
      <c r="L48" s="64" t="str">
        <f>IFERROR(VLOOKUP(MID(G48,J48,K48-J48),[6]skilldef!$C:$D,2,FALSE),"-") &amp; " / " &amp; IFERROR(VLOOKUP(MID(G48,H48,I48-H48),[6]skilldef!$A:$B,2,FALSE),"-")</f>
        <v>- / -</v>
      </c>
      <c r="M48" s="64" t="str">
        <f t="shared" ref="M48" si="326">IFERROR(RIGHT(B48,LEN(B48)-FIND("],",B48)-1),"none")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N48" s="48" t="str">
        <f>IFERROR(LEFT(M48,FIND("],",M48)+#REF!),M48)</f>
        <v>[effect:drop_freeze, block_type:normal, block_color:block_blue, frozen_count:1, rate:1, turn:-1, animation:drop_protect],[effect:drop_freeze, block_type:normal, block_color:block_red, frozen_count:1, rate:1, turn:-1],[effect:fix_speed, target:myself, turn:1]</v>
      </c>
      <c r="O48" s="64">
        <f t="shared" ref="O48" si="327">FIND("effect:",N48)+7</f>
        <v>9</v>
      </c>
      <c r="P48" s="64">
        <f t="shared" ref="P48" si="328">IFERROR(FIND(",",N48),LEN(N48))</f>
        <v>20</v>
      </c>
      <c r="Q48" s="64">
        <f t="shared" ref="Q48" si="329">FIND("target:",N48)+7</f>
        <v>244</v>
      </c>
      <c r="R48" s="64">
        <f t="shared" ref="R48" si="330">FIND(",",N48,P48+1)</f>
        <v>39</v>
      </c>
      <c r="S48" s="64" t="str">
        <f>IFERROR(VLOOKUP(MID(N48,Q48,R48-Q48),[6]skilldef!$C:$D,2,FALSE),"-") &amp; " / " &amp; IFERROR(VLOOKUP(MID(N48,O48,P48-O48),[6]skilldef!$A:$B,2,FALSE),"-")</f>
        <v>- / -</v>
      </c>
      <c r="T48" s="48" t="str">
        <f t="shared" ref="T48" si="331">IFERROR(RIGHT(M48,LEN(M48)-FIND("],",M48)-1),"none")</f>
        <v>[effect:drop_freeze, block_type:normal, block_color:block_red, frozen_count:1, rate:1, turn:-1],[effect:fix_speed, target:myself, turn:1]</v>
      </c>
      <c r="U48" s="64">
        <f t="shared" ref="U48" si="332">FIND("effect:",T48)+7</f>
        <v>9</v>
      </c>
      <c r="V48" s="64">
        <f t="shared" ref="V48" si="333">IFERROR(FIND(",",T48),LEN(T48))</f>
        <v>20</v>
      </c>
      <c r="W48" s="64">
        <f t="shared" ref="W48" si="334">FIND("target:",T48)+7</f>
        <v>123</v>
      </c>
      <c r="X48" s="64">
        <f t="shared" ref="X48" si="335">FIND(",",T48,V48+1)</f>
        <v>39</v>
      </c>
      <c r="Y48" s="64" t="str">
        <f>IFERROR(VLOOKUP(MID(T48,W48,X48-W48),[6]skilldef!$C:$D,2,FALSE),"-") &amp; " / " &amp; IFERROR(VLOOKUP(MID(T48,U48,V48-U48),[6]skilldef!$A:$B,2,FALSE),"-")</f>
        <v>- / -</v>
      </c>
      <c r="Z48" s="50"/>
      <c r="AA48" s="52"/>
      <c r="AB48" s="50"/>
    </row>
    <row r="49" spans="1:28" ht="34" customHeight="1" x14ac:dyDescent="0.15">
      <c r="A49" s="47">
        <v>50006800</v>
      </c>
      <c r="B49" s="103" t="s">
        <v>489</v>
      </c>
      <c r="C49" s="50">
        <v>3</v>
      </c>
      <c r="D49" s="50" t="s">
        <v>198</v>
      </c>
      <c r="E49" s="51" t="s">
        <v>395</v>
      </c>
      <c r="F49" s="51" t="s">
        <v>314</v>
      </c>
      <c r="G49" s="64" t="str">
        <f t="shared" ref="G49" si="336">IFERROR(LEFT(B49,FIND("],",B49)),B49)</f>
        <v>[effect:enemy_message, val1:1, val2:2.4]</v>
      </c>
      <c r="H49" s="64">
        <f t="shared" si="1"/>
        <v>9</v>
      </c>
      <c r="I49" s="64">
        <f t="shared" ref="I49" si="337">IFERROR(FIND(",",G49),LEN(G49))</f>
        <v>22</v>
      </c>
      <c r="J49" s="64" t="e">
        <f t="shared" ref="J49" si="338">FIND("target:",G49)+7</f>
        <v>#VALUE!</v>
      </c>
      <c r="K49" s="64">
        <f t="shared" ref="K49" si="339">FIND(",",G49,I49+1)</f>
        <v>30</v>
      </c>
      <c r="L49" s="64" t="str">
        <f>IFERROR(VLOOKUP(MID(G49,J49,K49-J49),[6]skilldef!$C:$D,2,FALSE),"-") &amp; " / " &amp; IFERROR(VLOOKUP(MID(G49,H49,I49-H49),[6]skilldef!$A:$B,2,FALSE),"-")</f>
        <v>- / -</v>
      </c>
      <c r="M49" s="64" t="str">
        <f t="shared" ref="M49" si="340">IFERROR(RIGHT(B49,LEN(B49)-FIND("],",B49)-1),"none")</f>
        <v>[effect:change_attribute, target:myself, color:red, turn:-1],[effect:reduction, target:myself, turn:3, color:all, val:0.5, animation:reduction_one01],[effect:fix_speed, target:myself, turn:1]</v>
      </c>
      <c r="N49" s="48" t="str">
        <f>IFERROR(LEFT(M49,FIND("],",M49)+#REF!),M49)</f>
        <v>[effect:change_attribute, target:myself, color:red, turn:-1],[effect:reduction, target:myself, turn:3, color:all, val:0.5, animation:reduction_one01],[effect:fix_speed, target:myself, turn:1]</v>
      </c>
      <c r="O49" s="64">
        <f t="shared" si="6"/>
        <v>9</v>
      </c>
      <c r="P49" s="64">
        <f t="shared" ref="P49" si="341">IFERROR(FIND(",",N49),LEN(N49))</f>
        <v>25</v>
      </c>
      <c r="Q49" s="64">
        <f t="shared" ref="Q49" si="342">FIND("target:",N49)+7</f>
        <v>34</v>
      </c>
      <c r="R49" s="64">
        <f t="shared" ref="R49" si="343">FIND(",",N49,P49+1)</f>
        <v>40</v>
      </c>
      <c r="S49" s="64" t="str">
        <f>IFERROR(VLOOKUP(MID(N49,Q49,R49-Q49),[6]skilldef!$C:$D,2,FALSE),"-") &amp; " / " &amp; IFERROR(VLOOKUP(MID(N49,O49,P49-O49),[6]skilldef!$A:$B,2,FALSE),"-")</f>
        <v>自分自身に / -</v>
      </c>
      <c r="T49" s="48" t="str">
        <f t="shared" ref="T49" si="344">IFERROR(RIGHT(M49,LEN(M49)-FIND("],",M49)-1),"none")</f>
        <v>[effect:reduction, target:myself, turn:3, color:all, val:0.5, animation:reduction_one01],[effect:fix_speed, target:myself, turn:1]</v>
      </c>
      <c r="U49" s="64">
        <f t="shared" si="11"/>
        <v>9</v>
      </c>
      <c r="V49" s="64">
        <f t="shared" ref="V49" si="345">IFERROR(FIND(",",T49),LEN(T49))</f>
        <v>18</v>
      </c>
      <c r="W49" s="64">
        <f t="shared" ref="W49" si="346">FIND("target:",T49)+7</f>
        <v>27</v>
      </c>
      <c r="X49" s="64">
        <f t="shared" ref="X49" si="347">FIND(",",T49,V49+1)</f>
        <v>33</v>
      </c>
      <c r="Y49" s="64" t="str">
        <f>IFERROR(VLOOKUP(MID(T49,W49,X49-W49),[6]skilldef!$C:$D,2,FALSE),"-") &amp; " / " &amp; IFERROR(VLOOKUP(MID(T49,U49,V49-U49),[6]skilldef!$A:$B,2,FALSE),"-")</f>
        <v>自分自身に / -</v>
      </c>
      <c r="Z49" s="50"/>
      <c r="AA49" s="52"/>
      <c r="AB49" s="50"/>
    </row>
    <row r="50" spans="1:28" ht="34" customHeight="1" x14ac:dyDescent="0.15">
      <c r="A50" s="47">
        <v>50006801</v>
      </c>
      <c r="B50" s="103" t="s">
        <v>400</v>
      </c>
      <c r="C50" s="50">
        <v>3</v>
      </c>
      <c r="D50" s="50" t="s">
        <v>198</v>
      </c>
      <c r="E50" s="51" t="s">
        <v>409</v>
      </c>
      <c r="F50" s="51" t="s">
        <v>274</v>
      </c>
      <c r="G50" s="64" t="str">
        <f t="shared" ref="G50" si="348">IFERROR(LEFT(B50,FIND("],",B50)),B50)</f>
        <v>[effect:enemy_message, val1:1, val2:2.2]</v>
      </c>
      <c r="H50" s="64">
        <f t="shared" si="1"/>
        <v>9</v>
      </c>
      <c r="I50" s="64">
        <f t="shared" ref="I50" si="349">IFERROR(FIND(",",G50),LEN(G50))</f>
        <v>22</v>
      </c>
      <c r="J50" s="64" t="e">
        <f t="shared" ref="J50" si="350">FIND("target:",G50)+7</f>
        <v>#VALUE!</v>
      </c>
      <c r="K50" s="64">
        <f t="shared" ref="K50" si="351">FIND(",",G50,I50+1)</f>
        <v>30</v>
      </c>
      <c r="L50" s="64" t="str">
        <f>IFERROR(VLOOKUP(MID(G50,J50,K50-J50),[6]skilldef!$C:$D,2,FALSE),"-") &amp; " / " &amp; IFERROR(VLOOKUP(MID(G50,H50,I50-H50),[6]skilldef!$A:$B,2,FALSE),"-")</f>
        <v>- / -</v>
      </c>
      <c r="M50" s="64" t="str">
        <f t="shared" ref="M50" si="352">IFERROR(RIGHT(B50,LEN(B50)-FIND("],",B50)-1),"none")</f>
        <v>[effect:force_change_block, new_block:jammer, target:block_red, ignore01:crash, ignore02:crack_bomb, count:5, val:0, animation:change_block],[effect:rush, count:1, val:0.3]</v>
      </c>
      <c r="N50" s="48" t="str">
        <f>IFERROR(LEFT(M50,FIND("],",M50)+#REF!),M50)</f>
        <v>[effect:force_change_block, new_block:jammer, target:block_red, ignore01:crash, ignore02:crack_bomb, count:5, val:0, animation:change_block],[effect:rush, count:1, val:0.3]</v>
      </c>
      <c r="O50" s="64">
        <f t="shared" si="6"/>
        <v>9</v>
      </c>
      <c r="P50" s="64">
        <f t="shared" ref="P50" si="353">IFERROR(FIND(",",N50),LEN(N50))</f>
        <v>27</v>
      </c>
      <c r="Q50" s="64">
        <f t="shared" ref="Q50" si="354">FIND("target:",N50)+7</f>
        <v>54</v>
      </c>
      <c r="R50" s="64">
        <f t="shared" ref="R50" si="355">FIND(",",N50,P50+1)</f>
        <v>45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ref="T50" si="356">IFERROR(RIGHT(M50,LEN(M50)-FIND("],",M50)-1),"none")</f>
        <v>[effect:rush, count:1, val:0.3]</v>
      </c>
      <c r="U50" s="64">
        <f t="shared" si="11"/>
        <v>9</v>
      </c>
      <c r="V50" s="64">
        <f t="shared" ref="V50" si="357">IFERROR(FIND(",",T50),LEN(T50))</f>
        <v>13</v>
      </c>
      <c r="W50" s="64" t="e">
        <f t="shared" ref="W50" si="358">FIND("target:",T50)+7</f>
        <v>#VALUE!</v>
      </c>
      <c r="X50" s="64">
        <f t="shared" ref="X50" si="359">FIND(",",T50,V50+1)</f>
        <v>22</v>
      </c>
      <c r="Y50" s="64" t="str">
        <f>IFERROR(VLOOKUP(MID(T50,W50,X50-W50),[6]skilldef!$C:$D,2,FALSE),"-") &amp; " / " &amp; IFERROR(VLOOKUP(MID(T50,U50,V50-U50),[6]skilldef!$A:$B,2,FALSE),"-")</f>
        <v>- / 連続攻撃</v>
      </c>
      <c r="Z50" s="50"/>
      <c r="AA50" s="52"/>
      <c r="AB50" s="50"/>
    </row>
    <row r="51" spans="1:28" ht="34" customHeight="1" x14ac:dyDescent="0.15">
      <c r="A51" s="47">
        <v>50006802</v>
      </c>
      <c r="B51" s="103" t="s">
        <v>275</v>
      </c>
      <c r="C51" s="50">
        <v>3</v>
      </c>
      <c r="D51" s="50" t="s">
        <v>198</v>
      </c>
      <c r="E51" s="51" t="s">
        <v>456</v>
      </c>
      <c r="F51" s="51" t="s">
        <v>386</v>
      </c>
      <c r="G51" s="64" t="str">
        <f t="shared" ref="G51" si="360">IFERROR(LEFT(B51,FIND("],",B51)),B51)</f>
        <v>[effect:panel_freeze, target:block_yellow, count:-1]</v>
      </c>
      <c r="H51" s="64">
        <f t="shared" si="1"/>
        <v>9</v>
      </c>
      <c r="I51" s="64">
        <f t="shared" ref="I51" si="361">IFERROR(FIND(",",G51),LEN(G51))</f>
        <v>21</v>
      </c>
      <c r="J51" s="64">
        <f t="shared" ref="J51" si="362">FIND("target:",G51)+7</f>
        <v>30</v>
      </c>
      <c r="K51" s="64">
        <f t="shared" ref="K51" si="363">FIND(",",G51,I51+1)</f>
        <v>42</v>
      </c>
      <c r="L51" s="64" t="str">
        <f>IFERROR(VLOOKUP(MID(G51,J51,K51-J51),[6]skilldef!$C:$D,2,FALSE),"-") &amp; " / " &amp; IFERROR(VLOOKUP(MID(G51,H51,I51-H51),[6]skilldef!$A:$B,2,FALSE),"-")</f>
        <v>黄色パネルを / -</v>
      </c>
      <c r="M51" s="64" t="str">
        <f t="shared" ref="M51" si="364">IFERROR(RIGHT(B51,LEN(B51)-FIND("],",B51)-1),"none")</f>
        <v>[effect:damage_gravity, val:0.4, animation:fevergauge_down]</v>
      </c>
      <c r="N51" s="48" t="str">
        <f>IFERROR(LEFT(M51,FIND("],",M51)+#REF!),M51)</f>
        <v>[effect:damage_gravity, val:0.4, animation:fevergauge_down]</v>
      </c>
      <c r="O51" s="64">
        <f t="shared" si="6"/>
        <v>9</v>
      </c>
      <c r="P51" s="64">
        <f t="shared" ref="P51" si="365">IFERROR(FIND(",",N51),LEN(N51))</f>
        <v>23</v>
      </c>
      <c r="Q51" s="64" t="e">
        <f t="shared" ref="Q51" si="366">FIND("target:",N51)+7</f>
        <v>#VALUE!</v>
      </c>
      <c r="R51" s="64">
        <f t="shared" ref="R51" si="367">FIND(",",N51,P51+1)</f>
        <v>32</v>
      </c>
      <c r="S51" s="64" t="str">
        <f>IFERROR(VLOOKUP(MID(N51,Q51,R51-Q51),[6]skilldef!$C:$D,2,FALSE),"-") &amp; " / " &amp; IFERROR(VLOOKUP(MID(N51,O51,P51-O51),[6]skilldef!$A:$B,2,FALSE),"-")</f>
        <v>- / 割合ダメージ</v>
      </c>
      <c r="T51" s="48" t="str">
        <f t="shared" ref="T51" si="368">IFERROR(RIGHT(M51,LEN(M51)-FIND("],",M51)-1),"none")</f>
        <v>none</v>
      </c>
      <c r="U51" s="64" t="e">
        <f t="shared" si="11"/>
        <v>#VALUE!</v>
      </c>
      <c r="V51" s="64">
        <f t="shared" ref="V51" si="369">IFERROR(FIND(",",T51),LEN(T51))</f>
        <v>4</v>
      </c>
      <c r="W51" s="64" t="e">
        <f t="shared" ref="W51" si="370">FIND("target:",T51)+7</f>
        <v>#VALUE!</v>
      </c>
      <c r="X51" s="64" t="e">
        <f t="shared" ref="X51" si="371">FIND(",",T51,V51+1)</f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34" customHeight="1" x14ac:dyDescent="0.15">
      <c r="A52" s="47">
        <v>50006803</v>
      </c>
      <c r="B52" s="103" t="s">
        <v>403</v>
      </c>
      <c r="C52" s="50">
        <v>3</v>
      </c>
      <c r="D52" s="50" t="s">
        <v>198</v>
      </c>
      <c r="E52" s="51" t="s">
        <v>457</v>
      </c>
      <c r="F52" s="51" t="s">
        <v>396</v>
      </c>
      <c r="G52" s="64" t="str">
        <f t="shared" ref="G52" si="372">IFERROR(LEFT(B52,FIND("],",B52)),B52)</f>
        <v>[effect:enemy_message, val1:1.4, val2:1.8]</v>
      </c>
      <c r="H52" s="64">
        <f t="shared" si="1"/>
        <v>9</v>
      </c>
      <c r="I52" s="64">
        <f t="shared" ref="I52" si="373">IFERROR(FIND(",",G52),LEN(G52))</f>
        <v>22</v>
      </c>
      <c r="J52" s="64" t="e">
        <f t="shared" ref="J52" si="374">FIND("target:",G52)+7</f>
        <v>#VALUE!</v>
      </c>
      <c r="K52" s="64">
        <f t="shared" ref="K52" si="375">FIND(",",G52,I52+1)</f>
        <v>32</v>
      </c>
      <c r="L52" s="64" t="str">
        <f>IFERROR(VLOOKUP(MID(G52,J52,K52-J52),[6]skilldef!$C:$D,2,FALSE),"-") &amp; " / " &amp; IFERROR(VLOOKUP(MID(G52,H52,I52-H52),[6]skilldef!$A:$B,2,FALSE),"-")</f>
        <v>- / -</v>
      </c>
      <c r="M52" s="64" t="str">
        <f t="shared" ref="M52" si="376">IFERROR(RIGHT(B52,LEN(B52)-FIND("],",B52)-1),"none")</f>
        <v>[effect:break_attack_fix, val:225, lowest_val:1250, count:15, block:block_green, target:unit_all]</v>
      </c>
      <c r="N52" s="48" t="str">
        <f>IFERROR(LEFT(M52,FIND("],",M52)+#REF!),M52)</f>
        <v>[effect:break_attack_fix, val:225, lowest_val:1250, count:15, block:block_green, target:unit_all]</v>
      </c>
      <c r="O52" s="64">
        <f t="shared" si="6"/>
        <v>9</v>
      </c>
      <c r="P52" s="64">
        <f t="shared" ref="P52" si="377">IFERROR(FIND(",",N52),LEN(N52))</f>
        <v>25</v>
      </c>
      <c r="Q52" s="64">
        <f t="shared" ref="Q52" si="378">FIND("target:",N52)+7</f>
        <v>89</v>
      </c>
      <c r="R52" s="64">
        <f t="shared" ref="R52" si="379">FIND(",",N52,P52+1)</f>
        <v>34</v>
      </c>
      <c r="S52" s="64" t="str">
        <f>IFERROR(VLOOKUP(MID(N52,Q52,R52-Q52),[6]skilldef!$C:$D,2,FALSE),"-") &amp; " / " &amp; IFERROR(VLOOKUP(MID(N52,O52,P52-O52),[6]skilldef!$A:$B,2,FALSE),"-")</f>
        <v>- / -</v>
      </c>
      <c r="T52" s="48" t="str">
        <f t="shared" ref="T52" si="380">IFERROR(RIGHT(M52,LEN(M52)-FIND("],",M52)-1),"none")</f>
        <v>none</v>
      </c>
      <c r="U52" s="64" t="e">
        <f t="shared" si="11"/>
        <v>#VALUE!</v>
      </c>
      <c r="V52" s="64">
        <f t="shared" ref="V52" si="381">IFERROR(FIND(",",T52),LEN(T52))</f>
        <v>4</v>
      </c>
      <c r="W52" s="64" t="e">
        <f t="shared" ref="W52" si="382">FIND("target:",T52)+7</f>
        <v>#VALUE!</v>
      </c>
      <c r="X52" s="64" t="e">
        <f t="shared" ref="X52" si="383">FIND(",",T52,V52+1)</f>
        <v>#VALUE!</v>
      </c>
      <c r="Y52" s="64" t="str">
        <f>IFERROR(VLOOKUP(MID(T52,W52,X52-W52),[6]skilldef!$C:$D,2,FALSE),"-") &amp; " / " &amp; IFERROR(VLOOKUP(MID(T52,U52,V52-U52),[6]skilldef!$A:$B,2,FALSE),"-")</f>
        <v>- / -</v>
      </c>
      <c r="Z52" s="50"/>
      <c r="AA52" s="52"/>
      <c r="AB52" s="50"/>
    </row>
    <row r="53" spans="1:28" ht="34" customHeight="1" x14ac:dyDescent="0.15">
      <c r="A53" s="47">
        <v>50006804</v>
      </c>
      <c r="B53" s="103" t="s">
        <v>278</v>
      </c>
      <c r="C53" s="50">
        <v>3</v>
      </c>
      <c r="D53" s="50" t="s">
        <v>198</v>
      </c>
      <c r="E53" s="51" t="s">
        <v>458</v>
      </c>
      <c r="F53" s="51" t="s">
        <v>397</v>
      </c>
      <c r="G53" s="64" t="str">
        <f t="shared" ref="G53" si="384">IFERROR(LEFT(B53,FIND("],",B53)),B53)</f>
        <v>[effect:break_attack_fix, val:225, lowest_val:1250, count:15, block:block_blue, target:unit_all]</v>
      </c>
      <c r="H53" s="64">
        <f t="shared" si="1"/>
        <v>9</v>
      </c>
      <c r="I53" s="64">
        <f t="shared" ref="I53" si="385">IFERROR(FIND(",",G53),LEN(G53))</f>
        <v>25</v>
      </c>
      <c r="J53" s="64">
        <f t="shared" ref="J53" si="386">FIND("target:",G53)+7</f>
        <v>88</v>
      </c>
      <c r="K53" s="64">
        <f t="shared" ref="K53" si="387">FIND(",",G53,I53+1)</f>
        <v>34</v>
      </c>
      <c r="L53" s="64" t="str">
        <f>IFERROR(VLOOKUP(MID(G53,J53,K53-J53),[6]skilldef!$C:$D,2,FALSE),"-") &amp; " / " &amp; IFERROR(VLOOKUP(MID(G53,H53,I53-H53),[6]skilldef!$A:$B,2,FALSE),"-")</f>
        <v>- / -</v>
      </c>
      <c r="M53" s="64" t="str">
        <f t="shared" ref="M53" si="388">IFERROR(RIGHT(B53,LEN(B53)-FIND("],",B53)-1),"none")</f>
        <v>none</v>
      </c>
      <c r="N53" s="48" t="str">
        <f>IFERROR(LEFT(M53,FIND("],",M53)+#REF!),M53)</f>
        <v>none</v>
      </c>
      <c r="O53" s="64" t="e">
        <f t="shared" si="6"/>
        <v>#VALUE!</v>
      </c>
      <c r="P53" s="64">
        <f t="shared" ref="P53" si="389">IFERROR(FIND(",",N53),LEN(N53))</f>
        <v>4</v>
      </c>
      <c r="Q53" s="64" t="e">
        <f t="shared" ref="Q53" si="390">FIND("target:",N53)+7</f>
        <v>#VALUE!</v>
      </c>
      <c r="R53" s="64" t="e">
        <f t="shared" ref="R53" si="391">FIND(",",N53,P53+1)</f>
        <v>#VALUE!</v>
      </c>
      <c r="S53" s="64" t="str">
        <f>IFERROR(VLOOKUP(MID(N53,Q53,R53-Q53),[6]skilldef!$C:$D,2,FALSE),"-") &amp; " / " &amp; IFERROR(VLOOKUP(MID(N53,O53,P53-O53),[6]skilldef!$A:$B,2,FALSE),"-")</f>
        <v>- / -</v>
      </c>
      <c r="T53" s="48" t="str">
        <f t="shared" ref="T53" si="392">IFERROR(RIGHT(M53,LEN(M53)-FIND("],",M53)-1),"none")</f>
        <v>none</v>
      </c>
      <c r="U53" s="64" t="e">
        <f t="shared" si="11"/>
        <v>#VALUE!</v>
      </c>
      <c r="V53" s="64">
        <f t="shared" ref="V53" si="393">IFERROR(FIND(",",T53),LEN(T53))</f>
        <v>4</v>
      </c>
      <c r="W53" s="64" t="e">
        <f t="shared" ref="W53" si="394">FIND("target:",T53)+7</f>
        <v>#VALUE!</v>
      </c>
      <c r="X53" s="64" t="e">
        <f t="shared" ref="X53" si="395">FIND(",",T53,V53+1)</f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34" customHeight="1" x14ac:dyDescent="0.15">
      <c r="A54" s="47">
        <v>50006900</v>
      </c>
      <c r="B54" s="103" t="s">
        <v>401</v>
      </c>
      <c r="C54" s="50">
        <v>3</v>
      </c>
      <c r="D54" s="50" t="s">
        <v>198</v>
      </c>
      <c r="E54" s="51" t="s">
        <v>439</v>
      </c>
      <c r="F54" s="51" t="s">
        <v>316</v>
      </c>
      <c r="G54" s="64" t="str">
        <f t="shared" ref="G54" si="396">IFERROR(LEFT(B54,FIND("],",B54)),B54)</f>
        <v>[effect:enemy_message, val1:1.4, val2:2.6]</v>
      </c>
      <c r="H54" s="64">
        <f t="shared" si="1"/>
        <v>9</v>
      </c>
      <c r="I54" s="64">
        <f t="shared" ref="I54" si="397">IFERROR(FIND(",",G54),LEN(G54))</f>
        <v>22</v>
      </c>
      <c r="J54" s="64" t="e">
        <f t="shared" ref="J54" si="398">FIND("target:",G54)+7</f>
        <v>#VALUE!</v>
      </c>
      <c r="K54" s="64">
        <f t="shared" ref="K54" si="399">FIND(",",G54,I54+1)</f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ref="M54" si="400">IFERROR(RIGHT(B54,LEN(B54)-FIND("],",B54)-1),"none")</f>
        <v>[effect:drop_freeze, block_type:normal, block_color:block_heart, frozen_count:1, rate:1, turn:-1, animation:drop_protect],[effect:reduction, target:myself, turn:3, color:all, val:1, animation:reduction_one01],[effect:fix_speed, target:myself, turn:1]</v>
      </c>
      <c r="N54" s="48" t="str">
        <f>IFERROR(LEFT(M54,FIND("],",M54)+#REF!),M54)</f>
        <v>[effect:drop_freeze, block_type:normal, block_color:block_heart, frozen_count:1, rate:1, turn:-1, animation:drop_protect],[effect:reduction, target:myself, turn:3, color:all, val:1, animation:reduction_one01],[effect:fix_speed, target:myself, turn:1]</v>
      </c>
      <c r="O54" s="64">
        <f t="shared" si="6"/>
        <v>9</v>
      </c>
      <c r="P54" s="64">
        <f t="shared" ref="P54" si="401">IFERROR(FIND(",",N54),LEN(N54))</f>
        <v>20</v>
      </c>
      <c r="Q54" s="64">
        <f t="shared" ref="Q54" si="402">FIND("target:",N54)+7</f>
        <v>149</v>
      </c>
      <c r="R54" s="64">
        <f t="shared" ref="R54" si="403">FIND(",",N54,P54+1)</f>
        <v>39</v>
      </c>
      <c r="S54" s="64" t="str">
        <f>IFERROR(VLOOKUP(MID(N54,Q54,R54-Q54),[6]skilldef!$C:$D,2,FALSE),"-") &amp; " / " &amp; IFERROR(VLOOKUP(MID(N54,O54,P54-O54),[6]skilldef!$A:$B,2,FALSE),"-")</f>
        <v>- / -</v>
      </c>
      <c r="T54" s="48" t="str">
        <f t="shared" ref="T54" si="404">IFERROR(RIGHT(M54,LEN(M54)-FIND("],",M54)-1),"none")</f>
        <v>[effect:reduction, target:myself, turn:3, color:all, val:1, animation:reduction_one01],[effect:fix_speed, target:myself, turn:1]</v>
      </c>
      <c r="U54" s="64">
        <f t="shared" si="11"/>
        <v>9</v>
      </c>
      <c r="V54" s="64">
        <f t="shared" ref="V54" si="405">IFERROR(FIND(",",T54),LEN(T54))</f>
        <v>18</v>
      </c>
      <c r="W54" s="64">
        <f t="shared" ref="W54" si="406">FIND("target:",T54)+7</f>
        <v>27</v>
      </c>
      <c r="X54" s="64">
        <f t="shared" ref="X54" si="407">FIND(",",T54,V54+1)</f>
        <v>33</v>
      </c>
      <c r="Y54" s="64" t="str">
        <f>IFERROR(VLOOKUP(MID(T54,W54,X54-W54),[6]skilldef!$C:$D,2,FALSE),"-") &amp; " / " &amp; IFERROR(VLOOKUP(MID(T54,U54,V54-U54),[6]skilldef!$A:$B,2,FALSE),"-")</f>
        <v>自分自身に / -</v>
      </c>
      <c r="Z54" s="50"/>
      <c r="AA54" s="52"/>
      <c r="AB54" s="50"/>
    </row>
    <row r="55" spans="1:28" ht="34" customHeight="1" x14ac:dyDescent="0.15">
      <c r="A55" s="47">
        <v>50006901</v>
      </c>
      <c r="B55" s="103" t="s">
        <v>311</v>
      </c>
      <c r="C55" s="50">
        <v>3</v>
      </c>
      <c r="D55" s="50" t="s">
        <v>198</v>
      </c>
      <c r="E55" s="51" t="s">
        <v>440</v>
      </c>
      <c r="F55" s="51" t="s">
        <v>387</v>
      </c>
      <c r="G55" s="64" t="str">
        <f t="shared" ref="G55" si="408">IFERROR(LEFT(B55,FIND("],",B55)),B55)</f>
        <v>[effect:rush, count:1, val:0.5]</v>
      </c>
      <c r="H55" s="64">
        <f t="shared" si="1"/>
        <v>9</v>
      </c>
      <c r="I55" s="64">
        <f t="shared" ref="I55" si="409">IFERROR(FIND(",",G55),LEN(G55))</f>
        <v>13</v>
      </c>
      <c r="J55" s="64" t="e">
        <f t="shared" ref="J55" si="410">FIND("target:",G55)+7</f>
        <v>#VALUE!</v>
      </c>
      <c r="K55" s="64">
        <f t="shared" ref="K55" si="411">FIND(",",G55,I55+1)</f>
        <v>22</v>
      </c>
      <c r="L55" s="64" t="str">
        <f>IFERROR(VLOOKUP(MID(G55,J55,K55-J55),[6]skilldef!$C:$D,2,FALSE),"-") &amp; " / " &amp; IFERROR(VLOOKUP(MID(G55,H55,I55-H55),[6]skilldef!$A:$B,2,FALSE),"-")</f>
        <v>- / 連続攻撃</v>
      </c>
      <c r="M55" s="64" t="str">
        <f t="shared" ref="M55" si="412">IFERROR(RIGHT(B55,LEN(B55)-FIND("],",B55)-1),"none")</f>
        <v>none</v>
      </c>
      <c r="N55" s="48" t="str">
        <f>IFERROR(LEFT(M55,FIND("],",M55)+#REF!),M55)</f>
        <v>none</v>
      </c>
      <c r="O55" s="64" t="e">
        <f t="shared" si="6"/>
        <v>#VALUE!</v>
      </c>
      <c r="P55" s="64">
        <f t="shared" ref="P55" si="413">IFERROR(FIND(",",N55),LEN(N55))</f>
        <v>4</v>
      </c>
      <c r="Q55" s="64" t="e">
        <f t="shared" ref="Q55" si="414">FIND("target:",N55)+7</f>
        <v>#VALUE!</v>
      </c>
      <c r="R55" s="64" t="e">
        <f t="shared" ref="R55" si="415">FIND(",",N55,P55+1)</f>
        <v>#VALUE!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ref="T55" si="416">IFERROR(RIGHT(M55,LEN(M55)-FIND("],",M55)-1),"none")</f>
        <v>none</v>
      </c>
      <c r="U55" s="64" t="e">
        <f t="shared" si="11"/>
        <v>#VALUE!</v>
      </c>
      <c r="V55" s="64">
        <f t="shared" ref="V55" si="417">IFERROR(FIND(",",T55),LEN(T55))</f>
        <v>4</v>
      </c>
      <c r="W55" s="64" t="e">
        <f t="shared" ref="W55" si="418">FIND("target:",T55)+7</f>
        <v>#VALUE!</v>
      </c>
      <c r="X55" s="64" t="e">
        <f t="shared" ref="X55" si="419">FIND(",",T55,V55+1)</f>
        <v>#VALUE!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ht="34" customHeight="1" x14ac:dyDescent="0.15">
      <c r="A56" s="47">
        <v>50006902</v>
      </c>
      <c r="B56" s="103" t="s">
        <v>310</v>
      </c>
      <c r="C56" s="50">
        <v>3</v>
      </c>
      <c r="D56" s="50" t="s">
        <v>198</v>
      </c>
      <c r="E56" s="51" t="s">
        <v>441</v>
      </c>
      <c r="F56" s="51" t="s">
        <v>387</v>
      </c>
      <c r="G56" s="64" t="str">
        <f t="shared" ref="G56" si="420">IFERROR(LEFT(B56,FIND("],",B56)),B56)</f>
        <v>[effect:rush, count:1, val:0.7]</v>
      </c>
      <c r="H56" s="64">
        <f t="shared" si="1"/>
        <v>9</v>
      </c>
      <c r="I56" s="64">
        <f t="shared" ref="I56" si="421">IFERROR(FIND(",",G56),LEN(G56))</f>
        <v>13</v>
      </c>
      <c r="J56" s="64" t="e">
        <f t="shared" ref="J56" si="422">FIND("target:",G56)+7</f>
        <v>#VALUE!</v>
      </c>
      <c r="K56" s="64">
        <f t="shared" ref="K56" si="423">FIND(",",G56,I56+1)</f>
        <v>22</v>
      </c>
      <c r="L56" s="64" t="str">
        <f>IFERROR(VLOOKUP(MID(G56,J56,K56-J56),[6]skilldef!$C:$D,2,FALSE),"-") &amp; " / " &amp; IFERROR(VLOOKUP(MID(G56,H56,I56-H56),[6]skilldef!$A:$B,2,FALSE),"-")</f>
        <v>- / 連続攻撃</v>
      </c>
      <c r="M56" s="64" t="str">
        <f t="shared" ref="M56" si="424">IFERROR(RIGHT(B56,LEN(B56)-FIND("],",B56)-1),"none")</f>
        <v>none</v>
      </c>
      <c r="N56" s="48" t="str">
        <f>IFERROR(LEFT(M56,FIND("],",M56)+#REF!),M56)</f>
        <v>none</v>
      </c>
      <c r="O56" s="64" t="e">
        <f t="shared" si="6"/>
        <v>#VALUE!</v>
      </c>
      <c r="P56" s="64">
        <f t="shared" ref="P56" si="425">IFERROR(FIND(",",N56),LEN(N56))</f>
        <v>4</v>
      </c>
      <c r="Q56" s="64" t="e">
        <f t="shared" ref="Q56" si="426">FIND("target:",N56)+7</f>
        <v>#VALUE!</v>
      </c>
      <c r="R56" s="64" t="e">
        <f t="shared" ref="R56" si="427">FIND(",",N56,P56+1)</f>
        <v>#VALUE!</v>
      </c>
      <c r="S56" s="64" t="str">
        <f>IFERROR(VLOOKUP(MID(N56,Q56,R56-Q56),[6]skilldef!$C:$D,2,FALSE),"-") &amp; " / " &amp; IFERROR(VLOOKUP(MID(N56,O56,P56-O56),[6]skilldef!$A:$B,2,FALSE),"-")</f>
        <v>- / -</v>
      </c>
      <c r="T56" s="48" t="str">
        <f t="shared" ref="T56" si="428">IFERROR(RIGHT(M56,LEN(M56)-FIND("],",M56)-1),"none")</f>
        <v>none</v>
      </c>
      <c r="U56" s="64" t="e">
        <f t="shared" si="11"/>
        <v>#VALUE!</v>
      </c>
      <c r="V56" s="64">
        <f t="shared" ref="V56" si="429">IFERROR(FIND(",",T56),LEN(T56))</f>
        <v>4</v>
      </c>
      <c r="W56" s="64" t="e">
        <f t="shared" ref="W56" si="430">FIND("target:",T56)+7</f>
        <v>#VALUE!</v>
      </c>
      <c r="X56" s="64" t="e">
        <f t="shared" ref="X56" si="431">FIND(",",T56,V56+1)</f>
        <v>#VALUE!</v>
      </c>
      <c r="Y56" s="64" t="str">
        <f>IFERROR(VLOOKUP(MID(T56,W56,X56-W56),[6]skilldef!$C:$D,2,FALSE),"-") &amp; " / " &amp; IFERROR(VLOOKUP(MID(T56,U56,V56-U56),[6]skilldef!$A:$B,2,FALSE),"-")</f>
        <v>- / -</v>
      </c>
      <c r="Z56" s="50"/>
      <c r="AA56" s="52"/>
      <c r="AB56" s="50"/>
    </row>
    <row r="57" spans="1:28" ht="34" customHeight="1" x14ac:dyDescent="0.15">
      <c r="A57" s="47">
        <v>50006903</v>
      </c>
      <c r="B57" s="103" t="s">
        <v>312</v>
      </c>
      <c r="C57" s="50">
        <v>3</v>
      </c>
      <c r="D57" s="50" t="s">
        <v>198</v>
      </c>
      <c r="E57" s="51" t="s">
        <v>398</v>
      </c>
      <c r="F57" s="51" t="s">
        <v>387</v>
      </c>
      <c r="G57" s="64" t="str">
        <f t="shared" ref="G57" si="432">IFERROR(LEFT(B57,FIND("],",B57)),B57)</f>
        <v>[effect:rush, count:1, val:0.9]</v>
      </c>
      <c r="H57" s="64">
        <f t="shared" si="1"/>
        <v>9</v>
      </c>
      <c r="I57" s="64">
        <f t="shared" ref="I57" si="433">IFERROR(FIND(",",G57),LEN(G57))</f>
        <v>13</v>
      </c>
      <c r="J57" s="64" t="e">
        <f t="shared" ref="J57" si="434">FIND("target:",G57)+7</f>
        <v>#VALUE!</v>
      </c>
      <c r="K57" s="64">
        <f t="shared" ref="K57" si="435">FIND(",",G57,I57+1)</f>
        <v>22</v>
      </c>
      <c r="L57" s="64" t="str">
        <f>IFERROR(VLOOKUP(MID(G57,J57,K57-J57),[6]skilldef!$C:$D,2,FALSE),"-") &amp; " / " &amp; IFERROR(VLOOKUP(MID(G57,H57,I57-H57),[6]skilldef!$A:$B,2,FALSE),"-")</f>
        <v>- / 連続攻撃</v>
      </c>
      <c r="M57" s="64" t="str">
        <f t="shared" ref="M57" si="436">IFERROR(RIGHT(B57,LEN(B57)-FIND("],",B57)-1),"none")</f>
        <v>none</v>
      </c>
      <c r="N57" s="48" t="str">
        <f>IFERROR(LEFT(M57,FIND("],",M57)+#REF!),M57)</f>
        <v>none</v>
      </c>
      <c r="O57" s="64" t="e">
        <f t="shared" si="6"/>
        <v>#VALUE!</v>
      </c>
      <c r="P57" s="64">
        <f t="shared" ref="P57" si="437">IFERROR(FIND(",",N57),LEN(N57))</f>
        <v>4</v>
      </c>
      <c r="Q57" s="64" t="e">
        <f t="shared" ref="Q57" si="438">FIND("target:",N57)+7</f>
        <v>#VALUE!</v>
      </c>
      <c r="R57" s="64" t="e">
        <f t="shared" ref="R57" si="439">FIND(",",N57,P57+1)</f>
        <v>#VALUE!</v>
      </c>
      <c r="S57" s="64" t="str">
        <f>IFERROR(VLOOKUP(MID(N57,Q57,R57-Q57),[6]skilldef!$C:$D,2,FALSE),"-") &amp; " / " &amp; IFERROR(VLOOKUP(MID(N57,O57,P57-O57),[6]skilldef!$A:$B,2,FALSE),"-")</f>
        <v>- / -</v>
      </c>
      <c r="T57" s="48" t="str">
        <f t="shared" ref="T57" si="440">IFERROR(RIGHT(M57,LEN(M57)-FIND("],",M57)-1),"none")</f>
        <v>none</v>
      </c>
      <c r="U57" s="64" t="e">
        <f t="shared" si="11"/>
        <v>#VALUE!</v>
      </c>
      <c r="V57" s="64">
        <f t="shared" ref="V57" si="441">IFERROR(FIND(",",T57),LEN(T57))</f>
        <v>4</v>
      </c>
      <c r="W57" s="64" t="e">
        <f t="shared" ref="W57" si="442">FIND("target:",T57)+7</f>
        <v>#VALUE!</v>
      </c>
      <c r="X57" s="64" t="e">
        <f t="shared" ref="X57" si="443">FIND(",",T57,V57+1)</f>
        <v>#VALUE!</v>
      </c>
      <c r="Y57" s="64" t="str">
        <f>IFERROR(VLOOKUP(MID(T57,W57,X57-W57),[6]skilldef!$C:$D,2,FALSE),"-") &amp; " / " &amp; IFERROR(VLOOKUP(MID(T57,U57,V57-U57),[6]skilldef!$A:$B,2,FALSE),"-")</f>
        <v>- / -</v>
      </c>
      <c r="Z57" s="50"/>
      <c r="AA57" s="52"/>
      <c r="AB57" s="50"/>
    </row>
    <row r="58" spans="1:28" ht="34" customHeight="1" x14ac:dyDescent="0.15">
      <c r="A58" s="47">
        <v>50006904</v>
      </c>
      <c r="B58" s="103" t="s">
        <v>313</v>
      </c>
      <c r="C58" s="50">
        <v>3</v>
      </c>
      <c r="D58" s="50" t="s">
        <v>198</v>
      </c>
      <c r="E58" s="51" t="s">
        <v>442</v>
      </c>
      <c r="F58" s="51" t="s">
        <v>387</v>
      </c>
      <c r="G58" s="64" t="str">
        <f t="shared" ref="G58" si="444">IFERROR(LEFT(B58,FIND("],",B58)),B58)</f>
        <v>[effect:rush, count:1, val:1.1]</v>
      </c>
      <c r="H58" s="64">
        <f t="shared" si="1"/>
        <v>9</v>
      </c>
      <c r="I58" s="64">
        <f t="shared" ref="I58" si="445">IFERROR(FIND(",",G58),LEN(G58))</f>
        <v>13</v>
      </c>
      <c r="J58" s="64" t="e">
        <f t="shared" ref="J58" si="446">FIND("target:",G58)+7</f>
        <v>#VALUE!</v>
      </c>
      <c r="K58" s="64">
        <f t="shared" ref="K58" si="447">FIND(",",G58,I58+1)</f>
        <v>22</v>
      </c>
      <c r="L58" s="64" t="str">
        <f>IFERROR(VLOOKUP(MID(G58,J58,K58-J58),[6]skilldef!$C:$D,2,FALSE),"-") &amp; " / " &amp; IFERROR(VLOOKUP(MID(G58,H58,I58-H58),[6]skilldef!$A:$B,2,FALSE),"-")</f>
        <v>- / 連続攻撃</v>
      </c>
      <c r="M58" s="64" t="str">
        <f t="shared" ref="M58" si="448">IFERROR(RIGHT(B58,LEN(B58)-FIND("],",B58)-1),"none")</f>
        <v>none</v>
      </c>
      <c r="N58" s="48" t="str">
        <f>IFERROR(LEFT(M58,FIND("],",M58)+#REF!),M58)</f>
        <v>none</v>
      </c>
      <c r="O58" s="64" t="e">
        <f t="shared" si="6"/>
        <v>#VALUE!</v>
      </c>
      <c r="P58" s="64">
        <f t="shared" ref="P58" si="449">IFERROR(FIND(",",N58),LEN(N58))</f>
        <v>4</v>
      </c>
      <c r="Q58" s="64" t="e">
        <f t="shared" ref="Q58" si="450">FIND("target:",N58)+7</f>
        <v>#VALUE!</v>
      </c>
      <c r="R58" s="64" t="e">
        <f t="shared" ref="R58" si="451">FIND(",",N58,P58+1)</f>
        <v>#VALUE!</v>
      </c>
      <c r="S58" s="64" t="str">
        <f>IFERROR(VLOOKUP(MID(N58,Q58,R58-Q58),[6]skilldef!$C:$D,2,FALSE),"-") &amp; " / " &amp; IFERROR(VLOOKUP(MID(N58,O58,P58-O58),[6]skilldef!$A:$B,2,FALSE),"-")</f>
        <v>- / -</v>
      </c>
      <c r="T58" s="48" t="str">
        <f t="shared" ref="T58" si="452">IFERROR(RIGHT(M58,LEN(M58)-FIND("],",M58)-1),"none")</f>
        <v>none</v>
      </c>
      <c r="U58" s="64" t="e">
        <f t="shared" si="11"/>
        <v>#VALUE!</v>
      </c>
      <c r="V58" s="64">
        <f t="shared" ref="V58" si="453">IFERROR(FIND(",",T58),LEN(T58))</f>
        <v>4</v>
      </c>
      <c r="W58" s="64" t="e">
        <f t="shared" ref="W58" si="454">FIND("target:",T58)+7</f>
        <v>#VALUE!</v>
      </c>
      <c r="X58" s="64" t="e">
        <f t="shared" ref="X58" si="455">FIND(",",T58,V58+1)</f>
        <v>#VALUE!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34" customHeight="1" x14ac:dyDescent="0.15">
      <c r="A59" s="47">
        <v>50006905</v>
      </c>
      <c r="B59" s="103" t="s">
        <v>402</v>
      </c>
      <c r="C59" s="50">
        <v>3</v>
      </c>
      <c r="D59" s="50" t="s">
        <v>198</v>
      </c>
      <c r="E59" s="51" t="s">
        <v>460</v>
      </c>
      <c r="F59" s="51" t="s">
        <v>387</v>
      </c>
      <c r="G59" s="64" t="str">
        <f t="shared" ref="G59" si="456">IFERROR(LEFT(B59,FIND("],",B59)),B59)</f>
        <v>[effect:enemy_message, val1:1.4, val2:1.8]</v>
      </c>
      <c r="H59" s="64">
        <f t="shared" si="1"/>
        <v>9</v>
      </c>
      <c r="I59" s="64">
        <f t="shared" ref="I59" si="457">IFERROR(FIND(",",G59),LEN(G59))</f>
        <v>22</v>
      </c>
      <c r="J59" s="64" t="e">
        <f t="shared" ref="J59" si="458">FIND("target:",G59)+7</f>
        <v>#VALUE!</v>
      </c>
      <c r="K59" s="64">
        <f t="shared" ref="K59" si="459">FIND(",",G59,I59+1)</f>
        <v>32</v>
      </c>
      <c r="L59" s="64" t="str">
        <f>IFERROR(VLOOKUP(MID(G59,J59,K59-J59),[6]skilldef!$C:$D,2,FALSE),"-") &amp; " / " &amp; IFERROR(VLOOKUP(MID(G59,H59,I59-H59),[6]skilldef!$A:$B,2,FALSE),"-")</f>
        <v>- / -</v>
      </c>
      <c r="M59" s="64" t="str">
        <f t="shared" ref="M59" si="460">IFERROR(RIGHT(B59,LEN(B59)-FIND("],",B59)-1),"none")</f>
        <v>[effect:rush, count:1, val:1.3]</v>
      </c>
      <c r="N59" s="48" t="str">
        <f>IFERROR(LEFT(M59,FIND("],",M59)+#REF!),M59)</f>
        <v>[effect:rush, count:1, val:1.3]</v>
      </c>
      <c r="O59" s="64">
        <f t="shared" si="6"/>
        <v>9</v>
      </c>
      <c r="P59" s="64">
        <f t="shared" ref="P59" si="461">IFERROR(FIND(",",N59),LEN(N59))</f>
        <v>13</v>
      </c>
      <c r="Q59" s="64" t="e">
        <f t="shared" ref="Q59" si="462">FIND("target:",N59)+7</f>
        <v>#VALUE!</v>
      </c>
      <c r="R59" s="64">
        <f t="shared" ref="R59" si="463">FIND(",",N59,P59+1)</f>
        <v>22</v>
      </c>
      <c r="S59" s="64" t="str">
        <f>IFERROR(VLOOKUP(MID(N59,Q59,R59-Q59),[6]skilldef!$C:$D,2,FALSE),"-") &amp; " / " &amp; IFERROR(VLOOKUP(MID(N59,O59,P59-O59),[6]skilldef!$A:$B,2,FALSE),"-")</f>
        <v>- / 連続攻撃</v>
      </c>
      <c r="T59" s="48" t="str">
        <f t="shared" ref="T59" si="464">IFERROR(RIGHT(M59,LEN(M59)-FIND("],",M59)-1),"none")</f>
        <v>none</v>
      </c>
      <c r="U59" s="64" t="e">
        <f t="shared" si="11"/>
        <v>#VALUE!</v>
      </c>
      <c r="V59" s="64">
        <f t="shared" ref="V59" si="465">IFERROR(FIND(",",T59),LEN(T59))</f>
        <v>4</v>
      </c>
      <c r="W59" s="64" t="e">
        <f t="shared" ref="W59" si="466">FIND("target:",T59)+7</f>
        <v>#VALUE!</v>
      </c>
      <c r="X59" s="64" t="e">
        <f t="shared" ref="X59" si="467">FIND(",",T59,V59+1)</f>
        <v>#VALUE!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34" customHeight="1" x14ac:dyDescent="0.15">
      <c r="A60" s="47">
        <v>50006906</v>
      </c>
      <c r="B60" s="103" t="s">
        <v>404</v>
      </c>
      <c r="C60" s="50">
        <v>3</v>
      </c>
      <c r="D60" s="50" t="s">
        <v>198</v>
      </c>
      <c r="E60" s="51" t="s">
        <v>461</v>
      </c>
      <c r="F60" s="51" t="s">
        <v>387</v>
      </c>
      <c r="G60" s="64" t="str">
        <f t="shared" ref="G60" si="468">IFERROR(LEFT(B60,FIND("],",B60)),B60)</f>
        <v>[effect:enemy_message, val1:2.0, val2:1.8]</v>
      </c>
      <c r="H60" s="64">
        <f t="shared" si="1"/>
        <v>9</v>
      </c>
      <c r="I60" s="64">
        <f t="shared" ref="I60" si="469">IFERROR(FIND(",",G60),LEN(G60))</f>
        <v>22</v>
      </c>
      <c r="J60" s="64" t="e">
        <f t="shared" ref="J60" si="470">FIND("target:",G60)+7</f>
        <v>#VALUE!</v>
      </c>
      <c r="K60" s="64">
        <f t="shared" ref="K60" si="471">FIND(",",G60,I60+1)</f>
        <v>32</v>
      </c>
      <c r="L60" s="64" t="str">
        <f>IFERROR(VLOOKUP(MID(G60,J60,K60-J60),[6]skilldef!$C:$D,2,FALSE),"-") &amp; " / " &amp; IFERROR(VLOOKUP(MID(G60,H60,I60-H60),[6]skilldef!$A:$B,2,FALSE),"-")</f>
        <v>- / -</v>
      </c>
      <c r="M60" s="64" t="str">
        <f t="shared" ref="M60" si="472">IFERROR(RIGHT(B60,LEN(B60)-FIND("],",B60)-1),"none")</f>
        <v>[effect:rush, count:1, val:1.3]</v>
      </c>
      <c r="N60" s="48" t="str">
        <f>IFERROR(LEFT(M60,FIND("],",M60)+#REF!),M60)</f>
        <v>[effect:rush, count:1, val:1.3]</v>
      </c>
      <c r="O60" s="64">
        <f t="shared" si="6"/>
        <v>9</v>
      </c>
      <c r="P60" s="64">
        <f t="shared" ref="P60" si="473">IFERROR(FIND(",",N60),LEN(N60))</f>
        <v>13</v>
      </c>
      <c r="Q60" s="64" t="e">
        <f t="shared" ref="Q60" si="474">FIND("target:",N60)+7</f>
        <v>#VALUE!</v>
      </c>
      <c r="R60" s="64">
        <f t="shared" ref="R60" si="475">FIND(",",N60,P60+1)</f>
        <v>22</v>
      </c>
      <c r="S60" s="64" t="str">
        <f>IFERROR(VLOOKUP(MID(N60,Q60,R60-Q60),[6]skilldef!$C:$D,2,FALSE),"-") &amp; " / " &amp; IFERROR(VLOOKUP(MID(N60,O60,P60-O60),[6]skilldef!$A:$B,2,FALSE),"-")</f>
        <v>- / 連続攻撃</v>
      </c>
      <c r="T60" s="48" t="str">
        <f t="shared" ref="T60" si="476">IFERROR(RIGHT(M60,LEN(M60)-FIND("],",M60)-1),"none")</f>
        <v>none</v>
      </c>
      <c r="U60" s="64" t="e">
        <f t="shared" si="11"/>
        <v>#VALUE!</v>
      </c>
      <c r="V60" s="64">
        <f t="shared" ref="V60" si="477">IFERROR(FIND(",",T60),LEN(T60))</f>
        <v>4</v>
      </c>
      <c r="W60" s="64" t="e">
        <f t="shared" ref="W60" si="478">FIND("target:",T60)+7</f>
        <v>#VALUE!</v>
      </c>
      <c r="X60" s="64" t="e">
        <f t="shared" ref="X60" si="479">FIND(",",T60,V60+1)</f>
        <v>#VALUE!</v>
      </c>
      <c r="Y60" s="64" t="str">
        <f>IFERROR(VLOOKUP(MID(T60,W60,X60-W60),[6]skilldef!$C:$D,2,FALSE),"-") &amp; " / " &amp; IFERROR(VLOOKUP(MID(T60,U60,V60-U60),[6]skilldef!$A:$B,2,FALSE),"-")</f>
        <v>- / -</v>
      </c>
      <c r="Z60" s="50"/>
      <c r="AA60" s="52"/>
      <c r="AB60" s="50"/>
    </row>
    <row r="61" spans="1:28" ht="34" customHeight="1" x14ac:dyDescent="0.15">
      <c r="A61" s="47">
        <v>50006907</v>
      </c>
      <c r="B61" s="103" t="s">
        <v>406</v>
      </c>
      <c r="C61" s="50">
        <v>3</v>
      </c>
      <c r="D61" s="50" t="s">
        <v>198</v>
      </c>
      <c r="E61" s="51" t="s">
        <v>443</v>
      </c>
      <c r="F61" s="51" t="s">
        <v>480</v>
      </c>
      <c r="G61" s="64" t="str">
        <f t="shared" ref="G61" si="480">IFERROR(LEFT(B61,FIND("],",B61)),B61)</f>
        <v>[effect:enemy_message, val1:1, val2:2.4]</v>
      </c>
      <c r="H61" s="64">
        <f t="shared" si="1"/>
        <v>9</v>
      </c>
      <c r="I61" s="64">
        <f t="shared" ref="I61" si="481">IFERROR(FIND(",",G61),LEN(G61))</f>
        <v>22</v>
      </c>
      <c r="J61" s="64" t="e">
        <f t="shared" ref="J61" si="482">FIND("target:",G61)+7</f>
        <v>#VALUE!</v>
      </c>
      <c r="K61" s="64">
        <f t="shared" ref="K61" si="483">FIND(",",G61,I61+1)</f>
        <v>30</v>
      </c>
      <c r="L61" s="64" t="str">
        <f>IFERROR(VLOOKUP(MID(G61,J61,K61-J61),[6]skilldef!$C:$D,2,FALSE),"-") &amp; " / " &amp; IFERROR(VLOOKUP(MID(G61,H61,I61-H61),[6]skilldef!$A:$B,2,FALSE),"-")</f>
        <v>- / -</v>
      </c>
      <c r="M61" s="64" t="str">
        <f t="shared" ref="M61" si="484">IFERROR(RIGHT(B61,LEN(B61)-FIND("],",B61)-1),"none")</f>
        <v>[effect:degrade_unit, target:unit_all, turn:3, status:attack, val:0.5, calc:mul],[effect:enhance_enemy, target:myself, turn:-1, status:attack, val:0.25, calc:mul, animation:enemy_enhance_attack]</v>
      </c>
      <c r="N61" s="48" t="str">
        <f>IFERROR(LEFT(M61,FIND("],",M61)+#REF!),M61)</f>
        <v>[effect:degrade_unit, target:unit_all, turn:3, status:attack, val:0.5, calc:mul],[effect:enhance_enemy, target:myself, turn:-1, status:attack, val:0.25, calc:mul, animation:enemy_enhance_attack]</v>
      </c>
      <c r="O61" s="64">
        <f t="shared" si="6"/>
        <v>9</v>
      </c>
      <c r="P61" s="64">
        <f t="shared" ref="P61" si="485">IFERROR(FIND(",",N61),LEN(N61))</f>
        <v>21</v>
      </c>
      <c r="Q61" s="64">
        <f t="shared" ref="Q61" si="486">FIND("target:",N61)+7</f>
        <v>30</v>
      </c>
      <c r="R61" s="64">
        <f t="shared" ref="R61" si="487">FIND(",",N61,P61+1)</f>
        <v>38</v>
      </c>
      <c r="S61" s="64" t="str">
        <f>IFERROR(VLOOKUP(MID(N61,Q61,R61-Q61),[6]skilldef!$C:$D,2,FALSE),"-") &amp; " / " &amp; IFERROR(VLOOKUP(MID(N61,O61,P61-O61),[6]skilldef!$A:$B,2,FALSE),"-")</f>
        <v>味方全体に / ステータスDOWN</v>
      </c>
      <c r="T61" s="48" t="str">
        <f t="shared" ref="T61" si="488">IFERROR(RIGHT(M61,LEN(M61)-FIND("],",M61)-1),"none")</f>
        <v>[effect:enhance_enemy, target:myself, turn:-1, status:attack, val:0.25, calc:mul, animation:enemy_enhance_attack]</v>
      </c>
      <c r="U61" s="64">
        <f t="shared" si="11"/>
        <v>9</v>
      </c>
      <c r="V61" s="64">
        <f t="shared" ref="V61" si="489">IFERROR(FIND(",",T61),LEN(T61))</f>
        <v>22</v>
      </c>
      <c r="W61" s="64">
        <f t="shared" ref="W61" si="490">FIND("target:",T61)+7</f>
        <v>31</v>
      </c>
      <c r="X61" s="64">
        <f t="shared" ref="X61" si="491">FIND(",",T61,V61+1)</f>
        <v>37</v>
      </c>
      <c r="Y61" s="64" t="str">
        <f>IFERROR(VLOOKUP(MID(T61,W61,X61-W61),[6]skilldef!$C:$D,2,FALSE),"-") &amp; " / " &amp; IFERROR(VLOOKUP(MID(T61,U61,V61-U61),[6]skilldef!$A:$B,2,FALSE),"-")</f>
        <v>自分自身に / ステータス強化</v>
      </c>
      <c r="Z61" s="50"/>
      <c r="AA61" s="52"/>
      <c r="AB61" s="50"/>
    </row>
    <row r="62" spans="1:28" ht="34" customHeight="1" x14ac:dyDescent="0.15">
      <c r="A62" s="47">
        <v>50006908</v>
      </c>
      <c r="B62" s="103" t="s">
        <v>405</v>
      </c>
      <c r="C62" s="50">
        <v>3</v>
      </c>
      <c r="D62" s="50" t="s">
        <v>198</v>
      </c>
      <c r="E62" s="51" t="s">
        <v>462</v>
      </c>
      <c r="F62" s="51" t="s">
        <v>276</v>
      </c>
      <c r="G62" s="64" t="str">
        <f t="shared" ref="G62" si="492">IFERROR(LEFT(B62,FIND("],",B62)),B62)</f>
        <v>[effect:enemy_message, val1:1, val2:2.2]</v>
      </c>
      <c r="H62" s="64">
        <f t="shared" si="1"/>
        <v>9</v>
      </c>
      <c r="I62" s="64">
        <f t="shared" ref="I62" si="493">IFERROR(FIND(",",G62),LEN(G62))</f>
        <v>22</v>
      </c>
      <c r="J62" s="64" t="e">
        <f t="shared" ref="J62" si="494">FIND("target:",G62)+7</f>
        <v>#VALUE!</v>
      </c>
      <c r="K62" s="64">
        <f t="shared" ref="K62" si="495">FIND(",",G62,I62+1)</f>
        <v>30</v>
      </c>
      <c r="L62" s="64" t="str">
        <f>IFERROR(VLOOKUP(MID(G62,J62,K62-J62),[6]skilldef!$C:$D,2,FALSE),"-") &amp; " / " &amp; IFERROR(VLOOKUP(MID(G62,H62,I62-H62),[6]skilldef!$A:$B,2,FALSE),"-")</f>
        <v>- / -</v>
      </c>
      <c r="M62" s="64" t="str">
        <f t="shared" ref="M62" si="496">IFERROR(RIGHT(B62,LEN(B62)-FIND("],",B62)-1),"none")</f>
        <v>[effect:force_change_block, new_block:jammer, target:crash, ignore01:crack_bomb,  count:10, val:0, animation:change_block],[effect:rush, count:1, val:0.6]</v>
      </c>
      <c r="N62" s="48" t="str">
        <f>IFERROR(LEFT(M62,FIND("],",M62)+#REF!),M62)</f>
        <v>[effect:force_change_block, new_block:jammer, target:crash, ignore01:crack_bomb,  count:10, val:0, animation:change_block],[effect:rush, count:1, val:0.6]</v>
      </c>
      <c r="O62" s="64">
        <f t="shared" si="6"/>
        <v>9</v>
      </c>
      <c r="P62" s="64">
        <f t="shared" ref="P62" si="497">IFERROR(FIND(",",N62),LEN(N62))</f>
        <v>27</v>
      </c>
      <c r="Q62" s="64">
        <f t="shared" ref="Q62" si="498">FIND("target:",N62)+7</f>
        <v>54</v>
      </c>
      <c r="R62" s="64">
        <f t="shared" ref="R62" si="499">FIND(",",N62,P62+1)</f>
        <v>45</v>
      </c>
      <c r="S62" s="64" t="str">
        <f>IFERROR(VLOOKUP(MID(N62,Q62,R62-Q62),[6]skilldef!$C:$D,2,FALSE),"-") &amp; " / " &amp; IFERROR(VLOOKUP(MID(N62,O62,P62-O62),[6]skilldef!$A:$B,2,FALSE),"-")</f>
        <v>- / -</v>
      </c>
      <c r="T62" s="48" t="str">
        <f t="shared" ref="T62" si="500">IFERROR(RIGHT(M62,LEN(M62)-FIND("],",M62)-1),"none")</f>
        <v>[effect:rush, count:1, val:0.6]</v>
      </c>
      <c r="U62" s="64">
        <f t="shared" si="11"/>
        <v>9</v>
      </c>
      <c r="V62" s="64">
        <f t="shared" ref="V62" si="501">IFERROR(FIND(",",T62),LEN(T62))</f>
        <v>13</v>
      </c>
      <c r="W62" s="64" t="e">
        <f t="shared" ref="W62" si="502">FIND("target:",T62)+7</f>
        <v>#VALUE!</v>
      </c>
      <c r="X62" s="64">
        <f t="shared" ref="X62" si="503">FIND(",",T62,V62+1)</f>
        <v>22</v>
      </c>
      <c r="Y62" s="64" t="str">
        <f>IFERROR(VLOOKUP(MID(T62,W62,X62-W62),[6]skilldef!$C:$D,2,FALSE),"-") &amp; " / " &amp; IFERROR(VLOOKUP(MID(T62,U62,V62-U62),[6]skilldef!$A:$B,2,FALSE),"-")</f>
        <v>- / 連続攻撃</v>
      </c>
      <c r="Z62" s="50"/>
      <c r="AA62" s="52"/>
      <c r="AB62" s="50"/>
    </row>
    <row r="63" spans="1:28" ht="34" customHeight="1" x14ac:dyDescent="0.15">
      <c r="A63" s="47">
        <v>50006909</v>
      </c>
      <c r="B63" s="103" t="s">
        <v>318</v>
      </c>
      <c r="C63" s="50">
        <v>3</v>
      </c>
      <c r="D63" s="50" t="s">
        <v>198</v>
      </c>
      <c r="E63" s="51" t="s">
        <v>444</v>
      </c>
      <c r="F63" s="51" t="s">
        <v>446</v>
      </c>
      <c r="G63" s="64" t="str">
        <f t="shared" ref="G63" si="504">IFERROR(LEFT(B63,FIND("],",B63)),B63)</f>
        <v>[effect:nothing]</v>
      </c>
      <c r="H63" s="64">
        <f t="shared" si="1"/>
        <v>9</v>
      </c>
      <c r="I63" s="64">
        <f t="shared" ref="I63" si="505">IFERROR(FIND(",",G63),LEN(G63))</f>
        <v>16</v>
      </c>
      <c r="J63" s="64" t="e">
        <f t="shared" ref="J63" si="506">FIND("target:",G63)+7</f>
        <v>#VALUE!</v>
      </c>
      <c r="K63" s="64" t="e">
        <f t="shared" ref="K63" si="507">FIND(",",G63,I63+1)</f>
        <v>#VALUE!</v>
      </c>
      <c r="L63" s="64" t="str">
        <f>IFERROR(VLOOKUP(MID(G63,J63,K63-J63),[6]skilldef!$C:$D,2,FALSE),"-") &amp; " / " &amp; IFERROR(VLOOKUP(MID(G63,H63,I63-H63),[6]skilldef!$A:$B,2,FALSE),"-")</f>
        <v>- / 何もしない</v>
      </c>
      <c r="M63" s="64" t="str">
        <f t="shared" ref="M63" si="508">IFERROR(RIGHT(B63,LEN(B63)-FIND("],",B63)-1),"none")</f>
        <v>none</v>
      </c>
      <c r="N63" s="48" t="str">
        <f>IFERROR(LEFT(M63,FIND("],",M63)+#REF!),M63)</f>
        <v>none</v>
      </c>
      <c r="O63" s="64" t="e">
        <f t="shared" si="6"/>
        <v>#VALUE!</v>
      </c>
      <c r="P63" s="64">
        <f t="shared" ref="P63" si="509">IFERROR(FIND(",",N63),LEN(N63))</f>
        <v>4</v>
      </c>
      <c r="Q63" s="64" t="e">
        <f t="shared" ref="Q63" si="510">FIND("target:",N63)+7</f>
        <v>#VALUE!</v>
      </c>
      <c r="R63" s="64" t="e">
        <f t="shared" ref="R63" si="511">FIND(",",N63,P63+1)</f>
        <v>#VALUE!</v>
      </c>
      <c r="S63" s="64" t="str">
        <f>IFERROR(VLOOKUP(MID(N63,Q63,R63-Q63),[6]skilldef!$C:$D,2,FALSE),"-") &amp; " / " &amp; IFERROR(VLOOKUP(MID(N63,O63,P63-O63),[6]skilldef!$A:$B,2,FALSE),"-")</f>
        <v>- / -</v>
      </c>
      <c r="T63" s="48" t="str">
        <f t="shared" ref="T63" si="512">IFERROR(RIGHT(M63,LEN(M63)-FIND("],",M63)-1),"none")</f>
        <v>none</v>
      </c>
      <c r="U63" s="64" t="e">
        <f t="shared" si="11"/>
        <v>#VALUE!</v>
      </c>
      <c r="V63" s="64">
        <f t="shared" ref="V63" si="513">IFERROR(FIND(",",T63),LEN(T63))</f>
        <v>4</v>
      </c>
      <c r="W63" s="64" t="e">
        <f t="shared" ref="W63" si="514">FIND("target:",T63)+7</f>
        <v>#VALUE!</v>
      </c>
      <c r="X63" s="64" t="e">
        <f t="shared" ref="X63" si="515">FIND(",",T63,V63+1)</f>
        <v>#VALUE!</v>
      </c>
      <c r="Y63" s="64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34" customHeight="1" x14ac:dyDescent="0.15">
      <c r="A64" s="47">
        <v>50006910</v>
      </c>
      <c r="B64" s="103" t="s">
        <v>470</v>
      </c>
      <c r="C64" s="50">
        <v>3</v>
      </c>
      <c r="D64" s="50" t="s">
        <v>198</v>
      </c>
      <c r="E64" s="51" t="s">
        <v>445</v>
      </c>
      <c r="F64" s="51" t="s">
        <v>407</v>
      </c>
      <c r="G64" s="64" t="str">
        <f t="shared" ref="G64:G68" si="516">IFERROR(LEFT(B64,FIND("],",B64)),B64)</f>
        <v>[effect:damage_fix_absolute, target:unit_all, val:50000]</v>
      </c>
      <c r="H64" s="64">
        <f t="shared" si="1"/>
        <v>9</v>
      </c>
      <c r="I64" s="64">
        <f t="shared" ref="I64:I68" si="517">IFERROR(FIND(",",G64),LEN(G64))</f>
        <v>28</v>
      </c>
      <c r="J64" s="64">
        <f t="shared" ref="J64:J68" si="518">FIND("target:",G64)+7</f>
        <v>37</v>
      </c>
      <c r="K64" s="64">
        <f t="shared" ref="K64:K68" si="519">FIND(",",G64,I64+1)</f>
        <v>45</v>
      </c>
      <c r="L64" s="64" t="str">
        <f>IFERROR(VLOOKUP(MID(G64,J64,K64-J64),[6]skilldef!$C:$D,2,FALSE),"-") &amp; " / " &amp; IFERROR(VLOOKUP(MID(G64,H64,I64-H64),[6]skilldef!$A:$B,2,FALSE),"-")</f>
        <v>味方全体に / -</v>
      </c>
      <c r="M64" s="64" t="str">
        <f t="shared" ref="M64:M68" si="520">IFERROR(RIGHT(B64,LEN(B64)-FIND("],",B64)-1),"none")</f>
        <v>none</v>
      </c>
      <c r="N64" s="48" t="str">
        <f>IFERROR(LEFT(M64,FIND("],",M64)+#REF!),M64)</f>
        <v>none</v>
      </c>
      <c r="O64" s="64" t="e">
        <f t="shared" si="6"/>
        <v>#VALUE!</v>
      </c>
      <c r="P64" s="64">
        <f t="shared" ref="P64:P68" si="521">IFERROR(FIND(",",N64),LEN(N64))</f>
        <v>4</v>
      </c>
      <c r="Q64" s="64" t="e">
        <f t="shared" ref="Q64:Q68" si="522">FIND("target:",N64)+7</f>
        <v>#VALUE!</v>
      </c>
      <c r="R64" s="64" t="e">
        <f t="shared" ref="R64:R68" si="523">FIND(",",N64,P64+1)</f>
        <v>#VALUE!</v>
      </c>
      <c r="S64" s="64" t="str">
        <f>IFERROR(VLOOKUP(MID(N64,Q64,R64-Q64),[6]skilldef!$C:$D,2,FALSE),"-") &amp; " / " &amp; IFERROR(VLOOKUP(MID(N64,O64,P64-O64),[6]skilldef!$A:$B,2,FALSE),"-")</f>
        <v>- / -</v>
      </c>
      <c r="T64" s="48" t="str">
        <f t="shared" ref="T64:T68" si="524">IFERROR(RIGHT(M64,LEN(M64)-FIND("],",M64)-1),"none")</f>
        <v>none</v>
      </c>
      <c r="U64" s="64" t="e">
        <f t="shared" si="11"/>
        <v>#VALUE!</v>
      </c>
      <c r="V64" s="64">
        <f t="shared" ref="V64:V68" si="525">IFERROR(FIND(",",T64),LEN(T64))</f>
        <v>4</v>
      </c>
      <c r="W64" s="64" t="e">
        <f t="shared" ref="W64:W68" si="526">FIND("target:",T64)+7</f>
        <v>#VALUE!</v>
      </c>
      <c r="X64" s="64" t="e">
        <f t="shared" ref="X64:X68" si="527">FIND(",",T64,V64+1)</f>
        <v>#VALUE!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34" customHeight="1" x14ac:dyDescent="0.15">
      <c r="A65" s="47">
        <v>50006911</v>
      </c>
      <c r="B65" s="103" t="s">
        <v>418</v>
      </c>
      <c r="C65" s="50">
        <v>3</v>
      </c>
      <c r="D65" s="50" t="s">
        <v>198</v>
      </c>
      <c r="E65" s="51" t="s">
        <v>463</v>
      </c>
      <c r="F65" s="51" t="s">
        <v>469</v>
      </c>
      <c r="G65" s="64" t="str">
        <f t="shared" si="516"/>
        <v>[effect:enemy_message, val1:1.4, val2:2.2]</v>
      </c>
      <c r="H65" s="64">
        <f t="shared" ref="H65:H68" si="528">FIND("effect:",G65)+7</f>
        <v>9</v>
      </c>
      <c r="I65" s="64">
        <f t="shared" si="517"/>
        <v>22</v>
      </c>
      <c r="J65" s="64" t="e">
        <f t="shared" si="518"/>
        <v>#VALUE!</v>
      </c>
      <c r="K65" s="64">
        <f t="shared" si="519"/>
        <v>32</v>
      </c>
      <c r="L65" s="64" t="str">
        <f>IFERROR(VLOOKUP(MID(G65,J65,K65-J65),[6]skilldef!$C:$D,2,FALSE),"-") &amp; " / " &amp; IFERROR(VLOOKUP(MID(G65,H65,I65-H65),[6]skilldef!$A:$B,2,FALSE),"-")</f>
        <v>- / -</v>
      </c>
      <c r="M65" s="64" t="str">
        <f t="shared" si="520"/>
        <v>none</v>
      </c>
      <c r="N65" s="48" t="str">
        <f>IFERROR(LEFT(M65,FIND("],",M65)+#REF!),M65)</f>
        <v>none</v>
      </c>
      <c r="O65" s="64" t="e">
        <f t="shared" ref="O65:O68" si="529">FIND("effect:",N65)+7</f>
        <v>#VALUE!</v>
      </c>
      <c r="P65" s="64">
        <f t="shared" si="521"/>
        <v>4</v>
      </c>
      <c r="Q65" s="64" t="e">
        <f t="shared" si="522"/>
        <v>#VALUE!</v>
      </c>
      <c r="R65" s="64" t="e">
        <f t="shared" si="523"/>
        <v>#VALUE!</v>
      </c>
      <c r="S65" s="64" t="str">
        <f>IFERROR(VLOOKUP(MID(N65,Q65,R65-Q65),[6]skilldef!$C:$D,2,FALSE),"-") &amp; " / " &amp; IFERROR(VLOOKUP(MID(N65,O65,P65-O65),[6]skilldef!$A:$B,2,FALSE),"-")</f>
        <v>- / -</v>
      </c>
      <c r="T65" s="48" t="str">
        <f t="shared" si="524"/>
        <v>none</v>
      </c>
      <c r="U65" s="64" t="e">
        <f t="shared" ref="U65:U68" si="530">FIND("effect:",T65)+7</f>
        <v>#VALUE!</v>
      </c>
      <c r="V65" s="64">
        <f t="shared" si="525"/>
        <v>4</v>
      </c>
      <c r="W65" s="64" t="e">
        <f t="shared" si="526"/>
        <v>#VALUE!</v>
      </c>
      <c r="X65" s="64" t="e">
        <f t="shared" si="527"/>
        <v>#VALUE!</v>
      </c>
      <c r="Y65" s="64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34" customHeight="1" x14ac:dyDescent="0.15">
      <c r="A66" s="108">
        <v>50006912</v>
      </c>
      <c r="B66" s="109" t="s">
        <v>416</v>
      </c>
      <c r="C66" s="110">
        <v>3</v>
      </c>
      <c r="D66" s="110" t="s">
        <v>198</v>
      </c>
      <c r="E66" s="111" t="s">
        <v>423</v>
      </c>
      <c r="F66" s="111" t="s">
        <v>417</v>
      </c>
      <c r="G66" s="64" t="str">
        <f t="shared" si="516"/>
        <v>[effect:enemy_message, val1:1.4, val2:2.6]</v>
      </c>
      <c r="H66" s="64">
        <f t="shared" si="528"/>
        <v>9</v>
      </c>
      <c r="I66" s="64">
        <f t="shared" si="517"/>
        <v>22</v>
      </c>
      <c r="J66" s="64" t="e">
        <f t="shared" si="518"/>
        <v>#VALUE!</v>
      </c>
      <c r="K66" s="64">
        <f t="shared" si="519"/>
        <v>32</v>
      </c>
      <c r="L66" s="64" t="str">
        <f>IFERROR(VLOOKUP(MID(G66,J66,K66-J66),[6]skilldef!$C:$D,2,FALSE),"-") &amp; " / " &amp; IFERROR(VLOOKUP(MID(G66,H66,I66-H66),[6]skilldef!$A:$B,2,FALSE),"-")</f>
        <v>- / -</v>
      </c>
      <c r="M66" s="64" t="str">
        <f t="shared" si="520"/>
        <v>none</v>
      </c>
      <c r="N66" s="48" t="str">
        <f>IFERROR(LEFT(M66,FIND("],",M66)+#REF!),M66)</f>
        <v>none</v>
      </c>
      <c r="O66" s="64" t="e">
        <f t="shared" si="529"/>
        <v>#VALUE!</v>
      </c>
      <c r="P66" s="64">
        <f t="shared" si="521"/>
        <v>4</v>
      </c>
      <c r="Q66" s="64" t="e">
        <f t="shared" si="522"/>
        <v>#VALUE!</v>
      </c>
      <c r="R66" s="64" t="e">
        <f t="shared" si="523"/>
        <v>#VALUE!</v>
      </c>
      <c r="S66" s="64" t="str">
        <f>IFERROR(VLOOKUP(MID(N66,Q66,R66-Q66),[6]skilldef!$C:$D,2,FALSE),"-") &amp; " / " &amp; IFERROR(VLOOKUP(MID(N66,O66,P66-O66),[6]skilldef!$A:$B,2,FALSE),"-")</f>
        <v>- / -</v>
      </c>
      <c r="T66" s="48" t="str">
        <f t="shared" si="524"/>
        <v>none</v>
      </c>
      <c r="U66" s="64" t="e">
        <f t="shared" si="530"/>
        <v>#VALUE!</v>
      </c>
      <c r="V66" s="64">
        <f t="shared" si="525"/>
        <v>4</v>
      </c>
      <c r="W66" s="64" t="e">
        <f t="shared" si="526"/>
        <v>#VALUE!</v>
      </c>
      <c r="X66" s="64" t="e">
        <f t="shared" si="527"/>
        <v>#VALUE!</v>
      </c>
      <c r="Y66" s="64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34" customHeight="1" x14ac:dyDescent="0.15">
      <c r="A67" s="108">
        <v>50006913</v>
      </c>
      <c r="B67" s="109" t="s">
        <v>416</v>
      </c>
      <c r="C67" s="110">
        <v>3</v>
      </c>
      <c r="D67" s="110" t="s">
        <v>198</v>
      </c>
      <c r="E67" s="111" t="s">
        <v>423</v>
      </c>
      <c r="F67" s="111" t="s">
        <v>417</v>
      </c>
      <c r="G67" s="64" t="str">
        <f t="shared" ref="G67" si="531">IFERROR(LEFT(B67,FIND("],",B67)),B67)</f>
        <v>[effect:enemy_message, val1:1.4, val2:2.6]</v>
      </c>
      <c r="H67" s="64">
        <f t="shared" ref="H67" si="532">FIND("effect:",G67)+7</f>
        <v>9</v>
      </c>
      <c r="I67" s="64">
        <f t="shared" ref="I67" si="533">IFERROR(FIND(",",G67),LEN(G67))</f>
        <v>22</v>
      </c>
      <c r="J67" s="64" t="e">
        <f t="shared" ref="J67" si="534">FIND("target:",G67)+7</f>
        <v>#VALUE!</v>
      </c>
      <c r="K67" s="64">
        <f t="shared" ref="K67" si="535">FIND(",",G67,I67+1)</f>
        <v>32</v>
      </c>
      <c r="L67" s="64" t="str">
        <f>IFERROR(VLOOKUP(MID(G67,J67,K67-J67),[6]skilldef!$C:$D,2,FALSE),"-") &amp; " / " &amp; IFERROR(VLOOKUP(MID(G67,H67,I67-H67),[6]skilldef!$A:$B,2,FALSE),"-")</f>
        <v>- / -</v>
      </c>
      <c r="M67" s="64" t="str">
        <f t="shared" ref="M67" si="536">IFERROR(RIGHT(B67,LEN(B67)-FIND("],",B67)-1),"none")</f>
        <v>none</v>
      </c>
      <c r="N67" s="48" t="str">
        <f>IFERROR(LEFT(M67,FIND("],",M67)+#REF!),M67)</f>
        <v>none</v>
      </c>
      <c r="O67" s="64" t="e">
        <f t="shared" ref="O67" si="537">FIND("effect:",N67)+7</f>
        <v>#VALUE!</v>
      </c>
      <c r="P67" s="64">
        <f t="shared" ref="P67" si="538">IFERROR(FIND(",",N67),LEN(N67))</f>
        <v>4</v>
      </c>
      <c r="Q67" s="64" t="e">
        <f t="shared" ref="Q67" si="539">FIND("target:",N67)+7</f>
        <v>#VALUE!</v>
      </c>
      <c r="R67" s="64" t="e">
        <f t="shared" ref="R67" si="540">FIND(",",N67,P67+1)</f>
        <v>#VALUE!</v>
      </c>
      <c r="S67" s="64" t="str">
        <f>IFERROR(VLOOKUP(MID(N67,Q67,R67-Q67),[6]skilldef!$C:$D,2,FALSE),"-") &amp; " / " &amp; IFERROR(VLOOKUP(MID(N67,O67,P67-O67),[6]skilldef!$A:$B,2,FALSE),"-")</f>
        <v>- / -</v>
      </c>
      <c r="T67" s="48" t="str">
        <f t="shared" ref="T67" si="541">IFERROR(RIGHT(M67,LEN(M67)-FIND("],",M67)-1),"none")</f>
        <v>none</v>
      </c>
      <c r="U67" s="64" t="e">
        <f t="shared" ref="U67" si="542">FIND("effect:",T67)+7</f>
        <v>#VALUE!</v>
      </c>
      <c r="V67" s="64">
        <f t="shared" ref="V67" si="543">IFERROR(FIND(",",T67),LEN(T67))</f>
        <v>4</v>
      </c>
      <c r="W67" s="64" t="e">
        <f t="shared" ref="W67" si="544">FIND("target:",T67)+7</f>
        <v>#VALUE!</v>
      </c>
      <c r="X67" s="64" t="e">
        <f t="shared" ref="X67" si="545">FIND(",",T67,V67+1)</f>
        <v>#VALUE!</v>
      </c>
      <c r="Y67" s="64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34" customHeight="1" x14ac:dyDescent="0.15">
      <c r="A68" s="108">
        <v>50006914</v>
      </c>
      <c r="B68" s="109" t="s">
        <v>419</v>
      </c>
      <c r="C68" s="110">
        <v>3</v>
      </c>
      <c r="D68" s="110" t="s">
        <v>198</v>
      </c>
      <c r="E68" s="111" t="s">
        <v>464</v>
      </c>
      <c r="F68" s="111" t="s">
        <v>447</v>
      </c>
      <c r="G68" s="64" t="str">
        <f t="shared" si="516"/>
        <v>[effect:enemy_message, val1:1.6, val2:2.6]</v>
      </c>
      <c r="H68" s="64">
        <f t="shared" si="528"/>
        <v>9</v>
      </c>
      <c r="I68" s="64">
        <f t="shared" si="517"/>
        <v>22</v>
      </c>
      <c r="J68" s="64" t="e">
        <f t="shared" si="518"/>
        <v>#VALUE!</v>
      </c>
      <c r="K68" s="64">
        <f t="shared" si="519"/>
        <v>32</v>
      </c>
      <c r="L68" s="64" t="str">
        <f>IFERROR(VLOOKUP(MID(G68,J68,K68-J68),[6]skilldef!$C:$D,2,FALSE),"-") &amp; " / " &amp; IFERROR(VLOOKUP(MID(G68,H68,I68-H68),[6]skilldef!$A:$B,2,FALSE),"-")</f>
        <v>- / -</v>
      </c>
      <c r="M68" s="64" t="str">
        <f t="shared" si="520"/>
        <v>none</v>
      </c>
      <c r="N68" s="48" t="str">
        <f>IFERROR(LEFT(M68,FIND("],",M68)+#REF!),M68)</f>
        <v>none</v>
      </c>
      <c r="O68" s="64" t="e">
        <f t="shared" si="529"/>
        <v>#VALUE!</v>
      </c>
      <c r="P68" s="64">
        <f t="shared" si="521"/>
        <v>4</v>
      </c>
      <c r="Q68" s="64" t="e">
        <f t="shared" si="522"/>
        <v>#VALUE!</v>
      </c>
      <c r="R68" s="64" t="e">
        <f t="shared" si="523"/>
        <v>#VALUE!</v>
      </c>
      <c r="S68" s="64" t="str">
        <f>IFERROR(VLOOKUP(MID(N68,Q68,R68-Q68),[6]skilldef!$C:$D,2,FALSE),"-") &amp; " / " &amp; IFERROR(VLOOKUP(MID(N68,O68,P68-O68),[6]skilldef!$A:$B,2,FALSE),"-")</f>
        <v>- / -</v>
      </c>
      <c r="T68" s="48" t="str">
        <f t="shared" si="524"/>
        <v>none</v>
      </c>
      <c r="U68" s="64" t="e">
        <f t="shared" si="530"/>
        <v>#VALUE!</v>
      </c>
      <c r="V68" s="64">
        <f t="shared" si="525"/>
        <v>4</v>
      </c>
      <c r="W68" s="64" t="e">
        <f t="shared" si="526"/>
        <v>#VALUE!</v>
      </c>
      <c r="X68" s="64" t="e">
        <f t="shared" si="527"/>
        <v>#VALUE!</v>
      </c>
      <c r="Y68" s="64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34" customHeight="1" x14ac:dyDescent="0.15">
      <c r="A69" s="108">
        <v>50006915</v>
      </c>
      <c r="B69" s="109" t="s">
        <v>419</v>
      </c>
      <c r="C69" s="110">
        <v>3</v>
      </c>
      <c r="D69" s="110" t="s">
        <v>198</v>
      </c>
      <c r="E69" s="111" t="s">
        <v>464</v>
      </c>
      <c r="F69" s="111" t="s">
        <v>447</v>
      </c>
      <c r="G69" s="64" t="str">
        <f t="shared" ref="G69" si="546">IFERROR(LEFT(B69,FIND("],",B69)),B69)</f>
        <v>[effect:enemy_message, val1:1.6, val2:2.6]</v>
      </c>
      <c r="H69" s="64">
        <f t="shared" ref="H69" si="547">FIND("effect:",G69)+7</f>
        <v>9</v>
      </c>
      <c r="I69" s="64">
        <f t="shared" ref="I69" si="548">IFERROR(FIND(",",G69),LEN(G69))</f>
        <v>22</v>
      </c>
      <c r="J69" s="64" t="e">
        <f t="shared" ref="J69" si="549">FIND("target:",G69)+7</f>
        <v>#VALUE!</v>
      </c>
      <c r="K69" s="64">
        <f t="shared" ref="K69" si="550">FIND(",",G69,I69+1)</f>
        <v>32</v>
      </c>
      <c r="L69" s="64" t="str">
        <f>IFERROR(VLOOKUP(MID(G69,J69,K69-J69),[6]skilldef!$C:$D,2,FALSE),"-") &amp; " / " &amp; IFERROR(VLOOKUP(MID(G69,H69,I69-H69),[6]skilldef!$A:$B,2,FALSE),"-")</f>
        <v>- / -</v>
      </c>
      <c r="M69" s="64" t="str">
        <f t="shared" ref="M69" si="551">IFERROR(RIGHT(B69,LEN(B69)-FIND("],",B69)-1),"none")</f>
        <v>none</v>
      </c>
      <c r="N69" s="48" t="str">
        <f>IFERROR(LEFT(M69,FIND("],",M69)+#REF!),M69)</f>
        <v>none</v>
      </c>
      <c r="O69" s="64" t="e">
        <f t="shared" ref="O69" si="552">FIND("effect:",N69)+7</f>
        <v>#VALUE!</v>
      </c>
      <c r="P69" s="64">
        <f t="shared" ref="P69" si="553">IFERROR(FIND(",",N69),LEN(N69))</f>
        <v>4</v>
      </c>
      <c r="Q69" s="64" t="e">
        <f t="shared" ref="Q69" si="554">FIND("target:",N69)+7</f>
        <v>#VALUE!</v>
      </c>
      <c r="R69" s="64" t="e">
        <f t="shared" ref="R69" si="555">FIND(",",N69,P69+1)</f>
        <v>#VALUE!</v>
      </c>
      <c r="S69" s="64" t="str">
        <f>IFERROR(VLOOKUP(MID(N69,Q69,R69-Q69),[6]skilldef!$C:$D,2,FALSE),"-") &amp; " / " &amp; IFERROR(VLOOKUP(MID(N69,O69,P69-O69),[6]skilldef!$A:$B,2,FALSE),"-")</f>
        <v>- / -</v>
      </c>
      <c r="T69" s="48" t="str">
        <f t="shared" ref="T69" si="556">IFERROR(RIGHT(M69,LEN(M69)-FIND("],",M69)-1),"none")</f>
        <v>none</v>
      </c>
      <c r="U69" s="64" t="e">
        <f t="shared" ref="U69" si="557">FIND("effect:",T69)+7</f>
        <v>#VALUE!</v>
      </c>
      <c r="V69" s="64">
        <f t="shared" ref="V69" si="558">IFERROR(FIND(",",T69),LEN(T69))</f>
        <v>4</v>
      </c>
      <c r="W69" s="64" t="e">
        <f t="shared" ref="W69" si="559">FIND("target:",T69)+7</f>
        <v>#VALUE!</v>
      </c>
      <c r="X69" s="64" t="e">
        <f t="shared" ref="X69" si="560">FIND(",",T69,V69+1)</f>
        <v>#VALUE!</v>
      </c>
      <c r="Y69" s="64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34" customHeight="1" x14ac:dyDescent="0.15">
      <c r="A70" s="108">
        <v>50006916</v>
      </c>
      <c r="B70" s="109" t="s">
        <v>420</v>
      </c>
      <c r="C70" s="110">
        <v>3</v>
      </c>
      <c r="D70" s="110" t="s">
        <v>198</v>
      </c>
      <c r="E70" s="111" t="s">
        <v>465</v>
      </c>
      <c r="F70" s="111" t="s">
        <v>466</v>
      </c>
      <c r="G70" s="64" t="str">
        <f t="shared" ref="G70" si="561">IFERROR(LEFT(B70,FIND("],",B70)),B70)</f>
        <v>[effect:enemy_message, val1:1.4, val2:2.6]</v>
      </c>
      <c r="H70" s="64">
        <f t="shared" ref="H70" si="562">FIND("effect:",G70)+7</f>
        <v>9</v>
      </c>
      <c r="I70" s="64">
        <f t="shared" ref="I70" si="563">IFERROR(FIND(",",G70),LEN(G70))</f>
        <v>22</v>
      </c>
      <c r="J70" s="64" t="e">
        <f t="shared" ref="J70" si="564">FIND("target:",G70)+7</f>
        <v>#VALUE!</v>
      </c>
      <c r="K70" s="64">
        <f t="shared" ref="K70" si="565">FIND(",",G70,I70+1)</f>
        <v>32</v>
      </c>
      <c r="L70" s="64" t="str">
        <f>IFERROR(VLOOKUP(MID(G70,J70,K70-J70),[6]skilldef!$C:$D,2,FALSE),"-") &amp; " / " &amp; IFERROR(VLOOKUP(MID(G70,H70,I70-H70),[6]skilldef!$A:$B,2,FALSE),"-")</f>
        <v>- / -</v>
      </c>
      <c r="M70" s="64" t="str">
        <f t="shared" ref="M70" si="566">IFERROR(RIGHT(B70,LEN(B70)-FIND("],",B70)-1),"none")</f>
        <v>none</v>
      </c>
      <c r="N70" s="48" t="str">
        <f>IFERROR(LEFT(M70,FIND("],",M70)+#REF!),M70)</f>
        <v>none</v>
      </c>
      <c r="O70" s="64" t="e">
        <f t="shared" ref="O70" si="567">FIND("effect:",N70)+7</f>
        <v>#VALUE!</v>
      </c>
      <c r="P70" s="64">
        <f t="shared" ref="P70" si="568">IFERROR(FIND(",",N70),LEN(N70))</f>
        <v>4</v>
      </c>
      <c r="Q70" s="64" t="e">
        <f t="shared" ref="Q70" si="569">FIND("target:",N70)+7</f>
        <v>#VALUE!</v>
      </c>
      <c r="R70" s="64" t="e">
        <f t="shared" ref="R70" si="570">FIND(",",N70,P70+1)</f>
        <v>#VALUE!</v>
      </c>
      <c r="S70" s="64" t="str">
        <f>IFERROR(VLOOKUP(MID(N70,Q70,R70-Q70),[6]skilldef!$C:$D,2,FALSE),"-") &amp; " / " &amp; IFERROR(VLOOKUP(MID(N70,O70,P70-O70),[6]skilldef!$A:$B,2,FALSE),"-")</f>
        <v>- / -</v>
      </c>
      <c r="T70" s="48" t="str">
        <f t="shared" ref="T70" si="571">IFERROR(RIGHT(M70,LEN(M70)-FIND("],",M70)-1),"none")</f>
        <v>none</v>
      </c>
      <c r="U70" s="64" t="e">
        <f t="shared" ref="U70" si="572">FIND("effect:",T70)+7</f>
        <v>#VALUE!</v>
      </c>
      <c r="V70" s="64">
        <f t="shared" ref="V70" si="573">IFERROR(FIND(",",T70),LEN(T70))</f>
        <v>4</v>
      </c>
      <c r="W70" s="64" t="e">
        <f t="shared" ref="W70" si="574">FIND("target:",T70)+7</f>
        <v>#VALUE!</v>
      </c>
      <c r="X70" s="64" t="e">
        <f t="shared" ref="X70" si="575">FIND(",",T70,V70+1)</f>
        <v>#VALUE!</v>
      </c>
      <c r="Y70" s="64" t="str">
        <f>IFERROR(VLOOKUP(MID(T70,W70,X70-W70),[6]skilldef!$C:$D,2,FALSE),"-") &amp; " / " &amp; IFERROR(VLOOKUP(MID(T70,U70,V70-U70),[6]skilldef!$A:$B,2,FALSE),"-")</f>
        <v>- / -</v>
      </c>
      <c r="Z70" s="50"/>
      <c r="AA70" s="52"/>
      <c r="AB70" s="50"/>
    </row>
    <row r="71" spans="1:28" ht="34" customHeight="1" x14ac:dyDescent="0.15">
      <c r="A71" s="108">
        <v>50006917</v>
      </c>
      <c r="B71" s="109" t="s">
        <v>420</v>
      </c>
      <c r="C71" s="110">
        <v>3</v>
      </c>
      <c r="D71" s="110" t="s">
        <v>198</v>
      </c>
      <c r="E71" s="111" t="s">
        <v>465</v>
      </c>
      <c r="F71" s="111" t="s">
        <v>466</v>
      </c>
      <c r="G71" s="64" t="str">
        <f t="shared" ref="G71" si="576">IFERROR(LEFT(B71,FIND("],",B71)),B71)</f>
        <v>[effect:enemy_message, val1:1.4, val2:2.6]</v>
      </c>
      <c r="H71" s="64">
        <f t="shared" ref="H71" si="577">FIND("effect:",G71)+7</f>
        <v>9</v>
      </c>
      <c r="I71" s="64">
        <f t="shared" ref="I71" si="578">IFERROR(FIND(",",G71),LEN(G71))</f>
        <v>22</v>
      </c>
      <c r="J71" s="64" t="e">
        <f t="shared" ref="J71" si="579">FIND("target:",G71)+7</f>
        <v>#VALUE!</v>
      </c>
      <c r="K71" s="64">
        <f t="shared" ref="K71" si="580">FIND(",",G71,I71+1)</f>
        <v>32</v>
      </c>
      <c r="L71" s="64" t="str">
        <f>IFERROR(VLOOKUP(MID(G71,J71,K71-J71),[6]skilldef!$C:$D,2,FALSE),"-") &amp; " / " &amp; IFERROR(VLOOKUP(MID(G71,H71,I71-H71),[6]skilldef!$A:$B,2,FALSE),"-")</f>
        <v>- / -</v>
      </c>
      <c r="M71" s="64" t="str">
        <f t="shared" ref="M71" si="581">IFERROR(RIGHT(B71,LEN(B71)-FIND("],",B71)-1),"none")</f>
        <v>none</v>
      </c>
      <c r="N71" s="48" t="str">
        <f>IFERROR(LEFT(M71,FIND("],",M71)+#REF!),M71)</f>
        <v>none</v>
      </c>
      <c r="O71" s="64" t="e">
        <f t="shared" ref="O71" si="582">FIND("effect:",N71)+7</f>
        <v>#VALUE!</v>
      </c>
      <c r="P71" s="64">
        <f t="shared" ref="P71" si="583">IFERROR(FIND(",",N71),LEN(N71))</f>
        <v>4</v>
      </c>
      <c r="Q71" s="64" t="e">
        <f t="shared" ref="Q71" si="584">FIND("target:",N71)+7</f>
        <v>#VALUE!</v>
      </c>
      <c r="R71" s="64" t="e">
        <f t="shared" ref="R71" si="585">FIND(",",N71,P71+1)</f>
        <v>#VALUE!</v>
      </c>
      <c r="S71" s="64" t="str">
        <f>IFERROR(VLOOKUP(MID(N71,Q71,R71-Q71),[6]skilldef!$C:$D,2,FALSE),"-") &amp; " / " &amp; IFERROR(VLOOKUP(MID(N71,O71,P71-O71),[6]skilldef!$A:$B,2,FALSE),"-")</f>
        <v>- / -</v>
      </c>
      <c r="T71" s="48" t="str">
        <f t="shared" ref="T71" si="586">IFERROR(RIGHT(M71,LEN(M71)-FIND("],",M71)-1),"none")</f>
        <v>none</v>
      </c>
      <c r="U71" s="64" t="e">
        <f t="shared" ref="U71" si="587">FIND("effect:",T71)+7</f>
        <v>#VALUE!</v>
      </c>
      <c r="V71" s="64">
        <f t="shared" ref="V71" si="588">IFERROR(FIND(",",T71),LEN(T71))</f>
        <v>4</v>
      </c>
      <c r="W71" s="64" t="e">
        <f t="shared" ref="W71" si="589">FIND("target:",T71)+7</f>
        <v>#VALUE!</v>
      </c>
      <c r="X71" s="64" t="e">
        <f t="shared" ref="X71" si="590">FIND(",",T71,V71+1)</f>
        <v>#VALUE!</v>
      </c>
      <c r="Y71" s="64" t="str">
        <f>IFERROR(VLOOKUP(MID(T71,W71,X71-W71),[6]skilldef!$C:$D,2,FALSE),"-") &amp; " / " &amp; IFERROR(VLOOKUP(MID(T71,U71,V71-U71),[6]skilldef!$A:$B,2,FALSE),"-")</f>
        <v>- / -</v>
      </c>
      <c r="Z71" s="50"/>
      <c r="AA71" s="52"/>
      <c r="AB7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1"/>
  <sheetViews>
    <sheetView showGridLines="0" zoomScale="75" zoomScaleNormal="75" zoomScalePageLayoutView="75" workbookViewId="0">
      <pane ySplit="1" topLeftCell="A31" activePane="bottomLeft" state="frozenSplit"/>
      <selection pane="bottomLeft" activeCell="O53" sqref="O5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50006000</v>
      </c>
      <c r="B2" s="47">
        <v>1</v>
      </c>
      <c r="C2" s="47" t="s">
        <v>89</v>
      </c>
      <c r="D2" s="47">
        <v>100</v>
      </c>
      <c r="E2" s="47" t="s">
        <v>250</v>
      </c>
      <c r="F2" s="47" t="s">
        <v>90</v>
      </c>
      <c r="G2" s="47">
        <v>1</v>
      </c>
      <c r="H2" s="47" t="s">
        <v>250</v>
      </c>
      <c r="I2" s="47" t="s">
        <v>90</v>
      </c>
      <c r="J2" s="48">
        <f t="shared" ref="J2:J4" si="0">D2</f>
        <v>100</v>
      </c>
    </row>
    <row r="3" spans="1:11" ht="21" customHeight="1" x14ac:dyDescent="0.15">
      <c r="A3" s="47">
        <v>50006001</v>
      </c>
      <c r="B3" s="47">
        <v>0</v>
      </c>
      <c r="C3" s="47">
        <v>20</v>
      </c>
      <c r="D3" s="47">
        <v>100</v>
      </c>
      <c r="E3" s="47" t="s">
        <v>53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si="0"/>
        <v>100</v>
      </c>
    </row>
    <row r="4" spans="1:11" ht="21" customHeight="1" x14ac:dyDescent="0.15">
      <c r="A4" s="47">
        <v>50006002</v>
      </c>
      <c r="B4" s="47">
        <v>0</v>
      </c>
      <c r="C4" s="47">
        <v>10</v>
      </c>
      <c r="D4" s="47">
        <v>100</v>
      </c>
      <c r="E4" s="47" t="s">
        <v>53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0"/>
        <v>100</v>
      </c>
    </row>
    <row r="5" spans="1:11" ht="21" customHeight="1" x14ac:dyDescent="0.15">
      <c r="A5" s="47">
        <v>50006100</v>
      </c>
      <c r="B5" s="47">
        <v>1</v>
      </c>
      <c r="C5" s="47" t="s">
        <v>53</v>
      </c>
      <c r="D5" s="47">
        <v>100</v>
      </c>
      <c r="E5" s="47" t="s">
        <v>250</v>
      </c>
      <c r="F5" s="47" t="s">
        <v>53</v>
      </c>
      <c r="G5" s="47">
        <v>1</v>
      </c>
      <c r="H5" s="47" t="s">
        <v>250</v>
      </c>
      <c r="I5" s="47" t="s">
        <v>53</v>
      </c>
      <c r="J5" s="48">
        <f t="shared" ref="J5" si="1">D5</f>
        <v>100</v>
      </c>
    </row>
    <row r="6" spans="1:11" ht="21" customHeight="1" x14ac:dyDescent="0.15">
      <c r="A6" s="47">
        <v>50006101</v>
      </c>
      <c r="B6" s="47">
        <v>0</v>
      </c>
      <c r="C6" s="47">
        <v>10</v>
      </c>
      <c r="D6" s="47">
        <v>100</v>
      </c>
      <c r="E6" s="47" t="s">
        <v>250</v>
      </c>
      <c r="F6" s="47" t="s">
        <v>53</v>
      </c>
      <c r="G6" s="47" t="s">
        <v>53</v>
      </c>
      <c r="H6" s="47">
        <v>1</v>
      </c>
      <c r="I6" s="47" t="s">
        <v>53</v>
      </c>
      <c r="J6" s="48">
        <f t="shared" ref="J6" si="2">D6</f>
        <v>100</v>
      </c>
    </row>
    <row r="7" spans="1:11" ht="21" customHeight="1" x14ac:dyDescent="0.15">
      <c r="A7" s="47">
        <v>50006102</v>
      </c>
      <c r="B7" s="47">
        <v>0</v>
      </c>
      <c r="C7" s="47">
        <v>30</v>
      </c>
      <c r="D7" s="47">
        <v>100</v>
      </c>
      <c r="E7" s="47">
        <v>50</v>
      </c>
      <c r="F7" s="47" t="s">
        <v>53</v>
      </c>
      <c r="G7" s="47">
        <v>1</v>
      </c>
      <c r="H7" s="47">
        <v>1</v>
      </c>
      <c r="I7" s="47" t="s">
        <v>53</v>
      </c>
      <c r="J7" s="48">
        <f t="shared" ref="J7" si="3">D7</f>
        <v>100</v>
      </c>
    </row>
    <row r="8" spans="1:11" ht="21" customHeight="1" x14ac:dyDescent="0.15">
      <c r="A8" s="47">
        <v>50006103</v>
      </c>
      <c r="B8" s="47">
        <v>0</v>
      </c>
      <c r="C8" s="47">
        <v>20</v>
      </c>
      <c r="D8" s="47">
        <v>70</v>
      </c>
      <c r="E8" s="47">
        <v>50</v>
      </c>
      <c r="F8" s="47" t="s">
        <v>53</v>
      </c>
      <c r="G8" s="47" t="s">
        <v>250</v>
      </c>
      <c r="H8" s="47">
        <v>1</v>
      </c>
      <c r="I8" s="47" t="s">
        <v>53</v>
      </c>
      <c r="J8" s="48">
        <f t="shared" ref="J8" si="4">D8</f>
        <v>70</v>
      </c>
    </row>
    <row r="9" spans="1:11" ht="21" customHeight="1" x14ac:dyDescent="0.15">
      <c r="A9" s="47">
        <v>50006200</v>
      </c>
      <c r="B9" s="47">
        <v>0</v>
      </c>
      <c r="C9" s="47">
        <v>10</v>
      </c>
      <c r="D9" s="47">
        <v>100</v>
      </c>
      <c r="E9" s="47" t="s">
        <v>53</v>
      </c>
      <c r="F9" s="47" t="s">
        <v>53</v>
      </c>
      <c r="G9" s="47">
        <v>1</v>
      </c>
      <c r="H9" s="47" t="s">
        <v>53</v>
      </c>
      <c r="I9" s="47" t="s">
        <v>53</v>
      </c>
      <c r="J9" s="48">
        <f t="shared" ref="J9" si="5">D9</f>
        <v>100</v>
      </c>
    </row>
    <row r="10" spans="1:11" ht="21" customHeight="1" x14ac:dyDescent="0.15">
      <c r="A10" s="47">
        <v>50006201</v>
      </c>
      <c r="B10" s="47">
        <v>1</v>
      </c>
      <c r="C10" s="47" t="s">
        <v>53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ref="J10" si="6">D10</f>
        <v>100</v>
      </c>
    </row>
    <row r="11" spans="1:11" ht="21" customHeight="1" x14ac:dyDescent="0.15">
      <c r="A11" s="47">
        <v>50006202</v>
      </c>
      <c r="B11" s="47">
        <v>0</v>
      </c>
      <c r="C11" s="47">
        <v>5</v>
      </c>
      <c r="D11" s="47">
        <v>100</v>
      </c>
      <c r="E11" s="47" t="s">
        <v>53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ref="J11:J14" si="7">D11</f>
        <v>100</v>
      </c>
    </row>
    <row r="12" spans="1:11" ht="21" customHeight="1" x14ac:dyDescent="0.15">
      <c r="A12" s="47">
        <v>50006203</v>
      </c>
      <c r="B12" s="47">
        <v>0</v>
      </c>
      <c r="C12" s="47">
        <v>20</v>
      </c>
      <c r="D12" s="47">
        <v>100</v>
      </c>
      <c r="E12" s="47" t="s">
        <v>53</v>
      </c>
      <c r="F12" s="47" t="s">
        <v>53</v>
      </c>
      <c r="G12" s="47">
        <v>1</v>
      </c>
      <c r="H12" s="47" t="s">
        <v>53</v>
      </c>
      <c r="I12" s="47" t="s">
        <v>53</v>
      </c>
      <c r="J12" s="48">
        <f t="shared" ref="J12" si="8">D12</f>
        <v>100</v>
      </c>
    </row>
    <row r="13" spans="1:11" ht="21" customHeight="1" x14ac:dyDescent="0.15">
      <c r="A13" s="47">
        <v>50006300</v>
      </c>
      <c r="B13" s="47">
        <v>1</v>
      </c>
      <c r="C13" s="47" t="s">
        <v>53</v>
      </c>
      <c r="D13" s="47">
        <v>100</v>
      </c>
      <c r="E13" s="47" t="s">
        <v>53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7"/>
        <v>100</v>
      </c>
    </row>
    <row r="14" spans="1:11" ht="21" customHeight="1" x14ac:dyDescent="0.15">
      <c r="A14" s="47">
        <v>50006301</v>
      </c>
      <c r="B14" s="47">
        <v>0</v>
      </c>
      <c r="C14" s="47">
        <v>10</v>
      </c>
      <c r="D14" s="47">
        <v>50</v>
      </c>
      <c r="E14" s="47" t="s">
        <v>53</v>
      </c>
      <c r="F14" s="47" t="s">
        <v>53</v>
      </c>
      <c r="G14" s="47" t="s">
        <v>53</v>
      </c>
      <c r="H14" s="47">
        <v>1</v>
      </c>
      <c r="I14" s="47" t="s">
        <v>53</v>
      </c>
      <c r="J14" s="48">
        <f t="shared" si="7"/>
        <v>50</v>
      </c>
    </row>
    <row r="15" spans="1:11" ht="21" customHeight="1" x14ac:dyDescent="0.15">
      <c r="A15" s="47">
        <v>50006302</v>
      </c>
      <c r="B15" s="47">
        <v>0</v>
      </c>
      <c r="C15" s="47">
        <v>10</v>
      </c>
      <c r="D15" s="47">
        <v>100</v>
      </c>
      <c r="E15" s="47" t="s">
        <v>53</v>
      </c>
      <c r="F15" s="47" t="s">
        <v>53</v>
      </c>
      <c r="G15" s="47" t="s">
        <v>53</v>
      </c>
      <c r="H15" s="47">
        <v>1</v>
      </c>
      <c r="I15" s="47" t="s">
        <v>53</v>
      </c>
      <c r="J15" s="48">
        <f t="shared" ref="J15" si="9">D15</f>
        <v>100</v>
      </c>
    </row>
    <row r="16" spans="1:11" ht="21" customHeight="1" x14ac:dyDescent="0.15">
      <c r="A16" s="47">
        <v>50006303</v>
      </c>
      <c r="B16" s="47">
        <v>0</v>
      </c>
      <c r="C16" s="47">
        <v>20</v>
      </c>
      <c r="D16" s="47">
        <v>100</v>
      </c>
      <c r="E16" s="47">
        <v>70</v>
      </c>
      <c r="F16" s="47" t="s">
        <v>53</v>
      </c>
      <c r="G16" s="47">
        <v>1</v>
      </c>
      <c r="H16" s="47">
        <v>1</v>
      </c>
      <c r="I16" s="47" t="s">
        <v>53</v>
      </c>
      <c r="J16" s="48">
        <f t="shared" ref="J16" si="10">D16</f>
        <v>100</v>
      </c>
    </row>
    <row r="17" spans="1:10" ht="21" customHeight="1" x14ac:dyDescent="0.15">
      <c r="A17" s="47">
        <v>50006304</v>
      </c>
      <c r="B17" s="47">
        <v>0</v>
      </c>
      <c r="C17" s="47">
        <v>20</v>
      </c>
      <c r="D17" s="47">
        <v>100</v>
      </c>
      <c r="E17" s="47">
        <v>70</v>
      </c>
      <c r="F17" s="47" t="s">
        <v>53</v>
      </c>
      <c r="G17" s="47">
        <v>1</v>
      </c>
      <c r="H17" s="47">
        <v>1</v>
      </c>
      <c r="I17" s="47" t="s">
        <v>53</v>
      </c>
      <c r="J17" s="48">
        <f t="shared" ref="J17" si="11">D17</f>
        <v>100</v>
      </c>
    </row>
    <row r="18" spans="1:10" ht="21" customHeight="1" x14ac:dyDescent="0.15">
      <c r="A18" s="47">
        <v>50006305</v>
      </c>
      <c r="B18" s="47">
        <v>0</v>
      </c>
      <c r="C18" s="47">
        <v>30</v>
      </c>
      <c r="D18" s="47">
        <v>100</v>
      </c>
      <c r="E18" s="47">
        <v>30</v>
      </c>
      <c r="F18" s="47" t="s">
        <v>53</v>
      </c>
      <c r="G18" s="47" t="s">
        <v>53</v>
      </c>
      <c r="H18" s="47">
        <v>1</v>
      </c>
      <c r="I18" s="47" t="s">
        <v>53</v>
      </c>
      <c r="J18" s="48">
        <f t="shared" ref="J18" si="12">D18</f>
        <v>100</v>
      </c>
    </row>
    <row r="19" spans="1:10" ht="21" customHeight="1" x14ac:dyDescent="0.15">
      <c r="A19" s="47">
        <v>50006306</v>
      </c>
      <c r="B19" s="47">
        <v>0</v>
      </c>
      <c r="C19" s="47">
        <v>31</v>
      </c>
      <c r="D19" s="47">
        <v>100</v>
      </c>
      <c r="E19" s="47">
        <v>20</v>
      </c>
      <c r="F19" s="47" t="s">
        <v>53</v>
      </c>
      <c r="G19" s="47" t="s">
        <v>53</v>
      </c>
      <c r="H19" s="47">
        <v>1</v>
      </c>
      <c r="I19" s="47" t="s">
        <v>53</v>
      </c>
      <c r="J19" s="48">
        <f t="shared" ref="J19" si="13">D19</f>
        <v>100</v>
      </c>
    </row>
    <row r="20" spans="1:10" ht="21" customHeight="1" x14ac:dyDescent="0.15">
      <c r="A20" s="47">
        <v>50006307</v>
      </c>
      <c r="B20" s="47">
        <v>0</v>
      </c>
      <c r="C20" s="47">
        <v>32</v>
      </c>
      <c r="D20" s="47">
        <v>100</v>
      </c>
      <c r="E20" s="47">
        <v>10</v>
      </c>
      <c r="F20" s="47" t="s">
        <v>53</v>
      </c>
      <c r="G20" s="47" t="s">
        <v>53</v>
      </c>
      <c r="H20" s="47">
        <v>1</v>
      </c>
      <c r="I20" s="47" t="s">
        <v>53</v>
      </c>
      <c r="J20" s="48">
        <f t="shared" ref="J20" si="14">D20</f>
        <v>100</v>
      </c>
    </row>
    <row r="21" spans="1:10" ht="21" customHeight="1" x14ac:dyDescent="0.15">
      <c r="A21" s="47">
        <v>50006308</v>
      </c>
      <c r="B21" s="47">
        <v>0</v>
      </c>
      <c r="C21" s="47">
        <v>40</v>
      </c>
      <c r="D21" s="47">
        <v>100</v>
      </c>
      <c r="E21" s="47">
        <v>10</v>
      </c>
      <c r="F21" s="47" t="s">
        <v>53</v>
      </c>
      <c r="G21" s="47">
        <v>1</v>
      </c>
      <c r="H21" s="47" t="s">
        <v>250</v>
      </c>
      <c r="I21" s="47">
        <v>467</v>
      </c>
      <c r="J21" s="48">
        <f t="shared" ref="J21:J64" si="15">D21</f>
        <v>100</v>
      </c>
    </row>
    <row r="22" spans="1:10" ht="21" customHeight="1" x14ac:dyDescent="0.15">
      <c r="A22" s="47">
        <v>50006309</v>
      </c>
      <c r="B22" s="47">
        <v>0</v>
      </c>
      <c r="C22" s="47">
        <v>35</v>
      </c>
      <c r="D22" s="47">
        <v>100</v>
      </c>
      <c r="E22" s="47">
        <v>30</v>
      </c>
      <c r="F22" s="47" t="s">
        <v>53</v>
      </c>
      <c r="G22" s="47">
        <v>1</v>
      </c>
      <c r="H22" s="47">
        <v>1</v>
      </c>
      <c r="I22" s="47" t="s">
        <v>319</v>
      </c>
      <c r="J22" s="48">
        <f t="shared" ref="J22" si="16">D22</f>
        <v>100</v>
      </c>
    </row>
    <row r="23" spans="1:10" ht="21" customHeight="1" x14ac:dyDescent="0.15">
      <c r="A23" s="47">
        <v>50006400</v>
      </c>
      <c r="B23" s="47">
        <v>1</v>
      </c>
      <c r="C23" s="47" t="s">
        <v>53</v>
      </c>
      <c r="D23" s="47">
        <v>100</v>
      </c>
      <c r="E23" s="47" t="s">
        <v>53</v>
      </c>
      <c r="F23" s="47" t="s">
        <v>53</v>
      </c>
      <c r="G23" s="47">
        <v>1</v>
      </c>
      <c r="H23" s="47" t="s">
        <v>53</v>
      </c>
      <c r="I23" s="47" t="s">
        <v>53</v>
      </c>
      <c r="J23" s="48">
        <f t="shared" si="15"/>
        <v>100</v>
      </c>
    </row>
    <row r="24" spans="1:10" ht="21" customHeight="1" x14ac:dyDescent="0.15">
      <c r="A24" s="47">
        <v>50006401</v>
      </c>
      <c r="B24" s="104">
        <v>0</v>
      </c>
      <c r="C24" s="104">
        <v>10</v>
      </c>
      <c r="D24" s="104">
        <v>50</v>
      </c>
      <c r="E24" s="104" t="s">
        <v>53</v>
      </c>
      <c r="F24" s="104" t="s">
        <v>279</v>
      </c>
      <c r="G24" s="104" t="s">
        <v>53</v>
      </c>
      <c r="H24" s="104">
        <v>1</v>
      </c>
      <c r="I24" s="104" t="s">
        <v>53</v>
      </c>
      <c r="J24" s="48">
        <f t="shared" si="15"/>
        <v>50</v>
      </c>
    </row>
    <row r="25" spans="1:10" ht="21" customHeight="1" x14ac:dyDescent="0.15">
      <c r="A25" s="47">
        <v>50006402</v>
      </c>
      <c r="B25" s="104">
        <v>0</v>
      </c>
      <c r="C25" s="104">
        <v>10</v>
      </c>
      <c r="D25" s="104">
        <v>100</v>
      </c>
      <c r="E25" s="104" t="s">
        <v>280</v>
      </c>
      <c r="F25" s="104" t="s">
        <v>53</v>
      </c>
      <c r="G25" s="104" t="s">
        <v>53</v>
      </c>
      <c r="H25" s="104">
        <v>1</v>
      </c>
      <c r="I25" s="104" t="s">
        <v>53</v>
      </c>
      <c r="J25" s="48">
        <f t="shared" si="15"/>
        <v>100</v>
      </c>
    </row>
    <row r="26" spans="1:10" ht="21" customHeight="1" x14ac:dyDescent="0.15">
      <c r="A26" s="47">
        <v>50006403</v>
      </c>
      <c r="B26" s="104">
        <v>0</v>
      </c>
      <c r="C26" s="104">
        <v>20</v>
      </c>
      <c r="D26" s="104">
        <v>100</v>
      </c>
      <c r="E26" s="104">
        <v>50</v>
      </c>
      <c r="F26" s="104" t="s">
        <v>53</v>
      </c>
      <c r="G26" s="104">
        <v>1</v>
      </c>
      <c r="H26" s="104">
        <v>1</v>
      </c>
      <c r="I26" s="104" t="s">
        <v>53</v>
      </c>
      <c r="J26" s="48">
        <f t="shared" si="15"/>
        <v>100</v>
      </c>
    </row>
    <row r="27" spans="1:10" ht="21" customHeight="1" x14ac:dyDescent="0.15">
      <c r="A27" s="47">
        <v>50006404</v>
      </c>
      <c r="B27" s="104">
        <v>0</v>
      </c>
      <c r="C27" s="104" t="s">
        <v>284</v>
      </c>
      <c r="D27" s="104">
        <v>100</v>
      </c>
      <c r="E27" s="104" t="s">
        <v>53</v>
      </c>
      <c r="F27" s="104" t="s">
        <v>281</v>
      </c>
      <c r="G27" s="104">
        <v>1</v>
      </c>
      <c r="H27" s="104">
        <v>1</v>
      </c>
      <c r="I27" s="104">
        <v>472</v>
      </c>
      <c r="J27" s="48">
        <f t="shared" si="15"/>
        <v>100</v>
      </c>
    </row>
    <row r="28" spans="1:10" ht="21" customHeight="1" x14ac:dyDescent="0.15">
      <c r="A28" s="47">
        <v>50006500</v>
      </c>
      <c r="B28" s="104">
        <v>1</v>
      </c>
      <c r="C28" s="104" t="s">
        <v>283</v>
      </c>
      <c r="D28" s="104">
        <v>100</v>
      </c>
      <c r="E28" s="104" t="s">
        <v>53</v>
      </c>
      <c r="F28" s="104" t="s">
        <v>282</v>
      </c>
      <c r="G28" s="104">
        <v>1</v>
      </c>
      <c r="H28" s="104" t="s">
        <v>53</v>
      </c>
      <c r="I28" s="104" t="s">
        <v>53</v>
      </c>
      <c r="J28" s="48">
        <f t="shared" si="15"/>
        <v>100</v>
      </c>
    </row>
    <row r="29" spans="1:10" ht="21" customHeight="1" x14ac:dyDescent="0.15">
      <c r="A29" s="47">
        <v>50006501</v>
      </c>
      <c r="B29" s="104">
        <v>0</v>
      </c>
      <c r="C29" s="104">
        <v>10</v>
      </c>
      <c r="D29" s="104">
        <v>50</v>
      </c>
      <c r="E29" s="104" t="s">
        <v>53</v>
      </c>
      <c r="F29" s="104" t="s">
        <v>53</v>
      </c>
      <c r="G29" s="104" t="s">
        <v>284</v>
      </c>
      <c r="H29" s="104">
        <v>1</v>
      </c>
      <c r="I29" s="104" t="s">
        <v>285</v>
      </c>
      <c r="J29" s="48">
        <f t="shared" si="15"/>
        <v>50</v>
      </c>
    </row>
    <row r="30" spans="1:10" ht="21" customHeight="1" x14ac:dyDescent="0.15">
      <c r="A30" s="47">
        <v>50006502</v>
      </c>
      <c r="B30" s="104">
        <v>0</v>
      </c>
      <c r="C30" s="104">
        <v>10</v>
      </c>
      <c r="D30" s="104">
        <v>100</v>
      </c>
      <c r="E30" s="104" t="s">
        <v>53</v>
      </c>
      <c r="F30" s="104" t="s">
        <v>286</v>
      </c>
      <c r="G30" s="104" t="s">
        <v>287</v>
      </c>
      <c r="H30" s="104">
        <v>1</v>
      </c>
      <c r="I30" s="104" t="s">
        <v>53</v>
      </c>
      <c r="J30" s="48">
        <f t="shared" si="15"/>
        <v>100</v>
      </c>
    </row>
    <row r="31" spans="1:10" ht="21" customHeight="1" x14ac:dyDescent="0.15">
      <c r="A31" s="47">
        <v>50006503</v>
      </c>
      <c r="B31" s="104">
        <v>0</v>
      </c>
      <c r="C31" s="104">
        <v>20</v>
      </c>
      <c r="D31" s="104">
        <v>100</v>
      </c>
      <c r="E31" s="104" t="s">
        <v>289</v>
      </c>
      <c r="F31" s="104" t="s">
        <v>283</v>
      </c>
      <c r="G31" s="104">
        <v>1</v>
      </c>
      <c r="H31" s="104">
        <v>5</v>
      </c>
      <c r="I31" s="104" t="s">
        <v>53</v>
      </c>
      <c r="J31" s="48">
        <f t="shared" si="15"/>
        <v>100</v>
      </c>
    </row>
    <row r="32" spans="1:10" ht="21" customHeight="1" x14ac:dyDescent="0.15">
      <c r="A32" s="47">
        <v>50006504</v>
      </c>
      <c r="B32" s="104">
        <v>0</v>
      </c>
      <c r="C32" s="104">
        <v>20</v>
      </c>
      <c r="D32" s="104">
        <v>100</v>
      </c>
      <c r="E32" s="104">
        <v>50</v>
      </c>
      <c r="F32" s="104" t="s">
        <v>279</v>
      </c>
      <c r="G32" s="104">
        <v>1</v>
      </c>
      <c r="H32" s="104">
        <v>1</v>
      </c>
      <c r="I32" s="104" t="s">
        <v>53</v>
      </c>
      <c r="J32" s="48">
        <f t="shared" si="15"/>
        <v>100</v>
      </c>
    </row>
    <row r="33" spans="1:10" ht="21" customHeight="1" x14ac:dyDescent="0.15">
      <c r="A33" s="47">
        <v>50006505</v>
      </c>
      <c r="B33" s="104">
        <v>0</v>
      </c>
      <c r="C33" s="104" t="s">
        <v>279</v>
      </c>
      <c r="D33" s="104">
        <v>100</v>
      </c>
      <c r="E33" s="104" t="s">
        <v>53</v>
      </c>
      <c r="F33" s="104" t="s">
        <v>283</v>
      </c>
      <c r="G33" s="104">
        <v>1</v>
      </c>
      <c r="H33" s="104">
        <v>1</v>
      </c>
      <c r="I33" s="104">
        <v>602</v>
      </c>
      <c r="J33" s="48">
        <f t="shared" si="15"/>
        <v>100</v>
      </c>
    </row>
    <row r="34" spans="1:10" ht="21" customHeight="1" x14ac:dyDescent="0.15">
      <c r="A34" s="47">
        <v>50006600</v>
      </c>
      <c r="B34" s="104">
        <v>1</v>
      </c>
      <c r="C34" s="104" t="s">
        <v>283</v>
      </c>
      <c r="D34" s="104">
        <v>100</v>
      </c>
      <c r="E34" s="104" t="s">
        <v>284</v>
      </c>
      <c r="F34" s="104" t="s">
        <v>53</v>
      </c>
      <c r="G34" s="104">
        <v>1</v>
      </c>
      <c r="H34" s="104" t="s">
        <v>290</v>
      </c>
      <c r="I34" s="104" t="s">
        <v>291</v>
      </c>
      <c r="J34" s="48">
        <f t="shared" si="15"/>
        <v>100</v>
      </c>
    </row>
    <row r="35" spans="1:10" ht="21" customHeight="1" x14ac:dyDescent="0.15">
      <c r="A35" s="47">
        <v>50006601</v>
      </c>
      <c r="B35" s="104">
        <v>0</v>
      </c>
      <c r="C35" s="104">
        <v>20</v>
      </c>
      <c r="D35" s="104">
        <v>100</v>
      </c>
      <c r="E35" s="104">
        <v>75</v>
      </c>
      <c r="F35" s="104">
        <v>50</v>
      </c>
      <c r="G35" s="104">
        <v>1</v>
      </c>
      <c r="H35" s="104">
        <v>1</v>
      </c>
      <c r="I35" s="104" t="s">
        <v>53</v>
      </c>
      <c r="J35" s="48">
        <f t="shared" si="15"/>
        <v>100</v>
      </c>
    </row>
    <row r="36" spans="1:10" ht="21" customHeight="1" x14ac:dyDescent="0.15">
      <c r="A36" s="47">
        <v>50006602</v>
      </c>
      <c r="B36" s="104">
        <v>0</v>
      </c>
      <c r="C36" s="104">
        <v>20</v>
      </c>
      <c r="D36" s="104">
        <v>100</v>
      </c>
      <c r="E36" s="104">
        <v>50</v>
      </c>
      <c r="F36" s="104" t="s">
        <v>285</v>
      </c>
      <c r="G36" s="104">
        <v>1</v>
      </c>
      <c r="H36" s="104">
        <v>1</v>
      </c>
      <c r="I36" s="104" t="s">
        <v>292</v>
      </c>
      <c r="J36" s="48">
        <f t="shared" si="15"/>
        <v>100</v>
      </c>
    </row>
    <row r="37" spans="1:10" ht="21" customHeight="1" x14ac:dyDescent="0.15">
      <c r="A37" s="47">
        <v>50006603</v>
      </c>
      <c r="B37" s="104">
        <v>0</v>
      </c>
      <c r="C37" s="104">
        <v>30</v>
      </c>
      <c r="D37" s="104">
        <v>100</v>
      </c>
      <c r="E37" s="104" t="s">
        <v>283</v>
      </c>
      <c r="F37" s="104" t="s">
        <v>293</v>
      </c>
      <c r="G37" s="104">
        <v>1</v>
      </c>
      <c r="H37" s="104">
        <v>1</v>
      </c>
      <c r="I37" s="104">
        <v>575</v>
      </c>
      <c r="J37" s="48">
        <f t="shared" si="15"/>
        <v>100</v>
      </c>
    </row>
    <row r="38" spans="1:10" ht="21" customHeight="1" x14ac:dyDescent="0.15">
      <c r="A38" s="47">
        <v>50006700</v>
      </c>
      <c r="B38" s="104">
        <v>1</v>
      </c>
      <c r="C38" s="104">
        <v>1</v>
      </c>
      <c r="D38" s="104">
        <v>100</v>
      </c>
      <c r="E38" s="104" t="s">
        <v>285</v>
      </c>
      <c r="F38" s="104" t="s">
        <v>285</v>
      </c>
      <c r="G38" s="104">
        <v>1</v>
      </c>
      <c r="H38" s="104" t="s">
        <v>53</v>
      </c>
      <c r="I38" s="104" t="s">
        <v>53</v>
      </c>
      <c r="J38" s="48">
        <f t="shared" si="15"/>
        <v>100</v>
      </c>
    </row>
    <row r="39" spans="1:10" ht="21" customHeight="1" x14ac:dyDescent="0.15">
      <c r="A39" s="47">
        <v>50006701</v>
      </c>
      <c r="B39" s="104">
        <v>0</v>
      </c>
      <c r="C39" s="104">
        <v>10</v>
      </c>
      <c r="D39" s="104">
        <v>50</v>
      </c>
      <c r="E39" s="104" t="s">
        <v>295</v>
      </c>
      <c r="F39" s="104" t="s">
        <v>288</v>
      </c>
      <c r="G39" s="104" t="s">
        <v>53</v>
      </c>
      <c r="H39" s="104">
        <v>1</v>
      </c>
      <c r="I39" s="104" t="s">
        <v>53</v>
      </c>
      <c r="J39" s="48">
        <f t="shared" si="15"/>
        <v>50</v>
      </c>
    </row>
    <row r="40" spans="1:10" ht="21" customHeight="1" x14ac:dyDescent="0.15">
      <c r="A40" s="47">
        <v>50006702</v>
      </c>
      <c r="B40" s="104">
        <v>0</v>
      </c>
      <c r="C40" s="104">
        <v>10</v>
      </c>
      <c r="D40" s="104">
        <v>100</v>
      </c>
      <c r="E40" s="104" t="s">
        <v>53</v>
      </c>
      <c r="F40" s="104" t="s">
        <v>288</v>
      </c>
      <c r="G40" s="104" t="s">
        <v>296</v>
      </c>
      <c r="H40" s="104">
        <v>1</v>
      </c>
      <c r="I40" s="104" t="s">
        <v>297</v>
      </c>
      <c r="J40" s="48">
        <f t="shared" si="15"/>
        <v>100</v>
      </c>
    </row>
    <row r="41" spans="1:10" ht="21" customHeight="1" x14ac:dyDescent="0.15">
      <c r="A41" s="47">
        <v>50006703</v>
      </c>
      <c r="B41" s="104">
        <v>0</v>
      </c>
      <c r="C41" s="104">
        <v>20</v>
      </c>
      <c r="D41" s="104">
        <v>100</v>
      </c>
      <c r="E41" s="104" t="s">
        <v>53</v>
      </c>
      <c r="F41" s="104" t="s">
        <v>53</v>
      </c>
      <c r="G41" s="104" t="s">
        <v>53</v>
      </c>
      <c r="H41" s="104">
        <v>3</v>
      </c>
      <c r="I41" s="104" t="s">
        <v>53</v>
      </c>
      <c r="J41" s="48">
        <f t="shared" si="15"/>
        <v>100</v>
      </c>
    </row>
    <row r="42" spans="1:10" ht="21" customHeight="1" x14ac:dyDescent="0.15">
      <c r="A42" s="47">
        <v>50006704</v>
      </c>
      <c r="B42" s="104">
        <v>0</v>
      </c>
      <c r="C42" s="104">
        <v>30</v>
      </c>
      <c r="D42" s="104">
        <v>100</v>
      </c>
      <c r="E42" s="104">
        <v>50</v>
      </c>
      <c r="F42" s="104" t="s">
        <v>280</v>
      </c>
      <c r="G42" s="104">
        <v>1</v>
      </c>
      <c r="H42" s="104">
        <v>1</v>
      </c>
      <c r="I42" s="104" t="s">
        <v>53</v>
      </c>
      <c r="J42" s="48">
        <f t="shared" si="15"/>
        <v>100</v>
      </c>
    </row>
    <row r="43" spans="1:10" ht="21" customHeight="1" x14ac:dyDescent="0.15">
      <c r="A43" s="108">
        <v>50006705</v>
      </c>
      <c r="B43" s="113">
        <v>1</v>
      </c>
      <c r="C43" s="113">
        <v>2</v>
      </c>
      <c r="D43" s="113">
        <v>100</v>
      </c>
      <c r="E43" s="113" t="s">
        <v>279</v>
      </c>
      <c r="F43" s="113" t="s">
        <v>279</v>
      </c>
      <c r="G43" s="113">
        <v>1</v>
      </c>
      <c r="H43" s="113" t="s">
        <v>53</v>
      </c>
      <c r="I43" s="113">
        <v>1018</v>
      </c>
      <c r="J43" s="48">
        <f t="shared" ref="J43" si="17">D43</f>
        <v>100</v>
      </c>
    </row>
    <row r="44" spans="1:10" ht="21" customHeight="1" x14ac:dyDescent="0.15">
      <c r="A44" s="108">
        <v>50006706</v>
      </c>
      <c r="B44" s="113">
        <v>1</v>
      </c>
      <c r="C44" s="113">
        <v>2</v>
      </c>
      <c r="D44" s="113">
        <v>100</v>
      </c>
      <c r="E44" s="113" t="s">
        <v>279</v>
      </c>
      <c r="F44" s="113" t="s">
        <v>279</v>
      </c>
      <c r="G44" s="113">
        <v>1</v>
      </c>
      <c r="H44" s="113" t="s">
        <v>53</v>
      </c>
      <c r="I44" s="113">
        <v>1019</v>
      </c>
      <c r="J44" s="48">
        <f t="shared" ref="J44" si="18">D44</f>
        <v>100</v>
      </c>
    </row>
    <row r="45" spans="1:10" ht="21" customHeight="1" x14ac:dyDescent="0.15">
      <c r="A45" s="108">
        <v>50006707</v>
      </c>
      <c r="B45" s="113">
        <v>1</v>
      </c>
      <c r="C45" s="113">
        <v>4</v>
      </c>
      <c r="D45" s="113">
        <v>100</v>
      </c>
      <c r="E45" s="113" t="s">
        <v>279</v>
      </c>
      <c r="F45" s="113" t="s">
        <v>279</v>
      </c>
      <c r="G45" s="113">
        <v>1</v>
      </c>
      <c r="H45" s="113" t="s">
        <v>53</v>
      </c>
      <c r="I45" s="113">
        <v>1008</v>
      </c>
      <c r="J45" s="48">
        <f t="shared" ref="J45" si="19">D45</f>
        <v>100</v>
      </c>
    </row>
    <row r="46" spans="1:10" ht="21" customHeight="1" x14ac:dyDescent="0.15">
      <c r="A46" s="108">
        <v>50006708</v>
      </c>
      <c r="B46" s="113">
        <v>1</v>
      </c>
      <c r="C46" s="113">
        <v>4</v>
      </c>
      <c r="D46" s="113">
        <v>100</v>
      </c>
      <c r="E46" s="113" t="s">
        <v>279</v>
      </c>
      <c r="F46" s="113" t="s">
        <v>279</v>
      </c>
      <c r="G46" s="113">
        <v>1</v>
      </c>
      <c r="H46" s="113" t="s">
        <v>53</v>
      </c>
      <c r="I46" s="113">
        <v>1009</v>
      </c>
      <c r="J46" s="48">
        <f t="shared" ref="J46" si="20">D46</f>
        <v>100</v>
      </c>
    </row>
    <row r="47" spans="1:10" ht="21" customHeight="1" x14ac:dyDescent="0.15">
      <c r="A47" s="108">
        <v>50006709</v>
      </c>
      <c r="B47" s="113">
        <v>1</v>
      </c>
      <c r="C47" s="113">
        <v>3</v>
      </c>
      <c r="D47" s="113">
        <v>100</v>
      </c>
      <c r="E47" s="113" t="s">
        <v>279</v>
      </c>
      <c r="F47" s="113" t="s">
        <v>279</v>
      </c>
      <c r="G47" s="113">
        <v>1</v>
      </c>
      <c r="H47" s="113" t="s">
        <v>53</v>
      </c>
      <c r="I47" s="113">
        <v>929</v>
      </c>
      <c r="J47" s="48">
        <f t="shared" ref="J47" si="21">D47</f>
        <v>100</v>
      </c>
    </row>
    <row r="48" spans="1:10" ht="21" customHeight="1" x14ac:dyDescent="0.15">
      <c r="A48" s="108">
        <v>50006710</v>
      </c>
      <c r="B48" s="113">
        <v>1</v>
      </c>
      <c r="C48" s="113">
        <v>3</v>
      </c>
      <c r="D48" s="113">
        <v>100</v>
      </c>
      <c r="E48" s="113" t="s">
        <v>279</v>
      </c>
      <c r="F48" s="113" t="s">
        <v>279</v>
      </c>
      <c r="G48" s="113">
        <v>1</v>
      </c>
      <c r="H48" s="113" t="s">
        <v>53</v>
      </c>
      <c r="I48" s="113">
        <v>930</v>
      </c>
      <c r="J48" s="48">
        <f t="shared" ref="J48" si="22">D48</f>
        <v>100</v>
      </c>
    </row>
    <row r="49" spans="1:10" ht="21" customHeight="1" x14ac:dyDescent="0.15">
      <c r="A49" s="47">
        <v>50006800</v>
      </c>
      <c r="B49" s="104">
        <v>1</v>
      </c>
      <c r="C49" s="104" t="s">
        <v>280</v>
      </c>
      <c r="D49" s="104">
        <v>100</v>
      </c>
      <c r="E49" s="104" t="s">
        <v>294</v>
      </c>
      <c r="F49" s="104" t="s">
        <v>53</v>
      </c>
      <c r="G49" s="104">
        <v>1</v>
      </c>
      <c r="H49" s="104" t="s">
        <v>288</v>
      </c>
      <c r="I49" s="104" t="s">
        <v>283</v>
      </c>
      <c r="J49" s="48">
        <f t="shared" si="15"/>
        <v>100</v>
      </c>
    </row>
    <row r="50" spans="1:10" ht="21" customHeight="1" x14ac:dyDescent="0.15">
      <c r="A50" s="47">
        <v>50006801</v>
      </c>
      <c r="B50" s="104">
        <v>0</v>
      </c>
      <c r="C50" s="104">
        <v>10</v>
      </c>
      <c r="D50" s="104">
        <v>100</v>
      </c>
      <c r="E50" s="104" t="s">
        <v>53</v>
      </c>
      <c r="F50" s="104" t="s">
        <v>298</v>
      </c>
      <c r="G50" s="104" t="s">
        <v>53</v>
      </c>
      <c r="H50" s="104">
        <v>1</v>
      </c>
      <c r="I50" s="104" t="s">
        <v>299</v>
      </c>
      <c r="J50" s="48">
        <f t="shared" si="15"/>
        <v>100</v>
      </c>
    </row>
    <row r="51" spans="1:10" ht="21" customHeight="1" x14ac:dyDescent="0.15">
      <c r="A51" s="47">
        <v>50006802</v>
      </c>
      <c r="B51" s="104">
        <v>0</v>
      </c>
      <c r="C51" s="104">
        <v>15</v>
      </c>
      <c r="D51" s="104">
        <v>100</v>
      </c>
      <c r="E51" s="104" t="s">
        <v>285</v>
      </c>
      <c r="F51" s="104" t="s">
        <v>53</v>
      </c>
      <c r="G51" s="104" t="s">
        <v>283</v>
      </c>
      <c r="H51" s="104">
        <v>2</v>
      </c>
      <c r="I51" s="104" t="s">
        <v>300</v>
      </c>
      <c r="J51" s="48">
        <f t="shared" si="15"/>
        <v>100</v>
      </c>
    </row>
    <row r="52" spans="1:10" ht="21" customHeight="1" x14ac:dyDescent="0.15">
      <c r="A52" s="47">
        <v>50006803</v>
      </c>
      <c r="B52" s="104">
        <v>0</v>
      </c>
      <c r="C52" s="104">
        <v>30</v>
      </c>
      <c r="D52" s="104">
        <v>100</v>
      </c>
      <c r="E52" s="104">
        <v>70</v>
      </c>
      <c r="F52" s="104" t="s">
        <v>53</v>
      </c>
      <c r="G52" s="104">
        <v>1</v>
      </c>
      <c r="H52" s="104">
        <v>1</v>
      </c>
      <c r="I52" s="104" t="s">
        <v>279</v>
      </c>
      <c r="J52" s="48">
        <f t="shared" si="15"/>
        <v>100</v>
      </c>
    </row>
    <row r="53" spans="1:10" ht="21" customHeight="1" x14ac:dyDescent="0.15">
      <c r="A53" s="47">
        <v>50006804</v>
      </c>
      <c r="B53" s="104">
        <v>0</v>
      </c>
      <c r="C53" s="104">
        <v>20</v>
      </c>
      <c r="D53" s="104">
        <v>100</v>
      </c>
      <c r="E53" s="104">
        <v>30</v>
      </c>
      <c r="F53" s="104" t="s">
        <v>283</v>
      </c>
      <c r="G53" s="104">
        <v>1</v>
      </c>
      <c r="H53" s="104">
        <v>1</v>
      </c>
      <c r="I53" s="104" t="s">
        <v>301</v>
      </c>
      <c r="J53" s="48">
        <f t="shared" si="15"/>
        <v>100</v>
      </c>
    </row>
    <row r="54" spans="1:10" ht="21" customHeight="1" x14ac:dyDescent="0.15">
      <c r="A54" s="47">
        <v>50006900</v>
      </c>
      <c r="B54" s="104">
        <v>1</v>
      </c>
      <c r="C54" s="104" t="s">
        <v>283</v>
      </c>
      <c r="D54" s="104">
        <v>100</v>
      </c>
      <c r="E54" s="104" t="s">
        <v>291</v>
      </c>
      <c r="F54" s="104" t="s">
        <v>53</v>
      </c>
      <c r="G54" s="104">
        <v>1</v>
      </c>
      <c r="H54" s="104" t="s">
        <v>302</v>
      </c>
      <c r="I54" s="104" t="s">
        <v>53</v>
      </c>
      <c r="J54" s="48">
        <f t="shared" si="15"/>
        <v>100</v>
      </c>
    </row>
    <row r="55" spans="1:10" ht="21" customHeight="1" x14ac:dyDescent="0.15">
      <c r="A55" s="47">
        <v>50006901</v>
      </c>
      <c r="B55" s="104">
        <v>0</v>
      </c>
      <c r="C55" s="104">
        <v>15</v>
      </c>
      <c r="D55" s="104">
        <v>100</v>
      </c>
      <c r="E55" s="104" t="s">
        <v>53</v>
      </c>
      <c r="F55" s="104" t="s">
        <v>303</v>
      </c>
      <c r="G55" s="104">
        <v>1</v>
      </c>
      <c r="H55" s="104">
        <v>1</v>
      </c>
      <c r="I55" s="104" t="s">
        <v>284</v>
      </c>
      <c r="J55" s="48">
        <f t="shared" si="15"/>
        <v>100</v>
      </c>
    </row>
    <row r="56" spans="1:10" ht="21" customHeight="1" x14ac:dyDescent="0.15">
      <c r="A56" s="47">
        <v>50006902</v>
      </c>
      <c r="B56" s="104">
        <v>0</v>
      </c>
      <c r="C56" s="104">
        <v>14</v>
      </c>
      <c r="D56" s="104">
        <v>100</v>
      </c>
      <c r="E56" s="104" t="s">
        <v>304</v>
      </c>
      <c r="F56" s="104" t="s">
        <v>305</v>
      </c>
      <c r="G56" s="104">
        <v>1</v>
      </c>
      <c r="H56" s="104">
        <v>1</v>
      </c>
      <c r="I56" s="104" t="s">
        <v>279</v>
      </c>
      <c r="J56" s="48">
        <f t="shared" si="15"/>
        <v>100</v>
      </c>
    </row>
    <row r="57" spans="1:10" ht="21" customHeight="1" x14ac:dyDescent="0.15">
      <c r="A57" s="47">
        <v>50006903</v>
      </c>
      <c r="B57" s="104">
        <v>0</v>
      </c>
      <c r="C57" s="104">
        <v>13</v>
      </c>
      <c r="D57" s="104">
        <v>100</v>
      </c>
      <c r="E57" s="104" t="s">
        <v>53</v>
      </c>
      <c r="F57" s="104" t="s">
        <v>288</v>
      </c>
      <c r="G57" s="104">
        <v>1</v>
      </c>
      <c r="H57" s="104">
        <v>1</v>
      </c>
      <c r="I57" s="104" t="s">
        <v>53</v>
      </c>
      <c r="J57" s="48">
        <f t="shared" si="15"/>
        <v>100</v>
      </c>
    </row>
    <row r="58" spans="1:10" ht="21" customHeight="1" x14ac:dyDescent="0.15">
      <c r="A58" s="47">
        <v>50006904</v>
      </c>
      <c r="B58" s="104">
        <v>0</v>
      </c>
      <c r="C58" s="104">
        <v>12</v>
      </c>
      <c r="D58" s="104">
        <v>100</v>
      </c>
      <c r="E58" s="104" t="s">
        <v>53</v>
      </c>
      <c r="F58" s="104" t="s">
        <v>303</v>
      </c>
      <c r="G58" s="104">
        <v>1</v>
      </c>
      <c r="H58" s="104">
        <v>1</v>
      </c>
      <c r="I58" s="104" t="s">
        <v>284</v>
      </c>
      <c r="J58" s="48">
        <f t="shared" si="15"/>
        <v>100</v>
      </c>
    </row>
    <row r="59" spans="1:10" ht="21" customHeight="1" x14ac:dyDescent="0.15">
      <c r="A59" s="47">
        <v>50006905</v>
      </c>
      <c r="B59" s="104">
        <v>0</v>
      </c>
      <c r="C59" s="104">
        <v>11</v>
      </c>
      <c r="D59" s="104">
        <v>100</v>
      </c>
      <c r="E59" s="104" t="s">
        <v>304</v>
      </c>
      <c r="F59" s="104" t="s">
        <v>305</v>
      </c>
      <c r="G59" s="104">
        <v>1</v>
      </c>
      <c r="H59" s="104">
        <v>1</v>
      </c>
      <c r="I59" s="104" t="s">
        <v>279</v>
      </c>
      <c r="J59" s="48">
        <f t="shared" si="15"/>
        <v>100</v>
      </c>
    </row>
    <row r="60" spans="1:10" ht="21" customHeight="1" x14ac:dyDescent="0.15">
      <c r="A60" s="47">
        <v>50006906</v>
      </c>
      <c r="B60" s="104">
        <v>0</v>
      </c>
      <c r="C60" s="104">
        <v>10</v>
      </c>
      <c r="D60" s="104">
        <v>100</v>
      </c>
      <c r="E60" s="104" t="s">
        <v>53</v>
      </c>
      <c r="F60" s="104" t="s">
        <v>288</v>
      </c>
      <c r="G60" s="104" t="s">
        <v>53</v>
      </c>
      <c r="H60" s="104">
        <v>1</v>
      </c>
      <c r="I60" s="104" t="s">
        <v>53</v>
      </c>
      <c r="J60" s="48">
        <f t="shared" si="15"/>
        <v>100</v>
      </c>
    </row>
    <row r="61" spans="1:10" ht="21" customHeight="1" x14ac:dyDescent="0.15">
      <c r="A61" s="47">
        <v>50006907</v>
      </c>
      <c r="B61" s="104">
        <v>0</v>
      </c>
      <c r="C61" s="104">
        <v>20</v>
      </c>
      <c r="D61" s="104">
        <v>100</v>
      </c>
      <c r="E61" s="104">
        <v>75</v>
      </c>
      <c r="F61" s="104" t="s">
        <v>53</v>
      </c>
      <c r="G61" s="104">
        <v>1</v>
      </c>
      <c r="H61" s="104">
        <v>1</v>
      </c>
      <c r="I61" s="104" t="s">
        <v>53</v>
      </c>
      <c r="J61" s="48">
        <f t="shared" si="15"/>
        <v>100</v>
      </c>
    </row>
    <row r="62" spans="1:10" ht="21" customHeight="1" x14ac:dyDescent="0.15">
      <c r="A62" s="47">
        <v>50006908</v>
      </c>
      <c r="B62" s="104">
        <v>0</v>
      </c>
      <c r="C62" s="104">
        <v>20</v>
      </c>
      <c r="D62" s="104">
        <v>100</v>
      </c>
      <c r="E62" s="104">
        <v>75</v>
      </c>
      <c r="F62" s="104" t="s">
        <v>53</v>
      </c>
      <c r="G62" s="104" t="s">
        <v>283</v>
      </c>
      <c r="H62" s="104">
        <v>1</v>
      </c>
      <c r="I62" s="104" t="s">
        <v>53</v>
      </c>
      <c r="J62" s="48">
        <f t="shared" si="15"/>
        <v>100</v>
      </c>
    </row>
    <row r="63" spans="1:10" ht="21" customHeight="1" x14ac:dyDescent="0.15">
      <c r="A63" s="47">
        <v>50006909</v>
      </c>
      <c r="B63" s="104">
        <v>0</v>
      </c>
      <c r="C63" s="104">
        <v>30</v>
      </c>
      <c r="D63" s="104">
        <v>100</v>
      </c>
      <c r="E63" s="104">
        <v>30</v>
      </c>
      <c r="F63" s="104" t="s">
        <v>53</v>
      </c>
      <c r="G63" s="104">
        <v>1</v>
      </c>
      <c r="H63" s="104">
        <v>1</v>
      </c>
      <c r="I63" s="104" t="s">
        <v>306</v>
      </c>
      <c r="J63" s="48">
        <f t="shared" si="15"/>
        <v>100</v>
      </c>
    </row>
    <row r="64" spans="1:10" ht="21" customHeight="1" x14ac:dyDescent="0.15">
      <c r="A64" s="47">
        <v>50006910</v>
      </c>
      <c r="B64" s="104">
        <v>0</v>
      </c>
      <c r="C64" s="104">
        <v>29</v>
      </c>
      <c r="D64" s="104">
        <v>100</v>
      </c>
      <c r="E64" s="104">
        <v>30</v>
      </c>
      <c r="F64" s="104" t="s">
        <v>53</v>
      </c>
      <c r="G64" s="104">
        <v>1</v>
      </c>
      <c r="H64" s="104">
        <v>1</v>
      </c>
      <c r="I64" s="104" t="s">
        <v>284</v>
      </c>
      <c r="J64" s="48">
        <f t="shared" si="15"/>
        <v>100</v>
      </c>
    </row>
    <row r="65" spans="1:10" ht="21" customHeight="1" x14ac:dyDescent="0.15">
      <c r="A65" s="47">
        <v>50006911</v>
      </c>
      <c r="B65" s="104">
        <v>0</v>
      </c>
      <c r="C65" s="104">
        <v>1</v>
      </c>
      <c r="D65" s="104">
        <v>100</v>
      </c>
      <c r="E65" s="104" t="s">
        <v>422</v>
      </c>
      <c r="F65" s="104" t="s">
        <v>53</v>
      </c>
      <c r="G65" s="104">
        <v>0</v>
      </c>
      <c r="H65" s="104" t="s">
        <v>279</v>
      </c>
      <c r="I65" s="104">
        <v>0</v>
      </c>
      <c r="J65" s="48">
        <f t="shared" ref="J65" si="23">D65</f>
        <v>100</v>
      </c>
    </row>
    <row r="66" spans="1:10" ht="21" customHeight="1" x14ac:dyDescent="0.15">
      <c r="A66" s="108">
        <v>50006912</v>
      </c>
      <c r="B66" s="113">
        <v>0</v>
      </c>
      <c r="C66" s="113">
        <v>2</v>
      </c>
      <c r="D66" s="113">
        <v>100</v>
      </c>
      <c r="E66" s="113" t="s">
        <v>422</v>
      </c>
      <c r="F66" s="113" t="s">
        <v>53</v>
      </c>
      <c r="G66" s="113">
        <v>0</v>
      </c>
      <c r="H66" s="113" t="s">
        <v>279</v>
      </c>
      <c r="I66" s="113">
        <v>1018</v>
      </c>
      <c r="J66" s="48">
        <f t="shared" ref="J66" si="24">D66</f>
        <v>100</v>
      </c>
    </row>
    <row r="67" spans="1:10" ht="21" customHeight="1" x14ac:dyDescent="0.15">
      <c r="A67" s="108">
        <v>50006913</v>
      </c>
      <c r="B67" s="113">
        <v>0</v>
      </c>
      <c r="C67" s="113">
        <v>2</v>
      </c>
      <c r="D67" s="113">
        <v>100</v>
      </c>
      <c r="E67" s="113" t="s">
        <v>422</v>
      </c>
      <c r="F67" s="113" t="s">
        <v>53</v>
      </c>
      <c r="G67" s="113">
        <v>0</v>
      </c>
      <c r="H67" s="113" t="s">
        <v>279</v>
      </c>
      <c r="I67" s="113">
        <v>1019</v>
      </c>
      <c r="J67" s="48">
        <f t="shared" ref="J67" si="25">D67</f>
        <v>100</v>
      </c>
    </row>
    <row r="68" spans="1:10" ht="21" customHeight="1" x14ac:dyDescent="0.15">
      <c r="A68" s="108">
        <v>50006914</v>
      </c>
      <c r="B68" s="113">
        <v>0</v>
      </c>
      <c r="C68" s="113">
        <v>4</v>
      </c>
      <c r="D68" s="113">
        <v>100</v>
      </c>
      <c r="E68" s="113" t="s">
        <v>422</v>
      </c>
      <c r="F68" s="113" t="s">
        <v>53</v>
      </c>
      <c r="G68" s="113">
        <v>0</v>
      </c>
      <c r="H68" s="113" t="s">
        <v>279</v>
      </c>
      <c r="I68" s="113">
        <v>1008</v>
      </c>
      <c r="J68" s="48">
        <f t="shared" ref="J68" si="26">D68</f>
        <v>100</v>
      </c>
    </row>
    <row r="69" spans="1:10" ht="21" customHeight="1" x14ac:dyDescent="0.15">
      <c r="A69" s="108">
        <v>50006915</v>
      </c>
      <c r="B69" s="113">
        <v>0</v>
      </c>
      <c r="C69" s="113">
        <v>4</v>
      </c>
      <c r="D69" s="113">
        <v>100</v>
      </c>
      <c r="E69" s="113" t="s">
        <v>422</v>
      </c>
      <c r="F69" s="113" t="s">
        <v>53</v>
      </c>
      <c r="G69" s="113">
        <v>0</v>
      </c>
      <c r="H69" s="113" t="s">
        <v>279</v>
      </c>
      <c r="I69" s="113">
        <v>1009</v>
      </c>
      <c r="J69" s="48">
        <f t="shared" ref="J69" si="27">D69</f>
        <v>100</v>
      </c>
    </row>
    <row r="70" spans="1:10" ht="21" customHeight="1" x14ac:dyDescent="0.15">
      <c r="A70" s="108">
        <v>50006916</v>
      </c>
      <c r="B70" s="113">
        <v>0</v>
      </c>
      <c r="C70" s="113">
        <v>3</v>
      </c>
      <c r="D70" s="113">
        <v>100</v>
      </c>
      <c r="E70" s="113" t="s">
        <v>422</v>
      </c>
      <c r="F70" s="113" t="s">
        <v>53</v>
      </c>
      <c r="G70" s="113">
        <v>0</v>
      </c>
      <c r="H70" s="113" t="s">
        <v>279</v>
      </c>
      <c r="I70" s="113">
        <v>929</v>
      </c>
      <c r="J70" s="48">
        <f t="shared" ref="J70" si="28">D70</f>
        <v>100</v>
      </c>
    </row>
    <row r="71" spans="1:10" ht="21" customHeight="1" x14ac:dyDescent="0.15">
      <c r="A71" s="108">
        <v>50006917</v>
      </c>
      <c r="B71" s="113">
        <v>0</v>
      </c>
      <c r="C71" s="113">
        <v>3</v>
      </c>
      <c r="D71" s="113">
        <v>100</v>
      </c>
      <c r="E71" s="113" t="s">
        <v>422</v>
      </c>
      <c r="F71" s="113" t="s">
        <v>53</v>
      </c>
      <c r="G71" s="113">
        <v>0</v>
      </c>
      <c r="H71" s="113" t="s">
        <v>279</v>
      </c>
      <c r="I71" s="113">
        <v>930</v>
      </c>
      <c r="J71" s="48">
        <f t="shared" ref="J71" si="29">D71</f>
        <v>100</v>
      </c>
    </row>
  </sheetData>
  <autoFilter ref="A1:G1"/>
  <phoneticPr fontId="5"/>
  <conditionalFormatting sqref="K68:K69 K24:K42 K1:K2 K72:K1048576 K49:K66">
    <cfRule type="duplicateValues" dxfId="30" priority="46"/>
  </conditionalFormatting>
  <conditionalFormatting sqref="K5">
    <cfRule type="duplicateValues" dxfId="29" priority="44"/>
  </conditionalFormatting>
  <conditionalFormatting sqref="K6">
    <cfRule type="duplicateValues" dxfId="28" priority="42"/>
  </conditionalFormatting>
  <conditionalFormatting sqref="K7">
    <cfRule type="duplicateValues" dxfId="27" priority="41"/>
  </conditionalFormatting>
  <conditionalFormatting sqref="K8">
    <cfRule type="duplicateValues" dxfId="26" priority="40"/>
  </conditionalFormatting>
  <conditionalFormatting sqref="K9">
    <cfRule type="duplicateValues" dxfId="25" priority="38"/>
  </conditionalFormatting>
  <conditionalFormatting sqref="K10">
    <cfRule type="duplicateValues" dxfId="24" priority="36"/>
  </conditionalFormatting>
  <conditionalFormatting sqref="K11">
    <cfRule type="duplicateValues" dxfId="23" priority="34"/>
  </conditionalFormatting>
  <conditionalFormatting sqref="K13">
    <cfRule type="duplicateValues" dxfId="22" priority="33"/>
  </conditionalFormatting>
  <conditionalFormatting sqref="K14">
    <cfRule type="duplicateValues" dxfId="21" priority="31"/>
  </conditionalFormatting>
  <conditionalFormatting sqref="K15">
    <cfRule type="duplicateValues" dxfId="20" priority="29"/>
  </conditionalFormatting>
  <conditionalFormatting sqref="K16">
    <cfRule type="duplicateValues" dxfId="19" priority="27"/>
  </conditionalFormatting>
  <conditionalFormatting sqref="K17">
    <cfRule type="duplicateValues" dxfId="18" priority="25"/>
  </conditionalFormatting>
  <conditionalFormatting sqref="K18">
    <cfRule type="duplicateValues" dxfId="17" priority="23"/>
  </conditionalFormatting>
  <conditionalFormatting sqref="K19">
    <cfRule type="duplicateValues" dxfId="16" priority="21"/>
  </conditionalFormatting>
  <conditionalFormatting sqref="K20">
    <cfRule type="duplicateValues" dxfId="15" priority="19"/>
  </conditionalFormatting>
  <conditionalFormatting sqref="K21">
    <cfRule type="duplicateValues" dxfId="14" priority="17"/>
  </conditionalFormatting>
  <conditionalFormatting sqref="K23">
    <cfRule type="duplicateValues" dxfId="13" priority="15"/>
  </conditionalFormatting>
  <conditionalFormatting sqref="K12">
    <cfRule type="duplicateValues" dxfId="12" priority="13"/>
  </conditionalFormatting>
  <conditionalFormatting sqref="K22">
    <cfRule type="duplicateValues" dxfId="11" priority="12"/>
  </conditionalFormatting>
  <conditionalFormatting sqref="K3">
    <cfRule type="duplicateValues" dxfId="10" priority="11"/>
  </conditionalFormatting>
  <conditionalFormatting sqref="K4">
    <cfRule type="duplicateValues" dxfId="9" priority="10"/>
  </conditionalFormatting>
  <conditionalFormatting sqref="K67">
    <cfRule type="duplicateValues" dxfId="8" priority="9"/>
  </conditionalFormatting>
  <conditionalFormatting sqref="K70">
    <cfRule type="duplicateValues" dxfId="7" priority="8"/>
  </conditionalFormatting>
  <conditionalFormatting sqref="K71">
    <cfRule type="duplicateValues" dxfId="6" priority="7"/>
  </conditionalFormatting>
  <conditionalFormatting sqref="K43">
    <cfRule type="duplicateValues" dxfId="5" priority="6"/>
  </conditionalFormatting>
  <conditionalFormatting sqref="K44">
    <cfRule type="duplicateValues" dxfId="4" priority="5"/>
  </conditionalFormatting>
  <conditionalFormatting sqref="K45">
    <cfRule type="duplicateValues" dxfId="3" priority="4"/>
  </conditionalFormatting>
  <conditionalFormatting sqref="K46">
    <cfRule type="duplicateValues" dxfId="2" priority="3"/>
  </conditionalFormatting>
  <conditionalFormatting sqref="K47">
    <cfRule type="duplicateValues" dxfId="1" priority="2"/>
  </conditionalFormatting>
  <conditionalFormatting sqref="K4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G16" sqref="G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v>50006</v>
      </c>
      <c r="B2" s="57">
        <v>1</v>
      </c>
      <c r="C2" s="105" t="s">
        <v>323</v>
      </c>
      <c r="D2" s="106" t="s">
        <v>320</v>
      </c>
      <c r="E2" s="57">
        <v>1</v>
      </c>
      <c r="F2" s="57" t="s">
        <v>169</v>
      </c>
      <c r="G2" s="57">
        <v>65000</v>
      </c>
      <c r="H2" s="57" t="s">
        <v>321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</v>
      </c>
      <c r="Q2" s="57" t="s">
        <v>170</v>
      </c>
      <c r="R2" s="57" t="s">
        <v>171</v>
      </c>
    </row>
    <row r="3" spans="1:18" x14ac:dyDescent="0.15">
      <c r="A3" s="57">
        <v>50006</v>
      </c>
      <c r="B3" s="57">
        <v>1</v>
      </c>
      <c r="C3" s="57" t="s">
        <v>323</v>
      </c>
      <c r="D3" s="57" t="s">
        <v>320</v>
      </c>
      <c r="E3" s="57">
        <v>2</v>
      </c>
      <c r="F3" s="57" t="s">
        <v>322</v>
      </c>
      <c r="G3" s="57">
        <v>343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250</v>
      </c>
      <c r="Q3" s="57" t="s">
        <v>170</v>
      </c>
      <c r="R3" s="57" t="s">
        <v>171</v>
      </c>
    </row>
    <row r="4" spans="1:18" x14ac:dyDescent="0.15">
      <c r="A4" s="57">
        <v>50006</v>
      </c>
      <c r="B4" s="57">
        <v>1</v>
      </c>
      <c r="C4" s="57" t="s">
        <v>323</v>
      </c>
      <c r="D4" s="57" t="s">
        <v>320</v>
      </c>
      <c r="E4" s="57">
        <v>3</v>
      </c>
      <c r="F4" s="57" t="s">
        <v>322</v>
      </c>
      <c r="G4" s="57">
        <v>353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50</v>
      </c>
      <c r="Q4" s="57" t="s">
        <v>170</v>
      </c>
      <c r="R4" s="57" t="s">
        <v>171</v>
      </c>
    </row>
    <row r="5" spans="1:18" x14ac:dyDescent="0.15">
      <c r="A5" s="57">
        <v>50006</v>
      </c>
      <c r="B5" s="57">
        <v>1</v>
      </c>
      <c r="C5" s="57" t="s">
        <v>323</v>
      </c>
      <c r="D5" s="57" t="s">
        <v>320</v>
      </c>
      <c r="E5" s="57">
        <v>4</v>
      </c>
      <c r="F5" s="57" t="s">
        <v>322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30</v>
      </c>
      <c r="Q5" s="57" t="s">
        <v>170</v>
      </c>
      <c r="R5" s="57" t="s">
        <v>171</v>
      </c>
    </row>
    <row r="6" spans="1:18" x14ac:dyDescent="0.15">
      <c r="A6" s="57">
        <v>50006</v>
      </c>
      <c r="B6" s="57">
        <v>1</v>
      </c>
      <c r="C6" s="57" t="s">
        <v>323</v>
      </c>
      <c r="D6" s="57" t="s">
        <v>320</v>
      </c>
      <c r="E6" s="57">
        <v>5</v>
      </c>
      <c r="F6" s="57" t="s">
        <v>322</v>
      </c>
      <c r="G6" s="57">
        <v>607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80</v>
      </c>
      <c r="Q6" s="57" t="s">
        <v>170</v>
      </c>
      <c r="R6" s="57" t="s">
        <v>171</v>
      </c>
    </row>
    <row r="7" spans="1:18" x14ac:dyDescent="0.15">
      <c r="A7" s="57">
        <v>50006</v>
      </c>
      <c r="B7" s="57">
        <v>1</v>
      </c>
      <c r="C7" s="57" t="s">
        <v>323</v>
      </c>
      <c r="D7" s="57" t="s">
        <v>320</v>
      </c>
      <c r="E7" s="57">
        <v>6</v>
      </c>
      <c r="F7" s="57" t="s">
        <v>322</v>
      </c>
      <c r="G7" s="57">
        <v>608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80</v>
      </c>
      <c r="Q7" s="57" t="s">
        <v>170</v>
      </c>
      <c r="R7" s="57" t="s">
        <v>171</v>
      </c>
    </row>
    <row r="8" spans="1:18" x14ac:dyDescent="0.15">
      <c r="A8" s="57">
        <v>50006</v>
      </c>
      <c r="B8" s="57">
        <v>1</v>
      </c>
      <c r="C8" s="57" t="s">
        <v>323</v>
      </c>
      <c r="D8" s="57" t="s">
        <v>320</v>
      </c>
      <c r="E8" s="57">
        <v>7</v>
      </c>
      <c r="F8" s="57" t="s">
        <v>322</v>
      </c>
      <c r="G8" s="57">
        <v>609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80</v>
      </c>
      <c r="Q8" s="57" t="s">
        <v>170</v>
      </c>
      <c r="R8" s="57" t="s">
        <v>171</v>
      </c>
    </row>
    <row r="9" spans="1:18" x14ac:dyDescent="0.15">
      <c r="A9" s="57">
        <v>50006</v>
      </c>
      <c r="B9" s="57">
        <v>1</v>
      </c>
      <c r="C9" s="57" t="s">
        <v>323</v>
      </c>
      <c r="D9" s="57" t="s">
        <v>320</v>
      </c>
      <c r="E9" s="57">
        <v>8</v>
      </c>
      <c r="F9" s="57" t="s">
        <v>322</v>
      </c>
      <c r="G9" s="57">
        <v>610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20</v>
      </c>
      <c r="Q9" s="57" t="s">
        <v>170</v>
      </c>
      <c r="R9" s="57" t="s">
        <v>171</v>
      </c>
    </row>
    <row r="10" spans="1:18" x14ac:dyDescent="0.15">
      <c r="A10" s="57">
        <v>50006</v>
      </c>
      <c r="B10" s="57">
        <v>1</v>
      </c>
      <c r="C10" s="57" t="s">
        <v>323</v>
      </c>
      <c r="D10" s="57" t="s">
        <v>320</v>
      </c>
      <c r="E10" s="57">
        <v>9</v>
      </c>
      <c r="F10" s="57" t="s">
        <v>322</v>
      </c>
      <c r="G10" s="57">
        <v>611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170</v>
      </c>
      <c r="R10" s="57" t="s">
        <v>171</v>
      </c>
    </row>
    <row r="11" spans="1:18" x14ac:dyDescent="0.15">
      <c r="A11" s="57">
        <v>50006</v>
      </c>
      <c r="B11" s="57">
        <v>1</v>
      </c>
      <c r="C11" s="57" t="s">
        <v>323</v>
      </c>
      <c r="D11" s="57" t="s">
        <v>320</v>
      </c>
      <c r="E11" s="57">
        <v>10</v>
      </c>
      <c r="F11" s="57" t="s">
        <v>322</v>
      </c>
      <c r="G11" s="57">
        <v>612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7" t="s">
        <v>170</v>
      </c>
      <c r="R11" s="57" t="s">
        <v>171</v>
      </c>
    </row>
    <row r="12" spans="1:18" x14ac:dyDescent="0.15">
      <c r="A12" s="57">
        <v>50006</v>
      </c>
      <c r="B12" s="57">
        <v>1</v>
      </c>
      <c r="C12" s="57" t="s">
        <v>323</v>
      </c>
      <c r="D12" s="57" t="s">
        <v>320</v>
      </c>
      <c r="E12" s="57">
        <v>11</v>
      </c>
      <c r="F12" s="57" t="s">
        <v>322</v>
      </c>
      <c r="G12" s="57">
        <v>613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30</v>
      </c>
      <c r="Q12" s="57" t="s">
        <v>170</v>
      </c>
      <c r="R12" s="57" t="s">
        <v>171</v>
      </c>
    </row>
    <row r="13" spans="1:18" x14ac:dyDescent="0.15">
      <c r="A13" s="57">
        <v>50006</v>
      </c>
      <c r="B13" s="57">
        <v>1</v>
      </c>
      <c r="C13" s="57" t="s">
        <v>323</v>
      </c>
      <c r="D13" s="57" t="s">
        <v>320</v>
      </c>
      <c r="E13" s="57">
        <v>12</v>
      </c>
      <c r="F13" s="57" t="s">
        <v>322</v>
      </c>
      <c r="G13" s="57">
        <v>614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</v>
      </c>
      <c r="Q13" s="57" t="s">
        <v>170</v>
      </c>
      <c r="R13" s="57" t="s">
        <v>171</v>
      </c>
    </row>
    <row r="14" spans="1:18" x14ac:dyDescent="0.15">
      <c r="A14" s="57">
        <v>50006</v>
      </c>
      <c r="B14" s="57">
        <v>1</v>
      </c>
      <c r="C14" s="57" t="s">
        <v>323</v>
      </c>
      <c r="D14" s="57" t="s">
        <v>320</v>
      </c>
      <c r="E14" s="57">
        <v>13</v>
      </c>
      <c r="F14" s="57" t="s">
        <v>322</v>
      </c>
      <c r="G14" s="57">
        <v>837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</v>
      </c>
      <c r="Q14" s="57" t="s">
        <v>170</v>
      </c>
      <c r="R14" s="57" t="s">
        <v>171</v>
      </c>
    </row>
    <row r="15" spans="1:18" x14ac:dyDescent="0.15">
      <c r="A15" s="57">
        <v>50006</v>
      </c>
      <c r="B15" s="57">
        <v>1</v>
      </c>
      <c r="C15" s="57" t="s">
        <v>323</v>
      </c>
      <c r="D15" s="57" t="s">
        <v>320</v>
      </c>
      <c r="E15" s="57">
        <v>14</v>
      </c>
      <c r="F15" s="57" t="s">
        <v>322</v>
      </c>
      <c r="G15" s="57">
        <v>1010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250</v>
      </c>
      <c r="Q15" s="57" t="s">
        <v>170</v>
      </c>
      <c r="R15" s="57" t="s">
        <v>171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K26" sqref="K26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127</v>
      </c>
      <c r="K1" s="78" t="s">
        <v>187</v>
      </c>
      <c r="L1" s="92" t="s">
        <v>186</v>
      </c>
      <c r="M1" s="80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6"/>
  <sheetViews>
    <sheetView showGridLines="0" workbookViewId="0">
      <pane ySplit="1" topLeftCell="A2" activePane="bottomLeft" state="frozen"/>
      <selection pane="bottomLeft" activeCell="M7" sqref="M7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6" t="s">
        <v>189</v>
      </c>
      <c r="B1" s="73" t="s">
        <v>151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127</v>
      </c>
      <c r="L1" s="78" t="s">
        <v>187</v>
      </c>
      <c r="M1" s="92" t="s">
        <v>186</v>
      </c>
      <c r="N1" s="80" t="s">
        <v>197</v>
      </c>
    </row>
    <row r="2" spans="1:15" ht="56" x14ac:dyDescent="0.15">
      <c r="A2" s="81" t="s">
        <v>325</v>
      </c>
      <c r="B2" s="82">
        <f>floors!$C$2</f>
        <v>50006</v>
      </c>
      <c r="C2" s="83" t="str">
        <f ca="1">VLOOKUP($B2,OFFSET([2]quests!$A$1,0,0,COUNTA([2]quests!$A:$A),MATCH(C$1,[2]quests!$1:$1,0)-MATCH($B$1,[2]quests!$1:$1,0)+1),MATCH(C$1,[2]quests!$1:$1,0)-MATCH($B$1,[2]quests!$1:$1,0)+1,FALSE)</f>
        <v>セト襲来！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超降臨6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超降臨6</v>
      </c>
      <c r="H2" s="85">
        <v>1</v>
      </c>
      <c r="I2" s="90">
        <f t="shared" ref="I2:I15" si="0">ROW()-1</f>
        <v>1</v>
      </c>
      <c r="J2" s="86" t="str">
        <f t="shared" ref="J2:J11" si="1">B2&amp;TEXT(I2,"00")</f>
        <v>5000601</v>
      </c>
      <c r="K2" s="84" t="s">
        <v>198</v>
      </c>
      <c r="L2" s="87" t="s">
        <v>199</v>
      </c>
      <c r="M2" s="107" t="s">
        <v>326</v>
      </c>
      <c r="N2" s="57" t="s">
        <v>200</v>
      </c>
      <c r="O2">
        <f>LEN(M2)</f>
        <v>56</v>
      </c>
    </row>
    <row r="3" spans="1:15" ht="56" x14ac:dyDescent="0.15">
      <c r="A3" s="81" t="s">
        <v>325</v>
      </c>
      <c r="B3" s="82">
        <f>floors!$C$2</f>
        <v>50006</v>
      </c>
      <c r="C3" s="83" t="str">
        <f ca="1">VLOOKUP($B3,OFFSET([2]quests!$A$1,0,0,COUNTA([2]quests!$A:$A),MATCH(C$1,[2]quests!$1:$1,0)-MATCH($B$1,[2]quests!$1:$1,0)+1),MATCH(C$1,[2]quests!$1:$1,0)-MATCH($B$1,[2]quests!$1:$1,0)+1,FALSE)</f>
        <v>セト襲来！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超降臨6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超降臨6</v>
      </c>
      <c r="H3" s="85">
        <v>2</v>
      </c>
      <c r="I3" s="90">
        <f t="shared" si="0"/>
        <v>2</v>
      </c>
      <c r="J3" s="86" t="str">
        <f t="shared" si="1"/>
        <v>5000602</v>
      </c>
      <c r="K3" s="84" t="s">
        <v>128</v>
      </c>
      <c r="L3" s="87" t="s">
        <v>199</v>
      </c>
      <c r="M3" s="107" t="s">
        <v>327</v>
      </c>
      <c r="N3" s="57" t="s">
        <v>200</v>
      </c>
      <c r="O3">
        <f t="shared" ref="O3:O15" si="2">LEN(M3)</f>
        <v>54</v>
      </c>
    </row>
    <row r="4" spans="1:15" ht="56" x14ac:dyDescent="0.15">
      <c r="A4" s="81" t="s">
        <v>325</v>
      </c>
      <c r="B4" s="82">
        <f>floors!$C$2</f>
        <v>50006</v>
      </c>
      <c r="C4" s="83" t="str">
        <f ca="1">VLOOKUP($B4,OFFSET([2]quests!$A$1,0,0,COUNTA([2]quests!$A:$A),MATCH(C$1,[2]quests!$1:$1,0)-MATCH($B$1,[2]quests!$1:$1,0)+1),MATCH(C$1,[2]quests!$1:$1,0)-MATCH($B$1,[2]quests!$1:$1,0)+1,FALSE)</f>
        <v>セト襲来！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超降臨6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超降臨6</v>
      </c>
      <c r="H4" s="85">
        <v>2</v>
      </c>
      <c r="I4" s="90">
        <f t="shared" si="0"/>
        <v>3</v>
      </c>
      <c r="J4" s="86" t="str">
        <f t="shared" si="1"/>
        <v>5000603</v>
      </c>
      <c r="K4" s="84" t="s">
        <v>128</v>
      </c>
      <c r="L4" s="87" t="s">
        <v>199</v>
      </c>
      <c r="M4" s="107" t="s">
        <v>328</v>
      </c>
      <c r="N4" s="57" t="s">
        <v>200</v>
      </c>
      <c r="O4">
        <f t="shared" si="2"/>
        <v>57</v>
      </c>
    </row>
    <row r="5" spans="1:15" ht="56" x14ac:dyDescent="0.15">
      <c r="A5" s="81" t="s">
        <v>325</v>
      </c>
      <c r="B5" s="82">
        <f>floors!$C$2</f>
        <v>50006</v>
      </c>
      <c r="C5" s="83" t="str">
        <f ca="1">VLOOKUP($B5,OFFSET([2]quests!$A$1,0,0,COUNTA([2]quests!$A:$A),MATCH(C$1,[2]quests!$1:$1,0)-MATCH($B$1,[2]quests!$1:$1,0)+1),MATCH(C$1,[2]quests!$1:$1,0)-MATCH($B$1,[2]quests!$1:$1,0)+1,FALSE)</f>
        <v>セト襲来！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超降臨6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超降臨6</v>
      </c>
      <c r="H5" s="85">
        <v>3</v>
      </c>
      <c r="I5" s="90">
        <f t="shared" si="0"/>
        <v>4</v>
      </c>
      <c r="J5" s="86" t="str">
        <f t="shared" si="1"/>
        <v>5000604</v>
      </c>
      <c r="K5" s="84" t="s">
        <v>128</v>
      </c>
      <c r="L5" s="87" t="s">
        <v>199</v>
      </c>
      <c r="M5" s="107" t="s">
        <v>329</v>
      </c>
      <c r="N5" s="57" t="s">
        <v>200</v>
      </c>
      <c r="O5">
        <f t="shared" si="2"/>
        <v>53</v>
      </c>
    </row>
    <row r="6" spans="1:15" ht="70" x14ac:dyDescent="0.15">
      <c r="A6" s="81" t="s">
        <v>325</v>
      </c>
      <c r="B6" s="82">
        <f>floors!$C$2</f>
        <v>50006</v>
      </c>
      <c r="C6" s="83" t="str">
        <f ca="1">VLOOKUP($B6,OFFSET([2]quests!$A$1,0,0,COUNTA([2]quests!$A:$A),MATCH(C$1,[2]quests!$1:$1,0)-MATCH($B$1,[2]quests!$1:$1,0)+1),MATCH(C$1,[2]quests!$1:$1,0)-MATCH($B$1,[2]quests!$1:$1,0)+1,FALSE)</f>
        <v>セト襲来！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超降臨6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超降臨6</v>
      </c>
      <c r="H6" s="85">
        <v>3</v>
      </c>
      <c r="I6" s="90">
        <f t="shared" si="0"/>
        <v>5</v>
      </c>
      <c r="J6" s="86" t="str">
        <f t="shared" si="1"/>
        <v>5000605</v>
      </c>
      <c r="K6" s="84" t="s">
        <v>128</v>
      </c>
      <c r="L6" s="87" t="s">
        <v>199</v>
      </c>
      <c r="M6" s="107" t="s">
        <v>330</v>
      </c>
      <c r="N6" s="57" t="s">
        <v>200</v>
      </c>
      <c r="O6">
        <f t="shared" si="2"/>
        <v>62</v>
      </c>
    </row>
    <row r="7" spans="1:15" ht="56" x14ac:dyDescent="0.15">
      <c r="A7" s="81" t="s">
        <v>325</v>
      </c>
      <c r="B7" s="82">
        <f>floors!$C$2</f>
        <v>50006</v>
      </c>
      <c r="C7" s="83" t="str">
        <f ca="1">VLOOKUP($B7,OFFSET([2]quests!$A$1,0,0,COUNTA([2]quests!$A:$A),MATCH(C$1,[2]quests!$1:$1,0)-MATCH($B$1,[2]quests!$1:$1,0)+1),MATCH(C$1,[2]quests!$1:$1,0)-MATCH($B$1,[2]quests!$1:$1,0)+1,FALSE)</f>
        <v>セト襲来！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超降臨6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超降臨6</v>
      </c>
      <c r="H7" s="85">
        <v>3</v>
      </c>
      <c r="I7" s="90">
        <f t="shared" si="0"/>
        <v>6</v>
      </c>
      <c r="J7" s="86" t="str">
        <f t="shared" si="1"/>
        <v>5000606</v>
      </c>
      <c r="K7" s="84" t="s">
        <v>128</v>
      </c>
      <c r="L7" s="87" t="s">
        <v>199</v>
      </c>
      <c r="M7" s="107" t="s">
        <v>331</v>
      </c>
      <c r="N7" s="57" t="s">
        <v>200</v>
      </c>
      <c r="O7">
        <f t="shared" si="2"/>
        <v>49</v>
      </c>
    </row>
    <row r="8" spans="1:15" ht="56" x14ac:dyDescent="0.15">
      <c r="A8" s="81" t="s">
        <v>325</v>
      </c>
      <c r="B8" s="82">
        <f>floors!$C$2</f>
        <v>50006</v>
      </c>
      <c r="C8" s="83" t="str">
        <f ca="1">VLOOKUP($B8,OFFSET([2]quests!$A$1,0,0,COUNTA([2]quests!$A:$A),MATCH(C$1,[2]quests!$1:$1,0)-MATCH($B$1,[2]quests!$1:$1,0)+1),MATCH(C$1,[2]quests!$1:$1,0)-MATCH($B$1,[2]quests!$1:$1,0)+1,FALSE)</f>
        <v>セト襲来！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超降臨6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超降臨6</v>
      </c>
      <c r="H8" s="85">
        <v>4</v>
      </c>
      <c r="I8" s="90">
        <f t="shared" si="0"/>
        <v>7</v>
      </c>
      <c r="J8" s="86" t="str">
        <f t="shared" si="1"/>
        <v>5000607</v>
      </c>
      <c r="K8" s="84" t="s">
        <v>128</v>
      </c>
      <c r="L8" s="87" t="s">
        <v>199</v>
      </c>
      <c r="M8" s="107" t="s">
        <v>437</v>
      </c>
      <c r="N8" s="57" t="s">
        <v>200</v>
      </c>
      <c r="O8">
        <f t="shared" si="2"/>
        <v>51</v>
      </c>
    </row>
    <row r="9" spans="1:15" ht="56" x14ac:dyDescent="0.15">
      <c r="A9" s="81" t="s">
        <v>325</v>
      </c>
      <c r="B9" s="82">
        <f>floors!$C$2</f>
        <v>50006</v>
      </c>
      <c r="C9" s="83" t="str">
        <f ca="1">VLOOKUP($B9,OFFSET([2]quests!$A$1,0,0,COUNTA([2]quests!$A:$A),MATCH(C$1,[2]quests!$1:$1,0)-MATCH($B$1,[2]quests!$1:$1,0)+1),MATCH(C$1,[2]quests!$1:$1,0)-MATCH($B$1,[2]quests!$1:$1,0)+1,FALSE)</f>
        <v>セト襲来！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超降臨6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超降臨6</v>
      </c>
      <c r="H9" s="85">
        <v>4</v>
      </c>
      <c r="I9" s="90">
        <f t="shared" si="0"/>
        <v>8</v>
      </c>
      <c r="J9" s="86" t="str">
        <f t="shared" si="1"/>
        <v>5000608</v>
      </c>
      <c r="K9" s="84" t="s">
        <v>128</v>
      </c>
      <c r="L9" s="87" t="s">
        <v>199</v>
      </c>
      <c r="M9" s="107" t="s">
        <v>332</v>
      </c>
      <c r="N9" s="57" t="s">
        <v>200</v>
      </c>
      <c r="O9">
        <f t="shared" si="2"/>
        <v>52</v>
      </c>
    </row>
    <row r="10" spans="1:15" ht="56" x14ac:dyDescent="0.15">
      <c r="A10" s="81" t="s">
        <v>325</v>
      </c>
      <c r="B10" s="82">
        <f>floors!$C$2</f>
        <v>50006</v>
      </c>
      <c r="C10" s="83" t="str">
        <f ca="1">VLOOKUP($B10,OFFSET([2]quests!$A$1,0,0,COUNTA([2]quests!$A:$A),MATCH(C$1,[2]quests!$1:$1,0)-MATCH($B$1,[2]quests!$1:$1,0)+1),MATCH(C$1,[2]quests!$1:$1,0)-MATCH($B$1,[2]quests!$1:$1,0)+1,FALSE)</f>
        <v>セト襲来！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超降臨6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超降臨6</v>
      </c>
      <c r="H10" s="85">
        <v>4</v>
      </c>
      <c r="I10" s="90">
        <f t="shared" si="0"/>
        <v>9</v>
      </c>
      <c r="J10" s="86" t="str">
        <f t="shared" si="1"/>
        <v>5000609</v>
      </c>
      <c r="K10" s="84" t="s">
        <v>128</v>
      </c>
      <c r="L10" s="87" t="s">
        <v>199</v>
      </c>
      <c r="M10" s="107" t="s">
        <v>333</v>
      </c>
      <c r="N10" s="57" t="s">
        <v>200</v>
      </c>
      <c r="O10">
        <f t="shared" si="2"/>
        <v>55</v>
      </c>
    </row>
    <row r="11" spans="1:15" ht="56" x14ac:dyDescent="0.15">
      <c r="A11" s="81" t="s">
        <v>325</v>
      </c>
      <c r="B11" s="82">
        <f>floors!$C$2</f>
        <v>50006</v>
      </c>
      <c r="C11" s="83" t="str">
        <f ca="1">VLOOKUP($B11,OFFSET([2]quests!$A$1,0,0,COUNTA([2]quests!$A:$A),MATCH(C$1,[2]quests!$1:$1,0)-MATCH($B$1,[2]quests!$1:$1,0)+1),MATCH(C$1,[2]quests!$1:$1,0)-MATCH($B$1,[2]quests!$1:$1,0)+1,FALSE)</f>
        <v>セト襲来！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超降臨6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超降臨6</v>
      </c>
      <c r="H11" s="85">
        <v>4</v>
      </c>
      <c r="I11" s="90">
        <f t="shared" si="0"/>
        <v>10</v>
      </c>
      <c r="J11" s="86" t="str">
        <f t="shared" si="1"/>
        <v>5000610</v>
      </c>
      <c r="K11" s="84" t="s">
        <v>128</v>
      </c>
      <c r="L11" s="87" t="s">
        <v>199</v>
      </c>
      <c r="M11" s="107" t="s">
        <v>334</v>
      </c>
      <c r="N11" s="57" t="s">
        <v>200</v>
      </c>
      <c r="O11">
        <f t="shared" si="2"/>
        <v>55</v>
      </c>
    </row>
    <row r="12" spans="1:15" ht="28" x14ac:dyDescent="0.15">
      <c r="A12" s="81" t="s">
        <v>428</v>
      </c>
      <c r="B12" s="82">
        <f>floors!$C$2</f>
        <v>50006</v>
      </c>
      <c r="C12" s="83" t="str">
        <f ca="1">VLOOKUP($B12,OFFSET([2]quests!$A$1,0,0,COUNTA([2]quests!$A:$A),MATCH(C$1,[2]quests!$1:$1,0)-MATCH($B$1,[2]quests!$1:$1,0)+1),MATCH(C$1,[2]quests!$1:$1,0)-MATCH($B$1,[2]quests!$1:$1,0)+1,FALSE)</f>
        <v>セト襲来！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超降臨6</v>
      </c>
      <c r="E12" s="84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超降臨6</v>
      </c>
      <c r="H12" s="85">
        <v>0</v>
      </c>
      <c r="I12" s="90">
        <f t="shared" si="0"/>
        <v>11</v>
      </c>
      <c r="J12" s="86" t="str">
        <f t="shared" ref="J12" si="3">B12&amp;TEXT(I12,"00")</f>
        <v>5000611</v>
      </c>
      <c r="K12" s="84" t="s">
        <v>128</v>
      </c>
      <c r="L12" s="87" t="s">
        <v>430</v>
      </c>
      <c r="M12" s="107" t="s">
        <v>429</v>
      </c>
      <c r="N12" s="57" t="s">
        <v>200</v>
      </c>
      <c r="O12">
        <f t="shared" si="2"/>
        <v>39</v>
      </c>
    </row>
    <row r="13" spans="1:15" ht="42" x14ac:dyDescent="0.15">
      <c r="A13" s="81" t="s">
        <v>428</v>
      </c>
      <c r="B13" s="82">
        <f>floors!$C$2</f>
        <v>50006</v>
      </c>
      <c r="C13" s="83" t="str">
        <f ca="1">VLOOKUP($B13,OFFSET([2]quests!$A$1,0,0,COUNTA([2]quests!$A:$A),MATCH(C$1,[2]quests!$1:$1,0)-MATCH($B$1,[2]quests!$1:$1,0)+1),MATCH(C$1,[2]quests!$1:$1,0)-MATCH($B$1,[2]quests!$1:$1,0)+1,FALSE)</f>
        <v>セト襲来！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超降臨6</v>
      </c>
      <c r="E13" s="84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超降臨6</v>
      </c>
      <c r="H13" s="85">
        <v>0</v>
      </c>
      <c r="I13" s="90">
        <f t="shared" si="0"/>
        <v>12</v>
      </c>
      <c r="J13" s="86" t="str">
        <f t="shared" ref="J13:J15" si="4">B13&amp;TEXT(I13,"00")</f>
        <v>5000612</v>
      </c>
      <c r="K13" s="84" t="s">
        <v>128</v>
      </c>
      <c r="L13" s="87" t="s">
        <v>431</v>
      </c>
      <c r="M13" s="107" t="s">
        <v>432</v>
      </c>
      <c r="N13" s="57" t="s">
        <v>200</v>
      </c>
      <c r="O13">
        <f t="shared" si="2"/>
        <v>53</v>
      </c>
    </row>
    <row r="14" spans="1:15" ht="42" x14ac:dyDescent="0.15">
      <c r="A14" s="81" t="s">
        <v>428</v>
      </c>
      <c r="B14" s="82">
        <f>floors!$C$2</f>
        <v>50006</v>
      </c>
      <c r="C14" s="83" t="str">
        <f ca="1">VLOOKUP($B14,OFFSET([2]quests!$A$1,0,0,COUNTA([2]quests!$A:$A),MATCH(C$1,[2]quests!$1:$1,0)-MATCH($B$1,[2]quests!$1:$1,0)+1),MATCH(C$1,[2]quests!$1:$1,0)-MATCH($B$1,[2]quests!$1:$1,0)+1,FALSE)</f>
        <v>セト襲来！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超降臨6</v>
      </c>
      <c r="E14" s="84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超降臨6</v>
      </c>
      <c r="H14" s="85">
        <v>0</v>
      </c>
      <c r="I14" s="90">
        <f t="shared" si="0"/>
        <v>13</v>
      </c>
      <c r="J14" s="86" t="str">
        <f t="shared" si="4"/>
        <v>5000613</v>
      </c>
      <c r="K14" s="84" t="s">
        <v>128</v>
      </c>
      <c r="L14" s="87" t="s">
        <v>433</v>
      </c>
      <c r="M14" s="107" t="s">
        <v>435</v>
      </c>
      <c r="N14" s="57" t="s">
        <v>200</v>
      </c>
      <c r="O14">
        <f t="shared" si="2"/>
        <v>50</v>
      </c>
    </row>
    <row r="15" spans="1:15" ht="56" x14ac:dyDescent="0.15">
      <c r="A15" s="81" t="s">
        <v>428</v>
      </c>
      <c r="B15" s="82">
        <f>floors!$C$2</f>
        <v>50006</v>
      </c>
      <c r="C15" s="83" t="str">
        <f ca="1">VLOOKUP($B15,OFFSET([2]quests!$A$1,0,0,COUNTA([2]quests!$A:$A),MATCH(C$1,[2]quests!$1:$1,0)-MATCH($B$1,[2]quests!$1:$1,0)+1),MATCH(C$1,[2]quests!$1:$1,0)-MATCH($B$1,[2]quests!$1:$1,0)+1,FALSE)</f>
        <v>セト襲来！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超降臨6</v>
      </c>
      <c r="E15" s="84">
        <v>1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【超ウィザード級】セト襲来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超降臨6</v>
      </c>
      <c r="H15" s="85">
        <v>0</v>
      </c>
      <c r="I15" s="90">
        <f t="shared" si="0"/>
        <v>14</v>
      </c>
      <c r="J15" s="86" t="str">
        <f t="shared" si="4"/>
        <v>5000614</v>
      </c>
      <c r="K15" s="84" t="s">
        <v>128</v>
      </c>
      <c r="L15" s="87" t="s">
        <v>436</v>
      </c>
      <c r="M15" s="107" t="s">
        <v>434</v>
      </c>
      <c r="N15" s="57" t="s">
        <v>200</v>
      </c>
      <c r="O15">
        <f t="shared" si="2"/>
        <v>61</v>
      </c>
    </row>
    <row r="16" spans="1:15" ht="17" x14ac:dyDescent="0.2">
      <c r="M16" s="114"/>
    </row>
  </sheetData>
  <phoneticPr fontId="5"/>
  <dataValidations disablePrompts="1"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pane="bottomLeft" activeCell="A2" sqref="A2:XFD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157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2017-05-08T08:01:49Z</dcterms:modified>
</cp:coreProperties>
</file>