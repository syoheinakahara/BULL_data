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460" yWindow="460" windowWidth="25140" windowHeight="14640" tabRatio="943" activeTab="2"/>
  </bookViews>
  <sheets>
    <sheet name="確率の考え方" sheetId="110" r:id="rId1"/>
    <sheet name="Sheet1" sheetId="107" r:id="rId2"/>
    <sheet name="output" sheetId="103" r:id="rId3"/>
    <sheet name="input_354010" sheetId="106" r:id="rId4"/>
    <sheet name="tables_354010" sheetId="82" r:id="rId5"/>
    <sheet name="input_354100" sheetId="116" r:id="rId6"/>
    <sheet name="tables_354100" sheetId="117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tables_354010!$A$1:$V$271</definedName>
    <definedName name="_xlnm._FilterDatabase" localSheetId="6" hidden="1">tables_354100!$A$1:$V$271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06" l="1"/>
  <c r="A278" i="82"/>
  <c r="A279" i="82"/>
  <c r="A280" i="82"/>
  <c r="A281" i="82"/>
  <c r="A282" i="82"/>
  <c r="A283" i="82"/>
  <c r="A2" i="116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F5" i="106"/>
  <c r="F6" i="106"/>
  <c r="A36" i="106"/>
  <c r="E6" i="106"/>
  <c r="Q3" i="106"/>
  <c r="Q4" i="106"/>
  <c r="Q5" i="106"/>
  <c r="Q6" i="106"/>
  <c r="E19" i="106"/>
  <c r="B5" i="106"/>
  <c r="B19" i="106"/>
  <c r="E5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R3" i="106"/>
  <c r="O176" i="82"/>
  <c r="R4" i="106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R5" i="106"/>
  <c r="O191" i="82"/>
  <c r="R6" i="106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B29" i="106"/>
  <c r="V6" i="106"/>
  <c r="B23" i="106"/>
  <c r="B22" i="106"/>
  <c r="G22" i="106"/>
  <c r="E22" i="106"/>
  <c r="H22" i="106"/>
  <c r="O266" i="82"/>
  <c r="G23" i="106"/>
  <c r="E23" i="106"/>
  <c r="H23" i="106"/>
  <c r="O267" i="82"/>
  <c r="O268" i="82"/>
  <c r="O269" i="82"/>
  <c r="G29" i="106"/>
  <c r="E29" i="106"/>
  <c r="H29" i="106"/>
  <c r="O270" i="82"/>
  <c r="O271" i="82"/>
  <c r="O272" i="82"/>
  <c r="O273" i="82"/>
  <c r="O274" i="82"/>
  <c r="O275" i="82"/>
  <c r="O276" i="82"/>
  <c r="O277" i="82"/>
  <c r="I2" i="117"/>
  <c r="D2" i="117"/>
  <c r="J2" i="117"/>
  <c r="E2" i="117"/>
  <c r="C2" i="117"/>
  <c r="I3" i="117"/>
  <c r="D3" i="117"/>
  <c r="J3" i="117"/>
  <c r="E3" i="117"/>
  <c r="C3" i="117"/>
  <c r="I4" i="117"/>
  <c r="D4" i="117"/>
  <c r="J4" i="117"/>
  <c r="E4" i="117"/>
  <c r="C4" i="117"/>
  <c r="I5" i="117"/>
  <c r="D5" i="117"/>
  <c r="J5" i="117"/>
  <c r="E5" i="117"/>
  <c r="C5" i="117"/>
  <c r="I6" i="117"/>
  <c r="D6" i="117"/>
  <c r="J6" i="117"/>
  <c r="E6" i="117"/>
  <c r="C6" i="117"/>
  <c r="I7" i="117"/>
  <c r="D7" i="117"/>
  <c r="J7" i="117"/>
  <c r="E7" i="117"/>
  <c r="C7" i="117"/>
  <c r="I8" i="117"/>
  <c r="D8" i="117"/>
  <c r="J8" i="117"/>
  <c r="E8" i="117"/>
  <c r="C8" i="117"/>
  <c r="I9" i="117"/>
  <c r="D9" i="117"/>
  <c r="J9" i="117"/>
  <c r="E9" i="117"/>
  <c r="C9" i="117"/>
  <c r="I10" i="117"/>
  <c r="D10" i="117"/>
  <c r="J10" i="117"/>
  <c r="E10" i="117"/>
  <c r="C10" i="117"/>
  <c r="I11" i="117"/>
  <c r="D11" i="117"/>
  <c r="J11" i="117"/>
  <c r="E11" i="117"/>
  <c r="C11" i="117"/>
  <c r="I12" i="117"/>
  <c r="D12" i="117"/>
  <c r="J12" i="117"/>
  <c r="E12" i="117"/>
  <c r="C12" i="117"/>
  <c r="I13" i="117"/>
  <c r="D13" i="117"/>
  <c r="J13" i="117"/>
  <c r="E13" i="117"/>
  <c r="C13" i="117"/>
  <c r="I14" i="117"/>
  <c r="D14" i="117"/>
  <c r="J14" i="117"/>
  <c r="E14" i="117"/>
  <c r="C14" i="117"/>
  <c r="I15" i="117"/>
  <c r="D15" i="117"/>
  <c r="J15" i="117"/>
  <c r="E15" i="117"/>
  <c r="C15" i="117"/>
  <c r="I16" i="117"/>
  <c r="D16" i="117"/>
  <c r="J16" i="117"/>
  <c r="E16" i="117"/>
  <c r="C16" i="117"/>
  <c r="I17" i="117"/>
  <c r="D17" i="117"/>
  <c r="J17" i="117"/>
  <c r="E17" i="117"/>
  <c r="C17" i="117"/>
  <c r="I18" i="117"/>
  <c r="D18" i="117"/>
  <c r="J18" i="117"/>
  <c r="E18" i="117"/>
  <c r="C18" i="117"/>
  <c r="I19" i="117"/>
  <c r="D19" i="117"/>
  <c r="J19" i="117"/>
  <c r="E19" i="117"/>
  <c r="C19" i="117"/>
  <c r="I20" i="117"/>
  <c r="D20" i="117"/>
  <c r="J20" i="117"/>
  <c r="E20" i="117"/>
  <c r="C20" i="117"/>
  <c r="I21" i="117"/>
  <c r="D21" i="117"/>
  <c r="J21" i="117"/>
  <c r="E21" i="117"/>
  <c r="C21" i="117"/>
  <c r="I22" i="117"/>
  <c r="D22" i="117"/>
  <c r="J22" i="117"/>
  <c r="E22" i="117"/>
  <c r="C22" i="117"/>
  <c r="I23" i="117"/>
  <c r="D23" i="117"/>
  <c r="J23" i="117"/>
  <c r="E23" i="117"/>
  <c r="C23" i="117"/>
  <c r="I24" i="117"/>
  <c r="D24" i="117"/>
  <c r="J24" i="117"/>
  <c r="E24" i="117"/>
  <c r="C24" i="117"/>
  <c r="I25" i="117"/>
  <c r="D25" i="117"/>
  <c r="J25" i="117"/>
  <c r="E25" i="117"/>
  <c r="C25" i="117"/>
  <c r="I26" i="117"/>
  <c r="D26" i="117"/>
  <c r="J26" i="117"/>
  <c r="E26" i="117"/>
  <c r="C26" i="117"/>
  <c r="I27" i="117"/>
  <c r="D27" i="117"/>
  <c r="J27" i="117"/>
  <c r="E27" i="117"/>
  <c r="C27" i="117"/>
  <c r="I28" i="117"/>
  <c r="D28" i="117"/>
  <c r="J28" i="117"/>
  <c r="E28" i="117"/>
  <c r="C28" i="117"/>
  <c r="I29" i="117"/>
  <c r="D29" i="117"/>
  <c r="J29" i="117"/>
  <c r="E29" i="117"/>
  <c r="C29" i="117"/>
  <c r="I30" i="117"/>
  <c r="D30" i="117"/>
  <c r="J30" i="117"/>
  <c r="E30" i="117"/>
  <c r="C30" i="117"/>
  <c r="I31" i="117"/>
  <c r="D31" i="117"/>
  <c r="J31" i="117"/>
  <c r="E31" i="117"/>
  <c r="C31" i="117"/>
  <c r="I32" i="117"/>
  <c r="D32" i="117"/>
  <c r="J32" i="117"/>
  <c r="E32" i="117"/>
  <c r="C32" i="117"/>
  <c r="I33" i="117"/>
  <c r="D33" i="117"/>
  <c r="J33" i="117"/>
  <c r="E33" i="117"/>
  <c r="C33" i="117"/>
  <c r="I34" i="117"/>
  <c r="D34" i="117"/>
  <c r="J34" i="117"/>
  <c r="E34" i="117"/>
  <c r="C34" i="117"/>
  <c r="I35" i="117"/>
  <c r="D35" i="117"/>
  <c r="J35" i="117"/>
  <c r="E35" i="117"/>
  <c r="C35" i="117"/>
  <c r="I36" i="117"/>
  <c r="D36" i="117"/>
  <c r="J36" i="117"/>
  <c r="E36" i="117"/>
  <c r="C36" i="117"/>
  <c r="I37" i="117"/>
  <c r="D37" i="117"/>
  <c r="J37" i="117"/>
  <c r="E37" i="117"/>
  <c r="C37" i="117"/>
  <c r="I38" i="117"/>
  <c r="D38" i="117"/>
  <c r="J38" i="117"/>
  <c r="E38" i="117"/>
  <c r="C38" i="117"/>
  <c r="I39" i="117"/>
  <c r="D39" i="117"/>
  <c r="J39" i="117"/>
  <c r="E39" i="117"/>
  <c r="C39" i="117"/>
  <c r="I40" i="117"/>
  <c r="D40" i="117"/>
  <c r="J40" i="117"/>
  <c r="E40" i="117"/>
  <c r="C40" i="117"/>
  <c r="I41" i="117"/>
  <c r="D41" i="117"/>
  <c r="J41" i="117"/>
  <c r="E41" i="117"/>
  <c r="C41" i="117"/>
  <c r="I42" i="117"/>
  <c r="D42" i="117"/>
  <c r="J42" i="117"/>
  <c r="E42" i="117"/>
  <c r="C42" i="117"/>
  <c r="I43" i="117"/>
  <c r="D43" i="117"/>
  <c r="J43" i="117"/>
  <c r="E43" i="117"/>
  <c r="C43" i="117"/>
  <c r="I44" i="117"/>
  <c r="D44" i="117"/>
  <c r="J44" i="117"/>
  <c r="E44" i="117"/>
  <c r="C44" i="117"/>
  <c r="I45" i="117"/>
  <c r="D45" i="117"/>
  <c r="J45" i="117"/>
  <c r="E45" i="117"/>
  <c r="C45" i="117"/>
  <c r="I46" i="117"/>
  <c r="D46" i="117"/>
  <c r="J46" i="117"/>
  <c r="E46" i="117"/>
  <c r="C46" i="117"/>
  <c r="I47" i="117"/>
  <c r="D47" i="117"/>
  <c r="J47" i="117"/>
  <c r="E47" i="117"/>
  <c r="C47" i="117"/>
  <c r="I48" i="117"/>
  <c r="D48" i="117"/>
  <c r="J48" i="117"/>
  <c r="E48" i="117"/>
  <c r="C48" i="117"/>
  <c r="I49" i="117"/>
  <c r="D49" i="117"/>
  <c r="J49" i="117"/>
  <c r="E49" i="117"/>
  <c r="C49" i="117"/>
  <c r="I50" i="117"/>
  <c r="D50" i="117"/>
  <c r="J50" i="117"/>
  <c r="E50" i="117"/>
  <c r="C50" i="117"/>
  <c r="I51" i="117"/>
  <c r="D51" i="117"/>
  <c r="J51" i="117"/>
  <c r="E51" i="117"/>
  <c r="C51" i="117"/>
  <c r="I52" i="117"/>
  <c r="D52" i="117"/>
  <c r="J52" i="117"/>
  <c r="E52" i="117"/>
  <c r="C52" i="117"/>
  <c r="I53" i="117"/>
  <c r="D53" i="117"/>
  <c r="J53" i="117"/>
  <c r="E53" i="117"/>
  <c r="C53" i="117"/>
  <c r="I54" i="117"/>
  <c r="D54" i="117"/>
  <c r="J54" i="117"/>
  <c r="E54" i="117"/>
  <c r="C54" i="117"/>
  <c r="I55" i="117"/>
  <c r="D55" i="117"/>
  <c r="J55" i="117"/>
  <c r="E55" i="117"/>
  <c r="C55" i="117"/>
  <c r="I56" i="117"/>
  <c r="D56" i="117"/>
  <c r="J56" i="117"/>
  <c r="E56" i="117"/>
  <c r="C56" i="117"/>
  <c r="I57" i="117"/>
  <c r="D57" i="117"/>
  <c r="J57" i="117"/>
  <c r="E57" i="117"/>
  <c r="C57" i="117"/>
  <c r="I58" i="117"/>
  <c r="D58" i="117"/>
  <c r="J58" i="117"/>
  <c r="E58" i="117"/>
  <c r="C58" i="117"/>
  <c r="I59" i="117"/>
  <c r="D59" i="117"/>
  <c r="J59" i="117"/>
  <c r="E59" i="117"/>
  <c r="C59" i="117"/>
  <c r="I60" i="117"/>
  <c r="D60" i="117"/>
  <c r="J60" i="117"/>
  <c r="E60" i="117"/>
  <c r="C60" i="117"/>
  <c r="I61" i="117"/>
  <c r="D61" i="117"/>
  <c r="J61" i="117"/>
  <c r="E61" i="117"/>
  <c r="C61" i="117"/>
  <c r="I62" i="117"/>
  <c r="D62" i="117"/>
  <c r="J62" i="117"/>
  <c r="E62" i="117"/>
  <c r="C62" i="117"/>
  <c r="I63" i="117"/>
  <c r="D63" i="117"/>
  <c r="J63" i="117"/>
  <c r="E63" i="117"/>
  <c r="C63" i="117"/>
  <c r="I64" i="117"/>
  <c r="D64" i="117"/>
  <c r="J64" i="117"/>
  <c r="E64" i="117"/>
  <c r="C64" i="117"/>
  <c r="I65" i="117"/>
  <c r="D65" i="117"/>
  <c r="J65" i="117"/>
  <c r="E65" i="117"/>
  <c r="C65" i="117"/>
  <c r="I66" i="117"/>
  <c r="D66" i="117"/>
  <c r="J66" i="117"/>
  <c r="E66" i="117"/>
  <c r="C66" i="117"/>
  <c r="I67" i="117"/>
  <c r="D67" i="117"/>
  <c r="J67" i="117"/>
  <c r="E67" i="117"/>
  <c r="C67" i="117"/>
  <c r="I68" i="117"/>
  <c r="D68" i="117"/>
  <c r="J68" i="117"/>
  <c r="E68" i="117"/>
  <c r="C68" i="117"/>
  <c r="I69" i="117"/>
  <c r="D69" i="117"/>
  <c r="J69" i="117"/>
  <c r="E69" i="117"/>
  <c r="C69" i="117"/>
  <c r="I70" i="117"/>
  <c r="D70" i="117"/>
  <c r="J70" i="117"/>
  <c r="E70" i="117"/>
  <c r="C70" i="117"/>
  <c r="I71" i="117"/>
  <c r="D71" i="117"/>
  <c r="J71" i="117"/>
  <c r="E71" i="117"/>
  <c r="C71" i="117"/>
  <c r="I72" i="117"/>
  <c r="D72" i="117"/>
  <c r="J72" i="117"/>
  <c r="E72" i="117"/>
  <c r="C72" i="117"/>
  <c r="I73" i="117"/>
  <c r="D73" i="117"/>
  <c r="J73" i="117"/>
  <c r="E73" i="117"/>
  <c r="C73" i="117"/>
  <c r="I74" i="117"/>
  <c r="D74" i="117"/>
  <c r="J74" i="117"/>
  <c r="E74" i="117"/>
  <c r="C74" i="117"/>
  <c r="I75" i="117"/>
  <c r="D75" i="117"/>
  <c r="J75" i="117"/>
  <c r="E75" i="117"/>
  <c r="C75" i="117"/>
  <c r="I76" i="117"/>
  <c r="D76" i="117"/>
  <c r="J76" i="117"/>
  <c r="E76" i="117"/>
  <c r="C76" i="117"/>
  <c r="I77" i="117"/>
  <c r="D77" i="117"/>
  <c r="J77" i="117"/>
  <c r="E77" i="117"/>
  <c r="C77" i="117"/>
  <c r="I78" i="117"/>
  <c r="D78" i="117"/>
  <c r="J78" i="117"/>
  <c r="E78" i="117"/>
  <c r="C78" i="117"/>
  <c r="I79" i="117"/>
  <c r="D79" i="117"/>
  <c r="J79" i="117"/>
  <c r="E79" i="117"/>
  <c r="C79" i="117"/>
  <c r="I80" i="117"/>
  <c r="D80" i="117"/>
  <c r="J80" i="117"/>
  <c r="E80" i="117"/>
  <c r="C80" i="117"/>
  <c r="I81" i="117"/>
  <c r="D81" i="117"/>
  <c r="J81" i="117"/>
  <c r="E81" i="117"/>
  <c r="C81" i="117"/>
  <c r="I82" i="117"/>
  <c r="D82" i="117"/>
  <c r="J82" i="117"/>
  <c r="E82" i="117"/>
  <c r="C82" i="117"/>
  <c r="I83" i="117"/>
  <c r="D83" i="117"/>
  <c r="J83" i="117"/>
  <c r="E83" i="117"/>
  <c r="C83" i="117"/>
  <c r="I84" i="117"/>
  <c r="D84" i="117"/>
  <c r="J84" i="117"/>
  <c r="E84" i="117"/>
  <c r="C84" i="117"/>
  <c r="I85" i="117"/>
  <c r="D85" i="117"/>
  <c r="J85" i="117"/>
  <c r="E85" i="117"/>
  <c r="C85" i="117"/>
  <c r="I86" i="117"/>
  <c r="D86" i="117"/>
  <c r="J86" i="117"/>
  <c r="E86" i="117"/>
  <c r="C86" i="117"/>
  <c r="I87" i="117"/>
  <c r="D87" i="117"/>
  <c r="J87" i="117"/>
  <c r="E87" i="117"/>
  <c r="C87" i="117"/>
  <c r="I88" i="117"/>
  <c r="D88" i="117"/>
  <c r="J88" i="117"/>
  <c r="E88" i="117"/>
  <c r="C88" i="117"/>
  <c r="I89" i="117"/>
  <c r="D89" i="117"/>
  <c r="J89" i="117"/>
  <c r="E89" i="117"/>
  <c r="C89" i="117"/>
  <c r="I90" i="117"/>
  <c r="D90" i="117"/>
  <c r="J90" i="117"/>
  <c r="E90" i="117"/>
  <c r="C90" i="117"/>
  <c r="I91" i="117"/>
  <c r="D91" i="117"/>
  <c r="J91" i="117"/>
  <c r="E91" i="117"/>
  <c r="C91" i="117"/>
  <c r="I92" i="117"/>
  <c r="D92" i="117"/>
  <c r="J92" i="117"/>
  <c r="E92" i="117"/>
  <c r="C92" i="117"/>
  <c r="I93" i="117"/>
  <c r="D93" i="117"/>
  <c r="J93" i="117"/>
  <c r="E93" i="117"/>
  <c r="C93" i="117"/>
  <c r="I94" i="117"/>
  <c r="D94" i="117"/>
  <c r="J94" i="117"/>
  <c r="E94" i="117"/>
  <c r="C94" i="117"/>
  <c r="I95" i="117"/>
  <c r="D95" i="117"/>
  <c r="J95" i="117"/>
  <c r="E95" i="117"/>
  <c r="C95" i="117"/>
  <c r="I96" i="117"/>
  <c r="D96" i="117"/>
  <c r="J96" i="117"/>
  <c r="E96" i="117"/>
  <c r="C96" i="117"/>
  <c r="I97" i="117"/>
  <c r="D97" i="117"/>
  <c r="J97" i="117"/>
  <c r="E97" i="117"/>
  <c r="C97" i="117"/>
  <c r="I98" i="117"/>
  <c r="D98" i="117"/>
  <c r="J98" i="117"/>
  <c r="E98" i="117"/>
  <c r="C98" i="117"/>
  <c r="I99" i="117"/>
  <c r="D99" i="117"/>
  <c r="J99" i="117"/>
  <c r="E99" i="117"/>
  <c r="C99" i="117"/>
  <c r="I100" i="117"/>
  <c r="D100" i="117"/>
  <c r="J100" i="117"/>
  <c r="E100" i="117"/>
  <c r="C100" i="117"/>
  <c r="I101" i="117"/>
  <c r="D101" i="117"/>
  <c r="J101" i="117"/>
  <c r="E101" i="117"/>
  <c r="C101" i="117"/>
  <c r="I102" i="117"/>
  <c r="D102" i="117"/>
  <c r="J102" i="117"/>
  <c r="E102" i="117"/>
  <c r="C102" i="117"/>
  <c r="I103" i="117"/>
  <c r="D103" i="117"/>
  <c r="J103" i="117"/>
  <c r="E103" i="117"/>
  <c r="C103" i="117"/>
  <c r="I104" i="117"/>
  <c r="D104" i="117"/>
  <c r="J104" i="117"/>
  <c r="E104" i="117"/>
  <c r="C104" i="117"/>
  <c r="I105" i="117"/>
  <c r="D105" i="117"/>
  <c r="J105" i="117"/>
  <c r="E105" i="117"/>
  <c r="C105" i="117"/>
  <c r="I106" i="117"/>
  <c r="D106" i="117"/>
  <c r="J106" i="117"/>
  <c r="E106" i="117"/>
  <c r="C106" i="117"/>
  <c r="I107" i="117"/>
  <c r="D107" i="117"/>
  <c r="J107" i="117"/>
  <c r="E107" i="117"/>
  <c r="C107" i="117"/>
  <c r="I108" i="117"/>
  <c r="D108" i="117"/>
  <c r="J108" i="117"/>
  <c r="E108" i="117"/>
  <c r="C108" i="117"/>
  <c r="I109" i="117"/>
  <c r="D109" i="117"/>
  <c r="J109" i="117"/>
  <c r="E109" i="117"/>
  <c r="C109" i="117"/>
  <c r="I110" i="117"/>
  <c r="D110" i="117"/>
  <c r="J110" i="117"/>
  <c r="E110" i="117"/>
  <c r="C110" i="117"/>
  <c r="I111" i="117"/>
  <c r="D111" i="117"/>
  <c r="J111" i="117"/>
  <c r="E111" i="117"/>
  <c r="C111" i="117"/>
  <c r="I112" i="117"/>
  <c r="D112" i="117"/>
  <c r="J112" i="117"/>
  <c r="E112" i="117"/>
  <c r="C112" i="117"/>
  <c r="I113" i="117"/>
  <c r="D113" i="117"/>
  <c r="J113" i="117"/>
  <c r="E113" i="117"/>
  <c r="C113" i="117"/>
  <c r="I114" i="117"/>
  <c r="D114" i="117"/>
  <c r="J114" i="117"/>
  <c r="E114" i="117"/>
  <c r="C114" i="117"/>
  <c r="I115" i="117"/>
  <c r="D115" i="117"/>
  <c r="J115" i="117"/>
  <c r="E115" i="117"/>
  <c r="C115" i="117"/>
  <c r="I116" i="117"/>
  <c r="D116" i="117"/>
  <c r="J116" i="117"/>
  <c r="E116" i="117"/>
  <c r="C116" i="117"/>
  <c r="I117" i="117"/>
  <c r="D117" i="117"/>
  <c r="J117" i="117"/>
  <c r="E117" i="117"/>
  <c r="C117" i="117"/>
  <c r="I118" i="117"/>
  <c r="D118" i="117"/>
  <c r="J118" i="117"/>
  <c r="E118" i="117"/>
  <c r="C118" i="117"/>
  <c r="I119" i="117"/>
  <c r="D119" i="117"/>
  <c r="J119" i="117"/>
  <c r="E119" i="117"/>
  <c r="C119" i="117"/>
  <c r="I120" i="117"/>
  <c r="D120" i="117"/>
  <c r="J120" i="117"/>
  <c r="E120" i="117"/>
  <c r="C120" i="117"/>
  <c r="I121" i="117"/>
  <c r="D121" i="117"/>
  <c r="J121" i="117"/>
  <c r="E121" i="117"/>
  <c r="C121" i="117"/>
  <c r="I122" i="117"/>
  <c r="D122" i="117"/>
  <c r="J122" i="117"/>
  <c r="E122" i="117"/>
  <c r="C122" i="117"/>
  <c r="I123" i="117"/>
  <c r="D123" i="117"/>
  <c r="J123" i="117"/>
  <c r="E123" i="117"/>
  <c r="C123" i="117"/>
  <c r="I124" i="117"/>
  <c r="D124" i="117"/>
  <c r="J124" i="117"/>
  <c r="E124" i="117"/>
  <c r="C124" i="117"/>
  <c r="I125" i="117"/>
  <c r="D125" i="117"/>
  <c r="J125" i="117"/>
  <c r="E125" i="117"/>
  <c r="C125" i="117"/>
  <c r="I126" i="117"/>
  <c r="D126" i="117"/>
  <c r="J126" i="117"/>
  <c r="E126" i="117"/>
  <c r="C126" i="117"/>
  <c r="I127" i="117"/>
  <c r="D127" i="117"/>
  <c r="J127" i="117"/>
  <c r="E127" i="117"/>
  <c r="C127" i="117"/>
  <c r="I128" i="117"/>
  <c r="D128" i="117"/>
  <c r="J128" i="117"/>
  <c r="E128" i="117"/>
  <c r="C128" i="117"/>
  <c r="I129" i="117"/>
  <c r="D129" i="117"/>
  <c r="J129" i="117"/>
  <c r="E129" i="117"/>
  <c r="C129" i="117"/>
  <c r="I130" i="117"/>
  <c r="D130" i="117"/>
  <c r="J130" i="117"/>
  <c r="E130" i="117"/>
  <c r="C130" i="117"/>
  <c r="I131" i="117"/>
  <c r="D131" i="117"/>
  <c r="J131" i="117"/>
  <c r="E131" i="117"/>
  <c r="C131" i="117"/>
  <c r="I132" i="117"/>
  <c r="D132" i="117"/>
  <c r="J132" i="117"/>
  <c r="E132" i="117"/>
  <c r="C132" i="117"/>
  <c r="I133" i="117"/>
  <c r="D133" i="117"/>
  <c r="J133" i="117"/>
  <c r="E133" i="117"/>
  <c r="C133" i="117"/>
  <c r="I134" i="117"/>
  <c r="D134" i="117"/>
  <c r="J134" i="117"/>
  <c r="E134" i="117"/>
  <c r="C134" i="117"/>
  <c r="I135" i="117"/>
  <c r="D135" i="117"/>
  <c r="J135" i="117"/>
  <c r="E135" i="117"/>
  <c r="C135" i="117"/>
  <c r="I136" i="117"/>
  <c r="D136" i="117"/>
  <c r="J136" i="117"/>
  <c r="E136" i="117"/>
  <c r="C136" i="117"/>
  <c r="I137" i="117"/>
  <c r="D137" i="117"/>
  <c r="J137" i="117"/>
  <c r="E137" i="117"/>
  <c r="C137" i="117"/>
  <c r="I138" i="117"/>
  <c r="D138" i="117"/>
  <c r="J138" i="117"/>
  <c r="E138" i="117"/>
  <c r="C138" i="117"/>
  <c r="I139" i="117"/>
  <c r="D139" i="117"/>
  <c r="J139" i="117"/>
  <c r="E139" i="117"/>
  <c r="C139" i="117"/>
  <c r="I140" i="117"/>
  <c r="D140" i="117"/>
  <c r="J140" i="117"/>
  <c r="E140" i="117"/>
  <c r="C140" i="117"/>
  <c r="I141" i="117"/>
  <c r="D141" i="117"/>
  <c r="J141" i="117"/>
  <c r="E141" i="117"/>
  <c r="C141" i="117"/>
  <c r="I142" i="117"/>
  <c r="D142" i="117"/>
  <c r="J142" i="117"/>
  <c r="E142" i="117"/>
  <c r="C142" i="117"/>
  <c r="I143" i="117"/>
  <c r="D143" i="117"/>
  <c r="J143" i="117"/>
  <c r="E143" i="117"/>
  <c r="C143" i="117"/>
  <c r="I144" i="117"/>
  <c r="D144" i="117"/>
  <c r="J144" i="117"/>
  <c r="E144" i="117"/>
  <c r="C144" i="117"/>
  <c r="I145" i="117"/>
  <c r="D145" i="117"/>
  <c r="J145" i="117"/>
  <c r="E145" i="117"/>
  <c r="C145" i="117"/>
  <c r="I146" i="117"/>
  <c r="D146" i="117"/>
  <c r="J146" i="117"/>
  <c r="E146" i="117"/>
  <c r="C146" i="117"/>
  <c r="I147" i="117"/>
  <c r="D147" i="117"/>
  <c r="J147" i="117"/>
  <c r="E147" i="117"/>
  <c r="C147" i="117"/>
  <c r="I148" i="117"/>
  <c r="D148" i="117"/>
  <c r="J148" i="117"/>
  <c r="E148" i="117"/>
  <c r="C148" i="117"/>
  <c r="I149" i="117"/>
  <c r="D149" i="117"/>
  <c r="J149" i="117"/>
  <c r="E149" i="117"/>
  <c r="C149" i="117"/>
  <c r="I150" i="117"/>
  <c r="D150" i="117"/>
  <c r="J150" i="117"/>
  <c r="E150" i="117"/>
  <c r="C150" i="117"/>
  <c r="I151" i="117"/>
  <c r="D151" i="117"/>
  <c r="J151" i="117"/>
  <c r="E151" i="117"/>
  <c r="C151" i="117"/>
  <c r="I152" i="117"/>
  <c r="D152" i="117"/>
  <c r="J152" i="117"/>
  <c r="E152" i="117"/>
  <c r="C152" i="117"/>
  <c r="I153" i="117"/>
  <c r="D153" i="117"/>
  <c r="J153" i="117"/>
  <c r="E153" i="117"/>
  <c r="C153" i="117"/>
  <c r="I154" i="117"/>
  <c r="D154" i="117"/>
  <c r="J154" i="117"/>
  <c r="E154" i="117"/>
  <c r="C154" i="117"/>
  <c r="I155" i="117"/>
  <c r="D155" i="117"/>
  <c r="J155" i="117"/>
  <c r="E155" i="117"/>
  <c r="C155" i="117"/>
  <c r="I156" i="117"/>
  <c r="D156" i="117"/>
  <c r="J156" i="117"/>
  <c r="E156" i="117"/>
  <c r="C156" i="117"/>
  <c r="I157" i="117"/>
  <c r="D157" i="117"/>
  <c r="J157" i="117"/>
  <c r="E157" i="117"/>
  <c r="C157" i="117"/>
  <c r="I158" i="117"/>
  <c r="D158" i="117"/>
  <c r="J158" i="117"/>
  <c r="E158" i="117"/>
  <c r="C158" i="117"/>
  <c r="I159" i="117"/>
  <c r="D159" i="117"/>
  <c r="J159" i="117"/>
  <c r="E159" i="117"/>
  <c r="C159" i="117"/>
  <c r="I160" i="117"/>
  <c r="D160" i="117"/>
  <c r="J160" i="117"/>
  <c r="E160" i="117"/>
  <c r="C160" i="117"/>
  <c r="I161" i="117"/>
  <c r="D161" i="117"/>
  <c r="J161" i="117"/>
  <c r="E161" i="117"/>
  <c r="C161" i="117"/>
  <c r="I162" i="117"/>
  <c r="D162" i="117"/>
  <c r="J162" i="117"/>
  <c r="E162" i="117"/>
  <c r="C162" i="117"/>
  <c r="I163" i="117"/>
  <c r="D163" i="117"/>
  <c r="J163" i="117"/>
  <c r="E163" i="117"/>
  <c r="C163" i="117"/>
  <c r="I164" i="117"/>
  <c r="D164" i="117"/>
  <c r="J164" i="117"/>
  <c r="E164" i="117"/>
  <c r="C164" i="117"/>
  <c r="I165" i="117"/>
  <c r="D165" i="117"/>
  <c r="J165" i="117"/>
  <c r="E165" i="117"/>
  <c r="C165" i="117"/>
  <c r="I166" i="117"/>
  <c r="D166" i="117"/>
  <c r="J166" i="117"/>
  <c r="E166" i="117"/>
  <c r="C166" i="117"/>
  <c r="I167" i="117"/>
  <c r="D167" i="117"/>
  <c r="J167" i="117"/>
  <c r="E167" i="117"/>
  <c r="C167" i="117"/>
  <c r="I168" i="117"/>
  <c r="D168" i="117"/>
  <c r="J168" i="117"/>
  <c r="E168" i="117"/>
  <c r="C168" i="117"/>
  <c r="I169" i="117"/>
  <c r="D169" i="117"/>
  <c r="J169" i="117"/>
  <c r="E169" i="117"/>
  <c r="C169" i="117"/>
  <c r="I170" i="117"/>
  <c r="D170" i="117"/>
  <c r="J170" i="117"/>
  <c r="E170" i="117"/>
  <c r="C170" i="117"/>
  <c r="I171" i="117"/>
  <c r="D171" i="117"/>
  <c r="J171" i="117"/>
  <c r="E171" i="117"/>
  <c r="C171" i="117"/>
  <c r="I172" i="117"/>
  <c r="D172" i="117"/>
  <c r="J172" i="117"/>
  <c r="E172" i="117"/>
  <c r="C172" i="117"/>
  <c r="I173" i="117"/>
  <c r="D173" i="117"/>
  <c r="J173" i="117"/>
  <c r="E173" i="117"/>
  <c r="C173" i="117"/>
  <c r="I174" i="117"/>
  <c r="D174" i="117"/>
  <c r="J174" i="117"/>
  <c r="E174" i="117"/>
  <c r="C174" i="117"/>
  <c r="I175" i="117"/>
  <c r="D175" i="117"/>
  <c r="J175" i="117"/>
  <c r="E175" i="117"/>
  <c r="C175" i="117"/>
  <c r="I176" i="117"/>
  <c r="D176" i="117"/>
  <c r="J176" i="117"/>
  <c r="E176" i="117"/>
  <c r="C176" i="117"/>
  <c r="I177" i="117"/>
  <c r="D177" i="117"/>
  <c r="J177" i="117"/>
  <c r="E177" i="117"/>
  <c r="C177" i="117"/>
  <c r="I178" i="117"/>
  <c r="D178" i="117"/>
  <c r="J178" i="117"/>
  <c r="E178" i="117"/>
  <c r="C178" i="117"/>
  <c r="I179" i="117"/>
  <c r="D179" i="117"/>
  <c r="J179" i="117"/>
  <c r="E179" i="117"/>
  <c r="C179" i="117"/>
  <c r="I180" i="117"/>
  <c r="D180" i="117"/>
  <c r="J180" i="117"/>
  <c r="E180" i="117"/>
  <c r="C180" i="117"/>
  <c r="I181" i="117"/>
  <c r="D181" i="117"/>
  <c r="J181" i="117"/>
  <c r="E181" i="117"/>
  <c r="C181" i="117"/>
  <c r="I182" i="117"/>
  <c r="D182" i="117"/>
  <c r="J182" i="117"/>
  <c r="E182" i="117"/>
  <c r="C182" i="117"/>
  <c r="I183" i="117"/>
  <c r="D183" i="117"/>
  <c r="J183" i="117"/>
  <c r="E183" i="117"/>
  <c r="C183" i="117"/>
  <c r="I184" i="117"/>
  <c r="D184" i="117"/>
  <c r="J184" i="117"/>
  <c r="E184" i="117"/>
  <c r="C184" i="117"/>
  <c r="I185" i="117"/>
  <c r="D185" i="117"/>
  <c r="J185" i="117"/>
  <c r="E185" i="117"/>
  <c r="C185" i="117"/>
  <c r="I186" i="117"/>
  <c r="D186" i="117"/>
  <c r="J186" i="117"/>
  <c r="E186" i="117"/>
  <c r="C186" i="117"/>
  <c r="I187" i="117"/>
  <c r="D187" i="117"/>
  <c r="J187" i="117"/>
  <c r="E187" i="117"/>
  <c r="C187" i="117"/>
  <c r="I188" i="117"/>
  <c r="D188" i="117"/>
  <c r="J188" i="117"/>
  <c r="E188" i="117"/>
  <c r="C188" i="117"/>
  <c r="I189" i="117"/>
  <c r="D189" i="117"/>
  <c r="J189" i="117"/>
  <c r="E189" i="117"/>
  <c r="C189" i="117"/>
  <c r="I190" i="117"/>
  <c r="D190" i="117"/>
  <c r="J190" i="117"/>
  <c r="E190" i="117"/>
  <c r="C190" i="117"/>
  <c r="I191" i="117"/>
  <c r="D191" i="117"/>
  <c r="J191" i="117"/>
  <c r="E191" i="117"/>
  <c r="C191" i="117"/>
  <c r="I192" i="117"/>
  <c r="D192" i="117"/>
  <c r="J192" i="117"/>
  <c r="E192" i="117"/>
  <c r="C192" i="117"/>
  <c r="I193" i="117"/>
  <c r="D193" i="117"/>
  <c r="J193" i="117"/>
  <c r="E193" i="117"/>
  <c r="C193" i="117"/>
  <c r="I194" i="117"/>
  <c r="D194" i="117"/>
  <c r="J194" i="117"/>
  <c r="E194" i="117"/>
  <c r="C194" i="117"/>
  <c r="I195" i="117"/>
  <c r="D195" i="117"/>
  <c r="J195" i="117"/>
  <c r="E195" i="117"/>
  <c r="C195" i="117"/>
  <c r="I196" i="117"/>
  <c r="D196" i="117"/>
  <c r="J196" i="117"/>
  <c r="E196" i="117"/>
  <c r="C196" i="117"/>
  <c r="I197" i="117"/>
  <c r="D197" i="117"/>
  <c r="J197" i="117"/>
  <c r="E197" i="117"/>
  <c r="C197" i="117"/>
  <c r="I198" i="117"/>
  <c r="D198" i="117"/>
  <c r="J198" i="117"/>
  <c r="E198" i="117"/>
  <c r="C198" i="117"/>
  <c r="I199" i="117"/>
  <c r="D199" i="117"/>
  <c r="J199" i="117"/>
  <c r="E199" i="117"/>
  <c r="C199" i="117"/>
  <c r="I200" i="117"/>
  <c r="D200" i="117"/>
  <c r="J200" i="117"/>
  <c r="E200" i="117"/>
  <c r="C200" i="117"/>
  <c r="I201" i="117"/>
  <c r="D201" i="117"/>
  <c r="J201" i="117"/>
  <c r="E201" i="117"/>
  <c r="C201" i="117"/>
  <c r="I202" i="117"/>
  <c r="D202" i="117"/>
  <c r="J202" i="117"/>
  <c r="E202" i="117"/>
  <c r="C202" i="117"/>
  <c r="I203" i="117"/>
  <c r="D203" i="117"/>
  <c r="J203" i="117"/>
  <c r="E203" i="117"/>
  <c r="C203" i="117"/>
  <c r="I204" i="117"/>
  <c r="D204" i="117"/>
  <c r="J204" i="117"/>
  <c r="E204" i="117"/>
  <c r="C204" i="117"/>
  <c r="I205" i="117"/>
  <c r="D205" i="117"/>
  <c r="J205" i="117"/>
  <c r="E205" i="117"/>
  <c r="C205" i="117"/>
  <c r="I206" i="117"/>
  <c r="D206" i="117"/>
  <c r="J206" i="117"/>
  <c r="E206" i="117"/>
  <c r="C206" i="117"/>
  <c r="I207" i="117"/>
  <c r="D207" i="117"/>
  <c r="J207" i="117"/>
  <c r="E207" i="117"/>
  <c r="C207" i="117"/>
  <c r="I208" i="117"/>
  <c r="D208" i="117"/>
  <c r="J208" i="117"/>
  <c r="E208" i="117"/>
  <c r="C208" i="117"/>
  <c r="I209" i="117"/>
  <c r="D209" i="117"/>
  <c r="J209" i="117"/>
  <c r="E209" i="117"/>
  <c r="C209" i="117"/>
  <c r="I210" i="117"/>
  <c r="D210" i="117"/>
  <c r="J210" i="117"/>
  <c r="E210" i="117"/>
  <c r="C210" i="117"/>
  <c r="I211" i="117"/>
  <c r="D211" i="117"/>
  <c r="J211" i="117"/>
  <c r="E211" i="117"/>
  <c r="C211" i="117"/>
  <c r="I212" i="117"/>
  <c r="D212" i="117"/>
  <c r="J212" i="117"/>
  <c r="E212" i="117"/>
  <c r="C212" i="117"/>
  <c r="I213" i="117"/>
  <c r="D213" i="117"/>
  <c r="J213" i="117"/>
  <c r="E213" i="117"/>
  <c r="C213" i="117"/>
  <c r="I214" i="117"/>
  <c r="D214" i="117"/>
  <c r="J214" i="117"/>
  <c r="E214" i="117"/>
  <c r="C214" i="117"/>
  <c r="I215" i="117"/>
  <c r="D215" i="117"/>
  <c r="J215" i="117"/>
  <c r="E215" i="117"/>
  <c r="C215" i="117"/>
  <c r="I216" i="117"/>
  <c r="D216" i="117"/>
  <c r="J216" i="117"/>
  <c r="E216" i="117"/>
  <c r="C216" i="117"/>
  <c r="I217" i="117"/>
  <c r="D217" i="117"/>
  <c r="J217" i="117"/>
  <c r="E217" i="117"/>
  <c r="C217" i="117"/>
  <c r="I218" i="117"/>
  <c r="D218" i="117"/>
  <c r="J218" i="117"/>
  <c r="E218" i="117"/>
  <c r="C218" i="117"/>
  <c r="I219" i="117"/>
  <c r="D219" i="117"/>
  <c r="J219" i="117"/>
  <c r="E219" i="117"/>
  <c r="C219" i="117"/>
  <c r="I220" i="117"/>
  <c r="D220" i="117"/>
  <c r="J220" i="117"/>
  <c r="E220" i="117"/>
  <c r="C220" i="117"/>
  <c r="I221" i="117"/>
  <c r="D221" i="117"/>
  <c r="J221" i="117"/>
  <c r="E221" i="117"/>
  <c r="C221" i="117"/>
  <c r="I222" i="117"/>
  <c r="D222" i="117"/>
  <c r="J222" i="117"/>
  <c r="E222" i="117"/>
  <c r="C222" i="117"/>
  <c r="I223" i="117"/>
  <c r="D223" i="117"/>
  <c r="J223" i="117"/>
  <c r="E223" i="117"/>
  <c r="C223" i="117"/>
  <c r="I224" i="117"/>
  <c r="D224" i="117"/>
  <c r="J224" i="117"/>
  <c r="E224" i="117"/>
  <c r="C224" i="117"/>
  <c r="I225" i="117"/>
  <c r="D225" i="117"/>
  <c r="J225" i="117"/>
  <c r="E225" i="117"/>
  <c r="C225" i="117"/>
  <c r="I226" i="117"/>
  <c r="D226" i="117"/>
  <c r="J226" i="117"/>
  <c r="E226" i="117"/>
  <c r="C226" i="117"/>
  <c r="I227" i="117"/>
  <c r="D227" i="117"/>
  <c r="J227" i="117"/>
  <c r="E227" i="117"/>
  <c r="C227" i="117"/>
  <c r="I228" i="117"/>
  <c r="D228" i="117"/>
  <c r="J228" i="117"/>
  <c r="E228" i="117"/>
  <c r="C228" i="117"/>
  <c r="I229" i="117"/>
  <c r="D229" i="117"/>
  <c r="J229" i="117"/>
  <c r="E229" i="117"/>
  <c r="C229" i="117"/>
  <c r="I230" i="117"/>
  <c r="D230" i="117"/>
  <c r="J230" i="117"/>
  <c r="E230" i="117"/>
  <c r="C230" i="117"/>
  <c r="I231" i="117"/>
  <c r="D231" i="117"/>
  <c r="J231" i="117"/>
  <c r="E231" i="117"/>
  <c r="C231" i="117"/>
  <c r="I232" i="117"/>
  <c r="D232" i="117"/>
  <c r="J232" i="117"/>
  <c r="E232" i="117"/>
  <c r="C232" i="117"/>
  <c r="I233" i="117"/>
  <c r="D233" i="117"/>
  <c r="J233" i="117"/>
  <c r="E233" i="117"/>
  <c r="C233" i="117"/>
  <c r="I234" i="117"/>
  <c r="D234" i="117"/>
  <c r="J234" i="117"/>
  <c r="E234" i="117"/>
  <c r="C234" i="117"/>
  <c r="I235" i="117"/>
  <c r="D235" i="117"/>
  <c r="J235" i="117"/>
  <c r="E235" i="117"/>
  <c r="C235" i="117"/>
  <c r="I236" i="117"/>
  <c r="D236" i="117"/>
  <c r="J236" i="117"/>
  <c r="E236" i="117"/>
  <c r="C236" i="117"/>
  <c r="I237" i="117"/>
  <c r="D237" i="117"/>
  <c r="J237" i="117"/>
  <c r="E237" i="117"/>
  <c r="C237" i="117"/>
  <c r="I238" i="117"/>
  <c r="D238" i="117"/>
  <c r="J238" i="117"/>
  <c r="E238" i="117"/>
  <c r="C238" i="117"/>
  <c r="I239" i="117"/>
  <c r="D239" i="117"/>
  <c r="J239" i="117"/>
  <c r="E239" i="117"/>
  <c r="C239" i="117"/>
  <c r="I240" i="117"/>
  <c r="D240" i="117"/>
  <c r="J240" i="117"/>
  <c r="E240" i="117"/>
  <c r="C240" i="117"/>
  <c r="I241" i="117"/>
  <c r="D241" i="117"/>
  <c r="J241" i="117"/>
  <c r="E241" i="117"/>
  <c r="C241" i="117"/>
  <c r="I242" i="117"/>
  <c r="D242" i="117"/>
  <c r="J242" i="117"/>
  <c r="E242" i="117"/>
  <c r="C242" i="117"/>
  <c r="I243" i="117"/>
  <c r="D243" i="117"/>
  <c r="J243" i="117"/>
  <c r="E243" i="117"/>
  <c r="C243" i="117"/>
  <c r="I244" i="117"/>
  <c r="D244" i="117"/>
  <c r="J244" i="117"/>
  <c r="E244" i="117"/>
  <c r="C244" i="117"/>
  <c r="I245" i="117"/>
  <c r="D245" i="117"/>
  <c r="J245" i="117"/>
  <c r="E245" i="117"/>
  <c r="C245" i="117"/>
  <c r="I246" i="117"/>
  <c r="D246" i="117"/>
  <c r="J246" i="117"/>
  <c r="E246" i="117"/>
  <c r="C246" i="117"/>
  <c r="I247" i="117"/>
  <c r="D247" i="117"/>
  <c r="J247" i="117"/>
  <c r="E247" i="117"/>
  <c r="C247" i="117"/>
  <c r="I248" i="117"/>
  <c r="D248" i="117"/>
  <c r="J248" i="117"/>
  <c r="E248" i="117"/>
  <c r="C248" i="117"/>
  <c r="I249" i="117"/>
  <c r="D249" i="117"/>
  <c r="J249" i="117"/>
  <c r="E249" i="117"/>
  <c r="C249" i="117"/>
  <c r="I250" i="117"/>
  <c r="D250" i="117"/>
  <c r="J250" i="117"/>
  <c r="E250" i="117"/>
  <c r="C250" i="117"/>
  <c r="I251" i="117"/>
  <c r="D251" i="117"/>
  <c r="J251" i="117"/>
  <c r="E251" i="117"/>
  <c r="C251" i="117"/>
  <c r="I252" i="117"/>
  <c r="D252" i="117"/>
  <c r="J252" i="117"/>
  <c r="E252" i="117"/>
  <c r="C252" i="117"/>
  <c r="I253" i="117"/>
  <c r="D253" i="117"/>
  <c r="J253" i="117"/>
  <c r="E253" i="117"/>
  <c r="C253" i="117"/>
  <c r="I254" i="117"/>
  <c r="D254" i="117"/>
  <c r="J254" i="117"/>
  <c r="E254" i="117"/>
  <c r="C254" i="117"/>
  <c r="I255" i="117"/>
  <c r="D255" i="117"/>
  <c r="J255" i="117"/>
  <c r="E255" i="117"/>
  <c r="C255" i="117"/>
  <c r="I256" i="117"/>
  <c r="D256" i="117"/>
  <c r="J256" i="117"/>
  <c r="E256" i="117"/>
  <c r="C256" i="117"/>
  <c r="I257" i="117"/>
  <c r="D257" i="117"/>
  <c r="J257" i="117"/>
  <c r="E257" i="117"/>
  <c r="C257" i="117"/>
  <c r="I258" i="117"/>
  <c r="D258" i="117"/>
  <c r="J258" i="117"/>
  <c r="E258" i="117"/>
  <c r="C258" i="117"/>
  <c r="I259" i="117"/>
  <c r="D259" i="117"/>
  <c r="J259" i="117"/>
  <c r="E259" i="117"/>
  <c r="C259" i="117"/>
  <c r="I260" i="117"/>
  <c r="D260" i="117"/>
  <c r="J260" i="117"/>
  <c r="E260" i="117"/>
  <c r="C260" i="117"/>
  <c r="I261" i="117"/>
  <c r="D261" i="117"/>
  <c r="J261" i="117"/>
  <c r="E261" i="117"/>
  <c r="C261" i="117"/>
  <c r="I262" i="117"/>
  <c r="D262" i="117"/>
  <c r="J262" i="117"/>
  <c r="E262" i="117"/>
  <c r="C262" i="117"/>
  <c r="I263" i="117"/>
  <c r="D263" i="117"/>
  <c r="J263" i="117"/>
  <c r="E263" i="117"/>
  <c r="C263" i="117"/>
  <c r="I264" i="117"/>
  <c r="D264" i="117"/>
  <c r="J264" i="117"/>
  <c r="E264" i="117"/>
  <c r="C264" i="117"/>
  <c r="I265" i="117"/>
  <c r="D265" i="117"/>
  <c r="J265" i="117"/>
  <c r="E265" i="117"/>
  <c r="C265" i="117"/>
  <c r="I266" i="117"/>
  <c r="D266" i="117"/>
  <c r="J266" i="117"/>
  <c r="E266" i="117"/>
  <c r="C266" i="117"/>
  <c r="I267" i="117"/>
  <c r="D267" i="117"/>
  <c r="J267" i="117"/>
  <c r="E267" i="117"/>
  <c r="C267" i="117"/>
  <c r="I268" i="117"/>
  <c r="D268" i="117"/>
  <c r="J268" i="117"/>
  <c r="E268" i="117"/>
  <c r="C268" i="117"/>
  <c r="I269" i="117"/>
  <c r="D269" i="117"/>
  <c r="J269" i="117"/>
  <c r="E269" i="117"/>
  <c r="C269" i="117"/>
  <c r="I270" i="117"/>
  <c r="D270" i="117"/>
  <c r="J270" i="117"/>
  <c r="E270" i="117"/>
  <c r="C270" i="117"/>
  <c r="I271" i="117"/>
  <c r="D271" i="117"/>
  <c r="J271" i="117"/>
  <c r="E271" i="117"/>
  <c r="C271" i="117"/>
  <c r="I272" i="117"/>
  <c r="D272" i="117"/>
  <c r="J272" i="117"/>
  <c r="E272" i="117"/>
  <c r="C272" i="117"/>
  <c r="I273" i="117"/>
  <c r="D273" i="117"/>
  <c r="J273" i="117"/>
  <c r="E273" i="117"/>
  <c r="C273" i="117"/>
  <c r="I274" i="117"/>
  <c r="D274" i="117"/>
  <c r="J274" i="117"/>
  <c r="E274" i="117"/>
  <c r="C274" i="117"/>
  <c r="I275" i="117"/>
  <c r="D275" i="117"/>
  <c r="J275" i="117"/>
  <c r="E275" i="117"/>
  <c r="C275" i="117"/>
  <c r="I276" i="117"/>
  <c r="D276" i="117"/>
  <c r="J276" i="117"/>
  <c r="E276" i="117"/>
  <c r="C276" i="117"/>
  <c r="I277" i="117"/>
  <c r="D277" i="117"/>
  <c r="J277" i="117"/>
  <c r="E277" i="117"/>
  <c r="C277" i="117"/>
  <c r="I278" i="117"/>
  <c r="D278" i="117"/>
  <c r="J278" i="117"/>
  <c r="E278" i="117"/>
  <c r="C278" i="117"/>
  <c r="I279" i="117"/>
  <c r="D279" i="117"/>
  <c r="J279" i="117"/>
  <c r="E279" i="117"/>
  <c r="C279" i="117"/>
  <c r="I280" i="117"/>
  <c r="D280" i="117"/>
  <c r="J280" i="117"/>
  <c r="E280" i="117"/>
  <c r="C280" i="117"/>
  <c r="I281" i="117"/>
  <c r="D281" i="117"/>
  <c r="J281" i="117"/>
  <c r="E281" i="117"/>
  <c r="C281" i="117"/>
  <c r="I282" i="117"/>
  <c r="D282" i="117"/>
  <c r="J282" i="117"/>
  <c r="E282" i="117"/>
  <c r="C282" i="117"/>
  <c r="I283" i="117"/>
  <c r="D283" i="117"/>
  <c r="J283" i="117"/>
  <c r="E283" i="117"/>
  <c r="C283" i="117"/>
  <c r="F5" i="116"/>
  <c r="E5" i="116"/>
  <c r="Q3" i="116"/>
  <c r="Q4" i="116"/>
  <c r="Q5" i="116"/>
  <c r="Q6" i="116"/>
  <c r="E26" i="116"/>
  <c r="B26" i="116"/>
  <c r="E28" i="116"/>
  <c r="B28" i="116"/>
  <c r="F6" i="116"/>
  <c r="E6" i="116"/>
  <c r="E21" i="116"/>
  <c r="B21" i="116"/>
  <c r="B29" i="116"/>
  <c r="V6" i="116"/>
  <c r="B23" i="116"/>
  <c r="B22" i="116"/>
  <c r="A36" i="116"/>
  <c r="G22" i="116"/>
  <c r="E22" i="116"/>
  <c r="H22" i="116"/>
  <c r="O278" i="82"/>
  <c r="G23" i="116"/>
  <c r="E23" i="116"/>
  <c r="H23" i="116"/>
  <c r="O279" i="82"/>
  <c r="O280" i="82"/>
  <c r="O281" i="82"/>
  <c r="G29" i="116"/>
  <c r="E29" i="116"/>
  <c r="H29" i="116"/>
  <c r="O282" i="82"/>
  <c r="O283" i="82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132" i="117"/>
  <c r="F133" i="117"/>
  <c r="F134" i="117"/>
  <c r="F135" i="117"/>
  <c r="F136" i="117"/>
  <c r="F137" i="117"/>
  <c r="F138" i="117"/>
  <c r="F139" i="117"/>
  <c r="F140" i="117"/>
  <c r="F141" i="117"/>
  <c r="F142" i="117"/>
  <c r="F143" i="117"/>
  <c r="F144" i="117"/>
  <c r="F145" i="117"/>
  <c r="F146" i="117"/>
  <c r="F147" i="117"/>
  <c r="F148" i="117"/>
  <c r="F149" i="117"/>
  <c r="F150" i="117"/>
  <c r="F151" i="117"/>
  <c r="F152" i="117"/>
  <c r="F153" i="117"/>
  <c r="F154" i="117"/>
  <c r="F155" i="117"/>
  <c r="F156" i="117"/>
  <c r="F157" i="117"/>
  <c r="F158" i="117"/>
  <c r="F159" i="117"/>
  <c r="F160" i="117"/>
  <c r="F161" i="117"/>
  <c r="F162" i="117"/>
  <c r="F163" i="117"/>
  <c r="F164" i="117"/>
  <c r="F165" i="117"/>
  <c r="F166" i="117"/>
  <c r="F167" i="117"/>
  <c r="F168" i="117"/>
  <c r="F169" i="117"/>
  <c r="F170" i="117"/>
  <c r="F171" i="117"/>
  <c r="F172" i="117"/>
  <c r="F173" i="117"/>
  <c r="F174" i="117"/>
  <c r="F175" i="117"/>
  <c r="F176" i="117"/>
  <c r="F177" i="117"/>
  <c r="F178" i="117"/>
  <c r="F179" i="117"/>
  <c r="F180" i="117"/>
  <c r="F181" i="117"/>
  <c r="F182" i="117"/>
  <c r="F183" i="117"/>
  <c r="F184" i="117"/>
  <c r="F185" i="117"/>
  <c r="F186" i="117"/>
  <c r="F187" i="117"/>
  <c r="F188" i="117"/>
  <c r="F189" i="117"/>
  <c r="F190" i="117"/>
  <c r="F191" i="117"/>
  <c r="F192" i="117"/>
  <c r="F193" i="117"/>
  <c r="F194" i="117"/>
  <c r="F195" i="117"/>
  <c r="F196" i="117"/>
  <c r="F197" i="117"/>
  <c r="F198" i="117"/>
  <c r="F199" i="117"/>
  <c r="F200" i="117"/>
  <c r="F201" i="117"/>
  <c r="F202" i="117"/>
  <c r="F203" i="117"/>
  <c r="F204" i="117"/>
  <c r="F205" i="117"/>
  <c r="F206" i="117"/>
  <c r="F207" i="117"/>
  <c r="F208" i="117"/>
  <c r="F209" i="117"/>
  <c r="F210" i="117"/>
  <c r="F211" i="117"/>
  <c r="F212" i="117"/>
  <c r="F213" i="117"/>
  <c r="F214" i="117"/>
  <c r="F215" i="117"/>
  <c r="F216" i="117"/>
  <c r="F217" i="117"/>
  <c r="F218" i="117"/>
  <c r="F219" i="117"/>
  <c r="F220" i="117"/>
  <c r="F221" i="117"/>
  <c r="F222" i="117"/>
  <c r="F223" i="117"/>
  <c r="F224" i="117"/>
  <c r="F225" i="117"/>
  <c r="F226" i="117"/>
  <c r="F227" i="117"/>
  <c r="F228" i="117"/>
  <c r="F229" i="117"/>
  <c r="F230" i="117"/>
  <c r="F231" i="117"/>
  <c r="F232" i="117"/>
  <c r="F233" i="117"/>
  <c r="F234" i="117"/>
  <c r="F235" i="117"/>
  <c r="F236" i="117"/>
  <c r="F237" i="117"/>
  <c r="F238" i="117"/>
  <c r="F239" i="117"/>
  <c r="F240" i="117"/>
  <c r="F241" i="117"/>
  <c r="F242" i="117"/>
  <c r="F243" i="117"/>
  <c r="F244" i="117"/>
  <c r="F245" i="117"/>
  <c r="F246" i="117"/>
  <c r="F247" i="117"/>
  <c r="F248" i="117"/>
  <c r="F249" i="117"/>
  <c r="F250" i="117"/>
  <c r="F251" i="117"/>
  <c r="F252" i="117"/>
  <c r="F253" i="117"/>
  <c r="F254" i="117"/>
  <c r="F255" i="117"/>
  <c r="F256" i="117"/>
  <c r="F257" i="117"/>
  <c r="F258" i="117"/>
  <c r="F259" i="117"/>
  <c r="F260" i="117"/>
  <c r="F261" i="117"/>
  <c r="F262" i="117"/>
  <c r="F263" i="117"/>
  <c r="F264" i="117"/>
  <c r="F265" i="117"/>
  <c r="F266" i="117"/>
  <c r="F267" i="117"/>
  <c r="F268" i="117"/>
  <c r="F269" i="117"/>
  <c r="F270" i="117"/>
  <c r="F271" i="117"/>
  <c r="F272" i="117"/>
  <c r="F273" i="117"/>
  <c r="F274" i="117"/>
  <c r="F275" i="117"/>
  <c r="F276" i="117"/>
  <c r="F277" i="117"/>
  <c r="F278" i="117"/>
  <c r="F279" i="117"/>
  <c r="F280" i="117"/>
  <c r="F281" i="117"/>
  <c r="F282" i="117"/>
  <c r="F283" i="117"/>
  <c r="G17" i="116"/>
  <c r="E17" i="116"/>
  <c r="H17" i="116"/>
  <c r="O2" i="117"/>
  <c r="E18" i="116"/>
  <c r="B18" i="116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25" i="116"/>
  <c r="B25" i="116"/>
  <c r="G25" i="116"/>
  <c r="H25" i="116"/>
  <c r="O43" i="117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O66" i="117"/>
  <c r="O67" i="117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5" i="116"/>
  <c r="B27" i="116"/>
  <c r="G27" i="116"/>
  <c r="H27" i="116"/>
  <c r="O138" i="117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R3" i="116"/>
  <c r="O176" i="117"/>
  <c r="R4" i="116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R5" i="116"/>
  <c r="O191" i="117"/>
  <c r="R6" i="116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O266" i="117"/>
  <c r="O267" i="117"/>
  <c r="O268" i="117"/>
  <c r="O269" i="117"/>
  <c r="O270" i="117"/>
  <c r="O271" i="117"/>
  <c r="O272" i="117"/>
  <c r="O273" i="117"/>
  <c r="O274" i="117"/>
  <c r="O275" i="117"/>
  <c r="O276" i="117"/>
  <c r="O277" i="117"/>
  <c r="O278" i="117"/>
  <c r="O279" i="117"/>
  <c r="O280" i="117"/>
  <c r="O281" i="117"/>
  <c r="O282" i="117"/>
  <c r="O283" i="117"/>
  <c r="P283" i="82"/>
  <c r="N283" i="82"/>
  <c r="M283" i="82"/>
  <c r="L283" i="82"/>
  <c r="K283" i="82"/>
  <c r="H283" i="82"/>
  <c r="P282" i="82"/>
  <c r="N282" i="82"/>
  <c r="M282" i="82"/>
  <c r="L282" i="82"/>
  <c r="K282" i="82"/>
  <c r="H282" i="82"/>
  <c r="P281" i="82"/>
  <c r="N281" i="82"/>
  <c r="M281" i="82"/>
  <c r="L281" i="82"/>
  <c r="K281" i="82"/>
  <c r="H281" i="82"/>
  <c r="P280" i="82"/>
  <c r="N280" i="82"/>
  <c r="M280" i="82"/>
  <c r="L280" i="82"/>
  <c r="K280" i="82"/>
  <c r="H280" i="82"/>
  <c r="P279" i="82"/>
  <c r="N279" i="82"/>
  <c r="M279" i="82"/>
  <c r="L279" i="82"/>
  <c r="K279" i="82"/>
  <c r="H279" i="82"/>
  <c r="P278" i="82"/>
  <c r="N278" i="82"/>
  <c r="M278" i="82"/>
  <c r="L278" i="82"/>
  <c r="K278" i="82"/>
  <c r="H278" i="82"/>
  <c r="A278" i="117"/>
  <c r="H278" i="117"/>
  <c r="K278" i="117"/>
  <c r="L278" i="117"/>
  <c r="M278" i="117"/>
  <c r="N278" i="117"/>
  <c r="P278" i="117"/>
  <c r="A279" i="117"/>
  <c r="H279" i="117"/>
  <c r="K279" i="117"/>
  <c r="L279" i="117"/>
  <c r="M279" i="117"/>
  <c r="N279" i="117"/>
  <c r="P279" i="117"/>
  <c r="A280" i="117"/>
  <c r="H280" i="117"/>
  <c r="K280" i="117"/>
  <c r="L280" i="117"/>
  <c r="M280" i="117"/>
  <c r="N280" i="117"/>
  <c r="P280" i="117"/>
  <c r="A281" i="117"/>
  <c r="H281" i="117"/>
  <c r="K281" i="117"/>
  <c r="L281" i="117"/>
  <c r="M281" i="117"/>
  <c r="N281" i="117"/>
  <c r="P281" i="117"/>
  <c r="A282" i="117"/>
  <c r="H282" i="117"/>
  <c r="K282" i="117"/>
  <c r="L282" i="117"/>
  <c r="M282" i="117"/>
  <c r="N282" i="117"/>
  <c r="P282" i="117"/>
  <c r="A283" i="117"/>
  <c r="H283" i="117"/>
  <c r="K283" i="117"/>
  <c r="L283" i="117"/>
  <c r="M283" i="117"/>
  <c r="N283" i="117"/>
  <c r="P283" i="117"/>
  <c r="B32" i="106"/>
  <c r="B10" i="106"/>
  <c r="A272" i="82"/>
  <c r="H272" i="82"/>
  <c r="K272" i="82"/>
  <c r="L272" i="82"/>
  <c r="M272" i="82"/>
  <c r="N272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B10" i="116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7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G31" i="116"/>
  <c r="E31" i="116"/>
  <c r="H31" i="116"/>
  <c r="I31" i="116"/>
  <c r="J31" i="116"/>
  <c r="F31" i="116"/>
  <c r="D31" i="116"/>
  <c r="G30" i="116"/>
  <c r="E30" i="116"/>
  <c r="H30" i="116"/>
  <c r="I30" i="116"/>
  <c r="J30" i="116"/>
  <c r="F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P6" i="116"/>
  <c r="O6" i="116"/>
  <c r="M6" i="116"/>
  <c r="V5" i="116"/>
  <c r="P5" i="116"/>
  <c r="O5" i="116"/>
  <c r="M5" i="116"/>
  <c r="V4" i="116"/>
  <c r="P4" i="116"/>
  <c r="O4" i="116"/>
  <c r="M4" i="116"/>
  <c r="V3" i="116"/>
  <c r="P3" i="116"/>
  <c r="O3" i="116"/>
  <c r="M3" i="116"/>
  <c r="V2" i="116"/>
  <c r="F27" i="106"/>
  <c r="G30" i="106"/>
  <c r="G31" i="106"/>
  <c r="V3" i="106"/>
  <c r="V4" i="106"/>
  <c r="V5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3" i="103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<sst xmlns="http://schemas.openxmlformats.org/spreadsheetml/2006/main" count="413" uniqueCount="226">
  <si>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</si>
  <si>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</si>
  <si>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</si>
  <si>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</si>
  <si>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</si>
  <si>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</si>
  <si>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</si>
  <si>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</si>
  <si>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</si>
  <si>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</si>
  <si>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</si>
  <si>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</si>
  <si>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</si>
  <si>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</si>
  <si>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</si>
  <si>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</si>
  <si>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</si>
  <si>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</si>
  <si>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</si>
  <si>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</si>
  <si>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</si>
  <si>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</si>
  <si>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</si>
  <si>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</si>
  <si>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</si>
  <si>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</si>
  <si>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</si>
  <si>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</si>
  <si>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</si>
  <si>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</si>
  <si>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</si>
  <si>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</si>
  <si>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</si>
  <si>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</si>
  <si>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</si>
  <si>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</si>
  <si>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</si>
  <si>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</si>
  <si>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</si>
  <si>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</si>
  <si>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</si>
  <si>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</si>
  <si>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</si>
  <si>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</si>
  <si>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</si>
  <si>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</si>
  <si>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</si>
  <si>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</si>
  <si>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</si>
  <si>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</si>
  <si>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</si>
  <si>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</si>
  <si>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</si>
  <si>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</si>
  <si>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</si>
  <si>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</si>
  <si>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</si>
  <si>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</si>
  <si>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</si>
  <si>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</si>
  <si>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</si>
  <si>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</si>
  <si>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</si>
  <si>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</si>
  <si>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</si>
  <si>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</si>
  <si>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</si>
  <si>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</si>
  <si>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</si>
  <si>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</si>
  <si>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</si>
  <si>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</si>
  <si>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</si>
  <si>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</si>
  <si>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</si>
  <si>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</si>
  <si>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</si>
  <si>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</si>
  <si>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</si>
  <si>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</si>
  <si>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</si>
  <si>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</si>
  <si>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</si>
  <si>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</si>
  <si>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</si>
  <si>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</si>
  <si>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</si>
  <si>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</si>
  <si>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</si>
  <si>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</si>
  <si>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</si>
  <si>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</si>
  <si>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</si>
  <si>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</si>
  <si>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</si>
  <si>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</si>
  <si>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</si>
  <si>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</si>
  <si>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</si>
  <si>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</si>
  <si>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</si>
  <si>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</si>
  <si>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</si>
  <si>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</si>
  <si>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</si>
  <si>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</si>
  <si>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</si>
  <si>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</si>
  <si>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</si>
  <si>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</si>
  <si>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</si>
  <si>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</si>
  <si>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</si>
  <si>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</si>
  <si>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</si>
  <si>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</si>
  <si>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</si>
  <si>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</si>
  <si>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</si>
  <si>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</si>
  <si>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</si>
  <si>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</si>
  <si>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</si>
  <si>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</si>
  <si>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</si>
  <si>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</si>
  <si>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</si>
  <si>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</si>
  <si>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</si>
  <si>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</si>
  <si>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</si>
  <si>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</si>
  <si>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</si>
  <si>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</si>
  <si>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</si>
  <si>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</si>
  <si>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</si>
  <si>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</si>
  <si>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</si>
  <si>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</si>
  <si>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</si>
  <si>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</si>
  <si>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</si>
  <si>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</si>
  <si>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</si>
  <si>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</si>
  <si>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</si>
  <si>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</si>
  <si>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</si>
  <si>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</si>
  <si>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</si>
  <si>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</si>
  <si>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</si>
  <si>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</si>
  <si>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</si>
  <si>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</si>
  <si>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</si>
  <si>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</si>
  <si>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</si>
  <si>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</si>
  <si>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</si>
  <si>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</si>
  <si>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</si>
  <si>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</si>
  <si>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</si>
  <si>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</si>
  <si>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</si>
  <si>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</si>
  <si>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</si>
  <si>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</si>
  <si>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</si>
  <si>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</si>
  <si>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</si>
  <si>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</si>
  <si>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</si>
  <si>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</si>
  <si>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</si>
  <si>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</si>
  <si>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</si>
  <si>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</si>
  <si>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</si>
  <si>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</si>
  <si>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</si>
  <si>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</si>
  <si>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</si>
  <si>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</si>
  <si>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</si>
  <si>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</si>
  <si>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</si>
  <si>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</si>
  <si>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</si>
  <si>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</si>
  <si>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</si>
  <si>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</si>
  <si>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</si>
  <si>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</si>
  <si>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</si>
  <si>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</si>
  <si>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</si>
  <si>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</si>
  <si>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</si>
  <si>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</si>
  <si>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</si>
  <si>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</si>
  <si>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</si>
  <si>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</si>
  <si>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</si>
  <si>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7"/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</si>
  <si>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</si>
  <si>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</si>
  <si>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</si>
  <si>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</si>
  <si>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</si>
  <si>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</si>
  <si>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</si>
  <si>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</si>
  <si>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</si>
  <si>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</si>
  <si>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</si>
  <si>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</si>
  <si>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</si>
  <si>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</si>
  <si>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</si>
  <si>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tables_354010</t>
    <phoneticPr fontId="17"/>
  </si>
  <si>
    <t>tables_354100</t>
    <phoneticPr fontId="17"/>
  </si>
  <si>
    <t>old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</si>
</sst>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" fillId="0" borderId="0"/>
  </cellStyleXfs>
  <cellXfs count="85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7" fillId="0" borderId="1" xfId="3036" applyFont="1" applyBorder="1"/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2" fillId="25" borderId="0" xfId="2" applyFont="1" applyFill="1" applyAlignment="1">
      <alignment vertical="center"/>
    </xf>
    <xf numFmtId="0" fontId="2" fillId="4" borderId="1" xfId="2978" applyFont="1" applyFill="1" applyBorder="1"/>
    <xf numFmtId="0" fontId="1" fillId="0" borderId="1" xfId="3036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balance</v>
          </cell>
          <cell r="L875" t="str">
            <v>バランスタイプ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balance</v>
          </cell>
          <cell r="L876" t="str">
            <v>バランスタイプ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ウザリーマン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ウザリーマン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ウザリーマン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ウザリーマン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ウザリーマン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ウザリーマン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ウザリーマン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ウザリーマン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ウザリーマン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ウザリーマン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ウザリーマン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ウザリーマン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ウザリーマン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ウザリーマン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ウザリーマン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ウザリーマン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ウザリーマン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ウザリーマン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ウザリーマン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ウザリーマン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ウザリーマン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ウザリーマン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ウザリーマン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ウザリーマン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ウザリーマン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ウザリーマン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technical</v>
          </cell>
          <cell r="L1003" t="str">
            <v>テクニカルタイプ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ウザリーマン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technical</v>
          </cell>
          <cell r="L1004" t="str">
            <v>テクニカルタイプ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yellow</v>
          </cell>
          <cell r="I1090">
            <v>4</v>
          </cell>
          <cell r="J1090" t="str">
            <v>PremiumSS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5</v>
          </cell>
          <cell r="J1091" t="str">
            <v>PremiumSS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3" sqref="G23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E24" sqref="E2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4" t="s">
        <v>225</v>
      </c>
      <c r="B2" s="63" t="s">
        <v>119</v>
      </c>
      <c r="C2" s="52" t="str">
        <f>RIGHT(F2,6)</f>
        <v>354010</v>
      </c>
      <c r="D2" s="19" t="s">
        <v>46</v>
      </c>
      <c r="E2" s="17" t="str">
        <f t="shared" ref="E2:E6" si="0">B2&amp;C2&amp;D2</f>
        <v>gacha_select_tables_354010.tmp</v>
      </c>
      <c r="F2" s="83" t="s">
        <v>223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4" t="s">
        <v>225</v>
      </c>
      <c r="B3" s="63" t="s">
        <v>119</v>
      </c>
      <c r="C3" s="52" t="str">
        <f>RIGHT(F3,6)</f>
        <v>354100</v>
      </c>
      <c r="D3" s="19" t="s">
        <v>46</v>
      </c>
      <c r="E3" s="17" t="str">
        <f t="shared" si="0"/>
        <v>gacha_select_tables_354100.tmp</v>
      </c>
      <c r="F3" s="83" t="s">
        <v>224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32" t="s">
        <v>54</v>
      </c>
      <c r="B4" s="27" t="s">
        <v>51</v>
      </c>
      <c r="C4" s="33" t="s">
        <v>59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32" t="s">
        <v>54</v>
      </c>
      <c r="B5" s="19" t="s">
        <v>49</v>
      </c>
      <c r="C5" s="33" t="s">
        <v>59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3" t="s">
        <v>7</v>
      </c>
      <c r="P5" s="53" t="s">
        <v>9</v>
      </c>
      <c r="Q5" s="53" t="s">
        <v>6</v>
      </c>
      <c r="R5" s="53" t="s">
        <v>90</v>
      </c>
      <c r="S5" s="53" t="s">
        <v>8</v>
      </c>
      <c r="T5" s="53" t="s">
        <v>91</v>
      </c>
      <c r="U5" s="53" t="s">
        <v>5</v>
      </c>
    </row>
    <row r="6" spans="1:21" x14ac:dyDescent="0.15">
      <c r="A6" s="32" t="s">
        <v>54</v>
      </c>
      <c r="B6" s="19" t="s">
        <v>50</v>
      </c>
      <c r="C6" s="33" t="s">
        <v>59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7" workbookViewId="0">
      <selection activeCell="D38" sqref="D3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354010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6" t="s">
        <v>221</v>
      </c>
      <c r="L3">
        <v>492</v>
      </c>
      <c r="M3" s="39" t="str">
        <f>VLOOKUP(L3,[1]characters!$A:$C,3,FALSE)</f>
        <v>ブートレグ・ペロー</v>
      </c>
      <c r="N3" s="65">
        <v>5.0000000000000001E-3</v>
      </c>
      <c r="O3" s="39">
        <f>VLOOKUP(L3,[1]characters!$A:$I,9,FALSE)</f>
        <v>4</v>
      </c>
      <c r="P3" s="39" t="str">
        <f>VLOOKUP(L3,[1]characters!$A:$J,10,FALSE)</f>
        <v>PremiumSS</v>
      </c>
      <c r="Q3" s="39" t="str">
        <f>VLOOKUP(L3,tables_354010!B:C,2,FALSE)</f>
        <v>PremiumSS4</v>
      </c>
      <c r="R3" s="64">
        <f t="shared" ref="R3:R6" si="0">N3*A$36</f>
        <v>4680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493</v>
      </c>
      <c r="M4" s="39" t="str">
        <f>VLOOKUP(L4,[1]characters!$A:$C,3,FALSE)</f>
        <v>跋扈の機脚 ブートレグ・ペロー</v>
      </c>
      <c r="N4" s="65">
        <v>1.4999999999999999E-2</v>
      </c>
      <c r="O4" s="39">
        <f>VLOOKUP(L4,[1]characters!$A:$I,9,FALSE)</f>
        <v>5</v>
      </c>
      <c r="P4" s="39" t="str">
        <f>VLOOKUP(L4,[1]characters!$A:$J,10,FALSE)</f>
        <v>PremiumSS</v>
      </c>
      <c r="Q4" s="39" t="str">
        <f>VLOOKUP(L4,tables_354010!B:C,2,FALSE)</f>
        <v>PremiumSS5</v>
      </c>
      <c r="R4" s="64">
        <f t="shared" si="0"/>
        <v>14040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5">
        <f>1-B6-B7-B8</f>
        <v>0.5</v>
      </c>
      <c r="D5" t="s">
        <v>210</v>
      </c>
      <c r="E5" s="45">
        <f>(B11-H5)/(F5-I5)</f>
        <v>1.3888888888888881E-4</v>
      </c>
      <c r="F5">
        <f>(COUNTIF(tables_354010!C:C,input_354010!A26)+COUNTIF(tables_354010!C:C,input_354010!A28)+COUNTIF(tables_354010!C:C,input_354010!A29))</f>
        <v>38</v>
      </c>
      <c r="H5" s="77">
        <v>0.04</v>
      </c>
      <c r="I5" s="31">
        <v>2</v>
      </c>
      <c r="L5">
        <v>494</v>
      </c>
      <c r="M5" s="39" t="str">
        <f>VLOOKUP(L5,[1]characters!$A:$C,3,FALSE)</f>
        <v>ハーメルン</v>
      </c>
      <c r="N5" s="65">
        <v>5.0000000000000001E-3</v>
      </c>
      <c r="O5" s="39">
        <f>VLOOKUP(L5,[1]characters!$A:$I,9,FALSE)</f>
        <v>4</v>
      </c>
      <c r="P5" s="39" t="str">
        <f>VLOOKUP(L5,[1]characters!$A:$J,10,FALSE)</f>
        <v>PremiumSS</v>
      </c>
      <c r="Q5" s="39" t="str">
        <f>VLOOKUP(L5,tables_354010!B:C,2,FALSE)</f>
        <v>PremiumSS4</v>
      </c>
      <c r="R5" s="64">
        <f t="shared" si="0"/>
        <v>4680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5">
        <v>0.45</v>
      </c>
      <c r="D6" t="s">
        <v>211</v>
      </c>
      <c r="E6" s="81">
        <f>(B10-H6)/(F6-I6)</f>
        <v>1.2243589743589743E-2</v>
      </c>
      <c r="F6">
        <f>(COUNTIF(tables_354010!C:C,input_354010!A18)+COUNTIF(tables_354010!C:C,input_354010!A20)+COUNTIF(tables_354010!C:C,input_354010!A22))</f>
        <v>78</v>
      </c>
      <c r="H6" s="77">
        <v>0</v>
      </c>
      <c r="I6" s="31">
        <v>0</v>
      </c>
      <c r="L6">
        <v>495</v>
      </c>
      <c r="M6" s="39" t="str">
        <f>VLOOKUP(L6,[1]characters!$A:$C,3,FALSE)</f>
        <v>鼠災呼ぶ笛音 ハーメルン</v>
      </c>
      <c r="N6" s="65">
        <v>1.4999999999999999E-2</v>
      </c>
      <c r="O6" s="39">
        <f>VLOOKUP(L6,[1]characters!$A:$I,9,FALSE)</f>
        <v>5</v>
      </c>
      <c r="P6" s="39" t="str">
        <f>VLOOKUP(L6,[1]characters!$A:$J,10,FALSE)</f>
        <v>PremiumSS</v>
      </c>
      <c r="Q6" s="39" t="str">
        <f>VLOOKUP(L6,tables_354010!B:C,2,FALSE)</f>
        <v>PremiumSS5</v>
      </c>
      <c r="R6" s="64">
        <f t="shared" si="0"/>
        <v>14040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5">
        <v>0.05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0.95499999999999996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4.4999999999999998E-2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0.18138888888888893</v>
      </c>
      <c r="C17" s="78">
        <f t="shared" ref="C17:C31" si="2">SUMIF(Q:Q,A17,N:N)</f>
        <v>0</v>
      </c>
      <c r="D17" s="79">
        <f t="shared" ref="D17:D26" si="3">B17-C17</f>
        <v>0.18138888888888893</v>
      </c>
      <c r="E17">
        <f>COUNTIF(tables_354010!C:C,input_354010!A17)-COUNTIF(Q:Q,A17)</f>
        <v>20</v>
      </c>
      <c r="F17" s="45">
        <f>IFERROR(B17/E17,0)</f>
        <v>9.0694444444444459E-3</v>
      </c>
      <c r="G17">
        <f>A$36*B17</f>
        <v>169780.00000000003</v>
      </c>
      <c r="H17">
        <f t="shared" ref="H17:H26" si="4">IFERROR(ROUND(G17/E17,5),0)</f>
        <v>8489</v>
      </c>
      <c r="I17">
        <f t="shared" ref="I17:I31" si="5">MOD(H17,1)</f>
        <v>0</v>
      </c>
      <c r="J17">
        <f t="shared" ref="J17:J26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6.3482905982905929E-2</v>
      </c>
      <c r="C18" s="78">
        <f t="shared" si="2"/>
        <v>0</v>
      </c>
      <c r="D18" s="79">
        <f t="shared" si="3"/>
        <v>6.3482905982905929E-2</v>
      </c>
      <c r="E18">
        <f>COUNTIF(tables_354010!C:C,input_354010!A18)-COUNTIF(Q:Q,A18)</f>
        <v>20</v>
      </c>
      <c r="F18" s="45">
        <f t="shared" ref="F18:F31" si="7">IFERROR(B18/E18,0)</f>
        <v>3.1741452991452964E-3</v>
      </c>
      <c r="G18">
        <f t="shared" ref="G18:G31" si="8">A$36*B18</f>
        <v>59419.999999999949</v>
      </c>
      <c r="H18">
        <f t="shared" si="4"/>
        <v>2971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0.3183333333333333</v>
      </c>
      <c r="C19" s="78">
        <f t="shared" si="2"/>
        <v>0</v>
      </c>
      <c r="D19" s="79">
        <f t="shared" si="3"/>
        <v>0.3183333333333333</v>
      </c>
      <c r="E19">
        <f>COUNTIF(tables_354010!C:C,input_354010!A19)-COUNTIF(Q:Q,A19)</f>
        <v>52</v>
      </c>
      <c r="F19" s="45">
        <f t="shared" si="7"/>
        <v>6.1217948717948714E-3</v>
      </c>
      <c r="G19">
        <f t="shared" si="8"/>
        <v>297959.99999999994</v>
      </c>
      <c r="H19">
        <f t="shared" si="4"/>
        <v>5730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0.28649999999999998</v>
      </c>
      <c r="C20" s="78">
        <f t="shared" si="2"/>
        <v>0</v>
      </c>
      <c r="D20" s="79">
        <f t="shared" si="3"/>
        <v>0.28649999999999998</v>
      </c>
      <c r="E20">
        <f>COUNTIF(tables_354010!C:C,input_354010!A20)-COUNTIF(Q:Q,A20)</f>
        <v>52</v>
      </c>
      <c r="F20" s="45">
        <f t="shared" si="7"/>
        <v>5.5096153846153845E-3</v>
      </c>
      <c r="G20">
        <f t="shared" si="8"/>
        <v>268164</v>
      </c>
      <c r="H20">
        <f t="shared" si="4"/>
        <v>5157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3.1833333333333332E-2</v>
      </c>
      <c r="C21" s="78">
        <f t="shared" si="2"/>
        <v>0</v>
      </c>
      <c r="D21" s="79">
        <f t="shared" si="3"/>
        <v>3.1833333333333332E-2</v>
      </c>
      <c r="E21">
        <f>COUNTIF(tables_354010!C:C,input_354010!A21)-COUNTIF(Q:Q,A21)</f>
        <v>52</v>
      </c>
      <c r="F21" s="45">
        <f t="shared" si="7"/>
        <v>6.1217948717948709E-4</v>
      </c>
      <c r="G21">
        <f t="shared" si="8"/>
        <v>29796</v>
      </c>
      <c r="H21">
        <f t="shared" si="4"/>
        <v>573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0">
        <f>E6*COUNTIF(tables_354010!C:C,input_354010!A22)-B23</f>
        <v>5.6336538461538452E-2</v>
      </c>
      <c r="C22" s="78">
        <f t="shared" si="2"/>
        <v>0</v>
      </c>
      <c r="D22" s="79">
        <f t="shared" si="3"/>
        <v>5.6336538461538452E-2</v>
      </c>
      <c r="E22">
        <f>COUNTIF(tables_354010!C:C,input_354010!A22)-COUNTIF(Q:Q,A22)</f>
        <v>6</v>
      </c>
      <c r="F22" s="45">
        <f t="shared" si="7"/>
        <v>9.3894230769230747E-3</v>
      </c>
      <c r="G22">
        <f t="shared" si="8"/>
        <v>52730.999999999993</v>
      </c>
      <c r="H22">
        <f t="shared" si="4"/>
        <v>8788.5</v>
      </c>
      <c r="I22">
        <f t="shared" si="5"/>
        <v>0.5</v>
      </c>
      <c r="J22">
        <f t="shared" si="6"/>
        <v>2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1.7125000000000001E-2</v>
      </c>
      <c r="C23" s="78">
        <f t="shared" si="2"/>
        <v>0</v>
      </c>
      <c r="D23" s="79">
        <f t="shared" si="3"/>
        <v>1.7125000000000001E-2</v>
      </c>
      <c r="E23">
        <f>COUNTIF(tables_354010!C:C,input_354010!A23)-COUNTIF(Q:Q,A23)</f>
        <v>6</v>
      </c>
      <c r="F23" s="45">
        <f t="shared" si="7"/>
        <v>2.8541666666666667E-3</v>
      </c>
      <c r="G23">
        <f t="shared" si="8"/>
        <v>16029.000000000002</v>
      </c>
      <c r="H23">
        <f t="shared" si="4"/>
        <v>2671.5</v>
      </c>
      <c r="I23">
        <f t="shared" si="5"/>
        <v>0.5</v>
      </c>
      <c r="J23">
        <f t="shared" si="6"/>
        <v>2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2.7777777777777761E-4</v>
      </c>
      <c r="C24" s="78">
        <f t="shared" si="2"/>
        <v>0</v>
      </c>
      <c r="D24" s="79">
        <f t="shared" si="3"/>
        <v>2.7777777777777761E-4</v>
      </c>
      <c r="E24">
        <f>COUNTIF(tables_354010!C:C,input_354010!A24)-COUNTIF(Q:Q,A24)</f>
        <v>4</v>
      </c>
      <c r="F24" s="45">
        <f t="shared" si="7"/>
        <v>6.9444444444444404E-5</v>
      </c>
      <c r="G24">
        <f t="shared" si="8"/>
        <v>259.99999999999983</v>
      </c>
      <c r="H24">
        <f t="shared" si="4"/>
        <v>65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2.4999999999999984E-4</v>
      </c>
      <c r="C25" s="78">
        <f t="shared" si="2"/>
        <v>0</v>
      </c>
      <c r="D25" s="79">
        <f t="shared" si="3"/>
        <v>2.4999999999999984E-4</v>
      </c>
      <c r="E25">
        <f>COUNTIF(tables_354010!C:C,input_354010!A25)-COUNTIF(Q:Q,A25)</f>
        <v>4</v>
      </c>
      <c r="F25" s="45">
        <f t="shared" si="7"/>
        <v>6.2499999999999961E-5</v>
      </c>
      <c r="G25">
        <f t="shared" si="8"/>
        <v>233.99999999999986</v>
      </c>
      <c r="H25">
        <f t="shared" si="4"/>
        <v>58.5</v>
      </c>
      <c r="I25">
        <f t="shared" si="5"/>
        <v>0.5</v>
      </c>
      <c r="J25">
        <f t="shared" si="6"/>
        <v>2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2.7777777777777762E-5</v>
      </c>
      <c r="C26" s="78">
        <f t="shared" si="2"/>
        <v>0</v>
      </c>
      <c r="D26" s="79">
        <f t="shared" si="3"/>
        <v>2.7777777777777762E-5</v>
      </c>
      <c r="E26">
        <f>COUNTIF(tables_354010!C:C,input_354010!A26)-COUNTIF(Q:Q,A26)</f>
        <v>4</v>
      </c>
      <c r="F26" s="45">
        <f t="shared" si="7"/>
        <v>6.9444444444444405E-6</v>
      </c>
      <c r="G26">
        <f t="shared" si="8"/>
        <v>25.999999999999986</v>
      </c>
      <c r="H26">
        <f t="shared" si="4"/>
        <v>6.5</v>
      </c>
      <c r="I26">
        <f t="shared" si="5"/>
        <v>0.5</v>
      </c>
      <c r="J26">
        <f t="shared" si="6"/>
        <v>2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3.4305555555555534E-3</v>
      </c>
      <c r="C27" s="78">
        <f t="shared" si="2"/>
        <v>0.01</v>
      </c>
      <c r="D27" s="79">
        <f t="shared" ref="D27:D29" si="9">B27-C27</f>
        <v>-6.5694444444444472E-3</v>
      </c>
      <c r="E27">
        <f>COUNTIF(tables_354010!C:C,input_354010!A27)-COUNTIF(Q:Q,A27)</f>
        <v>26</v>
      </c>
      <c r="F27" s="45">
        <f>IFERROR(B27/E27,0)</f>
        <v>1.3194444444444435E-4</v>
      </c>
      <c r="G27">
        <f t="shared" si="8"/>
        <v>3210.9999999999982</v>
      </c>
      <c r="H27">
        <f t="shared" ref="H27:H29" si="10">IFERROR(ROUND(G27/E27,5),0)</f>
        <v>123.5</v>
      </c>
      <c r="I27">
        <f t="shared" si="5"/>
        <v>0.5</v>
      </c>
      <c r="J27">
        <f t="shared" ref="J27:J29" si="11">IFERROR(1/I27,1)</f>
        <v>2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1.8055555555555547E-4</v>
      </c>
      <c r="C28" s="78">
        <f t="shared" si="2"/>
        <v>0.03</v>
      </c>
      <c r="D28" s="79">
        <f t="shared" si="9"/>
        <v>-2.9819444444444444E-2</v>
      </c>
      <c r="E28">
        <f>COUNTIF(tables_354010!C:C,input_354010!A28)-COUNTIF(Q:Q,A28)</f>
        <v>26</v>
      </c>
      <c r="F28" s="45">
        <f t="shared" si="7"/>
        <v>6.9444444444444414E-6</v>
      </c>
      <c r="G28">
        <f t="shared" si="8"/>
        <v>168.99999999999991</v>
      </c>
      <c r="H28">
        <f t="shared" si="10"/>
        <v>6.5</v>
      </c>
      <c r="I28">
        <f t="shared" si="5"/>
        <v>0.5</v>
      </c>
      <c r="J28">
        <f t="shared" si="11"/>
        <v>2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E5*COUNTIF(tables_354010!C:C,input_354010!A29)</f>
        <v>8.3333333333333284E-4</v>
      </c>
      <c r="C29" s="78">
        <f t="shared" si="2"/>
        <v>0</v>
      </c>
      <c r="D29" s="79">
        <f t="shared" si="9"/>
        <v>8.3333333333333284E-4</v>
      </c>
      <c r="E29">
        <f>COUNTIF(tables_354010!C:C,input_354010!A29)-COUNTIF(Q:Q,A29)</f>
        <v>6</v>
      </c>
      <c r="F29" s="45">
        <f t="shared" si="7"/>
        <v>1.3888888888888881E-4</v>
      </c>
      <c r="G29">
        <f t="shared" si="8"/>
        <v>779.99999999999955</v>
      </c>
      <c r="H29">
        <f t="shared" si="10"/>
        <v>130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8">
        <f t="shared" si="2"/>
        <v>0</v>
      </c>
      <c r="D30" s="79">
        <f t="shared" ref="D30:D31" si="12">B30-C30</f>
        <v>0</v>
      </c>
      <c r="E30">
        <f>COUNTIF(tables_354010!C:C,input_354010!A30)-COUNTIF(Q:Q,A30)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8">
        <f t="shared" si="2"/>
        <v>0</v>
      </c>
      <c r="D31" s="79">
        <f t="shared" si="12"/>
        <v>0</v>
      </c>
      <c r="E31">
        <f>COUNTIF(tables_354010!C:C,input_354010!A31)-COUNTIF(Q:Q,A31)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0.95999999999999985</v>
      </c>
      <c r="C32" s="43">
        <f>SUM(C19:C31)</f>
        <v>0.04</v>
      </c>
      <c r="D32" s="44">
        <f t="shared" ref="D32" si="15">B32-C32</f>
        <v>0.91999999999999982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936000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SUMIF(tables_354010!C:C,input_354010!A40,tables_354010!O:O)</f>
        <v>297960</v>
      </c>
      <c r="C40" s="56">
        <f t="shared" ref="C40:C46" ca="1" si="16">B40/B$47</f>
        <v>0.46794610044916291</v>
      </c>
      <c r="E40">
        <v>3</v>
      </c>
      <c r="F40">
        <f ca="1">SUMIF(tables_354010!J:J,input_354010!E40,tables_354010!O:O)</f>
        <v>468000</v>
      </c>
      <c r="G40">
        <f ca="1">F40/A36</f>
        <v>0.5</v>
      </c>
    </row>
    <row r="41" spans="1:7" x14ac:dyDescent="0.15">
      <c r="A41" s="34" t="s">
        <v>110</v>
      </c>
      <c r="B41">
        <f ca="1">SUMIF(tables_354010!C:C,input_354010!A41,tables_354010!O:O)</f>
        <v>268164</v>
      </c>
      <c r="C41" s="56">
        <f t="shared" ca="1" si="16"/>
        <v>0.42115149040424665</v>
      </c>
      <c r="E41">
        <v>4</v>
      </c>
      <c r="F41">
        <f ca="1">SUMIF(tables_354010!J:J,input_354010!E41,tables_354010!O:O)</f>
        <v>393120</v>
      </c>
      <c r="G41">
        <f ca="1">F41/A36</f>
        <v>0.42</v>
      </c>
    </row>
    <row r="42" spans="1:7" x14ac:dyDescent="0.15">
      <c r="A42" s="34" t="s">
        <v>115</v>
      </c>
      <c r="B42">
        <f ca="1">SUMIF(tables_354010!C:C,input_354010!A42,tables_354010!O:O)</f>
        <v>12571</v>
      </c>
      <c r="C42" s="56">
        <f t="shared" ca="1" si="16"/>
        <v>1.9742752143732136E-2</v>
      </c>
      <c r="E42">
        <v>5</v>
      </c>
      <c r="F42">
        <f ca="1">SUMIF(tables_354010!J:J,input_354010!E42,tables_354010!O:O)</f>
        <v>74880</v>
      </c>
      <c r="G42">
        <f ca="1">F42/A36</f>
        <v>0.08</v>
      </c>
    </row>
    <row r="43" spans="1:7" x14ac:dyDescent="0.15">
      <c r="A43" s="34" t="s">
        <v>116</v>
      </c>
      <c r="B43">
        <f>SUMIF(tables_354010!C:C,input_354010!A43,tables_354010!O:O)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SUMIF(tables_354010!C:C,input_354010!A44,tables_354010!O:O)</f>
        <v>29796</v>
      </c>
      <c r="C44" s="56">
        <f t="shared" ca="1" si="16"/>
        <v>4.6794610044916293E-2</v>
      </c>
      <c r="E44" t="s">
        <v>107</v>
      </c>
      <c r="F44" s="57"/>
    </row>
    <row r="45" spans="1:7" x14ac:dyDescent="0.15">
      <c r="A45" s="34" t="s">
        <v>117</v>
      </c>
      <c r="B45">
        <f ca="1">SUMIF(tables_354010!C:C,input_354010!A45,tables_354010!O:O)</f>
        <v>28249</v>
      </c>
      <c r="C45" s="56">
        <f t="shared" ca="1" si="16"/>
        <v>4.4365046957942016E-2</v>
      </c>
      <c r="E45" t="s">
        <v>213</v>
      </c>
      <c r="F45" s="57">
        <f ca="1">SUMIF(tables_354010!I:I,input_354010!E45,tables_354010!P:P)</f>
        <v>0.24334081196581198</v>
      </c>
    </row>
    <row r="46" spans="1:7" x14ac:dyDescent="0.15">
      <c r="A46" s="34" t="s">
        <v>118</v>
      </c>
      <c r="B46">
        <f>SUMIF(tables_354010!C:C,input_354010!A46,tables_354010!O:O)</f>
        <v>0</v>
      </c>
      <c r="C46" s="56">
        <f t="shared" ca="1" si="16"/>
        <v>0</v>
      </c>
      <c r="E46" t="s">
        <v>214</v>
      </c>
      <c r="F46" s="57">
        <f ca="1">SUMIF(tables_354010!I:I,input_354010!E46,tables_354010!P:P)</f>
        <v>0.20855769230769231</v>
      </c>
    </row>
    <row r="47" spans="1:7" x14ac:dyDescent="0.15">
      <c r="A47" s="41" t="s">
        <v>62</v>
      </c>
      <c r="B47">
        <f ca="1">SUM(B40:B46)</f>
        <v>636740</v>
      </c>
      <c r="C47" s="57">
        <f ca="1">SUM(C40:C46)</f>
        <v>0.99999999999999989</v>
      </c>
      <c r="E47" t="s">
        <v>215</v>
      </c>
      <c r="F47" s="57">
        <f ca="1">SUMIF(tables_354010!I:I,input_354010!E47,tables_354010!P:P)</f>
        <v>0.50212606837606844</v>
      </c>
    </row>
    <row r="48" spans="1:7" x14ac:dyDescent="0.15">
      <c r="E48" t="s">
        <v>216</v>
      </c>
      <c r="F48" s="57">
        <f ca="1">SUMIF(tables_354010!I:I,input_354010!E48,tables_354010!P:P)</f>
        <v>4.4444444444444384E-2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3"/>
  <sheetViews>
    <sheetView showGridLines="0" zoomScale="75" zoomScaleNormal="75" zoomScalePageLayoutView="75" workbookViewId="0">
      <pane ySplit="1" topLeftCell="A270" activePane="bottomLeft" state="frozen"/>
      <selection activeCell="F250" sqref="F250"/>
      <selection pane="bottomLeft" activeCell="P209" sqref="P2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input_354010!A$2</f>
        <v>354010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IFERROR(VLOOKUP(B2,input_354010!L:R,7,FALSE),VLOOKUP(tables_354010!C2,input_354010!A:H,8,FALSE))</f>
        <v>8489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input_354010!A$2</f>
        <v>354010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IFERROR(VLOOKUP(B3,input_354010!L:R,7,FALSE),VLOOKUP(tables_354010!C3,input_354010!A:H,8,FALSE))</f>
        <v>2971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input_354010!A$2</f>
        <v>354010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IFERROR(VLOOKUP(B4,input_354010!L:R,7,FALSE),VLOOKUP(tables_354010!C4,input_354010!A:H,8,FALSE))</f>
        <v>8489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input_354010!A$2</f>
        <v>354010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IFERROR(VLOOKUP(B5,input_354010!L:R,7,FALSE),VLOOKUP(tables_354010!C5,input_354010!A:H,8,FALSE))</f>
        <v>2971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input_354010!A$2</f>
        <v>354010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IFERROR(VLOOKUP(B6,input_354010!L:R,7,FALSE),VLOOKUP(tables_354010!C6,input_354010!A:H,8,FALSE))</f>
        <v>8489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input_354010!A$2</f>
        <v>354010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IFERROR(VLOOKUP(B7,input_354010!L:R,7,FALSE),VLOOKUP(tables_354010!C7,input_354010!A:H,8,FALSE))</f>
        <v>2971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input_354010!A$2</f>
        <v>354010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IFERROR(VLOOKUP(B8,input_354010!L:R,7,FALSE),VLOOKUP(tables_354010!C8,input_354010!A:H,8,FALSE))</f>
        <v>8489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input_354010!A$2</f>
        <v>354010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IFERROR(VLOOKUP(B9,input_354010!L:R,7,FALSE),VLOOKUP(tables_354010!C9,input_354010!A:H,8,FALSE))</f>
        <v>2971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input_354010!A$2</f>
        <v>354010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IFERROR(VLOOKUP(B10,input_354010!L:R,7,FALSE),VLOOKUP(tables_354010!C10,input_354010!A:H,8,FALSE))</f>
        <v>8489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input_354010!A$2</f>
        <v>354010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IFERROR(VLOOKUP(B11,input_354010!L:R,7,FALSE),VLOOKUP(tables_354010!C11,input_354010!A:H,8,FALSE))</f>
        <v>2971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input_354010!A$2</f>
        <v>354010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IFERROR(VLOOKUP(B12,input_354010!L:R,7,FALSE),VLOOKUP(tables_354010!C12,input_354010!A:H,8,FALSE))</f>
        <v>8489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input_354010!A$2</f>
        <v>354010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IFERROR(VLOOKUP(B13,input_354010!L:R,7,FALSE),VLOOKUP(tables_354010!C13,input_354010!A:H,8,FALSE))</f>
        <v>2971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input_354010!A$2</f>
        <v>354010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IFERROR(VLOOKUP(B14,input_354010!L:R,7,FALSE),VLOOKUP(tables_354010!C14,input_354010!A:H,8,FALSE))</f>
        <v>8489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input_354010!A$2</f>
        <v>354010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IFERROR(VLOOKUP(B15,input_354010!L:R,7,FALSE),VLOOKUP(tables_354010!C15,input_354010!A:H,8,FALSE))</f>
        <v>2971</v>
      </c>
      <c r="P15" s="48">
        <f t="shared" ref="P15:P78" ca="1" si="2">O15/SUM(O:O)</f>
        <v>3.174145299145299E-3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input_354010!A$2</f>
        <v>354010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IFERROR(VLOOKUP(B16,input_354010!L:R,7,FALSE),VLOOKUP(tables_354010!C16,input_354010!A:H,8,FALSE))</f>
        <v>8489</v>
      </c>
      <c r="P16" s="48">
        <f t="shared" ca="1" si="2"/>
        <v>9.0694444444444442E-3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input_354010!A$2</f>
        <v>354010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IFERROR(VLOOKUP(B17,input_354010!L:R,7,FALSE),VLOOKUP(tables_354010!C17,input_354010!A:H,8,FALSE))</f>
        <v>2971</v>
      </c>
      <c r="P17" s="48">
        <f t="shared" ca="1" si="2"/>
        <v>3.174145299145299E-3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input_354010!A$2</f>
        <v>354010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IFERROR(VLOOKUP(B18,input_354010!L:R,7,FALSE),VLOOKUP(tables_354010!C18,input_354010!A:H,8,FALSE))</f>
        <v>8489</v>
      </c>
      <c r="P18" s="48">
        <f t="shared" ca="1" si="2"/>
        <v>9.0694444444444442E-3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input_354010!A$2</f>
        <v>354010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IFERROR(VLOOKUP(B19,input_354010!L:R,7,FALSE),VLOOKUP(tables_354010!C19,input_354010!A:H,8,FALSE))</f>
        <v>2971</v>
      </c>
      <c r="P19" s="48">
        <f t="shared" ca="1" si="2"/>
        <v>3.174145299145299E-3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input_354010!A$2</f>
        <v>354010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IFERROR(VLOOKUP(B20,input_354010!L:R,7,FALSE),VLOOKUP(tables_354010!C20,input_354010!A:H,8,FALSE))</f>
        <v>8489</v>
      </c>
      <c r="P20" s="48">
        <f t="shared" ca="1" si="2"/>
        <v>9.0694444444444442E-3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input_354010!A$2</f>
        <v>354010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IFERROR(VLOOKUP(B21,input_354010!L:R,7,FALSE),VLOOKUP(tables_354010!C21,input_354010!A:H,8,FALSE))</f>
        <v>2971</v>
      </c>
      <c r="P21" s="48">
        <f t="shared" ca="1" si="2"/>
        <v>3.174145299145299E-3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input_354010!A$2</f>
        <v>354010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IFERROR(VLOOKUP(B22,input_354010!L:R,7,FALSE),VLOOKUP(tables_354010!C22,input_354010!A:H,8,FALSE))</f>
        <v>8489</v>
      </c>
      <c r="P22" s="48">
        <f t="shared" ca="1" si="2"/>
        <v>9.0694444444444442E-3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input_354010!A$2</f>
        <v>354010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IFERROR(VLOOKUP(B23,input_354010!L:R,7,FALSE),VLOOKUP(tables_354010!C23,input_354010!A:H,8,FALSE))</f>
        <v>2971</v>
      </c>
      <c r="P23" s="48">
        <f t="shared" ca="1" si="2"/>
        <v>3.174145299145299E-3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input_354010!A$2</f>
        <v>354010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IFERROR(VLOOKUP(B24,input_354010!L:R,7,FALSE),VLOOKUP(tables_354010!C24,input_354010!A:H,8,FALSE))</f>
        <v>8489</v>
      </c>
      <c r="P24" s="48">
        <f t="shared" ca="1" si="2"/>
        <v>9.0694444444444442E-3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input_354010!A$2</f>
        <v>354010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IFERROR(VLOOKUP(B25,input_354010!L:R,7,FALSE),VLOOKUP(tables_354010!C25,input_354010!A:H,8,FALSE))</f>
        <v>2971</v>
      </c>
      <c r="P25" s="48">
        <f t="shared" ca="1" si="2"/>
        <v>3.174145299145299E-3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input_354010!A$2</f>
        <v>354010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IFERROR(VLOOKUP(B26,input_354010!L:R,7,FALSE),VLOOKUP(tables_354010!C26,input_354010!A:H,8,FALSE))</f>
        <v>8489</v>
      </c>
      <c r="P26" s="48">
        <f t="shared" ca="1" si="2"/>
        <v>9.0694444444444442E-3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input_354010!A$2</f>
        <v>354010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IFERROR(VLOOKUP(B27,input_354010!L:R,7,FALSE),VLOOKUP(tables_354010!C27,input_354010!A:H,8,FALSE))</f>
        <v>2971</v>
      </c>
      <c r="P27" s="48">
        <f t="shared" ca="1" si="2"/>
        <v>3.174145299145299E-3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input_354010!A$2</f>
        <v>354010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IFERROR(VLOOKUP(B28,input_354010!L:R,7,FALSE),VLOOKUP(tables_354010!C28,input_354010!A:H,8,FALSE))</f>
        <v>8489</v>
      </c>
      <c r="P28" s="48">
        <f t="shared" ca="1" si="2"/>
        <v>9.0694444444444442E-3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input_354010!A$2</f>
        <v>354010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IFERROR(VLOOKUP(B29,input_354010!L:R,7,FALSE),VLOOKUP(tables_354010!C29,input_354010!A:H,8,FALSE))</f>
        <v>2971</v>
      </c>
      <c r="P29" s="48">
        <f t="shared" ca="1" si="2"/>
        <v>3.174145299145299E-3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input_354010!A$2</f>
        <v>354010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IFERROR(VLOOKUP(B30,input_354010!L:R,7,FALSE),VLOOKUP(tables_354010!C30,input_354010!A:H,8,FALSE))</f>
        <v>8489</v>
      </c>
      <c r="P30" s="48">
        <f t="shared" ca="1" si="2"/>
        <v>9.0694444444444442E-3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input_354010!A$2</f>
        <v>354010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IFERROR(VLOOKUP(B31,input_354010!L:R,7,FALSE),VLOOKUP(tables_354010!C31,input_354010!A:H,8,FALSE))</f>
        <v>2971</v>
      </c>
      <c r="P31" s="48">
        <f t="shared" ca="1" si="2"/>
        <v>3.174145299145299E-3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input_354010!A$2</f>
        <v>354010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IFERROR(VLOOKUP(B32,input_354010!L:R,7,FALSE),VLOOKUP(tables_354010!C32,input_354010!A:H,8,FALSE))</f>
        <v>8489</v>
      </c>
      <c r="P32" s="48">
        <f t="shared" ca="1" si="2"/>
        <v>9.0694444444444442E-3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input_354010!A$2</f>
        <v>354010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IFERROR(VLOOKUP(B33,input_354010!L:R,7,FALSE),VLOOKUP(tables_354010!C33,input_354010!A:H,8,FALSE))</f>
        <v>2971</v>
      </c>
      <c r="P33" s="48">
        <f t="shared" ca="1" si="2"/>
        <v>3.174145299145299E-3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input_354010!A$2</f>
        <v>354010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IFERROR(VLOOKUP(B34,input_354010!L:R,7,FALSE),VLOOKUP(tables_354010!C34,input_354010!A:H,8,FALSE))</f>
        <v>8489</v>
      </c>
      <c r="P34" s="48">
        <f t="shared" ca="1" si="2"/>
        <v>9.0694444444444442E-3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input_354010!A$2</f>
        <v>354010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IFERROR(VLOOKUP(B35,input_354010!L:R,7,FALSE),VLOOKUP(tables_354010!C35,input_354010!A:H,8,FALSE))</f>
        <v>2971</v>
      </c>
      <c r="P35" s="48">
        <f t="shared" ca="1" si="2"/>
        <v>3.174145299145299E-3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input_354010!A$2</f>
        <v>354010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IFERROR(VLOOKUP(B36,input_354010!L:R,7,FALSE),VLOOKUP(tables_354010!C36,input_354010!A:H,8,FALSE))</f>
        <v>8489</v>
      </c>
      <c r="P36" s="48">
        <f t="shared" ca="1" si="2"/>
        <v>9.0694444444444442E-3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input_354010!A$2</f>
        <v>354010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IFERROR(VLOOKUP(B37,input_354010!L:R,7,FALSE),VLOOKUP(tables_354010!C37,input_354010!A:H,8,FALSE))</f>
        <v>2971</v>
      </c>
      <c r="P37" s="48">
        <f t="shared" ca="1" si="2"/>
        <v>3.174145299145299E-3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input_354010!A$2</f>
        <v>354010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IFERROR(VLOOKUP(B38,input_354010!L:R,7,FALSE),VLOOKUP(tables_354010!C38,input_354010!A:H,8,FALSE))</f>
        <v>8489</v>
      </c>
      <c r="P38" s="48">
        <f t="shared" ca="1" si="2"/>
        <v>9.0694444444444442E-3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input_354010!A$2</f>
        <v>354010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IFERROR(VLOOKUP(B39,input_354010!L:R,7,FALSE),VLOOKUP(tables_354010!C39,input_354010!A:H,8,FALSE))</f>
        <v>2971</v>
      </c>
      <c r="P39" s="48">
        <f t="shared" ca="1" si="2"/>
        <v>3.174145299145299E-3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input_354010!A$2</f>
        <v>354010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IFERROR(VLOOKUP(B40,input_354010!L:R,7,FALSE),VLOOKUP(tables_354010!C40,input_354010!A:H,8,FALSE))</f>
        <v>8489</v>
      </c>
      <c r="P40" s="48">
        <f t="shared" ca="1" si="2"/>
        <v>9.0694444444444442E-3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input_354010!A$2</f>
        <v>354010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IFERROR(VLOOKUP(B41,input_354010!L:R,7,FALSE),VLOOKUP(tables_354010!C41,input_354010!A:H,8,FALSE))</f>
        <v>2971</v>
      </c>
      <c r="P41" s="48">
        <f t="shared" ca="1" si="2"/>
        <v>3.174145299145299E-3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input_354010!A$2</f>
        <v>354010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IFERROR(VLOOKUP(B42,input_354010!L:R,7,FALSE),VLOOKUP(tables_354010!C42,input_354010!A:H,8,FALSE))</f>
        <v>65</v>
      </c>
      <c r="P42" s="48">
        <f t="shared" ca="1" si="2"/>
        <v>6.9444444444444444E-5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input_354010!A$2</f>
        <v>354010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IFERROR(VLOOKUP(B43,input_354010!L:R,7,FALSE),VLOOKUP(tables_354010!C43,input_354010!A:H,8,FALSE))</f>
        <v>58.5</v>
      </c>
      <c r="P43" s="48">
        <f t="shared" ca="1" si="2"/>
        <v>6.2500000000000001E-5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input_354010!A$2</f>
        <v>354010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IFERROR(VLOOKUP(B44,input_354010!L:R,7,FALSE),VLOOKUP(tables_354010!C44,input_354010!A:H,8,FALSE))</f>
        <v>6.5</v>
      </c>
      <c r="P44" s="48">
        <f t="shared" ca="1" si="2"/>
        <v>6.9444444444444448E-6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input_354010!A$2</f>
        <v>354010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IFERROR(VLOOKUP(B45,input_354010!L:R,7,FALSE),VLOOKUP(tables_354010!C45,input_354010!A:H,8,FALSE))</f>
        <v>65</v>
      </c>
      <c r="P45" s="48">
        <f t="shared" ca="1" si="2"/>
        <v>6.9444444444444444E-5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input_354010!A$2</f>
        <v>354010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IFERROR(VLOOKUP(B46,input_354010!L:R,7,FALSE),VLOOKUP(tables_354010!C46,input_354010!A:H,8,FALSE))</f>
        <v>58.5</v>
      </c>
      <c r="P46" s="48">
        <f t="shared" ca="1" si="2"/>
        <v>6.2500000000000001E-5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input_354010!A$2</f>
        <v>354010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IFERROR(VLOOKUP(B47,input_354010!L:R,7,FALSE),VLOOKUP(tables_354010!C47,input_354010!A:H,8,FALSE))</f>
        <v>6.5</v>
      </c>
      <c r="P47" s="48">
        <f t="shared" ca="1" si="2"/>
        <v>6.9444444444444448E-6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input_354010!A$2</f>
        <v>354010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IFERROR(VLOOKUP(B48,input_354010!L:R,7,FALSE),VLOOKUP(tables_354010!C48,input_354010!A:H,8,FALSE))</f>
        <v>65</v>
      </c>
      <c r="P48" s="48">
        <f t="shared" ca="1" si="2"/>
        <v>6.9444444444444444E-5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input_354010!A$2</f>
        <v>354010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IFERROR(VLOOKUP(B49,input_354010!L:R,7,FALSE),VLOOKUP(tables_354010!C49,input_354010!A:H,8,FALSE))</f>
        <v>58.5</v>
      </c>
      <c r="P49" s="48">
        <f t="shared" ca="1" si="2"/>
        <v>6.2500000000000001E-5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input_354010!A$2</f>
        <v>354010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IFERROR(VLOOKUP(B50,input_354010!L:R,7,FALSE),VLOOKUP(tables_354010!C50,input_354010!A:H,8,FALSE))</f>
        <v>6.5</v>
      </c>
      <c r="P50" s="48">
        <f t="shared" ca="1" si="2"/>
        <v>6.9444444444444448E-6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input_354010!A$2</f>
        <v>354010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IFERROR(VLOOKUP(B51,input_354010!L:R,7,FALSE),VLOOKUP(tables_354010!C51,input_354010!A:H,8,FALSE))</f>
        <v>5730</v>
      </c>
      <c r="P51" s="48">
        <f t="shared" ca="1" si="2"/>
        <v>6.1217948717948714E-3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input_354010!A$2</f>
        <v>354010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IFERROR(VLOOKUP(B52,input_354010!L:R,7,FALSE),VLOOKUP(tables_354010!C52,input_354010!A:H,8,FALSE))</f>
        <v>5157</v>
      </c>
      <c r="P52" s="48">
        <f t="shared" ca="1" si="2"/>
        <v>5.5096153846153845E-3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input_354010!A$2</f>
        <v>354010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IFERROR(VLOOKUP(B53,input_354010!L:R,7,FALSE),VLOOKUP(tables_354010!C53,input_354010!A:H,8,FALSE))</f>
        <v>573</v>
      </c>
      <c r="P53" s="48">
        <f t="shared" ca="1" si="2"/>
        <v>6.121794871794872E-4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input_354010!A$2</f>
        <v>354010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IFERROR(VLOOKUP(B54,input_354010!L:R,7,FALSE),VLOOKUP(tables_354010!C54,input_354010!A:H,8,FALSE))</f>
        <v>5730</v>
      </c>
      <c r="P54" s="48">
        <f t="shared" ca="1" si="2"/>
        <v>6.1217948717948714E-3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input_354010!A$2</f>
        <v>354010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IFERROR(VLOOKUP(B55,input_354010!L:R,7,FALSE),VLOOKUP(tables_354010!C55,input_354010!A:H,8,FALSE))</f>
        <v>5157</v>
      </c>
      <c r="P55" s="48">
        <f t="shared" ca="1" si="2"/>
        <v>5.5096153846153845E-3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input_354010!A$2</f>
        <v>354010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IFERROR(VLOOKUP(B56,input_354010!L:R,7,FALSE),VLOOKUP(tables_354010!C56,input_354010!A:H,8,FALSE))</f>
        <v>573</v>
      </c>
      <c r="P56" s="48">
        <f t="shared" ca="1" si="2"/>
        <v>6.121794871794872E-4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input_354010!A$2</f>
        <v>354010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IFERROR(VLOOKUP(B57,input_354010!L:R,7,FALSE),VLOOKUP(tables_354010!C57,input_354010!A:H,8,FALSE))</f>
        <v>5730</v>
      </c>
      <c r="P57" s="48">
        <f t="shared" ca="1" si="2"/>
        <v>6.1217948717948714E-3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input_354010!A$2</f>
        <v>354010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IFERROR(VLOOKUP(B58,input_354010!L:R,7,FALSE),VLOOKUP(tables_354010!C58,input_354010!A:H,8,FALSE))</f>
        <v>5157</v>
      </c>
      <c r="P58" s="48">
        <f t="shared" ca="1" si="2"/>
        <v>5.5096153846153845E-3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input_354010!A$2</f>
        <v>354010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IFERROR(VLOOKUP(B59,input_354010!L:R,7,FALSE),VLOOKUP(tables_354010!C59,input_354010!A:H,8,FALSE))</f>
        <v>573</v>
      </c>
      <c r="P59" s="48">
        <f t="shared" ca="1" si="2"/>
        <v>6.121794871794872E-4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input_354010!A$2</f>
        <v>354010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IFERROR(VLOOKUP(B60,input_354010!L:R,7,FALSE),VLOOKUP(tables_354010!C60,input_354010!A:H,8,FALSE))</f>
        <v>5730</v>
      </c>
      <c r="P60" s="48">
        <f t="shared" ca="1" si="2"/>
        <v>6.1217948717948714E-3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input_354010!A$2</f>
        <v>354010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IFERROR(VLOOKUP(B61,input_354010!L:R,7,FALSE),VLOOKUP(tables_354010!C61,input_354010!A:H,8,FALSE))</f>
        <v>5157</v>
      </c>
      <c r="P61" s="48">
        <f t="shared" ca="1" si="2"/>
        <v>5.5096153846153845E-3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input_354010!A$2</f>
        <v>354010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IFERROR(VLOOKUP(B62,input_354010!L:R,7,FALSE),VLOOKUP(tables_354010!C62,input_354010!A:H,8,FALSE))</f>
        <v>573</v>
      </c>
      <c r="P62" s="48">
        <f t="shared" ca="1" si="2"/>
        <v>6.121794871794872E-4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input_354010!A$2</f>
        <v>354010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IFERROR(VLOOKUP(B63,input_354010!L:R,7,FALSE),VLOOKUP(tables_354010!C63,input_354010!A:H,8,FALSE))</f>
        <v>5730</v>
      </c>
      <c r="P63" s="48">
        <f t="shared" ca="1" si="2"/>
        <v>6.1217948717948714E-3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input_354010!A$2</f>
        <v>354010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IFERROR(VLOOKUP(B64,input_354010!L:R,7,FALSE),VLOOKUP(tables_354010!C64,input_354010!A:H,8,FALSE))</f>
        <v>5157</v>
      </c>
      <c r="P64" s="48">
        <f t="shared" ca="1" si="2"/>
        <v>5.5096153846153845E-3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input_354010!A$2</f>
        <v>354010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IFERROR(VLOOKUP(B65,input_354010!L:R,7,FALSE),VLOOKUP(tables_354010!C65,input_354010!A:H,8,FALSE))</f>
        <v>573</v>
      </c>
      <c r="P65" s="48">
        <f t="shared" ca="1" si="2"/>
        <v>6.121794871794872E-4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input_354010!A$2</f>
        <v>354010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IFERROR(VLOOKUP(B66,input_354010!L:R,7,FALSE),VLOOKUP(tables_354010!C66,input_354010!A:H,8,FALSE))</f>
        <v>5730</v>
      </c>
      <c r="P66" s="48">
        <f t="shared" ca="1" si="2"/>
        <v>6.1217948717948714E-3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input_354010!A$2</f>
        <v>354010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IFERROR(VLOOKUP(B67,input_354010!L:R,7,FALSE),VLOOKUP(tables_354010!C67,input_354010!A:H,8,FALSE))</f>
        <v>5157</v>
      </c>
      <c r="P67" s="48">
        <f t="shared" ca="1" si="2"/>
        <v>5.5096153846153845E-3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input_354010!A$2</f>
        <v>354010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IFERROR(VLOOKUP(B68,input_354010!L:R,7,FALSE),VLOOKUP(tables_354010!C68,input_354010!A:H,8,FALSE))</f>
        <v>573</v>
      </c>
      <c r="P68" s="48">
        <f t="shared" ca="1" si="2"/>
        <v>6.121794871794872E-4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input_354010!A$2</f>
        <v>354010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IFERROR(VLOOKUP(B69,input_354010!L:R,7,FALSE),VLOOKUP(tables_354010!C69,input_354010!A:H,8,FALSE))</f>
        <v>5730</v>
      </c>
      <c r="P69" s="48">
        <f t="shared" ca="1" si="2"/>
        <v>6.1217948717948714E-3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input_354010!A$2</f>
        <v>354010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IFERROR(VLOOKUP(B70,input_354010!L:R,7,FALSE),VLOOKUP(tables_354010!C70,input_354010!A:H,8,FALSE))</f>
        <v>5157</v>
      </c>
      <c r="P70" s="48">
        <f t="shared" ca="1" si="2"/>
        <v>5.5096153846153845E-3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input_354010!A$2</f>
        <v>354010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IFERROR(VLOOKUP(B71,input_354010!L:R,7,FALSE),VLOOKUP(tables_354010!C71,input_354010!A:H,8,FALSE))</f>
        <v>573</v>
      </c>
      <c r="P71" s="48">
        <f t="shared" ca="1" si="2"/>
        <v>6.121794871794872E-4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input_354010!A$2</f>
        <v>354010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IFERROR(VLOOKUP(B72,input_354010!L:R,7,FALSE),VLOOKUP(tables_354010!C72,input_354010!A:H,8,FALSE))</f>
        <v>5730</v>
      </c>
      <c r="P72" s="48">
        <f t="shared" ca="1" si="2"/>
        <v>6.1217948717948714E-3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input_354010!A$2</f>
        <v>354010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IFERROR(VLOOKUP(B73,input_354010!L:R,7,FALSE),VLOOKUP(tables_354010!C73,input_354010!A:H,8,FALSE))</f>
        <v>5157</v>
      </c>
      <c r="P73" s="48">
        <f t="shared" ca="1" si="2"/>
        <v>5.5096153846153845E-3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input_354010!A$2</f>
        <v>354010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IFERROR(VLOOKUP(B74,input_354010!L:R,7,FALSE),VLOOKUP(tables_354010!C74,input_354010!A:H,8,FALSE))</f>
        <v>573</v>
      </c>
      <c r="P74" s="48">
        <f t="shared" ca="1" si="2"/>
        <v>6.121794871794872E-4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input_354010!A$2</f>
        <v>354010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IFERROR(VLOOKUP(B75,input_354010!L:R,7,FALSE),VLOOKUP(tables_354010!C75,input_354010!A:H,8,FALSE))</f>
        <v>5730</v>
      </c>
      <c r="P75" s="48">
        <f t="shared" ca="1" si="2"/>
        <v>6.1217948717948714E-3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input_354010!A$2</f>
        <v>354010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IFERROR(VLOOKUP(B76,input_354010!L:R,7,FALSE),VLOOKUP(tables_354010!C76,input_354010!A:H,8,FALSE))</f>
        <v>5157</v>
      </c>
      <c r="P76" s="48">
        <f t="shared" ca="1" si="2"/>
        <v>5.5096153846153845E-3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input_354010!A$2</f>
        <v>354010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IFERROR(VLOOKUP(B77,input_354010!L:R,7,FALSE),VLOOKUP(tables_354010!C77,input_354010!A:H,8,FALSE))</f>
        <v>573</v>
      </c>
      <c r="P77" s="48">
        <f t="shared" ca="1" si="2"/>
        <v>6.121794871794872E-4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input_354010!A$2</f>
        <v>354010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IFERROR(VLOOKUP(B78,input_354010!L:R,7,FALSE),VLOOKUP(tables_354010!C78,input_354010!A:H,8,FALSE))</f>
        <v>5730</v>
      </c>
      <c r="P78" s="48">
        <f t="shared" ca="1" si="2"/>
        <v>6.1217948717948714E-3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input_354010!A$2</f>
        <v>354010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IFERROR(VLOOKUP(B79,input_354010!L:R,7,FALSE),VLOOKUP(tables_354010!C79,input_354010!A:H,8,FALSE))</f>
        <v>5157</v>
      </c>
      <c r="P79" s="48">
        <f t="shared" ref="P79:P142" ca="1" si="5">O79/SUM(O:O)</f>
        <v>5.5096153846153845E-3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input_354010!A$2</f>
        <v>354010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IFERROR(VLOOKUP(B80,input_354010!L:R,7,FALSE),VLOOKUP(tables_354010!C80,input_354010!A:H,8,FALSE))</f>
        <v>573</v>
      </c>
      <c r="P80" s="48">
        <f t="shared" ca="1" si="5"/>
        <v>6.121794871794872E-4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input_354010!A$2</f>
        <v>354010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IFERROR(VLOOKUP(B81,input_354010!L:R,7,FALSE),VLOOKUP(tables_354010!C81,input_354010!A:H,8,FALSE))</f>
        <v>5730</v>
      </c>
      <c r="P81" s="48">
        <f t="shared" ca="1" si="5"/>
        <v>6.1217948717948714E-3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input_354010!A$2</f>
        <v>354010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IFERROR(VLOOKUP(B82,input_354010!L:R,7,FALSE),VLOOKUP(tables_354010!C82,input_354010!A:H,8,FALSE))</f>
        <v>5157</v>
      </c>
      <c r="P82" s="48">
        <f t="shared" ca="1" si="5"/>
        <v>5.5096153846153845E-3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input_354010!A$2</f>
        <v>354010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IFERROR(VLOOKUP(B83,input_354010!L:R,7,FALSE),VLOOKUP(tables_354010!C83,input_354010!A:H,8,FALSE))</f>
        <v>573</v>
      </c>
      <c r="P83" s="48">
        <f t="shared" ca="1" si="5"/>
        <v>6.121794871794872E-4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input_354010!A$2</f>
        <v>354010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IFERROR(VLOOKUP(B84,input_354010!L:R,7,FALSE),VLOOKUP(tables_354010!C84,input_354010!A:H,8,FALSE))</f>
        <v>5730</v>
      </c>
      <c r="P84" s="48">
        <f t="shared" ca="1" si="5"/>
        <v>6.1217948717948714E-3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input_354010!A$2</f>
        <v>354010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IFERROR(VLOOKUP(B85,input_354010!L:R,7,FALSE),VLOOKUP(tables_354010!C85,input_354010!A:H,8,FALSE))</f>
        <v>5157</v>
      </c>
      <c r="P85" s="48">
        <f t="shared" ca="1" si="5"/>
        <v>5.5096153846153845E-3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input_354010!A$2</f>
        <v>354010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IFERROR(VLOOKUP(B86,input_354010!L:R,7,FALSE),VLOOKUP(tables_354010!C86,input_354010!A:H,8,FALSE))</f>
        <v>573</v>
      </c>
      <c r="P86" s="48">
        <f t="shared" ca="1" si="5"/>
        <v>6.121794871794872E-4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input_354010!A$2</f>
        <v>354010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IFERROR(VLOOKUP(B87,input_354010!L:R,7,FALSE),VLOOKUP(tables_354010!C87,input_354010!A:H,8,FALSE))</f>
        <v>5730</v>
      </c>
      <c r="P87" s="48">
        <f t="shared" ca="1" si="5"/>
        <v>6.1217948717948714E-3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input_354010!A$2</f>
        <v>354010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IFERROR(VLOOKUP(B88,input_354010!L:R,7,FALSE),VLOOKUP(tables_354010!C88,input_354010!A:H,8,FALSE))</f>
        <v>5157</v>
      </c>
      <c r="P88" s="48">
        <f t="shared" ca="1" si="5"/>
        <v>5.5096153846153845E-3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input_354010!A$2</f>
        <v>354010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IFERROR(VLOOKUP(B89,input_354010!L:R,7,FALSE),VLOOKUP(tables_354010!C89,input_354010!A:H,8,FALSE))</f>
        <v>573</v>
      </c>
      <c r="P89" s="48">
        <f t="shared" ca="1" si="5"/>
        <v>6.121794871794872E-4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input_354010!A$2</f>
        <v>354010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IFERROR(VLOOKUP(B90,input_354010!L:R,7,FALSE),VLOOKUP(tables_354010!C90,input_354010!A:H,8,FALSE))</f>
        <v>5730</v>
      </c>
      <c r="P90" s="48">
        <f t="shared" ca="1" si="5"/>
        <v>6.1217948717948714E-3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input_354010!A$2</f>
        <v>354010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IFERROR(VLOOKUP(B91,input_354010!L:R,7,FALSE),VLOOKUP(tables_354010!C91,input_354010!A:H,8,FALSE))</f>
        <v>5157</v>
      </c>
      <c r="P91" s="48">
        <f t="shared" ca="1" si="5"/>
        <v>5.5096153846153845E-3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input_354010!A$2</f>
        <v>354010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IFERROR(VLOOKUP(B92,input_354010!L:R,7,FALSE),VLOOKUP(tables_354010!C92,input_354010!A:H,8,FALSE))</f>
        <v>573</v>
      </c>
      <c r="P92" s="48">
        <f t="shared" ca="1" si="5"/>
        <v>6.121794871794872E-4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input_354010!A$2</f>
        <v>354010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IFERROR(VLOOKUP(B93,input_354010!L:R,7,FALSE),VLOOKUP(tables_354010!C93,input_354010!A:H,8,FALSE))</f>
        <v>5730</v>
      </c>
      <c r="P93" s="48">
        <f t="shared" ca="1" si="5"/>
        <v>6.1217948717948714E-3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input_354010!A$2</f>
        <v>354010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IFERROR(VLOOKUP(B94,input_354010!L:R,7,FALSE),VLOOKUP(tables_354010!C94,input_354010!A:H,8,FALSE))</f>
        <v>5157</v>
      </c>
      <c r="P94" s="48">
        <f t="shared" ca="1" si="5"/>
        <v>5.5096153846153845E-3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input_354010!A$2</f>
        <v>354010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IFERROR(VLOOKUP(B95,input_354010!L:R,7,FALSE),VLOOKUP(tables_354010!C95,input_354010!A:H,8,FALSE))</f>
        <v>573</v>
      </c>
      <c r="P95" s="48">
        <f t="shared" ca="1" si="5"/>
        <v>6.121794871794872E-4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input_354010!A$2</f>
        <v>354010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IFERROR(VLOOKUP(B96,input_354010!L:R,7,FALSE),VLOOKUP(tables_354010!C96,input_354010!A:H,8,FALSE))</f>
        <v>5730</v>
      </c>
      <c r="P96" s="48">
        <f t="shared" ca="1" si="5"/>
        <v>6.1217948717948714E-3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input_354010!A$2</f>
        <v>354010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IFERROR(VLOOKUP(B97,input_354010!L:R,7,FALSE),VLOOKUP(tables_354010!C97,input_354010!A:H,8,FALSE))</f>
        <v>5157</v>
      </c>
      <c r="P97" s="48">
        <f t="shared" ca="1" si="5"/>
        <v>5.5096153846153845E-3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input_354010!A$2</f>
        <v>354010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IFERROR(VLOOKUP(B98,input_354010!L:R,7,FALSE),VLOOKUP(tables_354010!C98,input_354010!A:H,8,FALSE))</f>
        <v>573</v>
      </c>
      <c r="P98" s="48">
        <f t="shared" ca="1" si="5"/>
        <v>6.121794871794872E-4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input_354010!A$2</f>
        <v>354010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IFERROR(VLOOKUP(B99,input_354010!L:R,7,FALSE),VLOOKUP(tables_354010!C99,input_354010!A:H,8,FALSE))</f>
        <v>5730</v>
      </c>
      <c r="P99" s="48">
        <f t="shared" ca="1" si="5"/>
        <v>6.1217948717948714E-3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input_354010!A$2</f>
        <v>354010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IFERROR(VLOOKUP(B100,input_354010!L:R,7,FALSE),VLOOKUP(tables_354010!C100,input_354010!A:H,8,FALSE))</f>
        <v>5157</v>
      </c>
      <c r="P100" s="48">
        <f t="shared" ca="1" si="5"/>
        <v>5.5096153846153845E-3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input_354010!A$2</f>
        <v>354010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IFERROR(VLOOKUP(B101,input_354010!L:R,7,FALSE),VLOOKUP(tables_354010!C101,input_354010!A:H,8,FALSE))</f>
        <v>573</v>
      </c>
      <c r="P101" s="48">
        <f t="shared" ca="1" si="5"/>
        <v>6.121794871794872E-4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input_354010!A$2</f>
        <v>354010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IFERROR(VLOOKUP(B102,input_354010!L:R,7,FALSE),VLOOKUP(tables_354010!C102,input_354010!A:H,8,FALSE))</f>
        <v>5730</v>
      </c>
      <c r="P102" s="48">
        <f t="shared" ca="1" si="5"/>
        <v>6.1217948717948714E-3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input_354010!A$2</f>
        <v>354010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IFERROR(VLOOKUP(B103,input_354010!L:R,7,FALSE),VLOOKUP(tables_354010!C103,input_354010!A:H,8,FALSE))</f>
        <v>5157</v>
      </c>
      <c r="P103" s="48">
        <f t="shared" ca="1" si="5"/>
        <v>5.5096153846153845E-3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input_354010!A$2</f>
        <v>354010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IFERROR(VLOOKUP(B104,input_354010!L:R,7,FALSE),VLOOKUP(tables_354010!C104,input_354010!A:H,8,FALSE))</f>
        <v>573</v>
      </c>
      <c r="P104" s="48">
        <f t="shared" ca="1" si="5"/>
        <v>6.121794871794872E-4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input_354010!A$2</f>
        <v>354010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IFERROR(VLOOKUP(B105,input_354010!L:R,7,FALSE),VLOOKUP(tables_354010!C105,input_354010!A:H,8,FALSE))</f>
        <v>5730</v>
      </c>
      <c r="P105" s="48">
        <f t="shared" ca="1" si="5"/>
        <v>6.1217948717948714E-3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input_354010!A$2</f>
        <v>354010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IFERROR(VLOOKUP(B106,input_354010!L:R,7,FALSE),VLOOKUP(tables_354010!C106,input_354010!A:H,8,FALSE))</f>
        <v>5157</v>
      </c>
      <c r="P106" s="48">
        <f t="shared" ca="1" si="5"/>
        <v>5.5096153846153845E-3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input_354010!A$2</f>
        <v>354010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IFERROR(VLOOKUP(B107,input_354010!L:R,7,FALSE),VLOOKUP(tables_354010!C107,input_354010!A:H,8,FALSE))</f>
        <v>573</v>
      </c>
      <c r="P107" s="48">
        <f t="shared" ca="1" si="5"/>
        <v>6.121794871794872E-4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input_354010!A$2</f>
        <v>354010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IFERROR(VLOOKUP(B108,input_354010!L:R,7,FALSE),VLOOKUP(tables_354010!C108,input_354010!A:H,8,FALSE))</f>
        <v>5730</v>
      </c>
      <c r="P108" s="48">
        <f t="shared" ca="1" si="5"/>
        <v>6.1217948717948714E-3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input_354010!A$2</f>
        <v>354010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IFERROR(VLOOKUP(B109,input_354010!L:R,7,FALSE),VLOOKUP(tables_354010!C109,input_354010!A:H,8,FALSE))</f>
        <v>5157</v>
      </c>
      <c r="P109" s="48">
        <f t="shared" ca="1" si="5"/>
        <v>5.5096153846153845E-3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input_354010!A$2</f>
        <v>354010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IFERROR(VLOOKUP(B110,input_354010!L:R,7,FALSE),VLOOKUP(tables_354010!C110,input_354010!A:H,8,FALSE))</f>
        <v>573</v>
      </c>
      <c r="P110" s="48">
        <f t="shared" ca="1" si="5"/>
        <v>6.121794871794872E-4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input_354010!A$2</f>
        <v>354010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IFERROR(VLOOKUP(B111,input_354010!L:R,7,FALSE),VLOOKUP(tables_354010!C111,input_354010!A:H,8,FALSE))</f>
        <v>65</v>
      </c>
      <c r="P111" s="48">
        <f t="shared" ca="1" si="5"/>
        <v>6.9444444444444444E-5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input_354010!A$2</f>
        <v>354010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IFERROR(VLOOKUP(B112,input_354010!L:R,7,FALSE),VLOOKUP(tables_354010!C112,input_354010!A:H,8,FALSE))</f>
        <v>58.5</v>
      </c>
      <c r="P112" s="48">
        <f t="shared" ca="1" si="5"/>
        <v>6.2500000000000001E-5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input_354010!A$2</f>
        <v>354010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IFERROR(VLOOKUP(B113,input_354010!L:R,7,FALSE),VLOOKUP(tables_354010!C113,input_354010!A:H,8,FALSE))</f>
        <v>6.5</v>
      </c>
      <c r="P113" s="48">
        <f t="shared" ca="1" si="5"/>
        <v>6.9444444444444448E-6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input_354010!A$2</f>
        <v>354010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IFERROR(VLOOKUP(B114,input_354010!L:R,7,FALSE),VLOOKUP(tables_354010!C114,input_354010!A:H,8,FALSE))</f>
        <v>5730</v>
      </c>
      <c r="P114" s="48">
        <f t="shared" ca="1" si="5"/>
        <v>6.1217948717948714E-3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input_354010!A$2</f>
        <v>354010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IFERROR(VLOOKUP(B115,input_354010!L:R,7,FALSE),VLOOKUP(tables_354010!C115,input_354010!A:H,8,FALSE))</f>
        <v>5157</v>
      </c>
      <c r="P115" s="48">
        <f t="shared" ca="1" si="5"/>
        <v>5.5096153846153845E-3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input_354010!A$2</f>
        <v>354010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IFERROR(VLOOKUP(B116,input_354010!L:R,7,FALSE),VLOOKUP(tables_354010!C116,input_354010!A:H,8,FALSE))</f>
        <v>573</v>
      </c>
      <c r="P116" s="48">
        <f t="shared" ca="1" si="5"/>
        <v>6.121794871794872E-4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input_354010!A$2</f>
        <v>354010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IFERROR(VLOOKUP(B117,input_354010!L:R,7,FALSE),VLOOKUP(tables_354010!C117,input_354010!A:H,8,FALSE))</f>
        <v>5730</v>
      </c>
      <c r="P117" s="48">
        <f t="shared" ca="1" si="5"/>
        <v>6.1217948717948714E-3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input_354010!A$2</f>
        <v>354010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IFERROR(VLOOKUP(B118,input_354010!L:R,7,FALSE),VLOOKUP(tables_354010!C118,input_354010!A:H,8,FALSE))</f>
        <v>5157</v>
      </c>
      <c r="P118" s="48">
        <f t="shared" ca="1" si="5"/>
        <v>5.5096153846153845E-3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input_354010!A$2</f>
        <v>354010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IFERROR(VLOOKUP(B119,input_354010!L:R,7,FALSE),VLOOKUP(tables_354010!C119,input_354010!A:H,8,FALSE))</f>
        <v>573</v>
      </c>
      <c r="P119" s="48">
        <f t="shared" ca="1" si="5"/>
        <v>6.121794871794872E-4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input_354010!A$2</f>
        <v>354010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IFERROR(VLOOKUP(B120,input_354010!L:R,7,FALSE),VLOOKUP(tables_354010!C120,input_354010!A:H,8,FALSE))</f>
        <v>5730</v>
      </c>
      <c r="P120" s="48">
        <f t="shared" ca="1" si="5"/>
        <v>6.1217948717948714E-3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input_354010!A$2</f>
        <v>354010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IFERROR(VLOOKUP(B121,input_354010!L:R,7,FALSE),VLOOKUP(tables_354010!C121,input_354010!A:H,8,FALSE))</f>
        <v>5157</v>
      </c>
      <c r="P121" s="48">
        <f t="shared" ca="1" si="5"/>
        <v>5.5096153846153845E-3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input_354010!A$2</f>
        <v>354010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IFERROR(VLOOKUP(B122,input_354010!L:R,7,FALSE),VLOOKUP(tables_354010!C122,input_354010!A:H,8,FALSE))</f>
        <v>573</v>
      </c>
      <c r="P122" s="48">
        <f t="shared" ca="1" si="5"/>
        <v>6.121794871794872E-4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input_354010!A$2</f>
        <v>354010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IFERROR(VLOOKUP(B123,input_354010!L:R,7,FALSE),VLOOKUP(tables_354010!C123,input_354010!A:H,8,FALSE))</f>
        <v>5730</v>
      </c>
      <c r="P123" s="48">
        <f t="shared" ca="1" si="5"/>
        <v>6.1217948717948714E-3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input_354010!A$2</f>
        <v>354010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IFERROR(VLOOKUP(B124,input_354010!L:R,7,FALSE),VLOOKUP(tables_354010!C124,input_354010!A:H,8,FALSE))</f>
        <v>5157</v>
      </c>
      <c r="P124" s="48">
        <f t="shared" ca="1" si="5"/>
        <v>5.5096153846153845E-3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input_354010!A$2</f>
        <v>354010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IFERROR(VLOOKUP(B125,input_354010!L:R,7,FALSE),VLOOKUP(tables_354010!C125,input_354010!A:H,8,FALSE))</f>
        <v>573</v>
      </c>
      <c r="P125" s="48">
        <f t="shared" ca="1" si="5"/>
        <v>6.121794871794872E-4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input_354010!A$2</f>
        <v>354010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IFERROR(VLOOKUP(B126,input_354010!L:R,7,FALSE),VLOOKUP(tables_354010!C126,input_354010!A:H,8,FALSE))</f>
        <v>5730</v>
      </c>
      <c r="P126" s="48">
        <f t="shared" ca="1" si="5"/>
        <v>6.1217948717948714E-3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input_354010!A$2</f>
        <v>354010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IFERROR(VLOOKUP(B127,input_354010!L:R,7,FALSE),VLOOKUP(tables_354010!C127,input_354010!A:H,8,FALSE))</f>
        <v>5157</v>
      </c>
      <c r="P127" s="48">
        <f t="shared" ca="1" si="5"/>
        <v>5.5096153846153845E-3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input_354010!A$2</f>
        <v>354010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IFERROR(VLOOKUP(B128,input_354010!L:R,7,FALSE),VLOOKUP(tables_354010!C128,input_354010!A:H,8,FALSE))</f>
        <v>573</v>
      </c>
      <c r="P128" s="48">
        <f t="shared" ca="1" si="5"/>
        <v>6.121794871794872E-4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input_354010!A$2</f>
        <v>354010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IFERROR(VLOOKUP(B129,input_354010!L:R,7,FALSE),VLOOKUP(tables_354010!C129,input_354010!A:H,8,FALSE))</f>
        <v>5730</v>
      </c>
      <c r="P129" s="48">
        <f t="shared" ca="1" si="5"/>
        <v>6.1217948717948714E-3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input_354010!A$2</f>
        <v>354010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IFERROR(VLOOKUP(B130,input_354010!L:R,7,FALSE),VLOOKUP(tables_354010!C130,input_354010!A:H,8,FALSE))</f>
        <v>5157</v>
      </c>
      <c r="P130" s="48">
        <f t="shared" ca="1" si="5"/>
        <v>5.5096153846153845E-3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input_354010!A$2</f>
        <v>354010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IFERROR(VLOOKUP(B131,input_354010!L:R,7,FALSE),VLOOKUP(tables_354010!C131,input_354010!A:H,8,FALSE))</f>
        <v>573</v>
      </c>
      <c r="P131" s="48">
        <f t="shared" ca="1" si="5"/>
        <v>6.121794871794872E-4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input_354010!A$2</f>
        <v>354010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IFERROR(VLOOKUP(B132,input_354010!L:R,7,FALSE),VLOOKUP(tables_354010!C132,input_354010!A:H,8,FALSE))</f>
        <v>5730</v>
      </c>
      <c r="P132" s="48">
        <f t="shared" ca="1" si="5"/>
        <v>6.1217948717948714E-3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input_354010!A$2</f>
        <v>354010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IFERROR(VLOOKUP(B133,input_354010!L:R,7,FALSE),VLOOKUP(tables_354010!C133,input_354010!A:H,8,FALSE))</f>
        <v>5157</v>
      </c>
      <c r="P133" s="48">
        <f t="shared" ca="1" si="5"/>
        <v>5.5096153846153845E-3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input_354010!A$2</f>
        <v>354010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IFERROR(VLOOKUP(B134,input_354010!L:R,7,FALSE),VLOOKUP(tables_354010!C134,input_354010!A:H,8,FALSE))</f>
        <v>573</v>
      </c>
      <c r="P134" s="48">
        <f t="shared" ca="1" si="5"/>
        <v>6.121794871794872E-4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input_354010!A$2</f>
        <v>354010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IFERROR(VLOOKUP(B135,input_354010!L:R,7,FALSE),VLOOKUP(tables_354010!C135,input_354010!A:H,8,FALSE))</f>
        <v>5730</v>
      </c>
      <c r="P135" s="48">
        <f t="shared" ca="1" si="5"/>
        <v>6.1217948717948714E-3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input_354010!A$2</f>
        <v>354010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IFERROR(VLOOKUP(B136,input_354010!L:R,7,FALSE),VLOOKUP(tables_354010!C136,input_354010!A:H,8,FALSE))</f>
        <v>5157</v>
      </c>
      <c r="P136" s="48">
        <f t="shared" ca="1" si="5"/>
        <v>5.5096153846153845E-3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input_354010!A$2</f>
        <v>354010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IFERROR(VLOOKUP(B137,input_354010!L:R,7,FALSE),VLOOKUP(tables_354010!C137,input_354010!A:H,8,FALSE))</f>
        <v>573</v>
      </c>
      <c r="P137" s="48">
        <f t="shared" ca="1" si="5"/>
        <v>6.121794871794872E-4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input_354010!A$2</f>
        <v>354010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IFERROR(VLOOKUP(B138,input_354010!L:R,7,FALSE),VLOOKUP(tables_354010!C138,input_354010!A:H,8,FALSE))</f>
        <v>123.5</v>
      </c>
      <c r="P138" s="48">
        <f t="shared" ca="1" si="5"/>
        <v>1.3194444444444443E-4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input_354010!A$2</f>
        <v>354010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IFERROR(VLOOKUP(B139,input_354010!L:R,7,FALSE),VLOOKUP(tables_354010!C139,input_354010!A:H,8,FALSE))</f>
        <v>6.5</v>
      </c>
      <c r="P139" s="48">
        <f t="shared" ca="1" si="5"/>
        <v>6.9444444444444448E-6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input_354010!A$2</f>
        <v>354010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IFERROR(VLOOKUP(B140,input_354010!L:R,7,FALSE),VLOOKUP(tables_354010!C140,input_354010!A:H,8,FALSE))</f>
        <v>123.5</v>
      </c>
      <c r="P140" s="48">
        <f t="shared" ca="1" si="5"/>
        <v>1.3194444444444443E-4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input_354010!A$2</f>
        <v>354010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IFERROR(VLOOKUP(B141,input_354010!L:R,7,FALSE),VLOOKUP(tables_354010!C141,input_354010!A:H,8,FALSE))</f>
        <v>6.5</v>
      </c>
      <c r="P141" s="48">
        <f t="shared" ca="1" si="5"/>
        <v>6.9444444444444448E-6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input_354010!A$2</f>
        <v>354010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IFERROR(VLOOKUP(B142,input_354010!L:R,7,FALSE),VLOOKUP(tables_354010!C142,input_354010!A:H,8,FALSE))</f>
        <v>123.5</v>
      </c>
      <c r="P142" s="48">
        <f t="shared" ca="1" si="5"/>
        <v>1.3194444444444443E-4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input_354010!A$2</f>
        <v>354010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IFERROR(VLOOKUP(B143,input_354010!L:R,7,FALSE),VLOOKUP(tables_354010!C143,input_354010!A:H,8,FALSE))</f>
        <v>6.5</v>
      </c>
      <c r="P143" s="48">
        <f t="shared" ref="P143:P206" ca="1" si="8">O143/SUM(O:O)</f>
        <v>6.9444444444444448E-6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input_354010!A$2</f>
        <v>354010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IFERROR(VLOOKUP(B144,input_354010!L:R,7,FALSE),VLOOKUP(tables_354010!C144,input_354010!A:H,8,FALSE))</f>
        <v>123.5</v>
      </c>
      <c r="P144" s="48">
        <f t="shared" ca="1" si="8"/>
        <v>1.3194444444444443E-4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input_354010!A$2</f>
        <v>354010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IFERROR(VLOOKUP(B145,input_354010!L:R,7,FALSE),VLOOKUP(tables_354010!C145,input_354010!A:H,8,FALSE))</f>
        <v>6.5</v>
      </c>
      <c r="P145" s="48">
        <f t="shared" ca="1" si="8"/>
        <v>6.9444444444444448E-6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input_354010!A$2</f>
        <v>354010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IFERROR(VLOOKUP(B146,input_354010!L:R,7,FALSE),VLOOKUP(tables_354010!C146,input_354010!A:H,8,FALSE))</f>
        <v>5730</v>
      </c>
      <c r="P146" s="48">
        <f t="shared" ca="1" si="8"/>
        <v>6.1217948717948714E-3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input_354010!A$2</f>
        <v>354010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IFERROR(VLOOKUP(B147,input_354010!L:R,7,FALSE),VLOOKUP(tables_354010!C147,input_354010!A:H,8,FALSE))</f>
        <v>5157</v>
      </c>
      <c r="P147" s="48">
        <f t="shared" ca="1" si="8"/>
        <v>5.5096153846153845E-3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input_354010!A$2</f>
        <v>354010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IFERROR(VLOOKUP(B148,input_354010!L:R,7,FALSE),VLOOKUP(tables_354010!C148,input_354010!A:H,8,FALSE))</f>
        <v>573</v>
      </c>
      <c r="P148" s="48">
        <f t="shared" ca="1" si="8"/>
        <v>6.121794871794872E-4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input_354010!A$2</f>
        <v>354010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IFERROR(VLOOKUP(B149,input_354010!L:R,7,FALSE),VLOOKUP(tables_354010!C149,input_354010!A:H,8,FALSE))</f>
        <v>123.5</v>
      </c>
      <c r="P149" s="48">
        <f t="shared" ca="1" si="8"/>
        <v>1.3194444444444443E-4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input_354010!A$2</f>
        <v>354010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IFERROR(VLOOKUP(B150,input_354010!L:R,7,FALSE),VLOOKUP(tables_354010!C150,input_354010!A:H,8,FALSE))</f>
        <v>6.5</v>
      </c>
      <c r="P150" s="48">
        <f t="shared" ca="1" si="8"/>
        <v>6.9444444444444448E-6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input_354010!A$2</f>
        <v>354010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IFERROR(VLOOKUP(B151,input_354010!L:R,7,FALSE),VLOOKUP(tables_354010!C151,input_354010!A:H,8,FALSE))</f>
        <v>123.5</v>
      </c>
      <c r="P151" s="48">
        <f t="shared" ca="1" si="8"/>
        <v>1.3194444444444443E-4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input_354010!A$2</f>
        <v>354010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IFERROR(VLOOKUP(B152,input_354010!L:R,7,FALSE),VLOOKUP(tables_354010!C152,input_354010!A:H,8,FALSE))</f>
        <v>6.5</v>
      </c>
      <c r="P152" s="48">
        <f t="shared" ca="1" si="8"/>
        <v>6.9444444444444448E-6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input_354010!A$2</f>
        <v>354010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IFERROR(VLOOKUP(B153,input_354010!L:R,7,FALSE),VLOOKUP(tables_354010!C153,input_354010!A:H,8,FALSE))</f>
        <v>5730</v>
      </c>
      <c r="P153" s="48">
        <f t="shared" ca="1" si="8"/>
        <v>6.1217948717948714E-3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input_354010!A$2</f>
        <v>354010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IFERROR(VLOOKUP(B154,input_354010!L:R,7,FALSE),VLOOKUP(tables_354010!C154,input_354010!A:H,8,FALSE))</f>
        <v>5157</v>
      </c>
      <c r="P154" s="48">
        <f t="shared" ca="1" si="8"/>
        <v>5.5096153846153845E-3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input_354010!A$2</f>
        <v>354010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IFERROR(VLOOKUP(B155,input_354010!L:R,7,FALSE),VLOOKUP(tables_354010!C155,input_354010!A:H,8,FALSE))</f>
        <v>573</v>
      </c>
      <c r="P155" s="48">
        <f t="shared" ca="1" si="8"/>
        <v>6.121794871794872E-4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input_354010!A$2</f>
        <v>354010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IFERROR(VLOOKUP(B156,input_354010!L:R,7,FALSE),VLOOKUP(tables_354010!C156,input_354010!A:H,8,FALSE))</f>
        <v>123.5</v>
      </c>
      <c r="P156" s="48">
        <f t="shared" ca="1" si="8"/>
        <v>1.3194444444444443E-4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input_354010!A$2</f>
        <v>354010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IFERROR(VLOOKUP(B157,input_354010!L:R,7,FALSE),VLOOKUP(tables_354010!C157,input_354010!A:H,8,FALSE))</f>
        <v>6.5</v>
      </c>
      <c r="P157" s="48">
        <f t="shared" ca="1" si="8"/>
        <v>6.9444444444444448E-6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input_354010!A$2</f>
        <v>354010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IFERROR(VLOOKUP(B158,input_354010!L:R,7,FALSE),VLOOKUP(tables_354010!C158,input_354010!A:H,8,FALSE))</f>
        <v>5730</v>
      </c>
      <c r="P158" s="48">
        <f t="shared" ca="1" si="8"/>
        <v>6.1217948717948714E-3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input_354010!A$2</f>
        <v>354010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IFERROR(VLOOKUP(B159,input_354010!L:R,7,FALSE),VLOOKUP(tables_354010!C159,input_354010!A:H,8,FALSE))</f>
        <v>5157</v>
      </c>
      <c r="P159" s="48">
        <f t="shared" ca="1" si="8"/>
        <v>5.5096153846153845E-3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input_354010!A$2</f>
        <v>354010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IFERROR(VLOOKUP(B160,input_354010!L:R,7,FALSE),VLOOKUP(tables_354010!C160,input_354010!A:H,8,FALSE))</f>
        <v>573</v>
      </c>
      <c r="P160" s="48">
        <f t="shared" ca="1" si="8"/>
        <v>6.121794871794872E-4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input_354010!A$2</f>
        <v>354010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IFERROR(VLOOKUP(B161,input_354010!L:R,7,FALSE),VLOOKUP(tables_354010!C161,input_354010!A:H,8,FALSE))</f>
        <v>5730</v>
      </c>
      <c r="P161" s="48">
        <f t="shared" ca="1" si="8"/>
        <v>6.1217948717948714E-3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input_354010!A$2</f>
        <v>354010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IFERROR(VLOOKUP(B162,input_354010!L:R,7,FALSE),VLOOKUP(tables_354010!C162,input_354010!A:H,8,FALSE))</f>
        <v>5157</v>
      </c>
      <c r="P162" s="48">
        <f t="shared" ca="1" si="8"/>
        <v>5.5096153846153845E-3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input_354010!A$2</f>
        <v>354010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IFERROR(VLOOKUP(B163,input_354010!L:R,7,FALSE),VLOOKUP(tables_354010!C163,input_354010!A:H,8,FALSE))</f>
        <v>573</v>
      </c>
      <c r="P163" s="48">
        <f t="shared" ca="1" si="8"/>
        <v>6.121794871794872E-4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input_354010!A$2</f>
        <v>354010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IFERROR(VLOOKUP(B164,input_354010!L:R,7,FALSE),VLOOKUP(tables_354010!C164,input_354010!A:H,8,FALSE))</f>
        <v>123.5</v>
      </c>
      <c r="P164" s="48">
        <f t="shared" ca="1" si="8"/>
        <v>1.3194444444444443E-4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input_354010!A$2</f>
        <v>354010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IFERROR(VLOOKUP(B165,input_354010!L:R,7,FALSE),VLOOKUP(tables_354010!C165,input_354010!A:H,8,FALSE))</f>
        <v>6.5</v>
      </c>
      <c r="P165" s="48">
        <f t="shared" ca="1" si="8"/>
        <v>6.9444444444444448E-6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input_354010!A$2</f>
        <v>354010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IFERROR(VLOOKUP(B166,input_354010!L:R,7,FALSE),VLOOKUP(tables_354010!C166,input_354010!A:H,8,FALSE))</f>
        <v>5730</v>
      </c>
      <c r="P166" s="48">
        <f t="shared" ca="1" si="8"/>
        <v>6.1217948717948714E-3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input_354010!A$2</f>
        <v>354010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IFERROR(VLOOKUP(B167,input_354010!L:R,7,FALSE),VLOOKUP(tables_354010!C167,input_354010!A:H,8,FALSE))</f>
        <v>5157</v>
      </c>
      <c r="P167" s="48">
        <f t="shared" ca="1" si="8"/>
        <v>5.5096153846153845E-3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input_354010!A$2</f>
        <v>354010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IFERROR(VLOOKUP(B168,input_354010!L:R,7,FALSE),VLOOKUP(tables_354010!C168,input_354010!A:H,8,FALSE))</f>
        <v>573</v>
      </c>
      <c r="P168" s="48">
        <f t="shared" ca="1" si="8"/>
        <v>6.121794871794872E-4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input_354010!A$2</f>
        <v>354010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IFERROR(VLOOKUP(B169,input_354010!L:R,7,FALSE),VLOOKUP(tables_354010!C169,input_354010!A:H,8,FALSE))</f>
        <v>123.5</v>
      </c>
      <c r="P169" s="48">
        <f t="shared" ca="1" si="8"/>
        <v>1.3194444444444443E-4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input_354010!A$2</f>
        <v>354010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IFERROR(VLOOKUP(B170,input_354010!L:R,7,FALSE),VLOOKUP(tables_354010!C170,input_354010!A:H,8,FALSE))</f>
        <v>6.5</v>
      </c>
      <c r="P170" s="48">
        <f t="shared" ca="1" si="8"/>
        <v>6.9444444444444448E-6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input_354010!A$2</f>
        <v>354010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IFERROR(VLOOKUP(B171,input_354010!L:R,7,FALSE),VLOOKUP(tables_354010!C171,input_354010!A:H,8,FALSE))</f>
        <v>5730</v>
      </c>
      <c r="P171" s="48">
        <f t="shared" ca="1" si="8"/>
        <v>6.1217948717948714E-3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input_354010!A$2</f>
        <v>354010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IFERROR(VLOOKUP(B172,input_354010!L:R,7,FALSE),VLOOKUP(tables_354010!C172,input_354010!A:H,8,FALSE))</f>
        <v>5157</v>
      </c>
      <c r="P172" s="48">
        <f t="shared" ca="1" si="8"/>
        <v>5.5096153846153845E-3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input_354010!A$2</f>
        <v>354010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IFERROR(VLOOKUP(B173,input_354010!L:R,7,FALSE),VLOOKUP(tables_354010!C173,input_354010!A:H,8,FALSE))</f>
        <v>573</v>
      </c>
      <c r="P173" s="48">
        <f t="shared" ca="1" si="8"/>
        <v>6.121794871794872E-4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input_354010!A$2</f>
        <v>354010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IFERROR(VLOOKUP(B174,input_354010!L:R,7,FALSE),VLOOKUP(tables_354010!C174,input_354010!A:H,8,FALSE))</f>
        <v>123.5</v>
      </c>
      <c r="P174" s="48">
        <f t="shared" ca="1" si="8"/>
        <v>1.3194444444444443E-4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input_354010!A$2</f>
        <v>354010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IFERROR(VLOOKUP(B175,input_354010!L:R,7,FALSE),VLOOKUP(tables_354010!C175,input_354010!A:H,8,FALSE))</f>
        <v>6.5</v>
      </c>
      <c r="P175" s="48">
        <f t="shared" ca="1" si="8"/>
        <v>6.9444444444444448E-6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input_354010!A$2</f>
        <v>354010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IFERROR(VLOOKUP(B176,input_354010!L:R,7,FALSE),VLOOKUP(tables_354010!C176,input_354010!A:H,8,FALSE))</f>
        <v>123.5</v>
      </c>
      <c r="P176" s="48">
        <f t="shared" ca="1" si="8"/>
        <v>1.3194444444444443E-4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input_354010!A$2</f>
        <v>354010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IFERROR(VLOOKUP(B177,input_354010!L:R,7,FALSE),VLOOKUP(tables_354010!C177,input_354010!A:H,8,FALSE))</f>
        <v>6.5</v>
      </c>
      <c r="P177" s="48">
        <f t="shared" ca="1" si="8"/>
        <v>6.9444444444444448E-6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input_354010!A$2</f>
        <v>354010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IFERROR(VLOOKUP(B178,input_354010!L:R,7,FALSE),VLOOKUP(tables_354010!C178,input_354010!A:H,8,FALSE))</f>
        <v>5730</v>
      </c>
      <c r="P178" s="48">
        <f t="shared" ca="1" si="8"/>
        <v>6.1217948717948714E-3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input_354010!A$2</f>
        <v>354010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IFERROR(VLOOKUP(B179,input_354010!L:R,7,FALSE),VLOOKUP(tables_354010!C179,input_354010!A:H,8,FALSE))</f>
        <v>5157</v>
      </c>
      <c r="P179" s="48">
        <f t="shared" ca="1" si="8"/>
        <v>5.5096153846153845E-3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input_354010!A$2</f>
        <v>354010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IFERROR(VLOOKUP(B180,input_354010!L:R,7,FALSE),VLOOKUP(tables_354010!C180,input_354010!A:H,8,FALSE))</f>
        <v>573</v>
      </c>
      <c r="P180" s="48">
        <f t="shared" ca="1" si="8"/>
        <v>6.121794871794872E-4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input_354010!A$2</f>
        <v>354010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IFERROR(VLOOKUP(B181,input_354010!L:R,7,FALSE),VLOOKUP(tables_354010!C181,input_354010!A:H,8,FALSE))</f>
        <v>5730</v>
      </c>
      <c r="P181" s="48">
        <f t="shared" ca="1" si="8"/>
        <v>6.1217948717948714E-3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input_354010!A$2</f>
        <v>354010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IFERROR(VLOOKUP(B182,input_354010!L:R,7,FALSE),VLOOKUP(tables_354010!C182,input_354010!A:H,8,FALSE))</f>
        <v>5157</v>
      </c>
      <c r="P182" s="48">
        <f t="shared" ca="1" si="8"/>
        <v>5.5096153846153845E-3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input_354010!A$2</f>
        <v>354010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IFERROR(VLOOKUP(B183,input_354010!L:R,7,FALSE),VLOOKUP(tables_354010!C183,input_354010!A:H,8,FALSE))</f>
        <v>573</v>
      </c>
      <c r="P183" s="48">
        <f t="shared" ca="1" si="8"/>
        <v>6.121794871794872E-4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input_354010!A$2</f>
        <v>354010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IFERROR(VLOOKUP(B184,input_354010!L:R,7,FALSE),VLOOKUP(tables_354010!C184,input_354010!A:H,8,FALSE))</f>
        <v>123.5</v>
      </c>
      <c r="P184" s="48">
        <f t="shared" ca="1" si="8"/>
        <v>1.3194444444444443E-4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input_354010!A$2</f>
        <v>354010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IFERROR(VLOOKUP(B185,input_354010!L:R,7,FALSE),VLOOKUP(tables_354010!C185,input_354010!A:H,8,FALSE))</f>
        <v>6.5</v>
      </c>
      <c r="P185" s="48">
        <f t="shared" ca="1" si="8"/>
        <v>6.9444444444444448E-6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input_354010!A$2</f>
        <v>354010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IFERROR(VLOOKUP(B186,input_354010!L:R,7,FALSE),VLOOKUP(tables_354010!C186,input_354010!A:H,8,FALSE))</f>
        <v>5730</v>
      </c>
      <c r="P186" s="48">
        <f t="shared" ca="1" si="8"/>
        <v>6.1217948717948714E-3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input_354010!A$2</f>
        <v>354010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IFERROR(VLOOKUP(B187,input_354010!L:R,7,FALSE),VLOOKUP(tables_354010!C187,input_354010!A:H,8,FALSE))</f>
        <v>5157</v>
      </c>
      <c r="P187" s="48">
        <f t="shared" ca="1" si="8"/>
        <v>5.5096153846153845E-3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input_354010!A$2</f>
        <v>354010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IFERROR(VLOOKUP(B188,input_354010!L:R,7,FALSE),VLOOKUP(tables_354010!C188,input_354010!A:H,8,FALSE))</f>
        <v>573</v>
      </c>
      <c r="P188" s="48">
        <f t="shared" ca="1" si="8"/>
        <v>6.121794871794872E-4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input_354010!A$2</f>
        <v>354010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IFERROR(VLOOKUP(B189,input_354010!L:R,7,FALSE),VLOOKUP(tables_354010!C189,input_354010!A:H,8,FALSE))</f>
        <v>123.5</v>
      </c>
      <c r="P189" s="48">
        <f t="shared" ca="1" si="8"/>
        <v>1.3194444444444443E-4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input_354010!A$2</f>
        <v>354010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IFERROR(VLOOKUP(B190,input_354010!L:R,7,FALSE),VLOOKUP(tables_354010!C190,input_354010!A:H,8,FALSE))</f>
        <v>6.5</v>
      </c>
      <c r="P190" s="48">
        <f t="shared" ca="1" si="8"/>
        <v>6.9444444444444448E-6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input_354010!A$2</f>
        <v>354010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IFERROR(VLOOKUP(B191,input_354010!L:R,7,FALSE),VLOOKUP(tables_354010!C191,input_354010!A:H,8,FALSE))</f>
        <v>123.5</v>
      </c>
      <c r="P191" s="48">
        <f t="shared" ca="1" si="8"/>
        <v>1.3194444444444443E-4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input_354010!A$2</f>
        <v>354010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IFERROR(VLOOKUP(B192,input_354010!L:R,7,FALSE),VLOOKUP(tables_354010!C192,input_354010!A:H,8,FALSE))</f>
        <v>6.5</v>
      </c>
      <c r="P192" s="48">
        <f t="shared" ca="1" si="8"/>
        <v>6.9444444444444448E-6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input_354010!A$2</f>
        <v>354010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IFERROR(VLOOKUP(B193,input_354010!L:R,7,FALSE),VLOOKUP(tables_354010!C193,input_354010!A:H,8,FALSE))</f>
        <v>5730</v>
      </c>
      <c r="P193" s="48">
        <f t="shared" ca="1" si="8"/>
        <v>6.1217948717948714E-3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input_354010!A$2</f>
        <v>354010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IFERROR(VLOOKUP(B194,input_354010!L:R,7,FALSE),VLOOKUP(tables_354010!C194,input_354010!A:H,8,FALSE))</f>
        <v>5157</v>
      </c>
      <c r="P194" s="48">
        <f t="shared" ca="1" si="8"/>
        <v>5.5096153846153845E-3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input_354010!A$2</f>
        <v>354010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IFERROR(VLOOKUP(B195,input_354010!L:R,7,FALSE),VLOOKUP(tables_354010!C195,input_354010!A:H,8,FALSE))</f>
        <v>573</v>
      </c>
      <c r="P195" s="48">
        <f t="shared" ca="1" si="8"/>
        <v>6.121794871794872E-4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input_354010!A$2</f>
        <v>354010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IFERROR(VLOOKUP(B196,input_354010!L:R,7,FALSE),VLOOKUP(tables_354010!C196,input_354010!A:H,8,FALSE))</f>
        <v>123.5</v>
      </c>
      <c r="P196" s="48">
        <f t="shared" ca="1" si="8"/>
        <v>1.3194444444444443E-4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input_354010!A$2</f>
        <v>354010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IFERROR(VLOOKUP(B197,input_354010!L:R,7,FALSE),VLOOKUP(tables_354010!C197,input_354010!A:H,8,FALSE))</f>
        <v>6.5</v>
      </c>
      <c r="P197" s="48">
        <f t="shared" ca="1" si="8"/>
        <v>6.9444444444444448E-6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input_354010!A$2</f>
        <v>354010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IFERROR(VLOOKUP(B198,input_354010!L:R,7,FALSE),VLOOKUP(tables_354010!C198,input_354010!A:H,8,FALSE))</f>
        <v>5730</v>
      </c>
      <c r="P198" s="48">
        <f t="shared" ca="1" si="8"/>
        <v>6.1217948717948714E-3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input_354010!A$2</f>
        <v>354010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IFERROR(VLOOKUP(B199,input_354010!L:R,7,FALSE),VLOOKUP(tables_354010!C199,input_354010!A:H,8,FALSE))</f>
        <v>5157</v>
      </c>
      <c r="P199" s="48">
        <f t="shared" ca="1" si="8"/>
        <v>5.5096153846153845E-3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input_354010!A$2</f>
        <v>354010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IFERROR(VLOOKUP(B200,input_354010!L:R,7,FALSE),VLOOKUP(tables_354010!C200,input_354010!A:H,8,FALSE))</f>
        <v>573</v>
      </c>
      <c r="P200" s="48">
        <f t="shared" ca="1" si="8"/>
        <v>6.121794871794872E-4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input_354010!A$2</f>
        <v>354010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IFERROR(VLOOKUP(B201,input_354010!L:R,7,FALSE),VLOOKUP(tables_354010!C201,input_354010!A:H,8,FALSE))</f>
        <v>123.5</v>
      </c>
      <c r="P201" s="48">
        <f t="shared" ca="1" si="8"/>
        <v>1.3194444444444443E-4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input_354010!A$2</f>
        <v>354010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IFERROR(VLOOKUP(B202,input_354010!L:R,7,FALSE),VLOOKUP(tables_354010!C202,input_354010!A:H,8,FALSE))</f>
        <v>6.5</v>
      </c>
      <c r="P202" s="48">
        <f t="shared" ca="1" si="8"/>
        <v>6.9444444444444448E-6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input_354010!A$2</f>
        <v>354010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IFERROR(VLOOKUP(B203,input_354010!L:R,7,FALSE),VLOOKUP(tables_354010!C203,input_354010!A:H,8,FALSE))</f>
        <v>5730</v>
      </c>
      <c r="P203" s="48">
        <f t="shared" ca="1" si="8"/>
        <v>6.1217948717948714E-3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input_354010!A$2</f>
        <v>354010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IFERROR(VLOOKUP(B204,input_354010!L:R,7,FALSE),VLOOKUP(tables_354010!C204,input_354010!A:H,8,FALSE))</f>
        <v>5157</v>
      </c>
      <c r="P204" s="48">
        <f t="shared" ca="1" si="8"/>
        <v>5.5096153846153845E-3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input_354010!A$2</f>
        <v>354010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IFERROR(VLOOKUP(B205,input_354010!L:R,7,FALSE),VLOOKUP(tables_354010!C205,input_354010!A:H,8,FALSE))</f>
        <v>573</v>
      </c>
      <c r="P205" s="48">
        <f t="shared" ca="1" si="8"/>
        <v>6.121794871794872E-4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input_354010!A$2</f>
        <v>354010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>IFERROR(VLOOKUP(B206,input_354010!L:R,7,FALSE),VLOOKUP(tables_354010!C206,input_354010!A:H,8,FALSE))</f>
        <v>4680</v>
      </c>
      <c r="P206" s="48">
        <f t="shared" ca="1" si="8"/>
        <v>5.0000000000000001E-3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input_354010!A$2</f>
        <v>354010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>IFERROR(VLOOKUP(B207,input_354010!L:R,7,FALSE),VLOOKUP(tables_354010!C207,input_354010!A:H,8,FALSE))</f>
        <v>14040</v>
      </c>
      <c r="P207" s="48">
        <f t="shared" ref="P207:P270" ca="1" si="11">O207/SUM(O:O)</f>
        <v>1.4999999999999999E-2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input_354010!A$2</f>
        <v>354010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>IFERROR(VLOOKUP(B208,input_354010!L:R,7,FALSE),VLOOKUP(tables_354010!C208,input_354010!A:H,8,FALSE))</f>
        <v>4680</v>
      </c>
      <c r="P208" s="48">
        <f t="shared" ca="1" si="11"/>
        <v>5.0000000000000001E-3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input_354010!A$2</f>
        <v>354010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>IFERROR(VLOOKUP(B209,input_354010!L:R,7,FALSE),VLOOKUP(tables_354010!C209,input_354010!A:H,8,FALSE))</f>
        <v>14040</v>
      </c>
      <c r="P209" s="48">
        <f t="shared" ca="1" si="11"/>
        <v>1.4999999999999999E-2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input_354010!A$2</f>
        <v>354010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IFERROR(VLOOKUP(B210,input_354010!L:R,7,FALSE),VLOOKUP(tables_354010!C210,input_354010!A:H,8,FALSE))</f>
        <v>5730</v>
      </c>
      <c r="P210" s="48">
        <f t="shared" ca="1" si="11"/>
        <v>6.1217948717948714E-3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input_354010!A$2</f>
        <v>354010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IFERROR(VLOOKUP(B211,input_354010!L:R,7,FALSE),VLOOKUP(tables_354010!C211,input_354010!A:H,8,FALSE))</f>
        <v>5157</v>
      </c>
      <c r="P211" s="48">
        <f t="shared" ca="1" si="11"/>
        <v>5.5096153846153845E-3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input_354010!A$2</f>
        <v>354010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IFERROR(VLOOKUP(B212,input_354010!L:R,7,FALSE),VLOOKUP(tables_354010!C212,input_354010!A:H,8,FALSE))</f>
        <v>573</v>
      </c>
      <c r="P212" s="48">
        <f t="shared" ca="1" si="11"/>
        <v>6.121794871794872E-4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input_354010!A$2</f>
        <v>354010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IFERROR(VLOOKUP(B213,input_354010!L:R,7,FALSE),VLOOKUP(tables_354010!C213,input_354010!A:H,8,FALSE))</f>
        <v>123.5</v>
      </c>
      <c r="P213" s="48">
        <f t="shared" ca="1" si="11"/>
        <v>1.3194444444444443E-4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input_354010!A$2</f>
        <v>354010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IFERROR(VLOOKUP(B214,input_354010!L:R,7,FALSE),VLOOKUP(tables_354010!C214,input_354010!A:H,8,FALSE))</f>
        <v>6.5</v>
      </c>
      <c r="P214" s="48">
        <f t="shared" ca="1" si="11"/>
        <v>6.9444444444444448E-6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input_354010!A$2</f>
        <v>354010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IFERROR(VLOOKUP(B215,input_354010!L:R,7,FALSE),VLOOKUP(tables_354010!C215,input_354010!A:H,8,FALSE))</f>
        <v>123.5</v>
      </c>
      <c r="P215" s="48">
        <f t="shared" ca="1" si="11"/>
        <v>1.3194444444444443E-4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input_354010!A$2</f>
        <v>354010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IFERROR(VLOOKUP(B216,input_354010!L:R,7,FALSE),VLOOKUP(tables_354010!C216,input_354010!A:H,8,FALSE))</f>
        <v>6.5</v>
      </c>
      <c r="P216" s="48">
        <f t="shared" ca="1" si="11"/>
        <v>6.9444444444444448E-6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input_354010!A$2</f>
        <v>354010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IFERROR(VLOOKUP(B217,input_354010!L:R,7,FALSE),VLOOKUP(tables_354010!C217,input_354010!A:H,8,FALSE))</f>
        <v>5730</v>
      </c>
      <c r="P217" s="48">
        <f t="shared" ca="1" si="11"/>
        <v>6.1217948717948714E-3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input_354010!A$2</f>
        <v>354010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IFERROR(VLOOKUP(B218,input_354010!L:R,7,FALSE),VLOOKUP(tables_354010!C218,input_354010!A:H,8,FALSE))</f>
        <v>5157</v>
      </c>
      <c r="P218" s="48">
        <f t="shared" ca="1" si="11"/>
        <v>5.5096153846153845E-3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input_354010!A$2</f>
        <v>354010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IFERROR(VLOOKUP(B219,input_354010!L:R,7,FALSE),VLOOKUP(tables_354010!C219,input_354010!A:H,8,FALSE))</f>
        <v>573</v>
      </c>
      <c r="P219" s="48">
        <f t="shared" ca="1" si="11"/>
        <v>6.121794871794872E-4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input_354010!A$2</f>
        <v>354010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IFERROR(VLOOKUP(B220,input_354010!L:R,7,FALSE),VLOOKUP(tables_354010!C220,input_354010!A:H,8,FALSE))</f>
        <v>5730</v>
      </c>
      <c r="P220" s="48">
        <f t="shared" ca="1" si="11"/>
        <v>6.1217948717948714E-3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input_354010!A$2</f>
        <v>354010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IFERROR(VLOOKUP(B221,input_354010!L:R,7,FALSE),VLOOKUP(tables_354010!C221,input_354010!A:H,8,FALSE))</f>
        <v>5157</v>
      </c>
      <c r="P221" s="48">
        <f t="shared" ca="1" si="11"/>
        <v>5.5096153846153845E-3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input_354010!A$2</f>
        <v>354010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IFERROR(VLOOKUP(B222,input_354010!L:R,7,FALSE),VLOOKUP(tables_354010!C222,input_354010!A:H,8,FALSE))</f>
        <v>573</v>
      </c>
      <c r="P222" s="48">
        <f t="shared" ca="1" si="11"/>
        <v>6.121794871794872E-4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input_354010!A$2</f>
        <v>354010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IFERROR(VLOOKUP(B223,input_354010!L:R,7,FALSE),VLOOKUP(tables_354010!C223,input_354010!A:H,8,FALSE))</f>
        <v>123.5</v>
      </c>
      <c r="P223" s="48">
        <f t="shared" ca="1" si="11"/>
        <v>1.3194444444444443E-4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input_354010!A$2</f>
        <v>354010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IFERROR(VLOOKUP(B224,input_354010!L:R,7,FALSE),VLOOKUP(tables_354010!C224,input_354010!A:H,8,FALSE))</f>
        <v>6.5</v>
      </c>
      <c r="P224" s="48">
        <f t="shared" ca="1" si="11"/>
        <v>6.9444444444444448E-6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input_354010!A$2</f>
        <v>354010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IFERROR(VLOOKUP(B225,input_354010!L:R,7,FALSE),VLOOKUP(tables_354010!C225,input_354010!A:H,8,FALSE))</f>
        <v>5730</v>
      </c>
      <c r="P225" s="48">
        <f t="shared" ca="1" si="11"/>
        <v>6.1217948717948714E-3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input_354010!A$2</f>
        <v>354010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IFERROR(VLOOKUP(B226,input_354010!L:R,7,FALSE),VLOOKUP(tables_354010!C226,input_354010!A:H,8,FALSE))</f>
        <v>5157</v>
      </c>
      <c r="P226" s="48">
        <f t="shared" ca="1" si="11"/>
        <v>5.5096153846153845E-3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input_354010!A$2</f>
        <v>354010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IFERROR(VLOOKUP(B227,input_354010!L:R,7,FALSE),VLOOKUP(tables_354010!C227,input_354010!A:H,8,FALSE))</f>
        <v>573</v>
      </c>
      <c r="P227" s="48">
        <f t="shared" ca="1" si="11"/>
        <v>6.121794871794872E-4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input_354010!A$2</f>
        <v>354010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IFERROR(VLOOKUP(B228,input_354010!L:R,7,FALSE),VLOOKUP(tables_354010!C228,input_354010!A:H,8,FALSE))</f>
        <v>5730</v>
      </c>
      <c r="P228" s="48">
        <f t="shared" ca="1" si="11"/>
        <v>6.1217948717948714E-3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input_354010!A$2</f>
        <v>354010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IFERROR(VLOOKUP(B229,input_354010!L:R,7,FALSE),VLOOKUP(tables_354010!C229,input_354010!A:H,8,FALSE))</f>
        <v>5157</v>
      </c>
      <c r="P229" s="48">
        <f t="shared" ca="1" si="11"/>
        <v>5.5096153846153845E-3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input_354010!A$2</f>
        <v>354010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IFERROR(VLOOKUP(B230,input_354010!L:R,7,FALSE),VLOOKUP(tables_354010!C230,input_354010!A:H,8,FALSE))</f>
        <v>573</v>
      </c>
      <c r="P230" s="48">
        <f t="shared" ca="1" si="11"/>
        <v>6.121794871794872E-4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input_354010!A$2</f>
        <v>354010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IFERROR(VLOOKUP(B231,input_354010!L:R,7,FALSE),VLOOKUP(tables_354010!C231,input_354010!A:H,8,FALSE))</f>
        <v>123.5</v>
      </c>
      <c r="P231" s="48">
        <f t="shared" ca="1" si="11"/>
        <v>1.3194444444444443E-4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input_354010!A$2</f>
        <v>354010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IFERROR(VLOOKUP(B232,input_354010!L:R,7,FALSE),VLOOKUP(tables_354010!C232,input_354010!A:H,8,FALSE))</f>
        <v>6.5</v>
      </c>
      <c r="P232" s="48">
        <f t="shared" ca="1" si="11"/>
        <v>6.9444444444444448E-6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input_354010!A$2</f>
        <v>354010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IFERROR(VLOOKUP(B233,input_354010!L:R,7,FALSE),VLOOKUP(tables_354010!C233,input_354010!A:H,8,FALSE))</f>
        <v>5730</v>
      </c>
      <c r="P233" s="48">
        <f t="shared" ca="1" si="11"/>
        <v>6.1217948717948714E-3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input_354010!A$2</f>
        <v>354010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IFERROR(VLOOKUP(B234,input_354010!L:R,7,FALSE),VLOOKUP(tables_354010!C234,input_354010!A:H,8,FALSE))</f>
        <v>5157</v>
      </c>
      <c r="P234" s="48">
        <f t="shared" ca="1" si="11"/>
        <v>5.5096153846153845E-3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input_354010!A$2</f>
        <v>354010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IFERROR(VLOOKUP(B235,input_354010!L:R,7,FALSE),VLOOKUP(tables_354010!C235,input_354010!A:H,8,FALSE))</f>
        <v>573</v>
      </c>
      <c r="P235" s="48">
        <f t="shared" ca="1" si="11"/>
        <v>6.121794871794872E-4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input_354010!A$2</f>
        <v>354010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IFERROR(VLOOKUP(B236,input_354010!L:R,7,FALSE),VLOOKUP(tables_354010!C236,input_354010!A:H,8,FALSE))</f>
        <v>123.5</v>
      </c>
      <c r="P236" s="48">
        <f t="shared" ca="1" si="11"/>
        <v>1.3194444444444443E-4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input_354010!A$2</f>
        <v>354010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IFERROR(VLOOKUP(B237,input_354010!L:R,7,FALSE),VLOOKUP(tables_354010!C237,input_354010!A:H,8,FALSE))</f>
        <v>6.5</v>
      </c>
      <c r="P237" s="48">
        <f t="shared" ca="1" si="11"/>
        <v>6.9444444444444448E-6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input_354010!A$2</f>
        <v>354010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IFERROR(VLOOKUP(B238,input_354010!L:R,7,FALSE),VLOOKUP(tables_354010!C238,input_354010!A:H,8,FALSE))</f>
        <v>123.5</v>
      </c>
      <c r="P238" s="48">
        <f t="shared" ca="1" si="11"/>
        <v>1.3194444444444443E-4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input_354010!A$2</f>
        <v>354010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IFERROR(VLOOKUP(B239,input_354010!L:R,7,FALSE),VLOOKUP(tables_354010!C239,input_354010!A:H,8,FALSE))</f>
        <v>6.5</v>
      </c>
      <c r="P239" s="48">
        <f t="shared" ca="1" si="11"/>
        <v>6.9444444444444448E-6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input_354010!A$2</f>
        <v>354010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IFERROR(VLOOKUP(B240,input_354010!L:R,7,FALSE),VLOOKUP(tables_354010!C240,input_354010!A:H,8,FALSE))</f>
        <v>5730</v>
      </c>
      <c r="P240" s="48">
        <f t="shared" ca="1" si="11"/>
        <v>6.1217948717948714E-3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input_354010!A$2</f>
        <v>354010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IFERROR(VLOOKUP(B241,input_354010!L:R,7,FALSE),VLOOKUP(tables_354010!C241,input_354010!A:H,8,FALSE))</f>
        <v>5157</v>
      </c>
      <c r="P241" s="48">
        <f t="shared" ca="1" si="11"/>
        <v>5.5096153846153845E-3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input_354010!A$2</f>
        <v>354010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IFERROR(VLOOKUP(B242,input_354010!L:R,7,FALSE),VLOOKUP(tables_354010!C242,input_354010!A:H,8,FALSE))</f>
        <v>573</v>
      </c>
      <c r="P242" s="48">
        <f t="shared" ca="1" si="11"/>
        <v>6.121794871794872E-4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input_354010!A$2</f>
        <v>354010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IFERROR(VLOOKUP(B243,input_354010!L:R,7,FALSE),VLOOKUP(tables_354010!C243,input_354010!A:H,8,FALSE))</f>
        <v>5730</v>
      </c>
      <c r="P243" s="48">
        <f t="shared" ca="1" si="11"/>
        <v>6.1217948717948714E-3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input_354010!A$2</f>
        <v>354010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IFERROR(VLOOKUP(B244,input_354010!L:R,7,FALSE),VLOOKUP(tables_354010!C244,input_354010!A:H,8,FALSE))</f>
        <v>5157</v>
      </c>
      <c r="P244" s="48">
        <f t="shared" ca="1" si="11"/>
        <v>5.5096153846153845E-3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input_354010!A$2</f>
        <v>354010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IFERROR(VLOOKUP(B245,input_354010!L:R,7,FALSE),VLOOKUP(tables_354010!C245,input_354010!A:H,8,FALSE))</f>
        <v>573</v>
      </c>
      <c r="P245" s="48">
        <f t="shared" ca="1" si="11"/>
        <v>6.121794871794872E-4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input_354010!A$2</f>
        <v>354010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IFERROR(VLOOKUP(B246,input_354010!L:R,7,FALSE),VLOOKUP(tables_354010!C246,input_354010!A:H,8,FALSE))</f>
        <v>5730</v>
      </c>
      <c r="P246" s="48">
        <f t="shared" ca="1" si="11"/>
        <v>6.1217948717948714E-3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input_354010!A$2</f>
        <v>354010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IFERROR(VLOOKUP(B247,input_354010!L:R,7,FALSE),VLOOKUP(tables_354010!C247,input_354010!A:H,8,FALSE))</f>
        <v>5157</v>
      </c>
      <c r="P247" s="48">
        <f t="shared" ca="1" si="11"/>
        <v>5.5096153846153845E-3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input_354010!A$2</f>
        <v>354010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IFERROR(VLOOKUP(B248,input_354010!L:R,7,FALSE),VLOOKUP(tables_354010!C248,input_354010!A:H,8,FALSE))</f>
        <v>573</v>
      </c>
      <c r="P248" s="48">
        <f t="shared" ca="1" si="11"/>
        <v>6.121794871794872E-4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input_354010!A$2</f>
        <v>354010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IFERROR(VLOOKUP(B249,input_354010!L:R,7,FALSE),VLOOKUP(tables_354010!C249,input_354010!A:H,8,FALSE))</f>
        <v>5730</v>
      </c>
      <c r="P249" s="48">
        <f t="shared" ca="1" si="11"/>
        <v>6.1217948717948714E-3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input_354010!A$2</f>
        <v>354010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IFERROR(VLOOKUP(B250,input_354010!L:R,7,FALSE),VLOOKUP(tables_354010!C250,input_354010!A:H,8,FALSE))</f>
        <v>5157</v>
      </c>
      <c r="P250" s="48">
        <f t="shared" ca="1" si="11"/>
        <v>5.5096153846153845E-3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input_354010!A$2</f>
        <v>354010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IFERROR(VLOOKUP(B251,input_354010!L:R,7,FALSE),VLOOKUP(tables_354010!C251,input_354010!A:H,8,FALSE))</f>
        <v>573</v>
      </c>
      <c r="P251" s="48">
        <f t="shared" ca="1" si="11"/>
        <v>6.121794871794872E-4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input_354010!A$2</f>
        <v>354010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IFERROR(VLOOKUP(B252,input_354010!L:R,7,FALSE),VLOOKUP(tables_354010!C252,input_354010!A:H,8,FALSE))</f>
        <v>123.5</v>
      </c>
      <c r="P252" s="48">
        <f t="shared" ca="1" si="11"/>
        <v>1.3194444444444443E-4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input_354010!A$2</f>
        <v>354010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IFERROR(VLOOKUP(B253,input_354010!L:R,7,FALSE),VLOOKUP(tables_354010!C253,input_354010!A:H,8,FALSE))</f>
        <v>6.5</v>
      </c>
      <c r="P253" s="48">
        <f t="shared" ca="1" si="11"/>
        <v>6.9444444444444448E-6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input_354010!A$2</f>
        <v>354010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IFERROR(VLOOKUP(B254,input_354010!L:R,7,FALSE),VLOOKUP(tables_354010!C254,input_354010!A:H,8,FALSE))</f>
        <v>123.5</v>
      </c>
      <c r="P254" s="48">
        <f t="shared" ca="1" si="11"/>
        <v>1.3194444444444443E-4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input_354010!A$2</f>
        <v>354010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IFERROR(VLOOKUP(B255,input_354010!L:R,7,FALSE),VLOOKUP(tables_354010!C255,input_354010!A:H,8,FALSE))</f>
        <v>6.5</v>
      </c>
      <c r="P255" s="48">
        <f t="shared" ca="1" si="11"/>
        <v>6.9444444444444448E-6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input_354010!A$2</f>
        <v>354010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IFERROR(VLOOKUP(B256,input_354010!L:R,7,FALSE),VLOOKUP(tables_354010!C256,input_354010!A:H,8,FALSE))</f>
        <v>123.5</v>
      </c>
      <c r="P256" s="48">
        <f t="shared" ca="1" si="11"/>
        <v>1.3194444444444443E-4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input_354010!A$2</f>
        <v>354010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IFERROR(VLOOKUP(B257,input_354010!L:R,7,FALSE),VLOOKUP(tables_354010!C257,input_354010!A:H,8,FALSE))</f>
        <v>6.5</v>
      </c>
      <c r="P257" s="48">
        <f t="shared" ca="1" si="11"/>
        <v>6.9444444444444448E-6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input_354010!A$2</f>
        <v>354010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IFERROR(VLOOKUP(B258,input_354010!L:R,7,FALSE),VLOOKUP(tables_354010!C258,input_354010!A:H,8,FALSE))</f>
        <v>123.5</v>
      </c>
      <c r="P258" s="48">
        <f t="shared" ca="1" si="11"/>
        <v>1.3194444444444443E-4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input_354010!A$2</f>
        <v>354010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IFERROR(VLOOKUP(B259,input_354010!L:R,7,FALSE),VLOOKUP(tables_354010!C259,input_354010!A:H,8,FALSE))</f>
        <v>6.5</v>
      </c>
      <c r="P259" s="48">
        <f t="shared" ca="1" si="11"/>
        <v>6.9444444444444448E-6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input_354010!A$2</f>
        <v>354010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IFERROR(VLOOKUP(B260,input_354010!L:R,7,FALSE),VLOOKUP(tables_354010!C260,input_354010!A:H,8,FALSE))</f>
        <v>5730</v>
      </c>
      <c r="P260" s="48">
        <f t="shared" ca="1" si="11"/>
        <v>6.1217948717948714E-3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input_354010!A$2</f>
        <v>354010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IFERROR(VLOOKUP(B261,input_354010!L:R,7,FALSE),VLOOKUP(tables_354010!C261,input_354010!A:H,8,FALSE))</f>
        <v>5157</v>
      </c>
      <c r="P261" s="48">
        <f t="shared" ca="1" si="11"/>
        <v>5.5096153846153845E-3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input_354010!A$2</f>
        <v>354010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IFERROR(VLOOKUP(B262,input_354010!L:R,7,FALSE),VLOOKUP(tables_354010!C262,input_354010!A:H,8,FALSE))</f>
        <v>573</v>
      </c>
      <c r="P262" s="48">
        <f t="shared" ca="1" si="11"/>
        <v>6.121794871794872E-4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input_354010!A$2</f>
        <v>354010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IFERROR(VLOOKUP(B263,input_354010!L:R,7,FALSE),VLOOKUP(tables_354010!C263,input_354010!A:H,8,FALSE))</f>
        <v>5730</v>
      </c>
      <c r="P263" s="48">
        <f t="shared" ca="1" si="11"/>
        <v>6.1217948717948714E-3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input_354010!A$2</f>
        <v>354010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IFERROR(VLOOKUP(B264,input_354010!L:R,7,FALSE),VLOOKUP(tables_354010!C264,input_354010!A:H,8,FALSE))</f>
        <v>5157</v>
      </c>
      <c r="P264" s="48">
        <f t="shared" ca="1" si="11"/>
        <v>5.5096153846153845E-3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input_354010!A$2</f>
        <v>354010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IFERROR(VLOOKUP(B265,input_354010!L:R,7,FALSE),VLOOKUP(tables_354010!C265,input_354010!A:H,8,FALSE))</f>
        <v>573</v>
      </c>
      <c r="P265" s="48">
        <f t="shared" ca="1" si="11"/>
        <v>6.121794871794872E-4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input_354010!A$2</f>
        <v>354010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IFERROR(VLOOKUP(B266,input_354010!L:R,7,FALSE),VLOOKUP(tables_354010!C266,input_354010!A:H,8,FALSE))</f>
        <v>8788.5</v>
      </c>
      <c r="P266" s="48">
        <f t="shared" ca="1" si="11"/>
        <v>9.3894230769230765E-3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input_354010!A$2</f>
        <v>354010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IFERROR(VLOOKUP(B267,input_354010!L:R,7,FALSE),VLOOKUP(tables_354010!C267,input_354010!A:H,8,FALSE))</f>
        <v>2671.5</v>
      </c>
      <c r="P267" s="48">
        <f t="shared" ca="1" si="11"/>
        <v>2.8541666666666667E-3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input_354010!A$2</f>
        <v>354010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IFERROR(VLOOKUP(B268,input_354010!L:R,7,FALSE),VLOOKUP(tables_354010!C268,input_354010!A:H,8,FALSE))</f>
        <v>8788.5</v>
      </c>
      <c r="P268" s="48">
        <f t="shared" ca="1" si="11"/>
        <v>9.3894230769230765E-3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input_354010!A$2</f>
        <v>354010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IFERROR(VLOOKUP(B269,input_354010!L:R,7,FALSE),VLOOKUP(tables_354010!C269,input_354010!A:H,8,FALSE))</f>
        <v>2671.5</v>
      </c>
      <c r="P269" s="48">
        <f t="shared" ca="1" si="11"/>
        <v>2.8541666666666667E-3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input_354010!A$2</f>
        <v>354010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IFERROR(VLOOKUP(B270,input_354010!L:R,7,FALSE),VLOOKUP(tables_354010!C270,input_354010!A:H,8,FALSE))</f>
        <v>130</v>
      </c>
      <c r="P270" s="48">
        <f t="shared" ca="1" si="11"/>
        <v>1.3888888888888889E-4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input_354010!A$2</f>
        <v>354010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IFERROR(VLOOKUP(B271,input_354010!L:R,7,FALSE),VLOOKUP(tables_354010!C271,input_354010!A:H,8,FALSE))</f>
        <v>130</v>
      </c>
      <c r="P271" s="48">
        <f t="shared" ref="P271:P283" ca="1" si="14">O271/SUM(O:O)</f>
        <v>1.3888888888888889E-4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input_354010!A$2</f>
        <v>354010</v>
      </c>
      <c r="B272" s="82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IFERROR(VLOOKUP(B272,input_354010!L:R,7,FALSE),VLOOKUP(tables_354010!C272,input_354010!A:H,8,FALSE))</f>
        <v>130</v>
      </c>
      <c r="P272" s="48">
        <f t="shared" ca="1" si="14"/>
        <v>1.3888888888888889E-4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input_354010!A$2</f>
        <v>354010</v>
      </c>
      <c r="B273" s="82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IFERROR(VLOOKUP(B273,input_354010!L:R,7,FALSE),VLOOKUP(tables_354010!C273,input_354010!A:H,8,FALSE))</f>
        <v>130</v>
      </c>
      <c r="P273" s="48">
        <f t="shared" ca="1" si="14"/>
        <v>1.3888888888888889E-4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input_354010!A$2</f>
        <v>354010</v>
      </c>
      <c r="B274" s="82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IFERROR(VLOOKUP(B274,input_354010!L:R,7,FALSE),VLOOKUP(tables_354010!C274,input_354010!A:H,8,FALSE))</f>
        <v>8788.5</v>
      </c>
      <c r="P274" s="48">
        <f t="shared" ca="1" si="14"/>
        <v>9.3894230769230765E-3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input_354010!A$2</f>
        <v>354010</v>
      </c>
      <c r="B275" s="82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IFERROR(VLOOKUP(B275,input_354010!L:R,7,FALSE),VLOOKUP(tables_354010!C275,input_354010!A:H,8,FALSE))</f>
        <v>2671.5</v>
      </c>
      <c r="P275" s="48">
        <f t="shared" ca="1" si="14"/>
        <v>2.8541666666666667E-3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input_354010!A$2</f>
        <v>354010</v>
      </c>
      <c r="B276" s="82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IFERROR(VLOOKUP(B276,input_354010!L:R,7,FALSE),VLOOKUP(tables_354010!C276,input_354010!A:H,8,FALSE))</f>
        <v>8788.5</v>
      </c>
      <c r="P276" s="48">
        <f t="shared" ca="1" si="14"/>
        <v>9.3894230769230765E-3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input_354010!A$2</f>
        <v>354010</v>
      </c>
      <c r="B277" s="82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IFERROR(VLOOKUP(B277,input_354010!L:R,7,FALSE),VLOOKUP(tables_354010!C277,input_354010!A:H,8,FALSE))</f>
        <v>2671.5</v>
      </c>
      <c r="P277" s="48">
        <f t="shared" ca="1" si="14"/>
        <v>2.8541666666666667E-3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input_354010!A$2</f>
        <v>354010</v>
      </c>
      <c r="B278" s="82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IFERROR(VLOOKUP(B278,input_354100!L:R,7,FALSE),VLOOKUP(tables_354100!C278,input_354100!A:H,8,FALSE))</f>
        <v>8788.5</v>
      </c>
      <c r="P278" s="48">
        <f t="shared" ca="1" si="14"/>
        <v>9.3894230769230765E-3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input_354010!A$2</f>
        <v>354010</v>
      </c>
      <c r="B279" s="82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IFERROR(VLOOKUP(B279,input_354100!L:R,7,FALSE),VLOOKUP(tables_354100!C279,input_354100!A:H,8,FALSE))</f>
        <v>2671.5</v>
      </c>
      <c r="P279" s="48">
        <f t="shared" ca="1" si="14"/>
        <v>2.8541666666666667E-3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input_354010!A$2</f>
        <v>354010</v>
      </c>
      <c r="B280" s="82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IFERROR(VLOOKUP(B280,input_354100!L:R,7,FALSE),VLOOKUP(tables_354100!C280,input_354100!A:H,8,FALSE))</f>
        <v>8788.5</v>
      </c>
      <c r="P280" s="48">
        <f t="shared" ca="1" si="14"/>
        <v>9.3894230769230765E-3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input_354010!A$2</f>
        <v>354010</v>
      </c>
      <c r="B281" s="82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IFERROR(VLOOKUP(B281,input_354100!L:R,7,FALSE),VLOOKUP(tables_354100!C281,input_354100!A:H,8,FALSE))</f>
        <v>2671.5</v>
      </c>
      <c r="P281" s="48">
        <f t="shared" ca="1" si="14"/>
        <v>2.8541666666666667E-3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input_354010!A$2</f>
        <v>354010</v>
      </c>
      <c r="B282" s="82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IFERROR(VLOOKUP(B282,input_354100!L:R,7,FALSE),VLOOKUP(tables_354100!C282,input_354100!A:H,8,FALSE))</f>
        <v>130</v>
      </c>
      <c r="P282" s="48">
        <f t="shared" ca="1" si="14"/>
        <v>1.3888888888888889E-4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input_354010!A$2</f>
        <v>354010</v>
      </c>
      <c r="B283" s="82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IFERROR(VLOOKUP(B283,input_354100!L:R,7,FALSE),VLOOKUP(tables_354100!C283,input_354100!A:H,8,FALSE))</f>
        <v>130</v>
      </c>
      <c r="P283" s="48">
        <f t="shared" ca="1" si="14"/>
        <v>1.3888888888888889E-4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autoFilter ref="A1:V271"/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2" workbookViewId="0">
      <selection activeCell="G9" sqref="G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354100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6" t="s">
        <v>221</v>
      </c>
      <c r="L3">
        <v>492</v>
      </c>
      <c r="M3" s="39" t="str">
        <f>VLOOKUP(L3,[1]characters!$A:$C,3,FALSE)</f>
        <v>ブートレグ・ペロー</v>
      </c>
      <c r="N3" s="65">
        <v>5.0000000000000001E-3</v>
      </c>
      <c r="O3" s="39">
        <f>VLOOKUP(L3,[1]characters!$A:$I,9,FALSE)</f>
        <v>4</v>
      </c>
      <c r="P3" s="39" t="str">
        <f>VLOOKUP(L3,[1]characters!$A:$J,10,FALSE)</f>
        <v>PremiumSS</v>
      </c>
      <c r="Q3" s="39" t="str">
        <f>VLOOKUP(L3,tables_354100!B:C,2,FALSE)</f>
        <v>PremiumSS4</v>
      </c>
      <c r="R3" s="64">
        <f t="shared" ref="R3:R6" si="0">N3*A$36</f>
        <v>4680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493</v>
      </c>
      <c r="M4" s="39" t="str">
        <f>VLOOKUP(L4,[1]characters!$A:$C,3,FALSE)</f>
        <v>跋扈の機脚 ブートレグ・ペロー</v>
      </c>
      <c r="N4" s="65">
        <v>1.4999999999999999E-2</v>
      </c>
      <c r="O4" s="39">
        <f>VLOOKUP(L4,[1]characters!$A:$I,9,FALSE)</f>
        <v>5</v>
      </c>
      <c r="P4" s="39" t="str">
        <f>VLOOKUP(L4,[1]characters!$A:$J,10,FALSE)</f>
        <v>PremiumSS</v>
      </c>
      <c r="Q4" s="39" t="str">
        <f>VLOOKUP(L4,tables_354100!B:C,2,FALSE)</f>
        <v>PremiumSS5</v>
      </c>
      <c r="R4" s="64">
        <f t="shared" si="0"/>
        <v>14040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5">
        <f>1-B6-B7-B8</f>
        <v>4.163336342344337E-17</v>
      </c>
      <c r="D5" t="s">
        <v>210</v>
      </c>
      <c r="E5" s="45">
        <f>(B11-H5)/(F5-I5)</f>
        <v>1.3888888888888881E-4</v>
      </c>
      <c r="F5">
        <f>(COUNTIF(tables_354100!C:C,input_354100!A26)+COUNTIF(tables_354100!C:C,input_354100!A28)+COUNTIF(tables_354100!C:C,input_354100!A29))</f>
        <v>38</v>
      </c>
      <c r="H5" s="77">
        <v>0.04</v>
      </c>
      <c r="I5" s="31">
        <v>2</v>
      </c>
      <c r="L5">
        <v>494</v>
      </c>
      <c r="M5" s="39" t="str">
        <f>VLOOKUP(L5,[1]characters!$A:$C,3,FALSE)</f>
        <v>ハーメルン</v>
      </c>
      <c r="N5" s="65">
        <v>5.0000000000000001E-3</v>
      </c>
      <c r="O5" s="39">
        <f>VLOOKUP(L5,[1]characters!$A:$I,9,FALSE)</f>
        <v>4</v>
      </c>
      <c r="P5" s="39" t="str">
        <f>VLOOKUP(L5,[1]characters!$A:$J,10,FALSE)</f>
        <v>PremiumSS</v>
      </c>
      <c r="Q5" s="39" t="str">
        <f>VLOOKUP(L5,tables_354100!B:C,2,FALSE)</f>
        <v>PremiumSS4</v>
      </c>
      <c r="R5" s="64">
        <f t="shared" si="0"/>
        <v>4680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5">
        <v>0.95</v>
      </c>
      <c r="D6" t="s">
        <v>211</v>
      </c>
      <c r="E6" s="81">
        <f>(B10-H6)/(F6-I6)</f>
        <v>1.2243589743589743E-2</v>
      </c>
      <c r="F6">
        <f>(COUNTIF(tables_354100!C:C,input_354100!A18)+COUNTIF(tables_354100!C:C,input_354100!A20)+COUNTIF(tables_354100!C:C,input_354100!A22))</f>
        <v>78</v>
      </c>
      <c r="H6" s="77">
        <v>0</v>
      </c>
      <c r="I6" s="31">
        <v>0</v>
      </c>
      <c r="L6">
        <v>495</v>
      </c>
      <c r="M6" s="39" t="str">
        <f>VLOOKUP(L6,[1]characters!$A:$C,3,FALSE)</f>
        <v>鼠災呼ぶ笛音 ハーメルン</v>
      </c>
      <c r="N6" s="65">
        <v>1.4999999999999999E-2</v>
      </c>
      <c r="O6" s="39">
        <f>VLOOKUP(L6,[1]characters!$A:$I,9,FALSE)</f>
        <v>5</v>
      </c>
      <c r="P6" s="39" t="str">
        <f>VLOOKUP(L6,[1]characters!$A:$J,10,FALSE)</f>
        <v>PremiumSS</v>
      </c>
      <c r="Q6" s="39" t="str">
        <f>VLOOKUP(L6,tables_354100!B:C,2,FALSE)</f>
        <v>PremiumSS5</v>
      </c>
      <c r="R6" s="64">
        <f t="shared" si="0"/>
        <v>14040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5">
        <v>0.05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0.95499999999999996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4.4999999999999998E-2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8">
        <f t="shared" ref="C17:C31" si="2">SUMIF(Q:Q,A17,N:N)</f>
        <v>0</v>
      </c>
      <c r="D17" s="79">
        <f t="shared" ref="D17:D32" si="3">B17-C17</f>
        <v>0</v>
      </c>
      <c r="E17">
        <f>COUNTIF(tables_354100!C:C,input_354100!A17)-COUNTIF(Q:Q,A17)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0.24487179487179486</v>
      </c>
      <c r="C18" s="78">
        <f t="shared" si="2"/>
        <v>0</v>
      </c>
      <c r="D18" s="79">
        <f t="shared" si="3"/>
        <v>0.24487179487179486</v>
      </c>
      <c r="E18">
        <f>COUNTIF(tables_354100!C:C,input_354100!A18)-COUNTIF(Q:Q,A18)</f>
        <v>20</v>
      </c>
      <c r="F18" s="45">
        <f t="shared" ref="F18:F31" si="7">IFERROR(B18/E18,0)</f>
        <v>1.2243589743589743E-2</v>
      </c>
      <c r="G18">
        <f t="shared" ref="G18:G31" si="8">A$36*B18</f>
        <v>229200</v>
      </c>
      <c r="H18">
        <f t="shared" si="4"/>
        <v>11460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8">
        <f t="shared" si="2"/>
        <v>0</v>
      </c>
      <c r="D19" s="79">
        <f t="shared" si="3"/>
        <v>0</v>
      </c>
      <c r="E19">
        <f>COUNTIF(tables_354100!C:C,input_354100!A19)-COUNTIF(Q:Q,A19)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0.60483333333333322</v>
      </c>
      <c r="C20" s="78">
        <f t="shared" si="2"/>
        <v>0</v>
      </c>
      <c r="D20" s="79">
        <f t="shared" si="3"/>
        <v>0.60483333333333322</v>
      </c>
      <c r="E20">
        <f>COUNTIF(tables_354100!C:C,input_354100!A20)-COUNTIF(Q:Q,A20)</f>
        <v>52</v>
      </c>
      <c r="F20" s="45">
        <f t="shared" si="7"/>
        <v>1.1631410256410254E-2</v>
      </c>
      <c r="G20">
        <f t="shared" si="8"/>
        <v>566123.99999999988</v>
      </c>
      <c r="H20">
        <f t="shared" si="4"/>
        <v>10887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3.1833333333333332E-2</v>
      </c>
      <c r="C21" s="78">
        <f t="shared" si="2"/>
        <v>0</v>
      </c>
      <c r="D21" s="79">
        <f t="shared" si="3"/>
        <v>3.1833333333333332E-2</v>
      </c>
      <c r="E21">
        <f>COUNTIF(tables_354100!C:C,input_354100!A21)-COUNTIF(Q:Q,A21)</f>
        <v>52</v>
      </c>
      <c r="F21" s="45">
        <f t="shared" si="7"/>
        <v>6.1217948717948709E-4</v>
      </c>
      <c r="G21">
        <f t="shared" si="8"/>
        <v>29796</v>
      </c>
      <c r="H21">
        <f t="shared" si="4"/>
        <v>573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0">
        <f>E6*COUNTIF(tables_354100!C:C,input_354100!A22)-B23</f>
        <v>5.6336538461538452E-2</v>
      </c>
      <c r="C22" s="78">
        <f t="shared" si="2"/>
        <v>0</v>
      </c>
      <c r="D22" s="79">
        <f t="shared" si="3"/>
        <v>5.6336538461538452E-2</v>
      </c>
      <c r="E22">
        <f>COUNTIF(tables_354100!C:C,input_354100!A22)-COUNTIF(Q:Q,A22)</f>
        <v>6</v>
      </c>
      <c r="F22" s="45">
        <f t="shared" si="7"/>
        <v>9.3894230769230747E-3</v>
      </c>
      <c r="G22">
        <f t="shared" si="8"/>
        <v>52730.999999999993</v>
      </c>
      <c r="H22">
        <f t="shared" si="4"/>
        <v>8788.5</v>
      </c>
      <c r="I22">
        <f t="shared" si="5"/>
        <v>0.5</v>
      </c>
      <c r="J22">
        <f t="shared" si="6"/>
        <v>2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1.7125000000000001E-2</v>
      </c>
      <c r="C23" s="78">
        <f t="shared" si="2"/>
        <v>0</v>
      </c>
      <c r="D23" s="79">
        <f t="shared" si="3"/>
        <v>1.7125000000000001E-2</v>
      </c>
      <c r="E23">
        <f>COUNTIF(tables_354100!C:C,input_354100!A23)-COUNTIF(Q:Q,A23)</f>
        <v>6</v>
      </c>
      <c r="F23" s="45">
        <f t="shared" si="7"/>
        <v>2.8541666666666667E-3</v>
      </c>
      <c r="G23">
        <f t="shared" si="8"/>
        <v>16029.000000000002</v>
      </c>
      <c r="H23">
        <f t="shared" si="4"/>
        <v>2671.5</v>
      </c>
      <c r="I23">
        <f t="shared" si="5"/>
        <v>0.5</v>
      </c>
      <c r="J23">
        <f t="shared" si="6"/>
        <v>2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8">
        <f t="shared" si="2"/>
        <v>0</v>
      </c>
      <c r="D24" s="79">
        <f t="shared" si="3"/>
        <v>0</v>
      </c>
      <c r="E24">
        <f>COUNTIF(tables_354100!C:C,input_354100!A24)-COUNTIF(Q:Q,A24)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5.277777777777774E-4</v>
      </c>
      <c r="C25" s="78">
        <f t="shared" si="2"/>
        <v>0</v>
      </c>
      <c r="D25" s="79">
        <f t="shared" si="3"/>
        <v>5.277777777777774E-4</v>
      </c>
      <c r="E25">
        <f>COUNTIF(tables_354100!C:C,input_354100!A25)-COUNTIF(Q:Q,A25)</f>
        <v>4</v>
      </c>
      <c r="F25" s="45">
        <f t="shared" si="7"/>
        <v>1.3194444444444435E-4</v>
      </c>
      <c r="G25">
        <f t="shared" si="8"/>
        <v>493.99999999999966</v>
      </c>
      <c r="H25">
        <f t="shared" si="4"/>
        <v>123.5</v>
      </c>
      <c r="I25">
        <f t="shared" si="5"/>
        <v>0.5</v>
      </c>
      <c r="J25">
        <f t="shared" si="6"/>
        <v>2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2.7777777777777762E-5</v>
      </c>
      <c r="C26" s="78">
        <f t="shared" si="2"/>
        <v>0</v>
      </c>
      <c r="D26" s="79">
        <f t="shared" si="3"/>
        <v>2.7777777777777762E-5</v>
      </c>
      <c r="E26">
        <f>COUNTIF(tables_354100!C:C,input_354100!A26)-COUNTIF(Q:Q,A26)</f>
        <v>4</v>
      </c>
      <c r="F26" s="45">
        <f t="shared" si="7"/>
        <v>6.9444444444444405E-6</v>
      </c>
      <c r="G26">
        <f t="shared" si="8"/>
        <v>25.999999999999986</v>
      </c>
      <c r="H26">
        <f t="shared" si="4"/>
        <v>6.5</v>
      </c>
      <c r="I26">
        <f t="shared" si="5"/>
        <v>0.5</v>
      </c>
      <c r="J26">
        <f t="shared" si="6"/>
        <v>2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3.4305555555555534E-3</v>
      </c>
      <c r="C27" s="78">
        <f t="shared" si="2"/>
        <v>0.01</v>
      </c>
      <c r="D27" s="79">
        <f t="shared" si="3"/>
        <v>-6.5694444444444472E-3</v>
      </c>
      <c r="E27">
        <f>COUNTIF(tables_354100!C:C,input_354100!A27)-COUNTIF(Q:Q,A27)</f>
        <v>26</v>
      </c>
      <c r="F27" s="45">
        <f>IFERROR(B27/E27,0)</f>
        <v>1.3194444444444435E-4</v>
      </c>
      <c r="G27">
        <f t="shared" si="8"/>
        <v>3210.9999999999982</v>
      </c>
      <c r="H27">
        <f t="shared" si="4"/>
        <v>123.5</v>
      </c>
      <c r="I27">
        <f t="shared" si="5"/>
        <v>0.5</v>
      </c>
      <c r="J27">
        <f t="shared" si="6"/>
        <v>2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1.8055555555555547E-4</v>
      </c>
      <c r="C28" s="78">
        <f t="shared" si="2"/>
        <v>0.03</v>
      </c>
      <c r="D28" s="79">
        <f t="shared" si="3"/>
        <v>-2.9819444444444444E-2</v>
      </c>
      <c r="E28">
        <f>COUNTIF(tables_354100!C:C,input_354100!A28)-COUNTIF(Q:Q,A28)</f>
        <v>26</v>
      </c>
      <c r="F28" s="45">
        <f t="shared" si="7"/>
        <v>6.9444444444444414E-6</v>
      </c>
      <c r="G28">
        <f t="shared" si="8"/>
        <v>168.99999999999991</v>
      </c>
      <c r="H28">
        <f t="shared" si="4"/>
        <v>6.5</v>
      </c>
      <c r="I28">
        <f t="shared" si="5"/>
        <v>0.5</v>
      </c>
      <c r="J28">
        <f t="shared" si="6"/>
        <v>2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E5*COUNTIF(tables_354100!C:C,input_354100!A29)</f>
        <v>8.3333333333333284E-4</v>
      </c>
      <c r="C29" s="78">
        <f t="shared" si="2"/>
        <v>0</v>
      </c>
      <c r="D29" s="79">
        <f t="shared" si="3"/>
        <v>8.3333333333333284E-4</v>
      </c>
      <c r="E29">
        <f>COUNTIF(tables_354100!C:C,input_354100!A29)-COUNTIF(Q:Q,A29)</f>
        <v>6</v>
      </c>
      <c r="F29" s="45">
        <f t="shared" si="7"/>
        <v>1.3888888888888881E-4</v>
      </c>
      <c r="G29">
        <f t="shared" si="8"/>
        <v>779.99999999999955</v>
      </c>
      <c r="H29">
        <f t="shared" si="4"/>
        <v>130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8">
        <f t="shared" si="2"/>
        <v>0</v>
      </c>
      <c r="D30" s="79">
        <f t="shared" si="3"/>
        <v>0</v>
      </c>
      <c r="E30">
        <f>COUNTIF(tables_354100!C:C,input_354100!A30)-COUNTIF(Q:Q,A30)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8">
        <f t="shared" si="2"/>
        <v>0</v>
      </c>
      <c r="D31" s="79">
        <f t="shared" si="3"/>
        <v>0</v>
      </c>
      <c r="E31">
        <f>COUNTIF(tables_354100!C:C,input_354100!A31)-COUNTIF(Q:Q,A31)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0.95999999999999985</v>
      </c>
      <c r="C32" s="43">
        <f>SUM(C19:C31)</f>
        <v>0.04</v>
      </c>
      <c r="D32" s="44">
        <f t="shared" si="3"/>
        <v>0.91999999999999982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936000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SUMIF(tables_354100!C:C,input_354100!A40,tables_354100!O:O)</f>
        <v>0</v>
      </c>
      <c r="C40" s="56">
        <f t="shared" ref="C40:C46" ca="1" si="9">B40/B$47</f>
        <v>0</v>
      </c>
      <c r="E40">
        <v>3</v>
      </c>
      <c r="F40">
        <f ca="1">SUMIF(tables_354100!J:J,input_354100!E40,tables_354100!O:O)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SUMIF(tables_354100!C:C,input_354100!A41,tables_354100!O:O)</f>
        <v>566124</v>
      </c>
      <c r="C41" s="56">
        <f t="shared" ca="1" si="9"/>
        <v>0.88909759085340956</v>
      </c>
      <c r="E41">
        <v>4</v>
      </c>
      <c r="F41">
        <f ca="1">SUMIF(tables_354100!J:J,input_354100!E41,tables_354100!O:O)</f>
        <v>861120</v>
      </c>
      <c r="G41">
        <f ca="1">F41/A36</f>
        <v>0.92</v>
      </c>
    </row>
    <row r="42" spans="1:7" x14ac:dyDescent="0.15">
      <c r="A42" s="34" t="s">
        <v>115</v>
      </c>
      <c r="B42">
        <f ca="1">SUMIF(tables_354100!C:C,input_354100!A42,tables_354100!O:O)</f>
        <v>12571</v>
      </c>
      <c r="C42" s="56">
        <f t="shared" ca="1" si="9"/>
        <v>1.9742752143732136E-2</v>
      </c>
      <c r="E42">
        <v>5</v>
      </c>
      <c r="F42">
        <f ca="1">SUMIF(tables_354100!J:J,input_354100!E42,tables_354100!O:O)</f>
        <v>74880</v>
      </c>
      <c r="G42">
        <f ca="1">F42/A36</f>
        <v>0.08</v>
      </c>
    </row>
    <row r="43" spans="1:7" x14ac:dyDescent="0.15">
      <c r="A43" s="34" t="s">
        <v>116</v>
      </c>
      <c r="B43">
        <f>SUMIF(tables_354100!C:C,input_354100!A43,tables_354100!O:O)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SUMIF(tables_354100!C:C,input_354100!A44,tables_354100!O:O)</f>
        <v>29796</v>
      </c>
      <c r="C44" s="56">
        <f t="shared" ca="1" si="9"/>
        <v>4.6794610044916293E-2</v>
      </c>
      <c r="E44" t="s">
        <v>56</v>
      </c>
      <c r="F44" s="57"/>
    </row>
    <row r="45" spans="1:7" x14ac:dyDescent="0.15">
      <c r="A45" s="34" t="s">
        <v>117</v>
      </c>
      <c r="B45">
        <f ca="1">SUMIF(tables_354100!C:C,input_354100!A45,tables_354100!O:O)</f>
        <v>28249</v>
      </c>
      <c r="C45" s="56">
        <f t="shared" ca="1" si="9"/>
        <v>4.4365046957942016E-2</v>
      </c>
      <c r="E45" t="s">
        <v>213</v>
      </c>
      <c r="F45" s="57">
        <f ca="1">SUMIF(tables_354100!I:I,input_354100!E45,tables_354100!P:P)</f>
        <v>0.25241025641025638</v>
      </c>
    </row>
    <row r="46" spans="1:7" x14ac:dyDescent="0.15">
      <c r="A46" s="34" t="s">
        <v>118</v>
      </c>
      <c r="B46">
        <f>SUMIF(tables_354100!C:C,input_354100!A46,tables_354100!O:O)</f>
        <v>0</v>
      </c>
      <c r="C46" s="56">
        <f t="shared" ca="1" si="9"/>
        <v>0</v>
      </c>
      <c r="E46" t="s">
        <v>214</v>
      </c>
      <c r="F46" s="57">
        <f ca="1">SUMIF(tables_354100!I:I,input_354100!E46,tables_354100!P:P)</f>
        <v>0.20855769230769231</v>
      </c>
    </row>
    <row r="47" spans="1:7" x14ac:dyDescent="0.15">
      <c r="A47" s="41" t="s">
        <v>62</v>
      </c>
      <c r="B47">
        <f ca="1">SUM(B40:B46)</f>
        <v>636740</v>
      </c>
      <c r="C47" s="57">
        <f ca="1">SUM(C40:C46)</f>
        <v>0.99999999999999989</v>
      </c>
      <c r="E47" t="s">
        <v>215</v>
      </c>
      <c r="F47" s="57">
        <f ca="1">SUMIF(tables_354100!I:I,input_354100!E47,tables_354100!P:P)</f>
        <v>0.50212606837606844</v>
      </c>
    </row>
    <row r="48" spans="1:7" x14ac:dyDescent="0.15">
      <c r="E48" t="s">
        <v>216</v>
      </c>
      <c r="F48" s="57">
        <f ca="1">SUMIF(tables_354100!I:I,input_354100!E48,tables_354100!P:P)</f>
        <v>4.4444444444444384E-2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3"/>
  <sheetViews>
    <sheetView showGridLines="0" topLeftCell="C1" zoomScale="75" zoomScaleNormal="75" zoomScalePageLayoutView="75" workbookViewId="0">
      <pane ySplit="1" topLeftCell="A271" activePane="bottomLeft" state="frozen"/>
      <selection activeCell="M28" sqref="M28"/>
      <selection pane="bottomLeft" activeCell="P205" sqref="P20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input_354100!A$2</f>
        <v>354100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IFERROR(VLOOKUP(B2,input_354100!L:R,7,FALSE),VLOOKUP(tables_354100!C2,input_354100!A:H,8,FALSE))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input_354100!A$2</f>
        <v>354100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IFERROR(VLOOKUP(B3,input_354100!L:R,7,FALSE),VLOOKUP(tables_354100!C3,input_354100!A:H,8,FALSE))</f>
        <v>11460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input_354100!A$2</f>
        <v>354100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IFERROR(VLOOKUP(B4,input_354100!L:R,7,FALSE),VLOOKUP(tables_354100!C4,input_354100!A:H,8,FALSE))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input_354100!A$2</f>
        <v>354100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IFERROR(VLOOKUP(B5,input_354100!L:R,7,FALSE),VLOOKUP(tables_354100!C5,input_354100!A:H,8,FALSE))</f>
        <v>11460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input_354100!A$2</f>
        <v>354100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IFERROR(VLOOKUP(B6,input_354100!L:R,7,FALSE),VLOOKUP(tables_354100!C6,input_354100!A:H,8,FALSE))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input_354100!A$2</f>
        <v>354100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IFERROR(VLOOKUP(B7,input_354100!L:R,7,FALSE),VLOOKUP(tables_354100!C7,input_354100!A:H,8,FALSE))</f>
        <v>11460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input_354100!A$2</f>
        <v>354100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IFERROR(VLOOKUP(B8,input_354100!L:R,7,FALSE),VLOOKUP(tables_354100!C8,input_354100!A:H,8,FALSE))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input_354100!A$2</f>
        <v>354100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IFERROR(VLOOKUP(B9,input_354100!L:R,7,FALSE),VLOOKUP(tables_354100!C9,input_354100!A:H,8,FALSE))</f>
        <v>11460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input_354100!A$2</f>
        <v>354100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IFERROR(VLOOKUP(B10,input_354100!L:R,7,FALSE),VLOOKUP(tables_354100!C10,input_354100!A:H,8,FALSE))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input_354100!A$2</f>
        <v>354100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IFERROR(VLOOKUP(B11,input_354100!L:R,7,FALSE),VLOOKUP(tables_354100!C11,input_354100!A:H,8,FALSE))</f>
        <v>11460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input_354100!A$2</f>
        <v>354100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IFERROR(VLOOKUP(B12,input_354100!L:R,7,FALSE),VLOOKUP(tables_354100!C12,input_354100!A:H,8,FALSE))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input_354100!A$2</f>
        <v>354100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IFERROR(VLOOKUP(B13,input_354100!L:R,7,FALSE),VLOOKUP(tables_354100!C13,input_354100!A:H,8,FALSE))</f>
        <v>11460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input_354100!A$2</f>
        <v>354100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IFERROR(VLOOKUP(B14,input_354100!L:R,7,FALSE),VLOOKUP(tables_354100!C14,input_354100!A:H,8,FALSE))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input_354100!A$2</f>
        <v>354100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IFERROR(VLOOKUP(B15,input_354100!L:R,7,FALSE),VLOOKUP(tables_354100!C15,input_354100!A:H,8,FALSE))</f>
        <v>11460</v>
      </c>
      <c r="P15" s="48">
        <f t="shared" ref="P15:P78" ca="1" si="2">O15/SUM(O:O)</f>
        <v>1.2243589743589743E-2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input_354100!A$2</f>
        <v>354100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IFERROR(VLOOKUP(B16,input_354100!L:R,7,FALSE),VLOOKUP(tables_354100!C16,input_354100!A:H,8,FALSE))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input_354100!A$2</f>
        <v>354100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IFERROR(VLOOKUP(B17,input_354100!L:R,7,FALSE),VLOOKUP(tables_354100!C17,input_354100!A:H,8,FALSE))</f>
        <v>11460</v>
      </c>
      <c r="P17" s="48">
        <f t="shared" ca="1" si="2"/>
        <v>1.2243589743589743E-2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input_354100!A$2</f>
        <v>354100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IFERROR(VLOOKUP(B18,input_354100!L:R,7,FALSE),VLOOKUP(tables_354100!C18,input_354100!A:H,8,FALSE))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input_354100!A$2</f>
        <v>354100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IFERROR(VLOOKUP(B19,input_354100!L:R,7,FALSE),VLOOKUP(tables_354100!C19,input_354100!A:H,8,FALSE))</f>
        <v>11460</v>
      </c>
      <c r="P19" s="48">
        <f t="shared" ca="1" si="2"/>
        <v>1.2243589743589743E-2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input_354100!A$2</f>
        <v>354100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IFERROR(VLOOKUP(B20,input_354100!L:R,7,FALSE),VLOOKUP(tables_354100!C20,input_354100!A:H,8,FALSE))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input_354100!A$2</f>
        <v>354100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IFERROR(VLOOKUP(B21,input_354100!L:R,7,FALSE),VLOOKUP(tables_354100!C21,input_354100!A:H,8,FALSE))</f>
        <v>11460</v>
      </c>
      <c r="P21" s="48">
        <f t="shared" ca="1" si="2"/>
        <v>1.2243589743589743E-2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input_354100!A$2</f>
        <v>354100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IFERROR(VLOOKUP(B22,input_354100!L:R,7,FALSE),VLOOKUP(tables_354100!C22,input_354100!A:H,8,FALSE))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input_354100!A$2</f>
        <v>354100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IFERROR(VLOOKUP(B23,input_354100!L:R,7,FALSE),VLOOKUP(tables_354100!C23,input_354100!A:H,8,FALSE))</f>
        <v>11460</v>
      </c>
      <c r="P23" s="48">
        <f t="shared" ca="1" si="2"/>
        <v>1.2243589743589743E-2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input_354100!A$2</f>
        <v>354100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IFERROR(VLOOKUP(B24,input_354100!L:R,7,FALSE),VLOOKUP(tables_354100!C24,input_354100!A:H,8,FALSE))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input_354100!A$2</f>
        <v>354100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IFERROR(VLOOKUP(B25,input_354100!L:R,7,FALSE),VLOOKUP(tables_354100!C25,input_354100!A:H,8,FALSE))</f>
        <v>11460</v>
      </c>
      <c r="P25" s="48">
        <f t="shared" ca="1" si="2"/>
        <v>1.2243589743589743E-2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input_354100!A$2</f>
        <v>354100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IFERROR(VLOOKUP(B26,input_354100!L:R,7,FALSE),VLOOKUP(tables_354100!C26,input_354100!A:H,8,FALSE))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input_354100!A$2</f>
        <v>354100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IFERROR(VLOOKUP(B27,input_354100!L:R,7,FALSE),VLOOKUP(tables_354100!C27,input_354100!A:H,8,FALSE))</f>
        <v>11460</v>
      </c>
      <c r="P27" s="48">
        <f t="shared" ca="1" si="2"/>
        <v>1.2243589743589743E-2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input_354100!A$2</f>
        <v>354100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IFERROR(VLOOKUP(B28,input_354100!L:R,7,FALSE),VLOOKUP(tables_354100!C28,input_354100!A:H,8,FALSE))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input_354100!A$2</f>
        <v>354100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IFERROR(VLOOKUP(B29,input_354100!L:R,7,FALSE),VLOOKUP(tables_354100!C29,input_354100!A:H,8,FALSE))</f>
        <v>11460</v>
      </c>
      <c r="P29" s="48">
        <f t="shared" ca="1" si="2"/>
        <v>1.2243589743589743E-2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input_354100!A$2</f>
        <v>354100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IFERROR(VLOOKUP(B30,input_354100!L:R,7,FALSE),VLOOKUP(tables_354100!C30,input_354100!A:H,8,FALSE))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input_354100!A$2</f>
        <v>354100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IFERROR(VLOOKUP(B31,input_354100!L:R,7,FALSE),VLOOKUP(tables_354100!C31,input_354100!A:H,8,FALSE))</f>
        <v>11460</v>
      </c>
      <c r="P31" s="48">
        <f t="shared" ca="1" si="2"/>
        <v>1.2243589743589743E-2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input_354100!A$2</f>
        <v>354100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IFERROR(VLOOKUP(B32,input_354100!L:R,7,FALSE),VLOOKUP(tables_354100!C32,input_354100!A:H,8,FALSE))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input_354100!A$2</f>
        <v>354100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IFERROR(VLOOKUP(B33,input_354100!L:R,7,FALSE),VLOOKUP(tables_354100!C33,input_354100!A:H,8,FALSE))</f>
        <v>11460</v>
      </c>
      <c r="P33" s="48">
        <f t="shared" ca="1" si="2"/>
        <v>1.2243589743589743E-2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input_354100!A$2</f>
        <v>354100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IFERROR(VLOOKUP(B34,input_354100!L:R,7,FALSE),VLOOKUP(tables_354100!C34,input_354100!A:H,8,FALSE))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input_354100!A$2</f>
        <v>354100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IFERROR(VLOOKUP(B35,input_354100!L:R,7,FALSE),VLOOKUP(tables_354100!C35,input_354100!A:H,8,FALSE))</f>
        <v>11460</v>
      </c>
      <c r="P35" s="48">
        <f t="shared" ca="1" si="2"/>
        <v>1.2243589743589743E-2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input_354100!A$2</f>
        <v>354100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IFERROR(VLOOKUP(B36,input_354100!L:R,7,FALSE),VLOOKUP(tables_354100!C36,input_354100!A:H,8,FALSE))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input_354100!A$2</f>
        <v>354100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IFERROR(VLOOKUP(B37,input_354100!L:R,7,FALSE),VLOOKUP(tables_354100!C37,input_354100!A:H,8,FALSE))</f>
        <v>11460</v>
      </c>
      <c r="P37" s="48">
        <f t="shared" ca="1" si="2"/>
        <v>1.2243589743589743E-2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input_354100!A$2</f>
        <v>354100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IFERROR(VLOOKUP(B38,input_354100!L:R,7,FALSE),VLOOKUP(tables_354100!C38,input_354100!A:H,8,FALSE))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input_354100!A$2</f>
        <v>354100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IFERROR(VLOOKUP(B39,input_354100!L:R,7,FALSE),VLOOKUP(tables_354100!C39,input_354100!A:H,8,FALSE))</f>
        <v>11460</v>
      </c>
      <c r="P39" s="48">
        <f t="shared" ca="1" si="2"/>
        <v>1.2243589743589743E-2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input_354100!A$2</f>
        <v>354100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IFERROR(VLOOKUP(B40,input_354100!L:R,7,FALSE),VLOOKUP(tables_354100!C40,input_354100!A:H,8,FALSE))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input_354100!A$2</f>
        <v>354100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IFERROR(VLOOKUP(B41,input_354100!L:R,7,FALSE),VLOOKUP(tables_354100!C41,input_354100!A:H,8,FALSE))</f>
        <v>11460</v>
      </c>
      <c r="P41" s="48">
        <f t="shared" ca="1" si="2"/>
        <v>1.2243589743589743E-2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input_354100!A$2</f>
        <v>354100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IFERROR(VLOOKUP(B42,input_354100!L:R,7,FALSE),VLOOKUP(tables_354100!C42,input_354100!A:H,8,FALSE))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input_354100!A$2</f>
        <v>354100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IFERROR(VLOOKUP(B43,input_354100!L:R,7,FALSE),VLOOKUP(tables_354100!C43,input_354100!A:H,8,FALSE))</f>
        <v>123.5</v>
      </c>
      <c r="P43" s="48">
        <f t="shared" ca="1" si="2"/>
        <v>1.3194444444444443E-4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input_354100!A$2</f>
        <v>354100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IFERROR(VLOOKUP(B44,input_354100!L:R,7,FALSE),VLOOKUP(tables_354100!C44,input_354100!A:H,8,FALSE))</f>
        <v>6.5</v>
      </c>
      <c r="P44" s="48">
        <f t="shared" ca="1" si="2"/>
        <v>6.9444444444444448E-6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input_354100!A$2</f>
        <v>354100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IFERROR(VLOOKUP(B45,input_354100!L:R,7,FALSE),VLOOKUP(tables_354100!C45,input_354100!A:H,8,FALSE))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input_354100!A$2</f>
        <v>354100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IFERROR(VLOOKUP(B46,input_354100!L:R,7,FALSE),VLOOKUP(tables_354100!C46,input_354100!A:H,8,FALSE))</f>
        <v>123.5</v>
      </c>
      <c r="P46" s="48">
        <f t="shared" ca="1" si="2"/>
        <v>1.3194444444444443E-4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input_354100!A$2</f>
        <v>354100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IFERROR(VLOOKUP(B47,input_354100!L:R,7,FALSE),VLOOKUP(tables_354100!C47,input_354100!A:H,8,FALSE))</f>
        <v>6.5</v>
      </c>
      <c r="P47" s="48">
        <f t="shared" ca="1" si="2"/>
        <v>6.9444444444444448E-6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input_354100!A$2</f>
        <v>354100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IFERROR(VLOOKUP(B48,input_354100!L:R,7,FALSE),VLOOKUP(tables_354100!C48,input_354100!A:H,8,FALSE))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input_354100!A$2</f>
        <v>354100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IFERROR(VLOOKUP(B49,input_354100!L:R,7,FALSE),VLOOKUP(tables_354100!C49,input_354100!A:H,8,FALSE))</f>
        <v>123.5</v>
      </c>
      <c r="P49" s="48">
        <f t="shared" ca="1" si="2"/>
        <v>1.3194444444444443E-4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input_354100!A$2</f>
        <v>354100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IFERROR(VLOOKUP(B50,input_354100!L:R,7,FALSE),VLOOKUP(tables_354100!C50,input_354100!A:H,8,FALSE))</f>
        <v>6.5</v>
      </c>
      <c r="P50" s="48">
        <f t="shared" ca="1" si="2"/>
        <v>6.9444444444444448E-6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input_354100!A$2</f>
        <v>354100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IFERROR(VLOOKUP(B51,input_354100!L:R,7,FALSE),VLOOKUP(tables_354100!C51,input_354100!A:H,8,FALSE))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input_354100!A$2</f>
        <v>354100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IFERROR(VLOOKUP(B52,input_354100!L:R,7,FALSE),VLOOKUP(tables_354100!C52,input_354100!A:H,8,FALSE))</f>
        <v>10887</v>
      </c>
      <c r="P52" s="48">
        <f t="shared" ca="1" si="2"/>
        <v>1.1631410256410256E-2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input_354100!A$2</f>
        <v>354100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IFERROR(VLOOKUP(B53,input_354100!L:R,7,FALSE),VLOOKUP(tables_354100!C53,input_354100!A:H,8,FALSE))</f>
        <v>573</v>
      </c>
      <c r="P53" s="48">
        <f t="shared" ca="1" si="2"/>
        <v>6.121794871794872E-4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input_354100!A$2</f>
        <v>354100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IFERROR(VLOOKUP(B54,input_354100!L:R,7,FALSE),VLOOKUP(tables_354100!C54,input_354100!A:H,8,FALSE))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input_354100!A$2</f>
        <v>354100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IFERROR(VLOOKUP(B55,input_354100!L:R,7,FALSE),VLOOKUP(tables_354100!C55,input_354100!A:H,8,FALSE))</f>
        <v>10887</v>
      </c>
      <c r="P55" s="48">
        <f t="shared" ca="1" si="2"/>
        <v>1.1631410256410256E-2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input_354100!A$2</f>
        <v>354100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IFERROR(VLOOKUP(B56,input_354100!L:R,7,FALSE),VLOOKUP(tables_354100!C56,input_354100!A:H,8,FALSE))</f>
        <v>573</v>
      </c>
      <c r="P56" s="48">
        <f t="shared" ca="1" si="2"/>
        <v>6.121794871794872E-4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input_354100!A$2</f>
        <v>354100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IFERROR(VLOOKUP(B57,input_354100!L:R,7,FALSE),VLOOKUP(tables_354100!C57,input_354100!A:H,8,FALSE))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input_354100!A$2</f>
        <v>354100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IFERROR(VLOOKUP(B58,input_354100!L:R,7,FALSE),VLOOKUP(tables_354100!C58,input_354100!A:H,8,FALSE))</f>
        <v>10887</v>
      </c>
      <c r="P58" s="48">
        <f t="shared" ca="1" si="2"/>
        <v>1.1631410256410256E-2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input_354100!A$2</f>
        <v>354100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IFERROR(VLOOKUP(B59,input_354100!L:R,7,FALSE),VLOOKUP(tables_354100!C59,input_354100!A:H,8,FALSE))</f>
        <v>573</v>
      </c>
      <c r="P59" s="48">
        <f t="shared" ca="1" si="2"/>
        <v>6.121794871794872E-4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input_354100!A$2</f>
        <v>354100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IFERROR(VLOOKUP(B60,input_354100!L:R,7,FALSE),VLOOKUP(tables_354100!C60,input_354100!A:H,8,FALSE))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input_354100!A$2</f>
        <v>354100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IFERROR(VLOOKUP(B61,input_354100!L:R,7,FALSE),VLOOKUP(tables_354100!C61,input_354100!A:H,8,FALSE))</f>
        <v>10887</v>
      </c>
      <c r="P61" s="48">
        <f t="shared" ca="1" si="2"/>
        <v>1.1631410256410256E-2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input_354100!A$2</f>
        <v>354100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IFERROR(VLOOKUP(B62,input_354100!L:R,7,FALSE),VLOOKUP(tables_354100!C62,input_354100!A:H,8,FALSE))</f>
        <v>573</v>
      </c>
      <c r="P62" s="48">
        <f t="shared" ca="1" si="2"/>
        <v>6.121794871794872E-4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input_354100!A$2</f>
        <v>354100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IFERROR(VLOOKUP(B63,input_354100!L:R,7,FALSE),VLOOKUP(tables_354100!C63,input_354100!A:H,8,FALSE))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input_354100!A$2</f>
        <v>354100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IFERROR(VLOOKUP(B64,input_354100!L:R,7,FALSE),VLOOKUP(tables_354100!C64,input_354100!A:H,8,FALSE))</f>
        <v>10887</v>
      </c>
      <c r="P64" s="48">
        <f t="shared" ca="1" si="2"/>
        <v>1.1631410256410256E-2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input_354100!A$2</f>
        <v>354100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IFERROR(VLOOKUP(B65,input_354100!L:R,7,FALSE),VLOOKUP(tables_354100!C65,input_354100!A:H,8,FALSE))</f>
        <v>573</v>
      </c>
      <c r="P65" s="48">
        <f t="shared" ca="1" si="2"/>
        <v>6.121794871794872E-4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input_354100!A$2</f>
        <v>354100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IFERROR(VLOOKUP(B66,input_354100!L:R,7,FALSE),VLOOKUP(tables_354100!C66,input_354100!A:H,8,FALSE))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input_354100!A$2</f>
        <v>354100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IFERROR(VLOOKUP(B67,input_354100!L:R,7,FALSE),VLOOKUP(tables_354100!C67,input_354100!A:H,8,FALSE))</f>
        <v>10887</v>
      </c>
      <c r="P67" s="48">
        <f t="shared" ca="1" si="2"/>
        <v>1.1631410256410256E-2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input_354100!A$2</f>
        <v>354100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IFERROR(VLOOKUP(B68,input_354100!L:R,7,FALSE),VLOOKUP(tables_354100!C68,input_354100!A:H,8,FALSE))</f>
        <v>573</v>
      </c>
      <c r="P68" s="48">
        <f t="shared" ca="1" si="2"/>
        <v>6.121794871794872E-4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input_354100!A$2</f>
        <v>354100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IFERROR(VLOOKUP(B69,input_354100!L:R,7,FALSE),VLOOKUP(tables_354100!C69,input_354100!A:H,8,FALSE))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input_354100!A$2</f>
        <v>354100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IFERROR(VLOOKUP(B70,input_354100!L:R,7,FALSE),VLOOKUP(tables_354100!C70,input_354100!A:H,8,FALSE))</f>
        <v>10887</v>
      </c>
      <c r="P70" s="48">
        <f t="shared" ca="1" si="2"/>
        <v>1.1631410256410256E-2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input_354100!A$2</f>
        <v>354100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IFERROR(VLOOKUP(B71,input_354100!L:R,7,FALSE),VLOOKUP(tables_354100!C71,input_354100!A:H,8,FALSE))</f>
        <v>573</v>
      </c>
      <c r="P71" s="48">
        <f t="shared" ca="1" si="2"/>
        <v>6.121794871794872E-4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input_354100!A$2</f>
        <v>354100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IFERROR(VLOOKUP(B72,input_354100!L:R,7,FALSE),VLOOKUP(tables_354100!C72,input_354100!A:H,8,FALSE))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input_354100!A$2</f>
        <v>354100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IFERROR(VLOOKUP(B73,input_354100!L:R,7,FALSE),VLOOKUP(tables_354100!C73,input_354100!A:H,8,FALSE))</f>
        <v>10887</v>
      </c>
      <c r="P73" s="48">
        <f t="shared" ca="1" si="2"/>
        <v>1.1631410256410256E-2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input_354100!A$2</f>
        <v>354100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IFERROR(VLOOKUP(B74,input_354100!L:R,7,FALSE),VLOOKUP(tables_354100!C74,input_354100!A:H,8,FALSE))</f>
        <v>573</v>
      </c>
      <c r="P74" s="48">
        <f t="shared" ca="1" si="2"/>
        <v>6.121794871794872E-4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input_354100!A$2</f>
        <v>354100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IFERROR(VLOOKUP(B75,input_354100!L:R,7,FALSE),VLOOKUP(tables_354100!C75,input_354100!A:H,8,FALSE))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input_354100!A$2</f>
        <v>354100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IFERROR(VLOOKUP(B76,input_354100!L:R,7,FALSE),VLOOKUP(tables_354100!C76,input_354100!A:H,8,FALSE))</f>
        <v>10887</v>
      </c>
      <c r="P76" s="48">
        <f t="shared" ca="1" si="2"/>
        <v>1.1631410256410256E-2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input_354100!A$2</f>
        <v>354100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IFERROR(VLOOKUP(B77,input_354100!L:R,7,FALSE),VLOOKUP(tables_354100!C77,input_354100!A:H,8,FALSE))</f>
        <v>573</v>
      </c>
      <c r="P77" s="48">
        <f t="shared" ca="1" si="2"/>
        <v>6.121794871794872E-4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input_354100!A$2</f>
        <v>354100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IFERROR(VLOOKUP(B78,input_354100!L:R,7,FALSE),VLOOKUP(tables_354100!C78,input_354100!A:H,8,FALSE))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input_354100!A$2</f>
        <v>354100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IFERROR(VLOOKUP(B79,input_354100!L:R,7,FALSE),VLOOKUP(tables_354100!C79,input_354100!A:H,8,FALSE))</f>
        <v>10887</v>
      </c>
      <c r="P79" s="48">
        <f t="shared" ref="P79:P142" ca="1" si="5">O79/SUM(O:O)</f>
        <v>1.1631410256410256E-2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input_354100!A$2</f>
        <v>354100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IFERROR(VLOOKUP(B80,input_354100!L:R,7,FALSE),VLOOKUP(tables_354100!C80,input_354100!A:H,8,FALSE))</f>
        <v>573</v>
      </c>
      <c r="P80" s="48">
        <f t="shared" ca="1" si="5"/>
        <v>6.121794871794872E-4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input_354100!A$2</f>
        <v>354100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IFERROR(VLOOKUP(B81,input_354100!L:R,7,FALSE),VLOOKUP(tables_354100!C81,input_354100!A:H,8,FALSE))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input_354100!A$2</f>
        <v>354100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IFERROR(VLOOKUP(B82,input_354100!L:R,7,FALSE),VLOOKUP(tables_354100!C82,input_354100!A:H,8,FALSE))</f>
        <v>10887</v>
      </c>
      <c r="P82" s="48">
        <f t="shared" ca="1" si="5"/>
        <v>1.1631410256410256E-2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input_354100!A$2</f>
        <v>354100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IFERROR(VLOOKUP(B83,input_354100!L:R,7,FALSE),VLOOKUP(tables_354100!C83,input_354100!A:H,8,FALSE))</f>
        <v>573</v>
      </c>
      <c r="P83" s="48">
        <f t="shared" ca="1" si="5"/>
        <v>6.121794871794872E-4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input_354100!A$2</f>
        <v>354100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IFERROR(VLOOKUP(B84,input_354100!L:R,7,FALSE),VLOOKUP(tables_354100!C84,input_354100!A:H,8,FALSE))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input_354100!A$2</f>
        <v>354100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IFERROR(VLOOKUP(B85,input_354100!L:R,7,FALSE),VLOOKUP(tables_354100!C85,input_354100!A:H,8,FALSE))</f>
        <v>10887</v>
      </c>
      <c r="P85" s="48">
        <f t="shared" ca="1" si="5"/>
        <v>1.1631410256410256E-2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input_354100!A$2</f>
        <v>354100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IFERROR(VLOOKUP(B86,input_354100!L:R,7,FALSE),VLOOKUP(tables_354100!C86,input_354100!A:H,8,FALSE))</f>
        <v>573</v>
      </c>
      <c r="P86" s="48">
        <f t="shared" ca="1" si="5"/>
        <v>6.121794871794872E-4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input_354100!A$2</f>
        <v>354100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IFERROR(VLOOKUP(B87,input_354100!L:R,7,FALSE),VLOOKUP(tables_354100!C87,input_354100!A:H,8,FALSE))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input_354100!A$2</f>
        <v>354100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IFERROR(VLOOKUP(B88,input_354100!L:R,7,FALSE),VLOOKUP(tables_354100!C88,input_354100!A:H,8,FALSE))</f>
        <v>10887</v>
      </c>
      <c r="P88" s="48">
        <f t="shared" ca="1" si="5"/>
        <v>1.1631410256410256E-2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input_354100!A$2</f>
        <v>354100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IFERROR(VLOOKUP(B89,input_354100!L:R,7,FALSE),VLOOKUP(tables_354100!C89,input_354100!A:H,8,FALSE))</f>
        <v>573</v>
      </c>
      <c r="P89" s="48">
        <f t="shared" ca="1" si="5"/>
        <v>6.121794871794872E-4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input_354100!A$2</f>
        <v>354100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IFERROR(VLOOKUP(B90,input_354100!L:R,7,FALSE),VLOOKUP(tables_354100!C90,input_354100!A:H,8,FALSE))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input_354100!A$2</f>
        <v>354100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IFERROR(VLOOKUP(B91,input_354100!L:R,7,FALSE),VLOOKUP(tables_354100!C91,input_354100!A:H,8,FALSE))</f>
        <v>10887</v>
      </c>
      <c r="P91" s="48">
        <f t="shared" ca="1" si="5"/>
        <v>1.1631410256410256E-2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input_354100!A$2</f>
        <v>354100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IFERROR(VLOOKUP(B92,input_354100!L:R,7,FALSE),VLOOKUP(tables_354100!C92,input_354100!A:H,8,FALSE))</f>
        <v>573</v>
      </c>
      <c r="P92" s="48">
        <f t="shared" ca="1" si="5"/>
        <v>6.121794871794872E-4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input_354100!A$2</f>
        <v>354100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IFERROR(VLOOKUP(B93,input_354100!L:R,7,FALSE),VLOOKUP(tables_354100!C93,input_354100!A:H,8,FALSE))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input_354100!A$2</f>
        <v>354100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IFERROR(VLOOKUP(B94,input_354100!L:R,7,FALSE),VLOOKUP(tables_354100!C94,input_354100!A:H,8,FALSE))</f>
        <v>10887</v>
      </c>
      <c r="P94" s="48">
        <f t="shared" ca="1" si="5"/>
        <v>1.1631410256410256E-2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input_354100!A$2</f>
        <v>354100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IFERROR(VLOOKUP(B95,input_354100!L:R,7,FALSE),VLOOKUP(tables_354100!C95,input_354100!A:H,8,FALSE))</f>
        <v>573</v>
      </c>
      <c r="P95" s="48">
        <f t="shared" ca="1" si="5"/>
        <v>6.121794871794872E-4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input_354100!A$2</f>
        <v>354100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IFERROR(VLOOKUP(B96,input_354100!L:R,7,FALSE),VLOOKUP(tables_354100!C96,input_354100!A:H,8,FALSE))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input_354100!A$2</f>
        <v>354100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IFERROR(VLOOKUP(B97,input_354100!L:R,7,FALSE),VLOOKUP(tables_354100!C97,input_354100!A:H,8,FALSE))</f>
        <v>10887</v>
      </c>
      <c r="P97" s="48">
        <f t="shared" ca="1" si="5"/>
        <v>1.1631410256410256E-2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input_354100!A$2</f>
        <v>354100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IFERROR(VLOOKUP(B98,input_354100!L:R,7,FALSE),VLOOKUP(tables_354100!C98,input_354100!A:H,8,FALSE))</f>
        <v>573</v>
      </c>
      <c r="P98" s="48">
        <f t="shared" ca="1" si="5"/>
        <v>6.121794871794872E-4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input_354100!A$2</f>
        <v>354100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IFERROR(VLOOKUP(B99,input_354100!L:R,7,FALSE),VLOOKUP(tables_354100!C99,input_354100!A:H,8,FALSE))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input_354100!A$2</f>
        <v>354100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IFERROR(VLOOKUP(B100,input_354100!L:R,7,FALSE),VLOOKUP(tables_354100!C100,input_354100!A:H,8,FALSE))</f>
        <v>10887</v>
      </c>
      <c r="P100" s="48">
        <f t="shared" ca="1" si="5"/>
        <v>1.1631410256410256E-2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input_354100!A$2</f>
        <v>354100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IFERROR(VLOOKUP(B101,input_354100!L:R,7,FALSE),VLOOKUP(tables_354100!C101,input_354100!A:H,8,FALSE))</f>
        <v>573</v>
      </c>
      <c r="P101" s="48">
        <f t="shared" ca="1" si="5"/>
        <v>6.121794871794872E-4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input_354100!A$2</f>
        <v>354100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IFERROR(VLOOKUP(B102,input_354100!L:R,7,FALSE),VLOOKUP(tables_354100!C102,input_354100!A:H,8,FALSE))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input_354100!A$2</f>
        <v>354100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IFERROR(VLOOKUP(B103,input_354100!L:R,7,FALSE),VLOOKUP(tables_354100!C103,input_354100!A:H,8,FALSE))</f>
        <v>10887</v>
      </c>
      <c r="P103" s="48">
        <f t="shared" ca="1" si="5"/>
        <v>1.1631410256410256E-2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input_354100!A$2</f>
        <v>354100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IFERROR(VLOOKUP(B104,input_354100!L:R,7,FALSE),VLOOKUP(tables_354100!C104,input_354100!A:H,8,FALSE))</f>
        <v>573</v>
      </c>
      <c r="P104" s="48">
        <f t="shared" ca="1" si="5"/>
        <v>6.121794871794872E-4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input_354100!A$2</f>
        <v>354100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IFERROR(VLOOKUP(B105,input_354100!L:R,7,FALSE),VLOOKUP(tables_354100!C105,input_354100!A:H,8,FALSE))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input_354100!A$2</f>
        <v>354100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IFERROR(VLOOKUP(B106,input_354100!L:R,7,FALSE),VLOOKUP(tables_354100!C106,input_354100!A:H,8,FALSE))</f>
        <v>10887</v>
      </c>
      <c r="P106" s="48">
        <f t="shared" ca="1" si="5"/>
        <v>1.1631410256410256E-2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input_354100!A$2</f>
        <v>354100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IFERROR(VLOOKUP(B107,input_354100!L:R,7,FALSE),VLOOKUP(tables_354100!C107,input_354100!A:H,8,FALSE))</f>
        <v>573</v>
      </c>
      <c r="P107" s="48">
        <f t="shared" ca="1" si="5"/>
        <v>6.121794871794872E-4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input_354100!A$2</f>
        <v>354100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IFERROR(VLOOKUP(B108,input_354100!L:R,7,FALSE),VLOOKUP(tables_354100!C108,input_354100!A:H,8,FALSE))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input_354100!A$2</f>
        <v>354100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IFERROR(VLOOKUP(B109,input_354100!L:R,7,FALSE),VLOOKUP(tables_354100!C109,input_354100!A:H,8,FALSE))</f>
        <v>10887</v>
      </c>
      <c r="P109" s="48">
        <f t="shared" ca="1" si="5"/>
        <v>1.1631410256410256E-2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input_354100!A$2</f>
        <v>354100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IFERROR(VLOOKUP(B110,input_354100!L:R,7,FALSE),VLOOKUP(tables_354100!C110,input_354100!A:H,8,FALSE))</f>
        <v>573</v>
      </c>
      <c r="P110" s="48">
        <f t="shared" ca="1" si="5"/>
        <v>6.121794871794872E-4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input_354100!A$2</f>
        <v>354100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IFERROR(VLOOKUP(B111,input_354100!L:R,7,FALSE),VLOOKUP(tables_354100!C111,input_354100!A:H,8,FALSE))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input_354100!A$2</f>
        <v>354100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IFERROR(VLOOKUP(B112,input_354100!L:R,7,FALSE),VLOOKUP(tables_354100!C112,input_354100!A:H,8,FALSE))</f>
        <v>123.5</v>
      </c>
      <c r="P112" s="48">
        <f t="shared" ca="1" si="5"/>
        <v>1.3194444444444443E-4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input_354100!A$2</f>
        <v>354100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IFERROR(VLOOKUP(B113,input_354100!L:R,7,FALSE),VLOOKUP(tables_354100!C113,input_354100!A:H,8,FALSE))</f>
        <v>6.5</v>
      </c>
      <c r="P113" s="48">
        <f t="shared" ca="1" si="5"/>
        <v>6.9444444444444448E-6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input_354100!A$2</f>
        <v>354100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IFERROR(VLOOKUP(B114,input_354100!L:R,7,FALSE),VLOOKUP(tables_354100!C114,input_354100!A:H,8,FALSE))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input_354100!A$2</f>
        <v>354100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IFERROR(VLOOKUP(B115,input_354100!L:R,7,FALSE),VLOOKUP(tables_354100!C115,input_354100!A:H,8,FALSE))</f>
        <v>10887</v>
      </c>
      <c r="P115" s="48">
        <f t="shared" ca="1" si="5"/>
        <v>1.1631410256410256E-2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input_354100!A$2</f>
        <v>354100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IFERROR(VLOOKUP(B116,input_354100!L:R,7,FALSE),VLOOKUP(tables_354100!C116,input_354100!A:H,8,FALSE))</f>
        <v>573</v>
      </c>
      <c r="P116" s="48">
        <f t="shared" ca="1" si="5"/>
        <v>6.121794871794872E-4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input_354100!A$2</f>
        <v>354100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IFERROR(VLOOKUP(B117,input_354100!L:R,7,FALSE),VLOOKUP(tables_354100!C117,input_354100!A:H,8,FALSE))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input_354100!A$2</f>
        <v>354100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IFERROR(VLOOKUP(B118,input_354100!L:R,7,FALSE),VLOOKUP(tables_354100!C118,input_354100!A:H,8,FALSE))</f>
        <v>10887</v>
      </c>
      <c r="P118" s="48">
        <f t="shared" ca="1" si="5"/>
        <v>1.1631410256410256E-2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input_354100!A$2</f>
        <v>354100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IFERROR(VLOOKUP(B119,input_354100!L:R,7,FALSE),VLOOKUP(tables_354100!C119,input_354100!A:H,8,FALSE))</f>
        <v>573</v>
      </c>
      <c r="P119" s="48">
        <f t="shared" ca="1" si="5"/>
        <v>6.121794871794872E-4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input_354100!A$2</f>
        <v>354100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IFERROR(VLOOKUP(B120,input_354100!L:R,7,FALSE),VLOOKUP(tables_354100!C120,input_354100!A:H,8,FALSE))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input_354100!A$2</f>
        <v>354100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IFERROR(VLOOKUP(B121,input_354100!L:R,7,FALSE),VLOOKUP(tables_354100!C121,input_354100!A:H,8,FALSE))</f>
        <v>10887</v>
      </c>
      <c r="P121" s="48">
        <f t="shared" ca="1" si="5"/>
        <v>1.1631410256410256E-2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input_354100!A$2</f>
        <v>354100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IFERROR(VLOOKUP(B122,input_354100!L:R,7,FALSE),VLOOKUP(tables_354100!C122,input_354100!A:H,8,FALSE))</f>
        <v>573</v>
      </c>
      <c r="P122" s="48">
        <f t="shared" ca="1" si="5"/>
        <v>6.121794871794872E-4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input_354100!A$2</f>
        <v>354100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IFERROR(VLOOKUP(B123,input_354100!L:R,7,FALSE),VLOOKUP(tables_354100!C123,input_354100!A:H,8,FALSE))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input_354100!A$2</f>
        <v>354100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IFERROR(VLOOKUP(B124,input_354100!L:R,7,FALSE),VLOOKUP(tables_354100!C124,input_354100!A:H,8,FALSE))</f>
        <v>10887</v>
      </c>
      <c r="P124" s="48">
        <f t="shared" ca="1" si="5"/>
        <v>1.1631410256410256E-2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input_354100!A$2</f>
        <v>354100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IFERROR(VLOOKUP(B125,input_354100!L:R,7,FALSE),VLOOKUP(tables_354100!C125,input_354100!A:H,8,FALSE))</f>
        <v>573</v>
      </c>
      <c r="P125" s="48">
        <f t="shared" ca="1" si="5"/>
        <v>6.121794871794872E-4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input_354100!A$2</f>
        <v>354100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IFERROR(VLOOKUP(B126,input_354100!L:R,7,FALSE),VLOOKUP(tables_354100!C126,input_354100!A:H,8,FALSE))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input_354100!A$2</f>
        <v>354100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IFERROR(VLOOKUP(B127,input_354100!L:R,7,FALSE),VLOOKUP(tables_354100!C127,input_354100!A:H,8,FALSE))</f>
        <v>10887</v>
      </c>
      <c r="P127" s="48">
        <f t="shared" ca="1" si="5"/>
        <v>1.1631410256410256E-2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input_354100!A$2</f>
        <v>354100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IFERROR(VLOOKUP(B128,input_354100!L:R,7,FALSE),VLOOKUP(tables_354100!C128,input_354100!A:H,8,FALSE))</f>
        <v>573</v>
      </c>
      <c r="P128" s="48">
        <f t="shared" ca="1" si="5"/>
        <v>6.121794871794872E-4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input_354100!A$2</f>
        <v>354100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IFERROR(VLOOKUP(B129,input_354100!L:R,7,FALSE),VLOOKUP(tables_354100!C129,input_354100!A:H,8,FALSE))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input_354100!A$2</f>
        <v>354100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IFERROR(VLOOKUP(B130,input_354100!L:R,7,FALSE),VLOOKUP(tables_354100!C130,input_354100!A:H,8,FALSE))</f>
        <v>10887</v>
      </c>
      <c r="P130" s="48">
        <f t="shared" ca="1" si="5"/>
        <v>1.1631410256410256E-2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input_354100!A$2</f>
        <v>354100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IFERROR(VLOOKUP(B131,input_354100!L:R,7,FALSE),VLOOKUP(tables_354100!C131,input_354100!A:H,8,FALSE))</f>
        <v>573</v>
      </c>
      <c r="P131" s="48">
        <f t="shared" ca="1" si="5"/>
        <v>6.121794871794872E-4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input_354100!A$2</f>
        <v>354100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IFERROR(VLOOKUP(B132,input_354100!L:R,7,FALSE),VLOOKUP(tables_354100!C132,input_354100!A:H,8,FALSE))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input_354100!A$2</f>
        <v>354100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IFERROR(VLOOKUP(B133,input_354100!L:R,7,FALSE),VLOOKUP(tables_354100!C133,input_354100!A:H,8,FALSE))</f>
        <v>10887</v>
      </c>
      <c r="P133" s="48">
        <f t="shared" ca="1" si="5"/>
        <v>1.1631410256410256E-2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input_354100!A$2</f>
        <v>354100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IFERROR(VLOOKUP(B134,input_354100!L:R,7,FALSE),VLOOKUP(tables_354100!C134,input_354100!A:H,8,FALSE))</f>
        <v>573</v>
      </c>
      <c r="P134" s="48">
        <f t="shared" ca="1" si="5"/>
        <v>6.121794871794872E-4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input_354100!A$2</f>
        <v>354100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IFERROR(VLOOKUP(B135,input_354100!L:R,7,FALSE),VLOOKUP(tables_354100!C135,input_354100!A:H,8,FALSE))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input_354100!A$2</f>
        <v>354100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IFERROR(VLOOKUP(B136,input_354100!L:R,7,FALSE),VLOOKUP(tables_354100!C136,input_354100!A:H,8,FALSE))</f>
        <v>10887</v>
      </c>
      <c r="P136" s="48">
        <f t="shared" ca="1" si="5"/>
        <v>1.1631410256410256E-2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input_354100!A$2</f>
        <v>354100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IFERROR(VLOOKUP(B137,input_354100!L:R,7,FALSE),VLOOKUP(tables_354100!C137,input_354100!A:H,8,FALSE))</f>
        <v>573</v>
      </c>
      <c r="P137" s="48">
        <f t="shared" ca="1" si="5"/>
        <v>6.121794871794872E-4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input_354100!A$2</f>
        <v>354100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IFERROR(VLOOKUP(B138,input_354100!L:R,7,FALSE),VLOOKUP(tables_354100!C138,input_354100!A:H,8,FALSE))</f>
        <v>123.5</v>
      </c>
      <c r="P138" s="48">
        <f t="shared" ca="1" si="5"/>
        <v>1.3194444444444443E-4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input_354100!A$2</f>
        <v>354100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IFERROR(VLOOKUP(B139,input_354100!L:R,7,FALSE),VLOOKUP(tables_354100!C139,input_354100!A:H,8,FALSE))</f>
        <v>6.5</v>
      </c>
      <c r="P139" s="48">
        <f t="shared" ca="1" si="5"/>
        <v>6.9444444444444448E-6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input_354100!A$2</f>
        <v>354100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IFERROR(VLOOKUP(B140,input_354100!L:R,7,FALSE),VLOOKUP(tables_354100!C140,input_354100!A:H,8,FALSE))</f>
        <v>123.5</v>
      </c>
      <c r="P140" s="48">
        <f t="shared" ca="1" si="5"/>
        <v>1.3194444444444443E-4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input_354100!A$2</f>
        <v>354100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IFERROR(VLOOKUP(B141,input_354100!L:R,7,FALSE),VLOOKUP(tables_354100!C141,input_354100!A:H,8,FALSE))</f>
        <v>6.5</v>
      </c>
      <c r="P141" s="48">
        <f t="shared" ca="1" si="5"/>
        <v>6.9444444444444448E-6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input_354100!A$2</f>
        <v>354100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IFERROR(VLOOKUP(B142,input_354100!L:R,7,FALSE),VLOOKUP(tables_354100!C142,input_354100!A:H,8,FALSE))</f>
        <v>123.5</v>
      </c>
      <c r="P142" s="48">
        <f t="shared" ca="1" si="5"/>
        <v>1.3194444444444443E-4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input_354100!A$2</f>
        <v>354100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IFERROR(VLOOKUP(B143,input_354100!L:R,7,FALSE),VLOOKUP(tables_354100!C143,input_354100!A:H,8,FALSE))</f>
        <v>6.5</v>
      </c>
      <c r="P143" s="48">
        <f t="shared" ref="P143:P206" ca="1" si="8">O143/SUM(O:O)</f>
        <v>6.9444444444444448E-6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input_354100!A$2</f>
        <v>354100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IFERROR(VLOOKUP(B144,input_354100!L:R,7,FALSE),VLOOKUP(tables_354100!C144,input_354100!A:H,8,FALSE))</f>
        <v>123.5</v>
      </c>
      <c r="P144" s="48">
        <f t="shared" ca="1" si="8"/>
        <v>1.3194444444444443E-4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input_354100!A$2</f>
        <v>354100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IFERROR(VLOOKUP(B145,input_354100!L:R,7,FALSE),VLOOKUP(tables_354100!C145,input_354100!A:H,8,FALSE))</f>
        <v>6.5</v>
      </c>
      <c r="P145" s="48">
        <f t="shared" ca="1" si="8"/>
        <v>6.9444444444444448E-6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input_354100!A$2</f>
        <v>354100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IFERROR(VLOOKUP(B146,input_354100!L:R,7,FALSE),VLOOKUP(tables_354100!C146,input_354100!A:H,8,FALSE))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input_354100!A$2</f>
        <v>354100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IFERROR(VLOOKUP(B147,input_354100!L:R,7,FALSE),VLOOKUP(tables_354100!C147,input_354100!A:H,8,FALSE))</f>
        <v>10887</v>
      </c>
      <c r="P147" s="48">
        <f t="shared" ca="1" si="8"/>
        <v>1.1631410256410256E-2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input_354100!A$2</f>
        <v>354100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IFERROR(VLOOKUP(B148,input_354100!L:R,7,FALSE),VLOOKUP(tables_354100!C148,input_354100!A:H,8,FALSE))</f>
        <v>573</v>
      </c>
      <c r="P148" s="48">
        <f t="shared" ca="1" si="8"/>
        <v>6.121794871794872E-4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input_354100!A$2</f>
        <v>354100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IFERROR(VLOOKUP(B149,input_354100!L:R,7,FALSE),VLOOKUP(tables_354100!C149,input_354100!A:H,8,FALSE))</f>
        <v>123.5</v>
      </c>
      <c r="P149" s="48">
        <f t="shared" ca="1" si="8"/>
        <v>1.3194444444444443E-4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input_354100!A$2</f>
        <v>354100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IFERROR(VLOOKUP(B150,input_354100!L:R,7,FALSE),VLOOKUP(tables_354100!C150,input_354100!A:H,8,FALSE))</f>
        <v>6.5</v>
      </c>
      <c r="P150" s="48">
        <f t="shared" ca="1" si="8"/>
        <v>6.9444444444444448E-6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input_354100!A$2</f>
        <v>354100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IFERROR(VLOOKUP(B151,input_354100!L:R,7,FALSE),VLOOKUP(tables_354100!C151,input_354100!A:H,8,FALSE))</f>
        <v>123.5</v>
      </c>
      <c r="P151" s="48">
        <f t="shared" ca="1" si="8"/>
        <v>1.3194444444444443E-4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input_354100!A$2</f>
        <v>354100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IFERROR(VLOOKUP(B152,input_354100!L:R,7,FALSE),VLOOKUP(tables_354100!C152,input_354100!A:H,8,FALSE))</f>
        <v>6.5</v>
      </c>
      <c r="P152" s="48">
        <f t="shared" ca="1" si="8"/>
        <v>6.9444444444444448E-6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input_354100!A$2</f>
        <v>354100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IFERROR(VLOOKUP(B153,input_354100!L:R,7,FALSE),VLOOKUP(tables_354100!C153,input_354100!A:H,8,FALSE))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input_354100!A$2</f>
        <v>354100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IFERROR(VLOOKUP(B154,input_354100!L:R,7,FALSE),VLOOKUP(tables_354100!C154,input_354100!A:H,8,FALSE))</f>
        <v>10887</v>
      </c>
      <c r="P154" s="48">
        <f t="shared" ca="1" si="8"/>
        <v>1.1631410256410256E-2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input_354100!A$2</f>
        <v>354100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IFERROR(VLOOKUP(B155,input_354100!L:R,7,FALSE),VLOOKUP(tables_354100!C155,input_354100!A:H,8,FALSE))</f>
        <v>573</v>
      </c>
      <c r="P155" s="48">
        <f t="shared" ca="1" si="8"/>
        <v>6.121794871794872E-4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input_354100!A$2</f>
        <v>354100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IFERROR(VLOOKUP(B156,input_354100!L:R,7,FALSE),VLOOKUP(tables_354100!C156,input_354100!A:H,8,FALSE))</f>
        <v>123.5</v>
      </c>
      <c r="P156" s="48">
        <f t="shared" ca="1" si="8"/>
        <v>1.3194444444444443E-4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input_354100!A$2</f>
        <v>354100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IFERROR(VLOOKUP(B157,input_354100!L:R,7,FALSE),VLOOKUP(tables_354100!C157,input_354100!A:H,8,FALSE))</f>
        <v>6.5</v>
      </c>
      <c r="P157" s="48">
        <f t="shared" ca="1" si="8"/>
        <v>6.9444444444444448E-6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input_354100!A$2</f>
        <v>354100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IFERROR(VLOOKUP(B158,input_354100!L:R,7,FALSE),VLOOKUP(tables_354100!C158,input_354100!A:H,8,FALSE))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input_354100!A$2</f>
        <v>354100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IFERROR(VLOOKUP(B159,input_354100!L:R,7,FALSE),VLOOKUP(tables_354100!C159,input_354100!A:H,8,FALSE))</f>
        <v>10887</v>
      </c>
      <c r="P159" s="48">
        <f t="shared" ca="1" si="8"/>
        <v>1.1631410256410256E-2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input_354100!A$2</f>
        <v>354100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IFERROR(VLOOKUP(B160,input_354100!L:R,7,FALSE),VLOOKUP(tables_354100!C160,input_354100!A:H,8,FALSE))</f>
        <v>573</v>
      </c>
      <c r="P160" s="48">
        <f t="shared" ca="1" si="8"/>
        <v>6.121794871794872E-4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input_354100!A$2</f>
        <v>354100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IFERROR(VLOOKUP(B161,input_354100!L:R,7,FALSE),VLOOKUP(tables_354100!C161,input_354100!A:H,8,FALSE))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input_354100!A$2</f>
        <v>354100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IFERROR(VLOOKUP(B162,input_354100!L:R,7,FALSE),VLOOKUP(tables_354100!C162,input_354100!A:H,8,FALSE))</f>
        <v>10887</v>
      </c>
      <c r="P162" s="48">
        <f t="shared" ca="1" si="8"/>
        <v>1.1631410256410256E-2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input_354100!A$2</f>
        <v>354100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IFERROR(VLOOKUP(B163,input_354100!L:R,7,FALSE),VLOOKUP(tables_354100!C163,input_354100!A:H,8,FALSE))</f>
        <v>573</v>
      </c>
      <c r="P163" s="48">
        <f t="shared" ca="1" si="8"/>
        <v>6.121794871794872E-4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input_354100!A$2</f>
        <v>354100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IFERROR(VLOOKUP(B164,input_354100!L:R,7,FALSE),VLOOKUP(tables_354100!C164,input_354100!A:H,8,FALSE))</f>
        <v>123.5</v>
      </c>
      <c r="P164" s="48">
        <f t="shared" ca="1" si="8"/>
        <v>1.3194444444444443E-4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input_354100!A$2</f>
        <v>354100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IFERROR(VLOOKUP(B165,input_354100!L:R,7,FALSE),VLOOKUP(tables_354100!C165,input_354100!A:H,8,FALSE))</f>
        <v>6.5</v>
      </c>
      <c r="P165" s="48">
        <f t="shared" ca="1" si="8"/>
        <v>6.9444444444444448E-6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input_354100!A$2</f>
        <v>354100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IFERROR(VLOOKUP(B166,input_354100!L:R,7,FALSE),VLOOKUP(tables_354100!C166,input_354100!A:H,8,FALSE))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input_354100!A$2</f>
        <v>354100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IFERROR(VLOOKUP(B167,input_354100!L:R,7,FALSE),VLOOKUP(tables_354100!C167,input_354100!A:H,8,FALSE))</f>
        <v>10887</v>
      </c>
      <c r="P167" s="48">
        <f t="shared" ca="1" si="8"/>
        <v>1.1631410256410256E-2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input_354100!A$2</f>
        <v>354100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IFERROR(VLOOKUP(B168,input_354100!L:R,7,FALSE),VLOOKUP(tables_354100!C168,input_354100!A:H,8,FALSE))</f>
        <v>573</v>
      </c>
      <c r="P168" s="48">
        <f t="shared" ca="1" si="8"/>
        <v>6.121794871794872E-4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input_354100!A$2</f>
        <v>354100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IFERROR(VLOOKUP(B169,input_354100!L:R,7,FALSE),VLOOKUP(tables_354100!C169,input_354100!A:H,8,FALSE))</f>
        <v>123.5</v>
      </c>
      <c r="P169" s="48">
        <f t="shared" ca="1" si="8"/>
        <v>1.3194444444444443E-4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input_354100!A$2</f>
        <v>354100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IFERROR(VLOOKUP(B170,input_354100!L:R,7,FALSE),VLOOKUP(tables_354100!C170,input_354100!A:H,8,FALSE))</f>
        <v>6.5</v>
      </c>
      <c r="P170" s="48">
        <f t="shared" ca="1" si="8"/>
        <v>6.9444444444444448E-6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input_354100!A$2</f>
        <v>354100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IFERROR(VLOOKUP(B171,input_354100!L:R,7,FALSE),VLOOKUP(tables_354100!C171,input_354100!A:H,8,FALSE))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input_354100!A$2</f>
        <v>354100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IFERROR(VLOOKUP(B172,input_354100!L:R,7,FALSE),VLOOKUP(tables_354100!C172,input_354100!A:H,8,FALSE))</f>
        <v>10887</v>
      </c>
      <c r="P172" s="48">
        <f t="shared" ca="1" si="8"/>
        <v>1.1631410256410256E-2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input_354100!A$2</f>
        <v>354100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IFERROR(VLOOKUP(B173,input_354100!L:R,7,FALSE),VLOOKUP(tables_354100!C173,input_354100!A:H,8,FALSE))</f>
        <v>573</v>
      </c>
      <c r="P173" s="48">
        <f t="shared" ca="1" si="8"/>
        <v>6.121794871794872E-4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input_354100!A$2</f>
        <v>354100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IFERROR(VLOOKUP(B174,input_354100!L:R,7,FALSE),VLOOKUP(tables_354100!C174,input_354100!A:H,8,FALSE))</f>
        <v>123.5</v>
      </c>
      <c r="P174" s="48">
        <f t="shared" ca="1" si="8"/>
        <v>1.3194444444444443E-4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input_354100!A$2</f>
        <v>354100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IFERROR(VLOOKUP(B175,input_354100!L:R,7,FALSE),VLOOKUP(tables_354100!C175,input_354100!A:H,8,FALSE))</f>
        <v>6.5</v>
      </c>
      <c r="P175" s="48">
        <f t="shared" ca="1" si="8"/>
        <v>6.9444444444444448E-6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input_354100!A$2</f>
        <v>354100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IFERROR(VLOOKUP(B176,input_354100!L:R,7,FALSE),VLOOKUP(tables_354100!C176,input_354100!A:H,8,FALSE))</f>
        <v>123.5</v>
      </c>
      <c r="P176" s="48">
        <f t="shared" ca="1" si="8"/>
        <v>1.3194444444444443E-4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input_354100!A$2</f>
        <v>354100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IFERROR(VLOOKUP(B177,input_354100!L:R,7,FALSE),VLOOKUP(tables_354100!C177,input_354100!A:H,8,FALSE))</f>
        <v>6.5</v>
      </c>
      <c r="P177" s="48">
        <f t="shared" ca="1" si="8"/>
        <v>6.9444444444444448E-6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input_354100!A$2</f>
        <v>354100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IFERROR(VLOOKUP(B178,input_354100!L:R,7,FALSE),VLOOKUP(tables_354100!C178,input_354100!A:H,8,FALSE))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input_354100!A$2</f>
        <v>354100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IFERROR(VLOOKUP(B179,input_354100!L:R,7,FALSE),VLOOKUP(tables_354100!C179,input_354100!A:H,8,FALSE))</f>
        <v>10887</v>
      </c>
      <c r="P179" s="48">
        <f t="shared" ca="1" si="8"/>
        <v>1.1631410256410256E-2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input_354100!A$2</f>
        <v>354100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IFERROR(VLOOKUP(B180,input_354100!L:R,7,FALSE),VLOOKUP(tables_354100!C180,input_354100!A:H,8,FALSE))</f>
        <v>573</v>
      </c>
      <c r="P180" s="48">
        <f t="shared" ca="1" si="8"/>
        <v>6.121794871794872E-4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input_354100!A$2</f>
        <v>354100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IFERROR(VLOOKUP(B181,input_354100!L:R,7,FALSE),VLOOKUP(tables_354100!C181,input_354100!A:H,8,FALSE))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input_354100!A$2</f>
        <v>354100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IFERROR(VLOOKUP(B182,input_354100!L:R,7,FALSE),VLOOKUP(tables_354100!C182,input_354100!A:H,8,FALSE))</f>
        <v>10887</v>
      </c>
      <c r="P182" s="48">
        <f t="shared" ca="1" si="8"/>
        <v>1.1631410256410256E-2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input_354100!A$2</f>
        <v>354100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IFERROR(VLOOKUP(B183,input_354100!L:R,7,FALSE),VLOOKUP(tables_354100!C183,input_354100!A:H,8,FALSE))</f>
        <v>573</v>
      </c>
      <c r="P183" s="48">
        <f t="shared" ca="1" si="8"/>
        <v>6.121794871794872E-4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input_354100!A$2</f>
        <v>354100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IFERROR(VLOOKUP(B184,input_354100!L:R,7,FALSE),VLOOKUP(tables_354100!C184,input_354100!A:H,8,FALSE))</f>
        <v>123.5</v>
      </c>
      <c r="P184" s="48">
        <f t="shared" ca="1" si="8"/>
        <v>1.3194444444444443E-4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input_354100!A$2</f>
        <v>354100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IFERROR(VLOOKUP(B185,input_354100!L:R,7,FALSE),VLOOKUP(tables_354100!C185,input_354100!A:H,8,FALSE))</f>
        <v>6.5</v>
      </c>
      <c r="P185" s="48">
        <f t="shared" ca="1" si="8"/>
        <v>6.9444444444444448E-6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input_354100!A$2</f>
        <v>354100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IFERROR(VLOOKUP(B186,input_354100!L:R,7,FALSE),VLOOKUP(tables_354100!C186,input_354100!A:H,8,FALSE))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input_354100!A$2</f>
        <v>354100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IFERROR(VLOOKUP(B187,input_354100!L:R,7,FALSE),VLOOKUP(tables_354100!C187,input_354100!A:H,8,FALSE))</f>
        <v>10887</v>
      </c>
      <c r="P187" s="48">
        <f t="shared" ca="1" si="8"/>
        <v>1.1631410256410256E-2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input_354100!A$2</f>
        <v>354100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IFERROR(VLOOKUP(B188,input_354100!L:R,7,FALSE),VLOOKUP(tables_354100!C188,input_354100!A:H,8,FALSE))</f>
        <v>573</v>
      </c>
      <c r="P188" s="48">
        <f t="shared" ca="1" si="8"/>
        <v>6.121794871794872E-4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input_354100!A$2</f>
        <v>354100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IFERROR(VLOOKUP(B189,input_354100!L:R,7,FALSE),VLOOKUP(tables_354100!C189,input_354100!A:H,8,FALSE))</f>
        <v>123.5</v>
      </c>
      <c r="P189" s="48">
        <f t="shared" ca="1" si="8"/>
        <v>1.3194444444444443E-4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input_354100!A$2</f>
        <v>354100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IFERROR(VLOOKUP(B190,input_354100!L:R,7,FALSE),VLOOKUP(tables_354100!C190,input_354100!A:H,8,FALSE))</f>
        <v>6.5</v>
      </c>
      <c r="P190" s="48">
        <f t="shared" ca="1" si="8"/>
        <v>6.9444444444444448E-6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input_354100!A$2</f>
        <v>354100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IFERROR(VLOOKUP(B191,input_354100!L:R,7,FALSE),VLOOKUP(tables_354100!C191,input_354100!A:H,8,FALSE))</f>
        <v>123.5</v>
      </c>
      <c r="P191" s="48">
        <f t="shared" ca="1" si="8"/>
        <v>1.3194444444444443E-4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input_354100!A$2</f>
        <v>354100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IFERROR(VLOOKUP(B192,input_354100!L:R,7,FALSE),VLOOKUP(tables_354100!C192,input_354100!A:H,8,FALSE))</f>
        <v>6.5</v>
      </c>
      <c r="P192" s="48">
        <f t="shared" ca="1" si="8"/>
        <v>6.9444444444444448E-6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input_354100!A$2</f>
        <v>354100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IFERROR(VLOOKUP(B193,input_354100!L:R,7,FALSE),VLOOKUP(tables_354100!C193,input_354100!A:H,8,FALSE))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input_354100!A$2</f>
        <v>354100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IFERROR(VLOOKUP(B194,input_354100!L:R,7,FALSE),VLOOKUP(tables_354100!C194,input_354100!A:H,8,FALSE))</f>
        <v>10887</v>
      </c>
      <c r="P194" s="48">
        <f t="shared" ca="1" si="8"/>
        <v>1.1631410256410256E-2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input_354100!A$2</f>
        <v>354100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IFERROR(VLOOKUP(B195,input_354100!L:R,7,FALSE),VLOOKUP(tables_354100!C195,input_354100!A:H,8,FALSE))</f>
        <v>573</v>
      </c>
      <c r="P195" s="48">
        <f t="shared" ca="1" si="8"/>
        <v>6.121794871794872E-4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input_354100!A$2</f>
        <v>354100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IFERROR(VLOOKUP(B196,input_354100!L:R,7,FALSE),VLOOKUP(tables_354100!C196,input_354100!A:H,8,FALSE))</f>
        <v>123.5</v>
      </c>
      <c r="P196" s="48">
        <f t="shared" ca="1" si="8"/>
        <v>1.3194444444444443E-4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input_354100!A$2</f>
        <v>354100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IFERROR(VLOOKUP(B197,input_354100!L:R,7,FALSE),VLOOKUP(tables_354100!C197,input_354100!A:H,8,FALSE))</f>
        <v>6.5</v>
      </c>
      <c r="P197" s="48">
        <f t="shared" ca="1" si="8"/>
        <v>6.9444444444444448E-6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input_354100!A$2</f>
        <v>354100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IFERROR(VLOOKUP(B198,input_354100!L:R,7,FALSE),VLOOKUP(tables_354100!C198,input_354100!A:H,8,FALSE))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input_354100!A$2</f>
        <v>354100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IFERROR(VLOOKUP(B199,input_354100!L:R,7,FALSE),VLOOKUP(tables_354100!C199,input_354100!A:H,8,FALSE))</f>
        <v>10887</v>
      </c>
      <c r="P199" s="48">
        <f t="shared" ca="1" si="8"/>
        <v>1.1631410256410256E-2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input_354100!A$2</f>
        <v>354100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IFERROR(VLOOKUP(B200,input_354100!L:R,7,FALSE),VLOOKUP(tables_354100!C200,input_354100!A:H,8,FALSE))</f>
        <v>573</v>
      </c>
      <c r="P200" s="48">
        <f t="shared" ca="1" si="8"/>
        <v>6.121794871794872E-4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input_354100!A$2</f>
        <v>354100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IFERROR(VLOOKUP(B201,input_354100!L:R,7,FALSE),VLOOKUP(tables_354100!C201,input_354100!A:H,8,FALSE))</f>
        <v>123.5</v>
      </c>
      <c r="P201" s="48">
        <f t="shared" ca="1" si="8"/>
        <v>1.3194444444444443E-4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input_354100!A$2</f>
        <v>354100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IFERROR(VLOOKUP(B202,input_354100!L:R,7,FALSE),VLOOKUP(tables_354100!C202,input_354100!A:H,8,FALSE))</f>
        <v>6.5</v>
      </c>
      <c r="P202" s="48">
        <f t="shared" ca="1" si="8"/>
        <v>6.9444444444444448E-6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input_354100!A$2</f>
        <v>354100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IFERROR(VLOOKUP(B203,input_354100!L:R,7,FALSE),VLOOKUP(tables_354100!C203,input_354100!A:H,8,FALSE))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input_354100!A$2</f>
        <v>354100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IFERROR(VLOOKUP(B204,input_354100!L:R,7,FALSE),VLOOKUP(tables_354100!C204,input_354100!A:H,8,FALSE))</f>
        <v>10887</v>
      </c>
      <c r="P204" s="48">
        <f t="shared" ca="1" si="8"/>
        <v>1.1631410256410256E-2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input_354100!A$2</f>
        <v>354100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IFERROR(VLOOKUP(B205,input_354100!L:R,7,FALSE),VLOOKUP(tables_354100!C205,input_354100!A:H,8,FALSE))</f>
        <v>573</v>
      </c>
      <c r="P205" s="48">
        <f t="shared" ca="1" si="8"/>
        <v>6.121794871794872E-4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input_354100!A$2</f>
        <v>354100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>IFERROR(VLOOKUP(B206,input_354100!L:R,7,FALSE),VLOOKUP(tables_354100!C206,input_354100!A:H,8,FALSE))</f>
        <v>4680</v>
      </c>
      <c r="P206" s="48">
        <f t="shared" ca="1" si="8"/>
        <v>5.0000000000000001E-3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input_354100!A$2</f>
        <v>354100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>IFERROR(VLOOKUP(B207,input_354100!L:R,7,FALSE),VLOOKUP(tables_354100!C207,input_354100!A:H,8,FALSE))</f>
        <v>14040</v>
      </c>
      <c r="P207" s="48">
        <f t="shared" ref="P207:P270" ca="1" si="11">O207/SUM(O:O)</f>
        <v>1.4999999999999999E-2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input_354100!A$2</f>
        <v>354100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>IFERROR(VLOOKUP(B208,input_354100!L:R,7,FALSE),VLOOKUP(tables_354100!C208,input_354100!A:H,8,FALSE))</f>
        <v>4680</v>
      </c>
      <c r="P208" s="48">
        <f t="shared" ca="1" si="11"/>
        <v>5.0000000000000001E-3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input_354100!A$2</f>
        <v>354100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>IFERROR(VLOOKUP(B209,input_354100!L:R,7,FALSE),VLOOKUP(tables_354100!C209,input_354100!A:H,8,FALSE))</f>
        <v>14040</v>
      </c>
      <c r="P209" s="48">
        <f t="shared" ca="1" si="11"/>
        <v>1.4999999999999999E-2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input_354100!A$2</f>
        <v>354100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IFERROR(VLOOKUP(B210,input_354100!L:R,7,FALSE),VLOOKUP(tables_354100!C210,input_354100!A:H,8,FALSE))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input_354100!A$2</f>
        <v>354100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IFERROR(VLOOKUP(B211,input_354100!L:R,7,FALSE),VLOOKUP(tables_354100!C211,input_354100!A:H,8,FALSE))</f>
        <v>10887</v>
      </c>
      <c r="P211" s="48">
        <f t="shared" ca="1" si="11"/>
        <v>1.1631410256410256E-2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input_354100!A$2</f>
        <v>354100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IFERROR(VLOOKUP(B212,input_354100!L:R,7,FALSE),VLOOKUP(tables_354100!C212,input_354100!A:H,8,FALSE))</f>
        <v>573</v>
      </c>
      <c r="P212" s="48">
        <f t="shared" ca="1" si="11"/>
        <v>6.121794871794872E-4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input_354100!A$2</f>
        <v>354100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IFERROR(VLOOKUP(B213,input_354100!L:R,7,FALSE),VLOOKUP(tables_354100!C213,input_354100!A:H,8,FALSE))</f>
        <v>123.5</v>
      </c>
      <c r="P213" s="48">
        <f t="shared" ca="1" si="11"/>
        <v>1.3194444444444443E-4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input_354100!A$2</f>
        <v>354100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IFERROR(VLOOKUP(B214,input_354100!L:R,7,FALSE),VLOOKUP(tables_354100!C214,input_354100!A:H,8,FALSE))</f>
        <v>6.5</v>
      </c>
      <c r="P214" s="48">
        <f t="shared" ca="1" si="11"/>
        <v>6.9444444444444448E-6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input_354100!A$2</f>
        <v>354100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IFERROR(VLOOKUP(B215,input_354100!L:R,7,FALSE),VLOOKUP(tables_354100!C215,input_354100!A:H,8,FALSE))</f>
        <v>123.5</v>
      </c>
      <c r="P215" s="48">
        <f t="shared" ca="1" si="11"/>
        <v>1.3194444444444443E-4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input_354100!A$2</f>
        <v>354100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IFERROR(VLOOKUP(B216,input_354100!L:R,7,FALSE),VLOOKUP(tables_354100!C216,input_354100!A:H,8,FALSE))</f>
        <v>6.5</v>
      </c>
      <c r="P216" s="48">
        <f t="shared" ca="1" si="11"/>
        <v>6.9444444444444448E-6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input_354100!A$2</f>
        <v>354100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IFERROR(VLOOKUP(B217,input_354100!L:R,7,FALSE),VLOOKUP(tables_354100!C217,input_354100!A:H,8,FALSE))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input_354100!A$2</f>
        <v>354100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IFERROR(VLOOKUP(B218,input_354100!L:R,7,FALSE),VLOOKUP(tables_354100!C218,input_354100!A:H,8,FALSE))</f>
        <v>10887</v>
      </c>
      <c r="P218" s="48">
        <f t="shared" ca="1" si="11"/>
        <v>1.1631410256410256E-2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input_354100!A$2</f>
        <v>354100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IFERROR(VLOOKUP(B219,input_354100!L:R,7,FALSE),VLOOKUP(tables_354100!C219,input_354100!A:H,8,FALSE))</f>
        <v>573</v>
      </c>
      <c r="P219" s="48">
        <f t="shared" ca="1" si="11"/>
        <v>6.121794871794872E-4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input_354100!A$2</f>
        <v>354100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IFERROR(VLOOKUP(B220,input_354100!L:R,7,FALSE),VLOOKUP(tables_354100!C220,input_354100!A:H,8,FALSE))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input_354100!A$2</f>
        <v>354100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IFERROR(VLOOKUP(B221,input_354100!L:R,7,FALSE),VLOOKUP(tables_354100!C221,input_354100!A:H,8,FALSE))</f>
        <v>10887</v>
      </c>
      <c r="P221" s="48">
        <f t="shared" ca="1" si="11"/>
        <v>1.1631410256410256E-2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input_354100!A$2</f>
        <v>354100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IFERROR(VLOOKUP(B222,input_354100!L:R,7,FALSE),VLOOKUP(tables_354100!C222,input_354100!A:H,8,FALSE))</f>
        <v>573</v>
      </c>
      <c r="P222" s="48">
        <f t="shared" ca="1" si="11"/>
        <v>6.121794871794872E-4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input_354100!A$2</f>
        <v>354100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IFERROR(VLOOKUP(B223,input_354100!L:R,7,FALSE),VLOOKUP(tables_354100!C223,input_354100!A:H,8,FALSE))</f>
        <v>123.5</v>
      </c>
      <c r="P223" s="48">
        <f t="shared" ca="1" si="11"/>
        <v>1.3194444444444443E-4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input_354100!A$2</f>
        <v>354100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IFERROR(VLOOKUP(B224,input_354100!L:R,7,FALSE),VLOOKUP(tables_354100!C224,input_354100!A:H,8,FALSE))</f>
        <v>6.5</v>
      </c>
      <c r="P224" s="48">
        <f t="shared" ca="1" si="11"/>
        <v>6.9444444444444448E-6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input_354100!A$2</f>
        <v>354100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IFERROR(VLOOKUP(B225,input_354100!L:R,7,FALSE),VLOOKUP(tables_354100!C225,input_354100!A:H,8,FALSE))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input_354100!A$2</f>
        <v>354100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IFERROR(VLOOKUP(B226,input_354100!L:R,7,FALSE),VLOOKUP(tables_354100!C226,input_354100!A:H,8,FALSE))</f>
        <v>10887</v>
      </c>
      <c r="P226" s="48">
        <f t="shared" ca="1" si="11"/>
        <v>1.1631410256410256E-2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input_354100!A$2</f>
        <v>354100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IFERROR(VLOOKUP(B227,input_354100!L:R,7,FALSE),VLOOKUP(tables_354100!C227,input_354100!A:H,8,FALSE))</f>
        <v>573</v>
      </c>
      <c r="P227" s="48">
        <f t="shared" ca="1" si="11"/>
        <v>6.121794871794872E-4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input_354100!A$2</f>
        <v>354100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IFERROR(VLOOKUP(B228,input_354100!L:R,7,FALSE),VLOOKUP(tables_354100!C228,input_354100!A:H,8,FALSE))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input_354100!A$2</f>
        <v>354100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IFERROR(VLOOKUP(B229,input_354100!L:R,7,FALSE),VLOOKUP(tables_354100!C229,input_354100!A:H,8,FALSE))</f>
        <v>10887</v>
      </c>
      <c r="P229" s="48">
        <f t="shared" ca="1" si="11"/>
        <v>1.1631410256410256E-2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input_354100!A$2</f>
        <v>354100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IFERROR(VLOOKUP(B230,input_354100!L:R,7,FALSE),VLOOKUP(tables_354100!C230,input_354100!A:H,8,FALSE))</f>
        <v>573</v>
      </c>
      <c r="P230" s="48">
        <f t="shared" ca="1" si="11"/>
        <v>6.121794871794872E-4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input_354100!A$2</f>
        <v>354100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IFERROR(VLOOKUP(B231,input_354100!L:R,7,FALSE),VLOOKUP(tables_354100!C231,input_354100!A:H,8,FALSE))</f>
        <v>123.5</v>
      </c>
      <c r="P231" s="48">
        <f t="shared" ca="1" si="11"/>
        <v>1.3194444444444443E-4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input_354100!A$2</f>
        <v>354100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IFERROR(VLOOKUP(B232,input_354100!L:R,7,FALSE),VLOOKUP(tables_354100!C232,input_354100!A:H,8,FALSE))</f>
        <v>6.5</v>
      </c>
      <c r="P232" s="48">
        <f t="shared" ca="1" si="11"/>
        <v>6.9444444444444448E-6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input_354100!A$2</f>
        <v>354100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IFERROR(VLOOKUP(B233,input_354100!L:R,7,FALSE),VLOOKUP(tables_354100!C233,input_354100!A:H,8,FALSE))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input_354100!A$2</f>
        <v>354100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IFERROR(VLOOKUP(B234,input_354100!L:R,7,FALSE),VLOOKUP(tables_354100!C234,input_354100!A:H,8,FALSE))</f>
        <v>10887</v>
      </c>
      <c r="P234" s="48">
        <f t="shared" ca="1" si="11"/>
        <v>1.1631410256410256E-2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input_354100!A$2</f>
        <v>354100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IFERROR(VLOOKUP(B235,input_354100!L:R,7,FALSE),VLOOKUP(tables_354100!C235,input_354100!A:H,8,FALSE))</f>
        <v>573</v>
      </c>
      <c r="P235" s="48">
        <f t="shared" ca="1" si="11"/>
        <v>6.121794871794872E-4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input_354100!A$2</f>
        <v>354100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IFERROR(VLOOKUP(B236,input_354100!L:R,7,FALSE),VLOOKUP(tables_354100!C236,input_354100!A:H,8,FALSE))</f>
        <v>123.5</v>
      </c>
      <c r="P236" s="48">
        <f t="shared" ca="1" si="11"/>
        <v>1.3194444444444443E-4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input_354100!A$2</f>
        <v>354100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IFERROR(VLOOKUP(B237,input_354100!L:R,7,FALSE),VLOOKUP(tables_354100!C237,input_354100!A:H,8,FALSE))</f>
        <v>6.5</v>
      </c>
      <c r="P237" s="48">
        <f t="shared" ca="1" si="11"/>
        <v>6.9444444444444448E-6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input_354100!A$2</f>
        <v>354100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IFERROR(VLOOKUP(B238,input_354100!L:R,7,FALSE),VLOOKUP(tables_354100!C238,input_354100!A:H,8,FALSE))</f>
        <v>123.5</v>
      </c>
      <c r="P238" s="48">
        <f t="shared" ca="1" si="11"/>
        <v>1.3194444444444443E-4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input_354100!A$2</f>
        <v>354100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IFERROR(VLOOKUP(B239,input_354100!L:R,7,FALSE),VLOOKUP(tables_354100!C239,input_354100!A:H,8,FALSE))</f>
        <v>6.5</v>
      </c>
      <c r="P239" s="48">
        <f t="shared" ca="1" si="11"/>
        <v>6.9444444444444448E-6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input_354100!A$2</f>
        <v>354100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IFERROR(VLOOKUP(B240,input_354100!L:R,7,FALSE),VLOOKUP(tables_354100!C240,input_354100!A:H,8,FALSE))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input_354100!A$2</f>
        <v>354100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IFERROR(VLOOKUP(B241,input_354100!L:R,7,FALSE),VLOOKUP(tables_354100!C241,input_354100!A:H,8,FALSE))</f>
        <v>10887</v>
      </c>
      <c r="P241" s="48">
        <f t="shared" ca="1" si="11"/>
        <v>1.1631410256410256E-2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input_354100!A$2</f>
        <v>354100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IFERROR(VLOOKUP(B242,input_354100!L:R,7,FALSE),VLOOKUP(tables_354100!C242,input_354100!A:H,8,FALSE))</f>
        <v>573</v>
      </c>
      <c r="P242" s="48">
        <f t="shared" ca="1" si="11"/>
        <v>6.121794871794872E-4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input_354100!A$2</f>
        <v>354100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IFERROR(VLOOKUP(B243,input_354100!L:R,7,FALSE),VLOOKUP(tables_354100!C243,input_354100!A:H,8,FALSE))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input_354100!A$2</f>
        <v>354100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IFERROR(VLOOKUP(B244,input_354100!L:R,7,FALSE),VLOOKUP(tables_354100!C244,input_354100!A:H,8,FALSE))</f>
        <v>10887</v>
      </c>
      <c r="P244" s="48">
        <f t="shared" ca="1" si="11"/>
        <v>1.1631410256410256E-2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input_354100!A$2</f>
        <v>354100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IFERROR(VLOOKUP(B245,input_354100!L:R,7,FALSE),VLOOKUP(tables_354100!C245,input_354100!A:H,8,FALSE))</f>
        <v>573</v>
      </c>
      <c r="P245" s="48">
        <f t="shared" ca="1" si="11"/>
        <v>6.121794871794872E-4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input_354100!A$2</f>
        <v>354100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IFERROR(VLOOKUP(B246,input_354100!L:R,7,FALSE),VLOOKUP(tables_354100!C246,input_354100!A:H,8,FALSE))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input_354100!A$2</f>
        <v>354100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IFERROR(VLOOKUP(B247,input_354100!L:R,7,FALSE),VLOOKUP(tables_354100!C247,input_354100!A:H,8,FALSE))</f>
        <v>10887</v>
      </c>
      <c r="P247" s="48">
        <f t="shared" ca="1" si="11"/>
        <v>1.1631410256410256E-2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input_354100!A$2</f>
        <v>354100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IFERROR(VLOOKUP(B248,input_354100!L:R,7,FALSE),VLOOKUP(tables_354100!C248,input_354100!A:H,8,FALSE))</f>
        <v>573</v>
      </c>
      <c r="P248" s="48">
        <f t="shared" ca="1" si="11"/>
        <v>6.121794871794872E-4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input_354100!A$2</f>
        <v>354100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IFERROR(VLOOKUP(B249,input_354100!L:R,7,FALSE),VLOOKUP(tables_354100!C249,input_354100!A:H,8,FALSE))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input_354100!A$2</f>
        <v>354100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IFERROR(VLOOKUP(B250,input_354100!L:R,7,FALSE),VLOOKUP(tables_354100!C250,input_354100!A:H,8,FALSE))</f>
        <v>10887</v>
      </c>
      <c r="P250" s="48">
        <f t="shared" ca="1" si="11"/>
        <v>1.1631410256410256E-2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input_354100!A$2</f>
        <v>354100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IFERROR(VLOOKUP(B251,input_354100!L:R,7,FALSE),VLOOKUP(tables_354100!C251,input_354100!A:H,8,FALSE))</f>
        <v>573</v>
      </c>
      <c r="P251" s="48">
        <f t="shared" ca="1" si="11"/>
        <v>6.121794871794872E-4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input_354100!A$2</f>
        <v>354100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IFERROR(VLOOKUP(B252,input_354100!L:R,7,FALSE),VLOOKUP(tables_354100!C252,input_354100!A:H,8,FALSE))</f>
        <v>123.5</v>
      </c>
      <c r="P252" s="48">
        <f t="shared" ca="1" si="11"/>
        <v>1.3194444444444443E-4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input_354100!A$2</f>
        <v>354100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IFERROR(VLOOKUP(B253,input_354100!L:R,7,FALSE),VLOOKUP(tables_354100!C253,input_354100!A:H,8,FALSE))</f>
        <v>6.5</v>
      </c>
      <c r="P253" s="48">
        <f t="shared" ca="1" si="11"/>
        <v>6.9444444444444448E-6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input_354100!A$2</f>
        <v>354100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IFERROR(VLOOKUP(B254,input_354100!L:R,7,FALSE),VLOOKUP(tables_354100!C254,input_354100!A:H,8,FALSE))</f>
        <v>123.5</v>
      </c>
      <c r="P254" s="48">
        <f t="shared" ca="1" si="11"/>
        <v>1.3194444444444443E-4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input_354100!A$2</f>
        <v>354100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IFERROR(VLOOKUP(B255,input_354100!L:R,7,FALSE),VLOOKUP(tables_354100!C255,input_354100!A:H,8,FALSE))</f>
        <v>6.5</v>
      </c>
      <c r="P255" s="48">
        <f t="shared" ca="1" si="11"/>
        <v>6.9444444444444448E-6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input_354100!A$2</f>
        <v>354100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IFERROR(VLOOKUP(B256,input_354100!L:R,7,FALSE),VLOOKUP(tables_354100!C256,input_354100!A:H,8,FALSE))</f>
        <v>123.5</v>
      </c>
      <c r="P256" s="48">
        <f t="shared" ca="1" si="11"/>
        <v>1.3194444444444443E-4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input_354100!A$2</f>
        <v>354100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IFERROR(VLOOKUP(B257,input_354100!L:R,7,FALSE),VLOOKUP(tables_354100!C257,input_354100!A:H,8,FALSE))</f>
        <v>6.5</v>
      </c>
      <c r="P257" s="48">
        <f t="shared" ca="1" si="11"/>
        <v>6.9444444444444448E-6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input_354100!A$2</f>
        <v>354100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IFERROR(VLOOKUP(B258,input_354100!L:R,7,FALSE),VLOOKUP(tables_354100!C258,input_354100!A:H,8,FALSE))</f>
        <v>123.5</v>
      </c>
      <c r="P258" s="48">
        <f t="shared" ca="1" si="11"/>
        <v>1.3194444444444443E-4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input_354100!A$2</f>
        <v>354100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IFERROR(VLOOKUP(B259,input_354100!L:R,7,FALSE),VLOOKUP(tables_354100!C259,input_354100!A:H,8,FALSE))</f>
        <v>6.5</v>
      </c>
      <c r="P259" s="48">
        <f t="shared" ca="1" si="11"/>
        <v>6.9444444444444448E-6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input_354100!A$2</f>
        <v>354100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IFERROR(VLOOKUP(B260,input_354100!L:R,7,FALSE),VLOOKUP(tables_354100!C260,input_354100!A:H,8,FALSE))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input_354100!A$2</f>
        <v>354100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IFERROR(VLOOKUP(B261,input_354100!L:R,7,FALSE),VLOOKUP(tables_354100!C261,input_354100!A:H,8,FALSE))</f>
        <v>10887</v>
      </c>
      <c r="P261" s="48">
        <f t="shared" ca="1" si="11"/>
        <v>1.1631410256410256E-2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input_354100!A$2</f>
        <v>354100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IFERROR(VLOOKUP(B262,input_354100!L:R,7,FALSE),VLOOKUP(tables_354100!C262,input_354100!A:H,8,FALSE))</f>
        <v>573</v>
      </c>
      <c r="P262" s="48">
        <f t="shared" ca="1" si="11"/>
        <v>6.121794871794872E-4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input_354100!A$2</f>
        <v>354100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IFERROR(VLOOKUP(B263,input_354100!L:R,7,FALSE),VLOOKUP(tables_354100!C263,input_354100!A:H,8,FALSE))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input_354100!A$2</f>
        <v>354100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IFERROR(VLOOKUP(B264,input_354100!L:R,7,FALSE),VLOOKUP(tables_354100!C264,input_354100!A:H,8,FALSE))</f>
        <v>10887</v>
      </c>
      <c r="P264" s="48">
        <f t="shared" ca="1" si="11"/>
        <v>1.1631410256410256E-2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input_354100!A$2</f>
        <v>354100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IFERROR(VLOOKUP(B265,input_354100!L:R,7,FALSE),VLOOKUP(tables_354100!C265,input_354100!A:H,8,FALSE))</f>
        <v>573</v>
      </c>
      <c r="P265" s="48">
        <f t="shared" ca="1" si="11"/>
        <v>6.121794871794872E-4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input_354100!A$2</f>
        <v>354100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IFERROR(VLOOKUP(B266,input_354100!L:R,7,FALSE),VLOOKUP(tables_354100!C266,input_354100!A:H,8,FALSE))</f>
        <v>8788.5</v>
      </c>
      <c r="P266" s="48">
        <f t="shared" ca="1" si="11"/>
        <v>9.3894230769230765E-3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input_354100!A$2</f>
        <v>354100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IFERROR(VLOOKUP(B267,input_354100!L:R,7,FALSE),VLOOKUP(tables_354100!C267,input_354100!A:H,8,FALSE))</f>
        <v>2671.5</v>
      </c>
      <c r="P267" s="48">
        <f t="shared" ca="1" si="11"/>
        <v>2.8541666666666667E-3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input_354100!A$2</f>
        <v>354100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IFERROR(VLOOKUP(B268,input_354100!L:R,7,FALSE),VLOOKUP(tables_354100!C268,input_354100!A:H,8,FALSE))</f>
        <v>8788.5</v>
      </c>
      <c r="P268" s="48">
        <f t="shared" ca="1" si="11"/>
        <v>9.3894230769230765E-3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input_354100!A$2</f>
        <v>354100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IFERROR(VLOOKUP(B269,input_354100!L:R,7,FALSE),VLOOKUP(tables_354100!C269,input_354100!A:H,8,FALSE))</f>
        <v>2671.5</v>
      </c>
      <c r="P269" s="48">
        <f t="shared" ca="1" si="11"/>
        <v>2.8541666666666667E-3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input_354100!A$2</f>
        <v>354100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IFERROR(VLOOKUP(B270,input_354100!L:R,7,FALSE),VLOOKUP(tables_354100!C270,input_354100!A:H,8,FALSE))</f>
        <v>130</v>
      </c>
      <c r="P270" s="48">
        <f t="shared" ca="1" si="11"/>
        <v>1.3888888888888889E-4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input_354100!A$2</f>
        <v>354100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IFERROR(VLOOKUP(B271,input_354100!L:R,7,FALSE),VLOOKUP(tables_354100!C271,input_354100!A:H,8,FALSE))</f>
        <v>130</v>
      </c>
      <c r="P271" s="48">
        <f t="shared" ref="P271:P283" ca="1" si="14">O271/SUM(O:O)</f>
        <v>1.3888888888888889E-4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input_354100!A$2</f>
        <v>354100</v>
      </c>
      <c r="B272" s="82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IFERROR(VLOOKUP(B272,input_354100!L:R,7,FALSE),VLOOKUP(tables_354100!C272,input_354100!A:H,8,FALSE))</f>
        <v>130</v>
      </c>
      <c r="P272" s="48">
        <f t="shared" ca="1" si="14"/>
        <v>1.3888888888888889E-4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input_354100!A$2</f>
        <v>354100</v>
      </c>
      <c r="B273" s="82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IFERROR(VLOOKUP(B273,input_354100!L:R,7,FALSE),VLOOKUP(tables_354100!C273,input_354100!A:H,8,FALSE))</f>
        <v>130</v>
      </c>
      <c r="P273" s="48">
        <f t="shared" ca="1" si="14"/>
        <v>1.3888888888888889E-4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input_354100!A$2</f>
        <v>354100</v>
      </c>
      <c r="B274" s="82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IFERROR(VLOOKUP(B274,input_354100!L:R,7,FALSE),VLOOKUP(tables_354100!C274,input_354100!A:H,8,FALSE))</f>
        <v>8788.5</v>
      </c>
      <c r="P274" s="48">
        <f t="shared" ca="1" si="14"/>
        <v>9.3894230769230765E-3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input_354100!A$2</f>
        <v>354100</v>
      </c>
      <c r="B275" s="82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IFERROR(VLOOKUP(B275,input_354100!L:R,7,FALSE),VLOOKUP(tables_354100!C275,input_354100!A:H,8,FALSE))</f>
        <v>2671.5</v>
      </c>
      <c r="P275" s="48">
        <f t="shared" ca="1" si="14"/>
        <v>2.8541666666666667E-3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input_354100!A$2</f>
        <v>354100</v>
      </c>
      <c r="B276" s="82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IFERROR(VLOOKUP(B276,input_354100!L:R,7,FALSE),VLOOKUP(tables_354100!C276,input_354100!A:H,8,FALSE))</f>
        <v>8788.5</v>
      </c>
      <c r="P276" s="48">
        <f t="shared" ca="1" si="14"/>
        <v>9.3894230769230765E-3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input_354100!A$2</f>
        <v>354100</v>
      </c>
      <c r="B277" s="82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IFERROR(VLOOKUP(B277,input_354100!L:R,7,FALSE),VLOOKUP(tables_354100!C277,input_354100!A:H,8,FALSE))</f>
        <v>2671.5</v>
      </c>
      <c r="P277" s="48">
        <f t="shared" ca="1" si="14"/>
        <v>2.8541666666666667E-3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input_354100!A$2</f>
        <v>354100</v>
      </c>
      <c r="B278" s="82">
        <v>862</v>
      </c>
      <c r="C278" s="7" t="str">
        <f t="shared" ref="C278:C283" si="17">D278&amp;J278&amp;E278&amp;F278&amp;G278</f>
        <v>Premium4R3less</v>
      </c>
      <c r="D278" s="7" t="str">
        <f t="shared" ref="D278:D283" si="18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IFERROR(VLOOKUP(B278,input_354100!L:R,7,FALSE),VLOOKUP(tables_354100!C278,input_354100!A:H,8,FALSE))</f>
        <v>8788.5</v>
      </c>
      <c r="P278" s="48">
        <f t="shared" ca="1" si="14"/>
        <v>9.3894230769230765E-3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input_354100!A$2</f>
        <v>354100</v>
      </c>
      <c r="B279" s="82">
        <v>863</v>
      </c>
      <c r="C279" s="7" t="str">
        <f t="shared" si="17"/>
        <v>Premium5R3less</v>
      </c>
      <c r="D279" s="7" t="str">
        <f t="shared" si="18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IFERROR(VLOOKUP(B279,input_354100!L:R,7,FALSE),VLOOKUP(tables_354100!C279,input_354100!A:H,8,FALSE))</f>
        <v>2671.5</v>
      </c>
      <c r="P279" s="48">
        <f t="shared" ca="1" si="14"/>
        <v>2.8541666666666667E-3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input_354100!A$2</f>
        <v>354100</v>
      </c>
      <c r="B280" s="82">
        <v>864</v>
      </c>
      <c r="C280" s="7" t="str">
        <f t="shared" si="17"/>
        <v>Premium4R3less</v>
      </c>
      <c r="D280" s="7" t="str">
        <f t="shared" si="18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IFERROR(VLOOKUP(B280,input_354100!L:R,7,FALSE),VLOOKUP(tables_354100!C280,input_354100!A:H,8,FALSE))</f>
        <v>8788.5</v>
      </c>
      <c r="P280" s="48">
        <f t="shared" ca="1" si="14"/>
        <v>9.3894230769230765E-3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input_354100!A$2</f>
        <v>354100</v>
      </c>
      <c r="B281" s="82">
        <v>865</v>
      </c>
      <c r="C281" s="7" t="str">
        <f t="shared" si="17"/>
        <v>Premium5R3less</v>
      </c>
      <c r="D281" s="7" t="str">
        <f t="shared" si="18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IFERROR(VLOOKUP(B281,input_354100!L:R,7,FALSE),VLOOKUP(tables_354100!C281,input_354100!A:H,8,FALSE))</f>
        <v>2671.5</v>
      </c>
      <c r="P281" s="48">
        <f t="shared" ca="1" si="14"/>
        <v>2.8541666666666667E-3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input_354100!A$2</f>
        <v>354100</v>
      </c>
      <c r="B282" s="82">
        <v>866</v>
      </c>
      <c r="C282" s="7" t="str">
        <f t="shared" si="17"/>
        <v>PremiumSS5R5only</v>
      </c>
      <c r="D282" s="7" t="str">
        <f t="shared" si="18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IFERROR(VLOOKUP(B282,input_354100!L:R,7,FALSE),VLOOKUP(tables_354100!C282,input_354100!A:H,8,FALSE))</f>
        <v>130</v>
      </c>
      <c r="P282" s="48">
        <f t="shared" ca="1" si="14"/>
        <v>1.3888888888888889E-4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input_354100!A$2</f>
        <v>354100</v>
      </c>
      <c r="B283" s="82">
        <v>868</v>
      </c>
      <c r="C283" s="7" t="str">
        <f t="shared" si="17"/>
        <v>PremiumSS5R5only</v>
      </c>
      <c r="D283" s="7" t="str">
        <f t="shared" si="18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IFERROR(VLOOKUP(B283,input_354100!L:R,7,FALSE),VLOOKUP(tables_354100!C283,input_354100!A:H,8,FALSE))</f>
        <v>130</v>
      </c>
      <c r="P283" s="48">
        <f t="shared" ca="1" si="14"/>
        <v>1.3888888888888889E-4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autoFilter ref="A1:V27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input_354010</vt:lpstr>
      <vt:lpstr>tables_354010</vt:lpstr>
      <vt:lpstr>input_354100</vt:lpstr>
      <vt:lpstr>tables_354100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2016-06-07T03:26:35Z</dcterms:modified>
</cp:coreProperties>
</file>